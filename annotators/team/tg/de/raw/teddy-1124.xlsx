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<sst xmlns="http://schemas.openxmlformats.org/spreadsheetml/2006/main" count="9685" uniqueCount="2276">
  <si>
    <t>ID</t>
  </si>
  <si>
    <t>PRED_ID</t>
  </si>
  <si>
    <t>MARKER_AUTO</t>
  </si>
  <si>
    <t>PREDICATE</t>
  </si>
  <si>
    <t>TEXT</t>
  </si>
  <si>
    <t>SENTENCE</t>
  </si>
  <si>
    <t>MARKER</t>
  </si>
  <si>
    <t>TARGET</t>
  </si>
  <si>
    <t>RELATION</t>
  </si>
  <si>
    <t>COMMENT</t>
  </si>
  <si>
    <t>1</t>
  </si>
  <si>
    <t>2</t>
  </si>
  <si>
    <t>_</t>
  </si>
  <si>
    <t>sein (sein Jan)</t>
  </si>
  <si>
    <t>Ich bin Jane McGonigal .</t>
  </si>
  <si>
    <t>file://conllu/de/teddy-1124.conllu#s1_0</t>
  </si>
  <si>
    <t>entwerfen</t>
  </si>
  <si>
    <t>Ich entwerfe Computerspiele .</t>
  </si>
  <si>
    <t>file://conllu/de/teddy-1124.conllu#s2_0</t>
  </si>
  <si>
    <t>3</t>
  </si>
  <si>
    <t>entwickel</t>
  </si>
  <si>
    <t>Ich entwickle jetzt seit 10 Jahren Online Spiele .</t>
  </si>
  <si>
    <t>file://conllu/de/teddy-1124.conllu#s3_0</t>
  </si>
  <si>
    <t>4</t>
  </si>
  <si>
    <t>8</t>
  </si>
  <si>
    <t>sein</t>
  </si>
  <si>
    <t>Und mein Ziel für das nächste Jahrzehnt ist , es genauso leicht zu machen , die Welt in der Realität zu retten , wie sie in Online Spielen zu retten ist .</t>
  </si>
  <si>
    <t>file://conllu/de/teddy-1124.conllu#s4_0</t>
  </si>
  <si>
    <t>5</t>
  </si>
  <si>
    <t>haben</t>
  </si>
  <si>
    <t>Ich habe einen Plan dafür .</t>
  </si>
  <si>
    <t>file://conllu/de/teddy-1124.conllu#s5_0</t>
  </si>
  <si>
    <t>6</t>
  </si>
  <si>
    <t>überzeugen</t>
  </si>
  <si>
    <t>Ich möchte mehr Menschen überzeugen , einschließlich Ihnen allen , mehr Zeit mit dem Spielen größerer und tollerer Spiele zu verbringen .</t>
  </si>
  <si>
    <t>file://conllu/de/teddy-1124.conllu#s6_0</t>
  </si>
  <si>
    <t>7</t>
  </si>
  <si>
    <t>verbringen</t>
  </si>
  <si>
    <t>Derzeit verbringen wir 3 Milliarden Stunden pro Woche mit Online Spielen .</t>
  </si>
  <si>
    <t>file://conllu/de/teddy-1124.conllu#s7_0</t>
  </si>
  <si>
    <t>denken</t>
  </si>
  <si>
    <t>Einige von Ihnen denken vielleicht : &amp;quot; Das ist eine ganze Menge Zeit für Spiele . &amp;quot;</t>
  </si>
  <si>
    <t>file://conllu/de/teddy-1124.conllu#s8_0</t>
  </si>
  <si>
    <t>9</t>
  </si>
  <si>
    <t>Zeit</t>
  </si>
  <si>
    <t>Vielleicht etwas zu viel Zeit , wenn man bedenkt wie viele Probleme wir dringend in der realen Welt zu lösen haben .</t>
  </si>
  <si>
    <t>file://conllu/de/teddy-1124.conllu#s9_0</t>
  </si>
  <si>
    <t>10</t>
  </si>
  <si>
    <t>14</t>
  </si>
  <si>
    <t>sein (sein zutreffend)</t>
  </si>
  <si>
    <t>Tatsächlich aber , meiner Forschung am an dem Institut für die Zukunft zufolge , ist genau das Gegenteil zutreffend .</t>
  </si>
  <si>
    <t>file://conllu/de/teddy-1124.conllu#s10_0</t>
  </si>
  <si>
    <t>11</t>
  </si>
  <si>
    <t>sein (sein annähernd)</t>
  </si>
  <si>
    <t>Drei Milliarden Stunden pro Woche sind nicht annähernd genug , um die dringendsten Probleme der Welt zu lösen .</t>
  </si>
  <si>
    <t>file://conllu/de/teddy-1124.conllu#s11_0</t>
  </si>
  <si>
    <t>12</t>
  </si>
  <si>
    <t>sein (sein überzeugt)</t>
  </si>
  <si>
    <t>Tatsächlich bin ich überzeugt , dass , wenn wir das nächste Jahrhundert auf diesem Planeten überleben wollen , wir diese Zeit drastisch erhöhen müssen .</t>
  </si>
  <si>
    <t>file://conllu/de/teddy-1124.conllu#s12_0</t>
  </si>
  <si>
    <t>13</t>
  </si>
  <si>
    <t>berechnen</t>
  </si>
  <si>
    <t>Ich habe berechnet , dass die benötigte Zeit bei 21 Milliarden Stunden Spielzeit pro Woche liegt .</t>
  </si>
  <si>
    <t>file://conllu/de/teddy-1124.conllu#s13_0</t>
  </si>
  <si>
    <t>erscheinen</t>
  </si>
  <si>
    <t>Das erscheint zuerst vielleicht etwas abwegig , also wiederhole ich es , damit es wirken kann :</t>
  </si>
  <si>
    <t>file://conllu/de/teddy-1124.conllu#s14_0</t>
  </si>
  <si>
    <t>15</t>
  </si>
  <si>
    <t>23</t>
  </si>
  <si>
    <t>versuchen (versuchen glauben)</t>
  </si>
  <si>
    <t>Wenn wir Probleme wie Hunger , Armut , Klimawandel , globale Konflikte und Fettleibigkeit lösen wollen , glaube ich , müssen wir versuchen , Spiele online für mindestens 21 Milliarden Stunden pro Woche bis zum zu dem Ende des nächsten Jahrzehnts zu spielen .</t>
  </si>
  <si>
    <t>file://conllu/de/teddy-1124.conllu#s15_0</t>
  </si>
  <si>
    <t>16</t>
  </si>
  <si>
    <t>Ich meine?</t>
  </si>
  <si>
    <t>nein</t>
  </si>
  <si>
    <t>( Gelächter ) Nein , ich meine es wirklich ernst .</t>
  </si>
  <si>
    <t>file://conllu/de/teddy-1124.conllu#s16_0</t>
  </si>
  <si>
    <t>17</t>
  </si>
  <si>
    <t>Warum?</t>
  </si>
  <si>
    <t>warum</t>
  </si>
  <si>
    <t>Warum ?</t>
  </si>
  <si>
    <t>file://conllu/de/teddy-1124.conllu#s17_0</t>
  </si>
  <si>
    <t>18</t>
  </si>
  <si>
    <t>glauben (glauben beschreiben)</t>
  </si>
  <si>
    <t>Dieses Bild beschreibt ziemlich genau , warum ich glaube , dass Spiele so unerlässlich für das Überleben der menschlichen Spezies in der Zukunft sind .</t>
  </si>
  <si>
    <t>file://conllu/de/teddy-1124.conllu#s18_0</t>
  </si>
  <si>
    <t>19</t>
  </si>
  <si>
    <t>ernsthaft</t>
  </si>
  <si>
    <t>( Gelächter ) Ernsthaft .</t>
  </si>
  <si>
    <t>file://conllu/de/teddy-1124.conllu#s19_0</t>
  </si>
  <si>
    <t>20</t>
  </si>
  <si>
    <t>sein (sein Porträt)</t>
  </si>
  <si>
    <t>Dies ist ein Porträt des Fotografen Phil Toledano .</t>
  </si>
  <si>
    <t>file://conllu/de/teddy-1124.conllu#s20_0</t>
  </si>
  <si>
    <t>21</t>
  </si>
  <si>
    <t>einfangen</t>
  </si>
  <si>
    <t>Er wollte die Gefühle beim bei dem Spielen einfangen .</t>
  </si>
  <si>
    <t>file://conllu/de/teddy-1124.conllu#s21_0</t>
  </si>
  <si>
    <t>22</t>
  </si>
  <si>
    <t>aufbauen</t>
  </si>
  <si>
    <t>Also hat er vor den Spielern eine Kamera aufgebaut .</t>
  </si>
  <si>
    <t>file://conllu/de/teddy-1124.conllu#s22_0</t>
  </si>
  <si>
    <t>sein (sein ein)</t>
  </si>
  <si>
    <t>Dies ist einer der klassischen Ausdrücke beim bei dem Spielen .</t>
  </si>
  <si>
    <t>file://conllu/de/teddy-1124.conllu#s23_0</t>
  </si>
  <si>
    <t>24</t>
  </si>
  <si>
    <t>entgehen</t>
  </si>
  <si>
    <t>Wenn Sie kein Spieler sind , entgehen Ihnen vielleicht einige der Nuancen in diesem Bild .</t>
  </si>
  <si>
    <t>file://conllu/de/teddy-1124.conllu#s24_0</t>
  </si>
  <si>
    <t>25</t>
  </si>
  <si>
    <t>sehen</t>
  </si>
  <si>
    <t>Sie sehen wahrscheinlich dieses Gespür für Dringlichkeit , etwas Angst , aber auch äußerste Konzentration , ganz vertieft in das Lösen eines echt schwierigen Problems .</t>
  </si>
  <si>
    <t>file://conllu/de/teddy-1124.conllu#s25_0</t>
  </si>
  <si>
    <t>26</t>
  </si>
  <si>
    <t>Wenn Sie auch spielen , sehen Sie einige Nuancen hier , die nach oben gezogenen Augen und der Mund sind ein Zeichen von Optimismus .</t>
  </si>
  <si>
    <t>file://conllu/de/teddy-1124.conllu#s26_0</t>
  </si>
  <si>
    <t>27</t>
  </si>
  <si>
    <t>zeigen</t>
  </si>
  <si>
    <t>Die Augenbrauen zeigen Überraschung .</t>
  </si>
  <si>
    <t>file://conllu/de/teddy-1124.conllu#s27_0</t>
  </si>
  <si>
    <t>28</t>
  </si>
  <si>
    <t>sein (sein Spieler)</t>
  </si>
  <si>
    <t>Dies ist ein Spieler , der am an dem Rande eines sogenannten epischen Sieges steht .</t>
  </si>
  <si>
    <t>file://conllu/de/teddy-1124.conllu#s28_0</t>
  </si>
  <si>
    <t>29</t>
  </si>
  <si>
    <t>kennen</t>
  </si>
  <si>
    <t>( Gelächter ) Oh , Sie kennen das .</t>
  </si>
  <si>
    <t>file://conllu/de/teddy-1124.conllu#s29_0</t>
  </si>
  <si>
    <t>30</t>
  </si>
  <si>
    <t>OK</t>
  </si>
  <si>
    <t>OK .</t>
  </si>
  <si>
    <t>file://conllu/de/teddy-1124.conllu#s30_0</t>
  </si>
  <si>
    <t>31</t>
  </si>
  <si>
    <t>prima</t>
  </si>
  <si>
    <t>Prima .</t>
  </si>
  <si>
    <t>file://conllu/de/teddy-1124.conllu#s31_0</t>
  </si>
  <si>
    <t>32</t>
  </si>
  <si>
    <t>Also haben wir einige Spieler hier .</t>
  </si>
  <si>
    <t>file://conllu/de/teddy-1124.conllu#s32_0</t>
  </si>
  <si>
    <t>33</t>
  </si>
  <si>
    <t>sein (sein Ergebnis)</t>
  </si>
  <si>
    <t>Ein epischer Sieg ist ein Ergebnis , das so überaus positiv ist , dass Sie vorher gar nicht wussten , dass es überhaupt möglich war .</t>
  </si>
  <si>
    <t>file://conllu/de/teddy-1124.conllu#s33_0</t>
  </si>
  <si>
    <t>34</t>
  </si>
  <si>
    <t>Es war beinah jenseits der Vorstellungskraft .</t>
  </si>
  <si>
    <t>file://conllu/de/teddy-1124.conllu#s34_0</t>
  </si>
  <si>
    <t>35</t>
  </si>
  <si>
    <t>sein (sein schockiert)</t>
  </si>
  <si>
    <t>Und wenn Sie es erreichen , sind Sie schockiert , dass Sie tatsächlich zu so etwas fähig sind .</t>
  </si>
  <si>
    <t>file://conllu/de/teddy-1124.conllu#s35_0</t>
  </si>
  <si>
    <t>36</t>
  </si>
  <si>
    <t>sein (sein Sieg)</t>
  </si>
  <si>
    <t>Das ist ein epischer Sieg .</t>
  </si>
  <si>
    <t>file://conllu/de/teddy-1124.conllu#s36_0</t>
  </si>
  <si>
    <t>37</t>
  </si>
  <si>
    <t>stehen</t>
  </si>
  <si>
    <t>Dieser Spieler steht kurz vor einem epischen Sieg .</t>
  </si>
  <si>
    <t>file://conllu/de/teddy-1124.conllu#s37_0</t>
  </si>
  <si>
    <t>38</t>
  </si>
  <si>
    <t>Was?</t>
  </si>
  <si>
    <t>Und dies ist es , was wir auf Millionen Gesichtern von Problemlösern auf der ganzen Welt sehen müssen , wenn wir die Hürden des nächsten Jahrhunderts in Angriff nehmen .</t>
  </si>
  <si>
    <t>file://conllu/de/teddy-1124.conllu#s38_0</t>
  </si>
  <si>
    <t>39</t>
  </si>
  <si>
    <t>d</t>
  </si>
  <si>
    <t>Das Gesicht derer , die entgegen aller Widrigkeiten am an dem Rande eines epischen Sieges stehen .</t>
  </si>
  <si>
    <t>file://conllu/de/teddy-1124.conllu#s39_0</t>
  </si>
  <si>
    <t>40</t>
  </si>
  <si>
    <t>Tja , leider sehen wir eher dieses Gesicht im in dem echten Leben , wenn wir schwierigen Problemen begegnen .</t>
  </si>
  <si>
    <t>file://conllu/de/teddy-1124.conllu#s40_0</t>
  </si>
  <si>
    <t>41</t>
  </si>
  <si>
    <t>bezeichne</t>
  </si>
  <si>
    <t>Ich bezeichne es als das &amp;quot; In Leben bin ich schlecht &amp;quot; Gesicht .</t>
  </si>
  <si>
    <t>file://conllu/de/teddy-1124.conllu#s41_0</t>
  </si>
  <si>
    <t>42</t>
  </si>
  <si>
    <t>sein (sein Gesicht)</t>
  </si>
  <si>
    <t>Und es ist tatsächlich mein Gesicht , sehen Sie ?</t>
  </si>
  <si>
    <t>file://conllu/de/teddy-1124.conllu#s42_0</t>
  </si>
  <si>
    <t>43</t>
  </si>
  <si>
    <t>Ja</t>
  </si>
  <si>
    <t>Ja ?</t>
  </si>
  <si>
    <t>file://conllu/de/teddy-1124.conllu#s43_0</t>
  </si>
  <si>
    <t>44</t>
  </si>
  <si>
    <t>file://conllu/de/teddy-1124.conllu#s44_0</t>
  </si>
  <si>
    <t>45</t>
  </si>
  <si>
    <t>sein (sein ich)</t>
  </si>
  <si>
    <t>Das bin ich , wie ich das &amp;quot; In Leben bin ich schlecht &amp;quot; Gesicht mache .</t>
  </si>
  <si>
    <t>file://conllu/de/teddy-1124.conllu#s45_0</t>
  </si>
  <si>
    <t>46</t>
  </si>
  <si>
    <t>sein (sein Graffiti)</t>
  </si>
  <si>
    <t>Dies ist ein Graffiti in meiner ehemaligen Heimat in Berkeley , Kalifornien , wo ich in meiner Doktorarbeit untersuchte warum wir in Spielen besser sind als im in dem echten Leben .</t>
  </si>
  <si>
    <t>file://conllu/de/teddy-1124.conllu#s46_0</t>
  </si>
  <si>
    <t>47</t>
  </si>
  <si>
    <t>sein (sein Problem)</t>
  </si>
  <si>
    <t>Das ist ein Problem , das viele Spieler haben .</t>
  </si>
  <si>
    <t>file://conllu/de/teddy-1124.conllu#s47_0</t>
  </si>
  <si>
    <t>48</t>
  </si>
  <si>
    <t>Wir denken , dass wir in der Realität nicht so gut sind wie in Spielen .</t>
  </si>
  <si>
    <t>file://conllu/de/teddy-1124.conllu#s48_0</t>
  </si>
  <si>
    <t>49</t>
  </si>
  <si>
    <t>erfolgreich</t>
  </si>
  <si>
    <t>Und ich meine nicht nur weniger erfolgreich , obwohl das dazu gehört .</t>
  </si>
  <si>
    <t>file://conllu/de/teddy-1124.conllu#s49_0</t>
  </si>
  <si>
    <t>50</t>
  </si>
  <si>
    <t>erreichen</t>
  </si>
  <si>
    <t>Wir erreichen in Spielwelten mehr .</t>
  </si>
  <si>
    <t>file://conllu/de/teddy-1124.conllu#s50_0</t>
  </si>
  <si>
    <t>51</t>
  </si>
  <si>
    <t>guen</t>
  </si>
  <si>
    <t>Ich meine gut im in dem Zusammenhang mit der Motivation , etwas Bedeutsames zu tun , inspiriert zur zu der Zusammenarbeit miteinander .</t>
  </si>
  <si>
    <t>file://conllu/de/teddy-1124.conllu#s51_0</t>
  </si>
  <si>
    <t>52</t>
  </si>
  <si>
    <t>glauben</t>
  </si>
  <si>
    <t>Wenn wir in einer Spielwelt sind , glaube ich , dass viele von uns sich in unsere beste Version verwandeln , jederzeit und sofort hilfsbereit sind , hartnäckig das Problem zu lösen versuchen , so lange wie nötig , es nach dem Fehlschlag erneut probieren .</t>
  </si>
  <si>
    <t>file://conllu/de/teddy-1124.conllu#s52_0</t>
  </si>
  <si>
    <t>53</t>
  </si>
  <si>
    <t>fühlen</t>
  </si>
  <si>
    <t>Und in der Realität , wenn wir versagen , wenn wir auf Hindernisse stoßen , fühlen wir uns oft anders .</t>
  </si>
  <si>
    <t>file://conllu/de/teddy-1124.conllu#s53_0</t>
  </si>
  <si>
    <t>54</t>
  </si>
  <si>
    <t>Wir fühlen uns überwältigt .</t>
  </si>
  <si>
    <t>file://conllu/de/teddy-1124.conllu#s54_0</t>
  </si>
  <si>
    <t>55</t>
  </si>
  <si>
    <t>Wir fühlen uns besiegt .</t>
  </si>
  <si>
    <t>file://conllu/de/teddy-1124.conllu#s55_0</t>
  </si>
  <si>
    <t>56</t>
  </si>
  <si>
    <t>Wir fühlen uns bedroht , vielleicht deprimiert , frustriert oder zynisch .</t>
  </si>
  <si>
    <t>file://conllu/de/teddy-1124.conllu#s56_0</t>
  </si>
  <si>
    <t>57</t>
  </si>
  <si>
    <t>Diese Gefühle haben wir nie , wenn wir Spiele spielen , in Spielen gibt es sie einfach nicht .</t>
  </si>
  <si>
    <t>file://conllu/de/teddy-1124.conllu#s57_0</t>
  </si>
  <si>
    <t>58</t>
  </si>
  <si>
    <t>und</t>
  </si>
  <si>
    <t>Und das ist es , was ich als Doktorandin untersuchen wollte .</t>
  </si>
  <si>
    <t>file://conllu/de/teddy-1124.conllu#s58_0</t>
  </si>
  <si>
    <t>59</t>
  </si>
  <si>
    <t>sein (sein unmöglich)</t>
  </si>
  <si>
    <t>Wieso ist es in Spielen unmöglich , zu denken , man könnte nicht einfach alles erreichen ?</t>
  </si>
  <si>
    <t>file://conllu/de/teddy-1124.conllu#s59_0</t>
  </si>
  <si>
    <t>60</t>
  </si>
  <si>
    <t>übertragen</t>
  </si>
  <si>
    <t>Wie können wir diese Gefühle aus den Spielen in die Realität übertragen ?</t>
  </si>
  <si>
    <t>file://conllu/de/teddy-1124.conllu#s60_0</t>
  </si>
  <si>
    <t>61</t>
  </si>
  <si>
    <t>schauen</t>
  </si>
  <si>
    <t>Also schaute ich mir Spiele wie World of Warcraft an , das die ideale Umgebung zum zu dem gemeinschaftlichen Problemlösen bietet .</t>
  </si>
  <si>
    <t>file://conllu/de/teddy-1124.conllu#s61_0</t>
  </si>
  <si>
    <t>62</t>
  </si>
  <si>
    <t>feststellen</t>
  </si>
  <si>
    <t>Und ich habe einige Dinge festgestellt , die epische Siege in Online Welten so möglich machen .</t>
  </si>
  <si>
    <t>file://conllu/de/teddy-1124.conllu#s62_0</t>
  </si>
  <si>
    <t>63</t>
  </si>
  <si>
    <t>zuerst</t>
  </si>
  <si>
    <t>Also , zuerst , wenn Sie in eines dieser Online Spiele einsteigen , vor allem bei World of Warcraft , gibt es eine Menge verschiedener Charaktere , die bereit sind , Ihnen eine weltrettende Mission anzuvertrauen , und zwar sofort .</t>
  </si>
  <si>
    <t>file://conllu/de/teddy-1124.conllu#s63_0</t>
  </si>
  <si>
    <t>64</t>
  </si>
  <si>
    <t>passen</t>
  </si>
  <si>
    <t>Aber nicht nur irgendeine Mission , sondern eine Mission , die perfekt zu Ihrem aktuellen Level im in dem Spiel passt , richtig ?</t>
  </si>
  <si>
    <t>file://conllu/de/teddy-1124.conllu#s64_0</t>
  </si>
  <si>
    <t>65</t>
  </si>
  <si>
    <t>schaffen</t>
  </si>
  <si>
    <t>Also schaffen Sie das .</t>
  </si>
  <si>
    <t>file://conllu/de/teddy-1124.conllu#s65_0</t>
  </si>
  <si>
    <t>66</t>
  </si>
  <si>
    <t>bekommen</t>
  </si>
  <si>
    <t>Sie bekommen niemals eine Aufgabe , die Sie nicht lösen können .</t>
  </si>
  <si>
    <t>file://conllu/de/teddy-1124.conllu#s66_0</t>
  </si>
  <si>
    <t>67</t>
  </si>
  <si>
    <t>Rand</t>
  </si>
  <si>
    <t>Aber immer am an dem Rand Ihrer Fähigkeiten , also müssen Sie sich anstrengen .</t>
  </si>
  <si>
    <t>file://conllu/de/teddy-1124.conllu#s67_0</t>
  </si>
  <si>
    <t>68</t>
  </si>
  <si>
    <t>geben</t>
  </si>
  <si>
    <t>Aber es gibt keine Arbeitslosigkeit in World of Warcraft .</t>
  </si>
  <si>
    <t>file://conllu/de/teddy-1124.conllu#s68_0</t>
  </si>
  <si>
    <t>69</t>
  </si>
  <si>
    <t>sitzen</t>
  </si>
  <si>
    <t>Man sitzt nicht herum und dreht Däumchen .</t>
  </si>
  <si>
    <t>file://conllu/de/teddy-1124.conllu#s69_0</t>
  </si>
  <si>
    <t>70</t>
  </si>
  <si>
    <t>Es gibt immer ganz gezielt etwas Wichtiges zu tun .</t>
  </si>
  <si>
    <t>file://conllu/de/teddy-1124.conllu#s70_0</t>
  </si>
  <si>
    <t>71</t>
  </si>
  <si>
    <t>Und es gibt haufenweise Mitarbeiter .</t>
  </si>
  <si>
    <t>file://conllu/de/teddy-1124.conllu#s71_0</t>
  </si>
  <si>
    <t>72</t>
  </si>
  <si>
    <t>gehen</t>
  </si>
  <si>
    <t>Wohin Sie auch gehen , Hunderttausende von Leuten , die mit Ihnen zusammenarbeiten , um Ihre epische Mission abzuschließen .</t>
  </si>
  <si>
    <t>file://conllu/de/teddy-1124.conllu#s72_0</t>
  </si>
  <si>
    <t>73</t>
  </si>
  <si>
    <t>einfach</t>
  </si>
  <si>
    <t>Das haben wir im in dem wahren Leben nicht so einfach , dieses Gefühl , dass bei einem Fingerschnipsen haufenweise Mitarbeiter bereit stehen .</t>
  </si>
  <si>
    <t>file://conllu/de/teddy-1124.conllu#s73_0</t>
  </si>
  <si>
    <t>74</t>
  </si>
  <si>
    <t>sein (sein geben)</t>
  </si>
  <si>
    <t>Außerdem gibt es diese epische Geschichte , diese inspirierende Geschichte , warum wir da sind und was wir zu tun haben .</t>
  </si>
  <si>
    <t>file://conllu/de/teddy-1124.conllu#s74_0</t>
  </si>
  <si>
    <t>75</t>
  </si>
  <si>
    <t>kriegen</t>
  </si>
  <si>
    <t>Dann kriegen wir dieses ganze positive Feedback .</t>
  </si>
  <si>
    <t>file://conllu/de/teddy-1124.conllu#s75_0</t>
  </si>
  <si>
    <t>76</t>
  </si>
  <si>
    <t>bestimmen</t>
  </si>
  <si>
    <t>Sie haben bestimmt von &amp;quot; Level hoch &amp;quot; und &amp;quot; +1 Stärke &amp;quot; gehört oder &amp;quot; +1 Intelligenz &amp;quot; .</t>
  </si>
  <si>
    <t>file://conllu/de/teddy-1124.conllu#s76_0</t>
  </si>
  <si>
    <t>77</t>
  </si>
  <si>
    <t>Dieses konstante Feedback gibt es nicht im in dem wahren Leben .</t>
  </si>
  <si>
    <t>file://conllu/de/teddy-1124.conllu#s77_0</t>
  </si>
  <si>
    <t>78</t>
  </si>
  <si>
    <t>Wenn ich diese Bühne verlasse , habe ich nicht : +1 Sprechen und +1 verrückte Idee , +20 verrückte Idee .</t>
  </si>
  <si>
    <t>file://conllu/de/teddy-1124.conllu#s78_0</t>
  </si>
  <si>
    <t>79</t>
  </si>
  <si>
    <t>Ich bekomme im in dem wahren Leben dieses Feedback nicht .</t>
  </si>
  <si>
    <t>file://conllu/de/teddy-1124.conllu#s79_0</t>
  </si>
  <si>
    <t>80</t>
  </si>
  <si>
    <t>Also , das Problem der Kooperations Online Welten wie World of Warcraft ist , dass es so befriedigend ist , jederzeit am an dem Rande eines epischen Sieges zu stehen , dass wir lieber unsere ganze Zeit in diesen Spielwelten verbringen .</t>
  </si>
  <si>
    <t>file://conllu/de/teddy-1124.conllu#s80_0</t>
  </si>
  <si>
    <t>81</t>
  </si>
  <si>
    <t>sein (sein gut)</t>
  </si>
  <si>
    <t>Sie sind einfach besser als die Realität .</t>
  </si>
  <si>
    <t>file://conllu/de/teddy-1124.conllu#s81_0</t>
  </si>
  <si>
    <t>82</t>
  </si>
  <si>
    <t>Bis heute haben alle World of Warcraft Spieler zusammen 5,93 Millionen Jahre damit verbracht , die virtuellen Probleme von Azeroth zu lösen .</t>
  </si>
  <si>
    <t>file://conllu/de/teddy-1124.conllu#s82_0</t>
  </si>
  <si>
    <t>83</t>
  </si>
  <si>
    <t>sein (sein etwas)</t>
  </si>
  <si>
    <t>Das ist nicht unbedingt etwas Schlechtes .</t>
  </si>
  <si>
    <t>file://conllu/de/teddy-1124.conllu#s83_0</t>
  </si>
  <si>
    <t>84</t>
  </si>
  <si>
    <t>klingen</t>
  </si>
  <si>
    <t>Es klingt vielleicht übel .</t>
  </si>
  <si>
    <t>file://conllu/de/teddy-1124.conllu#s84_0</t>
  </si>
  <si>
    <t>85</t>
  </si>
  <si>
    <t>Aber um es mal im in dem Kontext zu sehen : Vor 5,93 Millionen Jahren begannen unsere ersten Primatenvorfahren aufrecht zu gehen .</t>
  </si>
  <si>
    <t>file://conllu/de/teddy-1124.conllu#s85_0</t>
  </si>
  <si>
    <t>86</t>
  </si>
  <si>
    <t>Primat</t>
  </si>
  <si>
    <t>Der erste aufrechte Primat also .</t>
  </si>
  <si>
    <t>file://conllu/de/teddy-1124.conllu#s86_0</t>
  </si>
  <si>
    <t>87</t>
  </si>
  <si>
    <t>halten</t>
  </si>
  <si>
    <t>OK , also wenn wir darüber reden , wie viel Zeit wir derzeit mit Spielen verbringen , macht das nur Sinn , wann man sich die Zeit im in dem Hinblick auf die Größenordnung der menschlichen Entwicklung vor Augen hält , was außerordentlich ist .</t>
  </si>
  <si>
    <t>file://conllu/de/teddy-1124.conllu#s87_0</t>
  </si>
  <si>
    <t>88</t>
  </si>
  <si>
    <t>anbringen</t>
  </si>
  <si>
    <t>Aber auch angebracht .</t>
  </si>
  <si>
    <t>file://conllu/de/teddy-1124.conllu#s88_0</t>
  </si>
  <si>
    <t>89</t>
  </si>
  <si>
    <t>stellen</t>
  </si>
  <si>
    <t>Denn es stellt sich heraus , dass wir , indem wir diese ganze Zeit aufs auf das Spielen verwenden , tatsächlich das verändern , wozu wir als Menschen in der Lage sind .</t>
  </si>
  <si>
    <t>file://conllu/de/teddy-1124.conllu#s89_0</t>
  </si>
  <si>
    <t>90</t>
  </si>
  <si>
    <t>entwickeln</t>
  </si>
  <si>
    <t>Wir entwickeln uns zu gemeinschaftlich denkenden , herzlichen Wesen .</t>
  </si>
  <si>
    <t>file://conllu/de/teddy-1124.conllu#s90_0</t>
  </si>
  <si>
    <t>91</t>
  </si>
  <si>
    <t>sein (sein Wahrheit)</t>
  </si>
  <si>
    <t>Das ist die Wahrheit .</t>
  </si>
  <si>
    <t>file://conllu/de/teddy-1124.conllu#s91_0</t>
  </si>
  <si>
    <t>92</t>
  </si>
  <si>
    <t>Daran glaube ich .</t>
  </si>
  <si>
    <t>file://conllu/de/teddy-1124.conllu#s92_0</t>
  </si>
  <si>
    <t>93</t>
  </si>
  <si>
    <t>betrachten</t>
  </si>
  <si>
    <t>Betrachten Sie einmal diese interessante Statistik , die kürzlich von einem Forscher der Carnegie Mellon University veröffentlicht wurde : Der durchschnittliche junge Mensch von heute in einem Land mit starker Spielkultur verbringt 10.000 Stunden mit Online Spielen bis zum zu dem 21.</t>
  </si>
  <si>
    <t>file://conllu/de/teddy-1124.conllu#s93_0</t>
  </si>
  <si>
    <t>94</t>
  </si>
  <si>
    <t>Lebensjahr</t>
  </si>
  <si>
    <t>Lebensjahr .</t>
  </si>
  <si>
    <t>file://conllu/de/teddy-1124.conllu#s94_0</t>
  </si>
  <si>
    <t>95</t>
  </si>
  <si>
    <t>sein (sein Zahl)</t>
  </si>
  <si>
    <t>Also , 10.000 Stunden ist eine äußerst interessante Zahl , aus 2 Gründen :</t>
  </si>
  <si>
    <t>file://conllu/de/teddy-1124.conllu#s95_0</t>
  </si>
  <si>
    <t>96</t>
  </si>
  <si>
    <t>sein (sein Gesamtzeit)</t>
  </si>
  <si>
    <t>Zuerst einmal , für Kinder in den USA sind 10.080 Stunden die genaue Gesamtzeit , die sie in der Schule verbringen , von der 5 .</t>
  </si>
  <si>
    <t>file://conllu/de/teddy-1124.conllu#s96_0</t>
  </si>
  <si>
    <t>97</t>
  </si>
  <si>
    <t>Klasse</t>
  </si>
  <si>
    <t>Klasse bis zum zu dem Abschluss der High School wenn man niemals fehlt .</t>
  </si>
  <si>
    <t>file://conllu/de/teddy-1124.conllu#s97_0</t>
  </si>
  <si>
    <t>98</t>
  </si>
  <si>
    <t>lernen</t>
  </si>
  <si>
    <t>Also haben wir hier einen kompletten Parallelbildungsweg , auf dem junge Menschen genauso lernen , was es bedeutet , ein guter Spieler zu sein , wie alles andere , was sie in der Schule lernen .</t>
  </si>
  <si>
    <t>file://conllu/de/teddy-1124.conllu#s98_0</t>
  </si>
  <si>
    <t>99</t>
  </si>
  <si>
    <t>lesen</t>
  </si>
  <si>
    <t>Und vielleicht haben einige von Ihnen das neue Buch von Malcolm Gladwell , &amp;quot; Überflieger &amp;quot; , gelesen .</t>
  </si>
  <si>
    <t>file://conllu/de/teddy-1124.conllu#s99_0</t>
  </si>
  <si>
    <t>100</t>
  </si>
  <si>
    <t>Also kennen Sie seine Theorie des Erfolgs , die Theorie des Erfolgs der 10.000 Stunden .</t>
  </si>
  <si>
    <t>file://conllu/de/teddy-1124.conllu#s100_0</t>
  </si>
  <si>
    <t>101</t>
  </si>
  <si>
    <t>basieren</t>
  </si>
  <si>
    <t>Sie basiert auf der großartigen Forschung der Kognitivwissenschaft , dass , wenn wir 10.000 Stunden mit dem mühsamen Studium eines beliebigen Themas bis zum zu dem 21.</t>
  </si>
  <si>
    <t>file://conllu/de/teddy-1124.conllu#s101_0</t>
  </si>
  <si>
    <t>102</t>
  </si>
  <si>
    <t>Lebensjahr verbringen , werden wir zu Meistern darin .</t>
  </si>
  <si>
    <t>file://conllu/de/teddy-1124.conllu#s102_0</t>
  </si>
  <si>
    <t>103</t>
  </si>
  <si>
    <t>werden</t>
  </si>
  <si>
    <t>Wir werden so gut darin , was auch immer zu tun , wie die bedeutendsten Menschen der Welt .</t>
  </si>
  <si>
    <t>file://conllu/de/teddy-1124.conllu#s103_0</t>
  </si>
  <si>
    <t>104</t>
  </si>
  <si>
    <t>sein (sein haben)</t>
  </si>
  <si>
    <t>Also , was wir hier haben , ist eine komplette Generation junger Menschen , die Meister Spieler sind .</t>
  </si>
  <si>
    <t>file://conllu/de/teddy-1124.conllu#s104_0</t>
  </si>
  <si>
    <t>105</t>
  </si>
  <si>
    <t>sein (sein also)</t>
  </si>
  <si>
    <t>Die große Frage ist also : &amp;quot; Worin genau sind Spieler meisterhaft gut ? &amp;quot;</t>
  </si>
  <si>
    <t>file://conllu/de/teddy-1124.conllu#s105_0</t>
  </si>
  <si>
    <t>106</t>
  </si>
  <si>
    <t>Denn wenn wir das herausfinden könnten , hätten wir quasi vorher nie da gewesenes menschliches Potenzial zur zu der Verfügung .</t>
  </si>
  <si>
    <t>file://conllu/de/teddy-1124.conllu#s106_0</t>
  </si>
  <si>
    <t>107</t>
  </si>
  <si>
    <t>derzeit</t>
  </si>
  <si>
    <t>So viele Menschen haben wir derzeit in der Welt , die mindestens eine Stunde pro Tag mit Online Spielen verbringen .</t>
  </si>
  <si>
    <t>file://conllu/de/teddy-1124.conllu#s107_0</t>
  </si>
  <si>
    <t>108</t>
  </si>
  <si>
    <t>Dies sind unsere Meister Spieler .</t>
  </si>
  <si>
    <t>file://conllu/de/teddy-1124.conllu#s108_0</t>
  </si>
  <si>
    <t>109</t>
  </si>
  <si>
    <t>Mensch</t>
  </si>
  <si>
    <t>500 Millionen Menschen , die außergewöhnlich gut in &amp;quot; Etwas &amp;quot; sind .</t>
  </si>
  <si>
    <t>file://conllu/de/teddy-1124.conllu#s109_0</t>
  </si>
  <si>
    <t>110</t>
  </si>
  <si>
    <t>Und im in dem nächsten Jahrzehnt haben wir eine weitere Milliarde Spieler , die außergewöhnlich gut in was auch immer sind .</t>
  </si>
  <si>
    <t>file://conllu/de/teddy-1124.conllu#s110_0</t>
  </si>
  <si>
    <t>111</t>
  </si>
  <si>
    <t>arbeiten</t>
  </si>
  <si>
    <t>Falls Sie es noch nicht gehört haben , die Spieleindustrie entwickelt Konsolen , die Energie sparen und auf Mobilfunknetzen arbeiten , statt dem Breitband Internet , damit Spieler auf der ganzen Welt , besonders in Indien , China , Brasilien online spielen können .</t>
  </si>
  <si>
    <t>file://conllu/de/teddy-1124.conllu#s111_0</t>
  </si>
  <si>
    <t>112</t>
  </si>
  <si>
    <t>erwarten</t>
  </si>
  <si>
    <t>Man erwartet eine zusätzliche Milliarde Spieler im in dem nächsten Jahrzehnt .</t>
  </si>
  <si>
    <t>file://conllu/de/teddy-1124.conllu#s112_0</t>
  </si>
  <si>
    <t>113</t>
  </si>
  <si>
    <t>Damit haben wir insgesamt 1,5 Milliarden Spieler .</t>
  </si>
  <si>
    <t>file://conllu/de/teddy-1124.conllu#s113_0</t>
  </si>
  <si>
    <t>114</t>
  </si>
  <si>
    <t>angefangen</t>
  </si>
  <si>
    <t>Also habe ich angefangen , zu überlegen , was es ist , worin uns diese Spiele zu Meistern machen .</t>
  </si>
  <si>
    <t>file://conllu/de/teddy-1124.conllu#s114_0</t>
  </si>
  <si>
    <t>115</t>
  </si>
  <si>
    <t>sein (sein finden)</t>
  </si>
  <si>
    <t>Hier sind die 4 Dinge die ich fand .</t>
  </si>
  <si>
    <t>file://conllu/de/teddy-1124.conllu#s115_0</t>
  </si>
  <si>
    <t>116</t>
  </si>
  <si>
    <t>erst</t>
  </si>
  <si>
    <t>Als Erstes : Dringlichkeits Optimismus .</t>
  </si>
  <si>
    <t>file://conllu/de/teddy-1124.conllu#s116_0</t>
  </si>
  <si>
    <t>117</t>
  </si>
  <si>
    <t>OK , stellen Sie sich das wie extreme Selbstmotivierung vor .</t>
  </si>
  <si>
    <t>file://conllu/de/teddy-1124.conllu#s117_0</t>
  </si>
  <si>
    <t>118</t>
  </si>
  <si>
    <t>sein (sein Verlangen)</t>
  </si>
  <si>
    <t>Dringlichkeits Optimismus ist das Verlangen , sofort etwas zu tun , eine Hürde zu meistern , zusammen mit dem Glauben , dass wir eine begründete Hoffnung auf Erfolg haben .</t>
  </si>
  <si>
    <t>file://conllu/de/teddy-1124.conllu#s118_0</t>
  </si>
  <si>
    <t>119</t>
  </si>
  <si>
    <t>Spieler glauben immer daran , dass ein epischer Sieg möglich ist , und dass es sich immer lohnt , es zu versuchen , und zwar gleich .</t>
  </si>
  <si>
    <t>file://conllu/de/teddy-1124.conllu#s119_0</t>
  </si>
  <si>
    <t>120</t>
  </si>
  <si>
    <t>Spieler sitzen nicht herum .</t>
  </si>
  <si>
    <t>file://conllu/de/teddy-1124.conllu#s120_0</t>
  </si>
  <si>
    <t>121</t>
  </si>
  <si>
    <t>sein (sein Meister)</t>
  </si>
  <si>
    <t>Spieler sind Meister im in dem Spinnen dichter sozialer Netze .</t>
  </si>
  <si>
    <t>file://conllu/de/teddy-1124.conllu#s121_0</t>
  </si>
  <si>
    <t>122</t>
  </si>
  <si>
    <t>Es gibt eine Menge interessanter Untersuchungen , die zeigen , das wir Leute mehr mögen , nachdem wir mit ihnen gespielt haben , selbst wenn sie uns übel besiegt haben .</t>
  </si>
  <si>
    <t>file://conllu/de/teddy-1124.conllu#s122_0</t>
  </si>
  <si>
    <t>123</t>
  </si>
  <si>
    <t>sein (sein dafür)</t>
  </si>
  <si>
    <t>Der Grund dafür ist , dass es eine Menge Vertrauen erfordert , mit jemandem ein Spiel zu spielen .</t>
  </si>
  <si>
    <t>file://conllu/de/teddy-1124.conllu#s123_0</t>
  </si>
  <si>
    <t>124</t>
  </si>
  <si>
    <t>vertrauen</t>
  </si>
  <si>
    <t>Wir vertrauen darauf , dass jemand Zeit mit uns verbringt , dass die Regeln eingehalten werden , dass wir das gleiche Ziel haben und bis zum zu dem Spielende dabei bleiben .</t>
  </si>
  <si>
    <t>file://conllu/de/teddy-1124.conllu#s124_0</t>
  </si>
  <si>
    <t>125</t>
  </si>
  <si>
    <t>ermöglichen</t>
  </si>
  <si>
    <t>Also ermöglicht das Zusammenspielen das Wachsen von Bindungen , Vertrauen und Miteinander .</t>
  </si>
  <si>
    <t>file://conllu/de/teddy-1124.conllu#s125_0</t>
  </si>
  <si>
    <t>126</t>
  </si>
  <si>
    <t>bauen</t>
  </si>
  <si>
    <t>Als Folge davon bauen wir stärkere soziale Beziehungen auf .</t>
  </si>
  <si>
    <t>file://conllu/de/teddy-1124.conllu#s126_0</t>
  </si>
  <si>
    <t>127</t>
  </si>
  <si>
    <t>Produktivität</t>
  </si>
  <si>
    <t>Glückselige Produktivität .</t>
  </si>
  <si>
    <t>file://conllu/de/teddy-1124.conllu#s127_0</t>
  </si>
  <si>
    <t>128</t>
  </si>
  <si>
    <t>Fantastisch</t>
  </si>
  <si>
    <t>Fantastisch !</t>
  </si>
  <si>
    <t>file://conllu/de/teddy-1124.conllu#s128_0</t>
  </si>
  <si>
    <t>129</t>
  </si>
  <si>
    <t>wissen</t>
  </si>
  <si>
    <t>Wissen Sie , es gibt einen Grund , warum der Durchschnitts Word of Warcraft Spieler 22 Stunden pro Woche spielt , sozusagen als Teilzeitjob .</t>
  </si>
  <si>
    <t>file://conllu/de/teddy-1124.conllu#s129_0</t>
  </si>
  <si>
    <t>130</t>
  </si>
  <si>
    <t>Der Grund ist , dass , wenn wir spielen , sind wir tatsächlich glücklicher dabei , hart zu arbeiten , als wenn wir uns entspannen oder nichts tun .</t>
  </si>
  <si>
    <t>file://conllu/de/teddy-1124.conllu#s130_0</t>
  </si>
  <si>
    <t>131</t>
  </si>
  <si>
    <t>Wir wissen , dass wir als menschliche Wesen optimal funktionieren , wenn wir harte , bedeutende Arbeit erledigen .</t>
  </si>
  <si>
    <t>file://conllu/de/teddy-1124.conllu#s131_0</t>
  </si>
  <si>
    <t>132</t>
  </si>
  <si>
    <t>sein (sein bereit)</t>
  </si>
  <si>
    <t>Und Spieler sind immer bereit , hart zu arbeiten , wenn sie die richtige Aufgabe erhalten .</t>
  </si>
  <si>
    <t>file://conllu/de/teddy-1124.conllu#s132_0</t>
  </si>
  <si>
    <t>133</t>
  </si>
  <si>
    <t>Bedeutung</t>
  </si>
  <si>
    <t>Und letztendlich , epische Bedeutung .</t>
  </si>
  <si>
    <t>file://conllu/de/teddy-1124.conllu#s133_0</t>
  </si>
  <si>
    <t>134</t>
  </si>
  <si>
    <t>lieben</t>
  </si>
  <si>
    <t>Spieler lieben es , Teil Ehrfurcht gebietender Missionen planetarer Ausmaße zu werden .</t>
  </si>
  <si>
    <t>file://conllu/de/teddy-1124.conllu#s134_0</t>
  </si>
  <si>
    <t>135</t>
  </si>
  <si>
    <t>Hintergrundinformation</t>
  </si>
  <si>
    <t>Hier eine Hintergrundinformation , um das ins in das rechte Licht zu rücken .</t>
  </si>
  <si>
    <t>file://conllu/de/teddy-1124.conllu#s135_0</t>
  </si>
  <si>
    <t>136</t>
  </si>
  <si>
    <t>Sie kennen bestimmt alle Wikipedia , das größte Wiki der Welt .</t>
  </si>
  <si>
    <t>file://conllu/de/teddy-1124.conllu#s136_0</t>
  </si>
  <si>
    <t>137</t>
  </si>
  <si>
    <t>sein (sein World)</t>
  </si>
  <si>
    <t>Das zweitgrößte Wiki der Welt , mit fast 80.000 Einträgen ist das World of Warcraft Wiki .</t>
  </si>
  <si>
    <t>file://conllu/de/teddy-1124.conllu#s137_0</t>
  </si>
  <si>
    <t>138</t>
  </si>
  <si>
    <t>benutzen</t>
  </si>
  <si>
    <t>Fünf Millionen Menschen benutzen es jeden Monat .</t>
  </si>
  <si>
    <t>file://conllu/de/teddy-1124.conllu#s138_0</t>
  </si>
  <si>
    <t>139</t>
  </si>
  <si>
    <t>Sie haben mehr Informationen über World of Warcraft im in dem Internet zusammengetragen als über irgendein anderes Thema in jedem anderen Wiki der Welt .</t>
  </si>
  <si>
    <t>file://conllu/de/teddy-1124.conllu#s139_0</t>
  </si>
  <si>
    <t>140</t>
  </si>
  <si>
    <t>erschaffen</t>
  </si>
  <si>
    <t>Sie erschaffen eine epische Geschichte .</t>
  </si>
  <si>
    <t>file://conllu/de/teddy-1124.conllu#s140_0</t>
  </si>
  <si>
    <t>141</t>
  </si>
  <si>
    <t>Sie erschaffen eine epische Quelle des Wissens über die World of Warcraft .</t>
  </si>
  <si>
    <t>file://conllu/de/teddy-1124.conllu#s141_0</t>
  </si>
  <si>
    <t>142</t>
  </si>
  <si>
    <t>OK , das sind also vier Superkräfte , die zu einem einzigen Ergebnis führen .</t>
  </si>
  <si>
    <t>file://conllu/de/teddy-1124.conllu#s142_0</t>
  </si>
  <si>
    <t>143</t>
  </si>
  <si>
    <t>sein (sein mächtig)</t>
  </si>
  <si>
    <t>Spieler sind super mächtige , hoffnungsvolle Individuen .</t>
  </si>
  <si>
    <t>file://conllu/de/teddy-1124.conllu#s143_0</t>
  </si>
  <si>
    <t>144</t>
  </si>
  <si>
    <t>sein (sein Mensch)</t>
  </si>
  <si>
    <t>Es sind Menschen , die glauben , dass sie als Einzelne die Welt verändern können .</t>
  </si>
  <si>
    <t>file://conllu/de/teddy-1124.conllu#s144_0</t>
  </si>
  <si>
    <t>145</t>
  </si>
  <si>
    <t>Und das einzige Problem ist , dass sie glauben , sie können die virtuellen Welten ändern , aber nicht die reale .</t>
  </si>
  <si>
    <t>file://conllu/de/teddy-1124.conllu#s145_0</t>
  </si>
  <si>
    <t>146</t>
  </si>
  <si>
    <t>Das ist das Problem , das ich zu lösen versuche .</t>
  </si>
  <si>
    <t>file://conllu/de/teddy-1124.conllu#s146_0</t>
  </si>
  <si>
    <t>147</t>
  </si>
  <si>
    <t>sein (sein Volkswissenschaftler)</t>
  </si>
  <si>
    <t>Edward Castronova ist ein Volkswissenschaftler .</t>
  </si>
  <si>
    <t>file://conllu/de/teddy-1124.conllu#s147_0</t>
  </si>
  <si>
    <t>148</t>
  </si>
  <si>
    <t>sein (sein genial)</t>
  </si>
  <si>
    <t>Seine Arbeit ist genial .</t>
  </si>
  <si>
    <t>file://conllu/de/teddy-1124.conllu#s148_0</t>
  </si>
  <si>
    <t>149</t>
  </si>
  <si>
    <t>untersuchen</t>
  </si>
  <si>
    <t>Er untersucht , warum Menschen so viel Zeit , Energie und Geld in Online Welten verbringen .</t>
  </si>
  <si>
    <t>file://conllu/de/teddy-1124.conllu#s149_0</t>
  </si>
  <si>
    <t>150</t>
  </si>
  <si>
    <t>sagen</t>
  </si>
  <si>
    <t>Und er sagt : &amp;quot; Wir werden Zeugen von nicht weniger als einer Massenemigration in virtuelle Welten und Online Spielumgebungen . &amp;quot;</t>
  </si>
  <si>
    <t>file://conllu/de/teddy-1124.conllu#s150_0</t>
  </si>
  <si>
    <t>151</t>
  </si>
  <si>
    <t>der</t>
  </si>
  <si>
    <t>Und das von einem Ökonom .</t>
  </si>
  <si>
    <t>file://conllu/de/teddy-1124.conllu#s151_0</t>
  </si>
  <si>
    <t>152</t>
  </si>
  <si>
    <t>sein (sein logisch)</t>
  </si>
  <si>
    <t>Also ist er logisch .</t>
  </si>
  <si>
    <t>file://conllu/de/teddy-1124.conllu#s152_0</t>
  </si>
  <si>
    <t>153</t>
  </si>
  <si>
    <t>Und er sagt ...</t>
  </si>
  <si>
    <t>file://conllu/de/teddy-1124.conllu#s153_0</t>
  </si>
  <si>
    <t>154</t>
  </si>
  <si>
    <t>Gelächter</t>
  </si>
  <si>
    <t>( Gelächter ) Nicht so wie ich ... ich entwickle Spiele , ich bin etwas überschwänglich .</t>
  </si>
  <si>
    <t>file://conllu/de/teddy-1124.conllu#s154_0</t>
  </si>
  <si>
    <t>155</t>
  </si>
  <si>
    <t>Also er sagt , das ergibt tatsächlich Sinn , denn Spieler können in Online Welten mehr erreichen als im in dem echten Leben .</t>
  </si>
  <si>
    <t>file://conllu/de/teddy-1124.conllu#s155_0</t>
  </si>
  <si>
    <t>156</t>
  </si>
  <si>
    <t>knüpfen</t>
  </si>
  <si>
    <t>Sie können in Spielen stärkere soziale Bindungen knüpfen als im in dem echten Leben .</t>
  </si>
  <si>
    <t>file://conllu/de/teddy-1124.conllu#s156_0</t>
  </si>
  <si>
    <t>157</t>
  </si>
  <si>
    <t>Sie bekommen mehr Rückmeldung und Belohnungen in Spielen als im in dem echten Leben .</t>
  </si>
  <si>
    <t>file://conllu/de/teddy-1124.conllu#s157_0</t>
  </si>
  <si>
    <t>158</t>
  </si>
  <si>
    <t>Also , er sagt , es ist derzeit vollkommen logisch , dass Spieler mehr Zeit in der virtuellen Welt als in der echten verbringen .</t>
  </si>
  <si>
    <t>file://conllu/de/teddy-1124.conllu#s158_0</t>
  </si>
  <si>
    <t>159</t>
  </si>
  <si>
    <t>stimmen</t>
  </si>
  <si>
    <t>Ich stimme erst mal zu , das ist logisch .</t>
  </si>
  <si>
    <t>file://conllu/de/teddy-1124.conllu#s159_0</t>
  </si>
  <si>
    <t>160</t>
  </si>
  <si>
    <t>sein (sein Optimalsituation)</t>
  </si>
  <si>
    <t>Aber es ist definitiv keine Optimalsituation .</t>
  </si>
  <si>
    <t>file://conllu/de/teddy-1124.conllu#s160_0</t>
  </si>
  <si>
    <t>161</t>
  </si>
  <si>
    <t>anfangen</t>
  </si>
  <si>
    <t>Wir müssen anfangen , die echte Welt in ein Spiel zu verwandeln .</t>
  </si>
  <si>
    <t>file://conllu/de/teddy-1124.conllu#s161_0</t>
  </si>
  <si>
    <t>162</t>
  </si>
  <si>
    <t>kommen</t>
  </si>
  <si>
    <t>Meine Inspiration kommt von einem Ereignis , das 2.500 Jahre zurückliegt .</t>
  </si>
  <si>
    <t>file://conllu/de/teddy-1124.conllu#s162_0</t>
  </si>
  <si>
    <t>163</t>
  </si>
  <si>
    <t>Es gibt diese antiken Würfel , aus Schafsknöcheln .</t>
  </si>
  <si>
    <t>file://conllu/de/teddy-1124.conllu#s163_0</t>
  </si>
  <si>
    <t>164</t>
  </si>
  <si>
    <t>Wissen Sie ?</t>
  </si>
  <si>
    <t>file://conllu/de/teddy-1124.conllu#s164_0</t>
  </si>
  <si>
    <t>165</t>
  </si>
  <si>
    <t>Vor diesen fantastischen Spielecontrollern gab es Schafsknöchel .</t>
  </si>
  <si>
    <t>file://conllu/de/teddy-1124.conllu#s165_0</t>
  </si>
  <si>
    <t>166</t>
  </si>
  <si>
    <t>sein (sein Spielgerat)</t>
  </si>
  <si>
    <t>Und das waren sozusagen die ersten von Menschen entwickelten Spielgeräte .</t>
  </si>
  <si>
    <t>file://conllu/de/teddy-1124.conllu#s166_0</t>
  </si>
  <si>
    <t>167</t>
  </si>
  <si>
    <t>Und wenn Sie mit den Werken des alten griechischen Historikers Herodotus vertraut sind , kennen Sie vielleicht diese Geschichte .</t>
  </si>
  <si>
    <t>file://conllu/de/teddy-1124.conllu#s167_0</t>
  </si>
  <si>
    <t>168</t>
  </si>
  <si>
    <t>Geschichte</t>
  </si>
  <si>
    <t>Die Geschichte darüber , wie und warum Spiele erfunden wurden .</t>
  </si>
  <si>
    <t>file://conllu/de/teddy-1124.conllu#s168_0</t>
  </si>
  <si>
    <t>169</t>
  </si>
  <si>
    <t>erfinden</t>
  </si>
  <si>
    <t>Laut Herodotus wurden Spiele , genauer Würfelspiele , im in dem Königreich Lydien während einer Hungersnot erfunden .</t>
  </si>
  <si>
    <t>file://conllu/de/teddy-1124.conllu#s169_0</t>
  </si>
  <si>
    <t>170</t>
  </si>
  <si>
    <t>Angeblich gab es eine solch große Hungersnot , dass der König von Lydien sich zu einer verrückten Idee entschloss .</t>
  </si>
  <si>
    <t>file://conllu/de/teddy-1124.conllu#s170_0</t>
  </si>
  <si>
    <t>171</t>
  </si>
  <si>
    <t>leiden</t>
  </si>
  <si>
    <t>Die Menschen litten .</t>
  </si>
  <si>
    <t>file://conllu/de/teddy-1124.conllu#s171_0</t>
  </si>
  <si>
    <t>172</t>
  </si>
  <si>
    <t>kämpfen</t>
  </si>
  <si>
    <t>Die Menschen kämpften .</t>
  </si>
  <si>
    <t>file://conllu/de/teddy-1124.conllu#s172_0</t>
  </si>
  <si>
    <t>173</t>
  </si>
  <si>
    <t>sein (sein Situation)</t>
  </si>
  <si>
    <t>Es war eine extreme Situation .</t>
  </si>
  <si>
    <t>file://conllu/de/teddy-1124.conllu#s173_0</t>
  </si>
  <si>
    <t>174</t>
  </si>
  <si>
    <t>brauchen</t>
  </si>
  <si>
    <t>Man brauchte eine extreme Lösung .</t>
  </si>
  <si>
    <t>file://conllu/de/teddy-1124.conllu#s174_0</t>
  </si>
  <si>
    <t>175</t>
  </si>
  <si>
    <t>erfanden</t>
  </si>
  <si>
    <t>Also erfanden sie , laut Herodotus , das Würfelspiel und vereinbarten eine nationale Strategie .</t>
  </si>
  <si>
    <t>file://conllu/de/teddy-1124.conllu#s175_0</t>
  </si>
  <si>
    <t>176</t>
  </si>
  <si>
    <t>essen</t>
  </si>
  <si>
    <t>An einem Tag würde man essen .</t>
  </si>
  <si>
    <t>file://conllu/de/teddy-1124.conllu#s176_0</t>
  </si>
  <si>
    <t>178</t>
  </si>
  <si>
    <t>vertiefen</t>
  </si>
  <si>
    <t>Und sie würden so sehr in das Würfelspiel vertieft sein , da Spiele so faszinierend sind und uns mit befriedigender , glückseliger Produktivität umgeben , dass sie vergessen würden , dass es nichts zu essen gab .</t>
  </si>
  <si>
    <t>file://conllu/de/teddy-1124.conllu#s178_0</t>
  </si>
  <si>
    <t>179</t>
  </si>
  <si>
    <t>spielen</t>
  </si>
  <si>
    <t>Und dann , am an dem nächsten Tag würde man spielen .</t>
  </si>
  <si>
    <t>file://conllu/de/teddy-1124.conllu#s179_0</t>
  </si>
  <si>
    <t>180</t>
  </si>
  <si>
    <t>Und am an dem nächsten Tag würde man essen .</t>
  </si>
  <si>
    <t>file://conllu/de/teddy-1124.conllu#s180_0</t>
  </si>
  <si>
    <t>181</t>
  </si>
  <si>
    <t>überleben</t>
  </si>
  <si>
    <t>Und laut Herodotus überlebten sie so 18 Jahre lang diese Hungersnot , indem sie an einem Tag aßen und am an dem nächsten spielten .</t>
  </si>
  <si>
    <t>file://conllu/de/teddy-1124.conllu#s181_0</t>
  </si>
  <si>
    <t>182</t>
  </si>
  <si>
    <t>Genauso , denke ich , setzen wir heute Spiele ein .</t>
  </si>
  <si>
    <t>file://conllu/de/teddy-1124.conllu#s182_0</t>
  </si>
  <si>
    <t>183</t>
  </si>
  <si>
    <t>setzen</t>
  </si>
  <si>
    <t>Wir setzen Spiele ein , um dem Leiden der echten Welt zu entkommen .</t>
  </si>
  <si>
    <t>file://conllu/de/teddy-1124.conllu#s183_0</t>
  </si>
  <si>
    <t>184</t>
  </si>
  <si>
    <t>Wir setzen Spiele ein , um allem zu entgehen , das in der echten Welt nicht funktioniert , allem das im in dem echten Leben nicht befriedigend ist , und wir holen uns was wir brauchen aus den Spielen .</t>
  </si>
  <si>
    <t>file://conllu/de/teddy-1124.conllu#s184_0</t>
  </si>
  <si>
    <t>185</t>
  </si>
  <si>
    <t>sein (sein Ende)</t>
  </si>
  <si>
    <t>Aber das muss nicht das Ende sein .</t>
  </si>
  <si>
    <t>file://conllu/de/teddy-1124.conllu#s185_0</t>
  </si>
  <si>
    <t>186</t>
  </si>
  <si>
    <t>sein (sein Spannende)</t>
  </si>
  <si>
    <t>Das ist das Spannende .</t>
  </si>
  <si>
    <t>file://conllu/de/teddy-1124.conllu#s186_0</t>
  </si>
  <si>
    <t>187</t>
  </si>
  <si>
    <t>gut</t>
  </si>
  <si>
    <t>Laut Herodotus wurde nach 18 Jahren die Hungersnot nicht besser .</t>
  </si>
  <si>
    <t>file://conllu/de/teddy-1124.conllu#s187_0</t>
  </si>
  <si>
    <t>188</t>
  </si>
  <si>
    <t>beschließen</t>
  </si>
  <si>
    <t>Also beschloss der König , ein letztes Würfelspiel anzusetzen .</t>
  </si>
  <si>
    <t>file://conllu/de/teddy-1124.conllu#s188_0</t>
  </si>
  <si>
    <t>189</t>
  </si>
  <si>
    <t>teilen</t>
  </si>
  <si>
    <t>Sie teilten das Königreich in zwei Hälften .</t>
  </si>
  <si>
    <t>file://conllu/de/teddy-1124.conllu#s189_0</t>
  </si>
  <si>
    <t>190</t>
  </si>
  <si>
    <t>Sie spielten ein Würfelspiel und die Sieger durften zu einem epischen Abenteuer aufbrechen .</t>
  </si>
  <si>
    <t>file://conllu/de/teddy-1124.conllu#s190_0</t>
  </si>
  <si>
    <t>191</t>
  </si>
  <si>
    <t>verlassen</t>
  </si>
  <si>
    <t>Sie verließen Lydien und machten sich auf die Suche nach einer neuen Heimat .</t>
  </si>
  <si>
    <t>file://conllu/de/teddy-1124.conllu#s191_0</t>
  </si>
  <si>
    <t>192</t>
  </si>
  <si>
    <t>lassen</t>
  </si>
  <si>
    <t>Sie ließen gerade so viele Menschen zurück , wie es Lebensmittel zum zu dem Überleben gab und suchten mit dem Rest nach einer Gegend , in der sie gedeihen konnten .</t>
  </si>
  <si>
    <t>file://conllu/de/teddy-1124.conllu#s192_0</t>
  </si>
  <si>
    <t>193</t>
  </si>
  <si>
    <t>verrückt</t>
  </si>
  <si>
    <t>Das klingt verrückt , oder ?</t>
  </si>
  <si>
    <t>file://conllu/de/teddy-1124.conllu#s193_0</t>
  </si>
  <si>
    <t>194</t>
  </si>
  <si>
    <t>Aber neueste DNA Beweise zeigen , dass die Etrusker , die später das römische Reich bildeten , die gleiche DNA wie die alten Lydier aufweisen .</t>
  </si>
  <si>
    <t>file://conllu/de/teddy-1124.conllu#s194_0</t>
  </si>
  <si>
    <t>195</t>
  </si>
  <si>
    <t>Daher kamen Wissenschaftler kürzlich zur zu der Auffassung , dass Herodotus ' verrückte Geschichte tatsächlich stimmt .</t>
  </si>
  <si>
    <t>file://conllu/de/teddy-1124.conllu#s195_0</t>
  </si>
  <si>
    <t>196</t>
  </si>
  <si>
    <t>erklären (erklären finden)</t>
  </si>
  <si>
    <t>Und Geologen fanden Beweise einer globalen Abkühlung , die fast 20 Jahre dauerte , was die Hungersnot erklären könnte .</t>
  </si>
  <si>
    <t>file://conllu/de/teddy-1124.conllu#s196_0</t>
  </si>
  <si>
    <t>197</t>
  </si>
  <si>
    <t>Also könnte diese verrückte Geschichte stimmen .</t>
  </si>
  <si>
    <t>file://conllu/de/teddy-1124.conllu#s197_0</t>
  </si>
  <si>
    <t>198</t>
  </si>
  <si>
    <t>Durch?</t>
  </si>
  <si>
    <t>retten</t>
  </si>
  <si>
    <t>Vielleicht haben sie tatsächlich ihr Volk durch Spielen gerettet , indem sie sich 18 Jahre lang in Spiele geflüchtet haben und dann diese Eingebung hatten und so viel über das Miteinander spielen lernten , dass sie dadurch die gesamte Zivilisation gerettet haben .</t>
  </si>
  <si>
    <t>file://conllu/de/teddy-1124.conllu#s198_0</t>
  </si>
  <si>
    <t>199</t>
  </si>
  <si>
    <t>also</t>
  </si>
  <si>
    <t>Also , das können wir auch .</t>
  </si>
  <si>
    <t>file://conllu/de/teddy-1124.conllu#s199_0</t>
  </si>
  <si>
    <t>200</t>
  </si>
  <si>
    <t>Wir spielen seit 1994 Warcraft .</t>
  </si>
  <si>
    <t>file://conllu/de/teddy-1124.conllu#s200_0</t>
  </si>
  <si>
    <t>201</t>
  </si>
  <si>
    <t>sein (sein Strategiespiel)</t>
  </si>
  <si>
    <t>Das war das erste Strategiespiel in Echtzeit der World of Warcraft Serie .</t>
  </si>
  <si>
    <t>file://conllu/de/teddy-1124.conllu#s201_0</t>
  </si>
  <si>
    <t>202</t>
  </si>
  <si>
    <t>Das war vor 16 Jahren .</t>
  </si>
  <si>
    <t>file://conllu/de/teddy-1124.conllu#s202_0</t>
  </si>
  <si>
    <t>203</t>
  </si>
  <si>
    <t>Sie spielten 18 Jahre lang Würfelspiele , wir spielen seit 16 Jahren Warcraft .</t>
  </si>
  <si>
    <t>file://conllu/de/teddy-1124.conllu#s203_0</t>
  </si>
  <si>
    <t>204</t>
  </si>
  <si>
    <t>behaupen</t>
  </si>
  <si>
    <t>Ich behaupte , wir sind bereit für unser eigenes episches Spiel .</t>
  </si>
  <si>
    <t>file://conllu/de/teddy-1124.conllu#s204_0</t>
  </si>
  <si>
    <t>205</t>
  </si>
  <si>
    <t>schicken</t>
  </si>
  <si>
    <t>Also , sie schickten die Hälfte ihrer Zivilisation auf die Suche nach einer neuen Welt .</t>
  </si>
  <si>
    <t>file://conllu/de/teddy-1124.conllu#s205_0</t>
  </si>
  <si>
    <t>206</t>
  </si>
  <si>
    <t>nehmen</t>
  </si>
  <si>
    <t>Daher nehme ich meine 21 Milliarden Spielstunden pro Woche .</t>
  </si>
  <si>
    <t>file://conllu/de/teddy-1124.conllu#s206_0</t>
  </si>
  <si>
    <t>207</t>
  </si>
  <si>
    <t>übereinkommen</t>
  </si>
  <si>
    <t>Wir sollten darin übereinkommen , dass die Hälfte von uns eine Stunde pro Tag mit Spielen verbringt , bis wir die Probleme der echten Welt gelöst haben .</t>
  </si>
  <si>
    <t>file://conllu/de/teddy-1124.conllu#s207_0</t>
  </si>
  <si>
    <t>208</t>
  </si>
  <si>
    <t>Ich weiß , Sie werden fragen : &amp;quot; Wie lösen wir Probleme der echten Welt in Spielen ? &amp;quot;</t>
  </si>
  <si>
    <t>file://conllu/de/teddy-1124.conllu#s208_0</t>
  </si>
  <si>
    <t>209</t>
  </si>
  <si>
    <t>widmen</t>
  </si>
  <si>
    <t>Und genau dieser Frage habe ich meine Arbeit in den letzten Jahren am an dem Institut für die Zukunft gewidmet .</t>
  </si>
  <si>
    <t>file://conllu/de/teddy-1124.conllu#s209_0</t>
  </si>
  <si>
    <t>210</t>
  </si>
  <si>
    <t>drücken</t>
  </si>
  <si>
    <t>Wir haben dieses Banner in unserem Büro in Palo Alto , es drückt aus wie wir die Zukunft verstehen sollten .</t>
  </si>
  <si>
    <t>file://conllu/de/teddy-1124.conllu#s210_0</t>
  </si>
  <si>
    <t>211</t>
  </si>
  <si>
    <t>sagen (sagen versuchen)</t>
  </si>
  <si>
    <t>Wir wollen nicht versuchen , die Zukunft vorher zu sagen .</t>
  </si>
  <si>
    <t>file://conllu/de/teddy-1124.conllu#s211_0</t>
  </si>
  <si>
    <t>212</t>
  </si>
  <si>
    <t>Was wir wollen , ist die Zukunft zu schaffen .</t>
  </si>
  <si>
    <t>file://conllu/de/teddy-1124.conllu#s212_0</t>
  </si>
  <si>
    <t>213</t>
  </si>
  <si>
    <t>vorstellen</t>
  </si>
  <si>
    <t>Wir wollen uns das bestmögliche Ergebnis vorstellen .</t>
  </si>
  <si>
    <t>file://conllu/de/teddy-1124.conllu#s213_0</t>
  </si>
  <si>
    <t>214</t>
  </si>
  <si>
    <t>ermächtigen</t>
  </si>
  <si>
    <t>Und dann Menschen dazu ermächtigen , diese Vorstellung in die Realität umzusetzen .</t>
  </si>
  <si>
    <t>file://conllu/de/teddy-1124.conllu#s214_0</t>
  </si>
  <si>
    <t>215</t>
  </si>
  <si>
    <t>Wir stellen uns epische Siege vor und geben Menschen die Möglichkeiten , sie zu erreichen .</t>
  </si>
  <si>
    <t>file://conllu/de/teddy-1124.conllu#s215_0</t>
  </si>
  <si>
    <t>216</t>
  </si>
  <si>
    <t>Ich zeige Ihnen ganz kurz drei Spiele , die ich entworfen habe , um zu versuchen , Menschen epische Siege in ihrer eigenen Zukunft zu verschaffen .</t>
  </si>
  <si>
    <t>file://conllu/de/teddy-1124.conllu#s216_0</t>
  </si>
  <si>
    <t>217</t>
  </si>
  <si>
    <t>sein (sein Welt)</t>
  </si>
  <si>
    <t>Das hier ist &amp;quot; Welt ohne Öl . &amp;quot;</t>
  </si>
  <si>
    <t>file://conllu/de/teddy-1124.conllu#s217_0</t>
  </si>
  <si>
    <t>218</t>
  </si>
  <si>
    <t>Das Spiel ist von 2007 .</t>
  </si>
  <si>
    <t>file://conllu/de/teddy-1124.conllu#s218_0</t>
  </si>
  <si>
    <t>219</t>
  </si>
  <si>
    <t>sein (sein Spiel)</t>
  </si>
  <si>
    <t>Es ist ein Online Spiel , in dem Sie eine Ölknappheit überwinden müssen .</t>
  </si>
  <si>
    <t>file://conllu/de/teddy-1124.conllu#s219_0</t>
  </si>
  <si>
    <t>220</t>
  </si>
  <si>
    <t>sein (sein erfund)</t>
  </si>
  <si>
    <t>Die Ölknappheit ist erfunden , aber wir haben genügend Online Inhalte , damit es für Sie realistisch wird und Sie Ihr echtes Leben tatsächlich ohne Öl leben .</t>
  </si>
  <si>
    <t>file://conllu/de/teddy-1124.conllu#s220_0</t>
  </si>
  <si>
    <t>221</t>
  </si>
  <si>
    <t>Also , wenn Sie sich zum zu dem Spiel anmelden , sagen Sie uns , wo Sie wohnen .</t>
  </si>
  <si>
    <t>file://conllu/de/teddy-1124.conllu#s221_0</t>
  </si>
  <si>
    <t>222</t>
  </si>
  <si>
    <t>erhalten</t>
  </si>
  <si>
    <t>Und dann erhalten Sie Nachrichten Filme in Echtzeit , die Ihnen zeigen , wie viel Öl kostet , was es nicht gibt , wie Nahrungsversorgung beeinträchtigt ist , wie Transport beeinträchtigt wird , ob Schulen geschlossen sind , ob es Aufstände gibt .</t>
  </si>
  <si>
    <t>file://conllu/de/teddy-1124.conllu#s222_0</t>
  </si>
  <si>
    <t>223</t>
  </si>
  <si>
    <t>herausfinden</t>
  </si>
  <si>
    <t>Und Sie müssen herausfinden , wie Sie Ihr echtes Leben gestalten , wenn es wahr wäre .</t>
  </si>
  <si>
    <t>file://conllu/de/teddy-1124.conllu#s223_0</t>
  </si>
  <si>
    <t>224</t>
  </si>
  <si>
    <t>bitten</t>
  </si>
  <si>
    <t>Und wir bitten Sie , darüber zu bloggen , Videos oder Photos einzustellen .</t>
  </si>
  <si>
    <t>file://conllu/de/teddy-1124.conllu#s224_0</t>
  </si>
  <si>
    <t>225</t>
  </si>
  <si>
    <t>testen</t>
  </si>
  <si>
    <t>Wir haben dieses Spiel mit 1.700 Spielern in 2007 getestet .</t>
  </si>
  <si>
    <t>file://conllu/de/teddy-1124.conllu#s225_0</t>
  </si>
  <si>
    <t>226</t>
  </si>
  <si>
    <t>begleitet</t>
  </si>
  <si>
    <t>Und wir haben sie seitdem über die letzten drei Jahre begleitet .</t>
  </si>
  <si>
    <t>file://conllu/de/teddy-1124.conllu#s226_0</t>
  </si>
  <si>
    <t>227</t>
  </si>
  <si>
    <t>Und ich kann Ihnen sagen , es war eine verändernde Erfahrung .</t>
  </si>
  <si>
    <t>file://conllu/de/teddy-1124.conllu#s227_0</t>
  </si>
  <si>
    <t>228</t>
  </si>
  <si>
    <t>ändern</t>
  </si>
  <si>
    <t>Niemand möchte sein Leben ändern , weil es gut für die Umwelt ist oder weil wir es sollten .</t>
  </si>
  <si>
    <t>file://conllu/de/teddy-1124.conllu#s228_0</t>
  </si>
  <si>
    <t>229</t>
  </si>
  <si>
    <t>sein (sein bekommen)</t>
  </si>
  <si>
    <t>Aber wenn Sie in einem epischen Abenteuer sind und gesagt bekommen : &amp;quot; Uns geht das Öl aus . &amp;quot;</t>
  </si>
  <si>
    <t>file://conllu/de/teddy-1124.conllu#s229_0</t>
  </si>
  <si>
    <t>230</t>
  </si>
  <si>
    <t>sein (sein Abenteuer)</t>
  </si>
  <si>
    <t>Das ist ein faszinierendes Abenteuer , auf das man geht .</t>
  </si>
  <si>
    <t>file://conllu/de/teddy-1124.conllu#s230_0</t>
  </si>
  <si>
    <t>231</t>
  </si>
  <si>
    <t>finden</t>
  </si>
  <si>
    <t>Finden Sie heraus , wie Sie überleben würden .</t>
  </si>
  <si>
    <t>file://conllu/de/teddy-1124.conllu#s231_0</t>
  </si>
  <si>
    <t>232</t>
  </si>
  <si>
    <t>beibehalten</t>
  </si>
  <si>
    <t>Die meisten unserer Spieler haben die im in dem Spiel gelernten Gewohnheiten beibehalten .</t>
  </si>
  <si>
    <t>file://conllu/de/teddy-1124.conllu#s232_0</t>
  </si>
  <si>
    <t>233</t>
  </si>
  <si>
    <t>stecken</t>
  </si>
  <si>
    <t>Also haben wir uns für das nächste weltrettende Spiel ein größeres , höheres Ziel gesteckt als nur Ölknappheit .</t>
  </si>
  <si>
    <t>file://conllu/de/teddy-1124.conllu#s233_0</t>
  </si>
  <si>
    <t>234</t>
  </si>
  <si>
    <t>Wir haben das Spiel &amp;quot; Superstruct &amp;quot; am an dem Institut für die Zukunft entwickelt .</t>
  </si>
  <si>
    <t>file://conllu/de/teddy-1124.conllu#s234_0</t>
  </si>
  <si>
    <t>235</t>
  </si>
  <si>
    <t>sein (sein Berechnung)</t>
  </si>
  <si>
    <t>Ausgangspunkt ist die Berechnung eines Supercomputers , dass die Menschen nur noch 23 Jahre auf dem Planeten übrig haben .</t>
  </si>
  <si>
    <t>file://conllu/de/teddy-1124.conllu#s235_0</t>
  </si>
  <si>
    <t>236</t>
  </si>
  <si>
    <t>heißen</t>
  </si>
  <si>
    <t>Dieser Supercomputer heißt &amp;quot; Globales Aussterbungs Sensibilisierungs System &amp;quot; , natürlich .</t>
  </si>
  <si>
    <t>file://conllu/de/teddy-1124.conllu#s236_0</t>
  </si>
  <si>
    <t>237</t>
  </si>
  <si>
    <t>Den Aufruf an Spieler , sich anzumelden , haben wir fast wie einen &amp;quot; Jerry Bruckheimer &amp;quot; Film gestaltet .</t>
  </si>
  <si>
    <t>file://conllu/de/teddy-1124.conllu#s237_0</t>
  </si>
  <si>
    <t>238</t>
  </si>
  <si>
    <t>Sie kennen Jerry Bruckheimer Filme , wo es das &amp;quot; Dream Team &amp;quot; gibt .</t>
  </si>
  <si>
    <t>file://conllu/de/teddy-1124.conllu#s238_0</t>
  </si>
  <si>
    <t>239</t>
  </si>
  <si>
    <t>Sie haben den Astronauten , den Wissenschaftler , den Ex Sträfling und nur zusammen können sie die Welt retten .</t>
  </si>
  <si>
    <t>file://conllu/de/teddy-1124.conllu#s239_0</t>
  </si>
  <si>
    <t>240</t>
  </si>
  <si>
    <t>Aber in unserem Spiel , anstatt von nur 5 Leuten , sagen wir , jeder ist im in dem Dream Team , und es ist unsere Aufgabe , die Zukunft für Energie , Nahrung , Gesundheit , Sicherheit und die Zukunft der sozialen Gerechtigkeit zu erschaffen .</t>
  </si>
  <si>
    <t>file://conllu/de/teddy-1124.conllu#s240_0</t>
  </si>
  <si>
    <t>241</t>
  </si>
  <si>
    <t>8.000 Spieler spielten das Spiel 8 Wochen lang .</t>
  </si>
  <si>
    <t>file://conllu/de/teddy-1124.conllu#s241_0</t>
  </si>
  <si>
    <t>242</t>
  </si>
  <si>
    <t>Sie fanden 500 unglaublich kreative Lösungen , die Sie nachlesen können , wenn Sie &amp;quot; Superstruct &amp;quot; googlen .</t>
  </si>
  <si>
    <t>file://conllu/de/teddy-1124.conllu#s242_0</t>
  </si>
  <si>
    <t>243</t>
  </si>
  <si>
    <t>bringen</t>
  </si>
  <si>
    <t>Und das letzte Spiel bringen wir am an dem 3 .</t>
  </si>
  <si>
    <t>file://conllu/de/teddy-1124.conllu#s243_0</t>
  </si>
  <si>
    <t>244</t>
  </si>
  <si>
    <t>März</t>
  </si>
  <si>
    <t>März heraus .</t>
  </si>
  <si>
    <t>file://conllu/de/teddy-1124.conllu#s244_0</t>
  </si>
  <si>
    <t>245</t>
  </si>
  <si>
    <t>Es ist ein Spiel in Zusammenarbeit mit der Weltbank .</t>
  </si>
  <si>
    <t>file://conllu/de/teddy-1124.conllu#s245_0</t>
  </si>
  <si>
    <t>246</t>
  </si>
  <si>
    <t>Wenn Sie das Spiel abschließen , erhalten Sie von der Weltbank die Auszeichnung &amp;quot; Sozialer Umgestalter &amp;quot; , Abschluss 2010 .</t>
  </si>
  <si>
    <t>file://conllu/de/teddy-1124.conllu#s246_0</t>
  </si>
  <si>
    <t>247</t>
  </si>
  <si>
    <t>Wir arbeiten mit Universitäten in ganz Schwarzafrika und laden sie ein , soziales Umgestalten zu lernen .</t>
  </si>
  <si>
    <t>file://conllu/de/teddy-1124.conllu#s247_0</t>
  </si>
  <si>
    <t>248</t>
  </si>
  <si>
    <t>Wir haben ein Comic dazu .</t>
  </si>
  <si>
    <t>file://conllu/de/teddy-1124.conllu#s248_0</t>
  </si>
  <si>
    <t>249</t>
  </si>
  <si>
    <t>hoch</t>
  </si>
  <si>
    <t>Wir haben &amp;quot; Level hoch &amp;quot; für regionales Verstehen , Wissensvernetzung , Nachhaltigkeit , Vision und Einfallsreichtum .</t>
  </si>
  <si>
    <t>file://conllu/de/teddy-1124.conllu#s249_0</t>
  </si>
  <si>
    <t>250</t>
  </si>
  <si>
    <t>einladen</t>
  </si>
  <si>
    <t>Ich möchte Sie alle einladen , dieses Spiel mit jungen Leuten zu teilen , überall auf der Welt , vor allem in Entwicklungsgebieten , die davon profitieren , sich zusammen ihre eigenen sozialen Unternehmungen vorzustellen , um die Welt zu retten .</t>
  </si>
  <si>
    <t>file://conllu/de/teddy-1124.conllu#s250_0</t>
  </si>
  <si>
    <t>251</t>
  </si>
  <si>
    <t>Ich komme nun zum zu dem Ende .</t>
  </si>
  <si>
    <t>file://conllu/de/teddy-1124.conllu#s251_0</t>
  </si>
  <si>
    <t>252</t>
  </si>
  <si>
    <t>fragen</t>
  </si>
  <si>
    <t>Ich möchte Sie etwas fragen .</t>
  </si>
  <si>
    <t>file://conllu/de/teddy-1124.conllu#s252_0</t>
  </si>
  <si>
    <t>253</t>
  </si>
  <si>
    <t>Was , glauben Sie , passiert als Nächstes ?</t>
  </si>
  <si>
    <t>file://conllu/de/teddy-1124.conllu#s253_0</t>
  </si>
  <si>
    <t>254</t>
  </si>
  <si>
    <t>fantastischen</t>
  </si>
  <si>
    <t>Wir haben all diese fantastischen Spieler , wir haben Spiele , die uns zeigen , was wir tun können , aber wir haben die echte Welt noch nicht gerettet .</t>
  </si>
  <si>
    <t>file://conllu/de/teddy-1124.conllu#s254_0</t>
  </si>
  <si>
    <t>255</t>
  </si>
  <si>
    <t>hoffen</t>
  </si>
  <si>
    <t>Tja , ich hoffe , dass Sie mir darin zustimmen , dass Spieler menschliche Ressourcen sind , die wir zur zu der Arbeit im in dem echten Leben einsetzen können , und dass Spiele eine große Bedeutung für Veränderung haben .</t>
  </si>
  <si>
    <t>file://conllu/de/teddy-1124.conllu#s255_0</t>
  </si>
  <si>
    <t>256</t>
  </si>
  <si>
    <t>Superkraft</t>
  </si>
  <si>
    <t>Wir haben diese ganzen Superkräfte , glückselige Produktivität , die Fähigkeit , enge soziale Netze zu knüpfen , Dringlichkeits Optimismus und das Verlangen nach epischer Bedeutung .</t>
  </si>
  <si>
    <t>file://conllu/de/teddy-1124.conllu#s256_0</t>
  </si>
  <si>
    <t>257</t>
  </si>
  <si>
    <t>Ich hoffe wirklich , dass wir zusammen bedeutende Spiele spielen , um auf diesem Planeten ein weiteres Jahrhundert zu überleben .</t>
  </si>
  <si>
    <t>file://conllu/de/teddy-1124.conllu#s257_0</t>
  </si>
  <si>
    <t>258</t>
  </si>
  <si>
    <t>Und ich hoffe , Sie werden mit mir solche Spielen entwerfen und spielen .</t>
  </si>
  <si>
    <t>file://conllu/de/teddy-1124.conllu#s258_0</t>
  </si>
  <si>
    <t>259</t>
  </si>
  <si>
    <t>Wenn ich ins in das nächste Jahrzehnt vorausschaue , bin ich mir bei zwei Dingen sicher : dass wir jede vorstellbare Zukunft erschaffen können , und dass wir alle möglichen Spiele spielen können .</t>
  </si>
  <si>
    <t>file://conllu/de/teddy-1124.conllu#s259_0</t>
  </si>
  <si>
    <t>260</t>
  </si>
  <si>
    <t>Also sage ich , lasst die weltverändernden Spiele beginnen !</t>
  </si>
  <si>
    <t>file://conllu/de/teddy-1124.conllu#s260_0</t>
  </si>
  <si>
    <t>261</t>
  </si>
  <si>
    <t>Dankeschön</t>
  </si>
  <si>
    <t>Dankeschön .</t>
  </si>
  <si>
    <t>file://conllu/de/teddy-1124.conllu#s261_0</t>
  </si>
  <si>
    <t>262</t>
  </si>
  <si>
    <t>Beifall</t>
  </si>
  <si>
    <t>( Beifall )</t>
  </si>
  <si>
    <t>file://conllu/de/teddy-1124.conllu#s262_0</t>
  </si>
  <si>
    <t>WORD</t>
  </si>
  <si>
    <t>GR</t>
  </si>
  <si>
    <t>NP_TYPE</t>
  </si>
  <si>
    <t>REF_AUTO</t>
  </si>
  <si>
    <t>COREF</t>
  </si>
  <si>
    <t>REF</t>
  </si>
  <si>
    <t>IS</t>
  </si>
  <si>
    <t>CB</t>
  </si>
  <si>
    <t>GR_ANTE</t>
  </si>
  <si>
    <t>REF_DIST</t>
  </si>
  <si>
    <t>REF_DIST_ANTE</t>
  </si>
  <si>
    <t># text = Ich bin Jane McGonigal.</t>
  </si>
  <si>
    <t>Ich</t>
  </si>
  <si>
    <t>SBJ</t>
  </si>
  <si>
    <t>pron.pper</t>
  </si>
  <si>
    <t>?OLD</t>
  </si>
  <si>
    <t>bin</t>
  </si>
  <si>
    <t>Jane</t>
  </si>
  <si>
    <t>other</t>
  </si>
  <si>
    <t>ne</t>
  </si>
  <si>
    <t>McGonigal</t>
  </si>
  <si>
    <t>.</t>
  </si>
  <si>
    <t># text = Ich entwerfe Computerspiele.</t>
  </si>
  <si>
    <t>entwerfe</t>
  </si>
  <si>
    <t>Computerspiele</t>
  </si>
  <si>
    <t>OBJ</t>
  </si>
  <si>
    <t>indef-np.bare</t>
  </si>
  <si>
    <t># text = Ich entwickle jetzt seit 10 Jahren Online-Spiele.</t>
  </si>
  <si>
    <t>entwickle</t>
  </si>
  <si>
    <t>jetzt</t>
  </si>
  <si>
    <t>seit</t>
  </si>
  <si>
    <t>Jahren</t>
  </si>
  <si>
    <t>indef-np.quant</t>
  </si>
  <si>
    <t>Online</t>
  </si>
  <si>
    <t>Spiele</t>
  </si>
  <si>
    <t># text = Und mein Ziel für das nächste Jahrzehnt ist, es genauso leicht zu machen, die Welt in der Realität zu retten, wie sie in Online-Spielen zu retten ist.</t>
  </si>
  <si>
    <t>Und</t>
  </si>
  <si>
    <t>mein</t>
  </si>
  <si>
    <t>other_2</t>
  </si>
  <si>
    <t>pron.ppos</t>
  </si>
  <si>
    <t>Ziel</t>
  </si>
  <si>
    <t>für</t>
  </si>
  <si>
    <t>das</t>
  </si>
  <si>
    <t>nächste</t>
  </si>
  <si>
    <t>Jahrzehnt</t>
  </si>
  <si>
    <t>def-np.the</t>
  </si>
  <si>
    <t>ist</t>
  </si>
  <si>
    <t>,</t>
  </si>
  <si>
    <t>es</t>
  </si>
  <si>
    <t>SBJ_2</t>
  </si>
  <si>
    <t>genauso</t>
  </si>
  <si>
    <t>leicht</t>
  </si>
  <si>
    <t>zu</t>
  </si>
  <si>
    <t>machen</t>
  </si>
  <si>
    <t>die</t>
  </si>
  <si>
    <t>Welt</t>
  </si>
  <si>
    <t>OBJ_3</t>
  </si>
  <si>
    <t>in</t>
  </si>
  <si>
    <t>Realität</t>
  </si>
  <si>
    <t>other_3</t>
  </si>
  <si>
    <t>wie</t>
  </si>
  <si>
    <t>sie</t>
  </si>
  <si>
    <t>pron</t>
  </si>
  <si>
    <t>Spielen</t>
  </si>
  <si>
    <t># text = Ich habe einen Plan dafür.</t>
  </si>
  <si>
    <t>habe</t>
  </si>
  <si>
    <t>einen</t>
  </si>
  <si>
    <t>Plan</t>
  </si>
  <si>
    <t>indef-np.a</t>
  </si>
  <si>
    <t>dafür</t>
  </si>
  <si>
    <t># text = Ich möchte mehr Menschen überzeugen, einschließlich Ihnen allen, mehr Zeit mit dem Spielen größerer und tollerer Spiele zu verbringen.</t>
  </si>
  <si>
    <t>möchte</t>
  </si>
  <si>
    <t>mehr</t>
  </si>
  <si>
    <t>Menschen</t>
  </si>
  <si>
    <t>einschließlich</t>
  </si>
  <si>
    <t>Ihnen</t>
  </si>
  <si>
    <t>allen</t>
  </si>
  <si>
    <t>pron.pind</t>
  </si>
  <si>
    <t>OBJ_2</t>
  </si>
  <si>
    <t>mit</t>
  </si>
  <si>
    <t>dem</t>
  </si>
  <si>
    <t>größerer</t>
  </si>
  <si>
    <t>tollerer</t>
  </si>
  <si>
    <t>other_4</t>
  </si>
  <si>
    <t># text = Derzeit verbringen wir 3 Milliarden Stunden pro Woche mit Online-Spielen.</t>
  </si>
  <si>
    <t>Derzeit</t>
  </si>
  <si>
    <t>wir</t>
  </si>
  <si>
    <t>Milliarden</t>
  </si>
  <si>
    <t>Stunden</t>
  </si>
  <si>
    <t>pro</t>
  </si>
  <si>
    <t>Woche</t>
  </si>
  <si>
    <t>--</t>
  </si>
  <si>
    <t># text = Einige von Ihnen denken vielleicht: \"Das ist eine ganze Menge Zeit für Spiele.\"</t>
  </si>
  <si>
    <t>Einige</t>
  </si>
  <si>
    <t>von</t>
  </si>
  <si>
    <t>vielleicht</t>
  </si>
  <si>
    <t>:</t>
  </si>
  <si>
    <t>&amp;quot;</t>
  </si>
  <si>
    <t>Das</t>
  </si>
  <si>
    <t>pron.pds</t>
  </si>
  <si>
    <t>eine</t>
  </si>
  <si>
    <t>ganze</t>
  </si>
  <si>
    <t>Menge</t>
  </si>
  <si>
    <t># text = Vielleicht etwas zu viel Zeit, wenn man bedenkt wie viele Probleme wir dringend in der realen Welt zu lösen haben.</t>
  </si>
  <si>
    <t>Vielleicht</t>
  </si>
  <si>
    <t>etwas</t>
  </si>
  <si>
    <t>viel</t>
  </si>
  <si>
    <t>wenn</t>
  </si>
  <si>
    <t>man</t>
  </si>
  <si>
    <t>bedenkt</t>
  </si>
  <si>
    <t>viele</t>
  </si>
  <si>
    <t>Probleme</t>
  </si>
  <si>
    <t>SBJ_3</t>
  </si>
  <si>
    <t>dringend</t>
  </si>
  <si>
    <t>realen</t>
  </si>
  <si>
    <t>lösen</t>
  </si>
  <si>
    <t># text = Tatsächlich aber, meiner Forschung am Institut für die Zukunft zufolge, ist genau das Gegenteil zutreffend.</t>
  </si>
  <si>
    <t>Tatsächlich</t>
  </si>
  <si>
    <t>aber</t>
  </si>
  <si>
    <t>meiner</t>
  </si>
  <si>
    <t>Forschung</t>
  </si>
  <si>
    <t>an</t>
  </si>
  <si>
    <t>Institut</t>
  </si>
  <si>
    <t>Zukunft</t>
  </si>
  <si>
    <t>zufolge</t>
  </si>
  <si>
    <t>genau</t>
  </si>
  <si>
    <t>Gegenteil</t>
  </si>
  <si>
    <t>zutreffend</t>
  </si>
  <si>
    <t># text = Drei Milliarden Stunden pro Woche sind nicht annähernd genug, um die dringendsten Probleme der Welt zu lösen.</t>
  </si>
  <si>
    <t>Drei</t>
  </si>
  <si>
    <t>sind</t>
  </si>
  <si>
    <t>nicht</t>
  </si>
  <si>
    <t>annähernd</t>
  </si>
  <si>
    <t>genug</t>
  </si>
  <si>
    <t>um</t>
  </si>
  <si>
    <t>dringendsten</t>
  </si>
  <si>
    <t># text = Tatsächlich bin ich überzeugt, dass, wenn wir das nächste Jahrhundert auf diesem Planeten überleben wollen, wir diese Zeit drastisch erhöhen müssen.</t>
  </si>
  <si>
    <t>ich</t>
  </si>
  <si>
    <t>überzeugt</t>
  </si>
  <si>
    <t>dass</t>
  </si>
  <si>
    <t>Jahrhundert</t>
  </si>
  <si>
    <t>auf</t>
  </si>
  <si>
    <t>diesem</t>
  </si>
  <si>
    <t>Planeten</t>
  </si>
  <si>
    <t>def-np.dem</t>
  </si>
  <si>
    <t>wollen</t>
  </si>
  <si>
    <t>diese</t>
  </si>
  <si>
    <t>drastisch</t>
  </si>
  <si>
    <t>erhöhen</t>
  </si>
  <si>
    <t>müssen</t>
  </si>
  <si>
    <t># text = Ich habe berechnet, dass die benötigte Zeit bei 21 Milliarden Stunden Spielzeit pro Woche liegt.</t>
  </si>
  <si>
    <t>berechnet</t>
  </si>
  <si>
    <t>benötigte</t>
  </si>
  <si>
    <t>bei</t>
  </si>
  <si>
    <t>Spielzeit</t>
  </si>
  <si>
    <t>liegt</t>
  </si>
  <si>
    <t># text = Das erscheint zuerst vielleicht etwas abwegig, also wiederhole ich es, damit es wirken kann:</t>
  </si>
  <si>
    <t>erscheint</t>
  </si>
  <si>
    <t>abwegig</t>
  </si>
  <si>
    <t>wiederhole</t>
  </si>
  <si>
    <t>damit</t>
  </si>
  <si>
    <t>wirken</t>
  </si>
  <si>
    <t>kann</t>
  </si>
  <si>
    <t># text = Wenn wir Probleme wie Hunger, Armut, Klimawandel, globale Konflikte und Fettleibigkeit lösen wollen, glaube ich, müssen wir versuchen, Spiele online für mindestens 21 Milliarden Stunden pro Woche bis zum Ende des nächsten Jahrzehnts zu spielen.</t>
  </si>
  <si>
    <t>Wenn</t>
  </si>
  <si>
    <t>Hunger</t>
  </si>
  <si>
    <t>Armut</t>
  </si>
  <si>
    <t>Klimawandel</t>
  </si>
  <si>
    <t>globale</t>
  </si>
  <si>
    <t>Konflikte</t>
  </si>
  <si>
    <t>Fettleibigkeit</t>
  </si>
  <si>
    <t>glaube</t>
  </si>
  <si>
    <t>versuchen</t>
  </si>
  <si>
    <t>online</t>
  </si>
  <si>
    <t>mindestens</t>
  </si>
  <si>
    <t>bis</t>
  </si>
  <si>
    <t>Ende</t>
  </si>
  <si>
    <t>des</t>
  </si>
  <si>
    <t>nächsten</t>
  </si>
  <si>
    <t>Jahrzehnts</t>
  </si>
  <si>
    <t># text = (Gelächter) Nein, ich meine es wirklich ernst.</t>
  </si>
  <si>
    <t>(</t>
  </si>
  <si>
    <t>)</t>
  </si>
  <si>
    <t>Nein</t>
  </si>
  <si>
    <t>meine</t>
  </si>
  <si>
    <t>wirklich</t>
  </si>
  <si>
    <t>ernst</t>
  </si>
  <si>
    <t># text = Warum?</t>
  </si>
  <si>
    <t>Warum</t>
  </si>
  <si>
    <t>pron.pint</t>
  </si>
  <si>
    <t>?</t>
  </si>
  <si>
    <t># text = Dieses Bild beschreibt ziemlich genau, warum ich glaube, dass Spiele so unerlässlich für das Überleben der menschlichen Spezies in der Zukunft sind.</t>
  </si>
  <si>
    <t>Dieses</t>
  </si>
  <si>
    <t>Bild</t>
  </si>
  <si>
    <t>beschreibt</t>
  </si>
  <si>
    <t>ziemlich</t>
  </si>
  <si>
    <t>so</t>
  </si>
  <si>
    <t>unerlässlich</t>
  </si>
  <si>
    <t>Überleben</t>
  </si>
  <si>
    <t>menschlichen</t>
  </si>
  <si>
    <t>Spezies</t>
  </si>
  <si>
    <t>other_5</t>
  </si>
  <si>
    <t># text = (Gelächter) Ernsthaft.</t>
  </si>
  <si>
    <t>Ernsthaft</t>
  </si>
  <si>
    <t># text = Dies ist ein Porträt des Fotografen Phil Toledano.</t>
  </si>
  <si>
    <t>Dies</t>
  </si>
  <si>
    <t>ein</t>
  </si>
  <si>
    <t>Porträt</t>
  </si>
  <si>
    <t>Fotografen</t>
  </si>
  <si>
    <t>Phil</t>
  </si>
  <si>
    <t>Toledano</t>
  </si>
  <si>
    <t># text = Er wollte die Gefühle beim Spielen einfangen.</t>
  </si>
  <si>
    <t>Er</t>
  </si>
  <si>
    <t>wollte</t>
  </si>
  <si>
    <t>Gefühle</t>
  </si>
  <si>
    <t># text = Also hat er vor den Spielern eine Kamera aufgebaut.</t>
  </si>
  <si>
    <t>Also</t>
  </si>
  <si>
    <t>hat</t>
  </si>
  <si>
    <t>er</t>
  </si>
  <si>
    <t>vor</t>
  </si>
  <si>
    <t>den</t>
  </si>
  <si>
    <t>Spielern</t>
  </si>
  <si>
    <t>Kamera</t>
  </si>
  <si>
    <t>aufgebaut</t>
  </si>
  <si>
    <t># text = Dies ist einer der klassischen Ausdrücke beim Spielen.</t>
  </si>
  <si>
    <t>einer</t>
  </si>
  <si>
    <t>klassischen</t>
  </si>
  <si>
    <t>Ausdrücke</t>
  </si>
  <si>
    <t># text = Wenn Sie kein Spieler sind, entgehen Ihnen vielleicht einige der Nuancen in diesem Bild.</t>
  </si>
  <si>
    <t>Sie</t>
  </si>
  <si>
    <t>kein</t>
  </si>
  <si>
    <t>Spieler</t>
  </si>
  <si>
    <t>einige</t>
  </si>
  <si>
    <t>Nuancen</t>
  </si>
  <si>
    <t># text = Sie sehen wahrscheinlich dieses Gespür für Dringlichkeit, etwas Angst, aber auch äußerste Konzentration, ganz vertieft in das Lösen eines echt schwierigen Problems.</t>
  </si>
  <si>
    <t>wahrscheinlich</t>
  </si>
  <si>
    <t>dieses</t>
  </si>
  <si>
    <t>Gespür</t>
  </si>
  <si>
    <t>Dringlichkeit</t>
  </si>
  <si>
    <t>Angst</t>
  </si>
  <si>
    <t>auch</t>
  </si>
  <si>
    <t>äußerste</t>
  </si>
  <si>
    <t>Konzentration</t>
  </si>
  <si>
    <t>ganz</t>
  </si>
  <si>
    <t>vertieft</t>
  </si>
  <si>
    <t>Lösen</t>
  </si>
  <si>
    <t>eines</t>
  </si>
  <si>
    <t>echt</t>
  </si>
  <si>
    <t>schwierigen</t>
  </si>
  <si>
    <t>Problems</t>
  </si>
  <si>
    <t># text = Wenn Sie auch spielen, sehen Sie einige Nuancen hier, die nach oben gezogenen Augen und der Mund sind ein Zeichen von Optimismus.</t>
  </si>
  <si>
    <t>hier</t>
  </si>
  <si>
    <t>nach</t>
  </si>
  <si>
    <t>oben</t>
  </si>
  <si>
    <t>gezogenen</t>
  </si>
  <si>
    <t>Augen</t>
  </si>
  <si>
    <t>Mund</t>
  </si>
  <si>
    <t>SBJ_4</t>
  </si>
  <si>
    <t>Zeichen</t>
  </si>
  <si>
    <t>Optimismus</t>
  </si>
  <si>
    <t># text = Die Augenbrauen zeigen Überraschung.</t>
  </si>
  <si>
    <t>Die</t>
  </si>
  <si>
    <t>Augenbrauen</t>
  </si>
  <si>
    <t>Überraschung</t>
  </si>
  <si>
    <t># text = Dies ist ein Spieler, der am Rande eines sogenannten epischen Sieges steht.</t>
  </si>
  <si>
    <t>Rande</t>
  </si>
  <si>
    <t>sogenannten</t>
  </si>
  <si>
    <t>epischen</t>
  </si>
  <si>
    <t>Sieges</t>
  </si>
  <si>
    <t>steht</t>
  </si>
  <si>
    <t># text = (Gelächter) Oh, Sie kennen das.</t>
  </si>
  <si>
    <t>Oh</t>
  </si>
  <si>
    <t># text = OK.</t>
  </si>
  <si>
    <t># text = Prima.</t>
  </si>
  <si>
    <t>Prima</t>
  </si>
  <si>
    <t># text = Also haben wir einige Spieler hier.</t>
  </si>
  <si>
    <t># text = Ein epischer Sieg ist ein Ergebnis, das so überaus positiv ist, dass Sie vorher gar nicht wussten, dass es überhaupt möglich war.</t>
  </si>
  <si>
    <t>Ein</t>
  </si>
  <si>
    <t>epischer</t>
  </si>
  <si>
    <t>Sieg</t>
  </si>
  <si>
    <t>Ergebnis</t>
  </si>
  <si>
    <t>überaus</t>
  </si>
  <si>
    <t>positiv</t>
  </si>
  <si>
    <t>vorher</t>
  </si>
  <si>
    <t>gar</t>
  </si>
  <si>
    <t>wussten</t>
  </si>
  <si>
    <t>überhaupt</t>
  </si>
  <si>
    <t>möglich</t>
  </si>
  <si>
    <t>war</t>
  </si>
  <si>
    <t># text = Es war beinah jenseits der Vorstellungskraft.</t>
  </si>
  <si>
    <t>Es</t>
  </si>
  <si>
    <t>beinah</t>
  </si>
  <si>
    <t>jenseits</t>
  </si>
  <si>
    <t>Vorstellungskraft</t>
  </si>
  <si>
    <t># text = Und wenn Sie es erreichen, sind Sie schockiert, dass Sie tatsächlich zu so etwas fähig sind.</t>
  </si>
  <si>
    <t>schockiert</t>
  </si>
  <si>
    <t>tatsächlich</t>
  </si>
  <si>
    <t>fähig</t>
  </si>
  <si>
    <t># text = Das ist ein epischer Sieg.</t>
  </si>
  <si>
    <t># text = Dieser Spieler steht kurz vor einem epischen Sieg.</t>
  </si>
  <si>
    <t>Dieser</t>
  </si>
  <si>
    <t>kurz</t>
  </si>
  <si>
    <t>einem</t>
  </si>
  <si>
    <t># text = Und dies ist es, was wir auf Millionen Gesichtern von Problemlösern auf der ganzen Welt sehen müssen, wenn wir die Hürden des nächsten Jahrhunderts in Angriff nehmen.</t>
  </si>
  <si>
    <t>dies</t>
  </si>
  <si>
    <t>was</t>
  </si>
  <si>
    <t>Millionen</t>
  </si>
  <si>
    <t>Gesichtern</t>
  </si>
  <si>
    <t>Problemlösern</t>
  </si>
  <si>
    <t>ganzen</t>
  </si>
  <si>
    <t>Hürden</t>
  </si>
  <si>
    <t>Jahrhunderts</t>
  </si>
  <si>
    <t>Angriff</t>
  </si>
  <si>
    <t># text = Das Gesicht derer, die entgegen aller Widrigkeiten am Rande eines epischen Sieges stehen.</t>
  </si>
  <si>
    <t>Gesicht</t>
  </si>
  <si>
    <t>derer</t>
  </si>
  <si>
    <t>entgegen</t>
  </si>
  <si>
    <t>aller</t>
  </si>
  <si>
    <t>Widrigkeiten</t>
  </si>
  <si>
    <t># text = Tja, leider sehen wir eher dieses Gesicht im echten Leben, wenn wir schwierigen Problemen begegnen.</t>
  </si>
  <si>
    <t>Tja</t>
  </si>
  <si>
    <t>leider</t>
  </si>
  <si>
    <t>eher</t>
  </si>
  <si>
    <t>echten</t>
  </si>
  <si>
    <t>Leben</t>
  </si>
  <si>
    <t>Problemen</t>
  </si>
  <si>
    <t>begegnen</t>
  </si>
  <si>
    <t># text = Ich bezeichne es als das "In Leben bin ich schlecht"-Gesicht.</t>
  </si>
  <si>
    <t>als</t>
  </si>
  <si>
    <t>In</t>
  </si>
  <si>
    <t>schlecht</t>
  </si>
  <si>
    <t># text = Und es ist tatsächlich mein Gesicht, sehen Sie?</t>
  </si>
  <si>
    <t># text = Ja?</t>
  </si>
  <si>
    <t># text = Das bin ich, wie ich das \"In Leben bin ich schlecht\"-Gesicht mache.</t>
  </si>
  <si>
    <t>mache</t>
  </si>
  <si>
    <t># text = Dies ist ein Graffiti in meiner ehemaligen Heimat in Berkeley, Kalifornien, wo ich in meiner Doktorarbeit untersuchte warum wir in Spielen besser sind als im echten Leben.</t>
  </si>
  <si>
    <t>Graffiti</t>
  </si>
  <si>
    <t>ehemaligen</t>
  </si>
  <si>
    <t>Heimat</t>
  </si>
  <si>
    <t>indef-np</t>
  </si>
  <si>
    <t>Berkeley</t>
  </si>
  <si>
    <t>Kalifornien</t>
  </si>
  <si>
    <t>wo</t>
  </si>
  <si>
    <t>Doktorarbeit</t>
  </si>
  <si>
    <t>untersuchte</t>
  </si>
  <si>
    <t>besser</t>
  </si>
  <si>
    <t># text = Das ist ein Problem, das viele Spieler haben.</t>
  </si>
  <si>
    <t>Problem</t>
  </si>
  <si>
    <t># text = Wir denken, dass wir in der Realität nicht so gut sind wie in Spielen.</t>
  </si>
  <si>
    <t>Wir</t>
  </si>
  <si>
    <t># text = Und ich meine nicht nur weniger erfolgreich, obwohl das dazu gehört.</t>
  </si>
  <si>
    <t>nur</t>
  </si>
  <si>
    <t>weniger</t>
  </si>
  <si>
    <t>obwohl</t>
  </si>
  <si>
    <t>dazu</t>
  </si>
  <si>
    <t>pron.padv</t>
  </si>
  <si>
    <t>gehört</t>
  </si>
  <si>
    <t># text = Wir erreichen in Spielwelten mehr.</t>
  </si>
  <si>
    <t>Spielwelten</t>
  </si>
  <si>
    <t># text = Ich meine gut im Zusammenhang mit der Motivation, etwas Bedeutsames zu tun, inspiriert zur Zusammenarbeit miteinander.</t>
  </si>
  <si>
    <t>Zusammenhang</t>
  </si>
  <si>
    <t>Motivation</t>
  </si>
  <si>
    <t>Bedeutsames</t>
  </si>
  <si>
    <t>tun</t>
  </si>
  <si>
    <t>inspiriert</t>
  </si>
  <si>
    <t>Zusammenarbeit</t>
  </si>
  <si>
    <t>miteinander</t>
  </si>
  <si>
    <t># text = Wenn wir in einer Spielwelt sind, glaube ich, dass viele von uns sich in unsere beste Version verwandeln, jederzeit und sofort hilfsbereit sind, hartnäckig das Problem zu lösen versuchen, so lange wie nötig, es nach dem Fehlschlag erneut probieren.</t>
  </si>
  <si>
    <t>Spielwelt</t>
  </si>
  <si>
    <t>uns</t>
  </si>
  <si>
    <t>sich</t>
  </si>
  <si>
    <t>unsere</t>
  </si>
  <si>
    <t>beste</t>
  </si>
  <si>
    <t>Version</t>
  </si>
  <si>
    <t>verwandeln</t>
  </si>
  <si>
    <t>jederzeit</t>
  </si>
  <si>
    <t>sofort</t>
  </si>
  <si>
    <t>hilfsbereit</t>
  </si>
  <si>
    <t>hartnäckig</t>
  </si>
  <si>
    <t>OBJ_4</t>
  </si>
  <si>
    <t>lange</t>
  </si>
  <si>
    <t>nötig</t>
  </si>
  <si>
    <t>Fehlschlag</t>
  </si>
  <si>
    <t>erneut</t>
  </si>
  <si>
    <t>probieren</t>
  </si>
  <si>
    <t># text = Und in der Realität, wenn wir versagen, wenn wir auf Hindernisse stoßen, fühlen wir uns oft anders.</t>
  </si>
  <si>
    <t>versagen</t>
  </si>
  <si>
    <t>Hindernisse</t>
  </si>
  <si>
    <t>stoßen</t>
  </si>
  <si>
    <t>oft</t>
  </si>
  <si>
    <t>anders</t>
  </si>
  <si>
    <t># text = Wir fühlen uns überwältigt.</t>
  </si>
  <si>
    <t>überwältigt</t>
  </si>
  <si>
    <t># text = Wir fühlen uns besiegt.</t>
  </si>
  <si>
    <t>besiegt</t>
  </si>
  <si>
    <t># text = Wir fühlen uns bedroht, vielleicht deprimiert, frustriert oder zynisch.</t>
  </si>
  <si>
    <t>bedroht</t>
  </si>
  <si>
    <t>deprimiert</t>
  </si>
  <si>
    <t>frustriert</t>
  </si>
  <si>
    <t>oder</t>
  </si>
  <si>
    <t>zynisch</t>
  </si>
  <si>
    <t># text = Diese Gefühle haben wir nie, wenn wir Spiele spielen, in Spielen gibt es sie einfach nicht.</t>
  </si>
  <si>
    <t>Diese</t>
  </si>
  <si>
    <t>nie</t>
  </si>
  <si>
    <t>gibt</t>
  </si>
  <si>
    <t># text = Und das ist es, was ich als Doktorandin untersuchen wollte.</t>
  </si>
  <si>
    <t>Doktorandin</t>
  </si>
  <si>
    <t># text = Wieso ist es in Spielen unmöglich, zu denken, man könnte nicht einfach alles erreichen?</t>
  </si>
  <si>
    <t>Wieso</t>
  </si>
  <si>
    <t>unmöglich</t>
  </si>
  <si>
    <t>könnte</t>
  </si>
  <si>
    <t>alles</t>
  </si>
  <si>
    <t># text = Wie können wir diese Gefühle aus den Spielen in die Realität übertragen?</t>
  </si>
  <si>
    <t>Wie</t>
  </si>
  <si>
    <t>können</t>
  </si>
  <si>
    <t>aus</t>
  </si>
  <si>
    <t># text = Also schaute ich mir Spiele wie World of Warcraft an, das die ideale Umgebung zum gemeinschaftlichen Problemlösen bietet.</t>
  </si>
  <si>
    <t>schaute</t>
  </si>
  <si>
    <t>mir</t>
  </si>
  <si>
    <t>World</t>
  </si>
  <si>
    <t>of</t>
  </si>
  <si>
    <t>Warcraft</t>
  </si>
  <si>
    <t>ideale</t>
  </si>
  <si>
    <t>Umgebung</t>
  </si>
  <si>
    <t>gemeinschaftlichen</t>
  </si>
  <si>
    <t>Problemlösen</t>
  </si>
  <si>
    <t>bietet</t>
  </si>
  <si>
    <t># text = Und ich habe einige Dinge festgestellt, die epische Siege in Online-Welten so möglich machen.</t>
  </si>
  <si>
    <t>Dinge</t>
  </si>
  <si>
    <t>festgestellt</t>
  </si>
  <si>
    <t>epische</t>
  </si>
  <si>
    <t>Siege</t>
  </si>
  <si>
    <t>Welten</t>
  </si>
  <si>
    <t># text = Also, zuerst, wenn Sie in eines dieser Online-Spiele einsteigen, vor allem bei World of Warcraft, gibt es eine Menge verschiedener Charaktere, die bereit sind, Ihnen eine weltrettende Mission anzuvertrauen, und zwar sofort.</t>
  </si>
  <si>
    <t>dieser</t>
  </si>
  <si>
    <t>einsteigen</t>
  </si>
  <si>
    <t>allem</t>
  </si>
  <si>
    <t>verschiedener</t>
  </si>
  <si>
    <t>Charaktere</t>
  </si>
  <si>
    <t>bereit</t>
  </si>
  <si>
    <t>OBJ_5</t>
  </si>
  <si>
    <t>weltrettende</t>
  </si>
  <si>
    <t>Mission</t>
  </si>
  <si>
    <t>anzuvertrauen</t>
  </si>
  <si>
    <t>zwar</t>
  </si>
  <si>
    <t># text = Aber nicht nur irgendeine Mission, sondern eine Mission, die perfekt zu Ihrem aktuellen Level im Spiel passt, richtig?</t>
  </si>
  <si>
    <t>Aber</t>
  </si>
  <si>
    <t>irgendeine</t>
  </si>
  <si>
    <t>sondern</t>
  </si>
  <si>
    <t>perfekt</t>
  </si>
  <si>
    <t>Ihrem</t>
  </si>
  <si>
    <t>aktuellen</t>
  </si>
  <si>
    <t>Level</t>
  </si>
  <si>
    <t>Spiel</t>
  </si>
  <si>
    <t>passt</t>
  </si>
  <si>
    <t>richtig</t>
  </si>
  <si>
    <t># text = Also schaffen Sie das.</t>
  </si>
  <si>
    <t># text = Sie bekommen niemals eine Aufgabe, die Sie nicht lösen können.</t>
  </si>
  <si>
    <t>niemals</t>
  </si>
  <si>
    <t>Aufgabe</t>
  </si>
  <si>
    <t># text = Aber immer am Rand Ihrer Fähigkeiten, also müssen Sie sich anstrengen.</t>
  </si>
  <si>
    <t>immer</t>
  </si>
  <si>
    <t>Ihrer</t>
  </si>
  <si>
    <t>Fähigkeiten</t>
  </si>
  <si>
    <t>anstrengen</t>
  </si>
  <si>
    <t># text = Aber es gibt keine Arbeitslosigkeit in World of Warcraft.</t>
  </si>
  <si>
    <t>keine</t>
  </si>
  <si>
    <t>Arbeitslosigkeit</t>
  </si>
  <si>
    <t># text = Man sitzt nicht herum und dreht Däumchen.</t>
  </si>
  <si>
    <t>Man</t>
  </si>
  <si>
    <t>sitzt</t>
  </si>
  <si>
    <t>herum</t>
  </si>
  <si>
    <t>dreht</t>
  </si>
  <si>
    <t>Däumchen</t>
  </si>
  <si>
    <t># text = Es gibt immer ganz gezielt etwas Wichtiges zu tun.</t>
  </si>
  <si>
    <t>gezielt</t>
  </si>
  <si>
    <t>Wichtiges</t>
  </si>
  <si>
    <t># text = Und es gibt haufenweise Mitarbeiter.</t>
  </si>
  <si>
    <t>haufenweise</t>
  </si>
  <si>
    <t>Mitarbeiter</t>
  </si>
  <si>
    <t># text = Wohin Sie auch gehen, Hunderttausende von Leuten, die mit Ihnen zusammenarbeiten, um Ihre epische Mission abzuschließen.</t>
  </si>
  <si>
    <t>Wohin</t>
  </si>
  <si>
    <t>Hunderttausende</t>
  </si>
  <si>
    <t>Leuten</t>
  </si>
  <si>
    <t>zusammenarbeiten</t>
  </si>
  <si>
    <t>Ihre</t>
  </si>
  <si>
    <t>other_6</t>
  </si>
  <si>
    <t>abzuschließen</t>
  </si>
  <si>
    <t># text = Das haben wir im wahren Leben nicht so einfach, dieses Gefühl, dass bei einem Fingerschnipsen haufenweise Mitarbeiter bereit stehen.</t>
  </si>
  <si>
    <t>wahren</t>
  </si>
  <si>
    <t>Gefühl</t>
  </si>
  <si>
    <t>Fingerschnipsen</t>
  </si>
  <si>
    <t># text = Außerdem gibt es diese epische Geschichte, diese inspirierende Geschichte, warum wir da sind und was wir zu tun haben.</t>
  </si>
  <si>
    <t>Außerdem</t>
  </si>
  <si>
    <t>inspirierende</t>
  </si>
  <si>
    <t>da</t>
  </si>
  <si>
    <t># text = Dann kriegen wir dieses ganze positive Feedback.</t>
  </si>
  <si>
    <t>Dann</t>
  </si>
  <si>
    <t>positive</t>
  </si>
  <si>
    <t>Feedback</t>
  </si>
  <si>
    <t># text = Sie haben bestimmt von "Level hoch" und "+1 Stärke" gehört oder "+1 Intelligenz".</t>
  </si>
  <si>
    <t>bestimmt</t>
  </si>
  <si>
    <t>+1</t>
  </si>
  <si>
    <t>Stärke</t>
  </si>
  <si>
    <t>Intelligenz</t>
  </si>
  <si>
    <t># text = Dieses konstante Feedback gibt es nicht im wahren Leben.</t>
  </si>
  <si>
    <t>konstante</t>
  </si>
  <si>
    <t># text = Wenn ich diese Bühne verlasse, habe ich nicht: +1 Sprechen und +1 verrückte Idee, +20 verrückte Idee.</t>
  </si>
  <si>
    <t>Bühne</t>
  </si>
  <si>
    <t>verlasse</t>
  </si>
  <si>
    <t>Sprechen</t>
  </si>
  <si>
    <t>verrückte</t>
  </si>
  <si>
    <t>Idee</t>
  </si>
  <si>
    <t>+20</t>
  </si>
  <si>
    <t># text = Ich bekomme im wahren Leben dieses Feedback nicht.</t>
  </si>
  <si>
    <t>bekomme</t>
  </si>
  <si>
    <t># text = Also, das Problem der Kooperations-Online-Welten wie World of Warcraft ist, dass es so befriedigend ist, jederzeit am Rande eines epischen Sieges zu stehen, dass wir lieber unsere ganze Zeit in diesen Spielwelten verbringen.</t>
  </si>
  <si>
    <t>Kooperations</t>
  </si>
  <si>
    <t>befriedigend</t>
  </si>
  <si>
    <t>lieber</t>
  </si>
  <si>
    <t>diesen</t>
  </si>
  <si>
    <t># text = Sie sind einfach besser als die Realität.</t>
  </si>
  <si>
    <t># text = Bis heute haben alle World of Warcraft-Spieler zusammen 5,93 Millionen Jahre damit verbracht, die virtuellen Probleme von Azeroth zu lösen.</t>
  </si>
  <si>
    <t>Bis</t>
  </si>
  <si>
    <t>heute</t>
  </si>
  <si>
    <t>alle</t>
  </si>
  <si>
    <t>zusammen</t>
  </si>
  <si>
    <t>5,93</t>
  </si>
  <si>
    <t>Jahre</t>
  </si>
  <si>
    <t>verbracht</t>
  </si>
  <si>
    <t>virtuellen</t>
  </si>
  <si>
    <t>Azeroth</t>
  </si>
  <si>
    <t># text = Das ist nicht unbedingt etwas Schlechtes.</t>
  </si>
  <si>
    <t>unbedingt</t>
  </si>
  <si>
    <t>Schlechtes</t>
  </si>
  <si>
    <t># text = Es klingt vielleicht übel.</t>
  </si>
  <si>
    <t>klingt</t>
  </si>
  <si>
    <t>übel</t>
  </si>
  <si>
    <t># text = Aber um es mal im Kontext zu sehen: Vor 5,93 Millionen Jahren begannen unsere ersten Primatenvorfahren aufrecht zu gehen.</t>
  </si>
  <si>
    <t>mal</t>
  </si>
  <si>
    <t>Kontext</t>
  </si>
  <si>
    <t>Vor</t>
  </si>
  <si>
    <t>begannen</t>
  </si>
  <si>
    <t>ersten</t>
  </si>
  <si>
    <t>Primatenvorfahren</t>
  </si>
  <si>
    <t>aufrecht</t>
  </si>
  <si>
    <t># text = Der erste aufrechte Primat also.</t>
  </si>
  <si>
    <t>Der</t>
  </si>
  <si>
    <t>erste</t>
  </si>
  <si>
    <t>aufrechte</t>
  </si>
  <si>
    <t># text = OK, also wenn wir darüber reden, wie viel Zeit wir derzeit mit Spielen verbringen, macht das nur Sinn, wann man sich die Zeit im Hinblick auf die Größenordnung der menschlichen Entwicklung vor Augen hält, was außerordentlich ist.</t>
  </si>
  <si>
    <t>darüber</t>
  </si>
  <si>
    <t>reden</t>
  </si>
  <si>
    <t>SBJ_5</t>
  </si>
  <si>
    <t>macht</t>
  </si>
  <si>
    <t>Sinn</t>
  </si>
  <si>
    <t>wann</t>
  </si>
  <si>
    <t>Hinblick</t>
  </si>
  <si>
    <t>Größenordnung</t>
  </si>
  <si>
    <t>Entwicklung</t>
  </si>
  <si>
    <t>hält</t>
  </si>
  <si>
    <t>außerordentlich</t>
  </si>
  <si>
    <t># text = Aber auch angebracht.</t>
  </si>
  <si>
    <t>angebracht</t>
  </si>
  <si>
    <t># text = Denn es stellt sich heraus, dass wir, indem wir diese ganze Zeit aufs Spielen verwenden, tatsächlich das verändern, wozu wir als Menschen in der Lage sind.</t>
  </si>
  <si>
    <t>Denn</t>
  </si>
  <si>
    <t>stellt</t>
  </si>
  <si>
    <t>heraus</t>
  </si>
  <si>
    <t>indem</t>
  </si>
  <si>
    <t>verwenden</t>
  </si>
  <si>
    <t>verändern</t>
  </si>
  <si>
    <t>wozu</t>
  </si>
  <si>
    <t>Lage</t>
  </si>
  <si>
    <t># text = Wir entwickeln uns zu gemeinschaftlich denkenden, herzlichen Wesen.</t>
  </si>
  <si>
    <t>gemeinschaftlich</t>
  </si>
  <si>
    <t>denkenden</t>
  </si>
  <si>
    <t>herzlichen</t>
  </si>
  <si>
    <t>Wesen</t>
  </si>
  <si>
    <t># text = Das ist die Wahrheit.</t>
  </si>
  <si>
    <t>Wahrheit</t>
  </si>
  <si>
    <t># text = Daran glaube ich.</t>
  </si>
  <si>
    <t>Daran</t>
  </si>
  <si>
    <t># text = Betrachten Sie einmal diese interessante Statistik, die kürzlich von einem Forscher der Carnegie Mellon University veröffentlicht wurde: Der durchschnittliche junge Mensch von heute in einem Land mit starker Spielkultur verbringt 10.000 Stunden mit Online-Spielen bis zum 21.</t>
  </si>
  <si>
    <t>Betrachten</t>
  </si>
  <si>
    <t>einmal</t>
  </si>
  <si>
    <t>interessante</t>
  </si>
  <si>
    <t>Statistik</t>
  </si>
  <si>
    <t>kürzlich</t>
  </si>
  <si>
    <t>Forscher</t>
  </si>
  <si>
    <t>def-np.poss</t>
  </si>
  <si>
    <t>Carnegie</t>
  </si>
  <si>
    <t>Mellon</t>
  </si>
  <si>
    <t>University</t>
  </si>
  <si>
    <t>veröffentlicht</t>
  </si>
  <si>
    <t>wurde</t>
  </si>
  <si>
    <t>durchschnittliche</t>
  </si>
  <si>
    <t>junge</t>
  </si>
  <si>
    <t>Land</t>
  </si>
  <si>
    <t>starker</t>
  </si>
  <si>
    <t>Spielkultur</t>
  </si>
  <si>
    <t>verbringt</t>
  </si>
  <si>
    <t>10.000</t>
  </si>
  <si>
    <t>21.</t>
  </si>
  <si>
    <t># text = Lebensjahr.</t>
  </si>
  <si>
    <t># text = Also, 10.000 Stunden ist eine äußerst interessante Zahl, aus 2 Gründen:</t>
  </si>
  <si>
    <t>äußerst</t>
  </si>
  <si>
    <t>Zahl</t>
  </si>
  <si>
    <t>Gründen</t>
  </si>
  <si>
    <t># text = Zuerst einmal, für Kinder in den USA sind 10.080 Stunden die genaue Gesamtzeit, die sie in der Schule verbringen, von der 5.</t>
  </si>
  <si>
    <t>Zuerst</t>
  </si>
  <si>
    <t>Kinder</t>
  </si>
  <si>
    <t>USA</t>
  </si>
  <si>
    <t>10.080</t>
  </si>
  <si>
    <t>genaue</t>
  </si>
  <si>
    <t>Gesamtzeit</t>
  </si>
  <si>
    <t>def-np.quant</t>
  </si>
  <si>
    <t>Schule</t>
  </si>
  <si>
    <t># text = Klasse bis zum Abschluss der High School - wenn man niemals fehlt.</t>
  </si>
  <si>
    <t>Abschluss</t>
  </si>
  <si>
    <t>High</t>
  </si>
  <si>
    <t>School</t>
  </si>
  <si>
    <t>fehlt</t>
  </si>
  <si>
    <t># text = Also haben wir hier einen kompletten Parallelbildungsweg, auf dem junge Menschen genauso lernen, was es bedeutet, ein guter Spieler zu sein, wie alles andere, was sie in der Schule lernen.</t>
  </si>
  <si>
    <t>kompletten</t>
  </si>
  <si>
    <t>Parallelbildungsweg</t>
  </si>
  <si>
    <t>bedeutet</t>
  </si>
  <si>
    <t>guter</t>
  </si>
  <si>
    <t>andere</t>
  </si>
  <si>
    <t># text = Und vielleicht haben einige von Ihnen das neue Buch von Malcolm Gladwell, \"Überflieger\", gelesen.</t>
  </si>
  <si>
    <t>neue</t>
  </si>
  <si>
    <t>Buch</t>
  </si>
  <si>
    <t>Malcolm</t>
  </si>
  <si>
    <t>Gladwell</t>
  </si>
  <si>
    <t>Überflieger</t>
  </si>
  <si>
    <t>gelesen</t>
  </si>
  <si>
    <t># text = Also kennen Sie seine Theorie des Erfolgs, die Theorie des Erfolgs der 10.000 Stunden.</t>
  </si>
  <si>
    <t>seine</t>
  </si>
  <si>
    <t>Theorie</t>
  </si>
  <si>
    <t>Erfolgs</t>
  </si>
  <si>
    <t># text = Sie basiert auf der großartigen Forschung der Kognitivwissenschaft, dass, wenn wir 10.000 Stunden mit dem mühsamen Studium eines beliebigen Themas bis zum 21.</t>
  </si>
  <si>
    <t>basiert</t>
  </si>
  <si>
    <t>großartigen</t>
  </si>
  <si>
    <t>Kognitivwissenschaft</t>
  </si>
  <si>
    <t>mühsamen</t>
  </si>
  <si>
    <t>Studium</t>
  </si>
  <si>
    <t>beliebigen</t>
  </si>
  <si>
    <t>Themas</t>
  </si>
  <si>
    <t># text = Lebensjahr verbringen, werden wir zu Meistern darin.</t>
  </si>
  <si>
    <t>Meistern</t>
  </si>
  <si>
    <t>darin</t>
  </si>
  <si>
    <t># text = Wir werden so gut darin, was auch immer zu tun, wie die bedeutendsten Menschen der Welt.</t>
  </si>
  <si>
    <t>bedeutendsten</t>
  </si>
  <si>
    <t># text = Also, was wir hier haben, ist eine komplette Generation junger Menschen, die Meister-Spieler sind.</t>
  </si>
  <si>
    <t>komplette</t>
  </si>
  <si>
    <t>Generation</t>
  </si>
  <si>
    <t>junger</t>
  </si>
  <si>
    <t>Meister</t>
  </si>
  <si>
    <t># text = Die große Frage ist also: \"Worin genau sind Spieler meisterhaft gut?\"</t>
  </si>
  <si>
    <t>große</t>
  </si>
  <si>
    <t>Frage</t>
  </si>
  <si>
    <t>Worin</t>
  </si>
  <si>
    <t>meisterhaft</t>
  </si>
  <si>
    <t># text = Denn wenn wir das herausfinden könnten, hätten wir quasi vorher nie da gewesenes menschliches Potenzial zur Verfügung.</t>
  </si>
  <si>
    <t>könnten</t>
  </si>
  <si>
    <t>hätten</t>
  </si>
  <si>
    <t>quasi</t>
  </si>
  <si>
    <t>gewesenes</t>
  </si>
  <si>
    <t>menschliches</t>
  </si>
  <si>
    <t>Potenzial</t>
  </si>
  <si>
    <t>Verfügung</t>
  </si>
  <si>
    <t># text = So viele Menschen haben wir derzeit in der Welt, die mindestens eine Stunde pro Tag mit Online-Spielen verbringen.</t>
  </si>
  <si>
    <t>So</t>
  </si>
  <si>
    <t>Stunde</t>
  </si>
  <si>
    <t>Tag</t>
  </si>
  <si>
    <t># text = Dies sind unsere Meister-Spieler.</t>
  </si>
  <si>
    <t># text = 500 Millionen Menschen, die außergewöhnlich gut in "Etwas" sind.</t>
  </si>
  <si>
    <t>500</t>
  </si>
  <si>
    <t>außergewöhnlich</t>
  </si>
  <si>
    <t>Etwas</t>
  </si>
  <si>
    <t># text = Und im nächsten Jahrzehnt haben wir eine weitere Milliarde Spieler, die außergewöhnlich gut in was auch immer sind.</t>
  </si>
  <si>
    <t>weitere</t>
  </si>
  <si>
    <t>Milliarde</t>
  </si>
  <si>
    <t># text = Falls Sie es noch nicht gehört haben, die Spieleindustrie entwickelt Konsolen, die Energie sparen und auf Mobilfunknetzen arbeiten, statt dem Breitband-Internet, damit Spieler auf der ganzen Welt, besonders in Indien, China, Brasilien online spielen können.</t>
  </si>
  <si>
    <t>Falls</t>
  </si>
  <si>
    <t>noch</t>
  </si>
  <si>
    <t>Spieleindustrie</t>
  </si>
  <si>
    <t>entwickelt</t>
  </si>
  <si>
    <t>Konsolen</t>
  </si>
  <si>
    <t>Energie</t>
  </si>
  <si>
    <t>sparen</t>
  </si>
  <si>
    <t>Mobilfunknetzen</t>
  </si>
  <si>
    <t>statt</t>
  </si>
  <si>
    <t>Breitband</t>
  </si>
  <si>
    <t>Internet</t>
  </si>
  <si>
    <t>besonders</t>
  </si>
  <si>
    <t>Indien</t>
  </si>
  <si>
    <t>China</t>
  </si>
  <si>
    <t>Brasilien</t>
  </si>
  <si>
    <t># text = Man erwartet eine zusätzliche Milliarde Spieler im nächsten Jahrzehnt.</t>
  </si>
  <si>
    <t>erwartet</t>
  </si>
  <si>
    <t>zusätzliche</t>
  </si>
  <si>
    <t># text = Damit haben wir insgesamt 1,5 Milliarden Spieler.</t>
  </si>
  <si>
    <t>Damit</t>
  </si>
  <si>
    <t>insgesamt</t>
  </si>
  <si>
    <t>1,5</t>
  </si>
  <si>
    <t># text = Also habe ich angefangen, zu überlegen, was es ist, worin uns diese Spiele zu Meistern machen.</t>
  </si>
  <si>
    <t>überlegen</t>
  </si>
  <si>
    <t>worin</t>
  </si>
  <si>
    <t># text = Hier sind die 4 Dinge die ich fand.</t>
  </si>
  <si>
    <t>Hier</t>
  </si>
  <si>
    <t>fand</t>
  </si>
  <si>
    <t># text = Als Erstes: Dringlichkeits-Optimismus.</t>
  </si>
  <si>
    <t>Als</t>
  </si>
  <si>
    <t>Erstes</t>
  </si>
  <si>
    <t>Dringlichkeits</t>
  </si>
  <si>
    <t># text = OK, stellen Sie sich das wie extreme Selbstmotivierung vor.</t>
  </si>
  <si>
    <t>extreme</t>
  </si>
  <si>
    <t>Selbstmotivierung</t>
  </si>
  <si>
    <t># text = Dringlichkeits-Optimismus ist das Verlangen, sofort etwas zu tun, eine Hürde zu meistern, zusammen mit dem Glauben, dass wir eine begründete Hoffnung auf Erfolg haben.</t>
  </si>
  <si>
    <t>Verlangen</t>
  </si>
  <si>
    <t>Hürde</t>
  </si>
  <si>
    <t>meistern</t>
  </si>
  <si>
    <t>Glauben</t>
  </si>
  <si>
    <t>begründete</t>
  </si>
  <si>
    <t>Hoffnung</t>
  </si>
  <si>
    <t>Erfolg</t>
  </si>
  <si>
    <t># text = Spieler glauben immer daran, dass ein epischer Sieg möglich ist, und dass es sich immer lohnt, es zu versuchen, und zwar gleich.</t>
  </si>
  <si>
    <t>daran</t>
  </si>
  <si>
    <t>lohnt</t>
  </si>
  <si>
    <t>gleich</t>
  </si>
  <si>
    <t># text = Spieler sitzen nicht herum.</t>
  </si>
  <si>
    <t># text = Spieler sind Meister im Spinnen dichter sozialer Netze.</t>
  </si>
  <si>
    <t>Spinnen</t>
  </si>
  <si>
    <t>dichter</t>
  </si>
  <si>
    <t>sozialer</t>
  </si>
  <si>
    <t>Netze</t>
  </si>
  <si>
    <t># text = Es gibt eine Menge interessanter Untersuchungen, die zeigen, das wir Leute mehr mögen, nachdem wir mit ihnen gespielt haben, selbst wenn sie uns übel besiegt haben.</t>
  </si>
  <si>
    <t>interessanter</t>
  </si>
  <si>
    <t>Untersuchungen</t>
  </si>
  <si>
    <t>Leute</t>
  </si>
  <si>
    <t>mögen</t>
  </si>
  <si>
    <t>nachdem</t>
  </si>
  <si>
    <t>SBJ_6</t>
  </si>
  <si>
    <t>ihnen</t>
  </si>
  <si>
    <t>gespielt</t>
  </si>
  <si>
    <t>selbst</t>
  </si>
  <si>
    <t>SBJ_7</t>
  </si>
  <si>
    <t>OBJ_7</t>
  </si>
  <si>
    <t># text = Der Grund dafür ist, dass es eine Menge Vertrauen erfordert, mit jemandem ein Spiel zu spielen.</t>
  </si>
  <si>
    <t>Grund</t>
  </si>
  <si>
    <t>Vertrauen</t>
  </si>
  <si>
    <t>erfordert</t>
  </si>
  <si>
    <t>jemandem</t>
  </si>
  <si>
    <t># text = Wir vertrauen darauf, dass jemand Zeit mit uns verbringt, dass die Regeln eingehalten werden, dass wir das gleiche Ziel haben und bis zum Spielende dabei bleiben.</t>
  </si>
  <si>
    <t>darauf</t>
  </si>
  <si>
    <t>jemand</t>
  </si>
  <si>
    <t>Regeln</t>
  </si>
  <si>
    <t>eingehalten</t>
  </si>
  <si>
    <t>gleiche</t>
  </si>
  <si>
    <t>Spielende</t>
  </si>
  <si>
    <t>dabei</t>
  </si>
  <si>
    <t>bleiben</t>
  </si>
  <si>
    <t># text = Also ermöglicht das Zusammenspielen das Wachsen von Bindungen, Vertrauen und Miteinander.</t>
  </si>
  <si>
    <t>ermöglicht</t>
  </si>
  <si>
    <t>Zusammenspielen</t>
  </si>
  <si>
    <t>Wachsen</t>
  </si>
  <si>
    <t>Bindungen</t>
  </si>
  <si>
    <t>Miteinander</t>
  </si>
  <si>
    <t># text = Als Folge davon bauen wir stärkere soziale Beziehungen auf.</t>
  </si>
  <si>
    <t>Folge</t>
  </si>
  <si>
    <t>davon</t>
  </si>
  <si>
    <t>stärkere</t>
  </si>
  <si>
    <t>soziale</t>
  </si>
  <si>
    <t>Beziehungen</t>
  </si>
  <si>
    <t># text = Glückselige Produktivität.</t>
  </si>
  <si>
    <t>Glückselige</t>
  </si>
  <si>
    <t># text = Fantastisch!</t>
  </si>
  <si>
    <t>!</t>
  </si>
  <si>
    <t># text = Wissen Sie, es gibt einen Grund, warum der Durchschnitts-Word of Warcraft-Spieler 22 Stunden pro Woche spielt, sozusagen als Teilzeitjob.</t>
  </si>
  <si>
    <t>Wissen</t>
  </si>
  <si>
    <t>Durchschnitts</t>
  </si>
  <si>
    <t>Word</t>
  </si>
  <si>
    <t>spielt</t>
  </si>
  <si>
    <t>sozusagen</t>
  </si>
  <si>
    <t>Teilzeitjob</t>
  </si>
  <si>
    <t># text = Der Grund ist, dass, wenn wir spielen, sind wir tatsächlich glücklicher dabei, hart zu arbeiten, als wenn wir uns entspannen oder nichts tun.</t>
  </si>
  <si>
    <t>glücklicher</t>
  </si>
  <si>
    <t>hart</t>
  </si>
  <si>
    <t>entspannen</t>
  </si>
  <si>
    <t>nichts</t>
  </si>
  <si>
    <t># text = Wir wissen, dass wir als menschliche Wesen optimal funktionieren, wenn wir harte, bedeutende Arbeit erledigen.</t>
  </si>
  <si>
    <t>menschliche</t>
  </si>
  <si>
    <t>optimal</t>
  </si>
  <si>
    <t>funktionieren</t>
  </si>
  <si>
    <t>harte</t>
  </si>
  <si>
    <t>bedeutende</t>
  </si>
  <si>
    <t>Arbeit</t>
  </si>
  <si>
    <t>erledigen</t>
  </si>
  <si>
    <t># text = Und Spieler sind immer bereit, hart zu arbeiten, wenn sie die richtige Aufgabe erhalten.</t>
  </si>
  <si>
    <t>richtige</t>
  </si>
  <si>
    <t># text = Und letztendlich, epische Bedeutung.</t>
  </si>
  <si>
    <t>letztendlich</t>
  </si>
  <si>
    <t># text = Spieler lieben es, Teil Ehrfurcht gebietender Missionen planetarer Ausmaße zu werden.</t>
  </si>
  <si>
    <t>Teil</t>
  </si>
  <si>
    <t>Ehrfurcht</t>
  </si>
  <si>
    <t>gebietender</t>
  </si>
  <si>
    <t>Missionen</t>
  </si>
  <si>
    <t>planetarer</t>
  </si>
  <si>
    <t>Ausmaße</t>
  </si>
  <si>
    <t># text = Hier eine Hintergrundinformation, um das ins rechte Licht zu rücken.</t>
  </si>
  <si>
    <t>rechte</t>
  </si>
  <si>
    <t>Licht</t>
  </si>
  <si>
    <t>rücken</t>
  </si>
  <si>
    <t># text = Sie kennen bestimmt alle Wikipedia, das größte Wiki der Welt.</t>
  </si>
  <si>
    <t>Wikipedia</t>
  </si>
  <si>
    <t>größte</t>
  </si>
  <si>
    <t>Wiki</t>
  </si>
  <si>
    <t># text = Das zweitgrößte Wiki der Welt, mit fast 80.000 Einträgen ist das World of Warcraft Wiki.</t>
  </si>
  <si>
    <t>zweitgrößte</t>
  </si>
  <si>
    <t>fast</t>
  </si>
  <si>
    <t>80.000</t>
  </si>
  <si>
    <t>Einträgen</t>
  </si>
  <si>
    <t># text = Fünf Millionen Menschen benutzen es jeden Monat.</t>
  </si>
  <si>
    <t>Fünf</t>
  </si>
  <si>
    <t>jeden</t>
  </si>
  <si>
    <t>Monat</t>
  </si>
  <si>
    <t># text = Sie haben mehr Informationen über World of Warcraft im Internet zusammengetragen als über irgendein anderes Thema in jedem anderen Wiki der Welt.</t>
  </si>
  <si>
    <t>Informationen</t>
  </si>
  <si>
    <t>über</t>
  </si>
  <si>
    <t>zusammengetragen</t>
  </si>
  <si>
    <t>irgendein</t>
  </si>
  <si>
    <t>anderes</t>
  </si>
  <si>
    <t>Thema</t>
  </si>
  <si>
    <t>jedem</t>
  </si>
  <si>
    <t>anderen</t>
  </si>
  <si>
    <t># text = Sie erschaffen eine epische Geschichte.</t>
  </si>
  <si>
    <t># text = Sie erschaffen eine epische Quelle des Wissens über die World of Warcraft.</t>
  </si>
  <si>
    <t>Quelle</t>
  </si>
  <si>
    <t>Wissens</t>
  </si>
  <si>
    <t># text = OK, das sind also vier Superkräfte, die zu einem einzigen Ergebnis führen.</t>
  </si>
  <si>
    <t>vier</t>
  </si>
  <si>
    <t>Superkräfte</t>
  </si>
  <si>
    <t>einzigen</t>
  </si>
  <si>
    <t>führen</t>
  </si>
  <si>
    <t># text = Spieler sind super-mächtige, hoffnungsvolle Individuen.</t>
  </si>
  <si>
    <t>super</t>
  </si>
  <si>
    <t>mächtige</t>
  </si>
  <si>
    <t>hoffnungsvolle</t>
  </si>
  <si>
    <t>Individuen</t>
  </si>
  <si>
    <t># text = Es sind Menschen, die glauben, dass sie als Einzelne die Welt verändern können.</t>
  </si>
  <si>
    <t>Einzelne</t>
  </si>
  <si>
    <t># text = Und das einzige Problem ist, dass sie glauben, sie können die virtuellen Welten ändern, aber nicht die reale.</t>
  </si>
  <si>
    <t>einzige</t>
  </si>
  <si>
    <t>reale</t>
  </si>
  <si>
    <t># text = Das ist das Problem, das ich zu lösen versuche.</t>
  </si>
  <si>
    <t>versuche</t>
  </si>
  <si>
    <t># text = Edward Castronova ist ein Volkswissenschaftler.</t>
  </si>
  <si>
    <t>Edward</t>
  </si>
  <si>
    <t>Castronova</t>
  </si>
  <si>
    <t>Volkswissenschaftler</t>
  </si>
  <si>
    <t># text = Seine Arbeit ist genial.</t>
  </si>
  <si>
    <t>Seine</t>
  </si>
  <si>
    <t>genial</t>
  </si>
  <si>
    <t># text = Er untersucht, warum Menschen so viel Zeit, Energie und Geld in Online-Welten verbringen.</t>
  </si>
  <si>
    <t>untersucht</t>
  </si>
  <si>
    <t>Geld</t>
  </si>
  <si>
    <t># text = Und er sagt: \"Wir werden Zeugen von nicht weniger als einer Massenemigration in virtuelle Welten und Online-Spielumgebungen.\"</t>
  </si>
  <si>
    <t>sagt</t>
  </si>
  <si>
    <t>Zeugen</t>
  </si>
  <si>
    <t>Massenemigration</t>
  </si>
  <si>
    <t>virtuelle</t>
  </si>
  <si>
    <t>Spielumgebungen</t>
  </si>
  <si>
    <t># text = Und das von einem Ökonom.</t>
  </si>
  <si>
    <t>Ökonom</t>
  </si>
  <si>
    <t># text = Also ist er logisch.</t>
  </si>
  <si>
    <t>logisch</t>
  </si>
  <si>
    <t># text = Und er sagt ...</t>
  </si>
  <si>
    <t>...</t>
  </si>
  <si>
    <t># text = (Gelächter) Nicht so wie ich ... ich entwickle Spiele, ich bin etwas überschwänglich.</t>
  </si>
  <si>
    <t>Nicht</t>
  </si>
  <si>
    <t>überschwänglich</t>
  </si>
  <si>
    <t># text = Also er sagt, das ergibt tatsächlich Sinn, denn Spieler können in Online-Welten mehr erreichen als im echten Leben.</t>
  </si>
  <si>
    <t>ergibt</t>
  </si>
  <si>
    <t>denn</t>
  </si>
  <si>
    <t># text = Sie können in Spielen stärkere soziale Bindungen knüpfen als im echten Leben.</t>
  </si>
  <si>
    <t># text = Sie bekommen mehr Rückmeldung und Belohnungen in Spielen als im echten Leben.</t>
  </si>
  <si>
    <t>Rückmeldung</t>
  </si>
  <si>
    <t>Belohnungen</t>
  </si>
  <si>
    <t># text = Also, er sagt, es ist derzeit vollkommen logisch, dass Spieler mehr Zeit in der virtuellen Welt als in der echten verbringen.</t>
  </si>
  <si>
    <t>vollkommen</t>
  </si>
  <si>
    <t># text = Ich stimme erst mal zu, das ist logisch.</t>
  </si>
  <si>
    <t>stimme</t>
  </si>
  <si>
    <t># text = Aber es ist definitiv keine Optimalsituation.</t>
  </si>
  <si>
    <t>definitiv</t>
  </si>
  <si>
    <t>Optimalsituation</t>
  </si>
  <si>
    <t># text = Wir müssen anfangen, die echte Welt in ein Spiel zu verwandeln.</t>
  </si>
  <si>
    <t>echte</t>
  </si>
  <si>
    <t># text = Meine Inspiration kommt von einem Ereignis, das 2.500 Jahre zurückliegt.</t>
  </si>
  <si>
    <t>Meine</t>
  </si>
  <si>
    <t>Inspiration</t>
  </si>
  <si>
    <t>kommt</t>
  </si>
  <si>
    <t>Ereignis</t>
  </si>
  <si>
    <t>2.500</t>
  </si>
  <si>
    <t>zurückliegt</t>
  </si>
  <si>
    <t># text = Es gibt diese antiken Würfel, aus Schafsknöcheln.</t>
  </si>
  <si>
    <t>antiken</t>
  </si>
  <si>
    <t>Würfel</t>
  </si>
  <si>
    <t>Schafsknöcheln</t>
  </si>
  <si>
    <t># text = Wissen Sie?</t>
  </si>
  <si>
    <t># text = Vor diesen fantastischen Spielecontrollern gab es Schafsknöchel.</t>
  </si>
  <si>
    <t>Spielecontrollern</t>
  </si>
  <si>
    <t>gab</t>
  </si>
  <si>
    <t>Schafsknöchel</t>
  </si>
  <si>
    <t># text = Und das waren sozusagen die ersten von Menschen entwickelten Spielgeräte.</t>
  </si>
  <si>
    <t>waren</t>
  </si>
  <si>
    <t>entwickelten</t>
  </si>
  <si>
    <t>Spielgeräte</t>
  </si>
  <si>
    <t># text = Und wenn Sie mit den Werken des alten griechischen Historikers Herodotus vertraut sind, kennen Sie vielleicht diese Geschichte.</t>
  </si>
  <si>
    <t>Werken</t>
  </si>
  <si>
    <t>alten</t>
  </si>
  <si>
    <t>griechischen</t>
  </si>
  <si>
    <t>Historikers</t>
  </si>
  <si>
    <t>Herodotus</t>
  </si>
  <si>
    <t>vertraut</t>
  </si>
  <si>
    <t># text = Die Geschichte darüber, wie und warum Spiele erfunden wurden.</t>
  </si>
  <si>
    <t>erfunden</t>
  </si>
  <si>
    <t>wurden</t>
  </si>
  <si>
    <t># text = Laut Herodotus wurden Spiele, genauer Würfelspiele, im Königreich Lydien während einer Hungersnot erfunden.</t>
  </si>
  <si>
    <t>Laut</t>
  </si>
  <si>
    <t>genauer</t>
  </si>
  <si>
    <t>Würfelspiele</t>
  </si>
  <si>
    <t>Königreich</t>
  </si>
  <si>
    <t>Lydien</t>
  </si>
  <si>
    <t>während</t>
  </si>
  <si>
    <t>Hungersnot</t>
  </si>
  <si>
    <t># text = Angeblich gab es eine solch große Hungersnot, dass der König von Lydien sich zu einer verrückten Idee entschloss.</t>
  </si>
  <si>
    <t>Angeblich</t>
  </si>
  <si>
    <t>solch</t>
  </si>
  <si>
    <t>König</t>
  </si>
  <si>
    <t>verrückten</t>
  </si>
  <si>
    <t>entschloss</t>
  </si>
  <si>
    <t># text = Die Menschen litten.</t>
  </si>
  <si>
    <t>litten</t>
  </si>
  <si>
    <t># text = Die Menschen kämpften.</t>
  </si>
  <si>
    <t>kämpften</t>
  </si>
  <si>
    <t># text = Es war eine extreme Situation.</t>
  </si>
  <si>
    <t>Situation</t>
  </si>
  <si>
    <t># text = Man brauchte eine extreme Lösung.</t>
  </si>
  <si>
    <t>brauchte</t>
  </si>
  <si>
    <t>Lösung</t>
  </si>
  <si>
    <t># text = Also erfanden sie, laut Herodotus, das Würfelspiel und vereinbarten eine nationale Strategie.</t>
  </si>
  <si>
    <t>laut</t>
  </si>
  <si>
    <t>Würfelspiel</t>
  </si>
  <si>
    <t>vereinbarten</t>
  </si>
  <si>
    <t>nationale</t>
  </si>
  <si>
    <t>Strategie</t>
  </si>
  <si>
    <t># text = An einem Tag würde man essen.</t>
  </si>
  <si>
    <t>An</t>
  </si>
  <si>
    <t>würde</t>
  </si>
  <si>
    <t># text = Am nächsten Tag würde man spielen.</t>
  </si>
  <si>
    <t># text = Und sie würden so sehr in das Würfelspiel vertieft sein, da Spiele so faszinierend sind und uns mit befriedigender, glückseliger Produktivität umgeben, dass sie vergessen würden, dass es nichts zu essen gab.</t>
  </si>
  <si>
    <t>würden</t>
  </si>
  <si>
    <t>sehr</t>
  </si>
  <si>
    <t>faszinierend</t>
  </si>
  <si>
    <t>befriedigender</t>
  </si>
  <si>
    <t>glückseliger</t>
  </si>
  <si>
    <t>umgeben</t>
  </si>
  <si>
    <t>vergessen</t>
  </si>
  <si>
    <t># text = Und dann, am nächsten Tag würde man spielen.</t>
  </si>
  <si>
    <t>dann</t>
  </si>
  <si>
    <t># text = Und am nächsten Tag würde man essen.</t>
  </si>
  <si>
    <t># text = Und laut Herodotus überlebten sie so 18 Jahre lang diese Hungersnot, indem sie an einem Tag aßen und am nächsten spielten.</t>
  </si>
  <si>
    <t>überlebten</t>
  </si>
  <si>
    <t>lang</t>
  </si>
  <si>
    <t>aßen</t>
  </si>
  <si>
    <t>spielten</t>
  </si>
  <si>
    <t># text = Genauso, denke ich, setzen wir heute Spiele ein.</t>
  </si>
  <si>
    <t>Genauso</t>
  </si>
  <si>
    <t>denke</t>
  </si>
  <si>
    <t># text = Wir setzen Spiele ein, um dem Leiden der echten Welt zu entkommen.</t>
  </si>
  <si>
    <t>Leiden</t>
  </si>
  <si>
    <t>entkommen</t>
  </si>
  <si>
    <t># text = Wir setzen Spiele ein, um allem zu entgehen, das in der echten Welt nicht funktioniert, allem das im echten Leben nicht befriedigend ist, und wir holen uns was wir brauchen aus den Spielen.</t>
  </si>
  <si>
    <t>funktioniert</t>
  </si>
  <si>
    <t>holen</t>
  </si>
  <si>
    <t># text = Aber das muss nicht das Ende sein.</t>
  </si>
  <si>
    <t>muss</t>
  </si>
  <si>
    <t># text = Das ist das Spannende.</t>
  </si>
  <si>
    <t>Spannende</t>
  </si>
  <si>
    <t># text = Laut Herodotus wurde nach 18 Jahren die Hungersnot nicht besser.</t>
  </si>
  <si>
    <t># text = Also beschloss der König, ein letztes Würfelspiel anzusetzen.</t>
  </si>
  <si>
    <t>beschloss</t>
  </si>
  <si>
    <t>letztes</t>
  </si>
  <si>
    <t>anzusetzen</t>
  </si>
  <si>
    <t># text = Sie teilten das Königreich in zwei Hälften.</t>
  </si>
  <si>
    <t>teilten</t>
  </si>
  <si>
    <t>zwei</t>
  </si>
  <si>
    <t>Hälften</t>
  </si>
  <si>
    <t># text = Sie spielten ein Würfelspiel und die Sieger durften zu einem epischen Abenteuer aufbrechen.</t>
  </si>
  <si>
    <t>Sieger</t>
  </si>
  <si>
    <t>durften</t>
  </si>
  <si>
    <t>Abenteuer</t>
  </si>
  <si>
    <t>aufbrechen</t>
  </si>
  <si>
    <t># text = Sie verließen Lydien und machten sich auf die Suche nach einer neuen Heimat.</t>
  </si>
  <si>
    <t>verließen</t>
  </si>
  <si>
    <t>machten</t>
  </si>
  <si>
    <t>Suche</t>
  </si>
  <si>
    <t>neuen</t>
  </si>
  <si>
    <t># text = Sie ließen gerade so viele Menschen zurück, wie es Lebensmittel zum Überleben gab und suchten mit dem Rest nach einer Gegend, in der sie gedeihen konnten.</t>
  </si>
  <si>
    <t>ließen</t>
  </si>
  <si>
    <t>gerade</t>
  </si>
  <si>
    <t>zurück</t>
  </si>
  <si>
    <t>Lebensmittel</t>
  </si>
  <si>
    <t>suchten</t>
  </si>
  <si>
    <t>Rest</t>
  </si>
  <si>
    <t>Gegend</t>
  </si>
  <si>
    <t>gedeihen</t>
  </si>
  <si>
    <t>konnten</t>
  </si>
  <si>
    <t># text = Das klingt verrückt, oder?</t>
  </si>
  <si>
    <t># text = Aber neueste DNA-Beweise zeigen, dass die Etrusker, die später das römische Reich bildeten, die gleiche DNA wie die alten Lydier aufweisen.</t>
  </si>
  <si>
    <t>neueste</t>
  </si>
  <si>
    <t>DNA</t>
  </si>
  <si>
    <t>Beweise</t>
  </si>
  <si>
    <t>Etrusker</t>
  </si>
  <si>
    <t>später</t>
  </si>
  <si>
    <t>römische</t>
  </si>
  <si>
    <t>Reich</t>
  </si>
  <si>
    <t>bildeten</t>
  </si>
  <si>
    <t>Lydier</t>
  </si>
  <si>
    <t>aufweisen</t>
  </si>
  <si>
    <t># text = Daher kamen Wissenschaftler kürzlich zur Auffassung, dass Herodotus' verrückte Geschichte tatsächlich stimmt.</t>
  </si>
  <si>
    <t>Daher</t>
  </si>
  <si>
    <t>kamen</t>
  </si>
  <si>
    <t>Wissenschaftler</t>
  </si>
  <si>
    <t>Auffassung</t>
  </si>
  <si>
    <t>'</t>
  </si>
  <si>
    <t>stimmt</t>
  </si>
  <si>
    <t># text = Und Geologen fanden Beweise einer globalen Abkühlung, die fast 20 Jahre dauerte, was die Hungersnot erklären könnte.</t>
  </si>
  <si>
    <t>Geologen</t>
  </si>
  <si>
    <t>fanden</t>
  </si>
  <si>
    <t>globalen</t>
  </si>
  <si>
    <t>Abkühlung</t>
  </si>
  <si>
    <t>dauerte</t>
  </si>
  <si>
    <t>erklären</t>
  </si>
  <si>
    <t># text = Also könnte diese verrückte Geschichte stimmen.</t>
  </si>
  <si>
    <t># text = Vielleicht haben sie tatsächlich ihr Volk durch Spielen gerettet, indem sie sich 18 Jahre lang in Spiele geflüchtet haben und dann diese Eingebung hatten und so viel über das Miteinander spielen lernten, dass sie dadurch die gesamte Zivilisation gerettet haben.</t>
  </si>
  <si>
    <t>ihr</t>
  </si>
  <si>
    <t>Volk</t>
  </si>
  <si>
    <t>durch</t>
  </si>
  <si>
    <t>gerettet</t>
  </si>
  <si>
    <t>geflüchtet</t>
  </si>
  <si>
    <t>Eingebung</t>
  </si>
  <si>
    <t>hatten</t>
  </si>
  <si>
    <t>lernten</t>
  </si>
  <si>
    <t>dadurch</t>
  </si>
  <si>
    <t>gesamte</t>
  </si>
  <si>
    <t>Zivilisation</t>
  </si>
  <si>
    <t>OBJ_6</t>
  </si>
  <si>
    <t># text = Also, das können wir auch.</t>
  </si>
  <si>
    <t># text = Wir spielen seit 1994 Warcraft.</t>
  </si>
  <si>
    <t>1994</t>
  </si>
  <si>
    <t># text = Das war das erste Strategiespiel in Echtzeit der World of Warcraft-Serie.</t>
  </si>
  <si>
    <t>Strategiespiel</t>
  </si>
  <si>
    <t>Echtzeit</t>
  </si>
  <si>
    <t>Serie</t>
  </si>
  <si>
    <t># text = Das war vor 16 Jahren.</t>
  </si>
  <si>
    <t># text = Sie spielten 18 Jahre lang Würfelspiele, wir spielen seit 16 Jahren Warcraft.</t>
  </si>
  <si>
    <t># text = Ich behaupte, wir sind bereit für unser eigenes episches Spiel.</t>
  </si>
  <si>
    <t>behaupte</t>
  </si>
  <si>
    <t>unser</t>
  </si>
  <si>
    <t>eigenes</t>
  </si>
  <si>
    <t>episches</t>
  </si>
  <si>
    <t># text = Also, sie schickten die Hälfte ihrer Zivilisation auf die Suche nach einer neuen Welt.</t>
  </si>
  <si>
    <t>schickten</t>
  </si>
  <si>
    <t>Hälfte</t>
  </si>
  <si>
    <t>ihrer</t>
  </si>
  <si>
    <t># text = Daher nehme ich meine 21 Milliarden Spielstunden pro Woche.</t>
  </si>
  <si>
    <t>nehme</t>
  </si>
  <si>
    <t>Spielstunden</t>
  </si>
  <si>
    <t># text = Wir sollten darin übereinkommen, dass die Hälfte von uns eine Stunde pro Tag mit Spielen verbringt, bis wir die Probleme der echten Welt gelöst haben.</t>
  </si>
  <si>
    <t>sollten</t>
  </si>
  <si>
    <t>gelöst</t>
  </si>
  <si>
    <t># text = Ich weiß, Sie werden fragen: "Wie lösen wir Probleme der echten Welt in Spielen?"</t>
  </si>
  <si>
    <t>weiß</t>
  </si>
  <si>
    <t># text = Und genau dieser Frage habe ich meine Arbeit in den letzten Jahren am Institut für die Zukunft gewidmet.</t>
  </si>
  <si>
    <t>letzten</t>
  </si>
  <si>
    <t>gewidmet</t>
  </si>
  <si>
    <t># text = Wir haben dieses Banner in unserem Büro in Palo Alto, es drückt aus wie wir die Zukunft verstehen sollten.</t>
  </si>
  <si>
    <t>Banner</t>
  </si>
  <si>
    <t>unserem</t>
  </si>
  <si>
    <t>Büro</t>
  </si>
  <si>
    <t>Palo</t>
  </si>
  <si>
    <t>Alto</t>
  </si>
  <si>
    <t>drückt</t>
  </si>
  <si>
    <t>verstehen</t>
  </si>
  <si>
    <t># text = Wir wollen nicht versuchen, die Zukunft vorher zu sagen.</t>
  </si>
  <si>
    <t># text = Was wir wollen, ist die Zukunft zu schaffen.</t>
  </si>
  <si>
    <t>Was</t>
  </si>
  <si>
    <t># text = Wir wollen uns das bestmögliche Ergebnis vorstellen.</t>
  </si>
  <si>
    <t>bestmögliche</t>
  </si>
  <si>
    <t># text = Und dann Menschen dazu ermächtigen, diese Vorstellung in die Realität umzusetzen.</t>
  </si>
  <si>
    <t>Vorstellung</t>
  </si>
  <si>
    <t>umzusetzen</t>
  </si>
  <si>
    <t># text = Wir stellen uns epische Siege vor und geben Menschen die Möglichkeiten, sie zu erreichen.</t>
  </si>
  <si>
    <t>Möglichkeiten</t>
  </si>
  <si>
    <t># text = Ich zeige Ihnen ganz kurz drei Spiele, die ich entworfen habe, um zu versuchen, Menschen epische Siege in ihrer eigenen Zukunft zu verschaffen.</t>
  </si>
  <si>
    <t>zeige</t>
  </si>
  <si>
    <t>drei</t>
  </si>
  <si>
    <t>entworfen</t>
  </si>
  <si>
    <t>eigenen</t>
  </si>
  <si>
    <t>verschaffen</t>
  </si>
  <si>
    <t># text = Das hier ist "Welt ohne Öl."</t>
  </si>
  <si>
    <t>ohne</t>
  </si>
  <si>
    <t>Öl</t>
  </si>
  <si>
    <t># text = Das Spiel ist von 2007.</t>
  </si>
  <si>
    <t>2007</t>
  </si>
  <si>
    <t># text = Es ist ein Online-Spiel, in dem Sie eine Ölknappheit überwinden müssen.</t>
  </si>
  <si>
    <t>Ölknappheit</t>
  </si>
  <si>
    <t>überwinden</t>
  </si>
  <si>
    <t># text = Die Ölknappheit ist erfunden, aber wir haben genügend Online-Inhalte, damit es für Sie realistisch wird und Sie Ihr echtes Leben tatsächlich ohne Öl leben.</t>
  </si>
  <si>
    <t>genügend</t>
  </si>
  <si>
    <t>Inhalte</t>
  </si>
  <si>
    <t>realistisch</t>
  </si>
  <si>
    <t>wird</t>
  </si>
  <si>
    <t>Ihr</t>
  </si>
  <si>
    <t>echtes</t>
  </si>
  <si>
    <t>leben</t>
  </si>
  <si>
    <t># text = Also, wenn Sie sich zum Spiel anmelden, sagen Sie uns, wo Sie wohnen.</t>
  </si>
  <si>
    <t>anmelden</t>
  </si>
  <si>
    <t>wohnen</t>
  </si>
  <si>
    <t># text = Und dann erhalten Sie Nachrichten-Filme in Echtzeit, die Ihnen zeigen, wie viel Öl kostet, was es nicht gibt, wie Nahrungsversorgung beeinträchtigt ist, wie Transport beeinträchtigt wird, ob Schulen geschlossen sind, ob es Aufstände gibt.</t>
  </si>
  <si>
    <t>Nachrichten</t>
  </si>
  <si>
    <t>Filme</t>
  </si>
  <si>
    <t>kostet</t>
  </si>
  <si>
    <t>Nahrungsversorgung</t>
  </si>
  <si>
    <t>other_7</t>
  </si>
  <si>
    <t>beeinträchtigt</t>
  </si>
  <si>
    <t>Transport</t>
  </si>
  <si>
    <t>ob</t>
  </si>
  <si>
    <t>Schulen</t>
  </si>
  <si>
    <t>geschlossen</t>
  </si>
  <si>
    <t>Aufstände</t>
  </si>
  <si>
    <t>SBJ_8</t>
  </si>
  <si>
    <t># text = Und Sie müssen herausfinden, wie Sie Ihr echtes Leben gestalten, wenn es wahr wäre.</t>
  </si>
  <si>
    <t>gestalten</t>
  </si>
  <si>
    <t>wahr</t>
  </si>
  <si>
    <t>wäre</t>
  </si>
  <si>
    <t># text = Und wir bitten Sie, darüber zu bloggen, Videos oder Photos einzustellen.</t>
  </si>
  <si>
    <t>bloggen</t>
  </si>
  <si>
    <t>Videos</t>
  </si>
  <si>
    <t>Photos</t>
  </si>
  <si>
    <t>einzustellen</t>
  </si>
  <si>
    <t># text = Wir haben dieses Spiel mit 1.700 Spielern in 2007 getestet.</t>
  </si>
  <si>
    <t>1.700</t>
  </si>
  <si>
    <t>getestet</t>
  </si>
  <si>
    <t># text = Und wir haben sie seitdem über die letzten drei Jahre begleitet.</t>
  </si>
  <si>
    <t>seitdem</t>
  </si>
  <si>
    <t># text = Und ich kann Ihnen sagen, es war eine verändernde Erfahrung.</t>
  </si>
  <si>
    <t>verändernde</t>
  </si>
  <si>
    <t>Erfahrung</t>
  </si>
  <si>
    <t># text = Niemand möchte sein Leben ändern, weil es gut für die Umwelt ist oder weil wir es sollten.</t>
  </si>
  <si>
    <t>Niemand</t>
  </si>
  <si>
    <t>weil</t>
  </si>
  <si>
    <t>Umwelt</t>
  </si>
  <si>
    <t># text = Aber wenn Sie in einem epischen Abenteuer sind und gesagt bekommen: \"Uns geht das Öl aus.\"</t>
  </si>
  <si>
    <t>gesagt</t>
  </si>
  <si>
    <t>Uns</t>
  </si>
  <si>
    <t>geht</t>
  </si>
  <si>
    <t># text = Das ist ein faszinierendes Abenteuer, auf das man geht.</t>
  </si>
  <si>
    <t>faszinierendes</t>
  </si>
  <si>
    <t># text = Finden Sie heraus, wie Sie überleben würden.</t>
  </si>
  <si>
    <t>Finden</t>
  </si>
  <si>
    <t># text = Die meisten unserer Spieler haben die im Spiel gelernten Gewohnheiten beibehalten.</t>
  </si>
  <si>
    <t>meisten</t>
  </si>
  <si>
    <t>unserer</t>
  </si>
  <si>
    <t>gelernten</t>
  </si>
  <si>
    <t>Gewohnheiten</t>
  </si>
  <si>
    <t># text = Also haben wir uns für das nächste weltrettende Spiel ein größeres, höheres Ziel gesteckt als nur Ölknappheit.</t>
  </si>
  <si>
    <t>größeres</t>
  </si>
  <si>
    <t>höheres</t>
  </si>
  <si>
    <t>gesteckt</t>
  </si>
  <si>
    <t># text = Wir haben das Spiel "Superstruct" am Institut für die Zukunft entwickelt.</t>
  </si>
  <si>
    <t>Superstruct</t>
  </si>
  <si>
    <t># text = Ausgangspunkt ist die Berechnung eines Supercomputers, dass die Menschen nur noch 23 Jahre auf dem Planeten übrig haben.</t>
  </si>
  <si>
    <t>Ausgangspunkt</t>
  </si>
  <si>
    <t>Berechnung</t>
  </si>
  <si>
    <t>Supercomputers</t>
  </si>
  <si>
    <t>übrig</t>
  </si>
  <si>
    <t># text = Dieser Supercomputer heißt \"Globales Aussterbungs- Sensibilisierungs-System\", natürlich.</t>
  </si>
  <si>
    <t>Supercomputer</t>
  </si>
  <si>
    <t>heißt</t>
  </si>
  <si>
    <t>Globales</t>
  </si>
  <si>
    <t>Aussterbungs</t>
  </si>
  <si>
    <t>Sensibilisierungs</t>
  </si>
  <si>
    <t>System</t>
  </si>
  <si>
    <t>natürlich</t>
  </si>
  <si>
    <t># text = Den Aufruf an Spieler, sich anzumelden, haben wir fast wie einen "Jerry-Bruckheimer"-Film gestaltet.</t>
  </si>
  <si>
    <t>Den</t>
  </si>
  <si>
    <t>Aufruf</t>
  </si>
  <si>
    <t>anzumelden</t>
  </si>
  <si>
    <t>Jerry</t>
  </si>
  <si>
    <t>Bruckheimer</t>
  </si>
  <si>
    <t>Film</t>
  </si>
  <si>
    <t>gestaltet</t>
  </si>
  <si>
    <t># text = Sie kennen Jerry Bruckheimer-Filme, wo es das "Dream-Team" gibt.</t>
  </si>
  <si>
    <t>Dream</t>
  </si>
  <si>
    <t>Team</t>
  </si>
  <si>
    <t># text = Sie haben den Astronauten, den Wissenschaftler, den Ex-Sträfling und nur zusammen können sie die Welt retten.</t>
  </si>
  <si>
    <t>Astronauten</t>
  </si>
  <si>
    <t>Ex</t>
  </si>
  <si>
    <t>Sträfling</t>
  </si>
  <si>
    <t># text = Aber in unserem Spiel, anstatt von nur 5 Leuten, sagen wir, jeder ist im Dream-Team, und es ist unsere Aufgabe, die Zukunft für Energie, Nahrung, Gesundheit, Sicherheit und die Zukunft der sozialen Gerechtigkeit zu erschaffen.</t>
  </si>
  <si>
    <t>anstatt</t>
  </si>
  <si>
    <t>jeder</t>
  </si>
  <si>
    <t>Nahrung</t>
  </si>
  <si>
    <t>Gesundheit</t>
  </si>
  <si>
    <t>Sicherheit</t>
  </si>
  <si>
    <t>sozialen</t>
  </si>
  <si>
    <t>Gerechtigkeit</t>
  </si>
  <si>
    <t># text = 8.000 Spieler spielten das Spiel 8 Wochen lang.</t>
  </si>
  <si>
    <t>8.000</t>
  </si>
  <si>
    <t>Wochen</t>
  </si>
  <si>
    <t># text = Sie fanden 500 unglaublich kreative Lösungen, die Sie nachlesen können, wenn Sie "Superstruct" googlen.</t>
  </si>
  <si>
    <t>unglaublich</t>
  </si>
  <si>
    <t>kreative</t>
  </si>
  <si>
    <t>Lösungen</t>
  </si>
  <si>
    <t>nachlesen</t>
  </si>
  <si>
    <t>googlen</t>
  </si>
  <si>
    <t># text = Und das letzte Spiel bringen wir am 3.</t>
  </si>
  <si>
    <t>letzte</t>
  </si>
  <si>
    <t># text = März heraus.</t>
  </si>
  <si>
    <t># text = Es ist ein Spiel in Zusammenarbeit mit der Weltbank.</t>
  </si>
  <si>
    <t>Weltbank</t>
  </si>
  <si>
    <t># text = Wenn Sie das Spiel abschließen, erhalten Sie von der Weltbank die Auszeichnung \"Sozialer Umgestalter\", Abschluss 2010.</t>
  </si>
  <si>
    <t>abschließen</t>
  </si>
  <si>
    <t>Auszeichnung</t>
  </si>
  <si>
    <t>Sozialer</t>
  </si>
  <si>
    <t>Umgestalter</t>
  </si>
  <si>
    <t>2010</t>
  </si>
  <si>
    <t># text = Wir arbeiten mit Universitäten in ganz Schwarzafrika und laden sie ein, soziales Umgestalten zu lernen.</t>
  </si>
  <si>
    <t>Universitäten</t>
  </si>
  <si>
    <t>Schwarzafrika</t>
  </si>
  <si>
    <t>laden</t>
  </si>
  <si>
    <t>soziales</t>
  </si>
  <si>
    <t>Umgestalten</t>
  </si>
  <si>
    <t># text = Wir haben ein Comic dazu.</t>
  </si>
  <si>
    <t>Comic</t>
  </si>
  <si>
    <t># text = Wir haben \"Level hoch\" für regionales Verstehen, Wissensvernetzung, Nachhaltigkeit, Vision und Einfallsreichtum.</t>
  </si>
  <si>
    <t>regionales</t>
  </si>
  <si>
    <t>Verstehen</t>
  </si>
  <si>
    <t>Wissensvernetzung</t>
  </si>
  <si>
    <t>Nachhaltigkeit</t>
  </si>
  <si>
    <t>Vision</t>
  </si>
  <si>
    <t>Einfallsreichtum</t>
  </si>
  <si>
    <t># text = Ich möchte Sie alle einladen, dieses Spiel mit jungen Leuten zu teilen, überall auf der Welt, vor allem in Entwicklungsgebieten, die davon profitieren, sich zusammen ihre eigenen sozialen Unternehmungen vorzustellen, um die Welt zu retten.</t>
  </si>
  <si>
    <t>jungen</t>
  </si>
  <si>
    <t>überall</t>
  </si>
  <si>
    <t>Entwicklungsgebieten</t>
  </si>
  <si>
    <t>profitieren</t>
  </si>
  <si>
    <t>ihre</t>
  </si>
  <si>
    <t>Unternehmungen</t>
  </si>
  <si>
    <t>vorzustellen</t>
  </si>
  <si>
    <t># text = Ich komme nun zum Ende.</t>
  </si>
  <si>
    <t>komme</t>
  </si>
  <si>
    <t>nun</t>
  </si>
  <si>
    <t># text = Ich möchte Sie etwas fragen.</t>
  </si>
  <si>
    <t># text = Was, glauben Sie, passiert als Nächstes?</t>
  </si>
  <si>
    <t>passiert</t>
  </si>
  <si>
    <t>Nächstes</t>
  </si>
  <si>
    <t># text = Wir haben all diese fantastischen Spieler, wir haben Spiele, die uns zeigen, was wir tun können, aber wir haben die echte Welt noch nicht gerettet.</t>
  </si>
  <si>
    <t>all</t>
  </si>
  <si>
    <t># text = Tja, ich hoffe, dass Sie mir darin zustimmen, dass Spieler menschliche Ressourcen sind, die wir zur Arbeit im echten Leben einsetzen können, und dass Spiele eine große Bedeutung für Veränderung haben.</t>
  </si>
  <si>
    <t>hoffe</t>
  </si>
  <si>
    <t>zustimmen</t>
  </si>
  <si>
    <t>Ressourcen</t>
  </si>
  <si>
    <t>einsetzen</t>
  </si>
  <si>
    <t>Veränderung</t>
  </si>
  <si>
    <t># text = Wir haben diese ganzen Superkräfte, glückselige Produktivität, die Fähigkeit, enge soziale Netze zu knüpfen, Dringlichkeits-Optimismus und das Verlangen nach epischer Bedeutung.</t>
  </si>
  <si>
    <t>glückselige</t>
  </si>
  <si>
    <t>Fähigkeit</t>
  </si>
  <si>
    <t>enge</t>
  </si>
  <si>
    <t># text = Ich hoffe wirklich, dass wir zusammen bedeutende Spiele spielen, um auf diesem Planeten ein weiteres Jahrhundert zu überleben.</t>
  </si>
  <si>
    <t>weiteres</t>
  </si>
  <si>
    <t># text = Und ich hoffe, Sie werden mit mir solche Spielen entwerfen und spielen.</t>
  </si>
  <si>
    <t>solche</t>
  </si>
  <si>
    <t># text = Wenn ich ins nächste Jahrzehnt vorausschaue, bin ich mir bei zwei Dingen sicher: dass wir jede vorstellbare Zukunft erschaffen können, und dass wir alle möglichen Spiele spielen können.</t>
  </si>
  <si>
    <t>vorausschaue</t>
  </si>
  <si>
    <t>Dingen</t>
  </si>
  <si>
    <t>sicher</t>
  </si>
  <si>
    <t>jede</t>
  </si>
  <si>
    <t>vorstellbare</t>
  </si>
  <si>
    <t>möglichen</t>
  </si>
  <si>
    <t># text = Also sage ich, lasst die weltverändernden Spiele beginnen!</t>
  </si>
  <si>
    <t>sage</t>
  </si>
  <si>
    <t>lasst</t>
  </si>
  <si>
    <t>weltverändernden</t>
  </si>
  <si>
    <t>beginnen</t>
  </si>
  <si>
    <t># text = Dankeschön.</t>
  </si>
  <si>
    <t># text = (Beifall)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</si>
</sst>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6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11</v>
      </c>
      <c r="B3" s="6" t="s">
        <v>11</v>
      </c>
      <c r="C3" s="6" t="s">
        <v>12</v>
      </c>
      <c r="D3" s="7" t="s">
        <v>16</v>
      </c>
      <c r="E3" s="8" t="s">
        <v>17</v>
      </c>
      <c r="F3" s="6" t="s">
        <v>18</v>
      </c>
      <c r="G3" s="9">
        <f>IF(A3=1,"_",IF(C3="_","???",C3))</f>
        <v/>
      </c>
      <c r="H3" s="10" t="s">
        <v>12</v>
      </c>
      <c r="I3" s="11" t="s">
        <v>12</v>
      </c>
      <c r="J3" s="12"/>
    </row>
    <row r="4" spans="1:10" ht="60" customHeight="1">
      <c r="A4" s="6" t="s">
        <v>19</v>
      </c>
      <c r="B4" s="6" t="s">
        <v>11</v>
      </c>
      <c r="C4" s="6" t="s">
        <v>12</v>
      </c>
      <c r="D4" s="7" t="s">
        <v>20</v>
      </c>
      <c r="E4" s="8" t="s">
        <v>21</v>
      </c>
      <c r="F4" s="6" t="s">
        <v>22</v>
      </c>
      <c r="G4" s="9">
        <f>IF(A4=1,"_",IF(C4="_","???",C4))</f>
        <v/>
      </c>
      <c r="H4" s="10" t="s">
        <v>12</v>
      </c>
      <c r="I4" s="11" t="s">
        <v>12</v>
      </c>
      <c r="J4" s="12"/>
    </row>
    <row r="5" spans="1:10" ht="60" customHeight="1">
      <c r="A5" s="6" t="s">
        <v>23</v>
      </c>
      <c r="B5" s="6" t="s">
        <v>24</v>
      </c>
      <c r="C5" s="6" t="s">
        <v>12</v>
      </c>
      <c r="D5" s="7" t="s">
        <v>25</v>
      </c>
      <c r="E5" s="8" t="s">
        <v>26</v>
      </c>
      <c r="F5" s="6" t="s">
        <v>27</v>
      </c>
      <c r="G5" s="9">
        <f>IF(A5=1,"_",IF(C5="_","???",C5))</f>
        <v/>
      </c>
      <c r="H5" s="10" t="s">
        <v>12</v>
      </c>
      <c r="I5" s="11" t="s">
        <v>12</v>
      </c>
      <c r="J5" s="12"/>
    </row>
    <row r="6" spans="1:10" ht="60" customHeight="1">
      <c r="A6" s="6" t="s">
        <v>28</v>
      </c>
      <c r="B6" s="6" t="s">
        <v>11</v>
      </c>
      <c r="C6" s="6" t="s">
        <v>12</v>
      </c>
      <c r="D6" s="7" t="s">
        <v>29</v>
      </c>
      <c r="E6" s="8" t="s">
        <v>30</v>
      </c>
      <c r="F6" s="6" t="s">
        <v>31</v>
      </c>
      <c r="G6" s="9">
        <f>IF(A6=1,"_",IF(C6="_","???",C6))</f>
        <v/>
      </c>
      <c r="H6" s="10" t="s">
        <v>12</v>
      </c>
      <c r="I6" s="11" t="s">
        <v>12</v>
      </c>
      <c r="J6" s="12"/>
    </row>
    <row r="7" spans="1:10" ht="60" customHeight="1">
      <c r="A7" s="6" t="s">
        <v>32</v>
      </c>
      <c r="B7" s="6" t="s">
        <v>28</v>
      </c>
      <c r="C7" s="6" t="s">
        <v>12</v>
      </c>
      <c r="D7" s="7" t="s">
        <v>33</v>
      </c>
      <c r="E7" s="8" t="s">
        <v>34</v>
      </c>
      <c r="F7" s="6" t="s">
        <v>35</v>
      </c>
      <c r="G7" s="9">
        <f>IF(A7=1,"_",IF(C7="_","???",C7))</f>
        <v/>
      </c>
      <c r="H7" s="10" t="s">
        <v>12</v>
      </c>
      <c r="I7" s="11" t="s">
        <v>12</v>
      </c>
      <c r="J7" s="12"/>
    </row>
    <row r="8" spans="1:10" ht="60" customHeight="1">
      <c r="A8" s="6" t="s">
        <v>36</v>
      </c>
      <c r="B8" s="6" t="s">
        <v>11</v>
      </c>
      <c r="C8" s="6" t="s">
        <v>12</v>
      </c>
      <c r="D8" s="7" t="s">
        <v>37</v>
      </c>
      <c r="E8" s="8" t="s">
        <v>38</v>
      </c>
      <c r="F8" s="6" t="s">
        <v>39</v>
      </c>
      <c r="G8" s="9">
        <f>IF(A8=1,"_",IF(C8="_","???",C8))</f>
        <v/>
      </c>
      <c r="H8" s="10" t="s">
        <v>12</v>
      </c>
      <c r="I8" s="11" t="s">
        <v>12</v>
      </c>
      <c r="J8" s="12"/>
    </row>
    <row r="9" spans="1:10" ht="60" customHeight="1">
      <c r="A9" s="6" t="s">
        <v>24</v>
      </c>
      <c r="B9" s="6" t="s">
        <v>23</v>
      </c>
      <c r="C9" s="6" t="s">
        <v>12</v>
      </c>
      <c r="D9" s="7" t="s">
        <v>40</v>
      </c>
      <c r="E9" s="8" t="s">
        <v>41</v>
      </c>
      <c r="F9" s="6" t="s">
        <v>42</v>
      </c>
      <c r="G9" s="9">
        <f>IF(A9=1,"_",IF(C9="_","???",C9))</f>
        <v/>
      </c>
      <c r="H9" s="10" t="s">
        <v>12</v>
      </c>
      <c r="I9" s="11" t="s">
        <v>12</v>
      </c>
      <c r="J9" s="12"/>
    </row>
    <row r="10" spans="1:10" ht="60" customHeight="1">
      <c r="A10" s="6" t="s">
        <v>43</v>
      </c>
      <c r="B10" s="6" t="s">
        <v>28</v>
      </c>
      <c r="C10" s="6" t="s">
        <v>12</v>
      </c>
      <c r="D10" s="7" t="s">
        <v>44</v>
      </c>
      <c r="E10" s="8" t="s">
        <v>45</v>
      </c>
      <c r="F10" s="6" t="s">
        <v>46</v>
      </c>
      <c r="G10" s="9">
        <f>IF(A10=1,"_",IF(C10="_","???",C10))</f>
        <v/>
      </c>
      <c r="H10" s="10" t="s">
        <v>12</v>
      </c>
      <c r="I10" s="11" t="s">
        <v>12</v>
      </c>
      <c r="J10" s="12"/>
    </row>
    <row r="11" spans="1:10" ht="60" customHeight="1">
      <c r="A11" s="6" t="s">
        <v>47</v>
      </c>
      <c r="B11" s="6" t="s">
        <v>48</v>
      </c>
      <c r="C11" s="6" t="s">
        <v>12</v>
      </c>
      <c r="D11" s="7" t="s">
        <v>49</v>
      </c>
      <c r="E11" s="8" t="s">
        <v>50</v>
      </c>
      <c r="F11" s="6" t="s">
        <v>51</v>
      </c>
      <c r="G11" s="9">
        <f>IF(A11=1,"_",IF(C11="_","???",C11))</f>
        <v/>
      </c>
      <c r="H11" s="10" t="s">
        <v>12</v>
      </c>
      <c r="I11" s="11" t="s">
        <v>12</v>
      </c>
      <c r="J11" s="12"/>
    </row>
    <row r="12" spans="1:10" ht="60" customHeight="1">
      <c r="A12" s="6" t="s">
        <v>52</v>
      </c>
      <c r="B12" s="6" t="s">
        <v>32</v>
      </c>
      <c r="C12" s="6" t="s">
        <v>12</v>
      </c>
      <c r="D12" s="7" t="s">
        <v>53</v>
      </c>
      <c r="E12" s="8" t="s">
        <v>54</v>
      </c>
      <c r="F12" s="6" t="s">
        <v>55</v>
      </c>
      <c r="G12" s="9">
        <f>IF(A12=1,"_",IF(C12="_","???",C12))</f>
        <v/>
      </c>
      <c r="H12" s="10" t="s">
        <v>12</v>
      </c>
      <c r="I12" s="11" t="s">
        <v>12</v>
      </c>
      <c r="J12" s="12"/>
    </row>
    <row r="13" spans="1:10" ht="60" customHeight="1">
      <c r="A13" s="6" t="s">
        <v>56</v>
      </c>
      <c r="B13" s="6" t="s">
        <v>11</v>
      </c>
      <c r="C13" s="6" t="s">
        <v>12</v>
      </c>
      <c r="D13" s="7" t="s">
        <v>57</v>
      </c>
      <c r="E13" s="8" t="s">
        <v>58</v>
      </c>
      <c r="F13" s="6" t="s">
        <v>59</v>
      </c>
      <c r="G13" s="9">
        <f>IF(A13=1,"_",IF(C13="_","???",C13))</f>
        <v/>
      </c>
      <c r="H13" s="10" t="s">
        <v>12</v>
      </c>
      <c r="I13" s="11" t="s">
        <v>12</v>
      </c>
      <c r="J13" s="12"/>
    </row>
    <row r="14" spans="1:10" ht="60" customHeight="1">
      <c r="A14" s="6" t="s">
        <v>60</v>
      </c>
      <c r="B14" s="6" t="s">
        <v>19</v>
      </c>
      <c r="C14" s="6" t="s">
        <v>12</v>
      </c>
      <c r="D14" s="7" t="s">
        <v>61</v>
      </c>
      <c r="E14" s="8" t="s">
        <v>62</v>
      </c>
      <c r="F14" s="6" t="s">
        <v>63</v>
      </c>
      <c r="G14" s="9">
        <f>IF(A14=1,"_",IF(C14="_","???",C14))</f>
        <v/>
      </c>
      <c r="H14" s="10" t="s">
        <v>12</v>
      </c>
      <c r="I14" s="11" t="s">
        <v>12</v>
      </c>
      <c r="J14" s="12"/>
    </row>
    <row r="15" spans="1:10" ht="60" customHeight="1">
      <c r="A15" s="6" t="s">
        <v>48</v>
      </c>
      <c r="B15" s="6" t="s">
        <v>11</v>
      </c>
      <c r="C15" s="6" t="s">
        <v>12</v>
      </c>
      <c r="D15" s="7" t="s">
        <v>64</v>
      </c>
      <c r="E15" s="8" t="s">
        <v>65</v>
      </c>
      <c r="F15" s="6" t="s">
        <v>66</v>
      </c>
      <c r="G15" s="9">
        <f>IF(A15=1,"_",IF(C15="_","???",C15))</f>
        <v/>
      </c>
      <c r="H15" s="10" t="s">
        <v>12</v>
      </c>
      <c r="I15" s="11" t="s">
        <v>12</v>
      </c>
      <c r="J15" s="12"/>
    </row>
    <row r="16" spans="1:10" ht="60" customHeight="1">
      <c r="A16" s="6" t="s">
        <v>67</v>
      </c>
      <c r="B16" s="6" t="s">
        <v>68</v>
      </c>
      <c r="C16" s="6" t="s">
        <v>12</v>
      </c>
      <c r="D16" s="7" t="s">
        <v>69</v>
      </c>
      <c r="E16" s="8" t="s">
        <v>70</v>
      </c>
      <c r="F16" s="6" t="s">
        <v>71</v>
      </c>
      <c r="G16" s="9">
        <f>IF(A16=1,"_",IF(C16="_","???",C16))</f>
        <v/>
      </c>
      <c r="H16" s="10" t="s">
        <v>12</v>
      </c>
      <c r="I16" s="11" t="s">
        <v>12</v>
      </c>
      <c r="J16" s="12"/>
    </row>
    <row r="17" spans="1:10" ht="60" customHeight="1">
      <c r="A17" s="6" t="s">
        <v>72</v>
      </c>
      <c r="B17" s="6" t="s">
        <v>23</v>
      </c>
      <c r="C17" s="6" t="s">
        <v>73</v>
      </c>
      <c r="D17" s="7" t="s">
        <v>74</v>
      </c>
      <c r="E17" s="8" t="s">
        <v>75</v>
      </c>
      <c r="F17" s="6" t="s">
        <v>76</v>
      </c>
      <c r="G17" s="9">
        <f>IF(A17=1,"_",IF(C17="_","???",C17))</f>
        <v/>
      </c>
      <c r="H17" s="10" t="s">
        <v>12</v>
      </c>
      <c r="I17" s="11" t="s">
        <v>12</v>
      </c>
      <c r="J17" s="12"/>
    </row>
    <row r="18" spans="1:10" ht="60" customHeight="1">
      <c r="A18" s="6" t="s">
        <v>77</v>
      </c>
      <c r="B18" s="6" t="s">
        <v>10</v>
      </c>
      <c r="C18" s="6" t="s">
        <v>78</v>
      </c>
      <c r="D18" s="7" t="s">
        <v>79</v>
      </c>
      <c r="E18" s="8" t="s">
        <v>80</v>
      </c>
      <c r="F18" s="6" t="s">
        <v>81</v>
      </c>
      <c r="G18" s="9">
        <f>IF(A18=1,"_",IF(C18="_","???",C18))</f>
        <v/>
      </c>
      <c r="H18" s="10" t="s">
        <v>12</v>
      </c>
      <c r="I18" s="11" t="s">
        <v>12</v>
      </c>
      <c r="J18" s="12"/>
    </row>
    <row r="19" spans="1:10" ht="60" customHeight="1">
      <c r="A19" s="6" t="s">
        <v>82</v>
      </c>
      <c r="B19" s="6" t="s">
        <v>43</v>
      </c>
      <c r="C19" s="6" t="s">
        <v>78</v>
      </c>
      <c r="D19" s="7" t="s">
        <v>83</v>
      </c>
      <c r="E19" s="8" t="s">
        <v>84</v>
      </c>
      <c r="F19" s="6" t="s">
        <v>85</v>
      </c>
      <c r="G19" s="9">
        <f>IF(A19=1,"_",IF(C19="_","???",C19))</f>
        <v/>
      </c>
      <c r="H19" s="10" t="s">
        <v>12</v>
      </c>
      <c r="I19" s="11" t="s">
        <v>12</v>
      </c>
      <c r="J19" s="12"/>
    </row>
    <row r="20" spans="1:10" ht="60" customHeight="1">
      <c r="A20" s="6" t="s">
        <v>86</v>
      </c>
      <c r="B20" s="6" t="s">
        <v>23</v>
      </c>
      <c r="C20" s="6" t="s">
        <v>12</v>
      </c>
      <c r="D20" s="7" t="s">
        <v>87</v>
      </c>
      <c r="E20" s="8" t="s">
        <v>88</v>
      </c>
      <c r="F20" s="6" t="s">
        <v>89</v>
      </c>
      <c r="G20" s="9">
        <f>IF(A20=1,"_",IF(C20="_","???",C20))</f>
        <v/>
      </c>
      <c r="H20" s="10" t="s">
        <v>12</v>
      </c>
      <c r="I20" s="11" t="s">
        <v>12</v>
      </c>
      <c r="J20" s="12"/>
    </row>
    <row r="21" spans="1:10" ht="60" customHeight="1">
      <c r="A21" s="6" t="s">
        <v>90</v>
      </c>
      <c r="B21" s="6" t="s">
        <v>11</v>
      </c>
      <c r="C21" s="6" t="s">
        <v>12</v>
      </c>
      <c r="D21" s="7" t="s">
        <v>91</v>
      </c>
      <c r="E21" s="8" t="s">
        <v>92</v>
      </c>
      <c r="F21" s="6" t="s">
        <v>93</v>
      </c>
      <c r="G21" s="9">
        <f>IF(A21=1,"_",IF(C21="_","???",C21))</f>
        <v/>
      </c>
      <c r="H21" s="10" t="s">
        <v>12</v>
      </c>
      <c r="I21" s="11" t="s">
        <v>12</v>
      </c>
      <c r="J21" s="12"/>
    </row>
    <row r="22" spans="1:10" ht="60" customHeight="1">
      <c r="A22" s="6" t="s">
        <v>94</v>
      </c>
      <c r="B22" s="6" t="s">
        <v>24</v>
      </c>
      <c r="C22" s="6" t="s">
        <v>12</v>
      </c>
      <c r="D22" s="7" t="s">
        <v>95</v>
      </c>
      <c r="E22" s="8" t="s">
        <v>96</v>
      </c>
      <c r="F22" s="6" t="s">
        <v>97</v>
      </c>
      <c r="G22" s="9">
        <f>IF(A22=1,"_",IF(C22="_","???",C22))</f>
        <v/>
      </c>
      <c r="H22" s="10" t="s">
        <v>12</v>
      </c>
      <c r="I22" s="11" t="s">
        <v>12</v>
      </c>
      <c r="J22" s="12"/>
    </row>
    <row r="23" spans="1:10" ht="60" customHeight="1">
      <c r="A23" s="6" t="s">
        <v>98</v>
      </c>
      <c r="B23" s="6" t="s">
        <v>43</v>
      </c>
      <c r="C23" s="6" t="s">
        <v>12</v>
      </c>
      <c r="D23" s="7" t="s">
        <v>99</v>
      </c>
      <c r="E23" s="8" t="s">
        <v>100</v>
      </c>
      <c r="F23" s="6" t="s">
        <v>101</v>
      </c>
      <c r="G23" s="9">
        <f>IF(A23=1,"_",IF(C23="_","???",C23))</f>
        <v/>
      </c>
      <c r="H23" s="10" t="s">
        <v>12</v>
      </c>
      <c r="I23" s="11" t="s">
        <v>12</v>
      </c>
      <c r="J23" s="12"/>
    </row>
    <row r="24" spans="1:10" ht="60" customHeight="1">
      <c r="A24" s="6" t="s">
        <v>68</v>
      </c>
      <c r="B24" s="6" t="s">
        <v>11</v>
      </c>
      <c r="C24" s="6" t="s">
        <v>12</v>
      </c>
      <c r="D24" s="7" t="s">
        <v>102</v>
      </c>
      <c r="E24" s="8" t="s">
        <v>103</v>
      </c>
      <c r="F24" s="6" t="s">
        <v>104</v>
      </c>
      <c r="G24" s="9">
        <f>IF(A24=1,"_",IF(C24="_","???",C24))</f>
        <v/>
      </c>
      <c r="H24" s="10" t="s">
        <v>12</v>
      </c>
      <c r="I24" s="11" t="s">
        <v>12</v>
      </c>
      <c r="J24" s="12"/>
    </row>
    <row r="25" spans="1:10" ht="60" customHeight="1">
      <c r="A25" s="6" t="s">
        <v>105</v>
      </c>
      <c r="B25" s="6" t="s">
        <v>36</v>
      </c>
      <c r="C25" s="6" t="s">
        <v>12</v>
      </c>
      <c r="D25" s="7" t="s">
        <v>106</v>
      </c>
      <c r="E25" s="8" t="s">
        <v>107</v>
      </c>
      <c r="F25" s="6" t="s">
        <v>108</v>
      </c>
      <c r="G25" s="9">
        <f>IF(A25=1,"_",IF(C25="_","???",C25))</f>
        <v/>
      </c>
      <c r="H25" s="10" t="s">
        <v>12</v>
      </c>
      <c r="I25" s="11" t="s">
        <v>12</v>
      </c>
      <c r="J25" s="12"/>
    </row>
    <row r="26" spans="1:10" ht="60" customHeight="1">
      <c r="A26" s="6" t="s">
        <v>109</v>
      </c>
      <c r="B26" s="6" t="s">
        <v>11</v>
      </c>
      <c r="C26" s="6" t="s">
        <v>12</v>
      </c>
      <c r="D26" s="7" t="s">
        <v>110</v>
      </c>
      <c r="E26" s="8" t="s">
        <v>111</v>
      </c>
      <c r="F26" s="6" t="s">
        <v>112</v>
      </c>
      <c r="G26" s="9">
        <f>IF(A26=1,"_",IF(C26="_","???",C26))</f>
        <v/>
      </c>
      <c r="H26" s="10" t="s">
        <v>12</v>
      </c>
      <c r="I26" s="11" t="s">
        <v>12</v>
      </c>
      <c r="J26" s="12"/>
    </row>
    <row r="27" spans="1:10" ht="60" customHeight="1">
      <c r="A27" s="6" t="s">
        <v>113</v>
      </c>
      <c r="B27" s="6" t="s">
        <v>32</v>
      </c>
      <c r="C27" s="6" t="s">
        <v>12</v>
      </c>
      <c r="D27" s="7" t="s">
        <v>110</v>
      </c>
      <c r="E27" s="8" t="s">
        <v>114</v>
      </c>
      <c r="F27" s="6" t="s">
        <v>115</v>
      </c>
      <c r="G27" s="9">
        <f>IF(A27=1,"_",IF(C27="_","???",C27))</f>
        <v/>
      </c>
      <c r="H27" s="10" t="s">
        <v>12</v>
      </c>
      <c r="I27" s="11" t="s">
        <v>12</v>
      </c>
      <c r="J27" s="12"/>
    </row>
    <row r="28" spans="1:10" ht="60" customHeight="1">
      <c r="A28" s="6" t="s">
        <v>116</v>
      </c>
      <c r="B28" s="6" t="s">
        <v>19</v>
      </c>
      <c r="C28" s="6" t="s">
        <v>12</v>
      </c>
      <c r="D28" s="7" t="s">
        <v>117</v>
      </c>
      <c r="E28" s="8" t="s">
        <v>118</v>
      </c>
      <c r="F28" s="6" t="s">
        <v>119</v>
      </c>
      <c r="G28" s="9">
        <f>IF(A28=1,"_",IF(C28="_","???",C28))</f>
        <v/>
      </c>
      <c r="H28" s="10" t="s">
        <v>12</v>
      </c>
      <c r="I28" s="11" t="s">
        <v>12</v>
      </c>
      <c r="J28" s="12"/>
    </row>
    <row r="29" spans="1:10" ht="60" customHeight="1">
      <c r="A29" s="6" t="s">
        <v>120</v>
      </c>
      <c r="B29" s="6" t="s">
        <v>11</v>
      </c>
      <c r="C29" s="6" t="s">
        <v>12</v>
      </c>
      <c r="D29" s="7" t="s">
        <v>121</v>
      </c>
      <c r="E29" s="8" t="s">
        <v>122</v>
      </c>
      <c r="F29" s="6" t="s">
        <v>123</v>
      </c>
      <c r="G29" s="9">
        <f>IF(A29=1,"_",IF(C29="_","???",C29))</f>
        <v/>
      </c>
      <c r="H29" s="10" t="s">
        <v>12</v>
      </c>
      <c r="I29" s="11" t="s">
        <v>12</v>
      </c>
      <c r="J29" s="12"/>
    </row>
    <row r="30" spans="1:10" ht="60" customHeight="1">
      <c r="A30" s="6" t="s">
        <v>124</v>
      </c>
      <c r="B30" s="6" t="s">
        <v>36</v>
      </c>
      <c r="C30" s="6" t="s">
        <v>12</v>
      </c>
      <c r="D30" s="7" t="s">
        <v>125</v>
      </c>
      <c r="E30" s="8" t="s">
        <v>126</v>
      </c>
      <c r="F30" s="6" t="s">
        <v>127</v>
      </c>
      <c r="G30" s="9">
        <f>IF(A30=1,"_",IF(C30="_","???",C30))</f>
        <v/>
      </c>
      <c r="H30" s="10" t="s">
        <v>12</v>
      </c>
      <c r="I30" s="11" t="s">
        <v>12</v>
      </c>
      <c r="J30" s="12"/>
    </row>
    <row r="31" spans="1:10" ht="60" customHeight="1">
      <c r="A31" s="6" t="s">
        <v>128</v>
      </c>
      <c r="B31" s="6" t="s">
        <v>10</v>
      </c>
      <c r="C31" s="6" t="s">
        <v>12</v>
      </c>
      <c r="D31" s="7" t="s">
        <v>129</v>
      </c>
      <c r="E31" s="8" t="s">
        <v>130</v>
      </c>
      <c r="F31" s="6" t="s">
        <v>131</v>
      </c>
      <c r="G31" s="9">
        <f>IF(A31=1,"_",IF(C31="_","???",C31))</f>
        <v/>
      </c>
      <c r="H31" s="10" t="s">
        <v>12</v>
      </c>
      <c r="I31" s="11" t="s">
        <v>12</v>
      </c>
      <c r="J31" s="12"/>
    </row>
    <row r="32" spans="1:10" ht="60" customHeight="1">
      <c r="A32" s="6" t="s">
        <v>132</v>
      </c>
      <c r="B32" s="6" t="s">
        <v>10</v>
      </c>
      <c r="C32" s="6" t="s">
        <v>12</v>
      </c>
      <c r="D32" s="7" t="s">
        <v>133</v>
      </c>
      <c r="E32" s="8" t="s">
        <v>134</v>
      </c>
      <c r="F32" s="6" t="s">
        <v>135</v>
      </c>
      <c r="G32" s="9">
        <f>IF(A32=1,"_",IF(C32="_","???",C32))</f>
        <v/>
      </c>
      <c r="H32" s="10" t="s">
        <v>12</v>
      </c>
      <c r="I32" s="11" t="s">
        <v>12</v>
      </c>
      <c r="J32" s="12"/>
    </row>
    <row r="33" spans="1:10" ht="60" customHeight="1">
      <c r="A33" s="6" t="s">
        <v>136</v>
      </c>
      <c r="B33" s="6" t="s">
        <v>11</v>
      </c>
      <c r="C33" s="6" t="s">
        <v>12</v>
      </c>
      <c r="D33" s="7" t="s">
        <v>29</v>
      </c>
      <c r="E33" s="8" t="s">
        <v>137</v>
      </c>
      <c r="F33" s="6" t="s">
        <v>138</v>
      </c>
      <c r="G33" s="9">
        <f>IF(A33=1,"_",IF(C33="_","???",C33))</f>
        <v/>
      </c>
      <c r="H33" s="10" t="s">
        <v>12</v>
      </c>
      <c r="I33" s="11" t="s">
        <v>12</v>
      </c>
      <c r="J33" s="12"/>
    </row>
    <row r="34" spans="1:10" ht="60" customHeight="1">
      <c r="A34" s="6" t="s">
        <v>139</v>
      </c>
      <c r="B34" s="6" t="s">
        <v>23</v>
      </c>
      <c r="C34" s="6" t="s">
        <v>12</v>
      </c>
      <c r="D34" s="7" t="s">
        <v>140</v>
      </c>
      <c r="E34" s="8" t="s">
        <v>141</v>
      </c>
      <c r="F34" s="6" t="s">
        <v>142</v>
      </c>
      <c r="G34" s="9">
        <f>IF(A34=1,"_",IF(C34="_","???",C34))</f>
        <v/>
      </c>
      <c r="H34" s="10" t="s">
        <v>12</v>
      </c>
      <c r="I34" s="11" t="s">
        <v>12</v>
      </c>
      <c r="J34" s="12"/>
    </row>
    <row r="35" spans="1:10" ht="60" customHeight="1">
      <c r="A35" s="6" t="s">
        <v>143</v>
      </c>
      <c r="B35" s="6" t="s">
        <v>11</v>
      </c>
      <c r="C35" s="6" t="s">
        <v>12</v>
      </c>
      <c r="D35" s="7" t="s">
        <v>25</v>
      </c>
      <c r="E35" s="8" t="s">
        <v>144</v>
      </c>
      <c r="F35" s="6" t="s">
        <v>145</v>
      </c>
      <c r="G35" s="9">
        <f>IF(A35=1,"_",IF(C35="_","???",C35))</f>
        <v/>
      </c>
      <c r="H35" s="10" t="s">
        <v>12</v>
      </c>
      <c r="I35" s="11" t="s">
        <v>12</v>
      </c>
      <c r="J35" s="12"/>
    </row>
    <row r="36" spans="1:10" ht="60" customHeight="1">
      <c r="A36" s="6" t="s">
        <v>146</v>
      </c>
      <c r="B36" s="6" t="s">
        <v>36</v>
      </c>
      <c r="C36" s="6" t="s">
        <v>12</v>
      </c>
      <c r="D36" s="7" t="s">
        <v>147</v>
      </c>
      <c r="E36" s="8" t="s">
        <v>148</v>
      </c>
      <c r="F36" s="6" t="s">
        <v>149</v>
      </c>
      <c r="G36" s="9">
        <f>IF(A36=1,"_",IF(C36="_","???",C36))</f>
        <v/>
      </c>
      <c r="H36" s="10" t="s">
        <v>12</v>
      </c>
      <c r="I36" s="11" t="s">
        <v>12</v>
      </c>
      <c r="J36" s="12"/>
    </row>
    <row r="37" spans="1:10" ht="60" customHeight="1">
      <c r="A37" s="6" t="s">
        <v>150</v>
      </c>
      <c r="B37" s="6" t="s">
        <v>11</v>
      </c>
      <c r="C37" s="6" t="s">
        <v>12</v>
      </c>
      <c r="D37" s="7" t="s">
        <v>151</v>
      </c>
      <c r="E37" s="8" t="s">
        <v>152</v>
      </c>
      <c r="F37" s="6" t="s">
        <v>153</v>
      </c>
      <c r="G37" s="9">
        <f>IF(A37=1,"_",IF(C37="_","???",C37))</f>
        <v/>
      </c>
      <c r="H37" s="10" t="s">
        <v>12</v>
      </c>
      <c r="I37" s="11" t="s">
        <v>12</v>
      </c>
      <c r="J37" s="12"/>
    </row>
    <row r="38" spans="1:10" ht="60" customHeight="1">
      <c r="A38" s="6" t="s">
        <v>154</v>
      </c>
      <c r="B38" s="6" t="s">
        <v>19</v>
      </c>
      <c r="C38" s="6" t="s">
        <v>12</v>
      </c>
      <c r="D38" s="7" t="s">
        <v>155</v>
      </c>
      <c r="E38" s="8" t="s">
        <v>156</v>
      </c>
      <c r="F38" s="6" t="s">
        <v>157</v>
      </c>
      <c r="G38" s="9">
        <f>IF(A38=1,"_",IF(C38="_","???",C38))</f>
        <v/>
      </c>
      <c r="H38" s="10" t="s">
        <v>12</v>
      </c>
      <c r="I38" s="11" t="s">
        <v>12</v>
      </c>
      <c r="J38" s="12"/>
    </row>
    <row r="39" spans="1:10" ht="60" customHeight="1">
      <c r="A39" s="6" t="s">
        <v>158</v>
      </c>
      <c r="B39" s="6" t="s">
        <v>77</v>
      </c>
      <c r="C39" s="6" t="s">
        <v>159</v>
      </c>
      <c r="D39" s="7" t="s">
        <v>110</v>
      </c>
      <c r="E39" s="8" t="s">
        <v>160</v>
      </c>
      <c r="F39" s="6" t="s">
        <v>161</v>
      </c>
      <c r="G39" s="9">
        <f>IF(A39=1,"_",IF(C39="_","???",C39))</f>
        <v/>
      </c>
      <c r="H39" s="10" t="s">
        <v>12</v>
      </c>
      <c r="I39" s="11" t="s">
        <v>12</v>
      </c>
      <c r="J39" s="12"/>
    </row>
    <row r="40" spans="1:10" ht="60" customHeight="1">
      <c r="A40" s="6" t="s">
        <v>162</v>
      </c>
      <c r="B40" s="6" t="s">
        <v>19</v>
      </c>
      <c r="C40" s="6" t="s">
        <v>12</v>
      </c>
      <c r="D40" s="7" t="s">
        <v>163</v>
      </c>
      <c r="E40" s="8" t="s">
        <v>164</v>
      </c>
      <c r="F40" s="6" t="s">
        <v>165</v>
      </c>
      <c r="G40" s="9">
        <f>IF(A40=1,"_",IF(C40="_","???",C40))</f>
        <v/>
      </c>
      <c r="H40" s="10" t="s">
        <v>12</v>
      </c>
      <c r="I40" s="11" t="s">
        <v>12</v>
      </c>
      <c r="J40" s="12"/>
    </row>
    <row r="41" spans="1:10" ht="60" customHeight="1">
      <c r="A41" s="6" t="s">
        <v>166</v>
      </c>
      <c r="B41" s="6" t="s">
        <v>23</v>
      </c>
      <c r="C41" s="6" t="s">
        <v>12</v>
      </c>
      <c r="D41" s="7" t="s">
        <v>110</v>
      </c>
      <c r="E41" s="8" t="s">
        <v>167</v>
      </c>
      <c r="F41" s="6" t="s">
        <v>168</v>
      </c>
      <c r="G41" s="9">
        <f>IF(A41=1,"_",IF(C41="_","???",C41))</f>
        <v/>
      </c>
      <c r="H41" s="10" t="s">
        <v>12</v>
      </c>
      <c r="I41" s="11" t="s">
        <v>12</v>
      </c>
      <c r="J41" s="12"/>
    </row>
    <row r="42" spans="1:10" ht="60" customHeight="1">
      <c r="A42" s="6" t="s">
        <v>169</v>
      </c>
      <c r="B42" s="6" t="s">
        <v>11</v>
      </c>
      <c r="C42" s="6" t="s">
        <v>12</v>
      </c>
      <c r="D42" s="7" t="s">
        <v>170</v>
      </c>
      <c r="E42" s="8" t="s">
        <v>171</v>
      </c>
      <c r="F42" s="6" t="s">
        <v>172</v>
      </c>
      <c r="G42" s="9">
        <f>IF(A42=1,"_",IF(C42="_","???",C42))</f>
        <v/>
      </c>
      <c r="H42" s="10" t="s">
        <v>12</v>
      </c>
      <c r="I42" s="11" t="s">
        <v>12</v>
      </c>
      <c r="J42" s="12"/>
    </row>
    <row r="43" spans="1:10" ht="60" customHeight="1">
      <c r="A43" s="6" t="s">
        <v>173</v>
      </c>
      <c r="B43" s="6" t="s">
        <v>19</v>
      </c>
      <c r="C43" s="6" t="s">
        <v>12</v>
      </c>
      <c r="D43" s="7" t="s">
        <v>174</v>
      </c>
      <c r="E43" s="8" t="s">
        <v>175</v>
      </c>
      <c r="F43" s="6" t="s">
        <v>176</v>
      </c>
      <c r="G43" s="9">
        <f>IF(A43=1,"_",IF(C43="_","???",C43))</f>
        <v/>
      </c>
      <c r="H43" s="10" t="s">
        <v>12</v>
      </c>
      <c r="I43" s="11" t="s">
        <v>12</v>
      </c>
      <c r="J43" s="12"/>
    </row>
    <row r="44" spans="1:10" ht="60" customHeight="1">
      <c r="A44" s="6" t="s">
        <v>177</v>
      </c>
      <c r="B44" s="6" t="s">
        <v>10</v>
      </c>
      <c r="C44" s="6" t="s">
        <v>12</v>
      </c>
      <c r="D44" s="7" t="s">
        <v>178</v>
      </c>
      <c r="E44" s="8" t="s">
        <v>179</v>
      </c>
      <c r="F44" s="6" t="s">
        <v>180</v>
      </c>
      <c r="G44" s="9">
        <f>IF(A44=1,"_",IF(C44="_","???",C44))</f>
        <v/>
      </c>
      <c r="H44" s="10" t="s">
        <v>12</v>
      </c>
      <c r="I44" s="11" t="s">
        <v>12</v>
      </c>
      <c r="J44" s="12"/>
    </row>
    <row r="45" spans="1:10" ht="60" customHeight="1">
      <c r="A45" s="6" t="s">
        <v>181</v>
      </c>
      <c r="B45" s="6" t="s">
        <v>10</v>
      </c>
      <c r="C45" s="6" t="s">
        <v>12</v>
      </c>
      <c r="D45" s="7" t="s">
        <v>129</v>
      </c>
      <c r="E45" s="8" t="s">
        <v>130</v>
      </c>
      <c r="F45" s="6" t="s">
        <v>182</v>
      </c>
      <c r="G45" s="9">
        <f>IF(A45=1,"_",IF(C45="_","???",C45))</f>
        <v/>
      </c>
      <c r="H45" s="10" t="s">
        <v>12</v>
      </c>
      <c r="I45" s="11" t="s">
        <v>12</v>
      </c>
      <c r="J45" s="12"/>
    </row>
    <row r="46" spans="1:10" ht="60" customHeight="1">
      <c r="A46" s="6" t="s">
        <v>183</v>
      </c>
      <c r="B46" s="6" t="s">
        <v>11</v>
      </c>
      <c r="C46" s="6" t="s">
        <v>12</v>
      </c>
      <c r="D46" s="7" t="s">
        <v>184</v>
      </c>
      <c r="E46" s="8" t="s">
        <v>185</v>
      </c>
      <c r="F46" s="6" t="s">
        <v>186</v>
      </c>
      <c r="G46" s="9">
        <f>IF(A46=1,"_",IF(C46="_","???",C46))</f>
        <v/>
      </c>
      <c r="H46" s="10" t="s">
        <v>12</v>
      </c>
      <c r="I46" s="11" t="s">
        <v>12</v>
      </c>
      <c r="J46" s="12"/>
    </row>
    <row r="47" spans="1:10" ht="60" customHeight="1">
      <c r="A47" s="6" t="s">
        <v>187</v>
      </c>
      <c r="B47" s="6" t="s">
        <v>11</v>
      </c>
      <c r="C47" s="6" t="s">
        <v>12</v>
      </c>
      <c r="D47" s="7" t="s">
        <v>188</v>
      </c>
      <c r="E47" s="8" t="s">
        <v>189</v>
      </c>
      <c r="F47" s="6" t="s">
        <v>190</v>
      </c>
      <c r="G47" s="9">
        <f>IF(A47=1,"_",IF(C47="_","???",C47))</f>
        <v/>
      </c>
      <c r="H47" s="10" t="s">
        <v>12</v>
      </c>
      <c r="I47" s="11" t="s">
        <v>12</v>
      </c>
      <c r="J47" s="12"/>
    </row>
    <row r="48" spans="1:10" ht="60" customHeight="1">
      <c r="A48" s="6" t="s">
        <v>191</v>
      </c>
      <c r="B48" s="6" t="s">
        <v>11</v>
      </c>
      <c r="C48" s="6" t="s">
        <v>12</v>
      </c>
      <c r="D48" s="7" t="s">
        <v>192</v>
      </c>
      <c r="E48" s="8" t="s">
        <v>193</v>
      </c>
      <c r="F48" s="6" t="s">
        <v>194</v>
      </c>
      <c r="G48" s="9">
        <f>IF(A48=1,"_",IF(C48="_","???",C48))</f>
        <v/>
      </c>
      <c r="H48" s="10" t="s">
        <v>12</v>
      </c>
      <c r="I48" s="11" t="s">
        <v>12</v>
      </c>
      <c r="J48" s="12"/>
    </row>
    <row r="49" spans="1:10" ht="60" customHeight="1">
      <c r="A49" s="6" t="s">
        <v>195</v>
      </c>
      <c r="B49" s="6" t="s">
        <v>11</v>
      </c>
      <c r="C49" s="6" t="s">
        <v>12</v>
      </c>
      <c r="D49" s="7" t="s">
        <v>40</v>
      </c>
      <c r="E49" s="8" t="s">
        <v>196</v>
      </c>
      <c r="F49" s="6" t="s">
        <v>197</v>
      </c>
      <c r="G49" s="9">
        <f>IF(A49=1,"_",IF(C49="_","???",C49))</f>
        <v/>
      </c>
      <c r="H49" s="10" t="s">
        <v>12</v>
      </c>
      <c r="I49" s="11" t="s">
        <v>12</v>
      </c>
      <c r="J49" s="12"/>
    </row>
    <row r="50" spans="1:10" ht="60" customHeight="1">
      <c r="A50" s="6" t="s">
        <v>198</v>
      </c>
      <c r="B50" s="6" t="s">
        <v>36</v>
      </c>
      <c r="C50" s="6" t="s">
        <v>73</v>
      </c>
      <c r="D50" s="7" t="s">
        <v>199</v>
      </c>
      <c r="E50" s="8" t="s">
        <v>200</v>
      </c>
      <c r="F50" s="6" t="s">
        <v>201</v>
      </c>
      <c r="G50" s="9">
        <f>IF(A50=1,"_",IF(C50="_","???",C50))</f>
        <v/>
      </c>
      <c r="H50" s="10" t="s">
        <v>12</v>
      </c>
      <c r="I50" s="11" t="s">
        <v>12</v>
      </c>
      <c r="J50" s="12"/>
    </row>
    <row r="51" spans="1:10" ht="60" customHeight="1">
      <c r="A51" s="6" t="s">
        <v>202</v>
      </c>
      <c r="B51" s="6" t="s">
        <v>11</v>
      </c>
      <c r="C51" s="6" t="s">
        <v>12</v>
      </c>
      <c r="D51" s="7" t="s">
        <v>203</v>
      </c>
      <c r="E51" s="8" t="s">
        <v>204</v>
      </c>
      <c r="F51" s="6" t="s">
        <v>205</v>
      </c>
      <c r="G51" s="9">
        <f>IF(A51=1,"_",IF(C51="_","???",C51))</f>
        <v/>
      </c>
      <c r="H51" s="10" t="s">
        <v>12</v>
      </c>
      <c r="I51" s="11" t="s">
        <v>12</v>
      </c>
      <c r="J51" s="12"/>
    </row>
    <row r="52" spans="1:10" ht="60" customHeight="1">
      <c r="A52" s="6" t="s">
        <v>206</v>
      </c>
      <c r="B52" s="6" t="s">
        <v>19</v>
      </c>
      <c r="C52" s="6" t="s">
        <v>73</v>
      </c>
      <c r="D52" s="7" t="s">
        <v>207</v>
      </c>
      <c r="E52" s="8" t="s">
        <v>208</v>
      </c>
      <c r="F52" s="6" t="s">
        <v>209</v>
      </c>
      <c r="G52" s="9">
        <f>IF(A52=1,"_",IF(C52="_","???",C52))</f>
        <v/>
      </c>
      <c r="H52" s="10" t="s">
        <v>12</v>
      </c>
      <c r="I52" s="11" t="s">
        <v>12</v>
      </c>
      <c r="J52" s="12"/>
    </row>
    <row r="53" spans="1:10" ht="60" customHeight="1">
      <c r="A53" s="6" t="s">
        <v>210</v>
      </c>
      <c r="B53" s="6" t="s">
        <v>24</v>
      </c>
      <c r="C53" s="6" t="s">
        <v>12</v>
      </c>
      <c r="D53" s="7" t="s">
        <v>211</v>
      </c>
      <c r="E53" s="8" t="s">
        <v>212</v>
      </c>
      <c r="F53" s="6" t="s">
        <v>213</v>
      </c>
      <c r="G53" s="9">
        <f>IF(A53=1,"_",IF(C53="_","???",C53))</f>
        <v/>
      </c>
      <c r="H53" s="10" t="s">
        <v>12</v>
      </c>
      <c r="I53" s="11" t="s">
        <v>12</v>
      </c>
      <c r="J53" s="12"/>
    </row>
    <row r="54" spans="1:10" ht="60" customHeight="1">
      <c r="A54" s="6" t="s">
        <v>214</v>
      </c>
      <c r="B54" s="6" t="s">
        <v>72</v>
      </c>
      <c r="C54" s="6" t="s">
        <v>12</v>
      </c>
      <c r="D54" s="7" t="s">
        <v>215</v>
      </c>
      <c r="E54" s="8" t="s">
        <v>216</v>
      </c>
      <c r="F54" s="6" t="s">
        <v>217</v>
      </c>
      <c r="G54" s="9">
        <f>IF(A54=1,"_",IF(C54="_","???",C54))</f>
        <v/>
      </c>
      <c r="H54" s="10" t="s">
        <v>12</v>
      </c>
      <c r="I54" s="11" t="s">
        <v>12</v>
      </c>
      <c r="J54" s="12"/>
    </row>
    <row r="55" spans="1:10" ht="60" customHeight="1">
      <c r="A55" s="6" t="s">
        <v>218</v>
      </c>
      <c r="B55" s="6" t="s">
        <v>11</v>
      </c>
      <c r="C55" s="6" t="s">
        <v>12</v>
      </c>
      <c r="D55" s="7" t="s">
        <v>215</v>
      </c>
      <c r="E55" s="8" t="s">
        <v>219</v>
      </c>
      <c r="F55" s="6" t="s">
        <v>220</v>
      </c>
      <c r="G55" s="9">
        <f>IF(A55=1,"_",IF(C55="_","???",C55))</f>
        <v/>
      </c>
      <c r="H55" s="10" t="s">
        <v>12</v>
      </c>
      <c r="I55" s="11" t="s">
        <v>12</v>
      </c>
      <c r="J55" s="12"/>
    </row>
    <row r="56" spans="1:10" ht="60" customHeight="1">
      <c r="A56" s="6" t="s">
        <v>221</v>
      </c>
      <c r="B56" s="6" t="s">
        <v>11</v>
      </c>
      <c r="C56" s="6" t="s">
        <v>12</v>
      </c>
      <c r="D56" s="7" t="s">
        <v>215</v>
      </c>
      <c r="E56" s="8" t="s">
        <v>222</v>
      </c>
      <c r="F56" s="6" t="s">
        <v>223</v>
      </c>
      <c r="G56" s="9">
        <f>IF(A56=1,"_",IF(C56="_","???",C56))</f>
        <v/>
      </c>
      <c r="H56" s="10" t="s">
        <v>12</v>
      </c>
      <c r="I56" s="11" t="s">
        <v>12</v>
      </c>
      <c r="J56" s="12"/>
    </row>
    <row r="57" spans="1:10" ht="60" customHeight="1">
      <c r="A57" s="6" t="s">
        <v>224</v>
      </c>
      <c r="B57" s="6" t="s">
        <v>11</v>
      </c>
      <c r="C57" s="6" t="s">
        <v>12</v>
      </c>
      <c r="D57" s="7" t="s">
        <v>215</v>
      </c>
      <c r="E57" s="8" t="s">
        <v>225</v>
      </c>
      <c r="F57" s="6" t="s">
        <v>226</v>
      </c>
      <c r="G57" s="9">
        <f>IF(A57=1,"_",IF(C57="_","???",C57))</f>
        <v/>
      </c>
      <c r="H57" s="10" t="s">
        <v>12</v>
      </c>
      <c r="I57" s="11" t="s">
        <v>12</v>
      </c>
      <c r="J57" s="12"/>
    </row>
    <row r="58" spans="1:10" ht="60" customHeight="1">
      <c r="A58" s="6" t="s">
        <v>227</v>
      </c>
      <c r="B58" s="6" t="s">
        <v>19</v>
      </c>
      <c r="C58" s="6" t="s">
        <v>12</v>
      </c>
      <c r="D58" s="7" t="s">
        <v>29</v>
      </c>
      <c r="E58" s="8" t="s">
        <v>228</v>
      </c>
      <c r="F58" s="6" t="s">
        <v>229</v>
      </c>
      <c r="G58" s="9">
        <f>IF(A58=1,"_",IF(C58="_","???",C58))</f>
        <v/>
      </c>
      <c r="H58" s="10" t="s">
        <v>12</v>
      </c>
      <c r="I58" s="11" t="s">
        <v>12</v>
      </c>
      <c r="J58" s="12"/>
    </row>
    <row r="59" spans="1:10" ht="60" customHeight="1">
      <c r="A59" s="6" t="s">
        <v>230</v>
      </c>
      <c r="B59" s="6" t="s">
        <v>10</v>
      </c>
      <c r="C59" s="6" t="s">
        <v>159</v>
      </c>
      <c r="D59" s="7" t="s">
        <v>231</v>
      </c>
      <c r="E59" s="8" t="s">
        <v>232</v>
      </c>
      <c r="F59" s="6" t="s">
        <v>233</v>
      </c>
      <c r="G59" s="9">
        <f>IF(A59=1,"_",IF(C59="_","???",C59))</f>
        <v/>
      </c>
      <c r="H59" s="10" t="s">
        <v>12</v>
      </c>
      <c r="I59" s="11" t="s">
        <v>12</v>
      </c>
      <c r="J59" s="12"/>
    </row>
    <row r="60" spans="1:10" ht="60" customHeight="1">
      <c r="A60" s="6" t="s">
        <v>234</v>
      </c>
      <c r="B60" s="6" t="s">
        <v>11</v>
      </c>
      <c r="C60" s="6" t="s">
        <v>12</v>
      </c>
      <c r="D60" s="7" t="s">
        <v>235</v>
      </c>
      <c r="E60" s="8" t="s">
        <v>236</v>
      </c>
      <c r="F60" s="6" t="s">
        <v>237</v>
      </c>
      <c r="G60" s="9">
        <f>IF(A60=1,"_",IF(C60="_","???",C60))</f>
        <v/>
      </c>
      <c r="H60" s="10" t="s">
        <v>12</v>
      </c>
      <c r="I60" s="11" t="s">
        <v>12</v>
      </c>
      <c r="J60" s="12"/>
    </row>
    <row r="61" spans="1:10" ht="60" customHeight="1">
      <c r="A61" s="6" t="s">
        <v>238</v>
      </c>
      <c r="B61" s="6" t="s">
        <v>56</v>
      </c>
      <c r="C61" s="6" t="s">
        <v>12</v>
      </c>
      <c r="D61" s="7" t="s">
        <v>239</v>
      </c>
      <c r="E61" s="8" t="s">
        <v>240</v>
      </c>
      <c r="F61" s="6" t="s">
        <v>241</v>
      </c>
      <c r="G61" s="9">
        <f>IF(A61=1,"_",IF(C61="_","???",C61))</f>
        <v/>
      </c>
      <c r="H61" s="10" t="s">
        <v>12</v>
      </c>
      <c r="I61" s="11" t="s">
        <v>12</v>
      </c>
      <c r="J61" s="12"/>
    </row>
    <row r="62" spans="1:10" ht="60" customHeight="1">
      <c r="A62" s="6" t="s">
        <v>242</v>
      </c>
      <c r="B62" s="6" t="s">
        <v>11</v>
      </c>
      <c r="C62" s="6" t="s">
        <v>12</v>
      </c>
      <c r="D62" s="7" t="s">
        <v>243</v>
      </c>
      <c r="E62" s="8" t="s">
        <v>244</v>
      </c>
      <c r="F62" s="6" t="s">
        <v>245</v>
      </c>
      <c r="G62" s="9">
        <f>IF(A62=1,"_",IF(C62="_","???",C62))</f>
        <v/>
      </c>
      <c r="H62" s="10" t="s">
        <v>12</v>
      </c>
      <c r="I62" s="11" t="s">
        <v>12</v>
      </c>
      <c r="J62" s="12"/>
    </row>
    <row r="63" spans="1:10" ht="60" customHeight="1">
      <c r="A63" s="6" t="s">
        <v>246</v>
      </c>
      <c r="B63" s="6" t="s">
        <v>32</v>
      </c>
      <c r="C63" s="6" t="s">
        <v>12</v>
      </c>
      <c r="D63" s="7" t="s">
        <v>247</v>
      </c>
      <c r="E63" s="8" t="s">
        <v>248</v>
      </c>
      <c r="F63" s="6" t="s">
        <v>249</v>
      </c>
      <c r="G63" s="9">
        <f>IF(A63=1,"_",IF(C63="_","???",C63))</f>
        <v/>
      </c>
      <c r="H63" s="10" t="s">
        <v>12</v>
      </c>
      <c r="I63" s="11" t="s">
        <v>12</v>
      </c>
      <c r="J63" s="12"/>
    </row>
    <row r="64" spans="1:10" ht="60" customHeight="1">
      <c r="A64" s="6" t="s">
        <v>250</v>
      </c>
      <c r="B64" s="6" t="s">
        <v>19</v>
      </c>
      <c r="C64" s="6" t="s">
        <v>12</v>
      </c>
      <c r="D64" s="7" t="s">
        <v>251</v>
      </c>
      <c r="E64" s="8" t="s">
        <v>252</v>
      </c>
      <c r="F64" s="6" t="s">
        <v>253</v>
      </c>
      <c r="G64" s="9">
        <f>IF(A64=1,"_",IF(C64="_","???",C64))</f>
        <v/>
      </c>
      <c r="H64" s="10" t="s">
        <v>12</v>
      </c>
      <c r="I64" s="11" t="s">
        <v>12</v>
      </c>
      <c r="J64" s="12"/>
    </row>
    <row r="65" spans="1:10" ht="60" customHeight="1">
      <c r="A65" s="6" t="s">
        <v>254</v>
      </c>
      <c r="B65" s="6" t="s">
        <v>90</v>
      </c>
      <c r="C65" s="6" t="s">
        <v>12</v>
      </c>
      <c r="D65" s="7" t="s">
        <v>255</v>
      </c>
      <c r="E65" s="8" t="s">
        <v>256</v>
      </c>
      <c r="F65" s="6" t="s">
        <v>257</v>
      </c>
      <c r="G65" s="9">
        <f>IF(A65=1,"_",IF(C65="_","???",C65))</f>
        <v/>
      </c>
      <c r="H65" s="10" t="s">
        <v>12</v>
      </c>
      <c r="I65" s="11" t="s">
        <v>12</v>
      </c>
      <c r="J65" s="12"/>
    </row>
    <row r="66" spans="1:10" ht="60" customHeight="1">
      <c r="A66" s="6" t="s">
        <v>258</v>
      </c>
      <c r="B66" s="6" t="s">
        <v>11</v>
      </c>
      <c r="C66" s="6" t="s">
        <v>12</v>
      </c>
      <c r="D66" s="7" t="s">
        <v>259</v>
      </c>
      <c r="E66" s="8" t="s">
        <v>260</v>
      </c>
      <c r="F66" s="6" t="s">
        <v>261</v>
      </c>
      <c r="G66" s="9">
        <f>IF(A66=1,"_",IF(C66="_","???",C66))</f>
        <v/>
      </c>
      <c r="H66" s="10" t="s">
        <v>12</v>
      </c>
      <c r="I66" s="11" t="s">
        <v>12</v>
      </c>
      <c r="J66" s="12"/>
    </row>
    <row r="67" spans="1:10" ht="60" customHeight="1">
      <c r="A67" s="6" t="s">
        <v>262</v>
      </c>
      <c r="B67" s="6" t="s">
        <v>11</v>
      </c>
      <c r="C67" s="6" t="s">
        <v>12</v>
      </c>
      <c r="D67" s="7" t="s">
        <v>263</v>
      </c>
      <c r="E67" s="8" t="s">
        <v>264</v>
      </c>
      <c r="F67" s="6" t="s">
        <v>265</v>
      </c>
      <c r="G67" s="9">
        <f>IF(A67=1,"_",IF(C67="_","???",C67))</f>
        <v/>
      </c>
      <c r="H67" s="10" t="s">
        <v>12</v>
      </c>
      <c r="I67" s="11" t="s">
        <v>12</v>
      </c>
      <c r="J67" s="12"/>
    </row>
    <row r="68" spans="1:10" ht="60" customHeight="1">
      <c r="A68" s="6" t="s">
        <v>266</v>
      </c>
      <c r="B68" s="6" t="s">
        <v>28</v>
      </c>
      <c r="C68" s="6" t="s">
        <v>12</v>
      </c>
      <c r="D68" s="7" t="s">
        <v>267</v>
      </c>
      <c r="E68" s="8" t="s">
        <v>268</v>
      </c>
      <c r="F68" s="6" t="s">
        <v>269</v>
      </c>
      <c r="G68" s="9">
        <f>IF(A68=1,"_",IF(C68="_","???",C68))</f>
        <v/>
      </c>
      <c r="H68" s="10" t="s">
        <v>12</v>
      </c>
      <c r="I68" s="11" t="s">
        <v>12</v>
      </c>
      <c r="J68" s="12"/>
    </row>
    <row r="69" spans="1:10" ht="60" customHeight="1">
      <c r="A69" s="6" t="s">
        <v>270</v>
      </c>
      <c r="B69" s="6" t="s">
        <v>19</v>
      </c>
      <c r="C69" s="6" t="s">
        <v>12</v>
      </c>
      <c r="D69" s="7" t="s">
        <v>271</v>
      </c>
      <c r="E69" s="8" t="s">
        <v>272</v>
      </c>
      <c r="F69" s="6" t="s">
        <v>273</v>
      </c>
      <c r="G69" s="9">
        <f>IF(A69=1,"_",IF(C69="_","???",C69))</f>
        <v/>
      </c>
      <c r="H69" s="10" t="s">
        <v>12</v>
      </c>
      <c r="I69" s="11" t="s">
        <v>12</v>
      </c>
      <c r="J69" s="12"/>
    </row>
    <row r="70" spans="1:10" ht="60" customHeight="1">
      <c r="A70" s="6" t="s">
        <v>274</v>
      </c>
      <c r="B70" s="6" t="s">
        <v>11</v>
      </c>
      <c r="C70" s="6" t="s">
        <v>12</v>
      </c>
      <c r="D70" s="7" t="s">
        <v>275</v>
      </c>
      <c r="E70" s="8" t="s">
        <v>276</v>
      </c>
      <c r="F70" s="6" t="s">
        <v>277</v>
      </c>
      <c r="G70" s="9">
        <f>IF(A70=1,"_",IF(C70="_","???",C70))</f>
        <v/>
      </c>
      <c r="H70" s="10" t="s">
        <v>12</v>
      </c>
      <c r="I70" s="11" t="s">
        <v>12</v>
      </c>
      <c r="J70" s="12"/>
    </row>
    <row r="71" spans="1:10" ht="60" customHeight="1">
      <c r="A71" s="6" t="s">
        <v>278</v>
      </c>
      <c r="B71" s="6" t="s">
        <v>11</v>
      </c>
      <c r="C71" s="6" t="s">
        <v>12</v>
      </c>
      <c r="D71" s="7" t="s">
        <v>271</v>
      </c>
      <c r="E71" s="8" t="s">
        <v>279</v>
      </c>
      <c r="F71" s="6" t="s">
        <v>280</v>
      </c>
      <c r="G71" s="9">
        <f>IF(A71=1,"_",IF(C71="_","???",C71))</f>
        <v/>
      </c>
      <c r="H71" s="10" t="s">
        <v>12</v>
      </c>
      <c r="I71" s="11" t="s">
        <v>12</v>
      </c>
      <c r="J71" s="12"/>
    </row>
    <row r="72" spans="1:10" ht="60" customHeight="1">
      <c r="A72" s="6" t="s">
        <v>281</v>
      </c>
      <c r="B72" s="6" t="s">
        <v>19</v>
      </c>
      <c r="C72" s="6" t="s">
        <v>12</v>
      </c>
      <c r="D72" s="7" t="s">
        <v>271</v>
      </c>
      <c r="E72" s="8" t="s">
        <v>282</v>
      </c>
      <c r="F72" s="6" t="s">
        <v>283</v>
      </c>
      <c r="G72" s="9">
        <f>IF(A72=1,"_",IF(C72="_","???",C72))</f>
        <v/>
      </c>
      <c r="H72" s="10" t="s">
        <v>12</v>
      </c>
      <c r="I72" s="11" t="s">
        <v>12</v>
      </c>
      <c r="J72" s="12"/>
    </row>
    <row r="73" spans="1:10" ht="60" customHeight="1">
      <c r="A73" s="6" t="s">
        <v>284</v>
      </c>
      <c r="B73" s="6" t="s">
        <v>23</v>
      </c>
      <c r="C73" s="6" t="s">
        <v>12</v>
      </c>
      <c r="D73" s="7" t="s">
        <v>285</v>
      </c>
      <c r="E73" s="8" t="s">
        <v>286</v>
      </c>
      <c r="F73" s="6" t="s">
        <v>287</v>
      </c>
      <c r="G73" s="9">
        <f>IF(A73=1,"_",IF(C73="_","???",C73))</f>
        <v/>
      </c>
      <c r="H73" s="10" t="s">
        <v>12</v>
      </c>
      <c r="I73" s="11" t="s">
        <v>12</v>
      </c>
      <c r="J73" s="12"/>
    </row>
    <row r="74" spans="1:10" ht="60" customHeight="1">
      <c r="A74" s="6" t="s">
        <v>288</v>
      </c>
      <c r="B74" s="6" t="s">
        <v>47</v>
      </c>
      <c r="C74" s="6" t="s">
        <v>12</v>
      </c>
      <c r="D74" s="7" t="s">
        <v>289</v>
      </c>
      <c r="E74" s="8" t="s">
        <v>290</v>
      </c>
      <c r="F74" s="6" t="s">
        <v>291</v>
      </c>
      <c r="G74" s="9">
        <f>IF(A74=1,"_",IF(C74="_","???",C74))</f>
        <v/>
      </c>
      <c r="H74" s="10" t="s">
        <v>12</v>
      </c>
      <c r="I74" s="11" t="s">
        <v>12</v>
      </c>
      <c r="J74" s="12"/>
    </row>
    <row r="75" spans="1:10" ht="60" customHeight="1">
      <c r="A75" s="6" t="s">
        <v>292</v>
      </c>
      <c r="B75" s="6" t="s">
        <v>67</v>
      </c>
      <c r="C75" s="6" t="s">
        <v>78</v>
      </c>
      <c r="D75" s="7" t="s">
        <v>293</v>
      </c>
      <c r="E75" s="8" t="s">
        <v>294</v>
      </c>
      <c r="F75" s="6" t="s">
        <v>295</v>
      </c>
      <c r="G75" s="9">
        <f>IF(A75=1,"_",IF(C75="_","???",C75))</f>
        <v/>
      </c>
      <c r="H75" s="10" t="s">
        <v>12</v>
      </c>
      <c r="I75" s="11" t="s">
        <v>12</v>
      </c>
      <c r="J75" s="12"/>
    </row>
    <row r="76" spans="1:10" ht="60" customHeight="1">
      <c r="A76" s="6" t="s">
        <v>296</v>
      </c>
      <c r="B76" s="6" t="s">
        <v>11</v>
      </c>
      <c r="C76" s="6" t="s">
        <v>12</v>
      </c>
      <c r="D76" s="7" t="s">
        <v>297</v>
      </c>
      <c r="E76" s="8" t="s">
        <v>298</v>
      </c>
      <c r="F76" s="6" t="s">
        <v>299</v>
      </c>
      <c r="G76" s="9">
        <f>IF(A76=1,"_",IF(C76="_","???",C76))</f>
        <v/>
      </c>
      <c r="H76" s="10" t="s">
        <v>12</v>
      </c>
      <c r="I76" s="11" t="s">
        <v>12</v>
      </c>
      <c r="J76" s="12"/>
    </row>
    <row r="77" spans="1:10" ht="60" customHeight="1">
      <c r="A77" s="6" t="s">
        <v>300</v>
      </c>
      <c r="B77" s="6" t="s">
        <v>19</v>
      </c>
      <c r="C77" s="6" t="s">
        <v>12</v>
      </c>
      <c r="D77" s="7" t="s">
        <v>301</v>
      </c>
      <c r="E77" s="8" t="s">
        <v>302</v>
      </c>
      <c r="F77" s="6" t="s">
        <v>303</v>
      </c>
      <c r="G77" s="9">
        <f>IF(A77=1,"_",IF(C77="_","???",C77))</f>
        <v/>
      </c>
      <c r="H77" s="10" t="s">
        <v>12</v>
      </c>
      <c r="I77" s="11" t="s">
        <v>12</v>
      </c>
      <c r="J77" s="12"/>
    </row>
    <row r="78" spans="1:10" ht="60" customHeight="1">
      <c r="A78" s="6" t="s">
        <v>304</v>
      </c>
      <c r="B78" s="6" t="s">
        <v>23</v>
      </c>
      <c r="C78" s="6" t="s">
        <v>12</v>
      </c>
      <c r="D78" s="7" t="s">
        <v>271</v>
      </c>
      <c r="E78" s="8" t="s">
        <v>305</v>
      </c>
      <c r="F78" s="6" t="s">
        <v>306</v>
      </c>
      <c r="G78" s="9">
        <f>IF(A78=1,"_",IF(C78="_","???",C78))</f>
        <v/>
      </c>
      <c r="H78" s="10" t="s">
        <v>12</v>
      </c>
      <c r="I78" s="11" t="s">
        <v>12</v>
      </c>
      <c r="J78" s="12"/>
    </row>
    <row r="79" spans="1:10" ht="60" customHeight="1">
      <c r="A79" s="6" t="s">
        <v>307</v>
      </c>
      <c r="B79" s="6" t="s">
        <v>36</v>
      </c>
      <c r="C79" s="6" t="s">
        <v>12</v>
      </c>
      <c r="D79" s="7" t="s">
        <v>29</v>
      </c>
      <c r="E79" s="8" t="s">
        <v>308</v>
      </c>
      <c r="F79" s="6" t="s">
        <v>309</v>
      </c>
      <c r="G79" s="9">
        <f>IF(A79=1,"_",IF(C79="_","???",C79))</f>
        <v/>
      </c>
      <c r="H79" s="10" t="s">
        <v>12</v>
      </c>
      <c r="I79" s="11" t="s">
        <v>12</v>
      </c>
      <c r="J79" s="12"/>
    </row>
    <row r="80" spans="1:10" ht="60" customHeight="1">
      <c r="A80" s="6" t="s">
        <v>310</v>
      </c>
      <c r="B80" s="6" t="s">
        <v>11</v>
      </c>
      <c r="C80" s="6" t="s">
        <v>12</v>
      </c>
      <c r="D80" s="7" t="s">
        <v>263</v>
      </c>
      <c r="E80" s="8" t="s">
        <v>311</v>
      </c>
      <c r="F80" s="6" t="s">
        <v>312</v>
      </c>
      <c r="G80" s="9">
        <f>IF(A80=1,"_",IF(C80="_","???",C80))</f>
        <v/>
      </c>
      <c r="H80" s="10" t="s">
        <v>12</v>
      </c>
      <c r="I80" s="11" t="s">
        <v>12</v>
      </c>
      <c r="J80" s="12"/>
    </row>
    <row r="81" spans="1:10" ht="60" customHeight="1">
      <c r="A81" s="6" t="s">
        <v>313</v>
      </c>
      <c r="B81" s="6" t="s">
        <v>67</v>
      </c>
      <c r="C81" s="6" t="s">
        <v>12</v>
      </c>
      <c r="D81" s="7" t="s">
        <v>192</v>
      </c>
      <c r="E81" s="8" t="s">
        <v>314</v>
      </c>
      <c r="F81" s="6" t="s">
        <v>315</v>
      </c>
      <c r="G81" s="9">
        <f>IF(A81=1,"_",IF(C81="_","???",C81))</f>
        <v/>
      </c>
      <c r="H81" s="10" t="s">
        <v>12</v>
      </c>
      <c r="I81" s="11" t="s">
        <v>12</v>
      </c>
      <c r="J81" s="12"/>
    </row>
    <row r="82" spans="1:10" ht="60" customHeight="1">
      <c r="A82" s="6" t="s">
        <v>316</v>
      </c>
      <c r="B82" s="6" t="s">
        <v>11</v>
      </c>
      <c r="C82" s="6" t="s">
        <v>12</v>
      </c>
      <c r="D82" s="7" t="s">
        <v>317</v>
      </c>
      <c r="E82" s="8" t="s">
        <v>318</v>
      </c>
      <c r="F82" s="6" t="s">
        <v>319</v>
      </c>
      <c r="G82" s="9">
        <f>IF(A82=1,"_",IF(C82="_","???",C82))</f>
        <v/>
      </c>
      <c r="H82" s="10" t="s">
        <v>12</v>
      </c>
      <c r="I82" s="11" t="s">
        <v>12</v>
      </c>
      <c r="J82" s="12"/>
    </row>
    <row r="83" spans="1:10" ht="60" customHeight="1">
      <c r="A83" s="6" t="s">
        <v>320</v>
      </c>
      <c r="B83" s="6" t="s">
        <v>67</v>
      </c>
      <c r="C83" s="6" t="s">
        <v>12</v>
      </c>
      <c r="D83" s="7" t="s">
        <v>37</v>
      </c>
      <c r="E83" s="8" t="s">
        <v>321</v>
      </c>
      <c r="F83" s="6" t="s">
        <v>322</v>
      </c>
      <c r="G83" s="9">
        <f>IF(A83=1,"_",IF(C83="_","???",C83))</f>
        <v/>
      </c>
      <c r="H83" s="10" t="s">
        <v>12</v>
      </c>
      <c r="I83" s="11" t="s">
        <v>12</v>
      </c>
      <c r="J83" s="12"/>
    </row>
    <row r="84" spans="1:10" ht="60" customHeight="1">
      <c r="A84" s="6" t="s">
        <v>323</v>
      </c>
      <c r="B84" s="6" t="s">
        <v>11</v>
      </c>
      <c r="C84" s="6" t="s">
        <v>12</v>
      </c>
      <c r="D84" s="7" t="s">
        <v>324</v>
      </c>
      <c r="E84" s="8" t="s">
        <v>325</v>
      </c>
      <c r="F84" s="6" t="s">
        <v>326</v>
      </c>
      <c r="G84" s="9">
        <f>IF(A84=1,"_",IF(C84="_","???",C84))</f>
        <v/>
      </c>
      <c r="H84" s="10" t="s">
        <v>12</v>
      </c>
      <c r="I84" s="11" t="s">
        <v>12</v>
      </c>
      <c r="J84" s="12"/>
    </row>
    <row r="85" spans="1:10" ht="60" customHeight="1">
      <c r="A85" s="6" t="s">
        <v>327</v>
      </c>
      <c r="B85" s="6" t="s">
        <v>11</v>
      </c>
      <c r="C85" s="6" t="s">
        <v>12</v>
      </c>
      <c r="D85" s="7" t="s">
        <v>328</v>
      </c>
      <c r="E85" s="8" t="s">
        <v>329</v>
      </c>
      <c r="F85" s="6" t="s">
        <v>330</v>
      </c>
      <c r="G85" s="9">
        <f>IF(A85=1,"_",IF(C85="_","???",C85))</f>
        <v/>
      </c>
      <c r="H85" s="10" t="s">
        <v>12</v>
      </c>
      <c r="I85" s="11" t="s">
        <v>12</v>
      </c>
      <c r="J85" s="12"/>
    </row>
    <row r="86" spans="1:10" ht="60" customHeight="1">
      <c r="A86" s="6" t="s">
        <v>331</v>
      </c>
      <c r="B86" s="6" t="s">
        <v>43</v>
      </c>
      <c r="C86" s="6" t="s">
        <v>12</v>
      </c>
      <c r="D86" s="7" t="s">
        <v>110</v>
      </c>
      <c r="E86" s="8" t="s">
        <v>332</v>
      </c>
      <c r="F86" s="6" t="s">
        <v>333</v>
      </c>
      <c r="G86" s="9">
        <f>IF(A86=1,"_",IF(C86="_","???",C86))</f>
        <v/>
      </c>
      <c r="H86" s="10" t="s">
        <v>12</v>
      </c>
      <c r="I86" s="11" t="s">
        <v>12</v>
      </c>
      <c r="J86" s="12"/>
    </row>
    <row r="87" spans="1:10" ht="60" customHeight="1">
      <c r="A87" s="6" t="s">
        <v>334</v>
      </c>
      <c r="B87" s="6" t="s">
        <v>23</v>
      </c>
      <c r="C87" s="6" t="s">
        <v>12</v>
      </c>
      <c r="D87" s="7" t="s">
        <v>335</v>
      </c>
      <c r="E87" s="8" t="s">
        <v>336</v>
      </c>
      <c r="F87" s="6" t="s">
        <v>337</v>
      </c>
      <c r="G87" s="9">
        <f>IF(A87=1,"_",IF(C87="_","???",C87))</f>
        <v/>
      </c>
      <c r="H87" s="10" t="s">
        <v>12</v>
      </c>
      <c r="I87" s="11" t="s">
        <v>12</v>
      </c>
      <c r="J87" s="12"/>
    </row>
    <row r="88" spans="1:10" ht="60" customHeight="1">
      <c r="A88" s="6" t="s">
        <v>338</v>
      </c>
      <c r="B88" s="6" t="s">
        <v>162</v>
      </c>
      <c r="C88" s="6" t="s">
        <v>159</v>
      </c>
      <c r="D88" s="7" t="s">
        <v>339</v>
      </c>
      <c r="E88" s="8" t="s">
        <v>340</v>
      </c>
      <c r="F88" s="6" t="s">
        <v>341</v>
      </c>
      <c r="G88" s="9">
        <f>IF(A88=1,"_",IF(C88="_","???",C88))</f>
        <v/>
      </c>
      <c r="H88" s="10" t="s">
        <v>12</v>
      </c>
      <c r="I88" s="11" t="s">
        <v>12</v>
      </c>
      <c r="J88" s="12"/>
    </row>
    <row r="89" spans="1:10" ht="60" customHeight="1">
      <c r="A89" s="6" t="s">
        <v>342</v>
      </c>
      <c r="B89" s="6" t="s">
        <v>19</v>
      </c>
      <c r="C89" s="6" t="s">
        <v>12</v>
      </c>
      <c r="D89" s="7" t="s">
        <v>343</v>
      </c>
      <c r="E89" s="8" t="s">
        <v>344</v>
      </c>
      <c r="F89" s="6" t="s">
        <v>345</v>
      </c>
      <c r="G89" s="9">
        <f>IF(A89=1,"_",IF(C89="_","???",C89))</f>
        <v/>
      </c>
      <c r="H89" s="10" t="s">
        <v>12</v>
      </c>
      <c r="I89" s="11" t="s">
        <v>12</v>
      </c>
      <c r="J89" s="12"/>
    </row>
    <row r="90" spans="1:10" ht="60" customHeight="1">
      <c r="A90" s="6" t="s">
        <v>346</v>
      </c>
      <c r="B90" s="6" t="s">
        <v>19</v>
      </c>
      <c r="C90" s="6" t="s">
        <v>12</v>
      </c>
      <c r="D90" s="7" t="s">
        <v>347</v>
      </c>
      <c r="E90" s="8" t="s">
        <v>348</v>
      </c>
      <c r="F90" s="6" t="s">
        <v>349</v>
      </c>
      <c r="G90" s="9">
        <f>IF(A90=1,"_",IF(C90="_","???",C90))</f>
        <v/>
      </c>
      <c r="H90" s="10" t="s">
        <v>12</v>
      </c>
      <c r="I90" s="11" t="s">
        <v>12</v>
      </c>
      <c r="J90" s="12"/>
    </row>
    <row r="91" spans="1:10" ht="60" customHeight="1">
      <c r="A91" s="6" t="s">
        <v>350</v>
      </c>
      <c r="B91" s="6" t="s">
        <v>11</v>
      </c>
      <c r="C91" s="6" t="s">
        <v>12</v>
      </c>
      <c r="D91" s="7" t="s">
        <v>351</v>
      </c>
      <c r="E91" s="8" t="s">
        <v>352</v>
      </c>
      <c r="F91" s="6" t="s">
        <v>353</v>
      </c>
      <c r="G91" s="9">
        <f>IF(A91=1,"_",IF(C91="_","???",C91))</f>
        <v/>
      </c>
      <c r="H91" s="10" t="s">
        <v>12</v>
      </c>
      <c r="I91" s="11" t="s">
        <v>12</v>
      </c>
      <c r="J91" s="12"/>
    </row>
    <row r="92" spans="1:10" ht="60" customHeight="1">
      <c r="A92" s="6" t="s">
        <v>354</v>
      </c>
      <c r="B92" s="6" t="s">
        <v>11</v>
      </c>
      <c r="C92" s="6" t="s">
        <v>12</v>
      </c>
      <c r="D92" s="7" t="s">
        <v>355</v>
      </c>
      <c r="E92" s="8" t="s">
        <v>356</v>
      </c>
      <c r="F92" s="6" t="s">
        <v>357</v>
      </c>
      <c r="G92" s="9">
        <f>IF(A92=1,"_",IF(C92="_","???",C92))</f>
        <v/>
      </c>
      <c r="H92" s="10" t="s">
        <v>12</v>
      </c>
      <c r="I92" s="11" t="s">
        <v>12</v>
      </c>
      <c r="J92" s="12"/>
    </row>
    <row r="93" spans="1:10" ht="60" customHeight="1">
      <c r="A93" s="6" t="s">
        <v>358</v>
      </c>
      <c r="B93" s="6" t="s">
        <v>11</v>
      </c>
      <c r="C93" s="6" t="s">
        <v>12</v>
      </c>
      <c r="D93" s="7" t="s">
        <v>211</v>
      </c>
      <c r="E93" s="8" t="s">
        <v>359</v>
      </c>
      <c r="F93" s="6" t="s">
        <v>360</v>
      </c>
      <c r="G93" s="9">
        <f>IF(A93=1,"_",IF(C93="_","???",C93))</f>
        <v/>
      </c>
      <c r="H93" s="10" t="s">
        <v>12</v>
      </c>
      <c r="I93" s="11" t="s">
        <v>12</v>
      </c>
      <c r="J93" s="12"/>
    </row>
    <row r="94" spans="1:10" ht="60" customHeight="1">
      <c r="A94" s="6" t="s">
        <v>361</v>
      </c>
      <c r="B94" s="6" t="s">
        <v>10</v>
      </c>
      <c r="C94" s="6" t="s">
        <v>12</v>
      </c>
      <c r="D94" s="7" t="s">
        <v>362</v>
      </c>
      <c r="E94" s="8" t="s">
        <v>363</v>
      </c>
      <c r="F94" s="6" t="s">
        <v>364</v>
      </c>
      <c r="G94" s="9">
        <f>IF(A94=1,"_",IF(C94="_","???",C94))</f>
        <v/>
      </c>
      <c r="H94" s="10" t="s">
        <v>12</v>
      </c>
      <c r="I94" s="11" t="s">
        <v>12</v>
      </c>
      <c r="J94" s="12"/>
    </row>
    <row r="95" spans="1:10" ht="60" customHeight="1">
      <c r="A95" s="6" t="s">
        <v>365</v>
      </c>
      <c r="B95" s="6" t="s">
        <v>10</v>
      </c>
      <c r="C95" s="6" t="s">
        <v>12</v>
      </c>
      <c r="D95" s="7" t="s">
        <v>366</v>
      </c>
      <c r="E95" s="8" t="s">
        <v>367</v>
      </c>
      <c r="F95" s="6" t="s">
        <v>368</v>
      </c>
      <c r="G95" s="9">
        <f>IF(A95=1,"_",IF(C95="_","???",C95))</f>
        <v/>
      </c>
      <c r="H95" s="10" t="s">
        <v>12</v>
      </c>
      <c r="I95" s="11" t="s">
        <v>12</v>
      </c>
      <c r="J95" s="12"/>
    </row>
    <row r="96" spans="1:10" ht="60" customHeight="1">
      <c r="A96" s="6" t="s">
        <v>369</v>
      </c>
      <c r="B96" s="6" t="s">
        <v>28</v>
      </c>
      <c r="C96" s="6" t="s">
        <v>12</v>
      </c>
      <c r="D96" s="7" t="s">
        <v>370</v>
      </c>
      <c r="E96" s="8" t="s">
        <v>371</v>
      </c>
      <c r="F96" s="6" t="s">
        <v>372</v>
      </c>
      <c r="G96" s="9">
        <f>IF(A96=1,"_",IF(C96="_","???",C96))</f>
        <v/>
      </c>
      <c r="H96" s="10" t="s">
        <v>12</v>
      </c>
      <c r="I96" s="11" t="s">
        <v>12</v>
      </c>
      <c r="J96" s="12"/>
    </row>
    <row r="97" spans="1:10" ht="60" customHeight="1">
      <c r="A97" s="6" t="s">
        <v>373</v>
      </c>
      <c r="B97" s="6" t="s">
        <v>43</v>
      </c>
      <c r="C97" s="6" t="s">
        <v>12</v>
      </c>
      <c r="D97" s="7" t="s">
        <v>374</v>
      </c>
      <c r="E97" s="8" t="s">
        <v>375</v>
      </c>
      <c r="F97" s="6" t="s">
        <v>376</v>
      </c>
      <c r="G97" s="9">
        <f>IF(A97=1,"_",IF(C97="_","???",C97))</f>
        <v/>
      </c>
      <c r="H97" s="10" t="s">
        <v>12</v>
      </c>
      <c r="I97" s="11" t="s">
        <v>12</v>
      </c>
      <c r="J97" s="12"/>
    </row>
    <row r="98" spans="1:10" ht="60" customHeight="1">
      <c r="A98" s="6" t="s">
        <v>377</v>
      </c>
      <c r="B98" s="6" t="s">
        <v>10</v>
      </c>
      <c r="C98" s="6" t="s">
        <v>12</v>
      </c>
      <c r="D98" s="7" t="s">
        <v>378</v>
      </c>
      <c r="E98" s="8" t="s">
        <v>379</v>
      </c>
      <c r="F98" s="6" t="s">
        <v>380</v>
      </c>
      <c r="G98" s="9">
        <f>IF(A98=1,"_",IF(C98="_","???",C98))</f>
        <v/>
      </c>
      <c r="H98" s="10" t="s">
        <v>12</v>
      </c>
      <c r="I98" s="11" t="s">
        <v>12</v>
      </c>
      <c r="J98" s="12"/>
    </row>
    <row r="99" spans="1:10" ht="60" customHeight="1">
      <c r="A99" s="6" t="s">
        <v>381</v>
      </c>
      <c r="B99" s="6" t="s">
        <v>48</v>
      </c>
      <c r="C99" s="6" t="s">
        <v>159</v>
      </c>
      <c r="D99" s="7" t="s">
        <v>382</v>
      </c>
      <c r="E99" s="8" t="s">
        <v>383</v>
      </c>
      <c r="F99" s="6" t="s">
        <v>384</v>
      </c>
      <c r="G99" s="9">
        <f>IF(A99=1,"_",IF(C99="_","???",C99))</f>
        <v/>
      </c>
      <c r="H99" s="10" t="s">
        <v>12</v>
      </c>
      <c r="I99" s="11" t="s">
        <v>12</v>
      </c>
      <c r="J99" s="12"/>
    </row>
    <row r="100" spans="1:10" ht="60" customHeight="1">
      <c r="A100" s="6" t="s">
        <v>385</v>
      </c>
      <c r="B100" s="6" t="s">
        <v>82</v>
      </c>
      <c r="C100" s="6" t="s">
        <v>12</v>
      </c>
      <c r="D100" s="7" t="s">
        <v>386</v>
      </c>
      <c r="E100" s="8" t="s">
        <v>387</v>
      </c>
      <c r="F100" s="6" t="s">
        <v>388</v>
      </c>
      <c r="G100" s="9">
        <f>IF(A100=1,"_",IF(C100="_","???",C100))</f>
        <v/>
      </c>
      <c r="H100" s="10" t="s">
        <v>12</v>
      </c>
      <c r="I100" s="11" t="s">
        <v>12</v>
      </c>
      <c r="J100" s="12"/>
    </row>
    <row r="101" spans="1:10" ht="60" customHeight="1">
      <c r="A101" s="6" t="s">
        <v>389</v>
      </c>
      <c r="B101" s="6" t="s">
        <v>11</v>
      </c>
      <c r="C101" s="6" t="s">
        <v>12</v>
      </c>
      <c r="D101" s="7" t="s">
        <v>125</v>
      </c>
      <c r="E101" s="8" t="s">
        <v>390</v>
      </c>
      <c r="F101" s="6" t="s">
        <v>391</v>
      </c>
      <c r="G101" s="9">
        <f>IF(A101=1,"_",IF(C101="_","???",C101))</f>
        <v/>
      </c>
      <c r="H101" s="10" t="s">
        <v>12</v>
      </c>
      <c r="I101" s="11" t="s">
        <v>12</v>
      </c>
      <c r="J101" s="12"/>
    </row>
    <row r="102" spans="1:10" ht="60" customHeight="1">
      <c r="A102" s="6" t="s">
        <v>392</v>
      </c>
      <c r="B102" s="6" t="s">
        <v>11</v>
      </c>
      <c r="C102" s="6" t="s">
        <v>12</v>
      </c>
      <c r="D102" s="7" t="s">
        <v>393</v>
      </c>
      <c r="E102" s="8" t="s">
        <v>394</v>
      </c>
      <c r="F102" s="6" t="s">
        <v>395</v>
      </c>
      <c r="G102" s="9">
        <f>IF(A102=1,"_",IF(C102="_","???",C102))</f>
        <v/>
      </c>
      <c r="H102" s="10" t="s">
        <v>12</v>
      </c>
      <c r="I102" s="11" t="s">
        <v>12</v>
      </c>
      <c r="J102" s="12"/>
    </row>
    <row r="103" spans="1:10" ht="60" customHeight="1">
      <c r="A103" s="6" t="s">
        <v>396</v>
      </c>
      <c r="B103" s="6" t="s">
        <v>11</v>
      </c>
      <c r="C103" s="6" t="s">
        <v>12</v>
      </c>
      <c r="D103" s="7" t="s">
        <v>37</v>
      </c>
      <c r="E103" s="8" t="s">
        <v>397</v>
      </c>
      <c r="F103" s="6" t="s">
        <v>398</v>
      </c>
      <c r="G103" s="9">
        <f>IF(A103=1,"_",IF(C103="_","???",C103))</f>
        <v/>
      </c>
      <c r="H103" s="10" t="s">
        <v>12</v>
      </c>
      <c r="I103" s="11" t="s">
        <v>12</v>
      </c>
      <c r="J103" s="12"/>
    </row>
    <row r="104" spans="1:10" ht="60" customHeight="1">
      <c r="A104" s="6" t="s">
        <v>399</v>
      </c>
      <c r="B104" s="6" t="s">
        <v>11</v>
      </c>
      <c r="C104" s="6" t="s">
        <v>159</v>
      </c>
      <c r="D104" s="7" t="s">
        <v>400</v>
      </c>
      <c r="E104" s="8" t="s">
        <v>401</v>
      </c>
      <c r="F104" s="6" t="s">
        <v>402</v>
      </c>
      <c r="G104" s="9">
        <f>IF(A104=1,"_",IF(C104="_","???",C104))</f>
        <v/>
      </c>
      <c r="H104" s="10" t="s">
        <v>12</v>
      </c>
      <c r="I104" s="11" t="s">
        <v>12</v>
      </c>
      <c r="J104" s="12"/>
    </row>
    <row r="105" spans="1:10" ht="60" customHeight="1">
      <c r="A105" s="6" t="s">
        <v>403</v>
      </c>
      <c r="B105" s="6" t="s">
        <v>86</v>
      </c>
      <c r="C105" s="6" t="s">
        <v>159</v>
      </c>
      <c r="D105" s="7" t="s">
        <v>404</v>
      </c>
      <c r="E105" s="8" t="s">
        <v>405</v>
      </c>
      <c r="F105" s="6" t="s">
        <v>406</v>
      </c>
      <c r="G105" s="9">
        <f>IF(A105=1,"_",IF(C105="_","???",C105))</f>
        <v/>
      </c>
      <c r="H105" s="10" t="s">
        <v>12</v>
      </c>
      <c r="I105" s="11" t="s">
        <v>12</v>
      </c>
      <c r="J105" s="12"/>
    </row>
    <row r="106" spans="1:10" ht="60" customHeight="1">
      <c r="A106" s="6" t="s">
        <v>407</v>
      </c>
      <c r="B106" s="6" t="s">
        <v>23</v>
      </c>
      <c r="C106" s="6" t="s">
        <v>12</v>
      </c>
      <c r="D106" s="7" t="s">
        <v>408</v>
      </c>
      <c r="E106" s="8" t="s">
        <v>409</v>
      </c>
      <c r="F106" s="6" t="s">
        <v>410</v>
      </c>
      <c r="G106" s="9">
        <f>IF(A106=1,"_",IF(C106="_","???",C106))</f>
        <v/>
      </c>
      <c r="H106" s="10" t="s">
        <v>12</v>
      </c>
      <c r="I106" s="11" t="s">
        <v>12</v>
      </c>
      <c r="J106" s="12"/>
    </row>
    <row r="107" spans="1:10" ht="60" customHeight="1">
      <c r="A107" s="6" t="s">
        <v>411</v>
      </c>
      <c r="B107" s="6" t="s">
        <v>24</v>
      </c>
      <c r="C107" s="6" t="s">
        <v>12</v>
      </c>
      <c r="D107" s="7" t="s">
        <v>29</v>
      </c>
      <c r="E107" s="8" t="s">
        <v>412</v>
      </c>
      <c r="F107" s="6" t="s">
        <v>413</v>
      </c>
      <c r="G107" s="9">
        <f>IF(A107=1,"_",IF(C107="_","???",C107))</f>
        <v/>
      </c>
      <c r="H107" s="10" t="s">
        <v>12</v>
      </c>
      <c r="I107" s="11" t="s">
        <v>12</v>
      </c>
      <c r="J107" s="12"/>
    </row>
    <row r="108" spans="1:10" ht="60" customHeight="1">
      <c r="A108" s="6" t="s">
        <v>414</v>
      </c>
      <c r="B108" s="6" t="s">
        <v>32</v>
      </c>
      <c r="C108" s="6" t="s">
        <v>12</v>
      </c>
      <c r="D108" s="7" t="s">
        <v>415</v>
      </c>
      <c r="E108" s="8" t="s">
        <v>416</v>
      </c>
      <c r="F108" s="6" t="s">
        <v>417</v>
      </c>
      <c r="G108" s="9">
        <f>IF(A108=1,"_",IF(C108="_","???",C108))</f>
        <v/>
      </c>
      <c r="H108" s="10" t="s">
        <v>12</v>
      </c>
      <c r="I108" s="11" t="s">
        <v>12</v>
      </c>
      <c r="J108" s="12"/>
    </row>
    <row r="109" spans="1:10" ht="60" customHeight="1">
      <c r="A109" s="6" t="s">
        <v>418</v>
      </c>
      <c r="B109" s="6" t="s">
        <v>11</v>
      </c>
      <c r="C109" s="6" t="s">
        <v>12</v>
      </c>
      <c r="D109" s="7" t="s">
        <v>121</v>
      </c>
      <c r="E109" s="8" t="s">
        <v>419</v>
      </c>
      <c r="F109" s="6" t="s">
        <v>420</v>
      </c>
      <c r="G109" s="9">
        <f>IF(A109=1,"_",IF(C109="_","???",C109))</f>
        <v/>
      </c>
      <c r="H109" s="10" t="s">
        <v>12</v>
      </c>
      <c r="I109" s="11" t="s">
        <v>12</v>
      </c>
      <c r="J109" s="12"/>
    </row>
    <row r="110" spans="1:10" ht="60" customHeight="1">
      <c r="A110" s="6" t="s">
        <v>421</v>
      </c>
      <c r="B110" s="6" t="s">
        <v>19</v>
      </c>
      <c r="C110" s="6" t="s">
        <v>12</v>
      </c>
      <c r="D110" s="7" t="s">
        <v>422</v>
      </c>
      <c r="E110" s="8" t="s">
        <v>423</v>
      </c>
      <c r="F110" s="6" t="s">
        <v>424</v>
      </c>
      <c r="G110" s="9">
        <f>IF(A110=1,"_",IF(C110="_","???",C110))</f>
        <v/>
      </c>
      <c r="H110" s="10" t="s">
        <v>12</v>
      </c>
      <c r="I110" s="11" t="s">
        <v>12</v>
      </c>
      <c r="J110" s="12"/>
    </row>
    <row r="111" spans="1:10" ht="60" customHeight="1">
      <c r="A111" s="6" t="s">
        <v>425</v>
      </c>
      <c r="B111" s="6" t="s">
        <v>32</v>
      </c>
      <c r="C111" s="6" t="s">
        <v>12</v>
      </c>
      <c r="D111" s="7" t="s">
        <v>29</v>
      </c>
      <c r="E111" s="8" t="s">
        <v>426</v>
      </c>
      <c r="F111" s="6" t="s">
        <v>427</v>
      </c>
      <c r="G111" s="9">
        <f>IF(A111=1,"_",IF(C111="_","???",C111))</f>
        <v/>
      </c>
      <c r="H111" s="10" t="s">
        <v>12</v>
      </c>
      <c r="I111" s="11" t="s">
        <v>12</v>
      </c>
      <c r="J111" s="12"/>
    </row>
    <row r="112" spans="1:10" ht="60" customHeight="1">
      <c r="A112" s="6" t="s">
        <v>428</v>
      </c>
      <c r="B112" s="6" t="s">
        <v>90</v>
      </c>
      <c r="C112" s="6" t="s">
        <v>12</v>
      </c>
      <c r="D112" s="7" t="s">
        <v>429</v>
      </c>
      <c r="E112" s="8" t="s">
        <v>430</v>
      </c>
      <c r="F112" s="6" t="s">
        <v>431</v>
      </c>
      <c r="G112" s="9">
        <f>IF(A112=1,"_",IF(C112="_","???",C112))</f>
        <v/>
      </c>
      <c r="H112" s="10" t="s">
        <v>12</v>
      </c>
      <c r="I112" s="11" t="s">
        <v>12</v>
      </c>
      <c r="J112" s="12"/>
    </row>
    <row r="113" spans="1:10" ht="60" customHeight="1">
      <c r="A113" s="6" t="s">
        <v>432</v>
      </c>
      <c r="B113" s="6" t="s">
        <v>11</v>
      </c>
      <c r="C113" s="6" t="s">
        <v>12</v>
      </c>
      <c r="D113" s="7" t="s">
        <v>433</v>
      </c>
      <c r="E113" s="8" t="s">
        <v>434</v>
      </c>
      <c r="F113" s="6" t="s">
        <v>435</v>
      </c>
      <c r="G113" s="9">
        <f>IF(A113=1,"_",IF(C113="_","???",C113))</f>
        <v/>
      </c>
      <c r="H113" s="10" t="s">
        <v>12</v>
      </c>
      <c r="I113" s="11" t="s">
        <v>12</v>
      </c>
      <c r="J113" s="12"/>
    </row>
    <row r="114" spans="1:10" ht="60" customHeight="1">
      <c r="A114" s="6" t="s">
        <v>436</v>
      </c>
      <c r="B114" s="6" t="s">
        <v>11</v>
      </c>
      <c r="C114" s="6" t="s">
        <v>12</v>
      </c>
      <c r="D114" s="7" t="s">
        <v>29</v>
      </c>
      <c r="E114" s="8" t="s">
        <v>437</v>
      </c>
      <c r="F114" s="6" t="s">
        <v>438</v>
      </c>
      <c r="G114" s="9">
        <f>IF(A114=1,"_",IF(C114="_","???",C114))</f>
        <v/>
      </c>
      <c r="H114" s="10" t="s">
        <v>12</v>
      </c>
      <c r="I114" s="11" t="s">
        <v>12</v>
      </c>
      <c r="J114" s="12"/>
    </row>
    <row r="115" spans="1:10" ht="60" customHeight="1">
      <c r="A115" s="6" t="s">
        <v>439</v>
      </c>
      <c r="B115" s="6" t="s">
        <v>23</v>
      </c>
      <c r="C115" s="6" t="s">
        <v>159</v>
      </c>
      <c r="D115" s="7" t="s">
        <v>440</v>
      </c>
      <c r="E115" s="8" t="s">
        <v>441</v>
      </c>
      <c r="F115" s="6" t="s">
        <v>442</v>
      </c>
      <c r="G115" s="9">
        <f>IF(A115=1,"_",IF(C115="_","???",C115))</f>
        <v/>
      </c>
      <c r="H115" s="10" t="s">
        <v>12</v>
      </c>
      <c r="I115" s="11" t="s">
        <v>12</v>
      </c>
      <c r="J115" s="12"/>
    </row>
    <row r="116" spans="1:10" ht="60" customHeight="1">
      <c r="A116" s="6" t="s">
        <v>443</v>
      </c>
      <c r="B116" s="6" t="s">
        <v>11</v>
      </c>
      <c r="C116" s="6" t="s">
        <v>12</v>
      </c>
      <c r="D116" s="7" t="s">
        <v>444</v>
      </c>
      <c r="E116" s="8" t="s">
        <v>445</v>
      </c>
      <c r="F116" s="6" t="s">
        <v>446</v>
      </c>
      <c r="G116" s="9">
        <f>IF(A116=1,"_",IF(C116="_","???",C116))</f>
        <v/>
      </c>
      <c r="H116" s="10" t="s">
        <v>12</v>
      </c>
      <c r="I116" s="11" t="s">
        <v>12</v>
      </c>
      <c r="J116" s="12"/>
    </row>
    <row r="117" spans="1:10" ht="60" customHeight="1">
      <c r="A117" s="6" t="s">
        <v>447</v>
      </c>
      <c r="B117" s="6" t="s">
        <v>11</v>
      </c>
      <c r="C117" s="6" t="s">
        <v>12</v>
      </c>
      <c r="D117" s="7" t="s">
        <v>448</v>
      </c>
      <c r="E117" s="8" t="s">
        <v>449</v>
      </c>
      <c r="F117" s="6" t="s">
        <v>450</v>
      </c>
      <c r="G117" s="9">
        <f>IF(A117=1,"_",IF(C117="_","???",C117))</f>
        <v/>
      </c>
      <c r="H117" s="10" t="s">
        <v>12</v>
      </c>
      <c r="I117" s="11" t="s">
        <v>12</v>
      </c>
      <c r="J117" s="12"/>
    </row>
    <row r="118" spans="1:10" ht="60" customHeight="1">
      <c r="A118" s="6" t="s">
        <v>451</v>
      </c>
      <c r="B118" s="6" t="s">
        <v>19</v>
      </c>
      <c r="C118" s="6" t="s">
        <v>12</v>
      </c>
      <c r="D118" s="7" t="s">
        <v>347</v>
      </c>
      <c r="E118" s="8" t="s">
        <v>452</v>
      </c>
      <c r="F118" s="6" t="s">
        <v>453</v>
      </c>
      <c r="G118" s="9">
        <f>IF(A118=1,"_",IF(C118="_","???",C118))</f>
        <v/>
      </c>
      <c r="H118" s="10" t="s">
        <v>12</v>
      </c>
      <c r="I118" s="11" t="s">
        <v>12</v>
      </c>
      <c r="J118" s="12"/>
    </row>
    <row r="119" spans="1:10" ht="60" customHeight="1">
      <c r="A119" s="6" t="s">
        <v>454</v>
      </c>
      <c r="B119" s="6" t="s">
        <v>23</v>
      </c>
      <c r="C119" s="6" t="s">
        <v>12</v>
      </c>
      <c r="D119" s="7" t="s">
        <v>455</v>
      </c>
      <c r="E119" s="8" t="s">
        <v>456</v>
      </c>
      <c r="F119" s="6" t="s">
        <v>457</v>
      </c>
      <c r="G119" s="9">
        <f>IF(A119=1,"_",IF(C119="_","???",C119))</f>
        <v/>
      </c>
      <c r="H119" s="10" t="s">
        <v>12</v>
      </c>
      <c r="I119" s="11" t="s">
        <v>12</v>
      </c>
      <c r="J119" s="12"/>
    </row>
    <row r="120" spans="1:10" ht="60" customHeight="1">
      <c r="A120" s="6" t="s">
        <v>458</v>
      </c>
      <c r="B120" s="6" t="s">
        <v>11</v>
      </c>
      <c r="C120" s="6" t="s">
        <v>12</v>
      </c>
      <c r="D120" s="7" t="s">
        <v>211</v>
      </c>
      <c r="E120" s="8" t="s">
        <v>459</v>
      </c>
      <c r="F120" s="6" t="s">
        <v>460</v>
      </c>
      <c r="G120" s="9">
        <f>IF(A120=1,"_",IF(C120="_","???",C120))</f>
        <v/>
      </c>
      <c r="H120" s="10" t="s">
        <v>12</v>
      </c>
      <c r="I120" s="11" t="s">
        <v>12</v>
      </c>
      <c r="J120" s="12"/>
    </row>
    <row r="121" spans="1:10" ht="60" customHeight="1">
      <c r="A121" s="6" t="s">
        <v>461</v>
      </c>
      <c r="B121" s="6" t="s">
        <v>11</v>
      </c>
      <c r="C121" s="6" t="s">
        <v>12</v>
      </c>
      <c r="D121" s="7" t="s">
        <v>275</v>
      </c>
      <c r="E121" s="8" t="s">
        <v>462</v>
      </c>
      <c r="F121" s="6" t="s">
        <v>463</v>
      </c>
      <c r="G121" s="9">
        <f>IF(A121=1,"_",IF(C121="_","???",C121))</f>
        <v/>
      </c>
      <c r="H121" s="10" t="s">
        <v>12</v>
      </c>
      <c r="I121" s="11" t="s">
        <v>12</v>
      </c>
      <c r="J121" s="12"/>
    </row>
    <row r="122" spans="1:10" ht="60" customHeight="1">
      <c r="A122" s="6" t="s">
        <v>464</v>
      </c>
      <c r="B122" s="6" t="s">
        <v>11</v>
      </c>
      <c r="C122" s="6" t="s">
        <v>12</v>
      </c>
      <c r="D122" s="7" t="s">
        <v>465</v>
      </c>
      <c r="E122" s="8" t="s">
        <v>466</v>
      </c>
      <c r="F122" s="6" t="s">
        <v>467</v>
      </c>
      <c r="G122" s="9">
        <f>IF(A122=1,"_",IF(C122="_","???",C122))</f>
        <v/>
      </c>
      <c r="H122" s="10" t="s">
        <v>12</v>
      </c>
      <c r="I122" s="11" t="s">
        <v>12</v>
      </c>
      <c r="J122" s="12"/>
    </row>
    <row r="123" spans="1:10" ht="60" customHeight="1">
      <c r="A123" s="6" t="s">
        <v>468</v>
      </c>
      <c r="B123" s="6" t="s">
        <v>11</v>
      </c>
      <c r="C123" s="6" t="s">
        <v>12</v>
      </c>
      <c r="D123" s="7" t="s">
        <v>271</v>
      </c>
      <c r="E123" s="8" t="s">
        <v>469</v>
      </c>
      <c r="F123" s="6" t="s">
        <v>470</v>
      </c>
      <c r="G123" s="9">
        <f>IF(A123=1,"_",IF(C123="_","???",C123))</f>
        <v/>
      </c>
      <c r="H123" s="10" t="s">
        <v>12</v>
      </c>
      <c r="I123" s="11" t="s">
        <v>12</v>
      </c>
      <c r="J123" s="12"/>
    </row>
    <row r="124" spans="1:10" ht="60" customHeight="1">
      <c r="A124" s="6" t="s">
        <v>471</v>
      </c>
      <c r="B124" s="6" t="s">
        <v>23</v>
      </c>
      <c r="C124" s="6" t="s">
        <v>12</v>
      </c>
      <c r="D124" s="7" t="s">
        <v>472</v>
      </c>
      <c r="E124" s="8" t="s">
        <v>473</v>
      </c>
      <c r="F124" s="6" t="s">
        <v>474</v>
      </c>
      <c r="G124" s="9">
        <f>IF(A124=1,"_",IF(C124="_","???",C124))</f>
        <v/>
      </c>
      <c r="H124" s="10" t="s">
        <v>12</v>
      </c>
      <c r="I124" s="11" t="s">
        <v>12</v>
      </c>
      <c r="J124" s="12"/>
    </row>
    <row r="125" spans="1:10" ht="60" customHeight="1">
      <c r="A125" s="6" t="s">
        <v>475</v>
      </c>
      <c r="B125" s="6" t="s">
        <v>11</v>
      </c>
      <c r="C125" s="6" t="s">
        <v>12</v>
      </c>
      <c r="D125" s="7" t="s">
        <v>476</v>
      </c>
      <c r="E125" s="8" t="s">
        <v>477</v>
      </c>
      <c r="F125" s="6" t="s">
        <v>478</v>
      </c>
      <c r="G125" s="9">
        <f>IF(A125=1,"_",IF(C125="_","???",C125))</f>
        <v/>
      </c>
      <c r="H125" s="10" t="s">
        <v>12</v>
      </c>
      <c r="I125" s="11" t="s">
        <v>12</v>
      </c>
      <c r="J125" s="12"/>
    </row>
    <row r="126" spans="1:10" ht="60" customHeight="1">
      <c r="A126" s="6" t="s">
        <v>479</v>
      </c>
      <c r="B126" s="6" t="s">
        <v>11</v>
      </c>
      <c r="C126" s="6" t="s">
        <v>12</v>
      </c>
      <c r="D126" s="7" t="s">
        <v>480</v>
      </c>
      <c r="E126" s="8" t="s">
        <v>481</v>
      </c>
      <c r="F126" s="6" t="s">
        <v>482</v>
      </c>
      <c r="G126" s="9">
        <f>IF(A126=1,"_",IF(C126="_","???",C126))</f>
        <v/>
      </c>
      <c r="H126" s="10" t="s">
        <v>12</v>
      </c>
      <c r="I126" s="11" t="s">
        <v>12</v>
      </c>
      <c r="J126" s="12"/>
    </row>
    <row r="127" spans="1:10" ht="60" customHeight="1">
      <c r="A127" s="6" t="s">
        <v>483</v>
      </c>
      <c r="B127" s="6" t="s">
        <v>23</v>
      </c>
      <c r="C127" s="6" t="s">
        <v>12</v>
      </c>
      <c r="D127" s="7" t="s">
        <v>484</v>
      </c>
      <c r="E127" s="8" t="s">
        <v>485</v>
      </c>
      <c r="F127" s="6" t="s">
        <v>486</v>
      </c>
      <c r="G127" s="9">
        <f>IF(A127=1,"_",IF(C127="_","???",C127))</f>
        <v/>
      </c>
      <c r="H127" s="10" t="s">
        <v>12</v>
      </c>
      <c r="I127" s="11" t="s">
        <v>12</v>
      </c>
      <c r="J127" s="12"/>
    </row>
    <row r="128" spans="1:10" ht="60" customHeight="1">
      <c r="A128" s="6" t="s">
        <v>487</v>
      </c>
      <c r="B128" s="6" t="s">
        <v>11</v>
      </c>
      <c r="C128" s="6" t="s">
        <v>12</v>
      </c>
      <c r="D128" s="7" t="s">
        <v>488</v>
      </c>
      <c r="E128" s="8" t="s">
        <v>489</v>
      </c>
      <c r="F128" s="6" t="s">
        <v>490</v>
      </c>
      <c r="G128" s="9">
        <f>IF(A128=1,"_",IF(C128="_","???",C128))</f>
        <v/>
      </c>
      <c r="H128" s="10" t="s">
        <v>12</v>
      </c>
      <c r="I128" s="11" t="s">
        <v>12</v>
      </c>
      <c r="J128" s="12"/>
    </row>
    <row r="129" spans="1:10" ht="60" customHeight="1">
      <c r="A129" s="6" t="s">
        <v>491</v>
      </c>
      <c r="B129" s="6" t="s">
        <v>10</v>
      </c>
      <c r="C129" s="6" t="s">
        <v>12</v>
      </c>
      <c r="D129" s="7" t="s">
        <v>492</v>
      </c>
      <c r="E129" s="8" t="s">
        <v>493</v>
      </c>
      <c r="F129" s="6" t="s">
        <v>494</v>
      </c>
      <c r="G129" s="9">
        <f>IF(A129=1,"_",IF(C129="_","???",C129))</f>
        <v/>
      </c>
      <c r="H129" s="10" t="s">
        <v>12</v>
      </c>
      <c r="I129" s="11" t="s">
        <v>12</v>
      </c>
      <c r="J129" s="12"/>
    </row>
    <row r="130" spans="1:10" ht="60" customHeight="1">
      <c r="A130" s="6" t="s">
        <v>495</v>
      </c>
      <c r="B130" s="6" t="s">
        <v>10</v>
      </c>
      <c r="C130" s="6" t="s">
        <v>12</v>
      </c>
      <c r="D130" s="7" t="s">
        <v>496</v>
      </c>
      <c r="E130" s="8" t="s">
        <v>497</v>
      </c>
      <c r="F130" s="6" t="s">
        <v>498</v>
      </c>
      <c r="G130" s="9">
        <f>IF(A130=1,"_",IF(C130="_","???",C130))</f>
        <v/>
      </c>
      <c r="H130" s="10" t="s">
        <v>12</v>
      </c>
      <c r="I130" s="11" t="s">
        <v>12</v>
      </c>
      <c r="J130" s="12"/>
    </row>
    <row r="131" spans="1:10" ht="60" customHeight="1">
      <c r="A131" s="6" t="s">
        <v>499</v>
      </c>
      <c r="B131" s="6" t="s">
        <v>19</v>
      </c>
      <c r="C131" s="6" t="s">
        <v>12</v>
      </c>
      <c r="D131" s="7" t="s">
        <v>25</v>
      </c>
      <c r="E131" s="8" t="s">
        <v>500</v>
      </c>
      <c r="F131" s="6" t="s">
        <v>501</v>
      </c>
      <c r="G131" s="9">
        <f>IF(A131=1,"_",IF(C131="_","???",C131))</f>
        <v/>
      </c>
      <c r="H131" s="10" t="s">
        <v>12</v>
      </c>
      <c r="I131" s="11" t="s">
        <v>12</v>
      </c>
      <c r="J131" s="12"/>
    </row>
    <row r="132" spans="1:10" ht="60" customHeight="1">
      <c r="A132" s="6" t="s">
        <v>502</v>
      </c>
      <c r="B132" s="6" t="s">
        <v>11</v>
      </c>
      <c r="C132" s="6" t="s">
        <v>12</v>
      </c>
      <c r="D132" s="7" t="s">
        <v>496</v>
      </c>
      <c r="E132" s="8" t="s">
        <v>503</v>
      </c>
      <c r="F132" s="6" t="s">
        <v>504</v>
      </c>
      <c r="G132" s="9">
        <f>IF(A132=1,"_",IF(C132="_","???",C132))</f>
        <v/>
      </c>
      <c r="H132" s="10" t="s">
        <v>12</v>
      </c>
      <c r="I132" s="11" t="s">
        <v>12</v>
      </c>
      <c r="J132" s="12"/>
    </row>
    <row r="133" spans="1:10" ht="60" customHeight="1">
      <c r="A133" s="6" t="s">
        <v>505</v>
      </c>
      <c r="B133" s="6" t="s">
        <v>19</v>
      </c>
      <c r="C133" s="6" t="s">
        <v>12</v>
      </c>
      <c r="D133" s="7" t="s">
        <v>506</v>
      </c>
      <c r="E133" s="8" t="s">
        <v>507</v>
      </c>
      <c r="F133" s="6" t="s">
        <v>508</v>
      </c>
      <c r="G133" s="9">
        <f>IF(A133=1,"_",IF(C133="_","???",C133))</f>
        <v/>
      </c>
      <c r="H133" s="10" t="s">
        <v>12</v>
      </c>
      <c r="I133" s="11" t="s">
        <v>12</v>
      </c>
      <c r="J133" s="12"/>
    </row>
    <row r="134" spans="1:10" ht="60" customHeight="1">
      <c r="A134" s="6" t="s">
        <v>509</v>
      </c>
      <c r="B134" s="6" t="s">
        <v>28</v>
      </c>
      <c r="C134" s="6" t="s">
        <v>12</v>
      </c>
      <c r="D134" s="7" t="s">
        <v>510</v>
      </c>
      <c r="E134" s="8" t="s">
        <v>511</v>
      </c>
      <c r="F134" s="6" t="s">
        <v>512</v>
      </c>
      <c r="G134" s="9">
        <f>IF(A134=1,"_",IF(C134="_","???",C134))</f>
        <v/>
      </c>
      <c r="H134" s="10" t="s">
        <v>12</v>
      </c>
      <c r="I134" s="11" t="s">
        <v>12</v>
      </c>
      <c r="J134" s="12"/>
    </row>
    <row r="135" spans="1:10" ht="60" customHeight="1">
      <c r="A135" s="6" t="s">
        <v>513</v>
      </c>
      <c r="B135" s="6" t="s">
        <v>11</v>
      </c>
      <c r="C135" s="6" t="s">
        <v>12</v>
      </c>
      <c r="D135" s="7" t="s">
        <v>514</v>
      </c>
      <c r="E135" s="8" t="s">
        <v>515</v>
      </c>
      <c r="F135" s="6" t="s">
        <v>516</v>
      </c>
      <c r="G135" s="9">
        <f>IF(A135=1,"_",IF(C135="_","???",C135))</f>
        <v/>
      </c>
      <c r="H135" s="10" t="s">
        <v>12</v>
      </c>
      <c r="I135" s="11" t="s">
        <v>12</v>
      </c>
      <c r="J135" s="12"/>
    </row>
    <row r="136" spans="1:10" ht="60" customHeight="1">
      <c r="A136" s="6" t="s">
        <v>517</v>
      </c>
      <c r="B136" s="6" t="s">
        <v>19</v>
      </c>
      <c r="C136" s="6" t="s">
        <v>12</v>
      </c>
      <c r="D136" s="7" t="s">
        <v>518</v>
      </c>
      <c r="E136" s="8" t="s">
        <v>519</v>
      </c>
      <c r="F136" s="6" t="s">
        <v>520</v>
      </c>
      <c r="G136" s="9">
        <f>IF(A136=1,"_",IF(C136="_","???",C136))</f>
        <v/>
      </c>
      <c r="H136" s="10" t="s">
        <v>12</v>
      </c>
      <c r="I136" s="11" t="s">
        <v>12</v>
      </c>
      <c r="J136" s="12"/>
    </row>
    <row r="137" spans="1:10" ht="60" customHeight="1">
      <c r="A137" s="6" t="s">
        <v>521</v>
      </c>
      <c r="B137" s="6" t="s">
        <v>11</v>
      </c>
      <c r="C137" s="6" t="s">
        <v>12</v>
      </c>
      <c r="D137" s="7" t="s">
        <v>125</v>
      </c>
      <c r="E137" s="8" t="s">
        <v>522</v>
      </c>
      <c r="F137" s="6" t="s">
        <v>523</v>
      </c>
      <c r="G137" s="9">
        <f>IF(A137=1,"_",IF(C137="_","???",C137))</f>
        <v/>
      </c>
      <c r="H137" s="10" t="s">
        <v>12</v>
      </c>
      <c r="I137" s="11" t="s">
        <v>12</v>
      </c>
      <c r="J137" s="12"/>
    </row>
    <row r="138" spans="1:10" ht="60" customHeight="1">
      <c r="A138" s="6" t="s">
        <v>524</v>
      </c>
      <c r="B138" s="6" t="s">
        <v>52</v>
      </c>
      <c r="C138" s="6" t="s">
        <v>12</v>
      </c>
      <c r="D138" s="7" t="s">
        <v>525</v>
      </c>
      <c r="E138" s="8" t="s">
        <v>526</v>
      </c>
      <c r="F138" s="6" t="s">
        <v>527</v>
      </c>
      <c r="G138" s="9">
        <f>IF(A138=1,"_",IF(C138="_","???",C138))</f>
        <v/>
      </c>
      <c r="H138" s="10" t="s">
        <v>12</v>
      </c>
      <c r="I138" s="11" t="s">
        <v>12</v>
      </c>
      <c r="J138" s="12"/>
    </row>
    <row r="139" spans="1:10" ht="60" customHeight="1">
      <c r="A139" s="6" t="s">
        <v>528</v>
      </c>
      <c r="B139" s="6" t="s">
        <v>23</v>
      </c>
      <c r="C139" s="6" t="s">
        <v>12</v>
      </c>
      <c r="D139" s="7" t="s">
        <v>529</v>
      </c>
      <c r="E139" s="8" t="s">
        <v>530</v>
      </c>
      <c r="F139" s="6" t="s">
        <v>531</v>
      </c>
      <c r="G139" s="9">
        <f>IF(A139=1,"_",IF(C139="_","???",C139))</f>
        <v/>
      </c>
      <c r="H139" s="10" t="s">
        <v>12</v>
      </c>
      <c r="I139" s="11" t="s">
        <v>12</v>
      </c>
      <c r="J139" s="12"/>
    </row>
    <row r="140" spans="1:10" ht="60" customHeight="1">
      <c r="A140" s="6" t="s">
        <v>532</v>
      </c>
      <c r="B140" s="6" t="s">
        <v>11</v>
      </c>
      <c r="C140" s="6" t="s">
        <v>12</v>
      </c>
      <c r="D140" s="7" t="s">
        <v>29</v>
      </c>
      <c r="E140" s="8" t="s">
        <v>533</v>
      </c>
      <c r="F140" s="6" t="s">
        <v>534</v>
      </c>
      <c r="G140" s="9">
        <f>IF(A140=1,"_",IF(C140="_","???",C140))</f>
        <v/>
      </c>
      <c r="H140" s="10" t="s">
        <v>12</v>
      </c>
      <c r="I140" s="11" t="s">
        <v>12</v>
      </c>
      <c r="J140" s="12"/>
    </row>
    <row r="141" spans="1:10" ht="60" customHeight="1">
      <c r="A141" s="6" t="s">
        <v>535</v>
      </c>
      <c r="B141" s="6" t="s">
        <v>11</v>
      </c>
      <c r="C141" s="6" t="s">
        <v>12</v>
      </c>
      <c r="D141" s="7" t="s">
        <v>536</v>
      </c>
      <c r="E141" s="8" t="s">
        <v>537</v>
      </c>
      <c r="F141" s="6" t="s">
        <v>538</v>
      </c>
      <c r="G141" s="9">
        <f>IF(A141=1,"_",IF(C141="_","???",C141))</f>
        <v/>
      </c>
      <c r="H141" s="10" t="s">
        <v>12</v>
      </c>
      <c r="I141" s="11" t="s">
        <v>12</v>
      </c>
      <c r="J141" s="12"/>
    </row>
    <row r="142" spans="1:10" ht="60" customHeight="1">
      <c r="A142" s="6" t="s">
        <v>539</v>
      </c>
      <c r="B142" s="6" t="s">
        <v>11</v>
      </c>
      <c r="C142" s="6" t="s">
        <v>12</v>
      </c>
      <c r="D142" s="7" t="s">
        <v>536</v>
      </c>
      <c r="E142" s="8" t="s">
        <v>540</v>
      </c>
      <c r="F142" s="6" t="s">
        <v>541</v>
      </c>
      <c r="G142" s="9">
        <f>IF(A142=1,"_",IF(C142="_","???",C142))</f>
        <v/>
      </c>
      <c r="H142" s="10" t="s">
        <v>12</v>
      </c>
      <c r="I142" s="11" t="s">
        <v>12</v>
      </c>
      <c r="J142" s="12"/>
    </row>
    <row r="143" spans="1:10" ht="60" customHeight="1">
      <c r="A143" s="6" t="s">
        <v>542</v>
      </c>
      <c r="B143" s="6" t="s">
        <v>10</v>
      </c>
      <c r="C143" s="6" t="s">
        <v>12</v>
      </c>
      <c r="D143" s="7" t="s">
        <v>129</v>
      </c>
      <c r="E143" s="8" t="s">
        <v>543</v>
      </c>
      <c r="F143" s="6" t="s">
        <v>544</v>
      </c>
      <c r="G143" s="9">
        <f>IF(A143=1,"_",IF(C143="_","???",C143))</f>
        <v/>
      </c>
      <c r="H143" s="10" t="s">
        <v>12</v>
      </c>
      <c r="I143" s="11" t="s">
        <v>12</v>
      </c>
      <c r="J143" s="12"/>
    </row>
    <row r="144" spans="1:10" ht="60" customHeight="1">
      <c r="A144" s="6" t="s">
        <v>545</v>
      </c>
      <c r="B144" s="6" t="s">
        <v>11</v>
      </c>
      <c r="C144" s="6" t="s">
        <v>12</v>
      </c>
      <c r="D144" s="7" t="s">
        <v>546</v>
      </c>
      <c r="E144" s="8" t="s">
        <v>547</v>
      </c>
      <c r="F144" s="6" t="s">
        <v>548</v>
      </c>
      <c r="G144" s="9">
        <f>IF(A144=1,"_",IF(C144="_","???",C144))</f>
        <v/>
      </c>
      <c r="H144" s="10" t="s">
        <v>12</v>
      </c>
      <c r="I144" s="11" t="s">
        <v>12</v>
      </c>
      <c r="J144" s="12"/>
    </row>
    <row r="145" spans="1:10" ht="60" customHeight="1">
      <c r="A145" s="6" t="s">
        <v>549</v>
      </c>
      <c r="B145" s="6" t="s">
        <v>11</v>
      </c>
      <c r="C145" s="6" t="s">
        <v>12</v>
      </c>
      <c r="D145" s="7" t="s">
        <v>550</v>
      </c>
      <c r="E145" s="8" t="s">
        <v>551</v>
      </c>
      <c r="F145" s="6" t="s">
        <v>552</v>
      </c>
      <c r="G145" s="9">
        <f>IF(A145=1,"_",IF(C145="_","???",C145))</f>
        <v/>
      </c>
      <c r="H145" s="10" t="s">
        <v>12</v>
      </c>
      <c r="I145" s="11" t="s">
        <v>12</v>
      </c>
      <c r="J145" s="12"/>
    </row>
    <row r="146" spans="1:10" ht="60" customHeight="1">
      <c r="A146" s="6" t="s">
        <v>553</v>
      </c>
      <c r="B146" s="6" t="s">
        <v>28</v>
      </c>
      <c r="C146" s="6" t="s">
        <v>12</v>
      </c>
      <c r="D146" s="7" t="s">
        <v>192</v>
      </c>
      <c r="E146" s="8" t="s">
        <v>554</v>
      </c>
      <c r="F146" s="6" t="s">
        <v>555</v>
      </c>
      <c r="G146" s="9">
        <f>IF(A146=1,"_",IF(C146="_","???",C146))</f>
        <v/>
      </c>
      <c r="H146" s="10" t="s">
        <v>12</v>
      </c>
      <c r="I146" s="11" t="s">
        <v>12</v>
      </c>
      <c r="J146" s="12"/>
    </row>
    <row r="147" spans="1:10" ht="60" customHeight="1">
      <c r="A147" s="6" t="s">
        <v>556</v>
      </c>
      <c r="B147" s="6" t="s">
        <v>11</v>
      </c>
      <c r="C147" s="6" t="s">
        <v>12</v>
      </c>
      <c r="D147" s="7" t="s">
        <v>192</v>
      </c>
      <c r="E147" s="8" t="s">
        <v>557</v>
      </c>
      <c r="F147" s="6" t="s">
        <v>558</v>
      </c>
      <c r="G147" s="9">
        <f>IF(A147=1,"_",IF(C147="_","???",C147))</f>
        <v/>
      </c>
      <c r="H147" s="10" t="s">
        <v>12</v>
      </c>
      <c r="I147" s="11" t="s">
        <v>12</v>
      </c>
      <c r="J147" s="12"/>
    </row>
    <row r="148" spans="1:10" ht="60" customHeight="1">
      <c r="A148" s="6" t="s">
        <v>559</v>
      </c>
      <c r="B148" s="6" t="s">
        <v>19</v>
      </c>
      <c r="C148" s="6" t="s">
        <v>12</v>
      </c>
      <c r="D148" s="7" t="s">
        <v>560</v>
      </c>
      <c r="E148" s="8" t="s">
        <v>561</v>
      </c>
      <c r="F148" s="6" t="s">
        <v>562</v>
      </c>
      <c r="G148" s="9">
        <f>IF(A148=1,"_",IF(C148="_","???",C148))</f>
        <v/>
      </c>
      <c r="H148" s="10" t="s">
        <v>12</v>
      </c>
      <c r="I148" s="11" t="s">
        <v>12</v>
      </c>
      <c r="J148" s="12"/>
    </row>
    <row r="149" spans="1:10" ht="60" customHeight="1">
      <c r="A149" s="6" t="s">
        <v>563</v>
      </c>
      <c r="B149" s="6" t="s">
        <v>19</v>
      </c>
      <c r="C149" s="6" t="s">
        <v>12</v>
      </c>
      <c r="D149" s="7" t="s">
        <v>564</v>
      </c>
      <c r="E149" s="8" t="s">
        <v>565</v>
      </c>
      <c r="F149" s="6" t="s">
        <v>566</v>
      </c>
      <c r="G149" s="9">
        <f>IF(A149=1,"_",IF(C149="_","???",C149))</f>
        <v/>
      </c>
      <c r="H149" s="10" t="s">
        <v>12</v>
      </c>
      <c r="I149" s="11" t="s">
        <v>12</v>
      </c>
      <c r="J149" s="12"/>
    </row>
    <row r="150" spans="1:10" ht="60" customHeight="1">
      <c r="A150" s="6" t="s">
        <v>567</v>
      </c>
      <c r="B150" s="6" t="s">
        <v>11</v>
      </c>
      <c r="C150" s="6" t="s">
        <v>78</v>
      </c>
      <c r="D150" s="7" t="s">
        <v>568</v>
      </c>
      <c r="E150" s="8" t="s">
        <v>569</v>
      </c>
      <c r="F150" s="6" t="s">
        <v>570</v>
      </c>
      <c r="G150" s="9">
        <f>IF(A150=1,"_",IF(C150="_","???",C150))</f>
        <v/>
      </c>
      <c r="H150" s="10" t="s">
        <v>12</v>
      </c>
      <c r="I150" s="11" t="s">
        <v>12</v>
      </c>
      <c r="J150" s="12"/>
    </row>
    <row r="151" spans="1:10" ht="60" customHeight="1">
      <c r="A151" s="6" t="s">
        <v>571</v>
      </c>
      <c r="B151" s="6" t="s">
        <v>19</v>
      </c>
      <c r="C151" s="6" t="s">
        <v>12</v>
      </c>
      <c r="D151" s="7" t="s">
        <v>572</v>
      </c>
      <c r="E151" s="8" t="s">
        <v>573</v>
      </c>
      <c r="F151" s="6" t="s">
        <v>574</v>
      </c>
      <c r="G151" s="9">
        <f>IF(A151=1,"_",IF(C151="_","???",C151))</f>
        <v/>
      </c>
      <c r="H151" s="10" t="s">
        <v>12</v>
      </c>
      <c r="I151" s="11" t="s">
        <v>12</v>
      </c>
      <c r="J151" s="12"/>
    </row>
    <row r="152" spans="1:10" ht="60" customHeight="1">
      <c r="A152" s="6" t="s">
        <v>575</v>
      </c>
      <c r="B152" s="6" t="s">
        <v>11</v>
      </c>
      <c r="C152" s="6" t="s">
        <v>12</v>
      </c>
      <c r="D152" s="7" t="s">
        <v>576</v>
      </c>
      <c r="E152" s="8" t="s">
        <v>577</v>
      </c>
      <c r="F152" s="6" t="s">
        <v>578</v>
      </c>
      <c r="G152" s="9">
        <f>IF(A152=1,"_",IF(C152="_","???",C152))</f>
        <v/>
      </c>
      <c r="H152" s="10" t="s">
        <v>12</v>
      </c>
      <c r="I152" s="11" t="s">
        <v>12</v>
      </c>
      <c r="J152" s="12"/>
    </row>
    <row r="153" spans="1:10" ht="60" customHeight="1">
      <c r="A153" s="6" t="s">
        <v>579</v>
      </c>
      <c r="B153" s="6" t="s">
        <v>11</v>
      </c>
      <c r="C153" s="6" t="s">
        <v>12</v>
      </c>
      <c r="D153" s="7" t="s">
        <v>580</v>
      </c>
      <c r="E153" s="8" t="s">
        <v>581</v>
      </c>
      <c r="F153" s="6" t="s">
        <v>582</v>
      </c>
      <c r="G153" s="9">
        <f>IF(A153=1,"_",IF(C153="_","???",C153))</f>
        <v/>
      </c>
      <c r="H153" s="10" t="s">
        <v>12</v>
      </c>
      <c r="I153" s="11" t="s">
        <v>12</v>
      </c>
      <c r="J153" s="12"/>
    </row>
    <row r="154" spans="1:10" ht="60" customHeight="1">
      <c r="A154" s="6" t="s">
        <v>583</v>
      </c>
      <c r="B154" s="6" t="s">
        <v>19</v>
      </c>
      <c r="C154" s="6" t="s">
        <v>12</v>
      </c>
      <c r="D154" s="7" t="s">
        <v>572</v>
      </c>
      <c r="E154" s="8" t="s">
        <v>584</v>
      </c>
      <c r="F154" s="6" t="s">
        <v>585</v>
      </c>
      <c r="G154" s="9">
        <f>IF(A154=1,"_",IF(C154="_","???",C154))</f>
        <v/>
      </c>
      <c r="H154" s="10" t="s">
        <v>12</v>
      </c>
      <c r="I154" s="11" t="s">
        <v>12</v>
      </c>
      <c r="J154" s="12"/>
    </row>
    <row r="155" spans="1:10" ht="60" customHeight="1">
      <c r="A155" s="6" t="s">
        <v>586</v>
      </c>
      <c r="B155" s="6" t="s">
        <v>11</v>
      </c>
      <c r="C155" s="6" t="s">
        <v>12</v>
      </c>
      <c r="D155" s="7" t="s">
        <v>587</v>
      </c>
      <c r="E155" s="8" t="s">
        <v>588</v>
      </c>
      <c r="F155" s="6" t="s">
        <v>589</v>
      </c>
      <c r="G155" s="9">
        <f>IF(A155=1,"_",IF(C155="_","???",C155))</f>
        <v/>
      </c>
      <c r="H155" s="10" t="s">
        <v>12</v>
      </c>
      <c r="I155" s="11" t="s">
        <v>12</v>
      </c>
      <c r="J155" s="12"/>
    </row>
    <row r="156" spans="1:10" ht="60" customHeight="1">
      <c r="A156" s="6" t="s">
        <v>590</v>
      </c>
      <c r="B156" s="6" t="s">
        <v>19</v>
      </c>
      <c r="C156" s="6" t="s">
        <v>12</v>
      </c>
      <c r="D156" s="7" t="s">
        <v>572</v>
      </c>
      <c r="E156" s="8" t="s">
        <v>591</v>
      </c>
      <c r="F156" s="6" t="s">
        <v>592</v>
      </c>
      <c r="G156" s="9">
        <f>IF(A156=1,"_",IF(C156="_","???",C156))</f>
        <v/>
      </c>
      <c r="H156" s="10" t="s">
        <v>12</v>
      </c>
      <c r="I156" s="11" t="s">
        <v>12</v>
      </c>
      <c r="J156" s="12"/>
    </row>
    <row r="157" spans="1:10" ht="60" customHeight="1">
      <c r="A157" s="6" t="s">
        <v>593</v>
      </c>
      <c r="B157" s="6" t="s">
        <v>24</v>
      </c>
      <c r="C157" s="6" t="s">
        <v>12</v>
      </c>
      <c r="D157" s="7" t="s">
        <v>594</v>
      </c>
      <c r="E157" s="8" t="s">
        <v>595</v>
      </c>
      <c r="F157" s="6" t="s">
        <v>596</v>
      </c>
      <c r="G157" s="9">
        <f>IF(A157=1,"_",IF(C157="_","???",C157))</f>
        <v/>
      </c>
      <c r="H157" s="10" t="s">
        <v>12</v>
      </c>
      <c r="I157" s="11" t="s">
        <v>12</v>
      </c>
      <c r="J157" s="12"/>
    </row>
    <row r="158" spans="1:10" ht="60" customHeight="1">
      <c r="A158" s="6" t="s">
        <v>597</v>
      </c>
      <c r="B158" s="6" t="s">
        <v>11</v>
      </c>
      <c r="C158" s="6" t="s">
        <v>12</v>
      </c>
      <c r="D158" s="7" t="s">
        <v>263</v>
      </c>
      <c r="E158" s="8" t="s">
        <v>598</v>
      </c>
      <c r="F158" s="6" t="s">
        <v>599</v>
      </c>
      <c r="G158" s="9">
        <f>IF(A158=1,"_",IF(C158="_","???",C158))</f>
        <v/>
      </c>
      <c r="H158" s="10" t="s">
        <v>12</v>
      </c>
      <c r="I158" s="11" t="s">
        <v>12</v>
      </c>
      <c r="J158" s="12"/>
    </row>
    <row r="159" spans="1:10" ht="60" customHeight="1">
      <c r="A159" s="6" t="s">
        <v>600</v>
      </c>
      <c r="B159" s="6" t="s">
        <v>23</v>
      </c>
      <c r="C159" s="6" t="s">
        <v>12</v>
      </c>
      <c r="D159" s="7" t="s">
        <v>572</v>
      </c>
      <c r="E159" s="8" t="s">
        <v>601</v>
      </c>
      <c r="F159" s="6" t="s">
        <v>602</v>
      </c>
      <c r="G159" s="9">
        <f>IF(A159=1,"_",IF(C159="_","???",C159))</f>
        <v/>
      </c>
      <c r="H159" s="10" t="s">
        <v>12</v>
      </c>
      <c r="I159" s="11" t="s">
        <v>12</v>
      </c>
      <c r="J159" s="12"/>
    </row>
    <row r="160" spans="1:10" ht="60" customHeight="1">
      <c r="A160" s="6" t="s">
        <v>603</v>
      </c>
      <c r="B160" s="6" t="s">
        <v>11</v>
      </c>
      <c r="C160" s="6" t="s">
        <v>12</v>
      </c>
      <c r="D160" s="7" t="s">
        <v>604</v>
      </c>
      <c r="E160" s="8" t="s">
        <v>605</v>
      </c>
      <c r="F160" s="6" t="s">
        <v>606</v>
      </c>
      <c r="G160" s="9">
        <f>IF(A160=1,"_",IF(C160="_","???",C160))</f>
        <v/>
      </c>
      <c r="H160" s="10" t="s">
        <v>12</v>
      </c>
      <c r="I160" s="11" t="s">
        <v>12</v>
      </c>
      <c r="J160" s="12"/>
    </row>
    <row r="161" spans="1:10" ht="60" customHeight="1">
      <c r="A161" s="6" t="s">
        <v>607</v>
      </c>
      <c r="B161" s="6" t="s">
        <v>19</v>
      </c>
      <c r="C161" s="6" t="s">
        <v>12</v>
      </c>
      <c r="D161" s="7" t="s">
        <v>608</v>
      </c>
      <c r="E161" s="8" t="s">
        <v>609</v>
      </c>
      <c r="F161" s="6" t="s">
        <v>610</v>
      </c>
      <c r="G161" s="9">
        <f>IF(A161=1,"_",IF(C161="_","???",C161))</f>
        <v/>
      </c>
      <c r="H161" s="10" t="s">
        <v>12</v>
      </c>
      <c r="I161" s="11" t="s">
        <v>12</v>
      </c>
      <c r="J161" s="12"/>
    </row>
    <row r="162" spans="1:10" ht="60" customHeight="1">
      <c r="A162" s="6" t="s">
        <v>611</v>
      </c>
      <c r="B162" s="6" t="s">
        <v>19</v>
      </c>
      <c r="C162" s="6" t="s">
        <v>12</v>
      </c>
      <c r="D162" s="7" t="s">
        <v>612</v>
      </c>
      <c r="E162" s="8" t="s">
        <v>613</v>
      </c>
      <c r="F162" s="6" t="s">
        <v>614</v>
      </c>
      <c r="G162" s="9">
        <f>IF(A162=1,"_",IF(C162="_","???",C162))</f>
        <v/>
      </c>
      <c r="H162" s="10" t="s">
        <v>12</v>
      </c>
      <c r="I162" s="11" t="s">
        <v>12</v>
      </c>
      <c r="J162" s="12"/>
    </row>
    <row r="163" spans="1:10" ht="60" customHeight="1">
      <c r="A163" s="6" t="s">
        <v>615</v>
      </c>
      <c r="B163" s="6" t="s">
        <v>19</v>
      </c>
      <c r="C163" s="6" t="s">
        <v>12</v>
      </c>
      <c r="D163" s="7" t="s">
        <v>616</v>
      </c>
      <c r="E163" s="8" t="s">
        <v>617</v>
      </c>
      <c r="F163" s="6" t="s">
        <v>618</v>
      </c>
      <c r="G163" s="9">
        <f>IF(A163=1,"_",IF(C163="_","???",C163))</f>
        <v/>
      </c>
      <c r="H163" s="10" t="s">
        <v>12</v>
      </c>
      <c r="I163" s="11" t="s">
        <v>12</v>
      </c>
      <c r="J163" s="12"/>
    </row>
    <row r="164" spans="1:10" ht="60" customHeight="1">
      <c r="A164" s="6" t="s">
        <v>619</v>
      </c>
      <c r="B164" s="6" t="s">
        <v>11</v>
      </c>
      <c r="C164" s="6" t="s">
        <v>12</v>
      </c>
      <c r="D164" s="7" t="s">
        <v>271</v>
      </c>
      <c r="E164" s="8" t="s">
        <v>620</v>
      </c>
      <c r="F164" s="6" t="s">
        <v>621</v>
      </c>
      <c r="G164" s="9">
        <f>IF(A164=1,"_",IF(C164="_","???",C164))</f>
        <v/>
      </c>
      <c r="H164" s="10" t="s">
        <v>12</v>
      </c>
      <c r="I164" s="11" t="s">
        <v>12</v>
      </c>
      <c r="J164" s="12"/>
    </row>
    <row r="165" spans="1:10" ht="60" customHeight="1">
      <c r="A165" s="6" t="s">
        <v>622</v>
      </c>
      <c r="B165" s="6" t="s">
        <v>10</v>
      </c>
      <c r="C165" s="6" t="s">
        <v>12</v>
      </c>
      <c r="D165" s="7" t="s">
        <v>496</v>
      </c>
      <c r="E165" s="8" t="s">
        <v>623</v>
      </c>
      <c r="F165" s="6" t="s">
        <v>624</v>
      </c>
      <c r="G165" s="9">
        <f>IF(A165=1,"_",IF(C165="_","???",C165))</f>
        <v/>
      </c>
      <c r="H165" s="10" t="s">
        <v>12</v>
      </c>
      <c r="I165" s="11" t="s">
        <v>12</v>
      </c>
      <c r="J165" s="12"/>
    </row>
    <row r="166" spans="1:10" ht="60" customHeight="1">
      <c r="A166" s="6" t="s">
        <v>625</v>
      </c>
      <c r="B166" s="6" t="s">
        <v>28</v>
      </c>
      <c r="C166" s="6" t="s">
        <v>12</v>
      </c>
      <c r="D166" s="7" t="s">
        <v>271</v>
      </c>
      <c r="E166" s="8" t="s">
        <v>626</v>
      </c>
      <c r="F166" s="6" t="s">
        <v>627</v>
      </c>
      <c r="G166" s="9">
        <f>IF(A166=1,"_",IF(C166="_","???",C166))</f>
        <v/>
      </c>
      <c r="H166" s="10" t="s">
        <v>12</v>
      </c>
      <c r="I166" s="11" t="s">
        <v>12</v>
      </c>
      <c r="J166" s="12"/>
    </row>
    <row r="167" spans="1:10" ht="60" customHeight="1">
      <c r="A167" s="6" t="s">
        <v>628</v>
      </c>
      <c r="B167" s="6" t="s">
        <v>19</v>
      </c>
      <c r="C167" s="6" t="s">
        <v>12</v>
      </c>
      <c r="D167" s="7" t="s">
        <v>629</v>
      </c>
      <c r="E167" s="8" t="s">
        <v>630</v>
      </c>
      <c r="F167" s="6" t="s">
        <v>631</v>
      </c>
      <c r="G167" s="9">
        <f>IF(A167=1,"_",IF(C167="_","???",C167))</f>
        <v/>
      </c>
      <c r="H167" s="10" t="s">
        <v>12</v>
      </c>
      <c r="I167" s="11" t="s">
        <v>12</v>
      </c>
      <c r="J167" s="12"/>
    </row>
    <row r="168" spans="1:10" ht="60" customHeight="1">
      <c r="A168" s="6" t="s">
        <v>632</v>
      </c>
      <c r="B168" s="6" t="s">
        <v>67</v>
      </c>
      <c r="C168" s="6" t="s">
        <v>12</v>
      </c>
      <c r="D168" s="7" t="s">
        <v>125</v>
      </c>
      <c r="E168" s="8" t="s">
        <v>633</v>
      </c>
      <c r="F168" s="6" t="s">
        <v>634</v>
      </c>
      <c r="G168" s="9">
        <f>IF(A168=1,"_",IF(C168="_","???",C168))</f>
        <v/>
      </c>
      <c r="H168" s="10" t="s">
        <v>12</v>
      </c>
      <c r="I168" s="11" t="s">
        <v>12</v>
      </c>
      <c r="J168" s="12"/>
    </row>
    <row r="169" spans="1:10" ht="60" customHeight="1">
      <c r="A169" s="6" t="s">
        <v>635</v>
      </c>
      <c r="B169" s="6" t="s">
        <v>11</v>
      </c>
      <c r="C169" s="6" t="s">
        <v>78</v>
      </c>
      <c r="D169" s="7" t="s">
        <v>636</v>
      </c>
      <c r="E169" s="8" t="s">
        <v>637</v>
      </c>
      <c r="F169" s="6" t="s">
        <v>638</v>
      </c>
      <c r="G169" s="9">
        <f>IF(A169=1,"_",IF(C169="_","???",C169))</f>
        <v/>
      </c>
      <c r="H169" s="10" t="s">
        <v>12</v>
      </c>
      <c r="I169" s="11" t="s">
        <v>12</v>
      </c>
      <c r="J169" s="12"/>
    </row>
    <row r="170" spans="1:10" ht="60" customHeight="1">
      <c r="A170" s="6" t="s">
        <v>639</v>
      </c>
      <c r="B170" s="6" t="s">
        <v>72</v>
      </c>
      <c r="C170" s="6" t="s">
        <v>12</v>
      </c>
      <c r="D170" s="7" t="s">
        <v>640</v>
      </c>
      <c r="E170" s="8" t="s">
        <v>641</v>
      </c>
      <c r="F170" s="6" t="s">
        <v>642</v>
      </c>
      <c r="G170" s="9">
        <f>IF(A170=1,"_",IF(C170="_","???",C170))</f>
        <v/>
      </c>
      <c r="H170" s="10" t="s">
        <v>12</v>
      </c>
      <c r="I170" s="11" t="s">
        <v>12</v>
      </c>
      <c r="J170" s="12"/>
    </row>
    <row r="171" spans="1:10" ht="60" customHeight="1">
      <c r="A171" s="6" t="s">
        <v>643</v>
      </c>
      <c r="B171" s="6" t="s">
        <v>11</v>
      </c>
      <c r="C171" s="6" t="s">
        <v>12</v>
      </c>
      <c r="D171" s="7" t="s">
        <v>271</v>
      </c>
      <c r="E171" s="8" t="s">
        <v>644</v>
      </c>
      <c r="F171" s="6" t="s">
        <v>645</v>
      </c>
      <c r="G171" s="9">
        <f>IF(A171=1,"_",IF(C171="_","???",C171))</f>
        <v/>
      </c>
      <c r="H171" s="10" t="s">
        <v>12</v>
      </c>
      <c r="I171" s="11" t="s">
        <v>12</v>
      </c>
      <c r="J171" s="12"/>
    </row>
    <row r="172" spans="1:10" ht="60" customHeight="1">
      <c r="A172" s="6" t="s">
        <v>646</v>
      </c>
      <c r="B172" s="6" t="s">
        <v>19</v>
      </c>
      <c r="C172" s="6" t="s">
        <v>12</v>
      </c>
      <c r="D172" s="7" t="s">
        <v>647</v>
      </c>
      <c r="E172" s="8" t="s">
        <v>648</v>
      </c>
      <c r="F172" s="6" t="s">
        <v>649</v>
      </c>
      <c r="G172" s="9">
        <f>IF(A172=1,"_",IF(C172="_","???",C172))</f>
        <v/>
      </c>
      <c r="H172" s="10" t="s">
        <v>12</v>
      </c>
      <c r="I172" s="11" t="s">
        <v>12</v>
      </c>
      <c r="J172" s="12"/>
    </row>
    <row r="173" spans="1:10" ht="60" customHeight="1">
      <c r="A173" s="6" t="s">
        <v>650</v>
      </c>
      <c r="B173" s="6" t="s">
        <v>19</v>
      </c>
      <c r="C173" s="6" t="s">
        <v>12</v>
      </c>
      <c r="D173" s="7" t="s">
        <v>651</v>
      </c>
      <c r="E173" s="8" t="s">
        <v>652</v>
      </c>
      <c r="F173" s="6" t="s">
        <v>653</v>
      </c>
      <c r="G173" s="9">
        <f>IF(A173=1,"_",IF(C173="_","???",C173))</f>
        <v/>
      </c>
      <c r="H173" s="10" t="s">
        <v>12</v>
      </c>
      <c r="I173" s="11" t="s">
        <v>12</v>
      </c>
      <c r="J173" s="12"/>
    </row>
    <row r="174" spans="1:10" ht="60" customHeight="1">
      <c r="A174" s="6" t="s">
        <v>654</v>
      </c>
      <c r="B174" s="6" t="s">
        <v>11</v>
      </c>
      <c r="C174" s="6" t="s">
        <v>12</v>
      </c>
      <c r="D174" s="7" t="s">
        <v>655</v>
      </c>
      <c r="E174" s="8" t="s">
        <v>656</v>
      </c>
      <c r="F174" s="6" t="s">
        <v>657</v>
      </c>
      <c r="G174" s="9">
        <f>IF(A174=1,"_",IF(C174="_","???",C174))</f>
        <v/>
      </c>
      <c r="H174" s="10" t="s">
        <v>12</v>
      </c>
      <c r="I174" s="11" t="s">
        <v>12</v>
      </c>
      <c r="J174" s="12"/>
    </row>
    <row r="175" spans="1:10" ht="60" customHeight="1">
      <c r="A175" s="6" t="s">
        <v>658</v>
      </c>
      <c r="B175" s="6" t="s">
        <v>11</v>
      </c>
      <c r="C175" s="6" t="s">
        <v>12</v>
      </c>
      <c r="D175" s="7" t="s">
        <v>659</v>
      </c>
      <c r="E175" s="8" t="s">
        <v>660</v>
      </c>
      <c r="F175" s="6" t="s">
        <v>661</v>
      </c>
      <c r="G175" s="9">
        <f>IF(A175=1,"_",IF(C175="_","???",C175))</f>
        <v/>
      </c>
      <c r="H175" s="10" t="s">
        <v>12</v>
      </c>
      <c r="I175" s="11" t="s">
        <v>12</v>
      </c>
      <c r="J175" s="12"/>
    </row>
    <row r="176" spans="1:10" ht="60" customHeight="1">
      <c r="A176" s="6" t="s">
        <v>662</v>
      </c>
      <c r="B176" s="6" t="s">
        <v>11</v>
      </c>
      <c r="C176" s="6" t="s">
        <v>12</v>
      </c>
      <c r="D176" s="7" t="s">
        <v>663</v>
      </c>
      <c r="E176" s="8" t="s">
        <v>664</v>
      </c>
      <c r="F176" s="6" t="s">
        <v>665</v>
      </c>
      <c r="G176" s="9">
        <f>IF(A176=1,"_",IF(C176="_","???",C176))</f>
        <v/>
      </c>
      <c r="H176" s="10" t="s">
        <v>12</v>
      </c>
      <c r="I176" s="11" t="s">
        <v>12</v>
      </c>
      <c r="J176" s="12"/>
    </row>
    <row r="177" spans="1:10" ht="60" customHeight="1">
      <c r="A177" s="6" t="s">
        <v>666</v>
      </c>
      <c r="B177" s="6" t="s">
        <v>32</v>
      </c>
      <c r="C177" s="6" t="s">
        <v>12</v>
      </c>
      <c r="D177" s="7" t="s">
        <v>667</v>
      </c>
      <c r="E177" s="8" t="s">
        <v>668</v>
      </c>
      <c r="F177" s="6" t="s">
        <v>669</v>
      </c>
      <c r="G177" s="9">
        <f>IF(A177=1,"_",IF(C177="_","???",C177))</f>
        <v/>
      </c>
      <c r="H177" s="10" t="s">
        <v>12</v>
      </c>
      <c r="I177" s="11" t="s">
        <v>12</v>
      </c>
      <c r="J177" s="12"/>
    </row>
    <row r="178" spans="1:10" ht="60" customHeight="1">
      <c r="A178" s="6" t="s">
        <v>670</v>
      </c>
      <c r="B178" s="6" t="s">
        <v>43</v>
      </c>
      <c r="C178" s="6" t="s">
        <v>12</v>
      </c>
      <c r="D178" s="7" t="s">
        <v>671</v>
      </c>
      <c r="E178" s="8" t="s">
        <v>672</v>
      </c>
      <c r="F178" s="6" t="s">
        <v>673</v>
      </c>
      <c r="G178" s="9">
        <f>IF(A178=1,"_",IF(C178="_","???",C178))</f>
        <v/>
      </c>
      <c r="H178" s="10" t="s">
        <v>12</v>
      </c>
      <c r="I178" s="11" t="s">
        <v>12</v>
      </c>
      <c r="J178" s="12"/>
    </row>
    <row r="179" spans="1:10" ht="60" customHeight="1">
      <c r="A179" s="6" t="s">
        <v>674</v>
      </c>
      <c r="B179" s="6" t="s">
        <v>47</v>
      </c>
      <c r="C179" s="6" t="s">
        <v>12</v>
      </c>
      <c r="D179" s="7" t="s">
        <v>675</v>
      </c>
      <c r="E179" s="8" t="s">
        <v>676</v>
      </c>
      <c r="F179" s="6" t="s">
        <v>677</v>
      </c>
      <c r="G179" s="9">
        <f>IF(A179=1,"_",IF(C179="_","???",C179))</f>
        <v/>
      </c>
      <c r="H179" s="10" t="s">
        <v>12</v>
      </c>
      <c r="I179" s="11" t="s">
        <v>12</v>
      </c>
      <c r="J179" s="12"/>
    </row>
    <row r="180" spans="1:10" ht="60" customHeight="1">
      <c r="A180" s="6" t="s">
        <v>678</v>
      </c>
      <c r="B180" s="6" t="s">
        <v>24</v>
      </c>
      <c r="C180" s="6" t="s">
        <v>12</v>
      </c>
      <c r="D180" s="7" t="s">
        <v>667</v>
      </c>
      <c r="E180" s="8" t="s">
        <v>679</v>
      </c>
      <c r="F180" s="6" t="s">
        <v>680</v>
      </c>
      <c r="G180" s="9">
        <f>IF(A180=1,"_",IF(C180="_","???",C180))</f>
        <v/>
      </c>
      <c r="H180" s="10" t="s">
        <v>12</v>
      </c>
      <c r="I180" s="11" t="s">
        <v>12</v>
      </c>
      <c r="J180" s="12"/>
    </row>
    <row r="181" spans="1:10" ht="60" customHeight="1">
      <c r="A181" s="6" t="s">
        <v>681</v>
      </c>
      <c r="B181" s="6" t="s">
        <v>23</v>
      </c>
      <c r="C181" s="6" t="s">
        <v>12</v>
      </c>
      <c r="D181" s="7" t="s">
        <v>682</v>
      </c>
      <c r="E181" s="8" t="s">
        <v>683</v>
      </c>
      <c r="F181" s="6" t="s">
        <v>684</v>
      </c>
      <c r="G181" s="9">
        <f>IF(A181=1,"_",IF(C181="_","???",C181))</f>
        <v/>
      </c>
      <c r="H181" s="10" t="s">
        <v>12</v>
      </c>
      <c r="I181" s="11" t="s">
        <v>12</v>
      </c>
      <c r="J181" s="12"/>
    </row>
    <row r="182" spans="1:10" ht="60" customHeight="1">
      <c r="A182" s="6" t="s">
        <v>685</v>
      </c>
      <c r="B182" s="6" t="s">
        <v>19</v>
      </c>
      <c r="C182" s="6" t="s">
        <v>12</v>
      </c>
      <c r="D182" s="7" t="s">
        <v>40</v>
      </c>
      <c r="E182" s="8" t="s">
        <v>686</v>
      </c>
      <c r="F182" s="6" t="s">
        <v>687</v>
      </c>
      <c r="G182" s="9">
        <f>IF(A182=1,"_",IF(C182="_","???",C182))</f>
        <v/>
      </c>
      <c r="H182" s="10" t="s">
        <v>12</v>
      </c>
      <c r="I182" s="11" t="s">
        <v>12</v>
      </c>
      <c r="J182" s="12"/>
    </row>
    <row r="183" spans="1:10" ht="60" customHeight="1">
      <c r="A183" s="6" t="s">
        <v>688</v>
      </c>
      <c r="B183" s="6" t="s">
        <v>11</v>
      </c>
      <c r="C183" s="6" t="s">
        <v>12</v>
      </c>
      <c r="D183" s="7" t="s">
        <v>689</v>
      </c>
      <c r="E183" s="8" t="s">
        <v>690</v>
      </c>
      <c r="F183" s="6" t="s">
        <v>691</v>
      </c>
      <c r="G183" s="9">
        <f>IF(A183=1,"_",IF(C183="_","???",C183))</f>
        <v/>
      </c>
      <c r="H183" s="10" t="s">
        <v>12</v>
      </c>
      <c r="I183" s="11" t="s">
        <v>12</v>
      </c>
      <c r="J183" s="12"/>
    </row>
    <row r="184" spans="1:10" ht="60" customHeight="1">
      <c r="A184" s="6" t="s">
        <v>692</v>
      </c>
      <c r="B184" s="6" t="s">
        <v>11</v>
      </c>
      <c r="C184" s="6" t="s">
        <v>12</v>
      </c>
      <c r="D184" s="7" t="s">
        <v>689</v>
      </c>
      <c r="E184" s="8" t="s">
        <v>693</v>
      </c>
      <c r="F184" s="6" t="s">
        <v>694</v>
      </c>
      <c r="G184" s="9">
        <f>IF(A184=1,"_",IF(C184="_","???",C184))</f>
        <v/>
      </c>
      <c r="H184" s="10" t="s">
        <v>12</v>
      </c>
      <c r="I184" s="11" t="s">
        <v>12</v>
      </c>
      <c r="J184" s="12"/>
    </row>
    <row r="185" spans="1:10" ht="60" customHeight="1">
      <c r="A185" s="6" t="s">
        <v>695</v>
      </c>
      <c r="B185" s="6" t="s">
        <v>36</v>
      </c>
      <c r="C185" s="6" t="s">
        <v>12</v>
      </c>
      <c r="D185" s="7" t="s">
        <v>696</v>
      </c>
      <c r="E185" s="8" t="s">
        <v>697</v>
      </c>
      <c r="F185" s="6" t="s">
        <v>698</v>
      </c>
      <c r="G185" s="9">
        <f>IF(A185=1,"_",IF(C185="_","???",C185))</f>
        <v/>
      </c>
      <c r="H185" s="10" t="s">
        <v>12</v>
      </c>
      <c r="I185" s="11" t="s">
        <v>12</v>
      </c>
      <c r="J185" s="12"/>
    </row>
    <row r="186" spans="1:10" ht="60" customHeight="1">
      <c r="A186" s="6" t="s">
        <v>699</v>
      </c>
      <c r="B186" s="6" t="s">
        <v>11</v>
      </c>
      <c r="C186" s="6" t="s">
        <v>12</v>
      </c>
      <c r="D186" s="7" t="s">
        <v>700</v>
      </c>
      <c r="E186" s="8" t="s">
        <v>701</v>
      </c>
      <c r="F186" s="6" t="s">
        <v>702</v>
      </c>
      <c r="G186" s="9">
        <f>IF(A186=1,"_",IF(C186="_","???",C186))</f>
        <v/>
      </c>
      <c r="H186" s="10" t="s">
        <v>12</v>
      </c>
      <c r="I186" s="11" t="s">
        <v>12</v>
      </c>
      <c r="J186" s="12"/>
    </row>
    <row r="187" spans="1:10" ht="60" customHeight="1">
      <c r="A187" s="6" t="s">
        <v>703</v>
      </c>
      <c r="B187" s="6" t="s">
        <v>47</v>
      </c>
      <c r="C187" s="6" t="s">
        <v>12</v>
      </c>
      <c r="D187" s="7" t="s">
        <v>704</v>
      </c>
      <c r="E187" s="8" t="s">
        <v>705</v>
      </c>
      <c r="F187" s="6" t="s">
        <v>706</v>
      </c>
      <c r="G187" s="9">
        <f>IF(A187=1,"_",IF(C187="_","???",C187))</f>
        <v/>
      </c>
      <c r="H187" s="10" t="s">
        <v>12</v>
      </c>
      <c r="I187" s="11" t="s">
        <v>12</v>
      </c>
      <c r="J187" s="12"/>
    </row>
    <row r="188" spans="1:10" ht="60" customHeight="1">
      <c r="A188" s="6" t="s">
        <v>707</v>
      </c>
      <c r="B188" s="6" t="s">
        <v>11</v>
      </c>
      <c r="C188" s="6" t="s">
        <v>12</v>
      </c>
      <c r="D188" s="7" t="s">
        <v>708</v>
      </c>
      <c r="E188" s="8" t="s">
        <v>709</v>
      </c>
      <c r="F188" s="6" t="s">
        <v>710</v>
      </c>
      <c r="G188" s="9">
        <f>IF(A188=1,"_",IF(C188="_","???",C188))</f>
        <v/>
      </c>
      <c r="H188" s="10" t="s">
        <v>12</v>
      </c>
      <c r="I188" s="11" t="s">
        <v>12</v>
      </c>
      <c r="J188" s="12"/>
    </row>
    <row r="189" spans="1:10" ht="60" customHeight="1">
      <c r="A189" s="6" t="s">
        <v>711</v>
      </c>
      <c r="B189" s="6" t="s">
        <v>11</v>
      </c>
      <c r="C189" s="6" t="s">
        <v>12</v>
      </c>
      <c r="D189" s="7" t="s">
        <v>712</v>
      </c>
      <c r="E189" s="8" t="s">
        <v>713</v>
      </c>
      <c r="F189" s="6" t="s">
        <v>714</v>
      </c>
      <c r="G189" s="9">
        <f>IF(A189=1,"_",IF(C189="_","???",C189))</f>
        <v/>
      </c>
      <c r="H189" s="10" t="s">
        <v>12</v>
      </c>
      <c r="I189" s="11" t="s">
        <v>12</v>
      </c>
      <c r="J189" s="12"/>
    </row>
    <row r="190" spans="1:10" ht="60" customHeight="1">
      <c r="A190" s="6" t="s">
        <v>715</v>
      </c>
      <c r="B190" s="6" t="s">
        <v>11</v>
      </c>
      <c r="C190" s="6" t="s">
        <v>12</v>
      </c>
      <c r="D190" s="7" t="s">
        <v>675</v>
      </c>
      <c r="E190" s="8" t="s">
        <v>716</v>
      </c>
      <c r="F190" s="6" t="s">
        <v>717</v>
      </c>
      <c r="G190" s="9">
        <f>IF(A190=1,"_",IF(C190="_","???",C190))</f>
        <v/>
      </c>
      <c r="H190" s="10" t="s">
        <v>12</v>
      </c>
      <c r="I190" s="11" t="s">
        <v>12</v>
      </c>
      <c r="J190" s="12"/>
    </row>
    <row r="191" spans="1:10" ht="60" customHeight="1">
      <c r="A191" s="6" t="s">
        <v>718</v>
      </c>
      <c r="B191" s="6" t="s">
        <v>11</v>
      </c>
      <c r="C191" s="6" t="s">
        <v>12</v>
      </c>
      <c r="D191" s="7" t="s">
        <v>719</v>
      </c>
      <c r="E191" s="8" t="s">
        <v>720</v>
      </c>
      <c r="F191" s="6" t="s">
        <v>721</v>
      </c>
      <c r="G191" s="9">
        <f>IF(A191=1,"_",IF(C191="_","???",C191))</f>
        <v/>
      </c>
      <c r="H191" s="10" t="s">
        <v>12</v>
      </c>
      <c r="I191" s="11" t="s">
        <v>12</v>
      </c>
      <c r="J191" s="12"/>
    </row>
    <row r="192" spans="1:10" ht="60" customHeight="1">
      <c r="A192" s="6" t="s">
        <v>722</v>
      </c>
      <c r="B192" s="6" t="s">
        <v>11</v>
      </c>
      <c r="C192" s="6" t="s">
        <v>12</v>
      </c>
      <c r="D192" s="7" t="s">
        <v>723</v>
      </c>
      <c r="E192" s="8" t="s">
        <v>724</v>
      </c>
      <c r="F192" s="6" t="s">
        <v>725</v>
      </c>
      <c r="G192" s="9">
        <f>IF(A192=1,"_",IF(C192="_","???",C192))</f>
        <v/>
      </c>
      <c r="H192" s="10" t="s">
        <v>12</v>
      </c>
      <c r="I192" s="11" t="s">
        <v>12</v>
      </c>
      <c r="J192" s="12"/>
    </row>
    <row r="193" spans="1:10" ht="60" customHeight="1">
      <c r="A193" s="6" t="s">
        <v>726</v>
      </c>
      <c r="B193" s="6" t="s">
        <v>19</v>
      </c>
      <c r="C193" s="6" t="s">
        <v>12</v>
      </c>
      <c r="D193" s="7" t="s">
        <v>727</v>
      </c>
      <c r="E193" s="8" t="s">
        <v>728</v>
      </c>
      <c r="F193" s="6" t="s">
        <v>729</v>
      </c>
      <c r="G193" s="9">
        <f>IF(A193=1,"_",IF(C193="_","???",C193))</f>
        <v/>
      </c>
      <c r="H193" s="10" t="s">
        <v>12</v>
      </c>
      <c r="I193" s="11" t="s">
        <v>12</v>
      </c>
      <c r="J193" s="12"/>
    </row>
    <row r="194" spans="1:10" ht="60" customHeight="1">
      <c r="A194" s="6" t="s">
        <v>730</v>
      </c>
      <c r="B194" s="6" t="s">
        <v>32</v>
      </c>
      <c r="C194" s="6" t="s">
        <v>12</v>
      </c>
      <c r="D194" s="7" t="s">
        <v>117</v>
      </c>
      <c r="E194" s="8" t="s">
        <v>731</v>
      </c>
      <c r="F194" s="6" t="s">
        <v>732</v>
      </c>
      <c r="G194" s="9">
        <f>IF(A194=1,"_",IF(C194="_","???",C194))</f>
        <v/>
      </c>
      <c r="H194" s="10" t="s">
        <v>12</v>
      </c>
      <c r="I194" s="11" t="s">
        <v>12</v>
      </c>
      <c r="J194" s="12"/>
    </row>
    <row r="195" spans="1:10" ht="60" customHeight="1">
      <c r="A195" s="6" t="s">
        <v>733</v>
      </c>
      <c r="B195" s="6" t="s">
        <v>11</v>
      </c>
      <c r="C195" s="6" t="s">
        <v>12</v>
      </c>
      <c r="D195" s="7" t="s">
        <v>616</v>
      </c>
      <c r="E195" s="8" t="s">
        <v>734</v>
      </c>
      <c r="F195" s="6" t="s">
        <v>735</v>
      </c>
      <c r="G195" s="9">
        <f>IF(A195=1,"_",IF(C195="_","???",C195))</f>
        <v/>
      </c>
      <c r="H195" s="10" t="s">
        <v>12</v>
      </c>
      <c r="I195" s="11" t="s">
        <v>12</v>
      </c>
      <c r="J195" s="12"/>
    </row>
    <row r="196" spans="1:10" ht="60" customHeight="1">
      <c r="A196" s="6" t="s">
        <v>736</v>
      </c>
      <c r="B196" s="6" t="s">
        <v>82</v>
      </c>
      <c r="C196" s="6" t="s">
        <v>159</v>
      </c>
      <c r="D196" s="7" t="s">
        <v>737</v>
      </c>
      <c r="E196" s="8" t="s">
        <v>738</v>
      </c>
      <c r="F196" s="6" t="s">
        <v>739</v>
      </c>
      <c r="G196" s="9">
        <f>IF(A196=1,"_",IF(C196="_","???",C196))</f>
        <v/>
      </c>
      <c r="H196" s="10" t="s">
        <v>12</v>
      </c>
      <c r="I196" s="11" t="s">
        <v>12</v>
      </c>
      <c r="J196" s="12"/>
    </row>
    <row r="197" spans="1:10" ht="60" customHeight="1">
      <c r="A197" s="6" t="s">
        <v>740</v>
      </c>
      <c r="B197" s="6" t="s">
        <v>32</v>
      </c>
      <c r="C197" s="6" t="s">
        <v>12</v>
      </c>
      <c r="D197" s="7" t="s">
        <v>604</v>
      </c>
      <c r="E197" s="8" t="s">
        <v>741</v>
      </c>
      <c r="F197" s="6" t="s">
        <v>742</v>
      </c>
      <c r="G197" s="9">
        <f>IF(A197=1,"_",IF(C197="_","???",C197))</f>
        <v/>
      </c>
      <c r="H197" s="10" t="s">
        <v>12</v>
      </c>
      <c r="I197" s="11" t="s">
        <v>12</v>
      </c>
      <c r="J197" s="12"/>
    </row>
    <row r="198" spans="1:10" ht="60" customHeight="1">
      <c r="A198" s="6" t="s">
        <v>743</v>
      </c>
      <c r="B198" s="6" t="s">
        <v>43</v>
      </c>
      <c r="C198" s="6" t="s">
        <v>744</v>
      </c>
      <c r="D198" s="7" t="s">
        <v>745</v>
      </c>
      <c r="E198" s="8" t="s">
        <v>746</v>
      </c>
      <c r="F198" s="6" t="s">
        <v>747</v>
      </c>
      <c r="G198" s="9">
        <f>IF(A198=1,"_",IF(C198="_","???",C198))</f>
        <v/>
      </c>
      <c r="H198" s="10" t="s">
        <v>12</v>
      </c>
      <c r="I198" s="11" t="s">
        <v>12</v>
      </c>
      <c r="J198" s="12"/>
    </row>
    <row r="199" spans="1:10" ht="60" customHeight="1">
      <c r="A199" s="6" t="s">
        <v>748</v>
      </c>
      <c r="B199" s="6" t="s">
        <v>10</v>
      </c>
      <c r="C199" s="6" t="s">
        <v>12</v>
      </c>
      <c r="D199" s="7" t="s">
        <v>749</v>
      </c>
      <c r="E199" s="8" t="s">
        <v>750</v>
      </c>
      <c r="F199" s="6" t="s">
        <v>751</v>
      </c>
      <c r="G199" s="9">
        <f>IF(A199=1,"_",IF(C199="_","???",C199))</f>
        <v/>
      </c>
      <c r="H199" s="10" t="s">
        <v>12</v>
      </c>
      <c r="I199" s="11" t="s">
        <v>12</v>
      </c>
      <c r="J199" s="12"/>
    </row>
    <row r="200" spans="1:10" ht="60" customHeight="1">
      <c r="A200" s="6" t="s">
        <v>752</v>
      </c>
      <c r="B200" s="6" t="s">
        <v>11</v>
      </c>
      <c r="C200" s="6" t="s">
        <v>12</v>
      </c>
      <c r="D200" s="7" t="s">
        <v>675</v>
      </c>
      <c r="E200" s="8" t="s">
        <v>753</v>
      </c>
      <c r="F200" s="6" t="s">
        <v>754</v>
      </c>
      <c r="G200" s="9">
        <f>IF(A200=1,"_",IF(C200="_","???",C200))</f>
        <v/>
      </c>
      <c r="H200" s="10" t="s">
        <v>12</v>
      </c>
      <c r="I200" s="11" t="s">
        <v>12</v>
      </c>
      <c r="J200" s="12"/>
    </row>
    <row r="201" spans="1:10" ht="60" customHeight="1">
      <c r="A201" s="6" t="s">
        <v>755</v>
      </c>
      <c r="B201" s="6" t="s">
        <v>11</v>
      </c>
      <c r="C201" s="6" t="s">
        <v>12</v>
      </c>
      <c r="D201" s="7" t="s">
        <v>756</v>
      </c>
      <c r="E201" s="8" t="s">
        <v>757</v>
      </c>
      <c r="F201" s="6" t="s">
        <v>758</v>
      </c>
      <c r="G201" s="9">
        <f>IF(A201=1,"_",IF(C201="_","???",C201))</f>
        <v/>
      </c>
      <c r="H201" s="10" t="s">
        <v>12</v>
      </c>
      <c r="I201" s="11" t="s">
        <v>12</v>
      </c>
      <c r="J201" s="12"/>
    </row>
    <row r="202" spans="1:10" ht="60" customHeight="1">
      <c r="A202" s="6" t="s">
        <v>759</v>
      </c>
      <c r="B202" s="6" t="s">
        <v>11</v>
      </c>
      <c r="C202" s="6" t="s">
        <v>12</v>
      </c>
      <c r="D202" s="7" t="s">
        <v>25</v>
      </c>
      <c r="E202" s="8" t="s">
        <v>760</v>
      </c>
      <c r="F202" s="6" t="s">
        <v>761</v>
      </c>
      <c r="G202" s="9">
        <f>IF(A202=1,"_",IF(C202="_","???",C202))</f>
        <v/>
      </c>
      <c r="H202" s="10" t="s">
        <v>12</v>
      </c>
      <c r="I202" s="11" t="s">
        <v>12</v>
      </c>
      <c r="J202" s="12"/>
    </row>
    <row r="203" spans="1:10" ht="60" customHeight="1">
      <c r="A203" s="6" t="s">
        <v>762</v>
      </c>
      <c r="B203" s="6" t="s">
        <v>11</v>
      </c>
      <c r="C203" s="6" t="s">
        <v>12</v>
      </c>
      <c r="D203" s="7" t="s">
        <v>675</v>
      </c>
      <c r="E203" s="8" t="s">
        <v>763</v>
      </c>
      <c r="F203" s="6" t="s">
        <v>764</v>
      </c>
      <c r="G203" s="9">
        <f>IF(A203=1,"_",IF(C203="_","???",C203))</f>
        <v/>
      </c>
      <c r="H203" s="10" t="s">
        <v>12</v>
      </c>
      <c r="I203" s="11" t="s">
        <v>12</v>
      </c>
      <c r="J203" s="12"/>
    </row>
    <row r="204" spans="1:10" ht="60" customHeight="1">
      <c r="A204" s="6" t="s">
        <v>765</v>
      </c>
      <c r="B204" s="6" t="s">
        <v>11</v>
      </c>
      <c r="C204" s="6" t="s">
        <v>12</v>
      </c>
      <c r="D204" s="7" t="s">
        <v>766</v>
      </c>
      <c r="E204" s="8" t="s">
        <v>767</v>
      </c>
      <c r="F204" s="6" t="s">
        <v>768</v>
      </c>
      <c r="G204" s="9">
        <f>IF(A204=1,"_",IF(C204="_","???",C204))</f>
        <v/>
      </c>
      <c r="H204" s="10" t="s">
        <v>12</v>
      </c>
      <c r="I204" s="11" t="s">
        <v>12</v>
      </c>
      <c r="J204" s="12"/>
    </row>
    <row r="205" spans="1:10" ht="60" customHeight="1">
      <c r="A205" s="6" t="s">
        <v>769</v>
      </c>
      <c r="B205" s="6" t="s">
        <v>23</v>
      </c>
      <c r="C205" s="6" t="s">
        <v>12</v>
      </c>
      <c r="D205" s="7" t="s">
        <v>770</v>
      </c>
      <c r="E205" s="8" t="s">
        <v>771</v>
      </c>
      <c r="F205" s="6" t="s">
        <v>772</v>
      </c>
      <c r="G205" s="9">
        <f>IF(A205=1,"_",IF(C205="_","???",C205))</f>
        <v/>
      </c>
      <c r="H205" s="10" t="s">
        <v>12</v>
      </c>
      <c r="I205" s="11" t="s">
        <v>12</v>
      </c>
      <c r="J205" s="12"/>
    </row>
    <row r="206" spans="1:10" ht="60" customHeight="1">
      <c r="A206" s="6" t="s">
        <v>773</v>
      </c>
      <c r="B206" s="6" t="s">
        <v>11</v>
      </c>
      <c r="C206" s="6" t="s">
        <v>73</v>
      </c>
      <c r="D206" s="7" t="s">
        <v>774</v>
      </c>
      <c r="E206" s="8" t="s">
        <v>775</v>
      </c>
      <c r="F206" s="6" t="s">
        <v>776</v>
      </c>
      <c r="G206" s="9">
        <f>IF(A206=1,"_",IF(C206="_","???",C206))</f>
        <v/>
      </c>
      <c r="H206" s="10" t="s">
        <v>12</v>
      </c>
      <c r="I206" s="11" t="s">
        <v>12</v>
      </c>
      <c r="J206" s="12"/>
    </row>
    <row r="207" spans="1:10" ht="60" customHeight="1">
      <c r="A207" s="6" t="s">
        <v>777</v>
      </c>
      <c r="B207" s="6" t="s">
        <v>23</v>
      </c>
      <c r="C207" s="6" t="s">
        <v>12</v>
      </c>
      <c r="D207" s="7" t="s">
        <v>778</v>
      </c>
      <c r="E207" s="8" t="s">
        <v>779</v>
      </c>
      <c r="F207" s="6" t="s">
        <v>780</v>
      </c>
      <c r="G207" s="9">
        <f>IF(A207=1,"_",IF(C207="_","???",C207))</f>
        <v/>
      </c>
      <c r="H207" s="10" t="s">
        <v>12</v>
      </c>
      <c r="I207" s="11" t="s">
        <v>12</v>
      </c>
      <c r="J207" s="12"/>
    </row>
    <row r="208" spans="1:10" ht="60" customHeight="1">
      <c r="A208" s="6" t="s">
        <v>781</v>
      </c>
      <c r="B208" s="6" t="s">
        <v>11</v>
      </c>
      <c r="C208" s="6" t="s">
        <v>12</v>
      </c>
      <c r="D208" s="7" t="s">
        <v>496</v>
      </c>
      <c r="E208" s="8" t="s">
        <v>782</v>
      </c>
      <c r="F208" s="6" t="s">
        <v>783</v>
      </c>
      <c r="G208" s="9">
        <f>IF(A208=1,"_",IF(C208="_","???",C208))</f>
        <v/>
      </c>
      <c r="H208" s="10" t="s">
        <v>12</v>
      </c>
      <c r="I208" s="11" t="s">
        <v>12</v>
      </c>
      <c r="J208" s="12"/>
    </row>
    <row r="209" spans="1:10" ht="60" customHeight="1">
      <c r="A209" s="6" t="s">
        <v>784</v>
      </c>
      <c r="B209" s="6" t="s">
        <v>86</v>
      </c>
      <c r="C209" s="6" t="s">
        <v>73</v>
      </c>
      <c r="D209" s="7" t="s">
        <v>785</v>
      </c>
      <c r="E209" s="8" t="s">
        <v>786</v>
      </c>
      <c r="F209" s="6" t="s">
        <v>787</v>
      </c>
      <c r="G209" s="9">
        <f>IF(A209=1,"_",IF(C209="_","???",C209))</f>
        <v/>
      </c>
      <c r="H209" s="10" t="s">
        <v>12</v>
      </c>
      <c r="I209" s="11" t="s">
        <v>12</v>
      </c>
      <c r="J209" s="12"/>
    </row>
    <row r="210" spans="1:10" ht="60" customHeight="1">
      <c r="A210" s="6" t="s">
        <v>788</v>
      </c>
      <c r="B210" s="6" t="s">
        <v>60</v>
      </c>
      <c r="C210" s="6" t="s">
        <v>12</v>
      </c>
      <c r="D210" s="7" t="s">
        <v>789</v>
      </c>
      <c r="E210" s="8" t="s">
        <v>790</v>
      </c>
      <c r="F210" s="6" t="s">
        <v>791</v>
      </c>
      <c r="G210" s="9">
        <f>IF(A210=1,"_",IF(C210="_","???",C210))</f>
        <v/>
      </c>
      <c r="H210" s="10" t="s">
        <v>12</v>
      </c>
      <c r="I210" s="11" t="s">
        <v>12</v>
      </c>
      <c r="J210" s="12"/>
    </row>
    <row r="211" spans="1:10" ht="60" customHeight="1">
      <c r="A211" s="6" t="s">
        <v>792</v>
      </c>
      <c r="B211" s="6" t="s">
        <v>47</v>
      </c>
      <c r="C211" s="6" t="s">
        <v>12</v>
      </c>
      <c r="D211" s="7" t="s">
        <v>793</v>
      </c>
      <c r="E211" s="8" t="s">
        <v>794</v>
      </c>
      <c r="F211" s="6" t="s">
        <v>795</v>
      </c>
      <c r="G211" s="9">
        <f>IF(A211=1,"_",IF(C211="_","???",C211))</f>
        <v/>
      </c>
      <c r="H211" s="10" t="s">
        <v>12</v>
      </c>
      <c r="I211" s="11" t="s">
        <v>12</v>
      </c>
      <c r="J211" s="12"/>
    </row>
    <row r="212" spans="1:10" ht="60" customHeight="1">
      <c r="A212" s="6" t="s">
        <v>796</v>
      </c>
      <c r="B212" s="6" t="s">
        <v>43</v>
      </c>
      <c r="C212" s="6" t="s">
        <v>159</v>
      </c>
      <c r="D212" s="7" t="s">
        <v>259</v>
      </c>
      <c r="E212" s="8" t="s">
        <v>797</v>
      </c>
      <c r="F212" s="6" t="s">
        <v>798</v>
      </c>
      <c r="G212" s="9">
        <f>IF(A212=1,"_",IF(C212="_","???",C212))</f>
        <v/>
      </c>
      <c r="H212" s="10" t="s">
        <v>12</v>
      </c>
      <c r="I212" s="11" t="s">
        <v>12</v>
      </c>
      <c r="J212" s="12"/>
    </row>
    <row r="213" spans="1:10" ht="60" customHeight="1">
      <c r="A213" s="6" t="s">
        <v>799</v>
      </c>
      <c r="B213" s="6" t="s">
        <v>36</v>
      </c>
      <c r="C213" s="6" t="s">
        <v>12</v>
      </c>
      <c r="D213" s="7" t="s">
        <v>800</v>
      </c>
      <c r="E213" s="8" t="s">
        <v>801</v>
      </c>
      <c r="F213" s="6" t="s">
        <v>802</v>
      </c>
      <c r="G213" s="9">
        <f>IF(A213=1,"_",IF(C213="_","???",C213))</f>
        <v/>
      </c>
      <c r="H213" s="10" t="s">
        <v>12</v>
      </c>
      <c r="I213" s="11" t="s">
        <v>12</v>
      </c>
      <c r="J213" s="12"/>
    </row>
    <row r="214" spans="1:10" ht="60" customHeight="1">
      <c r="A214" s="6" t="s">
        <v>803</v>
      </c>
      <c r="B214" s="6" t="s">
        <v>28</v>
      </c>
      <c r="C214" s="6" t="s">
        <v>12</v>
      </c>
      <c r="D214" s="7" t="s">
        <v>804</v>
      </c>
      <c r="E214" s="8" t="s">
        <v>805</v>
      </c>
      <c r="F214" s="6" t="s">
        <v>806</v>
      </c>
      <c r="G214" s="9">
        <f>IF(A214=1,"_",IF(C214="_","???",C214))</f>
        <v/>
      </c>
      <c r="H214" s="10" t="s">
        <v>12</v>
      </c>
      <c r="I214" s="11" t="s">
        <v>12</v>
      </c>
      <c r="J214" s="12"/>
    </row>
    <row r="215" spans="1:10" ht="60" customHeight="1">
      <c r="A215" s="6" t="s">
        <v>807</v>
      </c>
      <c r="B215" s="6" t="s">
        <v>11</v>
      </c>
      <c r="C215" s="6" t="s">
        <v>12</v>
      </c>
      <c r="D215" s="7" t="s">
        <v>347</v>
      </c>
      <c r="E215" s="8" t="s">
        <v>808</v>
      </c>
      <c r="F215" s="6" t="s">
        <v>809</v>
      </c>
      <c r="G215" s="9">
        <f>IF(A215=1,"_",IF(C215="_","???",C215))</f>
        <v/>
      </c>
      <c r="H215" s="10" t="s">
        <v>12</v>
      </c>
      <c r="I215" s="11" t="s">
        <v>12</v>
      </c>
      <c r="J215" s="12"/>
    </row>
    <row r="216" spans="1:10" ht="60" customHeight="1">
      <c r="A216" s="6" t="s">
        <v>810</v>
      </c>
      <c r="B216" s="6" t="s">
        <v>11</v>
      </c>
      <c r="C216" s="6" t="s">
        <v>12</v>
      </c>
      <c r="D216" s="7" t="s">
        <v>117</v>
      </c>
      <c r="E216" s="8" t="s">
        <v>811</v>
      </c>
      <c r="F216" s="6" t="s">
        <v>812</v>
      </c>
      <c r="G216" s="9">
        <f>IF(A216=1,"_",IF(C216="_","???",C216))</f>
        <v/>
      </c>
      <c r="H216" s="10" t="s">
        <v>12</v>
      </c>
      <c r="I216" s="11" t="s">
        <v>12</v>
      </c>
      <c r="J216" s="12"/>
    </row>
    <row r="217" spans="1:10" ht="60" customHeight="1">
      <c r="A217" s="6" t="s">
        <v>813</v>
      </c>
      <c r="B217" s="6" t="s">
        <v>19</v>
      </c>
      <c r="C217" s="6" t="s">
        <v>12</v>
      </c>
      <c r="D217" s="7" t="s">
        <v>814</v>
      </c>
      <c r="E217" s="8" t="s">
        <v>815</v>
      </c>
      <c r="F217" s="6" t="s">
        <v>816</v>
      </c>
      <c r="G217" s="9">
        <f>IF(A217=1,"_",IF(C217="_","???",C217))</f>
        <v/>
      </c>
      <c r="H217" s="10" t="s">
        <v>12</v>
      </c>
      <c r="I217" s="11" t="s">
        <v>12</v>
      </c>
      <c r="J217" s="12"/>
    </row>
    <row r="218" spans="1:10" ht="60" customHeight="1">
      <c r="A218" s="6" t="s">
        <v>817</v>
      </c>
      <c r="B218" s="6" t="s">
        <v>19</v>
      </c>
      <c r="C218" s="6" t="s">
        <v>12</v>
      </c>
      <c r="D218" s="7" t="s">
        <v>25</v>
      </c>
      <c r="E218" s="8" t="s">
        <v>818</v>
      </c>
      <c r="F218" s="6" t="s">
        <v>819</v>
      </c>
      <c r="G218" s="9">
        <f>IF(A218=1,"_",IF(C218="_","???",C218))</f>
        <v/>
      </c>
      <c r="H218" s="10" t="s">
        <v>12</v>
      </c>
      <c r="I218" s="11" t="s">
        <v>12</v>
      </c>
      <c r="J218" s="12"/>
    </row>
    <row r="219" spans="1:10" ht="60" customHeight="1">
      <c r="A219" s="6" t="s">
        <v>820</v>
      </c>
      <c r="B219" s="6" t="s">
        <v>11</v>
      </c>
      <c r="C219" s="6" t="s">
        <v>12</v>
      </c>
      <c r="D219" s="7" t="s">
        <v>821</v>
      </c>
      <c r="E219" s="8" t="s">
        <v>822</v>
      </c>
      <c r="F219" s="6" t="s">
        <v>823</v>
      </c>
      <c r="G219" s="9">
        <f>IF(A219=1,"_",IF(C219="_","???",C219))</f>
        <v/>
      </c>
      <c r="H219" s="10" t="s">
        <v>12</v>
      </c>
      <c r="I219" s="11" t="s">
        <v>12</v>
      </c>
      <c r="J219" s="12"/>
    </row>
    <row r="220" spans="1:10" ht="60" customHeight="1">
      <c r="A220" s="6" t="s">
        <v>824</v>
      </c>
      <c r="B220" s="6" t="s">
        <v>19</v>
      </c>
      <c r="C220" s="6" t="s">
        <v>12</v>
      </c>
      <c r="D220" s="7" t="s">
        <v>825</v>
      </c>
      <c r="E220" s="8" t="s">
        <v>826</v>
      </c>
      <c r="F220" s="6" t="s">
        <v>827</v>
      </c>
      <c r="G220" s="9">
        <f>IF(A220=1,"_",IF(C220="_","???",C220))</f>
        <v/>
      </c>
      <c r="H220" s="10" t="s">
        <v>12</v>
      </c>
      <c r="I220" s="11" t="s">
        <v>12</v>
      </c>
      <c r="J220" s="12"/>
    </row>
    <row r="221" spans="1:10" ht="60" customHeight="1">
      <c r="A221" s="6" t="s">
        <v>828</v>
      </c>
      <c r="B221" s="6" t="s">
        <v>52</v>
      </c>
      <c r="C221" s="6" t="s">
        <v>12</v>
      </c>
      <c r="D221" s="7" t="s">
        <v>572</v>
      </c>
      <c r="E221" s="8" t="s">
        <v>829</v>
      </c>
      <c r="F221" s="6" t="s">
        <v>830</v>
      </c>
      <c r="G221" s="9">
        <f>IF(A221=1,"_",IF(C221="_","???",C221))</f>
        <v/>
      </c>
      <c r="H221" s="10" t="s">
        <v>12</v>
      </c>
      <c r="I221" s="11" t="s">
        <v>12</v>
      </c>
      <c r="J221" s="12"/>
    </row>
    <row r="222" spans="1:10" ht="60" customHeight="1">
      <c r="A222" s="6" t="s">
        <v>831</v>
      </c>
      <c r="B222" s="6" t="s">
        <v>19</v>
      </c>
      <c r="C222" s="6" t="s">
        <v>12</v>
      </c>
      <c r="D222" s="7" t="s">
        <v>832</v>
      </c>
      <c r="E222" s="8" t="s">
        <v>833</v>
      </c>
      <c r="F222" s="6" t="s">
        <v>834</v>
      </c>
      <c r="G222" s="9">
        <f>IF(A222=1,"_",IF(C222="_","???",C222))</f>
        <v/>
      </c>
      <c r="H222" s="10" t="s">
        <v>12</v>
      </c>
      <c r="I222" s="11" t="s">
        <v>12</v>
      </c>
      <c r="J222" s="12"/>
    </row>
    <row r="223" spans="1:10" ht="60" customHeight="1">
      <c r="A223" s="6" t="s">
        <v>835</v>
      </c>
      <c r="B223" s="6" t="s">
        <v>23</v>
      </c>
      <c r="C223" s="6" t="s">
        <v>12</v>
      </c>
      <c r="D223" s="7" t="s">
        <v>836</v>
      </c>
      <c r="E223" s="8" t="s">
        <v>837</v>
      </c>
      <c r="F223" s="6" t="s">
        <v>838</v>
      </c>
      <c r="G223" s="9">
        <f>IF(A223=1,"_",IF(C223="_","???",C223))</f>
        <v/>
      </c>
      <c r="H223" s="10" t="s">
        <v>12</v>
      </c>
      <c r="I223" s="11" t="s">
        <v>12</v>
      </c>
      <c r="J223" s="12"/>
    </row>
    <row r="224" spans="1:10" ht="60" customHeight="1">
      <c r="A224" s="6" t="s">
        <v>839</v>
      </c>
      <c r="B224" s="6" t="s">
        <v>19</v>
      </c>
      <c r="C224" s="6" t="s">
        <v>12</v>
      </c>
      <c r="D224" s="7" t="s">
        <v>840</v>
      </c>
      <c r="E224" s="8" t="s">
        <v>841</v>
      </c>
      <c r="F224" s="6" t="s">
        <v>842</v>
      </c>
      <c r="G224" s="9">
        <f>IF(A224=1,"_",IF(C224="_","???",C224))</f>
        <v/>
      </c>
      <c r="H224" s="10" t="s">
        <v>12</v>
      </c>
      <c r="I224" s="11" t="s">
        <v>12</v>
      </c>
      <c r="J224" s="12"/>
    </row>
    <row r="225" spans="1:10" ht="60" customHeight="1">
      <c r="A225" s="6" t="s">
        <v>843</v>
      </c>
      <c r="B225" s="6" t="s">
        <v>47</v>
      </c>
      <c r="C225" s="6" t="s">
        <v>12</v>
      </c>
      <c r="D225" s="7" t="s">
        <v>844</v>
      </c>
      <c r="E225" s="8" t="s">
        <v>845</v>
      </c>
      <c r="F225" s="6" t="s">
        <v>846</v>
      </c>
      <c r="G225" s="9">
        <f>IF(A225=1,"_",IF(C225="_","???",C225))</f>
        <v/>
      </c>
      <c r="H225" s="10" t="s">
        <v>12</v>
      </c>
      <c r="I225" s="11" t="s">
        <v>12</v>
      </c>
      <c r="J225" s="12"/>
    </row>
    <row r="226" spans="1:10" ht="60" customHeight="1">
      <c r="A226" s="6" t="s">
        <v>847</v>
      </c>
      <c r="B226" s="6" t="s">
        <v>52</v>
      </c>
      <c r="C226" s="6" t="s">
        <v>12</v>
      </c>
      <c r="D226" s="7" t="s">
        <v>848</v>
      </c>
      <c r="E226" s="8" t="s">
        <v>849</v>
      </c>
      <c r="F226" s="6" t="s">
        <v>850</v>
      </c>
      <c r="G226" s="9">
        <f>IF(A226=1,"_",IF(C226="_","???",C226))</f>
        <v/>
      </c>
      <c r="H226" s="10" t="s">
        <v>12</v>
      </c>
      <c r="I226" s="11" t="s">
        <v>12</v>
      </c>
      <c r="J226" s="12"/>
    </row>
    <row r="227" spans="1:10" ht="60" customHeight="1">
      <c r="A227" s="6" t="s">
        <v>851</v>
      </c>
      <c r="B227" s="6" t="s">
        <v>28</v>
      </c>
      <c r="C227" s="6" t="s">
        <v>12</v>
      </c>
      <c r="D227" s="7" t="s">
        <v>572</v>
      </c>
      <c r="E227" s="8" t="s">
        <v>852</v>
      </c>
      <c r="F227" s="6" t="s">
        <v>853</v>
      </c>
      <c r="G227" s="9">
        <f>IF(A227=1,"_",IF(C227="_","???",C227))</f>
        <v/>
      </c>
      <c r="H227" s="10" t="s">
        <v>12</v>
      </c>
      <c r="I227" s="11" t="s">
        <v>12</v>
      </c>
      <c r="J227" s="12"/>
    </row>
    <row r="228" spans="1:10" ht="60" customHeight="1">
      <c r="A228" s="6" t="s">
        <v>854</v>
      </c>
      <c r="B228" s="6" t="s">
        <v>28</v>
      </c>
      <c r="C228" s="6" t="s">
        <v>12</v>
      </c>
      <c r="D228" s="7" t="s">
        <v>855</v>
      </c>
      <c r="E228" s="8" t="s">
        <v>856</v>
      </c>
      <c r="F228" s="6" t="s">
        <v>857</v>
      </c>
      <c r="G228" s="9">
        <f>IF(A228=1,"_",IF(C228="_","???",C228))</f>
        <v/>
      </c>
      <c r="H228" s="10" t="s">
        <v>12</v>
      </c>
      <c r="I228" s="11" t="s">
        <v>12</v>
      </c>
      <c r="J228" s="12"/>
    </row>
    <row r="229" spans="1:10" ht="60" customHeight="1">
      <c r="A229" s="6" t="s">
        <v>858</v>
      </c>
      <c r="B229" s="6" t="s">
        <v>24</v>
      </c>
      <c r="C229" s="6" t="s">
        <v>12</v>
      </c>
      <c r="D229" s="7" t="s">
        <v>859</v>
      </c>
      <c r="E229" s="8" t="s">
        <v>860</v>
      </c>
      <c r="F229" s="6" t="s">
        <v>861</v>
      </c>
      <c r="G229" s="9">
        <f>IF(A229=1,"_",IF(C229="_","???",C229))</f>
        <v/>
      </c>
      <c r="H229" s="10" t="s">
        <v>12</v>
      </c>
      <c r="I229" s="11" t="s">
        <v>12</v>
      </c>
      <c r="J229" s="12"/>
    </row>
    <row r="230" spans="1:10" ht="60" customHeight="1">
      <c r="A230" s="6" t="s">
        <v>862</v>
      </c>
      <c r="B230" s="6" t="s">
        <v>11</v>
      </c>
      <c r="C230" s="6" t="s">
        <v>12</v>
      </c>
      <c r="D230" s="7" t="s">
        <v>863</v>
      </c>
      <c r="E230" s="8" t="s">
        <v>864</v>
      </c>
      <c r="F230" s="6" t="s">
        <v>865</v>
      </c>
      <c r="G230" s="9">
        <f>IF(A230=1,"_",IF(C230="_","???",C230))</f>
        <v/>
      </c>
      <c r="H230" s="10" t="s">
        <v>12</v>
      </c>
      <c r="I230" s="11" t="s">
        <v>12</v>
      </c>
      <c r="J230" s="12"/>
    </row>
    <row r="231" spans="1:10" ht="60" customHeight="1">
      <c r="A231" s="6" t="s">
        <v>866</v>
      </c>
      <c r="B231" s="6" t="s">
        <v>10</v>
      </c>
      <c r="C231" s="6" t="s">
        <v>12</v>
      </c>
      <c r="D231" s="7" t="s">
        <v>867</v>
      </c>
      <c r="E231" s="8" t="s">
        <v>868</v>
      </c>
      <c r="F231" s="6" t="s">
        <v>869</v>
      </c>
      <c r="G231" s="9">
        <f>IF(A231=1,"_",IF(C231="_","???",C231))</f>
        <v/>
      </c>
      <c r="H231" s="10" t="s">
        <v>12</v>
      </c>
      <c r="I231" s="11" t="s">
        <v>12</v>
      </c>
      <c r="J231" s="12"/>
    </row>
    <row r="232" spans="1:10" ht="60" customHeight="1">
      <c r="A232" s="6" t="s">
        <v>870</v>
      </c>
      <c r="B232" s="6" t="s">
        <v>56</v>
      </c>
      <c r="C232" s="6" t="s">
        <v>12</v>
      </c>
      <c r="D232" s="7" t="s">
        <v>871</v>
      </c>
      <c r="E232" s="8" t="s">
        <v>872</v>
      </c>
      <c r="F232" s="6" t="s">
        <v>873</v>
      </c>
      <c r="G232" s="9">
        <f>IF(A232=1,"_",IF(C232="_","???",C232))</f>
        <v/>
      </c>
      <c r="H232" s="10" t="s">
        <v>12</v>
      </c>
      <c r="I232" s="11" t="s">
        <v>12</v>
      </c>
      <c r="J232" s="12"/>
    </row>
    <row r="233" spans="1:10" ht="60" customHeight="1">
      <c r="A233" s="6" t="s">
        <v>874</v>
      </c>
      <c r="B233" s="6" t="s">
        <v>67</v>
      </c>
      <c r="C233" s="6" t="s">
        <v>12</v>
      </c>
      <c r="D233" s="7" t="s">
        <v>875</v>
      </c>
      <c r="E233" s="8" t="s">
        <v>876</v>
      </c>
      <c r="F233" s="6" t="s">
        <v>877</v>
      </c>
      <c r="G233" s="9">
        <f>IF(A233=1,"_",IF(C233="_","???",C233))</f>
        <v/>
      </c>
      <c r="H233" s="10" t="s">
        <v>12</v>
      </c>
      <c r="I233" s="11" t="s">
        <v>12</v>
      </c>
      <c r="J233" s="12"/>
    </row>
    <row r="234" spans="1:10" ht="60" customHeight="1">
      <c r="A234" s="6" t="s">
        <v>878</v>
      </c>
      <c r="B234" s="6" t="s">
        <v>48</v>
      </c>
      <c r="C234" s="6" t="s">
        <v>12</v>
      </c>
      <c r="D234" s="7" t="s">
        <v>351</v>
      </c>
      <c r="E234" s="8" t="s">
        <v>879</v>
      </c>
      <c r="F234" s="6" t="s">
        <v>880</v>
      </c>
      <c r="G234" s="9">
        <f>IF(A234=1,"_",IF(C234="_","???",C234))</f>
        <v/>
      </c>
      <c r="H234" s="10" t="s">
        <v>12</v>
      </c>
      <c r="I234" s="11" t="s">
        <v>12</v>
      </c>
      <c r="J234" s="12"/>
    </row>
    <row r="235" spans="1:10" ht="60" customHeight="1">
      <c r="A235" s="6" t="s">
        <v>881</v>
      </c>
      <c r="B235" s="6" t="s">
        <v>11</v>
      </c>
      <c r="C235" s="6" t="s">
        <v>12</v>
      </c>
      <c r="D235" s="7" t="s">
        <v>882</v>
      </c>
      <c r="E235" s="8" t="s">
        <v>883</v>
      </c>
      <c r="F235" s="6" t="s">
        <v>884</v>
      </c>
      <c r="G235" s="9">
        <f>IF(A235=1,"_",IF(C235="_","???",C235))</f>
        <v/>
      </c>
      <c r="H235" s="10" t="s">
        <v>12</v>
      </c>
      <c r="I235" s="11" t="s">
        <v>12</v>
      </c>
      <c r="J235" s="12"/>
    </row>
    <row r="236" spans="1:10" ht="60" customHeight="1">
      <c r="A236" s="6" t="s">
        <v>885</v>
      </c>
      <c r="B236" s="6" t="s">
        <v>19</v>
      </c>
      <c r="C236" s="6" t="s">
        <v>12</v>
      </c>
      <c r="D236" s="7" t="s">
        <v>886</v>
      </c>
      <c r="E236" s="8" t="s">
        <v>887</v>
      </c>
      <c r="F236" s="6" t="s">
        <v>888</v>
      </c>
      <c r="G236" s="9">
        <f>IF(A236=1,"_",IF(C236="_","???",C236))</f>
        <v/>
      </c>
      <c r="H236" s="10" t="s">
        <v>12</v>
      </c>
      <c r="I236" s="11" t="s">
        <v>12</v>
      </c>
      <c r="J236" s="12"/>
    </row>
    <row r="237" spans="1:10" ht="60" customHeight="1">
      <c r="A237" s="6" t="s">
        <v>889</v>
      </c>
      <c r="B237" s="6" t="s">
        <v>43</v>
      </c>
      <c r="C237" s="6" t="s">
        <v>12</v>
      </c>
      <c r="D237" s="7" t="s">
        <v>29</v>
      </c>
      <c r="E237" s="8" t="s">
        <v>890</v>
      </c>
      <c r="F237" s="6" t="s">
        <v>891</v>
      </c>
      <c r="G237" s="9">
        <f>IF(A237=1,"_",IF(C237="_","???",C237))</f>
        <v/>
      </c>
      <c r="H237" s="10" t="s">
        <v>12</v>
      </c>
      <c r="I237" s="11" t="s">
        <v>12</v>
      </c>
      <c r="J237" s="12"/>
    </row>
    <row r="238" spans="1:10" ht="60" customHeight="1">
      <c r="A238" s="6" t="s">
        <v>892</v>
      </c>
      <c r="B238" s="6" t="s">
        <v>11</v>
      </c>
      <c r="C238" s="6" t="s">
        <v>12</v>
      </c>
      <c r="D238" s="7" t="s">
        <v>125</v>
      </c>
      <c r="E238" s="8" t="s">
        <v>893</v>
      </c>
      <c r="F238" s="6" t="s">
        <v>894</v>
      </c>
      <c r="G238" s="9">
        <f>IF(A238=1,"_",IF(C238="_","???",C238))</f>
        <v/>
      </c>
      <c r="H238" s="10" t="s">
        <v>12</v>
      </c>
      <c r="I238" s="11" t="s">
        <v>12</v>
      </c>
      <c r="J238" s="12"/>
    </row>
    <row r="239" spans="1:10" ht="60" customHeight="1">
      <c r="A239" s="6" t="s">
        <v>895</v>
      </c>
      <c r="B239" s="6" t="s">
        <v>11</v>
      </c>
      <c r="C239" s="6" t="s">
        <v>12</v>
      </c>
      <c r="D239" s="7" t="s">
        <v>29</v>
      </c>
      <c r="E239" s="8" t="s">
        <v>896</v>
      </c>
      <c r="F239" s="6" t="s">
        <v>897</v>
      </c>
      <c r="G239" s="9">
        <f>IF(A239=1,"_",IF(C239="_","???",C239))</f>
        <v/>
      </c>
      <c r="H239" s="10" t="s">
        <v>12</v>
      </c>
      <c r="I239" s="11" t="s">
        <v>12</v>
      </c>
      <c r="J239" s="12"/>
    </row>
    <row r="240" spans="1:10" ht="60" customHeight="1">
      <c r="A240" s="6" t="s">
        <v>898</v>
      </c>
      <c r="B240" s="6" t="s">
        <v>56</v>
      </c>
      <c r="C240" s="6" t="s">
        <v>12</v>
      </c>
      <c r="D240" s="7" t="s">
        <v>572</v>
      </c>
      <c r="E240" s="8" t="s">
        <v>899</v>
      </c>
      <c r="F240" s="6" t="s">
        <v>900</v>
      </c>
      <c r="G240" s="9">
        <f>IF(A240=1,"_",IF(C240="_","???",C240))</f>
        <v/>
      </c>
      <c r="H240" s="10" t="s">
        <v>12</v>
      </c>
      <c r="I240" s="11" t="s">
        <v>12</v>
      </c>
      <c r="J240" s="12"/>
    </row>
    <row r="241" spans="1:10" ht="60" customHeight="1">
      <c r="A241" s="6" t="s">
        <v>901</v>
      </c>
      <c r="B241" s="6" t="s">
        <v>19</v>
      </c>
      <c r="C241" s="6" t="s">
        <v>12</v>
      </c>
      <c r="D241" s="7" t="s">
        <v>675</v>
      </c>
      <c r="E241" s="8" t="s">
        <v>902</v>
      </c>
      <c r="F241" s="6" t="s">
        <v>903</v>
      </c>
      <c r="G241" s="9">
        <f>IF(A241=1,"_",IF(C241="_","???",C241))</f>
        <v/>
      </c>
      <c r="H241" s="10" t="s">
        <v>12</v>
      </c>
      <c r="I241" s="11" t="s">
        <v>12</v>
      </c>
      <c r="J241" s="12"/>
    </row>
    <row r="242" spans="1:10" ht="60" customHeight="1">
      <c r="A242" s="6" t="s">
        <v>904</v>
      </c>
      <c r="B242" s="6" t="s">
        <v>11</v>
      </c>
      <c r="C242" s="6" t="s">
        <v>12</v>
      </c>
      <c r="D242" s="7" t="s">
        <v>867</v>
      </c>
      <c r="E242" s="8" t="s">
        <v>905</v>
      </c>
      <c r="F242" s="6" t="s">
        <v>906</v>
      </c>
      <c r="G242" s="9">
        <f>IF(A242=1,"_",IF(C242="_","???",C242))</f>
        <v/>
      </c>
      <c r="H242" s="10" t="s">
        <v>12</v>
      </c>
      <c r="I242" s="11" t="s">
        <v>12</v>
      </c>
      <c r="J242" s="12"/>
    </row>
    <row r="243" spans="1:10" ht="60" customHeight="1">
      <c r="A243" s="6" t="s">
        <v>907</v>
      </c>
      <c r="B243" s="6" t="s">
        <v>28</v>
      </c>
      <c r="C243" s="6" t="s">
        <v>12</v>
      </c>
      <c r="D243" s="7" t="s">
        <v>908</v>
      </c>
      <c r="E243" s="8" t="s">
        <v>909</v>
      </c>
      <c r="F243" s="6" t="s">
        <v>910</v>
      </c>
      <c r="G243" s="9">
        <f>IF(A243=1,"_",IF(C243="_","???",C243))</f>
        <v/>
      </c>
      <c r="H243" s="10" t="s">
        <v>12</v>
      </c>
      <c r="I243" s="11" t="s">
        <v>12</v>
      </c>
      <c r="J243" s="12"/>
    </row>
    <row r="244" spans="1:10" ht="60" customHeight="1">
      <c r="A244" s="6" t="s">
        <v>911</v>
      </c>
      <c r="B244" s="6" t="s">
        <v>10</v>
      </c>
      <c r="C244" s="6" t="s">
        <v>12</v>
      </c>
      <c r="D244" s="7" t="s">
        <v>912</v>
      </c>
      <c r="E244" s="8" t="s">
        <v>913</v>
      </c>
      <c r="F244" s="6" t="s">
        <v>914</v>
      </c>
      <c r="G244" s="9">
        <f>IF(A244=1,"_",IF(C244="_","???",C244))</f>
        <v/>
      </c>
      <c r="H244" s="10" t="s">
        <v>12</v>
      </c>
      <c r="I244" s="11" t="s">
        <v>12</v>
      </c>
      <c r="J244" s="12"/>
    </row>
    <row r="245" spans="1:10" ht="60" customHeight="1">
      <c r="A245" s="6" t="s">
        <v>915</v>
      </c>
      <c r="B245" s="6" t="s">
        <v>11</v>
      </c>
      <c r="C245" s="6" t="s">
        <v>12</v>
      </c>
      <c r="D245" s="7" t="s">
        <v>821</v>
      </c>
      <c r="E245" s="8" t="s">
        <v>916</v>
      </c>
      <c r="F245" s="6" t="s">
        <v>917</v>
      </c>
      <c r="G245" s="9">
        <f>IF(A245=1,"_",IF(C245="_","???",C245))</f>
        <v/>
      </c>
      <c r="H245" s="10" t="s">
        <v>12</v>
      </c>
      <c r="I245" s="11" t="s">
        <v>12</v>
      </c>
      <c r="J245" s="12"/>
    </row>
    <row r="246" spans="1:10" ht="60" customHeight="1">
      <c r="A246" s="6" t="s">
        <v>918</v>
      </c>
      <c r="B246" s="6" t="s">
        <v>36</v>
      </c>
      <c r="C246" s="6" t="s">
        <v>12</v>
      </c>
      <c r="D246" s="7" t="s">
        <v>832</v>
      </c>
      <c r="E246" s="8" t="s">
        <v>919</v>
      </c>
      <c r="F246" s="6" t="s">
        <v>920</v>
      </c>
      <c r="G246" s="9">
        <f>IF(A246=1,"_",IF(C246="_","???",C246))</f>
        <v/>
      </c>
      <c r="H246" s="10" t="s">
        <v>12</v>
      </c>
      <c r="I246" s="11" t="s">
        <v>12</v>
      </c>
      <c r="J246" s="12"/>
    </row>
    <row r="247" spans="1:10" ht="60" customHeight="1">
      <c r="A247" s="6" t="s">
        <v>921</v>
      </c>
      <c r="B247" s="6" t="s">
        <v>11</v>
      </c>
      <c r="C247" s="6" t="s">
        <v>12</v>
      </c>
      <c r="D247" s="7" t="s">
        <v>429</v>
      </c>
      <c r="E247" s="8" t="s">
        <v>922</v>
      </c>
      <c r="F247" s="6" t="s">
        <v>923</v>
      </c>
      <c r="G247" s="9">
        <f>IF(A247=1,"_",IF(C247="_","???",C247))</f>
        <v/>
      </c>
      <c r="H247" s="10" t="s">
        <v>12</v>
      </c>
      <c r="I247" s="11" t="s">
        <v>12</v>
      </c>
      <c r="J247" s="12"/>
    </row>
    <row r="248" spans="1:10" ht="60" customHeight="1">
      <c r="A248" s="6" t="s">
        <v>924</v>
      </c>
      <c r="B248" s="6" t="s">
        <v>11</v>
      </c>
      <c r="C248" s="6" t="s">
        <v>12</v>
      </c>
      <c r="D248" s="7" t="s">
        <v>29</v>
      </c>
      <c r="E248" s="8" t="s">
        <v>925</v>
      </c>
      <c r="F248" s="6" t="s">
        <v>926</v>
      </c>
      <c r="G248" s="9">
        <f>IF(A248=1,"_",IF(C248="_","???",C248))</f>
        <v/>
      </c>
      <c r="H248" s="10" t="s">
        <v>12</v>
      </c>
      <c r="I248" s="11" t="s">
        <v>12</v>
      </c>
      <c r="J248" s="12"/>
    </row>
    <row r="249" spans="1:10" ht="60" customHeight="1">
      <c r="A249" s="6" t="s">
        <v>927</v>
      </c>
      <c r="B249" s="6" t="s">
        <v>28</v>
      </c>
      <c r="C249" s="6" t="s">
        <v>12</v>
      </c>
      <c r="D249" s="7" t="s">
        <v>928</v>
      </c>
      <c r="E249" s="8" t="s">
        <v>929</v>
      </c>
      <c r="F249" s="6" t="s">
        <v>930</v>
      </c>
      <c r="G249" s="9">
        <f>IF(A249=1,"_",IF(C249="_","???",C249))</f>
        <v/>
      </c>
      <c r="H249" s="10" t="s">
        <v>12</v>
      </c>
      <c r="I249" s="11" t="s">
        <v>12</v>
      </c>
      <c r="J249" s="12"/>
    </row>
    <row r="250" spans="1:10" ht="60" customHeight="1">
      <c r="A250" s="6" t="s">
        <v>931</v>
      </c>
      <c r="B250" s="6" t="s">
        <v>28</v>
      </c>
      <c r="C250" s="6" t="s">
        <v>12</v>
      </c>
      <c r="D250" s="7" t="s">
        <v>932</v>
      </c>
      <c r="E250" s="8" t="s">
        <v>933</v>
      </c>
      <c r="F250" s="6" t="s">
        <v>934</v>
      </c>
      <c r="G250" s="9">
        <f>IF(A250=1,"_",IF(C250="_","???",C250))</f>
        <v/>
      </c>
      <c r="H250" s="10" t="s">
        <v>12</v>
      </c>
      <c r="I250" s="11" t="s">
        <v>12</v>
      </c>
      <c r="J250" s="12"/>
    </row>
    <row r="251" spans="1:10" ht="60" customHeight="1">
      <c r="A251" s="6" t="s">
        <v>935</v>
      </c>
      <c r="B251" s="6" t="s">
        <v>11</v>
      </c>
      <c r="C251" s="6" t="s">
        <v>12</v>
      </c>
      <c r="D251" s="7" t="s">
        <v>616</v>
      </c>
      <c r="E251" s="8" t="s">
        <v>936</v>
      </c>
      <c r="F251" s="6" t="s">
        <v>937</v>
      </c>
      <c r="G251" s="9">
        <f>IF(A251=1,"_",IF(C251="_","???",C251))</f>
        <v/>
      </c>
      <c r="H251" s="10" t="s">
        <v>12</v>
      </c>
      <c r="I251" s="11" t="s">
        <v>12</v>
      </c>
      <c r="J251" s="12"/>
    </row>
    <row r="252" spans="1:10" ht="60" customHeight="1">
      <c r="A252" s="6" t="s">
        <v>938</v>
      </c>
      <c r="B252" s="6" t="s">
        <v>28</v>
      </c>
      <c r="C252" s="6" t="s">
        <v>12</v>
      </c>
      <c r="D252" s="7" t="s">
        <v>939</v>
      </c>
      <c r="E252" s="8" t="s">
        <v>940</v>
      </c>
      <c r="F252" s="6" t="s">
        <v>941</v>
      </c>
      <c r="G252" s="9">
        <f>IF(A252=1,"_",IF(C252="_","???",C252))</f>
        <v/>
      </c>
      <c r="H252" s="10" t="s">
        <v>12</v>
      </c>
      <c r="I252" s="11" t="s">
        <v>12</v>
      </c>
      <c r="J252" s="12"/>
    </row>
    <row r="253" spans="1:10" ht="60" customHeight="1">
      <c r="A253" s="6" t="s">
        <v>942</v>
      </c>
      <c r="B253" s="6" t="s">
        <v>19</v>
      </c>
      <c r="C253" s="6" t="s">
        <v>159</v>
      </c>
      <c r="D253" s="7" t="s">
        <v>211</v>
      </c>
      <c r="E253" s="8" t="s">
        <v>943</v>
      </c>
      <c r="F253" s="6" t="s">
        <v>944</v>
      </c>
      <c r="G253" s="9">
        <f>IF(A253=1,"_",IF(C253="_","???",C253))</f>
        <v/>
      </c>
      <c r="H253" s="10" t="s">
        <v>12</v>
      </c>
      <c r="I253" s="11" t="s">
        <v>12</v>
      </c>
      <c r="J253" s="12"/>
    </row>
    <row r="254" spans="1:10" ht="60" customHeight="1">
      <c r="A254" s="6" t="s">
        <v>945</v>
      </c>
      <c r="B254" s="6" t="s">
        <v>28</v>
      </c>
      <c r="C254" s="6" t="s">
        <v>12</v>
      </c>
      <c r="D254" s="7" t="s">
        <v>946</v>
      </c>
      <c r="E254" s="8" t="s">
        <v>947</v>
      </c>
      <c r="F254" s="6" t="s">
        <v>948</v>
      </c>
      <c r="G254" s="9">
        <f>IF(A254=1,"_",IF(C254="_","???",C254))</f>
        <v/>
      </c>
      <c r="H254" s="10" t="s">
        <v>12</v>
      </c>
      <c r="I254" s="11" t="s">
        <v>12</v>
      </c>
      <c r="J254" s="12"/>
    </row>
    <row r="255" spans="1:10" ht="60" customHeight="1">
      <c r="A255" s="6" t="s">
        <v>949</v>
      </c>
      <c r="B255" s="6" t="s">
        <v>23</v>
      </c>
      <c r="C255" s="6" t="s">
        <v>12</v>
      </c>
      <c r="D255" s="7" t="s">
        <v>950</v>
      </c>
      <c r="E255" s="8" t="s">
        <v>951</v>
      </c>
      <c r="F255" s="6" t="s">
        <v>952</v>
      </c>
      <c r="G255" s="9">
        <f>IF(A255=1,"_",IF(C255="_","???",C255))</f>
        <v/>
      </c>
      <c r="H255" s="10" t="s">
        <v>12</v>
      </c>
      <c r="I255" s="11" t="s">
        <v>12</v>
      </c>
      <c r="J255" s="12"/>
    </row>
    <row r="256" spans="1:10" ht="60" customHeight="1">
      <c r="A256" s="6" t="s">
        <v>953</v>
      </c>
      <c r="B256" s="6" t="s">
        <v>28</v>
      </c>
      <c r="C256" s="6" t="s">
        <v>12</v>
      </c>
      <c r="D256" s="7" t="s">
        <v>954</v>
      </c>
      <c r="E256" s="8" t="s">
        <v>955</v>
      </c>
      <c r="F256" s="6" t="s">
        <v>956</v>
      </c>
      <c r="G256" s="9">
        <f>IF(A256=1,"_",IF(C256="_","???",C256))</f>
        <v/>
      </c>
      <c r="H256" s="10" t="s">
        <v>12</v>
      </c>
      <c r="I256" s="11" t="s">
        <v>12</v>
      </c>
      <c r="J256" s="12"/>
    </row>
    <row r="257" spans="1:10" ht="60" customHeight="1">
      <c r="A257" s="6" t="s">
        <v>957</v>
      </c>
      <c r="B257" s="6" t="s">
        <v>11</v>
      </c>
      <c r="C257" s="6" t="s">
        <v>12</v>
      </c>
      <c r="D257" s="7" t="s">
        <v>950</v>
      </c>
      <c r="E257" s="8" t="s">
        <v>958</v>
      </c>
      <c r="F257" s="6" t="s">
        <v>959</v>
      </c>
      <c r="G257" s="9">
        <f>IF(A257=1,"_",IF(C257="_","???",C257))</f>
        <v/>
      </c>
      <c r="H257" s="10" t="s">
        <v>12</v>
      </c>
      <c r="I257" s="11" t="s">
        <v>12</v>
      </c>
      <c r="J257" s="12"/>
    </row>
    <row r="258" spans="1:10" ht="60" customHeight="1">
      <c r="A258" s="6" t="s">
        <v>960</v>
      </c>
      <c r="B258" s="6" t="s">
        <v>19</v>
      </c>
      <c r="C258" s="6" t="s">
        <v>12</v>
      </c>
      <c r="D258" s="7" t="s">
        <v>950</v>
      </c>
      <c r="E258" s="8" t="s">
        <v>961</v>
      </c>
      <c r="F258" s="6" t="s">
        <v>962</v>
      </c>
      <c r="G258" s="9">
        <f>IF(A258=1,"_",IF(C258="_","???",C258))</f>
        <v/>
      </c>
      <c r="H258" s="10" t="s">
        <v>12</v>
      </c>
      <c r="I258" s="11" t="s">
        <v>12</v>
      </c>
      <c r="J258" s="12"/>
    </row>
    <row r="259" spans="1:10" ht="60" customHeight="1">
      <c r="A259" s="6" t="s">
        <v>963</v>
      </c>
      <c r="B259" s="6" t="s">
        <v>43</v>
      </c>
      <c r="C259" s="6" t="s">
        <v>12</v>
      </c>
      <c r="D259" s="7" t="s">
        <v>25</v>
      </c>
      <c r="E259" s="8" t="s">
        <v>964</v>
      </c>
      <c r="F259" s="6" t="s">
        <v>965</v>
      </c>
      <c r="G259" s="9">
        <f>IF(A259=1,"_",IF(C259="_","???",C259))</f>
        <v/>
      </c>
      <c r="H259" s="10" t="s">
        <v>12</v>
      </c>
      <c r="I259" s="11" t="s">
        <v>12</v>
      </c>
      <c r="J259" s="12"/>
    </row>
    <row r="260" spans="1:10" ht="60" customHeight="1">
      <c r="A260" s="6" t="s">
        <v>966</v>
      </c>
      <c r="B260" s="6" t="s">
        <v>11</v>
      </c>
      <c r="C260" s="6" t="s">
        <v>12</v>
      </c>
      <c r="D260" s="7" t="s">
        <v>572</v>
      </c>
      <c r="E260" s="8" t="s">
        <v>967</v>
      </c>
      <c r="F260" s="6" t="s">
        <v>968</v>
      </c>
      <c r="G260" s="9">
        <f>IF(A260=1,"_",IF(C260="_","???",C260))</f>
        <v/>
      </c>
      <c r="H260" s="10" t="s">
        <v>12</v>
      </c>
      <c r="I260" s="11" t="s">
        <v>12</v>
      </c>
      <c r="J260" s="12"/>
    </row>
    <row r="261" spans="1:10" ht="60" customHeight="1">
      <c r="A261" s="6" t="s">
        <v>969</v>
      </c>
      <c r="B261" s="6" t="s">
        <v>10</v>
      </c>
      <c r="C261" s="6" t="s">
        <v>12</v>
      </c>
      <c r="D261" s="7" t="s">
        <v>970</v>
      </c>
      <c r="E261" s="8" t="s">
        <v>971</v>
      </c>
      <c r="F261" s="6" t="s">
        <v>972</v>
      </c>
      <c r="G261" s="9">
        <f>IF(A261=1,"_",IF(C261="_","???",C261))</f>
        <v/>
      </c>
      <c r="H261" s="10" t="s">
        <v>12</v>
      </c>
      <c r="I261" s="11" t="s">
        <v>12</v>
      </c>
      <c r="J261" s="12"/>
    </row>
    <row r="262" spans="1:10" ht="60" customHeight="1">
      <c r="A262" s="6" t="s">
        <v>973</v>
      </c>
      <c r="B262" s="6" t="s">
        <v>11</v>
      </c>
      <c r="C262" s="6" t="s">
        <v>12</v>
      </c>
      <c r="D262" s="7" t="s">
        <v>974</v>
      </c>
      <c r="E262" s="8" t="s">
        <v>975</v>
      </c>
      <c r="F262" s="6" t="s">
        <v>976</v>
      </c>
      <c r="G262" s="9">
        <f>IF(A262=1,"_",IF(C262="_","???",C262))</f>
        <v/>
      </c>
      <c r="H262" s="10" t="s">
        <v>12</v>
      </c>
      <c r="I262" s="11" t="s">
        <v>12</v>
      </c>
      <c r="J26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62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977</v>
      </c>
      <c r="B1" s="13" t="s">
        <v>978</v>
      </c>
      <c r="C1" s="13" t="s">
        <v>979</v>
      </c>
      <c r="D1" s="13" t="s">
        <v>980</v>
      </c>
      <c r="E1" s="14" t="s">
        <v>981</v>
      </c>
      <c r="F1" s="15" t="s">
        <v>982</v>
      </c>
      <c r="G1" s="16" t="s">
        <v>983</v>
      </c>
      <c r="H1" s="17" t="s">
        <v>984</v>
      </c>
      <c r="I1" s="18" t="s">
        <v>985</v>
      </c>
      <c r="J1" s="18" t="s">
        <v>986</v>
      </c>
      <c r="K1" s="18" t="s">
        <v>987</v>
      </c>
      <c r="L1" s="19" t="s">
        <v>9</v>
      </c>
    </row>
    <row r="2" spans="1:12">
      <c r="A2" s="20" t="s">
        <v>988</v>
      </c>
    </row>
    <row r="3" spans="1:12">
      <c r="A3" s="20" t="s">
        <v>989</v>
      </c>
      <c r="B3" s="21" t="s">
        <v>990</v>
      </c>
      <c r="C3" s="21" t="s">
        <v>991</v>
      </c>
      <c r="D3" s="21" t="s">
        <v>992</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993</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994</v>
      </c>
      <c r="B5" s="21" t="s">
        <v>995</v>
      </c>
      <c r="C5" s="21" t="s">
        <v>996</v>
      </c>
      <c r="D5" s="21" t="s">
        <v>992</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997</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998</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row>
    <row r="9" spans="1:12">
      <c r="A9" s="20" t="s">
        <v>999</v>
      </c>
    </row>
    <row r="10" spans="1:12">
      <c r="A10" s="20" t="s">
        <v>989</v>
      </c>
      <c r="B10" s="21" t="s">
        <v>990</v>
      </c>
      <c r="C10" s="21" t="s">
        <v>991</v>
      </c>
      <c r="D10" s="21" t="s">
        <v>992</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1000</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1001</v>
      </c>
      <c r="B12" s="21" t="s">
        <v>1002</v>
      </c>
      <c r="C12" s="21" t="s">
        <v>1003</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998</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row>
    <row r="15" spans="1:12">
      <c r="A15" s="20" t="s">
        <v>1004</v>
      </c>
    </row>
    <row r="16" spans="1:12">
      <c r="A16" s="20" t="s">
        <v>989</v>
      </c>
      <c r="B16" s="21" t="s">
        <v>990</v>
      </c>
      <c r="C16" s="21" t="s">
        <v>991</v>
      </c>
      <c r="D16" s="21" t="s">
        <v>992</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1005</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1006</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1007</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47</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1008</v>
      </c>
      <c r="B21" s="21" t="s">
        <v>995</v>
      </c>
      <c r="C21" s="21" t="s">
        <v>1009</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1010</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12</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1011</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998</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row>
    <row r="27" spans="1:12">
      <c r="A27" s="20" t="s">
        <v>1012</v>
      </c>
    </row>
    <row r="28" spans="1:12">
      <c r="A28" s="20" t="s">
        <v>1013</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1014</v>
      </c>
      <c r="B29" s="21" t="s">
        <v>1015</v>
      </c>
      <c r="C29" s="21" t="s">
        <v>1016</v>
      </c>
      <c r="D29" s="21" t="s">
        <v>992</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1017</v>
      </c>
      <c r="B30" s="21" t="s">
        <v>1002</v>
      </c>
      <c r="C30" s="21" t="s">
        <v>1003</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1018</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1019</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1020</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1021</v>
      </c>
      <c r="B34" s="21" t="s">
        <v>995</v>
      </c>
      <c r="C34" s="21" t="s">
        <v>1022</v>
      </c>
      <c r="D34" s="21" t="s">
        <v>992</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1023</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1024</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1025</v>
      </c>
      <c r="B37" s="21" t="s">
        <v>1026</v>
      </c>
      <c r="C37" s="21" t="s">
        <v>991</v>
      </c>
      <c r="D37" s="21" t="s">
        <v>992</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1027</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1028</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1029</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1030</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1024</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1031</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1032</v>
      </c>
      <c r="B44" s="21" t="s">
        <v>1033</v>
      </c>
      <c r="C44" s="21" t="s">
        <v>1022</v>
      </c>
      <c r="D44" s="21" t="s">
        <v>992</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1034</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576</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1035</v>
      </c>
      <c r="B47" s="21" t="s">
        <v>1036</v>
      </c>
      <c r="C47" s="21" t="s">
        <v>1022</v>
      </c>
      <c r="D47" s="21" t="s">
        <v>992</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1029</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745</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1024</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1037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1038</v>
      </c>
      <c r="B52" s="21" t="s">
        <v>1026</v>
      </c>
      <c r="C52" s="21" t="s">
        <v>1039</v>
      </c>
      <c r="D52" s="21" t="s">
        <v>992</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1034</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1010</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12</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1040</v>
      </c>
      <c r="B56" s="21" t="s">
        <v>1015</v>
      </c>
      <c r="C56" s="21" t="s">
        <v>1003</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1029</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745</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1023</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998</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row>
    <row r="62" spans="1:12">
      <c r="A62" s="20" t="s">
        <v>1041</v>
      </c>
    </row>
    <row r="63" spans="1:12">
      <c r="A63" s="20" t="s">
        <v>989</v>
      </c>
      <c r="B63" s="21" t="s">
        <v>990</v>
      </c>
      <c r="C63" s="21" t="s">
        <v>991</v>
      </c>
      <c r="D63" s="21" t="s">
        <v>992</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1042</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1043</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1044</v>
      </c>
      <c r="B66" s="21" t="s">
        <v>1002</v>
      </c>
      <c r="C66" s="21" t="s">
        <v>1045</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1046</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998</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row>
    <row r="70" spans="1:12">
      <c r="A70" s="20" t="s">
        <v>1047</v>
      </c>
    </row>
    <row r="71" spans="1:12">
      <c r="A71" s="20" t="s">
        <v>989</v>
      </c>
      <c r="B71" s="21" t="s">
        <v>990</v>
      </c>
      <c r="C71" s="21" t="s">
        <v>991</v>
      </c>
      <c r="D71" s="21" t="s">
        <v>992</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1048</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1049</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1050</v>
      </c>
      <c r="B74" s="21" t="s">
        <v>990</v>
      </c>
      <c r="C74" s="21" t="s">
        <v>1003</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33</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1024</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1051</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1052</v>
      </c>
      <c r="B78" s="21" t="s">
        <v>995</v>
      </c>
      <c r="C78" s="21" t="s">
        <v>991</v>
      </c>
      <c r="D78" s="21" t="s">
        <v>992</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1053</v>
      </c>
      <c r="B79" s="21" t="s">
        <v>1015</v>
      </c>
      <c r="C79" s="21" t="s">
        <v>1054</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1024</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1049</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44</v>
      </c>
      <c r="B82" s="21" t="s">
        <v>1055</v>
      </c>
      <c r="C82" s="21" t="s">
        <v>1003</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1056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1057</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1040</v>
      </c>
      <c r="B85" s="21" t="s">
        <v>1036</v>
      </c>
      <c r="C85" s="21" t="s">
        <v>1022</v>
      </c>
      <c r="D85" s="21" t="s">
        <v>992</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1058</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231</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1059</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1011</v>
      </c>
      <c r="B89" s="21" t="s">
        <v>1060</v>
      </c>
      <c r="C89" s="21" t="s">
        <v>1003</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1029</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37</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998</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row>
    <row r="94" spans="1:12">
      <c r="A94" s="20" t="s">
        <v>1061</v>
      </c>
    </row>
    <row r="95" spans="1:12">
      <c r="A95" s="20" t="s">
        <v>1062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37</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1063</v>
      </c>
      <c r="B97" s="21" t="s">
        <v>990</v>
      </c>
      <c r="C97" s="21" t="s">
        <v>1039</v>
      </c>
      <c r="D97" s="21" t="s">
        <v>992</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19</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1064</v>
      </c>
      <c r="B99" s="21" t="s">
        <v>1015</v>
      </c>
      <c r="C99" s="21" t="s">
        <v>1009</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1065</v>
      </c>
      <c r="B100" s="21" t="s">
        <v>1002</v>
      </c>
      <c r="C100" s="21" t="s">
        <v>1003</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1066</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1067</v>
      </c>
      <c r="B102" s="21" t="s">
        <v>1015</v>
      </c>
      <c r="C102" s="21" t="s">
        <v>1003</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1056</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1010</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12</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1040</v>
      </c>
      <c r="B106" s="21" t="s">
        <v>995</v>
      </c>
      <c r="C106" s="21" t="s">
        <v>1003</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998</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row>
    <row r="109" spans="1:12">
      <c r="A109" s="20" t="s">
        <v>1068</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1069</v>
      </c>
    </row>
    <row r="111" spans="1:12">
      <c r="A111" s="20" t="s">
        <v>1070</v>
      </c>
      <c r="B111" s="21" t="s">
        <v>990</v>
      </c>
      <c r="C111" s="21" t="s">
        <v>1054</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1071</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1052</v>
      </c>
      <c r="B113" s="21" t="s">
        <v>995</v>
      </c>
      <c r="C113" s="21" t="s">
        <v>991</v>
      </c>
      <c r="D113" s="21" t="s">
        <v>992</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40</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1072</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1073</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1074</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1075</v>
      </c>
      <c r="B118" s="21" t="s">
        <v>1026</v>
      </c>
      <c r="C118" s="21" t="s">
        <v>1076</v>
      </c>
      <c r="D118" s="21" t="s">
        <v>992</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1023</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1077</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1078</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1079</v>
      </c>
      <c r="B122" s="21" t="s">
        <v>995</v>
      </c>
      <c r="C122" s="21" t="s">
        <v>1045</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44</v>
      </c>
      <c r="B123" s="21" t="s">
        <v>1015</v>
      </c>
      <c r="C123" s="21" t="s">
        <v>1003</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1018</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1011</v>
      </c>
      <c r="B125" s="21" t="s">
        <v>1036</v>
      </c>
      <c r="C125" s="21" t="s">
        <v>1003</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998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1074</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row>
    <row r="129" spans="1:12">
      <c r="A129" s="20" t="s">
        <v>1080</v>
      </c>
    </row>
    <row r="130" spans="1:12">
      <c r="A130" s="20" t="s">
        <v>1081</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1082</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1029</v>
      </c>
      <c r="B132" s="21" t="s">
        <v>995</v>
      </c>
      <c r="C132" s="21" t="s">
        <v>1054</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1083</v>
      </c>
      <c r="B133" s="21" t="s">
        <v>995</v>
      </c>
      <c r="C133" s="21" t="s">
        <v>1054</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44</v>
      </c>
      <c r="B134" s="21" t="s">
        <v>995</v>
      </c>
      <c r="C134" s="21" t="s">
        <v>1009</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1024</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1084</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1085</v>
      </c>
      <c r="B137" s="21" t="s">
        <v>1026</v>
      </c>
      <c r="C137" s="21" t="s">
        <v>1054</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1086</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1037</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1087</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1088</v>
      </c>
      <c r="B141" s="21" t="s">
        <v>1033</v>
      </c>
      <c r="C141" s="21" t="s">
        <v>1009</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1063</v>
      </c>
      <c r="B142" s="21" t="s">
        <v>1089</v>
      </c>
      <c r="C142" s="21" t="s">
        <v>1039</v>
      </c>
      <c r="D142" s="21" t="s">
        <v>992</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1090</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1034</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576</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1091</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1032</v>
      </c>
      <c r="B147" s="21" t="s">
        <v>1036</v>
      </c>
      <c r="C147" s="21" t="s">
        <v>1022</v>
      </c>
      <c r="D147" s="21" t="s">
        <v>992</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1029</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1092</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29</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998</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row>
    <row r="153" spans="1:12">
      <c r="A153" s="20" t="s">
        <v>1093</v>
      </c>
    </row>
    <row r="154" spans="1:12">
      <c r="A154" s="20" t="s">
        <v>1094</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1095</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1024</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1096</v>
      </c>
      <c r="B157" s="21" t="s">
        <v>1015</v>
      </c>
      <c r="C157" s="21" t="s">
        <v>1016</v>
      </c>
      <c r="D157" s="21" t="s">
        <v>992</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1097</v>
      </c>
      <c r="B158" s="21" t="s">
        <v>995</v>
      </c>
      <c r="C158" s="21" t="s">
        <v>1003</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1098</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1057</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1099</v>
      </c>
      <c r="B161" s="21" t="s">
        <v>1015</v>
      </c>
      <c r="C161" s="21" t="s">
        <v>1022</v>
      </c>
      <c r="D161" s="21" t="s">
        <v>992</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1018</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1031</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1100</v>
      </c>
      <c r="B164" s="21" t="s">
        <v>1036</v>
      </c>
      <c r="C164" s="21" t="s">
        <v>1022</v>
      </c>
      <c r="D164" s="21" t="s">
        <v>992</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1101</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1024</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1023</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1102</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1019</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1103</v>
      </c>
      <c r="B170" s="21" t="s">
        <v>990</v>
      </c>
      <c r="C170" s="21" t="s">
        <v>1022</v>
      </c>
      <c r="D170" s="21" t="s">
        <v>992</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1104</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998</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row>
    <row r="174" spans="1:12">
      <c r="A174" s="20" t="s">
        <v>1105</v>
      </c>
    </row>
    <row r="175" spans="1:12">
      <c r="A175" s="20" t="s">
        <v>1106</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1064</v>
      </c>
      <c r="B176" s="21" t="s">
        <v>1015</v>
      </c>
      <c r="C176" s="21" t="s">
        <v>1009</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1065</v>
      </c>
      <c r="B177" s="21" t="s">
        <v>995</v>
      </c>
      <c r="C177" s="21" t="s">
        <v>1003</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1066</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1067</v>
      </c>
      <c r="B179" s="21" t="s">
        <v>1015</v>
      </c>
      <c r="C179" s="21" t="s">
        <v>1003</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1107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1108</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1109</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1110</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1024</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1111</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1031</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1112</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1088</v>
      </c>
      <c r="B188" s="21" t="s">
        <v>1055</v>
      </c>
      <c r="C188" s="21" t="s">
        <v>1022</v>
      </c>
      <c r="D188" s="21" t="s">
        <v>992</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576</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1032</v>
      </c>
      <c r="B190" s="21" t="s">
        <v>1036</v>
      </c>
      <c r="C190" s="21" t="s">
        <v>1022</v>
      </c>
      <c r="D190" s="21" t="s">
        <v>992</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1029</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1092</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998</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row>
    <row r="195" spans="1:12">
      <c r="A195" s="20" t="s">
        <v>1113</v>
      </c>
    </row>
    <row r="196" spans="1:12">
      <c r="A196" s="20" t="s">
        <v>1094</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993</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1114</v>
      </c>
      <c r="B198" s="21" t="s">
        <v>990</v>
      </c>
      <c r="C198" s="21" t="s">
        <v>991</v>
      </c>
      <c r="D198" s="21" t="s">
        <v>992</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1115</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1024</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1116</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1024</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1084</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1063</v>
      </c>
      <c r="B204" s="21" t="s">
        <v>1026</v>
      </c>
      <c r="C204" s="21" t="s">
        <v>1039</v>
      </c>
      <c r="D204" s="21" t="s">
        <v>992</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1019</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1020</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1117</v>
      </c>
      <c r="B207" s="21" t="s">
        <v>1026</v>
      </c>
      <c r="C207" s="21" t="s">
        <v>1022</v>
      </c>
      <c r="D207" s="21" t="s">
        <v>992</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1118</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1119</v>
      </c>
      <c r="B209" s="21" t="s">
        <v>1036</v>
      </c>
      <c r="C209" s="21" t="s">
        <v>1076</v>
      </c>
      <c r="D209" s="21" t="s">
        <v>992</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1120</v>
      </c>
      <c r="B210" s="21" t="s">
        <v>1015</v>
      </c>
      <c r="C210" s="21" t="s">
        <v>1121</v>
      </c>
      <c r="D210" s="21" t="s">
        <v>992</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682</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1122</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1024</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1063</v>
      </c>
      <c r="B214" s="21" t="s">
        <v>1026</v>
      </c>
      <c r="C214" s="21" t="s">
        <v>1039</v>
      </c>
      <c r="D214" s="21" t="s">
        <v>992</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1123</v>
      </c>
      <c r="B215" s="21" t="s">
        <v>1036</v>
      </c>
      <c r="C215" s="21" t="s">
        <v>1076</v>
      </c>
      <c r="D215" s="21" t="s">
        <v>992</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44</v>
      </c>
      <c r="B216" s="21" t="s">
        <v>1055</v>
      </c>
      <c r="C216" s="21" t="s">
        <v>1121</v>
      </c>
      <c r="D216" s="21" t="s">
        <v>992</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1124</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1125</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1126</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998</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row>
    <row r="222" spans="1:12">
      <c r="A222" s="20" t="s">
        <v>1127</v>
      </c>
    </row>
    <row r="223" spans="1:12">
      <c r="A223" s="20" t="s">
        <v>989</v>
      </c>
      <c r="B223" s="21" t="s">
        <v>990</v>
      </c>
      <c r="C223" s="21" t="s">
        <v>991</v>
      </c>
      <c r="D223" s="21" t="s">
        <v>992</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1042</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1128</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1024</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1116</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1031</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1129</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44</v>
      </c>
      <c r="B230" s="21" t="s">
        <v>1026</v>
      </c>
      <c r="C230" s="21" t="s">
        <v>1022</v>
      </c>
      <c r="D230" s="21" t="s">
        <v>992</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1130</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94</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1064</v>
      </c>
      <c r="B233" s="21" t="s">
        <v>1060</v>
      </c>
      <c r="C233" s="21" t="s">
        <v>1009</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1065</v>
      </c>
      <c r="B234" s="21" t="s">
        <v>1036</v>
      </c>
      <c r="C234" s="21" t="s">
        <v>1003</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1131</v>
      </c>
      <c r="B235" s="21" t="s">
        <v>1015</v>
      </c>
      <c r="C235" s="21" t="s">
        <v>1003</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1066</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1067</v>
      </c>
      <c r="B237" s="21" t="s">
        <v>1036</v>
      </c>
      <c r="C237" s="21" t="s">
        <v>1003</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1132</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998</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row>
    <row r="241" spans="1:12">
      <c r="A241" s="20" t="s">
        <v>1133</v>
      </c>
    </row>
    <row r="242" spans="1:12">
      <c r="A242" s="20" t="s">
        <v>1075</v>
      </c>
      <c r="B242" s="21" t="s">
        <v>990</v>
      </c>
      <c r="C242" s="21" t="s">
        <v>1039</v>
      </c>
      <c r="D242" s="21" t="s">
        <v>992</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1134</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251</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1072</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1082</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1135</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1024</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749</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1136</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1114</v>
      </c>
      <c r="B251" s="21" t="s">
        <v>1026</v>
      </c>
      <c r="C251" s="21" t="s">
        <v>991</v>
      </c>
      <c r="D251" s="21" t="s">
        <v>992</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1025</v>
      </c>
      <c r="B252" s="21" t="s">
        <v>1055</v>
      </c>
      <c r="C252" s="21" t="s">
        <v>991</v>
      </c>
      <c r="D252" s="21" t="s">
        <v>992</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1024</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1137</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1025</v>
      </c>
      <c r="B255" s="21" t="s">
        <v>1089</v>
      </c>
      <c r="C255" s="21" t="s">
        <v>991</v>
      </c>
      <c r="D255" s="21" t="s">
        <v>992</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1138</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1139</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1073</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row>
    <row r="260" spans="1:12">
      <c r="A260" s="20" t="s">
        <v>1140</v>
      </c>
    </row>
    <row r="261" spans="1:12">
      <c r="A261" s="20" t="s">
        <v>1141</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1063</v>
      </c>
      <c r="B262" s="21" t="s">
        <v>1026</v>
      </c>
      <c r="C262" s="21" t="s">
        <v>1039</v>
      </c>
      <c r="D262" s="21" t="s">
        <v>992</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1088</v>
      </c>
      <c r="B263" s="21" t="s">
        <v>1055</v>
      </c>
      <c r="C263" s="21" t="s">
        <v>1003</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1037</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1142</v>
      </c>
      <c r="B265" s="21" t="s">
        <v>1036</v>
      </c>
      <c r="C265" s="21" t="s">
        <v>996</v>
      </c>
      <c r="D265" s="21" t="s">
        <v>992</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1024</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1143</v>
      </c>
      <c r="B267" s="21" t="s">
        <v>1060</v>
      </c>
      <c r="C267" s="21" t="s">
        <v>1003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1024</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1144</v>
      </c>
      <c r="B269" s="21" t="s">
        <v>1060</v>
      </c>
      <c r="C269" s="21" t="s">
        <v>1003</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1024</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1145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1146</v>
      </c>
      <c r="B272" s="21" t="s">
        <v>1060</v>
      </c>
      <c r="C272" s="21" t="s">
        <v>1003</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231</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1147</v>
      </c>
      <c r="B274" s="21" t="s">
        <v>1060</v>
      </c>
      <c r="C274" s="21" t="s">
        <v>1003</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1092</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1122</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1024</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1148</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1114</v>
      </c>
      <c r="B279" s="21" t="s">
        <v>990</v>
      </c>
      <c r="C279" s="21" t="s">
        <v>991</v>
      </c>
      <c r="D279" s="21" t="s">
        <v>992</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1024</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1126</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1063</v>
      </c>
      <c r="B282" s="21" t="s">
        <v>1026</v>
      </c>
      <c r="C282" s="21" t="s">
        <v>1039</v>
      </c>
      <c r="D282" s="21" t="s">
        <v>992</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1149</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1024</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1011</v>
      </c>
      <c r="B285" s="21" t="s">
        <v>1089</v>
      </c>
      <c r="C285" s="21" t="s">
        <v>1039</v>
      </c>
      <c r="D285" s="21" t="s">
        <v>992</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1150</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1018</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1151</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94</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1064</v>
      </c>
      <c r="B290" s="21" t="s">
        <v>1060</v>
      </c>
      <c r="C290" s="21" t="s">
        <v>1009</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1065</v>
      </c>
      <c r="B291" s="21" t="s">
        <v>1036</v>
      </c>
      <c r="C291" s="21" t="s">
        <v>1003</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1066</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1067</v>
      </c>
      <c r="B293" s="21" t="s">
        <v>1060</v>
      </c>
      <c r="C293" s="21" t="s">
        <v>1003</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1152</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1029</v>
      </c>
      <c r="B295" s="21" t="s">
        <v>1060</v>
      </c>
      <c r="C295" s="21" t="s">
        <v>1054</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1057</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1153</v>
      </c>
      <c r="B297" s="21" t="s">
        <v>1036</v>
      </c>
      <c r="C297" s="21" t="s">
        <v>1022</v>
      </c>
      <c r="D297" s="21" t="s">
        <v>992</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1154</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1155</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1156</v>
      </c>
      <c r="B300" s="21" t="s">
        <v>1060</v>
      </c>
      <c r="C300" s="21" t="s">
        <v>1022</v>
      </c>
      <c r="D300" s="21" t="s">
        <v>992</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1029</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675</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998</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row>
    <row r="305" spans="1:12">
      <c r="A305" s="20" t="s">
        <v>1157</v>
      </c>
    </row>
    <row r="306" spans="1:12">
      <c r="A306" s="20" t="s">
        <v>1158</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587</v>
      </c>
      <c r="B307" s="21" t="s">
        <v>995</v>
      </c>
      <c r="C307" s="21" t="s">
        <v>1003</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1159</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1160</v>
      </c>
      <c r="B309" s="21" t="s">
        <v>995</v>
      </c>
      <c r="C309" s="21" t="s">
        <v>996</v>
      </c>
      <c r="D309" s="21" t="s">
        <v>992</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1024</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1114</v>
      </c>
      <c r="B311" s="21" t="s">
        <v>1026</v>
      </c>
      <c r="C311" s="21" t="s">
        <v>991</v>
      </c>
      <c r="D311" s="21" t="s">
        <v>992</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1161</v>
      </c>
      <c r="B312" s="21" t="s">
        <v>1055</v>
      </c>
      <c r="C312" s="21" t="s">
        <v>1039</v>
      </c>
      <c r="D312" s="21" t="s">
        <v>992</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1025</v>
      </c>
      <c r="B313" s="21" t="s">
        <v>1026</v>
      </c>
      <c r="C313" s="21" t="s">
        <v>991</v>
      </c>
      <c r="D313" s="21" t="s">
        <v>992</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1162</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1163</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998</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row>
    <row r="318" spans="1:12">
      <c r="A318" s="20" t="s">
        <v>1164</v>
      </c>
    </row>
    <row r="319" spans="1:12">
      <c r="A319" s="20" t="s">
        <v>1165</v>
      </c>
      <c r="B319" s="21" t="s">
        <v>995</v>
      </c>
      <c r="C319" s="21" t="s">
        <v>1166</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1167</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row>
    <row r="322" spans="1:12">
      <c r="A322" s="20" t="s">
        <v>1168</v>
      </c>
    </row>
    <row r="323" spans="1:12">
      <c r="A323" s="20" t="s">
        <v>1169</v>
      </c>
      <c r="B323" s="21" t="s">
        <v>1015</v>
      </c>
      <c r="C323" s="21" t="s">
        <v>1076</v>
      </c>
      <c r="D323" s="21" t="s">
        <v>992</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1170</v>
      </c>
      <c r="B324" s="21" t="s">
        <v>990</v>
      </c>
      <c r="C324" s="21" t="s">
        <v>1121</v>
      </c>
      <c r="D324" s="21" t="s">
        <v>992</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1171</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1172</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1102</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1024</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79</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1114</v>
      </c>
      <c r="B330" s="21" t="s">
        <v>1026</v>
      </c>
      <c r="C330" s="21" t="s">
        <v>991</v>
      </c>
      <c r="D330" s="21" t="s">
        <v>992</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1148</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1024</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1116</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1011</v>
      </c>
      <c r="B334" s="21" t="s">
        <v>1089</v>
      </c>
      <c r="C334" s="21" t="s">
        <v>1003</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1173</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1174</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1018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1019</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1175</v>
      </c>
      <c r="B339" s="21" t="s">
        <v>1036</v>
      </c>
      <c r="C339" s="21" t="s">
        <v>1022</v>
      </c>
      <c r="D339" s="21" t="s">
        <v>992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576</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1176</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1177</v>
      </c>
      <c r="B342" s="21" t="s">
        <v>1060</v>
      </c>
      <c r="C342" s="21" t="s">
        <v>1022</v>
      </c>
      <c r="D342" s="21" t="s">
        <v>992</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1034</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576</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1100</v>
      </c>
      <c r="B345" s="21" t="s">
        <v>1178</v>
      </c>
      <c r="C345" s="21" t="s">
        <v>1022</v>
      </c>
      <c r="D345" s="21" t="s">
        <v>992</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1107</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998</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row>
    <row r="349" spans="1:12">
      <c r="A349" s="20" t="s">
        <v>1179</v>
      </c>
    </row>
    <row r="350" spans="1:12">
      <c r="A350" s="20" t="s">
        <v>1158</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587</v>
      </c>
      <c r="B351" s="21" t="s">
        <v>995</v>
      </c>
      <c r="C351" s="21" t="s">
        <v>1003</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1159</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1180</v>
      </c>
      <c r="B353" s="21" t="s">
        <v>995</v>
      </c>
      <c r="C353" s="21" t="s">
        <v>1003</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998</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row>
    <row r="356" spans="1:12">
      <c r="A356" s="20" t="s">
        <v>1181</v>
      </c>
    </row>
    <row r="357" spans="1:12">
      <c r="A357" s="20" t="s">
        <v>1182</v>
      </c>
      <c r="B357" s="21" t="s">
        <v>990</v>
      </c>
      <c r="C357" s="21" t="s">
        <v>1076</v>
      </c>
      <c r="D357" s="21" t="s">
        <v>992</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1023</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1183</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1184</v>
      </c>
      <c r="B360" s="21" t="s">
        <v>995</v>
      </c>
      <c r="C360" s="21" t="s">
        <v>1045</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1154</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1185</v>
      </c>
      <c r="B362" s="21" t="s">
        <v>995</v>
      </c>
      <c r="C362" s="21" t="s">
        <v>1022</v>
      </c>
      <c r="D362" s="21" t="s">
        <v>992</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1186</v>
      </c>
      <c r="B363" s="21" t="s">
        <v>1015</v>
      </c>
      <c r="C363" s="21" t="s">
        <v>996</v>
      </c>
      <c r="D363" s="21" t="s">
        <v>992</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1187</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998</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row>
    <row r="367" spans="1:12">
      <c r="A367" s="20" t="s">
        <v>1188</v>
      </c>
    </row>
    <row r="368" spans="1:12">
      <c r="A368" s="20" t="s">
        <v>1189</v>
      </c>
      <c r="B368" s="21" t="s">
        <v>990</v>
      </c>
      <c r="C368" s="21" t="s">
        <v>991</v>
      </c>
      <c r="D368" s="21" t="s">
        <v>992</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1190</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1031</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1191</v>
      </c>
      <c r="B371" s="21" t="s">
        <v>1002</v>
      </c>
      <c r="C371" s="21" t="s">
        <v>1022</v>
      </c>
      <c r="D371" s="21" t="s">
        <v>992</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1130</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1057</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1040</v>
      </c>
      <c r="B374" s="21" t="s">
        <v>995</v>
      </c>
      <c r="C374" s="21" t="s">
        <v>1022</v>
      </c>
      <c r="D374" s="21" t="s">
        <v>992</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95</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998</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row>
    <row r="378" spans="1:12">
      <c r="A378" s="20" t="s">
        <v>1192</v>
      </c>
    </row>
    <row r="379" spans="1:12">
      <c r="A379" s="20" t="s">
        <v>1193</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1194</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1195</v>
      </c>
      <c r="B381" s="21" t="s">
        <v>990</v>
      </c>
      <c r="C381" s="21" t="s">
        <v>991</v>
      </c>
      <c r="D381" s="21" t="s">
        <v>992</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1196</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1197</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1198</v>
      </c>
      <c r="B384" s="21" t="s">
        <v>995</v>
      </c>
      <c r="C384" s="21" t="s">
        <v>1022</v>
      </c>
      <c r="D384" s="21" t="s">
        <v>992</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1077</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1199</v>
      </c>
      <c r="B386" s="21" t="s">
        <v>990</v>
      </c>
      <c r="C386" s="21" t="s">
        <v>1045</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1200</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998</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row>
    <row r="390" spans="1:12">
      <c r="A390" s="20" t="s">
        <v>1201</v>
      </c>
    </row>
    <row r="391" spans="1:12">
      <c r="A391" s="20" t="s">
        <v>1182</v>
      </c>
      <c r="B391" s="21" t="s">
        <v>990</v>
      </c>
      <c r="C391" s="21" t="s">
        <v>1076</v>
      </c>
      <c r="D391" s="21" t="s">
        <v>992</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1023</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1202</v>
      </c>
      <c r="B393" s="21" t="s">
        <v>995</v>
      </c>
      <c r="C393" s="21" t="s">
        <v>1054</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576</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1203</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1204</v>
      </c>
      <c r="B396" s="21" t="s">
        <v>995</v>
      </c>
      <c r="C396" s="21" t="s">
        <v>1022</v>
      </c>
      <c r="D396" s="21" t="s">
        <v>992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1130</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1057</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1040</v>
      </c>
      <c r="B399" s="21" t="s">
        <v>1015</v>
      </c>
      <c r="C399" s="21" t="s">
        <v>1022</v>
      </c>
      <c r="D399" s="21" t="s">
        <v>992</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998</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row>
    <row r="402" spans="1:12">
      <c r="A402" s="20" t="s">
        <v>1205</v>
      </c>
    </row>
    <row r="403" spans="1:12">
      <c r="A403" s="20" t="s">
        <v>1141</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1206</v>
      </c>
      <c r="B404" s="21" t="s">
        <v>1026</v>
      </c>
      <c r="C404" s="21" t="s">
        <v>991</v>
      </c>
      <c r="D404" s="21" t="s">
        <v>992</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1207</v>
      </c>
      <c r="B405" s="21" t="s">
        <v>1015</v>
      </c>
      <c r="C405" s="21" t="s">
        <v>1039</v>
      </c>
      <c r="D405" s="21" t="s">
        <v>992</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1208</v>
      </c>
      <c r="B406" s="21" t="s">
        <v>995</v>
      </c>
      <c r="C406" s="21" t="s">
        <v>1009</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1107</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1024</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106</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1052</v>
      </c>
      <c r="B410" s="21" t="s">
        <v>1002</v>
      </c>
      <c r="C410" s="21" t="s">
        <v>991</v>
      </c>
      <c r="D410" s="21" t="s">
        <v>992</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1072</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1209</v>
      </c>
      <c r="B412" s="21" t="s">
        <v>1015</v>
      </c>
      <c r="C412" s="21" t="s">
        <v>1054</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576</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1210</v>
      </c>
      <c r="B414" s="21" t="s">
        <v>990</v>
      </c>
      <c r="C414" s="21" t="s">
        <v>1022</v>
      </c>
      <c r="D414" s="21" t="s">
        <v>992</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1034</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1119</v>
      </c>
      <c r="B416" s="21" t="s">
        <v>1036</v>
      </c>
      <c r="C416" s="21" t="s">
        <v>1076</v>
      </c>
      <c r="D416" s="21" t="s">
        <v>992</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1170</v>
      </c>
      <c r="B417" s="21" t="s">
        <v>1015</v>
      </c>
      <c r="C417" s="21" t="s">
        <v>1121</v>
      </c>
      <c r="D417" s="21" t="s">
        <v>992</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998</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row>
    <row r="420" spans="1:12">
      <c r="A420" s="20" t="s">
        <v>1211</v>
      </c>
    </row>
    <row r="421" spans="1:12">
      <c r="A421" s="20" t="s">
        <v>1206</v>
      </c>
      <c r="B421" s="21" t="s">
        <v>990</v>
      </c>
      <c r="C421" s="21" t="s">
        <v>991</v>
      </c>
      <c r="D421" s="21" t="s">
        <v>992</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110</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1212</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1213</v>
      </c>
      <c r="B424" s="21" t="s">
        <v>1015</v>
      </c>
      <c r="C424" s="21" t="s">
        <v>1076</v>
      </c>
      <c r="D424" s="21" t="s">
        <v>992</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1214</v>
      </c>
      <c r="B425" s="21" t="s">
        <v>1002</v>
      </c>
      <c r="C425" s="21" t="s">
        <v>1121</v>
      </c>
      <c r="D425" s="21" t="s">
        <v>992</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1018</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1215</v>
      </c>
      <c r="B427" s="21" t="s">
        <v>1015</v>
      </c>
      <c r="C427" s="21" t="s">
        <v>1003</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1024</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1082</v>
      </c>
      <c r="B429" s="21" t="s">
        <v>1060</v>
      </c>
      <c r="C429" s="21" t="s">
        <v>1054</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1216</v>
      </c>
      <c r="B430" s="21" t="s">
        <v>1036</v>
      </c>
      <c r="C430" s="21" t="s">
        <v>1009</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1024</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1095</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1217</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1218</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1219</v>
      </c>
      <c r="B435" s="21" t="s">
        <v>1015</v>
      </c>
      <c r="C435" s="21" t="s">
        <v>1003</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1024</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1220</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1221</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1034</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1019</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1222</v>
      </c>
      <c r="B441" s="21" t="s">
        <v>1015</v>
      </c>
      <c r="C441" s="21" t="s">
        <v>1022</v>
      </c>
      <c r="D441" s="21" t="s">
        <v>992</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1223</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1224</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1225</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1226</v>
      </c>
      <c r="B445" s="21" t="s">
        <v>1036</v>
      </c>
      <c r="C445" s="21" t="s">
        <v>1045</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998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row>
    <row r="448" spans="1:12">
      <c r="A448" s="20" t="s">
        <v>1227</v>
      </c>
    </row>
    <row r="449" spans="1:12">
      <c r="A449" s="20" t="s">
        <v>1141</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1206</v>
      </c>
      <c r="B450" s="21" t="s">
        <v>1026</v>
      </c>
      <c r="C450" s="21" t="s">
        <v>991</v>
      </c>
      <c r="D450" s="21" t="s">
        <v>992</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1217</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675</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1024</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110</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1206</v>
      </c>
      <c r="B455" s="21" t="s">
        <v>990</v>
      </c>
      <c r="C455" s="21" t="s">
        <v>991</v>
      </c>
      <c r="D455" s="21" t="s">
        <v>992</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1209</v>
      </c>
      <c r="B456" s="21" t="s">
        <v>1015</v>
      </c>
      <c r="C456" s="21" t="s">
        <v>1054</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1210</v>
      </c>
      <c r="B457" s="21" t="s">
        <v>1002</v>
      </c>
      <c r="C457" s="21" t="s">
        <v>1009</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1228</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1024</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1031</v>
      </c>
      <c r="B460" s="21" t="s">
        <v>1002</v>
      </c>
      <c r="C460" s="21" t="s">
        <v>1039</v>
      </c>
      <c r="D460" s="21" t="s">
        <v>992</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1229</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1230</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1231</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1232</v>
      </c>
      <c r="B464" s="21" t="s">
        <v>1015</v>
      </c>
      <c r="C464" s="21" t="s">
        <v>1003</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231</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576</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1233</v>
      </c>
      <c r="B467" s="21" t="s">
        <v>1234</v>
      </c>
      <c r="C467" s="21" t="s">
        <v>1022</v>
      </c>
      <c r="D467" s="21" t="s">
        <v>992</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1107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1183</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1235</v>
      </c>
      <c r="B470" s="21" t="s">
        <v>1036</v>
      </c>
      <c r="C470" s="21" t="s">
        <v>1045</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1071</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1236</v>
      </c>
      <c r="B472" s="21" t="s">
        <v>1060</v>
      </c>
      <c r="C472" s="21" t="s">
        <v>1003</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998</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row>
    <row r="475" spans="1:12">
      <c r="A475" s="20" t="s">
        <v>1237</v>
      </c>
    </row>
    <row r="476" spans="1:12">
      <c r="A476" s="20" t="s">
        <v>1238</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1239</v>
      </c>
      <c r="B477" s="21" t="s">
        <v>990</v>
      </c>
      <c r="C477" s="21" t="s">
        <v>1022</v>
      </c>
      <c r="D477" s="21" t="s">
        <v>992</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117</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1240</v>
      </c>
      <c r="B479" s="21" t="s">
        <v>1002</v>
      </c>
      <c r="C479" s="21" t="s">
        <v>1003</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998</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row>
    <row r="482" spans="1:12">
      <c r="A482" s="20" t="s">
        <v>1241</v>
      </c>
    </row>
    <row r="483" spans="1:12">
      <c r="A483" s="20" t="s">
        <v>1182</v>
      </c>
      <c r="B483" s="21" t="s">
        <v>990</v>
      </c>
      <c r="C483" s="21" t="s">
        <v>1076</v>
      </c>
      <c r="D483" s="21" t="s">
        <v>992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1023</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1183</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1208</v>
      </c>
      <c r="B486" s="21" t="s">
        <v>995</v>
      </c>
      <c r="C486" s="21" t="s">
        <v>1045</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1024</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576</v>
      </c>
      <c r="B488" s="21" t="s">
        <v>1026</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1098</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1057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1242</v>
      </c>
      <c r="B491" s="21" t="s">
        <v>1015</v>
      </c>
      <c r="C491" s="21" t="s">
        <v>1022</v>
      </c>
      <c r="D491" s="21" t="s">
        <v>992</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1223</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1243</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1244</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1245</v>
      </c>
      <c r="B495" s="21" t="s">
        <v>1036</v>
      </c>
      <c r="C495" s="21" t="s">
        <v>1045</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1246</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998</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row>
    <row r="499" spans="1:12">
      <c r="A499" s="20" t="s">
        <v>1247</v>
      </c>
    </row>
    <row r="500" spans="1:12">
      <c r="A500" s="20" t="s">
        <v>1158</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587</v>
      </c>
      <c r="B501" s="21" t="s">
        <v>1015</v>
      </c>
      <c r="C501" s="21" t="s">
        <v>1003</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1159</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1248</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1024</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1206</v>
      </c>
      <c r="B505" s="21" t="s">
        <v>990</v>
      </c>
      <c r="C505" s="21" t="s">
        <v>991</v>
      </c>
      <c r="D505" s="21" t="s">
        <v>992</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125</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1019</v>
      </c>
      <c r="B507" s="21" t="s">
        <v>1002</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998</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row>
    <row r="510" spans="1:12">
      <c r="A510" s="20" t="s">
        <v>1249</v>
      </c>
    </row>
    <row r="511" spans="1:12">
      <c r="A511" s="20" t="s">
        <v>129</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998</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row>
    <row r="514" spans="1:12">
      <c r="A514" s="20" t="s">
        <v>1250</v>
      </c>
    </row>
    <row r="515" spans="1:12">
      <c r="A515" s="20" t="s">
        <v>1251</v>
      </c>
      <c r="B515" s="21" t="s">
        <v>995</v>
      </c>
      <c r="C515" s="21" t="s">
        <v>996</v>
      </c>
      <c r="D515" s="21" t="s">
        <v>992</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998</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row>
    <row r="518" spans="1:12">
      <c r="A518" s="20" t="s">
        <v>1252</v>
      </c>
    </row>
    <row r="519" spans="1:12">
      <c r="A519" s="20" t="s">
        <v>1193</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29</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1063</v>
      </c>
      <c r="B521" s="21" t="s">
        <v>1026</v>
      </c>
      <c r="C521" s="21" t="s">
        <v>1039</v>
      </c>
      <c r="D521" s="21" t="s">
        <v>992</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1209</v>
      </c>
      <c r="B522" s="21" t="s">
        <v>1015</v>
      </c>
      <c r="C522" s="21" t="s">
        <v>1054</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1208</v>
      </c>
      <c r="B523" s="21" t="s">
        <v>1002</v>
      </c>
      <c r="C523" s="21" t="s">
        <v>1009</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1228</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998</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row>
    <row r="527" spans="1:12">
      <c r="A527" s="20" t="s">
        <v>1253</v>
      </c>
    </row>
    <row r="528" spans="1:12">
      <c r="A528" s="20" t="s">
        <v>1254</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1255</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1256</v>
      </c>
      <c r="B530" s="21" t="s">
        <v>990</v>
      </c>
      <c r="C530" s="21" t="s">
        <v>1045</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1023</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1183</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1257</v>
      </c>
      <c r="B533" s="21" t="s">
        <v>995</v>
      </c>
      <c r="C533" s="21" t="s">
        <v>1045</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1024</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1019</v>
      </c>
      <c r="B535" s="21" t="s">
        <v>1026</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1173</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1258</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1259</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1023</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1024</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1116</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1206</v>
      </c>
      <c r="B542" s="21" t="s">
        <v>1089</v>
      </c>
      <c r="C542" s="21" t="s">
        <v>991</v>
      </c>
      <c r="D542" s="21" t="s">
        <v>992</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1260</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1261</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1108</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1262</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1024</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1116</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1025</v>
      </c>
      <c r="B549" s="21" t="s">
        <v>1234</v>
      </c>
      <c r="C549" s="21" t="s">
        <v>991</v>
      </c>
      <c r="D549" s="21" t="s">
        <v>992</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1263</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1264</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1265</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998</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row>
    <row r="555" spans="1:12">
      <c r="A555" s="20" t="s">
        <v>1266</v>
      </c>
    </row>
    <row r="556" spans="1:12">
      <c r="A556" s="20" t="s">
        <v>1267</v>
      </c>
      <c r="B556" s="21" t="s">
        <v>990</v>
      </c>
      <c r="C556" s="21" t="s">
        <v>991</v>
      </c>
      <c r="D556" s="21" t="s">
        <v>992</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1265</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1268</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1269</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576</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1270</v>
      </c>
      <c r="B561" s="21" t="s">
        <v>995</v>
      </c>
      <c r="C561" s="21" t="s">
        <v>1022</v>
      </c>
      <c r="D561" s="21" t="s">
        <v>992</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998</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row>
    <row r="564" spans="1:12">
      <c r="A564" s="20" t="s">
        <v>1271</v>
      </c>
    </row>
    <row r="565" spans="1:12">
      <c r="A565" s="20" t="s">
        <v>1013</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1084</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1206</v>
      </c>
      <c r="B567" s="21" t="s">
        <v>1026</v>
      </c>
      <c r="C567" s="21" t="s">
        <v>991</v>
      </c>
      <c r="D567" s="21" t="s">
        <v>992</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1025</v>
      </c>
      <c r="B568" s="21" t="s">
        <v>1055</v>
      </c>
      <c r="C568" s="21" t="s">
        <v>991</v>
      </c>
      <c r="D568" s="21" t="s">
        <v>992</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203</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1024</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1107</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1206</v>
      </c>
      <c r="B572" s="21" t="s">
        <v>990</v>
      </c>
      <c r="C572" s="21" t="s">
        <v>991</v>
      </c>
      <c r="D572" s="21" t="s">
        <v>992</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1272</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1024</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1116</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1206</v>
      </c>
      <c r="B576" s="21" t="s">
        <v>1026</v>
      </c>
      <c r="C576" s="21" t="s">
        <v>991</v>
      </c>
      <c r="D576" s="21" t="s">
        <v>992</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1273</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1029</v>
      </c>
      <c r="B578" s="21" t="s">
        <v>1036</v>
      </c>
      <c r="C578" s="21" t="s">
        <v>1054</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1173</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1082</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1274</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1107</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998</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row>
    <row r="585" spans="1:12">
      <c r="A585" s="20" t="s">
        <v>1275</v>
      </c>
    </row>
    <row r="586" spans="1:12">
      <c r="A586" s="20" t="s">
        <v>1075</v>
      </c>
      <c r="B586" s="21" t="s">
        <v>990</v>
      </c>
      <c r="C586" s="21" t="s">
        <v>1076</v>
      </c>
      <c r="D586" s="21" t="s">
        <v>992</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1023</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1183</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1255</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1256</v>
      </c>
      <c r="B590" s="21" t="s">
        <v>995</v>
      </c>
      <c r="C590" s="21" t="s">
        <v>1045</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998</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row>
    <row r="593" spans="1:12">
      <c r="A593" s="20" t="s">
        <v>1276</v>
      </c>
    </row>
    <row r="594" spans="1:12">
      <c r="A594" s="20" t="s">
        <v>1277</v>
      </c>
      <c r="B594" s="21" t="s">
        <v>1015</v>
      </c>
      <c r="C594" s="21" t="s">
        <v>1076</v>
      </c>
      <c r="D594" s="21" t="s">
        <v>992</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1208</v>
      </c>
      <c r="B595" s="21" t="s">
        <v>990</v>
      </c>
      <c r="C595" s="21" t="s">
        <v>1121</v>
      </c>
      <c r="D595" s="21" t="s">
        <v>992</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1246</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1278</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1196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1279</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1244</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1256</v>
      </c>
      <c r="B601" s="21" t="s">
        <v>995</v>
      </c>
      <c r="C601" s="21" t="s">
        <v>1045</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998</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row>
    <row r="604" spans="1:12">
      <c r="A604" s="20" t="s">
        <v>1280</v>
      </c>
    </row>
    <row r="605" spans="1:12">
      <c r="A605" s="20" t="s">
        <v>1013</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1281</v>
      </c>
      <c r="B606" s="21" t="s">
        <v>1234</v>
      </c>
      <c r="C606" s="21" t="s">
        <v>1076</v>
      </c>
      <c r="D606" s="21" t="s">
        <v>992</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1023</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1025</v>
      </c>
      <c r="B608" s="21" t="s">
        <v>1026</v>
      </c>
      <c r="C608" s="21" t="s">
        <v>991</v>
      </c>
      <c r="D608" s="21" t="s">
        <v>992</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1024</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1282</v>
      </c>
      <c r="B610" s="21" t="s">
        <v>1002</v>
      </c>
      <c r="C610" s="21" t="s">
        <v>1039</v>
      </c>
      <c r="D610" s="21" t="s">
        <v>992</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1063</v>
      </c>
      <c r="B611" s="21" t="s">
        <v>990</v>
      </c>
      <c r="C611" s="21" t="s">
        <v>1039</v>
      </c>
      <c r="D611" s="21" t="s">
        <v>992</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1118</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1283</v>
      </c>
      <c r="B613" s="21" t="s">
        <v>1015</v>
      </c>
      <c r="C613" s="21" t="s">
        <v>1003</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1284</v>
      </c>
      <c r="B614" s="21" t="s">
        <v>995</v>
      </c>
      <c r="C614" s="21" t="s">
        <v>1003</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1071</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1285</v>
      </c>
      <c r="B616" s="21" t="s">
        <v>1015</v>
      </c>
      <c r="C616" s="21" t="s">
        <v>1003</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1118</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576</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1286</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1032</v>
      </c>
      <c r="B620" s="21" t="s">
        <v>995</v>
      </c>
      <c r="C620" s="21" t="s">
        <v>1022</v>
      </c>
      <c r="D620" s="21" t="s">
        <v>992</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110</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1126</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1024</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1084</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1063</v>
      </c>
      <c r="B625" s="21" t="s">
        <v>1026</v>
      </c>
      <c r="C625" s="21" t="s">
        <v>1039</v>
      </c>
      <c r="D625" s="21" t="s">
        <v>992</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1031</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1287</v>
      </c>
      <c r="B627" s="21" t="s">
        <v>1055</v>
      </c>
      <c r="C627" s="21" t="s">
        <v>1022</v>
      </c>
      <c r="D627" s="21" t="s">
        <v>992</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1154</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1155</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1288</v>
      </c>
      <c r="B630" s="21" t="s">
        <v>1036</v>
      </c>
      <c r="C630" s="21" t="s">
        <v>1022</v>
      </c>
      <c r="D630" s="21" t="s">
        <v>992</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1034</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1289</v>
      </c>
      <c r="B632" s="21" t="s">
        <v>1015</v>
      </c>
      <c r="C632" s="21" t="s">
        <v>1003</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774</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998</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row>
    <row r="636" spans="1:12">
      <c r="A636" s="20" t="s">
        <v>1290</v>
      </c>
    </row>
    <row r="637" spans="1:12">
      <c r="A637" s="20" t="s">
        <v>1075</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1291</v>
      </c>
      <c r="B638" s="21" t="s">
        <v>990</v>
      </c>
      <c r="C638" s="21" t="s">
        <v>1022</v>
      </c>
      <c r="D638" s="21" t="s">
        <v>992</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1292</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1024</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1031</v>
      </c>
      <c r="B641" s="21" t="s">
        <v>1026</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1293</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1294</v>
      </c>
      <c r="B643" s="21" t="s">
        <v>1036</v>
      </c>
      <c r="C643" s="21" t="s">
        <v>1054</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1295</v>
      </c>
      <c r="B644" s="21" t="s">
        <v>1015</v>
      </c>
      <c r="C644" s="21" t="s">
        <v>1009</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1098</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1057</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1242</v>
      </c>
      <c r="B647" s="21" t="s">
        <v>1015</v>
      </c>
      <c r="C647" s="21" t="s">
        <v>1022</v>
      </c>
      <c r="D647" s="21" t="s">
        <v>992</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1223</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1244</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1245</v>
      </c>
      <c r="B650" s="21" t="s">
        <v>1036</v>
      </c>
      <c r="C650" s="21" t="s">
        <v>1045</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155</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998</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row>
    <row r="654" spans="1:12">
      <c r="A654" s="20" t="s">
        <v>1296</v>
      </c>
    </row>
    <row r="655" spans="1:12">
      <c r="A655" s="20" t="s">
        <v>1297</v>
      </c>
      <c r="B655" s="21" t="s">
        <v>990</v>
      </c>
      <c r="C655" s="21" t="s">
        <v>996</v>
      </c>
      <c r="D655" s="21" t="s">
        <v>992</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1024</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1298</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110</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1063</v>
      </c>
      <c r="B659" s="21" t="s">
        <v>990</v>
      </c>
      <c r="C659" s="21" t="s">
        <v>1039</v>
      </c>
      <c r="D659" s="21" t="s">
        <v>992</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1299</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1213</v>
      </c>
      <c r="B661" s="21" t="s">
        <v>1015</v>
      </c>
      <c r="C661" s="21" t="s">
        <v>1076</v>
      </c>
      <c r="D661" s="21" t="s">
        <v>992</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1291</v>
      </c>
      <c r="B662" s="21" t="s">
        <v>1002</v>
      </c>
      <c r="C662" s="21" t="s">
        <v>1121</v>
      </c>
      <c r="D662" s="21" t="s">
        <v>992</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1034</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1057</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1300</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1301</v>
      </c>
      <c r="B666" s="21" t="s">
        <v>995</v>
      </c>
      <c r="C666" s="21" t="s">
        <v>1022</v>
      </c>
      <c r="D666" s="21" t="s">
        <v>992</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1024</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1084</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1063</v>
      </c>
      <c r="B669" s="21" t="s">
        <v>1026</v>
      </c>
      <c r="C669" s="21" t="s">
        <v>1039</v>
      </c>
      <c r="D669" s="21" t="s">
        <v>992</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1225</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1302</v>
      </c>
      <c r="B671" s="21" t="s">
        <v>1055</v>
      </c>
      <c r="C671" s="21" t="s">
        <v>1003</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1303</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998</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row>
    <row r="675" spans="1:12">
      <c r="A675" s="20" t="s">
        <v>1068</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1304</v>
      </c>
    </row>
    <row r="677" spans="1:12">
      <c r="A677" s="20" t="s">
        <v>989</v>
      </c>
      <c r="B677" s="21" t="s">
        <v>990</v>
      </c>
      <c r="C677" s="21" t="s">
        <v>991</v>
      </c>
      <c r="D677" s="21" t="s">
        <v>992</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170</v>
      </c>
      <c r="B678" s="21" t="s">
        <v>995</v>
      </c>
      <c r="C678" s="21" t="s">
        <v>1003</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1025</v>
      </c>
      <c r="B679" s="21" t="s">
        <v>1002</v>
      </c>
      <c r="C679" s="21" t="s">
        <v>991</v>
      </c>
      <c r="D679" s="21" t="s">
        <v>992</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1305</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1019</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1074</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1306</v>
      </c>
      <c r="B683" s="21" t="s">
        <v>995</v>
      </c>
      <c r="C683" s="21" t="s">
        <v>996</v>
      </c>
      <c r="D683" s="21" t="s">
        <v>992</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1301</v>
      </c>
      <c r="B684" s="21" t="s">
        <v>1015</v>
      </c>
      <c r="C684" s="21" t="s">
        <v>996</v>
      </c>
      <c r="D684" s="21" t="s">
        <v>992</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993</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1114</v>
      </c>
      <c r="B686" s="21" t="s">
        <v>1026</v>
      </c>
      <c r="C686" s="21" t="s">
        <v>991</v>
      </c>
      <c r="D686" s="21" t="s">
        <v>992</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1307</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1074</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12</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1291</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998</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row>
    <row r="693" spans="1:12">
      <c r="A693" s="20" t="s">
        <v>1308</v>
      </c>
    </row>
    <row r="694" spans="1:12">
      <c r="A694" s="20" t="s">
        <v>1013</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1025</v>
      </c>
      <c r="B695" s="21" t="s">
        <v>990</v>
      </c>
      <c r="C695" s="21" t="s">
        <v>991</v>
      </c>
      <c r="D695" s="21" t="s">
        <v>992</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1023</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1273</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1014</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1291</v>
      </c>
      <c r="B699" s="21" t="s">
        <v>995</v>
      </c>
      <c r="C699" s="21" t="s">
        <v>1003</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1024</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110</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1206</v>
      </c>
      <c r="B702" s="21" t="s">
        <v>1026</v>
      </c>
      <c r="C702" s="21" t="s">
        <v>991</v>
      </c>
      <c r="D702" s="21" t="s">
        <v>992</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1167</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row>
    <row r="705" spans="1:12">
      <c r="A705" s="20" t="s">
        <v>1309</v>
      </c>
    </row>
    <row r="706" spans="1:12">
      <c r="A706" s="20" t="s">
        <v>178</v>
      </c>
      <c r="B706" s="21" t="s">
        <v>995</v>
      </c>
      <c r="C706" s="21" t="s">
        <v>996</v>
      </c>
      <c r="D706" s="21" t="s">
        <v>992</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1167</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row>
    <row r="709" spans="1:12">
      <c r="A709" s="20" t="s">
        <v>1249</v>
      </c>
    </row>
    <row r="710" spans="1:12">
      <c r="A710" s="20" t="s">
        <v>129</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998</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row>
    <row r="713" spans="1:12">
      <c r="A713" s="20" t="s">
        <v>1068</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1310</v>
      </c>
    </row>
    <row r="715" spans="1:12">
      <c r="A715" s="20" t="s">
        <v>1075</v>
      </c>
      <c r="B715" s="21" t="s">
        <v>990</v>
      </c>
      <c r="C715" s="21" t="s">
        <v>1076</v>
      </c>
      <c r="D715" s="21" t="s">
        <v>992</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993</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1114</v>
      </c>
      <c r="B717" s="21" t="s">
        <v>995</v>
      </c>
      <c r="C717" s="21" t="s">
        <v>991</v>
      </c>
      <c r="D717" s="21" t="s">
        <v>992</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1024</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1037</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1114</v>
      </c>
      <c r="B720" s="21" t="s">
        <v>1026</v>
      </c>
      <c r="C720" s="21" t="s">
        <v>991</v>
      </c>
      <c r="D720" s="21" t="s">
        <v>992</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1019</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1074</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1306</v>
      </c>
      <c r="B723" s="21" t="s">
        <v>1178</v>
      </c>
      <c r="C723" s="21" t="s">
        <v>996</v>
      </c>
      <c r="D723" s="21" t="s">
        <v>992</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1301</v>
      </c>
      <c r="B724" s="21" t="s">
        <v>1060</v>
      </c>
      <c r="C724" s="21" t="s">
        <v>996</v>
      </c>
      <c r="D724" s="21" t="s">
        <v>992</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993</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1114</v>
      </c>
      <c r="B726" s="21" t="s">
        <v>1234</v>
      </c>
      <c r="C726" s="21" t="s">
        <v>991</v>
      </c>
      <c r="D726" s="21" t="s">
        <v>992</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1307</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1074</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12</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1291</v>
      </c>
      <c r="B730" s="21" t="s">
        <v>1055</v>
      </c>
      <c r="C730" s="21" t="s">
        <v>1022</v>
      </c>
      <c r="D730" s="21" t="s">
        <v>992</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1311</v>
      </c>
      <c r="B731" s="21" t="s">
        <v>995</v>
      </c>
      <c r="C731" s="21" t="s">
        <v>1039</v>
      </c>
      <c r="D731" s="21" t="s">
        <v>992</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998</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row>
    <row r="734" spans="1:12">
      <c r="A734" s="20" t="s">
        <v>1312</v>
      </c>
    </row>
    <row r="735" spans="1:12">
      <c r="A735" s="20" t="s">
        <v>1182</v>
      </c>
      <c r="B735" s="21" t="s">
        <v>990</v>
      </c>
      <c r="C735" s="21" t="s">
        <v>1076</v>
      </c>
      <c r="D735" s="21" t="s">
        <v>992</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1023</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1183</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1313</v>
      </c>
      <c r="B738" s="21" t="s">
        <v>995</v>
      </c>
      <c r="C738" s="21" t="s">
        <v>1045</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1034</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1096</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1314</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1315</v>
      </c>
      <c r="B742" s="21" t="s">
        <v>995</v>
      </c>
      <c r="C742" s="21" t="s">
        <v>1316</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1034</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1317</v>
      </c>
      <c r="B744" s="21" t="s">
        <v>1015</v>
      </c>
      <c r="C744" s="21" t="s">
        <v>996</v>
      </c>
      <c r="D744" s="21" t="s">
        <v>992</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1024</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1318</v>
      </c>
      <c r="B746" s="21" t="s">
        <v>1036</v>
      </c>
      <c r="C746" s="21" t="s">
        <v>996</v>
      </c>
      <c r="D746" s="21" t="s">
        <v>992</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1024</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1319</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1114</v>
      </c>
      <c r="B749" s="21" t="s">
        <v>1026</v>
      </c>
      <c r="C749" s="21" t="s">
        <v>991</v>
      </c>
      <c r="D749" s="21" t="s">
        <v>992</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1034</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1096</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1320</v>
      </c>
      <c r="B752" s="21" t="s">
        <v>1015</v>
      </c>
      <c r="C752" s="21" t="s">
        <v>1316</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1321</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79</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1063</v>
      </c>
      <c r="B755" s="21" t="s">
        <v>1089</v>
      </c>
      <c r="C755" s="21" t="s">
        <v>1039</v>
      </c>
      <c r="D755" s="21" t="s">
        <v>992</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1034</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1040</v>
      </c>
      <c r="B757" s="21" t="s">
        <v>1036</v>
      </c>
      <c r="C757" s="21" t="s">
        <v>1003</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1322</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1107</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1305</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1034</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1057</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1300</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1301</v>
      </c>
      <c r="B764" s="21" t="s">
        <v>1060</v>
      </c>
      <c r="C764" s="21" t="s">
        <v>1022</v>
      </c>
      <c r="D764" s="21" t="s">
        <v>992</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998</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row>
    <row r="767" spans="1:12">
      <c r="A767" s="20" t="s">
        <v>1323</v>
      </c>
    </row>
    <row r="768" spans="1:12">
      <c r="A768" s="20" t="s">
        <v>1075</v>
      </c>
      <c r="B768" s="21" t="s">
        <v>990</v>
      </c>
      <c r="C768" s="21" t="s">
        <v>1076</v>
      </c>
      <c r="D768" s="21" t="s">
        <v>992</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1023</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1183</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1324</v>
      </c>
      <c r="B771" s="21" t="s">
        <v>995</v>
      </c>
      <c r="C771" s="21" t="s">
        <v>1045</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1024</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1019</v>
      </c>
      <c r="B773" s="21" t="s">
        <v>1026</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1087</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1208</v>
      </c>
      <c r="B775" s="21" t="s">
        <v>1055</v>
      </c>
      <c r="C775" s="21" t="s">
        <v>1009</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29</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998</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row>
    <row r="779" spans="1:12">
      <c r="A779" s="20" t="s">
        <v>1325</v>
      </c>
    </row>
    <row r="780" spans="1:12">
      <c r="A780" s="20" t="s">
        <v>1326</v>
      </c>
      <c r="B780" s="21" t="s">
        <v>990</v>
      </c>
      <c r="C780" s="21" t="s">
        <v>1039</v>
      </c>
      <c r="D780" s="21" t="s">
        <v>992</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40</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1024</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1116</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1063</v>
      </c>
      <c r="B784" s="21" t="s">
        <v>1026</v>
      </c>
      <c r="C784" s="21" t="s">
        <v>1039</v>
      </c>
      <c r="D784" s="21" t="s">
        <v>992</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1034</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576</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1035</v>
      </c>
      <c r="B787" s="21" t="s">
        <v>1015</v>
      </c>
      <c r="C787" s="21" t="s">
        <v>1022</v>
      </c>
      <c r="D787" s="21" t="s">
        <v>992</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1108</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1173</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704</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1107</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1037</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1034</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1040</v>
      </c>
      <c r="B794" s="21" t="s">
        <v>1015</v>
      </c>
      <c r="C794" s="21" t="s">
        <v>1003</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998</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row>
    <row r="797" spans="1:12">
      <c r="A797" s="20" t="s">
        <v>1327</v>
      </c>
    </row>
    <row r="798" spans="1:12">
      <c r="A798" s="20" t="s">
        <v>1013</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1114</v>
      </c>
      <c r="B799" s="21" t="s">
        <v>990</v>
      </c>
      <c r="C799" s="21" t="s">
        <v>991</v>
      </c>
      <c r="D799" s="21" t="s">
        <v>992</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1161</v>
      </c>
      <c r="B800" s="21" t="s">
        <v>990</v>
      </c>
      <c r="C800" s="21" t="s">
        <v>1039</v>
      </c>
      <c r="D800" s="21" t="s">
        <v>992</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1108</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1328</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t="s">
        <v>1329</v>
      </c>
      <c r="E803" s="22">
        <f>IF(D803="?OLD","!!!","")</f>
        <v/>
      </c>
      <c r="F803" s="23" t="str">
        <f>IF(OR(E803="",E803="!!!"),"",IF(NOT(ISNA(VLOOKUP(E803,E$1:E802,1,FALSE()))),"OLD",IF(AND(E803&lt;&gt;"",E803&lt;&gt;"!!!"),"NEW","")))</f>
        <v> </v>
      </c>
      <c r="G803" s="24" t="str">
        <f>IF(OR(E803="",E803="!!!"),"",IF(OR(J803=0,AND(J803=1,K803=1),AND(J803=1,I803="SBJ"),AND(J803=1,I803=0)),"?IN_FOCUS",IF(J803&lt;=2,"?ACTIVATED",IF(J803&lt;&gt;"","?FAMILIAR",IF(F803="NEW",IF(ISNA(VLOOKUP(E803,#REF!,1,FALSE())),"?TYPE_IDENTIFIABLE","?REFERENTIAL"),"_")))))</f>
        <v> </v>
      </c>
      <c r="H803" s="25" t="str">
        <f>IF(J803&lt;&gt;1,"",IF(I803="SBJ","CB","?"))</f>
        <v> </v>
      </c>
      <c r="I803" s="26" t="str">
        <f>IF(OR(E803="",E803="!!!",F803="NEW"),"",INDEX(B802:B$2,-1+SUMPRODUCT(MAX(ROW(E802:E$2)*(E803=E802:E$2)))))</f>
        <v> </v>
      </c>
      <c r="J803" s="26" t="str">
        <f>IF(OR(E803="",E803="!!!",F803="NEW"),"",COUNTBLANK(OFFSET(A$1,,,SUMPRODUCT(MAX(ROW(E$2:E803)*(E803=E$2:E803)))))-COUNTBLANK(OFFSET(A$1,,,SUMPRODUCT(MAX(ROW(E$1:E802)*(E2=E$1:E802))))))</f>
        <v> </v>
      </c>
      <c r="K803" s="26" t="str">
        <f>IF(OR(E803="",E803="!!!",F803="NEW"),"",INDEX(J$1:J802,SUMPRODUCT(MAX(ROW(E$1:E802)*(E803=E$1:E802)))))</f>
        <v> </v>
      </c>
      <c r="L803" s="27"/>
    </row>
    <row r="804" spans="1:12">
      <c r="A804" s="20" t="s">
        <v>199</v>
      </c>
      <c r="E804" s="22">
        <f>IF(D804="?OLD","!!!","")</f>
        <v/>
      </c>
      <c r="F804" s="23" t="str">
        <f>IF(OR(E804="",E804="!!!"),"",IF(NOT(ISNA(VLOOKUP(E804,E$1:E803,1,FALSE()))),"OLD",IF(AND(E804&lt;&gt;"",E804&lt;&gt;"!!!"),"NEW","")))</f>
        <v> </v>
      </c>
      <c r="G804" s="24" t="str">
        <f>IF(OR(E804="",E804="!!!"),"",IF(OR(J804=0,AND(J804=1,K804=1),AND(J804=1,I804="SBJ"),AND(J804=1,I804=0)),"?IN_FOCUS",IF(J804&lt;=2,"?ACTIVATED",IF(J804&lt;&gt;"","?FAMILIAR",IF(F804="NEW",IF(ISNA(VLOOKUP(E804,#REF!,1,FALSE())),"?TYPE_IDENTIFIABLE","?REFERENTIAL"),"_")))))</f>
        <v> </v>
      </c>
      <c r="H804" s="25" t="str">
        <f>IF(J804&lt;&gt;1,"",IF(I804="SBJ","CB","?"))</f>
        <v> </v>
      </c>
      <c r="I804" s="26" t="str">
        <f>IF(OR(E804="",E804="!!!",F804="NEW"),"",INDEX(B803:B$2,-1+SUMPRODUCT(MAX(ROW(E803:E$2)*(E804=E803:E$2)))))</f>
        <v> </v>
      </c>
      <c r="J804" s="26" t="str">
        <f>IF(OR(E804="",E804="!!!",F804="NEW"),"",COUNTBLANK(OFFSET(A$1,,,SUMPRODUCT(MAX(ROW(E$2:E804)*(E804=E$2:E804)))))-COUNTBLANK(OFFSET(A$1,,,SUMPRODUCT(MAX(ROW(E$1:E803)*(E2=E$1:E803))))))</f>
        <v> </v>
      </c>
      <c r="K804" s="26" t="str">
        <f>IF(OR(E804="",E804="!!!",F804="NEW"),"",INDEX(J$1:J803,SUMPRODUCT(MAX(ROW(E$1:E803)*(E804=E$1:E803)))))</f>
        <v> </v>
      </c>
      <c r="L804" s="27"/>
    </row>
    <row r="805" spans="1:12">
      <c r="A805" s="20" t="s">
        <v>1024</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1330</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1019</v>
      </c>
      <c r="B807" s="21" t="s">
        <v>1026</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1331</v>
      </c>
      <c r="B808" s="21" t="s">
        <v>1015</v>
      </c>
      <c r="C808" s="21" t="s">
        <v>1332</v>
      </c>
      <c r="D808" s="21" t="s">
        <v>992</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1333</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998</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row>
    <row r="812" spans="1:12">
      <c r="A812" s="20" t="s">
        <v>1334</v>
      </c>
    </row>
    <row r="813" spans="1:12">
      <c r="A813" s="20" t="s">
        <v>1326</v>
      </c>
      <c r="B813" s="21" t="s">
        <v>990</v>
      </c>
      <c r="C813" s="21" t="s">
        <v>1039</v>
      </c>
      <c r="D813" s="21" t="s">
        <v>992</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203</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1034</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1335</v>
      </c>
      <c r="B816" s="21" t="s">
        <v>995</v>
      </c>
      <c r="C816" s="21" t="s">
        <v>1003</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1049</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998</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row>
    <row r="820" spans="1:12">
      <c r="A820" s="20" t="s">
        <v>1336</v>
      </c>
    </row>
    <row r="821" spans="1:12">
      <c r="A821" s="20" t="s">
        <v>989</v>
      </c>
      <c r="B821" s="21" t="s">
        <v>990</v>
      </c>
      <c r="C821" s="21" t="s">
        <v>991</v>
      </c>
      <c r="D821" s="21" t="s">
        <v>992</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1161</v>
      </c>
      <c r="B822" s="21" t="s">
        <v>995</v>
      </c>
      <c r="C822" s="21" t="s">
        <v>1016</v>
      </c>
      <c r="D822" s="21" t="s">
        <v>992</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704</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t="s">
        <v>1034</v>
      </c>
      <c r="E824" s="22">
        <f>IF(D824="?OLD","!!!","")</f>
        <v/>
      </c>
      <c r="F824" s="23" t="str">
        <f>IF(OR(E824="",E824="!!!"),"",IF(NOT(ISNA(VLOOKUP(E824,E$1:E823,1,FALSE()))),"OLD",IF(AND(E824&lt;&gt;"",E824&lt;&gt;"!!!"),"NEW","")))</f>
        <v> </v>
      </c>
      <c r="G824" s="24" t="str">
        <f>IF(OR(E824="",E824="!!!"),"",IF(OR(J824=0,AND(J824=1,K824=1),AND(J824=1,I824="SBJ"),AND(J824=1,I824=0)),"?IN_FOCUS",IF(J824&lt;=2,"?ACTIVATED",IF(J824&lt;&gt;"","?FAMILIAR",IF(F824="NEW",IF(ISNA(VLOOKUP(E824,#REF!,1,FALSE())),"?TYPE_IDENTIFIABLE","?REFERENTIAL"),"_")))))</f>
        <v> </v>
      </c>
      <c r="H824" s="25" t="str">
        <f>IF(J824&lt;&gt;1,"",IF(I824="SBJ","CB","?"))</f>
        <v> </v>
      </c>
      <c r="I824" s="26" t="str">
        <f>IF(OR(E824="",E824="!!!",F824="NEW"),"",INDEX(B823:B$2,-1+SUMPRODUCT(MAX(ROW(E823:E$2)*(E824=E823:E$2)))))</f>
        <v> </v>
      </c>
      <c r="J824" s="26" t="str">
        <f>IF(OR(E824="",E824="!!!",F824="NEW"),"",COUNTBLANK(OFFSET(A$1,,,SUMPRODUCT(MAX(ROW(E$2:E824)*(E824=E$2:E824)))))-COUNTBLANK(OFFSET(A$1,,,SUMPRODUCT(MAX(ROW(E$1:E823)*(E2=E$1:E823))))))</f>
        <v> </v>
      </c>
      <c r="K824" s="26" t="str">
        <f>IF(OR(E824="",E824="!!!",F824="NEW"),"",INDEX(J$1:J823,SUMPRODUCT(MAX(ROW(E$1:E823)*(E824=E$1:E823)))))</f>
        <v> </v>
      </c>
      <c r="L824" s="27"/>
    </row>
    <row r="825" spans="1:12">
      <c r="A825" s="20" t="s">
        <v>1057</v>
      </c>
      <c r="E825" s="22">
        <f>IF(D825="?OLD","!!!","")</f>
        <v/>
      </c>
      <c r="F825" s="23" t="str">
        <f>IF(OR(E825="",E825="!!!"),"",IF(NOT(ISNA(VLOOKUP(E825,E$1:E824,1,FALSE()))),"OLD",IF(AND(E825&lt;&gt;"",E825&lt;&gt;"!!!"),"NEW","")))</f>
        <v> </v>
      </c>
      <c r="G825" s="24" t="str">
        <f>IF(OR(E825="",E825="!!!"),"",IF(OR(J825=0,AND(J825=1,K825=1),AND(J825=1,I825="SBJ"),AND(J825=1,I825=0)),"?IN_FOCUS",IF(J825&lt;=2,"?ACTIVATED",IF(J825&lt;&gt;"","?FAMILIAR",IF(F825="NEW",IF(ISNA(VLOOKUP(E825,#REF!,1,FALSE())),"?TYPE_IDENTIFIABLE","?REFERENTIAL"),"_")))))</f>
        <v> </v>
      </c>
      <c r="H825" s="25" t="str">
        <f>IF(J825&lt;&gt;1,"",IF(I825="SBJ","CB","?"))</f>
        <v> </v>
      </c>
      <c r="I825" s="26" t="str">
        <f>IF(OR(E825="",E825="!!!",F825="NEW"),"",INDEX(B824:B$2,-1+SUMPRODUCT(MAX(ROW(E824:E$2)*(E825=E824:E$2)))))</f>
        <v> </v>
      </c>
      <c r="J825" s="26" t="str">
        <f>IF(OR(E825="",E825="!!!",F825="NEW"),"",COUNTBLANK(OFFSET(A$1,,,SUMPRODUCT(MAX(ROW(E$2:E825)*(E825=E$2:E825)))))-COUNTBLANK(OFFSET(A$1,,,SUMPRODUCT(MAX(ROW(E$1:E824)*(E2=E$1:E824))))))</f>
        <v> </v>
      </c>
      <c r="K825" s="26" t="str">
        <f>IF(OR(E825="",E825="!!!",F825="NEW"),"",INDEX(J$1:J824,SUMPRODUCT(MAX(ROW(E$1:E824)*(E825=E$1:E824)))))</f>
        <v> </v>
      </c>
      <c r="L825" s="27"/>
    </row>
    <row r="826" spans="1:12">
      <c r="A826" s="20" t="s">
        <v>1337</v>
      </c>
      <c r="B826" s="21" t="s">
        <v>995</v>
      </c>
      <c r="C826" s="21" t="s">
        <v>1022</v>
      </c>
      <c r="D826" s="21" t="s">
        <v>992</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1056</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576</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1338</v>
      </c>
      <c r="B829" s="21" t="s">
        <v>1015</v>
      </c>
      <c r="C829" s="21" t="s">
        <v>1022</v>
      </c>
      <c r="D829" s="21" t="s">
        <v>992</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1024</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1082</v>
      </c>
      <c r="B831" s="21" t="s">
        <v>1033</v>
      </c>
      <c r="C831" s="21" t="s">
        <v>1054</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1339</v>
      </c>
      <c r="B832" s="21" t="s">
        <v>1033</v>
      </c>
      <c r="C832" s="21" t="s">
        <v>1003</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1029</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1340</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1024</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1341</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1029</v>
      </c>
      <c r="B837" s="21" t="s">
        <v>1036</v>
      </c>
      <c r="C837" s="21" t="s">
        <v>1054</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t="s">
        <v>576</v>
      </c>
      <c r="E838" s="22">
        <f>IF(D838="?OLD","!!!","")</f>
        <v/>
      </c>
      <c r="F838" s="23" t="str">
        <f>IF(OR(E838="",E838="!!!"),"",IF(NOT(ISNA(VLOOKUP(E838,E$1:E837,1,FALSE()))),"OLD",IF(AND(E838&lt;&gt;"",E838&lt;&gt;"!!!"),"NEW","")))</f>
        <v> </v>
      </c>
      <c r="G838" s="24" t="str">
        <f>IF(OR(E838="",E838="!!!"),"",IF(OR(J838=0,AND(J838=1,K838=1),AND(J838=1,I838="SBJ"),AND(J838=1,I838=0)),"?IN_FOCUS",IF(J838&lt;=2,"?ACTIVATED",IF(J838&lt;&gt;"","?FAMILIAR",IF(F838="NEW",IF(ISNA(VLOOKUP(E838,#REF!,1,FALSE())),"?TYPE_IDENTIFIABLE","?REFERENTIAL"),"_")))))</f>
        <v> </v>
      </c>
      <c r="H838" s="25" t="str">
        <f>IF(J838&lt;&gt;1,"",IF(I838="SBJ","CB","?"))</f>
        <v> </v>
      </c>
      <c r="I838" s="26" t="str">
        <f>IF(OR(E838="",E838="!!!",F838="NEW"),"",INDEX(B837:B$2,-1+SUMPRODUCT(MAX(ROW(E837:E$2)*(E838=E837:E$2)))))</f>
        <v> </v>
      </c>
      <c r="J838" s="26" t="str">
        <f>IF(OR(E838="",E838="!!!",F838="NEW"),"",COUNTBLANK(OFFSET(A$1,,,SUMPRODUCT(MAX(ROW(E$2:E838)*(E838=E$2:E838)))))-COUNTBLANK(OFFSET(A$1,,,SUMPRODUCT(MAX(ROW(E$1:E837)*(E2=E$1:E837))))))</f>
        <v> </v>
      </c>
      <c r="K838" s="26" t="str">
        <f>IF(OR(E838="",E838="!!!",F838="NEW"),"",INDEX(J$1:J837,SUMPRODUCT(MAX(ROW(E$1:E837)*(E838=E$1:E837)))))</f>
        <v> </v>
      </c>
      <c r="L838" s="27"/>
    </row>
    <row r="839" spans="1:12">
      <c r="A839" s="20" t="s">
        <v>1342</v>
      </c>
      <c r="B839" s="21" t="s">
        <v>1015</v>
      </c>
      <c r="C839" s="21" t="s">
        <v>1022</v>
      </c>
      <c r="D839" s="21" t="s">
        <v>992</v>
      </c>
      <c r="E839" s="22">
        <f>IF(D839="?OLD","!!!","")</f>
        <v/>
      </c>
      <c r="F839" s="23" t="str">
        <f>IF(OR(E839="",E839="!!!"),"",IF(NOT(ISNA(VLOOKUP(E839,E$1:E838,1,FALSE()))),"OLD",IF(AND(E839&lt;&gt;"",E839&lt;&gt;"!!!"),"NEW","")))</f>
        <v> </v>
      </c>
      <c r="G839" s="24" t="str">
        <f>IF(OR(E839="",E839="!!!"),"",IF(OR(J839=0,AND(J839=1,K839=1),AND(J839=1,I839="SBJ"),AND(J839=1,I839=0)),"?IN_FOCUS",IF(J839&lt;=2,"?ACTIVATED",IF(J839&lt;&gt;"","?FAMILIAR",IF(F839="NEW",IF(ISNA(VLOOKUP(E839,#REF!,1,FALSE())),"?TYPE_IDENTIFIABLE","?REFERENTIAL"),"_")))))</f>
        <v> </v>
      </c>
      <c r="H839" s="25" t="str">
        <f>IF(J839&lt;&gt;1,"",IF(I839="SBJ","CB","?"))</f>
        <v> </v>
      </c>
      <c r="I839" s="26" t="str">
        <f>IF(OR(E839="",E839="!!!",F839="NEW"),"",INDEX(B838:B$2,-1+SUMPRODUCT(MAX(ROW(E838:E$2)*(E839=E838:E$2)))))</f>
        <v> </v>
      </c>
      <c r="J839" s="26" t="str">
        <f>IF(OR(E839="",E839="!!!",F839="NEW"),"",COUNTBLANK(OFFSET(A$1,,,SUMPRODUCT(MAX(ROW(E$2:E839)*(E839=E$2:E839)))))-COUNTBLANK(OFFSET(A$1,,,SUMPRODUCT(MAX(ROW(E$1:E838)*(E2=E$1:E838))))))</f>
        <v> </v>
      </c>
      <c r="K839" s="26" t="str">
        <f>IF(OR(E839="",E839="!!!",F839="NEW"),"",INDEX(J$1:J838,SUMPRODUCT(MAX(ROW(E$1:E838)*(E839=E$1:E838)))))</f>
        <v> </v>
      </c>
      <c r="L839" s="27"/>
    </row>
    <row r="840" spans="1:12">
      <c r="A840" s="20" t="s">
        <v>1343</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998</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row>
    <row r="843" spans="1:12">
      <c r="A843" s="20" t="s">
        <v>1344</v>
      </c>
    </row>
    <row r="844" spans="1:12">
      <c r="A844" s="20" t="s">
        <v>1141</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1063</v>
      </c>
      <c r="B845" s="21" t="s">
        <v>1026</v>
      </c>
      <c r="C845" s="21" t="s">
        <v>1039</v>
      </c>
      <c r="D845" s="21" t="s">
        <v>992</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1034</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1202</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1345</v>
      </c>
      <c r="B848" s="21" t="s">
        <v>1015</v>
      </c>
      <c r="C848" s="21" t="s">
        <v>1045</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1107</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1024</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1148</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1114</v>
      </c>
      <c r="B852" s="21" t="s">
        <v>990</v>
      </c>
      <c r="C852" s="21" t="s">
        <v>991</v>
      </c>
      <c r="D852" s="21" t="s">
        <v>992</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1024</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t="s">
        <v>1116</v>
      </c>
      <c r="E854" s="22">
        <f>IF(D854="?OLD","!!!","")</f>
        <v/>
      </c>
      <c r="F854" s="23" t="str">
        <f>IF(OR(E854="",E854="!!!"),"",IF(NOT(ISNA(VLOOKUP(E854,E$1:E853,1,FALSE()))),"OLD",IF(AND(E854&lt;&gt;"",E854&lt;&gt;"!!!"),"NEW","")))</f>
        <v> </v>
      </c>
      <c r="G854" s="24" t="str">
        <f>IF(OR(E854="",E854="!!!"),"",IF(OR(J854=0,AND(J854=1,K854=1),AND(J854=1,I854="SBJ"),AND(J854=1,I854=0)),"?IN_FOCUS",IF(J854&lt;=2,"?ACTIVATED",IF(J854&lt;&gt;"","?FAMILIAR",IF(F854="NEW",IF(ISNA(VLOOKUP(E854,#REF!,1,FALSE())),"?TYPE_IDENTIFIABLE","?REFERENTIAL"),"_")))))</f>
        <v> </v>
      </c>
      <c r="H854" s="25" t="str">
        <f>IF(J854&lt;&gt;1,"",IF(I854="SBJ","CB","?"))</f>
        <v> </v>
      </c>
      <c r="I854" s="26" t="str">
        <f>IF(OR(E854="",E854="!!!",F854="NEW"),"",INDEX(B853:B$2,-1+SUMPRODUCT(MAX(ROW(E853:E$2)*(E854=E853:E$2)))))</f>
        <v> </v>
      </c>
      <c r="J854" s="26" t="str">
        <f>IF(OR(E854="",E854="!!!",F854="NEW"),"",COUNTBLANK(OFFSET(A$1,,,SUMPRODUCT(MAX(ROW(E$2:E854)*(E854=E$2:E854)))))-COUNTBLANK(OFFSET(A$1,,,SUMPRODUCT(MAX(ROW(E$1:E853)*(E2=E$1:E853))))))</f>
        <v> </v>
      </c>
      <c r="K854" s="26" t="str">
        <f>IF(OR(E854="",E854="!!!",F854="NEW"),"",INDEX(J$1:J853,SUMPRODUCT(MAX(ROW(E$1:E853)*(E854=E$1:E853)))))</f>
        <v> </v>
      </c>
      <c r="L854" s="27"/>
    </row>
    <row r="855" spans="1:12">
      <c r="A855" s="20" t="s">
        <v>1087</v>
      </c>
      <c r="B855" s="21" t="s">
        <v>1026</v>
      </c>
      <c r="C855" s="21" t="s">
        <v>1039</v>
      </c>
      <c r="D855" s="21" t="s">
        <v>992</v>
      </c>
      <c r="E855" s="22">
        <f>IF(D855="?OLD","!!!","")</f>
        <v/>
      </c>
      <c r="F855" s="23" t="str">
        <f>IF(OR(E855="",E855="!!!"),"",IF(NOT(ISNA(VLOOKUP(E855,E$1:E854,1,FALSE()))),"OLD",IF(AND(E855&lt;&gt;"",E855&lt;&gt;"!!!"),"NEW","")))</f>
        <v> </v>
      </c>
      <c r="G855" s="24" t="str">
        <f>IF(OR(E855="",E855="!!!"),"",IF(OR(J855=0,AND(J855=1,K855=1),AND(J855=1,I855="SBJ"),AND(J855=1,I855=0)),"?IN_FOCUS",IF(J855&lt;=2,"?ACTIVATED",IF(J855&lt;&gt;"","?FAMILIAR",IF(F855="NEW",IF(ISNA(VLOOKUP(E855,#REF!,1,FALSE())),"?TYPE_IDENTIFIABLE","?REFERENTIAL"),"_")))))</f>
        <v> </v>
      </c>
      <c r="H855" s="25" t="str">
        <f>IF(J855&lt;&gt;1,"",IF(I855="SBJ","CB","?"))</f>
        <v> </v>
      </c>
      <c r="I855" s="26" t="str">
        <f>IF(OR(E855="",E855="!!!",F855="NEW"),"",INDEX(B854:B$2,-1+SUMPRODUCT(MAX(ROW(E854:E$2)*(E855=E854:E$2)))))</f>
        <v> </v>
      </c>
      <c r="J855" s="26" t="str">
        <f>IF(OR(E855="",E855="!!!",F855="NEW"),"",COUNTBLANK(OFFSET(A$1,,,SUMPRODUCT(MAX(ROW(E$2:E855)*(E855=E$2:E855)))))-COUNTBLANK(OFFSET(A$1,,,SUMPRODUCT(MAX(ROW(E$1:E854)*(E2=E$1:E854))))))</f>
        <v> </v>
      </c>
      <c r="K855" s="26" t="str">
        <f>IF(OR(E855="",E855="!!!",F855="NEW"),"",INDEX(J$1:J854,SUMPRODUCT(MAX(ROW(E$1:E854)*(E855=E$1:E854)))))</f>
        <v> </v>
      </c>
      <c r="L855" s="27"/>
    </row>
    <row r="856" spans="1:12">
      <c r="A856" s="20" t="s">
        <v>1071</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1346</v>
      </c>
      <c r="B857" s="21" t="s">
        <v>1015</v>
      </c>
      <c r="C857" s="21" t="s">
        <v>1039</v>
      </c>
      <c r="D857" s="21" t="s">
        <v>992</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1347</v>
      </c>
      <c r="B858" s="21" t="s">
        <v>1055</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1034</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1348</v>
      </c>
      <c r="B860" s="21" t="s">
        <v>1036</v>
      </c>
      <c r="C860" s="21" t="s">
        <v>1016</v>
      </c>
      <c r="D860" s="21" t="s">
        <v>992</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1349</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1350</v>
      </c>
      <c r="B862" s="21" t="s">
        <v>1015</v>
      </c>
      <c r="C862" s="21" t="s">
        <v>1003</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1351</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1024</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1352</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231</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1353</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1354</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1107</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1024</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t="s">
        <v>1355</v>
      </c>
      <c r="E871" s="22">
        <f>IF(D871="?OLD","!!!","")</f>
        <v/>
      </c>
      <c r="F871" s="23" t="str">
        <f>IF(OR(E871="",E871="!!!"),"",IF(NOT(ISNA(VLOOKUP(E871,E$1:E870,1,FALSE()))),"OLD",IF(AND(E871&lt;&gt;"",E871&lt;&gt;"!!!"),"NEW","")))</f>
        <v> </v>
      </c>
      <c r="G871" s="24" t="str">
        <f>IF(OR(E871="",E871="!!!"),"",IF(OR(J871=0,AND(J871=1,K871=1),AND(J871=1,I871="SBJ"),AND(J871=1,I871=0)),"?IN_FOCUS",IF(J871&lt;=2,"?ACTIVATED",IF(J871&lt;&gt;"","?FAMILIAR",IF(F871="NEW",IF(ISNA(VLOOKUP(E871,#REF!,1,FALSE())),"?TYPE_IDENTIFIABLE","?REFERENTIAL"),"_")))))</f>
        <v> </v>
      </c>
      <c r="H871" s="25" t="str">
        <f>IF(J871&lt;&gt;1,"",IF(I871="SBJ","CB","?"))</f>
        <v> </v>
      </c>
      <c r="I871" s="26" t="str">
        <f>IF(OR(E871="",E871="!!!",F871="NEW"),"",INDEX(B870:B$2,-1+SUMPRODUCT(MAX(ROW(E870:E$2)*(E871=E870:E$2)))))</f>
        <v> </v>
      </c>
      <c r="J871" s="26" t="str">
        <f>IF(OR(E871="",E871="!!!",F871="NEW"),"",COUNTBLANK(OFFSET(A$1,,,SUMPRODUCT(MAX(ROW(E$2:E871)*(E871=E$2:E871)))))-COUNTBLANK(OFFSET(A$1,,,SUMPRODUCT(MAX(ROW(E$1:E870)*(E2=E$1:E870))))))</f>
        <v> </v>
      </c>
      <c r="K871" s="26" t="str">
        <f>IF(OR(E871="",E871="!!!",F871="NEW"),"",INDEX(J$1:J870,SUMPRODUCT(MAX(ROW(E$1:E870)*(E871=E$1:E870)))))</f>
        <v> </v>
      </c>
      <c r="L871" s="27"/>
    </row>
    <row r="872" spans="1:12">
      <c r="A872" s="20" t="s">
        <v>1019</v>
      </c>
      <c r="E872" s="22">
        <f>IF(D872="?OLD","!!!","")</f>
        <v/>
      </c>
      <c r="F872" s="23" t="str">
        <f>IF(OR(E872="",E872="!!!"),"",IF(NOT(ISNA(VLOOKUP(E872,E$1:E871,1,FALSE()))),"OLD",IF(AND(E872&lt;&gt;"",E872&lt;&gt;"!!!"),"NEW","")))</f>
        <v> </v>
      </c>
      <c r="G872" s="24" t="str">
        <f>IF(OR(E872="",E872="!!!"),"",IF(OR(J872=0,AND(J872=1,K872=1),AND(J872=1,I872="SBJ"),AND(J872=1,I872=0)),"?IN_FOCUS",IF(J872&lt;=2,"?ACTIVATED",IF(J872&lt;&gt;"","?FAMILIAR",IF(F872="NEW",IF(ISNA(VLOOKUP(E872,#REF!,1,FALSE())),"?TYPE_IDENTIFIABLE","?REFERENTIAL"),"_")))))</f>
        <v> </v>
      </c>
      <c r="H872" s="25" t="str">
        <f>IF(J872&lt;&gt;1,"",IF(I872="SBJ","CB","?"))</f>
        <v> </v>
      </c>
      <c r="I872" s="26" t="str">
        <f>IF(OR(E872="",E872="!!!",F872="NEW"),"",INDEX(B871:B$2,-1+SUMPRODUCT(MAX(ROW(E871:E$2)*(E872=E871:E$2)))))</f>
        <v> </v>
      </c>
      <c r="J872" s="26" t="str">
        <f>IF(OR(E872="",E872="!!!",F872="NEW"),"",COUNTBLANK(OFFSET(A$1,,,SUMPRODUCT(MAX(ROW(E$2:E872)*(E872=E$2:E872)))))-COUNTBLANK(OFFSET(A$1,,,SUMPRODUCT(MAX(ROW(E$1:E871)*(E2=E$1:E871))))))</f>
        <v> </v>
      </c>
      <c r="K872" s="26" t="str">
        <f>IF(OR(E872="",E872="!!!",F872="NEW"),"",INDEX(J$1:J871,SUMPRODUCT(MAX(ROW(E$1:E871)*(E872=E$1:E871)))))</f>
        <v> </v>
      </c>
      <c r="L872" s="27"/>
    </row>
    <row r="873" spans="1:12">
      <c r="A873" s="20" t="s">
        <v>1324</v>
      </c>
      <c r="B873" s="21" t="s">
        <v>1356</v>
      </c>
      <c r="C873" s="21" t="s">
        <v>1022</v>
      </c>
      <c r="D873" s="21" t="s">
        <v>992</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1029</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1092</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1149</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1024</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1173</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t="s">
        <v>1357</v>
      </c>
      <c r="E879" s="22">
        <f>IF(D879="?OLD","!!!","")</f>
        <v/>
      </c>
      <c r="F879" s="23" t="str">
        <f>IF(OR(E879="",E879="!!!"),"",IF(NOT(ISNA(VLOOKUP(E879,E$1:E878,1,FALSE()))),"OLD",IF(AND(E879&lt;&gt;"",E879&lt;&gt;"!!!"),"NEW","")))</f>
        <v> </v>
      </c>
      <c r="G879" s="24" t="str">
        <f>IF(OR(E879="",E879="!!!"),"",IF(OR(J879=0,AND(J879=1,K879=1),AND(J879=1,I879="SBJ"),AND(J879=1,I879=0)),"?IN_FOCUS",IF(J879&lt;=2,"?ACTIVATED",IF(J879&lt;&gt;"","?FAMILIAR",IF(F879="NEW",IF(ISNA(VLOOKUP(E879,#REF!,1,FALSE())),"?TYPE_IDENTIFIABLE","?REFERENTIAL"),"_")))))</f>
        <v> </v>
      </c>
      <c r="H879" s="25" t="str">
        <f>IF(J879&lt;&gt;1,"",IF(I879="SBJ","CB","?"))</f>
        <v> </v>
      </c>
      <c r="I879" s="26" t="str">
        <f>IF(OR(E879="",E879="!!!",F879="NEW"),"",INDEX(B878:B$2,-1+SUMPRODUCT(MAX(ROW(E878:E$2)*(E879=E878:E$2)))))</f>
        <v> </v>
      </c>
      <c r="J879" s="26" t="str">
        <f>IF(OR(E879="",E879="!!!",F879="NEW"),"",COUNTBLANK(OFFSET(A$1,,,SUMPRODUCT(MAX(ROW(E$2:E879)*(E879=E$2:E879)))))-COUNTBLANK(OFFSET(A$1,,,SUMPRODUCT(MAX(ROW(E$1:E878)*(E2=E$1:E878))))))</f>
        <v> </v>
      </c>
      <c r="K879" s="26" t="str">
        <f>IF(OR(E879="",E879="!!!",F879="NEW"),"",INDEX(J$1:J878,SUMPRODUCT(MAX(ROW(E$1:E878)*(E879=E$1:E878)))))</f>
        <v> </v>
      </c>
      <c r="L879" s="27"/>
    </row>
    <row r="880" spans="1:12">
      <c r="A880" s="20" t="s">
        <v>1037</v>
      </c>
      <c r="E880" s="22">
        <f>IF(D880="?OLD","!!!","")</f>
        <v/>
      </c>
      <c r="F880" s="23" t="str">
        <f>IF(OR(E880="",E880="!!!"),"",IF(NOT(ISNA(VLOOKUP(E880,E$1:E879,1,FALSE()))),"OLD",IF(AND(E880&lt;&gt;"",E880&lt;&gt;"!!!"),"NEW","")))</f>
        <v> </v>
      </c>
      <c r="G880" s="24" t="str">
        <f>IF(OR(E880="",E880="!!!"),"",IF(OR(J880=0,AND(J880=1,K880=1),AND(J880=1,I880="SBJ"),AND(J880=1,I880=0)),"?IN_FOCUS",IF(J880&lt;=2,"?ACTIVATED",IF(J880&lt;&gt;"","?FAMILIAR",IF(F880="NEW",IF(ISNA(VLOOKUP(E880,#REF!,1,FALSE())),"?TYPE_IDENTIFIABLE","?REFERENTIAL"),"_")))))</f>
        <v> </v>
      </c>
      <c r="H880" s="25" t="str">
        <f>IF(J880&lt;&gt;1,"",IF(I880="SBJ","CB","?"))</f>
        <v> </v>
      </c>
      <c r="I880" s="26" t="str">
        <f>IF(OR(E880="",E880="!!!",F880="NEW"),"",INDEX(B879:B$2,-1+SUMPRODUCT(MAX(ROW(E879:E$2)*(E880=E879:E$2)))))</f>
        <v> </v>
      </c>
      <c r="J880" s="26" t="str">
        <f>IF(OR(E880="",E880="!!!",F880="NEW"),"",COUNTBLANK(OFFSET(A$1,,,SUMPRODUCT(MAX(ROW(E$2:E880)*(E880=E$2:E880)))))-COUNTBLANK(OFFSET(A$1,,,SUMPRODUCT(MAX(ROW(E$1:E879)*(E2=E$1:E879))))))</f>
        <v> </v>
      </c>
      <c r="K880" s="26" t="str">
        <f>IF(OR(E880="",E880="!!!",F880="NEW"),"",INDEX(J$1:J879,SUMPRODUCT(MAX(ROW(E$1:E879)*(E880=E$1:E879)))))</f>
        <v> </v>
      </c>
      <c r="L880" s="27"/>
    </row>
    <row r="881" spans="1:12">
      <c r="A881" s="20" t="s">
        <v>1358</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1024</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1025</v>
      </c>
      <c r="B883" s="21" t="s">
        <v>1026</v>
      </c>
      <c r="C883" s="21" t="s">
        <v>991</v>
      </c>
      <c r="D883" s="21" t="s">
        <v>992</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1229</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1057</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1359</v>
      </c>
      <c r="B886" s="21" t="s">
        <v>1015</v>
      </c>
      <c r="C886" s="21" t="s">
        <v>1022</v>
      </c>
      <c r="D886" s="21" t="s">
        <v>992</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1360</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1361</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998</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row>
    <row r="891" spans="1:12">
      <c r="A891" s="20" t="s">
        <v>1362</v>
      </c>
    </row>
    <row r="892" spans="1:12">
      <c r="A892" s="20" t="s">
        <v>1013</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1034</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t="s">
        <v>576</v>
      </c>
      <c r="E894" s="22">
        <f>IF(D894="?OLD","!!!","")</f>
        <v/>
      </c>
      <c r="F894" s="23" t="str">
        <f>IF(OR(E894="",E894="!!!"),"",IF(NOT(ISNA(VLOOKUP(E894,E$1:E893,1,FALSE()))),"OLD",IF(AND(E894&lt;&gt;"",E894&lt;&gt;"!!!"),"NEW","")))</f>
        <v> </v>
      </c>
      <c r="G894" s="24" t="str">
        <f>IF(OR(E894="",E894="!!!"),"",IF(OR(J894=0,AND(J894=1,K894=1),AND(J894=1,I894="SBJ"),AND(J894=1,I894=0)),"?IN_FOCUS",IF(J894&lt;=2,"?ACTIVATED",IF(J894&lt;&gt;"","?FAMILIAR",IF(F894="NEW",IF(ISNA(VLOOKUP(E894,#REF!,1,FALSE())),"?TYPE_IDENTIFIABLE","?REFERENTIAL"),"_")))))</f>
        <v> </v>
      </c>
      <c r="H894" s="25" t="str">
        <f>IF(J894&lt;&gt;1,"",IF(I894="SBJ","CB","?"))</f>
        <v> </v>
      </c>
      <c r="I894" s="26" t="str">
        <f>IF(OR(E894="",E894="!!!",F894="NEW"),"",INDEX(B893:B$2,-1+SUMPRODUCT(MAX(ROW(E893:E$2)*(E894=E893:E$2)))))</f>
        <v> </v>
      </c>
      <c r="J894" s="26" t="str">
        <f>IF(OR(E894="",E894="!!!",F894="NEW"),"",COUNTBLANK(OFFSET(A$1,,,SUMPRODUCT(MAX(ROW(E$2:E894)*(E894=E$2:E894)))))-COUNTBLANK(OFFSET(A$1,,,SUMPRODUCT(MAX(ROW(E$1:E893)*(E2=E$1:E893))))))</f>
        <v> </v>
      </c>
      <c r="K894" s="26" t="str">
        <f>IF(OR(E894="",E894="!!!",F894="NEW"),"",INDEX(J$1:J893,SUMPRODUCT(MAX(ROW(E$1:E893)*(E894=E$1:E893)))))</f>
        <v> </v>
      </c>
      <c r="L894" s="27"/>
    </row>
    <row r="895" spans="1:12">
      <c r="A895" s="20" t="s">
        <v>1035</v>
      </c>
      <c r="B895" s="21" t="s">
        <v>995</v>
      </c>
      <c r="C895" s="21" t="s">
        <v>1022</v>
      </c>
      <c r="D895" s="21" t="s">
        <v>992</v>
      </c>
      <c r="E895" s="22">
        <f>IF(D895="?OLD","!!!","")</f>
        <v/>
      </c>
      <c r="F895" s="23" t="str">
        <f>IF(OR(E895="",E895="!!!"),"",IF(NOT(ISNA(VLOOKUP(E895,E$1:E894,1,FALSE()))),"OLD",IF(AND(E895&lt;&gt;"",E895&lt;&gt;"!!!"),"NEW","")))</f>
        <v> </v>
      </c>
      <c r="G895" s="24" t="str">
        <f>IF(OR(E895="",E895="!!!"),"",IF(OR(J895=0,AND(J895=1,K895=1),AND(J895=1,I895="SBJ"),AND(J895=1,I895=0)),"?IN_FOCUS",IF(J895&lt;=2,"?ACTIVATED",IF(J895&lt;&gt;"","?FAMILIAR",IF(F895="NEW",IF(ISNA(VLOOKUP(E895,#REF!,1,FALSE())),"?TYPE_IDENTIFIABLE","?REFERENTIAL"),"_")))))</f>
        <v> </v>
      </c>
      <c r="H895" s="25" t="str">
        <f>IF(J895&lt;&gt;1,"",IF(I895="SBJ","CB","?"))</f>
        <v> </v>
      </c>
      <c r="I895" s="26" t="str">
        <f>IF(OR(E895="",E895="!!!",F895="NEW"),"",INDEX(B894:B$2,-1+SUMPRODUCT(MAX(ROW(E894:E$2)*(E895=E894:E$2)))))</f>
        <v> </v>
      </c>
      <c r="J895" s="26" t="str">
        <f>IF(OR(E895="",E895="!!!",F895="NEW"),"",COUNTBLANK(OFFSET(A$1,,,SUMPRODUCT(MAX(ROW(E$2:E895)*(E895=E$2:E895)))))-COUNTBLANK(OFFSET(A$1,,,SUMPRODUCT(MAX(ROW(E$1:E894)*(E2=E$1:E894))))))</f>
        <v> </v>
      </c>
      <c r="K895" s="26" t="str">
        <f>IF(OR(E895="",E895="!!!",F895="NEW"),"",INDEX(J$1:J894,SUMPRODUCT(MAX(ROW(E$1:E894)*(E895=E$1:E894)))))</f>
        <v> </v>
      </c>
      <c r="L895" s="27"/>
    </row>
    <row r="896" spans="1:12">
      <c r="A896" s="20" t="s">
        <v>1024</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1084</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1063</v>
      </c>
      <c r="B898" s="21" t="s">
        <v>1089</v>
      </c>
      <c r="C898" s="21" t="s">
        <v>1039</v>
      </c>
      <c r="D898" s="21" t="s">
        <v>992</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1363</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1024</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1084</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1063</v>
      </c>
      <c r="B902" s="21" t="s">
        <v>1234</v>
      </c>
      <c r="C902" s="21" t="s">
        <v>1039</v>
      </c>
      <c r="D902" s="21" t="s">
        <v>992</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1118</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1364</v>
      </c>
      <c r="B904" s="21" t="s">
        <v>1060</v>
      </c>
      <c r="C904" s="21" t="s">
        <v>1003</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t="s">
        <v>1365</v>
      </c>
      <c r="E905" s="22">
        <f>IF(D905="?OLD","!!!","")</f>
        <v/>
      </c>
      <c r="F905" s="23" t="str">
        <f>IF(OR(E905="",E905="!!!"),"",IF(NOT(ISNA(VLOOKUP(E905,E$1:E904,1,FALSE()))),"OLD",IF(AND(E905&lt;&gt;"",E905&lt;&gt;"!!!"),"NEW","")))</f>
        <v> </v>
      </c>
      <c r="G905" s="24" t="str">
        <f>IF(OR(E905="",E905="!!!"),"",IF(OR(J905=0,AND(J905=1,K905=1),AND(J905=1,I905="SBJ"),AND(J905=1,I905=0)),"?IN_FOCUS",IF(J905&lt;=2,"?ACTIVATED",IF(J905&lt;&gt;"","?FAMILIAR",IF(F905="NEW",IF(ISNA(VLOOKUP(E905,#REF!,1,FALSE())),"?TYPE_IDENTIFIABLE","?REFERENTIAL"),"_")))))</f>
        <v> </v>
      </c>
      <c r="H905" s="25" t="str">
        <f>IF(J905&lt;&gt;1,"",IF(I905="SBJ","CB","?"))</f>
        <v> </v>
      </c>
      <c r="I905" s="26" t="str">
        <f>IF(OR(E905="",E905="!!!",F905="NEW"),"",INDEX(B904:B$2,-1+SUMPRODUCT(MAX(ROW(E904:E$2)*(E905=E904:E$2)))))</f>
        <v> </v>
      </c>
      <c r="J905" s="26" t="str">
        <f>IF(OR(E905="",E905="!!!",F905="NEW"),"",COUNTBLANK(OFFSET(A$1,,,SUMPRODUCT(MAX(ROW(E$2:E905)*(E905=E$2:E905)))))-COUNTBLANK(OFFSET(A$1,,,SUMPRODUCT(MAX(ROW(E$1:E904)*(E2=E$1:E904))))))</f>
        <v> </v>
      </c>
      <c r="K905" s="26" t="str">
        <f>IF(OR(E905="",E905="!!!",F905="NEW"),"",INDEX(J$1:J904,SUMPRODUCT(MAX(ROW(E$1:E904)*(E905=E$1:E904)))))</f>
        <v> </v>
      </c>
      <c r="L905" s="27"/>
    </row>
    <row r="906" spans="1:12">
      <c r="A906" s="20" t="s">
        <v>1024</v>
      </c>
      <c r="E906" s="22">
        <f>IF(D906="?OLD","!!!","")</f>
        <v/>
      </c>
      <c r="F906" s="23" t="str">
        <f>IF(OR(E906="",E906="!!!"),"",IF(NOT(ISNA(VLOOKUP(E906,E$1:E905,1,FALSE()))),"OLD",IF(AND(E906&lt;&gt;"",E906&lt;&gt;"!!!"),"NEW","")))</f>
        <v> </v>
      </c>
      <c r="G906" s="24" t="str">
        <f>IF(OR(E906="",E906="!!!"),"",IF(OR(J906=0,AND(J906=1,K906=1),AND(J906=1,I906="SBJ"),AND(J906=1,I906=0)),"?IN_FOCUS",IF(J906&lt;=2,"?ACTIVATED",IF(J906&lt;&gt;"","?FAMILIAR",IF(F906="NEW",IF(ISNA(VLOOKUP(E906,#REF!,1,FALSE())),"?TYPE_IDENTIFIABLE","?REFERENTIAL"),"_")))))</f>
        <v> </v>
      </c>
      <c r="H906" s="25" t="str">
        <f>IF(J906&lt;&gt;1,"",IF(I906="SBJ","CB","?"))</f>
        <v> </v>
      </c>
      <c r="I906" s="26" t="str">
        <f>IF(OR(E906="",E906="!!!",F906="NEW"),"",INDEX(B905:B$2,-1+SUMPRODUCT(MAX(ROW(E905:E$2)*(E906=E905:E$2)))))</f>
        <v> </v>
      </c>
      <c r="J906" s="26" t="str">
        <f>IF(OR(E906="",E906="!!!",F906="NEW"),"",COUNTBLANK(OFFSET(A$1,,,SUMPRODUCT(MAX(ROW(E$2:E906)*(E906=E$2:E906)))))-COUNTBLANK(OFFSET(A$1,,,SUMPRODUCT(MAX(ROW(E$1:E905)*(E2=E$1:E905))))))</f>
        <v> </v>
      </c>
      <c r="K906" s="26" t="str">
        <f>IF(OR(E906="",E906="!!!",F906="NEW"),"",INDEX(J$1:J905,SUMPRODUCT(MAX(ROW(E$1:E905)*(E906=E$1:E905)))))</f>
        <v> </v>
      </c>
      <c r="L906" s="27"/>
    </row>
    <row r="907" spans="1:12">
      <c r="A907" s="20" t="s">
        <v>215</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1063</v>
      </c>
      <c r="B908" s="21" t="s">
        <v>990</v>
      </c>
      <c r="C908" s="21" t="s">
        <v>1039</v>
      </c>
      <c r="D908" s="21" t="s">
        <v>992</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1346</v>
      </c>
      <c r="B909" s="21" t="s">
        <v>1002</v>
      </c>
      <c r="C909" s="21" t="s">
        <v>1039</v>
      </c>
      <c r="D909" s="21" t="s">
        <v>992</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1366</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1367</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998</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row>
    <row r="914" spans="1:12">
      <c r="A914" s="20" t="s">
        <v>1368</v>
      </c>
    </row>
    <row r="915" spans="1:12">
      <c r="A915" s="20" t="s">
        <v>1326</v>
      </c>
      <c r="B915" s="21" t="s">
        <v>990</v>
      </c>
      <c r="C915" s="21" t="s">
        <v>1039</v>
      </c>
      <c r="D915" s="21" t="s">
        <v>992</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215</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1346</v>
      </c>
      <c r="B917" s="21" t="s">
        <v>1002</v>
      </c>
      <c r="C917" s="21" t="s">
        <v>1039</v>
      </c>
      <c r="D917" s="21" t="s">
        <v>992</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1369</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998</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row>
    <row r="921" spans="1:12">
      <c r="A921" s="20" t="s">
        <v>1370</v>
      </c>
    </row>
    <row r="922" spans="1:12">
      <c r="A922" s="20" t="s">
        <v>1326</v>
      </c>
      <c r="B922" s="21" t="s">
        <v>990</v>
      </c>
      <c r="C922" s="21" t="s">
        <v>1039</v>
      </c>
      <c r="D922" s="21" t="s">
        <v>992</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215</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1346</v>
      </c>
      <c r="B924" s="21" t="s">
        <v>1002</v>
      </c>
      <c r="C924" s="21" t="s">
        <v>1039</v>
      </c>
      <c r="D924" s="21" t="s">
        <v>992</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1371</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998</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row>
    <row r="928" spans="1:12">
      <c r="A928" s="20" t="s">
        <v>1372</v>
      </c>
    </row>
    <row r="929" spans="1:12">
      <c r="A929" s="20" t="s">
        <v>1326</v>
      </c>
      <c r="B929" s="21" t="s">
        <v>990</v>
      </c>
      <c r="C929" s="21" t="s">
        <v>1039</v>
      </c>
      <c r="D929" s="21" t="s">
        <v>992</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215</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1346</v>
      </c>
      <c r="B931" s="21" t="s">
        <v>1002</v>
      </c>
      <c r="C931" s="21" t="s">
        <v>1039</v>
      </c>
      <c r="D931" s="21" t="s">
        <v>992</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1373</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1024</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1072</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1374</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1024</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1375</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1376</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1377</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998</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row>
    <row r="942" spans="1:12">
      <c r="A942" s="20" t="s">
        <v>1378</v>
      </c>
    </row>
    <row r="943" spans="1:12">
      <c r="A943" s="20" t="s">
        <v>1379</v>
      </c>
      <c r="B943" s="21" t="s">
        <v>1015</v>
      </c>
      <c r="C943" s="21" t="s">
        <v>1076</v>
      </c>
      <c r="D943" s="21" t="s">
        <v>992</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1191</v>
      </c>
      <c r="B944" s="21" t="s">
        <v>1002</v>
      </c>
      <c r="C944" s="21" t="s">
        <v>1121</v>
      </c>
      <c r="D944" s="21" t="s">
        <v>992</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29</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1063</v>
      </c>
      <c r="B946" s="21" t="s">
        <v>990</v>
      </c>
      <c r="C946" s="21" t="s">
        <v>1039</v>
      </c>
      <c r="D946" s="21" t="s">
        <v>992</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1380</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1024</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1084</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t="s">
        <v>1063</v>
      </c>
      <c r="B950" s="21" t="s">
        <v>1089</v>
      </c>
      <c r="C950" s="21" t="s">
        <v>1039</v>
      </c>
      <c r="D950" s="21" t="s">
        <v>992</v>
      </c>
      <c r="E950" s="22">
        <f>IF(D950="?OLD","!!!","")</f>
        <v/>
      </c>
      <c r="F950" s="23" t="str">
        <f>IF(OR(E950="",E950="!!!"),"",IF(NOT(ISNA(VLOOKUP(E950,E$1:E949,1,FALSE()))),"OLD",IF(AND(E950&lt;&gt;"",E950&lt;&gt;"!!!"),"NEW","")))</f>
        <v> </v>
      </c>
      <c r="G950" s="24" t="str">
        <f>IF(OR(E950="",E950="!!!"),"",IF(OR(J950=0,AND(J950=1,K950=1),AND(J950=1,I950="SBJ"),AND(J950=1,I950=0)),"?IN_FOCUS",IF(J950&lt;=2,"?ACTIVATED",IF(J950&lt;&gt;"","?FAMILIAR",IF(F950="NEW",IF(ISNA(VLOOKUP(E950,#REF!,1,FALSE())),"?TYPE_IDENTIFIABLE","?REFERENTIAL"),"_")))))</f>
        <v> </v>
      </c>
      <c r="H950" s="25" t="str">
        <f>IF(J950&lt;&gt;1,"",IF(I950="SBJ","CB","?"))</f>
        <v> </v>
      </c>
      <c r="I950" s="26" t="str">
        <f>IF(OR(E950="",E950="!!!",F950="NEW"),"",INDEX(B949:B$2,-1+SUMPRODUCT(MAX(ROW(E949:E$2)*(E950=E949:E$2)))))</f>
        <v> </v>
      </c>
      <c r="J950" s="26" t="str">
        <f>IF(OR(E950="",E950="!!!",F950="NEW"),"",COUNTBLANK(OFFSET(A$1,,,SUMPRODUCT(MAX(ROW(E$2:E950)*(E950=E$2:E950)))))-COUNTBLANK(OFFSET(A$1,,,SUMPRODUCT(MAX(ROW(E$1:E949)*(E2=E$1:E949))))))</f>
        <v> </v>
      </c>
      <c r="K950" s="26" t="str">
        <f>IF(OR(E950="",E950="!!!",F950="NEW"),"",INDEX(J$1:J949,SUMPRODUCT(MAX(ROW(E$1:E949)*(E950=E$1:E949)))))</f>
        <v> </v>
      </c>
      <c r="L950" s="27"/>
    </row>
    <row r="951" spans="1:12">
      <c r="A951" s="20" t="s">
        <v>1011</v>
      </c>
      <c r="B951" s="21" t="s">
        <v>1033</v>
      </c>
      <c r="C951" s="21" t="s">
        <v>1003</v>
      </c>
      <c r="E951" s="22">
        <f>IF(D951="?OLD","!!!","")</f>
        <v/>
      </c>
      <c r="F951" s="23" t="str">
        <f>IF(OR(E951="",E951="!!!"),"",IF(NOT(ISNA(VLOOKUP(E951,E$1:E950,1,FALSE()))),"OLD",IF(AND(E951&lt;&gt;"",E951&lt;&gt;"!!!"),"NEW","")))</f>
        <v> </v>
      </c>
      <c r="G951" s="24" t="str">
        <f>IF(OR(E951="",E951="!!!"),"",IF(OR(J951=0,AND(J951=1,K951=1),AND(J951=1,I951="SBJ"),AND(J951=1,I951=0)),"?IN_FOCUS",IF(J951&lt;=2,"?ACTIVATED",IF(J951&lt;&gt;"","?FAMILIAR",IF(F951="NEW",IF(ISNA(VLOOKUP(E951,#REF!,1,FALSE())),"?TYPE_IDENTIFIABLE","?REFERENTIAL"),"_")))))</f>
        <v> </v>
      </c>
      <c r="H951" s="25" t="str">
        <f>IF(J951&lt;&gt;1,"",IF(I951="SBJ","CB","?"))</f>
        <v> </v>
      </c>
      <c r="I951" s="26" t="str">
        <f>IF(OR(E951="",E951="!!!",F951="NEW"),"",INDEX(B950:B$2,-1+SUMPRODUCT(MAX(ROW(E950:E$2)*(E951=E950:E$2)))))</f>
        <v> </v>
      </c>
      <c r="J951" s="26" t="str">
        <f>IF(OR(E951="",E951="!!!",F951="NEW"),"",COUNTBLANK(OFFSET(A$1,,,SUMPRODUCT(MAX(ROW(E$2:E951)*(E951=E$2:E951)))))-COUNTBLANK(OFFSET(A$1,,,SUMPRODUCT(MAX(ROW(E$1:E950)*(E2=E$1:E950))))))</f>
        <v> </v>
      </c>
      <c r="K951" s="26" t="str">
        <f>IF(OR(E951="",E951="!!!",F951="NEW"),"",INDEX(J$1:J950,SUMPRODUCT(MAX(ROW(E$1:E950)*(E951=E$1:E950)))))</f>
        <v> </v>
      </c>
      <c r="L951" s="27"/>
    </row>
    <row r="952" spans="1:12">
      <c r="A952" s="20" t="s">
        <v>675</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1024</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1034</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1040</v>
      </c>
      <c r="B955" s="21" t="s">
        <v>1015</v>
      </c>
      <c r="C955" s="21" t="s">
        <v>1003</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1381</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1025</v>
      </c>
      <c r="B957" s="21" t="s">
        <v>1026</v>
      </c>
      <c r="C957" s="21" t="s">
        <v>991</v>
      </c>
      <c r="D957" s="21" t="s">
        <v>992</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1038</v>
      </c>
      <c r="B958" s="21" t="s">
        <v>1026</v>
      </c>
      <c r="C958" s="21" t="s">
        <v>1039</v>
      </c>
      <c r="D958" s="21" t="s">
        <v>992</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289</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1108</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998</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row>
    <row r="963" spans="1:12">
      <c r="A963" s="20" t="s">
        <v>1382</v>
      </c>
    </row>
    <row r="964" spans="1:12">
      <c r="A964" s="20" t="s">
        <v>1013</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1019</v>
      </c>
      <c r="B965" s="21" t="s">
        <v>1026</v>
      </c>
      <c r="C965" s="21" t="s">
        <v>1076</v>
      </c>
      <c r="D965" s="21" t="s">
        <v>992</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t="s">
        <v>1023</v>
      </c>
      <c r="E966" s="22">
        <f>IF(D966="?OLD","!!!","")</f>
        <v/>
      </c>
      <c r="F966" s="23" t="str">
        <f>IF(OR(E966="",E966="!!!"),"",IF(NOT(ISNA(VLOOKUP(E966,E$1:E965,1,FALSE()))),"OLD",IF(AND(E966&lt;&gt;"",E966&lt;&gt;"!!!"),"NEW","")))</f>
        <v> </v>
      </c>
      <c r="G966" s="24" t="str">
        <f>IF(OR(E966="",E966="!!!"),"",IF(OR(J966=0,AND(J966=1,K966=1),AND(J966=1,I966="SBJ"),AND(J966=1,I966=0)),"?IN_FOCUS",IF(J966&lt;=2,"?ACTIVATED",IF(J966&lt;&gt;"","?FAMILIAR",IF(F966="NEW",IF(ISNA(VLOOKUP(E966,#REF!,1,FALSE())),"?TYPE_IDENTIFIABLE","?REFERENTIAL"),"_")))))</f>
        <v> </v>
      </c>
      <c r="H966" s="25" t="str">
        <f>IF(J966&lt;&gt;1,"",IF(I966="SBJ","CB","?"))</f>
        <v> </v>
      </c>
      <c r="I966" s="26" t="str">
        <f>IF(OR(E966="",E966="!!!",F966="NEW"),"",INDEX(B965:B$2,-1+SUMPRODUCT(MAX(ROW(E965:E$2)*(E966=E965:E$2)))))</f>
        <v> </v>
      </c>
      <c r="J966" s="26" t="str">
        <f>IF(OR(E966="",E966="!!!",F966="NEW"),"",COUNTBLANK(OFFSET(A$1,,,SUMPRODUCT(MAX(ROW(E$2:E966)*(E966=E$2:E966)))))-COUNTBLANK(OFFSET(A$1,,,SUMPRODUCT(MAX(ROW(E$1:E965)*(E2=E$1:E965))))))</f>
        <v> </v>
      </c>
      <c r="K966" s="26" t="str">
        <f>IF(OR(E966="",E966="!!!",F966="NEW"),"",INDEX(J$1:J965,SUMPRODUCT(MAX(ROW(E$1:E965)*(E966=E$1:E965)))))</f>
        <v> </v>
      </c>
      <c r="L966" s="27"/>
    </row>
    <row r="967" spans="1:12">
      <c r="A967" s="20" t="s">
        <v>1025</v>
      </c>
      <c r="E967" s="22">
        <f>IF(D967="?OLD","!!!","")</f>
        <v/>
      </c>
      <c r="F967" s="23" t="str">
        <f>IF(OR(E967="",E967="!!!"),"",IF(NOT(ISNA(VLOOKUP(E967,E$1:E966,1,FALSE()))),"OLD",IF(AND(E967&lt;&gt;"",E967&lt;&gt;"!!!"),"NEW","")))</f>
        <v> </v>
      </c>
      <c r="G967" s="24" t="str">
        <f>IF(OR(E967="",E967="!!!"),"",IF(OR(J967=0,AND(J967=1,K967=1),AND(J967=1,I967="SBJ"),AND(J967=1,I967=0)),"?IN_FOCUS",IF(J967&lt;=2,"?ACTIVATED",IF(J967&lt;&gt;"","?FAMILIAR",IF(F967="NEW",IF(ISNA(VLOOKUP(E967,#REF!,1,FALSE())),"?TYPE_IDENTIFIABLE","?REFERENTIAL"),"_")))))</f>
        <v> </v>
      </c>
      <c r="H967" s="25" t="str">
        <f>IF(J967&lt;&gt;1,"",IF(I967="SBJ","CB","?"))</f>
        <v> </v>
      </c>
      <c r="I967" s="26" t="str">
        <f>IF(OR(E967="",E967="!!!",F967="NEW"),"",INDEX(B966:B$2,-1+SUMPRODUCT(MAX(ROW(E966:E$2)*(E967=E966:E$2)))))</f>
        <v> </v>
      </c>
      <c r="J967" s="26" t="str">
        <f>IF(OR(E967="",E967="!!!",F967="NEW"),"",COUNTBLANK(OFFSET(A$1,,,SUMPRODUCT(MAX(ROW(E$2:E967)*(E967=E$2:E967)))))-COUNTBLANK(OFFSET(A$1,,,SUMPRODUCT(MAX(ROW(E$1:E966)*(E2=E$1:E966))))))</f>
        <v> </v>
      </c>
      <c r="K967" s="26" t="str">
        <f>IF(OR(E967="",E967="!!!",F967="NEW"),"",INDEX(J$1:J966,SUMPRODUCT(MAX(ROW(E$1:E966)*(E967=E$1:E966)))))</f>
        <v> </v>
      </c>
      <c r="L967" s="27"/>
    </row>
    <row r="968" spans="1:12">
      <c r="A968" s="20" t="s">
        <v>1024</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1282</v>
      </c>
      <c r="B969" s="21" t="s">
        <v>1055</v>
      </c>
      <c r="C969" s="21" t="s">
        <v>1039</v>
      </c>
      <c r="D969" s="21" t="s">
        <v>992</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1114</v>
      </c>
      <c r="B970" s="21" t="s">
        <v>1026</v>
      </c>
      <c r="C970" s="21" t="s">
        <v>991</v>
      </c>
      <c r="D970" s="21" t="s">
        <v>992</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1305</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1383</v>
      </c>
      <c r="B972" s="21" t="s">
        <v>1015</v>
      </c>
      <c r="C972" s="21" t="s">
        <v>1003</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568</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1190</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998</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row>
    <row r="977" spans="1:12">
      <c r="A977" s="20" t="s">
        <v>1384</v>
      </c>
    </row>
    <row r="978" spans="1:12">
      <c r="A978" s="20" t="s">
        <v>1385</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1023</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1025</v>
      </c>
      <c r="B980" s="21" t="s">
        <v>990</v>
      </c>
      <c r="C980" s="21" t="s">
        <v>991</v>
      </c>
      <c r="D980" s="21" t="s">
        <v>992</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1034</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1040</v>
      </c>
      <c r="B982" s="21" t="s">
        <v>995</v>
      </c>
      <c r="C982" s="21" t="s">
        <v>1003</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1386</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1024</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1029</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40</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1024</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1085</v>
      </c>
      <c r="B988" s="21" t="s">
        <v>1026</v>
      </c>
      <c r="C988" s="21" t="s">
        <v>1054</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1387</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1108</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289</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1388</v>
      </c>
      <c r="B992" s="21" t="s">
        <v>1055</v>
      </c>
      <c r="C992" s="21" t="s">
        <v>1054</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203</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1167</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row>
    <row r="996" spans="1:12">
      <c r="A996" s="20" t="s">
        <v>1389</v>
      </c>
    </row>
    <row r="997" spans="1:12">
      <c r="A997" s="20" t="s">
        <v>1390</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1391</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1063</v>
      </c>
      <c r="B999" s="21" t="s">
        <v>990</v>
      </c>
      <c r="C999" s="21" t="s">
        <v>1039</v>
      </c>
      <c r="D999" s="21" t="s">
        <v>992</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1123</v>
      </c>
      <c r="B1000" s="21" t="s">
        <v>1015</v>
      </c>
      <c r="C1000" s="21" t="s">
        <v>1076</v>
      </c>
      <c r="D1000" s="21" t="s">
        <v>992</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1191</v>
      </c>
      <c r="B1001" s="21" t="s">
        <v>1002</v>
      </c>
      <c r="C1001" s="21" t="s">
        <v>1121</v>
      </c>
      <c r="D1001" s="21" t="s">
        <v>992</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1392</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1197</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1040</v>
      </c>
      <c r="B1004" s="21" t="s">
        <v>995</v>
      </c>
      <c r="C1004" s="21" t="s">
        <v>1022</v>
      </c>
      <c r="D1004" s="21" t="s">
        <v>992</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1034</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1031</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1035</v>
      </c>
      <c r="B1007" s="21" t="s">
        <v>1015</v>
      </c>
      <c r="C1007" s="21" t="s">
        <v>1022</v>
      </c>
      <c r="D1007" s="21" t="s">
        <v>992</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239</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1167</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row>
    <row r="1011" spans="1:12">
      <c r="A1011" s="20" t="s">
        <v>1393</v>
      </c>
    </row>
    <row r="1012" spans="1:12">
      <c r="A1012" s="20" t="s">
        <v>1193</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1394</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1114</v>
      </c>
      <c r="B1014" s="21" t="s">
        <v>990</v>
      </c>
      <c r="C1014" s="21" t="s">
        <v>991</v>
      </c>
      <c r="D1014" s="21" t="s">
        <v>992</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1395</v>
      </c>
      <c r="B1015" s="21" t="s">
        <v>1002</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1011</v>
      </c>
      <c r="B1016" s="21" t="s">
        <v>1002</v>
      </c>
      <c r="C1016" s="21" t="s">
        <v>1003</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1037</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1396</v>
      </c>
      <c r="B1018" s="21" t="s">
        <v>1015</v>
      </c>
      <c r="C1018" s="21" t="s">
        <v>996</v>
      </c>
      <c r="D1018" s="21" t="s">
        <v>992</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1397</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1398</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1098</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1024</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1019</v>
      </c>
      <c r="B1023" s="21" t="s">
        <v>1026</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1031</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1399</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1400</v>
      </c>
      <c r="B1026" s="21" t="s">
        <v>1055</v>
      </c>
      <c r="C1026" s="21" t="s">
        <v>1022</v>
      </c>
      <c r="D1026" s="21" t="s">
        <v>992</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1029</v>
      </c>
      <c r="B1027" s="21" t="s">
        <v>1036</v>
      </c>
      <c r="C1027" s="21" t="s">
        <v>1054</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1057</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1401</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1402</v>
      </c>
      <c r="B1030" s="21" t="s">
        <v>1015</v>
      </c>
      <c r="C1030" s="21" t="s">
        <v>1022</v>
      </c>
      <c r="D1030" s="21" t="s">
        <v>992</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1403</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998</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row>
    <row r="1034" spans="1:12">
      <c r="A1034" s="20" t="s">
        <v>1404</v>
      </c>
    </row>
    <row r="1035" spans="1:12">
      <c r="A1035" s="20" t="s">
        <v>1013</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1114</v>
      </c>
      <c r="B1036" s="21" t="s">
        <v>990</v>
      </c>
      <c r="C1036" s="21" t="s">
        <v>991</v>
      </c>
      <c r="D1036" s="21" t="s">
        <v>992</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1042</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1209</v>
      </c>
      <c r="B1038" s="21" t="s">
        <v>1015</v>
      </c>
      <c r="C1038" s="21" t="s">
        <v>1054</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t="s">
        <v>1405</v>
      </c>
      <c r="B1039" s="21" t="s">
        <v>1002</v>
      </c>
      <c r="C1039" s="21" t="s">
        <v>1009</v>
      </c>
      <c r="E1039" s="22">
        <f>IF(D1039="?OLD","!!!","")</f>
        <v/>
      </c>
      <c r="F1039" s="23" t="str">
        <f>IF(OR(E1039="",E1039="!!!"),"",IF(NOT(ISNA(VLOOKUP(E1039,E$1:E1038,1,FALSE()))),"OLD",IF(AND(E1039&lt;&gt;"",E1039&lt;&gt;"!!!"),"NEW","")))</f>
        <v> </v>
      </c>
      <c r="G1039" s="24" t="str">
        <f>IF(OR(E1039="",E1039="!!!"),"",IF(OR(J1039=0,AND(J1039=1,K1039=1),AND(J1039=1,I1039="SBJ"),AND(J1039=1,I1039=0)),"?IN_FOCUS",IF(J1039&lt;=2,"?ACTIVATED",IF(J1039&lt;&gt;"","?FAMILIAR",IF(F1039="NEW",IF(ISNA(VLOOKUP(E1039,#REF!,1,FALSE())),"?TYPE_IDENTIFIABLE","?REFERENTIAL"),"_")))))</f>
        <v> </v>
      </c>
      <c r="H1039" s="25" t="str">
        <f>IF(J1039&lt;&gt;1,"",IF(I1039="SBJ","CB","?"))</f>
        <v> </v>
      </c>
      <c r="I1039" s="26" t="str">
        <f>IF(OR(E1039="",E1039="!!!",F1039="NEW"),"",INDEX(B1038:B$2,-1+SUMPRODUCT(MAX(ROW(E1038:E$2)*(E1039=E1038:E$2)))))</f>
        <v> </v>
      </c>
      <c r="J1039" s="26" t="str">
        <f>IF(OR(E1039="",E1039="!!!",F1039="NEW"),"",COUNTBLANK(OFFSET(A$1,,,SUMPRODUCT(MAX(ROW(E$2:E1039)*(E1039=E$2:E1039)))))-COUNTBLANK(OFFSET(A$1,,,SUMPRODUCT(MAX(ROW(E$1:E1038)*(E2=E$1:E1038))))))</f>
        <v> </v>
      </c>
      <c r="K1039" s="26" t="str">
        <f>IF(OR(E1039="",E1039="!!!",F1039="NEW"),"",INDEX(J$1:J1038,SUMPRODUCT(MAX(ROW(E$1:E1038)*(E1039=E$1:E1038)))))</f>
        <v> </v>
      </c>
      <c r="L1039" s="27"/>
    </row>
    <row r="1040" spans="1:12">
      <c r="A1040" s="20" t="s">
        <v>1406</v>
      </c>
      <c r="E1040" s="22">
        <f>IF(D1040="?OLD","!!!","")</f>
        <v/>
      </c>
      <c r="F1040" s="23" t="str">
        <f>IF(OR(E1040="",E1040="!!!"),"",IF(NOT(ISNA(VLOOKUP(E1040,E$1:E1039,1,FALSE()))),"OLD",IF(AND(E1040&lt;&gt;"",E1040&lt;&gt;"!!!"),"NEW","")))</f>
        <v> </v>
      </c>
      <c r="G1040" s="24" t="str">
        <f>IF(OR(E1040="",E1040="!!!"),"",IF(OR(J1040=0,AND(J1040=1,K1040=1),AND(J1040=1,I1040="SBJ"),AND(J1040=1,I1040=0)),"?IN_FOCUS",IF(J1040&lt;=2,"?ACTIVATED",IF(J1040&lt;&gt;"","?FAMILIAR",IF(F1040="NEW",IF(ISNA(VLOOKUP(E1040,#REF!,1,FALSE())),"?TYPE_IDENTIFIABLE","?REFERENTIAL"),"_")))))</f>
        <v> </v>
      </c>
      <c r="H1040" s="25" t="str">
        <f>IF(J1040&lt;&gt;1,"",IF(I1040="SBJ","CB","?"))</f>
        <v> </v>
      </c>
      <c r="I1040" s="26" t="str">
        <f>IF(OR(E1040="",E1040="!!!",F1040="NEW"),"",INDEX(B1039:B$2,-1+SUMPRODUCT(MAX(ROW(E1039:E$2)*(E1040=E1039:E$2)))))</f>
        <v> </v>
      </c>
      <c r="J1040" s="26" t="str">
        <f>IF(OR(E1040="",E1040="!!!",F1040="NEW"),"",COUNTBLANK(OFFSET(A$1,,,SUMPRODUCT(MAX(ROW(E$2:E1040)*(E1040=E$2:E1040)))))-COUNTBLANK(OFFSET(A$1,,,SUMPRODUCT(MAX(ROW(E$1:E1039)*(E2=E$1:E1039))))))</f>
        <v> </v>
      </c>
      <c r="K1040" s="26" t="str">
        <f>IF(OR(E1040="",E1040="!!!",F1040="NEW"),"",INDEX(J$1:J1039,SUMPRODUCT(MAX(ROW(E$1:E1039)*(E1040=E$1:E1039)))))</f>
        <v> </v>
      </c>
      <c r="L1040" s="27"/>
    </row>
    <row r="1041" spans="1:12">
      <c r="A1041" s="20" t="s">
        <v>1024</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1031</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1407</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1408</v>
      </c>
      <c r="B1044" s="21" t="s">
        <v>1026</v>
      </c>
      <c r="C1044" s="21" t="s">
        <v>1022</v>
      </c>
      <c r="D1044" s="21" t="s">
        <v>992</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t="s">
        <v>1034</v>
      </c>
      <c r="E1045" s="22">
        <f>IF(D1045="?OLD","!!!","")</f>
        <v/>
      </c>
      <c r="F1045" s="23" t="str">
        <f>IF(OR(E1045="",E1045="!!!"),"",IF(NOT(ISNA(VLOOKUP(E1045,E$1:E1044,1,FALSE()))),"OLD",IF(AND(E1045&lt;&gt;"",E1045&lt;&gt;"!!!"),"NEW","")))</f>
        <v> </v>
      </c>
      <c r="G1045" s="24" t="str">
        <f>IF(OR(E1045="",E1045="!!!"),"",IF(OR(J1045=0,AND(J1045=1,K1045=1),AND(J1045=1,I1045="SBJ"),AND(J1045=1,I1045=0)),"?IN_FOCUS",IF(J1045&lt;=2,"?ACTIVATED",IF(J1045&lt;&gt;"","?FAMILIAR",IF(F1045="NEW",IF(ISNA(VLOOKUP(E1045,#REF!,1,FALSE())),"?TYPE_IDENTIFIABLE","?REFERENTIAL"),"_")))))</f>
        <v> </v>
      </c>
      <c r="H1045" s="25" t="str">
        <f>IF(J1045&lt;&gt;1,"",IF(I1045="SBJ","CB","?"))</f>
        <v> </v>
      </c>
      <c r="I1045" s="26" t="str">
        <f>IF(OR(E1045="",E1045="!!!",F1045="NEW"),"",INDEX(B1044:B$2,-1+SUMPRODUCT(MAX(ROW(E1044:E$2)*(E1045=E1044:E$2)))))</f>
        <v> </v>
      </c>
      <c r="J1045" s="26" t="str">
        <f>IF(OR(E1045="",E1045="!!!",F1045="NEW"),"",COUNTBLANK(OFFSET(A$1,,,SUMPRODUCT(MAX(ROW(E$2:E1045)*(E1045=E$2:E1045)))))-COUNTBLANK(OFFSET(A$1,,,SUMPRODUCT(MAX(ROW(E$1:E1044)*(E2=E$1:E1044))))))</f>
        <v> </v>
      </c>
      <c r="K1045" s="26" t="str">
        <f>IF(OR(E1045="",E1045="!!!",F1045="NEW"),"",INDEX(J$1:J1044,SUMPRODUCT(MAX(ROW(E$1:E1044)*(E1045=E$1:E1044)))))</f>
        <v> </v>
      </c>
      <c r="L1045" s="27"/>
    </row>
    <row r="1046" spans="1:12">
      <c r="A1046" s="20" t="s">
        <v>1010</v>
      </c>
      <c r="E1046" s="22">
        <f>IF(D1046="?OLD","!!!","")</f>
        <v/>
      </c>
      <c r="F1046" s="23" t="str">
        <f>IF(OR(E1046="",E1046="!!!"),"",IF(NOT(ISNA(VLOOKUP(E1046,E$1:E1045,1,FALSE()))),"OLD",IF(AND(E1046&lt;&gt;"",E1046&lt;&gt;"!!!"),"NEW","")))</f>
        <v> </v>
      </c>
      <c r="G1046" s="24" t="str">
        <f>IF(OR(E1046="",E1046="!!!"),"",IF(OR(J1046=0,AND(J1046=1,K1046=1),AND(J1046=1,I1046="SBJ"),AND(J1046=1,I1046=0)),"?IN_FOCUS",IF(J1046&lt;=2,"?ACTIVATED",IF(J1046&lt;&gt;"","?FAMILIAR",IF(F1046="NEW",IF(ISNA(VLOOKUP(E1046,#REF!,1,FALSE())),"?TYPE_IDENTIFIABLE","?REFERENTIAL"),"_")))))</f>
        <v> </v>
      </c>
      <c r="H1046" s="25" t="str">
        <f>IF(J1046&lt;&gt;1,"",IF(I1046="SBJ","CB","?"))</f>
        <v> </v>
      </c>
      <c r="I1046" s="26" t="str">
        <f>IF(OR(E1046="",E1046="!!!",F1046="NEW"),"",INDEX(B1045:B$2,-1+SUMPRODUCT(MAX(ROW(E1045:E$2)*(E1046=E1045:E$2)))))</f>
        <v> </v>
      </c>
      <c r="J1046" s="26" t="str">
        <f>IF(OR(E1046="",E1046="!!!",F1046="NEW"),"",COUNTBLANK(OFFSET(A$1,,,SUMPRODUCT(MAX(ROW(E$2:E1046)*(E1046=E$2:E1046)))))-COUNTBLANK(OFFSET(A$1,,,SUMPRODUCT(MAX(ROW(E$1:E1045)*(E2=E$1:E1045))))))</f>
        <v> </v>
      </c>
      <c r="K1046" s="26" t="str">
        <f>IF(OR(E1046="",E1046="!!!",F1046="NEW"),"",INDEX(J$1:J1045,SUMPRODUCT(MAX(ROW(E$1:E1045)*(E1046=E$1:E1045)))))</f>
        <v> </v>
      </c>
      <c r="L1046" s="27"/>
    </row>
    <row r="1047" spans="1:12">
      <c r="A1047" s="20" t="s">
        <v>12</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1409</v>
      </c>
      <c r="B1048" s="21" t="s">
        <v>1015</v>
      </c>
      <c r="C1048" s="21" t="s">
        <v>1003</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1173</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1264</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1030</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t="s">
        <v>998</v>
      </c>
      <c r="E1052" s="22">
        <f>IF(D1052="?OLD","!!!","")</f>
        <v/>
      </c>
      <c r="F1052" s="23" t="str">
        <f>IF(OR(E1052="",E1052="!!!"),"",IF(NOT(ISNA(VLOOKUP(E1052,E$1:E1051,1,FALSE()))),"OLD",IF(AND(E1052&lt;&gt;"",E1052&lt;&gt;"!!!"),"NEW","")))</f>
        <v> </v>
      </c>
      <c r="G1052" s="24" t="str">
        <f>IF(OR(E1052="",E1052="!!!"),"",IF(OR(J1052=0,AND(J1052=1,K1052=1),AND(J1052=1,I1052="SBJ"),AND(J1052=1,I1052=0)),"?IN_FOCUS",IF(J1052&lt;=2,"?ACTIVATED",IF(J1052&lt;&gt;"","?FAMILIAR",IF(F1052="NEW",IF(ISNA(VLOOKUP(E1052,#REF!,1,FALSE())),"?TYPE_IDENTIFIABLE","?REFERENTIAL"),"_")))))</f>
        <v> </v>
      </c>
      <c r="H1052" s="25" t="str">
        <f>IF(J1052&lt;&gt;1,"",IF(I1052="SBJ","CB","?"))</f>
        <v> </v>
      </c>
      <c r="I1052" s="26" t="str">
        <f>IF(OR(E1052="",E1052="!!!",F1052="NEW"),"",INDEX(B1051:B$2,-1+SUMPRODUCT(MAX(ROW(E1051:E$2)*(E1052=E1051:E$2)))))</f>
        <v> </v>
      </c>
      <c r="J1052" s="26" t="str">
        <f>IF(OR(E1052="",E1052="!!!",F1052="NEW"),"",COUNTBLANK(OFFSET(A$1,,,SUMPRODUCT(MAX(ROW(E$2:E1052)*(E1052=E$2:E1052)))))-COUNTBLANK(OFFSET(A$1,,,SUMPRODUCT(MAX(ROW(E$1:E1051)*(E2=E$1:E1051))))))</f>
        <v> </v>
      </c>
      <c r="K1052" s="26" t="str">
        <f>IF(OR(E1052="",E1052="!!!",F1052="NEW"),"",INDEX(J$1:J1051,SUMPRODUCT(MAX(ROW(E$1:E1051)*(E1052=E$1:E1051)))))</f>
        <v> </v>
      </c>
      <c r="L1052" s="27"/>
    </row>
    <row r="1053" spans="1:12">
      <c r="A1053" s="20"/>
    </row>
    <row r="1054" spans="1:12">
      <c r="A1054" s="20" t="s">
        <v>1410</v>
      </c>
    </row>
    <row r="1055" spans="1:12">
      <c r="A1055" s="20" t="s">
        <v>1193</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1024</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251</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1024</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1084</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1206</v>
      </c>
      <c r="B1060" s="21" t="s">
        <v>1026</v>
      </c>
      <c r="C1060" s="21" t="s">
        <v>991</v>
      </c>
      <c r="D1060" s="21" t="s">
        <v>992</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t="s">
        <v>1034</v>
      </c>
      <c r="E1061" s="22">
        <f>IF(D1061="?OLD","!!!","")</f>
        <v/>
      </c>
      <c r="F1061" s="23" t="str">
        <f>IF(OR(E1061="",E1061="!!!"),"",IF(NOT(ISNA(VLOOKUP(E1061,E$1:E1060,1,FALSE()))),"OLD",IF(AND(E1061&lt;&gt;"",E1061&lt;&gt;"!!!"),"NEW","")))</f>
        <v> </v>
      </c>
      <c r="G1061" s="24" t="str">
        <f>IF(OR(E1061="",E1061="!!!"),"",IF(OR(J1061=0,AND(J1061=1,K1061=1),AND(J1061=1,I1061="SBJ"),AND(J1061=1,I1061=0)),"?IN_FOCUS",IF(J1061&lt;=2,"?ACTIVATED",IF(J1061&lt;&gt;"","?FAMILIAR",IF(F1061="NEW",IF(ISNA(VLOOKUP(E1061,#REF!,1,FALSE())),"?TYPE_IDENTIFIABLE","?REFERENTIAL"),"_")))))</f>
        <v> </v>
      </c>
      <c r="H1061" s="25" t="str">
        <f>IF(J1061&lt;&gt;1,"",IF(I1061="SBJ","CB","?"))</f>
        <v> </v>
      </c>
      <c r="I1061" s="26" t="str">
        <f>IF(OR(E1061="",E1061="!!!",F1061="NEW"),"",INDEX(B1060:B$2,-1+SUMPRODUCT(MAX(ROW(E1060:E$2)*(E1061=E1060:E$2)))))</f>
        <v> </v>
      </c>
      <c r="J1061" s="26" t="str">
        <f>IF(OR(E1061="",E1061="!!!",F1061="NEW"),"",COUNTBLANK(OFFSET(A$1,,,SUMPRODUCT(MAX(ROW(E$2:E1061)*(E1061=E$2:E1061)))))-COUNTBLANK(OFFSET(A$1,,,SUMPRODUCT(MAX(ROW(E$1:E1060)*(E2=E$1:E1060))))))</f>
        <v> </v>
      </c>
      <c r="K1061" s="26" t="str">
        <f>IF(OR(E1061="",E1061="!!!",F1061="NEW"),"",INDEX(J$1:J1060,SUMPRODUCT(MAX(ROW(E$1:E1060)*(E1061=E$1:E1060)))))</f>
        <v> </v>
      </c>
      <c r="L1061" s="27"/>
    </row>
    <row r="1062" spans="1:12">
      <c r="A1062" s="20" t="s">
        <v>1223</v>
      </c>
      <c r="E1062" s="22">
        <f>IF(D1062="?OLD","!!!","")</f>
        <v/>
      </c>
      <c r="F1062" s="23" t="str">
        <f>IF(OR(E1062="",E1062="!!!"),"",IF(NOT(ISNA(VLOOKUP(E1062,E$1:E1061,1,FALSE()))),"OLD",IF(AND(E1062&lt;&gt;"",E1062&lt;&gt;"!!!"),"NEW","")))</f>
        <v> </v>
      </c>
      <c r="G1062" s="24" t="str">
        <f>IF(OR(E1062="",E1062="!!!"),"",IF(OR(J1062=0,AND(J1062=1,K1062=1),AND(J1062=1,I1062="SBJ"),AND(J1062=1,I1062=0)),"?IN_FOCUS",IF(J1062&lt;=2,"?ACTIVATED",IF(J1062&lt;&gt;"","?FAMILIAR",IF(F1062="NEW",IF(ISNA(VLOOKUP(E1062,#REF!,1,FALSE())),"?TYPE_IDENTIFIABLE","?REFERENTIAL"),"_")))))</f>
        <v> </v>
      </c>
      <c r="H1062" s="25" t="str">
        <f>IF(J1062&lt;&gt;1,"",IF(I1062="SBJ","CB","?"))</f>
        <v> </v>
      </c>
      <c r="I1062" s="26" t="str">
        <f>IF(OR(E1062="",E1062="!!!",F1062="NEW"),"",INDEX(B1061:B$2,-1+SUMPRODUCT(MAX(ROW(E1061:E$2)*(E1062=E1061:E$2)))))</f>
        <v> </v>
      </c>
      <c r="J1062" s="26" t="str">
        <f>IF(OR(E1062="",E1062="!!!",F1062="NEW"),"",COUNTBLANK(OFFSET(A$1,,,SUMPRODUCT(MAX(ROW(E$2:E1062)*(E1062=E$2:E1062)))))-COUNTBLANK(OFFSET(A$1,,,SUMPRODUCT(MAX(ROW(E$1:E1061)*(E2=E$1:E1061))))))</f>
        <v> </v>
      </c>
      <c r="K1062" s="26" t="str">
        <f>IF(OR(E1062="",E1062="!!!",F1062="NEW"),"",INDEX(J$1:J1061,SUMPRODUCT(MAX(ROW(E$1:E1061)*(E1062=E$1:E1061)))))</f>
        <v> </v>
      </c>
      <c r="L1062" s="27"/>
    </row>
    <row r="1063" spans="1:12">
      <c r="A1063" s="20" t="s">
        <v>1411</v>
      </c>
      <c r="B1063" s="21" t="s">
        <v>1036</v>
      </c>
      <c r="C1063" s="21" t="s">
        <v>1076</v>
      </c>
      <c r="D1063" s="21" t="s">
        <v>992</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1010</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12</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1011</v>
      </c>
      <c r="B1066" s="21" t="s">
        <v>1015</v>
      </c>
      <c r="C1066" s="21" t="s">
        <v>1121</v>
      </c>
      <c r="D1066" s="21" t="s">
        <v>992</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1412</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1024</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1196</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1413</v>
      </c>
      <c r="B1070" s="21" t="s">
        <v>1015</v>
      </c>
      <c r="C1070" s="21" t="s">
        <v>1054</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1130</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1396</v>
      </c>
      <c r="B1072" s="21" t="s">
        <v>1015</v>
      </c>
      <c r="C1072" s="21" t="s">
        <v>996</v>
      </c>
      <c r="D1072" s="21" t="s">
        <v>992</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1397</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1398</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1024</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1381</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1025</v>
      </c>
      <c r="B1077" s="21" t="s">
        <v>1026</v>
      </c>
      <c r="C1077" s="21" t="s">
        <v>991</v>
      </c>
      <c r="D1077" s="21" t="s">
        <v>992</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1077</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1079</v>
      </c>
      <c r="B1079" s="21" t="s">
        <v>1055</v>
      </c>
      <c r="C1079" s="21" t="s">
        <v>1045</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1414</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1415</v>
      </c>
      <c r="B1081" s="21" t="s">
        <v>1036</v>
      </c>
      <c r="C1081" s="21" t="s">
        <v>1003</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1024</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1031</v>
      </c>
      <c r="B1083" s="21" t="s">
        <v>1234</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1416</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1107</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1024</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1052</v>
      </c>
      <c r="B1087" s="21" t="s">
        <v>1417</v>
      </c>
      <c r="C1087" s="21" t="s">
        <v>991</v>
      </c>
      <c r="D1087" s="21" t="s">
        <v>992</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1077</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1418</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1419</v>
      </c>
      <c r="B1090" s="21" t="s">
        <v>1417</v>
      </c>
      <c r="C1090" s="21" t="s">
        <v>1045</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1420</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1024</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231</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t="s">
        <v>1421</v>
      </c>
      <c r="E1094" s="22">
        <f>IF(D1094="?OLD","!!!","")</f>
        <v/>
      </c>
      <c r="F1094" s="23" t="str">
        <f>IF(OR(E1094="",E1094="!!!"),"",IF(NOT(ISNA(VLOOKUP(E1094,E$1:E1093,1,FALSE()))),"OLD",IF(AND(E1094&lt;&gt;"",E1094&lt;&gt;"!!!"),"NEW","")))</f>
        <v> </v>
      </c>
      <c r="G1094" s="24" t="str">
        <f>IF(OR(E1094="",E1094="!!!"),"",IF(OR(J1094=0,AND(J1094=1,K1094=1),AND(J1094=1,I1094="SBJ"),AND(J1094=1,I1094=0)),"?IN_FOCUS",IF(J1094&lt;=2,"?ACTIVATED",IF(J1094&lt;&gt;"","?FAMILIAR",IF(F1094="NEW",IF(ISNA(VLOOKUP(E1094,#REF!,1,FALSE())),"?TYPE_IDENTIFIABLE","?REFERENTIAL"),"_")))))</f>
        <v> </v>
      </c>
      <c r="H1094" s="25" t="str">
        <f>IF(J1094&lt;&gt;1,"",IF(I1094="SBJ","CB","?"))</f>
        <v> </v>
      </c>
      <c r="I1094" s="26" t="str">
        <f>IF(OR(E1094="",E1094="!!!",F1094="NEW"),"",INDEX(B1093:B$2,-1+SUMPRODUCT(MAX(ROW(E1093:E$2)*(E1094=E1093:E$2)))))</f>
        <v> </v>
      </c>
      <c r="J1094" s="26" t="str">
        <f>IF(OR(E1094="",E1094="!!!",F1094="NEW"),"",COUNTBLANK(OFFSET(A$1,,,SUMPRODUCT(MAX(ROW(E$2:E1094)*(E1094=E$2:E1094)))))-COUNTBLANK(OFFSET(A$1,,,SUMPRODUCT(MAX(ROW(E$1:E1093)*(E2=E$1:E1093))))))</f>
        <v> </v>
      </c>
      <c r="K1094" s="26" t="str">
        <f>IF(OR(E1094="",E1094="!!!",F1094="NEW"),"",INDEX(J$1:J1093,SUMPRODUCT(MAX(ROW(E$1:E1093)*(E1094=E$1:E1093)))))</f>
        <v> </v>
      </c>
      <c r="L1094" s="27"/>
    </row>
    <row r="1095" spans="1:12">
      <c r="A1095" s="20" t="s">
        <v>1353</v>
      </c>
      <c r="E1095" s="22">
        <f>IF(D1095="?OLD","!!!","")</f>
        <v/>
      </c>
      <c r="F1095" s="23" t="str">
        <f>IF(OR(E1095="",E1095="!!!"),"",IF(NOT(ISNA(VLOOKUP(E1095,E$1:E1094,1,FALSE()))),"OLD",IF(AND(E1095&lt;&gt;"",E1095&lt;&gt;"!!!"),"NEW","")))</f>
        <v> </v>
      </c>
      <c r="G1095" s="24" t="str">
        <f>IF(OR(E1095="",E1095="!!!"),"",IF(OR(J1095=0,AND(J1095=1,K1095=1),AND(J1095=1,I1095="SBJ"),AND(J1095=1,I1095=0)),"?IN_FOCUS",IF(J1095&lt;=2,"?ACTIVATED",IF(J1095&lt;&gt;"","?FAMILIAR",IF(F1095="NEW",IF(ISNA(VLOOKUP(E1095,#REF!,1,FALSE())),"?TYPE_IDENTIFIABLE","?REFERENTIAL"),"_")))))</f>
        <v> </v>
      </c>
      <c r="H1095" s="25" t="str">
        <f>IF(J1095&lt;&gt;1,"",IF(I1095="SBJ","CB","?"))</f>
        <v> </v>
      </c>
      <c r="I1095" s="26" t="str">
        <f>IF(OR(E1095="",E1095="!!!",F1095="NEW"),"",INDEX(B1094:B$2,-1+SUMPRODUCT(MAX(ROW(E1094:E$2)*(E1095=E1094:E$2)))))</f>
        <v> </v>
      </c>
      <c r="J1095" s="26" t="str">
        <f>IF(OR(E1095="",E1095="!!!",F1095="NEW"),"",COUNTBLANK(OFFSET(A$1,,,SUMPRODUCT(MAX(ROW(E$2:E1095)*(E1095=E$2:E1095)))))-COUNTBLANK(OFFSET(A$1,,,SUMPRODUCT(MAX(ROW(E$1:E1094)*(E2=E$1:E1094))))))</f>
        <v> </v>
      </c>
      <c r="K1095" s="26" t="str">
        <f>IF(OR(E1095="",E1095="!!!",F1095="NEW"),"",INDEX(J$1:J1094,SUMPRODUCT(MAX(ROW(E$1:E1094)*(E1095=E$1:E1094)))))</f>
        <v> </v>
      </c>
      <c r="L1095" s="27"/>
    </row>
    <row r="1096" spans="1:12">
      <c r="A1096" s="20" t="s">
        <v>998</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row>
    <row r="1098" spans="1:12">
      <c r="A1098" s="20" t="s">
        <v>1422</v>
      </c>
    </row>
    <row r="1099" spans="1:12">
      <c r="A1099" s="20" t="s">
        <v>1423</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1108</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1328</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1424</v>
      </c>
      <c r="B1102" s="21" t="s">
        <v>1015</v>
      </c>
      <c r="C1102" s="21" t="s">
        <v>1054</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1419</v>
      </c>
      <c r="B1103" s="21" t="s">
        <v>990</v>
      </c>
      <c r="C1103" s="21" t="s">
        <v>1003</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1024</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1425</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1077</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1419</v>
      </c>
      <c r="B1107" s="21" t="s">
        <v>1015</v>
      </c>
      <c r="C1107" s="21" t="s">
        <v>1045</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1024</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1031</v>
      </c>
      <c r="B1109" s="21" t="s">
        <v>1234</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1426</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1029</v>
      </c>
      <c r="B1111" s="21" t="s">
        <v>1178</v>
      </c>
      <c r="C1111" s="21" t="s">
        <v>1054</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1427</v>
      </c>
      <c r="B1112" s="21" t="s">
        <v>1178</v>
      </c>
      <c r="C1112" s="21" t="s">
        <v>1016</v>
      </c>
      <c r="D1112" s="21" t="s">
        <v>992</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1428</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1429</v>
      </c>
      <c r="B1114" s="21" t="s">
        <v>1060</v>
      </c>
      <c r="C1114" s="21" t="s">
        <v>1003</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1034</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1057</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1430</v>
      </c>
      <c r="B1117" s="21" t="s">
        <v>995</v>
      </c>
      <c r="C1117" s="21" t="s">
        <v>1022</v>
      </c>
      <c r="D1117" s="21" t="s">
        <v>992</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1431</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1024</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1432</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1167</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row>
    <row r="1123" spans="1:12">
      <c r="A1123" s="20" t="s">
        <v>1433</v>
      </c>
    </row>
    <row r="1124" spans="1:12">
      <c r="A1124" s="20" t="s">
        <v>1193</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259</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1206</v>
      </c>
      <c r="B1126" s="21" t="s">
        <v>990</v>
      </c>
      <c r="C1126" s="21" t="s">
        <v>991</v>
      </c>
      <c r="D1126" s="21" t="s">
        <v>992</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1019</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998</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row>
    <row r="1130" spans="1:12">
      <c r="A1130" s="20" t="s">
        <v>1434</v>
      </c>
    </row>
    <row r="1131" spans="1:12">
      <c r="A1131" s="20" t="s">
        <v>1206</v>
      </c>
      <c r="B1131" s="21" t="s">
        <v>990</v>
      </c>
      <c r="C1131" s="21" t="s">
        <v>991</v>
      </c>
      <c r="D1131" s="21" t="s">
        <v>992</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263</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1435</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1077</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1436</v>
      </c>
      <c r="B1135" s="21" t="s">
        <v>1002</v>
      </c>
      <c r="C1135" s="21" t="s">
        <v>1045</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1024</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1031</v>
      </c>
      <c r="B1137" s="21" t="s">
        <v>1033</v>
      </c>
      <c r="C1137" s="21" t="s">
        <v>1039</v>
      </c>
      <c r="D1137" s="21" t="s">
        <v>992</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1206</v>
      </c>
      <c r="B1138" s="21" t="s">
        <v>1089</v>
      </c>
      <c r="C1138" s="21" t="s">
        <v>1039</v>
      </c>
      <c r="D1138" s="21" t="s">
        <v>992</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1108</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t="s">
        <v>1092</v>
      </c>
      <c r="E1140" s="22">
        <f>IF(D1140="?OLD","!!!","")</f>
        <v/>
      </c>
      <c r="F1140" s="23" t="str">
        <f>IF(OR(E1140="",E1140="!!!"),"",IF(NOT(ISNA(VLOOKUP(E1140,E$1:E1139,1,FALSE()))),"OLD",IF(AND(E1140&lt;&gt;"",E1140&lt;&gt;"!!!"),"NEW","")))</f>
        <v> </v>
      </c>
      <c r="G1140" s="24" t="str">
        <f>IF(OR(E1140="",E1140="!!!"),"",IF(OR(J1140=0,AND(J1140=1,K1140=1),AND(J1140=1,I1140="SBJ"),AND(J1140=1,I1140=0)),"?IN_FOCUS",IF(J1140&lt;=2,"?ACTIVATED",IF(J1140&lt;&gt;"","?FAMILIAR",IF(F1140="NEW",IF(ISNA(VLOOKUP(E1140,#REF!,1,FALSE())),"?TYPE_IDENTIFIABLE","?REFERENTIAL"),"_")))))</f>
        <v> </v>
      </c>
      <c r="H1140" s="25" t="str">
        <f>IF(J1140&lt;&gt;1,"",IF(I1140="SBJ","CB","?"))</f>
        <v> </v>
      </c>
      <c r="I1140" s="26" t="str">
        <f>IF(OR(E1140="",E1140="!!!",F1140="NEW"),"",INDEX(B1139:B$2,-1+SUMPRODUCT(MAX(ROW(E1139:E$2)*(E1140=E1139:E$2)))))</f>
        <v> </v>
      </c>
      <c r="J1140" s="26" t="str">
        <f>IF(OR(E1140="",E1140="!!!",F1140="NEW"),"",COUNTBLANK(OFFSET(A$1,,,SUMPRODUCT(MAX(ROW(E$2:E1140)*(E1140=E$2:E1140)))))-COUNTBLANK(OFFSET(A$1,,,SUMPRODUCT(MAX(ROW(E$1:E1139)*(E2=E$1:E1139))))))</f>
        <v> </v>
      </c>
      <c r="K1140" s="26" t="str">
        <f>IF(OR(E1140="",E1140="!!!",F1140="NEW"),"",INDEX(J$1:J1139,SUMPRODUCT(MAX(ROW(E$1:E1139)*(E1140=E$1:E1139)))))</f>
        <v> </v>
      </c>
      <c r="L1140" s="27"/>
    </row>
    <row r="1141" spans="1:12">
      <c r="A1141" s="20" t="s">
        <v>1391</v>
      </c>
      <c r="E1141" s="22">
        <f>IF(D1141="?OLD","!!!","")</f>
        <v/>
      </c>
      <c r="F1141" s="23" t="str">
        <f>IF(OR(E1141="",E1141="!!!"),"",IF(NOT(ISNA(VLOOKUP(E1141,E$1:E1140,1,FALSE()))),"OLD",IF(AND(E1141&lt;&gt;"",E1141&lt;&gt;"!!!"),"NEW","")))</f>
        <v> </v>
      </c>
      <c r="G1141" s="24" t="str">
        <f>IF(OR(E1141="",E1141="!!!"),"",IF(OR(J1141=0,AND(J1141=1,K1141=1),AND(J1141=1,I1141="SBJ"),AND(J1141=1,I1141=0)),"?IN_FOCUS",IF(J1141&lt;=2,"?ACTIVATED",IF(J1141&lt;&gt;"","?FAMILIAR",IF(F1141="NEW",IF(ISNA(VLOOKUP(E1141,#REF!,1,FALSE())),"?TYPE_IDENTIFIABLE","?REFERENTIAL"),"_")))))</f>
        <v> </v>
      </c>
      <c r="H1141" s="25" t="str">
        <f>IF(J1141&lt;&gt;1,"",IF(I1141="SBJ","CB","?"))</f>
        <v> </v>
      </c>
      <c r="I1141" s="26" t="str">
        <f>IF(OR(E1141="",E1141="!!!",F1141="NEW"),"",INDEX(B1140:B$2,-1+SUMPRODUCT(MAX(ROW(E1140:E$2)*(E1141=E1140:E$2)))))</f>
        <v> </v>
      </c>
      <c r="J1141" s="26" t="str">
        <f>IF(OR(E1141="",E1141="!!!",F1141="NEW"),"",COUNTBLANK(OFFSET(A$1,,,SUMPRODUCT(MAX(ROW(E$2:E1141)*(E1141=E$2:E1141)))))-COUNTBLANK(OFFSET(A$1,,,SUMPRODUCT(MAX(ROW(E$1:E1140)*(E2=E$1:E1140))))))</f>
        <v> </v>
      </c>
      <c r="K1141" s="26" t="str">
        <f>IF(OR(E1141="",E1141="!!!",F1141="NEW"),"",INDEX(J$1:J1140,SUMPRODUCT(MAX(ROW(E$1:E1140)*(E1141=E$1:E1140)))))</f>
        <v> </v>
      </c>
      <c r="L1141" s="27"/>
    </row>
    <row r="1142" spans="1:12">
      <c r="A1142" s="20" t="s">
        <v>998</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row>
    <row r="1144" spans="1:12">
      <c r="A1144" s="20" t="s">
        <v>1437</v>
      </c>
    </row>
    <row r="1145" spans="1:12">
      <c r="A1145" s="20" t="s">
        <v>1423</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1438</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1098</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1057</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267</v>
      </c>
      <c r="B1149" s="21" t="s">
        <v>995</v>
      </c>
      <c r="C1149" s="21" t="s">
        <v>1022</v>
      </c>
      <c r="D1149" s="21" t="s">
        <v>992</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1439</v>
      </c>
      <c r="B1150" s="21" t="s">
        <v>1015</v>
      </c>
      <c r="C1150" s="21" t="s">
        <v>1016</v>
      </c>
      <c r="D1150" s="21" t="s">
        <v>992</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1440</v>
      </c>
      <c r="B1151" s="21" t="s">
        <v>995</v>
      </c>
      <c r="C1151" s="21" t="s">
        <v>1003</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t="s">
        <v>1024</v>
      </c>
      <c r="E1152" s="22">
        <f>IF(D1152="?OLD","!!!","")</f>
        <v/>
      </c>
      <c r="F1152" s="23" t="str">
        <f>IF(OR(E1152="",E1152="!!!"),"",IF(NOT(ISNA(VLOOKUP(E1152,E$1:E1151,1,FALSE()))),"OLD",IF(AND(E1152&lt;&gt;"",E1152&lt;&gt;"!!!"),"NEW","")))</f>
        <v> </v>
      </c>
      <c r="G1152" s="24" t="str">
        <f>IF(OR(E1152="",E1152="!!!"),"",IF(OR(J1152=0,AND(J1152=1,K1152=1),AND(J1152=1,I1152="SBJ"),AND(J1152=1,I1152=0)),"?IN_FOCUS",IF(J1152&lt;=2,"?ACTIVATED",IF(J1152&lt;&gt;"","?FAMILIAR",IF(F1152="NEW",IF(ISNA(VLOOKUP(E1152,#REF!,1,FALSE())),"?TYPE_IDENTIFIABLE","?REFERENTIAL"),"_")))))</f>
        <v> </v>
      </c>
      <c r="H1152" s="25" t="str">
        <f>IF(J1152&lt;&gt;1,"",IF(I1152="SBJ","CB","?"))</f>
        <v> </v>
      </c>
      <c r="I1152" s="26" t="str">
        <f>IF(OR(E1152="",E1152="!!!",F1152="NEW"),"",INDEX(B1151:B$2,-1+SUMPRODUCT(MAX(ROW(E1151:E$2)*(E1152=E1151:E$2)))))</f>
        <v> </v>
      </c>
      <c r="J1152" s="26" t="str">
        <f>IF(OR(E1152="",E1152="!!!",F1152="NEW"),"",COUNTBLANK(OFFSET(A$1,,,SUMPRODUCT(MAX(ROW(E$2:E1152)*(E1152=E$2:E1152)))))-COUNTBLANK(OFFSET(A$1,,,SUMPRODUCT(MAX(ROW(E$1:E1151)*(E2=E$1:E1151))))))</f>
        <v> </v>
      </c>
      <c r="K1152" s="26" t="str">
        <f>IF(OR(E1152="",E1152="!!!",F1152="NEW"),"",INDEX(J$1:J1151,SUMPRODUCT(MAX(ROW(E$1:E1151)*(E1152=E$1:E1151)))))</f>
        <v> </v>
      </c>
      <c r="L1152" s="27"/>
    </row>
    <row r="1153" spans="1:12">
      <c r="A1153" s="20" t="s">
        <v>749</v>
      </c>
      <c r="E1153" s="22">
        <f>IF(D1153="?OLD","!!!","")</f>
        <v/>
      </c>
      <c r="F1153" s="23" t="str">
        <f>IF(OR(E1153="",E1153="!!!"),"",IF(NOT(ISNA(VLOOKUP(E1153,E$1:E1152,1,FALSE()))),"OLD",IF(AND(E1153&lt;&gt;"",E1153&lt;&gt;"!!!"),"NEW","")))</f>
        <v> </v>
      </c>
      <c r="G1153" s="24" t="str">
        <f>IF(OR(E1153="",E1153="!!!"),"",IF(OR(J1153=0,AND(J1153=1,K1153=1),AND(J1153=1,I1153="SBJ"),AND(J1153=1,I1153=0)),"?IN_FOCUS",IF(J1153&lt;=2,"?ACTIVATED",IF(J1153&lt;&gt;"","?FAMILIAR",IF(F1153="NEW",IF(ISNA(VLOOKUP(E1153,#REF!,1,FALSE())),"?TYPE_IDENTIFIABLE","?REFERENTIAL"),"_")))))</f>
        <v> </v>
      </c>
      <c r="H1153" s="25" t="str">
        <f>IF(J1153&lt;&gt;1,"",IF(I1153="SBJ","CB","?"))</f>
        <v> </v>
      </c>
      <c r="I1153" s="26" t="str">
        <f>IF(OR(E1153="",E1153="!!!",F1153="NEW"),"",INDEX(B1152:B$2,-1+SUMPRODUCT(MAX(ROW(E1152:E$2)*(E1153=E1152:E$2)))))</f>
        <v> </v>
      </c>
      <c r="J1153" s="26" t="str">
        <f>IF(OR(E1153="",E1153="!!!",F1153="NEW"),"",COUNTBLANK(OFFSET(A$1,,,SUMPRODUCT(MAX(ROW(E$2:E1153)*(E1153=E$2:E1153)))))-COUNTBLANK(OFFSET(A$1,,,SUMPRODUCT(MAX(ROW(E$1:E1152)*(E2=E$1:E1152))))))</f>
        <v> </v>
      </c>
      <c r="K1153" s="26" t="str">
        <f>IF(OR(E1153="",E1153="!!!",F1153="NEW"),"",INDEX(J$1:J1152,SUMPRODUCT(MAX(ROW(E$1:E1152)*(E1153=E$1:E1152)))))</f>
        <v> </v>
      </c>
      <c r="L1153" s="27"/>
    </row>
    <row r="1154" spans="1:12">
      <c r="A1154" s="20" t="s">
        <v>1126</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1206</v>
      </c>
      <c r="B1155" s="21" t="s">
        <v>1026</v>
      </c>
      <c r="C1155" s="21" t="s">
        <v>991</v>
      </c>
      <c r="D1155" s="21" t="s">
        <v>992</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1347</v>
      </c>
      <c r="B1156" s="21" t="s">
        <v>1055</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1441</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998</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row>
    <row r="1160" spans="1:12">
      <c r="A1160" s="20" t="s">
        <v>1442</v>
      </c>
    </row>
    <row r="1161" spans="1:12">
      <c r="A1161" s="20" t="s">
        <v>1423</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1025</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1381</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1443</v>
      </c>
      <c r="B1164" s="21" t="s">
        <v>1015</v>
      </c>
      <c r="C1164" s="21" t="s">
        <v>1039</v>
      </c>
      <c r="D1164" s="21" t="s">
        <v>992</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1444</v>
      </c>
      <c r="B1165" s="21" t="s">
        <v>990</v>
      </c>
      <c r="C1165" s="21" t="s">
        <v>1009</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1034</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1396</v>
      </c>
      <c r="B1167" s="21" t="s">
        <v>1015</v>
      </c>
      <c r="C1167" s="21" t="s">
        <v>996</v>
      </c>
      <c r="D1167" s="21" t="s">
        <v>992</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1397</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1398</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998</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row>
    <row r="1172" spans="1:12">
      <c r="A1172" s="20" t="s">
        <v>1445</v>
      </c>
    </row>
    <row r="1173" spans="1:12">
      <c r="A1173" s="20" t="s">
        <v>1446</v>
      </c>
      <c r="B1173" s="21" t="s">
        <v>990</v>
      </c>
      <c r="C1173" s="21" t="s">
        <v>1054</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1447</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1108</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1448</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231</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1449</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1450</v>
      </c>
      <c r="B1179" s="21" t="s">
        <v>1055</v>
      </c>
      <c r="C1179" s="21" t="s">
        <v>1003</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998</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row>
    <row r="1182" spans="1:12">
      <c r="A1182" s="20" t="s">
        <v>1451</v>
      </c>
    </row>
    <row r="1183" spans="1:12">
      <c r="A1183" s="20" t="s">
        <v>1267</v>
      </c>
      <c r="B1183" s="21" t="s">
        <v>990</v>
      </c>
      <c r="C1183" s="21" t="s">
        <v>991</v>
      </c>
      <c r="D1183" s="21" t="s">
        <v>992</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1381</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1438</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1220</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1452</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1082</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1453</v>
      </c>
      <c r="B1189" s="21" t="s">
        <v>1055</v>
      </c>
      <c r="C1189" s="21" t="s">
        <v>1003</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1029</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1340</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998</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row>
    <row r="1194" spans="1:12">
      <c r="A1194" s="20" t="s">
        <v>1454</v>
      </c>
    </row>
    <row r="1195" spans="1:12">
      <c r="A1195" s="20" t="s">
        <v>1013</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1025</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1381</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1455</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1456</v>
      </c>
      <c r="B1199" s="21" t="s">
        <v>990</v>
      </c>
      <c r="C1199" s="21" t="s">
        <v>1003</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998</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row>
    <row r="1202" spans="1:12">
      <c r="A1202" s="20" t="s">
        <v>1457</v>
      </c>
    </row>
    <row r="1203" spans="1:12">
      <c r="A1203" s="20" t="s">
        <v>1458</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1206</v>
      </c>
      <c r="B1204" s="21" t="s">
        <v>990</v>
      </c>
      <c r="C1204" s="21" t="s">
        <v>991</v>
      </c>
      <c r="D1204" s="21" t="s">
        <v>992</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1217</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285</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1024</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1459</v>
      </c>
      <c r="B1208" s="21" t="s">
        <v>995</v>
      </c>
      <c r="C1208" s="21" t="s">
        <v>1003</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1071</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1460</v>
      </c>
      <c r="B1210" s="21" t="s">
        <v>1015</v>
      </c>
      <c r="C1210" s="21" t="s">
        <v>1003</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1024</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1031</v>
      </c>
      <c r="B1212" s="21" t="s">
        <v>1234</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1056</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1052</v>
      </c>
      <c r="B1214" s="21" t="s">
        <v>1060</v>
      </c>
      <c r="C1214" s="21" t="s">
        <v>991</v>
      </c>
      <c r="D1214" s="21" t="s">
        <v>992</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1461</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1024</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1111</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1462</v>
      </c>
      <c r="B1218" s="21" t="s">
        <v>1463</v>
      </c>
      <c r="C1218" s="21" t="s">
        <v>1003</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1407</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1419</v>
      </c>
      <c r="B1220" s="21" t="s">
        <v>1417</v>
      </c>
      <c r="C1220" s="21" t="s">
        <v>1003</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1464</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998</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row>
    <row r="1224" spans="1:12">
      <c r="A1224" s="20" t="s">
        <v>1465</v>
      </c>
    </row>
    <row r="1225" spans="1:12">
      <c r="A1225" s="20" t="s">
        <v>1075</v>
      </c>
      <c r="B1225" s="21" t="s">
        <v>990</v>
      </c>
      <c r="C1225" s="21" t="s">
        <v>1076</v>
      </c>
      <c r="D1225" s="21" t="s">
        <v>992</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29</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1063</v>
      </c>
      <c r="B1227" s="21" t="s">
        <v>990</v>
      </c>
      <c r="C1227" s="21" t="s">
        <v>1039</v>
      </c>
      <c r="D1227" s="21" t="s">
        <v>992</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1034</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1057</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1466</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1301</v>
      </c>
      <c r="B1231" s="21" t="s">
        <v>995</v>
      </c>
      <c r="C1231" s="21" t="s">
        <v>1022</v>
      </c>
      <c r="D1231" s="21" t="s">
        <v>992</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1108</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1173</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289</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1024</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1213</v>
      </c>
      <c r="B1236" s="21" t="s">
        <v>1015</v>
      </c>
      <c r="C1236" s="21" t="s">
        <v>1076</v>
      </c>
      <c r="D1236" s="21" t="s">
        <v>992</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1467</v>
      </c>
      <c r="B1237" s="21" t="s">
        <v>995</v>
      </c>
      <c r="C1237" s="21" t="s">
        <v>1121</v>
      </c>
      <c r="D1237" s="21" t="s">
        <v>992</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1024</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1116</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1130</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1279</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1468</v>
      </c>
      <c r="B1242" s="21" t="s">
        <v>1036</v>
      </c>
      <c r="C1242" s="21" t="s">
        <v>1045</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1455</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1456</v>
      </c>
      <c r="B1244" s="21" t="s">
        <v>1089</v>
      </c>
      <c r="C1244" s="21" t="s">
        <v>1003</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1416</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155</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998</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row>
    <row r="1249" spans="1:12">
      <c r="A1249" s="20" t="s">
        <v>1469</v>
      </c>
    </row>
    <row r="1250" spans="1:12">
      <c r="A1250" s="20" t="s">
        <v>1470</v>
      </c>
      <c r="E1250" s="22">
        <f>IF(D1250="?OLD","!!!","")</f>
        <v/>
      </c>
      <c r="F1250" s="23" t="str">
        <f>IF(OR(E1250="",E1250="!!!"),"",IF(NOT(ISNA(VLOOKUP(E1250,E$1:E1249,1,FALSE()))),"OLD",IF(AND(E1250&lt;&gt;"",E1250&lt;&gt;"!!!"),"NEW","")))</f>
        <v> </v>
      </c>
      <c r="G1250" s="24" t="str">
        <f>IF(OR(E1250="",E1250="!!!"),"",IF(OR(J1250=0,AND(J1250=1,K1250=1),AND(J1250=1,I1250="SBJ"),AND(J1250=1,I1250=0)),"?IN_FOCUS",IF(J1250&lt;=2,"?ACTIVATED",IF(J1250&lt;&gt;"","?FAMILIAR",IF(F1250="NEW",IF(ISNA(VLOOKUP(E1250,#REF!,1,FALSE())),"?TYPE_IDENTIFIABLE","?REFERENTIAL"),"_")))))</f>
        <v> </v>
      </c>
      <c r="H1250" s="25" t="str">
        <f>IF(J1250&lt;&gt;1,"",IF(I1250="SBJ","CB","?"))</f>
        <v> </v>
      </c>
      <c r="I1250" s="26" t="str">
        <f>IF(OR(E1250="",E1250="!!!",F1250="NEW"),"",INDEX(B1249:B$2,-1+SUMPRODUCT(MAX(ROW(E1249:E$2)*(E1250=E1249:E$2)))))</f>
        <v> </v>
      </c>
      <c r="J1250" s="26" t="str">
        <f>IF(OR(E1250="",E1250="!!!",F1250="NEW"),"",COUNTBLANK(OFFSET(A$1,,,SUMPRODUCT(MAX(ROW(E$2:E1250)*(E1250=E$2:E1250)))))-COUNTBLANK(OFFSET(A$1,,,SUMPRODUCT(MAX(ROW(E$1:E1249)*(E2=E$1:E1249))))))</f>
        <v> </v>
      </c>
      <c r="K1250" s="26" t="str">
        <f>IF(OR(E1250="",E1250="!!!",F1250="NEW"),"",INDEX(J$1:J1249,SUMPRODUCT(MAX(ROW(E$1:E1249)*(E1250=E$1:E1249)))))</f>
        <v> </v>
      </c>
      <c r="L1250" s="27"/>
    </row>
    <row r="1251" spans="1:12">
      <c r="A1251" s="20" t="s">
        <v>1381</v>
      </c>
      <c r="E1251" s="22">
        <f>IF(D1251="?OLD","!!!","")</f>
        <v/>
      </c>
      <c r="F1251" s="23" t="str">
        <f>IF(OR(E1251="",E1251="!!!"),"",IF(NOT(ISNA(VLOOKUP(E1251,E$1:E1250,1,FALSE()))),"OLD",IF(AND(E1251&lt;&gt;"",E1251&lt;&gt;"!!!"),"NEW","")))</f>
        <v> </v>
      </c>
      <c r="G1251" s="24" t="str">
        <f>IF(OR(E1251="",E1251="!!!"),"",IF(OR(J1251=0,AND(J1251=1,K1251=1),AND(J1251=1,I1251="SBJ"),AND(J1251=1,I1251=0)),"?IN_FOCUS",IF(J1251&lt;=2,"?ACTIVATED",IF(J1251&lt;&gt;"","?FAMILIAR",IF(F1251="NEW",IF(ISNA(VLOOKUP(E1251,#REF!,1,FALSE())),"?TYPE_IDENTIFIABLE","?REFERENTIAL"),"_")))))</f>
        <v> </v>
      </c>
      <c r="H1251" s="25" t="str">
        <f>IF(J1251&lt;&gt;1,"",IF(I1251="SBJ","CB","?"))</f>
        <v> </v>
      </c>
      <c r="I1251" s="26" t="str">
        <f>IF(OR(E1251="",E1251="!!!",F1251="NEW"),"",INDEX(B1250:B$2,-1+SUMPRODUCT(MAX(ROW(E1250:E$2)*(E1251=E1250:E$2)))))</f>
        <v> </v>
      </c>
      <c r="J1251" s="26" t="str">
        <f>IF(OR(E1251="",E1251="!!!",F1251="NEW"),"",COUNTBLANK(OFFSET(A$1,,,SUMPRODUCT(MAX(ROW(E$2:E1251)*(E1251=E$2:E1251)))))-COUNTBLANK(OFFSET(A$1,,,SUMPRODUCT(MAX(ROW(E$1:E1250)*(E2=E$1:E1250))))))</f>
        <v> </v>
      </c>
      <c r="K1251" s="26" t="str">
        <f>IF(OR(E1251="",E1251="!!!",F1251="NEW"),"",INDEX(J$1:J1250,SUMPRODUCT(MAX(ROW(E$1:E1250)*(E1251=E$1:E1250)))))</f>
        <v> </v>
      </c>
      <c r="L1251" s="27"/>
    </row>
    <row r="1252" spans="1:12">
      <c r="A1252" s="20" t="s">
        <v>1025</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1123</v>
      </c>
      <c r="B1253" s="21" t="s">
        <v>1015</v>
      </c>
      <c r="C1253" s="21" t="s">
        <v>1076</v>
      </c>
      <c r="D1253" s="21" t="s">
        <v>992</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1407</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636</v>
      </c>
      <c r="B1255" s="21" t="s">
        <v>990</v>
      </c>
      <c r="C1255" s="21" t="s">
        <v>1121</v>
      </c>
      <c r="D1255" s="21" t="s">
        <v>992</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1024</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1123</v>
      </c>
      <c r="B1257" s="21" t="s">
        <v>1036</v>
      </c>
      <c r="C1257" s="21" t="s">
        <v>1076</v>
      </c>
      <c r="D1257" s="21" t="s">
        <v>992</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1471</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636</v>
      </c>
      <c r="B1259" s="21" t="s">
        <v>1015</v>
      </c>
      <c r="C1259" s="21" t="s">
        <v>1121</v>
      </c>
      <c r="D1259" s="21" t="s">
        <v>992</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1024</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79</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1063</v>
      </c>
      <c r="B1262" s="21" t="s">
        <v>990</v>
      </c>
      <c r="C1262" s="21" t="s">
        <v>1039</v>
      </c>
      <c r="D1262" s="21" t="s">
        <v>992</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1472</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1107</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231</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1282</v>
      </c>
      <c r="B1266" s="21" t="s">
        <v>1033</v>
      </c>
      <c r="C1266" s="21" t="s">
        <v>1039</v>
      </c>
      <c r="D1266" s="21" t="s">
        <v>992</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1063</v>
      </c>
      <c r="B1267" s="21" t="s">
        <v>1089</v>
      </c>
      <c r="C1267" s="21" t="s">
        <v>1039</v>
      </c>
      <c r="D1267" s="21" t="s">
        <v>992</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1029</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1340</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29</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998</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row>
    <row r="1273" spans="1:12">
      <c r="A1273" s="20" t="s">
        <v>1473</v>
      </c>
    </row>
    <row r="1274" spans="1:12">
      <c r="A1274" s="20" t="s">
        <v>1474</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297</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1063</v>
      </c>
      <c r="B1276" s="21" t="s">
        <v>1026</v>
      </c>
      <c r="C1276" s="21" t="s">
        <v>1039</v>
      </c>
      <c r="D1276" s="21" t="s">
        <v>992</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1213</v>
      </c>
      <c r="B1277" s="21" t="s">
        <v>1015</v>
      </c>
      <c r="C1277" s="21" t="s">
        <v>1076</v>
      </c>
      <c r="D1277" s="21" t="s">
        <v>992</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t="s">
        <v>1078</v>
      </c>
      <c r="E1278" s="22">
        <f>IF(D1278="?OLD","!!!","")</f>
        <v/>
      </c>
      <c r="F1278" s="23" t="str">
        <f>IF(OR(E1278="",E1278="!!!"),"",IF(NOT(ISNA(VLOOKUP(E1278,E$1:E1277,1,FALSE()))),"OLD",IF(AND(E1278&lt;&gt;"",E1278&lt;&gt;"!!!"),"NEW","")))</f>
        <v> </v>
      </c>
      <c r="G1278" s="24" t="str">
        <f>IF(OR(E1278="",E1278="!!!"),"",IF(OR(J1278=0,AND(J1278=1,K1278=1),AND(J1278=1,I1278="SBJ"),AND(J1278=1,I1278=0)),"?IN_FOCUS",IF(J1278&lt;=2,"?ACTIVATED",IF(J1278&lt;&gt;"","?FAMILIAR",IF(F1278="NEW",IF(ISNA(VLOOKUP(E1278,#REF!,1,FALSE())),"?TYPE_IDENTIFIABLE","?REFERENTIAL"),"_")))))</f>
        <v> </v>
      </c>
      <c r="H1278" s="25" t="str">
        <f>IF(J1278&lt;&gt;1,"",IF(I1278="SBJ","CB","?"))</f>
        <v> </v>
      </c>
      <c r="I1278" s="26" t="str">
        <f>IF(OR(E1278="",E1278="!!!",F1278="NEW"),"",INDEX(B1277:B$2,-1+SUMPRODUCT(MAX(ROW(E1277:E$2)*(E1278=E1277:E$2)))))</f>
        <v> </v>
      </c>
      <c r="J1278" s="26" t="str">
        <f>IF(OR(E1278="",E1278="!!!",F1278="NEW"),"",COUNTBLANK(OFFSET(A$1,,,SUMPRODUCT(MAX(ROW(E$2:E1278)*(E1278=E$2:E1278)))))-COUNTBLANK(OFFSET(A$1,,,SUMPRODUCT(MAX(ROW(E$1:E1277)*(E2=E$1:E1277))))))</f>
        <v> </v>
      </c>
      <c r="K1278" s="26" t="str">
        <f>IF(OR(E1278="",E1278="!!!",F1278="NEW"),"",INDEX(J$1:J1277,SUMPRODUCT(MAX(ROW(E$1:E1277)*(E1278=E$1:E1277)))))</f>
        <v> </v>
      </c>
      <c r="L1278" s="27"/>
    </row>
    <row r="1279" spans="1:12">
      <c r="A1279" s="20" t="s">
        <v>1475</v>
      </c>
      <c r="E1279" s="22">
        <f>IF(D1279="?OLD","!!!","")</f>
        <v/>
      </c>
      <c r="F1279" s="23" t="str">
        <f>IF(OR(E1279="",E1279="!!!"),"",IF(NOT(ISNA(VLOOKUP(E1279,E$1:E1278,1,FALSE()))),"OLD",IF(AND(E1279&lt;&gt;"",E1279&lt;&gt;"!!!"),"NEW","")))</f>
        <v> </v>
      </c>
      <c r="G1279" s="24" t="str">
        <f>IF(OR(E1279="",E1279="!!!"),"",IF(OR(J1279=0,AND(J1279=1,K1279=1),AND(J1279=1,I1279="SBJ"),AND(J1279=1,I1279=0)),"?IN_FOCUS",IF(J1279&lt;=2,"?ACTIVATED",IF(J1279&lt;&gt;"","?FAMILIAR",IF(F1279="NEW",IF(ISNA(VLOOKUP(E1279,#REF!,1,FALSE())),"?TYPE_IDENTIFIABLE","?REFERENTIAL"),"_")))))</f>
        <v> </v>
      </c>
      <c r="H1279" s="25" t="str">
        <f>IF(J1279&lt;&gt;1,"",IF(I1279="SBJ","CB","?"))</f>
        <v> </v>
      </c>
      <c r="I1279" s="26" t="str">
        <f>IF(OR(E1279="",E1279="!!!",F1279="NEW"),"",INDEX(B1278:B$2,-1+SUMPRODUCT(MAX(ROW(E1278:E$2)*(E1279=E1278:E$2)))))</f>
        <v> </v>
      </c>
      <c r="J1279" s="26" t="str">
        <f>IF(OR(E1279="",E1279="!!!",F1279="NEW"),"",COUNTBLANK(OFFSET(A$1,,,SUMPRODUCT(MAX(ROW(E$2:E1279)*(E1279=E$2:E1279)))))-COUNTBLANK(OFFSET(A$1,,,SUMPRODUCT(MAX(ROW(E$1:E1278)*(E2=E$1:E1278))))))</f>
        <v> </v>
      </c>
      <c r="K1279" s="26" t="str">
        <f>IF(OR(E1279="",E1279="!!!",F1279="NEW"),"",INDEX(J$1:J1278,SUMPRODUCT(MAX(ROW(E$1:E1278)*(E1279=E$1:E1278)))))</f>
        <v> </v>
      </c>
      <c r="L1279" s="27"/>
    </row>
    <row r="1280" spans="1:12">
      <c r="A1280" s="20" t="s">
        <v>1476</v>
      </c>
      <c r="B1280" s="21" t="s">
        <v>1002</v>
      </c>
      <c r="C1280" s="21" t="s">
        <v>1121</v>
      </c>
      <c r="D1280" s="21" t="s">
        <v>992</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998</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row>
    <row r="1283" spans="1:12">
      <c r="A1283" s="20" t="s">
        <v>1068</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1477</v>
      </c>
    </row>
    <row r="1285" spans="1:12">
      <c r="A1285" s="20" t="s">
        <v>1206</v>
      </c>
      <c r="B1285" s="21" t="s">
        <v>990</v>
      </c>
      <c r="C1285" s="21" t="s">
        <v>991</v>
      </c>
      <c r="D1285" s="21" t="s">
        <v>992</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29</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1478</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1071</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1074</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1429</v>
      </c>
      <c r="B1290" s="21" t="s">
        <v>1015</v>
      </c>
      <c r="C1290" s="21" t="s">
        <v>996</v>
      </c>
      <c r="D1290" s="21" t="s">
        <v>992</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928</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1074</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231</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1074</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1479</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1480</v>
      </c>
      <c r="B1296" s="21" t="s">
        <v>1036</v>
      </c>
      <c r="C1296" s="21" t="s">
        <v>1009</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1074</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1333</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1376</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1074</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1479</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1481</v>
      </c>
      <c r="B1302" s="21" t="s">
        <v>1015</v>
      </c>
      <c r="C1302" s="21" t="s">
        <v>1009</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1074</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998</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row>
    <row r="1306" spans="1:12">
      <c r="A1306" s="20" t="s">
        <v>1482</v>
      </c>
    </row>
    <row r="1307" spans="1:12">
      <c r="A1307" s="20" t="s">
        <v>1169</v>
      </c>
      <c r="B1307" s="21" t="s">
        <v>1015</v>
      </c>
      <c r="C1307" s="21" t="s">
        <v>1076</v>
      </c>
      <c r="D1307" s="21" t="s">
        <v>992</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1483</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1476</v>
      </c>
      <c r="B1309" s="21" t="s">
        <v>1002</v>
      </c>
      <c r="C1309" s="21" t="s">
        <v>1121</v>
      </c>
      <c r="D1309" s="21" t="s">
        <v>992</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1381</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1025</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1108</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1034</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1057</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1466</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1301</v>
      </c>
      <c r="B1316" s="21" t="s">
        <v>995</v>
      </c>
      <c r="C1316" s="21" t="s">
        <v>1022</v>
      </c>
      <c r="D1316" s="21" t="s">
        <v>992</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998</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row>
    <row r="1319" spans="1:12">
      <c r="A1319" s="20" t="s">
        <v>1484</v>
      </c>
    </row>
    <row r="1320" spans="1:12">
      <c r="A1320" s="20" t="s">
        <v>1141</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1114</v>
      </c>
      <c r="B1321" s="21" t="s">
        <v>1026</v>
      </c>
      <c r="C1321" s="21" t="s">
        <v>991</v>
      </c>
      <c r="D1321" s="21" t="s">
        <v>992</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t="s">
        <v>1123</v>
      </c>
      <c r="B1322" s="21" t="s">
        <v>1036</v>
      </c>
      <c r="C1322" s="21" t="s">
        <v>1076</v>
      </c>
      <c r="D1322" s="21" t="s">
        <v>992</v>
      </c>
      <c r="E1322" s="22">
        <f>IF(D1322="?OLD","!!!","")</f>
        <v/>
      </c>
      <c r="F1322" s="23" t="str">
        <f>IF(OR(E1322="",E1322="!!!"),"",IF(NOT(ISNA(VLOOKUP(E1322,E$1:E1321,1,FALSE()))),"OLD",IF(AND(E1322&lt;&gt;"",E1322&lt;&gt;"!!!"),"NEW","")))</f>
        <v> </v>
      </c>
      <c r="G1322" s="24" t="str">
        <f>IF(OR(E1322="",E1322="!!!"),"",IF(OR(J1322=0,AND(J1322=1,K1322=1),AND(J1322=1,I1322="SBJ"),AND(J1322=1,I1322=0)),"?IN_FOCUS",IF(J1322&lt;=2,"?ACTIVATED",IF(J1322&lt;&gt;"","?FAMILIAR",IF(F1322="NEW",IF(ISNA(VLOOKUP(E1322,#REF!,1,FALSE())),"?TYPE_IDENTIFIABLE","?REFERENTIAL"),"_")))))</f>
        <v> </v>
      </c>
      <c r="H1322" s="25" t="str">
        <f>IF(J1322&lt;&gt;1,"",IF(I1322="SBJ","CB","?"))</f>
        <v> </v>
      </c>
      <c r="I1322" s="26" t="str">
        <f>IF(OR(E1322="",E1322="!!!",F1322="NEW"),"",INDEX(B1321:B$2,-1+SUMPRODUCT(MAX(ROW(E1321:E$2)*(E1322=E1321:E$2)))))</f>
        <v> </v>
      </c>
      <c r="J1322" s="26" t="str">
        <f>IF(OR(E1322="",E1322="!!!",F1322="NEW"),"",COUNTBLANK(OFFSET(A$1,,,SUMPRODUCT(MAX(ROW(E$2:E1322)*(E1322=E$2:E1322)))))-COUNTBLANK(OFFSET(A$1,,,SUMPRODUCT(MAX(ROW(E$1:E1321)*(E2=E$1:E1321))))))</f>
        <v> </v>
      </c>
      <c r="K1322" s="26" t="str">
        <f>IF(OR(E1322="",E1322="!!!",F1322="NEW"),"",INDEX(J$1:J1321,SUMPRODUCT(MAX(ROW(E$1:E1321)*(E1322=E$1:E1321)))))</f>
        <v> </v>
      </c>
      <c r="L1322" s="27"/>
    </row>
    <row r="1323" spans="1:12">
      <c r="A1323" s="20" t="s">
        <v>1485</v>
      </c>
      <c r="B1323" s="21" t="s">
        <v>1055</v>
      </c>
      <c r="C1323" s="21" t="s">
        <v>1121</v>
      </c>
      <c r="D1323" s="21" t="s">
        <v>992</v>
      </c>
      <c r="E1323" s="22">
        <f>IF(D1323="?OLD","!!!","")</f>
        <v/>
      </c>
      <c r="F1323" s="23" t="str">
        <f>IF(OR(E1323="",E1323="!!!"),"",IF(NOT(ISNA(VLOOKUP(E1323,E$1:E1322,1,FALSE()))),"OLD",IF(AND(E1323&lt;&gt;"",E1323&lt;&gt;"!!!"),"NEW","")))</f>
        <v> </v>
      </c>
      <c r="G1323" s="24" t="str">
        <f>IF(OR(E1323="",E1323="!!!"),"",IF(OR(J1323=0,AND(J1323=1,K1323=1),AND(J1323=1,I1323="SBJ"),AND(J1323=1,I1323=0)),"?IN_FOCUS",IF(J1323&lt;=2,"?ACTIVATED",IF(J1323&lt;&gt;"","?FAMILIAR",IF(F1323="NEW",IF(ISNA(VLOOKUP(E1323,#REF!,1,FALSE())),"?TYPE_IDENTIFIABLE","?REFERENTIAL"),"_")))))</f>
        <v> </v>
      </c>
      <c r="H1323" s="25" t="str">
        <f>IF(J1323&lt;&gt;1,"",IF(I1323="SBJ","CB","?"))</f>
        <v> </v>
      </c>
      <c r="I1323" s="26" t="str">
        <f>IF(OR(E1323="",E1323="!!!",F1323="NEW"),"",INDEX(B1322:B$2,-1+SUMPRODUCT(MAX(ROW(E1322:E$2)*(E1323=E1322:E$2)))))</f>
        <v> </v>
      </c>
      <c r="J1323" s="26" t="str">
        <f>IF(OR(E1323="",E1323="!!!",F1323="NEW"),"",COUNTBLANK(OFFSET(A$1,,,SUMPRODUCT(MAX(ROW(E$2:E1323)*(E1323=E$2:E1323)))))-COUNTBLANK(OFFSET(A$1,,,SUMPRODUCT(MAX(ROW(E$1:E1322)*(E2=E$1:E1322))))))</f>
        <v> </v>
      </c>
      <c r="K1323" s="26" t="str">
        <f>IF(OR(E1323="",E1323="!!!",F1323="NEW"),"",INDEX(J$1:J1322,SUMPRODUCT(MAX(ROW(E$1:E1322)*(E1323=E$1:E1322)))))</f>
        <v> </v>
      </c>
      <c r="L1323" s="27"/>
    </row>
    <row r="1324" spans="1:12">
      <c r="A1324" s="20" t="s">
        <v>1486</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1024</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1042</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1114</v>
      </c>
      <c r="B1327" s="21" t="s">
        <v>1026</v>
      </c>
      <c r="C1327" s="21" t="s">
        <v>991</v>
      </c>
      <c r="D1327" s="21" t="s">
        <v>992</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1108</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1073</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1479</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1487</v>
      </c>
      <c r="B1331" s="21" t="s">
        <v>1002</v>
      </c>
      <c r="C1331" s="21" t="s">
        <v>1009</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231</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1479</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t="s">
        <v>1488</v>
      </c>
      <c r="E1334" s="22">
        <f>IF(D1334="?OLD","!!!","")</f>
        <v/>
      </c>
      <c r="F1334" s="23" t="str">
        <f>IF(OR(E1334="",E1334="!!!"),"",IF(NOT(ISNA(VLOOKUP(E1334,E$1:E1333,1,FALSE()))),"OLD",IF(AND(E1334&lt;&gt;"",E1334&lt;&gt;"!!!"),"NEW","")))</f>
        <v> </v>
      </c>
      <c r="G1334" s="24" t="str">
        <f>IF(OR(E1334="",E1334="!!!"),"",IF(OR(J1334=0,AND(J1334=1,K1334=1),AND(J1334=1,I1334="SBJ"),AND(J1334=1,I1334=0)),"?IN_FOCUS",IF(J1334&lt;=2,"?ACTIVATED",IF(J1334&lt;&gt;"","?FAMILIAR",IF(F1334="NEW",IF(ISNA(VLOOKUP(E1334,#REF!,1,FALSE())),"?TYPE_IDENTIFIABLE","?REFERENTIAL"),"_")))))</f>
        <v> </v>
      </c>
      <c r="H1334" s="25" t="str">
        <f>IF(J1334&lt;&gt;1,"",IF(I1334="SBJ","CB","?"))</f>
        <v> </v>
      </c>
      <c r="I1334" s="26" t="str">
        <f>IF(OR(E1334="",E1334="!!!",F1334="NEW"),"",INDEX(B1333:B$2,-1+SUMPRODUCT(MAX(ROW(E1333:E$2)*(E1334=E1333:E$2)))))</f>
        <v> </v>
      </c>
      <c r="J1334" s="26" t="str">
        <f>IF(OR(E1334="",E1334="!!!",F1334="NEW"),"",COUNTBLANK(OFFSET(A$1,,,SUMPRODUCT(MAX(ROW(E$2:E1334)*(E1334=E$2:E1334)))))-COUNTBLANK(OFFSET(A$1,,,SUMPRODUCT(MAX(ROW(E$1:E1333)*(E2=E$1:E1333))))))</f>
        <v> </v>
      </c>
      <c r="K1334" s="26" t="str">
        <f>IF(OR(E1334="",E1334="!!!",F1334="NEW"),"",INDEX(J$1:J1333,SUMPRODUCT(MAX(ROW(E$1:E1333)*(E1334=E$1:E1333)))))</f>
        <v> </v>
      </c>
      <c r="L1334" s="27"/>
    </row>
    <row r="1335" spans="1:12">
      <c r="A1335" s="20" t="s">
        <v>1489</v>
      </c>
      <c r="B1335" s="21" t="s">
        <v>1015</v>
      </c>
      <c r="C1335" s="21" t="s">
        <v>1009</v>
      </c>
      <c r="E1335" s="22">
        <f>IF(D1335="?OLD","!!!","")</f>
        <v/>
      </c>
      <c r="F1335" s="23" t="str">
        <f>IF(OR(E1335="",E1335="!!!"),"",IF(NOT(ISNA(VLOOKUP(E1335,E$1:E1334,1,FALSE()))),"OLD",IF(AND(E1335&lt;&gt;"",E1335&lt;&gt;"!!!"),"NEW","")))</f>
        <v> </v>
      </c>
      <c r="G1335" s="24" t="str">
        <f>IF(OR(E1335="",E1335="!!!"),"",IF(OR(J1335=0,AND(J1335=1,K1335=1),AND(J1335=1,I1335="SBJ"),AND(J1335=1,I1335=0)),"?IN_FOCUS",IF(J1335&lt;=2,"?ACTIVATED",IF(J1335&lt;&gt;"","?FAMILIAR",IF(F1335="NEW",IF(ISNA(VLOOKUP(E1335,#REF!,1,FALSE())),"?TYPE_IDENTIFIABLE","?REFERENTIAL"),"_")))))</f>
        <v> </v>
      </c>
      <c r="H1335" s="25" t="str">
        <f>IF(J1335&lt;&gt;1,"",IF(I1335="SBJ","CB","?"))</f>
        <v> </v>
      </c>
      <c r="I1335" s="26" t="str">
        <f>IF(OR(E1335="",E1335="!!!",F1335="NEW"),"",INDEX(B1334:B$2,-1+SUMPRODUCT(MAX(ROW(E1334:E$2)*(E1335=E1334:E$2)))))</f>
        <v> </v>
      </c>
      <c r="J1335" s="26" t="str">
        <f>IF(OR(E1335="",E1335="!!!",F1335="NEW"),"",COUNTBLANK(OFFSET(A$1,,,SUMPRODUCT(MAX(ROW(E$2:E1335)*(E1335=E$2:E1335)))))-COUNTBLANK(OFFSET(A$1,,,SUMPRODUCT(MAX(ROW(E$1:E1334)*(E2=E$1:E1334))))))</f>
        <v> </v>
      </c>
      <c r="K1335" s="26" t="str">
        <f>IF(OR(E1335="",E1335="!!!",F1335="NEW"),"",INDEX(J$1:J1334,SUMPRODUCT(MAX(ROW(E$1:E1334)*(E1335=E$1:E1334)))))</f>
        <v> </v>
      </c>
      <c r="L1335" s="27"/>
    </row>
    <row r="1336" spans="1:12">
      <c r="A1336" s="20" t="s">
        <v>1024</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1490</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1488</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1489</v>
      </c>
      <c r="B1339" s="21" t="s">
        <v>1015</v>
      </c>
      <c r="C1339" s="21" t="s">
        <v>1009</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998</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row>
    <row r="1342" spans="1:12">
      <c r="A1342" s="20" t="s">
        <v>1491</v>
      </c>
    </row>
    <row r="1343" spans="1:12">
      <c r="A1343" s="20" t="s">
        <v>989</v>
      </c>
      <c r="B1343" s="21" t="s">
        <v>990</v>
      </c>
      <c r="C1343" s="21" t="s">
        <v>991</v>
      </c>
      <c r="D1343" s="21" t="s">
        <v>992</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1492</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t="s">
        <v>1034</v>
      </c>
      <c r="E1345" s="22">
        <f>IF(D1345="?OLD","!!!","")</f>
        <v/>
      </c>
      <c r="F1345" s="23" t="str">
        <f>IF(OR(E1345="",E1345="!!!"),"",IF(NOT(ISNA(VLOOKUP(E1345,E$1:E1344,1,FALSE()))),"OLD",IF(AND(E1345&lt;&gt;"",E1345&lt;&gt;"!!!"),"NEW","")))</f>
        <v> </v>
      </c>
      <c r="G1345" s="24" t="str">
        <f>IF(OR(E1345="",E1345="!!!"),"",IF(OR(J1345=0,AND(J1345=1,K1345=1),AND(J1345=1,I1345="SBJ"),AND(J1345=1,I1345=0)),"?IN_FOCUS",IF(J1345&lt;=2,"?ACTIVATED",IF(J1345&lt;&gt;"","?FAMILIAR",IF(F1345="NEW",IF(ISNA(VLOOKUP(E1345,#REF!,1,FALSE())),"?TYPE_IDENTIFIABLE","?REFERENTIAL"),"_")))))</f>
        <v> </v>
      </c>
      <c r="H1345" s="25" t="str">
        <f>IF(J1345&lt;&gt;1,"",IF(I1345="SBJ","CB","?"))</f>
        <v> </v>
      </c>
      <c r="I1345" s="26" t="str">
        <f>IF(OR(E1345="",E1345="!!!",F1345="NEW"),"",INDEX(B1344:B$2,-1+SUMPRODUCT(MAX(ROW(E1344:E$2)*(E1345=E1344:E$2)))))</f>
        <v> </v>
      </c>
      <c r="J1345" s="26" t="str">
        <f>IF(OR(E1345="",E1345="!!!",F1345="NEW"),"",COUNTBLANK(OFFSET(A$1,,,SUMPRODUCT(MAX(ROW(E$2:E1345)*(E1345=E$2:E1345)))))-COUNTBLANK(OFFSET(A$1,,,SUMPRODUCT(MAX(ROW(E$1:E1344)*(E2=E$1:E1344))))))</f>
        <v> </v>
      </c>
      <c r="K1345" s="26" t="str">
        <f>IF(OR(E1345="",E1345="!!!",F1345="NEW"),"",INDEX(J$1:J1344,SUMPRODUCT(MAX(ROW(E$1:E1344)*(E1345=E$1:E1344)))))</f>
        <v> </v>
      </c>
      <c r="L1345" s="27"/>
    </row>
    <row r="1346" spans="1:12">
      <c r="A1346" s="20" t="s">
        <v>1057</v>
      </c>
      <c r="E1346" s="22">
        <f>IF(D1346="?OLD","!!!","")</f>
        <v/>
      </c>
      <c r="F1346" s="23" t="str">
        <f>IF(OR(E1346="",E1346="!!!"),"",IF(NOT(ISNA(VLOOKUP(E1346,E$1:E1345,1,FALSE()))),"OLD",IF(AND(E1346&lt;&gt;"",E1346&lt;&gt;"!!!"),"NEW","")))</f>
        <v> </v>
      </c>
      <c r="G1346" s="24" t="str">
        <f>IF(OR(E1346="",E1346="!!!"),"",IF(OR(J1346=0,AND(J1346=1,K1346=1),AND(J1346=1,I1346="SBJ"),AND(J1346=1,I1346=0)),"?IN_FOCUS",IF(J1346&lt;=2,"?ACTIVATED",IF(J1346&lt;&gt;"","?FAMILIAR",IF(F1346="NEW",IF(ISNA(VLOOKUP(E1346,#REF!,1,FALSE())),"?TYPE_IDENTIFIABLE","?REFERENTIAL"),"_")))))</f>
        <v> </v>
      </c>
      <c r="H1346" s="25" t="str">
        <f>IF(J1346&lt;&gt;1,"",IF(I1346="SBJ","CB","?"))</f>
        <v> </v>
      </c>
      <c r="I1346" s="26" t="str">
        <f>IF(OR(E1346="",E1346="!!!",F1346="NEW"),"",INDEX(B1345:B$2,-1+SUMPRODUCT(MAX(ROW(E1345:E$2)*(E1346=E1345:E$2)))))</f>
        <v> </v>
      </c>
      <c r="J1346" s="26" t="str">
        <f>IF(OR(E1346="",E1346="!!!",F1346="NEW"),"",COUNTBLANK(OFFSET(A$1,,,SUMPRODUCT(MAX(ROW(E$2:E1346)*(E1346=E$2:E1346)))))-COUNTBLANK(OFFSET(A$1,,,SUMPRODUCT(MAX(ROW(E$1:E1345)*(E2=E$1:E1345))))))</f>
        <v> </v>
      </c>
      <c r="K1346" s="26" t="str">
        <f>IF(OR(E1346="",E1346="!!!",F1346="NEW"),"",INDEX(J$1:J1345,SUMPRODUCT(MAX(ROW(E$1:E1345)*(E1346=E$1:E1345)))))</f>
        <v> </v>
      </c>
      <c r="L1346" s="27"/>
    </row>
    <row r="1347" spans="1:12">
      <c r="A1347" s="20" t="s">
        <v>1466</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1301</v>
      </c>
      <c r="B1348" s="21" t="s">
        <v>995</v>
      </c>
      <c r="C1348" s="21" t="s">
        <v>1022</v>
      </c>
      <c r="D1348" s="21" t="s">
        <v>992</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1213</v>
      </c>
      <c r="B1349" s="21" t="s">
        <v>1015</v>
      </c>
      <c r="C1349" s="21" t="s">
        <v>1076</v>
      </c>
      <c r="D1349" s="21" t="s">
        <v>992</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1476</v>
      </c>
      <c r="B1350" s="21" t="s">
        <v>1002</v>
      </c>
      <c r="C1350" s="21" t="s">
        <v>1121</v>
      </c>
      <c r="D1350" s="21" t="s">
        <v>992</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t="s">
        <v>1108</v>
      </c>
      <c r="E1351" s="22">
        <f>IF(D1351="?OLD","!!!","")</f>
        <v/>
      </c>
      <c r="F1351" s="23" t="str">
        <f>IF(OR(E1351="",E1351="!!!"),"",IF(NOT(ISNA(VLOOKUP(E1351,E$1:E1350,1,FALSE()))),"OLD",IF(AND(E1351&lt;&gt;"",E1351&lt;&gt;"!!!"),"NEW","")))</f>
        <v> </v>
      </c>
      <c r="G1351" s="24" t="str">
        <f>IF(OR(E1351="",E1351="!!!"),"",IF(OR(J1351=0,AND(J1351=1,K1351=1),AND(J1351=1,I1351="SBJ"),AND(J1351=1,I1351=0)),"?IN_FOCUS",IF(J1351&lt;=2,"?ACTIVATED",IF(J1351&lt;&gt;"","?FAMILIAR",IF(F1351="NEW",IF(ISNA(VLOOKUP(E1351,#REF!,1,FALSE())),"?TYPE_IDENTIFIABLE","?REFERENTIAL"),"_")))))</f>
        <v> </v>
      </c>
      <c r="H1351" s="25" t="str">
        <f>IF(J1351&lt;&gt;1,"",IF(I1351="SBJ","CB","?"))</f>
        <v> </v>
      </c>
      <c r="I1351" s="26" t="str">
        <f>IF(OR(E1351="",E1351="!!!",F1351="NEW"),"",INDEX(B1350:B$2,-1+SUMPRODUCT(MAX(ROW(E1350:E$2)*(E1351=E1350:E$2)))))</f>
        <v> </v>
      </c>
      <c r="J1351" s="26" t="str">
        <f>IF(OR(E1351="",E1351="!!!",F1351="NEW"),"",COUNTBLANK(OFFSET(A$1,,,SUMPRODUCT(MAX(ROW(E$2:E1351)*(E1351=E$2:E1351)))))-COUNTBLANK(OFFSET(A$1,,,SUMPRODUCT(MAX(ROW(E$1:E1350)*(E2=E$1:E1350))))))</f>
        <v> </v>
      </c>
      <c r="K1351" s="26" t="str">
        <f>IF(OR(E1351="",E1351="!!!",F1351="NEW"),"",INDEX(J$1:J1350,SUMPRODUCT(MAX(ROW(E$1:E1350)*(E1351=E$1:E1350)))))</f>
        <v> </v>
      </c>
      <c r="L1351" s="27"/>
    </row>
    <row r="1352" spans="1:12">
      <c r="A1352" s="20" t="s">
        <v>998</v>
      </c>
      <c r="E1352" s="22">
        <f>IF(D1352="?OLD","!!!","")</f>
        <v/>
      </c>
      <c r="F1352" s="23" t="str">
        <f>IF(OR(E1352="",E1352="!!!"),"",IF(NOT(ISNA(VLOOKUP(E1352,E$1:E1351,1,FALSE()))),"OLD",IF(AND(E1352&lt;&gt;"",E1352&lt;&gt;"!!!"),"NEW","")))</f>
        <v> </v>
      </c>
      <c r="G1352" s="24" t="str">
        <f>IF(OR(E1352="",E1352="!!!"),"",IF(OR(J1352=0,AND(J1352=1,K1352=1),AND(J1352=1,I1352="SBJ"),AND(J1352=1,I1352=0)),"?IN_FOCUS",IF(J1352&lt;=2,"?ACTIVATED",IF(J1352&lt;&gt;"","?FAMILIAR",IF(F1352="NEW",IF(ISNA(VLOOKUP(E1352,#REF!,1,FALSE())),"?TYPE_IDENTIFIABLE","?REFERENTIAL"),"_")))))</f>
        <v> </v>
      </c>
      <c r="H1352" s="25" t="str">
        <f>IF(J1352&lt;&gt;1,"",IF(I1352="SBJ","CB","?"))</f>
        <v> </v>
      </c>
      <c r="I1352" s="26" t="str">
        <f>IF(OR(E1352="",E1352="!!!",F1352="NEW"),"",INDEX(B1351:B$2,-1+SUMPRODUCT(MAX(ROW(E1351:E$2)*(E1352=E1351:E$2)))))</f>
        <v> </v>
      </c>
      <c r="J1352" s="26" t="str">
        <f>IF(OR(E1352="",E1352="!!!",F1352="NEW"),"",COUNTBLANK(OFFSET(A$1,,,SUMPRODUCT(MAX(ROW(E$2:E1352)*(E1352=E$2:E1352)))))-COUNTBLANK(OFFSET(A$1,,,SUMPRODUCT(MAX(ROW(E$1:E1351)*(E2=E$1:E1351))))))</f>
        <v> </v>
      </c>
      <c r="K1352" s="26" t="str">
        <f>IF(OR(E1352="",E1352="!!!",F1352="NEW"),"",INDEX(J$1:J1351,SUMPRODUCT(MAX(ROW(E$1:E1351)*(E1352=E$1:E1351)))))</f>
        <v> </v>
      </c>
      <c r="L1352" s="27"/>
    </row>
    <row r="1353" spans="1:12">
      <c r="A1353" s="20"/>
    </row>
    <row r="1354" spans="1:12">
      <c r="A1354" s="20" t="s">
        <v>1493</v>
      </c>
    </row>
    <row r="1355" spans="1:12">
      <c r="A1355" s="20" t="s">
        <v>1193</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1024</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1019</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1324</v>
      </c>
      <c r="B1358" s="21" t="s">
        <v>995</v>
      </c>
      <c r="C1358" s="21" t="s">
        <v>1022</v>
      </c>
      <c r="D1358" s="21" t="s">
        <v>992</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576</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1494</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12</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1010</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12</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1409</v>
      </c>
      <c r="B1364" s="21" t="s">
        <v>995</v>
      </c>
      <c r="C1364" s="21" t="s">
        <v>1022</v>
      </c>
      <c r="D1364" s="21" t="s">
        <v>992</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1037</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1396</v>
      </c>
      <c r="B1366" s="21" t="s">
        <v>1015</v>
      </c>
      <c r="C1366" s="21" t="s">
        <v>996</v>
      </c>
      <c r="D1366" s="21" t="s">
        <v>992</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1397</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t="s">
        <v>1398</v>
      </c>
      <c r="E1368" s="22">
        <f>IF(D1368="?OLD","!!!","")</f>
        <v/>
      </c>
      <c r="F1368" s="23" t="str">
        <f>IF(OR(E1368="",E1368="!!!"),"",IF(NOT(ISNA(VLOOKUP(E1368,E$1:E1367,1,FALSE()))),"OLD",IF(AND(E1368&lt;&gt;"",E1368&lt;&gt;"!!!"),"NEW","")))</f>
        <v> </v>
      </c>
      <c r="G1368" s="24" t="str">
        <f>IF(OR(E1368="",E1368="!!!"),"",IF(OR(J1368=0,AND(J1368=1,K1368=1),AND(J1368=1,I1368="SBJ"),AND(J1368=1,I1368=0)),"?IN_FOCUS",IF(J1368&lt;=2,"?ACTIVATED",IF(J1368&lt;&gt;"","?FAMILIAR",IF(F1368="NEW",IF(ISNA(VLOOKUP(E1368,#REF!,1,FALSE())),"?TYPE_IDENTIFIABLE","?REFERENTIAL"),"_")))))</f>
        <v> </v>
      </c>
      <c r="H1368" s="25" t="str">
        <f>IF(J1368&lt;&gt;1,"",IF(I1368="SBJ","CB","?"))</f>
        <v> </v>
      </c>
      <c r="I1368" s="26" t="str">
        <f>IF(OR(E1368="",E1368="!!!",F1368="NEW"),"",INDEX(B1367:B$2,-1+SUMPRODUCT(MAX(ROW(E1367:E$2)*(E1368=E1367:E$2)))))</f>
        <v> </v>
      </c>
      <c r="J1368" s="26" t="str">
        <f>IF(OR(E1368="",E1368="!!!",F1368="NEW"),"",COUNTBLANK(OFFSET(A$1,,,SUMPRODUCT(MAX(ROW(E$2:E1368)*(E1368=E$2:E1368)))))-COUNTBLANK(OFFSET(A$1,,,SUMPRODUCT(MAX(ROW(E$1:E1367)*(E2=E$1:E1367))))))</f>
        <v> </v>
      </c>
      <c r="K1368" s="26" t="str">
        <f>IF(OR(E1368="",E1368="!!!",F1368="NEW"),"",INDEX(J$1:J1367,SUMPRODUCT(MAX(ROW(E$1:E1367)*(E1368=E$1:E1367)))))</f>
        <v> </v>
      </c>
      <c r="L1368" s="27"/>
    </row>
    <row r="1369" spans="1:12">
      <c r="A1369" s="20" t="s">
        <v>1023</v>
      </c>
      <c r="E1369" s="22">
        <f>IF(D1369="?OLD","!!!","")</f>
        <v/>
      </c>
      <c r="F1369" s="23" t="str">
        <f>IF(OR(E1369="",E1369="!!!"),"",IF(NOT(ISNA(VLOOKUP(E1369,E$1:E1368,1,FALSE()))),"OLD",IF(AND(E1369&lt;&gt;"",E1369&lt;&gt;"!!!"),"NEW","")))</f>
        <v> </v>
      </c>
      <c r="G1369" s="24" t="str">
        <f>IF(OR(E1369="",E1369="!!!"),"",IF(OR(J1369=0,AND(J1369=1,K1369=1),AND(J1369=1,I1369="SBJ"),AND(J1369=1,I1369=0)),"?IN_FOCUS",IF(J1369&lt;=2,"?ACTIVATED",IF(J1369&lt;&gt;"","?FAMILIAR",IF(F1369="NEW",IF(ISNA(VLOOKUP(E1369,#REF!,1,FALSE())),"?TYPE_IDENTIFIABLE","?REFERENTIAL"),"_")))))</f>
        <v> </v>
      </c>
      <c r="H1369" s="25" t="str">
        <f>IF(J1369&lt;&gt;1,"",IF(I1369="SBJ","CB","?"))</f>
        <v> </v>
      </c>
      <c r="I1369" s="26" t="str">
        <f>IF(OR(E1369="",E1369="!!!",F1369="NEW"),"",INDEX(B1368:B$2,-1+SUMPRODUCT(MAX(ROW(E1368:E$2)*(E1369=E1368:E$2)))))</f>
        <v> </v>
      </c>
      <c r="J1369" s="26" t="str">
        <f>IF(OR(E1369="",E1369="!!!",F1369="NEW"),"",COUNTBLANK(OFFSET(A$1,,,SUMPRODUCT(MAX(ROW(E$2:E1369)*(E1369=E$2:E1369)))))-COUNTBLANK(OFFSET(A$1,,,SUMPRODUCT(MAX(ROW(E$1:E1368)*(E2=E$1:E1368))))))</f>
        <v> </v>
      </c>
      <c r="K1369" s="26" t="str">
        <f>IF(OR(E1369="",E1369="!!!",F1369="NEW"),"",INDEX(J$1:J1368,SUMPRODUCT(MAX(ROW(E$1:E1368)*(E1369=E$1:E1368)))))</f>
        <v> </v>
      </c>
      <c r="L1369" s="27"/>
    </row>
    <row r="1370" spans="1:12">
      <c r="A1370" s="20" t="s">
        <v>1024</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1116</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1025</v>
      </c>
      <c r="B1372" s="21" t="s">
        <v>1026</v>
      </c>
      <c r="C1372" s="21" t="s">
        <v>991</v>
      </c>
      <c r="D1372" s="21" t="s">
        <v>992</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1173</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1495</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1023</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1024</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1352</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1098</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1057</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1242</v>
      </c>
      <c r="B1380" s="21" t="s">
        <v>1036</v>
      </c>
      <c r="C1380" s="21" t="s">
        <v>1022</v>
      </c>
      <c r="D1380" s="21" t="s">
        <v>992</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1223</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1244</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1245</v>
      </c>
      <c r="B1383" s="21" t="s">
        <v>1060</v>
      </c>
      <c r="C1383" s="21" t="s">
        <v>1045</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1029</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155</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1024</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1116</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1063</v>
      </c>
      <c r="B1388" s="21" t="s">
        <v>1026</v>
      </c>
      <c r="C1388" s="21" t="s">
        <v>1039</v>
      </c>
      <c r="D1388" s="21" t="s">
        <v>992</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1496</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1348</v>
      </c>
      <c r="B1390" s="21" t="s">
        <v>1036</v>
      </c>
      <c r="C1390" s="21" t="s">
        <v>1016</v>
      </c>
      <c r="D1390" s="21" t="s">
        <v>992</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1078</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44</v>
      </c>
      <c r="B1392" s="21" t="s">
        <v>1055</v>
      </c>
      <c r="C1392" s="21" t="s">
        <v>1003</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1034</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1497</v>
      </c>
      <c r="B1394" s="21" t="s">
        <v>1036</v>
      </c>
      <c r="C1394" s="21" t="s">
        <v>1076</v>
      </c>
      <c r="D1394" s="21" t="s">
        <v>992</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1335</v>
      </c>
      <c r="B1395" s="21" t="s">
        <v>1015</v>
      </c>
      <c r="C1395" s="21" t="s">
        <v>1121</v>
      </c>
      <c r="D1395" s="21" t="s">
        <v>992</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37</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998</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row>
    <row r="1399" spans="1:12">
      <c r="A1399" s="20" t="s">
        <v>1498</v>
      </c>
    </row>
    <row r="1400" spans="1:12">
      <c r="A1400" s="20" t="s">
        <v>1206</v>
      </c>
      <c r="B1400" s="21" t="s">
        <v>990</v>
      </c>
      <c r="C1400" s="21" t="s">
        <v>991</v>
      </c>
      <c r="D1400" s="21" t="s">
        <v>992</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1107</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289</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1322</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1305</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1031</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1035</v>
      </c>
      <c r="B1406" s="21" t="s">
        <v>995</v>
      </c>
      <c r="C1406" s="21" t="s">
        <v>1022</v>
      </c>
      <c r="D1406" s="21" t="s">
        <v>992</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998</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row>
    <row r="1409" spans="1:12">
      <c r="A1409" s="20" t="s">
        <v>1499</v>
      </c>
    </row>
    <row r="1410" spans="1:12">
      <c r="A1410" s="20" t="s">
        <v>1500</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1501</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29</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1502</v>
      </c>
      <c r="B1413" s="21" t="s">
        <v>1036</v>
      </c>
      <c r="C1413" s="21" t="s">
        <v>1054</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1396</v>
      </c>
      <c r="B1414" s="21" t="s">
        <v>1026</v>
      </c>
      <c r="C1414" s="21" t="s">
        <v>996</v>
      </c>
      <c r="D1414" s="21" t="s">
        <v>992</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1397</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1398</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12</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1208</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1503</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1504</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1283</v>
      </c>
      <c r="B1421" s="21" t="s">
        <v>1015</v>
      </c>
      <c r="C1421" s="21" t="s">
        <v>1009</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1505</v>
      </c>
      <c r="B1422" s="21" t="s">
        <v>995</v>
      </c>
      <c r="C1422" s="21" t="s">
        <v>1003</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1137</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t="s">
        <v>1506</v>
      </c>
      <c r="E1424" s="22">
        <f>IF(D1424="?OLD","!!!","")</f>
        <v/>
      </c>
      <c r="F1424" s="23" t="str">
        <f>IF(OR(E1424="",E1424="!!!"),"",IF(NOT(ISNA(VLOOKUP(E1424,E$1:E1423,1,FALSE()))),"OLD",IF(AND(E1424&lt;&gt;"",E1424&lt;&gt;"!!!"),"NEW","")))</f>
        <v> </v>
      </c>
      <c r="G1424" s="24" t="str">
        <f>IF(OR(E1424="",E1424="!!!"),"",IF(OR(J1424=0,AND(J1424=1,K1424=1),AND(J1424=1,I1424="SBJ"),AND(J1424=1,I1424=0)),"?IN_FOCUS",IF(J1424&lt;=2,"?ACTIVATED",IF(J1424&lt;&gt;"","?FAMILIAR",IF(F1424="NEW",IF(ISNA(VLOOKUP(E1424,#REF!,1,FALSE())),"?TYPE_IDENTIFIABLE","?REFERENTIAL"),"_")))))</f>
        <v> </v>
      </c>
      <c r="H1424" s="25" t="str">
        <f>IF(J1424&lt;&gt;1,"",IF(I1424="SBJ","CB","?"))</f>
        <v> </v>
      </c>
      <c r="I1424" s="26" t="str">
        <f>IF(OR(E1424="",E1424="!!!",F1424="NEW"),"",INDEX(B1423:B$2,-1+SUMPRODUCT(MAX(ROW(E1423:E$2)*(E1424=E1423:E$2)))))</f>
        <v> </v>
      </c>
      <c r="J1424" s="26" t="str">
        <f>IF(OR(E1424="",E1424="!!!",F1424="NEW"),"",COUNTBLANK(OFFSET(A$1,,,SUMPRODUCT(MAX(ROW(E$2:E1424)*(E1424=E$2:E1424)))))-COUNTBLANK(OFFSET(A$1,,,SUMPRODUCT(MAX(ROW(E$1:E1423)*(E2=E$1:E1423))))))</f>
        <v> </v>
      </c>
      <c r="K1424" s="26" t="str">
        <f>IF(OR(E1424="",E1424="!!!",F1424="NEW"),"",INDEX(J$1:J1423,SUMPRODUCT(MAX(ROW(E$1:E1423)*(E1424=E$1:E1423)))))</f>
        <v> </v>
      </c>
      <c r="L1424" s="27"/>
    </row>
    <row r="1425" spans="1:12">
      <c r="A1425" s="20" t="s">
        <v>1024</v>
      </c>
      <c r="E1425" s="22">
        <f>IF(D1425="?OLD","!!!","")</f>
        <v/>
      </c>
      <c r="F1425" s="23" t="str">
        <f>IF(OR(E1425="",E1425="!!!"),"",IF(NOT(ISNA(VLOOKUP(E1425,E$1:E1424,1,FALSE()))),"OLD",IF(AND(E1425&lt;&gt;"",E1425&lt;&gt;"!!!"),"NEW","")))</f>
        <v> </v>
      </c>
      <c r="G1425" s="24" t="str">
        <f>IF(OR(E1425="",E1425="!!!"),"",IF(OR(J1425=0,AND(J1425=1,K1425=1),AND(J1425=1,I1425="SBJ"),AND(J1425=1,I1425=0)),"?IN_FOCUS",IF(J1425&lt;=2,"?ACTIVATED",IF(J1425&lt;&gt;"","?FAMILIAR",IF(F1425="NEW",IF(ISNA(VLOOKUP(E1425,#REF!,1,FALSE())),"?TYPE_IDENTIFIABLE","?REFERENTIAL"),"_")))))</f>
        <v> </v>
      </c>
      <c r="H1425" s="25" t="str">
        <f>IF(J1425&lt;&gt;1,"",IF(I1425="SBJ","CB","?"))</f>
        <v> </v>
      </c>
      <c r="I1425" s="26" t="str">
        <f>IF(OR(E1425="",E1425="!!!",F1425="NEW"),"",INDEX(B1424:B$2,-1+SUMPRODUCT(MAX(ROW(E1424:E$2)*(E1425=E1424:E$2)))))</f>
        <v> </v>
      </c>
      <c r="J1425" s="26" t="str">
        <f>IF(OR(E1425="",E1425="!!!",F1425="NEW"),"",COUNTBLANK(OFFSET(A$1,,,SUMPRODUCT(MAX(ROW(E$2:E1425)*(E1425=E$2:E1425)))))-COUNTBLANK(OFFSET(A$1,,,SUMPRODUCT(MAX(ROW(E$1:E1424)*(E2=E$1:E1424))))))</f>
        <v> </v>
      </c>
      <c r="K1425" s="26" t="str">
        <f>IF(OR(E1425="",E1425="!!!",F1425="NEW"),"",INDEX(J$1:J1424,SUMPRODUCT(MAX(ROW(E$1:E1424)*(E1425=E$1:E1424)))))</f>
        <v> </v>
      </c>
      <c r="L1425" s="27"/>
    </row>
    <row r="1426" spans="1:12">
      <c r="A1426" s="20" t="s">
        <v>1031</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1507</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1088</v>
      </c>
      <c r="B1428" s="21" t="s">
        <v>1055</v>
      </c>
      <c r="C1428" s="21" t="s">
        <v>1022</v>
      </c>
      <c r="D1428" s="21" t="s">
        <v>992</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1071</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1508</v>
      </c>
      <c r="B1430" s="21" t="s">
        <v>1036</v>
      </c>
      <c r="C1430" s="21" t="s">
        <v>996</v>
      </c>
      <c r="D1430" s="21" t="s">
        <v>992</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1029</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1092</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998</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row>
    <row r="1435" spans="1:12">
      <c r="A1435" s="20" t="s">
        <v>1509</v>
      </c>
    </row>
    <row r="1436" spans="1:12">
      <c r="A1436" s="20" t="s">
        <v>1075</v>
      </c>
      <c r="B1436" s="21" t="s">
        <v>990</v>
      </c>
      <c r="C1436" s="21" t="s">
        <v>1039</v>
      </c>
      <c r="D1436" s="21" t="s">
        <v>992</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1023</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1108</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1510</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1082</v>
      </c>
      <c r="B1440" s="21" t="s">
        <v>995</v>
      </c>
      <c r="C1440" s="21" t="s">
        <v>1054</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1511</v>
      </c>
      <c r="B1441" s="21" t="s">
        <v>995</v>
      </c>
      <c r="C1441" s="21" t="s">
        <v>1003</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998</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row>
    <row r="1444" spans="1:12">
      <c r="A1444" s="20" t="s">
        <v>1512</v>
      </c>
    </row>
    <row r="1445" spans="1:12">
      <c r="A1445" s="20" t="s">
        <v>1267</v>
      </c>
      <c r="B1445" s="21" t="s">
        <v>990</v>
      </c>
      <c r="C1445" s="21" t="s">
        <v>991</v>
      </c>
      <c r="D1445" s="21" t="s">
        <v>992</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1513</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1072</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1514</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998</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row>
    <row r="1451" spans="1:12">
      <c r="A1451" s="20" t="s">
        <v>1515</v>
      </c>
    </row>
    <row r="1452" spans="1:12">
      <c r="A1452" s="20" t="s">
        <v>1423</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1111</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1025</v>
      </c>
      <c r="B1454" s="21" t="s">
        <v>1002</v>
      </c>
      <c r="C1454" s="21" t="s">
        <v>991</v>
      </c>
      <c r="D1454" s="21" t="s">
        <v>992</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1516</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1034</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1057</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1517</v>
      </c>
      <c r="B1458" s="21" t="s">
        <v>995</v>
      </c>
      <c r="C1458" s="21" t="s">
        <v>1022</v>
      </c>
      <c r="D1458" s="21" t="s">
        <v>992</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1029</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110</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1073</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1518</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t="s">
        <v>1504</v>
      </c>
      <c r="E1463" s="22">
        <f>IF(D1463="?OLD","!!!","")</f>
        <v/>
      </c>
      <c r="F1463" s="23" t="str">
        <f>IF(OR(E1463="",E1463="!!!"),"",IF(NOT(ISNA(VLOOKUP(E1463,E$1:E1462,1,FALSE()))),"OLD",IF(AND(E1463&lt;&gt;"",E1463&lt;&gt;"!!!"),"NEW","")))</f>
        <v> </v>
      </c>
      <c r="G1463" s="24" t="str">
        <f>IF(OR(E1463="",E1463="!!!"),"",IF(OR(J1463=0,AND(J1463=1,K1463=1),AND(J1463=1,I1463="SBJ"),AND(J1463=1,I1463=0)),"?IN_FOCUS",IF(J1463&lt;=2,"?ACTIVATED",IF(J1463&lt;&gt;"","?FAMILIAR",IF(F1463="NEW",IF(ISNA(VLOOKUP(E1463,#REF!,1,FALSE())),"?TYPE_IDENTIFIABLE","?REFERENTIAL"),"_")))))</f>
        <v> </v>
      </c>
      <c r="H1463" s="25" t="str">
        <f>IF(J1463&lt;&gt;1,"",IF(I1463="SBJ","CB","?"))</f>
        <v> </v>
      </c>
      <c r="I1463" s="26" t="str">
        <f>IF(OR(E1463="",E1463="!!!",F1463="NEW"),"",INDEX(B1462:B$2,-1+SUMPRODUCT(MAX(ROW(E1462:E$2)*(E1463=E1462:E$2)))))</f>
        <v> </v>
      </c>
      <c r="J1463" s="26" t="str">
        <f>IF(OR(E1463="",E1463="!!!",F1463="NEW"),"",COUNTBLANK(OFFSET(A$1,,,SUMPRODUCT(MAX(ROW(E$2:E1463)*(E1463=E$2:E1463)))))-COUNTBLANK(OFFSET(A$1,,,SUMPRODUCT(MAX(ROW(E$1:E1462)*(E2=E$1:E1462))))))</f>
        <v> </v>
      </c>
      <c r="K1463" s="26" t="str">
        <f>IF(OR(E1463="",E1463="!!!",F1463="NEW"),"",INDEX(J$1:J1462,SUMPRODUCT(MAX(ROW(E$1:E1462)*(E1463=E$1:E1462)))))</f>
        <v> </v>
      </c>
      <c r="L1463" s="27"/>
    </row>
    <row r="1464" spans="1:12">
      <c r="A1464" s="20" t="s">
        <v>1283</v>
      </c>
      <c r="B1464" s="21" t="s">
        <v>1036</v>
      </c>
      <c r="C1464" s="21" t="s">
        <v>1009</v>
      </c>
      <c r="E1464" s="22">
        <f>IF(D1464="?OLD","!!!","")</f>
        <v/>
      </c>
      <c r="F1464" s="23" t="str">
        <f>IF(OR(E1464="",E1464="!!!"),"",IF(NOT(ISNA(VLOOKUP(E1464,E$1:E1463,1,FALSE()))),"OLD",IF(AND(E1464&lt;&gt;"",E1464&lt;&gt;"!!!"),"NEW","")))</f>
        <v> </v>
      </c>
      <c r="G1464" s="24" t="str">
        <f>IF(OR(E1464="",E1464="!!!"),"",IF(OR(J1464=0,AND(J1464=1,K1464=1),AND(J1464=1,I1464="SBJ"),AND(J1464=1,I1464=0)),"?IN_FOCUS",IF(J1464&lt;=2,"?ACTIVATED",IF(J1464&lt;&gt;"","?FAMILIAR",IF(F1464="NEW",IF(ISNA(VLOOKUP(E1464,#REF!,1,FALSE())),"?TYPE_IDENTIFIABLE","?REFERENTIAL"),"_")))))</f>
        <v> </v>
      </c>
      <c r="H1464" s="25" t="str">
        <f>IF(J1464&lt;&gt;1,"",IF(I1464="SBJ","CB","?"))</f>
        <v> </v>
      </c>
      <c r="I1464" s="26" t="str">
        <f>IF(OR(E1464="",E1464="!!!",F1464="NEW"),"",INDEX(B1463:B$2,-1+SUMPRODUCT(MAX(ROW(E1463:E$2)*(E1464=E1463:E$2)))))</f>
        <v> </v>
      </c>
      <c r="J1464" s="26" t="str">
        <f>IF(OR(E1464="",E1464="!!!",F1464="NEW"),"",COUNTBLANK(OFFSET(A$1,,,SUMPRODUCT(MAX(ROW(E$2:E1464)*(E1464=E$2:E1464)))))-COUNTBLANK(OFFSET(A$1,,,SUMPRODUCT(MAX(ROW(E$1:E1463)*(E2=E$1:E1463))))))</f>
        <v> </v>
      </c>
      <c r="K1464" s="26" t="str">
        <f>IF(OR(E1464="",E1464="!!!",F1464="NEW"),"",INDEX(J$1:J1463,SUMPRODUCT(MAX(ROW(E$1:E1463)*(E1464=E$1:E1463)))))</f>
        <v> </v>
      </c>
      <c r="L1464" s="27"/>
    </row>
    <row r="1465" spans="1:12">
      <c r="A1465" s="20" t="s">
        <v>1008</v>
      </c>
      <c r="B1465" s="21" t="s">
        <v>1015</v>
      </c>
      <c r="C1465" s="21" t="s">
        <v>1003</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1519</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1348</v>
      </c>
      <c r="B1467" s="21" t="s">
        <v>1036</v>
      </c>
      <c r="C1467" s="21" t="s">
        <v>1016</v>
      </c>
      <c r="D1467" s="21" t="s">
        <v>992</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1520</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1521</v>
      </c>
      <c r="B1469" s="21" t="s">
        <v>1026</v>
      </c>
      <c r="C1469" s="21" t="s">
        <v>1003</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1522</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1029</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285</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998</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row>
    <row r="1475" spans="1:12">
      <c r="A1475" s="20" t="s">
        <v>1523</v>
      </c>
    </row>
    <row r="1476" spans="1:12">
      <c r="A1476" s="20" t="s">
        <v>1524</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1525</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1526</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335</v>
      </c>
      <c r="B1479" s="21" t="s">
        <v>995</v>
      </c>
      <c r="C1479" s="21" t="s">
        <v>1022</v>
      </c>
      <c r="D1479" s="21" t="s">
        <v>992</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t="s">
        <v>749</v>
      </c>
      <c r="E1480" s="22">
        <f>IF(D1480="?OLD","!!!","")</f>
        <v/>
      </c>
      <c r="F1480" s="23" t="str">
        <f>IF(OR(E1480="",E1480="!!!"),"",IF(NOT(ISNA(VLOOKUP(E1480,E$1:E1479,1,FALSE()))),"OLD",IF(AND(E1480&lt;&gt;"",E1480&lt;&gt;"!!!"),"NEW","")))</f>
        <v> </v>
      </c>
      <c r="G1480" s="24" t="str">
        <f>IF(OR(E1480="",E1480="!!!"),"",IF(OR(J1480=0,AND(J1480=1,K1480=1),AND(J1480=1,I1480="SBJ"),AND(J1480=1,I1480=0)),"?IN_FOCUS",IF(J1480&lt;=2,"?ACTIVATED",IF(J1480&lt;&gt;"","?FAMILIAR",IF(F1480="NEW",IF(ISNA(VLOOKUP(E1480,#REF!,1,FALSE())),"?TYPE_IDENTIFIABLE","?REFERENTIAL"),"_")))))</f>
        <v> </v>
      </c>
      <c r="H1480" s="25" t="str">
        <f>IF(J1480&lt;&gt;1,"",IF(I1480="SBJ","CB","?"))</f>
        <v> </v>
      </c>
      <c r="I1480" s="26" t="str">
        <f>IF(OR(E1480="",E1480="!!!",F1480="NEW"),"",INDEX(B1479:B$2,-1+SUMPRODUCT(MAX(ROW(E1479:E$2)*(E1480=E1479:E$2)))))</f>
        <v> </v>
      </c>
      <c r="J1480" s="26" t="str">
        <f>IF(OR(E1480="",E1480="!!!",F1480="NEW"),"",COUNTBLANK(OFFSET(A$1,,,SUMPRODUCT(MAX(ROW(E$2:E1480)*(E1480=E$2:E1480)))))-COUNTBLANK(OFFSET(A$1,,,SUMPRODUCT(MAX(ROW(E$1:E1479)*(E2=E$1:E1479))))))</f>
        <v> </v>
      </c>
      <c r="K1480" s="26" t="str">
        <f>IF(OR(E1480="",E1480="!!!",F1480="NEW"),"",INDEX(J$1:J1479,SUMPRODUCT(MAX(ROW(E$1:E1479)*(E1480=E$1:E1479)))))</f>
        <v> </v>
      </c>
      <c r="L1480" s="27"/>
    </row>
    <row r="1481" spans="1:12">
      <c r="A1481" s="20" t="s">
        <v>998</v>
      </c>
      <c r="E1481" s="22">
        <f>IF(D1481="?OLD","!!!","")</f>
        <v/>
      </c>
      <c r="F1481" s="23" t="str">
        <f>IF(OR(E1481="",E1481="!!!"),"",IF(NOT(ISNA(VLOOKUP(E1481,E$1:E1480,1,FALSE()))),"OLD",IF(AND(E1481&lt;&gt;"",E1481&lt;&gt;"!!!"),"NEW","")))</f>
        <v> </v>
      </c>
      <c r="G1481" s="24" t="str">
        <f>IF(OR(E1481="",E1481="!!!"),"",IF(OR(J1481=0,AND(J1481=1,K1481=1),AND(J1481=1,I1481="SBJ"),AND(J1481=1,I1481=0)),"?IN_FOCUS",IF(J1481&lt;=2,"?ACTIVATED",IF(J1481&lt;&gt;"","?FAMILIAR",IF(F1481="NEW",IF(ISNA(VLOOKUP(E1481,#REF!,1,FALSE())),"?TYPE_IDENTIFIABLE","?REFERENTIAL"),"_")))))</f>
        <v> </v>
      </c>
      <c r="H1481" s="25" t="str">
        <f>IF(J1481&lt;&gt;1,"",IF(I1481="SBJ","CB","?"))</f>
        <v> </v>
      </c>
      <c r="I1481" s="26" t="str">
        <f>IF(OR(E1481="",E1481="!!!",F1481="NEW"),"",INDEX(B1480:B$2,-1+SUMPRODUCT(MAX(ROW(E1480:E$2)*(E1481=E1480:E$2)))))</f>
        <v> </v>
      </c>
      <c r="J1481" s="26" t="str">
        <f>IF(OR(E1481="",E1481="!!!",F1481="NEW"),"",COUNTBLANK(OFFSET(A$1,,,SUMPRODUCT(MAX(ROW(E$2:E1481)*(E1481=E$2:E1481)))))-COUNTBLANK(OFFSET(A$1,,,SUMPRODUCT(MAX(ROW(E$1:E1480)*(E2=E$1:E1480))))))</f>
        <v> </v>
      </c>
      <c r="K1481" s="26" t="str">
        <f>IF(OR(E1481="",E1481="!!!",F1481="NEW"),"",INDEX(J$1:J1480,SUMPRODUCT(MAX(ROW(E$1:E1480)*(E1481=E$1:E1480)))))</f>
        <v> </v>
      </c>
      <c r="L1481" s="27"/>
    </row>
    <row r="1482" spans="1:12">
      <c r="A1482" s="20"/>
    </row>
    <row r="1483" spans="1:12">
      <c r="A1483" s="20" t="s">
        <v>1527</v>
      </c>
    </row>
    <row r="1484" spans="1:12">
      <c r="A1484" s="20" t="s">
        <v>129</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1024</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749</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t="s">
        <v>1084</v>
      </c>
      <c r="E1487" s="22">
        <f>IF(D1487="?OLD","!!!","")</f>
        <v/>
      </c>
      <c r="F1487" s="23" t="str">
        <f>IF(OR(E1487="",E1487="!!!"),"",IF(NOT(ISNA(VLOOKUP(E1487,E$1:E1486,1,FALSE()))),"OLD",IF(AND(E1487&lt;&gt;"",E1487&lt;&gt;"!!!"),"NEW","")))</f>
        <v> </v>
      </c>
      <c r="G1487" s="24" t="str">
        <f>IF(OR(E1487="",E1487="!!!"),"",IF(OR(J1487=0,AND(J1487=1,K1487=1),AND(J1487=1,I1487="SBJ"),AND(J1487=1,I1487=0)),"?IN_FOCUS",IF(J1487&lt;=2,"?ACTIVATED",IF(J1487&lt;&gt;"","?FAMILIAR",IF(F1487="NEW",IF(ISNA(VLOOKUP(E1487,#REF!,1,FALSE())),"?TYPE_IDENTIFIABLE","?REFERENTIAL"),"_")))))</f>
        <v> </v>
      </c>
      <c r="H1487" s="25" t="str">
        <f>IF(J1487&lt;&gt;1,"",IF(I1487="SBJ","CB","?"))</f>
        <v> </v>
      </c>
      <c r="I1487" s="26" t="str">
        <f>IF(OR(E1487="",E1487="!!!",F1487="NEW"),"",INDEX(B1486:B$2,-1+SUMPRODUCT(MAX(ROW(E1486:E$2)*(E1487=E1486:E$2)))))</f>
        <v> </v>
      </c>
      <c r="J1487" s="26" t="str">
        <f>IF(OR(E1487="",E1487="!!!",F1487="NEW"),"",COUNTBLANK(OFFSET(A$1,,,SUMPRODUCT(MAX(ROW(E$2:E1487)*(E1487=E$2:E1487)))))-COUNTBLANK(OFFSET(A$1,,,SUMPRODUCT(MAX(ROW(E$1:E1486)*(E2=E$1:E1486))))))</f>
        <v> </v>
      </c>
      <c r="K1487" s="26" t="str">
        <f>IF(OR(E1487="",E1487="!!!",F1487="NEW"),"",INDEX(J$1:J1486,SUMPRODUCT(MAX(ROW(E$1:E1486)*(E1487=E$1:E1486)))))</f>
        <v> </v>
      </c>
      <c r="L1487" s="27"/>
    </row>
    <row r="1488" spans="1:12">
      <c r="A1488" s="20" t="s">
        <v>1063</v>
      </c>
      <c r="B1488" s="21" t="s">
        <v>1234</v>
      </c>
      <c r="C1488" s="21" t="s">
        <v>1039</v>
      </c>
      <c r="D1488" s="21" t="s">
        <v>992</v>
      </c>
      <c r="E1488" s="22">
        <f>IF(D1488="?OLD","!!!","")</f>
        <v/>
      </c>
      <c r="F1488" s="23" t="str">
        <f>IF(OR(E1488="",E1488="!!!"),"",IF(NOT(ISNA(VLOOKUP(E1488,E$1:E1487,1,FALSE()))),"OLD",IF(AND(E1488&lt;&gt;"",E1488&lt;&gt;"!!!"),"NEW","")))</f>
        <v> </v>
      </c>
      <c r="G1488" s="24" t="str">
        <f>IF(OR(E1488="",E1488="!!!"),"",IF(OR(J1488=0,AND(J1488=1,K1488=1),AND(J1488=1,I1488="SBJ"),AND(J1488=1,I1488=0)),"?IN_FOCUS",IF(J1488&lt;=2,"?ACTIVATED",IF(J1488&lt;&gt;"","?FAMILIAR",IF(F1488="NEW",IF(ISNA(VLOOKUP(E1488,#REF!,1,FALSE())),"?TYPE_IDENTIFIABLE","?REFERENTIAL"),"_")))))</f>
        <v> </v>
      </c>
      <c r="H1488" s="25" t="str">
        <f>IF(J1488&lt;&gt;1,"",IF(I1488="SBJ","CB","?"))</f>
        <v> </v>
      </c>
      <c r="I1488" s="26" t="str">
        <f>IF(OR(E1488="",E1488="!!!",F1488="NEW"),"",INDEX(B1487:B$2,-1+SUMPRODUCT(MAX(ROW(E1487:E$2)*(E1488=E1487:E$2)))))</f>
        <v> </v>
      </c>
      <c r="J1488" s="26" t="str">
        <f>IF(OR(E1488="",E1488="!!!",F1488="NEW"),"",COUNTBLANK(OFFSET(A$1,,,SUMPRODUCT(MAX(ROW(E$2:E1488)*(E1488=E$2:E1488)))))-COUNTBLANK(OFFSET(A$1,,,SUMPRODUCT(MAX(ROW(E$1:E1487)*(E2=E$1:E1487))))))</f>
        <v> </v>
      </c>
      <c r="K1488" s="26" t="str">
        <f>IF(OR(E1488="",E1488="!!!",F1488="NEW"),"",INDEX(J$1:J1487,SUMPRODUCT(MAX(ROW(E$1:E1487)*(E1488=E$1:E1487)))))</f>
        <v> </v>
      </c>
      <c r="L1488" s="27"/>
    </row>
    <row r="1489" spans="1:12">
      <c r="A1489" s="20" t="s">
        <v>1528</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1529</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1024</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1037</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1083</v>
      </c>
      <c r="B1493" s="21" t="s">
        <v>1463</v>
      </c>
      <c r="C1493" s="21" t="s">
        <v>1039</v>
      </c>
      <c r="D1493" s="21" t="s">
        <v>992</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44</v>
      </c>
      <c r="B1494" s="21" t="s">
        <v>1178</v>
      </c>
      <c r="C1494" s="21" t="s">
        <v>1009</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1063</v>
      </c>
      <c r="B1495" s="21" t="s">
        <v>1530</v>
      </c>
      <c r="C1495" s="21" t="s">
        <v>1039</v>
      </c>
      <c r="D1495" s="21" t="s">
        <v>992</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415</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1056</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1040</v>
      </c>
      <c r="B1498" s="21" t="s">
        <v>1178</v>
      </c>
      <c r="C1498" s="21" t="s">
        <v>1003</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37</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1024</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1531</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1019</v>
      </c>
      <c r="B1502" s="21" t="s">
        <v>990</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1328</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1532</v>
      </c>
      <c r="B1504" s="21" t="s">
        <v>1002</v>
      </c>
      <c r="C1504" s="21" t="s">
        <v>1003</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1024</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1533</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1085</v>
      </c>
      <c r="B1507" s="21" t="s">
        <v>990</v>
      </c>
      <c r="C1507" s="21" t="s">
        <v>1054</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1347</v>
      </c>
      <c r="B1508" s="21" t="s">
        <v>1002</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1031</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44</v>
      </c>
      <c r="B1510" s="21" t="s">
        <v>990</v>
      </c>
      <c r="C1510" s="21" t="s">
        <v>1022</v>
      </c>
      <c r="D1510" s="21" t="s">
        <v>992</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1034</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1057</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t="s">
        <v>1534</v>
      </c>
      <c r="B1513" s="21" t="s">
        <v>995</v>
      </c>
      <c r="C1513" s="21" t="s">
        <v>1022</v>
      </c>
      <c r="D1513" s="21" t="s">
        <v>992</v>
      </c>
      <c r="E1513" s="22">
        <f>IF(D1513="?OLD","!!!","")</f>
        <v/>
      </c>
      <c r="F1513" s="23" t="str">
        <f>IF(OR(E1513="",E1513="!!!"),"",IF(NOT(ISNA(VLOOKUP(E1513,E$1:E1512,1,FALSE()))),"OLD",IF(AND(E1513&lt;&gt;"",E1513&lt;&gt;"!!!"),"NEW","")))</f>
        <v> </v>
      </c>
      <c r="G1513" s="24" t="str">
        <f>IF(OR(E1513="",E1513="!!!"),"",IF(OR(J1513=0,AND(J1513=1,K1513=1),AND(J1513=1,I1513="SBJ"),AND(J1513=1,I1513=0)),"?IN_FOCUS",IF(J1513&lt;=2,"?ACTIVATED",IF(J1513&lt;&gt;"","?FAMILIAR",IF(F1513="NEW",IF(ISNA(VLOOKUP(E1513,#REF!,1,FALSE())),"?TYPE_IDENTIFIABLE","?REFERENTIAL"),"_")))))</f>
        <v> </v>
      </c>
      <c r="H1513" s="25" t="str">
        <f>IF(J1513&lt;&gt;1,"",IF(I1513="SBJ","CB","?"))</f>
        <v> </v>
      </c>
      <c r="I1513" s="26" t="str">
        <f>IF(OR(E1513="",E1513="!!!",F1513="NEW"),"",INDEX(B1512:B$2,-1+SUMPRODUCT(MAX(ROW(E1512:E$2)*(E1513=E1512:E$2)))))</f>
        <v> </v>
      </c>
      <c r="J1513" s="26" t="str">
        <f>IF(OR(E1513="",E1513="!!!",F1513="NEW"),"",COUNTBLANK(OFFSET(A$1,,,SUMPRODUCT(MAX(ROW(E$2:E1513)*(E1513=E$2:E1513)))))-COUNTBLANK(OFFSET(A$1,,,SUMPRODUCT(MAX(ROW(E$1:E1512)*(E2=E$1:E1512))))))</f>
        <v> </v>
      </c>
      <c r="K1513" s="26" t="str">
        <f>IF(OR(E1513="",E1513="!!!",F1513="NEW"),"",INDEX(J$1:J1512,SUMPRODUCT(MAX(ROW(E$1:E1512)*(E1513=E$1:E1512)))))</f>
        <v> </v>
      </c>
      <c r="L1513" s="27"/>
    </row>
    <row r="1514" spans="1:12">
      <c r="A1514" s="20" t="s">
        <v>1118</v>
      </c>
      <c r="E1514" s="22">
        <f>IF(D1514="?OLD","!!!","")</f>
        <v/>
      </c>
      <c r="F1514" s="23" t="str">
        <f>IF(OR(E1514="",E1514="!!!"),"",IF(NOT(ISNA(VLOOKUP(E1514,E$1:E1513,1,FALSE()))),"OLD",IF(AND(E1514&lt;&gt;"",E1514&lt;&gt;"!!!"),"NEW","")))</f>
        <v> </v>
      </c>
      <c r="G1514" s="24" t="str">
        <f>IF(OR(E1514="",E1514="!!!"),"",IF(OR(J1514=0,AND(J1514=1,K1514=1),AND(J1514=1,I1514="SBJ"),AND(J1514=1,I1514=0)),"?IN_FOCUS",IF(J1514&lt;=2,"?ACTIVATED",IF(J1514&lt;&gt;"","?FAMILIAR",IF(F1514="NEW",IF(ISNA(VLOOKUP(E1514,#REF!,1,FALSE())),"?TYPE_IDENTIFIABLE","?REFERENTIAL"),"_")))))</f>
        <v> </v>
      </c>
      <c r="H1514" s="25" t="str">
        <f>IF(J1514&lt;&gt;1,"",IF(I1514="SBJ","CB","?"))</f>
        <v> </v>
      </c>
      <c r="I1514" s="26" t="str">
        <f>IF(OR(E1514="",E1514="!!!",F1514="NEW"),"",INDEX(B1513:B$2,-1+SUMPRODUCT(MAX(ROW(E1513:E$2)*(E1514=E1513:E$2)))))</f>
        <v> </v>
      </c>
      <c r="J1514" s="26" t="str">
        <f>IF(OR(E1514="",E1514="!!!",F1514="NEW"),"",COUNTBLANK(OFFSET(A$1,,,SUMPRODUCT(MAX(ROW(E$2:E1514)*(E1514=E$2:E1514)))))-COUNTBLANK(OFFSET(A$1,,,SUMPRODUCT(MAX(ROW(E$1:E1513)*(E2=E$1:E1513))))))</f>
        <v> </v>
      </c>
      <c r="K1514" s="26" t="str">
        <f>IF(OR(E1514="",E1514="!!!",F1514="NEW"),"",INDEX(J$1:J1513,SUMPRODUCT(MAX(ROW(E$1:E1513)*(E1514=E$1:E1513)))))</f>
        <v> </v>
      </c>
      <c r="L1514" s="27"/>
    </row>
    <row r="1515" spans="1:12">
      <c r="A1515" s="20" t="s">
        <v>1031</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1535</v>
      </c>
      <c r="B1516" s="21" t="s">
        <v>1015</v>
      </c>
      <c r="C1516" s="21" t="s">
        <v>1022</v>
      </c>
      <c r="D1516" s="21" t="s">
        <v>992</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576</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1176</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1536</v>
      </c>
      <c r="B1519" s="21" t="s">
        <v>1036</v>
      </c>
      <c r="C1519" s="21" t="s">
        <v>1022</v>
      </c>
      <c r="D1519" s="21" t="s">
        <v>992</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1196</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1232</v>
      </c>
      <c r="B1521" s="21" t="s">
        <v>1036</v>
      </c>
      <c r="C1521" s="21" t="s">
        <v>1003</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t="s">
        <v>1537</v>
      </c>
      <c r="E1522" s="22">
        <f>IF(D1522="?OLD","!!!","")</f>
        <v/>
      </c>
      <c r="F1522" s="23" t="str">
        <f>IF(OR(E1522="",E1522="!!!"),"",IF(NOT(ISNA(VLOOKUP(E1522,E$1:E1521,1,FALSE()))),"OLD",IF(AND(E1522&lt;&gt;"",E1522&lt;&gt;"!!!"),"NEW","")))</f>
        <v> </v>
      </c>
      <c r="G1522" s="24" t="str">
        <f>IF(OR(E1522="",E1522="!!!"),"",IF(OR(J1522=0,AND(J1522=1,K1522=1),AND(J1522=1,I1522="SBJ"),AND(J1522=1,I1522=0)),"?IN_FOCUS",IF(J1522&lt;=2,"?ACTIVATED",IF(J1522&lt;&gt;"","?FAMILIAR",IF(F1522="NEW",IF(ISNA(VLOOKUP(E1522,#REF!,1,FALSE())),"?TYPE_IDENTIFIABLE","?REFERENTIAL"),"_")))))</f>
        <v> </v>
      </c>
      <c r="H1522" s="25" t="str">
        <f>IF(J1522&lt;&gt;1,"",IF(I1522="SBJ","CB","?"))</f>
        <v> </v>
      </c>
      <c r="I1522" s="26" t="str">
        <f>IF(OR(E1522="",E1522="!!!",F1522="NEW"),"",INDEX(B1521:B$2,-1+SUMPRODUCT(MAX(ROW(E1521:E$2)*(E1522=E1521:E$2)))))</f>
        <v> </v>
      </c>
      <c r="J1522" s="26" t="str">
        <f>IF(OR(E1522="",E1522="!!!",F1522="NEW"),"",COUNTBLANK(OFFSET(A$1,,,SUMPRODUCT(MAX(ROW(E$2:E1522)*(E1522=E$2:E1522)))))-COUNTBLANK(OFFSET(A$1,,,SUMPRODUCT(MAX(ROW(E$1:E1521)*(E2=E$1:E1521))))))</f>
        <v> </v>
      </c>
      <c r="K1522" s="26" t="str">
        <f>IF(OR(E1522="",E1522="!!!",F1522="NEW"),"",INDEX(J$1:J1521,SUMPRODUCT(MAX(ROW(E$1:E1521)*(E1522=E$1:E1521)))))</f>
        <v> </v>
      </c>
      <c r="L1522" s="27"/>
    </row>
    <row r="1523" spans="1:12">
      <c r="A1523" s="20" t="s">
        <v>1024</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1282</v>
      </c>
      <c r="B1524" s="21" t="s">
        <v>1026</v>
      </c>
      <c r="C1524" s="21" t="s">
        <v>1039</v>
      </c>
      <c r="D1524" s="21" t="s">
        <v>992</v>
      </c>
      <c r="E1524" s="22">
        <f>IF(D1524="?OLD","!!!","")</f>
        <v/>
      </c>
      <c r="F1524" s="23" t="str">
        <f>IF(OR(E1524="",E1524="!!!"),"",IF(NOT(ISNA(VLOOKUP(E1524,E$1:E1523,1,FALSE()))),"OLD",IF(AND(E1524&lt;&gt;"",E1524&lt;&gt;"!!!"),"NEW","")))</f>
        <v> </v>
      </c>
      <c r="G1524" s="24" t="str">
        <f>IF(OR(E1524="",E1524="!!!"),"",IF(OR(J1524=0,AND(J1524=1,K1524=1),AND(J1524=1,I1524="SBJ"),AND(J1524=1,I1524=0)),"?IN_FOCUS",IF(J1524&lt;=2,"?ACTIVATED",IF(J1524&lt;&gt;"","?FAMILIAR",IF(F1524="NEW",IF(ISNA(VLOOKUP(E1524,#REF!,1,FALSE())),"?TYPE_IDENTIFIABLE","?REFERENTIAL"),"_")))))</f>
        <v> </v>
      </c>
      <c r="H1524" s="25" t="str">
        <f>IF(J1524&lt;&gt;1,"",IF(I1524="SBJ","CB","?"))</f>
        <v> </v>
      </c>
      <c r="I1524" s="26" t="str">
        <f>IF(OR(E1524="",E1524="!!!",F1524="NEW"),"",INDEX(B1523:B$2,-1+SUMPRODUCT(MAX(ROW(E1523:E$2)*(E1524=E1523:E$2)))))</f>
        <v> </v>
      </c>
      <c r="J1524" s="26" t="str">
        <f>IF(OR(E1524="",E1524="!!!",F1524="NEW"),"",COUNTBLANK(OFFSET(A$1,,,SUMPRODUCT(MAX(ROW(E$2:E1524)*(E1524=E$2:E1524)))))-COUNTBLANK(OFFSET(A$1,,,SUMPRODUCT(MAX(ROW(E$1:E1523)*(E2=E$1:E1523))))))</f>
        <v> </v>
      </c>
      <c r="K1524" s="26" t="str">
        <f>IF(OR(E1524="",E1524="!!!",F1524="NEW"),"",INDEX(J$1:J1523,SUMPRODUCT(MAX(ROW(E$1:E1523)*(E1524=E$1:E1523)))))</f>
        <v> </v>
      </c>
      <c r="L1524" s="27"/>
    </row>
    <row r="1525" spans="1:12">
      <c r="A1525" s="20" t="s">
        <v>1538</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1023</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998</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row>
    <row r="1529" spans="1:12">
      <c r="A1529" s="20" t="s">
        <v>1539</v>
      </c>
    </row>
    <row r="1530" spans="1:12">
      <c r="A1530" s="20" t="s">
        <v>1423</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1217</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1540</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998</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row>
    <row r="1535" spans="1:12">
      <c r="A1535" s="20" t="s">
        <v>1541</v>
      </c>
    </row>
    <row r="1536" spans="1:12">
      <c r="A1536" s="20" t="s">
        <v>1542</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1025</v>
      </c>
      <c r="B1537" s="21" t="s">
        <v>990</v>
      </c>
      <c r="C1537" s="21" t="s">
        <v>991</v>
      </c>
      <c r="D1537" s="21" t="s">
        <v>992</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1543</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1347</v>
      </c>
      <c r="B1539" s="21" t="s">
        <v>1002</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1544</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1024</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1116</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1063</v>
      </c>
      <c r="B1543" s="21" t="s">
        <v>1026</v>
      </c>
      <c r="C1543" s="21" t="s">
        <v>1039</v>
      </c>
      <c r="D1543" s="21" t="s">
        <v>992</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1024</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1545</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1063</v>
      </c>
      <c r="B1546" s="21" t="s">
        <v>1026</v>
      </c>
      <c r="C1546" s="21" t="s">
        <v>1039</v>
      </c>
      <c r="D1546" s="21" t="s">
        <v>992</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1123</v>
      </c>
      <c r="B1547" s="21" t="s">
        <v>1036</v>
      </c>
      <c r="C1547" s="21" t="s">
        <v>1076</v>
      </c>
      <c r="D1547" s="21" t="s">
        <v>992</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1078</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44</v>
      </c>
      <c r="B1549" s="21" t="s">
        <v>1055</v>
      </c>
      <c r="C1549" s="21" t="s">
        <v>1121</v>
      </c>
      <c r="D1549" s="21" t="s">
        <v>992</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1118</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1019</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1040</v>
      </c>
      <c r="B1552" s="21" t="s">
        <v>1015</v>
      </c>
      <c r="C1552" s="21" t="s">
        <v>1022</v>
      </c>
      <c r="D1552" s="21" t="s">
        <v>992</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1546</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1024</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1273</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1019</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1547</v>
      </c>
      <c r="B1557" s="21" t="s">
        <v>1015</v>
      </c>
      <c r="C1557" s="21" t="s">
        <v>1121</v>
      </c>
      <c r="D1557" s="21" t="s">
        <v>992</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1024</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1548</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1063</v>
      </c>
      <c r="B1560" s="21" t="s">
        <v>1234</v>
      </c>
      <c r="C1560" s="21" t="s">
        <v>1039</v>
      </c>
      <c r="D1560" s="21" t="s">
        <v>992</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1305</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1050</v>
      </c>
      <c r="B1562" s="21" t="s">
        <v>1060</v>
      </c>
      <c r="C1562" s="21" t="s">
        <v>1003</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1034</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576</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1549</v>
      </c>
      <c r="B1565" s="21" t="s">
        <v>1060</v>
      </c>
      <c r="C1565" s="21" t="s">
        <v>1022</v>
      </c>
      <c r="D1565" s="21" t="s">
        <v>992</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1107</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998</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row>
    <row r="1569" spans="1:12">
      <c r="A1569" s="20" t="s">
        <v>1550</v>
      </c>
    </row>
    <row r="1570" spans="1:12">
      <c r="A1570" s="20" t="s">
        <v>1326</v>
      </c>
      <c r="B1570" s="21" t="s">
        <v>990</v>
      </c>
      <c r="C1570" s="21" t="s">
        <v>1039</v>
      </c>
      <c r="D1570" s="21" t="s">
        <v>992</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351</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1346</v>
      </c>
      <c r="B1572" s="21" t="s">
        <v>1002</v>
      </c>
      <c r="C1572" s="21" t="s">
        <v>1039</v>
      </c>
      <c r="D1572" s="21" t="s">
        <v>992</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1029</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1551</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1552</v>
      </c>
      <c r="B1575" s="21" t="s">
        <v>995</v>
      </c>
      <c r="C1575" s="21" t="s">
        <v>1003</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1024</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1553</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1554</v>
      </c>
      <c r="B1578" s="21" t="s">
        <v>1055</v>
      </c>
      <c r="C1578" s="21" t="s">
        <v>1003</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998</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row>
    <row r="1581" spans="1:12">
      <c r="A1581" s="20" t="s">
        <v>1555</v>
      </c>
    </row>
    <row r="1582" spans="1:12">
      <c r="A1582" s="20" t="s">
        <v>1075</v>
      </c>
      <c r="B1582" s="21" t="s">
        <v>990</v>
      </c>
      <c r="C1582" s="21" t="s">
        <v>1076</v>
      </c>
      <c r="D1582" s="21" t="s">
        <v>992</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1023</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t="s">
        <v>1031</v>
      </c>
      <c r="E1584" s="22">
        <f>IF(D1584="?OLD","!!!","")</f>
        <v/>
      </c>
      <c r="F1584" s="23" t="str">
        <f>IF(OR(E1584="",E1584="!!!"),"",IF(NOT(ISNA(VLOOKUP(E1584,E$1:E1583,1,FALSE()))),"OLD",IF(AND(E1584&lt;&gt;"",E1584&lt;&gt;"!!!"),"NEW","")))</f>
        <v> </v>
      </c>
      <c r="G1584" s="24" t="str">
        <f>IF(OR(E1584="",E1584="!!!"),"",IF(OR(J1584=0,AND(J1584=1,K1584=1),AND(J1584=1,I1584="SBJ"),AND(J1584=1,I1584=0)),"?IN_FOCUS",IF(J1584&lt;=2,"?ACTIVATED",IF(J1584&lt;&gt;"","?FAMILIAR",IF(F1584="NEW",IF(ISNA(VLOOKUP(E1584,#REF!,1,FALSE())),"?TYPE_IDENTIFIABLE","?REFERENTIAL"),"_")))))</f>
        <v> </v>
      </c>
      <c r="H1584" s="25" t="str">
        <f>IF(J1584&lt;&gt;1,"",IF(I1584="SBJ","CB","?"))</f>
        <v> </v>
      </c>
      <c r="I1584" s="26" t="str">
        <f>IF(OR(E1584="",E1584="!!!",F1584="NEW"),"",INDEX(B1583:B$2,-1+SUMPRODUCT(MAX(ROW(E1583:E$2)*(E1584=E1583:E$2)))))</f>
        <v> </v>
      </c>
      <c r="J1584" s="26" t="str">
        <f>IF(OR(E1584="",E1584="!!!",F1584="NEW"),"",COUNTBLANK(OFFSET(A$1,,,SUMPRODUCT(MAX(ROW(E$2:E1584)*(E1584=E$2:E1584)))))-COUNTBLANK(OFFSET(A$1,,,SUMPRODUCT(MAX(ROW(E$1:E1583)*(E2=E$1:E1583))))))</f>
        <v> </v>
      </c>
      <c r="K1584" s="26" t="str">
        <f>IF(OR(E1584="",E1584="!!!",F1584="NEW"),"",INDEX(J$1:J1583,SUMPRODUCT(MAX(ROW(E$1:E1583)*(E1584=E$1:E1583)))))</f>
        <v> </v>
      </c>
      <c r="L1584" s="27"/>
    </row>
    <row r="1585" spans="1:12">
      <c r="A1585" s="20" t="s">
        <v>1556</v>
      </c>
      <c r="B1585" s="21" t="s">
        <v>995</v>
      </c>
      <c r="C1585" s="21" t="s">
        <v>1022</v>
      </c>
      <c r="D1585" s="21" t="s">
        <v>992</v>
      </c>
      <c r="E1585" s="22">
        <f>IF(D1585="?OLD","!!!","")</f>
        <v/>
      </c>
      <c r="F1585" s="23" t="str">
        <f>IF(OR(E1585="",E1585="!!!"),"",IF(NOT(ISNA(VLOOKUP(E1585,E$1:E1584,1,FALSE()))),"OLD",IF(AND(E1585&lt;&gt;"",E1585&lt;&gt;"!!!"),"NEW","")))</f>
        <v> </v>
      </c>
      <c r="G1585" s="24" t="str">
        <f>IF(OR(E1585="",E1585="!!!"),"",IF(OR(J1585=0,AND(J1585=1,K1585=1),AND(J1585=1,I1585="SBJ"),AND(J1585=1,I1585=0)),"?IN_FOCUS",IF(J1585&lt;=2,"?ACTIVATED",IF(J1585&lt;&gt;"","?FAMILIAR",IF(F1585="NEW",IF(ISNA(VLOOKUP(E1585,#REF!,1,FALSE())),"?TYPE_IDENTIFIABLE","?REFERENTIAL"),"_")))))</f>
        <v> </v>
      </c>
      <c r="H1585" s="25" t="str">
        <f>IF(J1585&lt;&gt;1,"",IF(I1585="SBJ","CB","?"))</f>
        <v> </v>
      </c>
      <c r="I1585" s="26" t="str">
        <f>IF(OR(E1585="",E1585="!!!",F1585="NEW"),"",INDEX(B1584:B$2,-1+SUMPRODUCT(MAX(ROW(E1584:E$2)*(E1585=E1584:E$2)))))</f>
        <v> </v>
      </c>
      <c r="J1585" s="26" t="str">
        <f>IF(OR(E1585="",E1585="!!!",F1585="NEW"),"",COUNTBLANK(OFFSET(A$1,,,SUMPRODUCT(MAX(ROW(E$2:E1585)*(E1585=E$2:E1585)))))-COUNTBLANK(OFFSET(A$1,,,SUMPRODUCT(MAX(ROW(E$1:E1584)*(E2=E$1:E1584))))))</f>
        <v> </v>
      </c>
      <c r="K1585" s="26" t="str">
        <f>IF(OR(E1585="",E1585="!!!",F1585="NEW"),"",INDEX(J$1:J1584,SUMPRODUCT(MAX(ROW(E$1:E1584)*(E1585=E$1:E1584)))))</f>
        <v> </v>
      </c>
      <c r="L1585" s="27"/>
    </row>
    <row r="1586" spans="1:12">
      <c r="A1586" s="20" t="s">
        <v>998</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row>
    <row r="1588" spans="1:12">
      <c r="A1588" s="20" t="s">
        <v>1557</v>
      </c>
    </row>
    <row r="1589" spans="1:12">
      <c r="A1589" s="20" t="s">
        <v>1558</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1148</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1114</v>
      </c>
      <c r="B1591" s="21" t="s">
        <v>990</v>
      </c>
      <c r="C1591" s="21" t="s">
        <v>991</v>
      </c>
      <c r="D1591" s="21" t="s">
        <v>992</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998</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row>
    <row r="1594" spans="1:12">
      <c r="A1594" s="20" t="s">
        <v>1559</v>
      </c>
    </row>
    <row r="1595" spans="1:12">
      <c r="A1595" s="20" t="s">
        <v>1560</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1206</v>
      </c>
      <c r="B1596" s="21" t="s">
        <v>990</v>
      </c>
      <c r="C1596" s="21" t="s">
        <v>991</v>
      </c>
      <c r="D1596" s="21" t="s">
        <v>992</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1561</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1123</v>
      </c>
      <c r="B1598" s="21" t="s">
        <v>1015</v>
      </c>
      <c r="C1598" s="21" t="s">
        <v>1076</v>
      </c>
      <c r="D1598" s="21" t="s">
        <v>992</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1562</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1563</v>
      </c>
      <c r="B1600" s="21" t="s">
        <v>1002</v>
      </c>
      <c r="C1600" s="21" t="s">
        <v>1121</v>
      </c>
      <c r="D1600" s="21" t="s">
        <v>992</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1024</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1031</v>
      </c>
      <c r="B1602" s="21" t="s">
        <v>1089</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1564</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1071</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1279</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1565</v>
      </c>
      <c r="B1606" s="21" t="s">
        <v>1036</v>
      </c>
      <c r="C1606" s="21" t="s">
        <v>1566</v>
      </c>
      <c r="D1606" s="21" t="s">
        <v>992</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576</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1567</v>
      </c>
      <c r="B1608" s="21" t="s">
        <v>1060</v>
      </c>
      <c r="C1608" s="21" t="s">
        <v>996</v>
      </c>
      <c r="D1608" s="21" t="s">
        <v>992</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1568</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1569</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1570</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1571</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1073</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1524</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1572</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1573</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422</v>
      </c>
      <c r="B1617" s="21" t="s">
        <v>1026</v>
      </c>
      <c r="C1617" s="21" t="s">
        <v>1022</v>
      </c>
      <c r="D1617" s="21" t="s">
        <v>992</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1071</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1501</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1034</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1279</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1574</v>
      </c>
      <c r="B1622" s="21" t="s">
        <v>1015</v>
      </c>
      <c r="C1622" s="21" t="s">
        <v>1045</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1056</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1575</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1576</v>
      </c>
      <c r="B1625" s="21" t="s">
        <v>1036</v>
      </c>
      <c r="C1625" s="21" t="s">
        <v>1003</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1577</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1578</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1065</v>
      </c>
      <c r="B1628" s="21" t="s">
        <v>1055</v>
      </c>
      <c r="C1628" s="21" t="s">
        <v>1009</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1056</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1010</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12</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1040</v>
      </c>
      <c r="B1632" s="21" t="s">
        <v>1036</v>
      </c>
      <c r="C1632" s="21" t="s">
        <v>1003</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1152</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1029</v>
      </c>
      <c r="B1634" s="21" t="s">
        <v>1036</v>
      </c>
      <c r="C1634" s="21" t="s">
        <v>1054</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t="s">
        <v>1057</v>
      </c>
      <c r="E1635" s="22">
        <f>IF(D1635="?OLD","!!!","")</f>
        <v/>
      </c>
      <c r="F1635" s="23" t="str">
        <f>IF(OR(E1635="",E1635="!!!"),"",IF(NOT(ISNA(VLOOKUP(E1635,E$1:E1634,1,FALSE()))),"OLD",IF(AND(E1635&lt;&gt;"",E1635&lt;&gt;"!!!"),"NEW","")))</f>
        <v> </v>
      </c>
      <c r="G1635" s="24" t="str">
        <f>IF(OR(E1635="",E1635="!!!"),"",IF(OR(J1635=0,AND(J1635=1,K1635=1),AND(J1635=1,I1635="SBJ"),AND(J1635=1,I1635=0)),"?IN_FOCUS",IF(J1635&lt;=2,"?ACTIVATED",IF(J1635&lt;&gt;"","?FAMILIAR",IF(F1635="NEW",IF(ISNA(VLOOKUP(E1635,#REF!,1,FALSE())),"?TYPE_IDENTIFIABLE","?REFERENTIAL"),"_")))))</f>
        <v> </v>
      </c>
      <c r="H1635" s="25" t="str">
        <f>IF(J1635&lt;&gt;1,"",IF(I1635="SBJ","CB","?"))</f>
        <v> </v>
      </c>
      <c r="I1635" s="26" t="str">
        <f>IF(OR(E1635="",E1635="!!!",F1635="NEW"),"",INDEX(B1634:B$2,-1+SUMPRODUCT(MAX(ROW(E1634:E$2)*(E1635=E1634:E$2)))))</f>
        <v> </v>
      </c>
      <c r="J1635" s="26" t="str">
        <f>IF(OR(E1635="",E1635="!!!",F1635="NEW"),"",COUNTBLANK(OFFSET(A$1,,,SUMPRODUCT(MAX(ROW(E$2:E1635)*(E1635=E$2:E1635)))))-COUNTBLANK(OFFSET(A$1,,,SUMPRODUCT(MAX(ROW(E$1:E1634)*(E2=E$1:E1634))))))</f>
        <v> </v>
      </c>
      <c r="K1635" s="26" t="str">
        <f>IF(OR(E1635="",E1635="!!!",F1635="NEW"),"",INDEX(J$1:J1634,SUMPRODUCT(MAX(ROW(E$1:E1634)*(E1635=E$1:E1634)))))</f>
        <v> </v>
      </c>
      <c r="L1635" s="27"/>
    </row>
    <row r="1636" spans="1:12">
      <c r="A1636" s="20" t="s">
        <v>1579</v>
      </c>
      <c r="E1636" s="22">
        <f>IF(D1636="?OLD","!!!","")</f>
        <v/>
      </c>
      <c r="F1636" s="23" t="str">
        <f>IF(OR(E1636="",E1636="!!!"),"",IF(NOT(ISNA(VLOOKUP(E1636,E$1:E1635,1,FALSE()))),"OLD",IF(AND(E1636&lt;&gt;"",E1636&lt;&gt;"!!!"),"NEW","")))</f>
        <v> </v>
      </c>
      <c r="G1636" s="24" t="str">
        <f>IF(OR(E1636="",E1636="!!!"),"",IF(OR(J1636=0,AND(J1636=1,K1636=1),AND(J1636=1,I1636="SBJ"),AND(J1636=1,I1636=0)),"?IN_FOCUS",IF(J1636&lt;=2,"?ACTIVATED",IF(J1636&lt;&gt;"","?FAMILIAR",IF(F1636="NEW",IF(ISNA(VLOOKUP(E1636,#REF!,1,FALSE())),"?TYPE_IDENTIFIABLE","?REFERENTIAL"),"_")))))</f>
        <v> </v>
      </c>
      <c r="H1636" s="25" t="str">
        <f>IF(J1636&lt;&gt;1,"",IF(I1636="SBJ","CB","?"))</f>
        <v> </v>
      </c>
      <c r="I1636" s="26" t="str">
        <f>IF(OR(E1636="",E1636="!!!",F1636="NEW"),"",INDEX(B1635:B$2,-1+SUMPRODUCT(MAX(ROW(E1635:E$2)*(E1636=E1635:E$2)))))</f>
        <v> </v>
      </c>
      <c r="J1636" s="26" t="str">
        <f>IF(OR(E1636="",E1636="!!!",F1636="NEW"),"",COUNTBLANK(OFFSET(A$1,,,SUMPRODUCT(MAX(ROW(E$2:E1636)*(E1636=E$2:E1636)))))-COUNTBLANK(OFFSET(A$1,,,SUMPRODUCT(MAX(ROW(E$1:E1635)*(E2=E$1:E1635))))))</f>
        <v> </v>
      </c>
      <c r="K1636" s="26" t="str">
        <f>IF(OR(E1636="",E1636="!!!",F1636="NEW"),"",INDEX(J$1:J1635,SUMPRODUCT(MAX(ROW(E$1:E1635)*(E1636=E$1:E1635)))))</f>
        <v> </v>
      </c>
      <c r="L1636" s="27"/>
    </row>
    <row r="1637" spans="1:12">
      <c r="A1637" s="20"/>
    </row>
    <row r="1638" spans="1:12">
      <c r="A1638" s="20" t="s">
        <v>1580</v>
      </c>
    </row>
    <row r="1639" spans="1:12">
      <c r="A1639" s="20" t="s">
        <v>366</v>
      </c>
      <c r="B1639" s="21" t="s">
        <v>995</v>
      </c>
      <c r="C1639" s="21" t="s">
        <v>1003</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998</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row>
    <row r="1642" spans="1:12">
      <c r="A1642" s="20" t="s">
        <v>1581</v>
      </c>
    </row>
    <row r="1643" spans="1:12">
      <c r="A1643" s="20" t="s">
        <v>1193</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1024</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1578</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1065</v>
      </c>
      <c r="B1646" s="21" t="s">
        <v>990</v>
      </c>
      <c r="C1646" s="21" t="s">
        <v>1009</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1023</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1077</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1582</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1562</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1583</v>
      </c>
      <c r="B1651" s="21" t="s">
        <v>995</v>
      </c>
      <c r="C1651" s="21" t="s">
        <v>1045</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1024</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1392</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11</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1584</v>
      </c>
      <c r="B1655" s="21" t="s">
        <v>995</v>
      </c>
      <c r="C1655" s="21" t="s">
        <v>1009</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1073</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row>
    <row r="1658" spans="1:12">
      <c r="A1658" s="20" t="s">
        <v>1585</v>
      </c>
    </row>
    <row r="1659" spans="1:12">
      <c r="A1659" s="20" t="s">
        <v>1586</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1561</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1024</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1018</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1587</v>
      </c>
      <c r="B1663" s="21" t="s">
        <v>995</v>
      </c>
      <c r="C1663" s="21" t="s">
        <v>1003</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1034</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1197</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1588</v>
      </c>
      <c r="B1666" s="21" t="s">
        <v>1015</v>
      </c>
      <c r="C1666" s="21" t="s">
        <v>996</v>
      </c>
      <c r="D1666" s="21" t="s">
        <v>992</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1107</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1589</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1065</v>
      </c>
      <c r="B1669" s="21" t="s">
        <v>995</v>
      </c>
      <c r="C1669" s="21" t="s">
        <v>1009</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1031</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t="s">
        <v>1590</v>
      </c>
      <c r="E1671" s="22">
        <f>IF(D1671="?OLD","!!!","")</f>
        <v/>
      </c>
      <c r="F1671" s="23" t="str">
        <f>IF(OR(E1671="",E1671="!!!"),"",IF(NOT(ISNA(VLOOKUP(E1671,E$1:E1670,1,FALSE()))),"OLD",IF(AND(E1671&lt;&gt;"",E1671&lt;&gt;"!!!"),"NEW","")))</f>
        <v> </v>
      </c>
      <c r="G1671" s="24" t="str">
        <f>IF(OR(E1671="",E1671="!!!"),"",IF(OR(J1671=0,AND(J1671=1,K1671=1),AND(J1671=1,I1671="SBJ"),AND(J1671=1,I1671=0)),"?IN_FOCUS",IF(J1671&lt;=2,"?ACTIVATED",IF(J1671&lt;&gt;"","?FAMILIAR",IF(F1671="NEW",IF(ISNA(VLOOKUP(E1671,#REF!,1,FALSE())),"?TYPE_IDENTIFIABLE","?REFERENTIAL"),"_")))))</f>
        <v> </v>
      </c>
      <c r="H1671" s="25" t="str">
        <f>IF(J1671&lt;&gt;1,"",IF(I1671="SBJ","CB","?"))</f>
        <v> </v>
      </c>
      <c r="I1671" s="26" t="str">
        <f>IF(OR(E1671="",E1671="!!!",F1671="NEW"),"",INDEX(B1670:B$2,-1+SUMPRODUCT(MAX(ROW(E1670:E$2)*(E1671=E1670:E$2)))))</f>
        <v> </v>
      </c>
      <c r="J1671" s="26" t="str">
        <f>IF(OR(E1671="",E1671="!!!",F1671="NEW"),"",COUNTBLANK(OFFSET(A$1,,,SUMPRODUCT(MAX(ROW(E$2:E1671)*(E1671=E$2:E1671)))))-COUNTBLANK(OFFSET(A$1,,,SUMPRODUCT(MAX(ROW(E$1:E1670)*(E2=E$1:E1670))))))</f>
        <v> </v>
      </c>
      <c r="K1671" s="26" t="str">
        <f>IF(OR(E1671="",E1671="!!!",F1671="NEW"),"",INDEX(J$1:J1670,SUMPRODUCT(MAX(ROW(E$1:E1670)*(E1671=E$1:E1670)))))</f>
        <v> </v>
      </c>
      <c r="L1671" s="27"/>
    </row>
    <row r="1672" spans="1:12">
      <c r="A1672" s="20" t="s">
        <v>1591</v>
      </c>
      <c r="B1672" s="21" t="s">
        <v>995</v>
      </c>
      <c r="C1672" s="21" t="s">
        <v>1592</v>
      </c>
      <c r="D1672" s="21" t="s">
        <v>992</v>
      </c>
      <c r="E1672" s="22">
        <f>IF(D1672="?OLD","!!!","")</f>
        <v/>
      </c>
      <c r="F1672" s="23" t="str">
        <f>IF(OR(E1672="",E1672="!!!"),"",IF(NOT(ISNA(VLOOKUP(E1672,E$1:E1671,1,FALSE()))),"OLD",IF(AND(E1672&lt;&gt;"",E1672&lt;&gt;"!!!"),"NEW","")))</f>
        <v> </v>
      </c>
      <c r="G1672" s="24" t="str">
        <f>IF(OR(E1672="",E1672="!!!"),"",IF(OR(J1672=0,AND(J1672=1,K1672=1),AND(J1672=1,I1672="SBJ"),AND(J1672=1,I1672=0)),"?IN_FOCUS",IF(J1672&lt;=2,"?ACTIVATED",IF(J1672&lt;&gt;"","?FAMILIAR",IF(F1672="NEW",IF(ISNA(VLOOKUP(E1672,#REF!,1,FALSE())),"?TYPE_IDENTIFIABLE","?REFERENTIAL"),"_")))))</f>
        <v> </v>
      </c>
      <c r="H1672" s="25" t="str">
        <f>IF(J1672&lt;&gt;1,"",IF(I1672="SBJ","CB","?"))</f>
        <v> </v>
      </c>
      <c r="I1672" s="26" t="str">
        <f>IF(OR(E1672="",E1672="!!!",F1672="NEW"),"",INDEX(B1671:B$2,-1+SUMPRODUCT(MAX(ROW(E1671:E$2)*(E1672=E1671:E$2)))))</f>
        <v> </v>
      </c>
      <c r="J1672" s="26" t="str">
        <f>IF(OR(E1672="",E1672="!!!",F1672="NEW"),"",COUNTBLANK(OFFSET(A$1,,,SUMPRODUCT(MAX(ROW(E$2:E1672)*(E1672=E$2:E1672)))))-COUNTBLANK(OFFSET(A$1,,,SUMPRODUCT(MAX(ROW(E$1:E1671)*(E2=E$1:E1671))))))</f>
        <v> </v>
      </c>
      <c r="K1672" s="26" t="str">
        <f>IF(OR(E1672="",E1672="!!!",F1672="NEW"),"",INDEX(J$1:J1671,SUMPRODUCT(MAX(ROW(E$1:E1671)*(E1672=E$1:E1671)))))</f>
        <v> </v>
      </c>
      <c r="L1672" s="27"/>
    </row>
    <row r="1673" spans="1:12">
      <c r="A1673" s="20" t="s">
        <v>1024</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1031</v>
      </c>
      <c r="B1674" s="21" t="s">
        <v>1026</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1038</v>
      </c>
      <c r="B1675" s="21" t="s">
        <v>1055</v>
      </c>
      <c r="C1675" s="21" t="s">
        <v>1039</v>
      </c>
      <c r="D1675" s="21" t="s">
        <v>992</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1034</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576</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1593</v>
      </c>
      <c r="B1678" s="21" t="s">
        <v>1015</v>
      </c>
      <c r="C1678" s="21" t="s">
        <v>1022</v>
      </c>
      <c r="D1678" s="21" t="s">
        <v>992</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37</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1024</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1071</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576</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28</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998</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row>
    <row r="1686" spans="1:12">
      <c r="A1686" s="20" t="s">
        <v>1594</v>
      </c>
    </row>
    <row r="1687" spans="1:12">
      <c r="A1687" s="20" t="s">
        <v>378</v>
      </c>
      <c r="B1687" s="21" t="s">
        <v>995</v>
      </c>
      <c r="C1687" s="21" t="s">
        <v>1003</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1152</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1029</v>
      </c>
      <c r="B1689" s="21" t="s">
        <v>1015</v>
      </c>
      <c r="C1689" s="21" t="s">
        <v>1054</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1057</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1595</v>
      </c>
      <c r="B1691" s="21" t="s">
        <v>995</v>
      </c>
      <c r="C1691" s="21" t="s">
        <v>1566</v>
      </c>
      <c r="D1691" s="21" t="s">
        <v>992</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576</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1596</v>
      </c>
      <c r="B1693" s="21" t="s">
        <v>1015</v>
      </c>
      <c r="C1693" s="21" t="s">
        <v>996</v>
      </c>
      <c r="D1693" s="21" t="s">
        <v>992</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1597</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12</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1084</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1085</v>
      </c>
      <c r="B1697" s="21" t="s">
        <v>1234</v>
      </c>
      <c r="C1697" s="21" t="s">
        <v>1054</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1435</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1598</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998</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row>
    <row r="1702" spans="1:12">
      <c r="A1702" s="20" t="s">
        <v>1599</v>
      </c>
    </row>
    <row r="1703" spans="1:12">
      <c r="A1703" s="20" t="s">
        <v>1193</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29</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t="s">
        <v>1063</v>
      </c>
      <c r="B1705" s="21" t="s">
        <v>990</v>
      </c>
      <c r="C1705" s="21" t="s">
        <v>1039</v>
      </c>
      <c r="D1705" s="21" t="s">
        <v>992</v>
      </c>
      <c r="E1705" s="22">
        <f>IF(D1705="?OLD","!!!","")</f>
        <v/>
      </c>
      <c r="F1705" s="23" t="str">
        <f>IF(OR(E1705="",E1705="!!!"),"",IF(NOT(ISNA(VLOOKUP(E1705,E$1:E1704,1,FALSE()))),"OLD",IF(AND(E1705&lt;&gt;"",E1705&lt;&gt;"!!!"),"NEW","")))</f>
        <v> </v>
      </c>
      <c r="G1705" s="24" t="str">
        <f>IF(OR(E1705="",E1705="!!!"),"",IF(OR(J1705=0,AND(J1705=1,K1705=1),AND(J1705=1,I1705="SBJ"),AND(J1705=1,I1705=0)),"?IN_FOCUS",IF(J1705&lt;=2,"?ACTIVATED",IF(J1705&lt;&gt;"","?FAMILIAR",IF(F1705="NEW",IF(ISNA(VLOOKUP(E1705,#REF!,1,FALSE())),"?TYPE_IDENTIFIABLE","?REFERENTIAL"),"_")))))</f>
        <v> </v>
      </c>
      <c r="H1705" s="25" t="str">
        <f>IF(J1705&lt;&gt;1,"",IF(I1705="SBJ","CB","?"))</f>
        <v> </v>
      </c>
      <c r="I1705" s="26" t="str">
        <f>IF(OR(E1705="",E1705="!!!",F1705="NEW"),"",INDEX(B1704:B$2,-1+SUMPRODUCT(MAX(ROW(E1704:E$2)*(E1705=E1704:E$2)))))</f>
        <v> </v>
      </c>
      <c r="J1705" s="26" t="str">
        <f>IF(OR(E1705="",E1705="!!!",F1705="NEW"),"",COUNTBLANK(OFFSET(A$1,,,SUMPRODUCT(MAX(ROW(E$2:E1705)*(E1705=E$2:E1705)))))-COUNTBLANK(OFFSET(A$1,,,SUMPRODUCT(MAX(ROW(E$1:E1704)*(E2=E$1:E1704))))))</f>
        <v> </v>
      </c>
      <c r="K1705" s="26" t="str">
        <f>IF(OR(E1705="",E1705="!!!",F1705="NEW"),"",INDEX(J$1:J1704,SUMPRODUCT(MAX(ROW(E$1:E1704)*(E1705=E$1:E1704)))))</f>
        <v> </v>
      </c>
      <c r="L1705" s="27"/>
    </row>
    <row r="1706" spans="1:12">
      <c r="A1706" s="20" t="s">
        <v>1228</v>
      </c>
      <c r="E1706" s="22">
        <f>IF(D1706="?OLD","!!!","")</f>
        <v/>
      </c>
      <c r="F1706" s="23" t="str">
        <f>IF(OR(E1706="",E1706="!!!"),"",IF(NOT(ISNA(VLOOKUP(E1706,E$1:E1705,1,FALSE()))),"OLD",IF(AND(E1706&lt;&gt;"",E1706&lt;&gt;"!!!"),"NEW","")))</f>
        <v> </v>
      </c>
      <c r="G1706" s="24" t="str">
        <f>IF(OR(E1706="",E1706="!!!"),"",IF(OR(J1706=0,AND(J1706=1,K1706=1),AND(J1706=1,I1706="SBJ"),AND(J1706=1,I1706=0)),"?IN_FOCUS",IF(J1706&lt;=2,"?ACTIVATED",IF(J1706&lt;&gt;"","?FAMILIAR",IF(F1706="NEW",IF(ISNA(VLOOKUP(E1706,#REF!,1,FALSE())),"?TYPE_IDENTIFIABLE","?REFERENTIAL"),"_")))))</f>
        <v> </v>
      </c>
      <c r="H1706" s="25" t="str">
        <f>IF(J1706&lt;&gt;1,"",IF(I1706="SBJ","CB","?"))</f>
        <v> </v>
      </c>
      <c r="I1706" s="26" t="str">
        <f>IF(OR(E1706="",E1706="!!!",F1706="NEW"),"",INDEX(B1705:B$2,-1+SUMPRODUCT(MAX(ROW(E1705:E$2)*(E1706=E1705:E$2)))))</f>
        <v> </v>
      </c>
      <c r="J1706" s="26" t="str">
        <f>IF(OR(E1706="",E1706="!!!",F1706="NEW"),"",COUNTBLANK(OFFSET(A$1,,,SUMPRODUCT(MAX(ROW(E$2:E1706)*(E1706=E$2:E1706)))))-COUNTBLANK(OFFSET(A$1,,,SUMPRODUCT(MAX(ROW(E$1:E1705)*(E2=E$1:E1705))))))</f>
        <v> </v>
      </c>
      <c r="K1706" s="26" t="str">
        <f>IF(OR(E1706="",E1706="!!!",F1706="NEW"),"",INDEX(J$1:J1705,SUMPRODUCT(MAX(ROW(E$1:E1705)*(E1706=E$1:E1705)))))</f>
        <v> </v>
      </c>
      <c r="L1706" s="27"/>
    </row>
    <row r="1707" spans="1:12">
      <c r="A1707" s="20" t="s">
        <v>1043</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1600</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1601</v>
      </c>
      <c r="B1709" s="21" t="s">
        <v>1002</v>
      </c>
      <c r="C1709" s="21" t="s">
        <v>1045</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1024</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1118</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1057</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1573</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1050</v>
      </c>
      <c r="B1714" s="21" t="s">
        <v>995</v>
      </c>
      <c r="C1714" s="21" t="s">
        <v>1022</v>
      </c>
      <c r="D1714" s="21" t="s">
        <v>992</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1027</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382</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1024</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1282</v>
      </c>
      <c r="B1718" s="21" t="s">
        <v>1026</v>
      </c>
      <c r="C1718" s="21" t="s">
        <v>1039</v>
      </c>
      <c r="D1718" s="21" t="s">
        <v>992</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1025</v>
      </c>
      <c r="B1719" s="21" t="s">
        <v>1026</v>
      </c>
      <c r="C1719" s="21" t="s">
        <v>991</v>
      </c>
      <c r="D1719" s="21" t="s">
        <v>992</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1602</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1024</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1183</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1603</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1208</v>
      </c>
      <c r="B1724" s="21" t="s">
        <v>1015</v>
      </c>
      <c r="C1724" s="21" t="s">
        <v>1045</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1029</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25</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1024</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1037</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1388</v>
      </c>
      <c r="B1729" s="21" t="s">
        <v>1015</v>
      </c>
      <c r="C1729" s="21" t="s">
        <v>1054</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1604</v>
      </c>
      <c r="B1730" s="21" t="s">
        <v>1015</v>
      </c>
      <c r="C1730" s="21" t="s">
        <v>1039</v>
      </c>
      <c r="D1730" s="21" t="s">
        <v>992</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1024</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1282</v>
      </c>
      <c r="B1732" s="21" t="s">
        <v>1356</v>
      </c>
      <c r="C1732" s="21" t="s">
        <v>1039</v>
      </c>
      <c r="D1732" s="21" t="s">
        <v>992</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1038</v>
      </c>
      <c r="B1733" s="21" t="s">
        <v>1234</v>
      </c>
      <c r="C1733" s="21" t="s">
        <v>1039</v>
      </c>
      <c r="D1733" s="21" t="s">
        <v>992</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1034</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576</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t="s">
        <v>1593</v>
      </c>
      <c r="B1736" s="21" t="s">
        <v>1060</v>
      </c>
      <c r="C1736" s="21" t="s">
        <v>1022</v>
      </c>
      <c r="D1736" s="21" t="s">
        <v>992</v>
      </c>
      <c r="E1736" s="22">
        <f>IF(D1736="?OLD","!!!","")</f>
        <v/>
      </c>
      <c r="F1736" s="23" t="str">
        <f>IF(OR(E1736="",E1736="!!!"),"",IF(NOT(ISNA(VLOOKUP(E1736,E$1:E1735,1,FALSE()))),"OLD",IF(AND(E1736&lt;&gt;"",E1736&lt;&gt;"!!!"),"NEW","")))</f>
        <v> </v>
      </c>
      <c r="G1736" s="24" t="str">
        <f>IF(OR(E1736="",E1736="!!!"),"",IF(OR(J1736=0,AND(J1736=1,K1736=1),AND(J1736=1,I1736="SBJ"),AND(J1736=1,I1736=0)),"?IN_FOCUS",IF(J1736&lt;=2,"?ACTIVATED",IF(J1736&lt;&gt;"","?FAMILIAR",IF(F1736="NEW",IF(ISNA(VLOOKUP(E1736,#REF!,1,FALSE())),"?TYPE_IDENTIFIABLE","?REFERENTIAL"),"_")))))</f>
        <v> </v>
      </c>
      <c r="H1736" s="25" t="str">
        <f>IF(J1736&lt;&gt;1,"",IF(I1736="SBJ","CB","?"))</f>
        <v> </v>
      </c>
      <c r="I1736" s="26" t="str">
        <f>IF(OR(E1736="",E1736="!!!",F1736="NEW"),"",INDEX(B1735:B$2,-1+SUMPRODUCT(MAX(ROW(E1735:E$2)*(E1736=E1735:E$2)))))</f>
        <v> </v>
      </c>
      <c r="J1736" s="26" t="str">
        <f>IF(OR(E1736="",E1736="!!!",F1736="NEW"),"",COUNTBLANK(OFFSET(A$1,,,SUMPRODUCT(MAX(ROW(E$2:E1736)*(E1736=E$2:E1736)))))-COUNTBLANK(OFFSET(A$1,,,SUMPRODUCT(MAX(ROW(E$1:E1735)*(E2=E$1:E1735))))))</f>
        <v> </v>
      </c>
      <c r="K1736" s="26" t="str">
        <f>IF(OR(E1736="",E1736="!!!",F1736="NEW"),"",INDEX(J$1:J1735,SUMPRODUCT(MAX(ROW(E$1:E1735)*(E1736=E$1:E1735)))))</f>
        <v> </v>
      </c>
      <c r="L1736" s="27"/>
    </row>
    <row r="1737" spans="1:12">
      <c r="A1737" s="20" t="s">
        <v>382</v>
      </c>
      <c r="E1737" s="22">
        <f>IF(D1737="?OLD","!!!","")</f>
        <v/>
      </c>
      <c r="F1737" s="23" t="str">
        <f>IF(OR(E1737="",E1737="!!!"),"",IF(NOT(ISNA(VLOOKUP(E1737,E$1:E1736,1,FALSE()))),"OLD",IF(AND(E1737&lt;&gt;"",E1737&lt;&gt;"!!!"),"NEW","")))</f>
        <v> </v>
      </c>
      <c r="G1737" s="24" t="str">
        <f>IF(OR(E1737="",E1737="!!!"),"",IF(OR(J1737=0,AND(J1737=1,K1737=1),AND(J1737=1,I1737="SBJ"),AND(J1737=1,I1737=0)),"?IN_FOCUS",IF(J1737&lt;=2,"?ACTIVATED",IF(J1737&lt;&gt;"","?FAMILIAR",IF(F1737="NEW",IF(ISNA(VLOOKUP(E1737,#REF!,1,FALSE())),"?TYPE_IDENTIFIABLE","?REFERENTIAL"),"_")))))</f>
        <v> </v>
      </c>
      <c r="H1737" s="25" t="str">
        <f>IF(J1737&lt;&gt;1,"",IF(I1737="SBJ","CB","?"))</f>
        <v> </v>
      </c>
      <c r="I1737" s="26" t="str">
        <f>IF(OR(E1737="",E1737="!!!",F1737="NEW"),"",INDEX(B1736:B$2,-1+SUMPRODUCT(MAX(ROW(E1736:E$2)*(E1737=E1736:E$2)))))</f>
        <v> </v>
      </c>
      <c r="J1737" s="26" t="str">
        <f>IF(OR(E1737="",E1737="!!!",F1737="NEW"),"",COUNTBLANK(OFFSET(A$1,,,SUMPRODUCT(MAX(ROW(E$2:E1737)*(E1737=E$2:E1737)))))-COUNTBLANK(OFFSET(A$1,,,SUMPRODUCT(MAX(ROW(E$1:E1736)*(E2=E$1:E1736))))))</f>
        <v> </v>
      </c>
      <c r="K1737" s="26" t="str">
        <f>IF(OR(E1737="",E1737="!!!",F1737="NEW"),"",INDEX(J$1:J1736,SUMPRODUCT(MAX(ROW(E$1:E1736)*(E1737=E$1:E1736)))))</f>
        <v> </v>
      </c>
      <c r="L1737" s="27"/>
    </row>
    <row r="1738" spans="1:12">
      <c r="A1738" s="20" t="s">
        <v>998</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row>
    <row r="1740" spans="1:12">
      <c r="A1740" s="20" t="s">
        <v>1068</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1605</v>
      </c>
    </row>
    <row r="1742" spans="1:12">
      <c r="A1742" s="20" t="s">
        <v>1013</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1072</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t="s">
        <v>29</v>
      </c>
      <c r="E1744" s="22">
        <f>IF(D1744="?OLD","!!!","")</f>
        <v/>
      </c>
      <c r="F1744" s="23" t="str">
        <f>IF(OR(E1744="",E1744="!!!"),"",IF(NOT(ISNA(VLOOKUP(E1744,E$1:E1743,1,FALSE()))),"OLD",IF(AND(E1744&lt;&gt;"",E1744&lt;&gt;"!!!"),"NEW","")))</f>
        <v> </v>
      </c>
      <c r="G1744" s="24" t="str">
        <f>IF(OR(E1744="",E1744="!!!"),"",IF(OR(J1744=0,AND(J1744=1,K1744=1),AND(J1744=1,I1744="SBJ"),AND(J1744=1,I1744=0)),"?IN_FOCUS",IF(J1744&lt;=2,"?ACTIVATED",IF(J1744&lt;&gt;"","?FAMILIAR",IF(F1744="NEW",IF(ISNA(VLOOKUP(E1744,#REF!,1,FALSE())),"?TYPE_IDENTIFIABLE","?REFERENTIAL"),"_")))))</f>
        <v> </v>
      </c>
      <c r="H1744" s="25" t="str">
        <f>IF(J1744&lt;&gt;1,"",IF(I1744="SBJ","CB","?"))</f>
        <v> </v>
      </c>
      <c r="I1744" s="26" t="str">
        <f>IF(OR(E1744="",E1744="!!!",F1744="NEW"),"",INDEX(B1743:B$2,-1+SUMPRODUCT(MAX(ROW(E1743:E$2)*(E1744=E1743:E$2)))))</f>
        <v> </v>
      </c>
      <c r="J1744" s="26" t="str">
        <f>IF(OR(E1744="",E1744="!!!",F1744="NEW"),"",COUNTBLANK(OFFSET(A$1,,,SUMPRODUCT(MAX(ROW(E$2:E1744)*(E1744=E$2:E1744)))))-COUNTBLANK(OFFSET(A$1,,,SUMPRODUCT(MAX(ROW(E$1:E1743)*(E2=E$1:E1743))))))</f>
        <v> </v>
      </c>
      <c r="K1744" s="26" t="str">
        <f>IF(OR(E1744="",E1744="!!!",F1744="NEW"),"",INDEX(J$1:J1743,SUMPRODUCT(MAX(ROW(E$1:E1743)*(E1744=E$1:E1743)))))</f>
        <v> </v>
      </c>
      <c r="L1744" s="27"/>
    </row>
    <row r="1745" spans="1:12">
      <c r="A1745" s="20" t="s">
        <v>1209</v>
      </c>
      <c r="B1745" s="21" t="s">
        <v>990</v>
      </c>
      <c r="C1745" s="21" t="s">
        <v>1054</v>
      </c>
      <c r="E1745" s="22">
        <f>IF(D1745="?OLD","!!!","")</f>
        <v/>
      </c>
      <c r="F1745" s="23" t="str">
        <f>IF(OR(E1745="",E1745="!!!"),"",IF(NOT(ISNA(VLOOKUP(E1745,E$1:E1744,1,FALSE()))),"OLD",IF(AND(E1745&lt;&gt;"",E1745&lt;&gt;"!!!"),"NEW","")))</f>
        <v> </v>
      </c>
      <c r="G1745" s="24" t="str">
        <f>IF(OR(E1745="",E1745="!!!"),"",IF(OR(J1745=0,AND(J1745=1,K1745=1),AND(J1745=1,I1745="SBJ"),AND(J1745=1,I1745=0)),"?IN_FOCUS",IF(J1745&lt;=2,"?ACTIVATED",IF(J1745&lt;&gt;"","?FAMILIAR",IF(F1745="NEW",IF(ISNA(VLOOKUP(E1745,#REF!,1,FALSE())),"?TYPE_IDENTIFIABLE","?REFERENTIAL"),"_")))))</f>
        <v> </v>
      </c>
      <c r="H1745" s="25" t="str">
        <f>IF(J1745&lt;&gt;1,"",IF(I1745="SBJ","CB","?"))</f>
        <v> </v>
      </c>
      <c r="I1745" s="26" t="str">
        <f>IF(OR(E1745="",E1745="!!!",F1745="NEW"),"",INDEX(B1744:B$2,-1+SUMPRODUCT(MAX(ROW(E1744:E$2)*(E1745=E1744:E$2)))))</f>
        <v> </v>
      </c>
      <c r="J1745" s="26" t="str">
        <f>IF(OR(E1745="",E1745="!!!",F1745="NEW"),"",COUNTBLANK(OFFSET(A$1,,,SUMPRODUCT(MAX(ROW(E$2:E1745)*(E1745=E$2:E1745)))))-COUNTBLANK(OFFSET(A$1,,,SUMPRODUCT(MAX(ROW(E$1:E1744)*(E2=E$1:E1744))))))</f>
        <v> </v>
      </c>
      <c r="K1745" s="26" t="str">
        <f>IF(OR(E1745="",E1745="!!!",F1745="NEW"),"",INDEX(J$1:J1744,SUMPRODUCT(MAX(ROW(E$1:E1744)*(E1745=E$1:E1744)))))</f>
        <v> </v>
      </c>
      <c r="L1745" s="27"/>
    </row>
    <row r="1746" spans="1:12">
      <c r="A1746" s="20" t="s">
        <v>1071</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1052</v>
      </c>
      <c r="B1747" s="21" t="s">
        <v>995</v>
      </c>
      <c r="C1747" s="21" t="s">
        <v>991</v>
      </c>
      <c r="D1747" s="21" t="s">
        <v>992</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1019</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1606</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1607</v>
      </c>
      <c r="B1750" s="21" t="s">
        <v>1002</v>
      </c>
      <c r="C1750" s="21" t="s">
        <v>1022</v>
      </c>
      <c r="D1750" s="21" t="s">
        <v>992</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1071</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1608</v>
      </c>
      <c r="B1752" s="21" t="s">
        <v>1015</v>
      </c>
      <c r="C1752" s="21" t="s">
        <v>996</v>
      </c>
      <c r="D1752" s="21" t="s">
        <v>992</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1609</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t="s">
        <v>1024</v>
      </c>
      <c r="E1754" s="22">
        <f>IF(D1754="?OLD","!!!","")</f>
        <v/>
      </c>
      <c r="F1754" s="23" t="str">
        <f>IF(OR(E1754="",E1754="!!!"),"",IF(NOT(ISNA(VLOOKUP(E1754,E$1:E1753,1,FALSE()))),"OLD",IF(AND(E1754&lt;&gt;"",E1754&lt;&gt;"!!!"),"NEW","")))</f>
        <v> </v>
      </c>
      <c r="G1754" s="24" t="str">
        <f>IF(OR(E1754="",E1754="!!!"),"",IF(OR(J1754=0,AND(J1754=1,K1754=1),AND(J1754=1,I1754="SBJ"),AND(J1754=1,I1754=0)),"?IN_FOCUS",IF(J1754&lt;=2,"?ACTIVATED",IF(J1754&lt;&gt;"","?FAMILIAR",IF(F1754="NEW",IF(ISNA(VLOOKUP(E1754,#REF!,1,FALSE())),"?TYPE_IDENTIFIABLE","?REFERENTIAL"),"_")))))</f>
        <v> </v>
      </c>
      <c r="H1754" s="25" t="str">
        <f>IF(J1754&lt;&gt;1,"",IF(I1754="SBJ","CB","?"))</f>
        <v> </v>
      </c>
      <c r="I1754" s="26" t="str">
        <f>IF(OR(E1754="",E1754="!!!",F1754="NEW"),"",INDEX(B1753:B$2,-1+SUMPRODUCT(MAX(ROW(E1753:E$2)*(E1754=E1753:E$2)))))</f>
        <v> </v>
      </c>
      <c r="J1754" s="26" t="str">
        <f>IF(OR(E1754="",E1754="!!!",F1754="NEW"),"",COUNTBLANK(OFFSET(A$1,,,SUMPRODUCT(MAX(ROW(E$2:E1754)*(E1754=E$2:E1754)))))-COUNTBLANK(OFFSET(A$1,,,SUMPRODUCT(MAX(ROW(E$1:E1753)*(E2=E$1:E1753))))))</f>
        <v> </v>
      </c>
      <c r="K1754" s="26" t="str">
        <f>IF(OR(E1754="",E1754="!!!",F1754="NEW"),"",INDEX(J$1:J1753,SUMPRODUCT(MAX(ROW(E$1:E1753)*(E1754=E$1:E1753)))))</f>
        <v> </v>
      </c>
      <c r="L1754" s="27"/>
    </row>
    <row r="1755" spans="1:12">
      <c r="A1755" s="20" t="s">
        <v>1074</v>
      </c>
      <c r="E1755" s="22">
        <f>IF(D1755="?OLD","!!!","")</f>
        <v/>
      </c>
      <c r="F1755" s="23" t="str">
        <f>IF(OR(E1755="",E1755="!!!"),"",IF(NOT(ISNA(VLOOKUP(E1755,E$1:E1754,1,FALSE()))),"OLD",IF(AND(E1755&lt;&gt;"",E1755&lt;&gt;"!!!"),"NEW","")))</f>
        <v> </v>
      </c>
      <c r="G1755" s="24" t="str">
        <f>IF(OR(E1755="",E1755="!!!"),"",IF(OR(J1755=0,AND(J1755=1,K1755=1),AND(J1755=1,I1755="SBJ"),AND(J1755=1,I1755=0)),"?IN_FOCUS",IF(J1755&lt;=2,"?ACTIVATED",IF(J1755&lt;&gt;"","?FAMILIAR",IF(F1755="NEW",IF(ISNA(VLOOKUP(E1755,#REF!,1,FALSE())),"?TYPE_IDENTIFIABLE","?REFERENTIAL"),"_")))))</f>
        <v> </v>
      </c>
      <c r="H1755" s="25" t="str">
        <f>IF(J1755&lt;&gt;1,"",IF(I1755="SBJ","CB","?"))</f>
        <v> </v>
      </c>
      <c r="I1755" s="26" t="str">
        <f>IF(OR(E1755="",E1755="!!!",F1755="NEW"),"",INDEX(B1754:B$2,-1+SUMPRODUCT(MAX(ROW(E1754:E$2)*(E1755=E1754:E$2)))))</f>
        <v> </v>
      </c>
      <c r="J1755" s="26" t="str">
        <f>IF(OR(E1755="",E1755="!!!",F1755="NEW"),"",COUNTBLANK(OFFSET(A$1,,,SUMPRODUCT(MAX(ROW(E$2:E1755)*(E1755=E$2:E1755)))))-COUNTBLANK(OFFSET(A$1,,,SUMPRODUCT(MAX(ROW(E$1:E1754)*(E2=E$1:E1754))))))</f>
        <v> </v>
      </c>
      <c r="K1755" s="26" t="str">
        <f>IF(OR(E1755="",E1755="!!!",F1755="NEW"),"",INDEX(J$1:J1754,SUMPRODUCT(MAX(ROW(E$1:E1754)*(E1755=E$1:E1754)))))</f>
        <v> </v>
      </c>
      <c r="L1755" s="27"/>
    </row>
    <row r="1756" spans="1:12">
      <c r="A1756" s="20" t="s">
        <v>1610</v>
      </c>
      <c r="B1756" s="21" t="s">
        <v>1036</v>
      </c>
      <c r="C1756" s="21" t="s">
        <v>1003</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1074</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1024</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1611</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998</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row>
    <row r="1762" spans="1:12">
      <c r="A1762" s="20" t="s">
        <v>1612</v>
      </c>
    </row>
    <row r="1763" spans="1:12">
      <c r="A1763" s="20" t="s">
        <v>1193</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125</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1206</v>
      </c>
      <c r="B1765" s="21" t="s">
        <v>990</v>
      </c>
      <c r="C1765" s="21" t="s">
        <v>991</v>
      </c>
      <c r="D1765" s="21" t="s">
        <v>992</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1613</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1614</v>
      </c>
      <c r="B1767" s="21" t="s">
        <v>1002</v>
      </c>
      <c r="C1767" s="21" t="s">
        <v>1316</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1154</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1615</v>
      </c>
      <c r="B1769" s="21" t="s">
        <v>1015</v>
      </c>
      <c r="C1769" s="21" t="s">
        <v>1022</v>
      </c>
      <c r="D1769" s="21" t="s">
        <v>992</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1024</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1031</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1614</v>
      </c>
      <c r="B1772" s="21" t="s">
        <v>1036</v>
      </c>
      <c r="C1772" s="21" t="s">
        <v>1022</v>
      </c>
      <c r="D1772" s="21" t="s">
        <v>992</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1154</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1615</v>
      </c>
      <c r="B1774" s="21" t="s">
        <v>1060</v>
      </c>
      <c r="C1774" s="21" t="s">
        <v>1022</v>
      </c>
      <c r="D1774" s="21" t="s">
        <v>992</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576</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1578</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1065</v>
      </c>
      <c r="B1777" s="21" t="s">
        <v>1178</v>
      </c>
      <c r="C1777" s="21" t="s">
        <v>1592</v>
      </c>
      <c r="D1777" s="21" t="s">
        <v>992</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998</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row>
    <row r="1780" spans="1:12">
      <c r="A1780" s="20" t="s">
        <v>1616</v>
      </c>
    </row>
    <row r="1781" spans="1:12">
      <c r="A1781" s="20" t="s">
        <v>1206</v>
      </c>
      <c r="B1781" s="21" t="s">
        <v>990</v>
      </c>
      <c r="C1781" s="21" t="s">
        <v>991</v>
      </c>
      <c r="D1781" s="21" t="s">
        <v>992</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1617</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1118</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576</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1618</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1097</v>
      </c>
      <c r="B1786" s="21" t="s">
        <v>995</v>
      </c>
      <c r="C1786" s="21" t="s">
        <v>1022</v>
      </c>
      <c r="D1786" s="21" t="s">
        <v>992</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576</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1619</v>
      </c>
      <c r="B1788" s="21" t="s">
        <v>1015</v>
      </c>
      <c r="C1788" s="21" t="s">
        <v>1022</v>
      </c>
      <c r="D1788" s="21" t="s">
        <v>992</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1024</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1116</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1024</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1084</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1063</v>
      </c>
      <c r="B1793" s="21" t="s">
        <v>1089</v>
      </c>
      <c r="C1793" s="21" t="s">
        <v>1039</v>
      </c>
      <c r="D1793" s="21" t="s">
        <v>992</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1578</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1065</v>
      </c>
      <c r="B1795" s="21" t="s">
        <v>1015</v>
      </c>
      <c r="C1795" s="21" t="s">
        <v>1009</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1056</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1057</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1620</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1621</v>
      </c>
      <c r="B1799" s="21" t="s">
        <v>1036</v>
      </c>
      <c r="C1799" s="21" t="s">
        <v>1592</v>
      </c>
      <c r="D1799" s="21" t="s">
        <v>992</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1223</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1622</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1623</v>
      </c>
      <c r="B1802" s="21" t="s">
        <v>1060</v>
      </c>
      <c r="C1802" s="21" t="s">
        <v>1045</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1152</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1029</v>
      </c>
      <c r="B1804" s="21" t="s">
        <v>1178</v>
      </c>
      <c r="C1804" s="21" t="s">
        <v>1054</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1057</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1579</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row>
    <row r="1808" spans="1:12">
      <c r="A1808" s="20" t="s">
        <v>1624</v>
      </c>
    </row>
    <row r="1809" spans="1:12">
      <c r="A1809" s="20" t="s">
        <v>366</v>
      </c>
      <c r="B1809" s="21" t="s">
        <v>995</v>
      </c>
      <c r="C1809" s="21" t="s">
        <v>1003</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37</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1024</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400</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1063</v>
      </c>
      <c r="B1813" s="21" t="s">
        <v>990</v>
      </c>
      <c r="C1813" s="21" t="s">
        <v>1039</v>
      </c>
      <c r="D1813" s="21" t="s">
        <v>992</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1029</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1625</v>
      </c>
      <c r="B1815" s="21" t="s">
        <v>995</v>
      </c>
      <c r="C1815" s="21" t="s">
        <v>1003</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1626</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998</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row>
    <row r="1819" spans="1:12">
      <c r="A1819" s="20" t="s">
        <v>1627</v>
      </c>
    </row>
    <row r="1820" spans="1:12">
      <c r="A1820" s="20" t="s">
        <v>1326</v>
      </c>
      <c r="B1820" s="21" t="s">
        <v>990</v>
      </c>
      <c r="C1820" s="21" t="s">
        <v>1039</v>
      </c>
      <c r="D1820" s="21" t="s">
        <v>992</v>
      </c>
      <c r="E1820" s="22">
        <f>IF(D1820="?OLD","!!!","")</f>
        <v/>
      </c>
      <c r="F1820" s="23" t="str">
        <f>IF(OR(E1820="",E1820="!!!"),"",IF(NOT(ISNA(VLOOKUP(E1820,E$1:E1819,1,FALSE()))),"OLD",IF(AND(E1820&lt;&gt;"",E1820&lt;&gt;"!!!"),"NEW","")))</f>
        <v> </v>
      </c>
      <c r="G1820" s="24" t="str">
        <f>IF(OR(E1820="",E1820="!!!"),"",IF(OR(J1820=0,AND(J1820=1,K1820=1),AND(J1820=1,I1820="SBJ"),AND(J1820=1,I1820=0)),"?IN_FOCUS",IF(J1820&lt;=2,"?ACTIVATED",IF(J1820&lt;&gt;"","?FAMILIAR",IF(F1820="NEW",IF(ISNA(VLOOKUP(E1820,#REF!,1,FALSE())),"?TYPE_IDENTIFIABLE","?REFERENTIAL"),"_")))))</f>
        <v> </v>
      </c>
      <c r="H1820" s="25" t="str">
        <f>IF(J1820&lt;&gt;1,"",IF(I1820="SBJ","CB","?"))</f>
        <v> </v>
      </c>
      <c r="I1820" s="26" t="str">
        <f>IF(OR(E1820="",E1820="!!!",F1820="NEW"),"",INDEX(B1819:B$2,-1+SUMPRODUCT(MAX(ROW(E1819:E$2)*(E1820=E1819:E$2)))))</f>
        <v> </v>
      </c>
      <c r="J1820" s="26" t="str">
        <f>IF(OR(E1820="",E1820="!!!",F1820="NEW"),"",COUNTBLANK(OFFSET(A$1,,,SUMPRODUCT(MAX(ROW(E$2:E1820)*(E1820=E$2:E1820)))))-COUNTBLANK(OFFSET(A$1,,,SUMPRODUCT(MAX(ROW(E$1:E1819)*(E2=E$1:E1819))))))</f>
        <v> </v>
      </c>
      <c r="K1820" s="26" t="str">
        <f>IF(OR(E1820="",E1820="!!!",F1820="NEW"),"",INDEX(J$1:J1819,SUMPRODUCT(MAX(ROW(E$1:E1819)*(E1820=E$1:E1819)))))</f>
        <v> </v>
      </c>
      <c r="L1820" s="27"/>
    </row>
    <row r="1821" spans="1:12">
      <c r="A1821" s="20" t="s">
        <v>400</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1173</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704</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1626</v>
      </c>
      <c r="B1824" s="21" t="s">
        <v>995</v>
      </c>
      <c r="C1824" s="21" t="s">
        <v>1332</v>
      </c>
      <c r="D1824" s="21" t="s">
        <v>992</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1024</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1282</v>
      </c>
      <c r="B1826" s="21" t="s">
        <v>1026</v>
      </c>
      <c r="C1826" s="21" t="s">
        <v>1039</v>
      </c>
      <c r="D1826" s="21" t="s">
        <v>992</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1217</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1438</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1029</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1340</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1024</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1037</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1031</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1628</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1050</v>
      </c>
      <c r="B1835" s="21" t="s">
        <v>1015</v>
      </c>
      <c r="C1835" s="21" t="s">
        <v>1022</v>
      </c>
      <c r="D1835" s="21" t="s">
        <v>992</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576</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1032</v>
      </c>
      <c r="B1837" s="21" t="s">
        <v>1036</v>
      </c>
      <c r="C1837" s="21" t="s">
        <v>1022</v>
      </c>
      <c r="D1837" s="21" t="s">
        <v>992</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998</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row>
    <row r="1840" spans="1:12">
      <c r="A1840" s="20" t="s">
        <v>1629</v>
      </c>
    </row>
    <row r="1841" spans="1:12">
      <c r="A1841" s="20" t="s">
        <v>1193</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1024</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1282</v>
      </c>
      <c r="B1843" s="21" t="s">
        <v>1002</v>
      </c>
      <c r="C1843" s="21" t="s">
        <v>1039</v>
      </c>
      <c r="D1843" s="21" t="s">
        <v>992</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1063</v>
      </c>
      <c r="B1844" s="21" t="s">
        <v>990</v>
      </c>
      <c r="C1844" s="21" t="s">
        <v>1039</v>
      </c>
      <c r="D1844" s="21" t="s">
        <v>992</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1228</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29</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1024</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1023</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1077</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1630</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1631</v>
      </c>
      <c r="B1851" s="21" t="s">
        <v>990</v>
      </c>
      <c r="C1851" s="21" t="s">
        <v>1045</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1632</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1050</v>
      </c>
      <c r="B1853" s="21" t="s">
        <v>1015</v>
      </c>
      <c r="C1853" s="21" t="s">
        <v>1003</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1024</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1031</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1633</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12</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1208</v>
      </c>
      <c r="B1858" s="21" t="s">
        <v>990</v>
      </c>
      <c r="C1858" s="21" t="s">
        <v>1022</v>
      </c>
      <c r="D1858" s="21" t="s">
        <v>992</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1107</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998</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row>
    <row r="1862" spans="1:12">
      <c r="A1862" s="20" t="s">
        <v>1068</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1634</v>
      </c>
    </row>
    <row r="1864" spans="1:12">
      <c r="A1864" s="20" t="s">
        <v>1238</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1635</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1636</v>
      </c>
      <c r="B1866" s="21" t="s">
        <v>990</v>
      </c>
      <c r="C1866" s="21" t="s">
        <v>1022</v>
      </c>
      <c r="D1866" s="21" t="s">
        <v>992</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1023</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749</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1073</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1074</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1637</v>
      </c>
      <c r="B1871" s="21" t="s">
        <v>1026</v>
      </c>
      <c r="C1871" s="21" t="s">
        <v>1003</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1102</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1107</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1208</v>
      </c>
      <c r="B1874" s="21" t="s">
        <v>1026</v>
      </c>
      <c r="C1874" s="21" t="s">
        <v>1003</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1638</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704</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1167</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1074</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row>
    <row r="1880" spans="1:12">
      <c r="A1880" s="20" t="s">
        <v>1639</v>
      </c>
    </row>
    <row r="1881" spans="1:12">
      <c r="A1881" s="20" t="s">
        <v>1542</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1084</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1063</v>
      </c>
      <c r="B1883" s="21" t="s">
        <v>1026</v>
      </c>
      <c r="C1883" s="21" t="s">
        <v>1039</v>
      </c>
      <c r="D1883" s="21" t="s">
        <v>992</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1019</v>
      </c>
      <c r="B1884" s="21" t="s">
        <v>1055</v>
      </c>
      <c r="C1884" s="21" t="s">
        <v>1076</v>
      </c>
      <c r="D1884" s="21" t="s">
        <v>992</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836</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1640</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1024</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1641</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1063</v>
      </c>
      <c r="B1889" s="21" t="s">
        <v>990</v>
      </c>
      <c r="C1889" s="21" t="s">
        <v>1039</v>
      </c>
      <c r="D1889" s="21" t="s">
        <v>992</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1642</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1260</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1380</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1472</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1643</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1644</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1645</v>
      </c>
      <c r="B1896" s="21" t="s">
        <v>1002</v>
      </c>
      <c r="C1896" s="21" t="s">
        <v>1003</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1029</v>
      </c>
      <c r="B1897" s="21" t="s">
        <v>1015</v>
      </c>
      <c r="C1897" s="21" t="s">
        <v>1054</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576</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1646</v>
      </c>
      <c r="B1899" s="21" t="s">
        <v>995</v>
      </c>
      <c r="C1899" s="21" t="s">
        <v>1022</v>
      </c>
      <c r="D1899" s="21" t="s">
        <v>992</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t="s">
        <v>998</v>
      </c>
      <c r="E1900" s="22">
        <f>IF(D1900="?OLD","!!!","")</f>
        <v/>
      </c>
      <c r="F1900" s="23" t="str">
        <f>IF(OR(E1900="",E1900="!!!"),"",IF(NOT(ISNA(VLOOKUP(E1900,E$1:E1899,1,FALSE()))),"OLD",IF(AND(E1900&lt;&gt;"",E1900&lt;&gt;"!!!"),"NEW","")))</f>
        <v> </v>
      </c>
      <c r="G1900" s="24" t="str">
        <f>IF(OR(E1900="",E1900="!!!"),"",IF(OR(J1900=0,AND(J1900=1,K1900=1),AND(J1900=1,I1900="SBJ"),AND(J1900=1,I1900=0)),"?IN_FOCUS",IF(J1900&lt;=2,"?ACTIVATED",IF(J1900&lt;&gt;"","?FAMILIAR",IF(F1900="NEW",IF(ISNA(VLOOKUP(E1900,#REF!,1,FALSE())),"?TYPE_IDENTIFIABLE","?REFERENTIAL"),"_")))))</f>
        <v> </v>
      </c>
      <c r="H1900" s="25" t="str">
        <f>IF(J1900&lt;&gt;1,"",IF(I1900="SBJ","CB","?"))</f>
        <v> </v>
      </c>
      <c r="I1900" s="26" t="str">
        <f>IF(OR(E1900="",E1900="!!!",F1900="NEW"),"",INDEX(B1899:B$2,-1+SUMPRODUCT(MAX(ROW(E1899:E$2)*(E1900=E1899:E$2)))))</f>
        <v> </v>
      </c>
      <c r="J1900" s="26" t="str">
        <f>IF(OR(E1900="",E1900="!!!",F1900="NEW"),"",COUNTBLANK(OFFSET(A$1,,,SUMPRODUCT(MAX(ROW(E$2:E1900)*(E1900=E$2:E1900)))))-COUNTBLANK(OFFSET(A$1,,,SUMPRODUCT(MAX(ROW(E$1:E1899)*(E2=E$1:E1899))))))</f>
        <v> </v>
      </c>
      <c r="K1900" s="26" t="str">
        <f>IF(OR(E1900="",E1900="!!!",F1900="NEW"),"",INDEX(J$1:J1899,SUMPRODUCT(MAX(ROW(E$1:E1899)*(E1900=E$1:E1899)))))</f>
        <v> </v>
      </c>
      <c r="L1900" s="27"/>
    </row>
    <row r="1901" spans="1:12">
      <c r="A1901" s="20"/>
    </row>
    <row r="1902" spans="1:12">
      <c r="A1902" s="20" t="s">
        <v>1647</v>
      </c>
    </row>
    <row r="1903" spans="1:12">
      <c r="A1903" s="20" t="s">
        <v>1648</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1087</v>
      </c>
      <c r="B1904" s="21" t="s">
        <v>1015</v>
      </c>
      <c r="C1904" s="21" t="s">
        <v>1039</v>
      </c>
      <c r="D1904" s="21" t="s">
        <v>992</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1050</v>
      </c>
      <c r="B1905" s="21" t="s">
        <v>1002</v>
      </c>
      <c r="C1905" s="21" t="s">
        <v>1009</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29</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1063</v>
      </c>
      <c r="B1907" s="21" t="s">
        <v>990</v>
      </c>
      <c r="C1907" s="21" t="s">
        <v>1039</v>
      </c>
      <c r="D1907" s="21" t="s">
        <v>992</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t="s">
        <v>415</v>
      </c>
      <c r="E1908" s="22">
        <f>IF(D1908="?OLD","!!!","")</f>
        <v/>
      </c>
      <c r="F1908" s="23" t="str">
        <f>IF(OR(E1908="",E1908="!!!"),"",IF(NOT(ISNA(VLOOKUP(E1908,E$1:E1907,1,FALSE()))),"OLD",IF(AND(E1908&lt;&gt;"",E1908&lt;&gt;"!!!"),"NEW","")))</f>
        <v> </v>
      </c>
      <c r="G1908" s="24" t="str">
        <f>IF(OR(E1908="",E1908="!!!"),"",IF(OR(J1908=0,AND(J1908=1,K1908=1),AND(J1908=1,I1908="SBJ"),AND(J1908=1,I1908=0)),"?IN_FOCUS",IF(J1908&lt;=2,"?ACTIVATED",IF(J1908&lt;&gt;"","?FAMILIAR",IF(F1908="NEW",IF(ISNA(VLOOKUP(E1908,#REF!,1,FALSE())),"?TYPE_IDENTIFIABLE","?REFERENTIAL"),"_")))))</f>
        <v> </v>
      </c>
      <c r="H1908" s="25" t="str">
        <f>IF(J1908&lt;&gt;1,"",IF(I1908="SBJ","CB","?"))</f>
        <v> </v>
      </c>
      <c r="I1908" s="26" t="str">
        <f>IF(OR(E1908="",E1908="!!!",F1908="NEW"),"",INDEX(B1907:B$2,-1+SUMPRODUCT(MAX(ROW(E1907:E$2)*(E1908=E1907:E$2)))))</f>
        <v> </v>
      </c>
      <c r="J1908" s="26" t="str">
        <f>IF(OR(E1908="",E1908="!!!",F1908="NEW"),"",COUNTBLANK(OFFSET(A$1,,,SUMPRODUCT(MAX(ROW(E$2:E1908)*(E1908=E$2:E1908)))))-COUNTBLANK(OFFSET(A$1,,,SUMPRODUCT(MAX(ROW(E$1:E1907)*(E2=E$1:E1907))))))</f>
        <v> </v>
      </c>
      <c r="K1908" s="26" t="str">
        <f>IF(OR(E1908="",E1908="!!!",F1908="NEW"),"",INDEX(J$1:J1907,SUMPRODUCT(MAX(ROW(E$1:E1907)*(E1908=E$1:E1907)))))</f>
        <v> </v>
      </c>
      <c r="L1908" s="27"/>
    </row>
    <row r="1909" spans="1:12">
      <c r="A1909" s="20" t="s">
        <v>1034</v>
      </c>
      <c r="E1909" s="22">
        <f>IF(D1909="?OLD","!!!","")</f>
        <v/>
      </c>
      <c r="F1909" s="23" t="str">
        <f>IF(OR(E1909="",E1909="!!!"),"",IF(NOT(ISNA(VLOOKUP(E1909,E$1:E1908,1,FALSE()))),"OLD",IF(AND(E1909&lt;&gt;"",E1909&lt;&gt;"!!!"),"NEW","")))</f>
        <v> </v>
      </c>
      <c r="G1909" s="24" t="str">
        <f>IF(OR(E1909="",E1909="!!!"),"",IF(OR(J1909=0,AND(J1909=1,K1909=1),AND(J1909=1,I1909="SBJ"),AND(J1909=1,I1909=0)),"?IN_FOCUS",IF(J1909&lt;=2,"?ACTIVATED",IF(J1909&lt;&gt;"","?FAMILIAR",IF(F1909="NEW",IF(ISNA(VLOOKUP(E1909,#REF!,1,FALSE())),"?TYPE_IDENTIFIABLE","?REFERENTIAL"),"_")))))</f>
        <v> </v>
      </c>
      <c r="H1909" s="25" t="str">
        <f>IF(J1909&lt;&gt;1,"",IF(I1909="SBJ","CB","?"))</f>
        <v> </v>
      </c>
      <c r="I1909" s="26" t="str">
        <f>IF(OR(E1909="",E1909="!!!",F1909="NEW"),"",INDEX(B1908:B$2,-1+SUMPRODUCT(MAX(ROW(E1908:E$2)*(E1909=E1908:E$2)))))</f>
        <v> </v>
      </c>
      <c r="J1909" s="26" t="str">
        <f>IF(OR(E1909="",E1909="!!!",F1909="NEW"),"",COUNTBLANK(OFFSET(A$1,,,SUMPRODUCT(MAX(ROW(E$2:E1909)*(E1909=E$2:E1909)))))-COUNTBLANK(OFFSET(A$1,,,SUMPRODUCT(MAX(ROW(E$1:E1908)*(E2=E$1:E1908))))))</f>
        <v> </v>
      </c>
      <c r="K1909" s="26" t="str">
        <f>IF(OR(E1909="",E1909="!!!",F1909="NEW"),"",INDEX(J$1:J1908,SUMPRODUCT(MAX(ROW(E$1:E1908)*(E1909=E$1:E1908)))))</f>
        <v> </v>
      </c>
      <c r="L1909" s="27"/>
    </row>
    <row r="1910" spans="1:12">
      <c r="A1910" s="20" t="s">
        <v>576</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1032</v>
      </c>
      <c r="B1911" s="21" t="s">
        <v>995</v>
      </c>
      <c r="C1911" s="21" t="s">
        <v>1022</v>
      </c>
      <c r="D1911" s="21" t="s">
        <v>992</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1024</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1031</v>
      </c>
      <c r="B1913" s="21" t="s">
        <v>1089</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1151</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1077</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1649</v>
      </c>
      <c r="B1916" s="21" t="s">
        <v>1033</v>
      </c>
      <c r="C1916" s="21" t="s">
        <v>1045</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1066</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1650</v>
      </c>
      <c r="B1918" s="21" t="s">
        <v>1060</v>
      </c>
      <c r="C1918" s="21" t="s">
        <v>1003</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1056</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1010</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12</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1040</v>
      </c>
      <c r="B1922" s="21" t="s">
        <v>1036</v>
      </c>
      <c r="C1922" s="21" t="s">
        <v>1003</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37</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998</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row>
    <row r="1926" spans="1:12">
      <c r="A1926" s="20" t="s">
        <v>1651</v>
      </c>
    </row>
    <row r="1927" spans="1:12">
      <c r="A1927" s="20" t="s">
        <v>1182</v>
      </c>
      <c r="B1927" s="21" t="s">
        <v>990</v>
      </c>
      <c r="C1927" s="21" t="s">
        <v>1076</v>
      </c>
      <c r="D1927" s="21" t="s">
        <v>992</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1107</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1348</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1633</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12</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1208</v>
      </c>
      <c r="B1932" s="21" t="s">
        <v>995</v>
      </c>
      <c r="C1932" s="21" t="s">
        <v>1316</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998</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row>
    <row r="1935" spans="1:12">
      <c r="A1935" s="20" t="s">
        <v>1068</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t="s">
        <v>1652</v>
      </c>
    </row>
    <row r="1937" spans="1:12">
      <c r="A1937" s="20" t="s">
        <v>1653</v>
      </c>
      <c r="E1937" s="22">
        <f>IF(D1937="?OLD","!!!","")</f>
        <v/>
      </c>
      <c r="F1937" s="23" t="str">
        <f>IF(OR(E1937="",E1937="!!!"),"",IF(NOT(ISNA(VLOOKUP(E1937,E$1:E1936,1,FALSE()))),"OLD",IF(AND(E1937&lt;&gt;"",E1937&lt;&gt;"!!!"),"NEW","")))</f>
        <v> </v>
      </c>
      <c r="G1937" s="24" t="str">
        <f>IF(OR(E1937="",E1937="!!!"),"",IF(OR(J1937=0,AND(J1937=1,K1937=1),AND(J1937=1,I1937="SBJ"),AND(J1937=1,I1937=0)),"?IN_FOCUS",IF(J1937&lt;=2,"?ACTIVATED",IF(J1937&lt;&gt;"","?FAMILIAR",IF(F1937="NEW",IF(ISNA(VLOOKUP(E1937,#REF!,1,FALSE())),"?TYPE_IDENTIFIABLE","?REFERENTIAL"),"_")))))</f>
        <v> </v>
      </c>
      <c r="H1937" s="25" t="str">
        <f>IF(J1937&lt;&gt;1,"",IF(I1937="SBJ","CB","?"))</f>
        <v> </v>
      </c>
      <c r="I1937" s="26" t="str">
        <f>IF(OR(E1937="",E1937="!!!",F1937="NEW"),"",INDEX(B1936:B$2,-1+SUMPRODUCT(MAX(ROW(E1936:E$2)*(E1937=E1936:E$2)))))</f>
        <v> </v>
      </c>
      <c r="J1937" s="26" t="str">
        <f>IF(OR(E1937="",E1937="!!!",F1937="NEW"),"",COUNTBLANK(OFFSET(A$1,,,SUMPRODUCT(MAX(ROW(E$2:E1937)*(E1937=E$2:E1937)))))-COUNTBLANK(OFFSET(A$1,,,SUMPRODUCT(MAX(ROW(E$1:E1936)*(E2=E$1:E1936))))))</f>
        <v> </v>
      </c>
      <c r="K1937" s="26" t="str">
        <f>IF(OR(E1937="",E1937="!!!",F1937="NEW"),"",INDEX(J$1:J1936,SUMPRODUCT(MAX(ROW(E$1:E1936)*(E1937=E$1:E1936)))))</f>
        <v> </v>
      </c>
      <c r="L1937" s="27"/>
    </row>
    <row r="1938" spans="1:12">
      <c r="A1938" s="20" t="s">
        <v>1283</v>
      </c>
      <c r="B1938" s="21" t="s">
        <v>995</v>
      </c>
      <c r="C1938" s="21" t="s">
        <v>1009</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1050</v>
      </c>
      <c r="B1939" s="21" t="s">
        <v>995</v>
      </c>
      <c r="C1939" s="21" t="s">
        <v>1003</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1024</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1031</v>
      </c>
      <c r="B1941" s="21" t="s">
        <v>1026</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1654</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704</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1034</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1074</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1655</v>
      </c>
      <c r="B1946" s="21" t="s">
        <v>1015</v>
      </c>
      <c r="C1946" s="21" t="s">
        <v>1054</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1074</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1107</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998</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row>
    <row r="1951" spans="1:12">
      <c r="A1951" s="20" t="s">
        <v>1656</v>
      </c>
    </row>
    <row r="1952" spans="1:12">
      <c r="A1952" s="20" t="s">
        <v>1013</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1034</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1057</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1155</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1021</v>
      </c>
      <c r="B1956" s="21" t="s">
        <v>995</v>
      </c>
      <c r="C1956" s="21" t="s">
        <v>1022</v>
      </c>
      <c r="D1956" s="21" t="s">
        <v>992</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29</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1063</v>
      </c>
      <c r="B1958" s="21" t="s">
        <v>990</v>
      </c>
      <c r="C1958" s="21" t="s">
        <v>1039</v>
      </c>
      <c r="D1958" s="21" t="s">
        <v>992</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1077</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1657</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1658</v>
      </c>
      <c r="B1961" s="21" t="s">
        <v>1002</v>
      </c>
      <c r="C1961" s="21" t="s">
        <v>1045</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1208</v>
      </c>
      <c r="B1962" s="21" t="s">
        <v>1002</v>
      </c>
      <c r="C1962" s="21" t="s">
        <v>1003</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1024</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1031</v>
      </c>
      <c r="B1964" s="21" t="s">
        <v>1089</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t="s">
        <v>1654</v>
      </c>
      <c r="E1965" s="22">
        <f>IF(D1965="?OLD","!!!","")</f>
        <v/>
      </c>
      <c r="F1965" s="23" t="str">
        <f>IF(OR(E1965="",E1965="!!!"),"",IF(NOT(ISNA(VLOOKUP(E1965,E$1:E1964,1,FALSE()))),"OLD",IF(AND(E1965&lt;&gt;"",E1965&lt;&gt;"!!!"),"NEW","")))</f>
        <v> </v>
      </c>
      <c r="G1965" s="24" t="str">
        <f>IF(OR(E1965="",E1965="!!!"),"",IF(OR(J1965=0,AND(J1965=1,K1965=1),AND(J1965=1,I1965="SBJ"),AND(J1965=1,I1965=0)),"?IN_FOCUS",IF(J1965&lt;=2,"?ACTIVATED",IF(J1965&lt;&gt;"","?FAMILIAR",IF(F1965="NEW",IF(ISNA(VLOOKUP(E1965,#REF!,1,FALSE())),"?TYPE_IDENTIFIABLE","?REFERENTIAL"),"_")))))</f>
        <v> </v>
      </c>
      <c r="H1965" s="25" t="str">
        <f>IF(J1965&lt;&gt;1,"",IF(I1965="SBJ","CB","?"))</f>
        <v> </v>
      </c>
      <c r="I1965" s="26" t="str">
        <f>IF(OR(E1965="",E1965="!!!",F1965="NEW"),"",INDEX(B1964:B$2,-1+SUMPRODUCT(MAX(ROW(E1964:E$2)*(E1965=E1964:E$2)))))</f>
        <v> </v>
      </c>
      <c r="J1965" s="26" t="str">
        <f>IF(OR(E1965="",E1965="!!!",F1965="NEW"),"",COUNTBLANK(OFFSET(A$1,,,SUMPRODUCT(MAX(ROW(E$2:E1965)*(E1965=E$2:E1965)))))-COUNTBLANK(OFFSET(A$1,,,SUMPRODUCT(MAX(ROW(E$1:E1964)*(E2=E$1:E1964))))))</f>
        <v> </v>
      </c>
      <c r="K1965" s="26" t="str">
        <f>IF(OR(E1965="",E1965="!!!",F1965="NEW"),"",INDEX(J$1:J1964,SUMPRODUCT(MAX(ROW(E$1:E1964)*(E1965=E$1:E1964)))))</f>
        <v> </v>
      </c>
      <c r="L1965" s="27"/>
    </row>
    <row r="1966" spans="1:12">
      <c r="A1966" s="20" t="s">
        <v>704</v>
      </c>
      <c r="E1966" s="22">
        <f>IF(D1966="?OLD","!!!","")</f>
        <v/>
      </c>
      <c r="F1966" s="23" t="str">
        <f>IF(OR(E1966="",E1966="!!!"),"",IF(NOT(ISNA(VLOOKUP(E1966,E$1:E1965,1,FALSE()))),"OLD",IF(AND(E1966&lt;&gt;"",E1966&lt;&gt;"!!!"),"NEW","")))</f>
        <v> </v>
      </c>
      <c r="G1966" s="24" t="str">
        <f>IF(OR(E1966="",E1966="!!!"),"",IF(OR(J1966=0,AND(J1966=1,K1966=1),AND(J1966=1,I1966="SBJ"),AND(J1966=1,I1966=0)),"?IN_FOCUS",IF(J1966&lt;=2,"?ACTIVATED",IF(J1966&lt;&gt;"","?FAMILIAR",IF(F1966="NEW",IF(ISNA(VLOOKUP(E1966,#REF!,1,FALSE())),"?TYPE_IDENTIFIABLE","?REFERENTIAL"),"_")))))</f>
        <v> </v>
      </c>
      <c r="H1966" s="25" t="str">
        <f>IF(J1966&lt;&gt;1,"",IF(I1966="SBJ","CB","?"))</f>
        <v> </v>
      </c>
      <c r="I1966" s="26" t="str">
        <f>IF(OR(E1966="",E1966="!!!",F1966="NEW"),"",INDEX(B1965:B$2,-1+SUMPRODUCT(MAX(ROW(E1965:E$2)*(E1966=E1965:E$2)))))</f>
        <v> </v>
      </c>
      <c r="J1966" s="26" t="str">
        <f>IF(OR(E1966="",E1966="!!!",F1966="NEW"),"",COUNTBLANK(OFFSET(A$1,,,SUMPRODUCT(MAX(ROW(E$2:E1966)*(E1966=E$2:E1966)))))-COUNTBLANK(OFFSET(A$1,,,SUMPRODUCT(MAX(ROW(E$1:E1965)*(E2=E$1:E1965))))))</f>
        <v> </v>
      </c>
      <c r="K1966" s="26" t="str">
        <f>IF(OR(E1966="",E1966="!!!",F1966="NEW"),"",INDEX(J$1:J1965,SUMPRODUCT(MAX(ROW(E$1:E1965)*(E1966=E$1:E1965)))))</f>
        <v> </v>
      </c>
      <c r="L1966" s="27"/>
    </row>
    <row r="1967" spans="1:12">
      <c r="A1967" s="20" t="s">
        <v>1034</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1282</v>
      </c>
      <c r="B1968" s="21" t="s">
        <v>1036</v>
      </c>
      <c r="C1968" s="21" t="s">
        <v>1039</v>
      </c>
      <c r="D1968" s="21" t="s">
        <v>992</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1217</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1438</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1107</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998</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row>
    <row r="1974" spans="1:12">
      <c r="A1974" s="20" t="s">
        <v>1659</v>
      </c>
    </row>
    <row r="1975" spans="1:12">
      <c r="A1975" s="20" t="s">
        <v>1660</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1206</v>
      </c>
      <c r="B1976" s="21" t="s">
        <v>1026</v>
      </c>
      <c r="C1976" s="21" t="s">
        <v>991</v>
      </c>
      <c r="D1976" s="21" t="s">
        <v>992</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1025</v>
      </c>
      <c r="B1977" s="21" t="s">
        <v>1026</v>
      </c>
      <c r="C1977" s="21" t="s">
        <v>991</v>
      </c>
      <c r="D1977" s="21" t="s">
        <v>992</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1661</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1108</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1333</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29</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1024</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1031</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1662</v>
      </c>
      <c r="B1984" s="21" t="s">
        <v>990</v>
      </c>
      <c r="C1984" s="21" t="s">
        <v>1022</v>
      </c>
      <c r="D1984" s="21" t="s">
        <v>992</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1663</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1664</v>
      </c>
      <c r="B1986" s="21" t="s">
        <v>1002</v>
      </c>
      <c r="C1986" s="21" t="s">
        <v>1003</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1024</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1031</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1665</v>
      </c>
      <c r="B1989" s="21" t="s">
        <v>1015</v>
      </c>
      <c r="C1989" s="21" t="s">
        <v>1022</v>
      </c>
      <c r="D1989" s="21" t="s">
        <v>992</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1666</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231</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1118</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1667</v>
      </c>
      <c r="B1993" s="21" t="s">
        <v>1060</v>
      </c>
      <c r="C1993" s="21" t="s">
        <v>996</v>
      </c>
      <c r="D1993" s="21" t="s">
        <v>992</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429</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1024</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1668</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1057</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t="s">
        <v>1669</v>
      </c>
      <c r="E1998" s="22">
        <f>IF(D1998="?OLD","!!!","")</f>
        <v/>
      </c>
      <c r="F1998" s="23" t="str">
        <f>IF(OR(E1998="",E1998="!!!"),"",IF(NOT(ISNA(VLOOKUP(E1998,E$1:E1997,1,FALSE()))),"OLD",IF(AND(E1998&lt;&gt;"",E1998&lt;&gt;"!!!"),"NEW","")))</f>
        <v> </v>
      </c>
      <c r="G1998" s="24" t="str">
        <f>IF(OR(E1998="",E1998="!!!"),"",IF(OR(J1998=0,AND(J1998=1,K1998=1),AND(J1998=1,I1998="SBJ"),AND(J1998=1,I1998=0)),"?IN_FOCUS",IF(J1998&lt;=2,"?ACTIVATED",IF(J1998&lt;&gt;"","?FAMILIAR",IF(F1998="NEW",IF(ISNA(VLOOKUP(E1998,#REF!,1,FALSE())),"?TYPE_IDENTIFIABLE","?REFERENTIAL"),"_")))))</f>
        <v> </v>
      </c>
      <c r="H1998" s="25" t="str">
        <f>IF(J1998&lt;&gt;1,"",IF(I1998="SBJ","CB","?"))</f>
        <v> </v>
      </c>
      <c r="I1998" s="26" t="str">
        <f>IF(OR(E1998="",E1998="!!!",F1998="NEW"),"",INDEX(B1997:B$2,-1+SUMPRODUCT(MAX(ROW(E1997:E$2)*(E1998=E1997:E$2)))))</f>
        <v> </v>
      </c>
      <c r="J1998" s="26" t="str">
        <f>IF(OR(E1998="",E1998="!!!",F1998="NEW"),"",COUNTBLANK(OFFSET(A$1,,,SUMPRODUCT(MAX(ROW(E$2:E1998)*(E1998=E$2:E1998)))))-COUNTBLANK(OFFSET(A$1,,,SUMPRODUCT(MAX(ROW(E$1:E1997)*(E2=E$1:E1997))))))</f>
        <v> </v>
      </c>
      <c r="K1998" s="26" t="str">
        <f>IF(OR(E1998="",E1998="!!!",F1998="NEW"),"",INDEX(J$1:J1997,SUMPRODUCT(MAX(ROW(E$1:E1997)*(E1998=E$1:E1997)))))</f>
        <v> </v>
      </c>
      <c r="L1998" s="27"/>
    </row>
    <row r="1999" spans="1:12">
      <c r="A1999" s="20" t="s">
        <v>12</v>
      </c>
      <c r="E1999" s="22">
        <f>IF(D1999="?OLD","!!!","")</f>
        <v/>
      </c>
      <c r="F1999" s="23" t="str">
        <f>IF(OR(E1999="",E1999="!!!"),"",IF(NOT(ISNA(VLOOKUP(E1999,E$1:E1998,1,FALSE()))),"OLD",IF(AND(E1999&lt;&gt;"",E1999&lt;&gt;"!!!"),"NEW","")))</f>
        <v> </v>
      </c>
      <c r="G1999" s="24" t="str">
        <f>IF(OR(E1999="",E1999="!!!"),"",IF(OR(J1999=0,AND(J1999=1,K1999=1),AND(J1999=1,I1999="SBJ"),AND(J1999=1,I1999=0)),"?IN_FOCUS",IF(J1999&lt;=2,"?ACTIVATED",IF(J1999&lt;&gt;"","?FAMILIAR",IF(F1999="NEW",IF(ISNA(VLOOKUP(E1999,#REF!,1,FALSE())),"?TYPE_IDENTIFIABLE","?REFERENTIAL"),"_")))))</f>
        <v> </v>
      </c>
      <c r="H1999" s="25" t="str">
        <f>IF(J1999&lt;&gt;1,"",IF(I1999="SBJ","CB","?"))</f>
        <v> </v>
      </c>
      <c r="I1999" s="26" t="str">
        <f>IF(OR(E1999="",E1999="!!!",F1999="NEW"),"",INDEX(B1998:B$2,-1+SUMPRODUCT(MAX(ROW(E1998:E$2)*(E1999=E1998:E$2)))))</f>
        <v> </v>
      </c>
      <c r="J1999" s="26" t="str">
        <f>IF(OR(E1999="",E1999="!!!",F1999="NEW"),"",COUNTBLANK(OFFSET(A$1,,,SUMPRODUCT(MAX(ROW(E$2:E1999)*(E1999=E$2:E1999)))))-COUNTBLANK(OFFSET(A$1,,,SUMPRODUCT(MAX(ROW(E$1:E1998)*(E2=E$1:E1998))))))</f>
        <v> </v>
      </c>
      <c r="K1999" s="26" t="str">
        <f>IF(OR(E1999="",E1999="!!!",F1999="NEW"),"",INDEX(J$1:J1998,SUMPRODUCT(MAX(ROW(E$1:E1998)*(E1999=E$1:E1998)))))</f>
        <v> </v>
      </c>
      <c r="L1999" s="27"/>
    </row>
    <row r="2000" spans="1:12">
      <c r="A2000" s="20" t="s">
        <v>1670</v>
      </c>
      <c r="B2000" s="21" t="s">
        <v>995</v>
      </c>
      <c r="C2000" s="21" t="s">
        <v>1022</v>
      </c>
      <c r="D2000" s="21" t="s">
        <v>992</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1024</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1137</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1208</v>
      </c>
      <c r="B2003" s="21" t="s">
        <v>995</v>
      </c>
      <c r="C2003" s="21" t="s">
        <v>1003</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1118</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576</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1286</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1032</v>
      </c>
      <c r="B2007" s="21" t="s">
        <v>1015</v>
      </c>
      <c r="C2007" s="21" t="s">
        <v>1022</v>
      </c>
      <c r="D2007" s="21" t="s">
        <v>992</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1024</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1671</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1034</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1672</v>
      </c>
      <c r="B2011" s="21" t="s">
        <v>1036</v>
      </c>
      <c r="C2011" s="21" t="s">
        <v>996</v>
      </c>
      <c r="D2011" s="21" t="s">
        <v>992</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1024</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1673</v>
      </c>
      <c r="B2013" s="21" t="s">
        <v>1060</v>
      </c>
      <c r="C2013" s="21" t="s">
        <v>996</v>
      </c>
      <c r="D2013" s="21" t="s">
        <v>992</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1024</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1674</v>
      </c>
      <c r="B2015" s="21" t="s">
        <v>1530</v>
      </c>
      <c r="C2015" s="21" t="s">
        <v>996</v>
      </c>
      <c r="D2015" s="21" t="s">
        <v>992</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1150</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675</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1391</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998</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row>
    <row r="2021" spans="1:12">
      <c r="A2021" s="20" t="s">
        <v>1675</v>
      </c>
    </row>
    <row r="2022" spans="1:12">
      <c r="A2022" s="20" t="s">
        <v>1446</v>
      </c>
      <c r="B2022" s="21" t="s">
        <v>990</v>
      </c>
      <c r="C2022" s="21" t="s">
        <v>1054</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1676</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1077</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1677</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1658</v>
      </c>
      <c r="B2026" s="21" t="s">
        <v>1002</v>
      </c>
      <c r="C2026" s="21" t="s">
        <v>1045</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1208</v>
      </c>
      <c r="B2027" s="21" t="s">
        <v>1015</v>
      </c>
      <c r="C2027" s="21" t="s">
        <v>1003</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t="s">
        <v>1034</v>
      </c>
      <c r="E2028" s="22">
        <f>IF(D2028="?OLD","!!!","")</f>
        <v/>
      </c>
      <c r="F2028" s="23" t="str">
        <f>IF(OR(E2028="",E2028="!!!"),"",IF(NOT(ISNA(VLOOKUP(E2028,E$1:E2027,1,FALSE()))),"OLD",IF(AND(E2028&lt;&gt;"",E2028&lt;&gt;"!!!"),"NEW","")))</f>
        <v> </v>
      </c>
      <c r="G2028" s="24" t="str">
        <f>IF(OR(E2028="",E2028="!!!"),"",IF(OR(J2028=0,AND(J2028=1,K2028=1),AND(J2028=1,I2028="SBJ"),AND(J2028=1,I2028=0)),"?IN_FOCUS",IF(J2028&lt;=2,"?ACTIVATED",IF(J2028&lt;&gt;"","?FAMILIAR",IF(F2028="NEW",IF(ISNA(VLOOKUP(E2028,#REF!,1,FALSE())),"?TYPE_IDENTIFIABLE","?REFERENTIAL"),"_")))))</f>
        <v> </v>
      </c>
      <c r="H2028" s="25" t="str">
        <f>IF(J2028&lt;&gt;1,"",IF(I2028="SBJ","CB","?"))</f>
        <v> </v>
      </c>
      <c r="I2028" s="26" t="str">
        <f>IF(OR(E2028="",E2028="!!!",F2028="NEW"),"",INDEX(B2027:B$2,-1+SUMPRODUCT(MAX(ROW(E2027:E$2)*(E2028=E2027:E$2)))))</f>
        <v> </v>
      </c>
      <c r="J2028" s="26" t="str">
        <f>IF(OR(E2028="",E2028="!!!",F2028="NEW"),"",COUNTBLANK(OFFSET(A$1,,,SUMPRODUCT(MAX(ROW(E$2:E2028)*(E2028=E$2:E2028)))))-COUNTBLANK(OFFSET(A$1,,,SUMPRODUCT(MAX(ROW(E$1:E2027)*(E2=E$1:E2027))))))</f>
        <v> </v>
      </c>
      <c r="K2028" s="26" t="str">
        <f>IF(OR(E2028="",E2028="!!!",F2028="NEW"),"",INDEX(J$1:J2027,SUMPRODUCT(MAX(ROW(E$1:E2027)*(E2028=E$1:E2027)))))</f>
        <v> </v>
      </c>
      <c r="L2028" s="27"/>
    </row>
    <row r="2029" spans="1:12">
      <c r="A2029" s="20" t="s">
        <v>1057</v>
      </c>
      <c r="E2029" s="22">
        <f>IF(D2029="?OLD","!!!","")</f>
        <v/>
      </c>
      <c r="F2029" s="23" t="str">
        <f>IF(OR(E2029="",E2029="!!!"),"",IF(NOT(ISNA(VLOOKUP(E2029,E$1:E2028,1,FALSE()))),"OLD",IF(AND(E2029&lt;&gt;"",E2029&lt;&gt;"!!!"),"NEW","")))</f>
        <v> </v>
      </c>
      <c r="G2029" s="24" t="str">
        <f>IF(OR(E2029="",E2029="!!!"),"",IF(OR(J2029=0,AND(J2029=1,K2029=1),AND(J2029=1,I2029="SBJ"),AND(J2029=1,I2029=0)),"?IN_FOCUS",IF(J2029&lt;=2,"?ACTIVATED",IF(J2029&lt;&gt;"","?FAMILIAR",IF(F2029="NEW",IF(ISNA(VLOOKUP(E2029,#REF!,1,FALSE())),"?TYPE_IDENTIFIABLE","?REFERENTIAL"),"_")))))</f>
        <v> </v>
      </c>
      <c r="H2029" s="25" t="str">
        <f>IF(J2029&lt;&gt;1,"",IF(I2029="SBJ","CB","?"))</f>
        <v> </v>
      </c>
      <c r="I2029" s="26" t="str">
        <f>IF(OR(E2029="",E2029="!!!",F2029="NEW"),"",INDEX(B2028:B$2,-1+SUMPRODUCT(MAX(ROW(E2028:E$2)*(E2029=E2028:E$2)))))</f>
        <v> </v>
      </c>
      <c r="J2029" s="26" t="str">
        <f>IF(OR(E2029="",E2029="!!!",F2029="NEW"),"",COUNTBLANK(OFFSET(A$1,,,SUMPRODUCT(MAX(ROW(E$2:E2029)*(E2029=E$2:E2029)))))-COUNTBLANK(OFFSET(A$1,,,SUMPRODUCT(MAX(ROW(E$1:E2028)*(E2=E$1:E2028))))))</f>
        <v> </v>
      </c>
      <c r="K2029" s="26" t="str">
        <f>IF(OR(E2029="",E2029="!!!",F2029="NEW"),"",INDEX(J$1:J2028,SUMPRODUCT(MAX(ROW(E$1:E2028)*(E2029=E$1:E2028)))))</f>
        <v> </v>
      </c>
      <c r="L2029" s="27"/>
    </row>
    <row r="2030" spans="1:12">
      <c r="A2030" s="20" t="s">
        <v>1155</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1021</v>
      </c>
      <c r="B2031" s="21" t="s">
        <v>1015</v>
      </c>
      <c r="C2031" s="21" t="s">
        <v>1022</v>
      </c>
      <c r="D2031" s="21" t="s">
        <v>992</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998</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row>
    <row r="2034" spans="1:12">
      <c r="A2034" s="20" t="s">
        <v>1678</v>
      </c>
    </row>
    <row r="2035" spans="1:12">
      <c r="A2035" s="20" t="s">
        <v>1679</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t="s">
        <v>29</v>
      </c>
      <c r="E2036" s="22">
        <f>IF(D2036="?OLD","!!!","")</f>
        <v/>
      </c>
      <c r="F2036" s="23" t="str">
        <f>IF(OR(E2036="",E2036="!!!"),"",IF(NOT(ISNA(VLOOKUP(E2036,E$1:E2035,1,FALSE()))),"OLD",IF(AND(E2036&lt;&gt;"",E2036&lt;&gt;"!!!"),"NEW","")))</f>
        <v> </v>
      </c>
      <c r="G2036" s="24" t="str">
        <f>IF(OR(E2036="",E2036="!!!"),"",IF(OR(J2036=0,AND(J2036=1,K2036=1),AND(J2036=1,I2036="SBJ"),AND(J2036=1,I2036=0)),"?IN_FOCUS",IF(J2036&lt;=2,"?ACTIVATED",IF(J2036&lt;&gt;"","?FAMILIAR",IF(F2036="NEW",IF(ISNA(VLOOKUP(E2036,#REF!,1,FALSE())),"?TYPE_IDENTIFIABLE","?REFERENTIAL"),"_")))))</f>
        <v> </v>
      </c>
      <c r="H2036" s="25" t="str">
        <f>IF(J2036&lt;&gt;1,"",IF(I2036="SBJ","CB","?"))</f>
        <v> </v>
      </c>
      <c r="I2036" s="26" t="str">
        <f>IF(OR(E2036="",E2036="!!!",F2036="NEW"),"",INDEX(B2035:B$2,-1+SUMPRODUCT(MAX(ROW(E2035:E$2)*(E2036=E2035:E$2)))))</f>
        <v> </v>
      </c>
      <c r="J2036" s="26" t="str">
        <f>IF(OR(E2036="",E2036="!!!",F2036="NEW"),"",COUNTBLANK(OFFSET(A$1,,,SUMPRODUCT(MAX(ROW(E$2:E2036)*(E2036=E$2:E2036)))))-COUNTBLANK(OFFSET(A$1,,,SUMPRODUCT(MAX(ROW(E$1:E2035)*(E2=E$1:E2035))))))</f>
        <v> </v>
      </c>
      <c r="K2036" s="26" t="str">
        <f>IF(OR(E2036="",E2036="!!!",F2036="NEW"),"",INDEX(J$1:J2035,SUMPRODUCT(MAX(ROW(E$1:E2035)*(E2036=E$1:E2035)))))</f>
        <v> </v>
      </c>
      <c r="L2036" s="27"/>
    </row>
    <row r="2037" spans="1:12">
      <c r="A2037" s="20" t="s">
        <v>1063</v>
      </c>
      <c r="B2037" s="21" t="s">
        <v>1026</v>
      </c>
      <c r="C2037" s="21" t="s">
        <v>1039</v>
      </c>
      <c r="D2037" s="21" t="s">
        <v>992</v>
      </c>
      <c r="E2037" s="22">
        <f>IF(D2037="?OLD","!!!","")</f>
        <v/>
      </c>
      <c r="F2037" s="23" t="str">
        <f>IF(OR(E2037="",E2037="!!!"),"",IF(NOT(ISNA(VLOOKUP(E2037,E$1:E2036,1,FALSE()))),"OLD",IF(AND(E2037&lt;&gt;"",E2037&lt;&gt;"!!!"),"NEW","")))</f>
        <v> </v>
      </c>
      <c r="G2037" s="24" t="str">
        <f>IF(OR(E2037="",E2037="!!!"),"",IF(OR(J2037=0,AND(J2037=1,K2037=1),AND(J2037=1,I2037="SBJ"),AND(J2037=1,I2037=0)),"?IN_FOCUS",IF(J2037&lt;=2,"?ACTIVATED",IF(J2037&lt;&gt;"","?FAMILIAR",IF(F2037="NEW",IF(ISNA(VLOOKUP(E2037,#REF!,1,FALSE())),"?TYPE_IDENTIFIABLE","?REFERENTIAL"),"_")))))</f>
        <v> </v>
      </c>
      <c r="H2037" s="25" t="str">
        <f>IF(J2037&lt;&gt;1,"",IF(I2037="SBJ","CB","?"))</f>
        <v> </v>
      </c>
      <c r="I2037" s="26" t="str">
        <f>IF(OR(E2037="",E2037="!!!",F2037="NEW"),"",INDEX(B2036:B$2,-1+SUMPRODUCT(MAX(ROW(E2036:E$2)*(E2037=E2036:E$2)))))</f>
        <v> </v>
      </c>
      <c r="J2037" s="26" t="str">
        <f>IF(OR(E2037="",E2037="!!!",F2037="NEW"),"",COUNTBLANK(OFFSET(A$1,,,SUMPRODUCT(MAX(ROW(E$2:E2037)*(E2037=E$2:E2037)))))-COUNTBLANK(OFFSET(A$1,,,SUMPRODUCT(MAX(ROW(E$1:E2036)*(E2=E$1:E2036))))))</f>
        <v> </v>
      </c>
      <c r="K2037" s="26" t="str">
        <f>IF(OR(E2037="",E2037="!!!",F2037="NEW"),"",INDEX(J$1:J2036,SUMPRODUCT(MAX(ROW(E$1:E2036)*(E2037=E$1:E2036)))))</f>
        <v> </v>
      </c>
      <c r="L2037" s="27"/>
    </row>
    <row r="2038" spans="1:12">
      <c r="A2038" s="20" t="s">
        <v>1680</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1681</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1064</v>
      </c>
      <c r="B2040" s="21" t="s">
        <v>1015</v>
      </c>
      <c r="C2040" s="21" t="s">
        <v>1009</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1208</v>
      </c>
      <c r="B2041" s="21" t="s">
        <v>1002</v>
      </c>
      <c r="C2041" s="21" t="s">
        <v>1003</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998</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row>
    <row r="2044" spans="1:12">
      <c r="A2044" s="20" t="s">
        <v>1682</v>
      </c>
    </row>
    <row r="2045" spans="1:12">
      <c r="A2045" s="20" t="s">
        <v>1193</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1042</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t="s">
        <v>1114</v>
      </c>
      <c r="B2047" s="21" t="s">
        <v>990</v>
      </c>
      <c r="C2047" s="21" t="s">
        <v>991</v>
      </c>
      <c r="D2047" s="21" t="s">
        <v>992</v>
      </c>
      <c r="E2047" s="22">
        <f>IF(D2047="?OLD","!!!","")</f>
        <v/>
      </c>
      <c r="F2047" s="23" t="str">
        <f>IF(OR(E2047="",E2047="!!!"),"",IF(NOT(ISNA(VLOOKUP(E2047,E$1:E2046,1,FALSE()))),"OLD",IF(AND(E2047&lt;&gt;"",E2047&lt;&gt;"!!!"),"NEW","")))</f>
        <v> </v>
      </c>
      <c r="G2047" s="24" t="str">
        <f>IF(OR(E2047="",E2047="!!!"),"",IF(OR(J2047=0,AND(J2047=1,K2047=1),AND(J2047=1,I2047="SBJ"),AND(J2047=1,I2047=0)),"?IN_FOCUS",IF(J2047&lt;=2,"?ACTIVATED",IF(J2047&lt;&gt;"","?FAMILIAR",IF(F2047="NEW",IF(ISNA(VLOOKUP(E2047,#REF!,1,FALSE())),"?TYPE_IDENTIFIABLE","?REFERENTIAL"),"_")))))</f>
        <v> </v>
      </c>
      <c r="H2047" s="25" t="str">
        <f>IF(J2047&lt;&gt;1,"",IF(I2047="SBJ","CB","?"))</f>
        <v> </v>
      </c>
      <c r="I2047" s="26" t="str">
        <f>IF(OR(E2047="",E2047="!!!",F2047="NEW"),"",INDEX(B2046:B$2,-1+SUMPRODUCT(MAX(ROW(E2046:E$2)*(E2047=E2046:E$2)))))</f>
        <v> </v>
      </c>
      <c r="J2047" s="26" t="str">
        <f>IF(OR(E2047="",E2047="!!!",F2047="NEW"),"",COUNTBLANK(OFFSET(A$1,,,SUMPRODUCT(MAX(ROW(E$2:E2047)*(E2047=E$2:E2047)))))-COUNTBLANK(OFFSET(A$1,,,SUMPRODUCT(MAX(ROW(E$1:E2046)*(E2=E$1:E2046))))))</f>
        <v> </v>
      </c>
      <c r="K2047" s="26" t="str">
        <f>IF(OR(E2047="",E2047="!!!",F2047="NEW"),"",INDEX(J$1:J2046,SUMPRODUCT(MAX(ROW(E$1:E2046)*(E2047=E$1:E2046)))))</f>
        <v> </v>
      </c>
      <c r="L2047" s="27"/>
    </row>
    <row r="2048" spans="1:12">
      <c r="A2048" s="20" t="s">
        <v>440</v>
      </c>
      <c r="E2048" s="22">
        <f>IF(D2048="?OLD","!!!","")</f>
        <v/>
      </c>
      <c r="F2048" s="23" t="str">
        <f>IF(OR(E2048="",E2048="!!!"),"",IF(NOT(ISNA(VLOOKUP(E2048,E$1:E2047,1,FALSE()))),"OLD",IF(AND(E2048&lt;&gt;"",E2048&lt;&gt;"!!!"),"NEW","")))</f>
        <v> </v>
      </c>
      <c r="G2048" s="24" t="str">
        <f>IF(OR(E2048="",E2048="!!!"),"",IF(OR(J2048=0,AND(J2048=1,K2048=1),AND(J2048=1,I2048="SBJ"),AND(J2048=1,I2048=0)),"?IN_FOCUS",IF(J2048&lt;=2,"?ACTIVATED",IF(J2048&lt;&gt;"","?FAMILIAR",IF(F2048="NEW",IF(ISNA(VLOOKUP(E2048,#REF!,1,FALSE())),"?TYPE_IDENTIFIABLE","?REFERENTIAL"),"_")))))</f>
        <v> </v>
      </c>
      <c r="H2048" s="25" t="str">
        <f>IF(J2048&lt;&gt;1,"",IF(I2048="SBJ","CB","?"))</f>
        <v> </v>
      </c>
      <c r="I2048" s="26" t="str">
        <f>IF(OR(E2048="",E2048="!!!",F2048="NEW"),"",INDEX(B2047:B$2,-1+SUMPRODUCT(MAX(ROW(E2047:E$2)*(E2048=E2047:E$2)))))</f>
        <v> </v>
      </c>
      <c r="J2048" s="26" t="str">
        <f>IF(OR(E2048="",E2048="!!!",F2048="NEW"),"",COUNTBLANK(OFFSET(A$1,,,SUMPRODUCT(MAX(ROW(E$2:E2048)*(E2048=E$2:E2048)))))-COUNTBLANK(OFFSET(A$1,,,SUMPRODUCT(MAX(ROW(E$1:E2047)*(E2=E$1:E2047))))))</f>
        <v> </v>
      </c>
      <c r="K2048" s="26" t="str">
        <f>IF(OR(E2048="",E2048="!!!",F2048="NEW"),"",INDEX(J$1:J2047,SUMPRODUCT(MAX(ROW(E$1:E2047)*(E2048=E$1:E2047)))))</f>
        <v> </v>
      </c>
      <c r="L2048" s="27"/>
    </row>
    <row r="2049" spans="1:12">
      <c r="A2049" s="20" t="s">
        <v>1024</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1029</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1683</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1024</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1282</v>
      </c>
      <c r="B2053" s="21" t="s">
        <v>1026</v>
      </c>
      <c r="C2053" s="21" t="s">
        <v>1039</v>
      </c>
      <c r="D2053" s="21" t="s">
        <v>992</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t="s">
        <v>1025</v>
      </c>
      <c r="B2054" s="21" t="s">
        <v>1026</v>
      </c>
      <c r="C2054" s="21" t="s">
        <v>991</v>
      </c>
      <c r="D2054" s="21" t="s">
        <v>992</v>
      </c>
      <c r="E2054" s="22">
        <f>IF(D2054="?OLD","!!!","")</f>
        <v/>
      </c>
      <c r="F2054" s="23" t="str">
        <f>IF(OR(E2054="",E2054="!!!"),"",IF(NOT(ISNA(VLOOKUP(E2054,E$1:E2053,1,FALSE()))),"OLD",IF(AND(E2054&lt;&gt;"",E2054&lt;&gt;"!!!"),"NEW","")))</f>
        <v> </v>
      </c>
      <c r="G2054" s="24" t="str">
        <f>IF(OR(E2054="",E2054="!!!"),"",IF(OR(J2054=0,AND(J2054=1,K2054=1),AND(J2054=1,I2054="SBJ"),AND(J2054=1,I2054=0)),"?IN_FOCUS",IF(J2054&lt;=2,"?ACTIVATED",IF(J2054&lt;&gt;"","?FAMILIAR",IF(F2054="NEW",IF(ISNA(VLOOKUP(E2054,#REF!,1,FALSE())),"?TYPE_IDENTIFIABLE","?REFERENTIAL"),"_")))))</f>
        <v> </v>
      </c>
      <c r="H2054" s="25" t="str">
        <f>IF(J2054&lt;&gt;1,"",IF(I2054="SBJ","CB","?"))</f>
        <v> </v>
      </c>
      <c r="I2054" s="26" t="str">
        <f>IF(OR(E2054="",E2054="!!!",F2054="NEW"),"",INDEX(B2053:B$2,-1+SUMPRODUCT(MAX(ROW(E2053:E$2)*(E2054=E2053:E$2)))))</f>
        <v> </v>
      </c>
      <c r="J2054" s="26" t="str">
        <f>IF(OR(E2054="",E2054="!!!",F2054="NEW"),"",COUNTBLANK(OFFSET(A$1,,,SUMPRODUCT(MAX(ROW(E$2:E2054)*(E2054=E$2:E2054)))))-COUNTBLANK(OFFSET(A$1,,,SUMPRODUCT(MAX(ROW(E$1:E2053)*(E2=E$1:E2053))))))</f>
        <v> </v>
      </c>
      <c r="K2054" s="26" t="str">
        <f>IF(OR(E2054="",E2054="!!!",F2054="NEW"),"",INDEX(J$1:J2053,SUMPRODUCT(MAX(ROW(E$1:E2053)*(E2054=E$1:E2053)))))</f>
        <v> </v>
      </c>
      <c r="L2054" s="27"/>
    </row>
    <row r="2055" spans="1:12">
      <c r="A2055" s="20" t="s">
        <v>1023</v>
      </c>
      <c r="E2055" s="22">
        <f>IF(D2055="?OLD","!!!","")</f>
        <v/>
      </c>
      <c r="F2055" s="23" t="str">
        <f>IF(OR(E2055="",E2055="!!!"),"",IF(NOT(ISNA(VLOOKUP(E2055,E$1:E2054,1,FALSE()))),"OLD",IF(AND(E2055&lt;&gt;"",E2055&lt;&gt;"!!!"),"NEW","")))</f>
        <v> </v>
      </c>
      <c r="G2055" s="24" t="str">
        <f>IF(OR(E2055="",E2055="!!!"),"",IF(OR(J2055=0,AND(J2055=1,K2055=1),AND(J2055=1,I2055="SBJ"),AND(J2055=1,I2055=0)),"?IN_FOCUS",IF(J2055&lt;=2,"?ACTIVATED",IF(J2055&lt;&gt;"","?FAMILIAR",IF(F2055="NEW",IF(ISNA(VLOOKUP(E2055,#REF!,1,FALSE())),"?TYPE_IDENTIFIABLE","?REFERENTIAL"),"_")))))</f>
        <v> </v>
      </c>
      <c r="H2055" s="25" t="str">
        <f>IF(J2055&lt;&gt;1,"",IF(I2055="SBJ","CB","?"))</f>
        <v> </v>
      </c>
      <c r="I2055" s="26" t="str">
        <f>IF(OR(E2055="",E2055="!!!",F2055="NEW"),"",INDEX(B2054:B$2,-1+SUMPRODUCT(MAX(ROW(E2054:E$2)*(E2055=E2054:E$2)))))</f>
        <v> </v>
      </c>
      <c r="J2055" s="26" t="str">
        <f>IF(OR(E2055="",E2055="!!!",F2055="NEW"),"",COUNTBLANK(OFFSET(A$1,,,SUMPRODUCT(MAX(ROW(E$2:E2055)*(E2055=E$2:E2055)))))-COUNTBLANK(OFFSET(A$1,,,SUMPRODUCT(MAX(ROW(E$1:E2054)*(E2=E$1:E2054))))))</f>
        <v> </v>
      </c>
      <c r="K2055" s="26" t="str">
        <f>IF(OR(E2055="",E2055="!!!",F2055="NEW"),"",INDEX(J$1:J2054,SUMPRODUCT(MAX(ROW(E$1:E2054)*(E2055=E$1:E2054)))))</f>
        <v> </v>
      </c>
      <c r="L2055" s="27"/>
    </row>
    <row r="2056" spans="1:12">
      <c r="A2056" s="20" t="s">
        <v>1024</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1684</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1346</v>
      </c>
      <c r="B2058" s="21" t="s">
        <v>1033</v>
      </c>
      <c r="C2058" s="21" t="s">
        <v>1039</v>
      </c>
      <c r="D2058" s="21" t="s">
        <v>992</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1123</v>
      </c>
      <c r="B2059" s="21" t="s">
        <v>1060</v>
      </c>
      <c r="C2059" s="21" t="s">
        <v>1076</v>
      </c>
      <c r="D2059" s="21" t="s">
        <v>992</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1011</v>
      </c>
      <c r="B2060" s="21" t="s">
        <v>1033</v>
      </c>
      <c r="C2060" s="21" t="s">
        <v>1121</v>
      </c>
      <c r="D2060" s="21" t="s">
        <v>992</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1029</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1625</v>
      </c>
      <c r="B2062" s="21" t="s">
        <v>1036</v>
      </c>
      <c r="C2062" s="21" t="s">
        <v>1003</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1030</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998</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row>
    <row r="2066" spans="1:12">
      <c r="A2066" s="20" t="s">
        <v>1685</v>
      </c>
    </row>
    <row r="2067" spans="1:12">
      <c r="A2067" s="20" t="s">
        <v>1686</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1107</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1031</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t="s">
        <v>23</v>
      </c>
      <c r="E2070" s="22">
        <f>IF(D2070="?OLD","!!!","")</f>
        <v/>
      </c>
      <c r="F2070" s="23" t="str">
        <f>IF(OR(E2070="",E2070="!!!"),"",IF(NOT(ISNA(VLOOKUP(E2070,E$1:E2069,1,FALSE()))),"OLD",IF(AND(E2070&lt;&gt;"",E2070&lt;&gt;"!!!"),"NEW","")))</f>
        <v> </v>
      </c>
      <c r="G2070" s="24" t="str">
        <f>IF(OR(E2070="",E2070="!!!"),"",IF(OR(J2070=0,AND(J2070=1,K2070=1),AND(J2070=1,I2070="SBJ"),AND(J2070=1,I2070=0)),"?IN_FOCUS",IF(J2070&lt;=2,"?ACTIVATED",IF(J2070&lt;&gt;"","?FAMILIAR",IF(F2070="NEW",IF(ISNA(VLOOKUP(E2070,#REF!,1,FALSE())),"?TYPE_IDENTIFIABLE","?REFERENTIAL"),"_")))))</f>
        <v> </v>
      </c>
      <c r="H2070" s="25" t="str">
        <f>IF(J2070&lt;&gt;1,"",IF(I2070="SBJ","CB","?"))</f>
        <v> </v>
      </c>
      <c r="I2070" s="26" t="str">
        <f>IF(OR(E2070="",E2070="!!!",F2070="NEW"),"",INDEX(B2069:B$2,-1+SUMPRODUCT(MAX(ROW(E2069:E$2)*(E2070=E2069:E$2)))))</f>
        <v> </v>
      </c>
      <c r="J2070" s="26" t="str">
        <f>IF(OR(E2070="",E2070="!!!",F2070="NEW"),"",COUNTBLANK(OFFSET(A$1,,,SUMPRODUCT(MAX(ROW(E$2:E2070)*(E2070=E$2:E2070)))))-COUNTBLANK(OFFSET(A$1,,,SUMPRODUCT(MAX(ROW(E$1:E2069)*(E2=E$1:E2069))))))</f>
        <v> </v>
      </c>
      <c r="K2070" s="26" t="str">
        <f>IF(OR(E2070="",E2070="!!!",F2070="NEW"),"",INDEX(J$1:J2069,SUMPRODUCT(MAX(ROW(E$1:E2069)*(E2070=E$1:E2069)))))</f>
        <v> </v>
      </c>
      <c r="L2070" s="27"/>
    </row>
    <row r="2071" spans="1:12">
      <c r="A2071" s="20" t="s">
        <v>1405</v>
      </c>
      <c r="B2071" s="21" t="s">
        <v>990</v>
      </c>
      <c r="C2071" s="21" t="s">
        <v>1592</v>
      </c>
      <c r="D2071" s="21" t="s">
        <v>992</v>
      </c>
      <c r="E2071" s="22">
        <f>IF(D2071="?OLD","!!!","")</f>
        <v/>
      </c>
      <c r="F2071" s="23" t="str">
        <f>IF(OR(E2071="",E2071="!!!"),"",IF(NOT(ISNA(VLOOKUP(E2071,E$1:E2070,1,FALSE()))),"OLD",IF(AND(E2071&lt;&gt;"",E2071&lt;&gt;"!!!"),"NEW","")))</f>
        <v> </v>
      </c>
      <c r="G2071" s="24" t="str">
        <f>IF(OR(E2071="",E2071="!!!"),"",IF(OR(J2071=0,AND(J2071=1,K2071=1),AND(J2071=1,I2071="SBJ"),AND(J2071=1,I2071=0)),"?IN_FOCUS",IF(J2071&lt;=2,"?ACTIVATED",IF(J2071&lt;&gt;"","?FAMILIAR",IF(F2071="NEW",IF(ISNA(VLOOKUP(E2071,#REF!,1,FALSE())),"?TYPE_IDENTIFIABLE","?REFERENTIAL"),"_")))))</f>
        <v> </v>
      </c>
      <c r="H2071" s="25" t="str">
        <f>IF(J2071&lt;&gt;1,"",IF(I2071="SBJ","CB","?"))</f>
        <v> </v>
      </c>
      <c r="I2071" s="26" t="str">
        <f>IF(OR(E2071="",E2071="!!!",F2071="NEW"),"",INDEX(B2070:B$2,-1+SUMPRODUCT(MAX(ROW(E2070:E$2)*(E2071=E2070:E$2)))))</f>
        <v> </v>
      </c>
      <c r="J2071" s="26" t="str">
        <f>IF(OR(E2071="",E2071="!!!",F2071="NEW"),"",COUNTBLANK(OFFSET(A$1,,,SUMPRODUCT(MAX(ROW(E$2:E2071)*(E2071=E$2:E2071)))))-COUNTBLANK(OFFSET(A$1,,,SUMPRODUCT(MAX(ROW(E$1:E2070)*(E2=E$1:E2070))))))</f>
        <v> </v>
      </c>
      <c r="K2071" s="26" t="str">
        <f>IF(OR(E2071="",E2071="!!!",F2071="NEW"),"",INDEX(J$1:J2070,SUMPRODUCT(MAX(ROW(E$1:E2070)*(E2071=E$1:E2070)))))</f>
        <v> </v>
      </c>
      <c r="L2071" s="27"/>
    </row>
    <row r="2072" spans="1:12">
      <c r="A2072" s="20" t="s">
        <v>1031</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1114</v>
      </c>
      <c r="B2073" s="21" t="s">
        <v>990</v>
      </c>
      <c r="C2073" s="21" t="s">
        <v>991</v>
      </c>
      <c r="D2073" s="21" t="s">
        <v>992</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1687</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998</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row>
    <row r="2077" spans="1:12">
      <c r="A2077" s="20" t="s">
        <v>1688</v>
      </c>
    </row>
    <row r="2078" spans="1:12">
      <c r="A2078" s="20" t="s">
        <v>1689</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1690</v>
      </c>
      <c r="B2079" s="21" t="s">
        <v>995</v>
      </c>
      <c r="C2079" s="21" t="s">
        <v>1003</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1073</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1691</v>
      </c>
      <c r="B2081" s="21" t="s">
        <v>995</v>
      </c>
      <c r="C2081" s="21" t="s">
        <v>996</v>
      </c>
      <c r="D2081" s="21" t="s">
        <v>992</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12</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1236</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t="s">
        <v>998</v>
      </c>
      <c r="E2084" s="22">
        <f>IF(D2084="?OLD","!!!","")</f>
        <v/>
      </c>
      <c r="F2084" s="23" t="str">
        <f>IF(OR(E2084="",E2084="!!!"),"",IF(NOT(ISNA(VLOOKUP(E2084,E$1:E2083,1,FALSE()))),"OLD",IF(AND(E2084&lt;&gt;"",E2084&lt;&gt;"!!!"),"NEW","")))</f>
        <v> </v>
      </c>
      <c r="G2084" s="24" t="str">
        <f>IF(OR(E2084="",E2084="!!!"),"",IF(OR(J2084=0,AND(J2084=1,K2084=1),AND(J2084=1,I2084="SBJ"),AND(J2084=1,I2084=0)),"?IN_FOCUS",IF(J2084&lt;=2,"?ACTIVATED",IF(J2084&lt;&gt;"","?FAMILIAR",IF(F2084="NEW",IF(ISNA(VLOOKUP(E2084,#REF!,1,FALSE())),"?TYPE_IDENTIFIABLE","?REFERENTIAL"),"_")))))</f>
        <v> </v>
      </c>
      <c r="H2084" s="25" t="str">
        <f>IF(J2084&lt;&gt;1,"",IF(I2084="SBJ","CB","?"))</f>
        <v> </v>
      </c>
      <c r="I2084" s="26" t="str">
        <f>IF(OR(E2084="",E2084="!!!",F2084="NEW"),"",INDEX(B2083:B$2,-1+SUMPRODUCT(MAX(ROW(E2083:E$2)*(E2084=E2083:E$2)))))</f>
        <v> </v>
      </c>
      <c r="J2084" s="26" t="str">
        <f>IF(OR(E2084="",E2084="!!!",F2084="NEW"),"",COUNTBLANK(OFFSET(A$1,,,SUMPRODUCT(MAX(ROW(E$2:E2084)*(E2084=E$2:E2084)))))-COUNTBLANK(OFFSET(A$1,,,SUMPRODUCT(MAX(ROW(E$1:E2083)*(E2=E$1:E2083))))))</f>
        <v> </v>
      </c>
      <c r="K2084" s="26" t="str">
        <f>IF(OR(E2084="",E2084="!!!",F2084="NEW"),"",INDEX(J$1:J2083,SUMPRODUCT(MAX(ROW(E$1:E2083)*(E2084=E$1:E2083)))))</f>
        <v> </v>
      </c>
      <c r="L2084" s="27"/>
    </row>
    <row r="2085" spans="1:12">
      <c r="A2085" s="20"/>
    </row>
    <row r="2086" spans="1:12">
      <c r="A2086" s="20" t="s">
        <v>1692</v>
      </c>
    </row>
    <row r="2087" spans="1:12">
      <c r="A2087" s="20" t="s">
        <v>129</v>
      </c>
      <c r="B2087" s="21" t="s">
        <v>990</v>
      </c>
      <c r="C2087" s="21" t="s">
        <v>996</v>
      </c>
      <c r="D2087" s="21" t="s">
        <v>992</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1024</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347</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1206</v>
      </c>
      <c r="B2090" s="21" t="s">
        <v>990</v>
      </c>
      <c r="C2090" s="21" t="s">
        <v>991</v>
      </c>
      <c r="D2090" s="21" t="s">
        <v>992</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1347</v>
      </c>
      <c r="B2091" s="21" t="s">
        <v>1002</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1019</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1037</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1693</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1694</v>
      </c>
      <c r="B2095" s="21" t="s">
        <v>1002</v>
      </c>
      <c r="C2095" s="21" t="s">
        <v>1022</v>
      </c>
      <c r="D2095" s="21" t="s">
        <v>992</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1196</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998</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row>
    <row r="2099" spans="1:12">
      <c r="A2099" s="20" t="s">
        <v>1695</v>
      </c>
    </row>
    <row r="2100" spans="1:12">
      <c r="A2100" s="20" t="s">
        <v>1691</v>
      </c>
      <c r="E2100" s="22">
        <f>IF(D2100="?OLD","!!!","")</f>
        <v/>
      </c>
      <c r="F2100" s="23" t="str">
        <f>IF(OR(E2100="",E2100="!!!"),"",IF(NOT(ISNA(VLOOKUP(E2100,E$1:E2099,1,FALSE()))),"OLD",IF(AND(E2100&lt;&gt;"",E2100&lt;&gt;"!!!"),"NEW","")))</f>
        <v> </v>
      </c>
      <c r="G2100" s="24" t="str">
        <f>IF(OR(E2100="",E2100="!!!"),"",IF(OR(J2100=0,AND(J2100=1,K2100=1),AND(J2100=1,I2100="SBJ"),AND(J2100=1,I2100=0)),"?IN_FOCUS",IF(J2100&lt;=2,"?ACTIVATED",IF(J2100&lt;&gt;"","?FAMILIAR",IF(F2100="NEW",IF(ISNA(VLOOKUP(E2100,#REF!,1,FALSE())),"?TYPE_IDENTIFIABLE","?REFERENTIAL"),"_")))))</f>
        <v> </v>
      </c>
      <c r="H2100" s="25" t="str">
        <f>IF(J2100&lt;&gt;1,"",IF(I2100="SBJ","CB","?"))</f>
        <v> </v>
      </c>
      <c r="I2100" s="26" t="str">
        <f>IF(OR(E2100="",E2100="!!!",F2100="NEW"),"",INDEX(B2099:B$2,-1+SUMPRODUCT(MAX(ROW(E2099:E$2)*(E2100=E2099:E$2)))))</f>
        <v> </v>
      </c>
      <c r="J2100" s="26" t="str">
        <f>IF(OR(E2100="",E2100="!!!",F2100="NEW"),"",COUNTBLANK(OFFSET(A$1,,,SUMPRODUCT(MAX(ROW(E$2:E2100)*(E2100=E$2:E2100)))))-COUNTBLANK(OFFSET(A$1,,,SUMPRODUCT(MAX(ROW(E$1:E2099)*(E2=E$1:E2099))))))</f>
        <v> </v>
      </c>
      <c r="K2100" s="26" t="str">
        <f>IF(OR(E2100="",E2100="!!!",F2100="NEW"),"",INDEX(J$1:J2099,SUMPRODUCT(MAX(ROW(E$1:E2099)*(E2100=E$1:E2099)))))</f>
        <v> </v>
      </c>
      <c r="L2100" s="27"/>
    </row>
    <row r="2101" spans="1:12">
      <c r="A2101" s="20" t="s">
        <v>12</v>
      </c>
      <c r="E2101" s="22">
        <f>IF(D2101="?OLD","!!!","")</f>
        <v/>
      </c>
      <c r="F2101" s="23" t="str">
        <f>IF(OR(E2101="",E2101="!!!"),"",IF(NOT(ISNA(VLOOKUP(E2101,E$1:E2100,1,FALSE()))),"OLD",IF(AND(E2101&lt;&gt;"",E2101&lt;&gt;"!!!"),"NEW","")))</f>
        <v> </v>
      </c>
      <c r="G2101" s="24" t="str">
        <f>IF(OR(E2101="",E2101="!!!"),"",IF(OR(J2101=0,AND(J2101=1,K2101=1),AND(J2101=1,I2101="SBJ"),AND(J2101=1,I2101=0)),"?IN_FOCUS",IF(J2101&lt;=2,"?ACTIVATED",IF(J2101&lt;&gt;"","?FAMILIAR",IF(F2101="NEW",IF(ISNA(VLOOKUP(E2101,#REF!,1,FALSE())),"?TYPE_IDENTIFIABLE","?REFERENTIAL"),"_")))))</f>
        <v> </v>
      </c>
      <c r="H2101" s="25" t="str">
        <f>IF(J2101&lt;&gt;1,"",IF(I2101="SBJ","CB","?"))</f>
        <v> </v>
      </c>
      <c r="I2101" s="26" t="str">
        <f>IF(OR(E2101="",E2101="!!!",F2101="NEW"),"",INDEX(B2100:B$2,-1+SUMPRODUCT(MAX(ROW(E2100:E$2)*(E2101=E2100:E$2)))))</f>
        <v> </v>
      </c>
      <c r="J2101" s="26" t="str">
        <f>IF(OR(E2101="",E2101="!!!",F2101="NEW"),"",COUNTBLANK(OFFSET(A$1,,,SUMPRODUCT(MAX(ROW(E$2:E2101)*(E2101=E$2:E2101)))))-COUNTBLANK(OFFSET(A$1,,,SUMPRODUCT(MAX(ROW(E$1:E2100)*(E2=E$1:E2100))))))</f>
        <v> </v>
      </c>
      <c r="K2101" s="26" t="str">
        <f>IF(OR(E2101="",E2101="!!!",F2101="NEW"),"",INDEX(J$1:J2100,SUMPRODUCT(MAX(ROW(E$1:E2100)*(E2101=E$1:E2100)))))</f>
        <v> </v>
      </c>
      <c r="L2101" s="27"/>
    </row>
    <row r="2102" spans="1:12">
      <c r="A2102" s="20" t="s">
        <v>1236</v>
      </c>
      <c r="B2102" s="21" t="s">
        <v>990</v>
      </c>
      <c r="C2102" s="21" t="s">
        <v>1003</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1023</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1019</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1696</v>
      </c>
      <c r="B2105" s="21" t="s">
        <v>995</v>
      </c>
      <c r="C2105" s="21" t="s">
        <v>1022</v>
      </c>
      <c r="D2105" s="21" t="s">
        <v>992</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1024</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1353</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1082</v>
      </c>
      <c r="B2108" s="21" t="s">
        <v>1055</v>
      </c>
      <c r="C2108" s="21" t="s">
        <v>1054</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1029</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1340</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1024</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1077</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1697</v>
      </c>
      <c r="B2113" s="21" t="s">
        <v>1033</v>
      </c>
      <c r="C2113" s="21" t="s">
        <v>1045</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1029</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1698</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1024</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1503</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1056</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1057</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1699</v>
      </c>
      <c r="B2120" s="21" t="s">
        <v>995</v>
      </c>
      <c r="C2120" s="21" t="s">
        <v>1022</v>
      </c>
      <c r="D2120" s="21" t="s">
        <v>992</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1024</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1116</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1063</v>
      </c>
      <c r="B2123" s="21" t="s">
        <v>1089</v>
      </c>
      <c r="C2123" s="21" t="s">
        <v>1039</v>
      </c>
      <c r="D2123" s="21" t="s">
        <v>992</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1077</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1700</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1701</v>
      </c>
      <c r="B2126" s="21" t="s">
        <v>1033</v>
      </c>
      <c r="C2126" s="21" t="s">
        <v>1045</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1118</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1702</v>
      </c>
      <c r="B2128" s="21" t="s">
        <v>1036</v>
      </c>
      <c r="C2128" s="21" t="s">
        <v>1003</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29</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998</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row>
    <row r="2132" spans="1:12">
      <c r="A2132" s="20" t="s">
        <v>1703</v>
      </c>
    </row>
    <row r="2133" spans="1:12">
      <c r="A2133" s="20" t="s">
        <v>1208</v>
      </c>
      <c r="B2133" s="21" t="s">
        <v>990</v>
      </c>
      <c r="C2133" s="21" t="s">
        <v>1003</v>
      </c>
      <c r="E2133" s="22">
        <f>IF(D2133="?OLD","!!!","")</f>
        <v/>
      </c>
      <c r="F2133" s="23" t="str">
        <f>IF(OR(E2133="",E2133="!!!"),"",IF(NOT(ISNA(VLOOKUP(E2133,E$1:E2132,1,FALSE()))),"OLD",IF(AND(E2133&lt;&gt;"",E2133&lt;&gt;"!!!"),"NEW","")))</f>
        <v> </v>
      </c>
      <c r="G2133" s="24" t="str">
        <f>IF(OR(E2133="",E2133="!!!"),"",IF(OR(J2133=0,AND(J2133=1,K2133=1),AND(J2133=1,I2133="SBJ"),AND(J2133=1,I2133=0)),"?IN_FOCUS",IF(J2133&lt;=2,"?ACTIVATED",IF(J2133&lt;&gt;"","?FAMILIAR",IF(F2133="NEW",IF(ISNA(VLOOKUP(E2133,#REF!,1,FALSE())),"?TYPE_IDENTIFIABLE","?REFERENTIAL"),"_")))))</f>
        <v> </v>
      </c>
      <c r="H2133" s="25" t="str">
        <f>IF(J2133&lt;&gt;1,"",IF(I2133="SBJ","CB","?"))</f>
        <v> </v>
      </c>
      <c r="I2133" s="26" t="str">
        <f>IF(OR(E2133="",E2133="!!!",F2133="NEW"),"",INDEX(B2132:B$2,-1+SUMPRODUCT(MAX(ROW(E2132:E$2)*(E2133=E2132:E$2)))))</f>
        <v> </v>
      </c>
      <c r="J2133" s="26" t="str">
        <f>IF(OR(E2133="",E2133="!!!",F2133="NEW"),"",COUNTBLANK(OFFSET(A$1,,,SUMPRODUCT(MAX(ROW(E$2:E2133)*(E2133=E$2:E2133)))))-COUNTBLANK(OFFSET(A$1,,,SUMPRODUCT(MAX(ROW(E$1:E2132)*(E2=E$1:E2132))))))</f>
        <v> </v>
      </c>
      <c r="K2133" s="26" t="str">
        <f>IF(OR(E2133="",E2133="!!!",F2133="NEW"),"",INDEX(J$1:J2132,SUMPRODUCT(MAX(ROW(E$1:E2132)*(E2133=E$1:E2132)))))</f>
        <v> </v>
      </c>
      <c r="L2133" s="27"/>
    </row>
    <row r="2134" spans="1:12">
      <c r="A2134" s="20" t="s">
        <v>211</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1438</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1704</v>
      </c>
      <c r="B2136" s="21" t="s">
        <v>995</v>
      </c>
      <c r="C2136" s="21" t="s">
        <v>1332</v>
      </c>
      <c r="D2136" s="21" t="s">
        <v>992</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1024</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1116</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t="s">
        <v>1183</v>
      </c>
      <c r="E2139" s="22">
        <f>IF(D2139="?OLD","!!!","")</f>
        <v/>
      </c>
      <c r="F2139" s="23" t="str">
        <f>IF(OR(E2139="",E2139="!!!"),"",IF(NOT(ISNA(VLOOKUP(E2139,E$1:E2138,1,FALSE()))),"OLD",IF(AND(E2139&lt;&gt;"",E2139&lt;&gt;"!!!"),"NEW","")))</f>
        <v> </v>
      </c>
      <c r="G2139" s="24" t="str">
        <f>IF(OR(E2139="",E2139="!!!"),"",IF(OR(J2139=0,AND(J2139=1,K2139=1),AND(J2139=1,I2139="SBJ"),AND(J2139=1,I2139=0)),"?IN_FOCUS",IF(J2139&lt;=2,"?ACTIVATED",IF(J2139&lt;&gt;"","?FAMILIAR",IF(F2139="NEW",IF(ISNA(VLOOKUP(E2139,#REF!,1,FALSE())),"?TYPE_IDENTIFIABLE","?REFERENTIAL"),"_")))))</f>
        <v> </v>
      </c>
      <c r="H2139" s="25" t="str">
        <f>IF(J2139&lt;&gt;1,"",IF(I2139="SBJ","CB","?"))</f>
        <v> </v>
      </c>
      <c r="I2139" s="26" t="str">
        <f>IF(OR(E2139="",E2139="!!!",F2139="NEW"),"",INDEX(B2138:B$2,-1+SUMPRODUCT(MAX(ROW(E2138:E$2)*(E2139=E2138:E$2)))))</f>
        <v> </v>
      </c>
      <c r="J2139" s="26" t="str">
        <f>IF(OR(E2139="",E2139="!!!",F2139="NEW"),"",COUNTBLANK(OFFSET(A$1,,,SUMPRODUCT(MAX(ROW(E$2:E2139)*(E2139=E$2:E2139)))))-COUNTBLANK(OFFSET(A$1,,,SUMPRODUCT(MAX(ROW(E$1:E2138)*(E2=E$1:E2138))))))</f>
        <v> </v>
      </c>
      <c r="K2139" s="26" t="str">
        <f>IF(OR(E2139="",E2139="!!!",F2139="NEW"),"",INDEX(J$1:J2138,SUMPRODUCT(MAX(ROW(E$1:E2138)*(E2139=E$1:E2138)))))</f>
        <v> </v>
      </c>
      <c r="L2139" s="27"/>
    </row>
    <row r="2140" spans="1:12">
      <c r="A2140" s="20" t="s">
        <v>1255</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1256</v>
      </c>
      <c r="B2141" s="21" t="s">
        <v>1026</v>
      </c>
      <c r="C2141" s="21" t="s">
        <v>1045</v>
      </c>
      <c r="E2141" s="22">
        <f>IF(D2141="?OLD","!!!","")</f>
        <v/>
      </c>
      <c r="F2141" s="23" t="str">
        <f>IF(OR(E2141="",E2141="!!!"),"",IF(NOT(ISNA(VLOOKUP(E2141,E$1:E2140,1,FALSE()))),"OLD",IF(AND(E2141&lt;&gt;"",E2141&lt;&gt;"!!!"),"NEW","")))</f>
        <v> </v>
      </c>
      <c r="G2141" s="24" t="str">
        <f>IF(OR(E2141="",E2141="!!!"),"",IF(OR(J2141=0,AND(J2141=1,K2141=1),AND(J2141=1,I2141="SBJ"),AND(J2141=1,I2141=0)),"?IN_FOCUS",IF(J2141&lt;=2,"?ACTIVATED",IF(J2141&lt;&gt;"","?FAMILIAR",IF(F2141="NEW",IF(ISNA(VLOOKUP(E2141,#REF!,1,FALSE())),"?TYPE_IDENTIFIABLE","?REFERENTIAL"),"_")))))</f>
        <v> </v>
      </c>
      <c r="H2141" s="25" t="str">
        <f>IF(J2141&lt;&gt;1,"",IF(I2141="SBJ","CB","?"))</f>
        <v> </v>
      </c>
      <c r="I2141" s="26" t="str">
        <f>IF(OR(E2141="",E2141="!!!",F2141="NEW"),"",INDEX(B2140:B$2,-1+SUMPRODUCT(MAX(ROW(E2140:E$2)*(E2141=E2140:E$2)))))</f>
        <v> </v>
      </c>
      <c r="J2141" s="26" t="str">
        <f>IF(OR(E2141="",E2141="!!!",F2141="NEW"),"",COUNTBLANK(OFFSET(A$1,,,SUMPRODUCT(MAX(ROW(E$2:E2141)*(E2141=E$2:E2141)))))-COUNTBLANK(OFFSET(A$1,,,SUMPRODUCT(MAX(ROW(E$1:E2140)*(E2=E$1:E2140))))))</f>
        <v> </v>
      </c>
      <c r="K2141" s="26" t="str">
        <f>IF(OR(E2141="",E2141="!!!",F2141="NEW"),"",INDEX(J$1:J2140,SUMPRODUCT(MAX(ROW(E$1:E2140)*(E2141=E$1:E2140)))))</f>
        <v> </v>
      </c>
      <c r="L2141" s="27"/>
    </row>
    <row r="2142" spans="1:12">
      <c r="A2142" s="20" t="s">
        <v>1264</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1023</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1024</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231</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1116</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1025</v>
      </c>
      <c r="B2147" s="21" t="s">
        <v>1026</v>
      </c>
      <c r="C2147" s="21" t="s">
        <v>991</v>
      </c>
      <c r="D2147" s="21" t="s">
        <v>992</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1347</v>
      </c>
      <c r="B2148" s="21" t="s">
        <v>1055</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1438</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t="s">
        <v>1705</v>
      </c>
      <c r="E2150" s="22">
        <f>IF(D2150="?OLD","!!!","")</f>
        <v/>
      </c>
      <c r="F2150" s="23" t="str">
        <f>IF(OR(E2150="",E2150="!!!"),"",IF(NOT(ISNA(VLOOKUP(E2150,E$1:E2149,1,FALSE()))),"OLD",IF(AND(E2150&lt;&gt;"",E2150&lt;&gt;"!!!"),"NEW","")))</f>
        <v> </v>
      </c>
      <c r="G2150" s="24" t="str">
        <f>IF(OR(E2150="",E2150="!!!"),"",IF(OR(J2150=0,AND(J2150=1,K2150=1),AND(J2150=1,I2150="SBJ"),AND(J2150=1,I2150=0)),"?IN_FOCUS",IF(J2150&lt;=2,"?ACTIVATED",IF(J2150&lt;&gt;"","?FAMILIAR",IF(F2150="NEW",IF(ISNA(VLOOKUP(E2150,#REF!,1,FALSE())),"?TYPE_IDENTIFIABLE","?REFERENTIAL"),"_")))))</f>
        <v> </v>
      </c>
      <c r="H2150" s="25" t="str">
        <f>IF(J2150&lt;&gt;1,"",IF(I2150="SBJ","CB","?"))</f>
        <v> </v>
      </c>
      <c r="I2150" s="26" t="str">
        <f>IF(OR(E2150="",E2150="!!!",F2150="NEW"),"",INDEX(B2149:B$2,-1+SUMPRODUCT(MAX(ROW(E2149:E$2)*(E2150=E2149:E$2)))))</f>
        <v> </v>
      </c>
      <c r="J2150" s="26" t="str">
        <f>IF(OR(E2150="",E2150="!!!",F2150="NEW"),"",COUNTBLANK(OFFSET(A$1,,,SUMPRODUCT(MAX(ROW(E$2:E2150)*(E2150=E$2:E2150)))))-COUNTBLANK(OFFSET(A$1,,,SUMPRODUCT(MAX(ROW(E$1:E2149)*(E2=E$1:E2149))))))</f>
        <v> </v>
      </c>
      <c r="K2150" s="26" t="str">
        <f>IF(OR(E2150="",E2150="!!!",F2150="NEW"),"",INDEX(J$1:J2149,SUMPRODUCT(MAX(ROW(E$1:E2149)*(E2150=E$1:E2149)))))</f>
        <v> </v>
      </c>
      <c r="L2150" s="27"/>
    </row>
    <row r="2151" spans="1:12">
      <c r="A2151" s="20" t="s">
        <v>1024</v>
      </c>
      <c r="E2151" s="22">
        <f>IF(D2151="?OLD","!!!","")</f>
        <v/>
      </c>
      <c r="F2151" s="23" t="str">
        <f>IF(OR(E2151="",E2151="!!!"),"",IF(NOT(ISNA(VLOOKUP(E2151,E$1:E2150,1,FALSE()))),"OLD",IF(AND(E2151&lt;&gt;"",E2151&lt;&gt;"!!!"),"NEW","")))</f>
        <v> </v>
      </c>
      <c r="G2151" s="24" t="str">
        <f>IF(OR(E2151="",E2151="!!!"),"",IF(OR(J2151=0,AND(J2151=1,K2151=1),AND(J2151=1,I2151="SBJ"),AND(J2151=1,I2151=0)),"?IN_FOCUS",IF(J2151&lt;=2,"?ACTIVATED",IF(J2151&lt;&gt;"","?FAMILIAR",IF(F2151="NEW",IF(ISNA(VLOOKUP(E2151,#REF!,1,FALSE())),"?TYPE_IDENTIFIABLE","?REFERENTIAL"),"_")))))</f>
        <v> </v>
      </c>
      <c r="H2151" s="25" t="str">
        <f>IF(J2151&lt;&gt;1,"",IF(I2151="SBJ","CB","?"))</f>
        <v> </v>
      </c>
      <c r="I2151" s="26" t="str">
        <f>IF(OR(E2151="",E2151="!!!",F2151="NEW"),"",INDEX(B2150:B$2,-1+SUMPRODUCT(MAX(ROW(E2150:E$2)*(E2151=E2150:E$2)))))</f>
        <v> </v>
      </c>
      <c r="J2151" s="26" t="str">
        <f>IF(OR(E2151="",E2151="!!!",F2151="NEW"),"",COUNTBLANK(OFFSET(A$1,,,SUMPRODUCT(MAX(ROW(E$2:E2151)*(E2151=E$2:E2151)))))-COUNTBLANK(OFFSET(A$1,,,SUMPRODUCT(MAX(ROW(E$1:E2150)*(E2=E$1:E2150))))))</f>
        <v> </v>
      </c>
      <c r="K2151" s="26" t="str">
        <f>IF(OR(E2151="",E2151="!!!",F2151="NEW"),"",INDEX(J$1:J2150,SUMPRODUCT(MAX(ROW(E$1:E2150)*(E2151=E$1:E2150)))))</f>
        <v> </v>
      </c>
      <c r="L2151" s="27"/>
    </row>
    <row r="2152" spans="1:12">
      <c r="A2152" s="20" t="s">
        <v>1025</v>
      </c>
      <c r="B2152" s="21" t="s">
        <v>1089</v>
      </c>
      <c r="C2152" s="21" t="s">
        <v>991</v>
      </c>
      <c r="D2152" s="21" t="s">
        <v>992</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1029</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1149</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1024</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231</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1421</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t="s">
        <v>1706</v>
      </c>
      <c r="E2158" s="22">
        <f>IF(D2158="?OLD","!!!","")</f>
        <v/>
      </c>
      <c r="F2158" s="23" t="str">
        <f>IF(OR(E2158="",E2158="!!!"),"",IF(NOT(ISNA(VLOOKUP(E2158,E$1:E2157,1,FALSE()))),"OLD",IF(AND(E2158&lt;&gt;"",E2158&lt;&gt;"!!!"),"NEW","")))</f>
        <v> </v>
      </c>
      <c r="G2158" s="24" t="str">
        <f>IF(OR(E2158="",E2158="!!!"),"",IF(OR(J2158=0,AND(J2158=1,K2158=1),AND(J2158=1,I2158="SBJ"),AND(J2158=1,I2158=0)),"?IN_FOCUS",IF(J2158&lt;=2,"?ACTIVATED",IF(J2158&lt;&gt;"","?FAMILIAR",IF(F2158="NEW",IF(ISNA(VLOOKUP(E2158,#REF!,1,FALSE())),"?TYPE_IDENTIFIABLE","?REFERENTIAL"),"_")))))</f>
        <v> </v>
      </c>
      <c r="H2158" s="25" t="str">
        <f>IF(J2158&lt;&gt;1,"",IF(I2158="SBJ","CB","?"))</f>
        <v> </v>
      </c>
      <c r="I2158" s="26" t="str">
        <f>IF(OR(E2158="",E2158="!!!",F2158="NEW"),"",INDEX(B2157:B$2,-1+SUMPRODUCT(MAX(ROW(E2157:E$2)*(E2158=E2157:E$2)))))</f>
        <v> </v>
      </c>
      <c r="J2158" s="26" t="str">
        <f>IF(OR(E2158="",E2158="!!!",F2158="NEW"),"",COUNTBLANK(OFFSET(A$1,,,SUMPRODUCT(MAX(ROW(E$2:E2158)*(E2158=E$2:E2158)))))-COUNTBLANK(OFFSET(A$1,,,SUMPRODUCT(MAX(ROW(E$1:E2157)*(E2=E$1:E2157))))))</f>
        <v> </v>
      </c>
      <c r="K2158" s="26" t="str">
        <f>IF(OR(E2158="",E2158="!!!",F2158="NEW"),"",INDEX(J$1:J2157,SUMPRODUCT(MAX(ROW(E$1:E2157)*(E2158=E$1:E2157)))))</f>
        <v> </v>
      </c>
      <c r="L2158" s="27"/>
    </row>
    <row r="2159" spans="1:12">
      <c r="A2159" s="20" t="s">
        <v>998</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row>
    <row r="2161" spans="1:12">
      <c r="A2161" s="20" t="s">
        <v>1707</v>
      </c>
    </row>
    <row r="2162" spans="1:12">
      <c r="A2162" s="20" t="s">
        <v>1208</v>
      </c>
      <c r="B2162" s="21" t="s">
        <v>990</v>
      </c>
      <c r="C2162" s="21" t="s">
        <v>1039</v>
      </c>
      <c r="D2162" s="21" t="s">
        <v>992</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275</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1108</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1448</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998</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row>
    <row r="2168" spans="1:12">
      <c r="A2168" s="20" t="s">
        <v>1708</v>
      </c>
    </row>
    <row r="2169" spans="1:12">
      <c r="A2169" s="20" t="s">
        <v>1208</v>
      </c>
      <c r="B2169" s="21" t="s">
        <v>990</v>
      </c>
      <c r="C2169" s="21" t="s">
        <v>1003</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1107</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1633</v>
      </c>
      <c r="B2171" s="21" t="s">
        <v>995</v>
      </c>
      <c r="C2171" s="21" t="s">
        <v>1003</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1034</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1057</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1709</v>
      </c>
      <c r="B2174" s="21" t="s">
        <v>1060</v>
      </c>
      <c r="C2174" s="21" t="s">
        <v>1022</v>
      </c>
      <c r="D2174" s="21" t="s">
        <v>992</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1710</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1711</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1712</v>
      </c>
      <c r="B2177" s="21" t="s">
        <v>995</v>
      </c>
      <c r="C2177" s="21" t="s">
        <v>1003</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998</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row>
    <row r="2180" spans="1:12">
      <c r="A2180" s="20" t="s">
        <v>1713</v>
      </c>
    </row>
    <row r="2181" spans="1:12">
      <c r="A2181" s="20" t="s">
        <v>1267</v>
      </c>
      <c r="B2181" s="21" t="s">
        <v>990</v>
      </c>
      <c r="C2181" s="21" t="s">
        <v>991</v>
      </c>
      <c r="D2181" s="21" t="s">
        <v>992</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1381</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1077</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1079</v>
      </c>
      <c r="B2184" s="21" t="s">
        <v>1002</v>
      </c>
      <c r="C2184" s="21" t="s">
        <v>1045</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1714</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t="s">
        <v>1715</v>
      </c>
      <c r="B2186" s="21" t="s">
        <v>1015</v>
      </c>
      <c r="C2186" s="21" t="s">
        <v>1003</v>
      </c>
      <c r="E2186" s="22">
        <f>IF(D2186="?OLD","!!!","")</f>
        <v/>
      </c>
      <c r="F2186" s="23" t="str">
        <f>IF(OR(E2186="",E2186="!!!"),"",IF(NOT(ISNA(VLOOKUP(E2186,E$1:E2185,1,FALSE()))),"OLD",IF(AND(E2186&lt;&gt;"",E2186&lt;&gt;"!!!"),"NEW","")))</f>
        <v> </v>
      </c>
      <c r="G2186" s="24" t="str">
        <f>IF(OR(E2186="",E2186="!!!"),"",IF(OR(J2186=0,AND(J2186=1,K2186=1),AND(J2186=1,I2186="SBJ"),AND(J2186=1,I2186=0)),"?IN_FOCUS",IF(J2186&lt;=2,"?ACTIVATED",IF(J2186&lt;&gt;"","?FAMILIAR",IF(F2186="NEW",IF(ISNA(VLOOKUP(E2186,#REF!,1,FALSE())),"?TYPE_IDENTIFIABLE","?REFERENTIAL"),"_")))))</f>
        <v> </v>
      </c>
      <c r="H2186" s="25" t="str">
        <f>IF(J2186&lt;&gt;1,"",IF(I2186="SBJ","CB","?"))</f>
        <v> </v>
      </c>
      <c r="I2186" s="26" t="str">
        <f>IF(OR(E2186="",E2186="!!!",F2186="NEW"),"",INDEX(B2185:B$2,-1+SUMPRODUCT(MAX(ROW(E2185:E$2)*(E2186=E2185:E$2)))))</f>
        <v> </v>
      </c>
      <c r="J2186" s="26" t="str">
        <f>IF(OR(E2186="",E2186="!!!",F2186="NEW"),"",COUNTBLANK(OFFSET(A$1,,,SUMPRODUCT(MAX(ROW(E$2:E2186)*(E2186=E$2:E2186)))))-COUNTBLANK(OFFSET(A$1,,,SUMPRODUCT(MAX(ROW(E$1:E2185)*(E2=E$1:E2185))))))</f>
        <v> </v>
      </c>
      <c r="K2186" s="26" t="str">
        <f>IF(OR(E2186="",E2186="!!!",F2186="NEW"),"",INDEX(J$1:J2185,SUMPRODUCT(MAX(ROW(E$1:E2185)*(E2186=E$1:E2185)))))</f>
        <v> </v>
      </c>
      <c r="L2186" s="27"/>
    </row>
    <row r="2187" spans="1:12">
      <c r="A2187" s="20" t="s">
        <v>1024</v>
      </c>
      <c r="E2187" s="22">
        <f>IF(D2187="?OLD","!!!","")</f>
        <v/>
      </c>
      <c r="F2187" s="23" t="str">
        <f>IF(OR(E2187="",E2187="!!!"),"",IF(NOT(ISNA(VLOOKUP(E2187,E$1:E2186,1,FALSE()))),"OLD",IF(AND(E2187&lt;&gt;"",E2187&lt;&gt;"!!!"),"NEW","")))</f>
        <v> </v>
      </c>
      <c r="G2187" s="24" t="str">
        <f>IF(OR(E2187="",E2187="!!!"),"",IF(OR(J2187=0,AND(J2187=1,K2187=1),AND(J2187=1,I2187="SBJ"),AND(J2187=1,I2187=0)),"?IN_FOCUS",IF(J2187&lt;=2,"?ACTIVATED",IF(J2187&lt;&gt;"","?FAMILIAR",IF(F2187="NEW",IF(ISNA(VLOOKUP(E2187,#REF!,1,FALSE())),"?TYPE_IDENTIFIABLE","?REFERENTIAL"),"_")))))</f>
        <v> </v>
      </c>
      <c r="H2187" s="25" t="str">
        <f>IF(J2187&lt;&gt;1,"",IF(I2187="SBJ","CB","?"))</f>
        <v> </v>
      </c>
      <c r="I2187" s="26" t="str">
        <f>IF(OR(E2187="",E2187="!!!",F2187="NEW"),"",INDEX(B2186:B$2,-1+SUMPRODUCT(MAX(ROW(E2186:E$2)*(E2187=E2186:E$2)))))</f>
        <v> </v>
      </c>
      <c r="J2187" s="26" t="str">
        <f>IF(OR(E2187="",E2187="!!!",F2187="NEW"),"",COUNTBLANK(OFFSET(A$1,,,SUMPRODUCT(MAX(ROW(E$2:E2187)*(E2187=E$2:E2187)))))-COUNTBLANK(OFFSET(A$1,,,SUMPRODUCT(MAX(ROW(E$1:E2186)*(E2=E$1:E2186))))))</f>
        <v> </v>
      </c>
      <c r="K2187" s="26" t="str">
        <f>IF(OR(E2187="",E2187="!!!",F2187="NEW"),"",INDEX(J$1:J2186,SUMPRODUCT(MAX(ROW(E$1:E2186)*(E2187=E$1:E2186)))))</f>
        <v> </v>
      </c>
      <c r="L2187" s="27"/>
    </row>
    <row r="2188" spans="1:12">
      <c r="A2188" s="20" t="s">
        <v>1031</v>
      </c>
      <c r="B2188" s="21" t="s">
        <v>1234</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117</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1024</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1019</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1063</v>
      </c>
      <c r="B2192" s="21" t="s">
        <v>1530</v>
      </c>
      <c r="C2192" s="21" t="s">
        <v>1039</v>
      </c>
      <c r="D2192" s="21" t="s">
        <v>992</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1716</v>
      </c>
      <c r="B2193" s="21" t="s">
        <v>1530</v>
      </c>
      <c r="C2193" s="21" t="s">
        <v>1003</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1049</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1717</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1024</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1718</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1063</v>
      </c>
      <c r="B2198" s="21" t="s">
        <v>1719</v>
      </c>
      <c r="C2198" s="21" t="s">
        <v>1039</v>
      </c>
      <c r="D2198" s="21" t="s">
        <v>992</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1056</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1720</v>
      </c>
      <c r="B2200" s="21" t="s">
        <v>1463</v>
      </c>
      <c r="C2200" s="21" t="s">
        <v>991</v>
      </c>
      <c r="D2200" s="21" t="s">
        <v>992</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1721</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29</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1024</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1722</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1084</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1038</v>
      </c>
      <c r="B2206" s="21" t="s">
        <v>1723</v>
      </c>
      <c r="C2206" s="21" t="s">
        <v>1039</v>
      </c>
      <c r="D2206" s="21" t="s">
        <v>992</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1346</v>
      </c>
      <c r="B2207" s="21" t="s">
        <v>1724</v>
      </c>
      <c r="C2207" s="21" t="s">
        <v>1039</v>
      </c>
      <c r="D2207" s="21" t="s">
        <v>992</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1514</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1371</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29</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998</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row>
    <row r="2213" spans="1:12">
      <c r="A2213" s="20" t="s">
        <v>1725</v>
      </c>
    </row>
    <row r="2214" spans="1:12">
      <c r="A2214" s="20" t="s">
        <v>1524</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1726</v>
      </c>
      <c r="B2215" s="21" t="s">
        <v>990</v>
      </c>
      <c r="C2215" s="21" t="s">
        <v>1022</v>
      </c>
      <c r="D2215" s="21" t="s">
        <v>992</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1046</v>
      </c>
      <c r="B2216" s="21" t="s">
        <v>995</v>
      </c>
      <c r="C2216" s="21" t="s">
        <v>1332</v>
      </c>
      <c r="D2216" s="21" t="s">
        <v>992</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1023</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1024</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1116</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1025</v>
      </c>
      <c r="B2220" s="21" t="s">
        <v>1026</v>
      </c>
      <c r="C2220" s="21" t="s">
        <v>991</v>
      </c>
      <c r="D2220" s="21" t="s">
        <v>992</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1077</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t="s">
        <v>1079</v>
      </c>
      <c r="B2222" s="21" t="s">
        <v>1055</v>
      </c>
      <c r="C2222" s="21" t="s">
        <v>1045</v>
      </c>
      <c r="E2222" s="22">
        <f>IF(D2222="?OLD","!!!","")</f>
        <v/>
      </c>
      <c r="F2222" s="23" t="str">
        <f>IF(OR(E2222="",E2222="!!!"),"",IF(NOT(ISNA(VLOOKUP(E2222,E$1:E2221,1,FALSE()))),"OLD",IF(AND(E2222&lt;&gt;"",E2222&lt;&gt;"!!!"),"NEW","")))</f>
        <v> </v>
      </c>
      <c r="G2222" s="24" t="str">
        <f>IF(OR(E2222="",E2222="!!!"),"",IF(OR(J2222=0,AND(J2222=1,K2222=1),AND(J2222=1,I2222="SBJ"),AND(J2222=1,I2222=0)),"?IN_FOCUS",IF(J2222&lt;=2,"?ACTIVATED",IF(J2222&lt;&gt;"","?FAMILIAR",IF(F2222="NEW",IF(ISNA(VLOOKUP(E2222,#REF!,1,FALSE())),"?TYPE_IDENTIFIABLE","?REFERENTIAL"),"_")))))</f>
        <v> </v>
      </c>
      <c r="H2222" s="25" t="str">
        <f>IF(J2222&lt;&gt;1,"",IF(I2222="SBJ","CB","?"))</f>
        <v> </v>
      </c>
      <c r="I2222" s="26" t="str">
        <f>IF(OR(E2222="",E2222="!!!",F2222="NEW"),"",INDEX(B2221:B$2,-1+SUMPRODUCT(MAX(ROW(E2221:E$2)*(E2222=E2221:E$2)))))</f>
        <v> </v>
      </c>
      <c r="J2222" s="26" t="str">
        <f>IF(OR(E2222="",E2222="!!!",F2222="NEW"),"",COUNTBLANK(OFFSET(A$1,,,SUMPRODUCT(MAX(ROW(E$2:E2222)*(E2222=E$2:E2222)))))-COUNTBLANK(OFFSET(A$1,,,SUMPRODUCT(MAX(ROW(E$1:E2221)*(E2=E$1:E2221))))))</f>
        <v> </v>
      </c>
      <c r="K2222" s="26" t="str">
        <f>IF(OR(E2222="",E2222="!!!",F2222="NEW"),"",INDEX(J$1:J2221,SUMPRODUCT(MAX(ROW(E$1:E2221)*(E2222=E$1:E2221)))))</f>
        <v> </v>
      </c>
      <c r="L2222" s="27"/>
    </row>
    <row r="2223" spans="1:12">
      <c r="A2223" s="20" t="s">
        <v>1727</v>
      </c>
      <c r="B2223" s="21" t="s">
        <v>1036</v>
      </c>
      <c r="C2223" s="21" t="s">
        <v>1003</v>
      </c>
      <c r="E2223" s="22">
        <f>IF(D2223="?OLD","!!!","")</f>
        <v/>
      </c>
      <c r="F2223" s="23" t="str">
        <f>IF(OR(E2223="",E2223="!!!"),"",IF(NOT(ISNA(VLOOKUP(E2223,E$1:E2222,1,FALSE()))),"OLD",IF(AND(E2223&lt;&gt;"",E2223&lt;&gt;"!!!"),"NEW","")))</f>
        <v> </v>
      </c>
      <c r="G2223" s="24" t="str">
        <f>IF(OR(E2223="",E2223="!!!"),"",IF(OR(J2223=0,AND(J2223=1,K2223=1),AND(J2223=1,I2223="SBJ"),AND(J2223=1,I2223=0)),"?IN_FOCUS",IF(J2223&lt;=2,"?ACTIVATED",IF(J2223&lt;&gt;"","?FAMILIAR",IF(F2223="NEW",IF(ISNA(VLOOKUP(E2223,#REF!,1,FALSE())),"?TYPE_IDENTIFIABLE","?REFERENTIAL"),"_")))))</f>
        <v> </v>
      </c>
      <c r="H2223" s="25" t="str">
        <f>IF(J2223&lt;&gt;1,"",IF(I2223="SBJ","CB","?"))</f>
        <v> </v>
      </c>
      <c r="I2223" s="26" t="str">
        <f>IF(OR(E2223="",E2223="!!!",F2223="NEW"),"",INDEX(B2222:B$2,-1+SUMPRODUCT(MAX(ROW(E2222:E$2)*(E2223=E2222:E$2)))))</f>
        <v> </v>
      </c>
      <c r="J2223" s="26" t="str">
        <f>IF(OR(E2223="",E2223="!!!",F2223="NEW"),"",COUNTBLANK(OFFSET(A$1,,,SUMPRODUCT(MAX(ROW(E$2:E2223)*(E2223=E$2:E2223)))))-COUNTBLANK(OFFSET(A$1,,,SUMPRODUCT(MAX(ROW(E$1:E2222)*(E2=E$1:E2222))))))</f>
        <v> </v>
      </c>
      <c r="K2223" s="26" t="str">
        <f>IF(OR(E2223="",E2223="!!!",F2223="NEW"),"",INDEX(J$1:J2222,SUMPRODUCT(MAX(ROW(E$1:E2222)*(E2223=E$1:E2222)))))</f>
        <v> </v>
      </c>
      <c r="L2223" s="27"/>
    </row>
    <row r="2224" spans="1:12">
      <c r="A2224" s="20" t="s">
        <v>1728</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1024</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1056</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1729</v>
      </c>
      <c r="B2227" s="21" t="s">
        <v>1036</v>
      </c>
      <c r="C2227" s="21" t="s">
        <v>1039</v>
      </c>
      <c r="D2227" s="21" t="s">
        <v>992</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1183</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t="s">
        <v>1430</v>
      </c>
      <c r="B2229" s="21" t="s">
        <v>1033</v>
      </c>
      <c r="C2229" s="21" t="s">
        <v>1045</v>
      </c>
      <c r="E2229" s="22">
        <f>IF(D2229="?OLD","!!!","")</f>
        <v/>
      </c>
      <c r="F2229" s="23" t="str">
        <f>IF(OR(E2229="",E2229="!!!"),"",IF(NOT(ISNA(VLOOKUP(E2229,E$1:E2228,1,FALSE()))),"OLD",IF(AND(E2229&lt;&gt;"",E2229&lt;&gt;"!!!"),"NEW","")))</f>
        <v> </v>
      </c>
      <c r="G2229" s="24" t="str">
        <f>IF(OR(E2229="",E2229="!!!"),"",IF(OR(J2229=0,AND(J2229=1,K2229=1),AND(J2229=1,I2229="SBJ"),AND(J2229=1,I2229=0)),"?IN_FOCUS",IF(J2229&lt;=2,"?ACTIVATED",IF(J2229&lt;&gt;"","?FAMILIAR",IF(F2229="NEW",IF(ISNA(VLOOKUP(E2229,#REF!,1,FALSE())),"?TYPE_IDENTIFIABLE","?REFERENTIAL"),"_")))))</f>
        <v> </v>
      </c>
      <c r="H2229" s="25" t="str">
        <f>IF(J2229&lt;&gt;1,"",IF(I2229="SBJ","CB","?"))</f>
        <v> </v>
      </c>
      <c r="I2229" s="26" t="str">
        <f>IF(OR(E2229="",E2229="!!!",F2229="NEW"),"",INDEX(B2228:B$2,-1+SUMPRODUCT(MAX(ROW(E2228:E$2)*(E2229=E2228:E$2)))))</f>
        <v> </v>
      </c>
      <c r="J2229" s="26" t="str">
        <f>IF(OR(E2229="",E2229="!!!",F2229="NEW"),"",COUNTBLANK(OFFSET(A$1,,,SUMPRODUCT(MAX(ROW(E$2:E2229)*(E2229=E$2:E2229)))))-COUNTBLANK(OFFSET(A$1,,,SUMPRODUCT(MAX(ROW(E$1:E2228)*(E2=E$1:E2228))))))</f>
        <v> </v>
      </c>
      <c r="K2229" s="26" t="str">
        <f>IF(OR(E2229="",E2229="!!!",F2229="NEW"),"",INDEX(J$1:J2228,SUMPRODUCT(MAX(ROW(E$1:E2228)*(E2229=E$1:E2228)))))</f>
        <v> </v>
      </c>
      <c r="L2229" s="27"/>
    </row>
    <row r="2230" spans="1:12">
      <c r="A2230" s="20" t="s">
        <v>1029</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675</v>
      </c>
      <c r="E2231" s="22">
        <f>IF(D2231="?OLD","!!!","")</f>
        <v/>
      </c>
      <c r="F2231" s="23" t="str">
        <f>IF(OR(E2231="",E2231="!!!"),"",IF(NOT(ISNA(VLOOKUP(E2231,E$1:E2230,1,FALSE()))),"OLD",IF(AND(E2231&lt;&gt;"",E2231&lt;&gt;"!!!"),"NEW","")))</f>
        <v> </v>
      </c>
      <c r="G2231" s="24" t="str">
        <f>IF(OR(E2231="",E2231="!!!"),"",IF(OR(J2231=0,AND(J2231=1,K2231=1),AND(J2231=1,I2231="SBJ"),AND(J2231=1,I2231=0)),"?IN_FOCUS",IF(J2231&lt;=2,"?ACTIVATED",IF(J2231&lt;&gt;"","?FAMILIAR",IF(F2231="NEW",IF(ISNA(VLOOKUP(E2231,#REF!,1,FALSE())),"?TYPE_IDENTIFIABLE","?REFERENTIAL"),"_")))))</f>
        <v> </v>
      </c>
      <c r="H2231" s="25" t="str">
        <f>IF(J2231&lt;&gt;1,"",IF(I2231="SBJ","CB","?"))</f>
        <v> </v>
      </c>
      <c r="I2231" s="26" t="str">
        <f>IF(OR(E2231="",E2231="!!!",F2231="NEW"),"",INDEX(B2230:B$2,-1+SUMPRODUCT(MAX(ROW(E2230:E$2)*(E2231=E2230:E$2)))))</f>
        <v> </v>
      </c>
      <c r="J2231" s="26" t="str">
        <f>IF(OR(E2231="",E2231="!!!",F2231="NEW"),"",COUNTBLANK(OFFSET(A$1,,,SUMPRODUCT(MAX(ROW(E$2:E2231)*(E2231=E$2:E2231)))))-COUNTBLANK(OFFSET(A$1,,,SUMPRODUCT(MAX(ROW(E$1:E2230)*(E2=E$1:E2230))))))</f>
        <v> </v>
      </c>
      <c r="K2231" s="26" t="str">
        <f>IF(OR(E2231="",E2231="!!!",F2231="NEW"),"",INDEX(J$1:J2230,SUMPRODUCT(MAX(ROW(E$1:E2230)*(E2231=E$1:E2230)))))</f>
        <v> </v>
      </c>
      <c r="L2231" s="27"/>
    </row>
    <row r="2232" spans="1:12">
      <c r="A2232" s="20" t="s">
        <v>998</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row>
    <row r="2234" spans="1:12">
      <c r="A2234" s="20" t="s">
        <v>1730</v>
      </c>
    </row>
    <row r="2235" spans="1:12">
      <c r="A2235" s="20" t="s">
        <v>1326</v>
      </c>
      <c r="B2235" s="21" t="s">
        <v>990</v>
      </c>
      <c r="C2235" s="21" t="s">
        <v>1039</v>
      </c>
      <c r="D2235" s="21" t="s">
        <v>992</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476</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1731</v>
      </c>
      <c r="B2237" s="21" t="s">
        <v>995</v>
      </c>
      <c r="C2237" s="21" t="s">
        <v>1332</v>
      </c>
      <c r="D2237" s="21" t="s">
        <v>992</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1024</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1116</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1732</v>
      </c>
      <c r="B2240" s="21" t="s">
        <v>1026</v>
      </c>
      <c r="C2240" s="21" t="s">
        <v>1054</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44</v>
      </c>
      <c r="B2241" s="21" t="s">
        <v>1055</v>
      </c>
      <c r="C2241" s="21" t="s">
        <v>1003</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1056</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1346</v>
      </c>
      <c r="B2243" s="21" t="s">
        <v>1015</v>
      </c>
      <c r="C2243" s="21" t="s">
        <v>1039</v>
      </c>
      <c r="D2243" s="21" t="s">
        <v>992</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1577</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1024</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1116</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1031</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1733</v>
      </c>
      <c r="B2248" s="21" t="s">
        <v>1089</v>
      </c>
      <c r="C2248" s="21" t="s">
        <v>1022</v>
      </c>
      <c r="D2248" s="21" t="s">
        <v>992</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1734</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400</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1024</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1116</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1063</v>
      </c>
      <c r="B2253" s="21" t="s">
        <v>1234</v>
      </c>
      <c r="C2253" s="21" t="s">
        <v>1039</v>
      </c>
      <c r="D2253" s="21" t="s">
        <v>992</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1019</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1735</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1017</v>
      </c>
      <c r="B2256" s="21" t="s">
        <v>1356</v>
      </c>
      <c r="C2256" s="21" t="s">
        <v>1022</v>
      </c>
      <c r="D2256" s="21" t="s">
        <v>992</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29</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231</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1152</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1029</v>
      </c>
      <c r="B2260" s="21" t="s">
        <v>1463</v>
      </c>
      <c r="C2260" s="21" t="s">
        <v>1054</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1057</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1736</v>
      </c>
      <c r="B2262" s="21" t="s">
        <v>1178</v>
      </c>
      <c r="C2262" s="21" t="s">
        <v>1022</v>
      </c>
      <c r="D2262" s="21" t="s">
        <v>992</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1737</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1738</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998</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row>
    <row r="2267" spans="1:12">
      <c r="A2267" s="20" t="s">
        <v>1739</v>
      </c>
    </row>
    <row r="2268" spans="1:12">
      <c r="A2268" s="20" t="s">
        <v>1193</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1740</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1019</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1741</v>
      </c>
      <c r="B2271" s="21" t="s">
        <v>990</v>
      </c>
      <c r="C2271" s="21" t="s">
        <v>1022</v>
      </c>
      <c r="D2271" s="21" t="s">
        <v>992</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1019</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1742</v>
      </c>
      <c r="B2273" s="21" t="s">
        <v>1002</v>
      </c>
      <c r="C2273" s="21" t="s">
        <v>1022</v>
      </c>
      <c r="D2273" s="21" t="s">
        <v>992</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1071</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1743</v>
      </c>
      <c r="B2275" s="21" t="s">
        <v>1015</v>
      </c>
      <c r="C2275" s="21" t="s">
        <v>1003</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1024</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1727</v>
      </c>
      <c r="B2277" s="21" t="s">
        <v>1036</v>
      </c>
      <c r="C2277" s="21" t="s">
        <v>1003</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231</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1744</v>
      </c>
      <c r="B2279" s="21" t="s">
        <v>1036</v>
      </c>
      <c r="C2279" s="21" t="s">
        <v>1003</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998</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row>
    <row r="2282" spans="1:12">
      <c r="A2282" s="20" t="s">
        <v>1745</v>
      </c>
    </row>
    <row r="2283" spans="1:12">
      <c r="A2283" s="20" t="s">
        <v>1689</v>
      </c>
      <c r="E2283" s="22">
        <f>IF(D2283="?OLD","!!!","")</f>
        <v/>
      </c>
      <c r="F2283" s="23" t="str">
        <f>IF(OR(E2283="",E2283="!!!"),"",IF(NOT(ISNA(VLOOKUP(E2283,E$1:E2282,1,FALSE()))),"OLD",IF(AND(E2283&lt;&gt;"",E2283&lt;&gt;"!!!"),"NEW","")))</f>
        <v> </v>
      </c>
      <c r="G2283" s="24" t="str">
        <f>IF(OR(E2283="",E2283="!!!"),"",IF(OR(J2283=0,AND(J2283=1,K2283=1),AND(J2283=1,I2283="SBJ"),AND(J2283=1,I2283=0)),"?IN_FOCUS",IF(J2283&lt;=2,"?ACTIVATED",IF(J2283&lt;&gt;"","?FAMILIAR",IF(F2283="NEW",IF(ISNA(VLOOKUP(E2283,#REF!,1,FALSE())),"?TYPE_IDENTIFIABLE","?REFERENTIAL"),"_")))))</f>
        <v> </v>
      </c>
      <c r="H2283" s="25" t="str">
        <f>IF(J2283&lt;&gt;1,"",IF(I2283="SBJ","CB","?"))</f>
        <v> </v>
      </c>
      <c r="I2283" s="26" t="str">
        <f>IF(OR(E2283="",E2283="!!!",F2283="NEW"),"",INDEX(B2282:B$2,-1+SUMPRODUCT(MAX(ROW(E2282:E$2)*(E2283=E2282:E$2)))))</f>
        <v> </v>
      </c>
      <c r="J2283" s="26" t="str">
        <f>IF(OR(E2283="",E2283="!!!",F2283="NEW"),"",COUNTBLANK(OFFSET(A$1,,,SUMPRODUCT(MAX(ROW(E$2:E2283)*(E2283=E$2:E2283)))))-COUNTBLANK(OFFSET(A$1,,,SUMPRODUCT(MAX(ROW(E$1:E2282)*(E2=E$1:E2282))))))</f>
        <v> </v>
      </c>
      <c r="K2283" s="26" t="str">
        <f>IF(OR(E2283="",E2283="!!!",F2283="NEW"),"",INDEX(J$1:J2282,SUMPRODUCT(MAX(ROW(E$1:E2282)*(E2283=E$1:E2282)))))</f>
        <v> </v>
      </c>
      <c r="L2283" s="27"/>
    </row>
    <row r="2284" spans="1:12">
      <c r="A2284" s="20" t="s">
        <v>1746</v>
      </c>
      <c r="B2284" s="21" t="s">
        <v>995</v>
      </c>
      <c r="C2284" s="21" t="s">
        <v>1003</v>
      </c>
      <c r="E2284" s="22">
        <f>IF(D2284="?OLD","!!!","")</f>
        <v/>
      </c>
      <c r="F2284" s="23" t="str">
        <f>IF(OR(E2284="",E2284="!!!"),"",IF(NOT(ISNA(VLOOKUP(E2284,E$1:E2283,1,FALSE()))),"OLD",IF(AND(E2284&lt;&gt;"",E2284&lt;&gt;"!!!"),"NEW","")))</f>
        <v> </v>
      </c>
      <c r="G2284" s="24" t="str">
        <f>IF(OR(E2284="",E2284="!!!"),"",IF(OR(J2284=0,AND(J2284=1,K2284=1),AND(J2284=1,I2284="SBJ"),AND(J2284=1,I2284=0)),"?IN_FOCUS",IF(J2284&lt;=2,"?ACTIVATED",IF(J2284&lt;&gt;"","?FAMILIAR",IF(F2284="NEW",IF(ISNA(VLOOKUP(E2284,#REF!,1,FALSE())),"?TYPE_IDENTIFIABLE","?REFERENTIAL"),"_")))))</f>
        <v> </v>
      </c>
      <c r="H2284" s="25" t="str">
        <f>IF(J2284&lt;&gt;1,"",IF(I2284="SBJ","CB","?"))</f>
        <v> </v>
      </c>
      <c r="I2284" s="26" t="str">
        <f>IF(OR(E2284="",E2284="!!!",F2284="NEW"),"",INDEX(B2283:B$2,-1+SUMPRODUCT(MAX(ROW(E2283:E$2)*(E2284=E2283:E$2)))))</f>
        <v> </v>
      </c>
      <c r="J2284" s="26" t="str">
        <f>IF(OR(E2284="",E2284="!!!",F2284="NEW"),"",COUNTBLANK(OFFSET(A$1,,,SUMPRODUCT(MAX(ROW(E$2:E2284)*(E2284=E$2:E2284)))))-COUNTBLANK(OFFSET(A$1,,,SUMPRODUCT(MAX(ROW(E$1:E2283)*(E2=E$1:E2283))))))</f>
        <v> </v>
      </c>
      <c r="K2284" s="26" t="str">
        <f>IF(OR(E2284="",E2284="!!!",F2284="NEW"),"",INDEX(J$1:J2283,SUMPRODUCT(MAX(ROW(E$1:E2283)*(E2284=E$1:E2283)))))</f>
        <v> </v>
      </c>
      <c r="L2284" s="27"/>
    </row>
    <row r="2285" spans="1:12">
      <c r="A2285" s="20" t="s">
        <v>1747</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484</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1063</v>
      </c>
      <c r="B2287" s="21" t="s">
        <v>990</v>
      </c>
      <c r="C2287" s="21" t="s">
        <v>1039</v>
      </c>
      <c r="D2287" s="21" t="s">
        <v>992</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1748</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1749</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1750</v>
      </c>
      <c r="B2290" s="21" t="s">
        <v>1002</v>
      </c>
      <c r="C2290" s="21" t="s">
        <v>1003</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1118</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998</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row>
    <row r="2294" spans="1:12">
      <c r="A2294" s="20" t="s">
        <v>1751</v>
      </c>
    </row>
    <row r="2295" spans="1:12">
      <c r="A2295" s="20" t="s">
        <v>1752</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488</v>
      </c>
      <c r="B2296" s="21" t="s">
        <v>995</v>
      </c>
      <c r="C2296" s="21" t="s">
        <v>1003</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998</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row>
    <row r="2299" spans="1:12">
      <c r="A2299" s="20" t="s">
        <v>1753</v>
      </c>
    </row>
    <row r="2300" spans="1:12">
      <c r="A2300" s="20" t="s">
        <v>492</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1754</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row>
    <row r="2303" spans="1:12">
      <c r="A2303" s="20" t="s">
        <v>1755</v>
      </c>
    </row>
    <row r="2304" spans="1:12">
      <c r="A2304" s="20" t="s">
        <v>1756</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1206</v>
      </c>
      <c r="B2305" s="21" t="s">
        <v>990</v>
      </c>
      <c r="C2305" s="21" t="s">
        <v>991</v>
      </c>
      <c r="D2305" s="21" t="s">
        <v>992</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1024</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1025</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1381</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1043</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1726</v>
      </c>
      <c r="B2310" s="21" t="s">
        <v>1026</v>
      </c>
      <c r="C2310" s="21" t="s">
        <v>1045</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1024</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79</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576</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1757</v>
      </c>
      <c r="B2314" s="21" t="s">
        <v>1234</v>
      </c>
      <c r="C2314" s="21" t="s">
        <v>1022</v>
      </c>
      <c r="D2314" s="21" t="s">
        <v>992</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12</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1758</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1397</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1398</v>
      </c>
      <c r="B2318" s="21" t="s">
        <v>1178</v>
      </c>
      <c r="C2318" s="21" t="s">
        <v>996</v>
      </c>
      <c r="D2318" s="21" t="s">
        <v>992</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12</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1208</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t="s">
        <v>98</v>
      </c>
      <c r="E2321" s="22">
        <f>IF(D2321="?OLD","!!!","")</f>
        <v/>
      </c>
      <c r="F2321" s="23" t="str">
        <f>IF(OR(E2321="",E2321="!!!"),"",IF(NOT(ISNA(VLOOKUP(E2321,E$1:E2320,1,FALSE()))),"OLD",IF(AND(E2321&lt;&gt;"",E2321&lt;&gt;"!!!"),"NEW","")))</f>
        <v> </v>
      </c>
      <c r="G2321" s="24" t="str">
        <f>IF(OR(E2321="",E2321="!!!"),"",IF(OR(J2321=0,AND(J2321=1,K2321=1),AND(J2321=1,I2321="SBJ"),AND(J2321=1,I2321=0)),"?IN_FOCUS",IF(J2321&lt;=2,"?ACTIVATED",IF(J2321&lt;&gt;"","?FAMILIAR",IF(F2321="NEW",IF(ISNA(VLOOKUP(E2321,#REF!,1,FALSE())),"?TYPE_IDENTIFIABLE","?REFERENTIAL"),"_")))))</f>
        <v> </v>
      </c>
      <c r="H2321" s="25" t="str">
        <f>IF(J2321&lt;&gt;1,"",IF(I2321="SBJ","CB","?"))</f>
        <v> </v>
      </c>
      <c r="I2321" s="26" t="str">
        <f>IF(OR(E2321="",E2321="!!!",F2321="NEW"),"",INDEX(B2320:B$2,-1+SUMPRODUCT(MAX(ROW(E2320:E$2)*(E2321=E2320:E$2)))))</f>
        <v> </v>
      </c>
      <c r="J2321" s="26" t="str">
        <f>IF(OR(E2321="",E2321="!!!",F2321="NEW"),"",COUNTBLANK(OFFSET(A$1,,,SUMPRODUCT(MAX(ROW(E$2:E2321)*(E2321=E$2:E2321)))))-COUNTBLANK(OFFSET(A$1,,,SUMPRODUCT(MAX(ROW(E$1:E2320)*(E2=E$1:E2320))))))</f>
        <v> </v>
      </c>
      <c r="K2321" s="26" t="str">
        <f>IF(OR(E2321="",E2321="!!!",F2321="NEW"),"",INDEX(J$1:J2320,SUMPRODUCT(MAX(ROW(E$1:E2320)*(E2321=E$1:E2320)))))</f>
        <v> </v>
      </c>
      <c r="L2321" s="27"/>
    </row>
    <row r="2322" spans="1:12">
      <c r="A2322" s="20" t="s">
        <v>1065</v>
      </c>
      <c r="B2322" s="21" t="s">
        <v>1356</v>
      </c>
      <c r="C2322" s="21" t="s">
        <v>1009</v>
      </c>
      <c r="E2322" s="22">
        <f>IF(D2322="?OLD","!!!","")</f>
        <v/>
      </c>
      <c r="F2322" s="23" t="str">
        <f>IF(OR(E2322="",E2322="!!!"),"",IF(NOT(ISNA(VLOOKUP(E2322,E$1:E2321,1,FALSE()))),"OLD",IF(AND(E2322&lt;&gt;"",E2322&lt;&gt;"!!!"),"NEW","")))</f>
        <v> </v>
      </c>
      <c r="G2322" s="24" t="str">
        <f>IF(OR(E2322="",E2322="!!!"),"",IF(OR(J2322=0,AND(J2322=1,K2322=1),AND(J2322=1,I2322="SBJ"),AND(J2322=1,I2322=0)),"?IN_FOCUS",IF(J2322&lt;=2,"?ACTIVATED",IF(J2322&lt;&gt;"","?FAMILIAR",IF(F2322="NEW",IF(ISNA(VLOOKUP(E2322,#REF!,1,FALSE())),"?TYPE_IDENTIFIABLE","?REFERENTIAL"),"_")))))</f>
        <v> </v>
      </c>
      <c r="H2322" s="25" t="str">
        <f>IF(J2322&lt;&gt;1,"",IF(I2322="SBJ","CB","?"))</f>
        <v> </v>
      </c>
      <c r="I2322" s="26" t="str">
        <f>IF(OR(E2322="",E2322="!!!",F2322="NEW"),"",INDEX(B2321:B$2,-1+SUMPRODUCT(MAX(ROW(E2321:E$2)*(E2322=E2321:E$2)))))</f>
        <v> </v>
      </c>
      <c r="J2322" s="26" t="str">
        <f>IF(OR(E2322="",E2322="!!!",F2322="NEW"),"",COUNTBLANK(OFFSET(A$1,,,SUMPRODUCT(MAX(ROW(E$2:E2322)*(E2322=E$2:E2322)))))-COUNTBLANK(OFFSET(A$1,,,SUMPRODUCT(MAX(ROW(E$1:E2321)*(E2=E$1:E2321))))))</f>
        <v> </v>
      </c>
      <c r="K2322" s="26" t="str">
        <f>IF(OR(E2322="",E2322="!!!",F2322="NEW"),"",INDEX(J$1:J2321,SUMPRODUCT(MAX(ROW(E$1:E2321)*(E2322=E$1:E2321)))))</f>
        <v> </v>
      </c>
      <c r="L2322" s="27"/>
    </row>
    <row r="2323" spans="1:12">
      <c r="A2323" s="20" t="s">
        <v>1066</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1067</v>
      </c>
      <c r="B2324" s="21" t="s">
        <v>1178</v>
      </c>
      <c r="C2324" s="21" t="s">
        <v>1003</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1759</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1024</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1760</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1305</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1761</v>
      </c>
      <c r="B2329" s="21" t="s">
        <v>995</v>
      </c>
      <c r="C2329" s="21" t="s">
        <v>1003</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998</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row>
    <row r="2332" spans="1:12">
      <c r="A2332" s="20" t="s">
        <v>1762</v>
      </c>
    </row>
    <row r="2333" spans="1:12">
      <c r="A2333" s="20" t="s">
        <v>1524</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1726</v>
      </c>
      <c r="B2334" s="21" t="s">
        <v>990</v>
      </c>
      <c r="C2334" s="21" t="s">
        <v>1022</v>
      </c>
      <c r="D2334" s="21" t="s">
        <v>992</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1023</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1024</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1116</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1024</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1084</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t="s">
        <v>1063</v>
      </c>
      <c r="B2340" s="21" t="s">
        <v>1026</v>
      </c>
      <c r="C2340" s="21" t="s">
        <v>1039</v>
      </c>
      <c r="D2340" s="21" t="s">
        <v>992</v>
      </c>
      <c r="E2340" s="22">
        <f>IF(D2340="?OLD","!!!","")</f>
        <v/>
      </c>
      <c r="F2340" s="23" t="str">
        <f>IF(OR(E2340="",E2340="!!!"),"",IF(NOT(ISNA(VLOOKUP(E2340,E$1:E2339,1,FALSE()))),"OLD",IF(AND(E2340&lt;&gt;"",E2340&lt;&gt;"!!!"),"NEW","")))</f>
        <v> </v>
      </c>
      <c r="G2340" s="24" t="str">
        <f>IF(OR(E2340="",E2340="!!!"),"",IF(OR(J2340=0,AND(J2340=1,K2340=1),AND(J2340=1,I2340="SBJ"),AND(J2340=1,I2340=0)),"?IN_FOCUS",IF(J2340&lt;=2,"?ACTIVATED",IF(J2340&lt;&gt;"","?FAMILIAR",IF(F2340="NEW",IF(ISNA(VLOOKUP(E2340,#REF!,1,FALSE())),"?TYPE_IDENTIFIABLE","?REFERENTIAL"),"_")))))</f>
        <v> </v>
      </c>
      <c r="H2340" s="25" t="str">
        <f>IF(J2340&lt;&gt;1,"",IF(I2340="SBJ","CB","?"))</f>
        <v> </v>
      </c>
      <c r="I2340" s="26" t="str">
        <f>IF(OR(E2340="",E2340="!!!",F2340="NEW"),"",INDEX(B2339:B$2,-1+SUMPRODUCT(MAX(ROW(E2339:E$2)*(E2340=E2339:E$2)))))</f>
        <v> </v>
      </c>
      <c r="J2340" s="26" t="str">
        <f>IF(OR(E2340="",E2340="!!!",F2340="NEW"),"",COUNTBLANK(OFFSET(A$1,,,SUMPRODUCT(MAX(ROW(E$2:E2340)*(E2340=E$2:E2340)))))-COUNTBLANK(OFFSET(A$1,,,SUMPRODUCT(MAX(ROW(E$1:E2339)*(E2=E$1:E2339))))))</f>
        <v> </v>
      </c>
      <c r="K2340" s="26" t="str">
        <f>IF(OR(E2340="",E2340="!!!",F2340="NEW"),"",INDEX(J$1:J2339,SUMPRODUCT(MAX(ROW(E$1:E2339)*(E2340=E$1:E2339)))))</f>
        <v> </v>
      </c>
      <c r="L2340" s="27"/>
    </row>
    <row r="2341" spans="1:12">
      <c r="A2341" s="20" t="s">
        <v>675</v>
      </c>
      <c r="E2341" s="22">
        <f>IF(D2341="?OLD","!!!","")</f>
        <v/>
      </c>
      <c r="F2341" s="23" t="str">
        <f>IF(OR(E2341="",E2341="!!!"),"",IF(NOT(ISNA(VLOOKUP(E2341,E$1:E2340,1,FALSE()))),"OLD",IF(AND(E2341&lt;&gt;"",E2341&lt;&gt;"!!!"),"NEW","")))</f>
        <v> </v>
      </c>
      <c r="G2341" s="24" t="str">
        <f>IF(OR(E2341="",E2341="!!!"),"",IF(OR(J2341=0,AND(J2341=1,K2341=1),AND(J2341=1,I2341="SBJ"),AND(J2341=1,I2341=0)),"?IN_FOCUS",IF(J2341&lt;=2,"?ACTIVATED",IF(J2341&lt;&gt;"","?FAMILIAR",IF(F2341="NEW",IF(ISNA(VLOOKUP(E2341,#REF!,1,FALSE())),"?TYPE_IDENTIFIABLE","?REFERENTIAL"),"_")))))</f>
        <v> </v>
      </c>
      <c r="H2341" s="25" t="str">
        <f>IF(J2341&lt;&gt;1,"",IF(I2341="SBJ","CB","?"))</f>
        <v> </v>
      </c>
      <c r="I2341" s="26" t="str">
        <f>IF(OR(E2341="",E2341="!!!",F2341="NEW"),"",INDEX(B2340:B$2,-1+SUMPRODUCT(MAX(ROW(E2340:E$2)*(E2341=E2340:E$2)))))</f>
        <v> </v>
      </c>
      <c r="J2341" s="26" t="str">
        <f>IF(OR(E2341="",E2341="!!!",F2341="NEW"),"",COUNTBLANK(OFFSET(A$1,,,SUMPRODUCT(MAX(ROW(E$2:E2341)*(E2341=E$2:E2341)))))-COUNTBLANK(OFFSET(A$1,,,SUMPRODUCT(MAX(ROW(E$1:E2340)*(E2=E$1:E2340))))))</f>
        <v> </v>
      </c>
      <c r="K2341" s="26" t="str">
        <f>IF(OR(E2341="",E2341="!!!",F2341="NEW"),"",INDEX(J$1:J2340,SUMPRODUCT(MAX(ROW(E$1:E2340)*(E2341=E$1:E2340)))))</f>
        <v> </v>
      </c>
      <c r="L2341" s="27"/>
    </row>
    <row r="2342" spans="1:12">
      <c r="A2342" s="20" t="s">
        <v>1024</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1107</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1063</v>
      </c>
      <c r="B2344" s="21" t="s">
        <v>1089</v>
      </c>
      <c r="C2344" s="21" t="s">
        <v>1039</v>
      </c>
      <c r="D2344" s="21" t="s">
        <v>992</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1273</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1763</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1737</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1024</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1764</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1029</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429</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1024</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1305</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1084</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1063</v>
      </c>
      <c r="B2355" s="21" t="s">
        <v>1089</v>
      </c>
      <c r="C2355" s="21" t="s">
        <v>1039</v>
      </c>
      <c r="D2355" s="21" t="s">
        <v>992</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1346</v>
      </c>
      <c r="B2356" s="21" t="s">
        <v>1033</v>
      </c>
      <c r="C2356" s="21" t="s">
        <v>1039</v>
      </c>
      <c r="D2356" s="21" t="s">
        <v>992</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1765</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1376</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1766</v>
      </c>
      <c r="B2359" s="21" t="s">
        <v>1356</v>
      </c>
      <c r="C2359" s="21" t="s">
        <v>1039</v>
      </c>
      <c r="D2359" s="21" t="s">
        <v>992</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1340</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998</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row>
    <row r="2363" spans="1:12">
      <c r="A2363" s="20" t="s">
        <v>1767</v>
      </c>
    </row>
    <row r="2364" spans="1:12">
      <c r="A2364" s="20" t="s">
        <v>1326</v>
      </c>
      <c r="B2364" s="21" t="s">
        <v>990</v>
      </c>
      <c r="C2364" s="21" t="s">
        <v>1039</v>
      </c>
      <c r="D2364" s="21" t="s">
        <v>992</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t="s">
        <v>496</v>
      </c>
      <c r="E2365" s="22">
        <f>IF(D2365="?OLD","!!!","")</f>
        <v/>
      </c>
      <c r="F2365" s="23" t="str">
        <f>IF(OR(E2365="",E2365="!!!"),"",IF(NOT(ISNA(VLOOKUP(E2365,E$1:E2364,1,FALSE()))),"OLD",IF(AND(E2365&lt;&gt;"",E2365&lt;&gt;"!!!"),"NEW","")))</f>
        <v> </v>
      </c>
      <c r="G2365" s="24" t="str">
        <f>IF(OR(E2365="",E2365="!!!"),"",IF(OR(J2365=0,AND(J2365=1,K2365=1),AND(J2365=1,I2365="SBJ"),AND(J2365=1,I2365=0)),"?IN_FOCUS",IF(J2365&lt;=2,"?ACTIVATED",IF(J2365&lt;&gt;"","?FAMILIAR",IF(F2365="NEW",IF(ISNA(VLOOKUP(E2365,#REF!,1,FALSE())),"?TYPE_IDENTIFIABLE","?REFERENTIAL"),"_")))))</f>
        <v> </v>
      </c>
      <c r="H2365" s="25" t="str">
        <f>IF(J2365&lt;&gt;1,"",IF(I2365="SBJ","CB","?"))</f>
        <v> </v>
      </c>
      <c r="I2365" s="26" t="str">
        <f>IF(OR(E2365="",E2365="!!!",F2365="NEW"),"",INDEX(B2364:B$2,-1+SUMPRODUCT(MAX(ROW(E2364:E$2)*(E2365=E2364:E$2)))))</f>
        <v> </v>
      </c>
      <c r="J2365" s="26" t="str">
        <f>IF(OR(E2365="",E2365="!!!",F2365="NEW"),"",COUNTBLANK(OFFSET(A$1,,,SUMPRODUCT(MAX(ROW(E$2:E2365)*(E2365=E$2:E2365)))))-COUNTBLANK(OFFSET(A$1,,,SUMPRODUCT(MAX(ROW(E$1:E2364)*(E2=E$1:E2364))))))</f>
        <v> </v>
      </c>
      <c r="K2365" s="26" t="str">
        <f>IF(OR(E2365="",E2365="!!!",F2365="NEW"),"",INDEX(J$1:J2364,SUMPRODUCT(MAX(ROW(E$1:E2364)*(E2365=E$1:E2364)))))</f>
        <v> </v>
      </c>
      <c r="L2365" s="27"/>
    </row>
    <row r="2366" spans="1:12">
      <c r="A2366" s="20" t="s">
        <v>1024</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1116</v>
      </c>
      <c r="E2367" s="22">
        <f>IF(D2367="?OLD","!!!","")</f>
        <v/>
      </c>
      <c r="F2367" s="23" t="str">
        <f>IF(OR(E2367="",E2367="!!!"),"",IF(NOT(ISNA(VLOOKUP(E2367,E$1:E2366,1,FALSE()))),"OLD",IF(AND(E2367&lt;&gt;"",E2367&lt;&gt;"!!!"),"NEW","")))</f>
        <v> </v>
      </c>
      <c r="G2367" s="24" t="str">
        <f>IF(OR(E2367="",E2367="!!!"),"",IF(OR(J2367=0,AND(J2367=1,K2367=1),AND(J2367=1,I2367="SBJ"),AND(J2367=1,I2367=0)),"?IN_FOCUS",IF(J2367&lt;=2,"?ACTIVATED",IF(J2367&lt;&gt;"","?FAMILIAR",IF(F2367="NEW",IF(ISNA(VLOOKUP(E2367,#REF!,1,FALSE())),"?TYPE_IDENTIFIABLE","?REFERENTIAL"),"_")))))</f>
        <v> </v>
      </c>
      <c r="H2367" s="25" t="str">
        <f>IF(J2367&lt;&gt;1,"",IF(I2367="SBJ","CB","?"))</f>
        <v> </v>
      </c>
      <c r="I2367" s="26" t="str">
        <f>IF(OR(E2367="",E2367="!!!",F2367="NEW"),"",INDEX(B2366:B$2,-1+SUMPRODUCT(MAX(ROW(E2366:E$2)*(E2367=E2366:E$2)))))</f>
        <v> </v>
      </c>
      <c r="J2367" s="26" t="str">
        <f>IF(OR(E2367="",E2367="!!!",F2367="NEW"),"",COUNTBLANK(OFFSET(A$1,,,SUMPRODUCT(MAX(ROW(E$2:E2367)*(E2367=E$2:E2367)))))-COUNTBLANK(OFFSET(A$1,,,SUMPRODUCT(MAX(ROW(E$1:E2366)*(E2=E$1:E2366))))))</f>
        <v> </v>
      </c>
      <c r="K2367" s="26" t="str">
        <f>IF(OR(E2367="",E2367="!!!",F2367="NEW"),"",INDEX(J$1:J2366,SUMPRODUCT(MAX(ROW(E$1:E2366)*(E2367=E$1:E2366)))))</f>
        <v> </v>
      </c>
      <c r="L2367" s="27"/>
    </row>
    <row r="2368" spans="1:12">
      <c r="A2368" s="20" t="s">
        <v>1063</v>
      </c>
      <c r="B2368" s="21" t="s">
        <v>1026</v>
      </c>
      <c r="C2368" s="21" t="s">
        <v>1039</v>
      </c>
      <c r="D2368" s="21" t="s">
        <v>992</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1305</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1768</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1554</v>
      </c>
      <c r="B2371" s="21" t="s">
        <v>1015</v>
      </c>
      <c r="C2371" s="21" t="s">
        <v>1003</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1769</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1770</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1024</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1084</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1063</v>
      </c>
      <c r="B2376" s="21" t="s">
        <v>1089</v>
      </c>
      <c r="C2376" s="21" t="s">
        <v>1039</v>
      </c>
      <c r="D2376" s="21" t="s">
        <v>992</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1771</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1024</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1772</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1773</v>
      </c>
      <c r="B2380" s="21" t="s">
        <v>1033</v>
      </c>
      <c r="C2380" s="21" t="s">
        <v>1003</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1774</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998</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row>
    <row r="2384" spans="1:12">
      <c r="A2384" s="20" t="s">
        <v>1775</v>
      </c>
    </row>
    <row r="2385" spans="1:12">
      <c r="A2385" s="20" t="s">
        <v>1013</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1208</v>
      </c>
      <c r="B2386" s="21" t="s">
        <v>990</v>
      </c>
      <c r="C2386" s="21" t="s">
        <v>1003</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1107</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1438</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1416</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1024</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1764</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1029</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t="s">
        <v>429</v>
      </c>
      <c r="E2393" s="22">
        <f>IF(D2393="?OLD","!!!","")</f>
        <v/>
      </c>
      <c r="F2393" s="23" t="str">
        <f>IF(OR(E2393="",E2393="!!!"),"",IF(NOT(ISNA(VLOOKUP(E2393,E$1:E2392,1,FALSE()))),"OLD",IF(AND(E2393&lt;&gt;"",E2393&lt;&gt;"!!!"),"NEW","")))</f>
        <v> </v>
      </c>
      <c r="G2393" s="24" t="str">
        <f>IF(OR(E2393="",E2393="!!!"),"",IF(OR(J2393=0,AND(J2393=1,K2393=1),AND(J2393=1,I2393="SBJ"),AND(J2393=1,I2393=0)),"?IN_FOCUS",IF(J2393&lt;=2,"?ACTIVATED",IF(J2393&lt;&gt;"","?FAMILIAR",IF(F2393="NEW",IF(ISNA(VLOOKUP(E2393,#REF!,1,FALSE())),"?TYPE_IDENTIFIABLE","?REFERENTIAL"),"_")))))</f>
        <v> </v>
      </c>
      <c r="H2393" s="25" t="str">
        <f>IF(J2393&lt;&gt;1,"",IF(I2393="SBJ","CB","?"))</f>
        <v> </v>
      </c>
      <c r="I2393" s="26" t="str">
        <f>IF(OR(E2393="",E2393="!!!",F2393="NEW"),"",INDEX(B2392:B$2,-1+SUMPRODUCT(MAX(ROW(E2392:E$2)*(E2393=E2392:E$2)))))</f>
        <v> </v>
      </c>
      <c r="J2393" s="26" t="str">
        <f>IF(OR(E2393="",E2393="!!!",F2393="NEW"),"",COUNTBLANK(OFFSET(A$1,,,SUMPRODUCT(MAX(ROW(E$2:E2393)*(E2393=E$2:E2393)))))-COUNTBLANK(OFFSET(A$1,,,SUMPRODUCT(MAX(ROW(E$1:E2392)*(E2=E$1:E2392))))))</f>
        <v> </v>
      </c>
      <c r="K2393" s="26" t="str">
        <f>IF(OR(E2393="",E2393="!!!",F2393="NEW"),"",INDEX(J$1:J2392,SUMPRODUCT(MAX(ROW(E$1:E2392)*(E2393=E$1:E2392)))))</f>
        <v> </v>
      </c>
      <c r="L2393" s="27"/>
    </row>
    <row r="2394" spans="1:12">
      <c r="A2394" s="20" t="s">
        <v>1024</v>
      </c>
      <c r="E2394" s="22">
        <f>IF(D2394="?OLD","!!!","")</f>
        <v/>
      </c>
      <c r="F2394" s="23" t="str">
        <f>IF(OR(E2394="",E2394="!!!"),"",IF(NOT(ISNA(VLOOKUP(E2394,E$1:E2393,1,FALSE()))),"OLD",IF(AND(E2394&lt;&gt;"",E2394&lt;&gt;"!!!"),"NEW","")))</f>
        <v> </v>
      </c>
      <c r="G2394" s="24" t="str">
        <f>IF(OR(E2394="",E2394="!!!"),"",IF(OR(J2394=0,AND(J2394=1,K2394=1),AND(J2394=1,I2394="SBJ"),AND(J2394=1,I2394=0)),"?IN_FOCUS",IF(J2394&lt;=2,"?ACTIVATED",IF(J2394&lt;&gt;"","?FAMILIAR",IF(F2394="NEW",IF(ISNA(VLOOKUP(E2394,#REF!,1,FALSE())),"?TYPE_IDENTIFIABLE","?REFERENTIAL"),"_")))))</f>
        <v> </v>
      </c>
      <c r="H2394" s="25" t="str">
        <f>IF(J2394&lt;&gt;1,"",IF(I2394="SBJ","CB","?"))</f>
        <v> </v>
      </c>
      <c r="I2394" s="26" t="str">
        <f>IF(OR(E2394="",E2394="!!!",F2394="NEW"),"",INDEX(B2393:B$2,-1+SUMPRODUCT(MAX(ROW(E2393:E$2)*(E2394=E2393:E$2)))))</f>
        <v> </v>
      </c>
      <c r="J2394" s="26" t="str">
        <f>IF(OR(E2394="",E2394="!!!",F2394="NEW"),"",COUNTBLANK(OFFSET(A$1,,,SUMPRODUCT(MAX(ROW(E$2:E2394)*(E2394=E$2:E2394)))))-COUNTBLANK(OFFSET(A$1,,,SUMPRODUCT(MAX(ROW(E$1:E2393)*(E2=E$1:E2393))))))</f>
        <v> </v>
      </c>
      <c r="K2394" s="26" t="str">
        <f>IF(OR(E2394="",E2394="!!!",F2394="NEW"),"",INDEX(J$1:J2393,SUMPRODUCT(MAX(ROW(E$1:E2393)*(E2394=E$1:E2393)))))</f>
        <v> </v>
      </c>
      <c r="L2394" s="27"/>
    </row>
    <row r="2395" spans="1:12">
      <c r="A2395" s="20" t="s">
        <v>1084</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1038</v>
      </c>
      <c r="B2396" s="21" t="s">
        <v>1089</v>
      </c>
      <c r="C2396" s="21" t="s">
        <v>1039</v>
      </c>
      <c r="D2396" s="21" t="s">
        <v>992</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1031</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1776</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1436</v>
      </c>
      <c r="B2399" s="21" t="s">
        <v>1033</v>
      </c>
      <c r="C2399" s="21" t="s">
        <v>1022</v>
      </c>
      <c r="D2399" s="21" t="s">
        <v>992</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832</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998</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row>
    <row r="2403" spans="1:12">
      <c r="A2403" s="20" t="s">
        <v>1777</v>
      </c>
    </row>
    <row r="2404" spans="1:12">
      <c r="A2404" s="20" t="s">
        <v>1013</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1778</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1024</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1407</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510</v>
      </c>
      <c r="B2408" s="21" t="s">
        <v>995</v>
      </c>
      <c r="C2408" s="21" t="s">
        <v>1003</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998</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row>
    <row r="2411" spans="1:12">
      <c r="A2411" s="20" t="s">
        <v>1779</v>
      </c>
    </row>
    <row r="2412" spans="1:12">
      <c r="A2412" s="20" t="s">
        <v>1208</v>
      </c>
      <c r="B2412" s="21" t="s">
        <v>990</v>
      </c>
      <c r="C2412" s="21" t="s">
        <v>1003</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514</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1025</v>
      </c>
      <c r="B2414" s="21" t="s">
        <v>1002</v>
      </c>
      <c r="C2414" s="21" t="s">
        <v>991</v>
      </c>
      <c r="D2414" s="21" t="s">
        <v>992</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1024</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1780</v>
      </c>
      <c r="B2416" s="21" t="s">
        <v>1015</v>
      </c>
      <c r="C2416" s="21" t="s">
        <v>1003</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1781</v>
      </c>
      <c r="B2417" s="21" t="s">
        <v>1089</v>
      </c>
      <c r="C2417" s="21" t="s">
        <v>1003</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1782</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1783</v>
      </c>
      <c r="B2419" s="21" t="s">
        <v>1060</v>
      </c>
      <c r="C2419" s="21" t="s">
        <v>1003</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1784</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1785</v>
      </c>
      <c r="B2421" s="21" t="s">
        <v>1178</v>
      </c>
      <c r="C2421" s="21" t="s">
        <v>1003</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1029</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400</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998</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row>
    <row r="2426" spans="1:12">
      <c r="A2426" s="20" t="s">
        <v>1786</v>
      </c>
    </row>
    <row r="2427" spans="1:12">
      <c r="A2427" s="20" t="s">
        <v>1686</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1077</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518</v>
      </c>
      <c r="B2429" s="21" t="s">
        <v>995</v>
      </c>
      <c r="C2429" s="21" t="s">
        <v>1045</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1024</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1111</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1019</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1034</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1019</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1787</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1788</v>
      </c>
      <c r="B2436" s="21" t="s">
        <v>1015</v>
      </c>
      <c r="C2436" s="21" t="s">
        <v>1022</v>
      </c>
      <c r="D2436" s="21" t="s">
        <v>992</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1029</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1789</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998</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row>
    <row r="2441" spans="1:12">
      <c r="A2441" s="20" t="s">
        <v>1790</v>
      </c>
    </row>
    <row r="2442" spans="1:12">
      <c r="A2442" s="20" t="s">
        <v>1206</v>
      </c>
      <c r="B2442" s="21" t="s">
        <v>990</v>
      </c>
      <c r="C2442" s="21" t="s">
        <v>991</v>
      </c>
      <c r="D2442" s="21" t="s">
        <v>992</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125</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1478</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1502</v>
      </c>
      <c r="B2445" s="21" t="s">
        <v>1036</v>
      </c>
      <c r="C2445" s="21" t="s">
        <v>1054</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1791</v>
      </c>
      <c r="B2446" s="21" t="s">
        <v>1026</v>
      </c>
      <c r="C2446" s="21" t="s">
        <v>996</v>
      </c>
      <c r="D2446" s="21" t="s">
        <v>992</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1024</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1019</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1792</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1793</v>
      </c>
      <c r="B2450" s="21" t="s">
        <v>1002</v>
      </c>
      <c r="C2450" s="21" t="s">
        <v>1022</v>
      </c>
      <c r="D2450" s="21" t="s">
        <v>992</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576</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1032</v>
      </c>
      <c r="B2452" s="21" t="s">
        <v>1015</v>
      </c>
      <c r="C2452" s="21" t="s">
        <v>1022</v>
      </c>
      <c r="D2452" s="21" t="s">
        <v>992</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998</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row>
    <row r="2455" spans="1:12">
      <c r="A2455" s="20" t="s">
        <v>1794</v>
      </c>
    </row>
    <row r="2456" spans="1:12">
      <c r="A2456" s="20" t="s">
        <v>1075</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1795</v>
      </c>
      <c r="B2457" s="21" t="s">
        <v>990</v>
      </c>
      <c r="C2457" s="21" t="s">
        <v>1022</v>
      </c>
      <c r="D2457" s="21" t="s">
        <v>992</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1793</v>
      </c>
      <c r="B2458" s="21" t="s">
        <v>1015</v>
      </c>
      <c r="C2458" s="21" t="s">
        <v>996</v>
      </c>
      <c r="D2458" s="21" t="s">
        <v>992</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576</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1032</v>
      </c>
      <c r="B2460" s="21" t="s">
        <v>1036</v>
      </c>
      <c r="C2460" s="21" t="s">
        <v>1022</v>
      </c>
      <c r="D2460" s="21" t="s">
        <v>992</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1024</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1056</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1796</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1797</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1798</v>
      </c>
      <c r="B2465" s="21" t="s">
        <v>1015</v>
      </c>
      <c r="C2465" s="21" t="s">
        <v>1009</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1023</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1019</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1396</v>
      </c>
      <c r="B2468" s="21" t="s">
        <v>995</v>
      </c>
      <c r="C2468" s="21" t="s">
        <v>996</v>
      </c>
      <c r="D2468" s="21" t="s">
        <v>992</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1397</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1398</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1793</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998</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row>
    <row r="2474" spans="1:12">
      <c r="A2474" s="20" t="s">
        <v>1799</v>
      </c>
    </row>
    <row r="2475" spans="1:12">
      <c r="A2475" s="20" t="s">
        <v>1800</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1283</v>
      </c>
      <c r="B2476" s="21" t="s">
        <v>1015</v>
      </c>
      <c r="C2476" s="21" t="s">
        <v>1009</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1050</v>
      </c>
      <c r="B2477" s="21" t="s">
        <v>1002</v>
      </c>
      <c r="C2477" s="21" t="s">
        <v>1003</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529</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1025</v>
      </c>
      <c r="B2479" s="21" t="s">
        <v>990</v>
      </c>
      <c r="C2479" s="21" t="s">
        <v>991</v>
      </c>
      <c r="D2479" s="21" t="s">
        <v>992</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1801</v>
      </c>
      <c r="B2480" s="21" t="s">
        <v>1015</v>
      </c>
      <c r="C2480" s="21" t="s">
        <v>1054</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1802</v>
      </c>
      <c r="B2481" s="21" t="s">
        <v>995</v>
      </c>
      <c r="C2481" s="21" t="s">
        <v>1003</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998</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row>
    <row r="2484" spans="1:12">
      <c r="A2484" s="20" t="s">
        <v>1803</v>
      </c>
    </row>
    <row r="2485" spans="1:12">
      <c r="A2485" s="20" t="s">
        <v>1206</v>
      </c>
      <c r="B2485" s="21" t="s">
        <v>990</v>
      </c>
      <c r="C2485" s="21" t="s">
        <v>991</v>
      </c>
      <c r="D2485" s="21" t="s">
        <v>992</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29</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1049</v>
      </c>
      <c r="B2487" s="21" t="s">
        <v>1015</v>
      </c>
      <c r="C2487" s="21" t="s">
        <v>1054</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1804</v>
      </c>
      <c r="B2488" s="21" t="s">
        <v>1002</v>
      </c>
      <c r="C2488" s="21" t="s">
        <v>1003</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1805</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1396</v>
      </c>
      <c r="B2490" s="21" t="s">
        <v>1015</v>
      </c>
      <c r="C2490" s="21" t="s">
        <v>996</v>
      </c>
      <c r="D2490" s="21" t="s">
        <v>992</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1397</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1398</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1034</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1057</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1670</v>
      </c>
      <c r="B2495" s="21" t="s">
        <v>1036</v>
      </c>
      <c r="C2495" s="21" t="s">
        <v>1022</v>
      </c>
      <c r="D2495" s="21" t="s">
        <v>992</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1806</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1305</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1805</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1807</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1808</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1809</v>
      </c>
      <c r="B2501" s="21" t="s">
        <v>1015</v>
      </c>
      <c r="C2501" s="21" t="s">
        <v>1003</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1034</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1810</v>
      </c>
      <c r="B2503" s="21" t="s">
        <v>1060</v>
      </c>
      <c r="C2503" s="21" t="s">
        <v>1054</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1811</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1793</v>
      </c>
      <c r="B2505" s="21" t="s">
        <v>1036</v>
      </c>
      <c r="C2505" s="21" t="s">
        <v>1003</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576</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1032</v>
      </c>
      <c r="B2507" s="21" t="s">
        <v>1060</v>
      </c>
      <c r="C2507" s="21" t="s">
        <v>1022</v>
      </c>
      <c r="D2507" s="21" t="s">
        <v>992</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998</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row>
    <row r="2510" spans="1:12">
      <c r="A2510" s="20" t="s">
        <v>1812</v>
      </c>
    </row>
    <row r="2511" spans="1:12">
      <c r="A2511" s="20" t="s">
        <v>1206</v>
      </c>
      <c r="B2511" s="21" t="s">
        <v>990</v>
      </c>
      <c r="C2511" s="21" t="s">
        <v>991</v>
      </c>
      <c r="D2511" s="21" t="s">
        <v>992</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536</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1077</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1407</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636</v>
      </c>
      <c r="B2515" s="21" t="s">
        <v>1002</v>
      </c>
      <c r="C2515" s="21" t="s">
        <v>1045</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998</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row>
    <row r="2518" spans="1:12">
      <c r="A2518" s="20" t="s">
        <v>1813</v>
      </c>
    </row>
    <row r="2519" spans="1:12">
      <c r="A2519" s="20" t="s">
        <v>1206</v>
      </c>
      <c r="B2519" s="21" t="s">
        <v>990</v>
      </c>
      <c r="C2519" s="21" t="s">
        <v>991</v>
      </c>
      <c r="D2519" s="21" t="s">
        <v>992</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536</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1077</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1407</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1814</v>
      </c>
      <c r="B2523" s="21" t="s">
        <v>1002</v>
      </c>
      <c r="C2523" s="21" t="s">
        <v>1045</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1154</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1815</v>
      </c>
      <c r="B2525" s="21" t="s">
        <v>1015</v>
      </c>
      <c r="C2525" s="21" t="s">
        <v>1022</v>
      </c>
      <c r="D2525" s="21" t="s">
        <v>992</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1805</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1031</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1396</v>
      </c>
      <c r="B2528" s="21" t="s">
        <v>1036</v>
      </c>
      <c r="C2528" s="21" t="s">
        <v>996</v>
      </c>
      <c r="D2528" s="21" t="s">
        <v>992</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t="s">
        <v>1397</v>
      </c>
      <c r="E2529" s="22">
        <f>IF(D2529="?OLD","!!!","")</f>
        <v/>
      </c>
      <c r="F2529" s="23" t="str">
        <f>IF(OR(E2529="",E2529="!!!"),"",IF(NOT(ISNA(VLOOKUP(E2529,E$1:E2528,1,FALSE()))),"OLD",IF(AND(E2529&lt;&gt;"",E2529&lt;&gt;"!!!"),"NEW","")))</f>
        <v> </v>
      </c>
      <c r="G2529" s="24" t="str">
        <f>IF(OR(E2529="",E2529="!!!"),"",IF(OR(J2529=0,AND(J2529=1,K2529=1),AND(J2529=1,I2529="SBJ"),AND(J2529=1,I2529=0)),"?IN_FOCUS",IF(J2529&lt;=2,"?ACTIVATED",IF(J2529&lt;&gt;"","?FAMILIAR",IF(F2529="NEW",IF(ISNA(VLOOKUP(E2529,#REF!,1,FALSE())),"?TYPE_IDENTIFIABLE","?REFERENTIAL"),"_")))))</f>
        <v> </v>
      </c>
      <c r="H2529" s="25" t="str">
        <f>IF(J2529&lt;&gt;1,"",IF(I2529="SBJ","CB","?"))</f>
        <v> </v>
      </c>
      <c r="I2529" s="26" t="str">
        <f>IF(OR(E2529="",E2529="!!!",F2529="NEW"),"",INDEX(B2528:B$2,-1+SUMPRODUCT(MAX(ROW(E2528:E$2)*(E2529=E2528:E$2)))))</f>
        <v> </v>
      </c>
      <c r="J2529" s="26" t="str">
        <f>IF(OR(E2529="",E2529="!!!",F2529="NEW"),"",COUNTBLANK(OFFSET(A$1,,,SUMPRODUCT(MAX(ROW(E$2:E2529)*(E2529=E$2:E2529)))))-COUNTBLANK(OFFSET(A$1,,,SUMPRODUCT(MAX(ROW(E$1:E2528)*(E2=E$1:E2528))))))</f>
        <v> </v>
      </c>
      <c r="K2529" s="26" t="str">
        <f>IF(OR(E2529="",E2529="!!!",F2529="NEW"),"",INDEX(J$1:J2528,SUMPRODUCT(MAX(ROW(E$1:E2528)*(E2529=E$1:E2528)))))</f>
        <v> </v>
      </c>
      <c r="L2529" s="27"/>
    </row>
    <row r="2530" spans="1:12">
      <c r="A2530" s="20" t="s">
        <v>1398</v>
      </c>
      <c r="E2530" s="22">
        <f>IF(D2530="?OLD","!!!","")</f>
        <v/>
      </c>
      <c r="F2530" s="23" t="str">
        <f>IF(OR(E2530="",E2530="!!!"),"",IF(NOT(ISNA(VLOOKUP(E2530,E$1:E2529,1,FALSE()))),"OLD",IF(AND(E2530&lt;&gt;"",E2530&lt;&gt;"!!!"),"NEW","")))</f>
        <v> </v>
      </c>
      <c r="G2530" s="24" t="str">
        <f>IF(OR(E2530="",E2530="!!!"),"",IF(OR(J2530=0,AND(J2530=1,K2530=1),AND(J2530=1,I2530="SBJ"),AND(J2530=1,I2530=0)),"?IN_FOCUS",IF(J2530&lt;=2,"?ACTIVATED",IF(J2530&lt;&gt;"","?FAMILIAR",IF(F2530="NEW",IF(ISNA(VLOOKUP(E2530,#REF!,1,FALSE())),"?TYPE_IDENTIFIABLE","?REFERENTIAL"),"_")))))</f>
        <v> </v>
      </c>
      <c r="H2530" s="25" t="str">
        <f>IF(J2530&lt;&gt;1,"",IF(I2530="SBJ","CB","?"))</f>
        <v> </v>
      </c>
      <c r="I2530" s="26" t="str">
        <f>IF(OR(E2530="",E2530="!!!",F2530="NEW"),"",INDEX(B2529:B$2,-1+SUMPRODUCT(MAX(ROW(E2529:E$2)*(E2530=E2529:E$2)))))</f>
        <v> </v>
      </c>
      <c r="J2530" s="26" t="str">
        <f>IF(OR(E2530="",E2530="!!!",F2530="NEW"),"",COUNTBLANK(OFFSET(A$1,,,SUMPRODUCT(MAX(ROW(E$2:E2530)*(E2530=E$2:E2530)))))-COUNTBLANK(OFFSET(A$1,,,SUMPRODUCT(MAX(ROW(E$1:E2529)*(E2=E$1:E2529))))))</f>
        <v> </v>
      </c>
      <c r="K2530" s="26" t="str">
        <f>IF(OR(E2530="",E2530="!!!",F2530="NEW"),"",INDEX(J$1:J2529,SUMPRODUCT(MAX(ROW(E$1:E2529)*(E2530=E$1:E2529)))))</f>
        <v> </v>
      </c>
      <c r="L2530" s="27"/>
    </row>
    <row r="2531" spans="1:12">
      <c r="A2531" s="20" t="s">
        <v>998</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row>
    <row r="2533" spans="1:12">
      <c r="A2533" s="20" t="s">
        <v>1816</v>
      </c>
    </row>
    <row r="2534" spans="1:12">
      <c r="A2534" s="20" t="s">
        <v>129</v>
      </c>
      <c r="B2534" s="21" t="s">
        <v>995</v>
      </c>
      <c r="C2534" s="21" t="s">
        <v>996</v>
      </c>
      <c r="D2534" s="21" t="s">
        <v>992</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1024</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1019</v>
      </c>
      <c r="B2536" s="21" t="s">
        <v>1026</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1107</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749</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1817</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1818</v>
      </c>
      <c r="B2540" s="21" t="s">
        <v>995</v>
      </c>
      <c r="C2540" s="21" t="s">
        <v>1009</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1024</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1031</v>
      </c>
      <c r="B2542" s="21" t="s">
        <v>1089</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1029</v>
      </c>
      <c r="B2543" s="21" t="s">
        <v>1060</v>
      </c>
      <c r="C2543" s="21" t="s">
        <v>1054</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1279</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1819</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1257</v>
      </c>
      <c r="B2546" s="21" t="s">
        <v>1036</v>
      </c>
      <c r="C2546" s="21" t="s">
        <v>1045</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1820</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998</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row>
    <row r="2550" spans="1:12">
      <c r="A2550" s="20" t="s">
        <v>1821</v>
      </c>
    </row>
    <row r="2551" spans="1:12">
      <c r="A2551" s="20" t="s">
        <v>1208</v>
      </c>
      <c r="B2551" s="21" t="s">
        <v>990</v>
      </c>
      <c r="C2551" s="21" t="s">
        <v>1003</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1107</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1822</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12</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1823</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1024</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1824</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1825</v>
      </c>
      <c r="B2558" s="21" t="s">
        <v>995</v>
      </c>
      <c r="C2558" s="21" t="s">
        <v>1003</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998</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row>
    <row r="2561" spans="1:12">
      <c r="A2561" s="20" t="s">
        <v>1826</v>
      </c>
    </row>
    <row r="2562" spans="1:12">
      <c r="A2562" s="20" t="s">
        <v>1267</v>
      </c>
      <c r="B2562" s="21" t="s">
        <v>990</v>
      </c>
      <c r="C2562" s="21" t="s">
        <v>991</v>
      </c>
      <c r="D2562" s="21" t="s">
        <v>992</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1107</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1050</v>
      </c>
      <c r="B2564" s="21" t="s">
        <v>995</v>
      </c>
      <c r="C2564" s="21" t="s">
        <v>1003</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1024</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1031</v>
      </c>
      <c r="B2566" s="21" t="s">
        <v>1026</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211</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1024</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1116</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1038</v>
      </c>
      <c r="B2570" s="21" t="s">
        <v>1089</v>
      </c>
      <c r="C2570" s="21" t="s">
        <v>1039</v>
      </c>
      <c r="D2570" s="21" t="s">
        <v>992</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1305</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1827</v>
      </c>
      <c r="B2572" s="21" t="s">
        <v>1036</v>
      </c>
      <c r="C2572" s="21" t="s">
        <v>1003</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1031</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1032</v>
      </c>
      <c r="B2574" s="21" t="s">
        <v>1033</v>
      </c>
      <c r="C2574" s="21" t="s">
        <v>1022</v>
      </c>
      <c r="D2574" s="21" t="s">
        <v>992</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1547</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1391</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998</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row>
    <row r="2579" spans="1:12">
      <c r="A2579" s="20" t="s">
        <v>1828</v>
      </c>
    </row>
    <row r="2580" spans="1:12">
      <c r="A2580" s="20" t="s">
        <v>1013</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1019</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1829</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1324</v>
      </c>
      <c r="B2583" s="21" t="s">
        <v>995</v>
      </c>
      <c r="C2583" s="21" t="s">
        <v>1022</v>
      </c>
      <c r="D2583" s="21" t="s">
        <v>992</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1023</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1024</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1116</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1038</v>
      </c>
      <c r="B2587" s="21" t="s">
        <v>1026</v>
      </c>
      <c r="C2587" s="21" t="s">
        <v>1039</v>
      </c>
      <c r="D2587" s="21" t="s">
        <v>992</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211</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1024</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1038</v>
      </c>
      <c r="B2590" s="21" t="s">
        <v>1089</v>
      </c>
      <c r="C2590" s="21" t="s">
        <v>1039</v>
      </c>
      <c r="D2590" s="21" t="s">
        <v>992</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1391</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1031</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1507</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1409</v>
      </c>
      <c r="B2594" s="21" t="s">
        <v>1033</v>
      </c>
      <c r="C2594" s="21" t="s">
        <v>1022</v>
      </c>
      <c r="D2594" s="21" t="s">
        <v>992</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855</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1024</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1095</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1108</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1031</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1830</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998</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row>
    <row r="2603" spans="1:12">
      <c r="A2603" s="20" t="s">
        <v>1831</v>
      </c>
    </row>
    <row r="2604" spans="1:12">
      <c r="A2604" s="20" t="s">
        <v>1075</v>
      </c>
      <c r="B2604" s="21" t="s">
        <v>990</v>
      </c>
      <c r="C2604" s="21" t="s">
        <v>1076</v>
      </c>
      <c r="D2604" s="21" t="s">
        <v>992</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1023</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1019</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1324</v>
      </c>
      <c r="B2607" s="21" t="s">
        <v>995</v>
      </c>
      <c r="C2607" s="21" t="s">
        <v>1022</v>
      </c>
      <c r="D2607" s="21" t="s">
        <v>992</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1024</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1019</v>
      </c>
      <c r="B2609" s="21" t="s">
        <v>1055</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1114</v>
      </c>
      <c r="B2610" s="21" t="s">
        <v>1026</v>
      </c>
      <c r="C2610" s="21" t="s">
        <v>991</v>
      </c>
      <c r="D2610" s="21" t="s">
        <v>992</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1029</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1092</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1832</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998</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row>
    <row r="2616" spans="1:12">
      <c r="A2616" s="20" t="s">
        <v>1833</v>
      </c>
    </row>
    <row r="2617" spans="1:12">
      <c r="A2617" s="20" t="s">
        <v>1834</v>
      </c>
      <c r="B2617" s="21" t="s">
        <v>990</v>
      </c>
      <c r="C2617" s="21" t="s">
        <v>996</v>
      </c>
      <c r="D2617" s="21" t="s">
        <v>992</v>
      </c>
      <c r="E2617" s="22">
        <f>IF(D2617="?OLD","!!!","")</f>
        <v/>
      </c>
      <c r="F2617" s="23" t="str">
        <f>IF(OR(E2617="",E2617="!!!"),"",IF(NOT(ISNA(VLOOKUP(E2617,E$1:E2616,1,FALSE()))),"OLD",IF(AND(E2617&lt;&gt;"",E2617&lt;&gt;"!!!"),"NEW","")))</f>
        <v> </v>
      </c>
      <c r="G2617" s="24" t="str">
        <f>IF(OR(E2617="",E2617="!!!"),"",IF(OR(J2617=0,AND(J2617=1,K2617=1),AND(J2617=1,I2617="SBJ"),AND(J2617=1,I2617=0)),"?IN_FOCUS",IF(J2617&lt;=2,"?ACTIVATED",IF(J2617&lt;&gt;"","?FAMILIAR",IF(F2617="NEW",IF(ISNA(VLOOKUP(E2617,#REF!,1,FALSE())),"?TYPE_IDENTIFIABLE","?REFERENTIAL"),"_")))))</f>
        <v> </v>
      </c>
      <c r="H2617" s="25" t="str">
        <f>IF(J2617&lt;&gt;1,"",IF(I2617="SBJ","CB","?"))</f>
        <v> </v>
      </c>
      <c r="I2617" s="26" t="str">
        <f>IF(OR(E2617="",E2617="!!!",F2617="NEW"),"",INDEX(B2616:B$2,-1+SUMPRODUCT(MAX(ROW(E2616:E$2)*(E2617=E2616:E$2)))))</f>
        <v> </v>
      </c>
      <c r="J2617" s="26" t="str">
        <f>IF(OR(E2617="",E2617="!!!",F2617="NEW"),"",COUNTBLANK(OFFSET(A$1,,,SUMPRODUCT(MAX(ROW(E$2:E2617)*(E2617=E$2:E2617)))))-COUNTBLANK(OFFSET(A$1,,,SUMPRODUCT(MAX(ROW(E$1:E2616)*(E2=E$1:E2616))))))</f>
        <v> </v>
      </c>
      <c r="K2617" s="26" t="str">
        <f>IF(OR(E2617="",E2617="!!!",F2617="NEW"),"",INDEX(J$1:J2616,SUMPRODUCT(MAX(ROW(E$1:E2616)*(E2617=E$1:E2616)))))</f>
        <v> </v>
      </c>
      <c r="L2617" s="27"/>
    </row>
    <row r="2618" spans="1:12">
      <c r="A2618" s="20" t="s">
        <v>1835</v>
      </c>
      <c r="E2618" s="22">
        <f>IF(D2618="?OLD","!!!","")</f>
        <v/>
      </c>
      <c r="F2618" s="23" t="str">
        <f>IF(OR(E2618="",E2618="!!!"),"",IF(NOT(ISNA(VLOOKUP(E2618,E$1:E2617,1,FALSE()))),"OLD",IF(AND(E2618&lt;&gt;"",E2618&lt;&gt;"!!!"),"NEW","")))</f>
        <v> </v>
      </c>
      <c r="G2618" s="24" t="str">
        <f>IF(OR(E2618="",E2618="!!!"),"",IF(OR(J2618=0,AND(J2618=1,K2618=1),AND(J2618=1,I2618="SBJ"),AND(J2618=1,I2618=0)),"?IN_FOCUS",IF(J2618&lt;=2,"?ACTIVATED",IF(J2618&lt;&gt;"","?FAMILIAR",IF(F2618="NEW",IF(ISNA(VLOOKUP(E2618,#REF!,1,FALSE())),"?TYPE_IDENTIFIABLE","?REFERENTIAL"),"_")))))</f>
        <v> </v>
      </c>
      <c r="H2618" s="25" t="str">
        <f>IF(J2618&lt;&gt;1,"",IF(I2618="SBJ","CB","?"))</f>
        <v> </v>
      </c>
      <c r="I2618" s="26" t="str">
        <f>IF(OR(E2618="",E2618="!!!",F2618="NEW"),"",INDEX(B2617:B$2,-1+SUMPRODUCT(MAX(ROW(E2617:E$2)*(E2618=E2617:E$2)))))</f>
        <v> </v>
      </c>
      <c r="J2618" s="26" t="str">
        <f>IF(OR(E2618="",E2618="!!!",F2618="NEW"),"",COUNTBLANK(OFFSET(A$1,,,SUMPRODUCT(MAX(ROW(E$2:E2618)*(E2618=E$2:E2618)))))-COUNTBLANK(OFFSET(A$1,,,SUMPRODUCT(MAX(ROW(E$1:E2617)*(E2=E$1:E2617))))))</f>
        <v> </v>
      </c>
      <c r="K2618" s="26" t="str">
        <f>IF(OR(E2618="",E2618="!!!",F2618="NEW"),"",INDEX(J$1:J2617,SUMPRODUCT(MAX(ROW(E$1:E2617)*(E2618=E$1:E2617)))))</f>
        <v> </v>
      </c>
      <c r="L2618" s="27"/>
    </row>
    <row r="2619" spans="1:12">
      <c r="A2619" s="20" t="s">
        <v>1023</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1183</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1836</v>
      </c>
      <c r="B2621" s="21" t="s">
        <v>995</v>
      </c>
      <c r="C2621" s="21" t="s">
        <v>1045</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998</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row>
    <row r="2624" spans="1:12">
      <c r="A2624" s="20" t="s">
        <v>1837</v>
      </c>
    </row>
    <row r="2625" spans="1:12">
      <c r="A2625" s="20" t="s">
        <v>1838</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1773</v>
      </c>
      <c r="B2626" s="21" t="s">
        <v>990</v>
      </c>
      <c r="C2626" s="21" t="s">
        <v>1316</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1023</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1839</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998</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row>
    <row r="2631" spans="1:12">
      <c r="A2631" s="20" t="s">
        <v>1840</v>
      </c>
    </row>
    <row r="2632" spans="1:12">
      <c r="A2632" s="20" t="s">
        <v>1189</v>
      </c>
      <c r="B2632" s="21" t="s">
        <v>990</v>
      </c>
      <c r="C2632" s="21" t="s">
        <v>991</v>
      </c>
      <c r="D2632" s="21" t="s">
        <v>992</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1841</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1024</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79</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1050</v>
      </c>
      <c r="B2636" s="21" t="s">
        <v>1089</v>
      </c>
      <c r="C2636" s="21" t="s">
        <v>1003</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1173</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1083</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44</v>
      </c>
      <c r="B2639" s="21" t="s">
        <v>1015</v>
      </c>
      <c r="C2639" s="21" t="s">
        <v>1009</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1024</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1665</v>
      </c>
      <c r="B2641" s="21" t="s">
        <v>1036</v>
      </c>
      <c r="C2641" s="21" t="s">
        <v>1003</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231</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1842</v>
      </c>
      <c r="B2643" s="21" t="s">
        <v>1055</v>
      </c>
      <c r="C2643" s="21" t="s">
        <v>1003</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t="s">
        <v>1034</v>
      </c>
      <c r="E2644" s="22">
        <f>IF(D2644="?OLD","!!!","")</f>
        <v/>
      </c>
      <c r="F2644" s="23" t="str">
        <f>IF(OR(E2644="",E2644="!!!"),"",IF(NOT(ISNA(VLOOKUP(E2644,E$1:E2643,1,FALSE()))),"OLD",IF(AND(E2644&lt;&gt;"",E2644&lt;&gt;"!!!"),"NEW","")))</f>
        <v> </v>
      </c>
      <c r="G2644" s="24" t="str">
        <f>IF(OR(E2644="",E2644="!!!"),"",IF(OR(J2644=0,AND(J2644=1,K2644=1),AND(J2644=1,I2644="SBJ"),AND(J2644=1,I2644=0)),"?IN_FOCUS",IF(J2644&lt;=2,"?ACTIVATED",IF(J2644&lt;&gt;"","?FAMILIAR",IF(F2644="NEW",IF(ISNA(VLOOKUP(E2644,#REF!,1,FALSE())),"?TYPE_IDENTIFIABLE","?REFERENTIAL"),"_")))))</f>
        <v> </v>
      </c>
      <c r="H2644" s="25" t="str">
        <f>IF(J2644&lt;&gt;1,"",IF(I2644="SBJ","CB","?"))</f>
        <v> </v>
      </c>
      <c r="I2644" s="26" t="str">
        <f>IF(OR(E2644="",E2644="!!!",F2644="NEW"),"",INDEX(B2643:B$2,-1+SUMPRODUCT(MAX(ROW(E2643:E$2)*(E2644=E2643:E$2)))))</f>
        <v> </v>
      </c>
      <c r="J2644" s="26" t="str">
        <f>IF(OR(E2644="",E2644="!!!",F2644="NEW"),"",COUNTBLANK(OFFSET(A$1,,,SUMPRODUCT(MAX(ROW(E$2:E2644)*(E2644=E$2:E2644)))))-COUNTBLANK(OFFSET(A$1,,,SUMPRODUCT(MAX(ROW(E$1:E2643)*(E2=E$1:E2643))))))</f>
        <v> </v>
      </c>
      <c r="K2644" s="26" t="str">
        <f>IF(OR(E2644="",E2644="!!!",F2644="NEW"),"",INDEX(J$1:J2643,SUMPRODUCT(MAX(ROW(E$1:E2643)*(E2644=E$1:E2643)))))</f>
        <v> </v>
      </c>
      <c r="L2644" s="27"/>
    </row>
    <row r="2645" spans="1:12">
      <c r="A2645" s="20" t="s">
        <v>1010</v>
      </c>
      <c r="E2645" s="22">
        <f>IF(D2645="?OLD","!!!","")</f>
        <v/>
      </c>
      <c r="F2645" s="23" t="str">
        <f>IF(OR(E2645="",E2645="!!!"),"",IF(NOT(ISNA(VLOOKUP(E2645,E$1:E2644,1,FALSE()))),"OLD",IF(AND(E2645&lt;&gt;"",E2645&lt;&gt;"!!!"),"NEW","")))</f>
        <v> </v>
      </c>
      <c r="G2645" s="24" t="str">
        <f>IF(OR(E2645="",E2645="!!!"),"",IF(OR(J2645=0,AND(J2645=1,K2645=1),AND(J2645=1,I2645="SBJ"),AND(J2645=1,I2645=0)),"?IN_FOCUS",IF(J2645&lt;=2,"?ACTIVATED",IF(J2645&lt;&gt;"","?FAMILIAR",IF(F2645="NEW",IF(ISNA(VLOOKUP(E2645,#REF!,1,FALSE())),"?TYPE_IDENTIFIABLE","?REFERENTIAL"),"_")))))</f>
        <v> </v>
      </c>
      <c r="H2645" s="25" t="str">
        <f>IF(J2645&lt;&gt;1,"",IF(I2645="SBJ","CB","?"))</f>
        <v> </v>
      </c>
      <c r="I2645" s="26" t="str">
        <f>IF(OR(E2645="",E2645="!!!",F2645="NEW"),"",INDEX(B2644:B$2,-1+SUMPRODUCT(MAX(ROW(E2644:E$2)*(E2645=E2644:E$2)))))</f>
        <v> </v>
      </c>
      <c r="J2645" s="26" t="str">
        <f>IF(OR(E2645="",E2645="!!!",F2645="NEW"),"",COUNTBLANK(OFFSET(A$1,,,SUMPRODUCT(MAX(ROW(E$2:E2645)*(E2645=E$2:E2645)))))-COUNTBLANK(OFFSET(A$1,,,SUMPRODUCT(MAX(ROW(E$1:E2644)*(E2=E$1:E2644))))))</f>
        <v> </v>
      </c>
      <c r="K2645" s="26" t="str">
        <f>IF(OR(E2645="",E2645="!!!",F2645="NEW"),"",INDEX(J$1:J2644,SUMPRODUCT(MAX(ROW(E$1:E2644)*(E2645=E$1:E2644)))))</f>
        <v> </v>
      </c>
      <c r="L2645" s="27"/>
    </row>
    <row r="2646" spans="1:12">
      <c r="A2646" s="20" t="s">
        <v>12</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1409</v>
      </c>
      <c r="B2647" s="21" t="s">
        <v>1015</v>
      </c>
      <c r="C2647" s="21" t="s">
        <v>1003</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37</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998</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row>
    <row r="2651" spans="1:12">
      <c r="A2651" s="20" t="s">
        <v>1068</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1843</v>
      </c>
    </row>
    <row r="2653" spans="1:12">
      <c r="A2653" s="20" t="s">
        <v>1013</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1195</v>
      </c>
      <c r="B2654" s="21" t="s">
        <v>990</v>
      </c>
      <c r="C2654" s="21" t="s">
        <v>991</v>
      </c>
      <c r="D2654" s="21" t="s">
        <v>992</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1844</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1073</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1074</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1326</v>
      </c>
      <c r="B2658" s="21" t="s">
        <v>1026</v>
      </c>
      <c r="C2658" s="21" t="s">
        <v>1039</v>
      </c>
      <c r="D2658" s="21" t="s">
        <v>992</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400</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1845</v>
      </c>
      <c r="B2660" s="21" t="s">
        <v>995</v>
      </c>
      <c r="C2660" s="21" t="s">
        <v>1003</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1071</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1108</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1329</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1305</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1202</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1846</v>
      </c>
      <c r="B2666" s="21" t="s">
        <v>1060</v>
      </c>
      <c r="C2666" s="21" t="s">
        <v>1045</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1034</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1847</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1409</v>
      </c>
      <c r="B2669" s="21" t="s">
        <v>1178</v>
      </c>
      <c r="C2669" s="21" t="s">
        <v>1003</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231</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1010</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12</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1848</v>
      </c>
      <c r="B2673" s="21" t="s">
        <v>1463</v>
      </c>
      <c r="C2673" s="21" t="s">
        <v>1003</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998</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1074</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row>
    <row r="2677" spans="1:12">
      <c r="A2677" s="20" t="s">
        <v>1849</v>
      </c>
    </row>
    <row r="2678" spans="1:12">
      <c r="A2678" s="20" t="s">
        <v>1013</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1019</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1071</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1279</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1850</v>
      </c>
      <c r="B2682" s="21" t="s">
        <v>995</v>
      </c>
      <c r="C2682" s="21" t="s">
        <v>1045</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998</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row>
    <row r="2685" spans="1:12">
      <c r="A2685" s="20" t="s">
        <v>1851</v>
      </c>
    </row>
    <row r="2686" spans="1:12">
      <c r="A2686" s="20" t="s">
        <v>1193</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1023</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1195</v>
      </c>
      <c r="B2688" s="21" t="s">
        <v>990</v>
      </c>
      <c r="C2688" s="21" t="s">
        <v>991</v>
      </c>
      <c r="D2688" s="21" t="s">
        <v>992</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1852</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998</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row>
    <row r="2692" spans="1:12">
      <c r="A2692" s="20" t="s">
        <v>1853</v>
      </c>
    </row>
    <row r="2693" spans="1:12">
      <c r="A2693" s="20" t="s">
        <v>1013</v>
      </c>
      <c r="E2693" s="22">
        <f>IF(D2693="?OLD","!!!","")</f>
        <v/>
      </c>
      <c r="F2693" s="23" t="str">
        <f>IF(OR(E2693="",E2693="!!!"),"",IF(NOT(ISNA(VLOOKUP(E2693,E$1:E2692,1,FALSE()))),"OLD",IF(AND(E2693&lt;&gt;"",E2693&lt;&gt;"!!!"),"NEW","")))</f>
        <v> </v>
      </c>
      <c r="G2693" s="24" t="str">
        <f>IF(OR(E2693="",E2693="!!!"),"",IF(OR(J2693=0,AND(J2693=1,K2693=1),AND(J2693=1,I2693="SBJ"),AND(J2693=1,I2693=0)),"?IN_FOCUS",IF(J2693&lt;=2,"?ACTIVATED",IF(J2693&lt;&gt;"","?FAMILIAR",IF(F2693="NEW",IF(ISNA(VLOOKUP(E2693,#REF!,1,FALSE())),"?TYPE_IDENTIFIABLE","?REFERENTIAL"),"_")))))</f>
        <v> </v>
      </c>
      <c r="H2693" s="25" t="str">
        <f>IF(J2693&lt;&gt;1,"",IF(I2693="SBJ","CB","?"))</f>
        <v> </v>
      </c>
      <c r="I2693" s="26" t="str">
        <f>IF(OR(E2693="",E2693="!!!",F2693="NEW"),"",INDEX(B2692:B$2,-1+SUMPRODUCT(MAX(ROW(E2692:E$2)*(E2693=E2692:E$2)))))</f>
        <v> </v>
      </c>
      <c r="J2693" s="26" t="str">
        <f>IF(OR(E2693="",E2693="!!!",F2693="NEW"),"",COUNTBLANK(OFFSET(A$1,,,SUMPRODUCT(MAX(ROW(E$2:E2693)*(E2693=E$2:E2693)))))-COUNTBLANK(OFFSET(A$1,,,SUMPRODUCT(MAX(ROW(E$1:E2692)*(E2=E$1:E2692))))))</f>
        <v> </v>
      </c>
      <c r="K2693" s="26" t="str">
        <f>IF(OR(E2693="",E2693="!!!",F2693="NEW"),"",INDEX(J$1:J2692,SUMPRODUCT(MAX(ROW(E$1:E2692)*(E2693=E$1:E2692)))))</f>
        <v> </v>
      </c>
      <c r="L2693" s="27"/>
    </row>
    <row r="2694" spans="1:12">
      <c r="A2694" s="20" t="s">
        <v>1195</v>
      </c>
      <c r="B2694" s="21" t="s">
        <v>990</v>
      </c>
      <c r="C2694" s="21" t="s">
        <v>991</v>
      </c>
      <c r="D2694" s="21" t="s">
        <v>992</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1844</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1854</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row>
    <row r="2698" spans="1:12">
      <c r="A2698" s="20" t="s">
        <v>1855</v>
      </c>
    </row>
    <row r="2699" spans="1:12">
      <c r="A2699" s="20" t="s">
        <v>1158</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587</v>
      </c>
      <c r="B2700" s="21" t="s">
        <v>995</v>
      </c>
      <c r="C2700" s="21" t="s">
        <v>1003</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1159</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1856</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1173</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1037</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1114</v>
      </c>
      <c r="B2705" s="21" t="s">
        <v>1089</v>
      </c>
      <c r="C2705" s="21" t="s">
        <v>991</v>
      </c>
      <c r="D2705" s="21" t="s">
        <v>992</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1854</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t="s">
        <v>1114</v>
      </c>
      <c r="B2707" s="21" t="s">
        <v>1089</v>
      </c>
      <c r="C2707" s="21" t="s">
        <v>991</v>
      </c>
      <c r="D2707" s="21" t="s">
        <v>992</v>
      </c>
      <c r="E2707" s="22">
        <f>IF(D2707="?OLD","!!!","")</f>
        <v/>
      </c>
      <c r="F2707" s="23" t="str">
        <f>IF(OR(E2707="",E2707="!!!"),"",IF(NOT(ISNA(VLOOKUP(E2707,E$1:E2706,1,FALSE()))),"OLD",IF(AND(E2707&lt;&gt;"",E2707&lt;&gt;"!!!"),"NEW","")))</f>
        <v> </v>
      </c>
      <c r="G2707" s="24" t="str">
        <f>IF(OR(E2707="",E2707="!!!"),"",IF(OR(J2707=0,AND(J2707=1,K2707=1),AND(J2707=1,I2707="SBJ"),AND(J2707=1,I2707=0)),"?IN_FOCUS",IF(J2707&lt;=2,"?ACTIVATED",IF(J2707&lt;&gt;"","?FAMILIAR",IF(F2707="NEW",IF(ISNA(VLOOKUP(E2707,#REF!,1,FALSE())),"?TYPE_IDENTIFIABLE","?REFERENTIAL"),"_")))))</f>
        <v> </v>
      </c>
      <c r="H2707" s="25" t="str">
        <f>IF(J2707&lt;&gt;1,"",IF(I2707="SBJ","CB","?"))</f>
        <v> </v>
      </c>
      <c r="I2707" s="26" t="str">
        <f>IF(OR(E2707="",E2707="!!!",F2707="NEW"),"",INDEX(B2706:B$2,-1+SUMPRODUCT(MAX(ROW(E2706:E$2)*(E2707=E2706:E$2)))))</f>
        <v> </v>
      </c>
      <c r="J2707" s="26" t="str">
        <f>IF(OR(E2707="",E2707="!!!",F2707="NEW"),"",COUNTBLANK(OFFSET(A$1,,,SUMPRODUCT(MAX(ROW(E$2:E2707)*(E2707=E$2:E2707)))))-COUNTBLANK(OFFSET(A$1,,,SUMPRODUCT(MAX(ROW(E$1:E2706)*(E2=E$1:E2706))))))</f>
        <v> </v>
      </c>
      <c r="K2707" s="26" t="str">
        <f>IF(OR(E2707="",E2707="!!!",F2707="NEW"),"",INDEX(J$1:J2706,SUMPRODUCT(MAX(ROW(E$1:E2706)*(E2707=E$1:E2706)))))</f>
        <v> </v>
      </c>
      <c r="L2707" s="27"/>
    </row>
    <row r="2708" spans="1:12">
      <c r="A2708" s="20" t="s">
        <v>1005</v>
      </c>
      <c r="E2708" s="22">
        <f>IF(D2708="?OLD","!!!","")</f>
        <v/>
      </c>
      <c r="F2708" s="23" t="str">
        <f>IF(OR(E2708="",E2708="!!!"),"",IF(NOT(ISNA(VLOOKUP(E2708,E$1:E2707,1,FALSE()))),"OLD",IF(AND(E2708&lt;&gt;"",E2708&lt;&gt;"!!!"),"NEW","")))</f>
        <v> </v>
      </c>
      <c r="G2708" s="24" t="str">
        <f>IF(OR(E2708="",E2708="!!!"),"",IF(OR(J2708=0,AND(J2708=1,K2708=1),AND(J2708=1,I2708="SBJ"),AND(J2708=1,I2708=0)),"?IN_FOCUS",IF(J2708&lt;=2,"?ACTIVATED",IF(J2708&lt;&gt;"","?FAMILIAR",IF(F2708="NEW",IF(ISNA(VLOOKUP(E2708,#REF!,1,FALSE())),"?TYPE_IDENTIFIABLE","?REFERENTIAL"),"_")))))</f>
        <v> </v>
      </c>
      <c r="H2708" s="25" t="str">
        <f>IF(J2708&lt;&gt;1,"",IF(I2708="SBJ","CB","?"))</f>
        <v> </v>
      </c>
      <c r="I2708" s="26" t="str">
        <f>IF(OR(E2708="",E2708="!!!",F2708="NEW"),"",INDEX(B2707:B$2,-1+SUMPRODUCT(MAX(ROW(E2707:E$2)*(E2708=E2707:E$2)))))</f>
        <v> </v>
      </c>
      <c r="J2708" s="26" t="str">
        <f>IF(OR(E2708="",E2708="!!!",F2708="NEW"),"",COUNTBLANK(OFFSET(A$1,,,SUMPRODUCT(MAX(ROW(E$2:E2708)*(E2708=E$2:E2708)))))-COUNTBLANK(OFFSET(A$1,,,SUMPRODUCT(MAX(ROW(E$1:E2707)*(E2=E$1:E2707))))))</f>
        <v> </v>
      </c>
      <c r="K2708" s="26" t="str">
        <f>IF(OR(E2708="",E2708="!!!",F2708="NEW"),"",INDEX(J$1:J2707,SUMPRODUCT(MAX(ROW(E$1:E2707)*(E2708=E$1:E2707)))))</f>
        <v> </v>
      </c>
      <c r="L2708" s="27"/>
    </row>
    <row r="2709" spans="1:12">
      <c r="A2709" s="20" t="s">
        <v>1011</v>
      </c>
      <c r="B2709" s="21" t="s">
        <v>1033</v>
      </c>
      <c r="C2709" s="21" t="s">
        <v>1003</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1024</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1114</v>
      </c>
      <c r="B2711" s="21" t="s">
        <v>1089</v>
      </c>
      <c r="C2711" s="21" t="s">
        <v>991</v>
      </c>
      <c r="D2711" s="21" t="s">
        <v>992</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993</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1082</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1857</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998</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row>
    <row r="2717" spans="1:12">
      <c r="A2717" s="20" t="s">
        <v>1858</v>
      </c>
    </row>
    <row r="2718" spans="1:12">
      <c r="A2718" s="20" t="s">
        <v>1193</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1195</v>
      </c>
      <c r="B2719" s="21" t="s">
        <v>990</v>
      </c>
      <c r="C2719" s="21" t="s">
        <v>991</v>
      </c>
      <c r="D2719" s="21" t="s">
        <v>992</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1844</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1024</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t="s">
        <v>1019</v>
      </c>
      <c r="B2722" s="21" t="s">
        <v>1026</v>
      </c>
      <c r="C2722" s="21" t="s">
        <v>1076</v>
      </c>
      <c r="D2722" s="21" t="s">
        <v>992</v>
      </c>
      <c r="E2722" s="22">
        <f>IF(D2722="?OLD","!!!","")</f>
        <v/>
      </c>
      <c r="F2722" s="23" t="str">
        <f>IF(OR(E2722="",E2722="!!!"),"",IF(NOT(ISNA(VLOOKUP(E2722,E$1:E2721,1,FALSE()))),"OLD",IF(AND(E2722&lt;&gt;"",E2722&lt;&gt;"!!!"),"NEW","")))</f>
        <v> </v>
      </c>
      <c r="G2722" s="24" t="str">
        <f>IF(OR(E2722="",E2722="!!!"),"",IF(OR(J2722=0,AND(J2722=1,K2722=1),AND(J2722=1,I2722="SBJ"),AND(J2722=1,I2722=0)),"?IN_FOCUS",IF(J2722&lt;=2,"?ACTIVATED",IF(J2722&lt;&gt;"","?FAMILIAR",IF(F2722="NEW",IF(ISNA(VLOOKUP(E2722,#REF!,1,FALSE())),"?TYPE_IDENTIFIABLE","?REFERENTIAL"),"_")))))</f>
        <v> </v>
      </c>
      <c r="H2722" s="25" t="str">
        <f>IF(J2722&lt;&gt;1,"",IF(I2722="SBJ","CB","?"))</f>
        <v> </v>
      </c>
      <c r="I2722" s="26" t="str">
        <f>IF(OR(E2722="",E2722="!!!",F2722="NEW"),"",INDEX(B2721:B$2,-1+SUMPRODUCT(MAX(ROW(E2721:E$2)*(E2722=E2721:E$2)))))</f>
        <v> </v>
      </c>
      <c r="J2722" s="26" t="str">
        <f>IF(OR(E2722="",E2722="!!!",F2722="NEW"),"",COUNTBLANK(OFFSET(A$1,,,SUMPRODUCT(MAX(ROW(E$2:E2722)*(E2722=E$2:E2722)))))-COUNTBLANK(OFFSET(A$1,,,SUMPRODUCT(MAX(ROW(E$1:E2721)*(E2=E$1:E2721))))))</f>
        <v> </v>
      </c>
      <c r="K2722" s="26" t="str">
        <f>IF(OR(E2722="",E2722="!!!",F2722="NEW"),"",INDEX(J$1:J2721,SUMPRODUCT(MAX(ROW(E$1:E2721)*(E2722=E$1:E2721)))))</f>
        <v> </v>
      </c>
      <c r="L2722" s="27"/>
    </row>
    <row r="2723" spans="1:12">
      <c r="A2723" s="20" t="s">
        <v>1859</v>
      </c>
      <c r="E2723" s="22">
        <f>IF(D2723="?OLD","!!!","")</f>
        <v/>
      </c>
      <c r="F2723" s="23" t="str">
        <f>IF(OR(E2723="",E2723="!!!"),"",IF(NOT(ISNA(VLOOKUP(E2723,E$1:E2722,1,FALSE()))),"OLD",IF(AND(E2723&lt;&gt;"",E2723&lt;&gt;"!!!"),"NEW","")))</f>
        <v> </v>
      </c>
      <c r="G2723" s="24" t="str">
        <f>IF(OR(E2723="",E2723="!!!"),"",IF(OR(J2723=0,AND(J2723=1,K2723=1),AND(J2723=1,I2723="SBJ"),AND(J2723=1,I2723=0)),"?IN_FOCUS",IF(J2723&lt;=2,"?ACTIVATED",IF(J2723&lt;&gt;"","?FAMILIAR",IF(F2723="NEW",IF(ISNA(VLOOKUP(E2723,#REF!,1,FALSE())),"?TYPE_IDENTIFIABLE","?REFERENTIAL"),"_")))))</f>
        <v> </v>
      </c>
      <c r="H2723" s="25" t="str">
        <f>IF(J2723&lt;&gt;1,"",IF(I2723="SBJ","CB","?"))</f>
        <v> </v>
      </c>
      <c r="I2723" s="26" t="str">
        <f>IF(OR(E2723="",E2723="!!!",F2723="NEW"),"",INDEX(B2722:B$2,-1+SUMPRODUCT(MAX(ROW(E2722:E$2)*(E2723=E2722:E$2)))))</f>
        <v> </v>
      </c>
      <c r="J2723" s="26" t="str">
        <f>IF(OR(E2723="",E2723="!!!",F2723="NEW"),"",COUNTBLANK(OFFSET(A$1,,,SUMPRODUCT(MAX(ROW(E$2:E2723)*(E2723=E$2:E2723)))))-COUNTBLANK(OFFSET(A$1,,,SUMPRODUCT(MAX(ROW(E$1:E2722)*(E2=E$1:E2722))))))</f>
        <v> </v>
      </c>
      <c r="K2723" s="26" t="str">
        <f>IF(OR(E2723="",E2723="!!!",F2723="NEW"),"",INDEX(J$1:J2722,SUMPRODUCT(MAX(ROW(E$1:E2722)*(E2723=E$1:E2722)))))</f>
        <v> </v>
      </c>
      <c r="L2723" s="27"/>
    </row>
    <row r="2724" spans="1:12">
      <c r="A2724" s="20" t="s">
        <v>1273</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1532</v>
      </c>
      <c r="B2725" s="21" t="s">
        <v>1055</v>
      </c>
      <c r="C2725" s="21" t="s">
        <v>1003</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1024</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1860</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1208</v>
      </c>
      <c r="B2728" s="21" t="s">
        <v>1026</v>
      </c>
      <c r="C2728" s="21" t="s">
        <v>1003</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1391</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1034</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1010</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12</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1409</v>
      </c>
      <c r="B2733" s="21" t="s">
        <v>1015</v>
      </c>
      <c r="C2733" s="21" t="s">
        <v>1003</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1049</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203</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1305</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1034</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1057</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1300</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1301</v>
      </c>
      <c r="B2740" s="21" t="s">
        <v>1036</v>
      </c>
      <c r="C2740" s="21" t="s">
        <v>1022</v>
      </c>
      <c r="D2740" s="21" t="s">
        <v>992</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998</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row>
    <row r="2743" spans="1:12">
      <c r="A2743" s="20" t="s">
        <v>1861</v>
      </c>
    </row>
    <row r="2744" spans="1:12">
      <c r="A2744" s="20" t="s">
        <v>1206</v>
      </c>
      <c r="B2744" s="21" t="s">
        <v>990</v>
      </c>
      <c r="C2744" s="21" t="s">
        <v>991</v>
      </c>
      <c r="D2744" s="21" t="s">
        <v>992</v>
      </c>
      <c r="E2744" s="22">
        <f>IF(D2744="?OLD","!!!","")</f>
        <v/>
      </c>
      <c r="F2744" s="23" t="str">
        <f>IF(OR(E2744="",E2744="!!!"),"",IF(NOT(ISNA(VLOOKUP(E2744,E$1:E2743,1,FALSE()))),"OLD",IF(AND(E2744&lt;&gt;"",E2744&lt;&gt;"!!!"),"NEW","")))</f>
        <v> </v>
      </c>
      <c r="G2744" s="24" t="str">
        <f>IF(OR(E2744="",E2744="!!!"),"",IF(OR(J2744=0,AND(J2744=1,K2744=1),AND(J2744=1,I2744="SBJ"),AND(J2744=1,I2744=0)),"?IN_FOCUS",IF(J2744&lt;=2,"?ACTIVATED",IF(J2744&lt;&gt;"","?FAMILIAR",IF(F2744="NEW",IF(ISNA(VLOOKUP(E2744,#REF!,1,FALSE())),"?TYPE_IDENTIFIABLE","?REFERENTIAL"),"_")))))</f>
        <v> </v>
      </c>
      <c r="H2744" s="25" t="str">
        <f>IF(J2744&lt;&gt;1,"",IF(I2744="SBJ","CB","?"))</f>
        <v> </v>
      </c>
      <c r="I2744" s="26" t="str">
        <f>IF(OR(E2744="",E2744="!!!",F2744="NEW"),"",INDEX(B2743:B$2,-1+SUMPRODUCT(MAX(ROW(E2743:E$2)*(E2744=E2743:E$2)))))</f>
        <v> </v>
      </c>
      <c r="J2744" s="26" t="str">
        <f>IF(OR(E2744="",E2744="!!!",F2744="NEW"),"",COUNTBLANK(OFFSET(A$1,,,SUMPRODUCT(MAX(ROW(E$2:E2744)*(E2744=E$2:E2744)))))-COUNTBLANK(OFFSET(A$1,,,SUMPRODUCT(MAX(ROW(E$1:E2743)*(E2=E$1:E2743))))))</f>
        <v> </v>
      </c>
      <c r="K2744" s="26" t="str">
        <f>IF(OR(E2744="",E2744="!!!",F2744="NEW"),"",INDEX(J$1:J2743,SUMPRODUCT(MAX(ROW(E$1:E2743)*(E2744=E$1:E2743)))))</f>
        <v> </v>
      </c>
      <c r="L2744" s="27"/>
    </row>
    <row r="2745" spans="1:12">
      <c r="A2745" s="20" t="s">
        <v>1391</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1034</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1040</v>
      </c>
      <c r="B2747" s="21" t="s">
        <v>995</v>
      </c>
      <c r="C2747" s="21" t="s">
        <v>1003</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1748</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1749</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1743</v>
      </c>
      <c r="B2750" s="21" t="s">
        <v>1002</v>
      </c>
      <c r="C2750" s="21" t="s">
        <v>1003</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594</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1305</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1034</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1057</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1300</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t="s">
        <v>1301</v>
      </c>
      <c r="B2756" s="21" t="s">
        <v>1015</v>
      </c>
      <c r="C2756" s="21" t="s">
        <v>1022</v>
      </c>
      <c r="D2756" s="21" t="s">
        <v>992</v>
      </c>
      <c r="E2756" s="22">
        <f>IF(D2756="?OLD","!!!","")</f>
        <v/>
      </c>
      <c r="F2756" s="23" t="str">
        <f>IF(OR(E2756="",E2756="!!!"),"",IF(NOT(ISNA(VLOOKUP(E2756,E$1:E2755,1,FALSE()))),"OLD",IF(AND(E2756&lt;&gt;"",E2756&lt;&gt;"!!!"),"NEW","")))</f>
        <v> </v>
      </c>
      <c r="G2756" s="24" t="str">
        <f>IF(OR(E2756="",E2756="!!!"),"",IF(OR(J2756=0,AND(J2756=1,K2756=1),AND(J2756=1,I2756="SBJ"),AND(J2756=1,I2756=0)),"?IN_FOCUS",IF(J2756&lt;=2,"?ACTIVATED",IF(J2756&lt;&gt;"","?FAMILIAR",IF(F2756="NEW",IF(ISNA(VLOOKUP(E2756,#REF!,1,FALSE())),"?TYPE_IDENTIFIABLE","?REFERENTIAL"),"_")))))</f>
        <v> </v>
      </c>
      <c r="H2756" s="25" t="str">
        <f>IF(J2756&lt;&gt;1,"",IF(I2756="SBJ","CB","?"))</f>
        <v> </v>
      </c>
      <c r="I2756" s="26" t="str">
        <f>IF(OR(E2756="",E2756="!!!",F2756="NEW"),"",INDEX(B2755:B$2,-1+SUMPRODUCT(MAX(ROW(E2755:E$2)*(E2756=E2755:E$2)))))</f>
        <v> </v>
      </c>
      <c r="J2756" s="26" t="str">
        <f>IF(OR(E2756="",E2756="!!!",F2756="NEW"),"",COUNTBLANK(OFFSET(A$1,,,SUMPRODUCT(MAX(ROW(E$2:E2756)*(E2756=E$2:E2756)))))-COUNTBLANK(OFFSET(A$1,,,SUMPRODUCT(MAX(ROW(E$1:E2755)*(E2=E$1:E2755))))))</f>
        <v> </v>
      </c>
      <c r="K2756" s="26" t="str">
        <f>IF(OR(E2756="",E2756="!!!",F2756="NEW"),"",INDEX(J$1:J2755,SUMPRODUCT(MAX(ROW(E$1:E2755)*(E2756=E$1:E2755)))))</f>
        <v> </v>
      </c>
      <c r="L2756" s="27"/>
    </row>
    <row r="2757" spans="1:12">
      <c r="A2757" s="20" t="s">
        <v>998</v>
      </c>
      <c r="E2757" s="22">
        <f>IF(D2757="?OLD","!!!","")</f>
        <v/>
      </c>
      <c r="F2757" s="23" t="str">
        <f>IF(OR(E2757="",E2757="!!!"),"",IF(NOT(ISNA(VLOOKUP(E2757,E$1:E2756,1,FALSE()))),"OLD",IF(AND(E2757&lt;&gt;"",E2757&lt;&gt;"!!!"),"NEW","")))</f>
        <v> </v>
      </c>
      <c r="G2757" s="24" t="str">
        <f>IF(OR(E2757="",E2757="!!!"),"",IF(OR(J2757=0,AND(J2757=1,K2757=1),AND(J2757=1,I2757="SBJ"),AND(J2757=1,I2757=0)),"?IN_FOCUS",IF(J2757&lt;=2,"?ACTIVATED",IF(J2757&lt;&gt;"","?FAMILIAR",IF(F2757="NEW",IF(ISNA(VLOOKUP(E2757,#REF!,1,FALSE())),"?TYPE_IDENTIFIABLE","?REFERENTIAL"),"_")))))</f>
        <v> </v>
      </c>
      <c r="H2757" s="25" t="str">
        <f>IF(J2757&lt;&gt;1,"",IF(I2757="SBJ","CB","?"))</f>
        <v> </v>
      </c>
      <c r="I2757" s="26" t="str">
        <f>IF(OR(E2757="",E2757="!!!",F2757="NEW"),"",INDEX(B2756:B$2,-1+SUMPRODUCT(MAX(ROW(E2756:E$2)*(E2757=E2756:E$2)))))</f>
        <v> </v>
      </c>
      <c r="J2757" s="26" t="str">
        <f>IF(OR(E2757="",E2757="!!!",F2757="NEW"),"",COUNTBLANK(OFFSET(A$1,,,SUMPRODUCT(MAX(ROW(E$2:E2757)*(E2757=E$2:E2757)))))-COUNTBLANK(OFFSET(A$1,,,SUMPRODUCT(MAX(ROW(E$1:E2756)*(E2=E$1:E2756))))))</f>
        <v> </v>
      </c>
      <c r="K2757" s="26" t="str">
        <f>IF(OR(E2757="",E2757="!!!",F2757="NEW"),"",INDEX(J$1:J2756,SUMPRODUCT(MAX(ROW(E$1:E2756)*(E2757=E$1:E2756)))))</f>
        <v> </v>
      </c>
      <c r="L2757" s="27"/>
    </row>
    <row r="2758" spans="1:12">
      <c r="A2758" s="20"/>
    </row>
    <row r="2759" spans="1:12">
      <c r="A2759" s="20" t="s">
        <v>1862</v>
      </c>
    </row>
    <row r="2760" spans="1:12">
      <c r="A2760" s="20" t="s">
        <v>1206</v>
      </c>
      <c r="B2760" s="21" t="s">
        <v>990</v>
      </c>
      <c r="C2760" s="21" t="s">
        <v>991</v>
      </c>
      <c r="D2760" s="21" t="s">
        <v>992</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263</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1049</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1863</v>
      </c>
      <c r="B2763" s="21" t="s">
        <v>1002</v>
      </c>
      <c r="C2763" s="21" t="s">
        <v>1003</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231</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1864</v>
      </c>
      <c r="B2765" s="21" t="s">
        <v>1015</v>
      </c>
      <c r="C2765" s="21" t="s">
        <v>1003</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1034</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1040</v>
      </c>
      <c r="B2767" s="21" t="s">
        <v>1015</v>
      </c>
      <c r="C2767" s="21" t="s">
        <v>1003</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1305</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1034</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1057</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1300</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1301</v>
      </c>
      <c r="B2772" s="21" t="s">
        <v>1015</v>
      </c>
      <c r="C2772" s="21" t="s">
        <v>1022</v>
      </c>
      <c r="D2772" s="21" t="s">
        <v>992</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998</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row>
    <row r="2775" spans="1:12">
      <c r="A2775" s="20" t="s">
        <v>1865</v>
      </c>
    </row>
    <row r="2776" spans="1:12">
      <c r="A2776" s="20" t="s">
        <v>1193</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1024</v>
      </c>
      <c r="E2777" s="22">
        <f>IF(D2777="?OLD","!!!","")</f>
        <v/>
      </c>
      <c r="F2777" s="23" t="str">
        <f>IF(OR(E2777="",E2777="!!!"),"",IF(NOT(ISNA(VLOOKUP(E2777,E$1:E2776,1,FALSE()))),"OLD",IF(AND(E2777&lt;&gt;"",E2777&lt;&gt;"!!!"),"NEW","")))</f>
        <v> </v>
      </c>
      <c r="G2777" s="24" t="str">
        <f>IF(OR(E2777="",E2777="!!!"),"",IF(OR(J2777=0,AND(J2777=1,K2777=1),AND(J2777=1,I2777="SBJ"),AND(J2777=1,I2777=0)),"?IN_FOCUS",IF(J2777&lt;=2,"?ACTIVATED",IF(J2777&lt;&gt;"","?FAMILIAR",IF(F2777="NEW",IF(ISNA(VLOOKUP(E2777,#REF!,1,FALSE())),"?TYPE_IDENTIFIABLE","?REFERENTIAL"),"_")))))</f>
        <v> </v>
      </c>
      <c r="H2777" s="25" t="str">
        <f>IF(J2777&lt;&gt;1,"",IF(I2777="SBJ","CB","?"))</f>
        <v> </v>
      </c>
      <c r="I2777" s="26" t="str">
        <f>IF(OR(E2777="",E2777="!!!",F2777="NEW"),"",INDEX(B2776:B$2,-1+SUMPRODUCT(MAX(ROW(E2776:E$2)*(E2777=E2776:E$2)))))</f>
        <v> </v>
      </c>
      <c r="J2777" s="26" t="str">
        <f>IF(OR(E2777="",E2777="!!!",F2777="NEW"),"",COUNTBLANK(OFFSET(A$1,,,SUMPRODUCT(MAX(ROW(E$2:E2777)*(E2777=E$2:E2777)))))-COUNTBLANK(OFFSET(A$1,,,SUMPRODUCT(MAX(ROW(E$1:E2776)*(E2=E$1:E2776))))))</f>
        <v> </v>
      </c>
      <c r="K2777" s="26" t="str">
        <f>IF(OR(E2777="",E2777="!!!",F2777="NEW"),"",INDEX(J$1:J2776,SUMPRODUCT(MAX(ROW(E$1:E2776)*(E2777=E$1:E2776)))))</f>
        <v> </v>
      </c>
      <c r="L2777" s="27"/>
    </row>
    <row r="2778" spans="1:12">
      <c r="A2778" s="20" t="s">
        <v>1195</v>
      </c>
      <c r="B2778" s="21" t="s">
        <v>990</v>
      </c>
      <c r="C2778" s="21" t="s">
        <v>991</v>
      </c>
      <c r="D2778" s="21" t="s">
        <v>992</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1844</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1024</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1025</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1023</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415</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1866</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1852</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1024</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1116</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1208</v>
      </c>
      <c r="B2788" s="21" t="s">
        <v>1089</v>
      </c>
      <c r="C2788" s="21" t="s">
        <v>1039</v>
      </c>
      <c r="D2788" s="21" t="s">
        <v>992</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1049</v>
      </c>
      <c r="B2789" s="21" t="s">
        <v>1060</v>
      </c>
      <c r="C2789" s="21" t="s">
        <v>1054</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44</v>
      </c>
      <c r="B2790" s="21" t="s">
        <v>1033</v>
      </c>
      <c r="C2790" s="21" t="s">
        <v>1003</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1034</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576</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1507</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1032</v>
      </c>
      <c r="B2794" s="21" t="s">
        <v>1036</v>
      </c>
      <c r="C2794" s="21" t="s">
        <v>1022</v>
      </c>
      <c r="D2794" s="21" t="s">
        <v>992</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1305</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1034</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576</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1300</v>
      </c>
      <c r="B2798" s="21" t="s">
        <v>1036</v>
      </c>
      <c r="C2798" s="21" t="s">
        <v>1022</v>
      </c>
      <c r="D2798" s="21" t="s">
        <v>992</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37</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998</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row>
    <row r="2802" spans="1:12">
      <c r="A2802" s="20" t="s">
        <v>1867</v>
      </c>
    </row>
    <row r="2803" spans="1:12">
      <c r="A2803" s="20" t="s">
        <v>989</v>
      </c>
      <c r="B2803" s="21" t="s">
        <v>990</v>
      </c>
      <c r="C2803" s="21" t="s">
        <v>991</v>
      </c>
      <c r="D2803" s="21" t="s">
        <v>992</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1868</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448</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1516</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1029</v>
      </c>
      <c r="B2807" s="21" t="s">
        <v>995</v>
      </c>
      <c r="C2807" s="21" t="s">
        <v>1054</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1024</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1019</v>
      </c>
      <c r="B2809" s="21" t="s">
        <v>1026</v>
      </c>
      <c r="C2809" s="21" t="s">
        <v>1076</v>
      </c>
      <c r="D2809" s="21" t="s">
        <v>992</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1023</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1852</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998</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row>
    <row r="2814" spans="1:12">
      <c r="A2814" s="20" t="s">
        <v>1869</v>
      </c>
    </row>
    <row r="2815" spans="1:12">
      <c r="A2815" s="20" t="s">
        <v>1423</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1025</v>
      </c>
      <c r="B2816" s="21" t="s">
        <v>990</v>
      </c>
      <c r="C2816" s="21" t="s">
        <v>991</v>
      </c>
      <c r="D2816" s="21" t="s">
        <v>992</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t="s">
        <v>1023</v>
      </c>
      <c r="E2817" s="22">
        <f>IF(D2817="?OLD","!!!","")</f>
        <v/>
      </c>
      <c r="F2817" s="23" t="str">
        <f>IF(OR(E2817="",E2817="!!!"),"",IF(NOT(ISNA(VLOOKUP(E2817,E$1:E2816,1,FALSE()))),"OLD",IF(AND(E2817&lt;&gt;"",E2817&lt;&gt;"!!!"),"NEW","")))</f>
        <v> </v>
      </c>
      <c r="G2817" s="24" t="str">
        <f>IF(OR(E2817="",E2817="!!!"),"",IF(OR(J2817=0,AND(J2817=1,K2817=1),AND(J2817=1,I2817="SBJ"),AND(J2817=1,I2817=0)),"?IN_FOCUS",IF(J2817&lt;=2,"?ACTIVATED",IF(J2817&lt;&gt;"","?FAMILIAR",IF(F2817="NEW",IF(ISNA(VLOOKUP(E2817,#REF!,1,FALSE())),"?TYPE_IDENTIFIABLE","?REFERENTIAL"),"_")))))</f>
        <v> </v>
      </c>
      <c r="H2817" s="25" t="str">
        <f>IF(J2817&lt;&gt;1,"",IF(I2817="SBJ","CB","?"))</f>
        <v> </v>
      </c>
      <c r="I2817" s="26" t="str">
        <f>IF(OR(E2817="",E2817="!!!",F2817="NEW"),"",INDEX(B2816:B$2,-1+SUMPRODUCT(MAX(ROW(E2816:E$2)*(E2817=E2816:E$2)))))</f>
        <v> </v>
      </c>
      <c r="J2817" s="26" t="str">
        <f>IF(OR(E2817="",E2817="!!!",F2817="NEW"),"",COUNTBLANK(OFFSET(A$1,,,SUMPRODUCT(MAX(ROW(E$2:E2817)*(E2817=E$2:E2817)))))-COUNTBLANK(OFFSET(A$1,,,SUMPRODUCT(MAX(ROW(E$1:E2816)*(E2=E$1:E2816))))))</f>
        <v> </v>
      </c>
      <c r="K2817" s="26" t="str">
        <f>IF(OR(E2817="",E2817="!!!",F2817="NEW"),"",INDEX(J$1:J2816,SUMPRODUCT(MAX(ROW(E$1:E2816)*(E2817=E$1:E2816)))))</f>
        <v> </v>
      </c>
      <c r="L2817" s="27"/>
    </row>
    <row r="2818" spans="1:12">
      <c r="A2818" s="20" t="s">
        <v>1870</v>
      </c>
      <c r="E2818" s="22">
        <f>IF(D2818="?OLD","!!!","")</f>
        <v/>
      </c>
      <c r="F2818" s="23" t="str">
        <f>IF(OR(E2818="",E2818="!!!"),"",IF(NOT(ISNA(VLOOKUP(E2818,E$1:E2817,1,FALSE()))),"OLD",IF(AND(E2818&lt;&gt;"",E2818&lt;&gt;"!!!"),"NEW","")))</f>
        <v> </v>
      </c>
      <c r="G2818" s="24" t="str">
        <f>IF(OR(E2818="",E2818="!!!"),"",IF(OR(J2818=0,AND(J2818=1,K2818=1),AND(J2818=1,I2818="SBJ"),AND(J2818=1,I2818=0)),"?IN_FOCUS",IF(J2818&lt;=2,"?ACTIVATED",IF(J2818&lt;&gt;"","?FAMILIAR",IF(F2818="NEW",IF(ISNA(VLOOKUP(E2818,#REF!,1,FALSE())),"?TYPE_IDENTIFIABLE","?REFERENTIAL"),"_")))))</f>
        <v> </v>
      </c>
      <c r="H2818" s="25" t="str">
        <f>IF(J2818&lt;&gt;1,"",IF(I2818="SBJ","CB","?"))</f>
        <v> </v>
      </c>
      <c r="I2818" s="26" t="str">
        <f>IF(OR(E2818="",E2818="!!!",F2818="NEW"),"",INDEX(B2817:B$2,-1+SUMPRODUCT(MAX(ROW(E2817:E$2)*(E2818=E2817:E$2)))))</f>
        <v> </v>
      </c>
      <c r="J2818" s="26" t="str">
        <f>IF(OR(E2818="",E2818="!!!",F2818="NEW"),"",COUNTBLANK(OFFSET(A$1,,,SUMPRODUCT(MAX(ROW(E$2:E2818)*(E2818=E$2:E2818)))))-COUNTBLANK(OFFSET(A$1,,,SUMPRODUCT(MAX(ROW(E$1:E2817)*(E2=E$1:E2817))))))</f>
        <v> </v>
      </c>
      <c r="K2818" s="26" t="str">
        <f>IF(OR(E2818="",E2818="!!!",F2818="NEW"),"",INDEX(J$1:J2817,SUMPRODUCT(MAX(ROW(E$1:E2817)*(E2818=E$1:E2817)))))</f>
        <v> </v>
      </c>
      <c r="L2818" s="27"/>
    </row>
    <row r="2819" spans="1:12">
      <c r="A2819" s="20" t="s">
        <v>1443</v>
      </c>
      <c r="B2819" s="21" t="s">
        <v>995</v>
      </c>
      <c r="C2819" s="21" t="s">
        <v>1039</v>
      </c>
      <c r="D2819" s="21" t="s">
        <v>992</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1871</v>
      </c>
      <c r="B2820" s="21" t="s">
        <v>995</v>
      </c>
      <c r="C2820" s="21" t="s">
        <v>1009</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998</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row>
    <row r="2823" spans="1:12">
      <c r="A2823" s="20" t="s">
        <v>1872</v>
      </c>
    </row>
    <row r="2824" spans="1:12">
      <c r="A2824" s="20" t="s">
        <v>1326</v>
      </c>
      <c r="B2824" s="21" t="s">
        <v>990</v>
      </c>
      <c r="C2824" s="21" t="s">
        <v>1039</v>
      </c>
      <c r="D2824" s="21" t="s">
        <v>992</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1126</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612</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1024</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1031</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1873</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1032</v>
      </c>
      <c r="B2830" s="21" t="s">
        <v>1055</v>
      </c>
      <c r="C2830" s="21" t="s">
        <v>1022</v>
      </c>
      <c r="D2830" s="21" t="s">
        <v>992</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1034</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1183</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t="s">
        <v>1430</v>
      </c>
      <c r="B2833" s="21" t="s">
        <v>1015</v>
      </c>
      <c r="C2833" s="21" t="s">
        <v>1045</v>
      </c>
      <c r="E2833" s="22">
        <f>IF(D2833="?OLD","!!!","")</f>
        <v/>
      </c>
      <c r="F2833" s="23" t="str">
        <f>IF(OR(E2833="",E2833="!!!"),"",IF(NOT(ISNA(VLOOKUP(E2833,E$1:E2832,1,FALSE()))),"OLD",IF(AND(E2833&lt;&gt;"",E2833&lt;&gt;"!!!"),"NEW","")))</f>
        <v> </v>
      </c>
      <c r="G2833" s="24" t="str">
        <f>IF(OR(E2833="",E2833="!!!"),"",IF(OR(J2833=0,AND(J2833=1,K2833=1),AND(J2833=1,I2833="SBJ"),AND(J2833=1,I2833=0)),"?IN_FOCUS",IF(J2833&lt;=2,"?ACTIVATED",IF(J2833&lt;&gt;"","?FAMILIAR",IF(F2833="NEW",IF(ISNA(VLOOKUP(E2833,#REF!,1,FALSE())),"?TYPE_IDENTIFIABLE","?REFERENTIAL"),"_")))))</f>
        <v> </v>
      </c>
      <c r="H2833" s="25" t="str">
        <f>IF(J2833&lt;&gt;1,"",IF(I2833="SBJ","CB","?"))</f>
        <v> </v>
      </c>
      <c r="I2833" s="26" t="str">
        <f>IF(OR(E2833="",E2833="!!!",F2833="NEW"),"",INDEX(B2832:B$2,-1+SUMPRODUCT(MAX(ROW(E2832:E$2)*(E2833=E2832:E$2)))))</f>
        <v> </v>
      </c>
      <c r="J2833" s="26" t="str">
        <f>IF(OR(E2833="",E2833="!!!",F2833="NEW"),"",COUNTBLANK(OFFSET(A$1,,,SUMPRODUCT(MAX(ROW(E$2:E2833)*(E2833=E$2:E2833)))))-COUNTBLANK(OFFSET(A$1,,,SUMPRODUCT(MAX(ROW(E$1:E2832)*(E2=E$1:E2832))))))</f>
        <v> </v>
      </c>
      <c r="K2833" s="26" t="str">
        <f>IF(OR(E2833="",E2833="!!!",F2833="NEW"),"",INDEX(J$1:J2832,SUMPRODUCT(MAX(ROW(E$1:E2832)*(E2833=E$1:E2832)))))</f>
        <v> </v>
      </c>
      <c r="L2833" s="27"/>
    </row>
    <row r="2834" spans="1:12">
      <c r="A2834" s="20" t="s">
        <v>1029</v>
      </c>
      <c r="E2834" s="22">
        <f>IF(D2834="?OLD","!!!","")</f>
        <v/>
      </c>
      <c r="F2834" s="23" t="str">
        <f>IF(OR(E2834="",E2834="!!!"),"",IF(NOT(ISNA(VLOOKUP(E2834,E$1:E2833,1,FALSE()))),"OLD",IF(AND(E2834&lt;&gt;"",E2834&lt;&gt;"!!!"),"NEW","")))</f>
        <v> </v>
      </c>
      <c r="G2834" s="24" t="str">
        <f>IF(OR(E2834="",E2834="!!!"),"",IF(OR(J2834=0,AND(J2834=1,K2834=1),AND(J2834=1,I2834="SBJ"),AND(J2834=1,I2834=0)),"?IN_FOCUS",IF(J2834&lt;=2,"?ACTIVATED",IF(J2834&lt;&gt;"","?FAMILIAR",IF(F2834="NEW",IF(ISNA(VLOOKUP(E2834,#REF!,1,FALSE())),"?TYPE_IDENTIFIABLE","?REFERENTIAL"),"_")))))</f>
        <v> </v>
      </c>
      <c r="H2834" s="25" t="str">
        <f>IF(J2834&lt;&gt;1,"",IF(I2834="SBJ","CB","?"))</f>
        <v> </v>
      </c>
      <c r="I2834" s="26" t="str">
        <f>IF(OR(E2834="",E2834="!!!",F2834="NEW"),"",INDEX(B2833:B$2,-1+SUMPRODUCT(MAX(ROW(E2833:E$2)*(E2834=E2833:E$2)))))</f>
        <v> </v>
      </c>
      <c r="J2834" s="26" t="str">
        <f>IF(OR(E2834="",E2834="!!!",F2834="NEW"),"",COUNTBLANK(OFFSET(A$1,,,SUMPRODUCT(MAX(ROW(E$2:E2834)*(E2834=E$2:E2834)))))-COUNTBLANK(OFFSET(A$1,,,SUMPRODUCT(MAX(ROW(E$1:E2833)*(E2=E$1:E2833))))))</f>
        <v> </v>
      </c>
      <c r="K2834" s="26" t="str">
        <f>IF(OR(E2834="",E2834="!!!",F2834="NEW"),"",INDEX(J$1:J2833,SUMPRODUCT(MAX(ROW(E$1:E2833)*(E2834=E$1:E2833)))))</f>
        <v> </v>
      </c>
      <c r="L2834" s="27"/>
    </row>
    <row r="2835" spans="1:12">
      <c r="A2835" s="20" t="s">
        <v>1351</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998</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row>
    <row r="2838" spans="1:12">
      <c r="A2838" s="20" t="s">
        <v>1874</v>
      </c>
    </row>
    <row r="2839" spans="1:12">
      <c r="A2839" s="20" t="s">
        <v>1875</v>
      </c>
      <c r="B2839" s="21" t="s">
        <v>1015</v>
      </c>
      <c r="C2839" s="21" t="s">
        <v>1016</v>
      </c>
      <c r="D2839" s="21" t="s">
        <v>992</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1876</v>
      </c>
      <c r="B2840" s="21" t="s">
        <v>990</v>
      </c>
      <c r="C2840" s="21" t="s">
        <v>1003</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1877</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1071</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1279</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1878</v>
      </c>
      <c r="B2844" s="21" t="s">
        <v>995</v>
      </c>
      <c r="C2844" s="21" t="s">
        <v>1045</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1024</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1019</v>
      </c>
      <c r="B2846" s="21" t="s">
        <v>1089</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1879</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1505</v>
      </c>
      <c r="B2848" s="21" t="s">
        <v>1036</v>
      </c>
      <c r="C2848" s="21" t="s">
        <v>1009</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1880</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998</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row>
    <row r="2852" spans="1:12">
      <c r="A2852" s="20" t="s">
        <v>1881</v>
      </c>
    </row>
    <row r="2853" spans="1:12">
      <c r="A2853" s="20" t="s">
        <v>1267</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1381</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1123</v>
      </c>
      <c r="B2855" s="21" t="s">
        <v>1015</v>
      </c>
      <c r="C2855" s="21" t="s">
        <v>1076</v>
      </c>
      <c r="D2855" s="21" t="s">
        <v>992</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1882</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1883</v>
      </c>
      <c r="B2857" s="21" t="s">
        <v>990</v>
      </c>
      <c r="C2857" s="21" t="s">
        <v>1121</v>
      </c>
      <c r="D2857" s="21" t="s">
        <v>992</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1024</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1392</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1884</v>
      </c>
      <c r="B2860" s="21" t="s">
        <v>1015</v>
      </c>
      <c r="C2860" s="21" t="s">
        <v>1003</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998</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row>
    <row r="2863" spans="1:12">
      <c r="A2863" s="20" t="s">
        <v>1885</v>
      </c>
    </row>
    <row r="2864" spans="1:12">
      <c r="A2864" s="20" t="s">
        <v>1756</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1206</v>
      </c>
      <c r="B2865" s="21" t="s">
        <v>990</v>
      </c>
      <c r="C2865" s="21" t="s">
        <v>991</v>
      </c>
      <c r="D2865" s="21" t="s">
        <v>992</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1167</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row>
    <row r="2868" spans="1:12">
      <c r="A2868" s="20" t="s">
        <v>1886</v>
      </c>
    </row>
    <row r="2869" spans="1:12">
      <c r="A2869" s="20" t="s">
        <v>1518</v>
      </c>
      <c r="E2869" s="22">
        <f>IF(D2869="?OLD","!!!","")</f>
        <v/>
      </c>
      <c r="F2869" s="23" t="str">
        <f>IF(OR(E2869="",E2869="!!!"),"",IF(NOT(ISNA(VLOOKUP(E2869,E$1:E2868,1,FALSE()))),"OLD",IF(AND(E2869&lt;&gt;"",E2869&lt;&gt;"!!!"),"NEW","")))</f>
        <v> </v>
      </c>
      <c r="G2869" s="24" t="str">
        <f>IF(OR(E2869="",E2869="!!!"),"",IF(OR(J2869=0,AND(J2869=1,K2869=1),AND(J2869=1,I2869="SBJ"),AND(J2869=1,I2869=0)),"?IN_FOCUS",IF(J2869&lt;=2,"?ACTIVATED",IF(J2869&lt;&gt;"","?FAMILIAR",IF(F2869="NEW",IF(ISNA(VLOOKUP(E2869,#REF!,1,FALSE())),"?TYPE_IDENTIFIABLE","?REFERENTIAL"),"_")))))</f>
        <v> </v>
      </c>
      <c r="H2869" s="25" t="str">
        <f>IF(J2869&lt;&gt;1,"",IF(I2869="SBJ","CB","?"))</f>
        <v> </v>
      </c>
      <c r="I2869" s="26" t="str">
        <f>IF(OR(E2869="",E2869="!!!",F2869="NEW"),"",INDEX(B2868:B$2,-1+SUMPRODUCT(MAX(ROW(E2868:E$2)*(E2869=E2868:E$2)))))</f>
        <v> </v>
      </c>
      <c r="J2869" s="26" t="str">
        <f>IF(OR(E2869="",E2869="!!!",F2869="NEW"),"",COUNTBLANK(OFFSET(A$1,,,SUMPRODUCT(MAX(ROW(E$2:E2869)*(E2869=E$2:E2869)))))-COUNTBLANK(OFFSET(A$1,,,SUMPRODUCT(MAX(ROW(E$1:E2868)*(E2=E$1:E2868))))))</f>
        <v> </v>
      </c>
      <c r="K2869" s="26" t="str">
        <f>IF(OR(E2869="",E2869="!!!",F2869="NEW"),"",INDEX(J$1:J2868,SUMPRODUCT(MAX(ROW(E$1:E2868)*(E2869=E$1:E2868)))))</f>
        <v> </v>
      </c>
      <c r="L2869" s="27"/>
    </row>
    <row r="2870" spans="1:12">
      <c r="A2870" s="20" t="s">
        <v>1497</v>
      </c>
      <c r="B2870" s="21" t="s">
        <v>1015</v>
      </c>
      <c r="C2870" s="21" t="s">
        <v>1076</v>
      </c>
      <c r="D2870" s="21" t="s">
        <v>992</v>
      </c>
      <c r="E2870" s="22">
        <f>IF(D2870="?OLD","!!!","")</f>
        <v/>
      </c>
      <c r="F2870" s="23" t="str">
        <f>IF(OR(E2870="",E2870="!!!"),"",IF(NOT(ISNA(VLOOKUP(E2870,E$1:E2869,1,FALSE()))),"OLD",IF(AND(E2870&lt;&gt;"",E2870&lt;&gt;"!!!"),"NEW","")))</f>
        <v> </v>
      </c>
      <c r="G2870" s="24" t="str">
        <f>IF(OR(E2870="",E2870="!!!"),"",IF(OR(J2870=0,AND(J2870=1,K2870=1),AND(J2870=1,I2870="SBJ"),AND(J2870=1,I2870=0)),"?IN_FOCUS",IF(J2870&lt;=2,"?ACTIVATED",IF(J2870&lt;&gt;"","?FAMILIAR",IF(F2870="NEW",IF(ISNA(VLOOKUP(E2870,#REF!,1,FALSE())),"?TYPE_IDENTIFIABLE","?REFERENTIAL"),"_")))))</f>
        <v> </v>
      </c>
      <c r="H2870" s="25" t="str">
        <f>IF(J2870&lt;&gt;1,"",IF(I2870="SBJ","CB","?"))</f>
        <v> </v>
      </c>
      <c r="I2870" s="26" t="str">
        <f>IF(OR(E2870="",E2870="!!!",F2870="NEW"),"",INDEX(B2869:B$2,-1+SUMPRODUCT(MAX(ROW(E2869:E$2)*(E2870=E2869:E$2)))))</f>
        <v> </v>
      </c>
      <c r="J2870" s="26" t="str">
        <f>IF(OR(E2870="",E2870="!!!",F2870="NEW"),"",COUNTBLANK(OFFSET(A$1,,,SUMPRODUCT(MAX(ROW(E$2:E2870)*(E2870=E$2:E2870)))))-COUNTBLANK(OFFSET(A$1,,,SUMPRODUCT(MAX(ROW(E$1:E2869)*(E2=E$1:E2869))))))</f>
        <v> </v>
      </c>
      <c r="K2870" s="26" t="str">
        <f>IF(OR(E2870="",E2870="!!!",F2870="NEW"),"",INDEX(J$1:J2869,SUMPRODUCT(MAX(ROW(E$1:E2869)*(E2870=E$1:E2869)))))</f>
        <v> </v>
      </c>
      <c r="L2870" s="27"/>
    </row>
    <row r="2871" spans="1:12">
      <c r="A2871" s="20" t="s">
        <v>946</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1887</v>
      </c>
      <c r="B2872" s="21" t="s">
        <v>995</v>
      </c>
      <c r="C2872" s="21" t="s">
        <v>1121</v>
      </c>
      <c r="D2872" s="21" t="s">
        <v>992</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1888</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1025</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1889</v>
      </c>
      <c r="B2875" s="21" t="s">
        <v>990</v>
      </c>
      <c r="C2875" s="21" t="s">
        <v>1003</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998</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row>
    <row r="2878" spans="1:12">
      <c r="A2878" s="20" t="s">
        <v>1890</v>
      </c>
    </row>
    <row r="2879" spans="1:12">
      <c r="A2879" s="20" t="s">
        <v>1013</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1019</v>
      </c>
      <c r="B2880" s="21" t="s">
        <v>990</v>
      </c>
      <c r="C2880" s="21" t="s">
        <v>1076</v>
      </c>
      <c r="D2880" s="21" t="s">
        <v>992</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1891</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1760</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1031</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1520</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1071</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1050</v>
      </c>
      <c r="B2886" s="21" t="s">
        <v>1015</v>
      </c>
      <c r="C2886" s="21" t="s">
        <v>1003</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1892</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1893</v>
      </c>
      <c r="B2888" s="21" t="s">
        <v>995</v>
      </c>
      <c r="C2888" s="21" t="s">
        <v>1022</v>
      </c>
      <c r="D2888" s="21" t="s">
        <v>992</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998</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row>
    <row r="2891" spans="1:12">
      <c r="A2891" s="20" t="s">
        <v>1894</v>
      </c>
    </row>
    <row r="2892" spans="1:12">
      <c r="A2892" s="20" t="s">
        <v>1013</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1084</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1206</v>
      </c>
      <c r="B2894" s="21" t="s">
        <v>1026</v>
      </c>
      <c r="C2894" s="21" t="s">
        <v>991</v>
      </c>
      <c r="D2894" s="21" t="s">
        <v>992</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1056</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1197</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1895</v>
      </c>
      <c r="B2897" s="21" t="s">
        <v>1015</v>
      </c>
      <c r="C2897" s="21" t="s">
        <v>1022</v>
      </c>
      <c r="D2897" s="21" t="s">
        <v>992</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1154</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1896</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1897</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1898</v>
      </c>
      <c r="B2901" s="21" t="s">
        <v>1036</v>
      </c>
      <c r="C2901" s="21" t="s">
        <v>1022</v>
      </c>
      <c r="D2901" s="21" t="s">
        <v>992</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1899</v>
      </c>
      <c r="B2902" s="21" t="s">
        <v>1060</v>
      </c>
      <c r="C2902" s="21" t="s">
        <v>996</v>
      </c>
      <c r="D2902" s="21" t="s">
        <v>992</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1900</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1107</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1024</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125</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1206</v>
      </c>
      <c r="B2907" s="21" t="s">
        <v>990</v>
      </c>
      <c r="C2907" s="21" t="s">
        <v>991</v>
      </c>
      <c r="D2907" s="21" t="s">
        <v>992</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1072</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1123</v>
      </c>
      <c r="B2909" s="21" t="s">
        <v>1015</v>
      </c>
      <c r="C2909" s="21" t="s">
        <v>1076</v>
      </c>
      <c r="D2909" s="21" t="s">
        <v>992</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636</v>
      </c>
      <c r="B2910" s="21" t="s">
        <v>1002</v>
      </c>
      <c r="C2910" s="21" t="s">
        <v>1121</v>
      </c>
      <c r="D2910" s="21" t="s">
        <v>992</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998</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row>
    <row r="2913" spans="1:12">
      <c r="A2913" s="20" t="s">
        <v>1901</v>
      </c>
    </row>
    <row r="2914" spans="1:12">
      <c r="A2914" s="20" t="s">
        <v>1238</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636</v>
      </c>
      <c r="B2915" s="21" t="s">
        <v>995</v>
      </c>
      <c r="C2915" s="21" t="s">
        <v>1022</v>
      </c>
      <c r="D2915" s="21" t="s">
        <v>992</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1528</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1024</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1037</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231</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79</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1011</v>
      </c>
      <c r="B2921" s="21" t="s">
        <v>1026</v>
      </c>
      <c r="C2921" s="21" t="s">
        <v>1003</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1902</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1903</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998</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row>
    <row r="2926" spans="1:12">
      <c r="A2926" s="20" t="s">
        <v>1904</v>
      </c>
    </row>
    <row r="2927" spans="1:12">
      <c r="A2927" s="20" t="s">
        <v>1905</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1899</v>
      </c>
      <c r="B2928" s="21" t="s">
        <v>995</v>
      </c>
      <c r="C2928" s="21" t="s">
        <v>996</v>
      </c>
      <c r="D2928" s="21" t="s">
        <v>992</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1903</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1011</v>
      </c>
      <c r="B2930" s="21" t="s">
        <v>990</v>
      </c>
      <c r="C2930" s="21" t="s">
        <v>1003</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1024</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1906</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1907</v>
      </c>
      <c r="B2933" s="21" t="s">
        <v>1015</v>
      </c>
      <c r="C2933" s="21" t="s">
        <v>1003</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1024</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1034</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1057</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1908</v>
      </c>
      <c r="B2937" s="21" t="s">
        <v>1015</v>
      </c>
      <c r="C2937" s="21" t="s">
        <v>1022</v>
      </c>
      <c r="D2937" s="21" t="s">
        <v>992</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1909</v>
      </c>
      <c r="B2938" s="21" t="s">
        <v>1036</v>
      </c>
      <c r="C2938" s="21" t="s">
        <v>996</v>
      </c>
      <c r="D2938" s="21" t="s">
        <v>992</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1910</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1202</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1911</v>
      </c>
      <c r="B2941" s="21" t="s">
        <v>995</v>
      </c>
      <c r="C2941" s="21" t="s">
        <v>1045</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1902</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998</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row>
    <row r="2945" spans="1:12">
      <c r="A2945" s="20" t="s">
        <v>1912</v>
      </c>
    </row>
    <row r="2946" spans="1:12">
      <c r="A2946" s="20" t="s">
        <v>1913</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1888</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1025</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1077</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1914</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1635</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1911</v>
      </c>
      <c r="B2952" s="21" t="s">
        <v>990</v>
      </c>
      <c r="C2952" s="21" t="s">
        <v>1045</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1024</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1116</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576</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1915</v>
      </c>
      <c r="B2956" s="21" t="s">
        <v>1026</v>
      </c>
      <c r="C2956" s="21" t="s">
        <v>1022</v>
      </c>
      <c r="D2956" s="21" t="s">
        <v>992</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1071</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1909</v>
      </c>
      <c r="B2958" s="21" t="s">
        <v>1036</v>
      </c>
      <c r="C2958" s="21" t="s">
        <v>996</v>
      </c>
      <c r="D2958" s="21" t="s">
        <v>992</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1347</v>
      </c>
      <c r="B2959" s="21" t="s">
        <v>1055</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1029</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1202</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1916</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1489</v>
      </c>
      <c r="B2963" s="21" t="s">
        <v>1015</v>
      </c>
      <c r="C2963" s="21" t="s">
        <v>1045</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1917</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998</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row>
    <row r="2967" spans="1:12">
      <c r="A2967" s="20" t="s">
        <v>1918</v>
      </c>
    </row>
    <row r="2968" spans="1:12">
      <c r="A2968" s="20" t="s">
        <v>1238</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1050</v>
      </c>
      <c r="B2969" s="21" t="s">
        <v>990</v>
      </c>
      <c r="C2969" s="21" t="s">
        <v>1022</v>
      </c>
      <c r="D2969" s="21" t="s">
        <v>992</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t="s">
        <v>1919</v>
      </c>
      <c r="E2970" s="22">
        <f>IF(D2970="?OLD","!!!","")</f>
        <v/>
      </c>
      <c r="F2970" s="23" t="str">
        <f>IF(OR(E2970="",E2970="!!!"),"",IF(NOT(ISNA(VLOOKUP(E2970,E$1:E2969,1,FALSE()))),"OLD",IF(AND(E2970&lt;&gt;"",E2970&lt;&gt;"!!!"),"NEW","")))</f>
        <v> </v>
      </c>
      <c r="G2970" s="24" t="str">
        <f>IF(OR(E2970="",E2970="!!!"),"",IF(OR(J2970=0,AND(J2970=1,K2970=1),AND(J2970=1,I2970="SBJ"),AND(J2970=1,I2970=0)),"?IN_FOCUS",IF(J2970&lt;=2,"?ACTIVATED",IF(J2970&lt;&gt;"","?FAMILIAR",IF(F2970="NEW",IF(ISNA(VLOOKUP(E2970,#REF!,1,FALSE())),"?TYPE_IDENTIFIABLE","?REFERENTIAL"),"_")))))</f>
        <v> </v>
      </c>
      <c r="H2970" s="25" t="str">
        <f>IF(J2970&lt;&gt;1,"",IF(I2970="SBJ","CB","?"))</f>
        <v> </v>
      </c>
      <c r="I2970" s="26" t="str">
        <f>IF(OR(E2970="",E2970="!!!",F2970="NEW"),"",INDEX(B2969:B$2,-1+SUMPRODUCT(MAX(ROW(E2969:E$2)*(E2970=E2969:E$2)))))</f>
        <v> </v>
      </c>
      <c r="J2970" s="26" t="str">
        <f>IF(OR(E2970="",E2970="!!!",F2970="NEW"),"",COUNTBLANK(OFFSET(A$1,,,SUMPRODUCT(MAX(ROW(E$2:E2970)*(E2970=E$2:E2970)))))-COUNTBLANK(OFFSET(A$1,,,SUMPRODUCT(MAX(ROW(E$1:E2969)*(E2=E$1:E2969))))))</f>
        <v> </v>
      </c>
      <c r="K2970" s="26" t="str">
        <f>IF(OR(E2970="",E2970="!!!",F2970="NEW"),"",INDEX(J$1:J2969,SUMPRODUCT(MAX(ROW(E$1:E2969)*(E2970=E$1:E2969)))))</f>
        <v> </v>
      </c>
      <c r="L2970" s="27"/>
    </row>
    <row r="2971" spans="1:12">
      <c r="A2971" s="20" t="s">
        <v>998</v>
      </c>
      <c r="E2971" s="22">
        <f>IF(D2971="?OLD","!!!","")</f>
        <v/>
      </c>
      <c r="F2971" s="23" t="str">
        <f>IF(OR(E2971="",E2971="!!!"),"",IF(NOT(ISNA(VLOOKUP(E2971,E$1:E2970,1,FALSE()))),"OLD",IF(AND(E2971&lt;&gt;"",E2971&lt;&gt;"!!!"),"NEW","")))</f>
        <v> </v>
      </c>
      <c r="G2971" s="24" t="str">
        <f>IF(OR(E2971="",E2971="!!!"),"",IF(OR(J2971=0,AND(J2971=1,K2971=1),AND(J2971=1,I2971="SBJ"),AND(J2971=1,I2971=0)),"?IN_FOCUS",IF(J2971&lt;=2,"?ACTIVATED",IF(J2971&lt;&gt;"","?FAMILIAR",IF(F2971="NEW",IF(ISNA(VLOOKUP(E2971,#REF!,1,FALSE())),"?TYPE_IDENTIFIABLE","?REFERENTIAL"),"_")))))</f>
        <v> </v>
      </c>
      <c r="H2971" s="25" t="str">
        <f>IF(J2971&lt;&gt;1,"",IF(I2971="SBJ","CB","?"))</f>
        <v> </v>
      </c>
      <c r="I2971" s="26" t="str">
        <f>IF(OR(E2971="",E2971="!!!",F2971="NEW"),"",INDEX(B2970:B$2,-1+SUMPRODUCT(MAX(ROW(E2970:E$2)*(E2971=E2970:E$2)))))</f>
        <v> </v>
      </c>
      <c r="J2971" s="26" t="str">
        <f>IF(OR(E2971="",E2971="!!!",F2971="NEW"),"",COUNTBLANK(OFFSET(A$1,,,SUMPRODUCT(MAX(ROW(E$2:E2971)*(E2971=E$2:E2971)))))-COUNTBLANK(OFFSET(A$1,,,SUMPRODUCT(MAX(ROW(E$1:E2970)*(E2=E$1:E2970))))))</f>
        <v> </v>
      </c>
      <c r="K2971" s="26" t="str">
        <f>IF(OR(E2971="",E2971="!!!",F2971="NEW"),"",INDEX(J$1:J2970,SUMPRODUCT(MAX(ROW(E$1:E2970)*(E2971=E$1:E2970)))))</f>
        <v> </v>
      </c>
      <c r="L2971" s="27"/>
    </row>
    <row r="2972" spans="1:12">
      <c r="A2972" s="20"/>
    </row>
    <row r="2973" spans="1:12">
      <c r="A2973" s="20" t="s">
        <v>1920</v>
      </c>
    </row>
    <row r="2974" spans="1:12">
      <c r="A2974" s="20" t="s">
        <v>1238</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1050</v>
      </c>
      <c r="B2975" s="21" t="s">
        <v>990</v>
      </c>
      <c r="C2975" s="21" t="s">
        <v>1022</v>
      </c>
      <c r="D2975" s="21" t="s">
        <v>992</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1921</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998</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row>
    <row r="2979" spans="1:12">
      <c r="A2979" s="20" t="s">
        <v>1922</v>
      </c>
    </row>
    <row r="2980" spans="1:12">
      <c r="A2980" s="20" t="s">
        <v>1267</v>
      </c>
      <c r="B2980" s="21" t="s">
        <v>990</v>
      </c>
      <c r="C2980" s="21" t="s">
        <v>991</v>
      </c>
      <c r="D2980" s="21" t="s">
        <v>992</v>
      </c>
      <c r="E2980" s="22">
        <f>IF(D2980="?OLD","!!!","")</f>
        <v/>
      </c>
      <c r="F2980" s="23" t="str">
        <f>IF(OR(E2980="",E2980="!!!"),"",IF(NOT(ISNA(VLOOKUP(E2980,E$1:E2979,1,FALSE()))),"OLD",IF(AND(E2980&lt;&gt;"",E2980&lt;&gt;"!!!"),"NEW","")))</f>
        <v> </v>
      </c>
      <c r="G2980" s="24" t="str">
        <f>IF(OR(E2980="",E2980="!!!"),"",IF(OR(J2980=0,AND(J2980=1,K2980=1),AND(J2980=1,I2980="SBJ"),AND(J2980=1,I2980=0)),"?IN_FOCUS",IF(J2980&lt;=2,"?ACTIVATED",IF(J2980&lt;&gt;"","?FAMILIAR",IF(F2980="NEW",IF(ISNA(VLOOKUP(E2980,#REF!,1,FALSE())),"?TYPE_IDENTIFIABLE","?REFERENTIAL"),"_")))))</f>
        <v> </v>
      </c>
      <c r="H2980" s="25" t="str">
        <f>IF(J2980&lt;&gt;1,"",IF(I2980="SBJ","CB","?"))</f>
        <v> </v>
      </c>
      <c r="I2980" s="26" t="str">
        <f>IF(OR(E2980="",E2980="!!!",F2980="NEW"),"",INDEX(B2979:B$2,-1+SUMPRODUCT(MAX(ROW(E2979:E$2)*(E2980=E2979:E$2)))))</f>
        <v> </v>
      </c>
      <c r="J2980" s="26" t="str">
        <f>IF(OR(E2980="",E2980="!!!",F2980="NEW"),"",COUNTBLANK(OFFSET(A$1,,,SUMPRODUCT(MAX(ROW(E$2:E2980)*(E2980=E$2:E2980)))))-COUNTBLANK(OFFSET(A$1,,,SUMPRODUCT(MAX(ROW(E$1:E2979)*(E2=E$1:E2979))))))</f>
        <v> </v>
      </c>
      <c r="K2980" s="26" t="str">
        <f>IF(OR(E2980="",E2980="!!!",F2980="NEW"),"",INDEX(J$1:J2979,SUMPRODUCT(MAX(ROW(E$1:E2979)*(E2980=E$1:E2979)))))</f>
        <v> </v>
      </c>
      <c r="L2980" s="27"/>
    </row>
    <row r="2981" spans="1:12">
      <c r="A2981" s="20" t="s">
        <v>1265</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1077</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1693</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1923</v>
      </c>
      <c r="B2984" s="21" t="s">
        <v>995</v>
      </c>
      <c r="C2984" s="21" t="s">
        <v>1045</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998</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row>
    <row r="2987" spans="1:12">
      <c r="A2987" s="20" t="s">
        <v>1924</v>
      </c>
    </row>
    <row r="2988" spans="1:12">
      <c r="A2988" s="20" t="s">
        <v>1446</v>
      </c>
      <c r="B2988" s="21" t="s">
        <v>990</v>
      </c>
      <c r="C2988" s="21" t="s">
        <v>1054</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1925</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1077</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1693</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1926</v>
      </c>
      <c r="B2992" s="21" t="s">
        <v>1002</v>
      </c>
      <c r="C2992" s="21" t="s">
        <v>1045</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998</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row>
    <row r="2995" spans="1:12">
      <c r="A2995" s="20" t="s">
        <v>1927</v>
      </c>
    </row>
    <row r="2996" spans="1:12">
      <c r="A2996" s="20" t="s">
        <v>1193</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663</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1038</v>
      </c>
      <c r="B2998" s="21" t="s">
        <v>990</v>
      </c>
      <c r="C2998" s="21" t="s">
        <v>1039</v>
      </c>
      <c r="D2998" s="21" t="s">
        <v>992</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1024</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1928</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1899</v>
      </c>
      <c r="B3001" s="21" t="s">
        <v>995</v>
      </c>
      <c r="C3001" s="21" t="s">
        <v>996</v>
      </c>
      <c r="D3001" s="21" t="s">
        <v>992</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1024</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1019</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1929</v>
      </c>
      <c r="B3004" s="21" t="s">
        <v>995</v>
      </c>
      <c r="C3004" s="21" t="s">
        <v>1022</v>
      </c>
      <c r="D3004" s="21" t="s">
        <v>992</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231</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1930</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1077</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1931</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1932</v>
      </c>
      <c r="B3009" s="21" t="s">
        <v>1055</v>
      </c>
      <c r="C3009" s="21" t="s">
        <v>1045</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998</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row>
    <row r="3012" spans="1:12">
      <c r="A3012" s="20" t="s">
        <v>1933</v>
      </c>
    </row>
    <row r="3013" spans="1:12">
      <c r="A3013" s="20" t="s">
        <v>1934</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1279</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1650</v>
      </c>
      <c r="B3015" s="21" t="s">
        <v>995</v>
      </c>
      <c r="C3015" s="21" t="s">
        <v>1045</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1935</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1085</v>
      </c>
      <c r="B3017" s="21" t="s">
        <v>990</v>
      </c>
      <c r="C3017" s="21" t="s">
        <v>1054</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667</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998</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row>
    <row r="3021" spans="1:12">
      <c r="A3021" s="20" t="s">
        <v>1936</v>
      </c>
    </row>
    <row r="3022" spans="1:12">
      <c r="A3022" s="20" t="s">
        <v>1934</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1057</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1155</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1650</v>
      </c>
      <c r="B3025" s="21" t="s">
        <v>995</v>
      </c>
      <c r="C3025" s="21" t="s">
        <v>1022</v>
      </c>
      <c r="D3025" s="21" t="s">
        <v>992</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1935</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1085</v>
      </c>
      <c r="B3027" s="21" t="s">
        <v>990</v>
      </c>
      <c r="C3027" s="21" t="s">
        <v>1054</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t="s">
        <v>675</v>
      </c>
      <c r="E3028" s="22">
        <f>IF(D3028="?OLD","!!!","")</f>
        <v/>
      </c>
      <c r="F3028" s="23" t="str">
        <f>IF(OR(E3028="",E3028="!!!"),"",IF(NOT(ISNA(VLOOKUP(E3028,E$1:E3027,1,FALSE()))),"OLD",IF(AND(E3028&lt;&gt;"",E3028&lt;&gt;"!!!"),"NEW","")))</f>
        <v> </v>
      </c>
      <c r="G3028" s="24" t="str">
        <f>IF(OR(E3028="",E3028="!!!"),"",IF(OR(J3028=0,AND(J3028=1,K3028=1),AND(J3028=1,I3028="SBJ"),AND(J3028=1,I3028=0)),"?IN_FOCUS",IF(J3028&lt;=2,"?ACTIVATED",IF(J3028&lt;&gt;"","?FAMILIAR",IF(F3028="NEW",IF(ISNA(VLOOKUP(E3028,#REF!,1,FALSE())),"?TYPE_IDENTIFIABLE","?REFERENTIAL"),"_")))))</f>
        <v> </v>
      </c>
      <c r="H3028" s="25" t="str">
        <f>IF(J3028&lt;&gt;1,"",IF(I3028="SBJ","CB","?"))</f>
        <v> </v>
      </c>
      <c r="I3028" s="26" t="str">
        <f>IF(OR(E3028="",E3028="!!!",F3028="NEW"),"",INDEX(B3027:B$2,-1+SUMPRODUCT(MAX(ROW(E3027:E$2)*(E3028=E3027:E$2)))))</f>
        <v> </v>
      </c>
      <c r="J3028" s="26" t="str">
        <f>IF(OR(E3028="",E3028="!!!",F3028="NEW"),"",COUNTBLANK(OFFSET(A$1,,,SUMPRODUCT(MAX(ROW(E$2:E3028)*(E3028=E$2:E3028)))))-COUNTBLANK(OFFSET(A$1,,,SUMPRODUCT(MAX(ROW(E$1:E3027)*(E2=E$1:E3027))))))</f>
        <v> </v>
      </c>
      <c r="K3028" s="26" t="str">
        <f>IF(OR(E3028="",E3028="!!!",F3028="NEW"),"",INDEX(J$1:J3027,SUMPRODUCT(MAX(ROW(E$1:E3027)*(E3028=E$1:E3027)))))</f>
        <v> </v>
      </c>
      <c r="L3028" s="27"/>
    </row>
    <row r="3029" spans="1:12">
      <c r="A3029" s="20" t="s">
        <v>998</v>
      </c>
      <c r="E3029" s="22">
        <f>IF(D3029="?OLD","!!!","")</f>
        <v/>
      </c>
      <c r="F3029" s="23" t="str">
        <f>IF(OR(E3029="",E3029="!!!"),"",IF(NOT(ISNA(VLOOKUP(E3029,E$1:E3028,1,FALSE()))),"OLD",IF(AND(E3029&lt;&gt;"",E3029&lt;&gt;"!!!"),"NEW","")))</f>
        <v> </v>
      </c>
      <c r="G3029" s="24" t="str">
        <f>IF(OR(E3029="",E3029="!!!"),"",IF(OR(J3029=0,AND(J3029=1,K3029=1),AND(J3029=1,I3029="SBJ"),AND(J3029=1,I3029=0)),"?IN_FOCUS",IF(J3029&lt;=2,"?ACTIVATED",IF(J3029&lt;&gt;"","?FAMILIAR",IF(F3029="NEW",IF(ISNA(VLOOKUP(E3029,#REF!,1,FALSE())),"?TYPE_IDENTIFIABLE","?REFERENTIAL"),"_")))))</f>
        <v> </v>
      </c>
      <c r="H3029" s="25" t="str">
        <f>IF(J3029&lt;&gt;1,"",IF(I3029="SBJ","CB","?"))</f>
        <v> </v>
      </c>
      <c r="I3029" s="26" t="str">
        <f>IF(OR(E3029="",E3029="!!!",F3029="NEW"),"",INDEX(B3028:B$2,-1+SUMPRODUCT(MAX(ROW(E3028:E$2)*(E3029=E3028:E$2)))))</f>
        <v> </v>
      </c>
      <c r="J3029" s="26" t="str">
        <f>IF(OR(E3029="",E3029="!!!",F3029="NEW"),"",COUNTBLANK(OFFSET(A$1,,,SUMPRODUCT(MAX(ROW(E$2:E3029)*(E3029=E$2:E3029)))))-COUNTBLANK(OFFSET(A$1,,,SUMPRODUCT(MAX(ROW(E$1:E3028)*(E2=E$1:E3028))))))</f>
        <v> </v>
      </c>
      <c r="K3029" s="26" t="str">
        <f>IF(OR(E3029="",E3029="!!!",F3029="NEW"),"",INDEX(J$1:J3028,SUMPRODUCT(MAX(ROW(E$1:E3028)*(E3029=E$1:E3028)))))</f>
        <v> </v>
      </c>
      <c r="L3029" s="27"/>
    </row>
    <row r="3030" spans="1:12">
      <c r="A3030" s="20"/>
    </row>
    <row r="3031" spans="1:12">
      <c r="A3031" s="20" t="s">
        <v>1937</v>
      </c>
    </row>
    <row r="3032" spans="1:12">
      <c r="A3032" s="20" t="s">
        <v>1013</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1038</v>
      </c>
      <c r="B3033" s="21" t="s">
        <v>990</v>
      </c>
      <c r="C3033" s="21" t="s">
        <v>1039</v>
      </c>
      <c r="D3033" s="21" t="s">
        <v>992</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1938</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1173</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1939</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1034</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1019</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1929</v>
      </c>
      <c r="B3039" s="21" t="s">
        <v>995</v>
      </c>
      <c r="C3039" s="21" t="s">
        <v>1022</v>
      </c>
      <c r="D3039" s="21" t="s">
        <v>992</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1221</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t="s">
        <v>25</v>
      </c>
      <c r="E3041" s="22">
        <f>IF(D3041="?OLD","!!!","")</f>
        <v/>
      </c>
      <c r="F3041" s="23" t="str">
        <f>IF(OR(E3041="",E3041="!!!"),"",IF(NOT(ISNA(VLOOKUP(E3041,E$1:E3040,1,FALSE()))),"OLD",IF(AND(E3041&lt;&gt;"",E3041&lt;&gt;"!!!"),"NEW","")))</f>
        <v> </v>
      </c>
      <c r="G3041" s="24" t="str">
        <f>IF(OR(E3041="",E3041="!!!"),"",IF(OR(J3041=0,AND(J3041=1,K3041=1),AND(J3041=1,I3041="SBJ"),AND(J3041=1,I3041=0)),"?IN_FOCUS",IF(J3041&lt;=2,"?ACTIVATED",IF(J3041&lt;&gt;"","?FAMILIAR",IF(F3041="NEW",IF(ISNA(VLOOKUP(E3041,#REF!,1,FALSE())),"?TYPE_IDENTIFIABLE","?REFERENTIAL"),"_")))))</f>
        <v> </v>
      </c>
      <c r="H3041" s="25" t="str">
        <f>IF(J3041&lt;&gt;1,"",IF(I3041="SBJ","CB","?"))</f>
        <v> </v>
      </c>
      <c r="I3041" s="26" t="str">
        <f>IF(OR(E3041="",E3041="!!!",F3041="NEW"),"",INDEX(B3040:B$2,-1+SUMPRODUCT(MAX(ROW(E3040:E$2)*(E3041=E3040:E$2)))))</f>
        <v> </v>
      </c>
      <c r="J3041" s="26" t="str">
        <f>IF(OR(E3041="",E3041="!!!",F3041="NEW"),"",COUNTBLANK(OFFSET(A$1,,,SUMPRODUCT(MAX(ROW(E$2:E3041)*(E3041=E$2:E3041)))))-COUNTBLANK(OFFSET(A$1,,,SUMPRODUCT(MAX(ROW(E$1:E3040)*(E2=E$1:E3040))))))</f>
        <v> </v>
      </c>
      <c r="K3041" s="26" t="str">
        <f>IF(OR(E3041="",E3041="!!!",F3041="NEW"),"",INDEX(J$1:J3040,SUMPRODUCT(MAX(ROW(E$1:E3040)*(E3041=E$1:E3040)))))</f>
        <v> </v>
      </c>
      <c r="L3041" s="27"/>
    </row>
    <row r="3042" spans="1:12">
      <c r="A3042" s="20" t="s">
        <v>1024</v>
      </c>
      <c r="E3042" s="22">
        <f>IF(D3042="?OLD","!!!","")</f>
        <v/>
      </c>
      <c r="F3042" s="23" t="str">
        <f>IF(OR(E3042="",E3042="!!!"),"",IF(NOT(ISNA(VLOOKUP(E3042,E$1:E3041,1,FALSE()))),"OLD",IF(AND(E3042&lt;&gt;"",E3042&lt;&gt;"!!!"),"NEW","")))</f>
        <v> </v>
      </c>
      <c r="G3042" s="24" t="str">
        <f>IF(OR(E3042="",E3042="!!!"),"",IF(OR(J3042=0,AND(J3042=1,K3042=1),AND(J3042=1,I3042="SBJ"),AND(J3042=1,I3042=0)),"?IN_FOCUS",IF(J3042&lt;=2,"?ACTIVATED",IF(J3042&lt;&gt;"","?FAMILIAR",IF(F3042="NEW",IF(ISNA(VLOOKUP(E3042,#REF!,1,FALSE())),"?TYPE_IDENTIFIABLE","?REFERENTIAL"),"_")))))</f>
        <v> </v>
      </c>
      <c r="H3042" s="25" t="str">
        <f>IF(J3042&lt;&gt;1,"",IF(I3042="SBJ","CB","?"))</f>
        <v> </v>
      </c>
      <c r="I3042" s="26" t="str">
        <f>IF(OR(E3042="",E3042="!!!",F3042="NEW"),"",INDEX(B3041:B$2,-1+SUMPRODUCT(MAX(ROW(E3041:E$2)*(E3042=E3041:E$2)))))</f>
        <v> </v>
      </c>
      <c r="J3042" s="26" t="str">
        <f>IF(OR(E3042="",E3042="!!!",F3042="NEW"),"",COUNTBLANK(OFFSET(A$1,,,SUMPRODUCT(MAX(ROW(E$2:E3042)*(E3042=E$2:E3042)))))-COUNTBLANK(OFFSET(A$1,,,SUMPRODUCT(MAX(ROW(E$1:E3041)*(E2=E$1:E3041))))))</f>
        <v> </v>
      </c>
      <c r="K3042" s="26" t="str">
        <f>IF(OR(E3042="",E3042="!!!",F3042="NEW"),"",INDEX(J$1:J3041,SUMPRODUCT(MAX(ROW(E$1:E3041)*(E3042=E$1:E3041)))))</f>
        <v> </v>
      </c>
      <c r="L3042" s="27"/>
    </row>
    <row r="3043" spans="1:12">
      <c r="A3043" s="20" t="s">
        <v>1472</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1011</v>
      </c>
      <c r="B3044" s="21" t="s">
        <v>1026</v>
      </c>
      <c r="C3044" s="21" t="s">
        <v>1003</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1173</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1940</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1107</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231</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1346</v>
      </c>
      <c r="B3049" s="21" t="s">
        <v>1033</v>
      </c>
      <c r="C3049" s="21" t="s">
        <v>1039</v>
      </c>
      <c r="D3049" s="21" t="s">
        <v>992</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1056</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1941</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1024</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1942</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488</v>
      </c>
      <c r="B3054" s="21" t="s">
        <v>1036</v>
      </c>
      <c r="C3054" s="21" t="s">
        <v>1003</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1943</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1024</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1116</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1038</v>
      </c>
      <c r="B3058" s="21" t="s">
        <v>1234</v>
      </c>
      <c r="C3058" s="21" t="s">
        <v>1039</v>
      </c>
      <c r="D3058" s="21" t="s">
        <v>992</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1944</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1938</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1024</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1116</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1025</v>
      </c>
      <c r="B3063" s="21" t="s">
        <v>1530</v>
      </c>
      <c r="C3063" s="21" t="s">
        <v>991</v>
      </c>
      <c r="D3063" s="21" t="s">
        <v>992</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1766</v>
      </c>
      <c r="B3064" s="21" t="s">
        <v>1417</v>
      </c>
      <c r="C3064" s="21" t="s">
        <v>1039</v>
      </c>
      <c r="D3064" s="21" t="s">
        <v>992</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1029</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667</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1888</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998</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row>
    <row r="3070" spans="1:12">
      <c r="A3070" s="20" t="s">
        <v>1945</v>
      </c>
    </row>
    <row r="3071" spans="1:12">
      <c r="A3071" s="20" t="s">
        <v>1013</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1946</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1024</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1098</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t="s">
        <v>1057</v>
      </c>
      <c r="E3075" s="22">
        <f>IF(D3075="?OLD","!!!","")</f>
        <v/>
      </c>
      <c r="F3075" s="23" t="str">
        <f>IF(OR(E3075="",E3075="!!!"),"",IF(NOT(ISNA(VLOOKUP(E3075,E$1:E3074,1,FALSE()))),"OLD",IF(AND(E3075&lt;&gt;"",E3075&lt;&gt;"!!!"),"NEW","")))</f>
        <v> </v>
      </c>
      <c r="G3075" s="24" t="str">
        <f>IF(OR(E3075="",E3075="!!!"),"",IF(OR(J3075=0,AND(J3075=1,K3075=1),AND(J3075=1,I3075="SBJ"),AND(J3075=1,I3075=0)),"?IN_FOCUS",IF(J3075&lt;=2,"?ACTIVATED",IF(J3075&lt;&gt;"","?FAMILIAR",IF(F3075="NEW",IF(ISNA(VLOOKUP(E3075,#REF!,1,FALSE())),"?TYPE_IDENTIFIABLE","?REFERENTIAL"),"_")))))</f>
        <v> </v>
      </c>
      <c r="H3075" s="25" t="str">
        <f>IF(J3075&lt;&gt;1,"",IF(I3075="SBJ","CB","?"))</f>
        <v> </v>
      </c>
      <c r="I3075" s="26" t="str">
        <f>IF(OR(E3075="",E3075="!!!",F3075="NEW"),"",INDEX(B3074:B$2,-1+SUMPRODUCT(MAX(ROW(E3074:E$2)*(E3075=E3074:E$2)))))</f>
        <v> </v>
      </c>
      <c r="J3075" s="26" t="str">
        <f>IF(OR(E3075="",E3075="!!!",F3075="NEW"),"",COUNTBLANK(OFFSET(A$1,,,SUMPRODUCT(MAX(ROW(E$2:E3075)*(E3075=E$2:E3075)))))-COUNTBLANK(OFFSET(A$1,,,SUMPRODUCT(MAX(ROW(E$1:E3074)*(E2=E$1:E3074))))))</f>
        <v> </v>
      </c>
      <c r="K3075" s="26" t="str">
        <f>IF(OR(E3075="",E3075="!!!",F3075="NEW"),"",INDEX(J$1:J3074,SUMPRODUCT(MAX(ROW(E$1:E3074)*(E3075=E$1:E3074)))))</f>
        <v> </v>
      </c>
      <c r="L3075" s="27"/>
    </row>
    <row r="3076" spans="1:12">
      <c r="A3076" s="20" t="s">
        <v>1155</v>
      </c>
      <c r="E3076" s="22">
        <f>IF(D3076="?OLD","!!!","")</f>
        <v/>
      </c>
      <c r="F3076" s="23" t="str">
        <f>IF(OR(E3076="",E3076="!!!"),"",IF(NOT(ISNA(VLOOKUP(E3076,E$1:E3075,1,FALSE()))),"OLD",IF(AND(E3076&lt;&gt;"",E3076&lt;&gt;"!!!"),"NEW","")))</f>
        <v> </v>
      </c>
      <c r="G3076" s="24" t="str">
        <f>IF(OR(E3076="",E3076="!!!"),"",IF(OR(J3076=0,AND(J3076=1,K3076=1),AND(J3076=1,I3076="SBJ"),AND(J3076=1,I3076=0)),"?IN_FOCUS",IF(J3076&lt;=2,"?ACTIVATED",IF(J3076&lt;&gt;"","?FAMILIAR",IF(F3076="NEW",IF(ISNA(VLOOKUP(E3076,#REF!,1,FALSE())),"?TYPE_IDENTIFIABLE","?REFERENTIAL"),"_")))))</f>
        <v> </v>
      </c>
      <c r="H3076" s="25" t="str">
        <f>IF(J3076&lt;&gt;1,"",IF(I3076="SBJ","CB","?"))</f>
        <v> </v>
      </c>
      <c r="I3076" s="26" t="str">
        <f>IF(OR(E3076="",E3076="!!!",F3076="NEW"),"",INDEX(B3075:B$2,-1+SUMPRODUCT(MAX(ROW(E3075:E$2)*(E3076=E3075:E$2)))))</f>
        <v> </v>
      </c>
      <c r="J3076" s="26" t="str">
        <f>IF(OR(E3076="",E3076="!!!",F3076="NEW"),"",COUNTBLANK(OFFSET(A$1,,,SUMPRODUCT(MAX(ROW(E$2:E3076)*(E3076=E$2:E3076)))))-COUNTBLANK(OFFSET(A$1,,,SUMPRODUCT(MAX(ROW(E$1:E3075)*(E2=E$1:E3075))))))</f>
        <v> </v>
      </c>
      <c r="K3076" s="26" t="str">
        <f>IF(OR(E3076="",E3076="!!!",F3076="NEW"),"",INDEX(J$1:J3075,SUMPRODUCT(MAX(ROW(E$1:E3075)*(E3076=E$1:E3075)))))</f>
        <v> </v>
      </c>
      <c r="L3076" s="27"/>
    </row>
    <row r="3077" spans="1:12">
      <c r="A3077" s="20" t="s">
        <v>1650</v>
      </c>
      <c r="B3077" s="21" t="s">
        <v>995</v>
      </c>
      <c r="C3077" s="21" t="s">
        <v>1022</v>
      </c>
      <c r="D3077" s="21" t="s">
        <v>992</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1935</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1085</v>
      </c>
      <c r="B3079" s="21" t="s">
        <v>990</v>
      </c>
      <c r="C3079" s="21" t="s">
        <v>1054</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675</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998</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row>
    <row r="3083" spans="1:12">
      <c r="A3083" s="20" t="s">
        <v>1947</v>
      </c>
    </row>
    <row r="3084" spans="1:12">
      <c r="A3084" s="20" t="s">
        <v>1013</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1098</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1057</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1155</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1650</v>
      </c>
      <c r="B3088" s="21" t="s">
        <v>995</v>
      </c>
      <c r="C3088" s="21" t="s">
        <v>1022</v>
      </c>
      <c r="D3088" s="21" t="s">
        <v>992</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1935</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1085</v>
      </c>
      <c r="B3090" s="21" t="s">
        <v>990</v>
      </c>
      <c r="C3090" s="21" t="s">
        <v>1054</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667</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998</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row>
    <row r="3094" spans="1:12">
      <c r="A3094" s="20" t="s">
        <v>1948</v>
      </c>
    </row>
    <row r="3095" spans="1:12">
      <c r="A3095" s="20" t="s">
        <v>1013</v>
      </c>
      <c r="E3095" s="22">
        <f>IF(D3095="?OLD","!!!","")</f>
        <v/>
      </c>
      <c r="F3095" s="23" t="str">
        <f>IF(OR(E3095="",E3095="!!!"),"",IF(NOT(ISNA(VLOOKUP(E3095,E$1:E3094,1,FALSE()))),"OLD",IF(AND(E3095&lt;&gt;"",E3095&lt;&gt;"!!!"),"NEW","")))</f>
        <v> </v>
      </c>
      <c r="G3095" s="24" t="str">
        <f>IF(OR(E3095="",E3095="!!!"),"",IF(OR(J3095=0,AND(J3095=1,K3095=1),AND(J3095=1,I3095="SBJ"),AND(J3095=1,I3095=0)),"?IN_FOCUS",IF(J3095&lt;=2,"?ACTIVATED",IF(J3095&lt;&gt;"","?FAMILIAR",IF(F3095="NEW",IF(ISNA(VLOOKUP(E3095,#REF!,1,FALSE())),"?TYPE_IDENTIFIABLE","?REFERENTIAL"),"_")))))</f>
        <v> </v>
      </c>
      <c r="H3095" s="25" t="str">
        <f>IF(J3095&lt;&gt;1,"",IF(I3095="SBJ","CB","?"))</f>
        <v> </v>
      </c>
      <c r="I3095" s="26" t="str">
        <f>IF(OR(E3095="",E3095="!!!",F3095="NEW"),"",INDEX(B3094:B$2,-1+SUMPRODUCT(MAX(ROW(E3094:E$2)*(E3095=E3094:E$2)))))</f>
        <v> </v>
      </c>
      <c r="J3095" s="26" t="str">
        <f>IF(OR(E3095="",E3095="!!!",F3095="NEW"),"",COUNTBLANK(OFFSET(A$1,,,SUMPRODUCT(MAX(ROW(E$2:E3095)*(E3095=E$2:E3095)))))-COUNTBLANK(OFFSET(A$1,,,SUMPRODUCT(MAX(ROW(E$1:E3094)*(E2=E$1:E3094))))))</f>
        <v> </v>
      </c>
      <c r="K3095" s="26" t="str">
        <f>IF(OR(E3095="",E3095="!!!",F3095="NEW"),"",INDEX(J$1:J3094,SUMPRODUCT(MAX(ROW(E$1:E3094)*(E3095=E$1:E3094)))))</f>
        <v> </v>
      </c>
      <c r="L3095" s="27"/>
    </row>
    <row r="3096" spans="1:12">
      <c r="A3096" s="20" t="s">
        <v>1928</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1899</v>
      </c>
      <c r="B3097" s="21" t="s">
        <v>995</v>
      </c>
      <c r="C3097" s="21" t="s">
        <v>1003</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1949</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1038</v>
      </c>
      <c r="B3099" s="21" t="s">
        <v>1002</v>
      </c>
      <c r="C3099" s="21" t="s">
        <v>1039</v>
      </c>
      <c r="D3099" s="21" t="s">
        <v>992</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1173</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82</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1505</v>
      </c>
      <c r="B3102" s="21" t="s">
        <v>995</v>
      </c>
      <c r="C3102" s="21" t="s">
        <v>1009</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1950</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1123</v>
      </c>
      <c r="B3104" s="21" t="s">
        <v>1015</v>
      </c>
      <c r="C3104" s="21" t="s">
        <v>1076</v>
      </c>
      <c r="D3104" s="21" t="s">
        <v>992</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1911</v>
      </c>
      <c r="B3105" s="21" t="s">
        <v>1002</v>
      </c>
      <c r="C3105" s="21" t="s">
        <v>1121</v>
      </c>
      <c r="D3105" s="21" t="s">
        <v>992</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t="s">
        <v>1024</v>
      </c>
      <c r="E3106" s="22">
        <f>IF(D3106="?OLD","!!!","")</f>
        <v/>
      </c>
      <c r="F3106" s="23" t="str">
        <f>IF(OR(E3106="",E3106="!!!"),"",IF(NOT(ISNA(VLOOKUP(E3106,E$1:E3105,1,FALSE()))),"OLD",IF(AND(E3106&lt;&gt;"",E3106&lt;&gt;"!!!"),"NEW","")))</f>
        <v> </v>
      </c>
      <c r="G3106" s="24" t="str">
        <f>IF(OR(E3106="",E3106="!!!"),"",IF(OR(J3106=0,AND(J3106=1,K3106=1),AND(J3106=1,I3106="SBJ"),AND(J3106=1,I3106=0)),"?IN_FOCUS",IF(J3106&lt;=2,"?ACTIVATED",IF(J3106&lt;&gt;"","?FAMILIAR",IF(F3106="NEW",IF(ISNA(VLOOKUP(E3106,#REF!,1,FALSE())),"?TYPE_IDENTIFIABLE","?REFERENTIAL"),"_")))))</f>
        <v> </v>
      </c>
      <c r="H3106" s="25" t="str">
        <f>IF(J3106&lt;&gt;1,"",IF(I3106="SBJ","CB","?"))</f>
        <v> </v>
      </c>
      <c r="I3106" s="26" t="str">
        <f>IF(OR(E3106="",E3106="!!!",F3106="NEW"),"",INDEX(B3105:B$2,-1+SUMPRODUCT(MAX(ROW(E3105:E$2)*(E3106=E3105:E$2)))))</f>
        <v> </v>
      </c>
      <c r="J3106" s="26" t="str">
        <f>IF(OR(E3106="",E3106="!!!",F3106="NEW"),"",COUNTBLANK(OFFSET(A$1,,,SUMPRODUCT(MAX(ROW(E$2:E3106)*(E3106=E$2:E3106)))))-COUNTBLANK(OFFSET(A$1,,,SUMPRODUCT(MAX(ROW(E$1:E3105)*(E2=E$1:E3105))))))</f>
        <v> </v>
      </c>
      <c r="K3106" s="26" t="str">
        <f>IF(OR(E3106="",E3106="!!!",F3106="NEW"),"",INDEX(J$1:J3105,SUMPRODUCT(MAX(ROW(E$1:E3105)*(E3106=E$1:E3105)))))</f>
        <v> </v>
      </c>
      <c r="L3106" s="27"/>
    </row>
    <row r="3107" spans="1:12">
      <c r="A3107" s="20" t="s">
        <v>1545</v>
      </c>
      <c r="E3107" s="22">
        <f>IF(D3107="?OLD","!!!","")</f>
        <v/>
      </c>
      <c r="F3107" s="23" t="str">
        <f>IF(OR(E3107="",E3107="!!!"),"",IF(NOT(ISNA(VLOOKUP(E3107,E$1:E3106,1,FALSE()))),"OLD",IF(AND(E3107&lt;&gt;"",E3107&lt;&gt;"!!!"),"NEW","")))</f>
        <v> </v>
      </c>
      <c r="G3107" s="24" t="str">
        <f>IF(OR(E3107="",E3107="!!!"),"",IF(OR(J3107=0,AND(J3107=1,K3107=1),AND(J3107=1,I3107="SBJ"),AND(J3107=1,I3107=0)),"?IN_FOCUS",IF(J3107&lt;=2,"?ACTIVATED",IF(J3107&lt;&gt;"","?FAMILIAR",IF(F3107="NEW",IF(ISNA(VLOOKUP(E3107,#REF!,1,FALSE())),"?TYPE_IDENTIFIABLE","?REFERENTIAL"),"_")))))</f>
        <v> </v>
      </c>
      <c r="H3107" s="25" t="str">
        <f>IF(J3107&lt;&gt;1,"",IF(I3107="SBJ","CB","?"))</f>
        <v> </v>
      </c>
      <c r="I3107" s="26" t="str">
        <f>IF(OR(E3107="",E3107="!!!",F3107="NEW"),"",INDEX(B3106:B$2,-1+SUMPRODUCT(MAX(ROW(E3106:E$2)*(E3107=E3106:E$2)))))</f>
        <v> </v>
      </c>
      <c r="J3107" s="26" t="str">
        <f>IF(OR(E3107="",E3107="!!!",F3107="NEW"),"",COUNTBLANK(OFFSET(A$1,,,SUMPRODUCT(MAX(ROW(E$2:E3107)*(E3107=E$2:E3107)))))-COUNTBLANK(OFFSET(A$1,,,SUMPRODUCT(MAX(ROW(E$1:E3106)*(E2=E$1:E3106))))))</f>
        <v> </v>
      </c>
      <c r="K3107" s="26" t="str">
        <f>IF(OR(E3107="",E3107="!!!",F3107="NEW"),"",INDEX(J$1:J3106,SUMPRODUCT(MAX(ROW(E$1:E3106)*(E3107=E$1:E3106)))))</f>
        <v> </v>
      </c>
      <c r="L3107" s="27"/>
    </row>
    <row r="3108" spans="1:12">
      <c r="A3108" s="20" t="s">
        <v>1038</v>
      </c>
      <c r="B3108" s="21" t="s">
        <v>1026</v>
      </c>
      <c r="C3108" s="21" t="s">
        <v>1039</v>
      </c>
      <c r="D3108" s="21" t="s">
        <v>992</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1098</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1279</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1650</v>
      </c>
      <c r="B3111" s="21" t="s">
        <v>1015</v>
      </c>
      <c r="C3111" s="21" t="s">
        <v>1045</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1951</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231</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1098</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1057</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1155</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t="s">
        <v>1952</v>
      </c>
      <c r="E3117" s="22">
        <f>IF(D3117="?OLD","!!!","")</f>
        <v/>
      </c>
      <c r="F3117" s="23" t="str">
        <f>IF(OR(E3117="",E3117="!!!"),"",IF(NOT(ISNA(VLOOKUP(E3117,E$1:E3116,1,FALSE()))),"OLD",IF(AND(E3117&lt;&gt;"",E3117&lt;&gt;"!!!"),"NEW","")))</f>
        <v> </v>
      </c>
      <c r="G3117" s="24" t="str">
        <f>IF(OR(E3117="",E3117="!!!"),"",IF(OR(J3117=0,AND(J3117=1,K3117=1),AND(J3117=1,I3117="SBJ"),AND(J3117=1,I3117=0)),"?IN_FOCUS",IF(J3117&lt;=2,"?ACTIVATED",IF(J3117&lt;&gt;"","?FAMILIAR",IF(F3117="NEW",IF(ISNA(VLOOKUP(E3117,#REF!,1,FALSE())),"?TYPE_IDENTIFIABLE","?REFERENTIAL"),"_")))))</f>
        <v> </v>
      </c>
      <c r="H3117" s="25" t="str">
        <f>IF(J3117&lt;&gt;1,"",IF(I3117="SBJ","CB","?"))</f>
        <v> </v>
      </c>
      <c r="I3117" s="26" t="str">
        <f>IF(OR(E3117="",E3117="!!!",F3117="NEW"),"",INDEX(B3116:B$2,-1+SUMPRODUCT(MAX(ROW(E3116:E$2)*(E3117=E3116:E$2)))))</f>
        <v> </v>
      </c>
      <c r="J3117" s="26" t="str">
        <f>IF(OR(E3117="",E3117="!!!",F3117="NEW"),"",COUNTBLANK(OFFSET(A$1,,,SUMPRODUCT(MAX(ROW(E$2:E3117)*(E3117=E$2:E3117)))))-COUNTBLANK(OFFSET(A$1,,,SUMPRODUCT(MAX(ROW(E$1:E3116)*(E2=E$1:E3116))))))</f>
        <v> </v>
      </c>
      <c r="K3117" s="26" t="str">
        <f>IF(OR(E3117="",E3117="!!!",F3117="NEW"),"",INDEX(J$1:J3116,SUMPRODUCT(MAX(ROW(E$1:E3116)*(E3117=E$1:E3116)))))</f>
        <v> </v>
      </c>
      <c r="L3117" s="27"/>
    </row>
    <row r="3118" spans="1:12">
      <c r="A3118" s="20" t="s">
        <v>998</v>
      </c>
      <c r="E3118" s="22">
        <f>IF(D3118="?OLD","!!!","")</f>
        <v/>
      </c>
      <c r="F3118" s="23" t="str">
        <f>IF(OR(E3118="",E3118="!!!"),"",IF(NOT(ISNA(VLOOKUP(E3118,E$1:E3117,1,FALSE()))),"OLD",IF(AND(E3118&lt;&gt;"",E3118&lt;&gt;"!!!"),"NEW","")))</f>
        <v> </v>
      </c>
      <c r="G3118" s="24" t="str">
        <f>IF(OR(E3118="",E3118="!!!"),"",IF(OR(J3118=0,AND(J3118=1,K3118=1),AND(J3118=1,I3118="SBJ"),AND(J3118=1,I3118=0)),"?IN_FOCUS",IF(J3118&lt;=2,"?ACTIVATED",IF(J3118&lt;&gt;"","?FAMILIAR",IF(F3118="NEW",IF(ISNA(VLOOKUP(E3118,#REF!,1,FALSE())),"?TYPE_IDENTIFIABLE","?REFERENTIAL"),"_")))))</f>
        <v> </v>
      </c>
      <c r="H3118" s="25" t="str">
        <f>IF(J3118&lt;&gt;1,"",IF(I3118="SBJ","CB","?"))</f>
        <v> </v>
      </c>
      <c r="I3118" s="26" t="str">
        <f>IF(OR(E3118="",E3118="!!!",F3118="NEW"),"",INDEX(B3117:B$2,-1+SUMPRODUCT(MAX(ROW(E3117:E$2)*(E3118=E3117:E$2)))))</f>
        <v> </v>
      </c>
      <c r="J3118" s="26" t="str">
        <f>IF(OR(E3118="",E3118="!!!",F3118="NEW"),"",COUNTBLANK(OFFSET(A$1,,,SUMPRODUCT(MAX(ROW(E$2:E3118)*(E3118=E$2:E3118)))))-COUNTBLANK(OFFSET(A$1,,,SUMPRODUCT(MAX(ROW(E$1:E3117)*(E2=E$1:E3117))))))</f>
        <v> </v>
      </c>
      <c r="K3118" s="26" t="str">
        <f>IF(OR(E3118="",E3118="!!!",F3118="NEW"),"",INDEX(J$1:J3117,SUMPRODUCT(MAX(ROW(E$1:E3117)*(E3118=E$1:E3117)))))</f>
        <v> </v>
      </c>
      <c r="L3118" s="27"/>
    </row>
    <row r="3119" spans="1:12">
      <c r="A3119" s="20"/>
    </row>
    <row r="3120" spans="1:12">
      <c r="A3120" s="20" t="s">
        <v>1953</v>
      </c>
    </row>
    <row r="3121" spans="1:12">
      <c r="A3121" s="20" t="s">
        <v>1954</v>
      </c>
      <c r="E3121" s="22">
        <f>IF(D3121="?OLD","!!!","")</f>
        <v/>
      </c>
      <c r="F3121" s="23" t="str">
        <f>IF(OR(E3121="",E3121="!!!"),"",IF(NOT(ISNA(VLOOKUP(E3121,E$1:E3120,1,FALSE()))),"OLD",IF(AND(E3121&lt;&gt;"",E3121&lt;&gt;"!!!"),"NEW","")))</f>
        <v> </v>
      </c>
      <c r="G3121" s="24" t="str">
        <f>IF(OR(E3121="",E3121="!!!"),"",IF(OR(J3121=0,AND(J3121=1,K3121=1),AND(J3121=1,I3121="SBJ"),AND(J3121=1,I3121=0)),"?IN_FOCUS",IF(J3121&lt;=2,"?ACTIVATED",IF(J3121&lt;&gt;"","?FAMILIAR",IF(F3121="NEW",IF(ISNA(VLOOKUP(E3121,#REF!,1,FALSE())),"?TYPE_IDENTIFIABLE","?REFERENTIAL"),"_")))))</f>
        <v> </v>
      </c>
      <c r="H3121" s="25" t="str">
        <f>IF(J3121&lt;&gt;1,"",IF(I3121="SBJ","CB","?"))</f>
        <v> </v>
      </c>
      <c r="I3121" s="26" t="str">
        <f>IF(OR(E3121="",E3121="!!!",F3121="NEW"),"",INDEX(B3120:B$2,-1+SUMPRODUCT(MAX(ROW(E3120:E$2)*(E3121=E3120:E$2)))))</f>
        <v> </v>
      </c>
      <c r="J3121" s="26" t="str">
        <f>IF(OR(E3121="",E3121="!!!",F3121="NEW"),"",COUNTBLANK(OFFSET(A$1,,,SUMPRODUCT(MAX(ROW(E$2:E3121)*(E3121=E$2:E3121)))))-COUNTBLANK(OFFSET(A$1,,,SUMPRODUCT(MAX(ROW(E$1:E3120)*(E2=E$1:E3120))))))</f>
        <v> </v>
      </c>
      <c r="K3121" s="26" t="str">
        <f>IF(OR(E3121="",E3121="!!!",F3121="NEW"),"",INDEX(J$1:J3120,SUMPRODUCT(MAX(ROW(E$1:E3120)*(E3121=E$1:E3120)))))</f>
        <v> </v>
      </c>
      <c r="L3121" s="27"/>
    </row>
    <row r="3122" spans="1:12">
      <c r="A3122" s="20" t="s">
        <v>1024</v>
      </c>
      <c r="E3122" s="22">
        <f>IF(D3122="?OLD","!!!","")</f>
        <v/>
      </c>
      <c r="F3122" s="23" t="str">
        <f>IF(OR(E3122="",E3122="!!!"),"",IF(NOT(ISNA(VLOOKUP(E3122,E$1:E3121,1,FALSE()))),"OLD",IF(AND(E3122&lt;&gt;"",E3122&lt;&gt;"!!!"),"NEW","")))</f>
        <v> </v>
      </c>
      <c r="G3122" s="24" t="str">
        <f>IF(OR(E3122="",E3122="!!!"),"",IF(OR(J3122=0,AND(J3122=1,K3122=1),AND(J3122=1,I3122="SBJ"),AND(J3122=1,I3122=0)),"?IN_FOCUS",IF(J3122&lt;=2,"?ACTIVATED",IF(J3122&lt;&gt;"","?FAMILIAR",IF(F3122="NEW",IF(ISNA(VLOOKUP(E3122,#REF!,1,FALSE())),"?TYPE_IDENTIFIABLE","?REFERENTIAL"),"_")))))</f>
        <v> </v>
      </c>
      <c r="H3122" s="25" t="str">
        <f>IF(J3122&lt;&gt;1,"",IF(I3122="SBJ","CB","?"))</f>
        <v> </v>
      </c>
      <c r="I3122" s="26" t="str">
        <f>IF(OR(E3122="",E3122="!!!",F3122="NEW"),"",INDEX(B3121:B$2,-1+SUMPRODUCT(MAX(ROW(E3121:E$2)*(E3122=E3121:E$2)))))</f>
        <v> </v>
      </c>
      <c r="J3122" s="26" t="str">
        <f>IF(OR(E3122="",E3122="!!!",F3122="NEW"),"",COUNTBLANK(OFFSET(A$1,,,SUMPRODUCT(MAX(ROW(E$2:E3122)*(E3122=E$2:E3122)))))-COUNTBLANK(OFFSET(A$1,,,SUMPRODUCT(MAX(ROW(E$1:E3121)*(E2=E$1:E3121))))))</f>
        <v> </v>
      </c>
      <c r="K3122" s="26" t="str">
        <f>IF(OR(E3122="",E3122="!!!",F3122="NEW"),"",INDEX(J$1:J3121,SUMPRODUCT(MAX(ROW(E$1:E3121)*(E3122=E$1:E3121)))))</f>
        <v> </v>
      </c>
      <c r="L3122" s="27"/>
    </row>
    <row r="3123" spans="1:12">
      <c r="A3123" s="20" t="s">
        <v>1955</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1114</v>
      </c>
      <c r="B3124" s="21" t="s">
        <v>990</v>
      </c>
      <c r="C3124" s="21" t="s">
        <v>991</v>
      </c>
      <c r="D3124" s="21" t="s">
        <v>992</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1024</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689</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1063</v>
      </c>
      <c r="B3127" s="21" t="s">
        <v>1026</v>
      </c>
      <c r="C3127" s="21" t="s">
        <v>1039</v>
      </c>
      <c r="D3127" s="21" t="s">
        <v>992</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1501</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1011</v>
      </c>
      <c r="B3129" s="21" t="s">
        <v>1055</v>
      </c>
      <c r="C3129" s="21" t="s">
        <v>1003</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1183</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998</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row>
    <row r="3133" spans="1:12">
      <c r="A3133" s="20" t="s">
        <v>1956</v>
      </c>
    </row>
    <row r="3134" spans="1:12">
      <c r="A3134" s="20" t="s">
        <v>1326</v>
      </c>
      <c r="B3134" s="21" t="s">
        <v>990</v>
      </c>
      <c r="C3134" s="21" t="s">
        <v>1039</v>
      </c>
      <c r="D3134" s="21" t="s">
        <v>992</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689</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1011</v>
      </c>
      <c r="B3136" s="21" t="s">
        <v>1002</v>
      </c>
      <c r="C3136" s="21" t="s">
        <v>1039</v>
      </c>
      <c r="D3136" s="21" t="s">
        <v>992</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1183</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1024</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1111</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1057</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1957</v>
      </c>
      <c r="B3141" s="21" t="s">
        <v>1055</v>
      </c>
      <c r="C3141" s="21" t="s">
        <v>1022</v>
      </c>
      <c r="D3141" s="21" t="s">
        <v>992</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576</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1300</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1032</v>
      </c>
      <c r="B3144" s="21" t="s">
        <v>1036</v>
      </c>
      <c r="C3144" s="21" t="s">
        <v>1022</v>
      </c>
      <c r="D3144" s="21" t="s">
        <v>992</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1029</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1958</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998</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row>
    <row r="3149" spans="1:12">
      <c r="A3149" s="20" t="s">
        <v>1959</v>
      </c>
    </row>
    <row r="3150" spans="1:12">
      <c r="A3150" s="20" t="s">
        <v>1326</v>
      </c>
      <c r="B3150" s="21" t="s">
        <v>990</v>
      </c>
      <c r="C3150" s="21" t="s">
        <v>1039</v>
      </c>
      <c r="D3150" s="21" t="s">
        <v>992</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689</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1011</v>
      </c>
      <c r="B3152" s="21" t="s">
        <v>1002</v>
      </c>
      <c r="C3152" s="21" t="s">
        <v>1039</v>
      </c>
      <c r="D3152" s="21" t="s">
        <v>992</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1183</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1024</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1111</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1413</v>
      </c>
      <c r="B3156" s="21" t="s">
        <v>1055</v>
      </c>
      <c r="C3156" s="21" t="s">
        <v>1054</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1029</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106</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1024</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1019</v>
      </c>
      <c r="B3160" s="21" t="s">
        <v>1026</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1034</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576</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1300</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1032</v>
      </c>
      <c r="B3164" s="21" t="s">
        <v>1015</v>
      </c>
      <c r="C3164" s="21" t="s">
        <v>1022</v>
      </c>
      <c r="D3164" s="21" t="s">
        <v>992</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1108</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1960</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1024</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1413</v>
      </c>
      <c r="B3168" s="21" t="s">
        <v>1089</v>
      </c>
      <c r="C3168" s="21" t="s">
        <v>1054</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1019</v>
      </c>
      <c r="B3169" s="21" t="s">
        <v>1089</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1034</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1057</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1300</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1301</v>
      </c>
      <c r="B3173" s="21" t="s">
        <v>1036</v>
      </c>
      <c r="C3173" s="21" t="s">
        <v>1022</v>
      </c>
      <c r="D3173" s="21" t="s">
        <v>992</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1108</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1495</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1023</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1024</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231</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1063</v>
      </c>
      <c r="B3179" s="21" t="s">
        <v>1026</v>
      </c>
      <c r="C3179" s="21" t="s">
        <v>1039</v>
      </c>
      <c r="D3179" s="21" t="s">
        <v>992</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1961</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1346</v>
      </c>
      <c r="B3181" s="21" t="s">
        <v>1055</v>
      </c>
      <c r="C3181" s="21" t="s">
        <v>1039</v>
      </c>
      <c r="D3181" s="21" t="s">
        <v>992</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1282</v>
      </c>
      <c r="B3182" s="21" t="s">
        <v>1033</v>
      </c>
      <c r="C3182" s="21" t="s">
        <v>1039</v>
      </c>
      <c r="D3182" s="21" t="s">
        <v>992</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1063</v>
      </c>
      <c r="B3183" s="21" t="s">
        <v>1089</v>
      </c>
      <c r="C3183" s="21" t="s">
        <v>1039</v>
      </c>
      <c r="D3183" s="21" t="s">
        <v>992</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659</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1392</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1197</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t="s">
        <v>1040</v>
      </c>
      <c r="B3187" s="21" t="s">
        <v>1036</v>
      </c>
      <c r="C3187" s="21" t="s">
        <v>1022</v>
      </c>
      <c r="D3187" s="21" t="s">
        <v>992</v>
      </c>
      <c r="E3187" s="22">
        <f>IF(D3187="?OLD","!!!","")</f>
        <v/>
      </c>
      <c r="F3187" s="23" t="str">
        <f>IF(OR(E3187="",E3187="!!!"),"",IF(NOT(ISNA(VLOOKUP(E3187,E$1:E3186,1,FALSE()))),"OLD",IF(AND(E3187&lt;&gt;"",E3187&lt;&gt;"!!!"),"NEW","")))</f>
        <v> </v>
      </c>
      <c r="G3187" s="24" t="str">
        <f>IF(OR(E3187="",E3187="!!!"),"",IF(OR(J3187=0,AND(J3187=1,K3187=1),AND(J3187=1,I3187="SBJ"),AND(J3187=1,I3187=0)),"?IN_FOCUS",IF(J3187&lt;=2,"?ACTIVATED",IF(J3187&lt;&gt;"","?FAMILIAR",IF(F3187="NEW",IF(ISNA(VLOOKUP(E3187,#REF!,1,FALSE())),"?TYPE_IDENTIFIABLE","?REFERENTIAL"),"_")))))</f>
        <v> </v>
      </c>
      <c r="H3187" s="25" t="str">
        <f>IF(J3187&lt;&gt;1,"",IF(I3187="SBJ","CB","?"))</f>
        <v> </v>
      </c>
      <c r="I3187" s="26" t="str">
        <f>IF(OR(E3187="",E3187="!!!",F3187="NEW"),"",INDEX(B3186:B$2,-1+SUMPRODUCT(MAX(ROW(E3186:E$2)*(E3187=E3186:E$2)))))</f>
        <v> </v>
      </c>
      <c r="J3187" s="26" t="str">
        <f>IF(OR(E3187="",E3187="!!!",F3187="NEW"),"",COUNTBLANK(OFFSET(A$1,,,SUMPRODUCT(MAX(ROW(E$2:E3187)*(E3187=E$2:E3187)))))-COUNTBLANK(OFFSET(A$1,,,SUMPRODUCT(MAX(ROW(E$1:E3186)*(E2=E$1:E3186))))))</f>
        <v> </v>
      </c>
      <c r="K3187" s="26" t="str">
        <f>IF(OR(E3187="",E3187="!!!",F3187="NEW"),"",INDEX(J$1:J3186,SUMPRODUCT(MAX(ROW(E$1:E3186)*(E3187=E$1:E3186)))))</f>
        <v> </v>
      </c>
      <c r="L3187" s="27"/>
    </row>
    <row r="3188" spans="1:12">
      <c r="A3188" s="20" t="s">
        <v>998</v>
      </c>
      <c r="E3188" s="22">
        <f>IF(D3188="?OLD","!!!","")</f>
        <v/>
      </c>
      <c r="F3188" s="23" t="str">
        <f>IF(OR(E3188="",E3188="!!!"),"",IF(NOT(ISNA(VLOOKUP(E3188,E$1:E3187,1,FALSE()))),"OLD",IF(AND(E3188&lt;&gt;"",E3188&lt;&gt;"!!!"),"NEW","")))</f>
        <v> </v>
      </c>
      <c r="G3188" s="24" t="str">
        <f>IF(OR(E3188="",E3188="!!!"),"",IF(OR(J3188=0,AND(J3188=1,K3188=1),AND(J3188=1,I3188="SBJ"),AND(J3188=1,I3188=0)),"?IN_FOCUS",IF(J3188&lt;=2,"?ACTIVATED",IF(J3188&lt;&gt;"","?FAMILIAR",IF(F3188="NEW",IF(ISNA(VLOOKUP(E3188,#REF!,1,FALSE())),"?TYPE_IDENTIFIABLE","?REFERENTIAL"),"_")))))</f>
        <v> </v>
      </c>
      <c r="H3188" s="25" t="str">
        <f>IF(J3188&lt;&gt;1,"",IF(I3188="SBJ","CB","?"))</f>
        <v> </v>
      </c>
      <c r="I3188" s="26" t="str">
        <f>IF(OR(E3188="",E3188="!!!",F3188="NEW"),"",INDEX(B3187:B$2,-1+SUMPRODUCT(MAX(ROW(E3187:E$2)*(E3188=E3187:E$2)))))</f>
        <v> </v>
      </c>
      <c r="J3188" s="26" t="str">
        <f>IF(OR(E3188="",E3188="!!!",F3188="NEW"),"",COUNTBLANK(OFFSET(A$1,,,SUMPRODUCT(MAX(ROW(E$2:E3188)*(E3188=E$2:E3188)))))-COUNTBLANK(OFFSET(A$1,,,SUMPRODUCT(MAX(ROW(E$1:E3187)*(E2=E$1:E3187))))))</f>
        <v> </v>
      </c>
      <c r="K3188" s="26" t="str">
        <f>IF(OR(E3188="",E3188="!!!",F3188="NEW"),"",INDEX(J$1:J3187,SUMPRODUCT(MAX(ROW(E$1:E3187)*(E3188=E$1:E3187)))))</f>
        <v> </v>
      </c>
      <c r="L3188" s="27"/>
    </row>
    <row r="3189" spans="1:12">
      <c r="A3189" s="20"/>
    </row>
    <row r="3190" spans="1:12">
      <c r="A3190" s="20" t="s">
        <v>1962</v>
      </c>
    </row>
    <row r="3191" spans="1:12">
      <c r="A3191" s="20" t="s">
        <v>1423</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1019</v>
      </c>
      <c r="B3192" s="21" t="s">
        <v>990</v>
      </c>
      <c r="C3192" s="21" t="s">
        <v>1076</v>
      </c>
      <c r="D3192" s="21" t="s">
        <v>992</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1963</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1108</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1019</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1153</v>
      </c>
      <c r="B3196" s="21" t="s">
        <v>995</v>
      </c>
      <c r="C3196" s="21" t="s">
        <v>1022</v>
      </c>
      <c r="D3196" s="21" t="s">
        <v>992</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25</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998</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row>
    <row r="3200" spans="1:12">
      <c r="A3200" s="20" t="s">
        <v>1964</v>
      </c>
    </row>
    <row r="3201" spans="1:12">
      <c r="A3201" s="20" t="s">
        <v>1075</v>
      </c>
      <c r="B3201" s="21" t="s">
        <v>990</v>
      </c>
      <c r="C3201" s="21" t="s">
        <v>1076</v>
      </c>
      <c r="D3201" s="21" t="s">
        <v>992</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1023</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1019</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1965</v>
      </c>
      <c r="B3204" s="21" t="s">
        <v>995</v>
      </c>
      <c r="C3204" s="21" t="s">
        <v>1022</v>
      </c>
      <c r="D3204" s="21" t="s">
        <v>992</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998</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row>
    <row r="3207" spans="1:12">
      <c r="A3207" s="20" t="s">
        <v>1966</v>
      </c>
    </row>
    <row r="3208" spans="1:12">
      <c r="A3208" s="20" t="s">
        <v>1905</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1899</v>
      </c>
      <c r="B3209" s="21" t="s">
        <v>995</v>
      </c>
      <c r="C3209" s="21" t="s">
        <v>996</v>
      </c>
      <c r="D3209" s="21" t="s">
        <v>992</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1571</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1229</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82</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t="s">
        <v>1008</v>
      </c>
      <c r="B3213" s="21" t="s">
        <v>995</v>
      </c>
      <c r="C3213" s="21" t="s">
        <v>1009</v>
      </c>
      <c r="E3213" s="22">
        <f>IF(D3213="?OLD","!!!","")</f>
        <v/>
      </c>
      <c r="F3213" s="23" t="str">
        <f>IF(OR(E3213="",E3213="!!!"),"",IF(NOT(ISNA(VLOOKUP(E3213,E$1:E3212,1,FALSE()))),"OLD",IF(AND(E3213&lt;&gt;"",E3213&lt;&gt;"!!!"),"NEW","")))</f>
        <v> </v>
      </c>
      <c r="G3213" s="24" t="str">
        <f>IF(OR(E3213="",E3213="!!!"),"",IF(OR(J3213=0,AND(J3213=1,K3213=1),AND(J3213=1,I3213="SBJ"),AND(J3213=1,I3213=0)),"?IN_FOCUS",IF(J3213&lt;=2,"?ACTIVATED",IF(J3213&lt;&gt;"","?FAMILIAR",IF(F3213="NEW",IF(ISNA(VLOOKUP(E3213,#REF!,1,FALSE())),"?TYPE_IDENTIFIABLE","?REFERENTIAL"),"_")))))</f>
        <v> </v>
      </c>
      <c r="H3213" s="25" t="str">
        <f>IF(J3213&lt;&gt;1,"",IF(I3213="SBJ","CB","?"))</f>
        <v> </v>
      </c>
      <c r="I3213" s="26" t="str">
        <f>IF(OR(E3213="",E3213="!!!",F3213="NEW"),"",INDEX(B3212:B$2,-1+SUMPRODUCT(MAX(ROW(E3212:E$2)*(E3213=E3212:E$2)))))</f>
        <v> </v>
      </c>
      <c r="J3213" s="26" t="str">
        <f>IF(OR(E3213="",E3213="!!!",F3213="NEW"),"",COUNTBLANK(OFFSET(A$1,,,SUMPRODUCT(MAX(ROW(E$2:E3213)*(E3213=E$2:E3213)))))-COUNTBLANK(OFFSET(A$1,,,SUMPRODUCT(MAX(ROW(E$1:E3212)*(E2=E$1:E3212))))))</f>
        <v> </v>
      </c>
      <c r="K3213" s="26" t="str">
        <f>IF(OR(E3213="",E3213="!!!",F3213="NEW"),"",INDEX(J$1:J3212,SUMPRODUCT(MAX(ROW(E$1:E3212)*(E3213=E$1:E3212)))))</f>
        <v> </v>
      </c>
      <c r="L3213" s="27"/>
    </row>
    <row r="3214" spans="1:12">
      <c r="A3214" s="20" t="s">
        <v>1031</v>
      </c>
      <c r="E3214" s="22">
        <f>IF(D3214="?OLD","!!!","")</f>
        <v/>
      </c>
      <c r="F3214" s="23" t="str">
        <f>IF(OR(E3214="",E3214="!!!"),"",IF(NOT(ISNA(VLOOKUP(E3214,E$1:E3213,1,FALSE()))),"OLD",IF(AND(E3214&lt;&gt;"",E3214&lt;&gt;"!!!"),"NEW","")))</f>
        <v> </v>
      </c>
      <c r="G3214" s="24" t="str">
        <f>IF(OR(E3214="",E3214="!!!"),"",IF(OR(J3214=0,AND(J3214=1,K3214=1),AND(J3214=1,I3214="SBJ"),AND(J3214=1,I3214=0)),"?IN_FOCUS",IF(J3214&lt;=2,"?ACTIVATED",IF(J3214&lt;&gt;"","?FAMILIAR",IF(F3214="NEW",IF(ISNA(VLOOKUP(E3214,#REF!,1,FALSE())),"?TYPE_IDENTIFIABLE","?REFERENTIAL"),"_")))))</f>
        <v> </v>
      </c>
      <c r="H3214" s="25" t="str">
        <f>IF(J3214&lt;&gt;1,"",IF(I3214="SBJ","CB","?"))</f>
        <v> </v>
      </c>
      <c r="I3214" s="26" t="str">
        <f>IF(OR(E3214="",E3214="!!!",F3214="NEW"),"",INDEX(B3213:B$2,-1+SUMPRODUCT(MAX(ROW(E3213:E$2)*(E3214=E3213:E$2)))))</f>
        <v> </v>
      </c>
      <c r="J3214" s="26" t="str">
        <f>IF(OR(E3214="",E3214="!!!",F3214="NEW"),"",COUNTBLANK(OFFSET(A$1,,,SUMPRODUCT(MAX(ROW(E$2:E3214)*(E3214=E$2:E3214)))))-COUNTBLANK(OFFSET(A$1,,,SUMPRODUCT(MAX(ROW(E$1:E3213)*(E2=E$1:E3213))))))</f>
        <v> </v>
      </c>
      <c r="K3214" s="26" t="str">
        <f>IF(OR(E3214="",E3214="!!!",F3214="NEW"),"",INDEX(J$1:J3213,SUMPRODUCT(MAX(ROW(E$1:E3213)*(E3214=E$1:E3213)))))</f>
        <v> </v>
      </c>
      <c r="L3214" s="27"/>
    </row>
    <row r="3215" spans="1:12">
      <c r="A3215" s="20" t="s">
        <v>1911</v>
      </c>
      <c r="B3215" s="21" t="s">
        <v>990</v>
      </c>
      <c r="C3215" s="21" t="s">
        <v>1022</v>
      </c>
      <c r="D3215" s="21" t="s">
        <v>992</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1108</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1322</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998</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row>
    <row r="3220" spans="1:12">
      <c r="A3220" s="20" t="s">
        <v>1967</v>
      </c>
    </row>
    <row r="3221" spans="1:12">
      <c r="A3221" s="20" t="s">
        <v>1193</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1968</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576</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1915</v>
      </c>
      <c r="B3224" s="21" t="s">
        <v>990</v>
      </c>
      <c r="C3224" s="21" t="s">
        <v>1022</v>
      </c>
      <c r="D3224" s="21" t="s">
        <v>992</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1024</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1183</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1969</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1929</v>
      </c>
      <c r="B3228" s="21" t="s">
        <v>1033</v>
      </c>
      <c r="C3228" s="21" t="s">
        <v>1045</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t="s">
        <v>1970</v>
      </c>
      <c r="E3229" s="22">
        <f>IF(D3229="?OLD","!!!","")</f>
        <v/>
      </c>
      <c r="F3229" s="23" t="str">
        <f>IF(OR(E3229="",E3229="!!!"),"",IF(NOT(ISNA(VLOOKUP(E3229,E$1:E3228,1,FALSE()))),"OLD",IF(AND(E3229&lt;&gt;"",E3229&lt;&gt;"!!!"),"NEW","")))</f>
        <v> </v>
      </c>
      <c r="G3229" s="24" t="str">
        <f>IF(OR(E3229="",E3229="!!!"),"",IF(OR(J3229=0,AND(J3229=1,K3229=1),AND(J3229=1,I3229="SBJ"),AND(J3229=1,I3229=0)),"?IN_FOCUS",IF(J3229&lt;=2,"?ACTIVATED",IF(J3229&lt;&gt;"","?FAMILIAR",IF(F3229="NEW",IF(ISNA(VLOOKUP(E3229,#REF!,1,FALSE())),"?TYPE_IDENTIFIABLE","?REFERENTIAL"),"_")))))</f>
        <v> </v>
      </c>
      <c r="H3229" s="25" t="str">
        <f>IF(J3229&lt;&gt;1,"",IF(I3229="SBJ","CB","?"))</f>
        <v> </v>
      </c>
      <c r="I3229" s="26" t="str">
        <f>IF(OR(E3229="",E3229="!!!",F3229="NEW"),"",INDEX(B3228:B$2,-1+SUMPRODUCT(MAX(ROW(E3228:E$2)*(E3229=E3228:E$2)))))</f>
        <v> </v>
      </c>
      <c r="J3229" s="26" t="str">
        <f>IF(OR(E3229="",E3229="!!!",F3229="NEW"),"",COUNTBLANK(OFFSET(A$1,,,SUMPRODUCT(MAX(ROW(E$2:E3229)*(E3229=E$2:E3229)))))-COUNTBLANK(OFFSET(A$1,,,SUMPRODUCT(MAX(ROW(E$1:E3228)*(E2=E$1:E3228))))))</f>
        <v> </v>
      </c>
      <c r="K3229" s="26" t="str">
        <f>IF(OR(E3229="",E3229="!!!",F3229="NEW"),"",INDEX(J$1:J3228,SUMPRODUCT(MAX(ROW(E$1:E3228)*(E3229=E$1:E3228)))))</f>
        <v> </v>
      </c>
      <c r="L3229" s="27"/>
    </row>
    <row r="3230" spans="1:12">
      <c r="A3230" s="20" t="s">
        <v>998</v>
      </c>
      <c r="E3230" s="22">
        <f>IF(D3230="?OLD","!!!","")</f>
        <v/>
      </c>
      <c r="F3230" s="23" t="str">
        <f>IF(OR(E3230="",E3230="!!!"),"",IF(NOT(ISNA(VLOOKUP(E3230,E$1:E3229,1,FALSE()))),"OLD",IF(AND(E3230&lt;&gt;"",E3230&lt;&gt;"!!!"),"NEW","")))</f>
        <v> </v>
      </c>
      <c r="G3230" s="24" t="str">
        <f>IF(OR(E3230="",E3230="!!!"),"",IF(OR(J3230=0,AND(J3230=1,K3230=1),AND(J3230=1,I3230="SBJ"),AND(J3230=1,I3230=0)),"?IN_FOCUS",IF(J3230&lt;=2,"?ACTIVATED",IF(J3230&lt;&gt;"","?FAMILIAR",IF(F3230="NEW",IF(ISNA(VLOOKUP(E3230,#REF!,1,FALSE())),"?TYPE_IDENTIFIABLE","?REFERENTIAL"),"_")))))</f>
        <v> </v>
      </c>
      <c r="H3230" s="25" t="str">
        <f>IF(J3230&lt;&gt;1,"",IF(I3230="SBJ","CB","?"))</f>
        <v> </v>
      </c>
      <c r="I3230" s="26" t="str">
        <f>IF(OR(E3230="",E3230="!!!",F3230="NEW"),"",INDEX(B3229:B$2,-1+SUMPRODUCT(MAX(ROW(E3229:E$2)*(E3230=E3229:E$2)))))</f>
        <v> </v>
      </c>
      <c r="J3230" s="26" t="str">
        <f>IF(OR(E3230="",E3230="!!!",F3230="NEW"),"",COUNTBLANK(OFFSET(A$1,,,SUMPRODUCT(MAX(ROW(E$2:E3230)*(E3230=E$2:E3230)))))-COUNTBLANK(OFFSET(A$1,,,SUMPRODUCT(MAX(ROW(E$1:E3229)*(E2=E$1:E3229))))))</f>
        <v> </v>
      </c>
      <c r="K3230" s="26" t="str">
        <f>IF(OR(E3230="",E3230="!!!",F3230="NEW"),"",INDEX(J$1:J3229,SUMPRODUCT(MAX(ROW(E$1:E3229)*(E3230=E$1:E3229)))))</f>
        <v> </v>
      </c>
      <c r="L3230" s="27"/>
    </row>
    <row r="3231" spans="1:12">
      <c r="A3231" s="20"/>
    </row>
    <row r="3232" spans="1:12">
      <c r="A3232" s="20" t="s">
        <v>1971</v>
      </c>
    </row>
    <row r="3233" spans="1:12">
      <c r="A3233" s="20" t="s">
        <v>1206</v>
      </c>
      <c r="B3233" s="21" t="s">
        <v>990</v>
      </c>
      <c r="C3233" s="21" t="s">
        <v>991</v>
      </c>
      <c r="D3233" s="21" t="s">
        <v>992</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1972</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1019</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1908</v>
      </c>
      <c r="B3236" s="21" t="s">
        <v>1002</v>
      </c>
      <c r="C3236" s="21" t="s">
        <v>1022</v>
      </c>
      <c r="D3236" s="21" t="s">
        <v>992</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1034</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1973</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1974</v>
      </c>
      <c r="B3239" s="21" t="s">
        <v>995</v>
      </c>
      <c r="C3239" s="21" t="s">
        <v>1009</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998</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row>
    <row r="3242" spans="1:12">
      <c r="A3242" s="20" t="s">
        <v>1975</v>
      </c>
    </row>
    <row r="3243" spans="1:12">
      <c r="A3243" s="20" t="s">
        <v>1206</v>
      </c>
      <c r="B3243" s="21" t="s">
        <v>990</v>
      </c>
      <c r="C3243" s="21" t="s">
        <v>991</v>
      </c>
      <c r="D3243" s="21" t="s">
        <v>992</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1952</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t="s">
        <v>1183</v>
      </c>
      <c r="E3245" s="22">
        <f>IF(D3245="?OLD","!!!","")</f>
        <v/>
      </c>
      <c r="F3245" s="23" t="str">
        <f>IF(OR(E3245="",E3245="!!!"),"",IF(NOT(ISNA(VLOOKUP(E3245,E$1:E3244,1,FALSE()))),"OLD",IF(AND(E3245&lt;&gt;"",E3245&lt;&gt;"!!!"),"NEW","")))</f>
        <v> </v>
      </c>
      <c r="G3245" s="24" t="str">
        <f>IF(OR(E3245="",E3245="!!!"),"",IF(OR(J3245=0,AND(J3245=1,K3245=1),AND(J3245=1,I3245="SBJ"),AND(J3245=1,I3245=0)),"?IN_FOCUS",IF(J3245&lt;=2,"?ACTIVATED",IF(J3245&lt;&gt;"","?FAMILIAR",IF(F3245="NEW",IF(ISNA(VLOOKUP(E3245,#REF!,1,FALSE())),"?TYPE_IDENTIFIABLE","?REFERENTIAL"),"_")))))</f>
        <v> </v>
      </c>
      <c r="H3245" s="25" t="str">
        <f>IF(J3245&lt;&gt;1,"",IF(I3245="SBJ","CB","?"))</f>
        <v> </v>
      </c>
      <c r="I3245" s="26" t="str">
        <f>IF(OR(E3245="",E3245="!!!",F3245="NEW"),"",INDEX(B3244:B$2,-1+SUMPRODUCT(MAX(ROW(E3244:E$2)*(E3245=E3244:E$2)))))</f>
        <v> </v>
      </c>
      <c r="J3245" s="26" t="str">
        <f>IF(OR(E3245="",E3245="!!!",F3245="NEW"),"",COUNTBLANK(OFFSET(A$1,,,SUMPRODUCT(MAX(ROW(E$2:E3245)*(E3245=E$2:E3245)))))-COUNTBLANK(OFFSET(A$1,,,SUMPRODUCT(MAX(ROW(E$1:E3244)*(E2=E$1:E3244))))))</f>
        <v> </v>
      </c>
      <c r="K3245" s="26" t="str">
        <f>IF(OR(E3245="",E3245="!!!",F3245="NEW"),"",INDEX(J$1:J3244,SUMPRODUCT(MAX(ROW(E$1:E3244)*(E3245=E$1:E3244)))))</f>
        <v> </v>
      </c>
      <c r="L3245" s="27"/>
    </row>
    <row r="3246" spans="1:12">
      <c r="A3246" s="20" t="s">
        <v>1929</v>
      </c>
      <c r="B3246" s="21" t="s">
        <v>1055</v>
      </c>
      <c r="C3246" s="21" t="s">
        <v>1045</v>
      </c>
      <c r="E3246" s="22">
        <f>IF(D3246="?OLD","!!!","")</f>
        <v/>
      </c>
      <c r="F3246" s="23" t="str">
        <f>IF(OR(E3246="",E3246="!!!"),"",IF(NOT(ISNA(VLOOKUP(E3246,E$1:E3245,1,FALSE()))),"OLD",IF(AND(E3246&lt;&gt;"",E3246&lt;&gt;"!!!"),"NEW","")))</f>
        <v> </v>
      </c>
      <c r="G3246" s="24" t="str">
        <f>IF(OR(E3246="",E3246="!!!"),"",IF(OR(J3246=0,AND(J3246=1,K3246=1),AND(J3246=1,I3246="SBJ"),AND(J3246=1,I3246=0)),"?IN_FOCUS",IF(J3246&lt;=2,"?ACTIVATED",IF(J3246&lt;&gt;"","?FAMILIAR",IF(F3246="NEW",IF(ISNA(VLOOKUP(E3246,#REF!,1,FALSE())),"?TYPE_IDENTIFIABLE","?REFERENTIAL"),"_")))))</f>
        <v> </v>
      </c>
      <c r="H3246" s="25" t="str">
        <f>IF(J3246&lt;&gt;1,"",IF(I3246="SBJ","CB","?"))</f>
        <v> </v>
      </c>
      <c r="I3246" s="26" t="str">
        <f>IF(OR(E3246="",E3246="!!!",F3246="NEW"),"",INDEX(B3245:B$2,-1+SUMPRODUCT(MAX(ROW(E3245:E$2)*(E3246=E3245:E$2)))))</f>
        <v> </v>
      </c>
      <c r="J3246" s="26" t="str">
        <f>IF(OR(E3246="",E3246="!!!",F3246="NEW"),"",COUNTBLANK(OFFSET(A$1,,,SUMPRODUCT(MAX(ROW(E$2:E3246)*(E3246=E$2:E3246)))))-COUNTBLANK(OFFSET(A$1,,,SUMPRODUCT(MAX(ROW(E$1:E3245)*(E2=E$1:E3245))))))</f>
        <v> </v>
      </c>
      <c r="K3246" s="26" t="str">
        <f>IF(OR(E3246="",E3246="!!!",F3246="NEW"),"",INDEX(J$1:J3245,SUMPRODUCT(MAX(ROW(E$1:E3245)*(E3246=E$1:E3245)))))</f>
        <v> </v>
      </c>
      <c r="L3246" s="27"/>
    </row>
    <row r="3247" spans="1:12">
      <c r="A3247" s="20" t="s">
        <v>231</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1031</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1976</v>
      </c>
      <c r="B3249" s="21" t="s">
        <v>1036</v>
      </c>
      <c r="C3249" s="21" t="s">
        <v>1022</v>
      </c>
      <c r="D3249" s="21" t="s">
        <v>992</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1977</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1029</v>
      </c>
      <c r="B3251" s="21" t="s">
        <v>1036</v>
      </c>
      <c r="C3251" s="21" t="s">
        <v>1054</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1279</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1244</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1978</v>
      </c>
      <c r="B3254" s="21" t="s">
        <v>1015</v>
      </c>
      <c r="C3254" s="21" t="s">
        <v>1045</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1979</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998</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row>
    <row r="3258" spans="1:12">
      <c r="A3258" s="20" t="s">
        <v>1980</v>
      </c>
    </row>
    <row r="3259" spans="1:12">
      <c r="A3259" s="20" t="s">
        <v>1206</v>
      </c>
      <c r="B3259" s="21" t="s">
        <v>990</v>
      </c>
      <c r="C3259" s="21" t="s">
        <v>991</v>
      </c>
      <c r="D3259" s="21" t="s">
        <v>992</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1981</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t="s">
        <v>1909</v>
      </c>
      <c r="B3261" s="21" t="s">
        <v>1002</v>
      </c>
      <c r="C3261" s="21" t="s">
        <v>996</v>
      </c>
      <c r="D3261" s="21" t="s">
        <v>992</v>
      </c>
      <c r="E3261" s="22">
        <f>IF(D3261="?OLD","!!!","")</f>
        <v/>
      </c>
      <c r="F3261" s="23" t="str">
        <f>IF(OR(E3261="",E3261="!!!"),"",IF(NOT(ISNA(VLOOKUP(E3261,E$1:E3260,1,FALSE()))),"OLD",IF(AND(E3261&lt;&gt;"",E3261&lt;&gt;"!!!"),"NEW","")))</f>
        <v> </v>
      </c>
      <c r="G3261" s="24" t="str">
        <f>IF(OR(E3261="",E3261="!!!"),"",IF(OR(J3261=0,AND(J3261=1,K3261=1),AND(J3261=1,I3261="SBJ"),AND(J3261=1,I3261=0)),"?IN_FOCUS",IF(J3261&lt;=2,"?ACTIVATED",IF(J3261&lt;&gt;"","?FAMILIAR",IF(F3261="NEW",IF(ISNA(VLOOKUP(E3261,#REF!,1,FALSE())),"?TYPE_IDENTIFIABLE","?REFERENTIAL"),"_")))))</f>
        <v> </v>
      </c>
      <c r="H3261" s="25" t="str">
        <f>IF(J3261&lt;&gt;1,"",IF(I3261="SBJ","CB","?"))</f>
        <v> </v>
      </c>
      <c r="I3261" s="26" t="str">
        <f>IF(OR(E3261="",E3261="!!!",F3261="NEW"),"",INDEX(B3260:B$2,-1+SUMPRODUCT(MAX(ROW(E3260:E$2)*(E3261=E3260:E$2)))))</f>
        <v> </v>
      </c>
      <c r="J3261" s="26" t="str">
        <f>IF(OR(E3261="",E3261="!!!",F3261="NEW"),"",COUNTBLANK(OFFSET(A$1,,,SUMPRODUCT(MAX(ROW(E$2:E3261)*(E3261=E$2:E3261)))))-COUNTBLANK(OFFSET(A$1,,,SUMPRODUCT(MAX(ROW(E$1:E3260)*(E2=E$1:E3260))))))</f>
        <v> </v>
      </c>
      <c r="K3261" s="26" t="str">
        <f>IF(OR(E3261="",E3261="!!!",F3261="NEW"),"",INDEX(J$1:J3260,SUMPRODUCT(MAX(ROW(E$1:E3260)*(E3261=E$1:E3260)))))</f>
        <v> </v>
      </c>
      <c r="L3261" s="27"/>
    </row>
    <row r="3262" spans="1:12">
      <c r="A3262" s="20" t="s">
        <v>231</v>
      </c>
      <c r="E3262" s="22">
        <f>IF(D3262="?OLD","!!!","")</f>
        <v/>
      </c>
      <c r="F3262" s="23" t="str">
        <f>IF(OR(E3262="",E3262="!!!"),"",IF(NOT(ISNA(VLOOKUP(E3262,E$1:E3261,1,FALSE()))),"OLD",IF(AND(E3262&lt;&gt;"",E3262&lt;&gt;"!!!"),"NEW","")))</f>
        <v> </v>
      </c>
      <c r="G3262" s="24" t="str">
        <f>IF(OR(E3262="",E3262="!!!"),"",IF(OR(J3262=0,AND(J3262=1,K3262=1),AND(J3262=1,I3262="SBJ"),AND(J3262=1,I3262=0)),"?IN_FOCUS",IF(J3262&lt;=2,"?ACTIVATED",IF(J3262&lt;&gt;"","?FAMILIAR",IF(F3262="NEW",IF(ISNA(VLOOKUP(E3262,#REF!,1,FALSE())),"?TYPE_IDENTIFIABLE","?REFERENTIAL"),"_")))))</f>
        <v> </v>
      </c>
      <c r="H3262" s="25" t="str">
        <f>IF(J3262&lt;&gt;1,"",IF(I3262="SBJ","CB","?"))</f>
        <v> </v>
      </c>
      <c r="I3262" s="26" t="str">
        <f>IF(OR(E3262="",E3262="!!!",F3262="NEW"),"",INDEX(B3261:B$2,-1+SUMPRODUCT(MAX(ROW(E3261:E$2)*(E3262=E3261:E$2)))))</f>
        <v> </v>
      </c>
      <c r="J3262" s="26" t="str">
        <f>IF(OR(E3262="",E3262="!!!",F3262="NEW"),"",COUNTBLANK(OFFSET(A$1,,,SUMPRODUCT(MAX(ROW(E$2:E3262)*(E3262=E$2:E3262)))))-COUNTBLANK(OFFSET(A$1,,,SUMPRODUCT(MAX(ROW(E$1:E3261)*(E2=E$1:E3261))))))</f>
        <v> </v>
      </c>
      <c r="K3262" s="26" t="str">
        <f>IF(OR(E3262="",E3262="!!!",F3262="NEW"),"",INDEX(J$1:J3261,SUMPRODUCT(MAX(ROW(E$1:E3261)*(E3262=E$1:E3261)))))</f>
        <v> </v>
      </c>
      <c r="L3262" s="27"/>
    </row>
    <row r="3263" spans="1:12">
      <c r="A3263" s="20" t="s">
        <v>1982</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1347</v>
      </c>
      <c r="B3264" s="21" t="s">
        <v>1055</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1118</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1031</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1983</v>
      </c>
      <c r="B3267" s="21" t="s">
        <v>1015</v>
      </c>
      <c r="C3267" s="21" t="s">
        <v>1022</v>
      </c>
      <c r="D3267" s="21" t="s">
        <v>992</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1229</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1202</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1984</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1315</v>
      </c>
      <c r="B3271" s="21" t="s">
        <v>1036</v>
      </c>
      <c r="C3271" s="21" t="s">
        <v>1045</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998</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row>
    <row r="3274" spans="1:12">
      <c r="A3274" s="20" t="s">
        <v>1985</v>
      </c>
    </row>
    <row r="3275" spans="1:12">
      <c r="A3275" s="20" t="s">
        <v>1206</v>
      </c>
      <c r="B3275" s="21" t="s">
        <v>990</v>
      </c>
      <c r="C3275" s="21" t="s">
        <v>991</v>
      </c>
      <c r="D3275" s="21" t="s">
        <v>992</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t="s">
        <v>1986</v>
      </c>
      <c r="E3276" s="22">
        <f>IF(D3276="?OLD","!!!","")</f>
        <v/>
      </c>
      <c r="F3276" s="23" t="str">
        <f>IF(OR(E3276="",E3276="!!!"),"",IF(NOT(ISNA(VLOOKUP(E3276,E$1:E3275,1,FALSE()))),"OLD",IF(AND(E3276&lt;&gt;"",E3276&lt;&gt;"!!!"),"NEW","")))</f>
        <v> </v>
      </c>
      <c r="G3276" s="24" t="str">
        <f>IF(OR(E3276="",E3276="!!!"),"",IF(OR(J3276=0,AND(J3276=1,K3276=1),AND(J3276=1,I3276="SBJ"),AND(J3276=1,I3276=0)),"?IN_FOCUS",IF(J3276&lt;=2,"?ACTIVATED",IF(J3276&lt;&gt;"","?FAMILIAR",IF(F3276="NEW",IF(ISNA(VLOOKUP(E3276,#REF!,1,FALSE())),"?TYPE_IDENTIFIABLE","?REFERENTIAL"),"_")))))</f>
        <v> </v>
      </c>
      <c r="H3276" s="25" t="str">
        <f>IF(J3276&lt;&gt;1,"",IF(I3276="SBJ","CB","?"))</f>
        <v> </v>
      </c>
      <c r="I3276" s="26" t="str">
        <f>IF(OR(E3276="",E3276="!!!",F3276="NEW"),"",INDEX(B3275:B$2,-1+SUMPRODUCT(MAX(ROW(E3275:E$2)*(E3276=E3275:E$2)))))</f>
        <v> </v>
      </c>
      <c r="J3276" s="26" t="str">
        <f>IF(OR(E3276="",E3276="!!!",F3276="NEW"),"",COUNTBLANK(OFFSET(A$1,,,SUMPRODUCT(MAX(ROW(E$2:E3276)*(E3276=E$2:E3276)))))-COUNTBLANK(OFFSET(A$1,,,SUMPRODUCT(MAX(ROW(E$1:E3275)*(E2=E$1:E3275))))))</f>
        <v> </v>
      </c>
      <c r="K3276" s="26" t="str">
        <f>IF(OR(E3276="",E3276="!!!",F3276="NEW"),"",INDEX(J$1:J3275,SUMPRODUCT(MAX(ROW(E$1:E3275)*(E3276=E$1:E3275)))))</f>
        <v> </v>
      </c>
      <c r="L3276" s="27"/>
    </row>
    <row r="3277" spans="1:12">
      <c r="A3277" s="20" t="s">
        <v>1987</v>
      </c>
      <c r="E3277" s="22">
        <f>IF(D3277="?OLD","!!!","")</f>
        <v/>
      </c>
      <c r="F3277" s="23" t="str">
        <f>IF(OR(E3277="",E3277="!!!"),"",IF(NOT(ISNA(VLOOKUP(E3277,E$1:E3276,1,FALSE()))),"OLD",IF(AND(E3277&lt;&gt;"",E3277&lt;&gt;"!!!"),"NEW","")))</f>
        <v> </v>
      </c>
      <c r="G3277" s="24" t="str">
        <f>IF(OR(E3277="",E3277="!!!"),"",IF(OR(J3277=0,AND(J3277=1,K3277=1),AND(J3277=1,I3277="SBJ"),AND(J3277=1,I3277=0)),"?IN_FOCUS",IF(J3277&lt;=2,"?ACTIVATED",IF(J3277&lt;&gt;"","?FAMILIAR",IF(F3277="NEW",IF(ISNA(VLOOKUP(E3277,#REF!,1,FALSE())),"?TYPE_IDENTIFIABLE","?REFERENTIAL"),"_")))))</f>
        <v> </v>
      </c>
      <c r="H3277" s="25" t="str">
        <f>IF(J3277&lt;&gt;1,"",IF(I3277="SBJ","CB","?"))</f>
        <v> </v>
      </c>
      <c r="I3277" s="26" t="str">
        <f>IF(OR(E3277="",E3277="!!!",F3277="NEW"),"",INDEX(B3276:B$2,-1+SUMPRODUCT(MAX(ROW(E3276:E$2)*(E3277=E3276:E$2)))))</f>
        <v> </v>
      </c>
      <c r="J3277" s="26" t="str">
        <f>IF(OR(E3277="",E3277="!!!",F3277="NEW"),"",COUNTBLANK(OFFSET(A$1,,,SUMPRODUCT(MAX(ROW(E$2:E3277)*(E3277=E$2:E3277)))))-COUNTBLANK(OFFSET(A$1,,,SUMPRODUCT(MAX(ROW(E$1:E3276)*(E2=E$1:E3276))))))</f>
        <v> </v>
      </c>
      <c r="K3277" s="26" t="str">
        <f>IF(OR(E3277="",E3277="!!!",F3277="NEW"),"",INDEX(J$1:J3276,SUMPRODUCT(MAX(ROW(E$1:E3276)*(E3277=E$1:E3276)))))</f>
        <v> </v>
      </c>
      <c r="L3277" s="27"/>
    </row>
    <row r="3278" spans="1:12">
      <c r="A3278" s="20" t="s">
        <v>1173</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1087</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1050</v>
      </c>
      <c r="B3280" s="21" t="s">
        <v>1002</v>
      </c>
      <c r="C3280" s="21" t="s">
        <v>1009</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1988</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1024</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1037</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1025</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1989</v>
      </c>
      <c r="B3285" s="21" t="s">
        <v>1026</v>
      </c>
      <c r="C3285" s="21" t="s">
        <v>1003</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1029</v>
      </c>
      <c r="B3286" s="21" t="s">
        <v>1036</v>
      </c>
      <c r="C3286" s="21" t="s">
        <v>1054</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1057</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1175</v>
      </c>
      <c r="B3288" s="21" t="s">
        <v>1015</v>
      </c>
      <c r="C3288" s="21" t="s">
        <v>1022</v>
      </c>
      <c r="D3288" s="21" t="s">
        <v>992</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1888</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231</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1990</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1056</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1057</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1991</v>
      </c>
      <c r="B3294" s="21" t="s">
        <v>1015</v>
      </c>
      <c r="C3294" s="21" t="s">
        <v>1022</v>
      </c>
      <c r="D3294" s="21" t="s">
        <v>992</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1229</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1202</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1992</v>
      </c>
      <c r="B3297" s="21" t="s">
        <v>1015</v>
      </c>
      <c r="C3297" s="21" t="s">
        <v>1045</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1024</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1034</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576</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1038</v>
      </c>
      <c r="B3301" s="21" t="s">
        <v>1234</v>
      </c>
      <c r="C3301" s="21" t="s">
        <v>1039</v>
      </c>
      <c r="D3301" s="21" t="s">
        <v>992</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1993</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1994</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998</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row>
    <row r="3306" spans="1:12">
      <c r="A3306" s="20" t="s">
        <v>1995</v>
      </c>
    </row>
    <row r="3307" spans="1:12">
      <c r="A3307" s="20" t="s">
        <v>1075</v>
      </c>
      <c r="B3307" s="21" t="s">
        <v>990</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1513</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727</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1024</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1376</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1167</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row>
    <row r="3314" spans="1:12">
      <c r="A3314" s="20" t="s">
        <v>1996</v>
      </c>
    </row>
    <row r="3315" spans="1:12">
      <c r="A3315" s="20" t="s">
        <v>1423</v>
      </c>
      <c r="E3315" s="22">
        <f>IF(D3315="?OLD","!!!","")</f>
        <v/>
      </c>
      <c r="F3315" s="23" t="str">
        <f>IF(OR(E3315="",E3315="!!!"),"",IF(NOT(ISNA(VLOOKUP(E3315,E$1:E3314,1,FALSE()))),"OLD",IF(AND(E3315&lt;&gt;"",E3315&lt;&gt;"!!!"),"NEW","")))</f>
        <v> </v>
      </c>
      <c r="G3315" s="24" t="str">
        <f>IF(OR(E3315="",E3315="!!!"),"",IF(OR(J3315=0,AND(J3315=1,K3315=1),AND(J3315=1,I3315="SBJ"),AND(J3315=1,I3315=0)),"?IN_FOCUS",IF(J3315&lt;=2,"?ACTIVATED",IF(J3315&lt;&gt;"","?FAMILIAR",IF(F3315="NEW",IF(ISNA(VLOOKUP(E3315,#REF!,1,FALSE())),"?TYPE_IDENTIFIABLE","?REFERENTIAL"),"_")))))</f>
        <v> </v>
      </c>
      <c r="H3315" s="25" t="str">
        <f>IF(J3315&lt;&gt;1,"",IF(I3315="SBJ","CB","?"))</f>
        <v> </v>
      </c>
      <c r="I3315" s="26" t="str">
        <f>IF(OR(E3315="",E3315="!!!",F3315="NEW"),"",INDEX(B3314:B$2,-1+SUMPRODUCT(MAX(ROW(E3314:E$2)*(E3315=E3314:E$2)))))</f>
        <v> </v>
      </c>
      <c r="J3315" s="26" t="str">
        <f>IF(OR(E3315="",E3315="!!!",F3315="NEW"),"",COUNTBLANK(OFFSET(A$1,,,SUMPRODUCT(MAX(ROW(E$2:E3315)*(E3315=E$2:E3315)))))-COUNTBLANK(OFFSET(A$1,,,SUMPRODUCT(MAX(ROW(E$1:E3314)*(E2=E$1:E3314))))))</f>
        <v> </v>
      </c>
      <c r="K3315" s="26" t="str">
        <f>IF(OR(E3315="",E3315="!!!",F3315="NEW"),"",INDEX(J$1:J3314,SUMPRODUCT(MAX(ROW(E$1:E3314)*(E3315=E$1:E3314)))))</f>
        <v> </v>
      </c>
      <c r="L3315" s="27"/>
    </row>
    <row r="3316" spans="1:12">
      <c r="A3316" s="20" t="s">
        <v>1997</v>
      </c>
      <c r="E3316" s="22">
        <f>IF(D3316="?OLD","!!!","")</f>
        <v/>
      </c>
      <c r="F3316" s="23" t="str">
        <f>IF(OR(E3316="",E3316="!!!"),"",IF(NOT(ISNA(VLOOKUP(E3316,E$1:E3315,1,FALSE()))),"OLD",IF(AND(E3316&lt;&gt;"",E3316&lt;&gt;"!!!"),"NEW","")))</f>
        <v> </v>
      </c>
      <c r="G3316" s="24" t="str">
        <f>IF(OR(E3316="",E3316="!!!"),"",IF(OR(J3316=0,AND(J3316=1,K3316=1),AND(J3316=1,I3316="SBJ"),AND(J3316=1,I3316=0)),"?IN_FOCUS",IF(J3316&lt;=2,"?ACTIVATED",IF(J3316&lt;&gt;"","?FAMILIAR",IF(F3316="NEW",IF(ISNA(VLOOKUP(E3316,#REF!,1,FALSE())),"?TYPE_IDENTIFIABLE","?REFERENTIAL"),"_")))))</f>
        <v> </v>
      </c>
      <c r="H3316" s="25" t="str">
        <f>IF(J3316&lt;&gt;1,"",IF(I3316="SBJ","CB","?"))</f>
        <v> </v>
      </c>
      <c r="I3316" s="26" t="str">
        <f>IF(OR(E3316="",E3316="!!!",F3316="NEW"),"",INDEX(B3315:B$2,-1+SUMPRODUCT(MAX(ROW(E3315:E$2)*(E3316=E3315:E$2)))))</f>
        <v> </v>
      </c>
      <c r="J3316" s="26" t="str">
        <f>IF(OR(E3316="",E3316="!!!",F3316="NEW"),"",COUNTBLANK(OFFSET(A$1,,,SUMPRODUCT(MAX(ROW(E$2:E3316)*(E3316=E$2:E3316)))))-COUNTBLANK(OFFSET(A$1,,,SUMPRODUCT(MAX(ROW(E$1:E3315)*(E2=E$1:E3315))))))</f>
        <v> </v>
      </c>
      <c r="K3316" s="26" t="str">
        <f>IF(OR(E3316="",E3316="!!!",F3316="NEW"),"",INDEX(J$1:J3315,SUMPRODUCT(MAX(ROW(E$1:E3315)*(E3316=E$1:E3315)))))</f>
        <v> </v>
      </c>
      <c r="L3316" s="27"/>
    </row>
    <row r="3317" spans="1:12">
      <c r="A3317" s="20" t="s">
        <v>1998</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12</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1999</v>
      </c>
      <c r="B3319" s="21" t="s">
        <v>990</v>
      </c>
      <c r="C3319" s="21" t="s">
        <v>1003</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117</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1024</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1116</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1031</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t="s">
        <v>2000</v>
      </c>
      <c r="B3324" s="21" t="s">
        <v>1026</v>
      </c>
      <c r="C3324" s="21" t="s">
        <v>1022</v>
      </c>
      <c r="D3324" s="21" t="s">
        <v>992</v>
      </c>
      <c r="E3324" s="22">
        <f>IF(D3324="?OLD","!!!","")</f>
        <v/>
      </c>
      <c r="F3324" s="23" t="str">
        <f>IF(OR(E3324="",E3324="!!!"),"",IF(NOT(ISNA(VLOOKUP(E3324,E$1:E3323,1,FALSE()))),"OLD",IF(AND(E3324&lt;&gt;"",E3324&lt;&gt;"!!!"),"NEW","")))</f>
        <v> </v>
      </c>
      <c r="G3324" s="24" t="str">
        <f>IF(OR(E3324="",E3324="!!!"),"",IF(OR(J3324=0,AND(J3324=1,K3324=1),AND(J3324=1,I3324="SBJ"),AND(J3324=1,I3324=0)),"?IN_FOCUS",IF(J3324&lt;=2,"?ACTIVATED",IF(J3324&lt;&gt;"","?FAMILIAR",IF(F3324="NEW",IF(ISNA(VLOOKUP(E3324,#REF!,1,FALSE())),"?TYPE_IDENTIFIABLE","?REFERENTIAL"),"_")))))</f>
        <v> </v>
      </c>
      <c r="H3324" s="25" t="str">
        <f>IF(J3324&lt;&gt;1,"",IF(I3324="SBJ","CB","?"))</f>
        <v> </v>
      </c>
      <c r="I3324" s="26" t="str">
        <f>IF(OR(E3324="",E3324="!!!",F3324="NEW"),"",INDEX(B3323:B$2,-1+SUMPRODUCT(MAX(ROW(E3323:E$2)*(E3324=E3323:E$2)))))</f>
        <v> </v>
      </c>
      <c r="J3324" s="26" t="str">
        <f>IF(OR(E3324="",E3324="!!!",F3324="NEW"),"",COUNTBLANK(OFFSET(A$1,,,SUMPRODUCT(MAX(ROW(E$2:E3324)*(E3324=E$2:E3324)))))-COUNTBLANK(OFFSET(A$1,,,SUMPRODUCT(MAX(ROW(E$1:E3323)*(E2=E$1:E3323))))))</f>
        <v> </v>
      </c>
      <c r="K3324" s="26" t="str">
        <f>IF(OR(E3324="",E3324="!!!",F3324="NEW"),"",INDEX(J$1:J3323,SUMPRODUCT(MAX(ROW(E$1:E3323)*(E3324=E$1:E3323)))))</f>
        <v> </v>
      </c>
      <c r="L3324" s="27"/>
    </row>
    <row r="3325" spans="1:12">
      <c r="A3325" s="20" t="s">
        <v>1024</v>
      </c>
      <c r="E3325" s="22">
        <f>IF(D3325="?OLD","!!!","")</f>
        <v/>
      </c>
      <c r="F3325" s="23" t="str">
        <f>IF(OR(E3325="",E3325="!!!"),"",IF(NOT(ISNA(VLOOKUP(E3325,E$1:E3324,1,FALSE()))),"OLD",IF(AND(E3325&lt;&gt;"",E3325&lt;&gt;"!!!"),"NEW","")))</f>
        <v> </v>
      </c>
      <c r="G3325" s="24" t="str">
        <f>IF(OR(E3325="",E3325="!!!"),"",IF(OR(J3325=0,AND(J3325=1,K3325=1),AND(J3325=1,I3325="SBJ"),AND(J3325=1,I3325=0)),"?IN_FOCUS",IF(J3325&lt;=2,"?ACTIVATED",IF(J3325&lt;&gt;"","?FAMILIAR",IF(F3325="NEW",IF(ISNA(VLOOKUP(E3325,#REF!,1,FALSE())),"?TYPE_IDENTIFIABLE","?REFERENTIAL"),"_")))))</f>
        <v> </v>
      </c>
      <c r="H3325" s="25" t="str">
        <f>IF(J3325&lt;&gt;1,"",IF(I3325="SBJ","CB","?"))</f>
        <v> </v>
      </c>
      <c r="I3325" s="26" t="str">
        <f>IF(OR(E3325="",E3325="!!!",F3325="NEW"),"",INDEX(B3324:B$2,-1+SUMPRODUCT(MAX(ROW(E3324:E$2)*(E3325=E3324:E$2)))))</f>
        <v> </v>
      </c>
      <c r="J3325" s="26" t="str">
        <f>IF(OR(E3325="",E3325="!!!",F3325="NEW"),"",COUNTBLANK(OFFSET(A$1,,,SUMPRODUCT(MAX(ROW(E$2:E3325)*(E3325=E$2:E3325)))))-COUNTBLANK(OFFSET(A$1,,,SUMPRODUCT(MAX(ROW(E$1:E3324)*(E2=E$1:E3324))))))</f>
        <v> </v>
      </c>
      <c r="K3325" s="26" t="str">
        <f>IF(OR(E3325="",E3325="!!!",F3325="NEW"),"",INDEX(J$1:J3324,SUMPRODUCT(MAX(ROW(E$1:E3324)*(E3325=E$1:E3324)))))</f>
        <v> </v>
      </c>
      <c r="L3325" s="27"/>
    </row>
    <row r="3326" spans="1:12">
      <c r="A3326" s="20" t="s">
        <v>1031</v>
      </c>
      <c r="B3326" s="21" t="s">
        <v>1234</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2001</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1019</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2002</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2003</v>
      </c>
      <c r="B3330" s="21" t="s">
        <v>1356</v>
      </c>
      <c r="C3330" s="21" t="s">
        <v>1022</v>
      </c>
      <c r="D3330" s="21" t="s">
        <v>992</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2004</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1024</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1031</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t="s">
        <v>1735</v>
      </c>
      <c r="E3334" s="22">
        <f>IF(D3334="?OLD","!!!","")</f>
        <v/>
      </c>
      <c r="F3334" s="23" t="str">
        <f>IF(OR(E3334="",E3334="!!!"),"",IF(NOT(ISNA(VLOOKUP(E3334,E$1:E3333,1,FALSE()))),"OLD",IF(AND(E3334&lt;&gt;"",E3334&lt;&gt;"!!!"),"NEW","")))</f>
        <v> </v>
      </c>
      <c r="G3334" s="24" t="str">
        <f>IF(OR(E3334="",E3334="!!!"),"",IF(OR(J3334=0,AND(J3334=1,K3334=1),AND(J3334=1,I3334="SBJ"),AND(J3334=1,I3334=0)),"?IN_FOCUS",IF(J3334&lt;=2,"?ACTIVATED",IF(J3334&lt;&gt;"","?FAMILIAR",IF(F3334="NEW",IF(ISNA(VLOOKUP(E3334,#REF!,1,FALSE())),"?TYPE_IDENTIFIABLE","?REFERENTIAL"),"_")))))</f>
        <v> </v>
      </c>
      <c r="H3334" s="25" t="str">
        <f>IF(J3334&lt;&gt;1,"",IF(I3334="SBJ","CB","?"))</f>
        <v> </v>
      </c>
      <c r="I3334" s="26" t="str">
        <f>IF(OR(E3334="",E3334="!!!",F3334="NEW"),"",INDEX(B3333:B$2,-1+SUMPRODUCT(MAX(ROW(E3333:E$2)*(E3334=E3333:E$2)))))</f>
        <v> </v>
      </c>
      <c r="J3334" s="26" t="str">
        <f>IF(OR(E3334="",E3334="!!!",F3334="NEW"),"",COUNTBLANK(OFFSET(A$1,,,SUMPRODUCT(MAX(ROW(E$2:E3334)*(E3334=E$2:E3334)))))-COUNTBLANK(OFFSET(A$1,,,SUMPRODUCT(MAX(ROW(E$1:E3333)*(E2=E$1:E3333))))))</f>
        <v> </v>
      </c>
      <c r="K3334" s="26" t="str">
        <f>IF(OR(E3334="",E3334="!!!",F3334="NEW"),"",INDEX(J$1:J3333,SUMPRODUCT(MAX(ROW(E$1:E3333)*(E3334=E$1:E3333)))))</f>
        <v> </v>
      </c>
      <c r="L3334" s="27"/>
    </row>
    <row r="3335" spans="1:12">
      <c r="A3335" s="20" t="s">
        <v>1998</v>
      </c>
      <c r="B3335" s="21" t="s">
        <v>1055</v>
      </c>
      <c r="C3335" s="21" t="s">
        <v>1022</v>
      </c>
      <c r="D3335" s="21" t="s">
        <v>992</v>
      </c>
      <c r="E3335" s="22">
        <f>IF(D3335="?OLD","!!!","")</f>
        <v/>
      </c>
      <c r="F3335" s="23" t="str">
        <f>IF(OR(E3335="",E3335="!!!"),"",IF(NOT(ISNA(VLOOKUP(E3335,E$1:E3334,1,FALSE()))),"OLD",IF(AND(E3335&lt;&gt;"",E3335&lt;&gt;"!!!"),"NEW","")))</f>
        <v> </v>
      </c>
      <c r="G3335" s="24" t="str">
        <f>IF(OR(E3335="",E3335="!!!"),"",IF(OR(J3335=0,AND(J3335=1,K3335=1),AND(J3335=1,I3335="SBJ"),AND(J3335=1,I3335=0)),"?IN_FOCUS",IF(J3335&lt;=2,"?ACTIVATED",IF(J3335&lt;&gt;"","?FAMILIAR",IF(F3335="NEW",IF(ISNA(VLOOKUP(E3335,#REF!,1,FALSE())),"?TYPE_IDENTIFIABLE","?REFERENTIAL"),"_")))))</f>
        <v> </v>
      </c>
      <c r="H3335" s="25" t="str">
        <f>IF(J3335&lt;&gt;1,"",IF(I3335="SBJ","CB","?"))</f>
        <v> </v>
      </c>
      <c r="I3335" s="26" t="str">
        <f>IF(OR(E3335="",E3335="!!!",F3335="NEW"),"",INDEX(B3334:B$2,-1+SUMPRODUCT(MAX(ROW(E3334:E$2)*(E3335=E3334:E$2)))))</f>
        <v> </v>
      </c>
      <c r="J3335" s="26" t="str">
        <f>IF(OR(E3335="",E3335="!!!",F3335="NEW"),"",COUNTBLANK(OFFSET(A$1,,,SUMPRODUCT(MAX(ROW(E$2:E3335)*(E3335=E$2:E3335)))))-COUNTBLANK(OFFSET(A$1,,,SUMPRODUCT(MAX(ROW(E$1:E3334)*(E2=E$1:E3334))))))</f>
        <v> </v>
      </c>
      <c r="K3335" s="26" t="str">
        <f>IF(OR(E3335="",E3335="!!!",F3335="NEW"),"",INDEX(J$1:J3334,SUMPRODUCT(MAX(ROW(E$1:E3334)*(E3335=E$1:E3334)))))</f>
        <v> </v>
      </c>
      <c r="L3335" s="27"/>
    </row>
    <row r="3336" spans="1:12">
      <c r="A3336" s="20" t="s">
        <v>1037</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1031</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1896</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2005</v>
      </c>
      <c r="B3339" s="21" t="s">
        <v>1036</v>
      </c>
      <c r="C3339" s="21" t="s">
        <v>1022</v>
      </c>
      <c r="D3339" s="21" t="s">
        <v>992</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2006</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998</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row>
    <row r="3343" spans="1:12">
      <c r="A3343" s="20" t="s">
        <v>2007</v>
      </c>
    </row>
    <row r="3344" spans="1:12">
      <c r="A3344" s="20" t="s">
        <v>2008</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2009</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2010</v>
      </c>
      <c r="B3346" s="21" t="s">
        <v>990</v>
      </c>
      <c r="C3346" s="21" t="s">
        <v>1003</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1564</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1029</v>
      </c>
      <c r="B3348" s="21" t="s">
        <v>1015</v>
      </c>
      <c r="C3348" s="21" t="s">
        <v>1054</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576</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2011</v>
      </c>
      <c r="B3350" s="21" t="s">
        <v>995</v>
      </c>
      <c r="C3350" s="21" t="s">
        <v>1022</v>
      </c>
      <c r="D3350" s="21" t="s">
        <v>992</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1024</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1116</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1899</v>
      </c>
      <c r="B3353" s="21" t="s">
        <v>1089</v>
      </c>
      <c r="C3353" s="21" t="s">
        <v>996</v>
      </c>
      <c r="D3353" s="21" t="s">
        <v>992</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2012</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1488</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636</v>
      </c>
      <c r="B3356" s="21" t="s">
        <v>1033</v>
      </c>
      <c r="C3356" s="21" t="s">
        <v>1003</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1273</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2013</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998</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row>
    <row r="3361" spans="1:12">
      <c r="A3361" s="20" t="s">
        <v>2014</v>
      </c>
    </row>
    <row r="3362" spans="1:12">
      <c r="A3362" s="20" t="s">
        <v>1013</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2015</v>
      </c>
      <c r="B3363" s="21" t="s">
        <v>990</v>
      </c>
      <c r="C3363" s="21" t="s">
        <v>1003</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2016</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1999</v>
      </c>
      <c r="B3365" s="21" t="s">
        <v>1002</v>
      </c>
      <c r="C3365" s="21" t="s">
        <v>1003</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1202</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2017</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t="s">
        <v>2018</v>
      </c>
      <c r="B3368" s="21" t="s">
        <v>1015</v>
      </c>
      <c r="C3368" s="21" t="s">
        <v>1045</v>
      </c>
      <c r="E3368" s="22">
        <f>IF(D3368="?OLD","!!!","")</f>
        <v/>
      </c>
      <c r="F3368" s="23" t="str">
        <f>IF(OR(E3368="",E3368="!!!"),"",IF(NOT(ISNA(VLOOKUP(E3368,E$1:E3367,1,FALSE()))),"OLD",IF(AND(E3368&lt;&gt;"",E3368&lt;&gt;"!!!"),"NEW","")))</f>
        <v> </v>
      </c>
      <c r="G3368" s="24" t="str">
        <f>IF(OR(E3368="",E3368="!!!"),"",IF(OR(J3368=0,AND(J3368=1,K3368=1),AND(J3368=1,I3368="SBJ"),AND(J3368=1,I3368=0)),"?IN_FOCUS",IF(J3368&lt;=2,"?ACTIVATED",IF(J3368&lt;&gt;"","?FAMILIAR",IF(F3368="NEW",IF(ISNA(VLOOKUP(E3368,#REF!,1,FALSE())),"?TYPE_IDENTIFIABLE","?REFERENTIAL"),"_")))))</f>
        <v> </v>
      </c>
      <c r="H3368" s="25" t="str">
        <f>IF(J3368&lt;&gt;1,"",IF(I3368="SBJ","CB","?"))</f>
        <v> </v>
      </c>
      <c r="I3368" s="26" t="str">
        <f>IF(OR(E3368="",E3368="!!!",F3368="NEW"),"",INDEX(B3367:B$2,-1+SUMPRODUCT(MAX(ROW(E3367:E$2)*(E3368=E3367:E$2)))))</f>
        <v> </v>
      </c>
      <c r="J3368" s="26" t="str">
        <f>IF(OR(E3368="",E3368="!!!",F3368="NEW"),"",COUNTBLANK(OFFSET(A$1,,,SUMPRODUCT(MAX(ROW(E$2:E3368)*(E3368=E$2:E3368)))))-COUNTBLANK(OFFSET(A$1,,,SUMPRODUCT(MAX(ROW(E$1:E3367)*(E2=E$1:E3367))))))</f>
        <v> </v>
      </c>
      <c r="K3368" s="26" t="str">
        <f>IF(OR(E3368="",E3368="!!!",F3368="NEW"),"",INDEX(J$1:J3367,SUMPRODUCT(MAX(ROW(E$1:E3367)*(E3368=E$1:E3367)))))</f>
        <v> </v>
      </c>
      <c r="L3368" s="27"/>
    </row>
    <row r="3369" spans="1:12">
      <c r="A3369" s="20" t="s">
        <v>1024</v>
      </c>
      <c r="E3369" s="22">
        <f>IF(D3369="?OLD","!!!","")</f>
        <v/>
      </c>
      <c r="F3369" s="23" t="str">
        <f>IF(OR(E3369="",E3369="!!!"),"",IF(NOT(ISNA(VLOOKUP(E3369,E$1:E3368,1,FALSE()))),"OLD",IF(AND(E3369&lt;&gt;"",E3369&lt;&gt;"!!!"),"NEW","")))</f>
        <v> </v>
      </c>
      <c r="G3369" s="24" t="str">
        <f>IF(OR(E3369="",E3369="!!!"),"",IF(OR(J3369=0,AND(J3369=1,K3369=1),AND(J3369=1,I3369="SBJ"),AND(J3369=1,I3369=0)),"?IN_FOCUS",IF(J3369&lt;=2,"?ACTIVATED",IF(J3369&lt;&gt;"","?FAMILIAR",IF(F3369="NEW",IF(ISNA(VLOOKUP(E3369,#REF!,1,FALSE())),"?TYPE_IDENTIFIABLE","?REFERENTIAL"),"_")))))</f>
        <v> </v>
      </c>
      <c r="H3369" s="25" t="str">
        <f>IF(J3369&lt;&gt;1,"",IF(I3369="SBJ","CB","?"))</f>
        <v> </v>
      </c>
      <c r="I3369" s="26" t="str">
        <f>IF(OR(E3369="",E3369="!!!",F3369="NEW"),"",INDEX(B3368:B$2,-1+SUMPRODUCT(MAX(ROW(E3368:E$2)*(E3369=E3368:E$2)))))</f>
        <v> </v>
      </c>
      <c r="J3369" s="26" t="str">
        <f>IF(OR(E3369="",E3369="!!!",F3369="NEW"),"",COUNTBLANK(OFFSET(A$1,,,SUMPRODUCT(MAX(ROW(E$2:E3369)*(E3369=E$2:E3369)))))-COUNTBLANK(OFFSET(A$1,,,SUMPRODUCT(MAX(ROW(E$1:E3368)*(E2=E$1:E3368))))))</f>
        <v> </v>
      </c>
      <c r="K3369" s="26" t="str">
        <f>IF(OR(E3369="",E3369="!!!",F3369="NEW"),"",INDEX(J$1:J3368,SUMPRODUCT(MAX(ROW(E$1:E3368)*(E3369=E$1:E3368)))))</f>
        <v> </v>
      </c>
      <c r="L3369" s="27"/>
    </row>
    <row r="3370" spans="1:12">
      <c r="A3370" s="20" t="s">
        <v>1031</v>
      </c>
      <c r="B3370" s="21" t="s">
        <v>1234</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1796</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90</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1505</v>
      </c>
      <c r="B3373" s="21" t="s">
        <v>1060</v>
      </c>
      <c r="C3373" s="21" t="s">
        <v>1009</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2019</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1024</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1282</v>
      </c>
      <c r="B3376" s="21" t="s">
        <v>1026</v>
      </c>
      <c r="C3376" s="21" t="s">
        <v>1039</v>
      </c>
      <c r="D3376" s="21" t="s">
        <v>992</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1031</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1911</v>
      </c>
      <c r="B3378" s="21" t="s">
        <v>1055</v>
      </c>
      <c r="C3378" s="21" t="s">
        <v>1022</v>
      </c>
      <c r="D3378" s="21" t="s">
        <v>992</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t="s">
        <v>2020</v>
      </c>
      <c r="E3379" s="22">
        <f>IF(D3379="?OLD","!!!","")</f>
        <v/>
      </c>
      <c r="F3379" s="23" t="str">
        <f>IF(OR(E3379="",E3379="!!!"),"",IF(NOT(ISNA(VLOOKUP(E3379,E$1:E3378,1,FALSE()))),"OLD",IF(AND(E3379&lt;&gt;"",E3379&lt;&gt;"!!!"),"NEW","")))</f>
        <v> </v>
      </c>
      <c r="G3379" s="24" t="str">
        <f>IF(OR(E3379="",E3379="!!!"),"",IF(OR(J3379=0,AND(J3379=1,K3379=1),AND(J3379=1,I3379="SBJ"),AND(J3379=1,I3379=0)),"?IN_FOCUS",IF(J3379&lt;=2,"?ACTIVATED",IF(J3379&lt;&gt;"","?FAMILIAR",IF(F3379="NEW",IF(ISNA(VLOOKUP(E3379,#REF!,1,FALSE())),"?TYPE_IDENTIFIABLE","?REFERENTIAL"),"_")))))</f>
        <v> </v>
      </c>
      <c r="H3379" s="25" t="str">
        <f>IF(J3379&lt;&gt;1,"",IF(I3379="SBJ","CB","?"))</f>
        <v> </v>
      </c>
      <c r="I3379" s="26" t="str">
        <f>IF(OR(E3379="",E3379="!!!",F3379="NEW"),"",INDEX(B3378:B$2,-1+SUMPRODUCT(MAX(ROW(E3378:E$2)*(E3379=E3378:E$2)))))</f>
        <v> </v>
      </c>
      <c r="J3379" s="26" t="str">
        <f>IF(OR(E3379="",E3379="!!!",F3379="NEW"),"",COUNTBLANK(OFFSET(A$1,,,SUMPRODUCT(MAX(ROW(E$2:E3379)*(E3379=E$2:E3379)))))-COUNTBLANK(OFFSET(A$1,,,SUMPRODUCT(MAX(ROW(E$1:E3378)*(E2=E$1:E3378))))))</f>
        <v> </v>
      </c>
      <c r="K3379" s="26" t="str">
        <f>IF(OR(E3379="",E3379="!!!",F3379="NEW"),"",INDEX(J$1:J3378,SUMPRODUCT(MAX(ROW(E$1:E3378)*(E3379=E$1:E3378)))))</f>
        <v> </v>
      </c>
      <c r="L3379" s="27"/>
    </row>
    <row r="3380" spans="1:12">
      <c r="A3380" s="20" t="s">
        <v>1387</v>
      </c>
      <c r="E3380" s="22">
        <f>IF(D3380="?OLD","!!!","")</f>
        <v/>
      </c>
      <c r="F3380" s="23" t="str">
        <f>IF(OR(E3380="",E3380="!!!"),"",IF(NOT(ISNA(VLOOKUP(E3380,E$1:E3379,1,FALSE()))),"OLD",IF(AND(E3380&lt;&gt;"",E3380&lt;&gt;"!!!"),"NEW","")))</f>
        <v> </v>
      </c>
      <c r="G3380" s="24" t="str">
        <f>IF(OR(E3380="",E3380="!!!"),"",IF(OR(J3380=0,AND(J3380=1,K3380=1),AND(J3380=1,I3380="SBJ"),AND(J3380=1,I3380=0)),"?IN_FOCUS",IF(J3380&lt;=2,"?ACTIVATED",IF(J3380&lt;&gt;"","?FAMILIAR",IF(F3380="NEW",IF(ISNA(VLOOKUP(E3380,#REF!,1,FALSE())),"?TYPE_IDENTIFIABLE","?REFERENTIAL"),"_")))))</f>
        <v> </v>
      </c>
      <c r="H3380" s="25" t="str">
        <f>IF(J3380&lt;&gt;1,"",IF(I3380="SBJ","CB","?"))</f>
        <v> </v>
      </c>
      <c r="I3380" s="26" t="str">
        <f>IF(OR(E3380="",E3380="!!!",F3380="NEW"),"",INDEX(B3379:B$2,-1+SUMPRODUCT(MAX(ROW(E3379:E$2)*(E3380=E3379:E$2)))))</f>
        <v> </v>
      </c>
      <c r="J3380" s="26" t="str">
        <f>IF(OR(E3380="",E3380="!!!",F3380="NEW"),"",COUNTBLANK(OFFSET(A$1,,,SUMPRODUCT(MAX(ROW(E$2:E3380)*(E3380=E$2:E3380)))))-COUNTBLANK(OFFSET(A$1,,,SUMPRODUCT(MAX(ROW(E$1:E3379)*(E2=E$1:E3379))))))</f>
        <v> </v>
      </c>
      <c r="K3380" s="26" t="str">
        <f>IF(OR(E3380="",E3380="!!!",F3380="NEW"),"",INDEX(J$1:J3379,SUMPRODUCT(MAX(ROW(E$1:E3379)*(E3380=E$1:E3379)))))</f>
        <v> </v>
      </c>
      <c r="L3380" s="27"/>
    </row>
    <row r="3381" spans="1:12">
      <c r="A3381" s="20" t="s">
        <v>998</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row>
    <row r="3383" spans="1:12">
      <c r="A3383" s="20" t="s">
        <v>2021</v>
      </c>
    </row>
    <row r="3384" spans="1:12">
      <c r="A3384" s="20" t="s">
        <v>1193</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1387</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1123</v>
      </c>
      <c r="B3386" s="21" t="s">
        <v>1015</v>
      </c>
      <c r="C3386" s="21" t="s">
        <v>1076</v>
      </c>
      <c r="D3386" s="21" t="s">
        <v>992</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1488</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636</v>
      </c>
      <c r="B3388" s="21" t="s">
        <v>1002</v>
      </c>
      <c r="C3388" s="21" t="s">
        <v>1121</v>
      </c>
      <c r="D3388" s="21" t="s">
        <v>992</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604</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998</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row>
    <row r="3392" spans="1:12">
      <c r="A3392" s="20" t="s">
        <v>2022</v>
      </c>
    </row>
    <row r="3393" spans="1:12">
      <c r="A3393" s="20" t="s">
        <v>1081</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29</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1038</v>
      </c>
      <c r="B3395" s="21" t="s">
        <v>1026</v>
      </c>
      <c r="C3395" s="21" t="s">
        <v>1039</v>
      </c>
      <c r="D3395" s="21" t="s">
        <v>992</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1273</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2023</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2024</v>
      </c>
      <c r="B3398" s="21" t="s">
        <v>1002</v>
      </c>
      <c r="C3398" s="21" t="s">
        <v>1316</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2025</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1040</v>
      </c>
      <c r="B3400" s="21" t="s">
        <v>995</v>
      </c>
      <c r="C3400" s="21" t="s">
        <v>1003</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2026</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1024</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1545</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1038</v>
      </c>
      <c r="B3404" s="21" t="s">
        <v>1026</v>
      </c>
      <c r="C3404" s="21" t="s">
        <v>1039</v>
      </c>
      <c r="D3404" s="21" t="s">
        <v>992</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1347</v>
      </c>
      <c r="B3405" s="21" t="s">
        <v>1055</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82</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1505</v>
      </c>
      <c r="B3407" s="21" t="s">
        <v>1036</v>
      </c>
      <c r="C3407" s="21" t="s">
        <v>1009</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1950</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1034</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1011</v>
      </c>
      <c r="B3410" s="21" t="s">
        <v>1015</v>
      </c>
      <c r="C3410" s="21" t="s">
        <v>1003</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2027</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29</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231</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t="s">
        <v>1946</v>
      </c>
      <c r="E3414" s="22">
        <f>IF(D3414="?OLD","!!!","")</f>
        <v/>
      </c>
      <c r="F3414" s="23" t="str">
        <f>IF(OR(E3414="",E3414="!!!"),"",IF(NOT(ISNA(VLOOKUP(E3414,E$1:E3413,1,FALSE()))),"OLD",IF(AND(E3414&lt;&gt;"",E3414&lt;&gt;"!!!"),"NEW","")))</f>
        <v> </v>
      </c>
      <c r="G3414" s="24" t="str">
        <f>IF(OR(E3414="",E3414="!!!"),"",IF(OR(J3414=0,AND(J3414=1,K3414=1),AND(J3414=1,I3414="SBJ"),AND(J3414=1,I3414=0)),"?IN_FOCUS",IF(J3414&lt;=2,"?ACTIVATED",IF(J3414&lt;&gt;"","?FAMILIAR",IF(F3414="NEW",IF(ISNA(VLOOKUP(E3414,#REF!,1,FALSE())),"?TYPE_IDENTIFIABLE","?REFERENTIAL"),"_")))))</f>
        <v> </v>
      </c>
      <c r="H3414" s="25" t="str">
        <f>IF(J3414&lt;&gt;1,"",IF(I3414="SBJ","CB","?"))</f>
        <v> </v>
      </c>
      <c r="I3414" s="26" t="str">
        <f>IF(OR(E3414="",E3414="!!!",F3414="NEW"),"",INDEX(B3413:B$2,-1+SUMPRODUCT(MAX(ROW(E3413:E$2)*(E3414=E3413:E$2)))))</f>
        <v> </v>
      </c>
      <c r="J3414" s="26" t="str">
        <f>IF(OR(E3414="",E3414="!!!",F3414="NEW"),"",COUNTBLANK(OFFSET(A$1,,,SUMPRODUCT(MAX(ROW(E$2:E3414)*(E3414=E$2:E3414)))))-COUNTBLANK(OFFSET(A$1,,,SUMPRODUCT(MAX(ROW(E$1:E3413)*(E2=E$1:E3413))))))</f>
        <v> </v>
      </c>
      <c r="K3414" s="26" t="str">
        <f>IF(OR(E3414="",E3414="!!!",F3414="NEW"),"",INDEX(J$1:J3413,SUMPRODUCT(MAX(ROW(E$1:E3413)*(E3414=E$1:E3413)))))</f>
        <v> </v>
      </c>
      <c r="L3414" s="27"/>
    </row>
    <row r="3415" spans="1:12">
      <c r="A3415" s="20" t="s">
        <v>1123</v>
      </c>
      <c r="B3415" s="21" t="s">
        <v>1060</v>
      </c>
      <c r="C3415" s="21" t="s">
        <v>1076</v>
      </c>
      <c r="D3415" s="21" t="s">
        <v>992</v>
      </c>
      <c r="E3415" s="22">
        <f>IF(D3415="?OLD","!!!","")</f>
        <v/>
      </c>
      <c r="F3415" s="23" t="str">
        <f>IF(OR(E3415="",E3415="!!!"),"",IF(NOT(ISNA(VLOOKUP(E3415,E$1:E3414,1,FALSE()))),"OLD",IF(AND(E3415&lt;&gt;"",E3415&lt;&gt;"!!!"),"NEW","")))</f>
        <v> </v>
      </c>
      <c r="G3415" s="24" t="str">
        <f>IF(OR(E3415="",E3415="!!!"),"",IF(OR(J3415=0,AND(J3415=1,K3415=1),AND(J3415=1,I3415="SBJ"),AND(J3415=1,I3415=0)),"?IN_FOCUS",IF(J3415&lt;=2,"?ACTIVATED",IF(J3415&lt;&gt;"","?FAMILIAR",IF(F3415="NEW",IF(ISNA(VLOOKUP(E3415,#REF!,1,FALSE())),"?TYPE_IDENTIFIABLE","?REFERENTIAL"),"_")))))</f>
        <v> </v>
      </c>
      <c r="H3415" s="25" t="str">
        <f>IF(J3415&lt;&gt;1,"",IF(I3415="SBJ","CB","?"))</f>
        <v> </v>
      </c>
      <c r="I3415" s="26" t="str">
        <f>IF(OR(E3415="",E3415="!!!",F3415="NEW"),"",INDEX(B3414:B$2,-1+SUMPRODUCT(MAX(ROW(E3414:E$2)*(E3415=E3414:E$2)))))</f>
        <v> </v>
      </c>
      <c r="J3415" s="26" t="str">
        <f>IF(OR(E3415="",E3415="!!!",F3415="NEW"),"",COUNTBLANK(OFFSET(A$1,,,SUMPRODUCT(MAX(ROW(E$2:E3415)*(E3415=E$2:E3415)))))-COUNTBLANK(OFFSET(A$1,,,SUMPRODUCT(MAX(ROW(E$1:E3414)*(E2=E$1:E3414))))))</f>
        <v> </v>
      </c>
      <c r="K3415" s="26" t="str">
        <f>IF(OR(E3415="",E3415="!!!",F3415="NEW"),"",INDEX(J$1:J3414,SUMPRODUCT(MAX(ROW(E$1:E3414)*(E3415=E$1:E3414)))))</f>
        <v> </v>
      </c>
      <c r="L3415" s="27"/>
    </row>
    <row r="3416" spans="1:12">
      <c r="A3416" s="20" t="s">
        <v>2028</v>
      </c>
      <c r="B3416" s="21" t="s">
        <v>1033</v>
      </c>
      <c r="C3416" s="21" t="s">
        <v>1121</v>
      </c>
      <c r="D3416" s="21" t="s">
        <v>992</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2029</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t="s">
        <v>231</v>
      </c>
      <c r="E3418" s="22">
        <f>IF(D3418="?OLD","!!!","")</f>
        <v/>
      </c>
      <c r="F3418" s="23" t="str">
        <f>IF(OR(E3418="",E3418="!!!"),"",IF(NOT(ISNA(VLOOKUP(E3418,E$1:E3417,1,FALSE()))),"OLD",IF(AND(E3418&lt;&gt;"",E3418&lt;&gt;"!!!"),"NEW","")))</f>
        <v> </v>
      </c>
      <c r="G3418" s="24" t="str">
        <f>IF(OR(E3418="",E3418="!!!"),"",IF(OR(J3418=0,AND(J3418=1,K3418=1),AND(J3418=1,I3418="SBJ"),AND(J3418=1,I3418=0)),"?IN_FOCUS",IF(J3418&lt;=2,"?ACTIVATED",IF(J3418&lt;&gt;"","?FAMILIAR",IF(F3418="NEW",IF(ISNA(VLOOKUP(E3418,#REF!,1,FALSE())),"?TYPE_IDENTIFIABLE","?REFERENTIAL"),"_")))))</f>
        <v> </v>
      </c>
      <c r="H3418" s="25" t="str">
        <f>IF(J3418&lt;&gt;1,"",IF(I3418="SBJ","CB","?"))</f>
        <v> </v>
      </c>
      <c r="I3418" s="26" t="str">
        <f>IF(OR(E3418="",E3418="!!!",F3418="NEW"),"",INDEX(B3417:B$2,-1+SUMPRODUCT(MAX(ROW(E3417:E$2)*(E3418=E3417:E$2)))))</f>
        <v> </v>
      </c>
      <c r="J3418" s="26" t="str">
        <f>IF(OR(E3418="",E3418="!!!",F3418="NEW"),"",COUNTBLANK(OFFSET(A$1,,,SUMPRODUCT(MAX(ROW(E$2:E3418)*(E3418=E$2:E3418)))))-COUNTBLANK(OFFSET(A$1,,,SUMPRODUCT(MAX(ROW(E$1:E3417)*(E2=E$1:E3417))))))</f>
        <v> </v>
      </c>
      <c r="K3418" s="26" t="str">
        <f>IF(OR(E3418="",E3418="!!!",F3418="NEW"),"",INDEX(J$1:J3417,SUMPRODUCT(MAX(ROW(E$1:E3417)*(E3418=E$1:E3417)))))</f>
        <v> </v>
      </c>
      <c r="L3418" s="27"/>
    </row>
    <row r="3419" spans="1:12">
      <c r="A3419" s="20" t="s">
        <v>1173</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1083</v>
      </c>
      <c r="B3420" s="21" t="s">
        <v>1356</v>
      </c>
      <c r="C3420" s="21" t="s">
        <v>1039</v>
      </c>
      <c r="D3420" s="21" t="s">
        <v>992</v>
      </c>
      <c r="E3420" s="22">
        <f>IF(D3420="?OLD","!!!","")</f>
        <v/>
      </c>
      <c r="F3420" s="23" t="str">
        <f>IF(OR(E3420="",E3420="!!!"),"",IF(NOT(ISNA(VLOOKUP(E3420,E$1:E3419,1,FALSE()))),"OLD",IF(AND(E3420&lt;&gt;"",E3420&lt;&gt;"!!!"),"NEW","")))</f>
        <v> </v>
      </c>
      <c r="G3420" s="24" t="str">
        <f>IF(OR(E3420="",E3420="!!!"),"",IF(OR(J3420=0,AND(J3420=1,K3420=1),AND(J3420=1,I3420="SBJ"),AND(J3420=1,I3420=0)),"?IN_FOCUS",IF(J3420&lt;=2,"?ACTIVATED",IF(J3420&lt;&gt;"","?FAMILIAR",IF(F3420="NEW",IF(ISNA(VLOOKUP(E3420,#REF!,1,FALSE())),"?TYPE_IDENTIFIABLE","?REFERENTIAL"),"_")))))</f>
        <v> </v>
      </c>
      <c r="H3420" s="25" t="str">
        <f>IF(J3420&lt;&gt;1,"",IF(I3420="SBJ","CB","?"))</f>
        <v> </v>
      </c>
      <c r="I3420" s="26" t="str">
        <f>IF(OR(E3420="",E3420="!!!",F3420="NEW"),"",INDEX(B3419:B$2,-1+SUMPRODUCT(MAX(ROW(E3419:E$2)*(E3420=E3419:E$2)))))</f>
        <v> </v>
      </c>
      <c r="J3420" s="26" t="str">
        <f>IF(OR(E3420="",E3420="!!!",F3420="NEW"),"",COUNTBLANK(OFFSET(A$1,,,SUMPRODUCT(MAX(ROW(E$2:E3420)*(E3420=E$2:E3420)))))-COUNTBLANK(OFFSET(A$1,,,SUMPRODUCT(MAX(ROW(E$1:E3419)*(E2=E$1:E3419))))))</f>
        <v> </v>
      </c>
      <c r="K3420" s="26" t="str">
        <f>IF(OR(E3420="",E3420="!!!",F3420="NEW"),"",INDEX(J$1:J3419,SUMPRODUCT(MAX(ROW(E$1:E3419)*(E3420=E$1:E3419)))))</f>
        <v> </v>
      </c>
      <c r="L3420" s="27"/>
    </row>
    <row r="3421" spans="1:12">
      <c r="A3421" s="20" t="s">
        <v>1805</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1019</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1744</v>
      </c>
      <c r="B3423" s="21" t="s">
        <v>1060</v>
      </c>
      <c r="C3423" s="21" t="s">
        <v>1022</v>
      </c>
      <c r="D3423" s="21" t="s">
        <v>992</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675</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2030</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1024</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1116</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1038</v>
      </c>
      <c r="B3428" s="21" t="s">
        <v>1719</v>
      </c>
      <c r="C3428" s="21" t="s">
        <v>1039</v>
      </c>
      <c r="D3428" s="21" t="s">
        <v>992</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2031</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1031</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2032</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2033</v>
      </c>
      <c r="B3432" s="21" t="s">
        <v>2034</v>
      </c>
      <c r="C3432" s="21" t="s">
        <v>1022</v>
      </c>
      <c r="D3432" s="21" t="s">
        <v>992</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t="s">
        <v>2026</v>
      </c>
      <c r="E3433" s="22">
        <f>IF(D3433="?OLD","!!!","")</f>
        <v/>
      </c>
      <c r="F3433" s="23" t="str">
        <f>IF(OR(E3433="",E3433="!!!"),"",IF(NOT(ISNA(VLOOKUP(E3433,E$1:E3432,1,FALSE()))),"OLD",IF(AND(E3433&lt;&gt;"",E3433&lt;&gt;"!!!"),"NEW","")))</f>
        <v> </v>
      </c>
      <c r="G3433" s="24" t="str">
        <f>IF(OR(E3433="",E3433="!!!"),"",IF(OR(J3433=0,AND(J3433=1,K3433=1),AND(J3433=1,I3433="SBJ"),AND(J3433=1,I3433=0)),"?IN_FOCUS",IF(J3433&lt;=2,"?ACTIVATED",IF(J3433&lt;&gt;"","?FAMILIAR",IF(F3433="NEW",IF(ISNA(VLOOKUP(E3433,#REF!,1,FALSE())),"?TYPE_IDENTIFIABLE","?REFERENTIAL"),"_")))))</f>
        <v> </v>
      </c>
      <c r="H3433" s="25" t="str">
        <f>IF(J3433&lt;&gt;1,"",IF(I3433="SBJ","CB","?"))</f>
        <v> </v>
      </c>
      <c r="I3433" s="26" t="str">
        <f>IF(OR(E3433="",E3433="!!!",F3433="NEW"),"",INDEX(B3432:B$2,-1+SUMPRODUCT(MAX(ROW(E3432:E$2)*(E3433=E3432:E$2)))))</f>
        <v> </v>
      </c>
      <c r="J3433" s="26" t="str">
        <f>IF(OR(E3433="",E3433="!!!",F3433="NEW"),"",COUNTBLANK(OFFSET(A$1,,,SUMPRODUCT(MAX(ROW(E$2:E3433)*(E3433=E$2:E3433)))))-COUNTBLANK(OFFSET(A$1,,,SUMPRODUCT(MAX(ROW(E$1:E3432)*(E2=E$1:E3432))))))</f>
        <v> </v>
      </c>
      <c r="K3433" s="26" t="str">
        <f>IF(OR(E3433="",E3433="!!!",F3433="NEW"),"",INDEX(J$1:J3432,SUMPRODUCT(MAX(ROW(E$1:E3432)*(E3433=E$1:E3432)))))</f>
        <v> </v>
      </c>
      <c r="L3433" s="27"/>
    </row>
    <row r="3434" spans="1:12">
      <c r="A3434" s="20" t="s">
        <v>29</v>
      </c>
      <c r="E3434" s="22">
        <f>IF(D3434="?OLD","!!!","")</f>
        <v/>
      </c>
      <c r="F3434" s="23" t="str">
        <f>IF(OR(E3434="",E3434="!!!"),"",IF(NOT(ISNA(VLOOKUP(E3434,E$1:E3433,1,FALSE()))),"OLD",IF(AND(E3434&lt;&gt;"",E3434&lt;&gt;"!!!"),"NEW","")))</f>
        <v> </v>
      </c>
      <c r="G3434" s="24" t="str">
        <f>IF(OR(E3434="",E3434="!!!"),"",IF(OR(J3434=0,AND(J3434=1,K3434=1),AND(J3434=1,I3434="SBJ"),AND(J3434=1,I3434=0)),"?IN_FOCUS",IF(J3434&lt;=2,"?ACTIVATED",IF(J3434&lt;&gt;"","?FAMILIAR",IF(F3434="NEW",IF(ISNA(VLOOKUP(E3434,#REF!,1,FALSE())),"?TYPE_IDENTIFIABLE","?REFERENTIAL"),"_")))))</f>
        <v> </v>
      </c>
      <c r="H3434" s="25" t="str">
        <f>IF(J3434&lt;&gt;1,"",IF(I3434="SBJ","CB","?"))</f>
        <v> </v>
      </c>
      <c r="I3434" s="26" t="str">
        <f>IF(OR(E3434="",E3434="!!!",F3434="NEW"),"",INDEX(B3433:B$2,-1+SUMPRODUCT(MAX(ROW(E3433:E$2)*(E3434=E3433:E$2)))))</f>
        <v> </v>
      </c>
      <c r="J3434" s="26" t="str">
        <f>IF(OR(E3434="",E3434="!!!",F3434="NEW"),"",COUNTBLANK(OFFSET(A$1,,,SUMPRODUCT(MAX(ROW(E$2:E3434)*(E3434=E$2:E3434)))))-COUNTBLANK(OFFSET(A$1,,,SUMPRODUCT(MAX(ROW(E$1:E3433)*(E2=E$1:E3433))))))</f>
        <v> </v>
      </c>
      <c r="K3434" s="26" t="str">
        <f>IF(OR(E3434="",E3434="!!!",F3434="NEW"),"",INDEX(J$1:J3433,SUMPRODUCT(MAX(ROW(E$1:E3433)*(E3434=E$1:E3433)))))</f>
        <v> </v>
      </c>
      <c r="L3434" s="27"/>
    </row>
    <row r="3435" spans="1:12">
      <c r="A3435" s="20" t="s">
        <v>998</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row>
    <row r="3437" spans="1:12">
      <c r="A3437" s="20" t="s">
        <v>2035</v>
      </c>
    </row>
    <row r="3438" spans="1:12">
      <c r="A3438" s="20" t="s">
        <v>1193</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1024</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1019</v>
      </c>
      <c r="B3440" s="21" t="s">
        <v>1026</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1391</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1063</v>
      </c>
      <c r="B3442" s="21" t="s">
        <v>1026</v>
      </c>
      <c r="C3442" s="21" t="s">
        <v>1039</v>
      </c>
      <c r="D3442" s="21" t="s">
        <v>992</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1217</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998</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row>
    <row r="3446" spans="1:12">
      <c r="A3446" s="20" t="s">
        <v>2036</v>
      </c>
    </row>
    <row r="3447" spans="1:12">
      <c r="A3447" s="20" t="s">
        <v>1326</v>
      </c>
      <c r="B3447" s="21" t="s">
        <v>990</v>
      </c>
      <c r="C3447" s="21" t="s">
        <v>1039</v>
      </c>
      <c r="D3447" s="21" t="s">
        <v>992</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675</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t="s">
        <v>1007</v>
      </c>
      <c r="E3449" s="22">
        <f>IF(D3449="?OLD","!!!","")</f>
        <v/>
      </c>
      <c r="F3449" s="23" t="str">
        <f>IF(OR(E3449="",E3449="!!!"),"",IF(NOT(ISNA(VLOOKUP(E3449,E$1:E3448,1,FALSE()))),"OLD",IF(AND(E3449&lt;&gt;"",E3449&lt;&gt;"!!!"),"NEW","")))</f>
        <v> </v>
      </c>
      <c r="G3449" s="24" t="str">
        <f>IF(OR(E3449="",E3449="!!!"),"",IF(OR(J3449=0,AND(J3449=1,K3449=1),AND(J3449=1,I3449="SBJ"),AND(J3449=1,I3449=0)),"?IN_FOCUS",IF(J3449&lt;=2,"?ACTIVATED",IF(J3449&lt;&gt;"","?FAMILIAR",IF(F3449="NEW",IF(ISNA(VLOOKUP(E3449,#REF!,1,FALSE())),"?TYPE_IDENTIFIABLE","?REFERENTIAL"),"_")))))</f>
        <v> </v>
      </c>
      <c r="H3449" s="25" t="str">
        <f>IF(J3449&lt;&gt;1,"",IF(I3449="SBJ","CB","?"))</f>
        <v> </v>
      </c>
      <c r="I3449" s="26" t="str">
        <f>IF(OR(E3449="",E3449="!!!",F3449="NEW"),"",INDEX(B3448:B$2,-1+SUMPRODUCT(MAX(ROW(E3448:E$2)*(E3449=E3448:E$2)))))</f>
        <v> </v>
      </c>
      <c r="J3449" s="26" t="str">
        <f>IF(OR(E3449="",E3449="!!!",F3449="NEW"),"",COUNTBLANK(OFFSET(A$1,,,SUMPRODUCT(MAX(ROW(E$2:E3449)*(E3449=E$2:E3449)))))-COUNTBLANK(OFFSET(A$1,,,SUMPRODUCT(MAX(ROW(E$1:E3448)*(E2=E$1:E3448))))))</f>
        <v> </v>
      </c>
      <c r="K3449" s="26" t="str">
        <f>IF(OR(E3449="",E3449="!!!",F3449="NEW"),"",INDEX(J$1:J3448,SUMPRODUCT(MAX(ROW(E$1:E3448)*(E3449=E$1:E3448)))))</f>
        <v> </v>
      </c>
      <c r="L3449" s="27"/>
    </row>
    <row r="3450" spans="1:12">
      <c r="A3450" s="20" t="s">
        <v>2037</v>
      </c>
      <c r="E3450" s="22">
        <f>IF(D3450="?OLD","!!!","")</f>
        <v/>
      </c>
      <c r="F3450" s="23" t="str">
        <f>IF(OR(E3450="",E3450="!!!"),"",IF(NOT(ISNA(VLOOKUP(E3450,E$1:E3449,1,FALSE()))),"OLD",IF(AND(E3450&lt;&gt;"",E3450&lt;&gt;"!!!"),"NEW","")))</f>
        <v> </v>
      </c>
      <c r="G3450" s="24" t="str">
        <f>IF(OR(E3450="",E3450="!!!"),"",IF(OR(J3450=0,AND(J3450=1,K3450=1),AND(J3450=1,I3450="SBJ"),AND(J3450=1,I3450=0)),"?IN_FOCUS",IF(J3450&lt;=2,"?ACTIVATED",IF(J3450&lt;&gt;"","?FAMILIAR",IF(F3450="NEW",IF(ISNA(VLOOKUP(E3450,#REF!,1,FALSE())),"?TYPE_IDENTIFIABLE","?REFERENTIAL"),"_")))))</f>
        <v> </v>
      </c>
      <c r="H3450" s="25" t="str">
        <f>IF(J3450&lt;&gt;1,"",IF(I3450="SBJ","CB","?"))</f>
        <v> </v>
      </c>
      <c r="I3450" s="26" t="str">
        <f>IF(OR(E3450="",E3450="!!!",F3450="NEW"),"",INDEX(B3449:B$2,-1+SUMPRODUCT(MAX(ROW(E3449:E$2)*(E3450=E3449:E$2)))))</f>
        <v> </v>
      </c>
      <c r="J3450" s="26" t="str">
        <f>IF(OR(E3450="",E3450="!!!",F3450="NEW"),"",COUNTBLANK(OFFSET(A$1,,,SUMPRODUCT(MAX(ROW(E$2:E3450)*(E3450=E$2:E3450)))))-COUNTBLANK(OFFSET(A$1,,,SUMPRODUCT(MAX(ROW(E$1:E3449)*(E2=E$1:E3449))))))</f>
        <v> </v>
      </c>
      <c r="K3450" s="26" t="str">
        <f>IF(OR(E3450="",E3450="!!!",F3450="NEW"),"",INDEX(J$1:J3449,SUMPRODUCT(MAX(ROW(E$1:E3449)*(E3450=E$1:E3449)))))</f>
        <v> </v>
      </c>
      <c r="L3450" s="27"/>
    </row>
    <row r="3451" spans="1:12">
      <c r="A3451" s="20" t="s">
        <v>1398</v>
      </c>
      <c r="B3451" s="21" t="s">
        <v>1002</v>
      </c>
      <c r="C3451" s="21" t="s">
        <v>1003</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998</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row>
    <row r="3454" spans="1:12">
      <c r="A3454" s="20" t="s">
        <v>2038</v>
      </c>
    </row>
    <row r="3455" spans="1:12">
      <c r="A3455" s="20" t="s">
        <v>1075</v>
      </c>
      <c r="B3455" s="21" t="s">
        <v>990</v>
      </c>
      <c r="C3455" s="21" t="s">
        <v>1039</v>
      </c>
      <c r="D3455" s="21" t="s">
        <v>992</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1265</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t="s">
        <v>1019</v>
      </c>
      <c r="E3457" s="22">
        <f>IF(D3457="?OLD","!!!","")</f>
        <v/>
      </c>
      <c r="F3457" s="23" t="str">
        <f>IF(OR(E3457="",E3457="!!!"),"",IF(NOT(ISNA(VLOOKUP(E3457,E$1:E3456,1,FALSE()))),"OLD",IF(AND(E3457&lt;&gt;"",E3457&lt;&gt;"!!!"),"NEW","")))</f>
        <v> </v>
      </c>
      <c r="G3457" s="24" t="str">
        <f>IF(OR(E3457="",E3457="!!!"),"",IF(OR(J3457=0,AND(J3457=1,K3457=1),AND(J3457=1,I3457="SBJ"),AND(J3457=1,I3457=0)),"?IN_FOCUS",IF(J3457&lt;=2,"?ACTIVATED",IF(J3457&lt;&gt;"","?FAMILIAR",IF(F3457="NEW",IF(ISNA(VLOOKUP(E3457,#REF!,1,FALSE())),"?TYPE_IDENTIFIABLE","?REFERENTIAL"),"_")))))</f>
        <v> </v>
      </c>
      <c r="H3457" s="25" t="str">
        <f>IF(J3457&lt;&gt;1,"",IF(I3457="SBJ","CB","?"))</f>
        <v> </v>
      </c>
      <c r="I3457" s="26" t="str">
        <f>IF(OR(E3457="",E3457="!!!",F3457="NEW"),"",INDEX(B3456:B$2,-1+SUMPRODUCT(MAX(ROW(E3456:E$2)*(E3457=E3456:E$2)))))</f>
        <v> </v>
      </c>
      <c r="J3457" s="26" t="str">
        <f>IF(OR(E3457="",E3457="!!!",F3457="NEW"),"",COUNTBLANK(OFFSET(A$1,,,SUMPRODUCT(MAX(ROW(E$2:E3457)*(E3457=E$2:E3457)))))-COUNTBLANK(OFFSET(A$1,,,SUMPRODUCT(MAX(ROW(E$1:E3456)*(E2=E$1:E3456))))))</f>
        <v> </v>
      </c>
      <c r="K3457" s="26" t="str">
        <f>IF(OR(E3457="",E3457="!!!",F3457="NEW"),"",INDEX(J$1:J3456,SUMPRODUCT(MAX(ROW(E$1:E3456)*(E3457=E$1:E3456)))))</f>
        <v> </v>
      </c>
      <c r="L3457" s="27"/>
    </row>
    <row r="3458" spans="1:12">
      <c r="A3458" s="20" t="s">
        <v>1525</v>
      </c>
      <c r="E3458" s="22">
        <f>IF(D3458="?OLD","!!!","")</f>
        <v/>
      </c>
      <c r="F3458" s="23" t="str">
        <f>IF(OR(E3458="",E3458="!!!"),"",IF(NOT(ISNA(VLOOKUP(E3458,E$1:E3457,1,FALSE()))),"OLD",IF(AND(E3458&lt;&gt;"",E3458&lt;&gt;"!!!"),"NEW","")))</f>
        <v> </v>
      </c>
      <c r="G3458" s="24" t="str">
        <f>IF(OR(E3458="",E3458="!!!"),"",IF(OR(J3458=0,AND(J3458=1,K3458=1),AND(J3458=1,I3458="SBJ"),AND(J3458=1,I3458=0)),"?IN_FOCUS",IF(J3458&lt;=2,"?ACTIVATED",IF(J3458&lt;&gt;"","?FAMILIAR",IF(F3458="NEW",IF(ISNA(VLOOKUP(E3458,#REF!,1,FALSE())),"?TYPE_IDENTIFIABLE","?REFERENTIAL"),"_")))))</f>
        <v> </v>
      </c>
      <c r="H3458" s="25" t="str">
        <f>IF(J3458&lt;&gt;1,"",IF(I3458="SBJ","CB","?"))</f>
        <v> </v>
      </c>
      <c r="I3458" s="26" t="str">
        <f>IF(OR(E3458="",E3458="!!!",F3458="NEW"),"",INDEX(B3457:B$2,-1+SUMPRODUCT(MAX(ROW(E3457:E$2)*(E3458=E3457:E$2)))))</f>
        <v> </v>
      </c>
      <c r="J3458" s="26" t="str">
        <f>IF(OR(E3458="",E3458="!!!",F3458="NEW"),"",COUNTBLANK(OFFSET(A$1,,,SUMPRODUCT(MAX(ROW(E$2:E3458)*(E3458=E$2:E3458)))))-COUNTBLANK(OFFSET(A$1,,,SUMPRODUCT(MAX(ROW(E$1:E3457)*(E2=E$1:E3457))))))</f>
        <v> </v>
      </c>
      <c r="K3458" s="26" t="str">
        <f>IF(OR(E3458="",E3458="!!!",F3458="NEW"),"",INDEX(J$1:J3457,SUMPRODUCT(MAX(ROW(E$1:E3457)*(E3458=E$1:E3457)))))</f>
        <v> </v>
      </c>
      <c r="L3458" s="27"/>
    </row>
    <row r="3459" spans="1:12">
      <c r="A3459" s="20" t="s">
        <v>2039</v>
      </c>
      <c r="B3459" s="21" t="s">
        <v>995</v>
      </c>
      <c r="C3459" s="21" t="s">
        <v>1022</v>
      </c>
      <c r="D3459" s="21" t="s">
        <v>992</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1034</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2040</v>
      </c>
      <c r="B3461" s="21" t="s">
        <v>995</v>
      </c>
      <c r="C3461" s="21" t="s">
        <v>1003</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576</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1396</v>
      </c>
      <c r="B3463" s="21" t="s">
        <v>1015</v>
      </c>
      <c r="C3463" s="21" t="s">
        <v>996</v>
      </c>
      <c r="D3463" s="21" t="s">
        <v>992</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1397</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1398</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12</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2041</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998</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row>
    <row r="3470" spans="1:12">
      <c r="A3470" s="20" t="s">
        <v>2042</v>
      </c>
    </row>
    <row r="3471" spans="1:12">
      <c r="A3471" s="20" t="s">
        <v>1075</v>
      </c>
      <c r="B3471" s="21" t="s">
        <v>990</v>
      </c>
      <c r="C3471" s="21" t="s">
        <v>1039</v>
      </c>
      <c r="D3471" s="21" t="s">
        <v>992</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1265</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1196</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72</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1008</v>
      </c>
      <c r="B3475" s="21" t="s">
        <v>995</v>
      </c>
      <c r="C3475" s="21" t="s">
        <v>1009</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998</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row>
    <row r="3478" spans="1:12">
      <c r="A3478" s="20" t="s">
        <v>2043</v>
      </c>
    </row>
    <row r="3479" spans="1:12">
      <c r="A3479" s="20" t="s">
        <v>1206</v>
      </c>
      <c r="B3479" s="21" t="s">
        <v>990</v>
      </c>
      <c r="C3479" s="21" t="s">
        <v>991</v>
      </c>
      <c r="D3479" s="21" t="s">
        <v>992</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1952</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82</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1505</v>
      </c>
      <c r="B3482" s="21" t="s">
        <v>1015</v>
      </c>
      <c r="C3482" s="21" t="s">
        <v>1009</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1950</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1907</v>
      </c>
      <c r="B3484" s="21" t="s">
        <v>1002</v>
      </c>
      <c r="C3484" s="21" t="s">
        <v>1003</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1024</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1063</v>
      </c>
      <c r="B3486" s="21" t="s">
        <v>1089</v>
      </c>
      <c r="C3486" s="21" t="s">
        <v>1039</v>
      </c>
      <c r="D3486" s="21" t="s">
        <v>992</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t="s">
        <v>675</v>
      </c>
      <c r="E3487" s="22">
        <f>IF(D3487="?OLD","!!!","")</f>
        <v/>
      </c>
      <c r="F3487" s="23" t="str">
        <f>IF(OR(E3487="",E3487="!!!"),"",IF(NOT(ISNA(VLOOKUP(E3487,E$1:E3486,1,FALSE()))),"OLD",IF(AND(E3487&lt;&gt;"",E3487&lt;&gt;"!!!"),"NEW","")))</f>
        <v> </v>
      </c>
      <c r="G3487" s="24" t="str">
        <f>IF(OR(E3487="",E3487="!!!"),"",IF(OR(J3487=0,AND(J3487=1,K3487=1),AND(J3487=1,I3487="SBJ"),AND(J3487=1,I3487=0)),"?IN_FOCUS",IF(J3487&lt;=2,"?ACTIVATED",IF(J3487&lt;&gt;"","?FAMILIAR",IF(F3487="NEW",IF(ISNA(VLOOKUP(E3487,#REF!,1,FALSE())),"?TYPE_IDENTIFIABLE","?REFERENTIAL"),"_")))))</f>
        <v> </v>
      </c>
      <c r="H3487" s="25" t="str">
        <f>IF(J3487&lt;&gt;1,"",IF(I3487="SBJ","CB","?"))</f>
        <v> </v>
      </c>
      <c r="I3487" s="26" t="str">
        <f>IF(OR(E3487="",E3487="!!!",F3487="NEW"),"",INDEX(B3486:B$2,-1+SUMPRODUCT(MAX(ROW(E3486:E$2)*(E3487=E3486:E$2)))))</f>
        <v> </v>
      </c>
      <c r="J3487" s="26" t="str">
        <f>IF(OR(E3487="",E3487="!!!",F3487="NEW"),"",COUNTBLANK(OFFSET(A$1,,,SUMPRODUCT(MAX(ROW(E$2:E3487)*(E3487=E$2:E3487)))))-COUNTBLANK(OFFSET(A$1,,,SUMPRODUCT(MAX(ROW(E$1:E3486)*(E2=E$1:E3486))))))</f>
        <v> </v>
      </c>
      <c r="K3487" s="26" t="str">
        <f>IF(OR(E3487="",E3487="!!!",F3487="NEW"),"",INDEX(J$1:J3486,SUMPRODUCT(MAX(ROW(E$1:E3486)*(E3487=E$1:E3486)))))</f>
        <v> </v>
      </c>
      <c r="L3487" s="27"/>
    </row>
    <row r="3488" spans="1:12">
      <c r="A3488" s="20" t="s">
        <v>1007</v>
      </c>
      <c r="E3488" s="22">
        <f>IF(D3488="?OLD","!!!","")</f>
        <v/>
      </c>
      <c r="F3488" s="23" t="str">
        <f>IF(OR(E3488="",E3488="!!!"),"",IF(NOT(ISNA(VLOOKUP(E3488,E$1:E3487,1,FALSE()))),"OLD",IF(AND(E3488&lt;&gt;"",E3488&lt;&gt;"!!!"),"NEW","")))</f>
        <v> </v>
      </c>
      <c r="G3488" s="24" t="str">
        <f>IF(OR(E3488="",E3488="!!!"),"",IF(OR(J3488=0,AND(J3488=1,K3488=1),AND(J3488=1,I3488="SBJ"),AND(J3488=1,I3488=0)),"?IN_FOCUS",IF(J3488&lt;=2,"?ACTIVATED",IF(J3488&lt;&gt;"","?FAMILIAR",IF(F3488="NEW",IF(ISNA(VLOOKUP(E3488,#REF!,1,FALSE())),"?TYPE_IDENTIFIABLE","?REFERENTIAL"),"_")))))</f>
        <v> </v>
      </c>
      <c r="H3488" s="25" t="str">
        <f>IF(J3488&lt;&gt;1,"",IF(I3488="SBJ","CB","?"))</f>
        <v> </v>
      </c>
      <c r="I3488" s="26" t="str">
        <f>IF(OR(E3488="",E3488="!!!",F3488="NEW"),"",INDEX(B3487:B$2,-1+SUMPRODUCT(MAX(ROW(E3487:E$2)*(E3488=E3487:E$2)))))</f>
        <v> </v>
      </c>
      <c r="J3488" s="26" t="str">
        <f>IF(OR(E3488="",E3488="!!!",F3488="NEW"),"",COUNTBLANK(OFFSET(A$1,,,SUMPRODUCT(MAX(ROW(E$2:E3488)*(E3488=E$2:E3488)))))-COUNTBLANK(OFFSET(A$1,,,SUMPRODUCT(MAX(ROW(E$1:E3487)*(E2=E$1:E3487))))))</f>
        <v> </v>
      </c>
      <c r="K3488" s="26" t="str">
        <f>IF(OR(E3488="",E3488="!!!",F3488="NEW"),"",INDEX(J$1:J3487,SUMPRODUCT(MAX(ROW(E$1:E3487)*(E3488=E$1:E3487)))))</f>
        <v> </v>
      </c>
      <c r="L3488" s="27"/>
    </row>
    <row r="3489" spans="1:12">
      <c r="A3489" s="20" t="s">
        <v>72</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1008</v>
      </c>
      <c r="B3490" s="21" t="s">
        <v>1036</v>
      </c>
      <c r="C3490" s="21" t="s">
        <v>1009</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1398</v>
      </c>
      <c r="B3491" s="21" t="s">
        <v>1033</v>
      </c>
      <c r="C3491" s="21" t="s">
        <v>1003</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998</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row>
    <row r="3494" spans="1:12">
      <c r="A3494" s="20" t="s">
        <v>2044</v>
      </c>
    </row>
    <row r="3495" spans="1:12">
      <c r="A3495" s="20" t="s">
        <v>989</v>
      </c>
      <c r="B3495" s="21" t="s">
        <v>990</v>
      </c>
      <c r="C3495" s="21" t="s">
        <v>991</v>
      </c>
      <c r="D3495" s="21" t="s">
        <v>992</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2045</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1024</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1063</v>
      </c>
      <c r="B3498" s="21" t="s">
        <v>1026</v>
      </c>
      <c r="C3498" s="21" t="s">
        <v>1039</v>
      </c>
      <c r="D3498" s="21" t="s">
        <v>992</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1107</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1416</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1018</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2046</v>
      </c>
      <c r="B3502" s="21" t="s">
        <v>1036</v>
      </c>
      <c r="C3502" s="21" t="s">
        <v>1016</v>
      </c>
      <c r="D3502" s="21" t="s">
        <v>992</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2047</v>
      </c>
      <c r="B3503" s="21" t="s">
        <v>1036</v>
      </c>
      <c r="C3503" s="21" t="s">
        <v>1039</v>
      </c>
      <c r="D3503" s="21" t="s">
        <v>992</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2048</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1430</v>
      </c>
      <c r="B3505" s="21" t="s">
        <v>1015</v>
      </c>
      <c r="C3505" s="21" t="s">
        <v>1003</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t="s">
        <v>998</v>
      </c>
      <c r="E3506" s="22">
        <f>IF(D3506="?OLD","!!!","")</f>
        <v/>
      </c>
      <c r="F3506" s="23" t="str">
        <f>IF(OR(E3506="",E3506="!!!"),"",IF(NOT(ISNA(VLOOKUP(E3506,E$1:E3505,1,FALSE()))),"OLD",IF(AND(E3506&lt;&gt;"",E3506&lt;&gt;"!!!"),"NEW","")))</f>
        <v> </v>
      </c>
      <c r="G3506" s="24" t="str">
        <f>IF(OR(E3506="",E3506="!!!"),"",IF(OR(J3506=0,AND(J3506=1,K3506=1),AND(J3506=1,I3506="SBJ"),AND(J3506=1,I3506=0)),"?IN_FOCUS",IF(J3506&lt;=2,"?ACTIVATED",IF(J3506&lt;&gt;"","?FAMILIAR",IF(F3506="NEW",IF(ISNA(VLOOKUP(E3506,#REF!,1,FALSE())),"?TYPE_IDENTIFIABLE","?REFERENTIAL"),"_")))))</f>
        <v> </v>
      </c>
      <c r="H3506" s="25" t="str">
        <f>IF(J3506&lt;&gt;1,"",IF(I3506="SBJ","CB","?"))</f>
        <v> </v>
      </c>
      <c r="I3506" s="26" t="str">
        <f>IF(OR(E3506="",E3506="!!!",F3506="NEW"),"",INDEX(B3505:B$2,-1+SUMPRODUCT(MAX(ROW(E3505:E$2)*(E3506=E3505:E$2)))))</f>
        <v> </v>
      </c>
      <c r="J3506" s="26" t="str">
        <f>IF(OR(E3506="",E3506="!!!",F3506="NEW"),"",COUNTBLANK(OFFSET(A$1,,,SUMPRODUCT(MAX(ROW(E$2:E3506)*(E3506=E$2:E3506)))))-COUNTBLANK(OFFSET(A$1,,,SUMPRODUCT(MAX(ROW(E$1:E3505)*(E2=E$1:E3505))))))</f>
        <v> </v>
      </c>
      <c r="K3506" s="26" t="str">
        <f>IF(OR(E3506="",E3506="!!!",F3506="NEW"),"",INDEX(J$1:J3505,SUMPRODUCT(MAX(ROW(E$1:E3505)*(E3506=E$1:E3505)))))</f>
        <v> </v>
      </c>
      <c r="L3506" s="27"/>
    </row>
    <row r="3507" spans="1:12">
      <c r="A3507" s="20"/>
    </row>
    <row r="3508" spans="1:12">
      <c r="A3508" s="20" t="s">
        <v>2049</v>
      </c>
    </row>
    <row r="3509" spans="1:12">
      <c r="A3509" s="20" t="s">
        <v>1193</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1024</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1038</v>
      </c>
      <c r="B3511" s="21" t="s">
        <v>990</v>
      </c>
      <c r="C3511" s="21" t="s">
        <v>1039</v>
      </c>
      <c r="D3511" s="21" t="s">
        <v>992</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2050</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1031</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2051</v>
      </c>
      <c r="B3514" s="21" t="s">
        <v>1002</v>
      </c>
      <c r="C3514" s="21" t="s">
        <v>1022</v>
      </c>
      <c r="D3514" s="21" t="s">
        <v>992</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2052</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2033</v>
      </c>
      <c r="B3516" s="21" t="s">
        <v>1015</v>
      </c>
      <c r="C3516" s="21" t="s">
        <v>1316</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t="s">
        <v>1118</v>
      </c>
      <c r="E3517" s="22">
        <f>IF(D3517="?OLD","!!!","")</f>
        <v/>
      </c>
      <c r="F3517" s="23" t="str">
        <f>IF(OR(E3517="",E3517="!!!"),"",IF(NOT(ISNA(VLOOKUP(E3517,E$1:E3516,1,FALSE()))),"OLD",IF(AND(E3517&lt;&gt;"",E3517&lt;&gt;"!!!"),"NEW","")))</f>
        <v> </v>
      </c>
      <c r="G3517" s="24" t="str">
        <f>IF(OR(E3517="",E3517="!!!"),"",IF(OR(J3517=0,AND(J3517=1,K3517=1),AND(J3517=1,I3517="SBJ"),AND(J3517=1,I3517=0)),"?IN_FOCUS",IF(J3517&lt;=2,"?ACTIVATED",IF(J3517&lt;&gt;"","?FAMILIAR",IF(F3517="NEW",IF(ISNA(VLOOKUP(E3517,#REF!,1,FALSE())),"?TYPE_IDENTIFIABLE","?REFERENTIAL"),"_")))))</f>
        <v> </v>
      </c>
      <c r="H3517" s="25" t="str">
        <f>IF(J3517&lt;&gt;1,"",IF(I3517="SBJ","CB","?"))</f>
        <v> </v>
      </c>
      <c r="I3517" s="26" t="str">
        <f>IF(OR(E3517="",E3517="!!!",F3517="NEW"),"",INDEX(B3516:B$2,-1+SUMPRODUCT(MAX(ROW(E3516:E$2)*(E3517=E3516:E$2)))))</f>
        <v> </v>
      </c>
      <c r="J3517" s="26" t="str">
        <f>IF(OR(E3517="",E3517="!!!",F3517="NEW"),"",COUNTBLANK(OFFSET(A$1,,,SUMPRODUCT(MAX(ROW(E$2:E3517)*(E3517=E$2:E3517)))))-COUNTBLANK(OFFSET(A$1,,,SUMPRODUCT(MAX(ROW(E$1:E3516)*(E2=E$1:E3516))))))</f>
        <v> </v>
      </c>
      <c r="K3517" s="26" t="str">
        <f>IF(OR(E3517="",E3517="!!!",F3517="NEW"),"",INDEX(J$1:J3516,SUMPRODUCT(MAX(ROW(E$1:E3516)*(E3517=E$1:E3516)))))</f>
        <v> </v>
      </c>
      <c r="L3517" s="27"/>
    </row>
    <row r="3518" spans="1:12">
      <c r="A3518" s="20" t="s">
        <v>1031</v>
      </c>
      <c r="E3518" s="22">
        <f>IF(D3518="?OLD","!!!","")</f>
        <v/>
      </c>
      <c r="F3518" s="23" t="str">
        <f>IF(OR(E3518="",E3518="!!!"),"",IF(NOT(ISNA(VLOOKUP(E3518,E$1:E3517,1,FALSE()))),"OLD",IF(AND(E3518&lt;&gt;"",E3518&lt;&gt;"!!!"),"NEW","")))</f>
        <v> </v>
      </c>
      <c r="G3518" s="24" t="str">
        <f>IF(OR(E3518="",E3518="!!!"),"",IF(OR(J3518=0,AND(J3518=1,K3518=1),AND(J3518=1,I3518="SBJ"),AND(J3518=1,I3518=0)),"?IN_FOCUS",IF(J3518&lt;=2,"?ACTIVATED",IF(J3518&lt;&gt;"","?FAMILIAR",IF(F3518="NEW",IF(ISNA(VLOOKUP(E3518,#REF!,1,FALSE())),"?TYPE_IDENTIFIABLE","?REFERENTIAL"),"_")))))</f>
        <v> </v>
      </c>
      <c r="H3518" s="25" t="str">
        <f>IF(J3518&lt;&gt;1,"",IF(I3518="SBJ","CB","?"))</f>
        <v> </v>
      </c>
      <c r="I3518" s="26" t="str">
        <f>IF(OR(E3518="",E3518="!!!",F3518="NEW"),"",INDEX(B3517:B$2,-1+SUMPRODUCT(MAX(ROW(E3517:E$2)*(E3518=E3517:E$2)))))</f>
        <v> </v>
      </c>
      <c r="J3518" s="26" t="str">
        <f>IF(OR(E3518="",E3518="!!!",F3518="NEW"),"",COUNTBLANK(OFFSET(A$1,,,SUMPRODUCT(MAX(ROW(E$2:E3518)*(E3518=E$2:E3518)))))-COUNTBLANK(OFFSET(A$1,,,SUMPRODUCT(MAX(ROW(E$1:E3517)*(E2=E$1:E3517))))))</f>
        <v> </v>
      </c>
      <c r="K3518" s="26" t="str">
        <f>IF(OR(E3518="",E3518="!!!",F3518="NEW"),"",INDEX(J$1:J3517,SUMPRODUCT(MAX(ROW(E$1:E3517)*(E3518=E$1:E3517)))))</f>
        <v> </v>
      </c>
      <c r="L3518" s="27"/>
    </row>
    <row r="3519" spans="1:12">
      <c r="A3519" s="20" t="s">
        <v>1983</v>
      </c>
      <c r="B3519" s="21" t="s">
        <v>995</v>
      </c>
      <c r="C3519" s="21" t="s">
        <v>1022</v>
      </c>
      <c r="D3519" s="21" t="s">
        <v>992</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1229</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1202</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1984</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1032</v>
      </c>
      <c r="B3523" s="21" t="s">
        <v>1015</v>
      </c>
      <c r="C3523" s="21" t="s">
        <v>1045</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998</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row>
    <row r="3526" spans="1:12">
      <c r="A3526" s="20" t="s">
        <v>2053</v>
      </c>
    </row>
    <row r="3527" spans="1:12">
      <c r="A3527" s="20" t="s">
        <v>2008</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2054</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1114</v>
      </c>
      <c r="B3529" s="21" t="s">
        <v>990</v>
      </c>
      <c r="C3529" s="21" t="s">
        <v>991</v>
      </c>
      <c r="D3529" s="21" t="s">
        <v>992</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1161</v>
      </c>
      <c r="B3530" s="21" t="s">
        <v>1015</v>
      </c>
      <c r="C3530" s="21" t="s">
        <v>1016</v>
      </c>
      <c r="D3530" s="21" t="s">
        <v>992</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94</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1064</v>
      </c>
      <c r="B3532" s="21" t="s">
        <v>1015</v>
      </c>
      <c r="C3532" s="21" t="s">
        <v>1009</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2055</v>
      </c>
      <c r="B3533" s="21" t="s">
        <v>1002</v>
      </c>
      <c r="C3533" s="21" t="s">
        <v>1003</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1066</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1067</v>
      </c>
      <c r="B3535" s="21" t="s">
        <v>995</v>
      </c>
      <c r="C3535" s="21" t="s">
        <v>1003</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998</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row>
    <row r="3538" spans="1:12">
      <c r="A3538" s="20" t="s">
        <v>2056</v>
      </c>
    </row>
    <row r="3539" spans="1:12">
      <c r="A3539" s="20" t="s">
        <v>1326</v>
      </c>
      <c r="B3539" s="21" t="s">
        <v>990</v>
      </c>
      <c r="C3539" s="21" t="s">
        <v>1039</v>
      </c>
      <c r="D3539" s="21" t="s">
        <v>992</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2057</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1626</v>
      </c>
      <c r="B3541" s="21" t="s">
        <v>995</v>
      </c>
      <c r="C3541" s="21" t="s">
        <v>1332</v>
      </c>
      <c r="D3541" s="21" t="s">
        <v>992</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778</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1024</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1116</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1031</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2051</v>
      </c>
      <c r="B3546" s="21" t="s">
        <v>1026</v>
      </c>
      <c r="C3546" s="21" t="s">
        <v>1022</v>
      </c>
      <c r="D3546" s="21" t="s">
        <v>992</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1071</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1346</v>
      </c>
      <c r="B3548" s="21" t="s">
        <v>1060</v>
      </c>
      <c r="C3548" s="21" t="s">
        <v>1039</v>
      </c>
      <c r="D3548" s="21" t="s">
        <v>992</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1077</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1649</v>
      </c>
      <c r="B3550" s="21" t="s">
        <v>1036</v>
      </c>
      <c r="C3550" s="21" t="s">
        <v>1045</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t="s">
        <v>1066</v>
      </c>
      <c r="E3551" s="22">
        <f>IF(D3551="?OLD","!!!","")</f>
        <v/>
      </c>
      <c r="F3551" s="23" t="str">
        <f>IF(OR(E3551="",E3551="!!!"),"",IF(NOT(ISNA(VLOOKUP(E3551,E$1:E3550,1,FALSE()))),"OLD",IF(AND(E3551&lt;&gt;"",E3551&lt;&gt;"!!!"),"NEW","")))</f>
        <v> </v>
      </c>
      <c r="G3551" s="24" t="str">
        <f>IF(OR(E3551="",E3551="!!!"),"",IF(OR(J3551=0,AND(J3551=1,K3551=1),AND(J3551=1,I3551="SBJ"),AND(J3551=1,I3551=0)),"?IN_FOCUS",IF(J3551&lt;=2,"?ACTIVATED",IF(J3551&lt;&gt;"","?FAMILIAR",IF(F3551="NEW",IF(ISNA(VLOOKUP(E3551,#REF!,1,FALSE())),"?TYPE_IDENTIFIABLE","?REFERENTIAL"),"_")))))</f>
        <v> </v>
      </c>
      <c r="H3551" s="25" t="str">
        <f>IF(J3551&lt;&gt;1,"",IF(I3551="SBJ","CB","?"))</f>
        <v> </v>
      </c>
      <c r="I3551" s="26" t="str">
        <f>IF(OR(E3551="",E3551="!!!",F3551="NEW"),"",INDEX(B3550:B$2,-1+SUMPRODUCT(MAX(ROW(E3550:E$2)*(E3551=E3550:E$2)))))</f>
        <v> </v>
      </c>
      <c r="J3551" s="26" t="str">
        <f>IF(OR(E3551="",E3551="!!!",F3551="NEW"),"",COUNTBLANK(OFFSET(A$1,,,SUMPRODUCT(MAX(ROW(E$2:E3551)*(E3551=E$2:E3551)))))-COUNTBLANK(OFFSET(A$1,,,SUMPRODUCT(MAX(ROW(E$1:E3550)*(E2=E$1:E3550))))))</f>
        <v> </v>
      </c>
      <c r="K3551" s="26" t="str">
        <f>IF(OR(E3551="",E3551="!!!",F3551="NEW"),"",INDEX(J$1:J3550,SUMPRODUCT(MAX(ROW(E$1:E3550)*(E3551=E$1:E3550)))))</f>
        <v> </v>
      </c>
      <c r="L3551" s="27"/>
    </row>
    <row r="3552" spans="1:12">
      <c r="A3552" s="20" t="s">
        <v>1650</v>
      </c>
      <c r="B3552" s="21" t="s">
        <v>1060</v>
      </c>
      <c r="C3552" s="21" t="s">
        <v>1003</v>
      </c>
      <c r="E3552" s="22">
        <f>IF(D3552="?OLD","!!!","")</f>
        <v/>
      </c>
      <c r="F3552" s="23" t="str">
        <f>IF(OR(E3552="",E3552="!!!"),"",IF(NOT(ISNA(VLOOKUP(E3552,E$1:E3551,1,FALSE()))),"OLD",IF(AND(E3552&lt;&gt;"",E3552&lt;&gt;"!!!"),"NEW","")))</f>
        <v> </v>
      </c>
      <c r="G3552" s="24" t="str">
        <f>IF(OR(E3552="",E3552="!!!"),"",IF(OR(J3552=0,AND(J3552=1,K3552=1),AND(J3552=1,I3552="SBJ"),AND(J3552=1,I3552=0)),"?IN_FOCUS",IF(J3552&lt;=2,"?ACTIVATED",IF(J3552&lt;&gt;"","?FAMILIAR",IF(F3552="NEW",IF(ISNA(VLOOKUP(E3552,#REF!,1,FALSE())),"?TYPE_IDENTIFIABLE","?REFERENTIAL"),"_")))))</f>
        <v> </v>
      </c>
      <c r="H3552" s="25" t="str">
        <f>IF(J3552&lt;&gt;1,"",IF(I3552="SBJ","CB","?"))</f>
        <v> </v>
      </c>
      <c r="I3552" s="26" t="str">
        <f>IF(OR(E3552="",E3552="!!!",F3552="NEW"),"",INDEX(B3551:B$2,-1+SUMPRODUCT(MAX(ROW(E3551:E$2)*(E3552=E3551:E$2)))))</f>
        <v> </v>
      </c>
      <c r="J3552" s="26" t="str">
        <f>IF(OR(E3552="",E3552="!!!",F3552="NEW"),"",COUNTBLANK(OFFSET(A$1,,,SUMPRODUCT(MAX(ROW(E$2:E3552)*(E3552=E$2:E3552)))))-COUNTBLANK(OFFSET(A$1,,,SUMPRODUCT(MAX(ROW(E$1:E3551)*(E2=E$1:E3551))))))</f>
        <v> </v>
      </c>
      <c r="K3552" s="26" t="str">
        <f>IF(OR(E3552="",E3552="!!!",F3552="NEW"),"",INDEX(J$1:J3551,SUMPRODUCT(MAX(ROW(E$1:E3551)*(E3552=E$1:E3551)))))</f>
        <v> </v>
      </c>
      <c r="L3552" s="27"/>
    </row>
    <row r="3553" spans="1:12">
      <c r="A3553" s="20" t="s">
        <v>1056</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1040</v>
      </c>
      <c r="B3554" s="21" t="s">
        <v>1015</v>
      </c>
      <c r="C3554" s="21" t="s">
        <v>1003</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1577</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1024</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1152</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1063</v>
      </c>
      <c r="B3558" s="21" t="s">
        <v>1089</v>
      </c>
      <c r="C3558" s="21" t="s">
        <v>1039</v>
      </c>
      <c r="D3558" s="21" t="s">
        <v>992</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1031</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t="s">
        <v>1088</v>
      </c>
      <c r="B3560" s="21" t="s">
        <v>1033</v>
      </c>
      <c r="C3560" s="21" t="s">
        <v>1022</v>
      </c>
      <c r="D3560" s="21" t="s">
        <v>992</v>
      </c>
      <c r="E3560" s="22">
        <f>IF(D3560="?OLD","!!!","")</f>
        <v/>
      </c>
      <c r="F3560" s="23" t="str">
        <f>IF(OR(E3560="",E3560="!!!"),"",IF(NOT(ISNA(VLOOKUP(E3560,E$1:E3559,1,FALSE()))),"OLD",IF(AND(E3560&lt;&gt;"",E3560&lt;&gt;"!!!"),"NEW","")))</f>
        <v> </v>
      </c>
      <c r="G3560" s="24" t="str">
        <f>IF(OR(E3560="",E3560="!!!"),"",IF(OR(J3560=0,AND(J3560=1,K3560=1),AND(J3560=1,I3560="SBJ"),AND(J3560=1,I3560=0)),"?IN_FOCUS",IF(J3560&lt;=2,"?ACTIVATED",IF(J3560&lt;&gt;"","?FAMILIAR",IF(F3560="NEW",IF(ISNA(VLOOKUP(E3560,#REF!,1,FALSE())),"?TYPE_IDENTIFIABLE","?REFERENTIAL"),"_")))))</f>
        <v> </v>
      </c>
      <c r="H3560" s="25" t="str">
        <f>IF(J3560&lt;&gt;1,"",IF(I3560="SBJ","CB","?"))</f>
        <v> </v>
      </c>
      <c r="I3560" s="26" t="str">
        <f>IF(OR(E3560="",E3560="!!!",F3560="NEW"),"",INDEX(B3559:B$2,-1+SUMPRODUCT(MAX(ROW(E3559:E$2)*(E3560=E3559:E$2)))))</f>
        <v> </v>
      </c>
      <c r="J3560" s="26" t="str">
        <f>IF(OR(E3560="",E3560="!!!",F3560="NEW"),"",COUNTBLANK(OFFSET(A$1,,,SUMPRODUCT(MAX(ROW(E$2:E3560)*(E3560=E$2:E3560)))))-COUNTBLANK(OFFSET(A$1,,,SUMPRODUCT(MAX(ROW(E$1:E3559)*(E2=E$1:E3559))))))</f>
        <v> </v>
      </c>
      <c r="K3560" s="26" t="str">
        <f>IF(OR(E3560="",E3560="!!!",F3560="NEW"),"",INDEX(J$1:J3559,SUMPRODUCT(MAX(ROW(E$1:E3559)*(E3560=E$1:E3559)))))</f>
        <v> </v>
      </c>
      <c r="L3560" s="27"/>
    </row>
    <row r="3561" spans="1:12">
      <c r="A3561" s="20" t="s">
        <v>576</v>
      </c>
      <c r="E3561" s="22">
        <f>IF(D3561="?OLD","!!!","")</f>
        <v/>
      </c>
      <c r="F3561" s="23" t="str">
        <f>IF(OR(E3561="",E3561="!!!"),"",IF(NOT(ISNA(VLOOKUP(E3561,E$1:E3560,1,FALSE()))),"OLD",IF(AND(E3561&lt;&gt;"",E3561&lt;&gt;"!!!"),"NEW","")))</f>
        <v> </v>
      </c>
      <c r="G3561" s="24" t="str">
        <f>IF(OR(E3561="",E3561="!!!"),"",IF(OR(J3561=0,AND(J3561=1,K3561=1),AND(J3561=1,I3561="SBJ"),AND(J3561=1,I3561=0)),"?IN_FOCUS",IF(J3561&lt;=2,"?ACTIVATED",IF(J3561&lt;&gt;"","?FAMILIAR",IF(F3561="NEW",IF(ISNA(VLOOKUP(E3561,#REF!,1,FALSE())),"?TYPE_IDENTIFIABLE","?REFERENTIAL"),"_")))))</f>
        <v> </v>
      </c>
      <c r="H3561" s="25" t="str">
        <f>IF(J3561&lt;&gt;1,"",IF(I3561="SBJ","CB","?"))</f>
        <v> </v>
      </c>
      <c r="I3561" s="26" t="str">
        <f>IF(OR(E3561="",E3561="!!!",F3561="NEW"),"",INDEX(B3560:B$2,-1+SUMPRODUCT(MAX(ROW(E3560:E$2)*(E3561=E3560:E$2)))))</f>
        <v> </v>
      </c>
      <c r="J3561" s="26" t="str">
        <f>IF(OR(E3561="",E3561="!!!",F3561="NEW"),"",COUNTBLANK(OFFSET(A$1,,,SUMPRODUCT(MAX(ROW(E$2:E3561)*(E3561=E$2:E3561)))))-COUNTBLANK(OFFSET(A$1,,,SUMPRODUCT(MAX(ROW(E$1:E3560)*(E2=E$1:E3560))))))</f>
        <v> </v>
      </c>
      <c r="K3561" s="26" t="str">
        <f>IF(OR(E3561="",E3561="!!!",F3561="NEW"),"",INDEX(J$1:J3560,SUMPRODUCT(MAX(ROW(E$1:E3560)*(E3561=E$1:E3560)))))</f>
        <v> </v>
      </c>
      <c r="L3561" s="27"/>
    </row>
    <row r="3562" spans="1:12">
      <c r="A3562" s="20" t="s">
        <v>1300</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1032</v>
      </c>
      <c r="B3563" s="21" t="s">
        <v>1060</v>
      </c>
      <c r="C3563" s="21" t="s">
        <v>1022</v>
      </c>
      <c r="D3563" s="21" t="s">
        <v>992</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2058</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29</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998</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row>
    <row r="3568" spans="1:12">
      <c r="A3568" s="20" t="s">
        <v>1068</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2059</v>
      </c>
    </row>
    <row r="3570" spans="1:12">
      <c r="A3570" s="20" t="s">
        <v>989</v>
      </c>
      <c r="B3570" s="21" t="s">
        <v>990</v>
      </c>
      <c r="C3570" s="21" t="s">
        <v>991</v>
      </c>
      <c r="D3570" s="21" t="s">
        <v>992</v>
      </c>
      <c r="E3570" s="22">
        <f>IF(D3570="?OLD","!!!","")</f>
        <v/>
      </c>
      <c r="F3570" s="23" t="str">
        <f>IF(OR(E3570="",E3570="!!!"),"",IF(NOT(ISNA(VLOOKUP(E3570,E$1:E3569,1,FALSE()))),"OLD",IF(AND(E3570&lt;&gt;"",E3570&lt;&gt;"!!!"),"NEW","")))</f>
        <v> </v>
      </c>
      <c r="G3570" s="24" t="str">
        <f>IF(OR(E3570="",E3570="!!!"),"",IF(OR(J3570=0,AND(J3570=1,K3570=1),AND(J3570=1,I3570="SBJ"),AND(J3570=1,I3570=0)),"?IN_FOCUS",IF(J3570&lt;=2,"?ACTIVATED",IF(J3570&lt;&gt;"","?FAMILIAR",IF(F3570="NEW",IF(ISNA(VLOOKUP(E3570,#REF!,1,FALSE())),"?TYPE_IDENTIFIABLE","?REFERENTIAL"),"_")))))</f>
        <v> </v>
      </c>
      <c r="H3570" s="25" t="str">
        <f>IF(J3570&lt;&gt;1,"",IF(I3570="SBJ","CB","?"))</f>
        <v> </v>
      </c>
      <c r="I3570" s="26" t="str">
        <f>IF(OR(E3570="",E3570="!!!",F3570="NEW"),"",INDEX(B3569:B$2,-1+SUMPRODUCT(MAX(ROW(E3569:E$2)*(E3570=E3569:E$2)))))</f>
        <v> </v>
      </c>
      <c r="J3570" s="26" t="str">
        <f>IF(OR(E3570="",E3570="!!!",F3570="NEW"),"",COUNTBLANK(OFFSET(A$1,,,SUMPRODUCT(MAX(ROW(E$2:E3570)*(E3570=E$2:E3570)))))-COUNTBLANK(OFFSET(A$1,,,SUMPRODUCT(MAX(ROW(E$1:E3569)*(E2=E$1:E3569))))))</f>
        <v> </v>
      </c>
      <c r="K3570" s="26" t="str">
        <f>IF(OR(E3570="",E3570="!!!",F3570="NEW"),"",INDEX(J$1:J3569,SUMPRODUCT(MAX(ROW(E$1:E3569)*(E3570=E$1:E3569)))))</f>
        <v> </v>
      </c>
      <c r="L3570" s="27"/>
    </row>
    <row r="3571" spans="1:12">
      <c r="A3571" s="20" t="s">
        <v>2060</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1024</v>
      </c>
      <c r="E3572" s="22">
        <f>IF(D3572="?OLD","!!!","")</f>
        <v/>
      </c>
      <c r="F3572" s="23" t="str">
        <f>IF(OR(E3572="",E3572="!!!"),"",IF(NOT(ISNA(VLOOKUP(E3572,E$1:E3571,1,FALSE()))),"OLD",IF(AND(E3572&lt;&gt;"",E3572&lt;&gt;"!!!"),"NEW","")))</f>
        <v> </v>
      </c>
      <c r="G3572" s="24" t="str">
        <f>IF(OR(E3572="",E3572="!!!"),"",IF(OR(J3572=0,AND(J3572=1,K3572=1),AND(J3572=1,I3572="SBJ"),AND(J3572=1,I3572=0)),"?IN_FOCUS",IF(J3572&lt;=2,"?ACTIVATED",IF(J3572&lt;&gt;"","?FAMILIAR",IF(F3572="NEW",IF(ISNA(VLOOKUP(E3572,#REF!,1,FALSE())),"?TYPE_IDENTIFIABLE","?REFERENTIAL"),"_")))))</f>
        <v> </v>
      </c>
      <c r="H3572" s="25" t="str">
        <f>IF(J3572&lt;&gt;1,"",IF(I3572="SBJ","CB","?"))</f>
        <v> </v>
      </c>
      <c r="I3572" s="26" t="str">
        <f>IF(OR(E3572="",E3572="!!!",F3572="NEW"),"",INDEX(B3571:B$2,-1+SUMPRODUCT(MAX(ROW(E3571:E$2)*(E3572=E3571:E$2)))))</f>
        <v> </v>
      </c>
      <c r="J3572" s="26" t="str">
        <f>IF(OR(E3572="",E3572="!!!",F3572="NEW"),"",COUNTBLANK(OFFSET(A$1,,,SUMPRODUCT(MAX(ROW(E$2:E3572)*(E3572=E$2:E3572)))))-COUNTBLANK(OFFSET(A$1,,,SUMPRODUCT(MAX(ROW(E$1:E3571)*(E2=E$1:E3571))))))</f>
        <v> </v>
      </c>
      <c r="K3572" s="26" t="str">
        <f>IF(OR(E3572="",E3572="!!!",F3572="NEW"),"",INDEX(J$1:J3571,SUMPRODUCT(MAX(ROW(E$1:E3571)*(E3572=E$1:E3571)))))</f>
        <v> </v>
      </c>
      <c r="L3572" s="27"/>
    </row>
    <row r="3573" spans="1:12">
      <c r="A3573" s="20" t="s">
        <v>1206</v>
      </c>
      <c r="B3573" s="21" t="s">
        <v>1026</v>
      </c>
      <c r="C3573" s="21" t="s">
        <v>991</v>
      </c>
      <c r="D3573" s="21" t="s">
        <v>992</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400</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939</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1073</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1074</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1390</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1092</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1063</v>
      </c>
      <c r="B3580" s="21" t="s">
        <v>1089</v>
      </c>
      <c r="C3580" s="21" t="s">
        <v>1039</v>
      </c>
      <c r="D3580" s="21" t="s">
        <v>992</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1088</v>
      </c>
      <c r="B3581" s="21" t="s">
        <v>1033</v>
      </c>
      <c r="C3581" s="21" t="s">
        <v>1003</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576</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1300</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1032</v>
      </c>
      <c r="B3584" s="21" t="s">
        <v>1060</v>
      </c>
      <c r="C3584" s="21" t="s">
        <v>1022</v>
      </c>
      <c r="D3584" s="21" t="s">
        <v>992</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1034</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1040</v>
      </c>
      <c r="B3586" s="21" t="s">
        <v>1036</v>
      </c>
      <c r="C3586" s="21" t="s">
        <v>996</v>
      </c>
      <c r="D3586" s="21" t="s">
        <v>992</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1167</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1074</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row>
    <row r="3590" spans="1:12">
      <c r="A3590" s="20" t="s">
        <v>2061</v>
      </c>
    </row>
    <row r="3591" spans="1:12">
      <c r="A3591" s="20" t="s">
        <v>1013</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1102</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1411</v>
      </c>
      <c r="B3593" s="21" t="s">
        <v>1015</v>
      </c>
      <c r="C3593" s="21" t="s">
        <v>1076</v>
      </c>
      <c r="D3593" s="21" t="s">
        <v>992</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1636</v>
      </c>
      <c r="B3594" s="21" t="s">
        <v>1002</v>
      </c>
      <c r="C3594" s="21" t="s">
        <v>1121</v>
      </c>
      <c r="D3594" s="21" t="s">
        <v>992</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1042</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1114</v>
      </c>
      <c r="B3596" s="21" t="s">
        <v>990</v>
      </c>
      <c r="C3596" s="21" t="s">
        <v>991</v>
      </c>
      <c r="D3596" s="21" t="s">
        <v>992</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1161</v>
      </c>
      <c r="B3597" s="21" t="s">
        <v>1015</v>
      </c>
      <c r="C3597" s="21" t="s">
        <v>1016</v>
      </c>
      <c r="D3597" s="21" t="s">
        <v>992</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1773</v>
      </c>
      <c r="B3598" s="21" t="s">
        <v>1002</v>
      </c>
      <c r="C3598" s="21" t="s">
        <v>1003</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1034</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1197</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2062</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1008</v>
      </c>
      <c r="B3602" s="21" t="s">
        <v>995</v>
      </c>
      <c r="C3602" s="21" t="s">
        <v>1022</v>
      </c>
      <c r="D3602" s="21" t="s">
        <v>992</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1098</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1057</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1099</v>
      </c>
      <c r="B3605" s="21" t="s">
        <v>995</v>
      </c>
      <c r="C3605" s="21" t="s">
        <v>1022</v>
      </c>
      <c r="D3605" s="21" t="s">
        <v>992</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1018</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1031</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1100</v>
      </c>
      <c r="B3608" s="21" t="s">
        <v>1015</v>
      </c>
      <c r="C3608" s="21" t="s">
        <v>1022</v>
      </c>
      <c r="D3608" s="21" t="s">
        <v>992</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t="s">
        <v>2063</v>
      </c>
      <c r="E3609" s="22">
        <f>IF(D3609="?OLD","!!!","")</f>
        <v/>
      </c>
      <c r="F3609" s="23" t="str">
        <f>IF(OR(E3609="",E3609="!!!"),"",IF(NOT(ISNA(VLOOKUP(E3609,E$1:E3608,1,FALSE()))),"OLD",IF(AND(E3609&lt;&gt;"",E3609&lt;&gt;"!!!"),"NEW","")))</f>
        <v> </v>
      </c>
      <c r="G3609" s="24" t="str">
        <f>IF(OR(E3609="",E3609="!!!"),"",IF(OR(J3609=0,AND(J3609=1,K3609=1),AND(J3609=1,I3609="SBJ"),AND(J3609=1,I3609=0)),"?IN_FOCUS",IF(J3609&lt;=2,"?ACTIVATED",IF(J3609&lt;&gt;"","?FAMILIAR",IF(F3609="NEW",IF(ISNA(VLOOKUP(E3609,#REF!,1,FALSE())),"?TYPE_IDENTIFIABLE","?REFERENTIAL"),"_")))))</f>
        <v> </v>
      </c>
      <c r="H3609" s="25" t="str">
        <f>IF(J3609&lt;&gt;1,"",IF(I3609="SBJ","CB","?"))</f>
        <v> </v>
      </c>
      <c r="I3609" s="26" t="str">
        <f>IF(OR(E3609="",E3609="!!!",F3609="NEW"),"",INDEX(B3608:B$2,-1+SUMPRODUCT(MAX(ROW(E3608:E$2)*(E3609=E3608:E$2)))))</f>
        <v> </v>
      </c>
      <c r="J3609" s="26" t="str">
        <f>IF(OR(E3609="",E3609="!!!",F3609="NEW"),"",COUNTBLANK(OFFSET(A$1,,,SUMPRODUCT(MAX(ROW(E$2:E3609)*(E3609=E$2:E3609)))))-COUNTBLANK(OFFSET(A$1,,,SUMPRODUCT(MAX(ROW(E$1:E3608)*(E2=E$1:E3608))))))</f>
        <v> </v>
      </c>
      <c r="K3609" s="26" t="str">
        <f>IF(OR(E3609="",E3609="!!!",F3609="NEW"),"",INDEX(J$1:J3608,SUMPRODUCT(MAX(ROW(E$1:E3608)*(E3609=E$1:E3608)))))</f>
        <v> </v>
      </c>
      <c r="L3609" s="27"/>
    </row>
    <row r="3610" spans="1:12">
      <c r="A3610" s="20" t="s">
        <v>998</v>
      </c>
      <c r="E3610" s="22">
        <f>IF(D3610="?OLD","!!!","")</f>
        <v/>
      </c>
      <c r="F3610" s="23" t="str">
        <f>IF(OR(E3610="",E3610="!!!"),"",IF(NOT(ISNA(VLOOKUP(E3610,E$1:E3609,1,FALSE()))),"OLD",IF(AND(E3610&lt;&gt;"",E3610&lt;&gt;"!!!"),"NEW","")))</f>
        <v> </v>
      </c>
      <c r="G3610" s="24" t="str">
        <f>IF(OR(E3610="",E3610="!!!"),"",IF(OR(J3610=0,AND(J3610=1,K3610=1),AND(J3610=1,I3610="SBJ"),AND(J3610=1,I3610=0)),"?IN_FOCUS",IF(J3610&lt;=2,"?ACTIVATED",IF(J3610&lt;&gt;"","?FAMILIAR",IF(F3610="NEW",IF(ISNA(VLOOKUP(E3610,#REF!,1,FALSE())),"?TYPE_IDENTIFIABLE","?REFERENTIAL"),"_")))))</f>
        <v> </v>
      </c>
      <c r="H3610" s="25" t="str">
        <f>IF(J3610&lt;&gt;1,"",IF(I3610="SBJ","CB","?"))</f>
        <v> </v>
      </c>
      <c r="I3610" s="26" t="str">
        <f>IF(OR(E3610="",E3610="!!!",F3610="NEW"),"",INDEX(B3609:B$2,-1+SUMPRODUCT(MAX(ROW(E3609:E$2)*(E3610=E3609:E$2)))))</f>
        <v> </v>
      </c>
      <c r="J3610" s="26" t="str">
        <f>IF(OR(E3610="",E3610="!!!",F3610="NEW"),"",COUNTBLANK(OFFSET(A$1,,,SUMPRODUCT(MAX(ROW(E$2:E3610)*(E3610=E$2:E3610)))))-COUNTBLANK(OFFSET(A$1,,,SUMPRODUCT(MAX(ROW(E$1:E3609)*(E2=E$1:E3609))))))</f>
        <v> </v>
      </c>
      <c r="K3610" s="26" t="str">
        <f>IF(OR(E3610="",E3610="!!!",F3610="NEW"),"",INDEX(J$1:J3609,SUMPRODUCT(MAX(ROW(E$1:E3609)*(E3610=E$1:E3609)))))</f>
        <v> </v>
      </c>
      <c r="L3610" s="27"/>
    </row>
    <row r="3611" spans="1:12">
      <c r="A3611" s="20"/>
    </row>
    <row r="3612" spans="1:12">
      <c r="A3612" s="20" t="s">
        <v>2064</v>
      </c>
    </row>
    <row r="3613" spans="1:12">
      <c r="A3613" s="20" t="s">
        <v>1326</v>
      </c>
      <c r="B3613" s="21" t="s">
        <v>990</v>
      </c>
      <c r="C3613" s="21" t="s">
        <v>1039</v>
      </c>
      <c r="D3613" s="21" t="s">
        <v>992</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29</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1213</v>
      </c>
      <c r="B3615" s="21" t="s">
        <v>1015</v>
      </c>
      <c r="C3615" s="21" t="s">
        <v>1076</v>
      </c>
      <c r="D3615" s="21" t="s">
        <v>992</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2065</v>
      </c>
      <c r="B3616" s="21" t="s">
        <v>1002</v>
      </c>
      <c r="C3616" s="21" t="s">
        <v>1121</v>
      </c>
      <c r="D3616" s="21" t="s">
        <v>992</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1034</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2066</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2067</v>
      </c>
      <c r="B3619" s="21" t="s">
        <v>995</v>
      </c>
      <c r="C3619" s="21" t="s">
        <v>1316</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1034</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2068</v>
      </c>
      <c r="B3621" s="21" t="s">
        <v>1015</v>
      </c>
      <c r="C3621" s="21" t="s">
        <v>996</v>
      </c>
      <c r="D3621" s="21" t="s">
        <v>992</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2069</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1024</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1025</v>
      </c>
      <c r="B3624" s="21" t="s">
        <v>990</v>
      </c>
      <c r="C3624" s="21" t="s">
        <v>991</v>
      </c>
      <c r="D3624" s="21" t="s">
        <v>992</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2070</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1392</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1037</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1063</v>
      </c>
      <c r="B3628" s="21" t="s">
        <v>1089</v>
      </c>
      <c r="C3628" s="21" t="s">
        <v>1039</v>
      </c>
      <c r="D3628" s="21" t="s">
        <v>992</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t="s">
        <v>1031</v>
      </c>
      <c r="E3629" s="22">
        <f>IF(D3629="?OLD","!!!","")</f>
        <v/>
      </c>
      <c r="F3629" s="23" t="str">
        <f>IF(OR(E3629="",E3629="!!!"),"",IF(NOT(ISNA(VLOOKUP(E3629,E$1:E3628,1,FALSE()))),"OLD",IF(AND(E3629&lt;&gt;"",E3629&lt;&gt;"!!!"),"NEW","")))</f>
        <v> </v>
      </c>
      <c r="G3629" s="24" t="str">
        <f>IF(OR(E3629="",E3629="!!!"),"",IF(OR(J3629=0,AND(J3629=1,K3629=1),AND(J3629=1,I3629="SBJ"),AND(J3629=1,I3629=0)),"?IN_FOCUS",IF(J3629&lt;=2,"?ACTIVATED",IF(J3629&lt;&gt;"","?FAMILIAR",IF(F3629="NEW",IF(ISNA(VLOOKUP(E3629,#REF!,1,FALSE())),"?TYPE_IDENTIFIABLE","?REFERENTIAL"),"_")))))</f>
        <v> </v>
      </c>
      <c r="H3629" s="25" t="str">
        <f>IF(J3629&lt;&gt;1,"",IF(I3629="SBJ","CB","?"))</f>
        <v> </v>
      </c>
      <c r="I3629" s="26" t="str">
        <f>IF(OR(E3629="",E3629="!!!",F3629="NEW"),"",INDEX(B3628:B$2,-1+SUMPRODUCT(MAX(ROW(E3628:E$2)*(E3629=E3628:E$2)))))</f>
        <v> </v>
      </c>
      <c r="J3629" s="26" t="str">
        <f>IF(OR(E3629="",E3629="!!!",F3629="NEW"),"",COUNTBLANK(OFFSET(A$1,,,SUMPRODUCT(MAX(ROW(E$2:E3629)*(E3629=E$2:E3629)))))-COUNTBLANK(OFFSET(A$1,,,SUMPRODUCT(MAX(ROW(E$1:E3628)*(E2=E$1:E3628))))))</f>
        <v> </v>
      </c>
      <c r="K3629" s="26" t="str">
        <f>IF(OR(E3629="",E3629="!!!",F3629="NEW"),"",INDEX(J$1:J3628,SUMPRODUCT(MAX(ROW(E$1:E3628)*(E3629=E$1:E3628)))))</f>
        <v> </v>
      </c>
      <c r="L3629" s="27"/>
    </row>
    <row r="3630" spans="1:12">
      <c r="A3630" s="20" t="s">
        <v>1100</v>
      </c>
      <c r="B3630" s="21" t="s">
        <v>1033</v>
      </c>
      <c r="C3630" s="21" t="s">
        <v>1022</v>
      </c>
      <c r="D3630" s="21" t="s">
        <v>992</v>
      </c>
      <c r="E3630" s="22">
        <f>IF(D3630="?OLD","!!!","")</f>
        <v/>
      </c>
      <c r="F3630" s="23" t="str">
        <f>IF(OR(E3630="",E3630="!!!"),"",IF(NOT(ISNA(VLOOKUP(E3630,E$1:E3629,1,FALSE()))),"OLD",IF(AND(E3630&lt;&gt;"",E3630&lt;&gt;"!!!"),"NEW","")))</f>
        <v> </v>
      </c>
      <c r="G3630" s="24" t="str">
        <f>IF(OR(E3630="",E3630="!!!"),"",IF(OR(J3630=0,AND(J3630=1,K3630=1),AND(J3630=1,I3630="SBJ"),AND(J3630=1,I3630=0)),"?IN_FOCUS",IF(J3630&lt;=2,"?ACTIVATED",IF(J3630&lt;&gt;"","?FAMILIAR",IF(F3630="NEW",IF(ISNA(VLOOKUP(E3630,#REF!,1,FALSE())),"?TYPE_IDENTIFIABLE","?REFERENTIAL"),"_")))))</f>
        <v> </v>
      </c>
      <c r="H3630" s="25" t="str">
        <f>IF(J3630&lt;&gt;1,"",IF(I3630="SBJ","CB","?"))</f>
        <v> </v>
      </c>
      <c r="I3630" s="26" t="str">
        <f>IF(OR(E3630="",E3630="!!!",F3630="NEW"),"",INDEX(B3629:B$2,-1+SUMPRODUCT(MAX(ROW(E3629:E$2)*(E3630=E3629:E$2)))))</f>
        <v> </v>
      </c>
      <c r="J3630" s="26" t="str">
        <f>IF(OR(E3630="",E3630="!!!",F3630="NEW"),"",COUNTBLANK(OFFSET(A$1,,,SUMPRODUCT(MAX(ROW(E$2:E3630)*(E3630=E$2:E3630)))))-COUNTBLANK(OFFSET(A$1,,,SUMPRODUCT(MAX(ROW(E$1:E3629)*(E2=E$1:E3629))))))</f>
        <v> </v>
      </c>
      <c r="K3630" s="26" t="str">
        <f>IF(OR(E3630="",E3630="!!!",F3630="NEW"),"",INDEX(J$1:J3629,SUMPRODUCT(MAX(ROW(E$1:E3629)*(E3630=E$1:E3629)))))</f>
        <v> </v>
      </c>
      <c r="L3630" s="27"/>
    </row>
    <row r="3631" spans="1:12">
      <c r="A3631" s="20" t="s">
        <v>2071</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2057</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998</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row>
    <row r="3635" spans="1:12">
      <c r="A3635" s="20" t="s">
        <v>2072</v>
      </c>
    </row>
    <row r="3636" spans="1:12">
      <c r="A3636" s="20" t="s">
        <v>1326</v>
      </c>
      <c r="B3636" s="21" t="s">
        <v>990</v>
      </c>
      <c r="C3636" s="21" t="s">
        <v>1039</v>
      </c>
      <c r="D3636" s="21" t="s">
        <v>992</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1122</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1108</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1149</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1024</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1031</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1100</v>
      </c>
      <c r="B3642" s="21" t="s">
        <v>1055</v>
      </c>
      <c r="C3642" s="21" t="s">
        <v>1022</v>
      </c>
      <c r="D3642" s="21" t="s">
        <v>992</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1260</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1029</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572</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t="s">
        <v>998</v>
      </c>
      <c r="E3646" s="22">
        <f>IF(D3646="?OLD","!!!","")</f>
        <v/>
      </c>
      <c r="F3646" s="23" t="str">
        <f>IF(OR(E3646="",E3646="!!!"),"",IF(NOT(ISNA(VLOOKUP(E3646,E$1:E3645,1,FALSE()))),"OLD",IF(AND(E3646&lt;&gt;"",E3646&lt;&gt;"!!!"),"NEW","")))</f>
        <v> </v>
      </c>
      <c r="G3646" s="24" t="str">
        <f>IF(OR(E3646="",E3646="!!!"),"",IF(OR(J3646=0,AND(J3646=1,K3646=1),AND(J3646=1,I3646="SBJ"),AND(J3646=1,I3646=0)),"?IN_FOCUS",IF(J3646&lt;=2,"?ACTIVATED",IF(J3646&lt;&gt;"","?FAMILIAR",IF(F3646="NEW",IF(ISNA(VLOOKUP(E3646,#REF!,1,FALSE())),"?TYPE_IDENTIFIABLE","?REFERENTIAL"),"_")))))</f>
        <v> </v>
      </c>
      <c r="H3646" s="25" t="str">
        <f>IF(J3646&lt;&gt;1,"",IF(I3646="SBJ","CB","?"))</f>
        <v> </v>
      </c>
      <c r="I3646" s="26" t="str">
        <f>IF(OR(E3646="",E3646="!!!",F3646="NEW"),"",INDEX(B3645:B$2,-1+SUMPRODUCT(MAX(ROW(E3645:E$2)*(E3646=E3645:E$2)))))</f>
        <v> </v>
      </c>
      <c r="J3646" s="26" t="str">
        <f>IF(OR(E3646="",E3646="!!!",F3646="NEW"),"",COUNTBLANK(OFFSET(A$1,,,SUMPRODUCT(MAX(ROW(E$2:E3646)*(E3646=E$2:E3646)))))-COUNTBLANK(OFFSET(A$1,,,SUMPRODUCT(MAX(ROW(E$1:E3645)*(E2=E$1:E3645))))))</f>
        <v> </v>
      </c>
      <c r="K3646" s="26" t="str">
        <f>IF(OR(E3646="",E3646="!!!",F3646="NEW"),"",INDEX(J$1:J3645,SUMPRODUCT(MAX(ROW(E$1:E3645)*(E3646=E$1:E3645)))))</f>
        <v> </v>
      </c>
      <c r="L3646" s="27"/>
    </row>
    <row r="3647" spans="1:12">
      <c r="A3647" s="20"/>
    </row>
    <row r="3648" spans="1:12">
      <c r="A3648" s="20" t="s">
        <v>2073</v>
      </c>
    </row>
    <row r="3649" spans="1:12">
      <c r="A3649" s="20" t="s">
        <v>2074</v>
      </c>
      <c r="B3649" s="21" t="s">
        <v>1055</v>
      </c>
      <c r="C3649" s="21" t="s">
        <v>1039</v>
      </c>
      <c r="D3649" s="21" t="s">
        <v>992</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1063</v>
      </c>
      <c r="B3650" s="21" t="s">
        <v>1026</v>
      </c>
      <c r="C3650" s="21" t="s">
        <v>1039</v>
      </c>
      <c r="D3650" s="21" t="s">
        <v>992</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1122</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1024</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1023</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1031</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1100</v>
      </c>
      <c r="B3655" s="21" t="s">
        <v>990</v>
      </c>
      <c r="C3655" s="21" t="s">
        <v>1022</v>
      </c>
      <c r="D3655" s="21" t="s">
        <v>992</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1029</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259</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998</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row>
    <row r="3660" spans="1:12">
      <c r="A3660" s="20" t="s">
        <v>2075</v>
      </c>
    </row>
    <row r="3661" spans="1:12">
      <c r="A3661" s="20" t="s">
        <v>1326</v>
      </c>
      <c r="B3661" s="21" t="s">
        <v>990</v>
      </c>
      <c r="C3661" s="21" t="s">
        <v>1039</v>
      </c>
      <c r="D3661" s="21" t="s">
        <v>992</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t="s">
        <v>1122</v>
      </c>
      <c r="E3662" s="22">
        <f>IF(D3662="?OLD","!!!","")</f>
        <v/>
      </c>
      <c r="F3662" s="23" t="str">
        <f>IF(OR(E3662="",E3662="!!!"),"",IF(NOT(ISNA(VLOOKUP(E3662,E$1:E3661,1,FALSE()))),"OLD",IF(AND(E3662&lt;&gt;"",E3662&lt;&gt;"!!!"),"NEW","")))</f>
        <v> </v>
      </c>
      <c r="G3662" s="24" t="str">
        <f>IF(OR(E3662="",E3662="!!!"),"",IF(OR(J3662=0,AND(J3662=1,K3662=1),AND(J3662=1,I3662="SBJ"),AND(J3662=1,I3662=0)),"?IN_FOCUS",IF(J3662&lt;=2,"?ACTIVATED",IF(J3662&lt;&gt;"","?FAMILIAR",IF(F3662="NEW",IF(ISNA(VLOOKUP(E3662,#REF!,1,FALSE())),"?TYPE_IDENTIFIABLE","?REFERENTIAL"),"_")))))</f>
        <v> </v>
      </c>
      <c r="H3662" s="25" t="str">
        <f>IF(J3662&lt;&gt;1,"",IF(I3662="SBJ","CB","?"))</f>
        <v> </v>
      </c>
      <c r="I3662" s="26" t="str">
        <f>IF(OR(E3662="",E3662="!!!",F3662="NEW"),"",INDEX(B3661:B$2,-1+SUMPRODUCT(MAX(ROW(E3661:E$2)*(E3662=E3661:E$2)))))</f>
        <v> </v>
      </c>
      <c r="J3662" s="26" t="str">
        <f>IF(OR(E3662="",E3662="!!!",F3662="NEW"),"",COUNTBLANK(OFFSET(A$1,,,SUMPRODUCT(MAX(ROW(E$2:E3662)*(E3662=E$2:E3662)))))-COUNTBLANK(OFFSET(A$1,,,SUMPRODUCT(MAX(ROW(E$1:E3661)*(E2=E$1:E3661))))))</f>
        <v> </v>
      </c>
      <c r="K3662" s="26" t="str">
        <f>IF(OR(E3662="",E3662="!!!",F3662="NEW"),"",INDEX(J$1:J3661,SUMPRODUCT(MAX(ROW(E$1:E3661)*(E3662=E$1:E3661)))))</f>
        <v> </v>
      </c>
      <c r="L3662" s="27"/>
    </row>
    <row r="3663" spans="1:12">
      <c r="A3663" s="20" t="s">
        <v>1346</v>
      </c>
      <c r="B3663" s="21" t="s">
        <v>1002</v>
      </c>
      <c r="C3663" s="21" t="s">
        <v>1039</v>
      </c>
      <c r="D3663" s="21" t="s">
        <v>992</v>
      </c>
      <c r="E3663" s="22">
        <f>IF(D3663="?OLD","!!!","")</f>
        <v/>
      </c>
      <c r="F3663" s="23" t="str">
        <f>IF(OR(E3663="",E3663="!!!"),"",IF(NOT(ISNA(VLOOKUP(E3663,E$1:E3662,1,FALSE()))),"OLD",IF(AND(E3663&lt;&gt;"",E3663&lt;&gt;"!!!"),"NEW","")))</f>
        <v> </v>
      </c>
      <c r="G3663" s="24" t="str">
        <f>IF(OR(E3663="",E3663="!!!"),"",IF(OR(J3663=0,AND(J3663=1,K3663=1),AND(J3663=1,I3663="SBJ"),AND(J3663=1,I3663=0)),"?IN_FOCUS",IF(J3663&lt;=2,"?ACTIVATED",IF(J3663&lt;&gt;"","?FAMILIAR",IF(F3663="NEW",IF(ISNA(VLOOKUP(E3663,#REF!,1,FALSE())),"?TYPE_IDENTIFIABLE","?REFERENTIAL"),"_")))))</f>
        <v> </v>
      </c>
      <c r="H3663" s="25" t="str">
        <f>IF(J3663&lt;&gt;1,"",IF(I3663="SBJ","CB","?"))</f>
        <v> </v>
      </c>
      <c r="I3663" s="26" t="str">
        <f>IF(OR(E3663="",E3663="!!!",F3663="NEW"),"",INDEX(B3662:B$2,-1+SUMPRODUCT(MAX(ROW(E3662:E$2)*(E3663=E3662:E$2)))))</f>
        <v> </v>
      </c>
      <c r="J3663" s="26" t="str">
        <f>IF(OR(E3663="",E3663="!!!",F3663="NEW"),"",COUNTBLANK(OFFSET(A$1,,,SUMPRODUCT(MAX(ROW(E$2:E3663)*(E3663=E$2:E3663)))))-COUNTBLANK(OFFSET(A$1,,,SUMPRODUCT(MAX(ROW(E$1:E3662)*(E2=E$1:E3662))))))</f>
        <v> </v>
      </c>
      <c r="K3663" s="26" t="str">
        <f>IF(OR(E3663="",E3663="!!!",F3663="NEW"),"",INDEX(J$1:J3662,SUMPRODUCT(MAX(ROW(E$1:E3662)*(E3663=E$1:E3662)))))</f>
        <v> </v>
      </c>
      <c r="L3663" s="27"/>
    </row>
    <row r="3664" spans="1:12">
      <c r="A3664" s="20" t="s">
        <v>1019</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2076</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1257</v>
      </c>
      <c r="B3666" s="21" t="s">
        <v>1002</v>
      </c>
      <c r="C3666" s="21" t="s">
        <v>1022</v>
      </c>
      <c r="D3666" s="21" t="s">
        <v>992</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800</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998</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row>
    <row r="3670" spans="1:12">
      <c r="A3670" s="20" t="s">
        <v>2077</v>
      </c>
    </row>
    <row r="3671" spans="1:12">
      <c r="A3671" s="20" t="s">
        <v>1013</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1946</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1050</v>
      </c>
      <c r="B3673" s="21" t="s">
        <v>1002</v>
      </c>
      <c r="C3673" s="21" t="s">
        <v>1003</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t="s">
        <v>1331</v>
      </c>
      <c r="B3674" s="21" t="s">
        <v>995</v>
      </c>
      <c r="C3674" s="21" t="s">
        <v>1332</v>
      </c>
      <c r="D3674" s="21" t="s">
        <v>992</v>
      </c>
      <c r="E3674" s="22">
        <f>IF(D3674="?OLD","!!!","")</f>
        <v/>
      </c>
      <c r="F3674" s="23" t="str">
        <f>IF(OR(E3674="",E3674="!!!"),"",IF(NOT(ISNA(VLOOKUP(E3674,E$1:E3673,1,FALSE()))),"OLD",IF(AND(E3674&lt;&gt;"",E3674&lt;&gt;"!!!"),"NEW","")))</f>
        <v> </v>
      </c>
      <c r="G3674" s="24" t="str">
        <f>IF(OR(E3674="",E3674="!!!"),"",IF(OR(J3674=0,AND(J3674=1,K3674=1),AND(J3674=1,I3674="SBJ"),AND(J3674=1,I3674=0)),"?IN_FOCUS",IF(J3674&lt;=2,"?ACTIVATED",IF(J3674&lt;&gt;"","?FAMILIAR",IF(F3674="NEW",IF(ISNA(VLOOKUP(E3674,#REF!,1,FALSE())),"?TYPE_IDENTIFIABLE","?REFERENTIAL"),"_")))))</f>
        <v> </v>
      </c>
      <c r="H3674" s="25" t="str">
        <f>IF(J3674&lt;&gt;1,"",IF(I3674="SBJ","CB","?"))</f>
        <v> </v>
      </c>
      <c r="I3674" s="26" t="str">
        <f>IF(OR(E3674="",E3674="!!!",F3674="NEW"),"",INDEX(B3673:B$2,-1+SUMPRODUCT(MAX(ROW(E3673:E$2)*(E3674=E3673:E$2)))))</f>
        <v> </v>
      </c>
      <c r="J3674" s="26" t="str">
        <f>IF(OR(E3674="",E3674="!!!",F3674="NEW"),"",COUNTBLANK(OFFSET(A$1,,,SUMPRODUCT(MAX(ROW(E$2:E3674)*(E3674=E$2:E3674)))))-COUNTBLANK(OFFSET(A$1,,,SUMPRODUCT(MAX(ROW(E$1:E3673)*(E2=E$1:E3673))))))</f>
        <v> </v>
      </c>
      <c r="K3674" s="26" t="str">
        <f>IF(OR(E3674="",E3674="!!!",F3674="NEW"),"",INDEX(J$1:J3673,SUMPRODUCT(MAX(ROW(E$1:E3673)*(E3674=E$1:E3673)))))</f>
        <v> </v>
      </c>
      <c r="L3674" s="27"/>
    </row>
    <row r="3675" spans="1:12">
      <c r="A3675" s="20" t="s">
        <v>804</v>
      </c>
      <c r="E3675" s="22">
        <f>IF(D3675="?OLD","!!!","")</f>
        <v/>
      </c>
      <c r="F3675" s="23" t="str">
        <f>IF(OR(E3675="",E3675="!!!"),"",IF(NOT(ISNA(VLOOKUP(E3675,E$1:E3674,1,FALSE()))),"OLD",IF(AND(E3675&lt;&gt;"",E3675&lt;&gt;"!!!"),"NEW","")))</f>
        <v> </v>
      </c>
      <c r="G3675" s="24" t="str">
        <f>IF(OR(E3675="",E3675="!!!"),"",IF(OR(J3675=0,AND(J3675=1,K3675=1),AND(J3675=1,I3675="SBJ"),AND(J3675=1,I3675=0)),"?IN_FOCUS",IF(J3675&lt;=2,"?ACTIVATED",IF(J3675&lt;&gt;"","?FAMILIAR",IF(F3675="NEW",IF(ISNA(VLOOKUP(E3675,#REF!,1,FALSE())),"?TYPE_IDENTIFIABLE","?REFERENTIAL"),"_")))))</f>
        <v> </v>
      </c>
      <c r="H3675" s="25" t="str">
        <f>IF(J3675&lt;&gt;1,"",IF(I3675="SBJ","CB","?"))</f>
        <v> </v>
      </c>
      <c r="I3675" s="26" t="str">
        <f>IF(OR(E3675="",E3675="!!!",F3675="NEW"),"",INDEX(B3674:B$2,-1+SUMPRODUCT(MAX(ROW(E3674:E$2)*(E3675=E3674:E$2)))))</f>
        <v> </v>
      </c>
      <c r="J3675" s="26" t="str">
        <f>IF(OR(E3675="",E3675="!!!",F3675="NEW"),"",COUNTBLANK(OFFSET(A$1,,,SUMPRODUCT(MAX(ROW(E$2:E3675)*(E3675=E$2:E3675)))))-COUNTBLANK(OFFSET(A$1,,,SUMPRODUCT(MAX(ROW(E$1:E3674)*(E2=E$1:E3674))))))</f>
        <v> </v>
      </c>
      <c r="K3675" s="26" t="str">
        <f>IF(OR(E3675="",E3675="!!!",F3675="NEW"),"",INDEX(J$1:J3674,SUMPRODUCT(MAX(ROW(E$1:E3674)*(E3675=E$1:E3674)))))</f>
        <v> </v>
      </c>
      <c r="L3675" s="27"/>
    </row>
    <row r="3676" spans="1:12">
      <c r="A3676" s="20" t="s">
        <v>1024</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1123</v>
      </c>
      <c r="B3677" s="21" t="s">
        <v>1036</v>
      </c>
      <c r="C3677" s="21" t="s">
        <v>1076</v>
      </c>
      <c r="D3677" s="21" t="s">
        <v>992</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2078</v>
      </c>
      <c r="B3678" s="21" t="s">
        <v>1026</v>
      </c>
      <c r="C3678" s="21" t="s">
        <v>1121</v>
      </c>
      <c r="D3678" s="21" t="s">
        <v>992</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1034</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1031</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1035</v>
      </c>
      <c r="B3681" s="21" t="s">
        <v>1015</v>
      </c>
      <c r="C3681" s="21" t="s">
        <v>1022</v>
      </c>
      <c r="D3681" s="21" t="s">
        <v>992</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2079</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998</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row>
    <row r="3685" spans="1:12">
      <c r="A3685" s="20" t="s">
        <v>2080</v>
      </c>
    </row>
    <row r="3686" spans="1:12">
      <c r="A3686" s="20" t="s">
        <v>1326</v>
      </c>
      <c r="B3686" s="21" t="s">
        <v>990</v>
      </c>
      <c r="C3686" s="21" t="s">
        <v>1039</v>
      </c>
      <c r="D3686" s="21" t="s">
        <v>992</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347</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1346</v>
      </c>
      <c r="B3688" s="21" t="s">
        <v>1002</v>
      </c>
      <c r="C3688" s="21" t="s">
        <v>1039</v>
      </c>
      <c r="D3688" s="21" t="s">
        <v>992</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1407</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1408</v>
      </c>
      <c r="B3690" s="21" t="s">
        <v>990</v>
      </c>
      <c r="C3690" s="21" t="s">
        <v>1003</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1196</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231</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271</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1050</v>
      </c>
      <c r="B3694" s="21" t="s">
        <v>1089</v>
      </c>
      <c r="C3694" s="21" t="s">
        <v>1003</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1031</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2081</v>
      </c>
      <c r="B3696" s="21" t="s">
        <v>1055</v>
      </c>
      <c r="C3696" s="21" t="s">
        <v>1022</v>
      </c>
      <c r="D3696" s="21" t="s">
        <v>992</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1024</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1038</v>
      </c>
      <c r="B3698" s="21" t="s">
        <v>1026</v>
      </c>
      <c r="C3698" s="21" t="s">
        <v>1039</v>
      </c>
      <c r="D3698" s="21" t="s">
        <v>992</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1029</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203</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998</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row>
    <row r="3703" spans="1:12">
      <c r="A3703" s="20" t="s">
        <v>2082</v>
      </c>
    </row>
    <row r="3704" spans="1:12">
      <c r="A3704" s="20" t="s">
        <v>989</v>
      </c>
      <c r="B3704" s="21" t="s">
        <v>990</v>
      </c>
      <c r="C3704" s="21" t="s">
        <v>991</v>
      </c>
      <c r="D3704" s="21" t="s">
        <v>992</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2083</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1052</v>
      </c>
      <c r="B3706" s="21" t="s">
        <v>1002</v>
      </c>
      <c r="C3706" s="21" t="s">
        <v>991</v>
      </c>
      <c r="D3706" s="21" t="s">
        <v>992</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1220</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1278</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2084</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1011</v>
      </c>
      <c r="B3710" s="21" t="s">
        <v>1002</v>
      </c>
      <c r="C3710" s="21" t="s">
        <v>1009</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1024</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1031</v>
      </c>
      <c r="B3712" s="21" t="s">
        <v>1033</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1114</v>
      </c>
      <c r="B3713" s="21" t="s">
        <v>1089</v>
      </c>
      <c r="C3713" s="21" t="s">
        <v>991</v>
      </c>
      <c r="D3713" s="21" t="s">
        <v>992</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2085</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1042</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1024</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1111</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t="s">
        <v>1029</v>
      </c>
      <c r="E3718" s="22">
        <f>IF(D3718="?OLD","!!!","")</f>
        <v/>
      </c>
      <c r="F3718" s="23" t="str">
        <f>IF(OR(E3718="",E3718="!!!"),"",IF(NOT(ISNA(VLOOKUP(E3718,E$1:E3717,1,FALSE()))),"OLD",IF(AND(E3718&lt;&gt;"",E3718&lt;&gt;"!!!"),"NEW","")))</f>
        <v> </v>
      </c>
      <c r="G3718" s="24" t="str">
        <f>IF(OR(E3718="",E3718="!!!"),"",IF(OR(J3718=0,AND(J3718=1,K3718=1),AND(J3718=1,I3718="SBJ"),AND(J3718=1,I3718=0)),"?IN_FOCUS",IF(J3718&lt;=2,"?ACTIVATED",IF(J3718&lt;&gt;"","?FAMILIAR",IF(F3718="NEW",IF(ISNA(VLOOKUP(E3718,#REF!,1,FALSE())),"?TYPE_IDENTIFIABLE","?REFERENTIAL"),"_")))))</f>
        <v> </v>
      </c>
      <c r="H3718" s="25" t="str">
        <f>IF(J3718&lt;&gt;1,"",IF(I3718="SBJ","CB","?"))</f>
        <v> </v>
      </c>
      <c r="I3718" s="26" t="str">
        <f>IF(OR(E3718="",E3718="!!!",F3718="NEW"),"",INDEX(B3717:B$2,-1+SUMPRODUCT(MAX(ROW(E3717:E$2)*(E3718=E3717:E$2)))))</f>
        <v> </v>
      </c>
      <c r="J3718" s="26" t="str">
        <f>IF(OR(E3718="",E3718="!!!",F3718="NEW"),"",COUNTBLANK(OFFSET(A$1,,,SUMPRODUCT(MAX(ROW(E$2:E3718)*(E3718=E$2:E3718)))))-COUNTBLANK(OFFSET(A$1,,,SUMPRODUCT(MAX(ROW(E$1:E3717)*(E2=E$1:E3717))))))</f>
        <v> </v>
      </c>
      <c r="K3718" s="26" t="str">
        <f>IF(OR(E3718="",E3718="!!!",F3718="NEW"),"",INDEX(J$1:J3717,SUMPRODUCT(MAX(ROW(E$1:E3717)*(E3718=E$1:E3717)))))</f>
        <v> </v>
      </c>
      <c r="L3718" s="27"/>
    </row>
    <row r="3719" spans="1:12">
      <c r="A3719" s="20" t="s">
        <v>1149</v>
      </c>
      <c r="E3719" s="22">
        <f>IF(D3719="?OLD","!!!","")</f>
        <v/>
      </c>
      <c r="F3719" s="23" t="str">
        <f>IF(OR(E3719="",E3719="!!!"),"",IF(NOT(ISNA(VLOOKUP(E3719,E$1:E3718,1,FALSE()))),"OLD",IF(AND(E3719&lt;&gt;"",E3719&lt;&gt;"!!!"),"NEW","")))</f>
        <v> </v>
      </c>
      <c r="G3719" s="24" t="str">
        <f>IF(OR(E3719="",E3719="!!!"),"",IF(OR(J3719=0,AND(J3719=1,K3719=1),AND(J3719=1,I3719="SBJ"),AND(J3719=1,I3719=0)),"?IN_FOCUS",IF(J3719&lt;=2,"?ACTIVATED",IF(J3719&lt;&gt;"","?FAMILIAR",IF(F3719="NEW",IF(ISNA(VLOOKUP(E3719,#REF!,1,FALSE())),"?TYPE_IDENTIFIABLE","?REFERENTIAL"),"_")))))</f>
        <v> </v>
      </c>
      <c r="H3719" s="25" t="str">
        <f>IF(J3719&lt;&gt;1,"",IF(I3719="SBJ","CB","?"))</f>
        <v> </v>
      </c>
      <c r="I3719" s="26" t="str">
        <f>IF(OR(E3719="",E3719="!!!",F3719="NEW"),"",INDEX(B3718:B$2,-1+SUMPRODUCT(MAX(ROW(E3718:E$2)*(E3719=E3718:E$2)))))</f>
        <v> </v>
      </c>
      <c r="J3719" s="26" t="str">
        <f>IF(OR(E3719="",E3719="!!!",F3719="NEW"),"",COUNTBLANK(OFFSET(A$1,,,SUMPRODUCT(MAX(ROW(E$2:E3719)*(E3719=E$2:E3719)))))-COUNTBLANK(OFFSET(A$1,,,SUMPRODUCT(MAX(ROW(E$1:E3718)*(E2=E$1:E3718))))))</f>
        <v> </v>
      </c>
      <c r="K3719" s="26" t="str">
        <f>IF(OR(E3719="",E3719="!!!",F3719="NEW"),"",INDEX(J$1:J3718,SUMPRODUCT(MAX(ROW(E$1:E3718)*(E3719=E$1:E3718)))))</f>
        <v> </v>
      </c>
      <c r="L3719" s="27"/>
    </row>
    <row r="3720" spans="1:12">
      <c r="A3720" s="20" t="s">
        <v>1024</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1050</v>
      </c>
      <c r="B3721" s="21" t="s">
        <v>1417</v>
      </c>
      <c r="C3721" s="21" t="s">
        <v>1003</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1407</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1408</v>
      </c>
      <c r="B3723" s="21" t="s">
        <v>1417</v>
      </c>
      <c r="C3723" s="21" t="s">
        <v>1003</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1034</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2052</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2086</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1100</v>
      </c>
      <c r="B3727" s="21" t="s">
        <v>1178</v>
      </c>
      <c r="C3727" s="21" t="s">
        <v>1316</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1029</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2087</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998</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row>
    <row r="3732" spans="1:12">
      <c r="A3732" s="20" t="s">
        <v>1068</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2088</v>
      </c>
    </row>
    <row r="3734" spans="1:12">
      <c r="A3734" s="20" t="s">
        <v>1075</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1228</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1023</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1074</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1032</v>
      </c>
      <c r="B3738" s="21" t="s">
        <v>995</v>
      </c>
      <c r="C3738" s="21" t="s">
        <v>1022</v>
      </c>
      <c r="D3738" s="21" t="s">
        <v>992</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2089</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2090</v>
      </c>
      <c r="B3740" s="21" t="s">
        <v>995</v>
      </c>
      <c r="C3740" s="21" t="s">
        <v>1003</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998</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1074</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row>
    <row r="3744" spans="1:12">
      <c r="A3744" s="20" t="s">
        <v>2091</v>
      </c>
    </row>
    <row r="3745" spans="1:12">
      <c r="A3745" s="20" t="s">
        <v>1075</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1430</v>
      </c>
      <c r="B3746" s="21" t="s">
        <v>990</v>
      </c>
      <c r="C3746" s="21" t="s">
        <v>1022</v>
      </c>
      <c r="D3746" s="21" t="s">
        <v>992</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1023</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1071</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2092</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998</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row>
    <row r="3752" spans="1:12">
      <c r="A3752" s="20" t="s">
        <v>2093</v>
      </c>
    </row>
    <row r="3753" spans="1:12">
      <c r="A3753" s="20" t="s">
        <v>1267</v>
      </c>
      <c r="B3753" s="21" t="s">
        <v>990</v>
      </c>
      <c r="C3753" s="21" t="s">
        <v>991</v>
      </c>
      <c r="D3753" s="21" t="s">
        <v>992</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1023</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1183</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1010</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12</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1430</v>
      </c>
      <c r="B3758" s="21" t="s">
        <v>995</v>
      </c>
      <c r="C3758" s="21" t="s">
        <v>1045</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1024</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1034</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1057</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t="s">
        <v>1206</v>
      </c>
      <c r="B3762" s="21" t="s">
        <v>1026</v>
      </c>
      <c r="C3762" s="21" t="s">
        <v>991</v>
      </c>
      <c r="D3762" s="21" t="s">
        <v>992</v>
      </c>
      <c r="E3762" s="22">
        <f>IF(D3762="?OLD","!!!","")</f>
        <v/>
      </c>
      <c r="F3762" s="23" t="str">
        <f>IF(OR(E3762="",E3762="!!!"),"",IF(NOT(ISNA(VLOOKUP(E3762,E$1:E3761,1,FALSE()))),"OLD",IF(AND(E3762&lt;&gt;"",E3762&lt;&gt;"!!!"),"NEW","")))</f>
        <v> </v>
      </c>
      <c r="G3762" s="24" t="str">
        <f>IF(OR(E3762="",E3762="!!!"),"",IF(OR(J3762=0,AND(J3762=1,K3762=1),AND(J3762=1,I3762="SBJ"),AND(J3762=1,I3762=0)),"?IN_FOCUS",IF(J3762&lt;=2,"?ACTIVATED",IF(J3762&lt;&gt;"","?FAMILIAR",IF(F3762="NEW",IF(ISNA(VLOOKUP(E3762,#REF!,1,FALSE())),"?TYPE_IDENTIFIABLE","?REFERENTIAL"),"_")))))</f>
        <v> </v>
      </c>
      <c r="H3762" s="25" t="str">
        <f>IF(J3762&lt;&gt;1,"",IF(I3762="SBJ","CB","?"))</f>
        <v> </v>
      </c>
      <c r="I3762" s="26" t="str">
        <f>IF(OR(E3762="",E3762="!!!",F3762="NEW"),"",INDEX(B3761:B$2,-1+SUMPRODUCT(MAX(ROW(E3761:E$2)*(E3762=E3761:E$2)))))</f>
        <v> </v>
      </c>
      <c r="J3762" s="26" t="str">
        <f>IF(OR(E3762="",E3762="!!!",F3762="NEW"),"",COUNTBLANK(OFFSET(A$1,,,SUMPRODUCT(MAX(ROW(E$2:E3762)*(E3762=E$2:E3762)))))-COUNTBLANK(OFFSET(A$1,,,SUMPRODUCT(MAX(ROW(E$1:E3761)*(E2=E$1:E3761))))))</f>
        <v> </v>
      </c>
      <c r="K3762" s="26" t="str">
        <f>IF(OR(E3762="",E3762="!!!",F3762="NEW"),"",INDEX(J$1:J3761,SUMPRODUCT(MAX(ROW(E$1:E3761)*(E3762=E$1:E3761)))))</f>
        <v> </v>
      </c>
      <c r="L3762" s="27"/>
    </row>
    <row r="3763" spans="1:12">
      <c r="A3763" s="20" t="s">
        <v>1077</v>
      </c>
      <c r="E3763" s="22">
        <f>IF(D3763="?OLD","!!!","")</f>
        <v/>
      </c>
      <c r="F3763" s="23" t="str">
        <f>IF(OR(E3763="",E3763="!!!"),"",IF(NOT(ISNA(VLOOKUP(E3763,E$1:E3762,1,FALSE()))),"OLD",IF(AND(E3763&lt;&gt;"",E3763&lt;&gt;"!!!"),"NEW","")))</f>
        <v> </v>
      </c>
      <c r="G3763" s="24" t="str">
        <f>IF(OR(E3763="",E3763="!!!"),"",IF(OR(J3763=0,AND(J3763=1,K3763=1),AND(J3763=1,I3763="SBJ"),AND(J3763=1,I3763=0)),"?IN_FOCUS",IF(J3763&lt;=2,"?ACTIVATED",IF(J3763&lt;&gt;"","?FAMILIAR",IF(F3763="NEW",IF(ISNA(VLOOKUP(E3763,#REF!,1,FALSE())),"?TYPE_IDENTIFIABLE","?REFERENTIAL"),"_")))))</f>
        <v> </v>
      </c>
      <c r="H3763" s="25" t="str">
        <f>IF(J3763&lt;&gt;1,"",IF(I3763="SBJ","CB","?"))</f>
        <v> </v>
      </c>
      <c r="I3763" s="26" t="str">
        <f>IF(OR(E3763="",E3763="!!!",F3763="NEW"),"",INDEX(B3762:B$2,-1+SUMPRODUCT(MAX(ROW(E3762:E$2)*(E3763=E3762:E$2)))))</f>
        <v> </v>
      </c>
      <c r="J3763" s="26" t="str">
        <f>IF(OR(E3763="",E3763="!!!",F3763="NEW"),"",COUNTBLANK(OFFSET(A$1,,,SUMPRODUCT(MAX(ROW(E$2:E3763)*(E3763=E$2:E3763)))))-COUNTBLANK(OFFSET(A$1,,,SUMPRODUCT(MAX(ROW(E$1:E3762)*(E2=E$1:E3762))))))</f>
        <v> </v>
      </c>
      <c r="K3763" s="26" t="str">
        <f>IF(OR(E3763="",E3763="!!!",F3763="NEW"),"",INDEX(J$1:J3762,SUMPRODUCT(MAX(ROW(E$1:E3762)*(E3763=E$1:E3762)))))</f>
        <v> </v>
      </c>
      <c r="L3763" s="27"/>
    </row>
    <row r="3764" spans="1:12">
      <c r="A3764" s="20" t="s">
        <v>2094</v>
      </c>
      <c r="B3764" s="21" t="s">
        <v>1055</v>
      </c>
      <c r="C3764" s="21" t="s">
        <v>1045</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2095</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1126</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998</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row>
    <row r="3769" spans="1:12">
      <c r="A3769" s="20" t="s">
        <v>2096</v>
      </c>
    </row>
    <row r="3770" spans="1:12">
      <c r="A3770" s="20" t="s">
        <v>1238</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2094</v>
      </c>
      <c r="B3771" s="21" t="s">
        <v>990</v>
      </c>
      <c r="C3771" s="21" t="s">
        <v>1022</v>
      </c>
      <c r="D3771" s="21" t="s">
        <v>992</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1023</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1902</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1024</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1095</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1063</v>
      </c>
      <c r="B3776" s="21" t="s">
        <v>1026</v>
      </c>
      <c r="C3776" s="21" t="s">
        <v>1039</v>
      </c>
      <c r="D3776" s="21" t="s">
        <v>992</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29</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2097</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1010</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12</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2098</v>
      </c>
      <c r="B3781" s="21" t="s">
        <v>1055</v>
      </c>
      <c r="C3781" s="21" t="s">
        <v>1009</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1024</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1137</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1025</v>
      </c>
      <c r="B3784" s="21" t="s">
        <v>1089</v>
      </c>
      <c r="C3784" s="21" t="s">
        <v>991</v>
      </c>
      <c r="D3784" s="21" t="s">
        <v>992</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1018</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1206</v>
      </c>
      <c r="B3786" s="21" t="s">
        <v>1036</v>
      </c>
      <c r="C3786" s="21" t="s">
        <v>991</v>
      </c>
      <c r="D3786" s="21" t="s">
        <v>992</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2099</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2100</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231</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1206</v>
      </c>
      <c r="B3790" s="21" t="s">
        <v>1060</v>
      </c>
      <c r="C3790" s="21" t="s">
        <v>991</v>
      </c>
      <c r="D3790" s="21" t="s">
        <v>992</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2101</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2102</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1301</v>
      </c>
      <c r="B3793" s="21" t="s">
        <v>1033</v>
      </c>
      <c r="C3793" s="21" t="s">
        <v>1316</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1273</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2089</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2090</v>
      </c>
      <c r="B3796" s="21" t="s">
        <v>1060</v>
      </c>
      <c r="C3796" s="21" t="s">
        <v>1003</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2103</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998</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row>
    <row r="3800" spans="1:12">
      <c r="A3800" s="20" t="s">
        <v>2104</v>
      </c>
    </row>
    <row r="3801" spans="1:12">
      <c r="A3801" s="20" t="s">
        <v>1193</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1024</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1084</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1206</v>
      </c>
      <c r="B3804" s="21" t="s">
        <v>1026</v>
      </c>
      <c r="C3804" s="21" t="s">
        <v>991</v>
      </c>
      <c r="D3804" s="21" t="s">
        <v>992</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1347</v>
      </c>
      <c r="B3805" s="21" t="s">
        <v>1055</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1029</v>
      </c>
      <c r="B3806" s="21" t="s">
        <v>1036</v>
      </c>
      <c r="C3806" s="21" t="s">
        <v>1054</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1057</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1430</v>
      </c>
      <c r="B3808" s="21" t="s">
        <v>1015</v>
      </c>
      <c r="C3808" s="21" t="s">
        <v>1022</v>
      </c>
      <c r="D3808" s="21" t="s">
        <v>992</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t="s">
        <v>2105</v>
      </c>
      <c r="E3809" s="22">
        <f>IF(D3809="?OLD","!!!","")</f>
        <v/>
      </c>
      <c r="F3809" s="23" t="str">
        <f>IF(OR(E3809="",E3809="!!!"),"",IF(NOT(ISNA(VLOOKUP(E3809,E$1:E3808,1,FALSE()))),"OLD",IF(AND(E3809&lt;&gt;"",E3809&lt;&gt;"!!!"),"NEW","")))</f>
        <v> </v>
      </c>
      <c r="G3809" s="24" t="str">
        <f>IF(OR(E3809="",E3809="!!!"),"",IF(OR(J3809=0,AND(J3809=1,K3809=1),AND(J3809=1,I3809="SBJ"),AND(J3809=1,I3809=0)),"?IN_FOCUS",IF(J3809&lt;=2,"?ACTIVATED",IF(J3809&lt;&gt;"","?FAMILIAR",IF(F3809="NEW",IF(ISNA(VLOOKUP(E3809,#REF!,1,FALSE())),"?TYPE_IDENTIFIABLE","?REFERENTIAL"),"_")))))</f>
        <v> </v>
      </c>
      <c r="H3809" s="25" t="str">
        <f>IF(J3809&lt;&gt;1,"",IF(I3809="SBJ","CB","?"))</f>
        <v> </v>
      </c>
      <c r="I3809" s="26" t="str">
        <f>IF(OR(E3809="",E3809="!!!",F3809="NEW"),"",INDEX(B3808:B$2,-1+SUMPRODUCT(MAX(ROW(E3808:E$2)*(E3809=E3808:E$2)))))</f>
        <v> </v>
      </c>
      <c r="J3809" s="26" t="str">
        <f>IF(OR(E3809="",E3809="!!!",F3809="NEW"),"",COUNTBLANK(OFFSET(A$1,,,SUMPRODUCT(MAX(ROW(E$2:E3809)*(E3809=E$2:E3809)))))-COUNTBLANK(OFFSET(A$1,,,SUMPRODUCT(MAX(ROW(E$1:E3808)*(E2=E$1:E3808))))))</f>
        <v> </v>
      </c>
      <c r="K3809" s="26" t="str">
        <f>IF(OR(E3809="",E3809="!!!",F3809="NEW"),"",INDEX(J$1:J3808,SUMPRODUCT(MAX(ROW(E$1:E3808)*(E3809=E$1:E3808)))))</f>
        <v> </v>
      </c>
      <c r="L3809" s="27"/>
    </row>
    <row r="3810" spans="1:12">
      <c r="A3810" s="20" t="s">
        <v>1024</v>
      </c>
      <c r="E3810" s="22">
        <f>IF(D3810="?OLD","!!!","")</f>
        <v/>
      </c>
      <c r="F3810" s="23" t="str">
        <f>IF(OR(E3810="",E3810="!!!"),"",IF(NOT(ISNA(VLOOKUP(E3810,E$1:E3809,1,FALSE()))),"OLD",IF(AND(E3810&lt;&gt;"",E3810&lt;&gt;"!!!"),"NEW","")))</f>
        <v> </v>
      </c>
      <c r="G3810" s="24" t="str">
        <f>IF(OR(E3810="",E3810="!!!"),"",IF(OR(J3810=0,AND(J3810=1,K3810=1),AND(J3810=1,I3810="SBJ"),AND(J3810=1,I3810=0)),"?IN_FOCUS",IF(J3810&lt;=2,"?ACTIVATED",IF(J3810&lt;&gt;"","?FAMILIAR",IF(F3810="NEW",IF(ISNA(VLOOKUP(E3810,#REF!,1,FALSE())),"?TYPE_IDENTIFIABLE","?REFERENTIAL"),"_")))))</f>
        <v> </v>
      </c>
      <c r="H3810" s="25" t="str">
        <f>IF(J3810&lt;&gt;1,"",IF(I3810="SBJ","CB","?"))</f>
        <v> </v>
      </c>
      <c r="I3810" s="26" t="str">
        <f>IF(OR(E3810="",E3810="!!!",F3810="NEW"),"",INDEX(B3809:B$2,-1+SUMPRODUCT(MAX(ROW(E3809:E$2)*(E3810=E3809:E$2)))))</f>
        <v> </v>
      </c>
      <c r="J3810" s="26" t="str">
        <f>IF(OR(E3810="",E3810="!!!",F3810="NEW"),"",COUNTBLANK(OFFSET(A$1,,,SUMPRODUCT(MAX(ROW(E$2:E3810)*(E3810=E$2:E3810)))))-COUNTBLANK(OFFSET(A$1,,,SUMPRODUCT(MAX(ROW(E$1:E3809)*(E2=E$1:E3809))))))</f>
        <v> </v>
      </c>
      <c r="K3810" s="26" t="str">
        <f>IF(OR(E3810="",E3810="!!!",F3810="NEW"),"",INDEX(J$1:J3809,SUMPRODUCT(MAX(ROW(E$1:E3809)*(E3810=E$1:E3809)))))</f>
        <v> </v>
      </c>
      <c r="L3810" s="27"/>
    </row>
    <row r="3811" spans="1:12">
      <c r="A3811" s="20" t="s">
        <v>572</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1206</v>
      </c>
      <c r="B3812" s="21" t="s">
        <v>990</v>
      </c>
      <c r="C3812" s="21" t="s">
        <v>991</v>
      </c>
      <c r="D3812" s="21" t="s">
        <v>992</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1346</v>
      </c>
      <c r="B3813" s="21" t="s">
        <v>1002</v>
      </c>
      <c r="C3813" s="21" t="s">
        <v>1039</v>
      </c>
      <c r="D3813" s="21" t="s">
        <v>992</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1024</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1319</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1206</v>
      </c>
      <c r="B3816" s="21" t="s">
        <v>1026</v>
      </c>
      <c r="C3816" s="21" t="s">
        <v>991</v>
      </c>
      <c r="D3816" s="21" t="s">
        <v>992</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2106</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998</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row>
    <row r="3820" spans="1:12">
      <c r="A3820" s="20" t="s">
        <v>2107</v>
      </c>
    </row>
    <row r="3821" spans="1:12">
      <c r="A3821" s="20" t="s">
        <v>1013</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1946</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832</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1206</v>
      </c>
      <c r="B3824" s="21" t="s">
        <v>990</v>
      </c>
      <c r="C3824" s="21" t="s">
        <v>991</v>
      </c>
      <c r="D3824" s="21" t="s">
        <v>992</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2108</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12</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2109</v>
      </c>
      <c r="B3827" s="21" t="s">
        <v>1002</v>
      </c>
      <c r="C3827" s="21" t="s">
        <v>1003</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1034</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2040</v>
      </c>
      <c r="B3829" s="21" t="s">
        <v>1015</v>
      </c>
      <c r="C3829" s="21" t="s">
        <v>1003</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1024</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1031</v>
      </c>
      <c r="B3831" s="21" t="s">
        <v>1089</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1052</v>
      </c>
      <c r="B3832" s="21" t="s">
        <v>1033</v>
      </c>
      <c r="C3832" s="21" t="s">
        <v>991</v>
      </c>
      <c r="D3832" s="21" t="s">
        <v>992</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117</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1024</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1037</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1083</v>
      </c>
      <c r="B3836" s="21" t="s">
        <v>1178</v>
      </c>
      <c r="C3836" s="21" t="s">
        <v>1039</v>
      </c>
      <c r="D3836" s="21" t="s">
        <v>992</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2090</v>
      </c>
      <c r="B3837" s="21" t="s">
        <v>1234</v>
      </c>
      <c r="C3837" s="21" t="s">
        <v>1009</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2110</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1024</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1282</v>
      </c>
      <c r="B3840" s="21" t="s">
        <v>1530</v>
      </c>
      <c r="C3840" s="21" t="s">
        <v>1039</v>
      </c>
      <c r="D3840" s="21" t="s">
        <v>992</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1025</v>
      </c>
      <c r="B3841" s="21" t="s">
        <v>1530</v>
      </c>
      <c r="C3841" s="21" t="s">
        <v>991</v>
      </c>
      <c r="D3841" s="21" t="s">
        <v>992</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1108</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1381</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1024</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1037</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2111</v>
      </c>
      <c r="B3846" s="21" t="s">
        <v>2112</v>
      </c>
      <c r="C3846" s="21" t="s">
        <v>1003</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t="s">
        <v>2113</v>
      </c>
      <c r="E3847" s="22">
        <f>IF(D3847="?OLD","!!!","")</f>
        <v/>
      </c>
      <c r="F3847" s="23" t="str">
        <f>IF(OR(E3847="",E3847="!!!"),"",IF(NOT(ISNA(VLOOKUP(E3847,E$1:E3846,1,FALSE()))),"OLD",IF(AND(E3847&lt;&gt;"",E3847&lt;&gt;"!!!"),"NEW","")))</f>
        <v> </v>
      </c>
      <c r="G3847" s="24" t="str">
        <f>IF(OR(E3847="",E3847="!!!"),"",IF(OR(J3847=0,AND(J3847=1,K3847=1),AND(J3847=1,I3847="SBJ"),AND(J3847=1,I3847=0)),"?IN_FOCUS",IF(J3847&lt;=2,"?ACTIVATED",IF(J3847&lt;&gt;"","?FAMILIAR",IF(F3847="NEW",IF(ISNA(VLOOKUP(E3847,#REF!,1,FALSE())),"?TYPE_IDENTIFIABLE","?REFERENTIAL"),"_")))))</f>
        <v> </v>
      </c>
      <c r="H3847" s="25" t="str">
        <f>IF(J3847&lt;&gt;1,"",IF(I3847="SBJ","CB","?"))</f>
        <v> </v>
      </c>
      <c r="I3847" s="26" t="str">
        <f>IF(OR(E3847="",E3847="!!!",F3847="NEW"),"",INDEX(B3846:B$2,-1+SUMPRODUCT(MAX(ROW(E3846:E$2)*(E3847=E3846:E$2)))))</f>
        <v> </v>
      </c>
      <c r="J3847" s="26" t="str">
        <f>IF(OR(E3847="",E3847="!!!",F3847="NEW"),"",COUNTBLANK(OFFSET(A$1,,,SUMPRODUCT(MAX(ROW(E$2:E3847)*(E3847=E$2:E3847)))))-COUNTBLANK(OFFSET(A$1,,,SUMPRODUCT(MAX(ROW(E$1:E3846)*(E2=E$1:E3846))))))</f>
        <v> </v>
      </c>
      <c r="K3847" s="26" t="str">
        <f>IF(OR(E3847="",E3847="!!!",F3847="NEW"),"",INDEX(J$1:J3846,SUMPRODUCT(MAX(ROW(E$1:E3846)*(E3847=E$1:E3846)))))</f>
        <v> </v>
      </c>
      <c r="L3847" s="27"/>
    </row>
    <row r="3848" spans="1:12">
      <c r="A3848" s="20" t="s">
        <v>1023</v>
      </c>
      <c r="E3848" s="22">
        <f>IF(D3848="?OLD","!!!","")</f>
        <v/>
      </c>
      <c r="F3848" s="23" t="str">
        <f>IF(OR(E3848="",E3848="!!!"),"",IF(NOT(ISNA(VLOOKUP(E3848,E$1:E3847,1,FALSE()))),"OLD",IF(AND(E3848&lt;&gt;"",E3848&lt;&gt;"!!!"),"NEW","")))</f>
        <v> </v>
      </c>
      <c r="G3848" s="24" t="str">
        <f>IF(OR(E3848="",E3848="!!!"),"",IF(OR(J3848=0,AND(J3848=1,K3848=1),AND(J3848=1,I3848="SBJ"),AND(J3848=1,I3848=0)),"?IN_FOCUS",IF(J3848&lt;=2,"?ACTIVATED",IF(J3848&lt;&gt;"","?FAMILIAR",IF(F3848="NEW",IF(ISNA(VLOOKUP(E3848,#REF!,1,FALSE())),"?TYPE_IDENTIFIABLE","?REFERENTIAL"),"_")))))</f>
        <v> </v>
      </c>
      <c r="H3848" s="25" t="str">
        <f>IF(J3848&lt;&gt;1,"",IF(I3848="SBJ","CB","?"))</f>
        <v> </v>
      </c>
      <c r="I3848" s="26" t="str">
        <f>IF(OR(E3848="",E3848="!!!",F3848="NEW"),"",INDEX(B3847:B$2,-1+SUMPRODUCT(MAX(ROW(E3847:E$2)*(E3848=E3847:E$2)))))</f>
        <v> </v>
      </c>
      <c r="J3848" s="26" t="str">
        <f>IF(OR(E3848="",E3848="!!!",F3848="NEW"),"",COUNTBLANK(OFFSET(A$1,,,SUMPRODUCT(MAX(ROW(E$2:E3848)*(E3848=E$2:E3848)))))-COUNTBLANK(OFFSET(A$1,,,SUMPRODUCT(MAX(ROW(E$1:E3847)*(E2=E$1:E3847))))))</f>
        <v> </v>
      </c>
      <c r="K3848" s="26" t="str">
        <f>IF(OR(E3848="",E3848="!!!",F3848="NEW"),"",INDEX(J$1:J3847,SUMPRODUCT(MAX(ROW(E$1:E3847)*(E3848=E$1:E3847)))))</f>
        <v> </v>
      </c>
      <c r="L3848" s="27"/>
    </row>
    <row r="3849" spans="1:12">
      <c r="A3849" s="20" t="s">
        <v>1024</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1037</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2114</v>
      </c>
      <c r="B3851" s="21" t="s">
        <v>1463</v>
      </c>
      <c r="C3851" s="21" t="s">
        <v>1003</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2113</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2100</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1024</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2115</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2116</v>
      </c>
      <c r="B3856" s="21" t="s">
        <v>1723</v>
      </c>
      <c r="C3856" s="21" t="s">
        <v>1003</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2117</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1107</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1024</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2115</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1025</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2118</v>
      </c>
      <c r="B3862" s="21" t="s">
        <v>2119</v>
      </c>
      <c r="C3862" s="21" t="s">
        <v>1003</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1381</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998</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row>
    <row r="3866" spans="1:12">
      <c r="A3866" s="20" t="s">
        <v>2120</v>
      </c>
    </row>
    <row r="3867" spans="1:12">
      <c r="A3867" s="20" t="s">
        <v>1013</v>
      </c>
      <c r="E3867" s="22">
        <f>IF(D3867="?OLD","!!!","")</f>
        <v/>
      </c>
      <c r="F3867" s="23" t="str">
        <f>IF(OR(E3867="",E3867="!!!"),"",IF(NOT(ISNA(VLOOKUP(E3867,E$1:E3866,1,FALSE()))),"OLD",IF(AND(E3867&lt;&gt;"",E3867&lt;&gt;"!!!"),"NEW","")))</f>
        <v> </v>
      </c>
      <c r="G3867" s="24" t="str">
        <f>IF(OR(E3867="",E3867="!!!"),"",IF(OR(J3867=0,AND(J3867=1,K3867=1),AND(J3867=1,I3867="SBJ"),AND(J3867=1,I3867=0)),"?IN_FOCUS",IF(J3867&lt;=2,"?ACTIVATED",IF(J3867&lt;&gt;"","?FAMILIAR",IF(F3867="NEW",IF(ISNA(VLOOKUP(E3867,#REF!,1,FALSE())),"?TYPE_IDENTIFIABLE","?REFERENTIAL"),"_")))))</f>
        <v> </v>
      </c>
      <c r="H3867" s="25" t="str">
        <f>IF(J3867&lt;&gt;1,"",IF(I3867="SBJ","CB","?"))</f>
        <v> </v>
      </c>
      <c r="I3867" s="26" t="str">
        <f>IF(OR(E3867="",E3867="!!!",F3867="NEW"),"",INDEX(B3866:B$2,-1+SUMPRODUCT(MAX(ROW(E3866:E$2)*(E3867=E3866:E$2)))))</f>
        <v> </v>
      </c>
      <c r="J3867" s="26" t="str">
        <f>IF(OR(E3867="",E3867="!!!",F3867="NEW"),"",COUNTBLANK(OFFSET(A$1,,,SUMPRODUCT(MAX(ROW(E$2:E3867)*(E3867=E$2:E3867)))))-COUNTBLANK(OFFSET(A$1,,,SUMPRODUCT(MAX(ROW(E$1:E3866)*(E2=E$1:E3866))))))</f>
        <v> </v>
      </c>
      <c r="K3867" s="26" t="str">
        <f>IF(OR(E3867="",E3867="!!!",F3867="NEW"),"",INDEX(J$1:J3866,SUMPRODUCT(MAX(ROW(E$1:E3866)*(E3867=E$1:E3866)))))</f>
        <v> </v>
      </c>
      <c r="L3867" s="27"/>
    </row>
    <row r="3868" spans="1:12">
      <c r="A3868" s="20" t="s">
        <v>1206</v>
      </c>
      <c r="B3868" s="21" t="s">
        <v>990</v>
      </c>
      <c r="C3868" s="21" t="s">
        <v>991</v>
      </c>
      <c r="D3868" s="21" t="s">
        <v>992</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1126</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836</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1024</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1037</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1206</v>
      </c>
      <c r="B3873" s="21" t="s">
        <v>1026</v>
      </c>
      <c r="C3873" s="21" t="s">
        <v>991</v>
      </c>
      <c r="D3873" s="21" t="s">
        <v>992</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2101</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t="s">
        <v>2102</v>
      </c>
      <c r="E3875" s="22">
        <f>IF(D3875="?OLD","!!!","")</f>
        <v/>
      </c>
      <c r="F3875" s="23" t="str">
        <f>IF(OR(E3875="",E3875="!!!"),"",IF(NOT(ISNA(VLOOKUP(E3875,E$1:E3874,1,FALSE()))),"OLD",IF(AND(E3875&lt;&gt;"",E3875&lt;&gt;"!!!"),"NEW","")))</f>
        <v> </v>
      </c>
      <c r="G3875" s="24" t="str">
        <f>IF(OR(E3875="",E3875="!!!"),"",IF(OR(J3875=0,AND(J3875=1,K3875=1),AND(J3875=1,I3875="SBJ"),AND(J3875=1,I3875=0)),"?IN_FOCUS",IF(J3875&lt;=2,"?ACTIVATED",IF(J3875&lt;&gt;"","?FAMILIAR",IF(F3875="NEW",IF(ISNA(VLOOKUP(E3875,#REF!,1,FALSE())),"?TYPE_IDENTIFIABLE","?REFERENTIAL"),"_")))))</f>
        <v> </v>
      </c>
      <c r="H3875" s="25" t="str">
        <f>IF(J3875&lt;&gt;1,"",IF(I3875="SBJ","CB","?"))</f>
        <v> </v>
      </c>
      <c r="I3875" s="26" t="str">
        <f>IF(OR(E3875="",E3875="!!!",F3875="NEW"),"",INDEX(B3874:B$2,-1+SUMPRODUCT(MAX(ROW(E3874:E$2)*(E3875=E3874:E$2)))))</f>
        <v> </v>
      </c>
      <c r="J3875" s="26" t="str">
        <f>IF(OR(E3875="",E3875="!!!",F3875="NEW"),"",COUNTBLANK(OFFSET(A$1,,,SUMPRODUCT(MAX(ROW(E$2:E3875)*(E3875=E$2:E3875)))))-COUNTBLANK(OFFSET(A$1,,,SUMPRODUCT(MAX(ROW(E$1:E3874)*(E2=E$1:E3874))))))</f>
        <v> </v>
      </c>
      <c r="K3875" s="26" t="str">
        <f>IF(OR(E3875="",E3875="!!!",F3875="NEW"),"",INDEX(J$1:J3874,SUMPRODUCT(MAX(ROW(E$1:E3874)*(E3875=E$1:E3874)))))</f>
        <v> </v>
      </c>
      <c r="L3875" s="27"/>
    </row>
    <row r="3876" spans="1:12">
      <c r="A3876" s="20" t="s">
        <v>1301</v>
      </c>
      <c r="B3876" s="21" t="s">
        <v>1055</v>
      </c>
      <c r="C3876" s="21" t="s">
        <v>1316</v>
      </c>
      <c r="E3876" s="22">
        <f>IF(D3876="?OLD","!!!","")</f>
        <v/>
      </c>
      <c r="F3876" s="23" t="str">
        <f>IF(OR(E3876="",E3876="!!!"),"",IF(NOT(ISNA(VLOOKUP(E3876,E$1:E3875,1,FALSE()))),"OLD",IF(AND(E3876&lt;&gt;"",E3876&lt;&gt;"!!!"),"NEW","")))</f>
        <v> </v>
      </c>
      <c r="G3876" s="24" t="str">
        <f>IF(OR(E3876="",E3876="!!!"),"",IF(OR(J3876=0,AND(J3876=1,K3876=1),AND(J3876=1,I3876="SBJ"),AND(J3876=1,I3876=0)),"?IN_FOCUS",IF(J3876&lt;=2,"?ACTIVATED",IF(J3876&lt;&gt;"","?FAMILIAR",IF(F3876="NEW",IF(ISNA(VLOOKUP(E3876,#REF!,1,FALSE())),"?TYPE_IDENTIFIABLE","?REFERENTIAL"),"_")))))</f>
        <v> </v>
      </c>
      <c r="H3876" s="25" t="str">
        <f>IF(J3876&lt;&gt;1,"",IF(I3876="SBJ","CB","?"))</f>
        <v> </v>
      </c>
      <c r="I3876" s="26" t="str">
        <f>IF(OR(E3876="",E3876="!!!",F3876="NEW"),"",INDEX(B3875:B$2,-1+SUMPRODUCT(MAX(ROW(E3875:E$2)*(E3876=E3875:E$2)))))</f>
        <v> </v>
      </c>
      <c r="J3876" s="26" t="str">
        <f>IF(OR(E3876="",E3876="!!!",F3876="NEW"),"",COUNTBLANK(OFFSET(A$1,,,SUMPRODUCT(MAX(ROW(E$2:E3876)*(E3876=E$2:E3876)))))-COUNTBLANK(OFFSET(A$1,,,SUMPRODUCT(MAX(ROW(E$1:E3875)*(E2=E$1:E3875))))))</f>
        <v> </v>
      </c>
      <c r="K3876" s="26" t="str">
        <f>IF(OR(E3876="",E3876="!!!",F3876="NEW"),"",INDEX(J$1:J3875,SUMPRODUCT(MAX(ROW(E$1:E3875)*(E3876=E$1:E3875)))))</f>
        <v> </v>
      </c>
      <c r="L3876" s="27"/>
    </row>
    <row r="3877" spans="1:12">
      <c r="A3877" s="20" t="s">
        <v>2121</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1024</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1084</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1025</v>
      </c>
      <c r="B3880" s="21" t="s">
        <v>1089</v>
      </c>
      <c r="C3880" s="21" t="s">
        <v>991</v>
      </c>
      <c r="D3880" s="21" t="s">
        <v>992</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2122</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2123</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998</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row>
    <row r="3885" spans="1:12">
      <c r="A3885" s="20" t="s">
        <v>2124</v>
      </c>
    </row>
    <row r="3886" spans="1:12">
      <c r="A3886" s="20" t="s">
        <v>1013</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1063</v>
      </c>
      <c r="B3887" s="21" t="s">
        <v>990</v>
      </c>
      <c r="C3887" s="21" t="s">
        <v>1039</v>
      </c>
      <c r="D3887" s="21" t="s">
        <v>992</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840</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1206</v>
      </c>
      <c r="B3889" s="21" t="s">
        <v>1002</v>
      </c>
      <c r="C3889" s="21" t="s">
        <v>991</v>
      </c>
      <c r="D3889" s="21" t="s">
        <v>992</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1024</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1528</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1029</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2125</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1024</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2126</v>
      </c>
      <c r="B3895" s="21" t="s">
        <v>1033</v>
      </c>
      <c r="C3895" s="21" t="s">
        <v>1003</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1376</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2127</v>
      </c>
      <c r="B3897" s="21" t="s">
        <v>1060</v>
      </c>
      <c r="C3897" s="21" t="s">
        <v>1003</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2128</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998</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row>
    <row r="3901" spans="1:12">
      <c r="A3901" s="20" t="s">
        <v>2129</v>
      </c>
    </row>
    <row r="3902" spans="1:12">
      <c r="A3902" s="20" t="s">
        <v>1326</v>
      </c>
      <c r="B3902" s="21" t="s">
        <v>990</v>
      </c>
      <c r="C3902" s="21" t="s">
        <v>1039</v>
      </c>
      <c r="D3902" s="21" t="s">
        <v>992</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29</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1213</v>
      </c>
      <c r="B3904" s="21" t="s">
        <v>1015</v>
      </c>
      <c r="C3904" s="21" t="s">
        <v>1076</v>
      </c>
      <c r="D3904" s="21" t="s">
        <v>992</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t="s">
        <v>1430</v>
      </c>
      <c r="B3905" s="21" t="s">
        <v>1002</v>
      </c>
      <c r="C3905" s="21" t="s">
        <v>1121</v>
      </c>
      <c r="D3905" s="21" t="s">
        <v>992</v>
      </c>
      <c r="E3905" s="22">
        <f>IF(D3905="?OLD","!!!","")</f>
        <v/>
      </c>
      <c r="F3905" s="23" t="str">
        <f>IF(OR(E3905="",E3905="!!!"),"",IF(NOT(ISNA(VLOOKUP(E3905,E$1:E3904,1,FALSE()))),"OLD",IF(AND(E3905&lt;&gt;"",E3905&lt;&gt;"!!!"),"NEW","")))</f>
        <v> </v>
      </c>
      <c r="G3905" s="24" t="str">
        <f>IF(OR(E3905="",E3905="!!!"),"",IF(OR(J3905=0,AND(J3905=1,K3905=1),AND(J3905=1,I3905="SBJ"),AND(J3905=1,I3905=0)),"?IN_FOCUS",IF(J3905&lt;=2,"?ACTIVATED",IF(J3905&lt;&gt;"","?FAMILIAR",IF(F3905="NEW",IF(ISNA(VLOOKUP(E3905,#REF!,1,FALSE())),"?TYPE_IDENTIFIABLE","?REFERENTIAL"),"_")))))</f>
        <v> </v>
      </c>
      <c r="H3905" s="25" t="str">
        <f>IF(J3905&lt;&gt;1,"",IF(I3905="SBJ","CB","?"))</f>
        <v> </v>
      </c>
      <c r="I3905" s="26" t="str">
        <f>IF(OR(E3905="",E3905="!!!",F3905="NEW"),"",INDEX(B3904:B$2,-1+SUMPRODUCT(MAX(ROW(E3904:E$2)*(E3905=E3904:E$2)))))</f>
        <v> </v>
      </c>
      <c r="J3905" s="26" t="str">
        <f>IF(OR(E3905="",E3905="!!!",F3905="NEW"),"",COUNTBLANK(OFFSET(A$1,,,SUMPRODUCT(MAX(ROW(E$2:E3905)*(E3905=E$2:E3905)))))-COUNTBLANK(OFFSET(A$1,,,SUMPRODUCT(MAX(ROW(E$1:E3904)*(E2=E$1:E3904))))))</f>
        <v> </v>
      </c>
      <c r="K3905" s="26" t="str">
        <f>IF(OR(E3905="",E3905="!!!",F3905="NEW"),"",INDEX(J$1:J3904,SUMPRODUCT(MAX(ROW(E$1:E3904)*(E3905=E$1:E3904)))))</f>
        <v> </v>
      </c>
      <c r="L3905" s="27"/>
    </row>
    <row r="3906" spans="1:12">
      <c r="A3906" s="20" t="s">
        <v>1056</v>
      </c>
      <c r="E3906" s="22">
        <f>IF(D3906="?OLD","!!!","")</f>
        <v/>
      </c>
      <c r="F3906" s="23" t="str">
        <f>IF(OR(E3906="",E3906="!!!"),"",IF(NOT(ISNA(VLOOKUP(E3906,E$1:E3905,1,FALSE()))),"OLD",IF(AND(E3906&lt;&gt;"",E3906&lt;&gt;"!!!"),"NEW","")))</f>
        <v> </v>
      </c>
      <c r="G3906" s="24" t="str">
        <f>IF(OR(E3906="",E3906="!!!"),"",IF(OR(J3906=0,AND(J3906=1,K3906=1),AND(J3906=1,I3906="SBJ"),AND(J3906=1,I3906=0)),"?IN_FOCUS",IF(J3906&lt;=2,"?ACTIVATED",IF(J3906&lt;&gt;"","?FAMILIAR",IF(F3906="NEW",IF(ISNA(VLOOKUP(E3906,#REF!,1,FALSE())),"?TYPE_IDENTIFIABLE","?REFERENTIAL"),"_")))))</f>
        <v> </v>
      </c>
      <c r="H3906" s="25" t="str">
        <f>IF(J3906&lt;&gt;1,"",IF(I3906="SBJ","CB","?"))</f>
        <v> </v>
      </c>
      <c r="I3906" s="26" t="str">
        <f>IF(OR(E3906="",E3906="!!!",F3906="NEW"),"",INDEX(B3905:B$2,-1+SUMPRODUCT(MAX(ROW(E3905:E$2)*(E3906=E3905:E$2)))))</f>
        <v> </v>
      </c>
      <c r="J3906" s="26" t="str">
        <f>IF(OR(E3906="",E3906="!!!",F3906="NEW"),"",COUNTBLANK(OFFSET(A$1,,,SUMPRODUCT(MAX(ROW(E$2:E3906)*(E3906=E$2:E3906)))))-COUNTBLANK(OFFSET(A$1,,,SUMPRODUCT(MAX(ROW(E$1:E3905)*(E2=E$1:E3905))))))</f>
        <v> </v>
      </c>
      <c r="K3906" s="26" t="str">
        <f>IF(OR(E3906="",E3906="!!!",F3906="NEW"),"",INDEX(J$1:J3905,SUMPRODUCT(MAX(ROW(E$1:E3905)*(E3906=E$1:E3905)))))</f>
        <v> </v>
      </c>
      <c r="L3906" s="27"/>
    </row>
    <row r="3907" spans="1:12">
      <c r="A3907" s="20" t="s">
        <v>2130</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1198</v>
      </c>
      <c r="B3908" s="21" t="s">
        <v>995</v>
      </c>
      <c r="C3908" s="21" t="s">
        <v>1009</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1034</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2092</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2131</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998</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row>
    <row r="3914" spans="1:12">
      <c r="A3914" s="20" t="s">
        <v>2132</v>
      </c>
    </row>
    <row r="3915" spans="1:12">
      <c r="A3915" s="20" t="s">
        <v>1013</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1063</v>
      </c>
      <c r="B3916" s="21" t="s">
        <v>990</v>
      </c>
      <c r="C3916" s="21" t="s">
        <v>1039</v>
      </c>
      <c r="D3916" s="21" t="s">
        <v>992</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29</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1038</v>
      </c>
      <c r="B3918" s="21" t="s">
        <v>990</v>
      </c>
      <c r="C3918" s="21" t="s">
        <v>1039</v>
      </c>
      <c r="D3918" s="21" t="s">
        <v>992</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2133</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1805</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1031</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2062</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2084</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1505</v>
      </c>
      <c r="B3924" s="21" t="s">
        <v>995</v>
      </c>
      <c r="C3924" s="21" t="s">
        <v>1592</v>
      </c>
      <c r="D3924" s="21" t="s">
        <v>992</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848</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998</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row>
    <row r="3928" spans="1:12">
      <c r="A3928" s="20" t="s">
        <v>2134</v>
      </c>
    </row>
    <row r="3929" spans="1:12">
      <c r="A3929" s="20" t="s">
        <v>1013</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1114</v>
      </c>
      <c r="B3930" s="21" t="s">
        <v>990</v>
      </c>
      <c r="C3930" s="21" t="s">
        <v>991</v>
      </c>
      <c r="D3930" s="21" t="s">
        <v>992</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1139</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1052</v>
      </c>
      <c r="B3932" s="21" t="s">
        <v>1002</v>
      </c>
      <c r="C3932" s="21" t="s">
        <v>991</v>
      </c>
      <c r="D3932" s="21" t="s">
        <v>992</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572</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1024</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1025</v>
      </c>
      <c r="B3935" s="21" t="s">
        <v>1026</v>
      </c>
      <c r="C3935" s="21" t="s">
        <v>991</v>
      </c>
      <c r="D3935" s="21" t="s">
        <v>992</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1265</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1077</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2135</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2136</v>
      </c>
      <c r="B3939" s="21" t="s">
        <v>995</v>
      </c>
      <c r="C3939" s="21" t="s">
        <v>1045</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998</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row>
    <row r="3942" spans="1:12">
      <c r="A3942" s="20" t="s">
        <v>2137</v>
      </c>
    </row>
    <row r="3943" spans="1:12">
      <c r="A3943" s="20" t="s">
        <v>2138</v>
      </c>
      <c r="B3943" s="21" t="s">
        <v>990</v>
      </c>
      <c r="C3943" s="21" t="s">
        <v>1054</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1048</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25</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1301</v>
      </c>
      <c r="B3946" s="21" t="s">
        <v>1002</v>
      </c>
      <c r="C3946" s="21" t="s">
        <v>1316</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855</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1024</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2139</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1025</v>
      </c>
      <c r="B3950" s="21" t="s">
        <v>1089</v>
      </c>
      <c r="C3950" s="21" t="s">
        <v>991</v>
      </c>
      <c r="D3950" s="21" t="s">
        <v>992</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704</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1018</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1031</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2140</v>
      </c>
      <c r="B3954" s="21" t="s">
        <v>1036</v>
      </c>
      <c r="C3954" s="21" t="s">
        <v>1022</v>
      </c>
      <c r="D3954" s="21" t="s">
        <v>992</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1023</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1376</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2139</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1063</v>
      </c>
      <c r="B3958" s="21" t="s">
        <v>1089</v>
      </c>
      <c r="C3958" s="21" t="s">
        <v>1039</v>
      </c>
      <c r="D3958" s="21" t="s">
        <v>992</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1025</v>
      </c>
      <c r="B3959" s="21" t="s">
        <v>1055</v>
      </c>
      <c r="C3959" s="21" t="s">
        <v>991</v>
      </c>
      <c r="D3959" s="21" t="s">
        <v>992</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t="s">
        <v>2057</v>
      </c>
      <c r="E3960" s="22">
        <f>IF(D3960="?OLD","!!!","")</f>
        <v/>
      </c>
      <c r="F3960" s="23" t="str">
        <f>IF(OR(E3960="",E3960="!!!"),"",IF(NOT(ISNA(VLOOKUP(E3960,E$1:E3959,1,FALSE()))),"OLD",IF(AND(E3960&lt;&gt;"",E3960&lt;&gt;"!!!"),"NEW","")))</f>
        <v> </v>
      </c>
      <c r="G3960" s="24" t="str">
        <f>IF(OR(E3960="",E3960="!!!"),"",IF(OR(J3960=0,AND(J3960=1,K3960=1),AND(J3960=1,I3960="SBJ"),AND(J3960=1,I3960=0)),"?IN_FOCUS",IF(J3960&lt;=2,"?ACTIVATED",IF(J3960&lt;&gt;"","?FAMILIAR",IF(F3960="NEW",IF(ISNA(VLOOKUP(E3960,#REF!,1,FALSE())),"?TYPE_IDENTIFIABLE","?REFERENTIAL"),"_")))))</f>
        <v> </v>
      </c>
      <c r="H3960" s="25" t="str">
        <f>IF(J3960&lt;&gt;1,"",IF(I3960="SBJ","CB","?"))</f>
        <v> </v>
      </c>
      <c r="I3960" s="26" t="str">
        <f>IF(OR(E3960="",E3960="!!!",F3960="NEW"),"",INDEX(B3959:B$2,-1+SUMPRODUCT(MAX(ROW(E3959:E$2)*(E3960=E3959:E$2)))))</f>
        <v> </v>
      </c>
      <c r="J3960" s="26" t="str">
        <f>IF(OR(E3960="",E3960="!!!",F3960="NEW"),"",COUNTBLANK(OFFSET(A$1,,,SUMPRODUCT(MAX(ROW(E$2:E3960)*(E3960=E$2:E3960)))))-COUNTBLANK(OFFSET(A$1,,,SUMPRODUCT(MAX(ROW(E$1:E3959)*(E2=E$1:E3959))))))</f>
        <v> </v>
      </c>
      <c r="K3960" s="26" t="str">
        <f>IF(OR(E3960="",E3960="!!!",F3960="NEW"),"",INDEX(J$1:J3959,SUMPRODUCT(MAX(ROW(E$1:E3959)*(E3960=E$1:E3959)))))</f>
        <v> </v>
      </c>
      <c r="L3960" s="27"/>
    </row>
    <row r="3961" spans="1:12">
      <c r="A3961" s="20" t="s">
        <v>998</v>
      </c>
      <c r="E3961" s="22">
        <f>IF(D3961="?OLD","!!!","")</f>
        <v/>
      </c>
      <c r="F3961" s="23" t="str">
        <f>IF(OR(E3961="",E3961="!!!"),"",IF(NOT(ISNA(VLOOKUP(E3961,E$1:E3960,1,FALSE()))),"OLD",IF(AND(E3961&lt;&gt;"",E3961&lt;&gt;"!!!"),"NEW","")))</f>
        <v> </v>
      </c>
      <c r="G3961" s="24" t="str">
        <f>IF(OR(E3961="",E3961="!!!"),"",IF(OR(J3961=0,AND(J3961=1,K3961=1),AND(J3961=1,I3961="SBJ"),AND(J3961=1,I3961=0)),"?IN_FOCUS",IF(J3961&lt;=2,"?ACTIVATED",IF(J3961&lt;&gt;"","?FAMILIAR",IF(F3961="NEW",IF(ISNA(VLOOKUP(E3961,#REF!,1,FALSE())),"?TYPE_IDENTIFIABLE","?REFERENTIAL"),"_")))))</f>
        <v> </v>
      </c>
      <c r="H3961" s="25" t="str">
        <f>IF(J3961&lt;&gt;1,"",IF(I3961="SBJ","CB","?"))</f>
        <v> </v>
      </c>
      <c r="I3961" s="26" t="str">
        <f>IF(OR(E3961="",E3961="!!!",F3961="NEW"),"",INDEX(B3960:B$2,-1+SUMPRODUCT(MAX(ROW(E3960:E$2)*(E3961=E3960:E$2)))))</f>
        <v> </v>
      </c>
      <c r="J3961" s="26" t="str">
        <f>IF(OR(E3961="",E3961="!!!",F3961="NEW"),"",COUNTBLANK(OFFSET(A$1,,,SUMPRODUCT(MAX(ROW(E$2:E3961)*(E3961=E$2:E3961)))))-COUNTBLANK(OFFSET(A$1,,,SUMPRODUCT(MAX(ROW(E$1:E3960)*(E2=E$1:E3960))))))</f>
        <v> </v>
      </c>
      <c r="K3961" s="26" t="str">
        <f>IF(OR(E3961="",E3961="!!!",F3961="NEW"),"",INDEX(J$1:J3960,SUMPRODUCT(MAX(ROW(E$1:E3960)*(E3961=E$1:E3960)))))</f>
        <v> </v>
      </c>
      <c r="L3961" s="27"/>
    </row>
    <row r="3962" spans="1:12">
      <c r="A3962" s="20"/>
    </row>
    <row r="3963" spans="1:12">
      <c r="A3963" s="20" t="s">
        <v>1068</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2141</v>
      </c>
    </row>
    <row r="3965" spans="1:12">
      <c r="A3965" s="20" t="s">
        <v>1423</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1084</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1206</v>
      </c>
      <c r="B3967" s="21" t="s">
        <v>1026</v>
      </c>
      <c r="C3967" s="21" t="s">
        <v>991</v>
      </c>
      <c r="D3967" s="21" t="s">
        <v>992</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1034</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1279</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1244</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1978</v>
      </c>
      <c r="B3971" s="21" t="s">
        <v>1015</v>
      </c>
      <c r="C3971" s="21" t="s">
        <v>1045</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1107</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231</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2142</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263</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1073</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1074</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2143</v>
      </c>
      <c r="B3978" s="21" t="s">
        <v>1055</v>
      </c>
      <c r="C3978" s="21" t="s">
        <v>1039</v>
      </c>
      <c r="D3978" s="21" t="s">
        <v>992</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2144</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1019</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2090</v>
      </c>
      <c r="B3981" s="21" t="s">
        <v>1026</v>
      </c>
      <c r="C3981" s="21" t="s">
        <v>1022</v>
      </c>
      <c r="D3981" s="21" t="s">
        <v>992</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1392</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998</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1074</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row>
    <row r="3986" spans="1:12">
      <c r="A3986" s="20" t="s">
        <v>2145</v>
      </c>
    </row>
    <row r="3987" spans="1:12">
      <c r="A3987" s="20" t="s">
        <v>1075</v>
      </c>
      <c r="B3987" s="21" t="s">
        <v>990</v>
      </c>
      <c r="C3987" s="21" t="s">
        <v>1076</v>
      </c>
      <c r="D3987" s="21" t="s">
        <v>992</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1023</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1183</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2146</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1978</v>
      </c>
      <c r="B3991" s="21" t="s">
        <v>995</v>
      </c>
      <c r="C3991" s="21" t="s">
        <v>1045</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1024</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1118</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1019</v>
      </c>
      <c r="B3994" s="21" t="s">
        <v>1015</v>
      </c>
      <c r="C3994" s="21" t="s">
        <v>1039</v>
      </c>
      <c r="D3994" s="21" t="s">
        <v>992</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1085</v>
      </c>
      <c r="B3995" s="21" t="s">
        <v>1026</v>
      </c>
      <c r="C3995" s="21" t="s">
        <v>1054</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2144</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998</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row>
    <row r="3999" spans="1:12">
      <c r="A3999" s="20" t="s">
        <v>2147</v>
      </c>
    </row>
    <row r="4000" spans="1:12">
      <c r="A4000" s="20" t="s">
        <v>2148</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1206</v>
      </c>
      <c r="B4001" s="21" t="s">
        <v>990</v>
      </c>
      <c r="C4001" s="21" t="s">
        <v>991</v>
      </c>
      <c r="D4001" s="21" t="s">
        <v>992</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1544</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1024</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1037</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1206</v>
      </c>
      <c r="B4005" s="21" t="s">
        <v>1026</v>
      </c>
      <c r="C4005" s="21" t="s">
        <v>991</v>
      </c>
      <c r="D4005" s="21" t="s">
        <v>992</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682</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1938</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t="s">
        <v>998</v>
      </c>
      <c r="E4008" s="22">
        <f>IF(D4008="?OLD","!!!","")</f>
        <v/>
      </c>
      <c r="F4008" s="23" t="str">
        <f>IF(OR(E4008="",E4008="!!!"),"",IF(NOT(ISNA(VLOOKUP(E4008,E$1:E4007,1,FALSE()))),"OLD",IF(AND(E4008&lt;&gt;"",E4008&lt;&gt;"!!!"),"NEW","")))</f>
        <v> </v>
      </c>
      <c r="G4008" s="24" t="str">
        <f>IF(OR(E4008="",E4008="!!!"),"",IF(OR(J4008=0,AND(J4008=1,K4008=1),AND(J4008=1,I4008="SBJ"),AND(J4008=1,I4008=0)),"?IN_FOCUS",IF(J4008&lt;=2,"?ACTIVATED",IF(J4008&lt;&gt;"","?FAMILIAR",IF(F4008="NEW",IF(ISNA(VLOOKUP(E4008,#REF!,1,FALSE())),"?TYPE_IDENTIFIABLE","?REFERENTIAL"),"_")))))</f>
        <v> </v>
      </c>
      <c r="H4008" s="25" t="str">
        <f>IF(J4008&lt;&gt;1,"",IF(I4008="SBJ","CB","?"))</f>
        <v> </v>
      </c>
      <c r="I4008" s="26" t="str">
        <f>IF(OR(E4008="",E4008="!!!",F4008="NEW"),"",INDEX(B4007:B$2,-1+SUMPRODUCT(MAX(ROW(E4007:E$2)*(E4008=E4007:E$2)))))</f>
        <v> </v>
      </c>
      <c r="J4008" s="26" t="str">
        <f>IF(OR(E4008="",E4008="!!!",F4008="NEW"),"",COUNTBLANK(OFFSET(A$1,,,SUMPRODUCT(MAX(ROW(E$2:E4008)*(E4008=E$2:E4008)))))-COUNTBLANK(OFFSET(A$1,,,SUMPRODUCT(MAX(ROW(E$1:E4007)*(E2=E$1:E4007))))))</f>
        <v> </v>
      </c>
      <c r="K4008" s="26" t="str">
        <f>IF(OR(E4008="",E4008="!!!",F4008="NEW"),"",INDEX(J$1:J4007,SUMPRODUCT(MAX(ROW(E$1:E4007)*(E4008=E$1:E4007)))))</f>
        <v> </v>
      </c>
      <c r="L4008" s="27"/>
    </row>
    <row r="4009" spans="1:12">
      <c r="A4009" s="20"/>
    </row>
    <row r="4010" spans="1:12">
      <c r="A4010" s="20" t="s">
        <v>2149</v>
      </c>
    </row>
    <row r="4011" spans="1:12">
      <c r="A4011" s="20" t="s">
        <v>1238</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2150</v>
      </c>
      <c r="B4012" s="21" t="s">
        <v>990</v>
      </c>
      <c r="C4012" s="21" t="s">
        <v>1039</v>
      </c>
      <c r="D4012" s="21" t="s">
        <v>992</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2151</v>
      </c>
      <c r="B4013" s="21" t="s">
        <v>1036</v>
      </c>
      <c r="C4013" s="21" t="s">
        <v>1016</v>
      </c>
      <c r="D4013" s="21" t="s">
        <v>992</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1208</v>
      </c>
      <c r="B4014" s="21" t="s">
        <v>1015</v>
      </c>
      <c r="C4014" s="21" t="s">
        <v>1003</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29</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1031</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1034</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1057</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1430</v>
      </c>
      <c r="B4019" s="21" t="s">
        <v>1036</v>
      </c>
      <c r="C4019" s="21" t="s">
        <v>1022</v>
      </c>
      <c r="D4019" s="21" t="s">
        <v>992</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2152</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2153</v>
      </c>
      <c r="B4021" s="21" t="s">
        <v>1002</v>
      </c>
      <c r="C4021" s="21" t="s">
        <v>1022</v>
      </c>
      <c r="D4021" s="21" t="s">
        <v>992</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871</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998</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row>
    <row r="4025" spans="1:12">
      <c r="A4025" s="20" t="s">
        <v>2154</v>
      </c>
    </row>
    <row r="4026" spans="1:12">
      <c r="A4026" s="20" t="s">
        <v>1193</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29</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1063</v>
      </c>
      <c r="B4028" s="21" t="s">
        <v>990</v>
      </c>
      <c r="C4028" s="21" t="s">
        <v>1039</v>
      </c>
      <c r="D4028" s="21" t="s">
        <v>992</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1346</v>
      </c>
      <c r="B4029" s="21" t="s">
        <v>1002</v>
      </c>
      <c r="C4029" s="21" t="s">
        <v>1039</v>
      </c>
      <c r="D4029" s="21" t="s">
        <v>992</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1018</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1019</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1020</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1418</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1430</v>
      </c>
      <c r="B4034" s="21" t="s">
        <v>995</v>
      </c>
      <c r="C4034" s="21" t="s">
        <v>1022</v>
      </c>
      <c r="D4034" s="21" t="s">
        <v>992</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1183</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2155</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1024</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2156</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1017</v>
      </c>
      <c r="B4039" s="21" t="s">
        <v>1002</v>
      </c>
      <c r="C4039" s="21" t="s">
        <v>1045</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2157</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1305</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1328</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2094</v>
      </c>
      <c r="B4043" s="21" t="s">
        <v>995</v>
      </c>
      <c r="C4043" s="21" t="s">
        <v>1003</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998</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row>
    <row r="4046" spans="1:12">
      <c r="A4046" s="20" t="s">
        <v>1068</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2158</v>
      </c>
    </row>
    <row r="4048" spans="1:12">
      <c r="A4048" s="20" t="s">
        <v>1326</v>
      </c>
      <c r="B4048" s="21" t="s">
        <v>1026</v>
      </c>
      <c r="C4048" s="21" t="s">
        <v>1039</v>
      </c>
      <c r="D4048" s="21" t="s">
        <v>992</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29</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1019</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1430</v>
      </c>
      <c r="B4051" s="21" t="s">
        <v>1055</v>
      </c>
      <c r="C4051" s="21" t="s">
        <v>1022</v>
      </c>
      <c r="D4051" s="21" t="s">
        <v>992</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1074</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2159</v>
      </c>
      <c r="B4053" s="21" t="s">
        <v>1036</v>
      </c>
      <c r="C4053" s="21" t="s">
        <v>996</v>
      </c>
      <c r="D4053" s="21" t="s">
        <v>992</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1074</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1098</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1057</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1099</v>
      </c>
      <c r="B4057" s="21" t="s">
        <v>1015</v>
      </c>
      <c r="C4057" s="21" t="s">
        <v>1022</v>
      </c>
      <c r="D4057" s="21" t="s">
        <v>992</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t="s">
        <v>1018</v>
      </c>
      <c r="E4058" s="22">
        <f>IF(D4058="?OLD","!!!","")</f>
        <v/>
      </c>
      <c r="F4058" s="23" t="str">
        <f>IF(OR(E4058="",E4058="!!!"),"",IF(NOT(ISNA(VLOOKUP(E4058,E$1:E4057,1,FALSE()))),"OLD",IF(AND(E4058&lt;&gt;"",E4058&lt;&gt;"!!!"),"NEW","")))</f>
        <v> </v>
      </c>
      <c r="G4058" s="24" t="str">
        <f>IF(OR(E4058="",E4058="!!!"),"",IF(OR(J4058=0,AND(J4058=1,K4058=1),AND(J4058=1,I4058="SBJ"),AND(J4058=1,I4058=0)),"?IN_FOCUS",IF(J4058&lt;=2,"?ACTIVATED",IF(J4058&lt;&gt;"","?FAMILIAR",IF(F4058="NEW",IF(ISNA(VLOOKUP(E4058,#REF!,1,FALSE())),"?TYPE_IDENTIFIABLE","?REFERENTIAL"),"_")))))</f>
        <v> </v>
      </c>
      <c r="H4058" s="25" t="str">
        <f>IF(J4058&lt;&gt;1,"",IF(I4058="SBJ","CB","?"))</f>
        <v> </v>
      </c>
      <c r="I4058" s="26" t="str">
        <f>IF(OR(E4058="",E4058="!!!",F4058="NEW"),"",INDEX(B4057:B$2,-1+SUMPRODUCT(MAX(ROW(E4057:E$2)*(E4058=E4057:E$2)))))</f>
        <v> </v>
      </c>
      <c r="J4058" s="26" t="str">
        <f>IF(OR(E4058="",E4058="!!!",F4058="NEW"),"",COUNTBLANK(OFFSET(A$1,,,SUMPRODUCT(MAX(ROW(E$2:E4058)*(E4058=E$2:E4058)))))-COUNTBLANK(OFFSET(A$1,,,SUMPRODUCT(MAX(ROW(E$1:E4057)*(E2=E$1:E4057))))))</f>
        <v> </v>
      </c>
      <c r="K4058" s="26" t="str">
        <f>IF(OR(E4058="",E4058="!!!",F4058="NEW"),"",INDEX(J$1:J4057,SUMPRODUCT(MAX(ROW(E$1:E4057)*(E4058=E$1:E4057)))))</f>
        <v> </v>
      </c>
      <c r="L4058" s="27"/>
    </row>
    <row r="4059" spans="1:12">
      <c r="A4059" s="20" t="s">
        <v>1031</v>
      </c>
      <c r="E4059" s="22">
        <f>IF(D4059="?OLD","!!!","")</f>
        <v/>
      </c>
      <c r="F4059" s="23" t="str">
        <f>IF(OR(E4059="",E4059="!!!"),"",IF(NOT(ISNA(VLOOKUP(E4059,E$1:E4058,1,FALSE()))),"OLD",IF(AND(E4059&lt;&gt;"",E4059&lt;&gt;"!!!"),"NEW","")))</f>
        <v> </v>
      </c>
      <c r="G4059" s="24" t="str">
        <f>IF(OR(E4059="",E4059="!!!"),"",IF(OR(J4059=0,AND(J4059=1,K4059=1),AND(J4059=1,I4059="SBJ"),AND(J4059=1,I4059=0)),"?IN_FOCUS",IF(J4059&lt;=2,"?ACTIVATED",IF(J4059&lt;&gt;"","?FAMILIAR",IF(F4059="NEW",IF(ISNA(VLOOKUP(E4059,#REF!,1,FALSE())),"?TYPE_IDENTIFIABLE","?REFERENTIAL"),"_")))))</f>
        <v> </v>
      </c>
      <c r="H4059" s="25" t="str">
        <f>IF(J4059&lt;&gt;1,"",IF(I4059="SBJ","CB","?"))</f>
        <v> </v>
      </c>
      <c r="I4059" s="26" t="str">
        <f>IF(OR(E4059="",E4059="!!!",F4059="NEW"),"",INDEX(B4058:B$2,-1+SUMPRODUCT(MAX(ROW(E4058:E$2)*(E4059=E4058:E$2)))))</f>
        <v> </v>
      </c>
      <c r="J4059" s="26" t="str">
        <f>IF(OR(E4059="",E4059="!!!",F4059="NEW"),"",COUNTBLANK(OFFSET(A$1,,,SUMPRODUCT(MAX(ROW(E$2:E4059)*(E4059=E$2:E4059)))))-COUNTBLANK(OFFSET(A$1,,,SUMPRODUCT(MAX(ROW(E$1:E4058)*(E2=E$1:E4058))))))</f>
        <v> </v>
      </c>
      <c r="K4059" s="26" t="str">
        <f>IF(OR(E4059="",E4059="!!!",F4059="NEW"),"",INDEX(J$1:J4058,SUMPRODUCT(MAX(ROW(E$1:E4058)*(E4059=E$1:E4058)))))</f>
        <v> </v>
      </c>
      <c r="L4059" s="27"/>
    </row>
    <row r="4060" spans="1:12">
      <c r="A4060" s="20" t="s">
        <v>1100</v>
      </c>
      <c r="B4060" s="21" t="s">
        <v>1036</v>
      </c>
      <c r="C4060" s="21" t="s">
        <v>1022</v>
      </c>
      <c r="D4060" s="21" t="s">
        <v>992</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1663</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998</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row>
    <row r="4064" spans="1:12">
      <c r="A4064" s="20" t="s">
        <v>2160</v>
      </c>
    </row>
    <row r="4065" spans="1:12">
      <c r="A4065" s="20" t="s">
        <v>2161</v>
      </c>
      <c r="B4065" s="21" t="s">
        <v>990</v>
      </c>
      <c r="C4065" s="21" t="s">
        <v>1003</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1023</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1031</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2162</v>
      </c>
      <c r="B4068" s="21" t="s">
        <v>995</v>
      </c>
      <c r="C4068" s="21" t="s">
        <v>1022</v>
      </c>
      <c r="D4068" s="21" t="s">
        <v>992</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1223</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2163</v>
      </c>
      <c r="B4070" s="21" t="s">
        <v>995</v>
      </c>
      <c r="C4070" s="21" t="s">
        <v>1045</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1024</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1116</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1031</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1050</v>
      </c>
      <c r="B4074" s="21" t="s">
        <v>1089</v>
      </c>
      <c r="C4074" s="21" t="s">
        <v>1022</v>
      </c>
      <c r="D4074" s="21" t="s">
        <v>992</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1328</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1661</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68</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1505</v>
      </c>
      <c r="B4078" s="21" t="s">
        <v>1036</v>
      </c>
      <c r="C4078" s="21" t="s">
        <v>1009</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1118</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1057</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t="s">
        <v>1120</v>
      </c>
      <c r="B4081" s="21" t="s">
        <v>1036</v>
      </c>
      <c r="C4081" s="21" t="s">
        <v>1022</v>
      </c>
      <c r="D4081" s="21" t="s">
        <v>992</v>
      </c>
      <c r="E4081" s="22">
        <f>IF(D4081="?OLD","!!!","")</f>
        <v/>
      </c>
      <c r="F4081" s="23" t="str">
        <f>IF(OR(E4081="",E4081="!!!"),"",IF(NOT(ISNA(VLOOKUP(E4081,E$1:E4080,1,FALSE()))),"OLD",IF(AND(E4081&lt;&gt;"",E4081&lt;&gt;"!!!"),"NEW","")))</f>
        <v> </v>
      </c>
      <c r="G4081" s="24" t="str">
        <f>IF(OR(E4081="",E4081="!!!"),"",IF(OR(J4081=0,AND(J4081=1,K4081=1),AND(J4081=1,I4081="SBJ"),AND(J4081=1,I4081=0)),"?IN_FOCUS",IF(J4081&lt;=2,"?ACTIVATED",IF(J4081&lt;&gt;"","?FAMILIAR",IF(F4081="NEW",IF(ISNA(VLOOKUP(E4081,#REF!,1,FALSE())),"?TYPE_IDENTIFIABLE","?REFERENTIAL"),"_")))))</f>
        <v> </v>
      </c>
      <c r="H4081" s="25" t="str">
        <f>IF(J4081&lt;&gt;1,"",IF(I4081="SBJ","CB","?"))</f>
        <v> </v>
      </c>
      <c r="I4081" s="26" t="str">
        <f>IF(OR(E4081="",E4081="!!!",F4081="NEW"),"",INDEX(B4080:B$2,-1+SUMPRODUCT(MAX(ROW(E4080:E$2)*(E4081=E4080:E$2)))))</f>
        <v> </v>
      </c>
      <c r="J4081" s="26" t="str">
        <f>IF(OR(E4081="",E4081="!!!",F4081="NEW"),"",COUNTBLANK(OFFSET(A$1,,,SUMPRODUCT(MAX(ROW(E$2:E4081)*(E4081=E$2:E4081)))))-COUNTBLANK(OFFSET(A$1,,,SUMPRODUCT(MAX(ROW(E$1:E4080)*(E2=E$1:E4080))))))</f>
        <v> </v>
      </c>
      <c r="K4081" s="26" t="str">
        <f>IF(OR(E4081="",E4081="!!!",F4081="NEW"),"",INDEX(J$1:J4080,SUMPRODUCT(MAX(ROW(E$1:E4080)*(E4081=E$1:E4080)))))</f>
        <v> </v>
      </c>
      <c r="L4081" s="27"/>
    </row>
    <row r="4082" spans="1:12">
      <c r="A4082" s="20" t="s">
        <v>2164</v>
      </c>
      <c r="E4082" s="22">
        <f>IF(D4082="?OLD","!!!","")</f>
        <v/>
      </c>
      <c r="F4082" s="23" t="str">
        <f>IF(OR(E4082="",E4082="!!!"),"",IF(NOT(ISNA(VLOOKUP(E4082,E$1:E4081,1,FALSE()))),"OLD",IF(AND(E4082&lt;&gt;"",E4082&lt;&gt;"!!!"),"NEW","")))</f>
        <v> </v>
      </c>
      <c r="G4082" s="24" t="str">
        <f>IF(OR(E4082="",E4082="!!!"),"",IF(OR(J4082=0,AND(J4082=1,K4082=1),AND(J4082=1,I4082="SBJ"),AND(J4082=1,I4082=0)),"?IN_FOCUS",IF(J4082&lt;=2,"?ACTIVATED",IF(J4082&lt;&gt;"","?FAMILIAR",IF(F4082="NEW",IF(ISNA(VLOOKUP(E4082,#REF!,1,FALSE())),"?TYPE_IDENTIFIABLE","?REFERENTIAL"),"_")))))</f>
        <v> </v>
      </c>
      <c r="H4082" s="25" t="str">
        <f>IF(J4082&lt;&gt;1,"",IF(I4082="SBJ","CB","?"))</f>
        <v> </v>
      </c>
      <c r="I4082" s="26" t="str">
        <f>IF(OR(E4082="",E4082="!!!",F4082="NEW"),"",INDEX(B4081:B$2,-1+SUMPRODUCT(MAX(ROW(E4081:E$2)*(E4082=E4081:E$2)))))</f>
        <v> </v>
      </c>
      <c r="J4082" s="26" t="str">
        <f>IF(OR(E4082="",E4082="!!!",F4082="NEW"),"",COUNTBLANK(OFFSET(A$1,,,SUMPRODUCT(MAX(ROW(E$2:E4082)*(E4082=E$2:E4082)))))-COUNTBLANK(OFFSET(A$1,,,SUMPRODUCT(MAX(ROW(E$1:E4081)*(E2=E$1:E4081))))))</f>
        <v> </v>
      </c>
      <c r="K4082" s="26" t="str">
        <f>IF(OR(E4082="",E4082="!!!",F4082="NEW"),"",INDEX(J$1:J4081,SUMPRODUCT(MAX(ROW(E$1:E4081)*(E4082=E$1:E4081)))))</f>
        <v> </v>
      </c>
      <c r="L4082" s="27"/>
    </row>
    <row r="4083" spans="1:12">
      <c r="A4083" s="20" t="s">
        <v>29</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998</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row>
    <row r="4086" spans="1:12">
      <c r="A4086" s="20" t="s">
        <v>1068</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2165</v>
      </c>
    </row>
    <row r="4088" spans="1:12">
      <c r="A4088" s="20" t="s">
        <v>1277</v>
      </c>
      <c r="B4088" s="21" t="s">
        <v>1015</v>
      </c>
      <c r="C4088" s="21" t="s">
        <v>1076</v>
      </c>
      <c r="D4088" s="21" t="s">
        <v>992</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2166</v>
      </c>
      <c r="B4089" s="21" t="s">
        <v>990</v>
      </c>
      <c r="C4089" s="21" t="s">
        <v>1121</v>
      </c>
      <c r="D4089" s="21" t="s">
        <v>992</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2167</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1074</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2168</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2169</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12</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2170</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12</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2171</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1074</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1024</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2172</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998</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row>
    <row r="4103" spans="1:12">
      <c r="A4103" s="20" t="s">
        <v>1068</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2173</v>
      </c>
    </row>
    <row r="4105" spans="1:12">
      <c r="A4105" s="20" t="s">
        <v>2174</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2175</v>
      </c>
      <c r="B4106" s="21" t="s">
        <v>1002</v>
      </c>
      <c r="C4106" s="21" t="s">
        <v>1022</v>
      </c>
      <c r="D4106" s="21" t="s">
        <v>992</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t="s">
        <v>1098</v>
      </c>
      <c r="E4107" s="22">
        <f>IF(D4107="?OLD","!!!","")</f>
        <v/>
      </c>
      <c r="F4107" s="23" t="str">
        <f>IF(OR(E4107="",E4107="!!!"),"",IF(NOT(ISNA(VLOOKUP(E4107,E$1:E4106,1,FALSE()))),"OLD",IF(AND(E4107&lt;&gt;"",E4107&lt;&gt;"!!!"),"NEW","")))</f>
        <v> </v>
      </c>
      <c r="G4107" s="24" t="str">
        <f>IF(OR(E4107="",E4107="!!!"),"",IF(OR(J4107=0,AND(J4107=1,K4107=1),AND(J4107=1,I4107="SBJ"),AND(J4107=1,I4107=0)),"?IN_FOCUS",IF(J4107&lt;=2,"?ACTIVATED",IF(J4107&lt;&gt;"","?FAMILIAR",IF(F4107="NEW",IF(ISNA(VLOOKUP(E4107,#REF!,1,FALSE())),"?TYPE_IDENTIFIABLE","?REFERENTIAL"),"_")))))</f>
        <v> </v>
      </c>
      <c r="H4107" s="25" t="str">
        <f>IF(J4107&lt;&gt;1,"",IF(I4107="SBJ","CB","?"))</f>
        <v> </v>
      </c>
      <c r="I4107" s="26" t="str">
        <f>IF(OR(E4107="",E4107="!!!",F4107="NEW"),"",INDEX(B4106:B$2,-1+SUMPRODUCT(MAX(ROW(E4106:E$2)*(E4107=E4106:E$2)))))</f>
        <v> </v>
      </c>
      <c r="J4107" s="26" t="str">
        <f>IF(OR(E4107="",E4107="!!!",F4107="NEW"),"",COUNTBLANK(OFFSET(A$1,,,SUMPRODUCT(MAX(ROW(E$2:E4107)*(E4107=E$2:E4107)))))-COUNTBLANK(OFFSET(A$1,,,SUMPRODUCT(MAX(ROW(E$1:E4106)*(E2=E$1:E4106))))))</f>
        <v> </v>
      </c>
      <c r="K4107" s="26" t="str">
        <f>IF(OR(E4107="",E4107="!!!",F4107="NEW"),"",INDEX(J$1:J4106,SUMPRODUCT(MAX(ROW(E$1:E4106)*(E4107=E$1:E4106)))))</f>
        <v> </v>
      </c>
      <c r="L4107" s="27"/>
    </row>
    <row r="4108" spans="1:12">
      <c r="A4108" s="20" t="s">
        <v>1208</v>
      </c>
      <c r="B4108" s="21" t="s">
        <v>1015</v>
      </c>
      <c r="C4108" s="21" t="s">
        <v>1003</v>
      </c>
      <c r="E4108" s="22">
        <f>IF(D4108="?OLD","!!!","")</f>
        <v/>
      </c>
      <c r="F4108" s="23" t="str">
        <f>IF(OR(E4108="",E4108="!!!"),"",IF(NOT(ISNA(VLOOKUP(E4108,E$1:E4107,1,FALSE()))),"OLD",IF(AND(E4108&lt;&gt;"",E4108&lt;&gt;"!!!"),"NEW","")))</f>
        <v> </v>
      </c>
      <c r="G4108" s="24" t="str">
        <f>IF(OR(E4108="",E4108="!!!"),"",IF(OR(J4108=0,AND(J4108=1,K4108=1),AND(J4108=1,I4108="SBJ"),AND(J4108=1,I4108=0)),"?IN_FOCUS",IF(J4108&lt;=2,"?ACTIVATED",IF(J4108&lt;&gt;"","?FAMILIAR",IF(F4108="NEW",IF(ISNA(VLOOKUP(E4108,#REF!,1,FALSE())),"?TYPE_IDENTIFIABLE","?REFERENTIAL"),"_")))))</f>
        <v> </v>
      </c>
      <c r="H4108" s="25" t="str">
        <f>IF(J4108&lt;&gt;1,"",IF(I4108="SBJ","CB","?"))</f>
        <v> </v>
      </c>
      <c r="I4108" s="26" t="str">
        <f>IF(OR(E4108="",E4108="!!!",F4108="NEW"),"",INDEX(B4107:B$2,-1+SUMPRODUCT(MAX(ROW(E4107:E$2)*(E4108=E4107:E$2)))))</f>
        <v> </v>
      </c>
      <c r="J4108" s="26" t="str">
        <f>IF(OR(E4108="",E4108="!!!",F4108="NEW"),"",COUNTBLANK(OFFSET(A$1,,,SUMPRODUCT(MAX(ROW(E$2:E4108)*(E4108=E$2:E4108)))))-COUNTBLANK(OFFSET(A$1,,,SUMPRODUCT(MAX(ROW(E$1:E4107)*(E2=E$1:E4107))))))</f>
        <v> </v>
      </c>
      <c r="K4108" s="26" t="str">
        <f>IF(OR(E4108="",E4108="!!!",F4108="NEW"),"",INDEX(J$1:J4107,SUMPRODUCT(MAX(ROW(E$1:E4107)*(E4108=E$1:E4107)))))</f>
        <v> </v>
      </c>
      <c r="L4108" s="27"/>
    </row>
    <row r="4109" spans="1:12">
      <c r="A4109" s="20" t="s">
        <v>1024</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1347</v>
      </c>
      <c r="B4110" s="21" t="s">
        <v>1033</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2176</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1024</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29</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1063</v>
      </c>
      <c r="B4114" s="21" t="s">
        <v>990</v>
      </c>
      <c r="C4114" s="21" t="s">
        <v>1039</v>
      </c>
      <c r="D4114" s="21" t="s">
        <v>992</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1796</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1037</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1043</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1074</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2177</v>
      </c>
      <c r="B4119" s="21" t="s">
        <v>1015</v>
      </c>
      <c r="C4119" s="21" t="s">
        <v>996</v>
      </c>
      <c r="D4119" s="21" t="s">
        <v>992</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12</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2178</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t="s">
        <v>1074</v>
      </c>
      <c r="E4122" s="22">
        <f>IF(D4122="?OLD","!!!","")</f>
        <v/>
      </c>
      <c r="F4122" s="23" t="str">
        <f>IF(OR(E4122="",E4122="!!!"),"",IF(NOT(ISNA(VLOOKUP(E4122,E$1:E4121,1,FALSE()))),"OLD",IF(AND(E4122&lt;&gt;"",E4122&lt;&gt;"!!!"),"NEW","")))</f>
        <v> </v>
      </c>
      <c r="G4122" s="24" t="str">
        <f>IF(OR(E4122="",E4122="!!!"),"",IF(OR(J4122=0,AND(J4122=1,K4122=1),AND(J4122=1,I4122="SBJ"),AND(J4122=1,I4122=0)),"?IN_FOCUS",IF(J4122&lt;=2,"?ACTIVATED",IF(J4122&lt;&gt;"","?FAMILIAR",IF(F4122="NEW",IF(ISNA(VLOOKUP(E4122,#REF!,1,FALSE())),"?TYPE_IDENTIFIABLE","?REFERENTIAL"),"_")))))</f>
        <v> </v>
      </c>
      <c r="H4122" s="25" t="str">
        <f>IF(J4122&lt;&gt;1,"",IF(I4122="SBJ","CB","?"))</f>
        <v> </v>
      </c>
      <c r="I4122" s="26" t="str">
        <f>IF(OR(E4122="",E4122="!!!",F4122="NEW"),"",INDEX(B4121:B$2,-1+SUMPRODUCT(MAX(ROW(E4121:E$2)*(E4122=E4121:E$2)))))</f>
        <v> </v>
      </c>
      <c r="J4122" s="26" t="str">
        <f>IF(OR(E4122="",E4122="!!!",F4122="NEW"),"",COUNTBLANK(OFFSET(A$1,,,SUMPRODUCT(MAX(ROW(E$2:E4122)*(E4122=E$2:E4122)))))-COUNTBLANK(OFFSET(A$1,,,SUMPRODUCT(MAX(ROW(E$1:E4121)*(E2=E$1:E4121))))))</f>
        <v> </v>
      </c>
      <c r="K4122" s="26" t="str">
        <f>IF(OR(E4122="",E4122="!!!",F4122="NEW"),"",INDEX(J$1:J4121,SUMPRODUCT(MAX(ROW(E$1:E4121)*(E4122=E$1:E4121)))))</f>
        <v> </v>
      </c>
      <c r="L4122" s="27"/>
    </row>
    <row r="4123" spans="1:12">
      <c r="A4123" s="20" t="s">
        <v>12</v>
      </c>
      <c r="E4123" s="22">
        <f>IF(D4123="?OLD","!!!","")</f>
        <v/>
      </c>
      <c r="F4123" s="23" t="str">
        <f>IF(OR(E4123="",E4123="!!!"),"",IF(NOT(ISNA(VLOOKUP(E4123,E$1:E4122,1,FALSE()))),"OLD",IF(AND(E4123&lt;&gt;"",E4123&lt;&gt;"!!!"),"NEW","")))</f>
        <v> </v>
      </c>
      <c r="G4123" s="24" t="str">
        <f>IF(OR(E4123="",E4123="!!!"),"",IF(OR(J4123=0,AND(J4123=1,K4123=1),AND(J4123=1,I4123="SBJ"),AND(J4123=1,I4123=0)),"?IN_FOCUS",IF(J4123&lt;=2,"?ACTIVATED",IF(J4123&lt;&gt;"","?FAMILIAR",IF(F4123="NEW",IF(ISNA(VLOOKUP(E4123,#REF!,1,FALSE())),"?TYPE_IDENTIFIABLE","?REFERENTIAL"),"_")))))</f>
        <v> </v>
      </c>
      <c r="H4123" s="25" t="str">
        <f>IF(J4123&lt;&gt;1,"",IF(I4123="SBJ","CB","?"))</f>
        <v> </v>
      </c>
      <c r="I4123" s="26" t="str">
        <f>IF(OR(E4123="",E4123="!!!",F4123="NEW"),"",INDEX(B4122:B$2,-1+SUMPRODUCT(MAX(ROW(E4122:E$2)*(E4123=E4122:E$2)))))</f>
        <v> </v>
      </c>
      <c r="J4123" s="26" t="str">
        <f>IF(OR(E4123="",E4123="!!!",F4123="NEW"),"",COUNTBLANK(OFFSET(A$1,,,SUMPRODUCT(MAX(ROW(E$2:E4123)*(E4123=E$2:E4123)))))-COUNTBLANK(OFFSET(A$1,,,SUMPRODUCT(MAX(ROW(E$1:E4122)*(E2=E$1:E4122))))))</f>
        <v> </v>
      </c>
      <c r="K4123" s="26" t="str">
        <f>IF(OR(E4123="",E4123="!!!",F4123="NEW"),"",INDEX(J$1:J4122,SUMPRODUCT(MAX(ROW(E$1:E4122)*(E4123=E$1:E4122)))))</f>
        <v> </v>
      </c>
      <c r="L4123" s="27"/>
    </row>
    <row r="4124" spans="1:12">
      <c r="A4124" s="20" t="s">
        <v>2179</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2180</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998</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row>
    <row r="4128" spans="1:12">
      <c r="A4128" s="20" t="s">
        <v>1068</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2181</v>
      </c>
    </row>
    <row r="4130" spans="1:12">
      <c r="A4130" s="20" t="s">
        <v>1206</v>
      </c>
      <c r="B4130" s="21" t="s">
        <v>990</v>
      </c>
      <c r="C4130" s="21" t="s">
        <v>991</v>
      </c>
      <c r="D4130" s="21" t="s">
        <v>992</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125</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2177</v>
      </c>
      <c r="B4132" s="21" t="s">
        <v>1002</v>
      </c>
      <c r="C4132" s="21" t="s">
        <v>996</v>
      </c>
      <c r="D4132" s="21" t="s">
        <v>992</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2178</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12</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2109</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1024</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1319</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1025</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1019</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1074</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2182</v>
      </c>
      <c r="B4141" s="21" t="s">
        <v>1089</v>
      </c>
      <c r="C4141" s="21" t="s">
        <v>996</v>
      </c>
      <c r="D4141" s="21" t="s">
        <v>992</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12</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2183</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1074</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1381</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998</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row>
    <row r="4148" spans="1:12">
      <c r="A4148" s="20" t="s">
        <v>2184</v>
      </c>
    </row>
    <row r="4149" spans="1:12">
      <c r="A4149" s="20" t="s">
        <v>1206</v>
      </c>
      <c r="B4149" s="21" t="s">
        <v>990</v>
      </c>
      <c r="C4149" s="21" t="s">
        <v>991</v>
      </c>
      <c r="D4149" s="21" t="s">
        <v>992</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29</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1197</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2185</v>
      </c>
      <c r="B4152" s="21" t="s">
        <v>1055</v>
      </c>
      <c r="C4152" s="21" t="s">
        <v>1022</v>
      </c>
      <c r="D4152" s="21" t="s">
        <v>992</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1024</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1197</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2010</v>
      </c>
      <c r="B4155" s="21" t="s">
        <v>1036</v>
      </c>
      <c r="C4155" s="21" t="s">
        <v>1022</v>
      </c>
      <c r="D4155" s="21" t="s">
        <v>992</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1024</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1197</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2186</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12</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2187</v>
      </c>
      <c r="B4160" s="21" t="s">
        <v>1036</v>
      </c>
      <c r="C4160" s="21" t="s">
        <v>1022</v>
      </c>
      <c r="D4160" s="21" t="s">
        <v>992</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231</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1328</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1503</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1391</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1038</v>
      </c>
      <c r="B4165" s="21" t="s">
        <v>1026</v>
      </c>
      <c r="C4165" s="21" t="s">
        <v>1039</v>
      </c>
      <c r="D4165" s="21" t="s">
        <v>992</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1031</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1032</v>
      </c>
      <c r="B4167" s="21" t="s">
        <v>1055</v>
      </c>
      <c r="C4167" s="21" t="s">
        <v>1022</v>
      </c>
      <c r="D4167" s="21" t="s">
        <v>992</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745</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998</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row>
    <row r="4171" spans="1:12">
      <c r="A4171" s="20" t="s">
        <v>2188</v>
      </c>
    </row>
    <row r="4172" spans="1:12">
      <c r="A4172" s="20" t="s">
        <v>1423</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1034</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2066</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1430</v>
      </c>
      <c r="B4175" s="21" t="s">
        <v>995</v>
      </c>
      <c r="C4175" s="21" t="s">
        <v>1316</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1024</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2189</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1071</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1328</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28</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1460</v>
      </c>
      <c r="B4181" s="21" t="s">
        <v>995</v>
      </c>
      <c r="C4181" s="21" t="s">
        <v>1009</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1024</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572</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1063</v>
      </c>
      <c r="B4184" s="21" t="s">
        <v>990</v>
      </c>
      <c r="C4184" s="21" t="s">
        <v>1039</v>
      </c>
      <c r="D4184" s="21" t="s">
        <v>992</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1024</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2190</v>
      </c>
      <c r="B4186" s="21" t="s">
        <v>1026</v>
      </c>
      <c r="C4186" s="21" t="s">
        <v>1054</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1023</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1034</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t="s">
        <v>1057</v>
      </c>
      <c r="E4189" s="22">
        <f>IF(D4189="?OLD","!!!","")</f>
        <v/>
      </c>
      <c r="F4189" s="23" t="str">
        <f>IF(OR(E4189="",E4189="!!!"),"",IF(NOT(ISNA(VLOOKUP(E4189,E$1:E4188,1,FALSE()))),"OLD",IF(AND(E4189&lt;&gt;"",E4189&lt;&gt;"!!!"),"NEW","")))</f>
        <v> </v>
      </c>
      <c r="G4189" s="24" t="str">
        <f>IF(OR(E4189="",E4189="!!!"),"",IF(OR(J4189=0,AND(J4189=1,K4189=1),AND(J4189=1,I4189="SBJ"),AND(J4189=1,I4189=0)),"?IN_FOCUS",IF(J4189&lt;=2,"?ACTIVATED",IF(J4189&lt;&gt;"","?FAMILIAR",IF(F4189="NEW",IF(ISNA(VLOOKUP(E4189,#REF!,1,FALSE())),"?TYPE_IDENTIFIABLE","?REFERENTIAL"),"_")))))</f>
        <v> </v>
      </c>
      <c r="H4189" s="25" t="str">
        <f>IF(J4189&lt;&gt;1,"",IF(I4189="SBJ","CB","?"))</f>
        <v> </v>
      </c>
      <c r="I4189" s="26" t="str">
        <f>IF(OR(E4189="",E4189="!!!",F4189="NEW"),"",INDEX(B4188:B$2,-1+SUMPRODUCT(MAX(ROW(E4188:E$2)*(E4189=E4188:E$2)))))</f>
        <v> </v>
      </c>
      <c r="J4189" s="26" t="str">
        <f>IF(OR(E4189="",E4189="!!!",F4189="NEW"),"",COUNTBLANK(OFFSET(A$1,,,SUMPRODUCT(MAX(ROW(E$2:E4189)*(E4189=E$2:E4189)))))-COUNTBLANK(OFFSET(A$1,,,SUMPRODUCT(MAX(ROW(E$1:E4188)*(E2=E$1:E4188))))))</f>
        <v> </v>
      </c>
      <c r="K4189" s="26" t="str">
        <f>IF(OR(E4189="",E4189="!!!",F4189="NEW"),"",INDEX(J$1:J4188,SUMPRODUCT(MAX(ROW(E$1:E4188)*(E4189=E$1:E4188)))))</f>
        <v> </v>
      </c>
      <c r="L4189" s="27"/>
    </row>
    <row r="4190" spans="1:12">
      <c r="A4190" s="20" t="s">
        <v>2182</v>
      </c>
      <c r="B4190" s="21" t="s">
        <v>995</v>
      </c>
      <c r="C4190" s="21" t="s">
        <v>996</v>
      </c>
      <c r="D4190" s="21" t="s">
        <v>992</v>
      </c>
      <c r="E4190" s="22">
        <f>IF(D4190="?OLD","!!!","")</f>
        <v/>
      </c>
      <c r="F4190" s="23" t="str">
        <f>IF(OR(E4190="",E4190="!!!"),"",IF(NOT(ISNA(VLOOKUP(E4190,E$1:E4189,1,FALSE()))),"OLD",IF(AND(E4190&lt;&gt;"",E4190&lt;&gt;"!!!"),"NEW","")))</f>
        <v> </v>
      </c>
      <c r="G4190" s="24" t="str">
        <f>IF(OR(E4190="",E4190="!!!"),"",IF(OR(J4190=0,AND(J4190=1,K4190=1),AND(J4190=1,I4190="SBJ"),AND(J4190=1,I4190=0)),"?IN_FOCUS",IF(J4190&lt;=2,"?ACTIVATED",IF(J4190&lt;&gt;"","?FAMILIAR",IF(F4190="NEW",IF(ISNA(VLOOKUP(E4190,#REF!,1,FALSE())),"?TYPE_IDENTIFIABLE","?REFERENTIAL"),"_")))))</f>
        <v> </v>
      </c>
      <c r="H4190" s="25" t="str">
        <f>IF(J4190&lt;&gt;1,"",IF(I4190="SBJ","CB","?"))</f>
        <v> </v>
      </c>
      <c r="I4190" s="26" t="str">
        <f>IF(OR(E4190="",E4190="!!!",F4190="NEW"),"",INDEX(B4189:B$2,-1+SUMPRODUCT(MAX(ROW(E4189:E$2)*(E4190=E4189:E$2)))))</f>
        <v> </v>
      </c>
      <c r="J4190" s="26" t="str">
        <f>IF(OR(E4190="",E4190="!!!",F4190="NEW"),"",COUNTBLANK(OFFSET(A$1,,,SUMPRODUCT(MAX(ROW(E$2:E4190)*(E4190=E$2:E4190)))))-COUNTBLANK(OFFSET(A$1,,,SUMPRODUCT(MAX(ROW(E$1:E4189)*(E2=E$1:E4189))))))</f>
        <v> </v>
      </c>
      <c r="K4190" s="26" t="str">
        <f>IF(OR(E4190="",E4190="!!!",F4190="NEW"),"",INDEX(J$1:J4189,SUMPRODUCT(MAX(ROW(E$1:E4189)*(E4190=E$1:E4189)))))</f>
        <v> </v>
      </c>
      <c r="L4190" s="27"/>
    </row>
    <row r="4191" spans="1:12">
      <c r="A4191" s="20" t="s">
        <v>12</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2183</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1024</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231</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1025</v>
      </c>
      <c r="B4195" s="21" t="s">
        <v>1026</v>
      </c>
      <c r="C4195" s="21" t="s">
        <v>991</v>
      </c>
      <c r="D4195" s="21" t="s">
        <v>992</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1023</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1348</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1436</v>
      </c>
      <c r="B4198" s="21" t="s">
        <v>995</v>
      </c>
      <c r="C4198" s="21" t="s">
        <v>1316</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1024</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1031</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1100</v>
      </c>
      <c r="B4201" s="21" t="s">
        <v>1033</v>
      </c>
      <c r="C4201" s="21" t="s">
        <v>1022</v>
      </c>
      <c r="D4201" s="21" t="s">
        <v>992</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1018</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1665</v>
      </c>
      <c r="B4203" s="21" t="s">
        <v>1060</v>
      </c>
      <c r="C4203" s="21" t="s">
        <v>1003</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1024</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2191</v>
      </c>
      <c r="B4205" s="21" t="s">
        <v>1178</v>
      </c>
      <c r="C4205" s="21" t="s">
        <v>1003</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1024</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2192</v>
      </c>
      <c r="B4207" s="21" t="s">
        <v>1178</v>
      </c>
      <c r="C4207" s="21" t="s">
        <v>1003</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1024</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2193</v>
      </c>
      <c r="B4209" s="21" t="s">
        <v>1178</v>
      </c>
      <c r="C4209" s="21" t="s">
        <v>1003</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231</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1031</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1100</v>
      </c>
      <c r="B4212" s="21" t="s">
        <v>1178</v>
      </c>
      <c r="C4212" s="21" t="s">
        <v>1022</v>
      </c>
      <c r="D4212" s="21" t="s">
        <v>992</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576</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2194</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2195</v>
      </c>
      <c r="B4215" s="21" t="s">
        <v>1463</v>
      </c>
      <c r="C4215" s="21" t="s">
        <v>1022</v>
      </c>
      <c r="D4215" s="21" t="s">
        <v>992</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1029</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536</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t="s">
        <v>998</v>
      </c>
      <c r="E4218" s="22">
        <f>IF(D4218="?OLD","!!!","")</f>
        <v/>
      </c>
      <c r="F4218" s="23" t="str">
        <f>IF(OR(E4218="",E4218="!!!"),"",IF(NOT(ISNA(VLOOKUP(E4218,E$1:E4217,1,FALSE()))),"OLD",IF(AND(E4218&lt;&gt;"",E4218&lt;&gt;"!!!"),"NEW","")))</f>
        <v> </v>
      </c>
      <c r="G4218" s="24" t="str">
        <f>IF(OR(E4218="",E4218="!!!"),"",IF(OR(J4218=0,AND(J4218=1,K4218=1),AND(J4218=1,I4218="SBJ"),AND(J4218=1,I4218=0)),"?IN_FOCUS",IF(J4218&lt;=2,"?ACTIVATED",IF(J4218&lt;&gt;"","?FAMILIAR",IF(F4218="NEW",IF(ISNA(VLOOKUP(E4218,#REF!,1,FALSE())),"?TYPE_IDENTIFIABLE","?REFERENTIAL"),"_")))))</f>
        <v> </v>
      </c>
      <c r="H4218" s="25" t="str">
        <f>IF(J4218&lt;&gt;1,"",IF(I4218="SBJ","CB","?"))</f>
        <v> </v>
      </c>
      <c r="I4218" s="26" t="str">
        <f>IF(OR(E4218="",E4218="!!!",F4218="NEW"),"",INDEX(B4217:B$2,-1+SUMPRODUCT(MAX(ROW(E4217:E$2)*(E4218=E4217:E$2)))))</f>
        <v> </v>
      </c>
      <c r="J4218" s="26" t="str">
        <f>IF(OR(E4218="",E4218="!!!",F4218="NEW"),"",COUNTBLANK(OFFSET(A$1,,,SUMPRODUCT(MAX(ROW(E$2:E4218)*(E4218=E$2:E4218)))))-COUNTBLANK(OFFSET(A$1,,,SUMPRODUCT(MAX(ROW(E$1:E4217)*(E2=E$1:E4217))))))</f>
        <v> </v>
      </c>
      <c r="K4218" s="26" t="str">
        <f>IF(OR(E4218="",E4218="!!!",F4218="NEW"),"",INDEX(J$1:J4217,SUMPRODUCT(MAX(ROW(E$1:E4217)*(E4218=E$1:E4217)))))</f>
        <v> </v>
      </c>
      <c r="L4218" s="27"/>
    </row>
    <row r="4219" spans="1:12">
      <c r="A4219" s="20"/>
    </row>
    <row r="4220" spans="1:12">
      <c r="A4220" s="20" t="s">
        <v>2196</v>
      </c>
    </row>
    <row r="4221" spans="1:12">
      <c r="A4221" s="20" t="s">
        <v>2197</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1208</v>
      </c>
      <c r="B4222" s="21" t="s">
        <v>990</v>
      </c>
      <c r="C4222" s="21" t="s">
        <v>1009</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1952</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1019</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1430</v>
      </c>
      <c r="B4225" s="21" t="s">
        <v>1002</v>
      </c>
      <c r="C4225" s="21" t="s">
        <v>1022</v>
      </c>
      <c r="D4225" s="21" t="s">
        <v>992</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24</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2198</v>
      </c>
      <c r="B4227" s="21" t="s">
        <v>1015</v>
      </c>
      <c r="C4227" s="21" t="s">
        <v>1009</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1950</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998</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row>
    <row r="4231" spans="1:12">
      <c r="A4231" s="20" t="s">
        <v>1068</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2199</v>
      </c>
    </row>
    <row r="4233" spans="1:12">
      <c r="A4233" s="20" t="s">
        <v>1206</v>
      </c>
      <c r="B4233" s="21" t="s">
        <v>990</v>
      </c>
      <c r="C4233" s="21" t="s">
        <v>991</v>
      </c>
      <c r="D4233" s="21" t="s">
        <v>992</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2016</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1653</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2200</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2201</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2202</v>
      </c>
      <c r="B4238" s="21" t="s">
        <v>1002</v>
      </c>
      <c r="C4238" s="21" t="s">
        <v>1009</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1024</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1031</v>
      </c>
      <c r="B4240" s="21" t="s">
        <v>1033</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1206</v>
      </c>
      <c r="B4241" s="21" t="s">
        <v>1089</v>
      </c>
      <c r="C4241" s="21" t="s">
        <v>991</v>
      </c>
      <c r="D4241" s="21" t="s">
        <v>992</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2203</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1391</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1024</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1084</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1206</v>
      </c>
      <c r="B4246" s="21" t="s">
        <v>1026</v>
      </c>
      <c r="C4246" s="21" t="s">
        <v>991</v>
      </c>
      <c r="D4246" s="21" t="s">
        <v>992</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1074</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2159</v>
      </c>
      <c r="B4248" s="21" t="s">
        <v>1036</v>
      </c>
      <c r="C4248" s="21" t="s">
        <v>996</v>
      </c>
      <c r="D4248" s="21" t="s">
        <v>992</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1074</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2204</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998</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row>
    <row r="4253" spans="1:12">
      <c r="A4253" s="20" t="s">
        <v>2205</v>
      </c>
    </row>
    <row r="4254" spans="1:12">
      <c r="A4254" s="20" t="s">
        <v>1013</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t="s">
        <v>1019</v>
      </c>
      <c r="E4255" s="22">
        <f>IF(D4255="?OLD","!!!","")</f>
        <v/>
      </c>
      <c r="F4255" s="23" t="str">
        <f>IF(OR(E4255="",E4255="!!!"),"",IF(NOT(ISNA(VLOOKUP(E4255,E$1:E4254,1,FALSE()))),"OLD",IF(AND(E4255&lt;&gt;"",E4255&lt;&gt;"!!!"),"NEW","")))</f>
        <v> </v>
      </c>
      <c r="G4255" s="24" t="str">
        <f>IF(OR(E4255="",E4255="!!!"),"",IF(OR(J4255=0,AND(J4255=1,K4255=1),AND(J4255=1,I4255="SBJ"),AND(J4255=1,I4255=0)),"?IN_FOCUS",IF(J4255&lt;=2,"?ACTIVATED",IF(J4255&lt;&gt;"","?FAMILIAR",IF(F4255="NEW",IF(ISNA(VLOOKUP(E4255,#REF!,1,FALSE())),"?TYPE_IDENTIFIABLE","?REFERENTIAL"),"_")))))</f>
        <v> </v>
      </c>
      <c r="H4255" s="25" t="str">
        <f>IF(J4255&lt;&gt;1,"",IF(I4255="SBJ","CB","?"))</f>
        <v> </v>
      </c>
      <c r="I4255" s="26" t="str">
        <f>IF(OR(E4255="",E4255="!!!",F4255="NEW"),"",INDEX(B4254:B$2,-1+SUMPRODUCT(MAX(ROW(E4254:E$2)*(E4255=E4254:E$2)))))</f>
        <v> </v>
      </c>
      <c r="J4255" s="26" t="str">
        <f>IF(OR(E4255="",E4255="!!!",F4255="NEW"),"",COUNTBLANK(OFFSET(A$1,,,SUMPRODUCT(MAX(ROW(E$2:E4255)*(E4255=E$2:E4255)))))-COUNTBLANK(OFFSET(A$1,,,SUMPRODUCT(MAX(ROW(E$1:E4254)*(E2=E$1:E4254))))))</f>
        <v> </v>
      </c>
      <c r="K4255" s="26" t="str">
        <f>IF(OR(E4255="",E4255="!!!",F4255="NEW"),"",INDEX(J$1:J4254,SUMPRODUCT(MAX(ROW(E$1:E4254)*(E4255=E$1:E4254)))))</f>
        <v> </v>
      </c>
      <c r="L4255" s="27"/>
    </row>
    <row r="4256" spans="1:12">
      <c r="A4256" s="20" t="s">
        <v>2206</v>
      </c>
      <c r="E4256" s="22">
        <f>IF(D4256="?OLD","!!!","")</f>
        <v/>
      </c>
      <c r="F4256" s="23" t="str">
        <f>IF(OR(E4256="",E4256="!!!"),"",IF(NOT(ISNA(VLOOKUP(E4256,E$1:E4255,1,FALSE()))),"OLD",IF(AND(E4256&lt;&gt;"",E4256&lt;&gt;"!!!"),"NEW","")))</f>
        <v> </v>
      </c>
      <c r="G4256" s="24" t="str">
        <f>IF(OR(E4256="",E4256="!!!"),"",IF(OR(J4256=0,AND(J4256=1,K4256=1),AND(J4256=1,I4256="SBJ"),AND(J4256=1,I4256=0)),"?IN_FOCUS",IF(J4256&lt;=2,"?ACTIVATED",IF(J4256&lt;&gt;"","?FAMILIAR",IF(F4256="NEW",IF(ISNA(VLOOKUP(E4256,#REF!,1,FALSE())),"?TYPE_IDENTIFIABLE","?REFERENTIAL"),"_")))))</f>
        <v> </v>
      </c>
      <c r="H4256" s="25" t="str">
        <f>IF(J4256&lt;&gt;1,"",IF(I4256="SBJ","CB","?"))</f>
        <v> </v>
      </c>
      <c r="I4256" s="26" t="str">
        <f>IF(OR(E4256="",E4256="!!!",F4256="NEW"),"",INDEX(B4255:B$2,-1+SUMPRODUCT(MAX(ROW(E4255:E$2)*(E4256=E4255:E$2)))))</f>
        <v> </v>
      </c>
      <c r="J4256" s="26" t="str">
        <f>IF(OR(E4256="",E4256="!!!",F4256="NEW"),"",COUNTBLANK(OFFSET(A$1,,,SUMPRODUCT(MAX(ROW(E$2:E4256)*(E4256=E$2:E4256)))))-COUNTBLANK(OFFSET(A$1,,,SUMPRODUCT(MAX(ROW(E$1:E4255)*(E2=E$1:E4255))))))</f>
        <v> </v>
      </c>
      <c r="K4256" s="26" t="str">
        <f>IF(OR(E4256="",E4256="!!!",F4256="NEW"),"",INDEX(J$1:J4255,SUMPRODUCT(MAX(ROW(E$1:E4255)*(E4256=E$1:E4255)))))</f>
        <v> </v>
      </c>
      <c r="L4256" s="27"/>
    </row>
    <row r="4257" spans="1:12">
      <c r="A4257" s="20" t="s">
        <v>1430</v>
      </c>
      <c r="B4257" s="21" t="s">
        <v>1002</v>
      </c>
      <c r="C4257" s="21" t="s">
        <v>1022</v>
      </c>
      <c r="D4257" s="21" t="s">
        <v>992</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908</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1063</v>
      </c>
      <c r="B4259" s="21" t="s">
        <v>990</v>
      </c>
      <c r="C4259" s="21" t="s">
        <v>1039</v>
      </c>
      <c r="D4259" s="21" t="s">
        <v>992</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1098</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1057</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19</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998</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row>
    <row r="4265" spans="1:12">
      <c r="A4265" s="20" t="s">
        <v>2207</v>
      </c>
    </row>
    <row r="4266" spans="1:12">
      <c r="A4266" s="20" t="s">
        <v>912</v>
      </c>
      <c r="B4266" s="21" t="s">
        <v>995</v>
      </c>
      <c r="C4266" s="21" t="s">
        <v>996</v>
      </c>
      <c r="D4266" s="21" t="s">
        <v>992</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1544</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t="s">
        <v>998</v>
      </c>
      <c r="E4268" s="22">
        <f>IF(D4268="?OLD","!!!","")</f>
        <v/>
      </c>
      <c r="F4268" s="23" t="str">
        <f>IF(OR(E4268="",E4268="!!!"),"",IF(NOT(ISNA(VLOOKUP(E4268,E$1:E4267,1,FALSE()))),"OLD",IF(AND(E4268&lt;&gt;"",E4268&lt;&gt;"!!!"),"NEW","")))</f>
        <v> </v>
      </c>
      <c r="G4268" s="24" t="str">
        <f>IF(OR(E4268="",E4268="!!!"),"",IF(OR(J4268=0,AND(J4268=1,K4268=1),AND(J4268=1,I4268="SBJ"),AND(J4268=1,I4268=0)),"?IN_FOCUS",IF(J4268&lt;=2,"?ACTIVATED",IF(J4268&lt;&gt;"","?FAMILIAR",IF(F4268="NEW",IF(ISNA(VLOOKUP(E4268,#REF!,1,FALSE())),"?TYPE_IDENTIFIABLE","?REFERENTIAL"),"_")))))</f>
        <v> </v>
      </c>
      <c r="H4268" s="25" t="str">
        <f>IF(J4268&lt;&gt;1,"",IF(I4268="SBJ","CB","?"))</f>
        <v> </v>
      </c>
      <c r="I4268" s="26" t="str">
        <f>IF(OR(E4268="",E4268="!!!",F4268="NEW"),"",INDEX(B4267:B$2,-1+SUMPRODUCT(MAX(ROW(E4267:E$2)*(E4268=E4267:E$2)))))</f>
        <v> </v>
      </c>
      <c r="J4268" s="26" t="str">
        <f>IF(OR(E4268="",E4268="!!!",F4268="NEW"),"",COUNTBLANK(OFFSET(A$1,,,SUMPRODUCT(MAX(ROW(E$2:E4268)*(E4268=E$2:E4268)))))-COUNTBLANK(OFFSET(A$1,,,SUMPRODUCT(MAX(ROW(E$1:E4267)*(E2=E$1:E4267))))))</f>
        <v> </v>
      </c>
      <c r="K4268" s="26" t="str">
        <f>IF(OR(E4268="",E4268="!!!",F4268="NEW"),"",INDEX(J$1:J4267,SUMPRODUCT(MAX(ROW(E$1:E4267)*(E4268=E$1:E4267)))))</f>
        <v> </v>
      </c>
      <c r="L4268" s="27"/>
    </row>
    <row r="4269" spans="1:12">
      <c r="A4269" s="20"/>
    </row>
    <row r="4270" spans="1:12">
      <c r="A4270" s="20" t="s">
        <v>2208</v>
      </c>
    </row>
    <row r="4271" spans="1:12">
      <c r="A4271" s="20" t="s">
        <v>1267</v>
      </c>
      <c r="B4271" s="21" t="s">
        <v>990</v>
      </c>
      <c r="C4271" s="21" t="s">
        <v>991</v>
      </c>
      <c r="D4271" s="21" t="s">
        <v>992</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1023</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1183</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1430</v>
      </c>
      <c r="B4274" s="21" t="s">
        <v>995</v>
      </c>
      <c r="C4274" s="21" t="s">
        <v>1045</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1034</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t="s">
        <v>1342</v>
      </c>
      <c r="B4276" s="21" t="s">
        <v>995</v>
      </c>
      <c r="C4276" s="21" t="s">
        <v>1003</v>
      </c>
      <c r="E4276" s="22">
        <f>IF(D4276="?OLD","!!!","")</f>
        <v/>
      </c>
      <c r="F4276" s="23" t="str">
        <f>IF(OR(E4276="",E4276="!!!"),"",IF(NOT(ISNA(VLOOKUP(E4276,E$1:E4275,1,FALSE()))),"OLD",IF(AND(E4276&lt;&gt;"",E4276&lt;&gt;"!!!"),"NEW","")))</f>
        <v> </v>
      </c>
      <c r="G4276" s="24" t="str">
        <f>IF(OR(E4276="",E4276="!!!"),"",IF(OR(J4276=0,AND(J4276=1,K4276=1),AND(J4276=1,I4276="SBJ"),AND(J4276=1,I4276=0)),"?IN_FOCUS",IF(J4276&lt;=2,"?ACTIVATED",IF(J4276&lt;&gt;"","?FAMILIAR",IF(F4276="NEW",IF(ISNA(VLOOKUP(E4276,#REF!,1,FALSE())),"?TYPE_IDENTIFIABLE","?REFERENTIAL"),"_")))))</f>
        <v> </v>
      </c>
      <c r="H4276" s="25" t="str">
        <f>IF(J4276&lt;&gt;1,"",IF(I4276="SBJ","CB","?"))</f>
        <v> </v>
      </c>
      <c r="I4276" s="26" t="str">
        <f>IF(OR(E4276="",E4276="!!!",F4276="NEW"),"",INDEX(B4275:B$2,-1+SUMPRODUCT(MAX(ROW(E4275:E$2)*(E4276=E4275:E$2)))))</f>
        <v> </v>
      </c>
      <c r="J4276" s="26" t="str">
        <f>IF(OR(E4276="",E4276="!!!",F4276="NEW"),"",COUNTBLANK(OFFSET(A$1,,,SUMPRODUCT(MAX(ROW(E$2:E4276)*(E4276=E$2:E4276)))))-COUNTBLANK(OFFSET(A$1,,,SUMPRODUCT(MAX(ROW(E$1:E4275)*(E2=E$1:E4275))))))</f>
        <v> </v>
      </c>
      <c r="K4276" s="26" t="str">
        <f>IF(OR(E4276="",E4276="!!!",F4276="NEW"),"",INDEX(J$1:J4275,SUMPRODUCT(MAX(ROW(E$1:E4275)*(E4276=E$1:E4275)))))</f>
        <v> </v>
      </c>
      <c r="L4276" s="27"/>
    </row>
    <row r="4277" spans="1:12">
      <c r="A4277" s="20" t="s">
        <v>1056</v>
      </c>
      <c r="E4277" s="22">
        <f>IF(D4277="?OLD","!!!","")</f>
        <v/>
      </c>
      <c r="F4277" s="23" t="str">
        <f>IF(OR(E4277="",E4277="!!!"),"",IF(NOT(ISNA(VLOOKUP(E4277,E$1:E4276,1,FALSE()))),"OLD",IF(AND(E4277&lt;&gt;"",E4277&lt;&gt;"!!!"),"NEW","")))</f>
        <v> </v>
      </c>
      <c r="G4277" s="24" t="str">
        <f>IF(OR(E4277="",E4277="!!!"),"",IF(OR(J4277=0,AND(J4277=1,K4277=1),AND(J4277=1,I4277="SBJ"),AND(J4277=1,I4277=0)),"?IN_FOCUS",IF(J4277&lt;=2,"?ACTIVATED",IF(J4277&lt;&gt;"","?FAMILIAR",IF(F4277="NEW",IF(ISNA(VLOOKUP(E4277,#REF!,1,FALSE())),"?TYPE_IDENTIFIABLE","?REFERENTIAL"),"_")))))</f>
        <v> </v>
      </c>
      <c r="H4277" s="25" t="str">
        <f>IF(J4277&lt;&gt;1,"",IF(I4277="SBJ","CB","?"))</f>
        <v> </v>
      </c>
      <c r="I4277" s="26" t="str">
        <f>IF(OR(E4277="",E4277="!!!",F4277="NEW"),"",INDEX(B4276:B$2,-1+SUMPRODUCT(MAX(ROW(E4276:E$2)*(E4277=E4276:E$2)))))</f>
        <v> </v>
      </c>
      <c r="J4277" s="26" t="str">
        <f>IF(OR(E4277="",E4277="!!!",F4277="NEW"),"",COUNTBLANK(OFFSET(A$1,,,SUMPRODUCT(MAX(ROW(E$2:E4277)*(E4277=E$2:E4277)))))-COUNTBLANK(OFFSET(A$1,,,SUMPRODUCT(MAX(ROW(E$1:E4276)*(E2=E$1:E4276))))))</f>
        <v> </v>
      </c>
      <c r="K4277" s="26" t="str">
        <f>IF(OR(E4277="",E4277="!!!",F4277="NEW"),"",INDEX(J$1:J4276,SUMPRODUCT(MAX(ROW(E$1:E4276)*(E4277=E$1:E4276)))))</f>
        <v> </v>
      </c>
      <c r="L4277" s="27"/>
    </row>
    <row r="4278" spans="1:12">
      <c r="A4278" s="20" t="s">
        <v>576</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2209</v>
      </c>
      <c r="B4279" s="21" t="s">
        <v>1015</v>
      </c>
      <c r="C4279" s="21" t="s">
        <v>1022</v>
      </c>
      <c r="D4279" s="21" t="s">
        <v>992</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998</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row>
    <row r="4282" spans="1:12">
      <c r="A4282" s="20" t="s">
        <v>1068</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2210</v>
      </c>
    </row>
    <row r="4284" spans="1:12">
      <c r="A4284" s="20" t="s">
        <v>1141</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1206</v>
      </c>
      <c r="B4285" s="21" t="s">
        <v>1026</v>
      </c>
      <c r="C4285" s="21" t="s">
        <v>991</v>
      </c>
      <c r="D4285" s="21" t="s">
        <v>992</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1019</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1430</v>
      </c>
      <c r="B4287" s="21" t="s">
        <v>1055</v>
      </c>
      <c r="C4287" s="21" t="s">
        <v>1022</v>
      </c>
      <c r="D4287" s="21" t="s">
        <v>992</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2211</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1024</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832</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1206</v>
      </c>
      <c r="B4291" s="21" t="s">
        <v>990</v>
      </c>
      <c r="C4291" s="21" t="s">
        <v>991</v>
      </c>
      <c r="D4291" s="21" t="s">
        <v>992</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1071</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576</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2209</v>
      </c>
      <c r="B4294" s="21" t="s">
        <v>995</v>
      </c>
      <c r="C4294" s="21" t="s">
        <v>1022</v>
      </c>
      <c r="D4294" s="21" t="s">
        <v>992</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1031</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t="s">
        <v>2212</v>
      </c>
      <c r="B4296" s="21" t="s">
        <v>1002</v>
      </c>
      <c r="C4296" s="21" t="s">
        <v>1022</v>
      </c>
      <c r="D4296" s="21" t="s">
        <v>992</v>
      </c>
      <c r="E4296" s="22">
        <f>IF(D4296="?OLD","!!!","")</f>
        <v/>
      </c>
      <c r="F4296" s="23" t="str">
        <f>IF(OR(E4296="",E4296="!!!"),"",IF(NOT(ISNA(VLOOKUP(E4296,E$1:E4295,1,FALSE()))),"OLD",IF(AND(E4296&lt;&gt;"",E4296&lt;&gt;"!!!"),"NEW","")))</f>
        <v> </v>
      </c>
      <c r="G4296" s="24" t="str">
        <f>IF(OR(E4296="",E4296="!!!"),"",IF(OR(J4296=0,AND(J4296=1,K4296=1),AND(J4296=1,I4296="SBJ"),AND(J4296=1,I4296=0)),"?IN_FOCUS",IF(J4296&lt;=2,"?ACTIVATED",IF(J4296&lt;&gt;"","?FAMILIAR",IF(F4296="NEW",IF(ISNA(VLOOKUP(E4296,#REF!,1,FALSE())),"?TYPE_IDENTIFIABLE","?REFERENTIAL"),"_")))))</f>
        <v> </v>
      </c>
      <c r="H4296" s="25" t="str">
        <f>IF(J4296&lt;&gt;1,"",IF(I4296="SBJ","CB","?"))</f>
        <v> </v>
      </c>
      <c r="I4296" s="26" t="str">
        <f>IF(OR(E4296="",E4296="!!!",F4296="NEW"),"",INDEX(B4295:B$2,-1+SUMPRODUCT(MAX(ROW(E4295:E$2)*(E4296=E4295:E$2)))))</f>
        <v> </v>
      </c>
      <c r="J4296" s="26" t="str">
        <f>IF(OR(E4296="",E4296="!!!",F4296="NEW"),"",COUNTBLANK(OFFSET(A$1,,,SUMPRODUCT(MAX(ROW(E$2:E4296)*(E4296=E$2:E4296)))))-COUNTBLANK(OFFSET(A$1,,,SUMPRODUCT(MAX(ROW(E$1:E4295)*(E2=E$1:E4295))))))</f>
        <v> </v>
      </c>
      <c r="K4296" s="26" t="str">
        <f>IF(OR(E4296="",E4296="!!!",F4296="NEW"),"",INDEX(J$1:J4295,SUMPRODUCT(MAX(ROW(E$1:E4295)*(E4296=E$1:E4295)))))</f>
        <v> </v>
      </c>
      <c r="L4296" s="27"/>
    </row>
    <row r="4297" spans="1:12">
      <c r="A4297" s="20" t="s">
        <v>1074</v>
      </c>
      <c r="E4297" s="22">
        <f>IF(D4297="?OLD","!!!","")</f>
        <v/>
      </c>
      <c r="F4297" s="23" t="str">
        <f>IF(OR(E4297="",E4297="!!!"),"",IF(NOT(ISNA(VLOOKUP(E4297,E$1:E4296,1,FALSE()))),"OLD",IF(AND(E4297&lt;&gt;"",E4297&lt;&gt;"!!!"),"NEW","")))</f>
        <v> </v>
      </c>
      <c r="G4297" s="24" t="str">
        <f>IF(OR(E4297="",E4297="!!!"),"",IF(OR(J4297=0,AND(J4297=1,K4297=1),AND(J4297=1,I4297="SBJ"),AND(J4297=1,I4297=0)),"?IN_FOCUS",IF(J4297&lt;=2,"?ACTIVATED",IF(J4297&lt;&gt;"","?FAMILIAR",IF(F4297="NEW",IF(ISNA(VLOOKUP(E4297,#REF!,1,FALSE())),"?TYPE_IDENTIFIABLE","?REFERENTIAL"),"_")))))</f>
        <v> </v>
      </c>
      <c r="H4297" s="25" t="str">
        <f>IF(J4297&lt;&gt;1,"",IF(I4297="SBJ","CB","?"))</f>
        <v> </v>
      </c>
      <c r="I4297" s="26" t="str">
        <f>IF(OR(E4297="",E4297="!!!",F4297="NEW"),"",INDEX(B4296:B$2,-1+SUMPRODUCT(MAX(ROW(E4296:E$2)*(E4297=E4296:E$2)))))</f>
        <v> </v>
      </c>
      <c r="J4297" s="26" t="str">
        <f>IF(OR(E4297="",E4297="!!!",F4297="NEW"),"",COUNTBLANK(OFFSET(A$1,,,SUMPRODUCT(MAX(ROW(E$2:E4297)*(E4297=E$2:E4297)))))-COUNTBLANK(OFFSET(A$1,,,SUMPRODUCT(MAX(ROW(E$1:E4296)*(E2=E$1:E4296))))))</f>
        <v> </v>
      </c>
      <c r="K4297" s="26" t="str">
        <f>IF(OR(E4297="",E4297="!!!",F4297="NEW"),"",INDEX(J$1:J4296,SUMPRODUCT(MAX(ROW(E$1:E4296)*(E4297=E$1:E4296)))))</f>
        <v> </v>
      </c>
      <c r="L4297" s="27"/>
    </row>
    <row r="4298" spans="1:12">
      <c r="A4298" s="20" t="s">
        <v>2213</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2214</v>
      </c>
      <c r="B4299" s="21" t="s">
        <v>1015</v>
      </c>
      <c r="C4299" s="21" t="s">
        <v>996</v>
      </c>
      <c r="D4299" s="21" t="s">
        <v>992</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1074</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1024</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1595</v>
      </c>
      <c r="B4302" s="21" t="s">
        <v>1036</v>
      </c>
      <c r="C4302" s="21" t="s">
        <v>1009</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2215</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998</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row>
    <row r="4306" spans="1:12">
      <c r="A4306" s="20" t="s">
        <v>2216</v>
      </c>
    </row>
    <row r="4307" spans="1:12">
      <c r="A4307" s="20" t="s">
        <v>1326</v>
      </c>
      <c r="B4307" s="21" t="s">
        <v>990</v>
      </c>
      <c r="C4307" s="21" t="s">
        <v>1039</v>
      </c>
      <c r="D4307" s="21" t="s">
        <v>992</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429</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1056</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2217</v>
      </c>
      <c r="B4310" s="21" t="s">
        <v>995</v>
      </c>
      <c r="C4310" s="21" t="s">
        <v>1003</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1034</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1220</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2218</v>
      </c>
      <c r="B4313" s="21" t="s">
        <v>1015</v>
      </c>
      <c r="C4313" s="21" t="s">
        <v>996</v>
      </c>
      <c r="D4313" s="21" t="s">
        <v>992</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231</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2219</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1038</v>
      </c>
      <c r="B4316" s="21" t="s">
        <v>1055</v>
      </c>
      <c r="C4316" s="21" t="s">
        <v>1039</v>
      </c>
      <c r="D4316" s="21" t="s">
        <v>992</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1183</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t="s">
        <v>1024</v>
      </c>
      <c r="E4318" s="22">
        <f>IF(D4318="?OLD","!!!","")</f>
        <v/>
      </c>
      <c r="F4318" s="23" t="str">
        <f>IF(OR(E4318="",E4318="!!!"),"",IF(NOT(ISNA(VLOOKUP(E4318,E$1:E4317,1,FALSE()))),"OLD",IF(AND(E4318&lt;&gt;"",E4318&lt;&gt;"!!!"),"NEW","")))</f>
        <v> </v>
      </c>
      <c r="G4318" s="24" t="str">
        <f>IF(OR(E4318="",E4318="!!!"),"",IF(OR(J4318=0,AND(J4318=1,K4318=1),AND(J4318=1,I4318="SBJ"),AND(J4318=1,I4318=0)),"?IN_FOCUS",IF(J4318&lt;=2,"?ACTIVATED",IF(J4318&lt;&gt;"","?FAMILIAR",IF(F4318="NEW",IF(ISNA(VLOOKUP(E4318,#REF!,1,FALSE())),"?TYPE_IDENTIFIABLE","?REFERENTIAL"),"_")))))</f>
        <v> </v>
      </c>
      <c r="H4318" s="25" t="str">
        <f>IF(J4318&lt;&gt;1,"",IF(I4318="SBJ","CB","?"))</f>
        <v> </v>
      </c>
      <c r="I4318" s="26" t="str">
        <f>IF(OR(E4318="",E4318="!!!",F4318="NEW"),"",INDEX(B4317:B$2,-1+SUMPRODUCT(MAX(ROW(E4317:E$2)*(E4318=E4317:E$2)))))</f>
        <v> </v>
      </c>
      <c r="J4318" s="26" t="str">
        <f>IF(OR(E4318="",E4318="!!!",F4318="NEW"),"",COUNTBLANK(OFFSET(A$1,,,SUMPRODUCT(MAX(ROW(E$2:E4318)*(E4318=E$2:E4318)))))-COUNTBLANK(OFFSET(A$1,,,SUMPRODUCT(MAX(ROW(E$1:E4317)*(E2=E$1:E4317))))))</f>
        <v> </v>
      </c>
      <c r="K4318" s="26" t="str">
        <f>IF(OR(E4318="",E4318="!!!",F4318="NEW"),"",INDEX(J$1:J4317,SUMPRODUCT(MAX(ROW(E$1:E4317)*(E4318=E$1:E4317)))))</f>
        <v> </v>
      </c>
      <c r="L4318" s="27"/>
    </row>
    <row r="4319" spans="1:12">
      <c r="A4319" s="20" t="s">
        <v>2220</v>
      </c>
      <c r="E4319" s="22">
        <f>IF(D4319="?OLD","!!!","")</f>
        <v/>
      </c>
      <c r="F4319" s="23" t="str">
        <f>IF(OR(E4319="",E4319="!!!"),"",IF(NOT(ISNA(VLOOKUP(E4319,E$1:E4318,1,FALSE()))),"OLD",IF(AND(E4319&lt;&gt;"",E4319&lt;&gt;"!!!"),"NEW","")))</f>
        <v> </v>
      </c>
      <c r="G4319" s="24" t="str">
        <f>IF(OR(E4319="",E4319="!!!"),"",IF(OR(J4319=0,AND(J4319=1,K4319=1),AND(J4319=1,I4319="SBJ"),AND(J4319=1,I4319=0)),"?IN_FOCUS",IF(J4319&lt;=2,"?ACTIVATED",IF(J4319&lt;&gt;"","?FAMILIAR",IF(F4319="NEW",IF(ISNA(VLOOKUP(E4319,#REF!,1,FALSE())),"?TYPE_IDENTIFIABLE","?REFERENTIAL"),"_")))))</f>
        <v> </v>
      </c>
      <c r="H4319" s="25" t="str">
        <f>IF(J4319&lt;&gt;1,"",IF(I4319="SBJ","CB","?"))</f>
        <v> </v>
      </c>
      <c r="I4319" s="26" t="str">
        <f>IF(OR(E4319="",E4319="!!!",F4319="NEW"),"",INDEX(B4318:B$2,-1+SUMPRODUCT(MAX(ROW(E4318:E$2)*(E4319=E4318:E$2)))))</f>
        <v> </v>
      </c>
      <c r="J4319" s="26" t="str">
        <f>IF(OR(E4319="",E4319="!!!",F4319="NEW"),"",COUNTBLANK(OFFSET(A$1,,,SUMPRODUCT(MAX(ROW(E$2:E4319)*(E4319=E$2:E4319)))))-COUNTBLANK(OFFSET(A$1,,,SUMPRODUCT(MAX(ROW(E$1:E4318)*(E2=E$1:E4318))))))</f>
        <v> </v>
      </c>
      <c r="K4319" s="26" t="str">
        <f>IF(OR(E4319="",E4319="!!!",F4319="NEW"),"",INDEX(J$1:J4318,SUMPRODUCT(MAX(ROW(E$1:E4318)*(E4319=E$1:E4318)))))</f>
        <v> </v>
      </c>
      <c r="L4319" s="27"/>
    </row>
    <row r="4320" spans="1:12">
      <c r="A4320" s="20" t="s">
        <v>2221</v>
      </c>
      <c r="B4320" s="21" t="s">
        <v>1033</v>
      </c>
      <c r="C4320" s="21" t="s">
        <v>1045</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1029</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382</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998</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row>
    <row r="4325" spans="1:12">
      <c r="A4325" s="20" t="s">
        <v>2222</v>
      </c>
    </row>
    <row r="4326" spans="1:12">
      <c r="A4326" s="20" t="s">
        <v>1326</v>
      </c>
      <c r="B4326" s="21" t="s">
        <v>990</v>
      </c>
      <c r="C4326" s="21" t="s">
        <v>1039</v>
      </c>
      <c r="D4326" s="21" t="s">
        <v>992</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29</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1183</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2223</v>
      </c>
      <c r="B4329" s="21" t="s">
        <v>1002</v>
      </c>
      <c r="C4329" s="21" t="s">
        <v>1045</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t="s">
        <v>1331</v>
      </c>
      <c r="E4330" s="22">
        <f>IF(D4330="?OLD","!!!","")</f>
        <v/>
      </c>
      <c r="F4330" s="23" t="str">
        <f>IF(OR(E4330="",E4330="!!!"),"",IF(NOT(ISNA(VLOOKUP(E4330,E$1:E4329,1,FALSE()))),"OLD",IF(AND(E4330&lt;&gt;"",E4330&lt;&gt;"!!!"),"NEW","")))</f>
        <v> </v>
      </c>
      <c r="G4330" s="24" t="str">
        <f>IF(OR(E4330="",E4330="!!!"),"",IF(OR(J4330=0,AND(J4330=1,K4330=1),AND(J4330=1,I4330="SBJ"),AND(J4330=1,I4330=0)),"?IN_FOCUS",IF(J4330&lt;=2,"?ACTIVATED",IF(J4330&lt;&gt;"","?FAMILIAR",IF(F4330="NEW",IF(ISNA(VLOOKUP(E4330,#REF!,1,FALSE())),"?TYPE_IDENTIFIABLE","?REFERENTIAL"),"_")))))</f>
        <v> </v>
      </c>
      <c r="H4330" s="25" t="str">
        <f>IF(J4330&lt;&gt;1,"",IF(I4330="SBJ","CB","?"))</f>
        <v> </v>
      </c>
      <c r="I4330" s="26" t="str">
        <f>IF(OR(E4330="",E4330="!!!",F4330="NEW"),"",INDEX(B4329:B$2,-1+SUMPRODUCT(MAX(ROW(E4329:E$2)*(E4330=E4329:E$2)))))</f>
        <v> </v>
      </c>
      <c r="J4330" s="26" t="str">
        <f>IF(OR(E4330="",E4330="!!!",F4330="NEW"),"",COUNTBLANK(OFFSET(A$1,,,SUMPRODUCT(MAX(ROW(E$2:E4330)*(E4330=E$2:E4330)))))-COUNTBLANK(OFFSET(A$1,,,SUMPRODUCT(MAX(ROW(E$1:E4329)*(E2=E$1:E4329))))))</f>
        <v> </v>
      </c>
      <c r="K4330" s="26" t="str">
        <f>IF(OR(E4330="",E4330="!!!",F4330="NEW"),"",INDEX(J$1:J4329,SUMPRODUCT(MAX(ROW(E$1:E4329)*(E4330=E$1:E4329)))))</f>
        <v> </v>
      </c>
      <c r="L4330" s="27"/>
    </row>
    <row r="4331" spans="1:12">
      <c r="A4331" s="20" t="s">
        <v>998</v>
      </c>
      <c r="E4331" s="22">
        <f>IF(D4331="?OLD","!!!","")</f>
        <v/>
      </c>
      <c r="F4331" s="23" t="str">
        <f>IF(OR(E4331="",E4331="!!!"),"",IF(NOT(ISNA(VLOOKUP(E4331,E$1:E4330,1,FALSE()))),"OLD",IF(AND(E4331&lt;&gt;"",E4331&lt;&gt;"!!!"),"NEW","")))</f>
        <v> </v>
      </c>
      <c r="G4331" s="24" t="str">
        <f>IF(OR(E4331="",E4331="!!!"),"",IF(OR(J4331=0,AND(J4331=1,K4331=1),AND(J4331=1,I4331="SBJ"),AND(J4331=1,I4331=0)),"?IN_FOCUS",IF(J4331&lt;=2,"?ACTIVATED",IF(J4331&lt;&gt;"","?FAMILIAR",IF(F4331="NEW",IF(ISNA(VLOOKUP(E4331,#REF!,1,FALSE())),"?TYPE_IDENTIFIABLE","?REFERENTIAL"),"_")))))</f>
        <v> </v>
      </c>
      <c r="H4331" s="25" t="str">
        <f>IF(J4331&lt;&gt;1,"",IF(I4331="SBJ","CB","?"))</f>
        <v> </v>
      </c>
      <c r="I4331" s="26" t="str">
        <f>IF(OR(E4331="",E4331="!!!",F4331="NEW"),"",INDEX(B4330:B$2,-1+SUMPRODUCT(MAX(ROW(E4330:E$2)*(E4331=E4330:E$2)))))</f>
        <v> </v>
      </c>
      <c r="J4331" s="26" t="str">
        <f>IF(OR(E4331="",E4331="!!!",F4331="NEW"),"",COUNTBLANK(OFFSET(A$1,,,SUMPRODUCT(MAX(ROW(E$2:E4331)*(E4331=E$2:E4331)))))-COUNTBLANK(OFFSET(A$1,,,SUMPRODUCT(MAX(ROW(E$1:E4330)*(E2=E$1:E4330))))))</f>
        <v> </v>
      </c>
      <c r="K4331" s="26" t="str">
        <f>IF(OR(E4331="",E4331="!!!",F4331="NEW"),"",INDEX(J$1:J4330,SUMPRODUCT(MAX(ROW(E$1:E4330)*(E4331=E$1:E4330)))))</f>
        <v> </v>
      </c>
      <c r="L4331" s="27"/>
    </row>
    <row r="4332" spans="1:12">
      <c r="A4332" s="20"/>
    </row>
    <row r="4333" spans="1:12">
      <c r="A4333" s="20" t="s">
        <v>1068</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2224</v>
      </c>
    </row>
    <row r="4335" spans="1:12">
      <c r="A4335" s="20" t="s">
        <v>1326</v>
      </c>
      <c r="B4335" s="21" t="s">
        <v>990</v>
      </c>
      <c r="C4335" s="21" t="s">
        <v>1039</v>
      </c>
      <c r="D4335" s="21" t="s">
        <v>992</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t="s">
        <v>29</v>
      </c>
      <c r="E4336" s="22">
        <f>IF(D4336="?OLD","!!!","")</f>
        <v/>
      </c>
      <c r="F4336" s="23" t="str">
        <f>IF(OR(E4336="",E4336="!!!"),"",IF(NOT(ISNA(VLOOKUP(E4336,E$1:E4335,1,FALSE()))),"OLD",IF(AND(E4336&lt;&gt;"",E4336&lt;&gt;"!!!"),"NEW","")))</f>
        <v> </v>
      </c>
      <c r="G4336" s="24" t="str">
        <f>IF(OR(E4336="",E4336="!!!"),"",IF(OR(J4336=0,AND(J4336=1,K4336=1),AND(J4336=1,I4336="SBJ"),AND(J4336=1,I4336=0)),"?IN_FOCUS",IF(J4336&lt;=2,"?ACTIVATED",IF(J4336&lt;&gt;"","?FAMILIAR",IF(F4336="NEW",IF(ISNA(VLOOKUP(E4336,#REF!,1,FALSE())),"?TYPE_IDENTIFIABLE","?REFERENTIAL"),"_")))))</f>
        <v> </v>
      </c>
      <c r="H4336" s="25" t="str">
        <f>IF(J4336&lt;&gt;1,"",IF(I4336="SBJ","CB","?"))</f>
        <v> </v>
      </c>
      <c r="I4336" s="26" t="str">
        <f>IF(OR(E4336="",E4336="!!!",F4336="NEW"),"",INDEX(B4335:B$2,-1+SUMPRODUCT(MAX(ROW(E4335:E$2)*(E4336=E4335:E$2)))))</f>
        <v> </v>
      </c>
      <c r="J4336" s="26" t="str">
        <f>IF(OR(E4336="",E4336="!!!",F4336="NEW"),"",COUNTBLANK(OFFSET(A$1,,,SUMPRODUCT(MAX(ROW(E$2:E4336)*(E4336=E$2:E4336)))))-COUNTBLANK(OFFSET(A$1,,,SUMPRODUCT(MAX(ROW(E$1:E4335)*(E2=E$1:E4335))))))</f>
        <v> </v>
      </c>
      <c r="K4336" s="26" t="str">
        <f>IF(OR(E4336="",E4336="!!!",F4336="NEW"),"",INDEX(J$1:J4335,SUMPRODUCT(MAX(ROW(E$1:E4335)*(E4336=E$1:E4335)))))</f>
        <v> </v>
      </c>
      <c r="L4336" s="27"/>
    </row>
    <row r="4337" spans="1:12">
      <c r="A4337" s="20" t="s">
        <v>1074</v>
      </c>
      <c r="E4337" s="22">
        <f>IF(D4337="?OLD","!!!","")</f>
        <v/>
      </c>
      <c r="F4337" s="23" t="str">
        <f>IF(OR(E4337="",E4337="!!!"),"",IF(NOT(ISNA(VLOOKUP(E4337,E$1:E4336,1,FALSE()))),"OLD",IF(AND(E4337&lt;&gt;"",E4337&lt;&gt;"!!!"),"NEW","")))</f>
        <v> </v>
      </c>
      <c r="G4337" s="24" t="str">
        <f>IF(OR(E4337="",E4337="!!!"),"",IF(OR(J4337=0,AND(J4337=1,K4337=1),AND(J4337=1,I4337="SBJ"),AND(J4337=1,I4337=0)),"?IN_FOCUS",IF(J4337&lt;=2,"?ACTIVATED",IF(J4337&lt;&gt;"","?FAMILIAR",IF(F4337="NEW",IF(ISNA(VLOOKUP(E4337,#REF!,1,FALSE())),"?TYPE_IDENTIFIABLE","?REFERENTIAL"),"_")))))</f>
        <v> </v>
      </c>
      <c r="H4337" s="25" t="str">
        <f>IF(J4337&lt;&gt;1,"",IF(I4337="SBJ","CB","?"))</f>
        <v> </v>
      </c>
      <c r="I4337" s="26" t="str">
        <f>IF(OR(E4337="",E4337="!!!",F4337="NEW"),"",INDEX(B4336:B$2,-1+SUMPRODUCT(MAX(ROW(E4336:E$2)*(E4337=E4336:E$2)))))</f>
        <v> </v>
      </c>
      <c r="J4337" s="26" t="str">
        <f>IF(OR(E4337="",E4337="!!!",F4337="NEW"),"",COUNTBLANK(OFFSET(A$1,,,SUMPRODUCT(MAX(ROW(E$2:E4337)*(E4337=E$2:E4337)))))-COUNTBLANK(OFFSET(A$1,,,SUMPRODUCT(MAX(ROW(E$1:E4336)*(E2=E$1:E4336))))))</f>
        <v> </v>
      </c>
      <c r="K4337" s="26" t="str">
        <f>IF(OR(E4337="",E4337="!!!",F4337="NEW"),"",INDEX(J$1:J4336,SUMPRODUCT(MAX(ROW(E$1:E4336)*(E4337=E$1:E4336)))))</f>
        <v> </v>
      </c>
      <c r="L4337" s="27"/>
    </row>
    <row r="4338" spans="1:12">
      <c r="A4338" s="20" t="s">
        <v>1429</v>
      </c>
      <c r="B4338" s="21" t="s">
        <v>990</v>
      </c>
      <c r="C4338" s="21" t="s">
        <v>996</v>
      </c>
      <c r="D4338" s="21" t="s">
        <v>992</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928</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1074</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1018</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2225</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2226</v>
      </c>
      <c r="B4343" s="21" t="s">
        <v>995</v>
      </c>
      <c r="C4343" s="21" t="s">
        <v>1003</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1024</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2227</v>
      </c>
      <c r="B4345" s="21" t="s">
        <v>1015</v>
      </c>
      <c r="C4345" s="21" t="s">
        <v>1003</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t="s">
        <v>1024</v>
      </c>
      <c r="E4346" s="22">
        <f>IF(D4346="?OLD","!!!","")</f>
        <v/>
      </c>
      <c r="F4346" s="23" t="str">
        <f>IF(OR(E4346="",E4346="!!!"),"",IF(NOT(ISNA(VLOOKUP(E4346,E$1:E4345,1,FALSE()))),"OLD",IF(AND(E4346&lt;&gt;"",E4346&lt;&gt;"!!!"),"NEW","")))</f>
        <v> </v>
      </c>
      <c r="G4346" s="24" t="str">
        <f>IF(OR(E4346="",E4346="!!!"),"",IF(OR(J4346=0,AND(J4346=1,K4346=1),AND(J4346=1,I4346="SBJ"),AND(J4346=1,I4346=0)),"?IN_FOCUS",IF(J4346&lt;=2,"?ACTIVATED",IF(J4346&lt;&gt;"","?FAMILIAR",IF(F4346="NEW",IF(ISNA(VLOOKUP(E4346,#REF!,1,FALSE())),"?TYPE_IDENTIFIABLE","?REFERENTIAL"),"_")))))</f>
        <v> </v>
      </c>
      <c r="H4346" s="25" t="str">
        <f>IF(J4346&lt;&gt;1,"",IF(I4346="SBJ","CB","?"))</f>
        <v> </v>
      </c>
      <c r="I4346" s="26" t="str">
        <f>IF(OR(E4346="",E4346="!!!",F4346="NEW"),"",INDEX(B4345:B$2,-1+SUMPRODUCT(MAX(ROW(E4345:E$2)*(E4346=E4345:E$2)))))</f>
        <v> </v>
      </c>
      <c r="J4346" s="26" t="str">
        <f>IF(OR(E4346="",E4346="!!!",F4346="NEW"),"",COUNTBLANK(OFFSET(A$1,,,SUMPRODUCT(MAX(ROW(E$2:E4346)*(E4346=E$2:E4346)))))-COUNTBLANK(OFFSET(A$1,,,SUMPRODUCT(MAX(ROW(E$1:E4345)*(E2=E$1:E4345))))))</f>
        <v> </v>
      </c>
      <c r="K4346" s="26" t="str">
        <f>IF(OR(E4346="",E4346="!!!",F4346="NEW"),"",INDEX(J$1:J4345,SUMPRODUCT(MAX(ROW(E$1:E4345)*(E4346=E$1:E4345)))))</f>
        <v> </v>
      </c>
      <c r="L4346" s="27"/>
    </row>
    <row r="4347" spans="1:12">
      <c r="A4347" s="20" t="s">
        <v>2228</v>
      </c>
      <c r="B4347" s="21" t="s">
        <v>1015</v>
      </c>
      <c r="C4347" s="21" t="s">
        <v>1003</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1024</v>
      </c>
      <c r="E4348" s="22">
        <f>IF(D4348="?OLD","!!!","")</f>
        <v/>
      </c>
      <c r="F4348" s="23" t="str">
        <f>IF(OR(E4348="",E4348="!!!"),"",IF(NOT(ISNA(VLOOKUP(E4348,E$1:E4347,1,FALSE()))),"OLD",IF(AND(E4348&lt;&gt;"",E4348&lt;&gt;"!!!"),"NEW","")))</f>
        <v> </v>
      </c>
      <c r="G4348" s="24" t="str">
        <f>IF(OR(E4348="",E4348="!!!"),"",IF(OR(J4348=0,AND(J4348=1,K4348=1),AND(J4348=1,I4348="SBJ"),AND(J4348=1,I4348=0)),"?IN_FOCUS",IF(J4348&lt;=2,"?ACTIVATED",IF(J4348&lt;&gt;"","?FAMILIAR",IF(F4348="NEW",IF(ISNA(VLOOKUP(E4348,#REF!,1,FALSE())),"?TYPE_IDENTIFIABLE","?REFERENTIAL"),"_")))))</f>
        <v> </v>
      </c>
      <c r="H4348" s="25" t="str">
        <f>IF(J4348&lt;&gt;1,"",IF(I4348="SBJ","CB","?"))</f>
        <v> </v>
      </c>
      <c r="I4348" s="26" t="str">
        <f>IF(OR(E4348="",E4348="!!!",F4348="NEW"),"",INDEX(B4347:B$2,-1+SUMPRODUCT(MAX(ROW(E4347:E$2)*(E4348=E4347:E$2)))))</f>
        <v> </v>
      </c>
      <c r="J4348" s="26" t="str">
        <f>IF(OR(E4348="",E4348="!!!",F4348="NEW"),"",COUNTBLANK(OFFSET(A$1,,,SUMPRODUCT(MAX(ROW(E$2:E4348)*(E4348=E$2:E4348)))))-COUNTBLANK(OFFSET(A$1,,,SUMPRODUCT(MAX(ROW(E$1:E4347)*(E2=E$1:E4347))))))</f>
        <v> </v>
      </c>
      <c r="K4348" s="26" t="str">
        <f>IF(OR(E4348="",E4348="!!!",F4348="NEW"),"",INDEX(J$1:J4347,SUMPRODUCT(MAX(ROW(E$1:E4347)*(E4348=E$1:E4347)))))</f>
        <v> </v>
      </c>
      <c r="L4348" s="27"/>
    </row>
    <row r="4349" spans="1:12">
      <c r="A4349" s="20" t="s">
        <v>2229</v>
      </c>
      <c r="B4349" s="21" t="s">
        <v>1015</v>
      </c>
      <c r="C4349" s="21" t="s">
        <v>1003</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231</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2230</v>
      </c>
      <c r="B4351" s="21" t="s">
        <v>1015</v>
      </c>
      <c r="C4351" s="21" t="s">
        <v>1003</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998</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row>
    <row r="4354" spans="1:12">
      <c r="A4354" s="20" t="s">
        <v>2231</v>
      </c>
    </row>
    <row r="4355" spans="1:12">
      <c r="A4355" s="20" t="s">
        <v>989</v>
      </c>
      <c r="B4355" s="21" t="s">
        <v>990</v>
      </c>
      <c r="C4355" s="21" t="s">
        <v>991</v>
      </c>
      <c r="D4355" s="21" t="s">
        <v>992</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1048</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1206</v>
      </c>
      <c r="B4357" s="21" t="s">
        <v>990</v>
      </c>
      <c r="C4357" s="21" t="s">
        <v>991</v>
      </c>
      <c r="D4357" s="21" t="s">
        <v>992</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1502</v>
      </c>
      <c r="B4358" s="21" t="s">
        <v>1002</v>
      </c>
      <c r="C4358" s="21" t="s">
        <v>1054</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932</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1024</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1213</v>
      </c>
      <c r="B4361" s="21" t="s">
        <v>1036</v>
      </c>
      <c r="C4361" s="21" t="s">
        <v>1076</v>
      </c>
      <c r="D4361" s="21" t="s">
        <v>992</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1430</v>
      </c>
      <c r="B4362" s="21" t="s">
        <v>1055</v>
      </c>
      <c r="C4362" s="21" t="s">
        <v>1121</v>
      </c>
      <c r="D4362" s="21" t="s">
        <v>992</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1056</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2232</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1460</v>
      </c>
      <c r="B4365" s="21" t="s">
        <v>1015</v>
      </c>
      <c r="C4365" s="21" t="s">
        <v>1003</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1029</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712</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1024</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2233</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1118</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576</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1032</v>
      </c>
      <c r="B4372" s="21" t="s">
        <v>1036</v>
      </c>
      <c r="C4372" s="21" t="s">
        <v>1022</v>
      </c>
      <c r="D4372" s="21" t="s">
        <v>992</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1024</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1196</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1413</v>
      </c>
      <c r="B4375" s="21" t="s">
        <v>995</v>
      </c>
      <c r="C4375" s="21" t="s">
        <v>1054</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1034</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2234</v>
      </c>
      <c r="B4377" s="21" t="s">
        <v>995</v>
      </c>
      <c r="C4377" s="21" t="s">
        <v>1003</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1024</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1031</v>
      </c>
      <c r="B4379" s="21" t="s">
        <v>1089</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t="s">
        <v>1747</v>
      </c>
      <c r="B4380" s="21" t="s">
        <v>1036</v>
      </c>
      <c r="C4380" s="21" t="s">
        <v>1332</v>
      </c>
      <c r="D4380" s="21" t="s">
        <v>992</v>
      </c>
      <c r="E4380" s="22">
        <f>IF(D4380="?OLD","!!!","")</f>
        <v/>
      </c>
      <c r="F4380" s="23" t="str">
        <f>IF(OR(E4380="",E4380="!!!"),"",IF(NOT(ISNA(VLOOKUP(E4380,E$1:E4379,1,FALSE()))),"OLD",IF(AND(E4380&lt;&gt;"",E4380&lt;&gt;"!!!"),"NEW","")))</f>
        <v> </v>
      </c>
      <c r="G4380" s="24" t="str">
        <f>IF(OR(E4380="",E4380="!!!"),"",IF(OR(J4380=0,AND(J4380=1,K4380=1),AND(J4380=1,I4380="SBJ"),AND(J4380=1,I4380=0)),"?IN_FOCUS",IF(J4380&lt;=2,"?ACTIVATED",IF(J4380&lt;&gt;"","?FAMILIAR",IF(F4380="NEW",IF(ISNA(VLOOKUP(E4380,#REF!,1,FALSE())),"?TYPE_IDENTIFIABLE","?REFERENTIAL"),"_")))))</f>
        <v> </v>
      </c>
      <c r="H4380" s="25" t="str">
        <f>IF(J4380&lt;&gt;1,"",IF(I4380="SBJ","CB","?"))</f>
        <v> </v>
      </c>
      <c r="I4380" s="26" t="str">
        <f>IF(OR(E4380="",E4380="!!!",F4380="NEW"),"",INDEX(B4379:B$2,-1+SUMPRODUCT(MAX(ROW(E4379:E$2)*(E4380=E4379:E$2)))))</f>
        <v> </v>
      </c>
      <c r="J4380" s="26" t="str">
        <f>IF(OR(E4380="",E4380="!!!",F4380="NEW"),"",COUNTBLANK(OFFSET(A$1,,,SUMPRODUCT(MAX(ROW(E$2:E4380)*(E4380=E$2:E4380)))))-COUNTBLANK(OFFSET(A$1,,,SUMPRODUCT(MAX(ROW(E$1:E4379)*(E2=E$1:E4379))))))</f>
        <v> </v>
      </c>
      <c r="K4380" s="26" t="str">
        <f>IF(OR(E4380="",E4380="!!!",F4380="NEW"),"",INDEX(J$1:J4379,SUMPRODUCT(MAX(ROW(E$1:E4379)*(E4380=E$1:E4379)))))</f>
        <v> </v>
      </c>
      <c r="L4380" s="27"/>
    </row>
    <row r="4381" spans="1:12">
      <c r="A4381" s="20" t="s">
        <v>2235</v>
      </c>
      <c r="E4381" s="22">
        <f>IF(D4381="?OLD","!!!","")</f>
        <v/>
      </c>
      <c r="F4381" s="23" t="str">
        <f>IF(OR(E4381="",E4381="!!!"),"",IF(NOT(ISNA(VLOOKUP(E4381,E$1:E4380,1,FALSE()))),"OLD",IF(AND(E4381&lt;&gt;"",E4381&lt;&gt;"!!!"),"NEW","")))</f>
        <v> </v>
      </c>
      <c r="G4381" s="24" t="str">
        <f>IF(OR(E4381="",E4381="!!!"),"",IF(OR(J4381=0,AND(J4381=1,K4381=1),AND(J4381=1,I4381="SBJ"),AND(J4381=1,I4381=0)),"?IN_FOCUS",IF(J4381&lt;=2,"?ACTIVATED",IF(J4381&lt;&gt;"","?FAMILIAR",IF(F4381="NEW",IF(ISNA(VLOOKUP(E4381,#REF!,1,FALSE())),"?TYPE_IDENTIFIABLE","?REFERENTIAL"),"_")))))</f>
        <v> </v>
      </c>
      <c r="H4381" s="25" t="str">
        <f>IF(J4381&lt;&gt;1,"",IF(I4381="SBJ","CB","?"))</f>
        <v> </v>
      </c>
      <c r="I4381" s="26" t="str">
        <f>IF(OR(E4381="",E4381="!!!",F4381="NEW"),"",INDEX(B4380:B$2,-1+SUMPRODUCT(MAX(ROW(E4380:E$2)*(E4381=E4380:E$2)))))</f>
        <v> </v>
      </c>
      <c r="J4381" s="26" t="str">
        <f>IF(OR(E4381="",E4381="!!!",F4381="NEW"),"",COUNTBLANK(OFFSET(A$1,,,SUMPRODUCT(MAX(ROW(E$2:E4381)*(E4381=E$2:E4381)))))-COUNTBLANK(OFFSET(A$1,,,SUMPRODUCT(MAX(ROW(E$1:E4380)*(E2=E$1:E4380))))))</f>
        <v> </v>
      </c>
      <c r="K4381" s="26" t="str">
        <f>IF(OR(E4381="",E4381="!!!",F4381="NEW"),"",INDEX(J$1:J4380,SUMPRODUCT(MAX(ROW(E$1:E4380)*(E4381=E$1:E4380)))))</f>
        <v> </v>
      </c>
      <c r="L4381" s="27"/>
    </row>
    <row r="4382" spans="1:12">
      <c r="A4382" s="20" t="s">
        <v>1024</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1347</v>
      </c>
      <c r="B4383" s="21" t="s">
        <v>1356</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1503</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2236</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2086</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2194</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2237</v>
      </c>
      <c r="B4388" s="21" t="s">
        <v>1356</v>
      </c>
      <c r="C4388" s="21" t="s">
        <v>1316</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2238</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1024</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1111</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1031</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1032</v>
      </c>
      <c r="B4393" s="21" t="s">
        <v>1417</v>
      </c>
      <c r="C4393" s="21" t="s">
        <v>1022</v>
      </c>
      <c r="D4393" s="21" t="s">
        <v>992</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1029</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745</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998</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row>
    <row r="4398" spans="1:12">
      <c r="A4398" s="20" t="s">
        <v>2239</v>
      </c>
    </row>
    <row r="4399" spans="1:12">
      <c r="A4399" s="20" t="s">
        <v>989</v>
      </c>
      <c r="B4399" s="21" t="s">
        <v>990</v>
      </c>
      <c r="C4399" s="21" t="s">
        <v>991</v>
      </c>
      <c r="D4399" s="21" t="s">
        <v>992</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2240</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2241</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1029</v>
      </c>
      <c r="B4402" s="21" t="s">
        <v>1015</v>
      </c>
      <c r="C4402" s="21" t="s">
        <v>1054</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1057</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1153</v>
      </c>
      <c r="B4404" s="21" t="s">
        <v>995</v>
      </c>
      <c r="C4404" s="21" t="s">
        <v>1022</v>
      </c>
      <c r="D4404" s="21" t="s">
        <v>992</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998</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row>
    <row r="4407" spans="1:12">
      <c r="A4407" s="20" t="s">
        <v>2242</v>
      </c>
    </row>
    <row r="4408" spans="1:12">
      <c r="A4408" s="20" t="s">
        <v>989</v>
      </c>
      <c r="B4408" s="21" t="s">
        <v>990</v>
      </c>
      <c r="C4408" s="21" t="s">
        <v>991</v>
      </c>
      <c r="D4408" s="21" t="s">
        <v>992</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1048</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1206</v>
      </c>
      <c r="B4410" s="21" t="s">
        <v>990</v>
      </c>
      <c r="C4410" s="21" t="s">
        <v>991</v>
      </c>
      <c r="D4410" s="21" t="s">
        <v>992</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1082</v>
      </c>
      <c r="B4411" s="21" t="s">
        <v>1002</v>
      </c>
      <c r="C4411" s="21" t="s">
        <v>1039</v>
      </c>
      <c r="D4411" s="21" t="s">
        <v>992</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939</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998</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row>
    <row r="4415" spans="1:12">
      <c r="A4415" s="20" t="s">
        <v>2243</v>
      </c>
    </row>
    <row r="4416" spans="1:12">
      <c r="A4416" s="20" t="s">
        <v>2074</v>
      </c>
      <c r="B4416" s="21" t="s">
        <v>990</v>
      </c>
      <c r="C4416" s="21" t="s">
        <v>1039</v>
      </c>
      <c r="D4416" s="21" t="s">
        <v>992</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1024</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211</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1206</v>
      </c>
      <c r="B4419" s="21" t="s">
        <v>1002</v>
      </c>
      <c r="C4419" s="21" t="s">
        <v>991</v>
      </c>
      <c r="D4419" s="21" t="s">
        <v>992</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1024</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2244</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1305</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t="s">
        <v>2245</v>
      </c>
      <c r="B4423" s="21" t="s">
        <v>1015</v>
      </c>
      <c r="C4423" s="21" t="s">
        <v>1003</v>
      </c>
      <c r="E4423" s="22">
        <f>IF(D4423="?OLD","!!!","")</f>
        <v/>
      </c>
      <c r="F4423" s="23" t="str">
        <f>IF(OR(E4423="",E4423="!!!"),"",IF(NOT(ISNA(VLOOKUP(E4423,E$1:E4422,1,FALSE()))),"OLD",IF(AND(E4423&lt;&gt;"",E4423&lt;&gt;"!!!"),"NEW","")))</f>
        <v> </v>
      </c>
      <c r="G4423" s="24" t="str">
        <f>IF(OR(E4423="",E4423="!!!"),"",IF(OR(J4423=0,AND(J4423=1,K4423=1),AND(J4423=1,I4423="SBJ"),AND(J4423=1,I4423=0)),"?IN_FOCUS",IF(J4423&lt;=2,"?ACTIVATED",IF(J4423&lt;&gt;"","?FAMILIAR",IF(F4423="NEW",IF(ISNA(VLOOKUP(E4423,#REF!,1,FALSE())),"?TYPE_IDENTIFIABLE","?REFERENTIAL"),"_")))))</f>
        <v> </v>
      </c>
      <c r="H4423" s="25" t="str">
        <f>IF(J4423&lt;&gt;1,"",IF(I4423="SBJ","CB","?"))</f>
        <v> </v>
      </c>
      <c r="I4423" s="26" t="str">
        <f>IF(OR(E4423="",E4423="!!!",F4423="NEW"),"",INDEX(B4422:B$2,-1+SUMPRODUCT(MAX(ROW(E4422:E$2)*(E4423=E4422:E$2)))))</f>
        <v> </v>
      </c>
      <c r="J4423" s="26" t="str">
        <f>IF(OR(E4423="",E4423="!!!",F4423="NEW"),"",COUNTBLANK(OFFSET(A$1,,,SUMPRODUCT(MAX(ROW(E$2:E4423)*(E4423=E$2:E4423)))))-COUNTBLANK(OFFSET(A$1,,,SUMPRODUCT(MAX(ROW(E$1:E4422)*(E2=E$1:E4422))))))</f>
        <v> </v>
      </c>
      <c r="K4423" s="26" t="str">
        <f>IF(OR(E4423="",E4423="!!!",F4423="NEW"),"",INDEX(J$1:J4422,SUMPRODUCT(MAX(ROW(E$1:E4422)*(E4423=E$1:E4422)))))</f>
        <v> </v>
      </c>
      <c r="L4423" s="27"/>
    </row>
    <row r="4424" spans="1:12">
      <c r="A4424" s="20" t="s">
        <v>1167</v>
      </c>
      <c r="E4424" s="22">
        <f>IF(D4424="?OLD","!!!","")</f>
        <v/>
      </c>
      <c r="F4424" s="23" t="str">
        <f>IF(OR(E4424="",E4424="!!!"),"",IF(NOT(ISNA(VLOOKUP(E4424,E$1:E4423,1,FALSE()))),"OLD",IF(AND(E4424&lt;&gt;"",E4424&lt;&gt;"!!!"),"NEW","")))</f>
        <v> </v>
      </c>
      <c r="G4424" s="24" t="str">
        <f>IF(OR(E4424="",E4424="!!!"),"",IF(OR(J4424=0,AND(J4424=1,K4424=1),AND(J4424=1,I4424="SBJ"),AND(J4424=1,I4424=0)),"?IN_FOCUS",IF(J4424&lt;=2,"?ACTIVATED",IF(J4424&lt;&gt;"","?FAMILIAR",IF(F4424="NEW",IF(ISNA(VLOOKUP(E4424,#REF!,1,FALSE())),"?TYPE_IDENTIFIABLE","?REFERENTIAL"),"_")))))</f>
        <v> </v>
      </c>
      <c r="H4424" s="25" t="str">
        <f>IF(J4424&lt;&gt;1,"",IF(I4424="SBJ","CB","?"))</f>
        <v> </v>
      </c>
      <c r="I4424" s="26" t="str">
        <f>IF(OR(E4424="",E4424="!!!",F4424="NEW"),"",INDEX(B4423:B$2,-1+SUMPRODUCT(MAX(ROW(E4423:E$2)*(E4424=E4423:E$2)))))</f>
        <v> </v>
      </c>
      <c r="J4424" s="26" t="str">
        <f>IF(OR(E4424="",E4424="!!!",F4424="NEW"),"",COUNTBLANK(OFFSET(A$1,,,SUMPRODUCT(MAX(ROW(E$2:E4424)*(E4424=E$2:E4424)))))-COUNTBLANK(OFFSET(A$1,,,SUMPRODUCT(MAX(ROW(E$1:E4423)*(E2=E$1:E4423))))))</f>
        <v> </v>
      </c>
      <c r="K4424" s="26" t="str">
        <f>IF(OR(E4424="",E4424="!!!",F4424="NEW"),"",INDEX(J$1:J4423,SUMPRODUCT(MAX(ROW(E$1:E4423)*(E4424=E$1:E4423)))))</f>
        <v> </v>
      </c>
      <c r="L4424" s="27"/>
    </row>
    <row r="4425" spans="1:12">
      <c r="A4425" s="20"/>
    </row>
    <row r="4426" spans="1:12">
      <c r="A4426" s="20" t="s">
        <v>2246</v>
      </c>
    </row>
    <row r="4427" spans="1:12">
      <c r="A4427" s="20" t="s">
        <v>1326</v>
      </c>
      <c r="B4427" s="21" t="s">
        <v>990</v>
      </c>
      <c r="C4427" s="21" t="s">
        <v>1039</v>
      </c>
      <c r="D4427" s="21" t="s">
        <v>992</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29</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2247</v>
      </c>
      <c r="B4429" s="21" t="s">
        <v>990</v>
      </c>
      <c r="C4429" s="21" t="s">
        <v>1054</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1123</v>
      </c>
      <c r="B4430" s="21" t="s">
        <v>1002</v>
      </c>
      <c r="C4430" s="21" t="s">
        <v>1076</v>
      </c>
      <c r="D4430" s="21" t="s">
        <v>992</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946</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1208</v>
      </c>
      <c r="B4432" s="21" t="s">
        <v>1002</v>
      </c>
      <c r="C4432" s="21" t="s">
        <v>1003</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1024</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1063</v>
      </c>
      <c r="B4434" s="21" t="s">
        <v>1026</v>
      </c>
      <c r="C4434" s="21" t="s">
        <v>1039</v>
      </c>
      <c r="D4434" s="21" t="s">
        <v>992</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t="s">
        <v>29</v>
      </c>
      <c r="E4435" s="22">
        <f>IF(D4435="?OLD","!!!","")</f>
        <v/>
      </c>
      <c r="F4435" s="23" t="str">
        <f>IF(OR(E4435="",E4435="!!!"),"",IF(NOT(ISNA(VLOOKUP(E4435,E$1:E4434,1,FALSE()))),"OLD",IF(AND(E4435&lt;&gt;"",E4435&lt;&gt;"!!!"),"NEW","")))</f>
        <v> </v>
      </c>
      <c r="G4435" s="24" t="str">
        <f>IF(OR(E4435="",E4435="!!!"),"",IF(OR(J4435=0,AND(J4435=1,K4435=1),AND(J4435=1,I4435="SBJ"),AND(J4435=1,I4435=0)),"?IN_FOCUS",IF(J4435&lt;=2,"?ACTIVATED",IF(J4435&lt;&gt;"","?FAMILIAR",IF(F4435="NEW",IF(ISNA(VLOOKUP(E4435,#REF!,1,FALSE())),"?TYPE_IDENTIFIABLE","?REFERENTIAL"),"_")))))</f>
        <v> </v>
      </c>
      <c r="H4435" s="25" t="str">
        <f>IF(J4435&lt;&gt;1,"",IF(I4435="SBJ","CB","?"))</f>
        <v> </v>
      </c>
      <c r="I4435" s="26" t="str">
        <f>IF(OR(E4435="",E4435="!!!",F4435="NEW"),"",INDEX(B4434:B$2,-1+SUMPRODUCT(MAX(ROW(E4434:E$2)*(E4435=E4434:E$2)))))</f>
        <v> </v>
      </c>
      <c r="J4435" s="26" t="str">
        <f>IF(OR(E4435="",E4435="!!!",F4435="NEW"),"",COUNTBLANK(OFFSET(A$1,,,SUMPRODUCT(MAX(ROW(E$2:E4435)*(E4435=E$2:E4435)))))-COUNTBLANK(OFFSET(A$1,,,SUMPRODUCT(MAX(ROW(E$1:E4434)*(E2=E$1:E4434))))))</f>
        <v> </v>
      </c>
      <c r="K4435" s="26" t="str">
        <f>IF(OR(E4435="",E4435="!!!",F4435="NEW"),"",INDEX(J$1:J4434,SUMPRODUCT(MAX(ROW(E$1:E4434)*(E4435=E$1:E4434)))))</f>
        <v> </v>
      </c>
      <c r="L4435" s="27"/>
    </row>
    <row r="4436" spans="1:12">
      <c r="A4436" s="20" t="s">
        <v>1011</v>
      </c>
      <c r="B4436" s="21" t="s">
        <v>1055</v>
      </c>
      <c r="C4436" s="21" t="s">
        <v>1003</v>
      </c>
      <c r="E4436" s="22">
        <f>IF(D4436="?OLD","!!!","")</f>
        <v/>
      </c>
      <c r="F4436" s="23" t="str">
        <f>IF(OR(E4436="",E4436="!!!"),"",IF(NOT(ISNA(VLOOKUP(E4436,E$1:E4435,1,FALSE()))),"OLD",IF(AND(E4436&lt;&gt;"",E4436&lt;&gt;"!!!"),"NEW","")))</f>
        <v> </v>
      </c>
      <c r="G4436" s="24" t="str">
        <f>IF(OR(E4436="",E4436="!!!"),"",IF(OR(J4436=0,AND(J4436=1,K4436=1),AND(J4436=1,I4436="SBJ"),AND(J4436=1,I4436=0)),"?IN_FOCUS",IF(J4436&lt;=2,"?ACTIVATED",IF(J4436&lt;&gt;"","?FAMILIAR",IF(F4436="NEW",IF(ISNA(VLOOKUP(E4436,#REF!,1,FALSE())),"?TYPE_IDENTIFIABLE","?REFERENTIAL"),"_")))))</f>
        <v> </v>
      </c>
      <c r="H4436" s="25" t="str">
        <f>IF(J4436&lt;&gt;1,"",IF(I4436="SBJ","CB","?"))</f>
        <v> </v>
      </c>
      <c r="I4436" s="26" t="str">
        <f>IF(OR(E4436="",E4436="!!!",F4436="NEW"),"",INDEX(B4435:B$2,-1+SUMPRODUCT(MAX(ROW(E4435:E$2)*(E4436=E4435:E$2)))))</f>
        <v> </v>
      </c>
      <c r="J4436" s="26" t="str">
        <f>IF(OR(E4436="",E4436="!!!",F4436="NEW"),"",COUNTBLANK(OFFSET(A$1,,,SUMPRODUCT(MAX(ROW(E$2:E4436)*(E4436=E$2:E4436)))))-COUNTBLANK(OFFSET(A$1,,,SUMPRODUCT(MAX(ROW(E$1:E4435)*(E2=E$1:E4435))))))</f>
        <v> </v>
      </c>
      <c r="K4436" s="26" t="str">
        <f>IF(OR(E4436="",E4436="!!!",F4436="NEW"),"",INDEX(J$1:J4435,SUMPRODUCT(MAX(ROW(E$1:E4435)*(E4436=E$1:E4435)))))</f>
        <v> </v>
      </c>
      <c r="L4436" s="27"/>
    </row>
    <row r="4437" spans="1:12">
      <c r="A4437" s="20" t="s">
        <v>1024</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1031</v>
      </c>
      <c r="B4438" s="21" t="s">
        <v>1234</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1346</v>
      </c>
      <c r="B4439" s="21" t="s">
        <v>1356</v>
      </c>
      <c r="C4439" s="21" t="s">
        <v>1039</v>
      </c>
      <c r="D4439" s="21" t="s">
        <v>992</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117</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1024</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1282</v>
      </c>
      <c r="B4442" s="21" t="s">
        <v>1417</v>
      </c>
      <c r="C4442" s="21" t="s">
        <v>1039</v>
      </c>
      <c r="D4442" s="21" t="s">
        <v>992</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1063</v>
      </c>
      <c r="B4443" s="21" t="s">
        <v>1530</v>
      </c>
      <c r="C4443" s="21" t="s">
        <v>1039</v>
      </c>
      <c r="D4443" s="21" t="s">
        <v>992</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1340</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1391</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1024</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1095</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1063</v>
      </c>
      <c r="B4448" s="21" t="s">
        <v>1719</v>
      </c>
      <c r="C4448" s="21" t="s">
        <v>1039</v>
      </c>
      <c r="D4448" s="21" t="s">
        <v>992</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29</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1031</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t="s">
        <v>1873</v>
      </c>
      <c r="E4451" s="22">
        <f>IF(D4451="?OLD","!!!","")</f>
        <v/>
      </c>
      <c r="F4451" s="23" t="str">
        <f>IF(OR(E4451="",E4451="!!!"),"",IF(NOT(ISNA(VLOOKUP(E4451,E$1:E4450,1,FALSE()))),"OLD",IF(AND(E4451&lt;&gt;"",E4451&lt;&gt;"!!!"),"NEW","")))</f>
        <v> </v>
      </c>
      <c r="G4451" s="24" t="str">
        <f>IF(OR(E4451="",E4451="!!!"),"",IF(OR(J4451=0,AND(J4451=1,K4451=1),AND(J4451=1,I4451="SBJ"),AND(J4451=1,I4451=0)),"?IN_FOCUS",IF(J4451&lt;=2,"?ACTIVATED",IF(J4451&lt;&gt;"","?FAMILIAR",IF(F4451="NEW",IF(ISNA(VLOOKUP(E4451,#REF!,1,FALSE())),"?TYPE_IDENTIFIABLE","?REFERENTIAL"),"_")))))</f>
        <v> </v>
      </c>
      <c r="H4451" s="25" t="str">
        <f>IF(J4451&lt;&gt;1,"",IF(I4451="SBJ","CB","?"))</f>
        <v> </v>
      </c>
      <c r="I4451" s="26" t="str">
        <f>IF(OR(E4451="",E4451="!!!",F4451="NEW"),"",INDEX(B4450:B$2,-1+SUMPRODUCT(MAX(ROW(E4450:E$2)*(E4451=E4450:E$2)))))</f>
        <v> </v>
      </c>
      <c r="J4451" s="26" t="str">
        <f>IF(OR(E4451="",E4451="!!!",F4451="NEW"),"",COUNTBLANK(OFFSET(A$1,,,SUMPRODUCT(MAX(ROW(E$2:E4451)*(E4451=E$2:E4451)))))-COUNTBLANK(OFFSET(A$1,,,SUMPRODUCT(MAX(ROW(E$1:E4450)*(E2=E$1:E4450))))))</f>
        <v> </v>
      </c>
      <c r="K4451" s="26" t="str">
        <f>IF(OR(E4451="",E4451="!!!",F4451="NEW"),"",INDEX(J$1:J4450,SUMPRODUCT(MAX(ROW(E$1:E4450)*(E4451=E$1:E4450)))))</f>
        <v> </v>
      </c>
      <c r="L4451" s="27"/>
    </row>
    <row r="4452" spans="1:12">
      <c r="A4452" s="20" t="s">
        <v>1032</v>
      </c>
      <c r="B4452" s="21" t="s">
        <v>2034</v>
      </c>
      <c r="C4452" s="21" t="s">
        <v>1022</v>
      </c>
      <c r="D4452" s="21" t="s">
        <v>992</v>
      </c>
      <c r="E4452" s="22">
        <f>IF(D4452="?OLD","!!!","")</f>
        <v/>
      </c>
      <c r="F4452" s="23" t="str">
        <f>IF(OR(E4452="",E4452="!!!"),"",IF(NOT(ISNA(VLOOKUP(E4452,E$1:E4451,1,FALSE()))),"OLD",IF(AND(E4452&lt;&gt;"",E4452&lt;&gt;"!!!"),"NEW","")))</f>
        <v> </v>
      </c>
      <c r="G4452" s="24" t="str">
        <f>IF(OR(E4452="",E4452="!!!"),"",IF(OR(J4452=0,AND(J4452=1,K4452=1),AND(J4452=1,I4452="SBJ"),AND(J4452=1,I4452=0)),"?IN_FOCUS",IF(J4452&lt;=2,"?ACTIVATED",IF(J4452&lt;&gt;"","?FAMILIAR",IF(F4452="NEW",IF(ISNA(VLOOKUP(E4452,#REF!,1,FALSE())),"?TYPE_IDENTIFIABLE","?REFERENTIAL"),"_")))))</f>
        <v> </v>
      </c>
      <c r="H4452" s="25" t="str">
        <f>IF(J4452&lt;&gt;1,"",IF(I4452="SBJ","CB","?"))</f>
        <v> </v>
      </c>
      <c r="I4452" s="26" t="str">
        <f>IF(OR(E4452="",E4452="!!!",F4452="NEW"),"",INDEX(B4451:B$2,-1+SUMPRODUCT(MAX(ROW(E4451:E$2)*(E4452=E4451:E$2)))))</f>
        <v> </v>
      </c>
      <c r="J4452" s="26" t="str">
        <f>IF(OR(E4452="",E4452="!!!",F4452="NEW"),"",COUNTBLANK(OFFSET(A$1,,,SUMPRODUCT(MAX(ROW(E$2:E4452)*(E4452=E$2:E4452)))))-COUNTBLANK(OFFSET(A$1,,,SUMPRODUCT(MAX(ROW(E$1:E4451)*(E2=E$1:E4451))))))</f>
        <v> </v>
      </c>
      <c r="K4452" s="26" t="str">
        <f>IF(OR(E4452="",E4452="!!!",F4452="NEW"),"",INDEX(J$1:J4451,SUMPRODUCT(MAX(ROW(E$1:E4451)*(E4452=E$1:E4451)))))</f>
        <v> </v>
      </c>
      <c r="L4452" s="27"/>
    </row>
    <row r="4453" spans="1:12">
      <c r="A4453" s="20" t="s">
        <v>1661</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1108</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2026</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998</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row>
    <row r="4458" spans="1:12">
      <c r="A4458" s="20" t="s">
        <v>2248</v>
      </c>
    </row>
    <row r="4459" spans="1:12">
      <c r="A4459" s="20" t="s">
        <v>1297</v>
      </c>
      <c r="B4459" s="21" t="s">
        <v>1002</v>
      </c>
      <c r="C4459" s="21" t="s">
        <v>996</v>
      </c>
      <c r="D4459" s="21" t="s">
        <v>992</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1024</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1114</v>
      </c>
      <c r="B4461" s="21" t="s">
        <v>990</v>
      </c>
      <c r="C4461" s="21" t="s">
        <v>991</v>
      </c>
      <c r="D4461" s="21" t="s">
        <v>992</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2249</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1024</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1116</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1206</v>
      </c>
      <c r="B4465" s="21" t="s">
        <v>1026</v>
      </c>
      <c r="C4465" s="21" t="s">
        <v>991</v>
      </c>
      <c r="D4465" s="21" t="s">
        <v>992</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1395</v>
      </c>
      <c r="B4466" s="21" t="s">
        <v>1055</v>
      </c>
      <c r="C4466" s="21" t="s">
        <v>991</v>
      </c>
      <c r="D4466" s="21" t="s">
        <v>992</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1626</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2250</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1024</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1116</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1208</v>
      </c>
      <c r="B4471" s="21" t="s">
        <v>1089</v>
      </c>
      <c r="C4471" s="21" t="s">
        <v>1003</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1768</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2251</v>
      </c>
      <c r="B4473" s="21" t="s">
        <v>1015</v>
      </c>
      <c r="C4473" s="21" t="s">
        <v>1003</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t="s">
        <v>1107</v>
      </c>
      <c r="E4474" s="22">
        <f>IF(D4474="?OLD","!!!","")</f>
        <v/>
      </c>
      <c r="F4474" s="23" t="str">
        <f>IF(OR(E4474="",E4474="!!!"),"",IF(NOT(ISNA(VLOOKUP(E4474,E$1:E4473,1,FALSE()))),"OLD",IF(AND(E4474&lt;&gt;"",E4474&lt;&gt;"!!!"),"NEW","")))</f>
        <v> </v>
      </c>
      <c r="G4474" s="24" t="str">
        <f>IF(OR(E4474="",E4474="!!!"),"",IF(OR(J4474=0,AND(J4474=1,K4474=1),AND(J4474=1,I4474="SBJ"),AND(J4474=1,I4474=0)),"?IN_FOCUS",IF(J4474&lt;=2,"?ACTIVATED",IF(J4474&lt;&gt;"","?FAMILIAR",IF(F4474="NEW",IF(ISNA(VLOOKUP(E4474,#REF!,1,FALSE())),"?TYPE_IDENTIFIABLE","?REFERENTIAL"),"_")))))</f>
        <v> </v>
      </c>
      <c r="H4474" s="25" t="str">
        <f>IF(J4474&lt;&gt;1,"",IF(I4474="SBJ","CB","?"))</f>
        <v> </v>
      </c>
      <c r="I4474" s="26" t="str">
        <f>IF(OR(E4474="",E4474="!!!",F4474="NEW"),"",INDEX(B4473:B$2,-1+SUMPRODUCT(MAX(ROW(E4473:E$2)*(E4474=E4473:E$2)))))</f>
        <v> </v>
      </c>
      <c r="J4474" s="26" t="str">
        <f>IF(OR(E4474="",E4474="!!!",F4474="NEW"),"",COUNTBLANK(OFFSET(A$1,,,SUMPRODUCT(MAX(ROW(E$2:E4474)*(E4474=E$2:E4474)))))-COUNTBLANK(OFFSET(A$1,,,SUMPRODUCT(MAX(ROW(E$1:E4473)*(E2=E$1:E4473))))))</f>
        <v> </v>
      </c>
      <c r="K4474" s="26" t="str">
        <f>IF(OR(E4474="",E4474="!!!",F4474="NEW"),"",INDEX(J$1:J4473,SUMPRODUCT(MAX(ROW(E$1:E4473)*(E4474=E$1:E4473)))))</f>
        <v> </v>
      </c>
      <c r="L4474" s="27"/>
    </row>
    <row r="4475" spans="1:12">
      <c r="A4475" s="20" t="s">
        <v>1024</v>
      </c>
      <c r="E4475" s="22">
        <f>IF(D4475="?OLD","!!!","")</f>
        <v/>
      </c>
      <c r="F4475" s="23" t="str">
        <f>IF(OR(E4475="",E4475="!!!"),"",IF(NOT(ISNA(VLOOKUP(E4475,E$1:E4474,1,FALSE()))),"OLD",IF(AND(E4475&lt;&gt;"",E4475&lt;&gt;"!!!"),"NEW","")))</f>
        <v> </v>
      </c>
      <c r="G4475" s="24" t="str">
        <f>IF(OR(E4475="",E4475="!!!"),"",IF(OR(J4475=0,AND(J4475=1,K4475=1),AND(J4475=1,I4475="SBJ"),AND(J4475=1,I4475=0)),"?IN_FOCUS",IF(J4475&lt;=2,"?ACTIVATED",IF(J4475&lt;&gt;"","?FAMILIAR",IF(F4475="NEW",IF(ISNA(VLOOKUP(E4475,#REF!,1,FALSE())),"?TYPE_IDENTIFIABLE","?REFERENTIAL"),"_")))))</f>
        <v> </v>
      </c>
      <c r="H4475" s="25" t="str">
        <f>IF(J4475&lt;&gt;1,"",IF(I4475="SBJ","CB","?"))</f>
        <v> </v>
      </c>
      <c r="I4475" s="26" t="str">
        <f>IF(OR(E4475="",E4475="!!!",F4475="NEW"),"",INDEX(B4474:B$2,-1+SUMPRODUCT(MAX(ROW(E4474:E$2)*(E4475=E4474:E$2)))))</f>
        <v> </v>
      </c>
      <c r="J4475" s="26" t="str">
        <f>IF(OR(E4475="",E4475="!!!",F4475="NEW"),"",COUNTBLANK(OFFSET(A$1,,,SUMPRODUCT(MAX(ROW(E$2:E4475)*(E4475=E$2:E4475)))))-COUNTBLANK(OFFSET(A$1,,,SUMPRODUCT(MAX(ROW(E$1:E4474)*(E2=E$1:E4474))))))</f>
        <v> </v>
      </c>
      <c r="K4475" s="26" t="str">
        <f>IF(OR(E4475="",E4475="!!!",F4475="NEW"),"",INDEX(J$1:J4474,SUMPRODUCT(MAX(ROW(E$1:E4474)*(E4475=E$1:E4474)))))</f>
        <v> </v>
      </c>
      <c r="L4475" s="27"/>
    </row>
    <row r="4476" spans="1:12">
      <c r="A4476" s="20" t="s">
        <v>1031</v>
      </c>
      <c r="B4476" s="21" t="s">
        <v>1356</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1063</v>
      </c>
      <c r="B4477" s="21" t="s">
        <v>1234</v>
      </c>
      <c r="C4477" s="21" t="s">
        <v>1039</v>
      </c>
      <c r="D4477" s="21" t="s">
        <v>992</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1029</v>
      </c>
      <c r="B4478" s="21" t="s">
        <v>1178</v>
      </c>
      <c r="C4478" s="21" t="s">
        <v>1054</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576</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1773</v>
      </c>
      <c r="B4480" s="21" t="s">
        <v>1060</v>
      </c>
      <c r="C4480" s="21" t="s">
        <v>1022</v>
      </c>
      <c r="D4480" s="21" t="s">
        <v>992</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1034</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1057</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1300</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1301</v>
      </c>
      <c r="B4484" s="21" t="s">
        <v>1178</v>
      </c>
      <c r="C4484" s="21" t="s">
        <v>1022</v>
      </c>
      <c r="D4484" s="21" t="s">
        <v>992</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2252</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t="s">
        <v>1391</v>
      </c>
      <c r="E4486" s="22">
        <f>IF(D4486="?OLD","!!!","")</f>
        <v/>
      </c>
      <c r="F4486" s="23" t="str">
        <f>IF(OR(E4486="",E4486="!!!"),"",IF(NOT(ISNA(VLOOKUP(E4486,E$1:E4485,1,FALSE()))),"OLD",IF(AND(E4486&lt;&gt;"",E4486&lt;&gt;"!!!"),"NEW","")))</f>
        <v> </v>
      </c>
      <c r="G4486" s="24" t="str">
        <f>IF(OR(E4486="",E4486="!!!"),"",IF(OR(J4486=0,AND(J4486=1,K4486=1),AND(J4486=1,I4486="SBJ"),AND(J4486=1,I4486=0)),"?IN_FOCUS",IF(J4486&lt;=2,"?ACTIVATED",IF(J4486&lt;&gt;"","?FAMILIAR",IF(F4486="NEW",IF(ISNA(VLOOKUP(E4486,#REF!,1,FALSE())),"?TYPE_IDENTIFIABLE","?REFERENTIAL"),"_")))))</f>
        <v> </v>
      </c>
      <c r="H4486" s="25" t="str">
        <f>IF(J4486&lt;&gt;1,"",IF(I4486="SBJ","CB","?"))</f>
        <v> </v>
      </c>
      <c r="I4486" s="26" t="str">
        <f>IF(OR(E4486="",E4486="!!!",F4486="NEW"),"",INDEX(B4485:B$2,-1+SUMPRODUCT(MAX(ROW(E4485:E$2)*(E4486=E4485:E$2)))))</f>
        <v> </v>
      </c>
      <c r="J4486" s="26" t="str">
        <f>IF(OR(E4486="",E4486="!!!",F4486="NEW"),"",COUNTBLANK(OFFSET(A$1,,,SUMPRODUCT(MAX(ROW(E$2:E4486)*(E4486=E$2:E4486)))))-COUNTBLANK(OFFSET(A$1,,,SUMPRODUCT(MAX(ROW(E$1:E4485)*(E2=E$1:E4485))))))</f>
        <v> </v>
      </c>
      <c r="K4486" s="26" t="str">
        <f>IF(OR(E4486="",E4486="!!!",F4486="NEW"),"",INDEX(J$1:J4485,SUMPRODUCT(MAX(ROW(E$1:E4485)*(E4486=E$1:E4485)))))</f>
        <v> </v>
      </c>
      <c r="L4486" s="27"/>
    </row>
    <row r="4487" spans="1:12">
      <c r="A4487" s="20" t="s">
        <v>1024</v>
      </c>
      <c r="E4487" s="22">
        <f>IF(D4487="?OLD","!!!","")</f>
        <v/>
      </c>
      <c r="F4487" s="23" t="str">
        <f>IF(OR(E4487="",E4487="!!!"),"",IF(NOT(ISNA(VLOOKUP(E4487,E$1:E4486,1,FALSE()))),"OLD",IF(AND(E4487&lt;&gt;"",E4487&lt;&gt;"!!!"),"NEW","")))</f>
        <v> </v>
      </c>
      <c r="G4487" s="24" t="str">
        <f>IF(OR(E4487="",E4487="!!!"),"",IF(OR(J4487=0,AND(J4487=1,K4487=1),AND(J4487=1,I4487="SBJ"),AND(J4487=1,I4487=0)),"?IN_FOCUS",IF(J4487&lt;=2,"?ACTIVATED",IF(J4487&lt;&gt;"","?FAMILIAR",IF(F4487="NEW",IF(ISNA(VLOOKUP(E4487,#REF!,1,FALSE())),"?TYPE_IDENTIFIABLE","?REFERENTIAL"),"_")))))</f>
        <v> </v>
      </c>
      <c r="H4487" s="25" t="str">
        <f>IF(J4487&lt;&gt;1,"",IF(I4487="SBJ","CB","?"))</f>
        <v> </v>
      </c>
      <c r="I4487" s="26" t="str">
        <f>IF(OR(E4487="",E4487="!!!",F4487="NEW"),"",INDEX(B4486:B$2,-1+SUMPRODUCT(MAX(ROW(E4486:E$2)*(E4487=E4486:E$2)))))</f>
        <v> </v>
      </c>
      <c r="J4487" s="26" t="str">
        <f>IF(OR(E4487="",E4487="!!!",F4487="NEW"),"",COUNTBLANK(OFFSET(A$1,,,SUMPRODUCT(MAX(ROW(E$2:E4487)*(E4487=E$2:E4487)))))-COUNTBLANK(OFFSET(A$1,,,SUMPRODUCT(MAX(ROW(E$1:E4486)*(E2=E$1:E4486))))))</f>
        <v> </v>
      </c>
      <c r="K4487" s="26" t="str">
        <f>IF(OR(E4487="",E4487="!!!",F4487="NEW"),"",INDEX(J$1:J4486,SUMPRODUCT(MAX(ROW(E$1:E4486)*(E4487=E$1:E4486)))))</f>
        <v> </v>
      </c>
      <c r="L4487" s="27"/>
    </row>
    <row r="4488" spans="1:12">
      <c r="A4488" s="20" t="s">
        <v>231</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1116</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1011</v>
      </c>
      <c r="B4490" s="21" t="s">
        <v>1089</v>
      </c>
      <c r="C4490" s="21" t="s">
        <v>1039</v>
      </c>
      <c r="D4490" s="21" t="s">
        <v>992</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1077</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1635</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510</v>
      </c>
      <c r="B4493" s="21" t="s">
        <v>1033</v>
      </c>
      <c r="C4493" s="21" t="s">
        <v>1045</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1018</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2253</v>
      </c>
      <c r="B4495" s="21" t="s">
        <v>1060</v>
      </c>
      <c r="C4495" s="21" t="s">
        <v>1003</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29</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998</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row>
    <row r="4499" spans="1:12">
      <c r="A4499" s="20" t="s">
        <v>2254</v>
      </c>
    </row>
    <row r="4500" spans="1:12">
      <c r="A4500" s="20" t="s">
        <v>1326</v>
      </c>
      <c r="B4500" s="21" t="s">
        <v>990</v>
      </c>
      <c r="C4500" s="21" t="s">
        <v>1039</v>
      </c>
      <c r="D4500" s="21" t="s">
        <v>992</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29</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1123</v>
      </c>
      <c r="B4502" s="21" t="s">
        <v>995</v>
      </c>
      <c r="C4502" s="21" t="s">
        <v>1076</v>
      </c>
      <c r="D4502" s="21" t="s">
        <v>992</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t="s">
        <v>1286</v>
      </c>
      <c r="E4503" s="22">
        <f>IF(D4503="?OLD","!!!","")</f>
        <v/>
      </c>
      <c r="F4503" s="23" t="str">
        <f>IF(OR(E4503="",E4503="!!!"),"",IF(NOT(ISNA(VLOOKUP(E4503,E$1:E4502,1,FALSE()))),"OLD",IF(AND(E4503&lt;&gt;"",E4503&lt;&gt;"!!!"),"NEW","")))</f>
        <v> </v>
      </c>
      <c r="G4503" s="24" t="str">
        <f>IF(OR(E4503="",E4503="!!!"),"",IF(OR(J4503=0,AND(J4503=1,K4503=1),AND(J4503=1,I4503="SBJ"),AND(J4503=1,I4503=0)),"?IN_FOCUS",IF(J4503&lt;=2,"?ACTIVATED",IF(J4503&lt;&gt;"","?FAMILIAR",IF(F4503="NEW",IF(ISNA(VLOOKUP(E4503,#REF!,1,FALSE())),"?TYPE_IDENTIFIABLE","?REFERENTIAL"),"_")))))</f>
        <v> </v>
      </c>
      <c r="H4503" s="25" t="str">
        <f>IF(J4503&lt;&gt;1,"",IF(I4503="SBJ","CB","?"))</f>
        <v> </v>
      </c>
      <c r="I4503" s="26" t="str">
        <f>IF(OR(E4503="",E4503="!!!",F4503="NEW"),"",INDEX(B4502:B$2,-1+SUMPRODUCT(MAX(ROW(E4502:E$2)*(E4503=E4502:E$2)))))</f>
        <v> </v>
      </c>
      <c r="J4503" s="26" t="str">
        <f>IF(OR(E4503="",E4503="!!!",F4503="NEW"),"",COUNTBLANK(OFFSET(A$1,,,SUMPRODUCT(MAX(ROW(E$2:E4503)*(E4503=E$2:E4503)))))-COUNTBLANK(OFFSET(A$1,,,SUMPRODUCT(MAX(ROW(E$1:E4502)*(E2=E$1:E4502))))))</f>
        <v> </v>
      </c>
      <c r="K4503" s="26" t="str">
        <f>IF(OR(E4503="",E4503="!!!",F4503="NEW"),"",INDEX(J$1:J4502,SUMPRODUCT(MAX(ROW(E$1:E4502)*(E4503=E$1:E4502)))))</f>
        <v> </v>
      </c>
      <c r="L4503" s="27"/>
    </row>
    <row r="4504" spans="1:12">
      <c r="A4504" s="20" t="s">
        <v>1818</v>
      </c>
      <c r="B4504" s="21" t="s">
        <v>995</v>
      </c>
      <c r="C4504" s="21" t="s">
        <v>1121</v>
      </c>
      <c r="D4504" s="21" t="s">
        <v>992</v>
      </c>
      <c r="E4504" s="22">
        <f>IF(D4504="?OLD","!!!","")</f>
        <v/>
      </c>
      <c r="F4504" s="23" t="str">
        <f>IF(OR(E4504="",E4504="!!!"),"",IF(NOT(ISNA(VLOOKUP(E4504,E$1:E4503,1,FALSE()))),"OLD",IF(AND(E4504&lt;&gt;"",E4504&lt;&gt;"!!!"),"NEW","")))</f>
        <v> </v>
      </c>
      <c r="G4504" s="24" t="str">
        <f>IF(OR(E4504="",E4504="!!!"),"",IF(OR(J4504=0,AND(J4504=1,K4504=1),AND(J4504=1,I4504="SBJ"),AND(J4504=1,I4504=0)),"?IN_FOCUS",IF(J4504&lt;=2,"?ACTIVATED",IF(J4504&lt;&gt;"","?FAMILIAR",IF(F4504="NEW",IF(ISNA(VLOOKUP(E4504,#REF!,1,FALSE())),"?TYPE_IDENTIFIABLE","?REFERENTIAL"),"_")))))</f>
        <v> </v>
      </c>
      <c r="H4504" s="25" t="str">
        <f>IF(J4504&lt;&gt;1,"",IF(I4504="SBJ","CB","?"))</f>
        <v> </v>
      </c>
      <c r="I4504" s="26" t="str">
        <f>IF(OR(E4504="",E4504="!!!",F4504="NEW"),"",INDEX(B4503:B$2,-1+SUMPRODUCT(MAX(ROW(E4503:E$2)*(E4504=E4503:E$2)))))</f>
        <v> </v>
      </c>
      <c r="J4504" s="26" t="str">
        <f>IF(OR(E4504="",E4504="!!!",F4504="NEW"),"",COUNTBLANK(OFFSET(A$1,,,SUMPRODUCT(MAX(ROW(E$2:E4504)*(E4504=E$2:E4504)))))-COUNTBLANK(OFFSET(A$1,,,SUMPRODUCT(MAX(ROW(E$1:E4503)*(E2=E$1:E4503))))))</f>
        <v> </v>
      </c>
      <c r="K4504" s="26" t="str">
        <f>IF(OR(E4504="",E4504="!!!",F4504="NEW"),"",INDEX(J$1:J4503,SUMPRODUCT(MAX(ROW(E$1:E4503)*(E4504=E$1:E4503)))))</f>
        <v> </v>
      </c>
      <c r="L4504" s="27"/>
    </row>
    <row r="4505" spans="1:12">
      <c r="A4505" s="20" t="s">
        <v>1024</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2255</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488</v>
      </c>
      <c r="B4507" s="21" t="s">
        <v>995</v>
      </c>
      <c r="C4507" s="21" t="s">
        <v>1003</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1024</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1031</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2256</v>
      </c>
      <c r="B4510" s="21" t="s">
        <v>1055</v>
      </c>
      <c r="C4510" s="21" t="s">
        <v>1022</v>
      </c>
      <c r="D4510" s="21" t="s">
        <v>992</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1024</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2257</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1749</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1712</v>
      </c>
      <c r="B4514" s="21" t="s">
        <v>1055</v>
      </c>
      <c r="C4514" s="21" t="s">
        <v>1003</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1029</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594</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1024</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1691</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12</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1236</v>
      </c>
      <c r="B4520" s="21" t="s">
        <v>995</v>
      </c>
      <c r="C4520" s="21" t="s">
        <v>1003</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231</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1019</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1696</v>
      </c>
      <c r="B4523" s="21" t="s">
        <v>995</v>
      </c>
      <c r="C4523" s="21" t="s">
        <v>1022</v>
      </c>
      <c r="D4523" s="21" t="s">
        <v>992</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1229</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1255</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510</v>
      </c>
      <c r="B4526" s="21" t="s">
        <v>1015</v>
      </c>
      <c r="C4526" s="21" t="s">
        <v>1003</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998</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row>
    <row r="4529" spans="1:12">
      <c r="A4529" s="20" t="s">
        <v>2258</v>
      </c>
    </row>
    <row r="4530" spans="1:12">
      <c r="A4530" s="20" t="s">
        <v>989</v>
      </c>
      <c r="B4530" s="21" t="s">
        <v>990</v>
      </c>
      <c r="C4530" s="21" t="s">
        <v>991</v>
      </c>
      <c r="D4530" s="21" t="s">
        <v>992</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2249</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1162</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1024</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1116</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1063</v>
      </c>
      <c r="B4535" s="21" t="s">
        <v>1026</v>
      </c>
      <c r="C4535" s="21" t="s">
        <v>1039</v>
      </c>
      <c r="D4535" s="21" t="s">
        <v>992</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1503</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1772</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1011</v>
      </c>
      <c r="B4538" s="21" t="s">
        <v>1055</v>
      </c>
      <c r="C4538" s="21" t="s">
        <v>1003</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675</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1024</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1111</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1118</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1119</v>
      </c>
      <c r="B4543" s="21" t="s">
        <v>1060</v>
      </c>
      <c r="C4543" s="21" t="s">
        <v>1076</v>
      </c>
      <c r="D4543" s="21" t="s">
        <v>992</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1120</v>
      </c>
      <c r="B4544" s="21" t="s">
        <v>1036</v>
      </c>
      <c r="C4544" s="21" t="s">
        <v>1121</v>
      </c>
      <c r="D4544" s="21" t="s">
        <v>992</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1183</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t="s">
        <v>2259</v>
      </c>
      <c r="E4546" s="22">
        <f>IF(D4546="?OLD","!!!","")</f>
        <v/>
      </c>
      <c r="F4546" s="23" t="str">
        <f>IF(OR(E4546="",E4546="!!!"),"",IF(NOT(ISNA(VLOOKUP(E4546,E$1:E4545,1,FALSE()))),"OLD",IF(AND(E4546&lt;&gt;"",E4546&lt;&gt;"!!!"),"NEW","")))</f>
        <v> </v>
      </c>
      <c r="G4546" s="24" t="str">
        <f>IF(OR(E4546="",E4546="!!!"),"",IF(OR(J4546=0,AND(J4546=1,K4546=1),AND(J4546=1,I4546="SBJ"),AND(J4546=1,I4546=0)),"?IN_FOCUS",IF(J4546&lt;=2,"?ACTIVATED",IF(J4546&lt;&gt;"","?FAMILIAR",IF(F4546="NEW",IF(ISNA(VLOOKUP(E4546,#REF!,1,FALSE())),"?TYPE_IDENTIFIABLE","?REFERENTIAL"),"_")))))</f>
        <v> </v>
      </c>
      <c r="H4546" s="25" t="str">
        <f>IF(J4546&lt;&gt;1,"",IF(I4546="SBJ","CB","?"))</f>
        <v> </v>
      </c>
      <c r="I4546" s="26" t="str">
        <f>IF(OR(E4546="",E4546="!!!",F4546="NEW"),"",INDEX(B4545:B$2,-1+SUMPRODUCT(MAX(ROW(E4545:E$2)*(E4546=E4545:E$2)))))</f>
        <v> </v>
      </c>
      <c r="J4546" s="26" t="str">
        <f>IF(OR(E4546="",E4546="!!!",F4546="NEW"),"",COUNTBLANK(OFFSET(A$1,,,SUMPRODUCT(MAX(ROW(E$2:E4546)*(E4546=E$2:E4546)))))-COUNTBLANK(OFFSET(A$1,,,SUMPRODUCT(MAX(ROW(E$1:E4545)*(E2=E$1:E4545))))))</f>
        <v> </v>
      </c>
      <c r="K4546" s="26" t="str">
        <f>IF(OR(E4546="",E4546="!!!",F4546="NEW"),"",INDEX(J$1:J4545,SUMPRODUCT(MAX(ROW(E$1:E4545)*(E4546=E$1:E4545)))))</f>
        <v> </v>
      </c>
      <c r="L4546" s="27"/>
    </row>
    <row r="4547" spans="1:12">
      <c r="A4547" s="20" t="s">
        <v>1117</v>
      </c>
      <c r="B4547" s="21" t="s">
        <v>1033</v>
      </c>
      <c r="C4547" s="21" t="s">
        <v>1045</v>
      </c>
      <c r="E4547" s="22">
        <f>IF(D4547="?OLD","!!!","")</f>
        <v/>
      </c>
      <c r="F4547" s="23" t="str">
        <f>IF(OR(E4547="",E4547="!!!"),"",IF(NOT(ISNA(VLOOKUP(E4547,E$1:E4546,1,FALSE()))),"OLD",IF(AND(E4547&lt;&gt;"",E4547&lt;&gt;"!!!"),"NEW","")))</f>
        <v> </v>
      </c>
      <c r="G4547" s="24" t="str">
        <f>IF(OR(E4547="",E4547="!!!"),"",IF(OR(J4547=0,AND(J4547=1,K4547=1),AND(J4547=1,I4547="SBJ"),AND(J4547=1,I4547=0)),"?IN_FOCUS",IF(J4547&lt;=2,"?ACTIVATED",IF(J4547&lt;&gt;"","?FAMILIAR",IF(F4547="NEW",IF(ISNA(VLOOKUP(E4547,#REF!,1,FALSE())),"?TYPE_IDENTIFIABLE","?REFERENTIAL"),"_")))))</f>
        <v> </v>
      </c>
      <c r="H4547" s="25" t="str">
        <f>IF(J4547&lt;&gt;1,"",IF(I4547="SBJ","CB","?"))</f>
        <v> </v>
      </c>
      <c r="I4547" s="26" t="str">
        <f>IF(OR(E4547="",E4547="!!!",F4547="NEW"),"",INDEX(B4546:B$2,-1+SUMPRODUCT(MAX(ROW(E4546:E$2)*(E4547=E4546:E$2)))))</f>
        <v> </v>
      </c>
      <c r="J4547" s="26" t="str">
        <f>IF(OR(E4547="",E4547="!!!",F4547="NEW"),"",COUNTBLANK(OFFSET(A$1,,,SUMPRODUCT(MAX(ROW(E$2:E4547)*(E4547=E$2:E4547)))))-COUNTBLANK(OFFSET(A$1,,,SUMPRODUCT(MAX(ROW(E$1:E4546)*(E2=E$1:E4546))))))</f>
        <v> </v>
      </c>
      <c r="K4547" s="26" t="str">
        <f>IF(OR(E4547="",E4547="!!!",F4547="NEW"),"",INDEX(J$1:J4546,SUMPRODUCT(MAX(ROW(E$1:E4546)*(E4547=E$1:E4546)))))</f>
        <v> </v>
      </c>
      <c r="L4547" s="27"/>
    </row>
    <row r="4548" spans="1:12">
      <c r="A4548" s="20" t="s">
        <v>1029</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682</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998</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row>
    <row r="4552" spans="1:12">
      <c r="A4552" s="20" t="s">
        <v>2260</v>
      </c>
    </row>
    <row r="4553" spans="1:12">
      <c r="A4553" s="20" t="s">
        <v>1013</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1114</v>
      </c>
      <c r="B4554" s="21" t="s">
        <v>990</v>
      </c>
      <c r="C4554" s="21" t="s">
        <v>991</v>
      </c>
      <c r="D4554" s="21" t="s">
        <v>992</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2249</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1024</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1206</v>
      </c>
      <c r="B4557" s="21" t="s">
        <v>1026</v>
      </c>
      <c r="C4557" s="21" t="s">
        <v>991</v>
      </c>
      <c r="D4557" s="21" t="s">
        <v>992</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400</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1056</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1395</v>
      </c>
      <c r="B4560" s="21" t="s">
        <v>1015</v>
      </c>
      <c r="C4560" s="21" t="s">
        <v>991</v>
      </c>
      <c r="D4560" s="21" t="s">
        <v>992</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2261</v>
      </c>
      <c r="B4561" s="21" t="s">
        <v>1036</v>
      </c>
      <c r="C4561" s="21" t="s">
        <v>1039</v>
      </c>
      <c r="D4561" s="21" t="s">
        <v>992</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1040</v>
      </c>
      <c r="B4562" s="21" t="s">
        <v>1055</v>
      </c>
      <c r="C4562" s="21" t="s">
        <v>1076</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16</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231</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675</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998</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row>
    <row r="4568" spans="1:12">
      <c r="A4568" s="20" t="s">
        <v>2262</v>
      </c>
    </row>
    <row r="4569" spans="1:12">
      <c r="A4569" s="20" t="s">
        <v>1141</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1114</v>
      </c>
      <c r="B4570" s="21" t="s">
        <v>1026</v>
      </c>
      <c r="C4570" s="21" t="s">
        <v>991</v>
      </c>
      <c r="D4570" s="21" t="s">
        <v>992</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1034</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1019</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1020</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1021</v>
      </c>
      <c r="B4574" s="21" t="s">
        <v>1015</v>
      </c>
      <c r="C4574" s="21" t="s">
        <v>1022</v>
      </c>
      <c r="D4574" s="21" t="s">
        <v>992</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t="s">
        <v>2263</v>
      </c>
      <c r="E4575" s="22">
        <f>IF(D4575="?OLD","!!!","")</f>
        <v/>
      </c>
      <c r="F4575" s="23" t="str">
        <f>IF(OR(E4575="",E4575="!!!"),"",IF(NOT(ISNA(VLOOKUP(E4575,E$1:E4574,1,FALSE()))),"OLD",IF(AND(E4575&lt;&gt;"",E4575&lt;&gt;"!!!"),"NEW","")))</f>
        <v> </v>
      </c>
      <c r="G4575" s="24" t="str">
        <f>IF(OR(E4575="",E4575="!!!"),"",IF(OR(J4575=0,AND(J4575=1,K4575=1),AND(J4575=1,I4575="SBJ"),AND(J4575=1,I4575=0)),"?IN_FOCUS",IF(J4575&lt;=2,"?ACTIVATED",IF(J4575&lt;&gt;"","?FAMILIAR",IF(F4575="NEW",IF(ISNA(VLOOKUP(E4575,#REF!,1,FALSE())),"?TYPE_IDENTIFIABLE","?REFERENTIAL"),"_")))))</f>
        <v> </v>
      </c>
      <c r="H4575" s="25" t="str">
        <f>IF(J4575&lt;&gt;1,"",IF(I4575="SBJ","CB","?"))</f>
        <v> </v>
      </c>
      <c r="I4575" s="26" t="str">
        <f>IF(OR(E4575="",E4575="!!!",F4575="NEW"),"",INDEX(B4574:B$2,-1+SUMPRODUCT(MAX(ROW(E4574:E$2)*(E4575=E4574:E$2)))))</f>
        <v> </v>
      </c>
      <c r="J4575" s="26" t="str">
        <f>IF(OR(E4575="",E4575="!!!",F4575="NEW"),"",COUNTBLANK(OFFSET(A$1,,,SUMPRODUCT(MAX(ROW(E$2:E4575)*(E4575=E$2:E4575)))))-COUNTBLANK(OFFSET(A$1,,,SUMPRODUCT(MAX(ROW(E$1:E4574)*(E2=E$1:E4574))))))</f>
        <v> </v>
      </c>
      <c r="K4575" s="26" t="str">
        <f>IF(OR(E4575="",E4575="!!!",F4575="NEW"),"",INDEX(J$1:J4574,SUMPRODUCT(MAX(ROW(E$1:E4574)*(E4575=E$1:E4574)))))</f>
        <v> </v>
      </c>
      <c r="L4575" s="27"/>
    </row>
    <row r="4576" spans="1:12">
      <c r="A4576" s="20" t="s">
        <v>1024</v>
      </c>
      <c r="E4576" s="22">
        <f>IF(D4576="?OLD","!!!","")</f>
        <v/>
      </c>
      <c r="F4576" s="23" t="str">
        <f>IF(OR(E4576="",E4576="!!!"),"",IF(NOT(ISNA(VLOOKUP(E4576,E$1:E4575,1,FALSE()))),"OLD",IF(AND(E4576&lt;&gt;"",E4576&lt;&gt;"!!!"),"NEW","")))</f>
        <v> </v>
      </c>
      <c r="G4576" s="24" t="str">
        <f>IF(OR(E4576="",E4576="!!!"),"",IF(OR(J4576=0,AND(J4576=1,K4576=1),AND(J4576=1,I4576="SBJ"),AND(J4576=1,I4576=0)),"?IN_FOCUS",IF(J4576&lt;=2,"?ACTIVATED",IF(J4576&lt;&gt;"","?FAMILIAR",IF(F4576="NEW",IF(ISNA(VLOOKUP(E4576,#REF!,1,FALSE())),"?TYPE_IDENTIFIABLE","?REFERENTIAL"),"_")))))</f>
        <v> </v>
      </c>
      <c r="H4576" s="25" t="str">
        <f>IF(J4576&lt;&gt;1,"",IF(I4576="SBJ","CB","?"))</f>
        <v> </v>
      </c>
      <c r="I4576" s="26" t="str">
        <f>IF(OR(E4576="",E4576="!!!",F4576="NEW"),"",INDEX(B4575:B$2,-1+SUMPRODUCT(MAX(ROW(E4575:E$2)*(E4576=E4575:E$2)))))</f>
        <v> </v>
      </c>
      <c r="J4576" s="26" t="str">
        <f>IF(OR(E4576="",E4576="!!!",F4576="NEW"),"",COUNTBLANK(OFFSET(A$1,,,SUMPRODUCT(MAX(ROW(E$2:E4576)*(E4576=E$2:E4576)))))-COUNTBLANK(OFFSET(A$1,,,SUMPRODUCT(MAX(ROW(E$1:E4575)*(E2=E$1:E4575))))))</f>
        <v> </v>
      </c>
      <c r="K4576" s="26" t="str">
        <f>IF(OR(E4576="",E4576="!!!",F4576="NEW"),"",INDEX(J$1:J4575,SUMPRODUCT(MAX(ROW(E$1:E4575)*(E4576=E$1:E4575)))))</f>
        <v> </v>
      </c>
      <c r="L4576" s="27"/>
    </row>
    <row r="4577" spans="1:12">
      <c r="A4577" s="20" t="s">
        <v>993</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1114</v>
      </c>
      <c r="B4578" s="21" t="s">
        <v>990</v>
      </c>
      <c r="C4578" s="21" t="s">
        <v>991</v>
      </c>
      <c r="D4578" s="21" t="s">
        <v>992</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1395</v>
      </c>
      <c r="B4579" s="21" t="s">
        <v>1002</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1130</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1973</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2264</v>
      </c>
      <c r="B4582" s="21" t="s">
        <v>995</v>
      </c>
      <c r="C4582" s="21" t="s">
        <v>1009</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2265</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1073</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1116</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1063</v>
      </c>
      <c r="B4586" s="21" t="s">
        <v>1026</v>
      </c>
      <c r="C4586" s="21" t="s">
        <v>1039</v>
      </c>
      <c r="D4586" s="21" t="s">
        <v>992</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2266</v>
      </c>
      <c r="B4587" s="21" t="s">
        <v>1036</v>
      </c>
      <c r="C4587" s="21" t="s">
        <v>1054</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2267</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1100</v>
      </c>
      <c r="B4589" s="21" t="s">
        <v>1055</v>
      </c>
      <c r="C4589" s="21" t="s">
        <v>1003</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536</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1391</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1024</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231</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1116</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1063</v>
      </c>
      <c r="B4595" s="21" t="s">
        <v>1089</v>
      </c>
      <c r="C4595" s="21" t="s">
        <v>1039</v>
      </c>
      <c r="D4595" s="21" t="s">
        <v>992</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1502</v>
      </c>
      <c r="B4596" s="21" t="s">
        <v>1060</v>
      </c>
      <c r="C4596" s="21" t="s">
        <v>1054</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2268</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1011</v>
      </c>
      <c r="B4598" s="21" t="s">
        <v>1033</v>
      </c>
      <c r="C4598" s="21" t="s">
        <v>1009</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t="s">
        <v>675</v>
      </c>
      <c r="E4599" s="22">
        <f>IF(D4599="?OLD","!!!","")</f>
        <v/>
      </c>
      <c r="F4599" s="23" t="str">
        <f>IF(OR(E4599="",E4599="!!!"),"",IF(NOT(ISNA(VLOOKUP(E4599,E$1:E4598,1,FALSE()))),"OLD",IF(AND(E4599&lt;&gt;"",E4599&lt;&gt;"!!!"),"NEW","")))</f>
        <v> </v>
      </c>
      <c r="G4599" s="24" t="str">
        <f>IF(OR(E4599="",E4599="!!!"),"",IF(OR(J4599=0,AND(J4599=1,K4599=1),AND(J4599=1,I4599="SBJ"),AND(J4599=1,I4599=0)),"?IN_FOCUS",IF(J4599&lt;=2,"?ACTIVATED",IF(J4599&lt;&gt;"","?FAMILIAR",IF(F4599="NEW",IF(ISNA(VLOOKUP(E4599,#REF!,1,FALSE())),"?TYPE_IDENTIFIABLE","?REFERENTIAL"),"_")))))</f>
        <v> </v>
      </c>
      <c r="H4599" s="25" t="str">
        <f>IF(J4599&lt;&gt;1,"",IF(I4599="SBJ","CB","?"))</f>
        <v> </v>
      </c>
      <c r="I4599" s="26" t="str">
        <f>IF(OR(E4599="",E4599="!!!",F4599="NEW"),"",INDEX(B4598:B$2,-1+SUMPRODUCT(MAX(ROW(E4598:E$2)*(E4599=E4598:E$2)))))</f>
        <v> </v>
      </c>
      <c r="J4599" s="26" t="str">
        <f>IF(OR(E4599="",E4599="!!!",F4599="NEW"),"",COUNTBLANK(OFFSET(A$1,,,SUMPRODUCT(MAX(ROW(E$2:E4599)*(E4599=E$2:E4599)))))-COUNTBLANK(OFFSET(A$1,,,SUMPRODUCT(MAX(ROW(E$1:E4598)*(E2=E$1:E4598))))))</f>
        <v> </v>
      </c>
      <c r="K4599" s="26" t="str">
        <f>IF(OR(E4599="",E4599="!!!",F4599="NEW"),"",INDEX(J$1:J4598,SUMPRODUCT(MAX(ROW(E$1:E4598)*(E4599=E$1:E4598)))))</f>
        <v> </v>
      </c>
      <c r="L4599" s="27"/>
    </row>
    <row r="4600" spans="1:12">
      <c r="A4600" s="20" t="s">
        <v>1391</v>
      </c>
      <c r="E4600" s="22">
        <f>IF(D4600="?OLD","!!!","")</f>
        <v/>
      </c>
      <c r="F4600" s="23" t="str">
        <f>IF(OR(E4600="",E4600="!!!"),"",IF(NOT(ISNA(VLOOKUP(E4600,E$1:E4599,1,FALSE()))),"OLD",IF(AND(E4600&lt;&gt;"",E4600&lt;&gt;"!!!"),"NEW","")))</f>
        <v> </v>
      </c>
      <c r="G4600" s="24" t="str">
        <f>IF(OR(E4600="",E4600="!!!"),"",IF(OR(J4600=0,AND(J4600=1,K4600=1),AND(J4600=1,I4600="SBJ"),AND(J4600=1,I4600=0)),"?IN_FOCUS",IF(J4600&lt;=2,"?ACTIVATED",IF(J4600&lt;&gt;"","?FAMILIAR",IF(F4600="NEW",IF(ISNA(VLOOKUP(E4600,#REF!,1,FALSE())),"?TYPE_IDENTIFIABLE","?REFERENTIAL"),"_")))))</f>
        <v> </v>
      </c>
      <c r="H4600" s="25" t="str">
        <f>IF(J4600&lt;&gt;1,"",IF(I4600="SBJ","CB","?"))</f>
        <v> </v>
      </c>
      <c r="I4600" s="26" t="str">
        <f>IF(OR(E4600="",E4600="!!!",F4600="NEW"),"",INDEX(B4599:B$2,-1+SUMPRODUCT(MAX(ROW(E4599:E$2)*(E4600=E4599:E$2)))))</f>
        <v> </v>
      </c>
      <c r="J4600" s="26" t="str">
        <f>IF(OR(E4600="",E4600="!!!",F4600="NEW"),"",COUNTBLANK(OFFSET(A$1,,,SUMPRODUCT(MAX(ROW(E$2:E4600)*(E4600=E$2:E4600)))))-COUNTBLANK(OFFSET(A$1,,,SUMPRODUCT(MAX(ROW(E$1:E4599)*(E2=E$1:E4599))))))</f>
        <v> </v>
      </c>
      <c r="K4600" s="26" t="str">
        <f>IF(OR(E4600="",E4600="!!!",F4600="NEW"),"",INDEX(J$1:J4599,SUMPRODUCT(MAX(ROW(E$1:E4599)*(E4600=E$1:E4599)))))</f>
        <v> </v>
      </c>
      <c r="L4600" s="27"/>
    </row>
    <row r="4601" spans="1:12">
      <c r="A4601" s="20" t="s">
        <v>998</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row>
    <row r="4603" spans="1:12">
      <c r="A4603" s="20" t="s">
        <v>2269</v>
      </c>
    </row>
    <row r="4604" spans="1:12">
      <c r="A4604" s="20" t="s">
        <v>1193</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2270</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1114</v>
      </c>
      <c r="B4606" s="21" t="s">
        <v>990</v>
      </c>
      <c r="C4606" s="21" t="s">
        <v>991</v>
      </c>
      <c r="D4606" s="21" t="s">
        <v>992</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1024</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2271</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1031</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2272</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1011</v>
      </c>
      <c r="B4611" s="21" t="s">
        <v>1033</v>
      </c>
      <c r="C4611" s="21" t="s">
        <v>1022</v>
      </c>
      <c r="D4611" s="21" t="s">
        <v>992</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2273</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1754</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row>
    <row r="4615" spans="1:12">
      <c r="A4615" s="20" t="s">
        <v>2274</v>
      </c>
    </row>
    <row r="4616" spans="1:12">
      <c r="A4616" s="20" t="s">
        <v>970</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998</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row>
    <row r="4619" spans="1:12">
      <c r="A4619" s="20" t="s">
        <v>2275</v>
      </c>
    </row>
    <row r="4620" spans="1:12">
      <c r="A4620" s="20" t="s">
        <v>1158</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974</v>
      </c>
      <c r="B4621" s="21" t="s">
        <v>995</v>
      </c>
      <c r="C4621" s="21" t="s">
        <v>1003</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1159</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2024-12-05T17:55:12Z</dcterms:created>
  <dcterms:modified xsi:type="dcterms:W3CDTF">2024-12-05T17:55:12Z</dcterms:modified>
</cp:coreProperties>
</file>