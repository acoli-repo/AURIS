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<sst xmlns="http://schemas.openxmlformats.org/spreadsheetml/2006/main" count="2451" uniqueCount="788">
  <si>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</si>
  <si>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</si>
  <si>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</si>
  <si>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</si>
  <si>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</si>
  <si>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</si>
  <si>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</si>
  <si>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</si>
  <si>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</si>
  <si>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</si>
  <si>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</si>
  <si>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</t>
  </si>
  <si>
    <t>_</t>
  </si>
  <si>
    <t>sein (sein Dorfmädchen)</t>
  </si>
  <si>
    <t>Es war einmal ein kleines Dorfmädchen , das war so</t>
  </si>
  <si>
    <t>file://conllu/de/rotkaeppchen_khm-026_perrault.conllu#s1_0</t>
  </si>
  <si>
    <t>13</t>
  </si>
  <si>
    <t>sein</t>
  </si>
  <si>
    <t>niedlich , als man nur je eins sehen konnte ; ſeine Mutter war</t>
  </si>
  <si>
    <t>file://conllu/de/rotkaeppchen_khm-026_perrault.conllu#s2_0</t>
  </si>
  <si>
    <t>3</t>
  </si>
  <si>
    <t>entzücken</t>
  </si>
  <si>
    <t>ganz entzückt von dem Kinde und seine Großmutter war es noch viel mehr .</t>
  </si>
  <si>
    <t>file://conllu/de/rotkaeppchen_khm-026_perrault.conllu#s3_0</t>
  </si>
  <si>
    <t>4</t>
  </si>
  <si>
    <t>lassen</t>
  </si>
  <si>
    <t>Diese gute Frau ließ ihm ein rothes Käppchen</t>
  </si>
  <si>
    <t>file://conllu/de/rotkaeppchen_khm-026_perrault.conllu#s4_0</t>
  </si>
  <si>
    <t>5</t>
  </si>
  <si>
    <t>machen</t>
  </si>
  <si>
    <t>machen und das stand ihm so gut , daß man es überall das</t>
  </si>
  <si>
    <t>file://conllu/de/rotkaeppchen_khm-026_perrault.conllu#s5_0</t>
  </si>
  <si>
    <t>6</t>
  </si>
  <si>
    <t>nennen</t>
  </si>
  <si>
    <t>kleine Rothkäppchen nannte .</t>
  </si>
  <si>
    <t>file://conllu/de/rotkaeppchen_khm-026_perrault.conllu#s6_0</t>
  </si>
  <si>
    <t>7</t>
  </si>
  <si>
    <t>backen</t>
  </si>
  <si>
    <t>Eines Tages hatte seine Mutter Brodkuchen gebacken und</t>
  </si>
  <si>
    <t>file://conllu/de/rotkaeppchen_khm-026_perrault.conllu#s7_0</t>
  </si>
  <si>
    <t>8</t>
  </si>
  <si>
    <t>sagen</t>
  </si>
  <si>
    <t>sagte zu ihm : Geh doch zu deiner Großmutter und steh , wie</t>
  </si>
  <si>
    <t>file://conllu/de/rotkaeppchen_khm-026_perrault.conllu#s8_0</t>
  </si>
  <si>
    <t>9</t>
  </si>
  <si>
    <t>15</t>
  </si>
  <si>
    <t>bringen</t>
  </si>
  <si>
    <t>fte fich befindet , denn ich habe gehört , daß sie krank sei ; bringe</t>
  </si>
  <si>
    <t>file://conllu/de/rotkaeppchen_khm-026_perrault.conllu#s9_0</t>
  </si>
  <si>
    <t>10</t>
  </si>
  <si>
    <t>Butter</t>
  </si>
  <si>
    <t>ihr einen Brodkuchen und dieses Töpfchen Butter .</t>
  </si>
  <si>
    <t>file://conllu/de/rotkaeppchen_khm-026_perrault.conllu#s10_0</t>
  </si>
  <si>
    <t>11</t>
  </si>
  <si>
    <t>Rothkäppchen</t>
  </si>
  <si>
    <t>file://conllu/de/rotkaeppchen_khm-026_perrault.conllu#s11_0</t>
  </si>
  <si>
    <t>12</t>
  </si>
  <si>
    <t>gehen</t>
  </si>
  <si>
    <t>ging sogleich fort zu ihrer Großmutter , die in einem andern</t>
  </si>
  <si>
    <t>file://conllu/de/rotkaeppchen_khm-026_perrault.conllu#s12_0</t>
  </si>
  <si>
    <t>wohnen</t>
  </si>
  <si>
    <t>Dorfe wohnte .</t>
  </si>
  <si>
    <t>file://conllu/de/rotkaeppchen_khm-026_perrault.conllu#s13_0</t>
  </si>
  <si>
    <t>14</t>
  </si>
  <si>
    <t>begegnet</t>
  </si>
  <si>
    <t>Als sie durch ein Gehölz kam , begegnete ihr der</t>
  </si>
  <si>
    <t>file://conllu/de/rotkaeppchen_khm-026_perrault.conllu#s14_0</t>
  </si>
  <si>
    <t>sen</t>
  </si>
  <si>
    <t>Gevatter Wolf , welcher große Luft hatte , ste zu fressen ; aber er wagte es nicht , weil mehre Holzhauer im in dem Walde waren . Er</t>
  </si>
  <si>
    <t>file://conllu/de/rotkaeppchen_khm-026_perrault.conllu#s15_0</t>
  </si>
  <si>
    <t>16</t>
  </si>
  <si>
    <t>fragt</t>
  </si>
  <si>
    <t>fragte fie , wohin fte ginge .</t>
  </si>
  <si>
    <t>file://conllu/de/rotkaeppchen_khm-026_perrault.conllu#s16_0</t>
  </si>
  <si>
    <t>17</t>
  </si>
  <si>
    <t>Kind</t>
  </si>
  <si>
    <t>Das arme Kind , welches nicht wußte ,</t>
  </si>
  <si>
    <t>file://conllu/de/rotkaeppchen_khm-026_perrault.conllu#s17_0</t>
  </si>
  <si>
    <t>18</t>
  </si>
  <si>
    <t>sein (sein gefährlich)</t>
  </si>
  <si>
    <t>daß es gefährlich sei , still zu stehen und einen Wolf anzuhören ,</t>
  </si>
  <si>
    <t>file://conllu/de/rotkaeppchen_khm-026_perrault.conllu#s18_0</t>
  </si>
  <si>
    <t>19</t>
  </si>
  <si>
    <t>sagte zu ihm : „ Ich gehe zu meiner Großmutter und trage ihr</t>
  </si>
  <si>
    <t>file://conllu/de/rotkaeppchen_khm-026_perrault.conllu#s19_0</t>
  </si>
  <si>
    <t>20</t>
  </si>
  <si>
    <t>Brodkuchen</t>
  </si>
  <si>
    <t>einen Brodkuchen und einen Topf mit Butter hin , welche meine</t>
  </si>
  <si>
    <t>file://conllu/de/rotkaeppchen_khm-026_perrault.conllu#s20_0</t>
  </si>
  <si>
    <t>21</t>
  </si>
  <si>
    <t>schicken</t>
  </si>
  <si>
    <t>Mutter ihr schickt .</t>
  </si>
  <si>
    <t>file://conllu/de/rotkaeppchen_khm-026_perrault.conllu#s21_0</t>
  </si>
  <si>
    <t>22</t>
  </si>
  <si>
    <t>&amp;quot;</t>
  </si>
  <si>
    <t>' &amp;quot;</t>
  </si>
  <si>
    <t>file://conllu/de/rotkaeppchen_khm-026_perrault.conllu#s22_0</t>
  </si>
  <si>
    <t>23</t>
  </si>
  <si>
    <t>fragen</t>
  </si>
  <si>
    <t>„ Wohnt sie sehr weit ? &amp;quot; fragte der Wolf .</t>
  </si>
  <si>
    <t>file://conllu/de/rotkaeppchen_khm-026_perrault.conllu#s23_0</t>
  </si>
  <si>
    <t>24</t>
  </si>
  <si>
    <t>fen</t>
  </si>
  <si>
    <t>&amp;quot; , ! ja , &amp;quot; sagte Rothkäppchen ; fte wohnt jenseit der kleinen</t>
  </si>
  <si>
    <t>file://conllu/de/rotkaeppchen_khm-026_perrault.conllu#s24_0</t>
  </si>
  <si>
    <t>25</t>
  </si>
  <si>
    <t>Mühle</t>
  </si>
  <si>
    <t>Mühle , die du dort ganz unten siehst , im in dem ersten Hauſe des</t>
  </si>
  <si>
    <t>file://conllu/de/rotkaeppchen_khm-026_perrault.conllu#s25_0</t>
  </si>
  <si>
    <t>26</t>
  </si>
  <si>
    <t>Dorfes</t>
  </si>
  <si>
    <t>Dorfes .</t>
  </si>
  <si>
    <t>file://conllu/de/rotkaeppchen_khm-026_perrault.conllu#s26_0</t>
  </si>
  <si>
    <t>27</t>
  </si>
  <si>
    <t>file://conllu/de/rotkaeppchen_khm-026_perrault.conllu#s27_0</t>
  </si>
  <si>
    <t>28</t>
  </si>
  <si>
    <t>&amp;quot; &amp;quot;</t>
  </si>
  <si>
    <t>file://conllu/de/rotkaeppchen_khm-026_perrault.conllu#s28_0</t>
  </si>
  <si>
    <t>29</t>
  </si>
  <si>
    <t>wollen</t>
  </si>
  <si>
    <t>Nun wohl , &amp;quot; entgegnete der Wolf , ich will auch zu ihr</t>
  </si>
  <si>
    <t>file://conllu/de/rotkaeppchen_khm-026_perrault.conllu#s29_0</t>
  </si>
  <si>
    <t>30</t>
  </si>
  <si>
    <t>gehen ; ich werde diesen Weg nehmen , nimm du jenen und wir</t>
  </si>
  <si>
    <t>file://conllu/de/rotkaeppchen_khm-026_perrault.conllu#s30_0</t>
  </si>
  <si>
    <t>31</t>
  </si>
  <si>
    <t>wollen sehen , wer zuerst da sein wird . “</t>
  </si>
  <si>
    <t>file://conllu/de/rotkaeppchen_khm-026_perrault.conllu#s31_0</t>
  </si>
  <si>
    <t>32</t>
  </si>
  <si>
    <t>fangen</t>
  </si>
  <si>
    <t>Der Wolf fing an aus allen Kräften auf dem Wege zu</t>
  </si>
  <si>
    <t>file://conllu/de/rotkaeppchen_khm-026_perrault.conllu#s32_0</t>
  </si>
  <si>
    <t>33</t>
  </si>
  <si>
    <t>laufen</t>
  </si>
  <si>
    <t>laufen , der der kürzeste war , und das kleine Mädchen ging auf</t>
  </si>
  <si>
    <t>file://conllu/de/rotkaeppchen_khm-026_perrault.conllu#s33_0</t>
  </si>
  <si>
    <t>34</t>
  </si>
  <si>
    <t>foren</t>
  </si>
  <si>
    <t>dem längsten Wege fort , und beluftigte sich damit , Haselnüſſe</t>
  </si>
  <si>
    <t>file://conllu/de/rotkaeppchen_khm-026_perrault.conllu#s34_0</t>
  </si>
  <si>
    <t>35</t>
  </si>
  <si>
    <t>pflücken</t>
  </si>
  <si>
    <t>zu pflücken , Schmetterlinge zu haſchen und Sträuße zu winden</t>
  </si>
  <si>
    <t>file://conllu/de/rotkaeppchen_khm-026_perrault.conllu#s35_0</t>
  </si>
  <si>
    <t>36</t>
  </si>
  <si>
    <t>kommen</t>
  </si>
  <si>
    <t>von kleinen Blumen , die sie fand . Der Wolf kam bald bei</t>
  </si>
  <si>
    <t>file://conllu/de/rotkaeppchen_khm-026_perrault.conllu#s36_0</t>
  </si>
  <si>
    <t>37</t>
  </si>
  <si>
    <t>klopfen</t>
  </si>
  <si>
    <t>dem Hause der Großmutter an ; er klopft an : bum , bum .</t>
  </si>
  <si>
    <t>file://conllu/de/rotkaeppchen_khm-026_perrault.conllu#s37_0</t>
  </si>
  <si>
    <t>38</t>
  </si>
  <si>
    <t>&amp;quot; Wer ist da ? &amp;quot;</t>
  </si>
  <si>
    <t>file://conllu/de/rotkaeppchen_khm-026_perrault.conllu#s38_0</t>
  </si>
  <si>
    <t>39</t>
  </si>
  <si>
    <t>Deine Tochter , das Rothkäppchen , &amp;quot; sagte der Wolf , in</t>
  </si>
  <si>
    <t>file://conllu/de/rotkaeppchen_khm-026_perrault.conllu#s39_0</t>
  </si>
  <si>
    <t>40</t>
  </si>
  <si>
    <t>nachahmen</t>
  </si>
  <si>
    <t>dem er ihre Stimme nachahmte ; „ ich bringe dir einen Brod</t>
  </si>
  <si>
    <t>file://conllu/de/rotkaeppchen_khm-026_perrault.conllu#s40_0</t>
  </si>
  <si>
    <t>41</t>
  </si>
  <si>
    <t>kuchen</t>
  </si>
  <si>
    <t>kuchen und ein Töpfchen Butter , welches meine Mutter dir schickt .</t>
  </si>
  <si>
    <t>file://conllu/de/rotkaeppchen_khm-026_perrault.conllu#s41_0</t>
  </si>
  <si>
    <t>42</t>
  </si>
  <si>
    <t>“</t>
  </si>
  <si>
    <t>file://conllu/de/rotkaeppchen_khm-026_perrault.conllu#s42_0</t>
  </si>
  <si>
    <t>43</t>
  </si>
  <si>
    <t>Großmutter</t>
  </si>
  <si>
    <t>Die gute Großmutter , welche im in dem Bette lag , weil sie etwas</t>
  </si>
  <si>
    <t>file://conllu/de/rotkaeppchen_khm-026_perrault.conllu#s43_0</t>
  </si>
  <si>
    <t>44</t>
  </si>
  <si>
    <t>werden</t>
  </si>
  <si>
    <t>unwohl war , rief ihm zu : „ Ziehe an dem Pflöckchen , so wird</t>
  </si>
  <si>
    <t>file://conllu/de/rotkaeppchen_khm-026_perrault.conllu#s44_0</t>
  </si>
  <si>
    <t>45</t>
  </si>
  <si>
    <t>aufspringen</t>
  </si>
  <si>
    <t>das Schloß aufspringen .</t>
  </si>
  <si>
    <t>file://conllu/de/rotkaeppchen_khm-026_perrault.conllu#s45_0</t>
  </si>
  <si>
    <t>46</t>
  </si>
  <si>
    <t>file://conllu/de/rotkaeppchen_khm-026_perrault.conllu#s46_0</t>
  </si>
  <si>
    <t>47</t>
  </si>
  <si>
    <t>ziehen</t>
  </si>
  <si>
    <t>Der Wolf zog an dem Pflock und die Thür ging auf .</t>
  </si>
  <si>
    <t>file://conllu/de/rotkaeppchen_khm-026_perrault.conllu#s47_0</t>
  </si>
  <si>
    <t>48</t>
  </si>
  <si>
    <t>er</t>
  </si>
  <si>
    <t>Er</t>
  </si>
  <si>
    <t>file://conllu/de/rotkaeppchen_khm-026_perrault.conllu#s48_0</t>
  </si>
  <si>
    <t>49</t>
  </si>
  <si>
    <t>werfen</t>
  </si>
  <si>
    <t>warf sich auf die gute Frau und verschlang sie mit einem Ruck ,</t>
  </si>
  <si>
    <t>file://conllu/de/rotkaeppchen_khm-026_perrault.conllu#s49_0</t>
  </si>
  <si>
    <t>50</t>
  </si>
  <si>
    <t>klinken</t>
  </si>
  <si>
    <t>denn er hatte länger als drei Tage nichts gegessen . Dann klinkte</t>
  </si>
  <si>
    <t>file://conllu/de/rotkaeppchen_khm-026_perrault.conllu#s50_0</t>
  </si>
  <si>
    <t>51</t>
  </si>
  <si>
    <t>Thür</t>
  </si>
  <si>
    <t>er die Thür zu und legte sich in das Bett der Großmutter und</t>
  </si>
  <si>
    <t>file://conllu/de/rotkaeppchen_khm-026_perrault.conllu#s51_0</t>
  </si>
  <si>
    <t>52</t>
  </si>
  <si>
    <t>warten</t>
  </si>
  <si>
    <t>wartete auf Rothkäppchen , die einige Zeit nachher an die Thür</t>
  </si>
  <si>
    <t>file://conllu/de/rotkaeppchen_khm-026_perrault.conllu#s52_0</t>
  </si>
  <si>
    <t>53</t>
  </si>
  <si>
    <t>flopfen</t>
  </si>
  <si>
    <t>flopfte : Bum , bum .</t>
  </si>
  <si>
    <t>file://conllu/de/rotkaeppchen_khm-026_perrault.conllu#s53_0</t>
  </si>
  <si>
    <t>54</t>
  </si>
  <si>
    <t>Wer ist da ? &amp;quot;</t>
  </si>
  <si>
    <t>file://conllu/de/rotkaeppchen_khm-026_perrault.conllu#s54_0</t>
  </si>
  <si>
    <t>55</t>
  </si>
  <si>
    <t>Rothkäppchen , welches die grobe Stimme des Wolfs hörte ,</t>
  </si>
  <si>
    <t>file://conllu/de/rotkaeppchen_khm-026_perrault.conllu#s55_0</t>
  </si>
  <si>
    <t>56</t>
  </si>
  <si>
    <t>haben</t>
  </si>
  <si>
    <t>hatte zuerst Furcht , aber da es glaubte , daß seine Großmutter</t>
  </si>
  <si>
    <t>file://conllu/de/rotkaeppchen_khm-026_perrault.conllu#s56_0</t>
  </si>
  <si>
    <t>57</t>
  </si>
  <si>
    <t>antworten</t>
  </si>
  <si>
    <t>den Schnupfen hätte , antwortete es : Es ist Deine Tochter , das</t>
  </si>
  <si>
    <t>file://conllu/de/rotkaeppchen_khm-026_perrault.conllu#s57_0</t>
  </si>
  <si>
    <t>58</t>
  </si>
  <si>
    <t>Rothkäppchen ; ste bringt Dir einen Brodkuchen und ein Töpfchen</t>
  </si>
  <si>
    <t>file://conllu/de/rotkaeppchen_khm-026_perrault.conllu#s58_0</t>
  </si>
  <si>
    <t>59</t>
  </si>
  <si>
    <t>Butter , den die Mutter Dir schickt .</t>
  </si>
  <si>
    <t>file://conllu/de/rotkaeppchen_khm-026_perrault.conllu#s59_0</t>
  </si>
  <si>
    <t>60</t>
  </si>
  <si>
    <t>file://conllu/de/rotkaeppchen_khm-026_perrault.conllu#s60_0</t>
  </si>
  <si>
    <t>61</t>
  </si>
  <si>
    <t>rufen</t>
  </si>
  <si>
    <t>Der Wolf rief ihr zu , indem er seine Stimme ein bischen</t>
  </si>
  <si>
    <t>file://conllu/de/rotkaeppchen_khm-026_perrault.conllu#s61_0</t>
  </si>
  <si>
    <t>62</t>
  </si>
  <si>
    <t>besänftigte : „ Ziehe an dem Pflöckchen , so wird das Schloß auf</t>
  </si>
  <si>
    <t>file://conllu/de/rotkaeppchen_khm-026_perrault.conllu#s62_0</t>
  </si>
  <si>
    <t>63</t>
  </si>
  <si>
    <t>gehen .</t>
  </si>
  <si>
    <t>file://conllu/de/rotkaeppchen_khm-026_perrault.conllu#s63_0</t>
  </si>
  <si>
    <t>64</t>
  </si>
  <si>
    <t>file://conllu/de/rotkaeppchen_khm-026_perrault.conllu#s64_0</t>
  </si>
  <si>
    <t>65</t>
  </si>
  <si>
    <t>Rothkäppchen zog an dem Pflock und die Thür ging auf .</t>
  </si>
  <si>
    <t>file://conllu/de/rotkaeppchen_khm-026_perrault.conllu#s65_0</t>
  </si>
  <si>
    <t>66</t>
  </si>
  <si>
    <t>sehen (sehen sagen)</t>
  </si>
  <si>
    <t>Als der Wolf fte eintreten sah , sagte er zu ihr , indem er sich</t>
  </si>
  <si>
    <t>file://conllu/de/rotkaeppchen_khm-026_perrault.conllu#s66_0</t>
  </si>
  <si>
    <t>67</t>
  </si>
  <si>
    <t>verstecken</t>
  </si>
  <si>
    <t>unter dem Deckbett versteckte : Lege den Brodkuchen und das Töpf =</t>
  </si>
  <si>
    <t>file://conllu/de/rotkaeppchen_khm-026_perrault.conllu#s67_0</t>
  </si>
  <si>
    <t>68</t>
  </si>
  <si>
    <t>chen</t>
  </si>
  <si>
    <t>chen Butter auf den Backtrog und komm zu mir in's Bett .</t>
  </si>
  <si>
    <t>file://conllu/de/rotkaeppchen_khm-026_perrault.conllu#s68_0</t>
  </si>
  <si>
    <t>69</t>
  </si>
  <si>
    <t>file://conllu/de/rotkaeppchen_khm-026_perrault.conllu#s69_0</t>
  </si>
  <si>
    <t>70</t>
  </si>
  <si>
    <t>Rothkäppchen zog sich aus und legte sich in's Bett , wo es</t>
  </si>
  <si>
    <t>file://conllu/de/rotkaeppchen_khm-026_perrault.conllu#s70_0</t>
  </si>
  <si>
    <t>71</t>
  </si>
  <si>
    <t>sehr erstaunt über das Aussehen seiner Großmutter war , als es</t>
  </si>
  <si>
    <t>file://conllu/de/rotkaeppchen_khm-026_perrault.conllu#s71_0</t>
  </si>
  <si>
    <t>72</t>
  </si>
  <si>
    <t>sehen</t>
  </si>
  <si>
    <t>Diese ausgezogen sah .</t>
  </si>
  <si>
    <t>file://conllu/de/rotkaeppchen_khm-026_perrault.conllu#s72_0</t>
  </si>
  <si>
    <t>73</t>
  </si>
  <si>
    <t>Was?</t>
  </si>
  <si>
    <t>Es sagte zu ihr : „ Liebe Großmutter , was</t>
  </si>
  <si>
    <t>file://conllu/de/rotkaeppchen_khm-026_perrault.conllu#s73_0</t>
  </si>
  <si>
    <t>74</t>
  </si>
  <si>
    <t>hast Du für lange Arme ! &amp;quot;</t>
  </si>
  <si>
    <t>file://conllu/de/rotkaeppchen_khm-026_perrault.conllu#s74_0</t>
  </si>
  <si>
    <t>75</t>
  </si>
  <si>
    <t>umarm</t>
  </si>
  <si>
    <t>&amp;quot; Weil ich Dich beſſer damit umarmen kann , meine Tochter .</t>
  </si>
  <si>
    <t>file://conllu/de/rotkaeppchen_khm-026_perrault.conllu#s75_0</t>
  </si>
  <si>
    <t>76</t>
  </si>
  <si>
    <t>file://conllu/de/rotkaeppchen_khm-026_perrault.conllu#s76_0</t>
  </si>
  <si>
    <t>77</t>
  </si>
  <si>
    <t>Großmutter , was hast Du für große Beine ! &amp;quot;</t>
  </si>
  <si>
    <t>file://conllu/de/rotkaeppchen_khm-026_perrault.conllu#s77_0</t>
  </si>
  <si>
    <t>78</t>
  </si>
  <si>
    <t>„ Weil ich besser damit laufen kann , mein Kind . &amp;quot;</t>
  </si>
  <si>
    <t>file://conllu/de/rotkaeppchen_khm-026_perrault.conllu#s78_0</t>
  </si>
  <si>
    <t>79</t>
  </si>
  <si>
    <t>Großmutter , was hast Du für große Ohren ! &amp;quot;</t>
  </si>
  <si>
    <t>file://conllu/de/rotkaeppchen_khm-026_perrault.conllu#s79_0</t>
  </si>
  <si>
    <t>80</t>
  </si>
  <si>
    <t>Weil ich besser damit hören kann , mein Kind . &amp;quot;</t>
  </si>
  <si>
    <t>file://conllu/de/rotkaeppchen_khm-026_perrault.conllu#s80_0</t>
  </si>
  <si>
    <t>81</t>
  </si>
  <si>
    <t>Großmutter , was hast Du für große Augen ! &amp;quot;</t>
  </si>
  <si>
    <t>file://conllu/de/rotkaeppchen_khm-026_perrault.conllu#s81_0</t>
  </si>
  <si>
    <t>82</t>
  </si>
  <si>
    <t>Weil ich besser damit sehen kann , mein Kind . &amp;quot;</t>
  </si>
  <si>
    <t>file://conllu/de/rotkaeppchen_khm-026_perrault.conllu#s82_0</t>
  </si>
  <si>
    <t>83</t>
  </si>
  <si>
    <t>Großmutter , was hast Du für große Zähne ! &amp;quot;</t>
  </si>
  <si>
    <t>file://conllu/de/rotkaeppchen_khm-026_perrault.conllu#s83_0</t>
  </si>
  <si>
    <t>84</t>
  </si>
  <si>
    <t>freffen</t>
  </si>
  <si>
    <t>Um Dich damit zu freffen .</t>
  </si>
  <si>
    <t>file://conllu/de/rotkaeppchen_khm-026_perrault.conllu#s84_0</t>
  </si>
  <si>
    <t>85</t>
  </si>
  <si>
    <t>Wort</t>
  </si>
  <si>
    <t>&amp;quot; Und indem er diese Worte</t>
  </si>
  <si>
    <t>file://conllu/de/rotkaeppchen_khm-026_perrault.conllu#s85_0</t>
  </si>
  <si>
    <t>86</t>
  </si>
  <si>
    <t>sagte , warf sich der böse Wolf auf Rothkäppchen und fraß es auf .</t>
  </si>
  <si>
    <t>file://conllu/de/rotkaeppchen_khm-026_perrault.conllu#s86_0</t>
  </si>
  <si>
    <t>87</t>
  </si>
  <si>
    <t>Moral</t>
  </si>
  <si>
    <t>Moral .</t>
  </si>
  <si>
    <t>file://conllu/de/rotkaeppchen_khm-026_perrault.conllu#s87_0</t>
  </si>
  <si>
    <t>88</t>
  </si>
  <si>
    <t>warnen</t>
  </si>
  <si>
    <t>Man warnt hiermit die kleinen Kinder , /</t>
  </si>
  <si>
    <t>file://conllu/de/rotkaeppchen_khm-026_perrault.conllu#s88_0</t>
  </si>
  <si>
    <t>89</t>
  </si>
  <si>
    <t>Mädchen</t>
  </si>
  <si>
    <t>Und junge Mädchen auch nicht minder , /</t>
  </si>
  <si>
    <t>file://conllu/de/rotkaeppchen_khm-026_perrault.conllu#s89_0</t>
  </si>
  <si>
    <t>90</t>
  </si>
  <si>
    <t>sein (sein schön)</t>
  </si>
  <si>
    <t>Wenn sie schön und reizend sind , /</t>
  </si>
  <si>
    <t>file://conllu/de/rotkaeppchen_khm-026_perrault.conllu#s90_0</t>
  </si>
  <si>
    <t>91</t>
  </si>
  <si>
    <t>geschwind</t>
  </si>
  <si>
    <t>Nicht zu glauben so geschwind , Was so ein Wolf von böser Art /</t>
  </si>
  <si>
    <t>file://conllu/de/rotkaeppchen_khm-026_perrault.conllu#s91_0</t>
  </si>
  <si>
    <t>92</t>
  </si>
  <si>
    <t>sanfen</t>
  </si>
  <si>
    <t>Ihnen flüstert sanft und zart ; /</t>
  </si>
  <si>
    <t>file://conllu/de/rotkaeppchen_khm-026_perrault.conllu#s92_0</t>
  </si>
  <si>
    <t>93</t>
  </si>
  <si>
    <t>gieben</t>
  </si>
  <si>
    <t>Denn es giebt der Wölfe viel , Die nur treiben böses Spiel /</t>
  </si>
  <si>
    <t>file://conllu/de/rotkaeppchen_khm-026_perrault.conllu#s93_0</t>
  </si>
  <si>
    <t>94</t>
  </si>
  <si>
    <t>verderben</t>
  </si>
  <si>
    <t>Und die Kinder gern verderben , /</t>
  </si>
  <si>
    <t>file://conllu/de/rotkaeppchen_khm-026_perrault.conllu#s94_0</t>
  </si>
  <si>
    <t>95</t>
  </si>
  <si>
    <t>sterben</t>
  </si>
  <si>
    <t>Die dann ohne Rettung sterben .</t>
  </si>
  <si>
    <t>file://conllu/de/rotkaeppchen_khm-026_perrault.conllu#s95_0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</si>
  <si>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</si>
  <si>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</si>
  <si>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</si>
  <si>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</si>
  <si>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</si>
  <si>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</si>
  <si>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</si>
  <si>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</si>
  <si>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</si>
  <si>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</si>
  <si>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</si>
  <si>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Es war einmal ein kleines Dorfmädchen , das war so</t>
  </si>
  <si>
    <t>Es</t>
  </si>
  <si>
    <t>SBJ</t>
  </si>
  <si>
    <t>pron.pper</t>
  </si>
  <si>
    <t>?OLD</t>
  </si>
  <si>
    <t>war</t>
  </si>
  <si>
    <t>einmal</t>
  </si>
  <si>
    <t>ein</t>
  </si>
  <si>
    <t>kleines</t>
  </si>
  <si>
    <t>Dorfmädchen</t>
  </si>
  <si>
    <t>other</t>
  </si>
  <si>
    <t>indef-np.a</t>
  </si>
  <si>
    <t>,</t>
  </si>
  <si>
    <t>das</t>
  </si>
  <si>
    <t>SBJ_2</t>
  </si>
  <si>
    <t>so</t>
  </si>
  <si>
    <t># text = niedlich, als man nur je eins sehen konnte ; ſeine Mutter war</t>
  </si>
  <si>
    <t>niedlich</t>
  </si>
  <si>
    <t>als</t>
  </si>
  <si>
    <t>man</t>
  </si>
  <si>
    <t>SBJ_4</t>
  </si>
  <si>
    <t>pron.pind</t>
  </si>
  <si>
    <t>nur</t>
  </si>
  <si>
    <t>je</t>
  </si>
  <si>
    <t>eins</t>
  </si>
  <si>
    <t>OBJ_4</t>
  </si>
  <si>
    <t>konnte</t>
  </si>
  <si>
    <t>;</t>
  </si>
  <si>
    <t>ſeine</t>
  </si>
  <si>
    <t>Mutter</t>
  </si>
  <si>
    <t>indef-np</t>
  </si>
  <si>
    <t># text = ganz entzückt von dem Kinde und seine Großmutter war es noch viel mehr.</t>
  </si>
  <si>
    <t>ganz</t>
  </si>
  <si>
    <t>entzückt</t>
  </si>
  <si>
    <t>von</t>
  </si>
  <si>
    <t>dem</t>
  </si>
  <si>
    <t>Kinde</t>
  </si>
  <si>
    <t>def-np.the</t>
  </si>
  <si>
    <t>und</t>
  </si>
  <si>
    <t>seine</t>
  </si>
  <si>
    <t>SBJ_3</t>
  </si>
  <si>
    <t>es</t>
  </si>
  <si>
    <t>noch</t>
  </si>
  <si>
    <t>viel</t>
  </si>
  <si>
    <t>mehr</t>
  </si>
  <si>
    <t>.</t>
  </si>
  <si>
    <t># text = Diese gute Frau ließ ihm ein rothes Käppchen</t>
  </si>
  <si>
    <t>Diese</t>
  </si>
  <si>
    <t>other_2</t>
  </si>
  <si>
    <t>pron.pds</t>
  </si>
  <si>
    <t>gute</t>
  </si>
  <si>
    <t>Frau</t>
  </si>
  <si>
    <t>def-np.dem</t>
  </si>
  <si>
    <t>ließ</t>
  </si>
  <si>
    <t>ihm</t>
  </si>
  <si>
    <t>OBJ</t>
  </si>
  <si>
    <t>rothes</t>
  </si>
  <si>
    <t>Käppchen</t>
  </si>
  <si>
    <t># text = machen und das stand ihm so gut , daß man es überall das</t>
  </si>
  <si>
    <t>stand</t>
  </si>
  <si>
    <t>OBJ_2</t>
  </si>
  <si>
    <t>gut</t>
  </si>
  <si>
    <t>daß</t>
  </si>
  <si>
    <t>überall</t>
  </si>
  <si>
    <t># text = kleine Rothkäppchen nannte .</t>
  </si>
  <si>
    <t>kleine</t>
  </si>
  <si>
    <t>indef-np.bare</t>
  </si>
  <si>
    <t>nannte</t>
  </si>
  <si>
    <t># text = Eines Tages hatte seine Mutter Brodkuchen gebacken und</t>
  </si>
  <si>
    <t>Eines</t>
  </si>
  <si>
    <t>pron</t>
  </si>
  <si>
    <t>Tages</t>
  </si>
  <si>
    <t>hatte</t>
  </si>
  <si>
    <t>gebacken</t>
  </si>
  <si>
    <t># text = sagte zu ihm : Geh doch zu deiner Großmutter und steh , wie</t>
  </si>
  <si>
    <t>sagte</t>
  </si>
  <si>
    <t>zu</t>
  </si>
  <si>
    <t>:</t>
  </si>
  <si>
    <t>Geh</t>
  </si>
  <si>
    <t>doch</t>
  </si>
  <si>
    <t>other_3</t>
  </si>
  <si>
    <t>deiner</t>
  </si>
  <si>
    <t>steh</t>
  </si>
  <si>
    <t>wie</t>
  </si>
  <si>
    <t># text = fte fich befindet , denn ich habe gehört, daß sie krank sei ; bringe</t>
  </si>
  <si>
    <t>fte</t>
  </si>
  <si>
    <t>fich</t>
  </si>
  <si>
    <t>befindet</t>
  </si>
  <si>
    <t>denn</t>
  </si>
  <si>
    <t>ich</t>
  </si>
  <si>
    <t>habe</t>
  </si>
  <si>
    <t>gehört</t>
  </si>
  <si>
    <t>sie</t>
  </si>
  <si>
    <t>krank</t>
  </si>
  <si>
    <t>sei</t>
  </si>
  <si>
    <t>bringe</t>
  </si>
  <si>
    <t># text = ihr einen Brodkuchen und dieses Töpfchen Butter.</t>
  </si>
  <si>
    <t>ihr</t>
  </si>
  <si>
    <t>einen</t>
  </si>
  <si>
    <t>dieses</t>
  </si>
  <si>
    <t>Töpfchen</t>
  </si>
  <si>
    <t># text = Rothkäppchen</t>
  </si>
  <si>
    <t># text = ging sogleich fort zu ihrer Großmutter , die in einem andern</t>
  </si>
  <si>
    <t>ging</t>
  </si>
  <si>
    <t>sogleich</t>
  </si>
  <si>
    <t>fort</t>
  </si>
  <si>
    <t>ihrer</t>
  </si>
  <si>
    <t>die</t>
  </si>
  <si>
    <t>in</t>
  </si>
  <si>
    <t>einem</t>
  </si>
  <si>
    <t>andern</t>
  </si>
  <si>
    <t># text = Dorfe wohnte.</t>
  </si>
  <si>
    <t>Dorfe</t>
  </si>
  <si>
    <t>wohnte</t>
  </si>
  <si>
    <t># text = Als sie durch ein Gehölz kam , begegnete ihr der</t>
  </si>
  <si>
    <t>Als</t>
  </si>
  <si>
    <t>durch</t>
  </si>
  <si>
    <t>Gehölz</t>
  </si>
  <si>
    <t>kam</t>
  </si>
  <si>
    <t>begegnete</t>
  </si>
  <si>
    <t>der</t>
  </si>
  <si>
    <t># text = Gevatter Wolf, welcher große Luft hatte , ste zu fressen ; aber er wagte es nicht , weil mehre Holzhauer im Walde waren . Er</t>
  </si>
  <si>
    <t>Gevatter</t>
  </si>
  <si>
    <t>Wolf</t>
  </si>
  <si>
    <t>welcher</t>
  </si>
  <si>
    <t>große</t>
  </si>
  <si>
    <t>Luft</t>
  </si>
  <si>
    <t>OBJ_3</t>
  </si>
  <si>
    <t>ste</t>
  </si>
  <si>
    <t>fressen</t>
  </si>
  <si>
    <t>aber</t>
  </si>
  <si>
    <t>wagte</t>
  </si>
  <si>
    <t>nicht</t>
  </si>
  <si>
    <t>weil</t>
  </si>
  <si>
    <t>mehre</t>
  </si>
  <si>
    <t>other_4</t>
  </si>
  <si>
    <t>Holzhauer</t>
  </si>
  <si>
    <t>Walde</t>
  </si>
  <si>
    <t>waren</t>
  </si>
  <si>
    <t># text = fragte fie, wohin fte ginge.</t>
  </si>
  <si>
    <t>fragte</t>
  </si>
  <si>
    <t>fie</t>
  </si>
  <si>
    <t>wohin</t>
  </si>
  <si>
    <t>ginge</t>
  </si>
  <si>
    <t># text = Das arme Kind , welches nicht wußte,</t>
  </si>
  <si>
    <t>Das</t>
  </si>
  <si>
    <t>arme</t>
  </si>
  <si>
    <t>welches</t>
  </si>
  <si>
    <t>wußte</t>
  </si>
  <si>
    <t># text = daß es gefährlich sei , still zu stehen und einen Wolf anzuhören,</t>
  </si>
  <si>
    <t>gefährlich</t>
  </si>
  <si>
    <t>still</t>
  </si>
  <si>
    <t>stehen</t>
  </si>
  <si>
    <t>anzuhören</t>
  </si>
  <si>
    <t># text = sagte zu ihm : „ Ich gehe zu meiner Großmutter und trage ihr</t>
  </si>
  <si>
    <t>„</t>
  </si>
  <si>
    <t>Ich</t>
  </si>
  <si>
    <t>gehe</t>
  </si>
  <si>
    <t>meiner</t>
  </si>
  <si>
    <t>pron.ppos</t>
  </si>
  <si>
    <t>trage</t>
  </si>
  <si>
    <t># text = einen Brodkuchen und einen Topf mit Butter hin , welche meine</t>
  </si>
  <si>
    <t>Topf</t>
  </si>
  <si>
    <t>mit</t>
  </si>
  <si>
    <t>hin</t>
  </si>
  <si>
    <t>welche</t>
  </si>
  <si>
    <t>meine</t>
  </si>
  <si>
    <t># text = Mutter ihr schickt.</t>
  </si>
  <si>
    <t>schickt</t>
  </si>
  <si>
    <t>--</t>
  </si>
  <si>
    <t># text = ' \"</t>
  </si>
  <si>
    <t>'</t>
  </si>
  <si>
    <t># text = „ Wohnt sie sehr weit ? \" fragte der Wolf.</t>
  </si>
  <si>
    <t>Wohnt</t>
  </si>
  <si>
    <t>sehr</t>
  </si>
  <si>
    <t>weit</t>
  </si>
  <si>
    <t>?</t>
  </si>
  <si>
    <t># text = " , O ! ja , " sagte Rothkäppchen ; fte wohnt jenseit der kleinen</t>
  </si>
  <si>
    <t>ne</t>
  </si>
  <si>
    <t>!</t>
  </si>
  <si>
    <t>ja</t>
  </si>
  <si>
    <t>wohnt</t>
  </si>
  <si>
    <t>jenseit</t>
  </si>
  <si>
    <t>kleinen</t>
  </si>
  <si>
    <t># text = Mühle , die du dort ganz unten siehst , im ersten Hauſe des</t>
  </si>
  <si>
    <t>du</t>
  </si>
  <si>
    <t>dort</t>
  </si>
  <si>
    <t>unten</t>
  </si>
  <si>
    <t>siehst</t>
  </si>
  <si>
    <t>ersten</t>
  </si>
  <si>
    <t>Hauſe</t>
  </si>
  <si>
    <t>des</t>
  </si>
  <si>
    <t># text = Dorfes.</t>
  </si>
  <si>
    <t># text = "</t>
  </si>
  <si>
    <t># text = " "</t>
  </si>
  <si>
    <t># text = Nun wohl , " entgegnete der Wolf, ich will auch zu ihr</t>
  </si>
  <si>
    <t>Nun</t>
  </si>
  <si>
    <t>wohl</t>
  </si>
  <si>
    <t>entgegnete</t>
  </si>
  <si>
    <t>will</t>
  </si>
  <si>
    <t>auch</t>
  </si>
  <si>
    <t># text = gehen ; ich werde diesen Weg nehmen , nimm du jenen und wir</t>
  </si>
  <si>
    <t>werde</t>
  </si>
  <si>
    <t>diesen</t>
  </si>
  <si>
    <t>Weg</t>
  </si>
  <si>
    <t>nehmen</t>
  </si>
  <si>
    <t>nimm</t>
  </si>
  <si>
    <t>jenen</t>
  </si>
  <si>
    <t>wir</t>
  </si>
  <si>
    <t># text = wollen sehen , wer zuerst da sein wird . “</t>
  </si>
  <si>
    <t>wer</t>
  </si>
  <si>
    <t>pron.pint</t>
  </si>
  <si>
    <t>zuerst</t>
  </si>
  <si>
    <t>da</t>
  </si>
  <si>
    <t>wird</t>
  </si>
  <si>
    <t># text = Der Wolf fing an aus allen Kräften auf dem Wege zu</t>
  </si>
  <si>
    <t>Der</t>
  </si>
  <si>
    <t>fing</t>
  </si>
  <si>
    <t>an</t>
  </si>
  <si>
    <t>aus</t>
  </si>
  <si>
    <t>allen</t>
  </si>
  <si>
    <t>Kräften</t>
  </si>
  <si>
    <t>indef-np.quant</t>
  </si>
  <si>
    <t>auf</t>
  </si>
  <si>
    <t>Wege</t>
  </si>
  <si>
    <t># text = laufen , der der kürzeste war , und das kleine Mädchen ging auf</t>
  </si>
  <si>
    <t>kürzeste</t>
  </si>
  <si>
    <t># text = dem längsten Wege fort , und beluftigte sich damit , Haselnüſſe</t>
  </si>
  <si>
    <t>längsten</t>
  </si>
  <si>
    <t>beluftigte</t>
  </si>
  <si>
    <t>sich</t>
  </si>
  <si>
    <t>damit</t>
  </si>
  <si>
    <t>Haselnüſſe</t>
  </si>
  <si>
    <t># text = zu pflücken , Schmetterlinge zu haſchen und Sträuße zu winden</t>
  </si>
  <si>
    <t>Schmetterlinge</t>
  </si>
  <si>
    <t>haſchen</t>
  </si>
  <si>
    <t>Sträuße</t>
  </si>
  <si>
    <t>winden</t>
  </si>
  <si>
    <t># text = von kleinen Blumen , die sie fand . Der Wolf kam bald bei</t>
  </si>
  <si>
    <t>Blumen</t>
  </si>
  <si>
    <t>fand</t>
  </si>
  <si>
    <t>bald</t>
  </si>
  <si>
    <t>bei</t>
  </si>
  <si>
    <t># text = dem Hause der Großmutter an ; er klopft an : bum, bum.</t>
  </si>
  <si>
    <t>Hause</t>
  </si>
  <si>
    <t>klopft</t>
  </si>
  <si>
    <t>bum</t>
  </si>
  <si>
    <t># text = " Wer ist da ? "</t>
  </si>
  <si>
    <t>Wer</t>
  </si>
  <si>
    <t>ist</t>
  </si>
  <si>
    <t># text = Deine Tochter , das Rothkäppchen , " sagte der Wolf, in-</t>
  </si>
  <si>
    <t>Deine</t>
  </si>
  <si>
    <t>Tochter</t>
  </si>
  <si>
    <t># text = dem er ihre Stimme nachahmte ; „ ich bringe dir einen Brod-</t>
  </si>
  <si>
    <t>ihre</t>
  </si>
  <si>
    <t>Stimme</t>
  </si>
  <si>
    <t>nachahmte</t>
  </si>
  <si>
    <t>dir</t>
  </si>
  <si>
    <t>Brod</t>
  </si>
  <si>
    <t># text = kuchen und ein Töpfchen Butter , welches meine Mutter dir schickt.</t>
  </si>
  <si>
    <t># text = “</t>
  </si>
  <si>
    <t># text = Die gute Großmutter , welche im Bette lag , weil sie etwas</t>
  </si>
  <si>
    <t>Die</t>
  </si>
  <si>
    <t>Bette</t>
  </si>
  <si>
    <t>lag</t>
  </si>
  <si>
    <t>etwas</t>
  </si>
  <si>
    <t># text = unwohl war , rief ihm zu : „ Ziehe an dem Pflöckchen , so wird</t>
  </si>
  <si>
    <t>unwohl</t>
  </si>
  <si>
    <t>rief</t>
  </si>
  <si>
    <t>Ziehe</t>
  </si>
  <si>
    <t>Pflöckchen</t>
  </si>
  <si>
    <t># text = das Schloß aufspringen.</t>
  </si>
  <si>
    <t>Schloß</t>
  </si>
  <si>
    <t># text = Der Wolf zog an dem Pflock und die Thür ging auf.</t>
  </si>
  <si>
    <t>zog</t>
  </si>
  <si>
    <t>Pflock</t>
  </si>
  <si>
    <t># text = Er</t>
  </si>
  <si>
    <t># text = warf sich auf die gute Frau und verschlang sie mit einem Ruck,</t>
  </si>
  <si>
    <t>warf</t>
  </si>
  <si>
    <t>verschlang</t>
  </si>
  <si>
    <t>Ruck</t>
  </si>
  <si>
    <t># text = denn er hatte länger als drei Tage nichts gegessen . Dann klinkte</t>
  </si>
  <si>
    <t>länger</t>
  </si>
  <si>
    <t>drei</t>
  </si>
  <si>
    <t>Tage</t>
  </si>
  <si>
    <t>nichts</t>
  </si>
  <si>
    <t>gegessen</t>
  </si>
  <si>
    <t>Dann</t>
  </si>
  <si>
    <t>klinkte</t>
  </si>
  <si>
    <t># text = er die Thür zu und legte sich in das Bett der Großmutter und</t>
  </si>
  <si>
    <t>legte</t>
  </si>
  <si>
    <t>Bett</t>
  </si>
  <si>
    <t># text = wartete auf Rothkäppchen , die einige Zeit nachher an die Thür</t>
  </si>
  <si>
    <t>wartete</t>
  </si>
  <si>
    <t>einige</t>
  </si>
  <si>
    <t>Zeit</t>
  </si>
  <si>
    <t>nachher</t>
  </si>
  <si>
    <t># text = flopfte : Bum , bum.</t>
  </si>
  <si>
    <t>flopfte</t>
  </si>
  <si>
    <t>Bum</t>
  </si>
  <si>
    <t># text = Wer ist da ? \"</t>
  </si>
  <si>
    <t># text = Rothkäppchen , welches die grobe Stimme des Wolfs hörte,</t>
  </si>
  <si>
    <t>grobe</t>
  </si>
  <si>
    <t>Wolfs</t>
  </si>
  <si>
    <t>hörte</t>
  </si>
  <si>
    <t># text = hatte zuerst Furcht , aber da es glaubte , daß seine Großmutter</t>
  </si>
  <si>
    <t>Furcht</t>
  </si>
  <si>
    <t>glaubte</t>
  </si>
  <si>
    <t># text = den Schnupfen hätte , antwortete es : Es ist Deine Tochter , das</t>
  </si>
  <si>
    <t>den</t>
  </si>
  <si>
    <t>Schnupfen</t>
  </si>
  <si>
    <t>hätte</t>
  </si>
  <si>
    <t>antwortete</t>
  </si>
  <si>
    <t># text = Rothkäppchen ; ste bringt Dir einen Brodkuchen und ein Töpfchen</t>
  </si>
  <si>
    <t>bringt</t>
  </si>
  <si>
    <t>Dir</t>
  </si>
  <si>
    <t># text = Butter , den die Mutter Dir schickt.</t>
  </si>
  <si>
    <t># text = Der Wolf rief ihr zu , indem er seine Stimme ein bischen</t>
  </si>
  <si>
    <t>indem</t>
  </si>
  <si>
    <t>bischen</t>
  </si>
  <si>
    <t># text = besänftigte : „ Ziehe an dem Pflöckchen , so wird das Schloß auf-</t>
  </si>
  <si>
    <t>besänftigte</t>
  </si>
  <si>
    <t># text = gehen.</t>
  </si>
  <si>
    <t># text = Rothkäppchen zog an dem Pflock und die Thür ging auf.</t>
  </si>
  <si>
    <t># text = Als der Wolf fte eintreten sah , sagte er zu ihr , indem er sich</t>
  </si>
  <si>
    <t>eintreten</t>
  </si>
  <si>
    <t>sah</t>
  </si>
  <si>
    <t># text = unter dem Deckbett versteckte : Lege den Brodkuchen und das Töpf=</t>
  </si>
  <si>
    <t>unter</t>
  </si>
  <si>
    <t>Deckbett</t>
  </si>
  <si>
    <t>versteckte</t>
  </si>
  <si>
    <t>Lege</t>
  </si>
  <si>
    <t>Töpf</t>
  </si>
  <si>
    <t># text = chen Butter auf den Backtrog und komm zu mir in's Bett.</t>
  </si>
  <si>
    <t>Backtrog</t>
  </si>
  <si>
    <t>komm</t>
  </si>
  <si>
    <t>mir</t>
  </si>
  <si>
    <t>in's</t>
  </si>
  <si>
    <t># text = Rothkäppchen zog sich aus und legte sich in's Bett , wo es</t>
  </si>
  <si>
    <t>wo</t>
  </si>
  <si>
    <t># text = sehr erstaunt über das Aussehen seiner Großmutter war , als es</t>
  </si>
  <si>
    <t>erstaunt</t>
  </si>
  <si>
    <t>über</t>
  </si>
  <si>
    <t>Aussehen</t>
  </si>
  <si>
    <t>seiner</t>
  </si>
  <si>
    <t># text = Diese ausgezogen sah.</t>
  </si>
  <si>
    <t>ausgezogen</t>
  </si>
  <si>
    <t># text = Es sagte zu ihr : „ Liebe Großmutter , was</t>
  </si>
  <si>
    <t>Liebe</t>
  </si>
  <si>
    <t>was</t>
  </si>
  <si>
    <t># text = hast Du für lange Arme ! \"</t>
  </si>
  <si>
    <t>hast</t>
  </si>
  <si>
    <t>Du</t>
  </si>
  <si>
    <t>für</t>
  </si>
  <si>
    <t>lange</t>
  </si>
  <si>
    <t>Arme</t>
  </si>
  <si>
    <t># text = \" Weil ich Dich beſſer damit umarmen kann , meine Tochter.</t>
  </si>
  <si>
    <t>Weil</t>
  </si>
  <si>
    <t>Dich</t>
  </si>
  <si>
    <t>beſſer</t>
  </si>
  <si>
    <t>umarmen</t>
  </si>
  <si>
    <t>kann</t>
  </si>
  <si>
    <t># text = Großmutter , was hast Du für große Beine ! \"</t>
  </si>
  <si>
    <t>Beine</t>
  </si>
  <si>
    <t># text = „Weil ich besser damit laufen kann , mein Kind . "</t>
  </si>
  <si>
    <t>besser</t>
  </si>
  <si>
    <t>mein</t>
  </si>
  <si>
    <t># text = Großmutter , was hast Du für große Ohren ! "</t>
  </si>
  <si>
    <t>Ohren</t>
  </si>
  <si>
    <t># text = Weil ich besser damit hören kann , mein Kind . \"</t>
  </si>
  <si>
    <t>hören</t>
  </si>
  <si>
    <t># text = Großmutter , was hast Du für große Augen ! \"</t>
  </si>
  <si>
    <t>Augen</t>
  </si>
  <si>
    <t># text = Weil ich besser damit sehen kann , mein Kind . "</t>
  </si>
  <si>
    <t># text = Großmutter , was hast Du für große Zähne ! \"</t>
  </si>
  <si>
    <t>Zähne</t>
  </si>
  <si>
    <t># text = Um Dich damit zu freffen.</t>
  </si>
  <si>
    <t>Um</t>
  </si>
  <si>
    <t># text = \" Und indem er diese Worte</t>
  </si>
  <si>
    <t>Und</t>
  </si>
  <si>
    <t>diese</t>
  </si>
  <si>
    <t>Worte</t>
  </si>
  <si>
    <t># text = sagte , warf sich der böse Wolf auf Rothkäppchen und fraß es auf.</t>
  </si>
  <si>
    <t>böse</t>
  </si>
  <si>
    <t>fraß</t>
  </si>
  <si>
    <t># text = Moral.</t>
  </si>
  <si>
    <t># text = Man warnt hiermit die kleinen Kinder, /</t>
  </si>
  <si>
    <t>Man</t>
  </si>
  <si>
    <t>warnt</t>
  </si>
  <si>
    <t>hiermit</t>
  </si>
  <si>
    <t>Kinder</t>
  </si>
  <si>
    <t>/</t>
  </si>
  <si>
    <t># text = Und junge Mädchen auch nicht minder, /</t>
  </si>
  <si>
    <t>junge</t>
  </si>
  <si>
    <t>minder</t>
  </si>
  <si>
    <t># text = Wenn sie schön und reizend sind, /</t>
  </si>
  <si>
    <t>Wenn</t>
  </si>
  <si>
    <t>schön</t>
  </si>
  <si>
    <t>reizend</t>
  </si>
  <si>
    <t>sind</t>
  </si>
  <si>
    <t># text = Nicht zu glauben so geschwind, Was so ein Wolf von böser Art /</t>
  </si>
  <si>
    <t>Nicht</t>
  </si>
  <si>
    <t>glauben</t>
  </si>
  <si>
    <t>Was</t>
  </si>
  <si>
    <t>böser</t>
  </si>
  <si>
    <t>Art</t>
  </si>
  <si>
    <t># text = Ihnen flüstert sanft und zart ; /</t>
  </si>
  <si>
    <t>Ihnen</t>
  </si>
  <si>
    <t>flüstert</t>
  </si>
  <si>
    <t>sanft</t>
  </si>
  <si>
    <t>zart</t>
  </si>
  <si>
    <t># text = Denn es giebt der Wölfe viel, Die nur treiben böses Spiel /</t>
  </si>
  <si>
    <t>Denn</t>
  </si>
  <si>
    <t>giebt</t>
  </si>
  <si>
    <t>Wölfe</t>
  </si>
  <si>
    <t>treiben</t>
  </si>
  <si>
    <t>böses</t>
  </si>
  <si>
    <t>Spiel</t>
  </si>
  <si>
    <t># text = Und die Kinder gern verderben , /</t>
  </si>
  <si>
    <t>gern</t>
  </si>
  <si>
    <t># text = Die dann ohne Rettung sterben.</t>
  </si>
  <si>
    <t>dann</t>
  </si>
  <si>
    <t>ohne</t>
  </si>
  <si>
    <t>Rettung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</si>
</sst>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11</v>
      </c>
      <c r="C4" s="6" t="s">
        <v>12</v>
      </c>
      <c r="D4" s="7" t="s">
        <v>21</v>
      </c>
      <c r="E4" s="8" t="s">
        <v>22</v>
      </c>
      <c r="F4" s="6" t="s">
        <v>23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24</v>
      </c>
      <c r="B5" s="6" t="s">
        <v>24</v>
      </c>
      <c r="C5" s="6" t="s">
        <v>12</v>
      </c>
      <c r="D5" s="7" t="s">
        <v>25</v>
      </c>
      <c r="E5" s="8" t="s">
        <v>26</v>
      </c>
      <c r="F5" s="6" t="s">
        <v>27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10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20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36</v>
      </c>
      <c r="C8" s="6" t="s">
        <v>12</v>
      </c>
      <c r="D8" s="7" t="s">
        <v>37</v>
      </c>
      <c r="E8" s="8" t="s">
        <v>38</v>
      </c>
      <c r="F8" s="6" t="s">
        <v>39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40</v>
      </c>
      <c r="B9" s="6" t="s">
        <v>10</v>
      </c>
      <c r="C9" s="6" t="s">
        <v>12</v>
      </c>
      <c r="D9" s="7" t="s">
        <v>41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36</v>
      </c>
      <c r="C11" s="6" t="s">
        <v>12</v>
      </c>
      <c r="D11" s="7" t="s">
        <v>50</v>
      </c>
      <c r="E11" s="8" t="s">
        <v>51</v>
      </c>
      <c r="F11" s="6" t="s">
        <v>52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53</v>
      </c>
      <c r="B12" s="6" t="s">
        <v>10</v>
      </c>
      <c r="C12" s="6" t="s">
        <v>12</v>
      </c>
      <c r="D12" s="7" t="s">
        <v>54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56</v>
      </c>
      <c r="B13" s="6" t="s">
        <v>10</v>
      </c>
      <c r="C13" s="6" t="s">
        <v>12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16</v>
      </c>
      <c r="B14" s="6" t="s">
        <v>11</v>
      </c>
      <c r="C14" s="6" t="s">
        <v>12</v>
      </c>
      <c r="D14" s="7" t="s">
        <v>60</v>
      </c>
      <c r="E14" s="8" t="s">
        <v>61</v>
      </c>
      <c r="F14" s="6" t="s">
        <v>62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40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45</v>
      </c>
      <c r="B16" s="6" t="s">
        <v>44</v>
      </c>
      <c r="C16" s="6" t="s">
        <v>12</v>
      </c>
      <c r="D16" s="7" t="s">
        <v>67</v>
      </c>
      <c r="E16" s="8" t="s">
        <v>68</v>
      </c>
      <c r="F16" s="6" t="s">
        <v>69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70</v>
      </c>
      <c r="B17" s="6" t="s">
        <v>10</v>
      </c>
      <c r="C17" s="6" t="s">
        <v>12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20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24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10</v>
      </c>
      <c r="C20" s="6" t="s">
        <v>12</v>
      </c>
      <c r="D20" s="7" t="s">
        <v>41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11</v>
      </c>
      <c r="C21" s="6" t="s">
        <v>12</v>
      </c>
      <c r="D21" s="7" t="s">
        <v>86</v>
      </c>
      <c r="E21" s="8" t="s">
        <v>87</v>
      </c>
      <c r="F21" s="6" t="s">
        <v>88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89</v>
      </c>
      <c r="B22" s="6" t="s">
        <v>20</v>
      </c>
      <c r="C22" s="6" t="s">
        <v>12</v>
      </c>
      <c r="D22" s="7" t="s">
        <v>90</v>
      </c>
      <c r="E22" s="8" t="s">
        <v>91</v>
      </c>
      <c r="F22" s="6" t="s">
        <v>92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93</v>
      </c>
      <c r="B23" s="6" t="s">
        <v>11</v>
      </c>
      <c r="C23" s="6" t="s">
        <v>12</v>
      </c>
      <c r="D23" s="7" t="s">
        <v>94</v>
      </c>
      <c r="E23" s="8" t="s">
        <v>95</v>
      </c>
      <c r="F23" s="6" t="s">
        <v>96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97</v>
      </c>
      <c r="B24" s="6" t="s">
        <v>40</v>
      </c>
      <c r="C24" s="6" t="s">
        <v>12</v>
      </c>
      <c r="D24" s="7" t="s">
        <v>98</v>
      </c>
      <c r="E24" s="8" t="s">
        <v>99</v>
      </c>
      <c r="F24" s="6" t="s">
        <v>100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101</v>
      </c>
      <c r="B25" s="6" t="s">
        <v>53</v>
      </c>
      <c r="C25" s="6" t="s">
        <v>12</v>
      </c>
      <c r="D25" s="7" t="s">
        <v>102</v>
      </c>
      <c r="E25" s="8" t="s">
        <v>103</v>
      </c>
      <c r="F25" s="6" t="s">
        <v>104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105</v>
      </c>
      <c r="B26" s="6" t="s">
        <v>10</v>
      </c>
      <c r="C26" s="6" t="s">
        <v>12</v>
      </c>
      <c r="D26" s="7" t="s">
        <v>106</v>
      </c>
      <c r="E26" s="8" t="s">
        <v>107</v>
      </c>
      <c r="F26" s="6" t="s">
        <v>108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109</v>
      </c>
      <c r="B27" s="6" t="s">
        <v>10</v>
      </c>
      <c r="C27" s="6" t="s">
        <v>12</v>
      </c>
      <c r="D27" s="7" t="s">
        <v>110</v>
      </c>
      <c r="E27" s="8" t="s">
        <v>111</v>
      </c>
      <c r="F27" s="6" t="s">
        <v>112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113</v>
      </c>
      <c r="B28" s="6" t="s">
        <v>10</v>
      </c>
      <c r="C28" s="6" t="s">
        <v>12</v>
      </c>
      <c r="D28" s="7" t="s">
        <v>94</v>
      </c>
      <c r="E28" s="8" t="s">
        <v>94</v>
      </c>
      <c r="F28" s="6" t="s">
        <v>114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115</v>
      </c>
      <c r="B29" s="6" t="s">
        <v>11</v>
      </c>
      <c r="C29" s="6" t="s">
        <v>12</v>
      </c>
      <c r="D29" s="7" t="s">
        <v>94</v>
      </c>
      <c r="E29" s="8" t="s">
        <v>116</v>
      </c>
      <c r="F29" s="6" t="s">
        <v>117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118</v>
      </c>
      <c r="B30" s="6" t="s">
        <v>49</v>
      </c>
      <c r="C30" s="6" t="s">
        <v>12</v>
      </c>
      <c r="D30" s="7" t="s">
        <v>119</v>
      </c>
      <c r="E30" s="8" t="s">
        <v>120</v>
      </c>
      <c r="F30" s="6" t="s">
        <v>121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122</v>
      </c>
      <c r="B31" s="6" t="s">
        <v>10</v>
      </c>
      <c r="C31" s="6" t="s">
        <v>12</v>
      </c>
      <c r="D31" s="7" t="s">
        <v>57</v>
      </c>
      <c r="E31" s="8" t="s">
        <v>123</v>
      </c>
      <c r="F31" s="6" t="s">
        <v>124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125</v>
      </c>
      <c r="B32" s="6" t="s">
        <v>36</v>
      </c>
      <c r="C32" s="6" t="s">
        <v>12</v>
      </c>
      <c r="D32" s="7" t="s">
        <v>17</v>
      </c>
      <c r="E32" s="8" t="s">
        <v>126</v>
      </c>
      <c r="F32" s="6" t="s">
        <v>127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128</v>
      </c>
      <c r="B33" s="6" t="s">
        <v>20</v>
      </c>
      <c r="C33" s="6" t="s">
        <v>12</v>
      </c>
      <c r="D33" s="7" t="s">
        <v>129</v>
      </c>
      <c r="E33" s="8" t="s">
        <v>130</v>
      </c>
      <c r="F33" s="6" t="s">
        <v>131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132</v>
      </c>
      <c r="B34" s="6" t="s">
        <v>10</v>
      </c>
      <c r="C34" s="6" t="s">
        <v>12</v>
      </c>
      <c r="D34" s="7" t="s">
        <v>133</v>
      </c>
      <c r="E34" s="8" t="s">
        <v>134</v>
      </c>
      <c r="F34" s="6" t="s">
        <v>135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136</v>
      </c>
      <c r="B35" s="6" t="s">
        <v>24</v>
      </c>
      <c r="C35" s="6" t="s">
        <v>12</v>
      </c>
      <c r="D35" s="7" t="s">
        <v>137</v>
      </c>
      <c r="E35" s="8" t="s">
        <v>138</v>
      </c>
      <c r="F35" s="6" t="s">
        <v>139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140</v>
      </c>
      <c r="B36" s="6" t="s">
        <v>11</v>
      </c>
      <c r="C36" s="6" t="s">
        <v>12</v>
      </c>
      <c r="D36" s="7" t="s">
        <v>141</v>
      </c>
      <c r="E36" s="8" t="s">
        <v>142</v>
      </c>
      <c r="F36" s="6" t="s">
        <v>143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144</v>
      </c>
      <c r="B37" s="6" t="s">
        <v>53</v>
      </c>
      <c r="C37" s="6" t="s">
        <v>12</v>
      </c>
      <c r="D37" s="7" t="s">
        <v>145</v>
      </c>
      <c r="E37" s="8" t="s">
        <v>146</v>
      </c>
      <c r="F37" s="6" t="s">
        <v>147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148</v>
      </c>
      <c r="B38" s="6" t="s">
        <v>40</v>
      </c>
      <c r="C38" s="6" t="s">
        <v>12</v>
      </c>
      <c r="D38" s="7" t="s">
        <v>149</v>
      </c>
      <c r="E38" s="8" t="s">
        <v>150</v>
      </c>
      <c r="F38" s="6" t="s">
        <v>151</v>
      </c>
      <c r="G38" s="9">
        <f>IF(A38=1,"_",IF(C38="_","???",C38))</f>
        <v/>
      </c>
      <c r="H38" s="10" t="s">
        <v>12</v>
      </c>
      <c r="I38" s="11" t="s">
        <v>12</v>
      </c>
      <c r="J38" s="12"/>
    </row>
    <row r="39" spans="1:10" ht="60" customHeight="1">
      <c r="A39" s="6" t="s">
        <v>152</v>
      </c>
      <c r="B39" s="6" t="s">
        <v>20</v>
      </c>
      <c r="C39" s="6" t="s">
        <v>12</v>
      </c>
      <c r="D39" s="7" t="s">
        <v>17</v>
      </c>
      <c r="E39" s="8" t="s">
        <v>153</v>
      </c>
      <c r="F39" s="6" t="s">
        <v>154</v>
      </c>
      <c r="G39" s="9">
        <f>IF(A39=1,"_",IF(C39="_","???",C39))</f>
        <v/>
      </c>
      <c r="H39" s="10" t="s">
        <v>12</v>
      </c>
      <c r="I39" s="11" t="s">
        <v>12</v>
      </c>
      <c r="J39" s="12"/>
    </row>
    <row r="40" spans="1:10" ht="60" customHeight="1">
      <c r="A40" s="6" t="s">
        <v>155</v>
      </c>
      <c r="B40" s="6" t="s">
        <v>40</v>
      </c>
      <c r="C40" s="6" t="s">
        <v>12</v>
      </c>
      <c r="D40" s="7" t="s">
        <v>41</v>
      </c>
      <c r="E40" s="8" t="s">
        <v>156</v>
      </c>
      <c r="F40" s="6" t="s">
        <v>157</v>
      </c>
      <c r="G40" s="9">
        <f>IF(A40=1,"_",IF(C40="_","???",C40))</f>
        <v/>
      </c>
      <c r="H40" s="10" t="s">
        <v>12</v>
      </c>
      <c r="I40" s="11" t="s">
        <v>12</v>
      </c>
      <c r="J40" s="12"/>
    </row>
    <row r="41" spans="1:10" ht="60" customHeight="1">
      <c r="A41" s="6" t="s">
        <v>158</v>
      </c>
      <c r="B41" s="6" t="s">
        <v>28</v>
      </c>
      <c r="C41" s="6" t="s">
        <v>12</v>
      </c>
      <c r="D41" s="7" t="s">
        <v>159</v>
      </c>
      <c r="E41" s="8" t="s">
        <v>160</v>
      </c>
      <c r="F41" s="6" t="s">
        <v>161</v>
      </c>
      <c r="G41" s="9">
        <f>IF(A41=1,"_",IF(C41="_","???",C41))</f>
        <v/>
      </c>
      <c r="H41" s="10" t="s">
        <v>12</v>
      </c>
      <c r="I41" s="11" t="s">
        <v>12</v>
      </c>
      <c r="J41" s="12"/>
    </row>
    <row r="42" spans="1:10" ht="60" customHeight="1">
      <c r="A42" s="6" t="s">
        <v>162</v>
      </c>
      <c r="B42" s="6" t="s">
        <v>10</v>
      </c>
      <c r="C42" s="6" t="s">
        <v>12</v>
      </c>
      <c r="D42" s="7" t="s">
        <v>163</v>
      </c>
      <c r="E42" s="8" t="s">
        <v>164</v>
      </c>
      <c r="F42" s="6" t="s">
        <v>165</v>
      </c>
      <c r="G42" s="9">
        <f>IF(A42=1,"_",IF(C42="_","???",C42))</f>
        <v/>
      </c>
      <c r="H42" s="10" t="s">
        <v>12</v>
      </c>
      <c r="I42" s="11" t="s">
        <v>12</v>
      </c>
      <c r="J42" s="12"/>
    </row>
    <row r="43" spans="1:10" ht="60" customHeight="1">
      <c r="A43" s="6" t="s">
        <v>166</v>
      </c>
      <c r="B43" s="6" t="s">
        <v>10</v>
      </c>
      <c r="C43" s="6" t="s">
        <v>12</v>
      </c>
      <c r="D43" s="7" t="s">
        <v>167</v>
      </c>
      <c r="E43" s="8" t="s">
        <v>167</v>
      </c>
      <c r="F43" s="6" t="s">
        <v>168</v>
      </c>
      <c r="G43" s="9">
        <f>IF(A43=1,"_",IF(C43="_","???",C43))</f>
        <v/>
      </c>
      <c r="H43" s="10" t="s">
        <v>12</v>
      </c>
      <c r="I43" s="11" t="s">
        <v>12</v>
      </c>
      <c r="J43" s="12"/>
    </row>
    <row r="44" spans="1:10" ht="60" customHeight="1">
      <c r="A44" s="6" t="s">
        <v>169</v>
      </c>
      <c r="B44" s="6" t="s">
        <v>20</v>
      </c>
      <c r="C44" s="6" t="s">
        <v>12</v>
      </c>
      <c r="D44" s="7" t="s">
        <v>170</v>
      </c>
      <c r="E44" s="8" t="s">
        <v>171</v>
      </c>
      <c r="F44" s="6" t="s">
        <v>172</v>
      </c>
      <c r="G44" s="9">
        <f>IF(A44=1,"_",IF(C44="_","???",C44))</f>
        <v/>
      </c>
      <c r="H44" s="10" t="s">
        <v>12</v>
      </c>
      <c r="I44" s="11" t="s">
        <v>12</v>
      </c>
      <c r="J44" s="12"/>
    </row>
    <row r="45" spans="1:10" ht="60" customHeight="1">
      <c r="A45" s="6" t="s">
        <v>173</v>
      </c>
      <c r="B45" s="6" t="s">
        <v>45</v>
      </c>
      <c r="C45" s="6" t="s">
        <v>12</v>
      </c>
      <c r="D45" s="7" t="s">
        <v>174</v>
      </c>
      <c r="E45" s="8" t="s">
        <v>175</v>
      </c>
      <c r="F45" s="6" t="s">
        <v>176</v>
      </c>
      <c r="G45" s="9">
        <f>IF(A45=1,"_",IF(C45="_","???",C45))</f>
        <v/>
      </c>
      <c r="H45" s="10" t="s">
        <v>12</v>
      </c>
      <c r="I45" s="11" t="s">
        <v>12</v>
      </c>
      <c r="J45" s="12"/>
    </row>
    <row r="46" spans="1:10" ht="60" customHeight="1">
      <c r="A46" s="6" t="s">
        <v>177</v>
      </c>
      <c r="B46" s="6" t="s">
        <v>20</v>
      </c>
      <c r="C46" s="6" t="s">
        <v>12</v>
      </c>
      <c r="D46" s="7" t="s">
        <v>178</v>
      </c>
      <c r="E46" s="8" t="s">
        <v>179</v>
      </c>
      <c r="F46" s="6" t="s">
        <v>180</v>
      </c>
      <c r="G46" s="9">
        <f>IF(A46=1,"_",IF(C46="_","???",C46))</f>
        <v/>
      </c>
      <c r="H46" s="10" t="s">
        <v>12</v>
      </c>
      <c r="I46" s="11" t="s">
        <v>12</v>
      </c>
      <c r="J46" s="12"/>
    </row>
    <row r="47" spans="1:10" ht="60" customHeight="1">
      <c r="A47" s="6" t="s">
        <v>181</v>
      </c>
      <c r="B47" s="6" t="s">
        <v>10</v>
      </c>
      <c r="C47" s="6" t="s">
        <v>12</v>
      </c>
      <c r="D47" s="7" t="s">
        <v>94</v>
      </c>
      <c r="E47" s="8" t="s">
        <v>94</v>
      </c>
      <c r="F47" s="6" t="s">
        <v>182</v>
      </c>
      <c r="G47" s="9">
        <f>IF(A47=1,"_",IF(C47="_","???",C47))</f>
        <v/>
      </c>
      <c r="H47" s="10" t="s">
        <v>12</v>
      </c>
      <c r="I47" s="11" t="s">
        <v>12</v>
      </c>
      <c r="J47" s="12"/>
    </row>
    <row r="48" spans="1:10" ht="60" customHeight="1">
      <c r="A48" s="6" t="s">
        <v>183</v>
      </c>
      <c r="B48" s="6" t="s">
        <v>20</v>
      </c>
      <c r="C48" s="6" t="s">
        <v>12</v>
      </c>
      <c r="D48" s="7" t="s">
        <v>184</v>
      </c>
      <c r="E48" s="8" t="s">
        <v>185</v>
      </c>
      <c r="F48" s="6" t="s">
        <v>186</v>
      </c>
      <c r="G48" s="9">
        <f>IF(A48=1,"_",IF(C48="_","???",C48))</f>
        <v/>
      </c>
      <c r="H48" s="10" t="s">
        <v>12</v>
      </c>
      <c r="I48" s="11" t="s">
        <v>12</v>
      </c>
      <c r="J48" s="12"/>
    </row>
    <row r="49" spans="1:10" ht="60" customHeight="1">
      <c r="A49" s="6" t="s">
        <v>187</v>
      </c>
      <c r="B49" s="6" t="s">
        <v>10</v>
      </c>
      <c r="C49" s="6" t="s">
        <v>12</v>
      </c>
      <c r="D49" s="7" t="s">
        <v>188</v>
      </c>
      <c r="E49" s="8" t="s">
        <v>189</v>
      </c>
      <c r="F49" s="6" t="s">
        <v>190</v>
      </c>
      <c r="G49" s="9">
        <f>IF(A49=1,"_",IF(C49="_","???",C49))</f>
        <v/>
      </c>
      <c r="H49" s="10" t="s">
        <v>12</v>
      </c>
      <c r="I49" s="11" t="s">
        <v>12</v>
      </c>
      <c r="J49" s="12"/>
    </row>
    <row r="50" spans="1:10" ht="60" customHeight="1">
      <c r="A50" s="6" t="s">
        <v>191</v>
      </c>
      <c r="B50" s="6" t="s">
        <v>10</v>
      </c>
      <c r="C50" s="6" t="s">
        <v>12</v>
      </c>
      <c r="D50" s="7" t="s">
        <v>192</v>
      </c>
      <c r="E50" s="8" t="s">
        <v>193</v>
      </c>
      <c r="F50" s="6" t="s">
        <v>194</v>
      </c>
      <c r="G50" s="9">
        <f>IF(A50=1,"_",IF(C50="_","???",C50))</f>
        <v/>
      </c>
      <c r="H50" s="10" t="s">
        <v>12</v>
      </c>
      <c r="I50" s="11" t="s">
        <v>12</v>
      </c>
      <c r="J50" s="12"/>
    </row>
    <row r="51" spans="1:10" ht="60" customHeight="1">
      <c r="A51" s="6" t="s">
        <v>195</v>
      </c>
      <c r="B51" s="6" t="s">
        <v>56</v>
      </c>
      <c r="C51" s="6" t="s">
        <v>12</v>
      </c>
      <c r="D51" s="7" t="s">
        <v>196</v>
      </c>
      <c r="E51" s="8" t="s">
        <v>197</v>
      </c>
      <c r="F51" s="6" t="s">
        <v>198</v>
      </c>
      <c r="G51" s="9">
        <f>IF(A51=1,"_",IF(C51="_","???",C51))</f>
        <v/>
      </c>
      <c r="H51" s="10" t="s">
        <v>12</v>
      </c>
      <c r="I51" s="11" t="s">
        <v>12</v>
      </c>
      <c r="J51" s="12"/>
    </row>
    <row r="52" spans="1:10" ht="60" customHeight="1">
      <c r="A52" s="6" t="s">
        <v>199</v>
      </c>
      <c r="B52" s="6" t="s">
        <v>20</v>
      </c>
      <c r="C52" s="6" t="s">
        <v>12</v>
      </c>
      <c r="D52" s="7" t="s">
        <v>200</v>
      </c>
      <c r="E52" s="8" t="s">
        <v>201</v>
      </c>
      <c r="F52" s="6" t="s">
        <v>202</v>
      </c>
      <c r="G52" s="9">
        <f>IF(A52=1,"_",IF(C52="_","???",C52))</f>
        <v/>
      </c>
      <c r="H52" s="10" t="s">
        <v>12</v>
      </c>
      <c r="I52" s="11" t="s">
        <v>12</v>
      </c>
      <c r="J52" s="12"/>
    </row>
    <row r="53" spans="1:10" ht="60" customHeight="1">
      <c r="A53" s="6" t="s">
        <v>203</v>
      </c>
      <c r="B53" s="6" t="s">
        <v>10</v>
      </c>
      <c r="C53" s="6" t="s">
        <v>12</v>
      </c>
      <c r="D53" s="7" t="s">
        <v>204</v>
      </c>
      <c r="E53" s="8" t="s">
        <v>205</v>
      </c>
      <c r="F53" s="6" t="s">
        <v>206</v>
      </c>
      <c r="G53" s="9">
        <f>IF(A53=1,"_",IF(C53="_","???",C53))</f>
        <v/>
      </c>
      <c r="H53" s="10" t="s">
        <v>12</v>
      </c>
      <c r="I53" s="11" t="s">
        <v>12</v>
      </c>
      <c r="J53" s="12"/>
    </row>
    <row r="54" spans="1:10" ht="60" customHeight="1">
      <c r="A54" s="6" t="s">
        <v>207</v>
      </c>
      <c r="B54" s="6" t="s">
        <v>10</v>
      </c>
      <c r="C54" s="6" t="s">
        <v>12</v>
      </c>
      <c r="D54" s="7" t="s">
        <v>208</v>
      </c>
      <c r="E54" s="8" t="s">
        <v>209</v>
      </c>
      <c r="F54" s="6" t="s">
        <v>210</v>
      </c>
      <c r="G54" s="9">
        <f>IF(A54=1,"_",IF(C54="_","???",C54))</f>
        <v/>
      </c>
      <c r="H54" s="10" t="s">
        <v>12</v>
      </c>
      <c r="I54" s="11" t="s">
        <v>12</v>
      </c>
      <c r="J54" s="12"/>
    </row>
    <row r="55" spans="1:10" ht="60" customHeight="1">
      <c r="A55" s="6" t="s">
        <v>211</v>
      </c>
      <c r="B55" s="6" t="s">
        <v>11</v>
      </c>
      <c r="C55" s="6" t="s">
        <v>12</v>
      </c>
      <c r="D55" s="7" t="s">
        <v>17</v>
      </c>
      <c r="E55" s="8" t="s">
        <v>212</v>
      </c>
      <c r="F55" s="6" t="s">
        <v>213</v>
      </c>
      <c r="G55" s="9">
        <f>IF(A55=1,"_",IF(C55="_","???",C55))</f>
        <v/>
      </c>
      <c r="H55" s="10" t="s">
        <v>12</v>
      </c>
      <c r="I55" s="11" t="s">
        <v>12</v>
      </c>
      <c r="J55" s="12"/>
    </row>
    <row r="56" spans="1:10" ht="60" customHeight="1">
      <c r="A56" s="6" t="s">
        <v>214</v>
      </c>
      <c r="B56" s="6" t="s">
        <v>10</v>
      </c>
      <c r="C56" s="6" t="s">
        <v>12</v>
      </c>
      <c r="D56" s="7" t="s">
        <v>54</v>
      </c>
      <c r="E56" s="8" t="s">
        <v>215</v>
      </c>
      <c r="F56" s="6" t="s">
        <v>216</v>
      </c>
      <c r="G56" s="9">
        <f>IF(A56=1,"_",IF(C56="_","???",C56))</f>
        <v/>
      </c>
      <c r="H56" s="10" t="s">
        <v>12</v>
      </c>
      <c r="I56" s="11" t="s">
        <v>12</v>
      </c>
      <c r="J56" s="12"/>
    </row>
    <row r="57" spans="1:10" ht="60" customHeight="1">
      <c r="A57" s="6" t="s">
        <v>217</v>
      </c>
      <c r="B57" s="6" t="s">
        <v>10</v>
      </c>
      <c r="C57" s="6" t="s">
        <v>12</v>
      </c>
      <c r="D57" s="7" t="s">
        <v>218</v>
      </c>
      <c r="E57" s="8" t="s">
        <v>219</v>
      </c>
      <c r="F57" s="6" t="s">
        <v>220</v>
      </c>
      <c r="G57" s="9">
        <f>IF(A57=1,"_",IF(C57="_","???",C57))</f>
        <v/>
      </c>
      <c r="H57" s="10" t="s">
        <v>12</v>
      </c>
      <c r="I57" s="11" t="s">
        <v>12</v>
      </c>
      <c r="J57" s="12"/>
    </row>
    <row r="58" spans="1:10" ht="60" customHeight="1">
      <c r="A58" s="6" t="s">
        <v>221</v>
      </c>
      <c r="B58" s="6" t="s">
        <v>28</v>
      </c>
      <c r="C58" s="6" t="s">
        <v>12</v>
      </c>
      <c r="D58" s="7" t="s">
        <v>222</v>
      </c>
      <c r="E58" s="8" t="s">
        <v>223</v>
      </c>
      <c r="F58" s="6" t="s">
        <v>224</v>
      </c>
      <c r="G58" s="9">
        <f>IF(A58=1,"_",IF(C58="_","???",C58))</f>
        <v/>
      </c>
      <c r="H58" s="10" t="s">
        <v>12</v>
      </c>
      <c r="I58" s="11" t="s">
        <v>12</v>
      </c>
      <c r="J58" s="12"/>
    </row>
    <row r="59" spans="1:10" ht="60" customHeight="1">
      <c r="A59" s="6" t="s">
        <v>225</v>
      </c>
      <c r="B59" s="6" t="s">
        <v>24</v>
      </c>
      <c r="C59" s="6" t="s">
        <v>12</v>
      </c>
      <c r="D59" s="7" t="s">
        <v>46</v>
      </c>
      <c r="E59" s="8" t="s">
        <v>226</v>
      </c>
      <c r="F59" s="6" t="s">
        <v>227</v>
      </c>
      <c r="G59" s="9">
        <f>IF(A59=1,"_",IF(C59="_","???",C59))</f>
        <v/>
      </c>
      <c r="H59" s="10" t="s">
        <v>12</v>
      </c>
      <c r="I59" s="11" t="s">
        <v>12</v>
      </c>
      <c r="J59" s="12"/>
    </row>
    <row r="60" spans="1:10" ht="60" customHeight="1">
      <c r="A60" s="6" t="s">
        <v>228</v>
      </c>
      <c r="B60" s="6" t="s">
        <v>10</v>
      </c>
      <c r="C60" s="6" t="s">
        <v>12</v>
      </c>
      <c r="D60" s="7" t="s">
        <v>50</v>
      </c>
      <c r="E60" s="8" t="s">
        <v>229</v>
      </c>
      <c r="F60" s="6" t="s">
        <v>230</v>
      </c>
      <c r="G60" s="9">
        <f>IF(A60=1,"_",IF(C60="_","???",C60))</f>
        <v/>
      </c>
      <c r="H60" s="10" t="s">
        <v>12</v>
      </c>
      <c r="I60" s="11" t="s">
        <v>12</v>
      </c>
      <c r="J60" s="12"/>
    </row>
    <row r="61" spans="1:10" ht="60" customHeight="1">
      <c r="A61" s="6" t="s">
        <v>231</v>
      </c>
      <c r="B61" s="6" t="s">
        <v>11</v>
      </c>
      <c r="C61" s="6" t="s">
        <v>12</v>
      </c>
      <c r="D61" s="7" t="s">
        <v>94</v>
      </c>
      <c r="E61" s="8" t="s">
        <v>116</v>
      </c>
      <c r="F61" s="6" t="s">
        <v>232</v>
      </c>
      <c r="G61" s="9">
        <f>IF(A61=1,"_",IF(C61="_","???",C61))</f>
        <v/>
      </c>
      <c r="H61" s="10" t="s">
        <v>12</v>
      </c>
      <c r="I61" s="11" t="s">
        <v>12</v>
      </c>
      <c r="J61" s="12"/>
    </row>
    <row r="62" spans="1:10" ht="60" customHeight="1">
      <c r="A62" s="6" t="s">
        <v>233</v>
      </c>
      <c r="B62" s="6" t="s">
        <v>20</v>
      </c>
      <c r="C62" s="6" t="s">
        <v>12</v>
      </c>
      <c r="D62" s="7" t="s">
        <v>234</v>
      </c>
      <c r="E62" s="8" t="s">
        <v>235</v>
      </c>
      <c r="F62" s="6" t="s">
        <v>236</v>
      </c>
      <c r="G62" s="9">
        <f>IF(A62=1,"_",IF(C62="_","???",C62))</f>
        <v/>
      </c>
      <c r="H62" s="10" t="s">
        <v>12</v>
      </c>
      <c r="I62" s="11" t="s">
        <v>12</v>
      </c>
      <c r="J62" s="12"/>
    </row>
    <row r="63" spans="1:10" ht="60" customHeight="1">
      <c r="A63" s="6" t="s">
        <v>237</v>
      </c>
      <c r="B63" s="6" t="s">
        <v>49</v>
      </c>
      <c r="C63" s="6" t="s">
        <v>12</v>
      </c>
      <c r="D63" s="7" t="s">
        <v>174</v>
      </c>
      <c r="E63" s="8" t="s">
        <v>238</v>
      </c>
      <c r="F63" s="6" t="s">
        <v>239</v>
      </c>
      <c r="G63" s="9">
        <f>IF(A63=1,"_",IF(C63="_","???",C63))</f>
        <v/>
      </c>
      <c r="H63" s="10" t="s">
        <v>12</v>
      </c>
      <c r="I63" s="11" t="s">
        <v>12</v>
      </c>
      <c r="J63" s="12"/>
    </row>
    <row r="64" spans="1:10" ht="60" customHeight="1">
      <c r="A64" s="6" t="s">
        <v>240</v>
      </c>
      <c r="B64" s="6" t="s">
        <v>10</v>
      </c>
      <c r="C64" s="6" t="s">
        <v>12</v>
      </c>
      <c r="D64" s="7" t="s">
        <v>57</v>
      </c>
      <c r="E64" s="8" t="s">
        <v>241</v>
      </c>
      <c r="F64" s="6" t="s">
        <v>242</v>
      </c>
      <c r="G64" s="9">
        <f>IF(A64=1,"_",IF(C64="_","???",C64))</f>
        <v/>
      </c>
      <c r="H64" s="10" t="s">
        <v>12</v>
      </c>
      <c r="I64" s="11" t="s">
        <v>12</v>
      </c>
      <c r="J64" s="12"/>
    </row>
    <row r="65" spans="1:10" ht="60" customHeight="1">
      <c r="A65" s="6" t="s">
        <v>243</v>
      </c>
      <c r="B65" s="6" t="s">
        <v>10</v>
      </c>
      <c r="C65" s="6" t="s">
        <v>12</v>
      </c>
      <c r="D65" s="7" t="s">
        <v>94</v>
      </c>
      <c r="E65" s="8" t="s">
        <v>94</v>
      </c>
      <c r="F65" s="6" t="s">
        <v>244</v>
      </c>
      <c r="G65" s="9">
        <f>IF(A65=1,"_",IF(C65="_","???",C65))</f>
        <v/>
      </c>
      <c r="H65" s="10" t="s">
        <v>12</v>
      </c>
      <c r="I65" s="11" t="s">
        <v>12</v>
      </c>
      <c r="J65" s="12"/>
    </row>
    <row r="66" spans="1:10" ht="60" customHeight="1">
      <c r="A66" s="6" t="s">
        <v>245</v>
      </c>
      <c r="B66" s="6" t="s">
        <v>11</v>
      </c>
      <c r="C66" s="6" t="s">
        <v>12</v>
      </c>
      <c r="D66" s="7" t="s">
        <v>184</v>
      </c>
      <c r="E66" s="8" t="s">
        <v>246</v>
      </c>
      <c r="F66" s="6" t="s">
        <v>247</v>
      </c>
      <c r="G66" s="9">
        <f>IF(A66=1,"_",IF(C66="_","???",C66))</f>
        <v/>
      </c>
      <c r="H66" s="10" t="s">
        <v>12</v>
      </c>
      <c r="I66" s="11" t="s">
        <v>12</v>
      </c>
      <c r="J66" s="12"/>
    </row>
    <row r="67" spans="1:10" ht="60" customHeight="1">
      <c r="A67" s="6" t="s">
        <v>248</v>
      </c>
      <c r="B67" s="6" t="s">
        <v>32</v>
      </c>
      <c r="C67" s="6" t="s">
        <v>12</v>
      </c>
      <c r="D67" s="7" t="s">
        <v>249</v>
      </c>
      <c r="E67" s="8" t="s">
        <v>250</v>
      </c>
      <c r="F67" s="6" t="s">
        <v>251</v>
      </c>
      <c r="G67" s="9">
        <f>IF(A67=1,"_",IF(C67="_","???",C67))</f>
        <v/>
      </c>
      <c r="H67" s="10" t="s">
        <v>12</v>
      </c>
      <c r="I67" s="11" t="s">
        <v>12</v>
      </c>
      <c r="J67" s="12"/>
    </row>
    <row r="68" spans="1:10" ht="60" customHeight="1">
      <c r="A68" s="6" t="s">
        <v>252</v>
      </c>
      <c r="B68" s="6" t="s">
        <v>24</v>
      </c>
      <c r="C68" s="6" t="s">
        <v>12</v>
      </c>
      <c r="D68" s="7" t="s">
        <v>253</v>
      </c>
      <c r="E68" s="8" t="s">
        <v>254</v>
      </c>
      <c r="F68" s="6" t="s">
        <v>255</v>
      </c>
      <c r="G68" s="9">
        <f>IF(A68=1,"_",IF(C68="_","???",C68))</f>
        <v/>
      </c>
      <c r="H68" s="10" t="s">
        <v>12</v>
      </c>
      <c r="I68" s="11" t="s">
        <v>12</v>
      </c>
      <c r="J68" s="12"/>
    </row>
    <row r="69" spans="1:10" ht="60" customHeight="1">
      <c r="A69" s="6" t="s">
        <v>256</v>
      </c>
      <c r="B69" s="6" t="s">
        <v>10</v>
      </c>
      <c r="C69" s="6" t="s">
        <v>12</v>
      </c>
      <c r="D69" s="7" t="s">
        <v>257</v>
      </c>
      <c r="E69" s="8" t="s">
        <v>258</v>
      </c>
      <c r="F69" s="6" t="s">
        <v>259</v>
      </c>
      <c r="G69" s="9">
        <f>IF(A69=1,"_",IF(C69="_","???",C69))</f>
        <v/>
      </c>
      <c r="H69" s="10" t="s">
        <v>12</v>
      </c>
      <c r="I69" s="11" t="s">
        <v>12</v>
      </c>
      <c r="J69" s="12"/>
    </row>
    <row r="70" spans="1:10" ht="60" customHeight="1">
      <c r="A70" s="6" t="s">
        <v>260</v>
      </c>
      <c r="B70" s="6" t="s">
        <v>11</v>
      </c>
      <c r="C70" s="6" t="s">
        <v>12</v>
      </c>
      <c r="D70" s="7" t="s">
        <v>94</v>
      </c>
      <c r="E70" s="8" t="s">
        <v>116</v>
      </c>
      <c r="F70" s="6" t="s">
        <v>261</v>
      </c>
      <c r="G70" s="9">
        <f>IF(A70=1,"_",IF(C70="_","???",C70))</f>
        <v/>
      </c>
      <c r="H70" s="10" t="s">
        <v>12</v>
      </c>
      <c r="I70" s="11" t="s">
        <v>12</v>
      </c>
      <c r="J70" s="12"/>
    </row>
    <row r="71" spans="1:10" ht="60" customHeight="1">
      <c r="A71" s="6" t="s">
        <v>262</v>
      </c>
      <c r="B71" s="6" t="s">
        <v>11</v>
      </c>
      <c r="C71" s="6" t="s">
        <v>12</v>
      </c>
      <c r="D71" s="7" t="s">
        <v>184</v>
      </c>
      <c r="E71" s="8" t="s">
        <v>263</v>
      </c>
      <c r="F71" s="6" t="s">
        <v>264</v>
      </c>
      <c r="G71" s="9">
        <f>IF(A71=1,"_",IF(C71="_","???",C71))</f>
        <v/>
      </c>
      <c r="H71" s="10" t="s">
        <v>12</v>
      </c>
      <c r="I71" s="11" t="s">
        <v>12</v>
      </c>
      <c r="J71" s="12"/>
    </row>
    <row r="72" spans="1:10" ht="60" customHeight="1">
      <c r="A72" s="6" t="s">
        <v>265</v>
      </c>
      <c r="B72" s="6" t="s">
        <v>40</v>
      </c>
      <c r="C72" s="6" t="s">
        <v>12</v>
      </c>
      <c r="D72" s="7" t="s">
        <v>17</v>
      </c>
      <c r="E72" s="8" t="s">
        <v>266</v>
      </c>
      <c r="F72" s="6" t="s">
        <v>267</v>
      </c>
      <c r="G72" s="9">
        <f>IF(A72=1,"_",IF(C72="_","???",C72))</f>
        <v/>
      </c>
      <c r="H72" s="10" t="s">
        <v>12</v>
      </c>
      <c r="I72" s="11" t="s">
        <v>12</v>
      </c>
      <c r="J72" s="12"/>
    </row>
    <row r="73" spans="1:10" ht="60" customHeight="1">
      <c r="A73" s="6" t="s">
        <v>268</v>
      </c>
      <c r="B73" s="6" t="s">
        <v>20</v>
      </c>
      <c r="C73" s="6" t="s">
        <v>12</v>
      </c>
      <c r="D73" s="7" t="s">
        <v>269</v>
      </c>
      <c r="E73" s="8" t="s">
        <v>270</v>
      </c>
      <c r="F73" s="6" t="s">
        <v>271</v>
      </c>
      <c r="G73" s="9">
        <f>IF(A73=1,"_",IF(C73="_","???",C73))</f>
        <v/>
      </c>
      <c r="H73" s="10" t="s">
        <v>12</v>
      </c>
      <c r="I73" s="11" t="s">
        <v>12</v>
      </c>
      <c r="J73" s="12"/>
    </row>
    <row r="74" spans="1:10" ht="60" customHeight="1">
      <c r="A74" s="6" t="s">
        <v>272</v>
      </c>
      <c r="B74" s="6" t="s">
        <v>11</v>
      </c>
      <c r="C74" s="6" t="s">
        <v>273</v>
      </c>
      <c r="D74" s="7" t="s">
        <v>41</v>
      </c>
      <c r="E74" s="8" t="s">
        <v>274</v>
      </c>
      <c r="F74" s="6" t="s">
        <v>275</v>
      </c>
      <c r="G74" s="9">
        <f>IF(A74=1,"_",IF(C74="_","???",C74))</f>
        <v/>
      </c>
      <c r="H74" s="10" t="s">
        <v>12</v>
      </c>
      <c r="I74" s="11" t="s">
        <v>12</v>
      </c>
      <c r="J74" s="12"/>
    </row>
    <row r="75" spans="1:10" ht="60" customHeight="1">
      <c r="A75" s="6" t="s">
        <v>276</v>
      </c>
      <c r="B75" s="6" t="s">
        <v>10</v>
      </c>
      <c r="C75" s="6" t="s">
        <v>12</v>
      </c>
      <c r="D75" s="7" t="s">
        <v>218</v>
      </c>
      <c r="E75" s="8" t="s">
        <v>277</v>
      </c>
      <c r="F75" s="6" t="s">
        <v>278</v>
      </c>
      <c r="G75" s="9">
        <f>IF(A75=1,"_",IF(C75="_","???",C75))</f>
        <v/>
      </c>
      <c r="H75" s="10" t="s">
        <v>12</v>
      </c>
      <c r="I75" s="11" t="s">
        <v>12</v>
      </c>
      <c r="J75" s="12"/>
    </row>
    <row r="76" spans="1:10" ht="60" customHeight="1">
      <c r="A76" s="6" t="s">
        <v>279</v>
      </c>
      <c r="B76" s="6" t="s">
        <v>36</v>
      </c>
      <c r="C76" s="6" t="s">
        <v>12</v>
      </c>
      <c r="D76" s="7" t="s">
        <v>280</v>
      </c>
      <c r="E76" s="8" t="s">
        <v>281</v>
      </c>
      <c r="F76" s="6" t="s">
        <v>282</v>
      </c>
      <c r="G76" s="9">
        <f>IF(A76=1,"_",IF(C76="_","???",C76))</f>
        <v/>
      </c>
      <c r="H76" s="10" t="s">
        <v>12</v>
      </c>
      <c r="I76" s="11" t="s">
        <v>12</v>
      </c>
      <c r="J76" s="12"/>
    </row>
    <row r="77" spans="1:10" ht="60" customHeight="1">
      <c r="A77" s="6" t="s">
        <v>283</v>
      </c>
      <c r="B77" s="6" t="s">
        <v>10</v>
      </c>
      <c r="C77" s="6" t="s">
        <v>12</v>
      </c>
      <c r="D77" s="7" t="s">
        <v>94</v>
      </c>
      <c r="E77" s="8" t="s">
        <v>94</v>
      </c>
      <c r="F77" s="6" t="s">
        <v>284</v>
      </c>
      <c r="G77" s="9">
        <f>IF(A77=1,"_",IF(C77="_","???",C77))</f>
        <v/>
      </c>
      <c r="H77" s="10" t="s">
        <v>12</v>
      </c>
      <c r="I77" s="11" t="s">
        <v>12</v>
      </c>
      <c r="J77" s="12"/>
    </row>
    <row r="78" spans="1:10" ht="60" customHeight="1">
      <c r="A78" s="6" t="s">
        <v>285</v>
      </c>
      <c r="B78" s="6" t="s">
        <v>10</v>
      </c>
      <c r="C78" s="6" t="s">
        <v>273</v>
      </c>
      <c r="D78" s="7" t="s">
        <v>170</v>
      </c>
      <c r="E78" s="8" t="s">
        <v>286</v>
      </c>
      <c r="F78" s="6" t="s">
        <v>287</v>
      </c>
      <c r="G78" s="9">
        <f>IF(A78=1,"_",IF(C78="_","???",C78))</f>
        <v/>
      </c>
      <c r="H78" s="10" t="s">
        <v>12</v>
      </c>
      <c r="I78" s="11" t="s">
        <v>12</v>
      </c>
      <c r="J78" s="12"/>
    </row>
    <row r="79" spans="1:10" ht="60" customHeight="1">
      <c r="A79" s="6" t="s">
        <v>288</v>
      </c>
      <c r="B79" s="6" t="s">
        <v>32</v>
      </c>
      <c r="C79" s="6" t="s">
        <v>12</v>
      </c>
      <c r="D79" s="7" t="s">
        <v>133</v>
      </c>
      <c r="E79" s="8" t="s">
        <v>289</v>
      </c>
      <c r="F79" s="6" t="s">
        <v>290</v>
      </c>
      <c r="G79" s="9">
        <f>IF(A79=1,"_",IF(C79="_","???",C79))</f>
        <v/>
      </c>
      <c r="H79" s="10" t="s">
        <v>12</v>
      </c>
      <c r="I79" s="11" t="s">
        <v>12</v>
      </c>
      <c r="J79" s="12"/>
    </row>
    <row r="80" spans="1:10" ht="60" customHeight="1">
      <c r="A80" s="6" t="s">
        <v>291</v>
      </c>
      <c r="B80" s="6" t="s">
        <v>10</v>
      </c>
      <c r="C80" s="6" t="s">
        <v>273</v>
      </c>
      <c r="D80" s="7" t="s">
        <v>170</v>
      </c>
      <c r="E80" s="8" t="s">
        <v>292</v>
      </c>
      <c r="F80" s="6" t="s">
        <v>293</v>
      </c>
      <c r="G80" s="9">
        <f>IF(A80=1,"_",IF(C80="_","???",C80))</f>
        <v/>
      </c>
      <c r="H80" s="10" t="s">
        <v>12</v>
      </c>
      <c r="I80" s="11" t="s">
        <v>12</v>
      </c>
      <c r="J80" s="12"/>
    </row>
    <row r="81" spans="1:10" ht="60" customHeight="1">
      <c r="A81" s="6" t="s">
        <v>294</v>
      </c>
      <c r="B81" s="6" t="s">
        <v>44</v>
      </c>
      <c r="C81" s="6" t="s">
        <v>12</v>
      </c>
      <c r="D81" s="7" t="s">
        <v>75</v>
      </c>
      <c r="E81" s="8" t="s">
        <v>295</v>
      </c>
      <c r="F81" s="6" t="s">
        <v>296</v>
      </c>
      <c r="G81" s="9">
        <f>IF(A81=1,"_",IF(C81="_","???",C81))</f>
        <v/>
      </c>
      <c r="H81" s="10" t="s">
        <v>12</v>
      </c>
      <c r="I81" s="11" t="s">
        <v>12</v>
      </c>
      <c r="J81" s="12"/>
    </row>
    <row r="82" spans="1:10" ht="60" customHeight="1">
      <c r="A82" s="6" t="s">
        <v>297</v>
      </c>
      <c r="B82" s="6" t="s">
        <v>10</v>
      </c>
      <c r="C82" s="6" t="s">
        <v>273</v>
      </c>
      <c r="D82" s="7" t="s">
        <v>170</v>
      </c>
      <c r="E82" s="8" t="s">
        <v>298</v>
      </c>
      <c r="F82" s="6" t="s">
        <v>299</v>
      </c>
      <c r="G82" s="9">
        <f>IF(A82=1,"_",IF(C82="_","???",C82))</f>
        <v/>
      </c>
      <c r="H82" s="10" t="s">
        <v>12</v>
      </c>
      <c r="I82" s="11" t="s">
        <v>12</v>
      </c>
      <c r="J82" s="12"/>
    </row>
    <row r="83" spans="1:10" ht="60" customHeight="1">
      <c r="A83" s="6" t="s">
        <v>300</v>
      </c>
      <c r="B83" s="6" t="s">
        <v>28</v>
      </c>
      <c r="C83" s="6" t="s">
        <v>12</v>
      </c>
      <c r="D83" s="7" t="s">
        <v>269</v>
      </c>
      <c r="E83" s="8" t="s">
        <v>301</v>
      </c>
      <c r="F83" s="6" t="s">
        <v>302</v>
      </c>
      <c r="G83" s="9">
        <f>IF(A83=1,"_",IF(C83="_","???",C83))</f>
        <v/>
      </c>
      <c r="H83" s="10" t="s">
        <v>12</v>
      </c>
      <c r="I83" s="11" t="s">
        <v>12</v>
      </c>
      <c r="J83" s="12"/>
    </row>
    <row r="84" spans="1:10" ht="60" customHeight="1">
      <c r="A84" s="6" t="s">
        <v>303</v>
      </c>
      <c r="B84" s="6" t="s">
        <v>10</v>
      </c>
      <c r="C84" s="6" t="s">
        <v>273</v>
      </c>
      <c r="D84" s="7" t="s">
        <v>170</v>
      </c>
      <c r="E84" s="8" t="s">
        <v>304</v>
      </c>
      <c r="F84" s="6" t="s">
        <v>305</v>
      </c>
      <c r="G84" s="9">
        <f>IF(A84=1,"_",IF(C84="_","???",C84))</f>
        <v/>
      </c>
      <c r="H84" s="10" t="s">
        <v>12</v>
      </c>
      <c r="I84" s="11" t="s">
        <v>12</v>
      </c>
      <c r="J84" s="12"/>
    </row>
    <row r="85" spans="1:10" ht="60" customHeight="1">
      <c r="A85" s="6" t="s">
        <v>306</v>
      </c>
      <c r="B85" s="6" t="s">
        <v>28</v>
      </c>
      <c r="C85" s="6" t="s">
        <v>12</v>
      </c>
      <c r="D85" s="7" t="s">
        <v>307</v>
      </c>
      <c r="E85" s="8" t="s">
        <v>308</v>
      </c>
      <c r="F85" s="6" t="s">
        <v>309</v>
      </c>
      <c r="G85" s="9">
        <f>IF(A85=1,"_",IF(C85="_","???",C85))</f>
        <v/>
      </c>
      <c r="H85" s="10" t="s">
        <v>12</v>
      </c>
      <c r="I85" s="11" t="s">
        <v>12</v>
      </c>
      <c r="J85" s="12"/>
    </row>
    <row r="86" spans="1:10" ht="60" customHeight="1">
      <c r="A86" s="6" t="s">
        <v>310</v>
      </c>
      <c r="B86" s="6" t="s">
        <v>32</v>
      </c>
      <c r="C86" s="6" t="s">
        <v>12</v>
      </c>
      <c r="D86" s="7" t="s">
        <v>311</v>
      </c>
      <c r="E86" s="8" t="s">
        <v>312</v>
      </c>
      <c r="F86" s="6" t="s">
        <v>313</v>
      </c>
      <c r="G86" s="9">
        <f>IF(A86=1,"_",IF(C86="_","???",C86))</f>
        <v/>
      </c>
      <c r="H86" s="10" t="s">
        <v>12</v>
      </c>
      <c r="I86" s="11" t="s">
        <v>12</v>
      </c>
      <c r="J86" s="12"/>
    </row>
    <row r="87" spans="1:10" ht="60" customHeight="1">
      <c r="A87" s="6" t="s">
        <v>314</v>
      </c>
      <c r="B87" s="6" t="s">
        <v>20</v>
      </c>
      <c r="C87" s="6" t="s">
        <v>12</v>
      </c>
      <c r="D87" s="7" t="s">
        <v>192</v>
      </c>
      <c r="E87" s="8" t="s">
        <v>315</v>
      </c>
      <c r="F87" s="6" t="s">
        <v>316</v>
      </c>
      <c r="G87" s="9">
        <f>IF(A87=1,"_",IF(C87="_","???",C87))</f>
        <v/>
      </c>
      <c r="H87" s="10" t="s">
        <v>12</v>
      </c>
      <c r="I87" s="11" t="s">
        <v>12</v>
      </c>
      <c r="J87" s="12"/>
    </row>
    <row r="88" spans="1:10" ht="60" customHeight="1">
      <c r="A88" s="6" t="s">
        <v>317</v>
      </c>
      <c r="B88" s="6" t="s">
        <v>10</v>
      </c>
      <c r="C88" s="6" t="s">
        <v>12</v>
      </c>
      <c r="D88" s="7" t="s">
        <v>318</v>
      </c>
      <c r="E88" s="8" t="s">
        <v>319</v>
      </c>
      <c r="F88" s="6" t="s">
        <v>320</v>
      </c>
      <c r="G88" s="9">
        <f>IF(A88=1,"_",IF(C88="_","???",C88))</f>
        <v/>
      </c>
      <c r="H88" s="10" t="s">
        <v>12</v>
      </c>
      <c r="I88" s="11" t="s">
        <v>12</v>
      </c>
      <c r="J88" s="12"/>
    </row>
    <row r="89" spans="1:10" ht="60" customHeight="1">
      <c r="A89" s="6" t="s">
        <v>321</v>
      </c>
      <c r="B89" s="6" t="s">
        <v>11</v>
      </c>
      <c r="C89" s="6" t="s">
        <v>12</v>
      </c>
      <c r="D89" s="7" t="s">
        <v>322</v>
      </c>
      <c r="E89" s="8" t="s">
        <v>323</v>
      </c>
      <c r="F89" s="6" t="s">
        <v>324</v>
      </c>
      <c r="G89" s="9">
        <f>IF(A89=1,"_",IF(C89="_","???",C89))</f>
        <v/>
      </c>
      <c r="H89" s="10" t="s">
        <v>12</v>
      </c>
      <c r="I89" s="11" t="s">
        <v>12</v>
      </c>
      <c r="J89" s="12"/>
    </row>
    <row r="90" spans="1:10" ht="60" customHeight="1">
      <c r="A90" s="6" t="s">
        <v>325</v>
      </c>
      <c r="B90" s="6" t="s">
        <v>20</v>
      </c>
      <c r="C90" s="6" t="s">
        <v>12</v>
      </c>
      <c r="D90" s="7" t="s">
        <v>326</v>
      </c>
      <c r="E90" s="8" t="s">
        <v>327</v>
      </c>
      <c r="F90" s="6" t="s">
        <v>328</v>
      </c>
      <c r="G90" s="9">
        <f>IF(A90=1,"_",IF(C90="_","???",C90))</f>
        <v/>
      </c>
      <c r="H90" s="10" t="s">
        <v>12</v>
      </c>
      <c r="I90" s="11" t="s">
        <v>12</v>
      </c>
      <c r="J90" s="12"/>
    </row>
    <row r="91" spans="1:10" ht="60" customHeight="1">
      <c r="A91" s="6" t="s">
        <v>329</v>
      </c>
      <c r="B91" s="6" t="s">
        <v>32</v>
      </c>
      <c r="C91" s="6" t="s">
        <v>12</v>
      </c>
      <c r="D91" s="7" t="s">
        <v>330</v>
      </c>
      <c r="E91" s="8" t="s">
        <v>331</v>
      </c>
      <c r="F91" s="6" t="s">
        <v>332</v>
      </c>
      <c r="G91" s="9">
        <f>IF(A91=1,"_",IF(C91="_","???",C91))</f>
        <v/>
      </c>
      <c r="H91" s="10" t="s">
        <v>12</v>
      </c>
      <c r="I91" s="11" t="s">
        <v>12</v>
      </c>
      <c r="J91" s="12"/>
    </row>
    <row r="92" spans="1:10" ht="60" customHeight="1">
      <c r="A92" s="6" t="s">
        <v>333</v>
      </c>
      <c r="B92" s="6" t="s">
        <v>28</v>
      </c>
      <c r="C92" s="6" t="s">
        <v>273</v>
      </c>
      <c r="D92" s="7" t="s">
        <v>334</v>
      </c>
      <c r="E92" s="8" t="s">
        <v>335</v>
      </c>
      <c r="F92" s="6" t="s">
        <v>336</v>
      </c>
      <c r="G92" s="9">
        <f>IF(A92=1,"_",IF(C92="_","???",C92))</f>
        <v/>
      </c>
      <c r="H92" s="10" t="s">
        <v>12</v>
      </c>
      <c r="I92" s="11" t="s">
        <v>12</v>
      </c>
      <c r="J92" s="12"/>
    </row>
    <row r="93" spans="1:10" ht="60" customHeight="1">
      <c r="A93" s="6" t="s">
        <v>337</v>
      </c>
      <c r="B93" s="6" t="s">
        <v>20</v>
      </c>
      <c r="C93" s="6" t="s">
        <v>12</v>
      </c>
      <c r="D93" s="7" t="s">
        <v>338</v>
      </c>
      <c r="E93" s="8" t="s">
        <v>339</v>
      </c>
      <c r="F93" s="6" t="s">
        <v>340</v>
      </c>
      <c r="G93" s="9">
        <f>IF(A93=1,"_",IF(C93="_","???",C93))</f>
        <v/>
      </c>
      <c r="H93" s="10" t="s">
        <v>12</v>
      </c>
      <c r="I93" s="11" t="s">
        <v>12</v>
      </c>
      <c r="J93" s="12"/>
    </row>
    <row r="94" spans="1:10" ht="60" customHeight="1">
      <c r="A94" s="6" t="s">
        <v>341</v>
      </c>
      <c r="B94" s="6" t="s">
        <v>20</v>
      </c>
      <c r="C94" s="6" t="s">
        <v>12</v>
      </c>
      <c r="D94" s="7" t="s">
        <v>342</v>
      </c>
      <c r="E94" s="8" t="s">
        <v>343</v>
      </c>
      <c r="F94" s="6" t="s">
        <v>344</v>
      </c>
      <c r="G94" s="9">
        <f>IF(A94=1,"_",IF(C94="_","???",C94))</f>
        <v/>
      </c>
      <c r="H94" s="10" t="s">
        <v>12</v>
      </c>
      <c r="I94" s="11" t="s">
        <v>12</v>
      </c>
      <c r="J94" s="12"/>
    </row>
    <row r="95" spans="1:10" ht="60" customHeight="1">
      <c r="A95" s="6" t="s">
        <v>345</v>
      </c>
      <c r="B95" s="6" t="s">
        <v>28</v>
      </c>
      <c r="C95" s="6" t="s">
        <v>12</v>
      </c>
      <c r="D95" s="7" t="s">
        <v>346</v>
      </c>
      <c r="E95" s="8" t="s">
        <v>347</v>
      </c>
      <c r="F95" s="6" t="s">
        <v>348</v>
      </c>
      <c r="G95" s="9">
        <f>IF(A95=1,"_",IF(C95="_","???",C95))</f>
        <v/>
      </c>
      <c r="H95" s="10" t="s">
        <v>12</v>
      </c>
      <c r="I95" s="11" t="s">
        <v>12</v>
      </c>
      <c r="J95" s="12"/>
    </row>
    <row r="96" spans="1:10" ht="60" customHeight="1">
      <c r="A96" s="6" t="s">
        <v>349</v>
      </c>
      <c r="B96" s="6" t="s">
        <v>28</v>
      </c>
      <c r="C96" s="6" t="s">
        <v>12</v>
      </c>
      <c r="D96" s="7" t="s">
        <v>350</v>
      </c>
      <c r="E96" s="8" t="s">
        <v>351</v>
      </c>
      <c r="F96" s="6" t="s">
        <v>352</v>
      </c>
      <c r="G96" s="9">
        <f>IF(A96=1,"_",IF(C96="_","???",C96))</f>
        <v/>
      </c>
      <c r="H96" s="10" t="s">
        <v>12</v>
      </c>
      <c r="I96" s="11" t="s">
        <v>12</v>
      </c>
      <c r="J9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353</v>
      </c>
      <c r="B1" s="13" t="s">
        <v>354</v>
      </c>
      <c r="C1" s="13" t="s">
        <v>355</v>
      </c>
      <c r="D1" s="13" t="s">
        <v>356</v>
      </c>
      <c r="E1" s="14" t="s">
        <v>357</v>
      </c>
      <c r="F1" s="15" t="s">
        <v>358</v>
      </c>
      <c r="G1" s="16" t="s">
        <v>359</v>
      </c>
      <c r="H1" s="17" t="s">
        <v>360</v>
      </c>
      <c r="I1" s="18" t="s">
        <v>361</v>
      </c>
      <c r="J1" s="18" t="s">
        <v>362</v>
      </c>
      <c r="K1" s="18" t="s">
        <v>363</v>
      </c>
      <c r="L1" s="19" t="s">
        <v>9</v>
      </c>
    </row>
    <row r="2" spans="1:12">
      <c r="A2" s="20" t="s">
        <v>364</v>
      </c>
    </row>
    <row r="3" spans="1:12">
      <c r="A3" s="20" t="s">
        <v>365</v>
      </c>
      <c r="B3" s="21" t="s">
        <v>366</v>
      </c>
      <c r="C3" s="21" t="s">
        <v>367</v>
      </c>
      <c r="D3" s="21" t="s">
        <v>368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369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370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371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372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373</v>
      </c>
      <c r="B8" s="21" t="s">
        <v>374</v>
      </c>
      <c r="C8" s="21" t="s">
        <v>375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376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377</v>
      </c>
      <c r="B10" s="21" t="s">
        <v>378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369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379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/>
    </row>
    <row r="14" spans="1:12">
      <c r="A14" s="20" t="s">
        <v>380</v>
      </c>
    </row>
    <row r="15" spans="1:12">
      <c r="A15" s="20" t="s">
        <v>381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376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382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383</v>
      </c>
      <c r="B18" s="21" t="s">
        <v>384</v>
      </c>
      <c r="C18" s="21" t="s">
        <v>385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386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387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388</v>
      </c>
      <c r="B21" s="21" t="s">
        <v>389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269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390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391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392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393</v>
      </c>
      <c r="B26" s="21" t="s">
        <v>366</v>
      </c>
      <c r="C26" s="21" t="s">
        <v>394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369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/>
    </row>
    <row r="29" spans="1:12">
      <c r="A29" s="20" t="s">
        <v>395</v>
      </c>
    </row>
    <row r="30" spans="1:12">
      <c r="A30" s="20" t="s">
        <v>396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397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398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399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400</v>
      </c>
      <c r="B34" s="21" t="s">
        <v>374</v>
      </c>
      <c r="C34" s="21" t="s">
        <v>401</v>
      </c>
      <c r="D34" s="21" t="s">
        <v>368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402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403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170</v>
      </c>
      <c r="B37" s="21" t="s">
        <v>404</v>
      </c>
      <c r="C37" s="21" t="s">
        <v>394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369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405</v>
      </c>
      <c r="B39" s="21" t="s">
        <v>384</v>
      </c>
      <c r="C39" s="21" t="s">
        <v>367</v>
      </c>
      <c r="D39" s="21" t="s">
        <v>368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406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407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408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409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/>
    </row>
    <row r="45" spans="1:12">
      <c r="A45" s="20" t="s">
        <v>410</v>
      </c>
    </row>
    <row r="46" spans="1:12">
      <c r="A46" s="20" t="s">
        <v>411</v>
      </c>
      <c r="B46" s="21" t="s">
        <v>412</v>
      </c>
      <c r="C46" s="21" t="s">
        <v>413</v>
      </c>
      <c r="D46" s="21" t="s">
        <v>368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414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415</v>
      </c>
      <c r="B48" s="21" t="s">
        <v>366</v>
      </c>
      <c r="C48" s="21" t="s">
        <v>416</v>
      </c>
      <c r="D48" s="21" t="s">
        <v>368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417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418</v>
      </c>
      <c r="B50" s="21" t="s">
        <v>419</v>
      </c>
      <c r="C50" s="21" t="s">
        <v>367</v>
      </c>
      <c r="D50" s="21" t="s">
        <v>368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371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420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421</v>
      </c>
      <c r="B53" s="21" t="s">
        <v>419</v>
      </c>
      <c r="C53" s="21" t="s">
        <v>375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/>
    </row>
    <row r="55" spans="1:12">
      <c r="A55" s="20" t="s">
        <v>422</v>
      </c>
    </row>
    <row r="56" spans="1:12">
      <c r="A56" s="20" t="s">
        <v>29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402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377</v>
      </c>
      <c r="B58" s="21" t="s">
        <v>378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423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418</v>
      </c>
      <c r="B60" s="21" t="s">
        <v>424</v>
      </c>
      <c r="C60" s="21" t="s">
        <v>367</v>
      </c>
      <c r="D60" s="21" t="s">
        <v>368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379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425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376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426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383</v>
      </c>
      <c r="B65" s="21" t="s">
        <v>378</v>
      </c>
      <c r="C65" s="21" t="s">
        <v>385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405</v>
      </c>
      <c r="B66" s="21" t="s">
        <v>424</v>
      </c>
      <c r="C66" s="21" t="s">
        <v>367</v>
      </c>
      <c r="D66" s="21" t="s">
        <v>368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427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377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/>
    </row>
    <row r="70" spans="1:12">
      <c r="A70" s="20" t="s">
        <v>428</v>
      </c>
    </row>
    <row r="71" spans="1:12">
      <c r="A71" s="20" t="s">
        <v>429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54</v>
      </c>
      <c r="B72" s="21" t="s">
        <v>366</v>
      </c>
      <c r="C72" s="21" t="s">
        <v>430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431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409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/>
    </row>
    <row r="76" spans="1:12">
      <c r="A76" s="20" t="s">
        <v>432</v>
      </c>
    </row>
    <row r="77" spans="1:12">
      <c r="A77" s="20" t="s">
        <v>433</v>
      </c>
      <c r="B77" s="21" t="s">
        <v>412</v>
      </c>
      <c r="C77" s="21" t="s">
        <v>434</v>
      </c>
      <c r="D77" s="21" t="s">
        <v>368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435</v>
      </c>
      <c r="B78" s="21" t="s">
        <v>374</v>
      </c>
      <c r="C78" s="21" t="s">
        <v>375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436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403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393</v>
      </c>
      <c r="B81" s="21" t="s">
        <v>366</v>
      </c>
      <c r="C81" s="21" t="s">
        <v>394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86</v>
      </c>
      <c r="B82" s="21" t="s">
        <v>419</v>
      </c>
      <c r="C82" s="21" t="s">
        <v>430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437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402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/>
    </row>
    <row r="86" spans="1:12">
      <c r="A86" s="20" t="s">
        <v>438</v>
      </c>
    </row>
    <row r="87" spans="1:12">
      <c r="A87" s="20" t="s">
        <v>439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440</v>
      </c>
      <c r="B88" s="21" t="s">
        <v>412</v>
      </c>
      <c r="C88" s="21" t="s">
        <v>385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418</v>
      </c>
      <c r="B89" s="21" t="s">
        <v>374</v>
      </c>
      <c r="C89" s="21" t="s">
        <v>367</v>
      </c>
      <c r="D89" s="21" t="s">
        <v>368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441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442</v>
      </c>
      <c r="B91" s="21" t="s">
        <v>366</v>
      </c>
      <c r="C91" s="21" t="s">
        <v>430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443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440</v>
      </c>
      <c r="B93" s="21" t="s">
        <v>444</v>
      </c>
      <c r="C93" s="21" t="s">
        <v>385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445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170</v>
      </c>
      <c r="B95" s="21" t="s">
        <v>412</v>
      </c>
      <c r="C95" s="21" t="s">
        <v>394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402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446</v>
      </c>
      <c r="B97" s="21" t="s">
        <v>444</v>
      </c>
      <c r="C97" s="21" t="s">
        <v>430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376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447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/>
    </row>
    <row r="101" spans="1:12">
      <c r="A101" s="20" t="s">
        <v>448</v>
      </c>
    </row>
    <row r="102" spans="1:12">
      <c r="A102" s="20" t="s">
        <v>449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450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451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376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452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453</v>
      </c>
      <c r="B107" s="21" t="s">
        <v>404</v>
      </c>
      <c r="C107" s="21" t="s">
        <v>367</v>
      </c>
      <c r="D107" s="21" t="s">
        <v>368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454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455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376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426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456</v>
      </c>
      <c r="B112" s="21" t="s">
        <v>384</v>
      </c>
      <c r="C112" s="21" t="s">
        <v>434</v>
      </c>
      <c r="D112" s="21" t="s">
        <v>368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457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458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391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459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460</v>
      </c>
    </row>
    <row r="119" spans="1:12">
      <c r="A119" s="20" t="s">
        <v>461</v>
      </c>
      <c r="B119" s="21" t="s">
        <v>374</v>
      </c>
      <c r="C119" s="21" t="s">
        <v>367</v>
      </c>
      <c r="D119" s="21" t="s">
        <v>368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462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86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402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463</v>
      </c>
      <c r="B123" s="21" t="s">
        <v>444</v>
      </c>
      <c r="C123" s="21" t="s">
        <v>413</v>
      </c>
      <c r="D123" s="21" t="s">
        <v>368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464</v>
      </c>
      <c r="B124" s="21" t="s">
        <v>412</v>
      </c>
      <c r="C124" s="21" t="s">
        <v>416</v>
      </c>
      <c r="D124" s="21" t="s">
        <v>368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50</v>
      </c>
      <c r="B125" s="21" t="s">
        <v>374</v>
      </c>
      <c r="C125" s="21" t="s">
        <v>394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409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/>
    </row>
    <row r="128" spans="1:12">
      <c r="A128" s="20" t="s">
        <v>465</v>
      </c>
    </row>
    <row r="129" spans="1:12">
      <c r="A129" s="20" t="s">
        <v>54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/>
    </row>
    <row r="131" spans="1:12">
      <c r="A131" s="20" t="s">
        <v>466</v>
      </c>
    </row>
    <row r="132" spans="1:12">
      <c r="A132" s="20" t="s">
        <v>467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468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469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440</v>
      </c>
      <c r="B135" s="21" t="s">
        <v>444</v>
      </c>
      <c r="C135" s="21" t="s">
        <v>385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470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170</v>
      </c>
      <c r="B137" s="21" t="s">
        <v>412</v>
      </c>
      <c r="C137" s="21" t="s">
        <v>394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376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471</v>
      </c>
      <c r="B139" s="21" t="s">
        <v>378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472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473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474</v>
      </c>
      <c r="B142" s="21" t="s">
        <v>374</v>
      </c>
      <c r="C142" s="21" t="s">
        <v>375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/>
    </row>
    <row r="144" spans="1:12">
      <c r="A144" s="20" t="s">
        <v>475</v>
      </c>
    </row>
    <row r="145" spans="1:12">
      <c r="A145" s="20" t="s">
        <v>476</v>
      </c>
      <c r="B145" s="21" t="s">
        <v>366</v>
      </c>
      <c r="C145" s="21" t="s">
        <v>430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477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409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/>
    </row>
    <row r="149" spans="1:12">
      <c r="A149" s="20" t="s">
        <v>478</v>
      </c>
    </row>
    <row r="150" spans="1:12">
      <c r="A150" s="20" t="s">
        <v>479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456</v>
      </c>
      <c r="B151" s="21" t="s">
        <v>378</v>
      </c>
      <c r="C151" s="21" t="s">
        <v>434</v>
      </c>
      <c r="D151" s="21" t="s">
        <v>368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480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371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481</v>
      </c>
      <c r="B154" s="21" t="s">
        <v>412</v>
      </c>
      <c r="C154" s="21" t="s">
        <v>375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482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376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483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461</v>
      </c>
      <c r="B158" s="21" t="s">
        <v>366</v>
      </c>
      <c r="C158" s="21" t="s">
        <v>367</v>
      </c>
      <c r="D158" s="21" t="s">
        <v>368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484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/>
    </row>
    <row r="161" spans="1:12">
      <c r="A161" s="20" t="s">
        <v>485</v>
      </c>
    </row>
    <row r="162" spans="1:12">
      <c r="A162" s="20" t="s">
        <v>486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487</v>
      </c>
      <c r="B163" s="21" t="s">
        <v>366</v>
      </c>
      <c r="C163" s="21" t="s">
        <v>430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376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488</v>
      </c>
      <c r="B165" s="21" t="s">
        <v>404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489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490</v>
      </c>
      <c r="B167" s="21" t="s">
        <v>491</v>
      </c>
      <c r="C167" s="21" t="s">
        <v>430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436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376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492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440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493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391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494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188</v>
      </c>
      <c r="B175" s="21" t="s">
        <v>378</v>
      </c>
      <c r="C175" s="21" t="s">
        <v>367</v>
      </c>
      <c r="D175" s="21" t="s">
        <v>368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495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405</v>
      </c>
      <c r="B177" s="21" t="s">
        <v>424</v>
      </c>
      <c r="C177" s="21" t="s">
        <v>367</v>
      </c>
      <c r="D177" s="21" t="s">
        <v>368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496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376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497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498</v>
      </c>
      <c r="B181" s="21" t="s">
        <v>499</v>
      </c>
      <c r="C181" s="21" t="s">
        <v>385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500</v>
      </c>
      <c r="B182" s="21" t="s">
        <v>404</v>
      </c>
      <c r="C182" s="21" t="s">
        <v>430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472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399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501</v>
      </c>
      <c r="B185" s="21" t="s">
        <v>444</v>
      </c>
      <c r="C185" s="21" t="s">
        <v>401</v>
      </c>
      <c r="D185" s="21" t="s">
        <v>368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502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409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189</v>
      </c>
      <c r="B188" s="21" t="s">
        <v>366</v>
      </c>
      <c r="C188" s="21" t="s">
        <v>367</v>
      </c>
      <c r="D188" s="21" t="s">
        <v>368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/>
    </row>
    <row r="190" spans="1:12">
      <c r="A190" s="20" t="s">
        <v>503</v>
      </c>
    </row>
    <row r="191" spans="1:12">
      <c r="A191" s="20" t="s">
        <v>504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505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376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506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449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507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409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/>
    </row>
    <row r="199" spans="1:12">
      <c r="A199" s="20" t="s">
        <v>508</v>
      </c>
    </row>
    <row r="200" spans="1:12">
      <c r="A200" s="20" t="s">
        <v>509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510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75</v>
      </c>
      <c r="B202" s="21" t="s">
        <v>374</v>
      </c>
      <c r="C202" s="21" t="s">
        <v>401</v>
      </c>
      <c r="D202" s="21" t="s">
        <v>368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376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511</v>
      </c>
      <c r="B204" s="21" t="s">
        <v>378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496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512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376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/>
    </row>
    <row r="209" spans="1:12">
      <c r="A209" s="20" t="s">
        <v>513</v>
      </c>
    </row>
    <row r="210" spans="1:12">
      <c r="A210" s="20" t="s">
        <v>426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405</v>
      </c>
      <c r="B211" s="21" t="s">
        <v>366</v>
      </c>
      <c r="C211" s="21" t="s">
        <v>367</v>
      </c>
      <c r="D211" s="21" t="s">
        <v>368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514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458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376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515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440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516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402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462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487</v>
      </c>
      <c r="B220" s="21" t="s">
        <v>424</v>
      </c>
      <c r="C220" s="21" t="s">
        <v>375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517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376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/>
    </row>
    <row r="224" spans="1:12">
      <c r="A224" s="20" t="s">
        <v>518</v>
      </c>
    </row>
    <row r="225" spans="1:12">
      <c r="A225" s="20" t="s">
        <v>439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440</v>
      </c>
      <c r="B226" s="21" t="s">
        <v>412</v>
      </c>
      <c r="C226" s="21" t="s">
        <v>385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418</v>
      </c>
      <c r="B227" s="21" t="s">
        <v>374</v>
      </c>
      <c r="C227" s="21" t="s">
        <v>367</v>
      </c>
      <c r="D227" s="21" t="s">
        <v>368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441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519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520</v>
      </c>
      <c r="B230" s="21" t="s">
        <v>378</v>
      </c>
      <c r="C230" s="21" t="s">
        <v>367</v>
      </c>
      <c r="D230" s="21" t="s">
        <v>368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521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440</v>
      </c>
      <c r="B232" s="21" t="s">
        <v>444</v>
      </c>
      <c r="C232" s="21" t="s">
        <v>385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522</v>
      </c>
      <c r="B233" s="21" t="s">
        <v>444</v>
      </c>
      <c r="C233" s="21" t="s">
        <v>523</v>
      </c>
      <c r="D233" s="21" t="s">
        <v>368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170</v>
      </c>
      <c r="B234" s="21" t="s">
        <v>412</v>
      </c>
      <c r="C234" s="21" t="s">
        <v>430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402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524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461</v>
      </c>
      <c r="B237" s="21" t="s">
        <v>491</v>
      </c>
      <c r="C237" s="21" t="s">
        <v>367</v>
      </c>
      <c r="D237" s="21" t="s">
        <v>368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/>
    </row>
    <row r="239" spans="1:12">
      <c r="A239" s="20" t="s">
        <v>525</v>
      </c>
    </row>
    <row r="240" spans="1:12">
      <c r="A240" s="20" t="s">
        <v>462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86</v>
      </c>
      <c r="B241" s="21" t="s">
        <v>374</v>
      </c>
      <c r="C241" s="21" t="s">
        <v>375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402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462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526</v>
      </c>
      <c r="B244" s="21" t="s">
        <v>374</v>
      </c>
      <c r="C244" s="21" t="s">
        <v>375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527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50</v>
      </c>
      <c r="B246" s="21" t="s">
        <v>374</v>
      </c>
      <c r="C246" s="21" t="s">
        <v>430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528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376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529</v>
      </c>
      <c r="B249" s="21" t="s">
        <v>404</v>
      </c>
      <c r="C249" s="21" t="s">
        <v>434</v>
      </c>
      <c r="D249" s="21" t="s">
        <v>368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530</v>
      </c>
      <c r="B250" s="21" t="s">
        <v>412</v>
      </c>
      <c r="C250" s="21" t="s">
        <v>434</v>
      </c>
      <c r="D250" s="21" t="s">
        <v>368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/>
    </row>
    <row r="252" spans="1:12">
      <c r="A252" s="20" t="s">
        <v>531</v>
      </c>
    </row>
    <row r="253" spans="1:12">
      <c r="A253" s="20" t="s">
        <v>393</v>
      </c>
      <c r="B253" s="21" t="s">
        <v>366</v>
      </c>
      <c r="C253" s="21" t="s">
        <v>430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461</v>
      </c>
      <c r="B254" s="21" t="s">
        <v>419</v>
      </c>
      <c r="C254" s="21" t="s">
        <v>367</v>
      </c>
      <c r="D254" s="21" t="s">
        <v>368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532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409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/>
    </row>
    <row r="258" spans="1:12">
      <c r="A258" s="20" t="s">
        <v>533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534</v>
      </c>
    </row>
    <row r="260" spans="1:12">
      <c r="A260" s="20" t="s">
        <v>535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94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/>
    </row>
    <row r="263" spans="1:12">
      <c r="A263" s="20" t="s">
        <v>533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536</v>
      </c>
    </row>
    <row r="265" spans="1:12">
      <c r="A265" s="20" t="s">
        <v>519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537</v>
      </c>
      <c r="B266" s="21" t="s">
        <v>419</v>
      </c>
      <c r="C266" s="21" t="s">
        <v>430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456</v>
      </c>
      <c r="B267" s="21" t="s">
        <v>378</v>
      </c>
      <c r="C267" s="21" t="s">
        <v>434</v>
      </c>
      <c r="D267" s="21" t="s">
        <v>368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538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539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540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94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504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484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487</v>
      </c>
      <c r="B274" s="21" t="s">
        <v>366</v>
      </c>
      <c r="C274" s="21" t="s">
        <v>401</v>
      </c>
      <c r="D274" s="21" t="s">
        <v>368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409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/>
    </row>
    <row r="277" spans="1:12">
      <c r="A277" s="20" t="s">
        <v>533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541</v>
      </c>
    </row>
    <row r="279" spans="1:12">
      <c r="A279" s="20" t="s">
        <v>94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376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12</v>
      </c>
      <c r="B281" s="21" t="s">
        <v>444</v>
      </c>
      <c r="C281" s="21" t="s">
        <v>542</v>
      </c>
      <c r="D281" s="21" t="s">
        <v>368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543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544</v>
      </c>
      <c r="B283" s="21" t="s">
        <v>412</v>
      </c>
      <c r="C283" s="21" t="s">
        <v>542</v>
      </c>
      <c r="D283" s="21" t="s">
        <v>368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376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94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439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54</v>
      </c>
      <c r="B287" s="21" t="s">
        <v>366</v>
      </c>
      <c r="C287" s="21" t="s">
        <v>542</v>
      </c>
      <c r="D287" s="21" t="s">
        <v>368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391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449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545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546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484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547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/>
    </row>
    <row r="295" spans="1:12">
      <c r="A295" s="20" t="s">
        <v>548</v>
      </c>
    </row>
    <row r="296" spans="1:12">
      <c r="A296" s="20" t="s">
        <v>106</v>
      </c>
      <c r="B296" s="21" t="s">
        <v>374</v>
      </c>
      <c r="C296" s="21" t="s">
        <v>430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376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471</v>
      </c>
      <c r="B298" s="21" t="s">
        <v>378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549</v>
      </c>
      <c r="B299" s="21" t="s">
        <v>378</v>
      </c>
      <c r="C299" s="21" t="s">
        <v>367</v>
      </c>
      <c r="D299" s="21" t="s">
        <v>368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550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396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551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552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376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472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399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553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554</v>
      </c>
      <c r="B308" s="21" t="s">
        <v>374</v>
      </c>
      <c r="C308" s="21" t="s">
        <v>401</v>
      </c>
      <c r="D308" s="21" t="s">
        <v>368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555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/>
    </row>
    <row r="311" spans="1:12">
      <c r="A311" s="20" t="s">
        <v>556</v>
      </c>
    </row>
    <row r="312" spans="1:12">
      <c r="A312" s="20" t="s">
        <v>110</v>
      </c>
      <c r="B312" s="21" t="s">
        <v>374</v>
      </c>
      <c r="C312" s="21" t="s">
        <v>430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409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/>
    </row>
    <row r="315" spans="1:12">
      <c r="A315" s="20" t="s">
        <v>533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557</v>
      </c>
    </row>
    <row r="317" spans="1:12">
      <c r="A317" s="20" t="s">
        <v>94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/>
    </row>
    <row r="319" spans="1:12">
      <c r="A319" s="20" t="s">
        <v>533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558</v>
      </c>
    </row>
    <row r="321" spans="1:12">
      <c r="A321" s="20" t="s">
        <v>94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94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/>
    </row>
    <row r="324" spans="1:12">
      <c r="A324" s="20" t="s">
        <v>533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559</v>
      </c>
    </row>
    <row r="326" spans="1:12">
      <c r="A326" s="20" t="s">
        <v>560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561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376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94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562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484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487</v>
      </c>
      <c r="B332" s="21" t="s">
        <v>378</v>
      </c>
      <c r="C332" s="21" t="s">
        <v>401</v>
      </c>
      <c r="D332" s="21" t="s">
        <v>368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376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453</v>
      </c>
      <c r="B334" s="21" t="s">
        <v>366</v>
      </c>
      <c r="C334" s="21" t="s">
        <v>367</v>
      </c>
      <c r="D334" s="21" t="s">
        <v>368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563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564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440</v>
      </c>
      <c r="B337" s="21" t="s">
        <v>412</v>
      </c>
      <c r="C337" s="21" t="s">
        <v>385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461</v>
      </c>
      <c r="B338" s="21" t="s">
        <v>374</v>
      </c>
      <c r="C338" s="21" t="s">
        <v>367</v>
      </c>
      <c r="D338" s="21" t="s">
        <v>368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/>
    </row>
    <row r="340" spans="1:12">
      <c r="A340" s="20" t="s">
        <v>565</v>
      </c>
    </row>
    <row r="341" spans="1:12">
      <c r="A341" s="20" t="s">
        <v>57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391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453</v>
      </c>
      <c r="B343" s="21" t="s">
        <v>366</v>
      </c>
      <c r="C343" s="21" t="s">
        <v>367</v>
      </c>
      <c r="D343" s="21" t="s">
        <v>368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566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567</v>
      </c>
      <c r="B345" s="21" t="s">
        <v>444</v>
      </c>
      <c r="C345" s="21" t="s">
        <v>413</v>
      </c>
      <c r="D345" s="21" t="s">
        <v>368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568</v>
      </c>
      <c r="B346" s="21" t="s">
        <v>424</v>
      </c>
      <c r="C346" s="21" t="s">
        <v>416</v>
      </c>
      <c r="D346" s="21" t="s">
        <v>368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569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376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570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549</v>
      </c>
      <c r="B350" s="21" t="s">
        <v>374</v>
      </c>
      <c r="C350" s="21" t="s">
        <v>367</v>
      </c>
      <c r="D350" s="21" t="s">
        <v>368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571</v>
      </c>
      <c r="B351" s="21" t="s">
        <v>424</v>
      </c>
      <c r="C351" s="21" t="s">
        <v>413</v>
      </c>
      <c r="D351" s="21" t="s">
        <v>368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402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572</v>
      </c>
      <c r="B353" s="21" t="s">
        <v>374</v>
      </c>
      <c r="C353" s="21" t="s">
        <v>434</v>
      </c>
      <c r="D353" s="21" t="s">
        <v>368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/>
    </row>
    <row r="355" spans="1:12">
      <c r="A355" s="20" t="s">
        <v>573</v>
      </c>
    </row>
    <row r="356" spans="1:12">
      <c r="A356" s="20" t="s">
        <v>119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269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376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574</v>
      </c>
      <c r="B359" s="21" t="s">
        <v>374</v>
      </c>
      <c r="C359" s="21" t="s">
        <v>575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576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577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17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578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409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167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/>
    </row>
    <row r="367" spans="1:12">
      <c r="A367" s="20" t="s">
        <v>579</v>
      </c>
    </row>
    <row r="368" spans="1:12">
      <c r="A368" s="20" t="s">
        <v>580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487</v>
      </c>
      <c r="B369" s="21" t="s">
        <v>366</v>
      </c>
      <c r="C369" s="21" t="s">
        <v>401</v>
      </c>
      <c r="D369" s="21" t="s">
        <v>368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581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582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583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584</v>
      </c>
      <c r="B373" s="21" t="s">
        <v>412</v>
      </c>
      <c r="C373" s="21" t="s">
        <v>385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585</v>
      </c>
      <c r="B374" s="21" t="s">
        <v>374</v>
      </c>
      <c r="C374" s="21" t="s">
        <v>586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587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399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588</v>
      </c>
      <c r="B377" s="21" t="s">
        <v>374</v>
      </c>
      <c r="C377" s="21" t="s">
        <v>401</v>
      </c>
      <c r="D377" s="21" t="s">
        <v>368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440</v>
      </c>
      <c r="B378" s="21" t="s">
        <v>374</v>
      </c>
      <c r="C378" s="21" t="s">
        <v>385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/>
    </row>
    <row r="380" spans="1:12">
      <c r="A380" s="20" t="s">
        <v>589</v>
      </c>
    </row>
    <row r="381" spans="1:12">
      <c r="A381" s="20" t="s">
        <v>133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376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484</v>
      </c>
      <c r="B383" s="21" t="s">
        <v>404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484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590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369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376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402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377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429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326</v>
      </c>
      <c r="B391" s="21" t="s">
        <v>378</v>
      </c>
      <c r="C391" s="21" t="s">
        <v>401</v>
      </c>
      <c r="D391" s="21" t="s">
        <v>368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467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587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/>
    </row>
    <row r="395" spans="1:12">
      <c r="A395" s="20" t="s">
        <v>591</v>
      </c>
    </row>
    <row r="396" spans="1:12">
      <c r="A396" s="20" t="s">
        <v>399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592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588</v>
      </c>
      <c r="B398" s="21" t="s">
        <v>419</v>
      </c>
      <c r="C398" s="21" t="s">
        <v>401</v>
      </c>
      <c r="D398" s="21" t="s">
        <v>368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469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376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402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593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594</v>
      </c>
      <c r="B403" s="21" t="s">
        <v>424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595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376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596</v>
      </c>
      <c r="B406" s="21" t="s">
        <v>374</v>
      </c>
      <c r="C406" s="21" t="s">
        <v>542</v>
      </c>
      <c r="D406" s="21" t="s">
        <v>368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/>
    </row>
    <row r="408" spans="1:12">
      <c r="A408" s="20" t="s">
        <v>597</v>
      </c>
    </row>
    <row r="409" spans="1:12">
      <c r="A409" s="20" t="s">
        <v>440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141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376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598</v>
      </c>
      <c r="B412" s="21" t="s">
        <v>424</v>
      </c>
      <c r="C412" s="21" t="s">
        <v>430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440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599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402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600</v>
      </c>
      <c r="B416" s="21" t="s">
        <v>424</v>
      </c>
      <c r="C416" s="21" t="s">
        <v>430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440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601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/>
    </row>
    <row r="420" spans="1:12">
      <c r="A420" s="20" t="s">
        <v>602</v>
      </c>
    </row>
    <row r="421" spans="1:12">
      <c r="A421" s="20" t="s">
        <v>398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547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603</v>
      </c>
      <c r="B423" s="21" t="s">
        <v>374</v>
      </c>
      <c r="C423" s="21" t="s">
        <v>430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376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471</v>
      </c>
      <c r="B425" s="21" t="s">
        <v>491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456</v>
      </c>
      <c r="B426" s="21" t="s">
        <v>404</v>
      </c>
      <c r="C426" s="21" t="s">
        <v>434</v>
      </c>
      <c r="D426" s="21" t="s">
        <v>368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604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409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580</v>
      </c>
      <c r="B429" s="21" t="s">
        <v>412</v>
      </c>
      <c r="C429" s="21" t="s">
        <v>434</v>
      </c>
      <c r="D429" s="21" t="s">
        <v>368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487</v>
      </c>
      <c r="B430" s="21" t="s">
        <v>366</v>
      </c>
      <c r="C430" s="21" t="s">
        <v>542</v>
      </c>
      <c r="D430" s="21" t="s">
        <v>368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482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605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606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/>
    </row>
    <row r="435" spans="1:12">
      <c r="A435" s="20" t="s">
        <v>607</v>
      </c>
    </row>
    <row r="436" spans="1:12">
      <c r="A436" s="20" t="s">
        <v>399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608</v>
      </c>
      <c r="B437" s="21" t="s">
        <v>412</v>
      </c>
      <c r="C437" s="21" t="s">
        <v>401</v>
      </c>
      <c r="D437" s="21" t="s">
        <v>368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484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170</v>
      </c>
      <c r="B439" s="21" t="s">
        <v>404</v>
      </c>
      <c r="C439" s="21" t="s">
        <v>401</v>
      </c>
      <c r="D439" s="21" t="s">
        <v>368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582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391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188</v>
      </c>
      <c r="B442" s="21" t="s">
        <v>366</v>
      </c>
      <c r="C442" s="21" t="s">
        <v>367</v>
      </c>
      <c r="D442" s="21" t="s">
        <v>368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609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582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441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610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376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610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409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/>
    </row>
    <row r="451" spans="1:12">
      <c r="A451" s="20" t="s">
        <v>533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611</v>
      </c>
    </row>
    <row r="453" spans="1:12">
      <c r="A453" s="20" t="s">
        <v>94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612</v>
      </c>
      <c r="B454" s="21" t="s">
        <v>366</v>
      </c>
      <c r="C454" s="21" t="s">
        <v>575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613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577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540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94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/>
    </row>
    <row r="460" spans="1:12">
      <c r="A460" s="20" t="s">
        <v>533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614</v>
      </c>
    </row>
    <row r="462" spans="1:12">
      <c r="A462" s="20" t="s">
        <v>615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616</v>
      </c>
      <c r="B463" s="21" t="s">
        <v>366</v>
      </c>
      <c r="C463" s="21" t="s">
        <v>394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376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377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54</v>
      </c>
      <c r="B466" s="21" t="s">
        <v>412</v>
      </c>
      <c r="C466" s="21" t="s">
        <v>401</v>
      </c>
      <c r="D466" s="21" t="s">
        <v>368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376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94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439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484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487</v>
      </c>
      <c r="B471" s="21" t="s">
        <v>374</v>
      </c>
      <c r="C471" s="21" t="s">
        <v>401</v>
      </c>
      <c r="D471" s="21" t="s">
        <v>368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376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472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12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/>
    </row>
    <row r="476" spans="1:12">
      <c r="A476" s="20" t="s">
        <v>617</v>
      </c>
    </row>
    <row r="477" spans="1:12">
      <c r="A477" s="20" t="s">
        <v>399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188</v>
      </c>
      <c r="B478" s="21" t="s">
        <v>366</v>
      </c>
      <c r="C478" s="21" t="s">
        <v>367</v>
      </c>
      <c r="D478" s="21" t="s">
        <v>368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618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619</v>
      </c>
      <c r="B480" s="21" t="s">
        <v>419</v>
      </c>
      <c r="C480" s="21" t="s">
        <v>394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620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391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519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453</v>
      </c>
      <c r="B484" s="21" t="s">
        <v>378</v>
      </c>
      <c r="C484" s="21" t="s">
        <v>367</v>
      </c>
      <c r="D484" s="21" t="s">
        <v>368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459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621</v>
      </c>
      <c r="B486" s="21" t="s">
        <v>424</v>
      </c>
      <c r="C486" s="21" t="s">
        <v>367</v>
      </c>
      <c r="D486" s="21" t="s">
        <v>368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462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622</v>
      </c>
      <c r="B488" s="21" t="s">
        <v>424</v>
      </c>
      <c r="C488" s="21" t="s">
        <v>375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/>
    </row>
    <row r="491" spans="1:12">
      <c r="A491" s="20" t="s">
        <v>623</v>
      </c>
    </row>
    <row r="492" spans="1:12">
      <c r="A492" s="20" t="s">
        <v>163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402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371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464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50</v>
      </c>
      <c r="B496" s="21" t="s">
        <v>374</v>
      </c>
      <c r="C496" s="21" t="s">
        <v>375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376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511</v>
      </c>
      <c r="B498" s="21" t="s">
        <v>404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530</v>
      </c>
      <c r="B499" s="21" t="s">
        <v>499</v>
      </c>
      <c r="C499" s="21" t="s">
        <v>523</v>
      </c>
      <c r="D499" s="21" t="s">
        <v>368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393</v>
      </c>
      <c r="B500" s="21" t="s">
        <v>404</v>
      </c>
      <c r="C500" s="21" t="s">
        <v>430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621</v>
      </c>
      <c r="B501" s="21" t="s">
        <v>491</v>
      </c>
      <c r="C501" s="21" t="s">
        <v>367</v>
      </c>
      <c r="D501" s="21" t="s">
        <v>368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532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409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/>
    </row>
    <row r="505" spans="1:12">
      <c r="A505" s="20" t="s">
        <v>624</v>
      </c>
    </row>
    <row r="506" spans="1:12">
      <c r="A506" s="20" t="s">
        <v>167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/>
    </row>
    <row r="508" spans="1:12">
      <c r="A508" s="20" t="s">
        <v>625</v>
      </c>
    </row>
    <row r="509" spans="1:12">
      <c r="A509" s="20" t="s">
        <v>626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414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170</v>
      </c>
      <c r="B511" s="21" t="s">
        <v>374</v>
      </c>
      <c r="C511" s="21" t="s">
        <v>401</v>
      </c>
      <c r="D511" s="21" t="s">
        <v>368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376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529</v>
      </c>
      <c r="B513" s="21" t="s">
        <v>378</v>
      </c>
      <c r="C513" s="21" t="s">
        <v>434</v>
      </c>
      <c r="D513" s="21" t="s">
        <v>368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472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399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627</v>
      </c>
      <c r="B516" s="21" t="s">
        <v>412</v>
      </c>
      <c r="C516" s="21" t="s">
        <v>401</v>
      </c>
      <c r="D516" s="21" t="s">
        <v>368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628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376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497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456</v>
      </c>
      <c r="B520" s="21" t="s">
        <v>404</v>
      </c>
      <c r="C520" s="21" t="s">
        <v>434</v>
      </c>
      <c r="D520" s="21" t="s">
        <v>368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629</v>
      </c>
      <c r="B521" s="21" t="s">
        <v>412</v>
      </c>
      <c r="C521" s="21" t="s">
        <v>385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/>
    </row>
    <row r="523" spans="1:12">
      <c r="A523" s="20" t="s">
        <v>630</v>
      </c>
    </row>
    <row r="524" spans="1:12">
      <c r="A524" s="20" t="s">
        <v>631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369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376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632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418</v>
      </c>
      <c r="B528" s="21" t="s">
        <v>424</v>
      </c>
      <c r="C528" s="21" t="s">
        <v>367</v>
      </c>
      <c r="D528" s="21" t="s">
        <v>368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440</v>
      </c>
      <c r="B529" s="21" t="s">
        <v>412</v>
      </c>
      <c r="C529" s="21" t="s">
        <v>385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441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519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633</v>
      </c>
      <c r="B532" s="21" t="s">
        <v>412</v>
      </c>
      <c r="C532" s="21" t="s">
        <v>430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582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399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634</v>
      </c>
      <c r="B535" s="21" t="s">
        <v>444</v>
      </c>
      <c r="C535" s="21" t="s">
        <v>401</v>
      </c>
      <c r="D535" s="21" t="s">
        <v>368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376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379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578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/>
    </row>
    <row r="540" spans="1:12">
      <c r="A540" s="20" t="s">
        <v>635</v>
      </c>
    </row>
    <row r="541" spans="1:12">
      <c r="A541" s="20" t="s">
        <v>377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636</v>
      </c>
      <c r="B542" s="21" t="s">
        <v>366</v>
      </c>
      <c r="C542" s="21" t="s">
        <v>401</v>
      </c>
      <c r="D542" s="21" t="s">
        <v>368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178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409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/>
    </row>
    <row r="546" spans="1:12">
      <c r="A546" s="20" t="s">
        <v>533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557</v>
      </c>
    </row>
    <row r="548" spans="1:12">
      <c r="A548" s="20" t="s">
        <v>94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/>
    </row>
    <row r="550" spans="1:12">
      <c r="A550" s="20" t="s">
        <v>637</v>
      </c>
    </row>
    <row r="551" spans="1:12">
      <c r="A551" s="20" t="s">
        <v>580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487</v>
      </c>
      <c r="B552" s="21" t="s">
        <v>366</v>
      </c>
      <c r="C552" s="21" t="s">
        <v>401</v>
      </c>
      <c r="D552" s="21" t="s">
        <v>368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638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582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399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639</v>
      </c>
      <c r="B556" s="21" t="s">
        <v>374</v>
      </c>
      <c r="C556" s="21" t="s">
        <v>401</v>
      </c>
      <c r="D556" s="21" t="s">
        <v>368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402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471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200</v>
      </c>
      <c r="B559" s="21" t="s">
        <v>412</v>
      </c>
      <c r="C559" s="21" t="s">
        <v>401</v>
      </c>
      <c r="D559" s="21" t="s">
        <v>368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467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587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409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/>
    </row>
    <row r="564" spans="1:12">
      <c r="A564" s="20" t="s">
        <v>640</v>
      </c>
    </row>
    <row r="565" spans="1:12">
      <c r="A565" s="20" t="s">
        <v>189</v>
      </c>
      <c r="B565" s="21" t="s">
        <v>374</v>
      </c>
      <c r="C565" s="21" t="s">
        <v>367</v>
      </c>
      <c r="D565" s="21" t="s">
        <v>368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/>
    </row>
    <row r="567" spans="1:12">
      <c r="A567" s="20" t="s">
        <v>641</v>
      </c>
    </row>
    <row r="568" spans="1:12">
      <c r="A568" s="20" t="s">
        <v>642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594</v>
      </c>
      <c r="B569" s="21" t="s">
        <v>419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587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471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414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415</v>
      </c>
      <c r="B573" s="21" t="s">
        <v>374</v>
      </c>
      <c r="C573" s="21" t="s">
        <v>401</v>
      </c>
      <c r="D573" s="21" t="s">
        <v>368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402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643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456</v>
      </c>
      <c r="B576" s="21" t="s">
        <v>424</v>
      </c>
      <c r="C576" s="21" t="s">
        <v>434</v>
      </c>
      <c r="D576" s="21" t="s">
        <v>368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527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473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644</v>
      </c>
      <c r="B579" s="21" t="s">
        <v>412</v>
      </c>
      <c r="C579" s="21" t="s">
        <v>375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376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/>
    </row>
    <row r="582" spans="1:12">
      <c r="A582" s="20" t="s">
        <v>645</v>
      </c>
    </row>
    <row r="583" spans="1:12">
      <c r="A583" s="20" t="s">
        <v>452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188</v>
      </c>
      <c r="B584" s="21" t="s">
        <v>378</v>
      </c>
      <c r="C584" s="21" t="s">
        <v>367</v>
      </c>
      <c r="D584" s="21" t="s">
        <v>368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436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646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382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647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648</v>
      </c>
      <c r="B589" s="21" t="s">
        <v>412</v>
      </c>
      <c r="C589" s="21" t="s">
        <v>586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649</v>
      </c>
      <c r="B590" s="21" t="s">
        <v>424</v>
      </c>
      <c r="C590" s="21" t="s">
        <v>434</v>
      </c>
      <c r="D590" s="21" t="s">
        <v>368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650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409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651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652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/>
    </row>
    <row r="596" spans="1:12">
      <c r="A596" s="20" t="s">
        <v>653</v>
      </c>
    </row>
    <row r="597" spans="1:12">
      <c r="A597" s="20" t="s">
        <v>188</v>
      </c>
      <c r="B597" s="21" t="s">
        <v>366</v>
      </c>
      <c r="C597" s="21" t="s">
        <v>367</v>
      </c>
      <c r="D597" s="21" t="s">
        <v>368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471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200</v>
      </c>
      <c r="B599" s="21" t="s">
        <v>374</v>
      </c>
      <c r="C599" s="21" t="s">
        <v>401</v>
      </c>
      <c r="D599" s="21" t="s">
        <v>368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440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402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654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594</v>
      </c>
      <c r="B603" s="21" t="s">
        <v>424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472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377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655</v>
      </c>
      <c r="B606" s="21" t="s">
        <v>412</v>
      </c>
      <c r="C606" s="21" t="s">
        <v>401</v>
      </c>
      <c r="D606" s="21" t="s">
        <v>368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484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170</v>
      </c>
      <c r="B608" s="21" t="s">
        <v>444</v>
      </c>
      <c r="C608" s="21" t="s">
        <v>401</v>
      </c>
      <c r="D608" s="21" t="s">
        <v>368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402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/>
    </row>
    <row r="611" spans="1:12">
      <c r="A611" s="20" t="s">
        <v>656</v>
      </c>
    </row>
    <row r="612" spans="1:12">
      <c r="A612" s="20" t="s">
        <v>657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587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54</v>
      </c>
      <c r="B614" s="21" t="s">
        <v>374</v>
      </c>
      <c r="C614" s="21" t="s">
        <v>430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376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471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658</v>
      </c>
      <c r="B617" s="21" t="s">
        <v>444</v>
      </c>
      <c r="C617" s="21" t="s">
        <v>385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659</v>
      </c>
      <c r="B618" s="21" t="s">
        <v>412</v>
      </c>
      <c r="C618" s="21" t="s">
        <v>401</v>
      </c>
      <c r="D618" s="21" t="s">
        <v>368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660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582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471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200</v>
      </c>
      <c r="B622" s="21" t="s">
        <v>444</v>
      </c>
      <c r="C622" s="21" t="s">
        <v>401</v>
      </c>
      <c r="D622" s="21" t="s">
        <v>368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/>
    </row>
    <row r="624" spans="1:12">
      <c r="A624" s="20" t="s">
        <v>661</v>
      </c>
    </row>
    <row r="625" spans="1:12">
      <c r="A625" s="20" t="s">
        <v>662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441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663</v>
      </c>
      <c r="B627" s="21" t="s">
        <v>374</v>
      </c>
      <c r="C627" s="21" t="s">
        <v>542</v>
      </c>
      <c r="D627" s="21" t="s">
        <v>368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376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610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409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/>
    </row>
    <row r="632" spans="1:12">
      <c r="A632" s="20" t="s">
        <v>533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664</v>
      </c>
    </row>
    <row r="634" spans="1:12">
      <c r="A634" s="20" t="s">
        <v>612</v>
      </c>
      <c r="B634" s="21" t="s">
        <v>366</v>
      </c>
      <c r="C634" s="21" t="s">
        <v>575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613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577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540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94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/>
    </row>
    <row r="640" spans="1:12">
      <c r="A640" s="20" t="s">
        <v>665</v>
      </c>
    </row>
    <row r="641" spans="1:12">
      <c r="A641" s="20" t="s">
        <v>54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376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511</v>
      </c>
      <c r="B643" s="21" t="s">
        <v>378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471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666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619</v>
      </c>
      <c r="B646" s="21" t="s">
        <v>424</v>
      </c>
      <c r="C646" s="21" t="s">
        <v>401</v>
      </c>
      <c r="D646" s="21" t="s">
        <v>368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555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667</v>
      </c>
      <c r="B648" s="21" t="s">
        <v>444</v>
      </c>
      <c r="C648" s="21" t="s">
        <v>401</v>
      </c>
      <c r="D648" s="21" t="s">
        <v>368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668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376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/>
    </row>
    <row r="652" spans="1:12">
      <c r="A652" s="20" t="s">
        <v>669</v>
      </c>
    </row>
    <row r="653" spans="1:12">
      <c r="A653" s="20" t="s">
        <v>436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576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670</v>
      </c>
      <c r="B655" s="21" t="s">
        <v>419</v>
      </c>
      <c r="C655" s="21" t="s">
        <v>430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376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494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577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405</v>
      </c>
      <c r="B659" s="21" t="s">
        <v>378</v>
      </c>
      <c r="C659" s="21" t="s">
        <v>367</v>
      </c>
      <c r="D659" s="21" t="s">
        <v>368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671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376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426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403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170</v>
      </c>
      <c r="B664" s="21" t="s">
        <v>378</v>
      </c>
      <c r="C664" s="21" t="s">
        <v>394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/>
    </row>
    <row r="666" spans="1:12">
      <c r="A666" s="20" t="s">
        <v>672</v>
      </c>
    </row>
    <row r="667" spans="1:12">
      <c r="A667" s="20" t="s">
        <v>673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674</v>
      </c>
      <c r="B668" s="21" t="s">
        <v>419</v>
      </c>
      <c r="C668" s="21" t="s">
        <v>401</v>
      </c>
      <c r="D668" s="21" t="s">
        <v>368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675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376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676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405</v>
      </c>
      <c r="B672" s="21" t="s">
        <v>366</v>
      </c>
      <c r="C672" s="21" t="s">
        <v>367</v>
      </c>
      <c r="D672" s="21" t="s">
        <v>368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441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365</v>
      </c>
      <c r="B674" s="21" t="s">
        <v>378</v>
      </c>
      <c r="C674" s="21" t="s">
        <v>367</v>
      </c>
      <c r="D674" s="21" t="s">
        <v>368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613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615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616</v>
      </c>
      <c r="B677" s="21" t="s">
        <v>378</v>
      </c>
      <c r="C677" s="21" t="s">
        <v>430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376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377</v>
      </c>
      <c r="B679" s="21" t="s">
        <v>444</v>
      </c>
      <c r="C679" s="21" t="s">
        <v>434</v>
      </c>
      <c r="D679" s="21" t="s">
        <v>368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/>
    </row>
    <row r="681" spans="1:12">
      <c r="A681" s="20" t="s">
        <v>677</v>
      </c>
    </row>
    <row r="682" spans="1:12">
      <c r="A682" s="20" t="s">
        <v>54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391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492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678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679</v>
      </c>
      <c r="B686" s="21" t="s">
        <v>366</v>
      </c>
      <c r="C686" s="21" t="s">
        <v>434</v>
      </c>
      <c r="D686" s="21" t="s">
        <v>368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462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86</v>
      </c>
      <c r="B688" s="21" t="s">
        <v>419</v>
      </c>
      <c r="C688" s="21" t="s">
        <v>375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402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371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464</v>
      </c>
      <c r="B691" s="21" t="s">
        <v>412</v>
      </c>
      <c r="C691" s="21" t="s">
        <v>375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/>
    </row>
    <row r="693" spans="1:12">
      <c r="A693" s="20" t="s">
        <v>680</v>
      </c>
    </row>
    <row r="694" spans="1:12">
      <c r="A694" s="20" t="s">
        <v>50</v>
      </c>
      <c r="B694" s="21" t="s">
        <v>374</v>
      </c>
      <c r="C694" s="21" t="s">
        <v>430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376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673</v>
      </c>
      <c r="B696" s="21" t="s">
        <v>424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471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393</v>
      </c>
      <c r="B698" s="21" t="s">
        <v>378</v>
      </c>
      <c r="C698" s="21" t="s">
        <v>401</v>
      </c>
      <c r="D698" s="21" t="s">
        <v>368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679</v>
      </c>
      <c r="B699" s="21" t="s">
        <v>444</v>
      </c>
      <c r="C699" s="21" t="s">
        <v>434</v>
      </c>
      <c r="D699" s="21" t="s">
        <v>368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532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409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/>
    </row>
    <row r="703" spans="1:12">
      <c r="A703" s="20" t="s">
        <v>533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558</v>
      </c>
    </row>
    <row r="705" spans="1:12">
      <c r="A705" s="20" t="s">
        <v>94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94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/>
    </row>
    <row r="708" spans="1:12">
      <c r="A708" s="20" t="s">
        <v>681</v>
      </c>
    </row>
    <row r="709" spans="1:12">
      <c r="A709" s="20" t="s">
        <v>580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487</v>
      </c>
      <c r="B710" s="21" t="s">
        <v>366</v>
      </c>
      <c r="C710" s="21" t="s">
        <v>401</v>
      </c>
      <c r="D710" s="21" t="s">
        <v>368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632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461</v>
      </c>
      <c r="B712" s="21" t="s">
        <v>419</v>
      </c>
      <c r="C712" s="21" t="s">
        <v>434</v>
      </c>
      <c r="D712" s="21" t="s">
        <v>368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440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376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682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188</v>
      </c>
      <c r="B716" s="21" t="s">
        <v>378</v>
      </c>
      <c r="C716" s="21" t="s">
        <v>367</v>
      </c>
      <c r="D716" s="21" t="s">
        <v>368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403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619</v>
      </c>
      <c r="B718" s="21" t="s">
        <v>424</v>
      </c>
      <c r="C718" s="21" t="s">
        <v>394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371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683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/>
    </row>
    <row r="722" spans="1:12">
      <c r="A722" s="20" t="s">
        <v>684</v>
      </c>
    </row>
    <row r="723" spans="1:12">
      <c r="A723" s="20" t="s">
        <v>685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441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519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633</v>
      </c>
      <c r="B726" s="21" t="s">
        <v>404</v>
      </c>
      <c r="C726" s="21" t="s">
        <v>430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582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399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634</v>
      </c>
      <c r="B729" s="21" t="s">
        <v>499</v>
      </c>
      <c r="C729" s="21" t="s">
        <v>401</v>
      </c>
      <c r="D729" s="21" t="s">
        <v>368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376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379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578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377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636</v>
      </c>
      <c r="B734" s="21" t="s">
        <v>366</v>
      </c>
      <c r="C734" s="21" t="s">
        <v>401</v>
      </c>
      <c r="D734" s="21" t="s">
        <v>368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587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12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/>
    </row>
    <row r="738" spans="1:12">
      <c r="A738" s="20" t="s">
        <v>686</v>
      </c>
    </row>
    <row r="739" spans="1:12">
      <c r="A739" s="20" t="s">
        <v>57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409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/>
    </row>
    <row r="742" spans="1:12">
      <c r="A742" s="20" t="s">
        <v>533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557</v>
      </c>
    </row>
    <row r="744" spans="1:12">
      <c r="A744" s="20" t="s">
        <v>94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/>
    </row>
    <row r="746" spans="1:12">
      <c r="A746" s="20" t="s">
        <v>687</v>
      </c>
    </row>
    <row r="747" spans="1:12">
      <c r="A747" s="20" t="s">
        <v>54</v>
      </c>
      <c r="B747" s="21" t="s">
        <v>366</v>
      </c>
      <c r="C747" s="21" t="s">
        <v>542</v>
      </c>
      <c r="D747" s="21" t="s">
        <v>368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638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582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399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639</v>
      </c>
      <c r="B751" s="21" t="s">
        <v>374</v>
      </c>
      <c r="C751" s="21" t="s">
        <v>401</v>
      </c>
      <c r="D751" s="21" t="s">
        <v>368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402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471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200</v>
      </c>
      <c r="B754" s="21" t="s">
        <v>412</v>
      </c>
      <c r="C754" s="21" t="s">
        <v>401</v>
      </c>
      <c r="D754" s="21" t="s">
        <v>368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467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587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409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/>
    </row>
    <row r="759" spans="1:12">
      <c r="A759" s="20" t="s">
        <v>688</v>
      </c>
    </row>
    <row r="760" spans="1:12">
      <c r="A760" s="20" t="s">
        <v>479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484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487</v>
      </c>
      <c r="B762" s="21" t="s">
        <v>412</v>
      </c>
      <c r="C762" s="21" t="s">
        <v>401</v>
      </c>
      <c r="D762" s="21" t="s">
        <v>368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449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689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690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376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439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188</v>
      </c>
      <c r="B768" s="21" t="s">
        <v>366</v>
      </c>
      <c r="C768" s="21" t="s">
        <v>367</v>
      </c>
      <c r="D768" s="21" t="s">
        <v>368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440</v>
      </c>
      <c r="B769" s="21" t="s">
        <v>412</v>
      </c>
      <c r="C769" s="21" t="s">
        <v>385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461</v>
      </c>
      <c r="B770" s="21" t="s">
        <v>374</v>
      </c>
      <c r="C770" s="21" t="s">
        <v>367</v>
      </c>
      <c r="D770" s="21" t="s">
        <v>368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376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682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188</v>
      </c>
      <c r="B773" s="21" t="s">
        <v>404</v>
      </c>
      <c r="C773" s="21" t="s">
        <v>367</v>
      </c>
      <c r="D773" s="21" t="s">
        <v>368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594</v>
      </c>
      <c r="B774" s="21" t="s">
        <v>424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/>
    </row>
    <row r="776" spans="1:12">
      <c r="A776" s="20" t="s">
        <v>691</v>
      </c>
    </row>
    <row r="777" spans="1:12">
      <c r="A777" s="20" t="s">
        <v>692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399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693</v>
      </c>
      <c r="B779" s="21" t="s">
        <v>374</v>
      </c>
      <c r="C779" s="21" t="s">
        <v>401</v>
      </c>
      <c r="D779" s="21" t="s">
        <v>368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694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441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695</v>
      </c>
      <c r="B782" s="21" t="s">
        <v>366</v>
      </c>
      <c r="C782" s="21" t="s">
        <v>430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673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86</v>
      </c>
      <c r="B784" s="21" t="s">
        <v>419</v>
      </c>
      <c r="C784" s="21" t="s">
        <v>401</v>
      </c>
      <c r="D784" s="21" t="s">
        <v>368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402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377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696</v>
      </c>
      <c r="B787" s="21" t="s">
        <v>412</v>
      </c>
      <c r="C787" s="21" t="s">
        <v>401</v>
      </c>
      <c r="D787" s="21" t="s">
        <v>368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>
        <f/>
        <v>0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/>
    </row>
    <row r="790" spans="1:12">
      <c r="A790" s="20" t="s">
        <v>697</v>
      </c>
    </row>
    <row r="791" spans="1:12">
      <c r="A791" s="20" t="s">
        <v>257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50</v>
      </c>
      <c r="B792" s="21" t="s">
        <v>366</v>
      </c>
      <c r="C792" s="21" t="s">
        <v>430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587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673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698</v>
      </c>
      <c r="B795" s="21" t="s">
        <v>374</v>
      </c>
      <c r="C795" s="21" t="s">
        <v>401</v>
      </c>
      <c r="D795" s="21" t="s">
        <v>368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402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699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440</v>
      </c>
      <c r="B798" s="21" t="s">
        <v>444</v>
      </c>
      <c r="C798" s="21" t="s">
        <v>385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700</v>
      </c>
      <c r="B799" s="21" t="s">
        <v>412</v>
      </c>
      <c r="C799" s="21" t="s">
        <v>367</v>
      </c>
      <c r="D799" s="21" t="s">
        <v>368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701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655</v>
      </c>
      <c r="B801" s="21" t="s">
        <v>424</v>
      </c>
      <c r="C801" s="21" t="s">
        <v>430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409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/>
    </row>
    <row r="804" spans="1:12">
      <c r="A804" s="20" t="s">
        <v>533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558</v>
      </c>
    </row>
    <row r="806" spans="1:12">
      <c r="A806" s="20" t="s">
        <v>94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94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/>
    </row>
    <row r="809" spans="1:12">
      <c r="A809" s="20" t="s">
        <v>702</v>
      </c>
    </row>
    <row r="810" spans="1:12">
      <c r="A810" s="20" t="s">
        <v>54</v>
      </c>
      <c r="B810" s="21" t="s">
        <v>366</v>
      </c>
      <c r="C810" s="21" t="s">
        <v>542</v>
      </c>
      <c r="D810" s="21" t="s">
        <v>368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638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594</v>
      </c>
      <c r="B812" s="21" t="s">
        <v>419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583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402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654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594</v>
      </c>
      <c r="B816" s="21" t="s">
        <v>424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701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655</v>
      </c>
      <c r="B818" s="21" t="s">
        <v>491</v>
      </c>
      <c r="C818" s="21" t="s">
        <v>430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376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703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405</v>
      </c>
      <c r="B821" s="21" t="s">
        <v>404</v>
      </c>
      <c r="C821" s="21" t="s">
        <v>367</v>
      </c>
      <c r="D821" s="21" t="s">
        <v>368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/>
    </row>
    <row r="823" spans="1:12">
      <c r="A823" s="20" t="s">
        <v>704</v>
      </c>
    </row>
    <row r="824" spans="1:12">
      <c r="A824" s="20" t="s">
        <v>538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705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706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377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707</v>
      </c>
      <c r="B828" s="21" t="s">
        <v>374</v>
      </c>
      <c r="C828" s="21" t="s">
        <v>401</v>
      </c>
      <c r="D828" s="21" t="s">
        <v>368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708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170</v>
      </c>
      <c r="B830" s="21" t="s">
        <v>412</v>
      </c>
      <c r="C830" s="21" t="s">
        <v>394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369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376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382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405</v>
      </c>
      <c r="B834" s="21" t="s">
        <v>366</v>
      </c>
      <c r="C834" s="21" t="s">
        <v>367</v>
      </c>
      <c r="D834" s="21" t="s">
        <v>368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/>
    </row>
    <row r="836" spans="1:12">
      <c r="A836" s="20" t="s">
        <v>709</v>
      </c>
    </row>
    <row r="837" spans="1:12">
      <c r="A837" s="20" t="s">
        <v>411</v>
      </c>
      <c r="B837" s="21" t="s">
        <v>366</v>
      </c>
      <c r="C837" s="21" t="s">
        <v>413</v>
      </c>
      <c r="D837" s="21" t="s">
        <v>368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710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690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409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/>
    </row>
    <row r="842" spans="1:12">
      <c r="A842" s="20" t="s">
        <v>711</v>
      </c>
    </row>
    <row r="843" spans="1:12">
      <c r="A843" s="20" t="s">
        <v>365</v>
      </c>
      <c r="B843" s="21" t="s">
        <v>366</v>
      </c>
      <c r="C843" s="21" t="s">
        <v>367</v>
      </c>
      <c r="D843" s="21" t="s">
        <v>368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439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440</v>
      </c>
      <c r="B845" s="21" t="s">
        <v>412</v>
      </c>
      <c r="C845" s="21" t="s">
        <v>385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461</v>
      </c>
      <c r="B846" s="21" t="s">
        <v>374</v>
      </c>
      <c r="C846" s="21" t="s">
        <v>367</v>
      </c>
      <c r="D846" s="21" t="s">
        <v>368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441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519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712</v>
      </c>
      <c r="B849" s="21" t="s">
        <v>412</v>
      </c>
      <c r="C849" s="21" t="s">
        <v>542</v>
      </c>
      <c r="D849" s="21" t="s">
        <v>368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170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376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713</v>
      </c>
      <c r="B852" s="21" t="s">
        <v>366</v>
      </c>
      <c r="C852" s="21" t="s">
        <v>434</v>
      </c>
      <c r="D852" s="21" t="s">
        <v>368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/>
    </row>
    <row r="854" spans="1:12">
      <c r="A854" s="20" t="s">
        <v>533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714</v>
      </c>
    </row>
    <row r="856" spans="1:12">
      <c r="A856" s="20" t="s">
        <v>715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716</v>
      </c>
      <c r="B857" s="21" t="s">
        <v>366</v>
      </c>
      <c r="C857" s="21" t="s">
        <v>367</v>
      </c>
      <c r="D857" s="21" t="s">
        <v>368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717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718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719</v>
      </c>
      <c r="B860" s="21" t="s">
        <v>374</v>
      </c>
      <c r="C860" s="21" t="s">
        <v>430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543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94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/>
    </row>
    <row r="864" spans="1:12">
      <c r="A864" s="20" t="s">
        <v>533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720</v>
      </c>
    </row>
    <row r="866" spans="1:12">
      <c r="A866" s="20" t="s">
        <v>94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721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453</v>
      </c>
      <c r="B868" s="21" t="s">
        <v>366</v>
      </c>
      <c r="C868" s="21" t="s">
        <v>367</v>
      </c>
      <c r="D868" s="21" t="s">
        <v>368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722</v>
      </c>
      <c r="B869" s="21" t="s">
        <v>419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723</v>
      </c>
      <c r="B870" s="21" t="s">
        <v>366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595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724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725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376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530</v>
      </c>
      <c r="B875" s="21" t="s">
        <v>412</v>
      </c>
      <c r="C875" s="21" t="s">
        <v>523</v>
      </c>
      <c r="D875" s="21" t="s">
        <v>368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616</v>
      </c>
      <c r="B876" s="21" t="s">
        <v>374</v>
      </c>
      <c r="C876" s="21" t="s">
        <v>430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409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/>
    </row>
    <row r="879" spans="1:12">
      <c r="A879" s="20" t="s">
        <v>533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557</v>
      </c>
    </row>
    <row r="881" spans="1:12">
      <c r="A881" s="20" t="s">
        <v>94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/>
    </row>
    <row r="883" spans="1:12">
      <c r="A883" s="20" t="s">
        <v>533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726</v>
      </c>
    </row>
    <row r="885" spans="1:12">
      <c r="A885" s="20" t="s">
        <v>170</v>
      </c>
      <c r="B885" s="21" t="s">
        <v>374</v>
      </c>
      <c r="C885" s="21" t="s">
        <v>430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376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713</v>
      </c>
      <c r="B887" s="21" t="s">
        <v>378</v>
      </c>
      <c r="C887" s="21" t="s">
        <v>434</v>
      </c>
      <c r="D887" s="21" t="s">
        <v>368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715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716</v>
      </c>
      <c r="B889" s="21" t="s">
        <v>404</v>
      </c>
      <c r="C889" s="21" t="s">
        <v>367</v>
      </c>
      <c r="D889" s="21" t="s">
        <v>368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717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489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727</v>
      </c>
      <c r="B892" s="21" t="s">
        <v>412</v>
      </c>
      <c r="C892" s="21" t="s">
        <v>430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543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94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/>
    </row>
    <row r="896" spans="1:12">
      <c r="A896" s="20" t="s">
        <v>533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728</v>
      </c>
    </row>
    <row r="898" spans="1:12">
      <c r="A898" s="20" t="s">
        <v>519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721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453</v>
      </c>
      <c r="B900" s="21" t="s">
        <v>366</v>
      </c>
      <c r="C900" s="21" t="s">
        <v>367</v>
      </c>
      <c r="D900" s="21" t="s">
        <v>368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729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595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133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725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376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730</v>
      </c>
      <c r="B906" s="21" t="s">
        <v>412</v>
      </c>
      <c r="C906" s="21" t="s">
        <v>523</v>
      </c>
      <c r="D906" s="21" t="s">
        <v>368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75</v>
      </c>
      <c r="B907" s="21" t="s">
        <v>374</v>
      </c>
      <c r="C907" s="21" t="s">
        <v>430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409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94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/>
    </row>
    <row r="911" spans="1:12">
      <c r="A911" s="20" t="s">
        <v>533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731</v>
      </c>
    </row>
    <row r="913" spans="1:12">
      <c r="A913" s="20" t="s">
        <v>170</v>
      </c>
      <c r="B913" s="21" t="s">
        <v>374</v>
      </c>
      <c r="C913" s="21" t="s">
        <v>430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376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713</v>
      </c>
      <c r="B915" s="21" t="s">
        <v>378</v>
      </c>
      <c r="C915" s="21" t="s">
        <v>434</v>
      </c>
      <c r="D915" s="21" t="s">
        <v>368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715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716</v>
      </c>
      <c r="B917" s="21" t="s">
        <v>404</v>
      </c>
      <c r="C917" s="21" t="s">
        <v>367</v>
      </c>
      <c r="D917" s="21" t="s">
        <v>368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717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489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732</v>
      </c>
      <c r="B920" s="21" t="s">
        <v>412</v>
      </c>
      <c r="C920" s="21" t="s">
        <v>430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543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94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/>
    </row>
    <row r="924" spans="1:12">
      <c r="A924" s="20" t="s">
        <v>533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733</v>
      </c>
    </row>
    <row r="926" spans="1:12">
      <c r="A926" s="20" t="s">
        <v>721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453</v>
      </c>
      <c r="B927" s="21" t="s">
        <v>378</v>
      </c>
      <c r="C927" s="21" t="s">
        <v>367</v>
      </c>
      <c r="D927" s="21" t="s">
        <v>368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729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595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734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725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376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730</v>
      </c>
      <c r="B933" s="21" t="s">
        <v>374</v>
      </c>
      <c r="C933" s="21" t="s">
        <v>523</v>
      </c>
      <c r="D933" s="21" t="s">
        <v>368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75</v>
      </c>
      <c r="B934" s="21" t="s">
        <v>374</v>
      </c>
      <c r="C934" s="21" t="s">
        <v>430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409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94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/>
    </row>
    <row r="938" spans="1:12">
      <c r="A938" s="20" t="s">
        <v>533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735</v>
      </c>
    </row>
    <row r="940" spans="1:12">
      <c r="A940" s="20" t="s">
        <v>170</v>
      </c>
      <c r="B940" s="21" t="s">
        <v>374</v>
      </c>
      <c r="C940" s="21" t="s">
        <v>430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376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713</v>
      </c>
      <c r="B942" s="21" t="s">
        <v>378</v>
      </c>
      <c r="C942" s="21" t="s">
        <v>434</v>
      </c>
      <c r="D942" s="21" t="s">
        <v>368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715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716</v>
      </c>
      <c r="B944" s="21" t="s">
        <v>404</v>
      </c>
      <c r="C944" s="21" t="s">
        <v>367</v>
      </c>
      <c r="D944" s="21" t="s">
        <v>368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717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489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736</v>
      </c>
      <c r="B947" s="21" t="s">
        <v>412</v>
      </c>
      <c r="C947" s="21" t="s">
        <v>430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543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94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/>
    </row>
    <row r="951" spans="1:12">
      <c r="A951" s="20" t="s">
        <v>533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737</v>
      </c>
    </row>
    <row r="953" spans="1:12">
      <c r="A953" s="20" t="s">
        <v>721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453</v>
      </c>
      <c r="B954" s="21" t="s">
        <v>366</v>
      </c>
      <c r="C954" s="21" t="s">
        <v>367</v>
      </c>
      <c r="D954" s="21" t="s">
        <v>368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729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595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269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725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376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730</v>
      </c>
      <c r="B960" s="21" t="s">
        <v>412</v>
      </c>
      <c r="C960" s="21" t="s">
        <v>523</v>
      </c>
      <c r="D960" s="21" t="s">
        <v>368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75</v>
      </c>
      <c r="B961" s="21" t="s">
        <v>374</v>
      </c>
      <c r="C961" s="21" t="s">
        <v>430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409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94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/>
    </row>
    <row r="965" spans="1:12">
      <c r="A965" s="20" t="s">
        <v>533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738</v>
      </c>
    </row>
    <row r="967" spans="1:12">
      <c r="A967" s="20" t="s">
        <v>170</v>
      </c>
      <c r="B967" s="21" t="s">
        <v>374</v>
      </c>
      <c r="C967" s="21" t="s">
        <v>430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376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713</v>
      </c>
      <c r="B969" s="21" t="s">
        <v>378</v>
      </c>
      <c r="C969" s="21" t="s">
        <v>434</v>
      </c>
      <c r="D969" s="21" t="s">
        <v>368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715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716</v>
      </c>
      <c r="B971" s="21" t="s">
        <v>404</v>
      </c>
      <c r="C971" s="21" t="s">
        <v>367</v>
      </c>
      <c r="D971" s="21" t="s">
        <v>368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717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489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739</v>
      </c>
      <c r="B974" s="21" t="s">
        <v>412</v>
      </c>
      <c r="C974" s="21" t="s">
        <v>430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543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94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/>
    </row>
    <row r="978" spans="1:12">
      <c r="A978" s="20" t="s">
        <v>740</v>
      </c>
    </row>
    <row r="979" spans="1:12">
      <c r="A979" s="20" t="s">
        <v>741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722</v>
      </c>
      <c r="B980" s="21" t="s">
        <v>419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595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440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307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409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/>
    </row>
    <row r="986" spans="1:12">
      <c r="A986" s="20" t="s">
        <v>533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742</v>
      </c>
    </row>
    <row r="988" spans="1:12">
      <c r="A988" s="20" t="s">
        <v>94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743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682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188</v>
      </c>
      <c r="B991" s="21" t="s">
        <v>366</v>
      </c>
      <c r="C991" s="21" t="s">
        <v>367</v>
      </c>
      <c r="D991" s="21" t="s">
        <v>368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744</v>
      </c>
      <c r="B992" s="21" t="s">
        <v>374</v>
      </c>
      <c r="C992" s="21" t="s">
        <v>413</v>
      </c>
      <c r="D992" s="21" t="s">
        <v>368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745</v>
      </c>
      <c r="B993" s="21" t="s">
        <v>374</v>
      </c>
      <c r="C993" s="21" t="s">
        <v>416</v>
      </c>
      <c r="D993" s="21" t="s">
        <v>368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/>
    </row>
    <row r="995" spans="1:12">
      <c r="A995" s="20" t="s">
        <v>746</v>
      </c>
    </row>
    <row r="996" spans="1:12">
      <c r="A996" s="20" t="s">
        <v>439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376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642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594</v>
      </c>
      <c r="B999" s="21" t="s">
        <v>419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484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747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487</v>
      </c>
      <c r="B1002" s="21" t="s">
        <v>366</v>
      </c>
      <c r="C1002" s="21" t="s">
        <v>401</v>
      </c>
      <c r="D1002" s="21" t="s">
        <v>368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587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54</v>
      </c>
      <c r="B1004" s="21" t="s">
        <v>374</v>
      </c>
      <c r="C1004" s="21" t="s">
        <v>430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402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748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405</v>
      </c>
      <c r="B1007" s="21" t="s">
        <v>424</v>
      </c>
      <c r="C1007" s="21" t="s">
        <v>367</v>
      </c>
      <c r="D1007" s="21" t="s">
        <v>368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587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409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/>
    </row>
    <row r="1011" spans="1:12">
      <c r="A1011" s="20" t="s">
        <v>749</v>
      </c>
    </row>
    <row r="1012" spans="1:12">
      <c r="A1012" s="20" t="s">
        <v>318</v>
      </c>
      <c r="B1012" s="21" t="s">
        <v>374</v>
      </c>
      <c r="C1012" s="21" t="s">
        <v>430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409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/>
    </row>
    <row r="1015" spans="1:12">
      <c r="A1015" s="20" t="s">
        <v>750</v>
      </c>
    </row>
    <row r="1016" spans="1:12">
      <c r="A1016" s="20" t="s">
        <v>751</v>
      </c>
      <c r="B1016" s="21" t="s">
        <v>366</v>
      </c>
      <c r="C1016" s="21" t="s">
        <v>385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752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753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471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547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754</v>
      </c>
      <c r="B1021" s="21" t="s">
        <v>419</v>
      </c>
      <c r="C1021" s="21" t="s">
        <v>401</v>
      </c>
      <c r="D1021" s="21" t="s">
        <v>368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376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755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/>
    </row>
    <row r="1025" spans="1:12">
      <c r="A1025" s="20" t="s">
        <v>756</v>
      </c>
    </row>
    <row r="1026" spans="1:12">
      <c r="A1026" s="20" t="s">
        <v>743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757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326</v>
      </c>
      <c r="B1028" s="21" t="s">
        <v>374</v>
      </c>
      <c r="C1028" s="21" t="s">
        <v>430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564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496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758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376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755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/>
    </row>
    <row r="1035" spans="1:12">
      <c r="A1035" s="20" t="s">
        <v>759</v>
      </c>
    </row>
    <row r="1036" spans="1:12">
      <c r="A1036" s="20" t="s">
        <v>760</v>
      </c>
      <c r="E1036" s="22">
        <f>IF(D1036="?OLD","!!!","")</f>
        <v/>
      </c>
      <c r="F1036" s="23" t="str">
        <f>IF(OR(E1036="",E1036="!!!"),"",IF(NOT(ISNA(VLOOKUP(E1036,E$1:E1035,1,FALSE()))),"OLD",IF(AND(E1036&lt;&gt;"",E1036&lt;&gt;"!!!"),"NEW","")))</f>
        <v> </v>
      </c>
      <c r="G1036" s="24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5" t="str">
        <f>IF(J1036&lt;&gt;1,"",IF(I1036="SBJ","CB","?"))</f>
        <v> </v>
      </c>
      <c r="I1036" s="26" t="str">
        <f>IF(OR(E1036="",E1036="!!!",F1036="NEW"),"",INDEX(B1035:B$2,-1+SUMPRODUCT(MAX(ROW(E1035:E$2)*(E1036=E1035:E$2)))))</f>
        <v> </v>
      </c>
      <c r="J1036" s="26" t="str">
        <f>IF(OR(E1036="",E1036="!!!",F1036="NEW"),"",COUNTBLANK(OFFSET(A$1,,,SUMPRODUCT(MAX(ROW(E$2:E1036)*(E1036=E$2:E1036)))))-COUNTBLANK(OFFSET(A$1,,,SUMPRODUCT(MAX(ROW(E$1:E1035)*(E2=E$1:E1035))))))</f>
        <v> </v>
      </c>
      <c r="K1036" s="26" t="str">
        <f>IF(OR(E1036="",E1036="!!!",F1036="NEW"),"",INDEX(J$1:J1035,SUMPRODUCT(MAX(ROW(E$1:E1035)*(E1036=E$1:E1035)))))</f>
        <v> </v>
      </c>
      <c r="L1036" s="27"/>
    </row>
    <row r="1037" spans="1:12">
      <c r="A1037" s="20" t="s">
        <v>456</v>
      </c>
      <c r="B1037" s="21" t="s">
        <v>366</v>
      </c>
      <c r="C1037" s="21" t="s">
        <v>434</v>
      </c>
      <c r="D1037" s="21" t="s">
        <v>368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761</v>
      </c>
      <c r="E1038" s="22">
        <f>IF(D1038="?OLD","!!!","")</f>
        <v/>
      </c>
      <c r="F1038" s="23" t="str">
        <f>IF(OR(E1038="",E1038="!!!"),"",IF(NOT(ISNA(VLOOKUP(E1038,E$1:E1037,1,FALSE()))),"OLD",IF(AND(E1038&lt;&gt;"",E1038&lt;&gt;"!!!"),"NEW","")))</f>
        <v> </v>
      </c>
      <c r="G1038" s="24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5" t="str">
        <f>IF(J1038&lt;&gt;1,"",IF(I1038="SBJ","CB","?"))</f>
        <v> </v>
      </c>
      <c r="I1038" s="26" t="str">
        <f>IF(OR(E1038="",E1038="!!!",F1038="NEW"),"",INDEX(B1037:B$2,-1+SUMPRODUCT(MAX(ROW(E1037:E$2)*(E1038=E1037:E$2)))))</f>
        <v> </v>
      </c>
      <c r="J1038" s="26" t="str">
        <f>IF(OR(E1038="",E1038="!!!",F1038="NEW"),"",COUNTBLANK(OFFSET(A$1,,,SUMPRODUCT(MAX(ROW(E$2:E1038)*(E1038=E$2:E1038)))))-COUNTBLANK(OFFSET(A$1,,,SUMPRODUCT(MAX(ROW(E$1:E1037)*(E2=E$1:E1037))))))</f>
        <v> </v>
      </c>
      <c r="K1038" s="26" t="str">
        <f>IF(OR(E1038="",E1038="!!!",F1038="NEW"),"",INDEX(J$1:J1037,SUMPRODUCT(MAX(ROW(E$1:E1037)*(E1038=E$1:E1037)))))</f>
        <v> </v>
      </c>
      <c r="L1038" s="27"/>
    </row>
    <row r="1039" spans="1:12">
      <c r="A1039" s="20" t="s">
        <v>402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762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763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376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755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/>
    </row>
    <row r="1045" spans="1:12">
      <c r="A1045" s="20" t="s">
        <v>764</v>
      </c>
    </row>
    <row r="1046" spans="1:12">
      <c r="A1046" s="20" t="s">
        <v>765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440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766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379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334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376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767</v>
      </c>
      <c r="B1052" s="21" t="s">
        <v>378</v>
      </c>
      <c r="C1052" s="21" t="s">
        <v>434</v>
      </c>
      <c r="D1052" s="21" t="s">
        <v>368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379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371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487</v>
      </c>
      <c r="B1055" s="21" t="s">
        <v>374</v>
      </c>
      <c r="C1055" s="21" t="s">
        <v>375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398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768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769</v>
      </c>
      <c r="B1058" s="21" t="s">
        <v>412</v>
      </c>
      <c r="C1058" s="21" t="s">
        <v>430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755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/>
    </row>
    <row r="1061" spans="1:12">
      <c r="A1061" s="20" t="s">
        <v>770</v>
      </c>
    </row>
    <row r="1062" spans="1:12">
      <c r="A1062" s="20" t="s">
        <v>771</v>
      </c>
      <c r="B1062" s="21" t="s">
        <v>419</v>
      </c>
      <c r="C1062" s="21" t="s">
        <v>367</v>
      </c>
      <c r="D1062" s="21" t="s">
        <v>368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772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773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402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774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391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755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/>
    </row>
    <row r="1070" spans="1:12">
      <c r="A1070" s="20" t="s">
        <v>775</v>
      </c>
    </row>
    <row r="1071" spans="1:12">
      <c r="A1071" s="20" t="s">
        <v>776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405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777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484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778</v>
      </c>
      <c r="B1075" s="21" t="s">
        <v>366</v>
      </c>
      <c r="C1075" s="21" t="s">
        <v>401</v>
      </c>
      <c r="D1075" s="21" t="s">
        <v>368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407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376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626</v>
      </c>
      <c r="B1078" s="21" t="s">
        <v>378</v>
      </c>
      <c r="C1078" s="21" t="s">
        <v>434</v>
      </c>
      <c r="D1078" s="21" t="s">
        <v>368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386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779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780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781</v>
      </c>
      <c r="B1082" s="21" t="s">
        <v>424</v>
      </c>
      <c r="C1082" s="21" t="s">
        <v>430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755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/>
    </row>
    <row r="1085" spans="1:12">
      <c r="A1085" s="20" t="s">
        <v>782</v>
      </c>
    </row>
    <row r="1086" spans="1:12">
      <c r="A1086" s="20" t="s">
        <v>743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471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754</v>
      </c>
      <c r="B1088" s="21" t="s">
        <v>419</v>
      </c>
      <c r="C1088" s="21" t="s">
        <v>401</v>
      </c>
      <c r="D1088" s="21" t="s">
        <v>368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783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 t="s">
        <v>346</v>
      </c>
      <c r="E1090" s="22">
        <f>IF(D1090="?OLD","!!!","")</f>
        <v/>
      </c>
      <c r="F1090" s="23" t="str">
        <f>IF(OR(E1090="",E1090="!!!"),"",IF(NOT(ISNA(VLOOKUP(E1090,E$1:E1089,1,FALSE()))),"OLD",IF(AND(E1090&lt;&gt;"",E1090&lt;&gt;"!!!"),"NEW","")))</f>
        <v> </v>
      </c>
      <c r="G1090" s="24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5" t="str">
        <f>IF(J1090&lt;&gt;1,"",IF(I1090="SBJ","CB","?"))</f>
        <v> </v>
      </c>
      <c r="I1090" s="26" t="str">
        <f>IF(OR(E1090="",E1090="!!!",F1090="NEW"),"",INDEX(B1089:B$2,-1+SUMPRODUCT(MAX(ROW(E1089:E$2)*(E1090=E1089:E$2)))))</f>
        <v> </v>
      </c>
      <c r="J1090" s="26" t="str">
        <f>IF(OR(E1090="",E1090="!!!",F1090="NEW"),"",COUNTBLANK(OFFSET(A$1,,,SUMPRODUCT(MAX(ROW(E$2:E1090)*(E1090=E$2:E1090)))))-COUNTBLANK(OFFSET(A$1,,,SUMPRODUCT(MAX(ROW(E$1:E1089)*(E2=E$1:E1089))))))</f>
        <v> </v>
      </c>
      <c r="K1090" s="26" t="str">
        <f>IF(OR(E1090="",E1090="!!!",F1090="NEW"),"",INDEX(J$1:J1089,SUMPRODUCT(MAX(ROW(E$1:E1089)*(E1090=E$1:E1089)))))</f>
        <v> </v>
      </c>
      <c r="L1090" s="27"/>
    </row>
    <row r="1091" spans="1:12">
      <c r="A1091" s="20" t="s">
        <v>376</v>
      </c>
      <c r="E1091" s="22">
        <f>IF(D1091="?OLD","!!!","")</f>
        <v/>
      </c>
      <c r="F1091" s="23" t="str">
        <f>IF(OR(E1091="",E1091="!!!"),"",IF(NOT(ISNA(VLOOKUP(E1091,E$1:E1090,1,FALSE()))),"OLD",IF(AND(E1091&lt;&gt;"",E1091&lt;&gt;"!!!"),"NEW","")))</f>
        <v> </v>
      </c>
      <c r="G1091" s="24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5" t="str">
        <f>IF(J1091&lt;&gt;1,"",IF(I1091="SBJ","CB","?"))</f>
        <v> </v>
      </c>
      <c r="I1091" s="26" t="str">
        <f>IF(OR(E1091="",E1091="!!!",F1091="NEW"),"",INDEX(B1090:B$2,-1+SUMPRODUCT(MAX(ROW(E1090:E$2)*(E1091=E1090:E$2)))))</f>
        <v> </v>
      </c>
      <c r="J1091" s="26" t="str">
        <f>IF(OR(E1091="",E1091="!!!",F1091="NEW"),"",COUNTBLANK(OFFSET(A$1,,,SUMPRODUCT(MAX(ROW(E$2:E1091)*(E1091=E$2:E1091)))))-COUNTBLANK(OFFSET(A$1,,,SUMPRODUCT(MAX(ROW(E$1:E1090)*(E2=E$1:E1090))))))</f>
        <v> </v>
      </c>
      <c r="K1091" s="26" t="str">
        <f>IF(OR(E1091="",E1091="!!!",F1091="NEW"),"",INDEX(J$1:J1090,SUMPRODUCT(MAX(ROW(E$1:E1090)*(E1091=E$1:E1090)))))</f>
        <v> </v>
      </c>
      <c r="L1091" s="27"/>
    </row>
    <row r="1092" spans="1:12">
      <c r="A1092" s="20" t="s">
        <v>755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/>
    </row>
    <row r="1094" spans="1:12">
      <c r="A1094" s="20" t="s">
        <v>784</v>
      </c>
    </row>
    <row r="1095" spans="1:12">
      <c r="A1095" s="20" t="s">
        <v>626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785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786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787</v>
      </c>
      <c r="B1098" s="21" t="s">
        <v>374</v>
      </c>
      <c r="C1098" s="21" t="s">
        <v>430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350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409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2025-07-10T18:03:36Z</dcterms:created>
  <dcterms:modified xsi:type="dcterms:W3CDTF">2025-07-10T18:03:36Z</dcterms:modified>
</cp:coreProperties>
</file>