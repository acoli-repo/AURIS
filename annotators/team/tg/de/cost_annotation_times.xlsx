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"/>
    </mc:Choice>
  </mc:AlternateContent>
  <xr:revisionPtr revIDLastSave="0" documentId="13_ncr:1_{6AB686A2-4895-4469-B03A-0BAE1559476F}" xr6:coauthVersionLast="47" xr6:coauthVersionMax="47" xr10:uidLastSave="{00000000-0000-0000-0000-000000000000}"/>
  <bookViews>
    <workbookView xWindow="5400" yWindow="1776" windowWidth="13080" windowHeight="996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8" i="1" l="1"/>
  <c r="F111" i="1" l="1"/>
  <c r="F102" i="1" l="1"/>
  <c r="F98" i="1"/>
  <c r="F63" i="1"/>
  <c r="F64" i="1"/>
  <c r="F44" i="1"/>
  <c r="F82" i="1" l="1"/>
  <c r="F58" i="1" l="1"/>
  <c r="F53" i="1" l="1"/>
  <c r="F104" i="1" l="1"/>
  <c r="F101" i="1" l="1"/>
  <c r="F9" i="1" l="1"/>
  <c r="F106" i="1" l="1"/>
  <c r="F107" i="1"/>
  <c r="F109" i="1"/>
  <c r="F110" i="1"/>
  <c r="G111" i="1" s="1"/>
  <c r="F112" i="1"/>
  <c r="F113" i="1"/>
  <c r="F114" i="1"/>
  <c r="F115" i="1"/>
  <c r="F116" i="1"/>
  <c r="F117" i="1"/>
  <c r="G113" i="1" l="1"/>
  <c r="G108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9" i="1"/>
  <c r="F100" i="1"/>
  <c r="F103" i="1"/>
  <c r="F105" i="1"/>
  <c r="G105" i="1" l="1"/>
  <c r="G102" i="1"/>
  <c r="G86" i="1"/>
  <c r="G98" i="1"/>
  <c r="G89" i="1"/>
  <c r="G92" i="1"/>
  <c r="G95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3" i="1"/>
  <c r="F60" i="1"/>
  <c r="F61" i="1"/>
  <c r="F62" i="1"/>
  <c r="F65" i="1"/>
  <c r="F66" i="1"/>
  <c r="F67" i="1"/>
  <c r="F68" i="1"/>
  <c r="F59" i="1"/>
  <c r="G68" i="1" l="1"/>
  <c r="G64" i="1"/>
  <c r="G79" i="1"/>
  <c r="G72" i="1"/>
  <c r="G76" i="1"/>
  <c r="G83" i="1"/>
  <c r="F42" i="1"/>
  <c r="F43" i="1"/>
  <c r="F46" i="1"/>
  <c r="F47" i="1"/>
  <c r="F48" i="1"/>
  <c r="F49" i="1"/>
  <c r="F50" i="1"/>
  <c r="F51" i="1"/>
  <c r="F52" i="1"/>
  <c r="F54" i="1"/>
  <c r="F55" i="1"/>
  <c r="F56" i="1"/>
  <c r="F57" i="1"/>
  <c r="F38" i="1"/>
  <c r="F39" i="1"/>
  <c r="F40" i="1"/>
  <c r="F41" i="1"/>
  <c r="F45" i="1"/>
  <c r="G45" i="1" l="1"/>
  <c r="G59" i="1"/>
  <c r="G54" i="1"/>
  <c r="G50" i="1"/>
  <c r="F13" i="1"/>
  <c r="F14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2" i="1"/>
  <c r="F11" i="1"/>
  <c r="G15" i="1" s="1"/>
  <c r="F10" i="1"/>
  <c r="F8" i="1"/>
  <c r="F7" i="1"/>
  <c r="F6" i="1"/>
  <c r="F5" i="1"/>
  <c r="F4" i="1"/>
  <c r="F3" i="1"/>
  <c r="F2" i="1"/>
  <c r="G34" i="1" l="1"/>
  <c r="G39" i="1"/>
  <c r="G10" i="1"/>
  <c r="G29" i="1"/>
  <c r="G23" i="1"/>
</calcChain>
</file>

<file path=xl/sharedStrings.xml><?xml version="1.0" encoding="utf-8"?>
<sst xmlns="http://schemas.openxmlformats.org/spreadsheetml/2006/main" count="122" uniqueCount="37">
  <si>
    <t>file</t>
  </si>
  <si>
    <t>phase</t>
  </si>
  <si>
    <t>start time</t>
  </si>
  <si>
    <t>end time</t>
  </si>
  <si>
    <t>sum</t>
  </si>
  <si>
    <t>ted-mdb.1927</t>
  </si>
  <si>
    <t>raw -&gt; annotated [COREF]</t>
  </si>
  <si>
    <t>commented -&gt; annotated</t>
  </si>
  <si>
    <t>ted-mdb.1971</t>
  </si>
  <si>
    <t>raw -&gt; annotated</t>
  </si>
  <si>
    <t>ted-mdb.1976</t>
  </si>
  <si>
    <t>ted-mdb.1978</t>
  </si>
  <si>
    <t>ted-mdb.2009</t>
  </si>
  <si>
    <t>ted-mdb.2150</t>
  </si>
  <si>
    <t>abcnews.199762</t>
  </si>
  <si>
    <t>an-online.de.224441</t>
  </si>
  <si>
    <t>ard.27823</t>
  </si>
  <si>
    <t>augsburger-allgemeine.de.44740</t>
  </si>
  <si>
    <t>bbc.242334</t>
  </si>
  <si>
    <t>bbc.242405</t>
  </si>
  <si>
    <t>bbc.242418</t>
  </si>
  <si>
    <t>bbc.242436</t>
  </si>
  <si>
    <t>bbc.242497</t>
  </si>
  <si>
    <t>braunschweiger-zeitung.de.48722</t>
  </si>
  <si>
    <t>brisbanetimes.com.au.130272</t>
  </si>
  <si>
    <t>cnn.167026</t>
  </si>
  <si>
    <t>cbsnews.146232</t>
  </si>
  <si>
    <t>cbsnews.146237</t>
  </si>
  <si>
    <t>cbsnews.146291</t>
  </si>
  <si>
    <t>cbsnews.146271</t>
  </si>
  <si>
    <t>cbsnews.146310</t>
  </si>
  <si>
    <t>dailymail.co.uk.170661</t>
  </si>
  <si>
    <t>dailymail.co.uk.170665</t>
  </si>
  <si>
    <t>teddy-744</t>
  </si>
  <si>
    <t>coref</t>
  </si>
  <si>
    <t>level</t>
  </si>
  <si>
    <t>discourse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</si>
</sst>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4"/>
  <sheetViews>
    <sheetView tabSelected="1" topLeftCell="A99" workbookViewId="0">
      <selection activeCell="G101" sqref="G101"/>
    </sheetView>
  </sheetViews>
  <sheetFormatPr baseColWidth="10" defaultRowHeight="14.4" x14ac:dyDescent="0.3"/>
  <cols>
    <col min="1" max="1" width="12.44140625" bestFit="1" customWidth="1"/>
    <col min="2" max="2" width="5.6640625" customWidth="1"/>
    <col min="3" max="3" width="15.109375" bestFit="1" customWidth="1"/>
    <col min="4" max="5" width="11.5546875" style="3"/>
  </cols>
  <sheetData>
    <row r="1" spans="1:7" x14ac:dyDescent="0.3">
      <c r="A1" s="1" t="s">
        <v>0</v>
      </c>
      <c r="B1" s="1" t="s">
        <v>35</v>
      </c>
      <c r="C1" s="1" t="s">
        <v>1</v>
      </c>
      <c r="D1" s="2" t="s">
        <v>2</v>
      </c>
      <c r="E1" s="2" t="s">
        <v>3</v>
      </c>
      <c r="F1" s="1" t="s">
        <v>4</v>
      </c>
    </row>
    <row r="2" spans="1:7" x14ac:dyDescent="0.3">
      <c r="A2" t="s">
        <v>5</v>
      </c>
      <c r="B2" t="s">
        <v>34</v>
      </c>
      <c r="C2" t="s">
        <v>6</v>
      </c>
      <c r="D2" s="3">
        <v>0.67708333333333337</v>
      </c>
      <c r="E2" s="3">
        <v>0.68055555555555558</v>
      </c>
      <c r="F2" s="3">
        <f>E2-D2</f>
        <v>3.4722222222222099E-3</v>
      </c>
    </row>
    <row r="3" spans="1:7" x14ac:dyDescent="0.3">
      <c r="D3" s="3">
        <v>0.70833333333333337</v>
      </c>
      <c r="E3" s="3">
        <v>0.75</v>
      </c>
      <c r="F3" s="3">
        <f t="shared" ref="F3:F71" si="0">E3-D3</f>
        <v>4.166666666666663E-2</v>
      </c>
    </row>
    <row r="4" spans="1:7" x14ac:dyDescent="0.3">
      <c r="D4" s="3">
        <v>0.55208333333333337</v>
      </c>
      <c r="E4" s="3">
        <v>0.59375</v>
      </c>
      <c r="F4" s="3">
        <f t="shared" si="0"/>
        <v>4.166666666666663E-2</v>
      </c>
    </row>
    <row r="5" spans="1:7" x14ac:dyDescent="0.3">
      <c r="D5" s="3">
        <v>0.76041666666666663</v>
      </c>
      <c r="E5" s="3">
        <v>0.79166666666666663</v>
      </c>
      <c r="F5" s="3">
        <f t="shared" si="0"/>
        <v>3.125E-2</v>
      </c>
    </row>
    <row r="6" spans="1:7" x14ac:dyDescent="0.3">
      <c r="D6" s="3">
        <v>0.52083333333333337</v>
      </c>
      <c r="E6" s="3">
        <v>0.60416666666666663</v>
      </c>
      <c r="F6" s="3">
        <f t="shared" si="0"/>
        <v>8.3333333333333259E-2</v>
      </c>
    </row>
    <row r="7" spans="1:7" x14ac:dyDescent="0.3">
      <c r="C7" t="s">
        <v>7</v>
      </c>
      <c r="D7" s="3">
        <v>0.54166666666666663</v>
      </c>
      <c r="E7" s="3">
        <v>0.55208333333333337</v>
      </c>
      <c r="F7" s="3">
        <f>E7-D7</f>
        <v>1.0416666666666741E-2</v>
      </c>
    </row>
    <row r="8" spans="1:7" x14ac:dyDescent="0.3">
      <c r="B8" t="s">
        <v>36</v>
      </c>
      <c r="C8" t="s">
        <v>9</v>
      </c>
      <c r="D8" s="3">
        <v>0.63541666666666663</v>
      </c>
      <c r="E8" s="3">
        <v>0.67708333333333337</v>
      </c>
      <c r="F8" s="3">
        <f t="shared" si="0"/>
        <v>4.1666666666666741E-2</v>
      </c>
    </row>
    <row r="9" spans="1:7" x14ac:dyDescent="0.3">
      <c r="D9" s="3">
        <v>0.75347222222222221</v>
      </c>
      <c r="E9" s="3">
        <v>0.78333333333333333</v>
      </c>
      <c r="F9" s="3">
        <f t="shared" si="0"/>
        <v>2.9861111111111116E-2</v>
      </c>
    </row>
    <row r="10" spans="1:7" x14ac:dyDescent="0.3">
      <c r="F10" s="3">
        <f t="shared" si="0"/>
        <v>0</v>
      </c>
      <c r="G10" s="3">
        <f>SUM(F2:F10)</f>
        <v>0.28333333333333333</v>
      </c>
    </row>
    <row r="11" spans="1:7" x14ac:dyDescent="0.3">
      <c r="A11" t="s">
        <v>8</v>
      </c>
      <c r="B11" t="s">
        <v>34</v>
      </c>
      <c r="C11" t="s">
        <v>9</v>
      </c>
      <c r="D11" s="3">
        <v>0.67569444444444449</v>
      </c>
      <c r="E11" s="3">
        <v>0.72430555555555554</v>
      </c>
      <c r="F11" s="3">
        <f t="shared" si="0"/>
        <v>4.8611111111111049E-2</v>
      </c>
    </row>
    <row r="12" spans="1:7" x14ac:dyDescent="0.3">
      <c r="C12" t="s">
        <v>7</v>
      </c>
      <c r="D12" s="3">
        <v>0.56111111111111112</v>
      </c>
      <c r="E12" s="3">
        <v>0.59305555555555556</v>
      </c>
      <c r="F12" s="3">
        <f>E12-D12</f>
        <v>3.1944444444444442E-2</v>
      </c>
    </row>
    <row r="13" spans="1:7" x14ac:dyDescent="0.3">
      <c r="B13" t="s">
        <v>36</v>
      </c>
      <c r="C13" t="s">
        <v>9</v>
      </c>
      <c r="D13" s="3">
        <v>0.77083333333333337</v>
      </c>
      <c r="E13" s="3">
        <v>0.8125</v>
      </c>
      <c r="F13" s="3">
        <f t="shared" si="0"/>
        <v>4.166666666666663E-2</v>
      </c>
    </row>
    <row r="14" spans="1:7" x14ac:dyDescent="0.3">
      <c r="F14" s="3">
        <f t="shared" si="0"/>
        <v>0</v>
      </c>
    </row>
    <row r="15" spans="1:7" x14ac:dyDescent="0.3">
      <c r="F15" s="3">
        <f t="shared" si="0"/>
        <v>0</v>
      </c>
      <c r="G15" s="3">
        <f>SUM(F11:F15)</f>
        <v>0.12222222222222212</v>
      </c>
    </row>
    <row r="16" spans="1:7" x14ac:dyDescent="0.3">
      <c r="A16" t="s">
        <v>10</v>
      </c>
      <c r="B16" t="s">
        <v>34</v>
      </c>
      <c r="C16" t="s">
        <v>9</v>
      </c>
      <c r="D16" s="3">
        <v>0.58333333333333337</v>
      </c>
      <c r="E16" s="3">
        <v>0.59583333333333333</v>
      </c>
      <c r="F16" s="3">
        <f t="shared" si="0"/>
        <v>1.2499999999999956E-2</v>
      </c>
    </row>
    <row r="17" spans="1:7" x14ac:dyDescent="0.3">
      <c r="D17" s="3">
        <v>0.25</v>
      </c>
      <c r="E17" s="3">
        <v>0.29166666666666669</v>
      </c>
      <c r="F17" s="3">
        <f t="shared" si="0"/>
        <v>4.1666666666666685E-2</v>
      </c>
    </row>
    <row r="18" spans="1:7" x14ac:dyDescent="0.3">
      <c r="D18" s="3">
        <v>0.66666666666666663</v>
      </c>
      <c r="E18" s="3">
        <v>0.71180555555555558</v>
      </c>
      <c r="F18" s="3">
        <f t="shared" si="0"/>
        <v>4.5138888888888951E-2</v>
      </c>
    </row>
    <row r="19" spans="1:7" x14ac:dyDescent="0.3">
      <c r="B19" t="s">
        <v>36</v>
      </c>
      <c r="C19" t="s">
        <v>9</v>
      </c>
      <c r="D19" s="3">
        <v>0.54583333333333328</v>
      </c>
      <c r="E19" s="3">
        <v>0.55555555555555558</v>
      </c>
      <c r="F19" s="3">
        <f t="shared" si="0"/>
        <v>9.7222222222222987E-3</v>
      </c>
    </row>
    <row r="20" spans="1:7" x14ac:dyDescent="0.3">
      <c r="D20" s="3">
        <v>0.44791666666666669</v>
      </c>
      <c r="E20" s="3">
        <v>0.47916666666666669</v>
      </c>
      <c r="F20" s="3">
        <f t="shared" si="0"/>
        <v>3.125E-2</v>
      </c>
    </row>
    <row r="21" spans="1:7" x14ac:dyDescent="0.3">
      <c r="D21" s="3">
        <v>0.7680555555555556</v>
      </c>
      <c r="E21" s="3">
        <v>0.79166666666666663</v>
      </c>
      <c r="F21" s="3">
        <f t="shared" si="0"/>
        <v>2.3611111111111027E-2</v>
      </c>
    </row>
    <row r="22" spans="1:7" x14ac:dyDescent="0.3">
      <c r="F22" s="3">
        <f t="shared" si="0"/>
        <v>0</v>
      </c>
    </row>
    <row r="23" spans="1:7" x14ac:dyDescent="0.3">
      <c r="F23" s="3">
        <f t="shared" si="0"/>
        <v>0</v>
      </c>
      <c r="G23" s="3">
        <f>SUM(F16:F22)</f>
        <v>0.16388888888888892</v>
      </c>
    </row>
    <row r="24" spans="1:7" x14ac:dyDescent="0.3">
      <c r="A24" t="s">
        <v>11</v>
      </c>
      <c r="B24" t="s">
        <v>34</v>
      </c>
      <c r="C24" t="s">
        <v>9</v>
      </c>
      <c r="D24" s="3">
        <v>0.66666666666666663</v>
      </c>
      <c r="E24" s="3">
        <v>0.68055555555555558</v>
      </c>
      <c r="F24" s="3">
        <f t="shared" si="0"/>
        <v>1.3888888888888951E-2</v>
      </c>
    </row>
    <row r="25" spans="1:7" x14ac:dyDescent="0.3">
      <c r="D25" s="3">
        <v>0.72222222222222221</v>
      </c>
      <c r="E25" s="3">
        <v>0.74305555555555558</v>
      </c>
      <c r="F25" s="3">
        <f t="shared" si="0"/>
        <v>2.083333333333337E-2</v>
      </c>
    </row>
    <row r="26" spans="1:7" x14ac:dyDescent="0.3">
      <c r="D26" s="3">
        <v>0.5</v>
      </c>
      <c r="E26" s="3">
        <v>0.54166666666666663</v>
      </c>
      <c r="F26" s="3">
        <f t="shared" si="0"/>
        <v>4.166666666666663E-2</v>
      </c>
    </row>
    <row r="27" spans="1:7" x14ac:dyDescent="0.3">
      <c r="B27" t="s">
        <v>36</v>
      </c>
      <c r="C27" t="s">
        <v>9</v>
      </c>
      <c r="D27" s="3">
        <v>0.90625</v>
      </c>
      <c r="E27" s="3">
        <v>0.95833333333333337</v>
      </c>
      <c r="F27" s="3">
        <f t="shared" si="0"/>
        <v>5.208333333333337E-2</v>
      </c>
    </row>
    <row r="28" spans="1:7" x14ac:dyDescent="0.3">
      <c r="F28" s="3">
        <f t="shared" si="0"/>
        <v>0</v>
      </c>
    </row>
    <row r="29" spans="1:7" x14ac:dyDescent="0.3">
      <c r="F29" s="3">
        <f t="shared" si="0"/>
        <v>0</v>
      </c>
      <c r="G29" s="3">
        <f>SUM(F24:F29)</f>
        <v>0.12847222222222232</v>
      </c>
    </row>
    <row r="30" spans="1:7" x14ac:dyDescent="0.3">
      <c r="A30" t="s">
        <v>12</v>
      </c>
      <c r="B30" t="s">
        <v>34</v>
      </c>
      <c r="C30" t="s">
        <v>9</v>
      </c>
      <c r="D30" s="3">
        <v>0.6333333333333333</v>
      </c>
      <c r="E30" s="3">
        <v>0.64930555555555558</v>
      </c>
      <c r="F30" s="3">
        <f t="shared" si="0"/>
        <v>1.5972222222222276E-2</v>
      </c>
    </row>
    <row r="31" spans="1:7" x14ac:dyDescent="0.3">
      <c r="D31" s="3">
        <v>0.4548611111111111</v>
      </c>
      <c r="E31" s="3">
        <v>0.47222222222222221</v>
      </c>
      <c r="F31" s="3">
        <f t="shared" si="0"/>
        <v>1.7361111111111105E-2</v>
      </c>
    </row>
    <row r="32" spans="1:7" x14ac:dyDescent="0.3">
      <c r="B32" t="s">
        <v>36</v>
      </c>
      <c r="C32" t="s">
        <v>9</v>
      </c>
      <c r="D32" s="3">
        <v>0.44236111111111109</v>
      </c>
      <c r="E32" s="3">
        <v>0.45833333333333331</v>
      </c>
      <c r="F32" s="3">
        <f t="shared" si="0"/>
        <v>1.5972222222222221E-2</v>
      </c>
    </row>
    <row r="33" spans="1:7" x14ac:dyDescent="0.3">
      <c r="F33" s="3">
        <f t="shared" si="0"/>
        <v>0</v>
      </c>
    </row>
    <row r="34" spans="1:7" x14ac:dyDescent="0.3">
      <c r="F34" s="3">
        <f t="shared" si="0"/>
        <v>0</v>
      </c>
      <c r="G34" s="3">
        <f>SUM(F30:F33)</f>
        <v>4.9305555555555602E-2</v>
      </c>
    </row>
    <row r="35" spans="1:7" x14ac:dyDescent="0.3">
      <c r="A35" t="s">
        <v>13</v>
      </c>
      <c r="B35" t="s">
        <v>34</v>
      </c>
      <c r="C35" t="s">
        <v>9</v>
      </c>
      <c r="D35" s="3">
        <v>0.49652777777777779</v>
      </c>
      <c r="E35" s="3">
        <v>0.51736111111111116</v>
      </c>
      <c r="F35" s="3">
        <f t="shared" si="0"/>
        <v>2.083333333333337E-2</v>
      </c>
    </row>
    <row r="36" spans="1:7" x14ac:dyDescent="0.3">
      <c r="D36" s="3">
        <v>0.66666666666666663</v>
      </c>
      <c r="E36" s="3">
        <v>0.67847222222222225</v>
      </c>
      <c r="F36" s="3">
        <f t="shared" si="0"/>
        <v>1.1805555555555625E-2</v>
      </c>
    </row>
    <row r="37" spans="1:7" x14ac:dyDescent="0.3">
      <c r="B37" t="s">
        <v>36</v>
      </c>
      <c r="C37" t="s">
        <v>9</v>
      </c>
      <c r="D37" s="3">
        <v>0.56944444444444442</v>
      </c>
      <c r="E37" s="3">
        <v>0.59375</v>
      </c>
      <c r="F37" s="3">
        <f t="shared" si="0"/>
        <v>2.430555555555558E-2</v>
      </c>
    </row>
    <row r="38" spans="1:7" x14ac:dyDescent="0.3">
      <c r="D38" s="3">
        <v>0.69166666666666665</v>
      </c>
      <c r="E38" s="3">
        <v>0.72222222222222221</v>
      </c>
      <c r="F38" s="3">
        <f t="shared" si="0"/>
        <v>3.0555555555555558E-2</v>
      </c>
    </row>
    <row r="39" spans="1:7" x14ac:dyDescent="0.3">
      <c r="F39" s="3">
        <f t="shared" si="0"/>
        <v>0</v>
      </c>
      <c r="G39" s="3">
        <f>SUM(F35:F39)</f>
        <v>8.7500000000000133E-2</v>
      </c>
    </row>
    <row r="40" spans="1:7" x14ac:dyDescent="0.3">
      <c r="F40" s="3">
        <f t="shared" si="0"/>
        <v>0</v>
      </c>
    </row>
    <row r="41" spans="1:7" x14ac:dyDescent="0.3">
      <c r="A41" t="s">
        <v>14</v>
      </c>
      <c r="B41" t="s">
        <v>34</v>
      </c>
      <c r="C41" t="s">
        <v>9</v>
      </c>
      <c r="D41" s="3">
        <v>0.58333333333333337</v>
      </c>
      <c r="E41" s="3">
        <v>0.60069444444444442</v>
      </c>
      <c r="F41" s="3">
        <f t="shared" si="0"/>
        <v>1.7361111111111049E-2</v>
      </c>
      <c r="G41" s="3"/>
    </row>
    <row r="42" spans="1:7" x14ac:dyDescent="0.3">
      <c r="B42" t="s">
        <v>36</v>
      </c>
      <c r="C42" t="s">
        <v>9</v>
      </c>
      <c r="D42" s="3">
        <v>0.57638888888888884</v>
      </c>
      <c r="E42" s="3">
        <v>0.58333333333333337</v>
      </c>
      <c r="F42" s="3">
        <f t="shared" si="0"/>
        <v>6.9444444444445308E-3</v>
      </c>
      <c r="G42" s="3"/>
    </row>
    <row r="43" spans="1:7" x14ac:dyDescent="0.3">
      <c r="D43" s="3">
        <v>0.55902777777777779</v>
      </c>
      <c r="E43" s="3">
        <v>0.56597222222222221</v>
      </c>
      <c r="F43" s="3">
        <f t="shared" si="0"/>
        <v>6.9444444444444198E-3</v>
      </c>
      <c r="G43" s="3"/>
    </row>
    <row r="44" spans="1:7" x14ac:dyDescent="0.3">
      <c r="F44" s="3">
        <f t="shared" si="0"/>
        <v>0</v>
      </c>
      <c r="G44" s="3"/>
    </row>
    <row r="45" spans="1:7" x14ac:dyDescent="0.3">
      <c r="F45" s="3">
        <f t="shared" si="0"/>
        <v>0</v>
      </c>
      <c r="G45" s="3">
        <f>SUM(F41:F45)</f>
        <v>3.125E-2</v>
      </c>
    </row>
    <row r="46" spans="1:7" x14ac:dyDescent="0.3">
      <c r="A46" t="s">
        <v>15</v>
      </c>
      <c r="B46" t="s">
        <v>34</v>
      </c>
      <c r="C46" t="s">
        <v>9</v>
      </c>
      <c r="D46" s="3">
        <v>0.79513888888888884</v>
      </c>
      <c r="E46" s="3">
        <v>0.80555555555555558</v>
      </c>
      <c r="F46" s="3">
        <f t="shared" si="0"/>
        <v>1.0416666666666741E-2</v>
      </c>
    </row>
    <row r="47" spans="1:7" x14ac:dyDescent="0.3">
      <c r="D47" s="3">
        <v>0.49652777777777779</v>
      </c>
      <c r="E47" s="3">
        <v>0.50694444444444442</v>
      </c>
      <c r="F47" s="3">
        <f t="shared" si="0"/>
        <v>1.041666666666663E-2</v>
      </c>
      <c r="G47" s="3"/>
    </row>
    <row r="48" spans="1:7" x14ac:dyDescent="0.3">
      <c r="D48" s="3">
        <v>0.58333333333333337</v>
      </c>
      <c r="E48" s="3">
        <v>0.59375</v>
      </c>
      <c r="F48" s="3">
        <f t="shared" si="0"/>
        <v>1.041666666666663E-2</v>
      </c>
    </row>
    <row r="49" spans="1:7" x14ac:dyDescent="0.3">
      <c r="B49" t="s">
        <v>36</v>
      </c>
      <c r="C49" t="s">
        <v>9</v>
      </c>
      <c r="D49" s="3">
        <v>0.56944444444444442</v>
      </c>
      <c r="E49" s="3">
        <v>0.58472222222222225</v>
      </c>
      <c r="F49" s="3">
        <f t="shared" si="0"/>
        <v>1.5277777777777835E-2</v>
      </c>
    </row>
    <row r="50" spans="1:7" x14ac:dyDescent="0.3">
      <c r="F50" s="3">
        <f t="shared" si="0"/>
        <v>0</v>
      </c>
      <c r="G50" s="3">
        <f>SUM(F46:F50)</f>
        <v>4.6527777777777835E-2</v>
      </c>
    </row>
    <row r="51" spans="1:7" x14ac:dyDescent="0.3">
      <c r="A51" t="s">
        <v>16</v>
      </c>
      <c r="B51" t="s">
        <v>34</v>
      </c>
      <c r="C51" t="s">
        <v>9</v>
      </c>
      <c r="D51" s="3">
        <v>0.50347222222222221</v>
      </c>
      <c r="E51" s="3">
        <v>0.52777777777777779</v>
      </c>
      <c r="F51" s="3">
        <f t="shared" si="0"/>
        <v>2.430555555555558E-2</v>
      </c>
    </row>
    <row r="52" spans="1:7" x14ac:dyDescent="0.3">
      <c r="D52" s="3">
        <v>0.76388888888888884</v>
      </c>
      <c r="E52" s="3">
        <v>0.77083333333333337</v>
      </c>
      <c r="F52" s="3">
        <f t="shared" si="0"/>
        <v>6.9444444444445308E-3</v>
      </c>
    </row>
    <row r="53" spans="1:7" x14ac:dyDescent="0.3">
      <c r="B53" t="s">
        <v>36</v>
      </c>
      <c r="C53" t="s">
        <v>9</v>
      </c>
      <c r="D53" s="3">
        <v>0.70833333333333337</v>
      </c>
      <c r="E53" s="3">
        <v>0.72222222222222221</v>
      </c>
      <c r="F53" s="3">
        <f t="shared" si="0"/>
        <v>1.388888888888884E-2</v>
      </c>
    </row>
    <row r="54" spans="1:7" x14ac:dyDescent="0.3">
      <c r="F54" s="3">
        <f t="shared" si="0"/>
        <v>0</v>
      </c>
      <c r="G54" s="3">
        <f>SUM(F51:F54)</f>
        <v>4.5138888888888951E-2</v>
      </c>
    </row>
    <row r="55" spans="1:7" x14ac:dyDescent="0.3">
      <c r="A55" t="s">
        <v>17</v>
      </c>
      <c r="B55" t="s">
        <v>34</v>
      </c>
      <c r="C55" t="s">
        <v>9</v>
      </c>
      <c r="D55" s="3">
        <v>0.7729166666666667</v>
      </c>
      <c r="E55" s="3">
        <v>0.79374999999999996</v>
      </c>
      <c r="F55" s="3">
        <f t="shared" si="0"/>
        <v>2.0833333333333259E-2</v>
      </c>
    </row>
    <row r="56" spans="1:7" x14ac:dyDescent="0.3">
      <c r="D56" s="3">
        <v>0.60069444444444442</v>
      </c>
      <c r="E56" s="3">
        <v>0.60763888888888884</v>
      </c>
      <c r="F56" s="3">
        <f t="shared" si="0"/>
        <v>6.9444444444444198E-3</v>
      </c>
    </row>
    <row r="57" spans="1:7" x14ac:dyDescent="0.3">
      <c r="D57" s="3">
        <v>0.61458333333333337</v>
      </c>
      <c r="E57" s="3">
        <v>0.62847222222222221</v>
      </c>
      <c r="F57" s="3">
        <f t="shared" si="0"/>
        <v>1.388888888888884E-2</v>
      </c>
    </row>
    <row r="58" spans="1:7" x14ac:dyDescent="0.3">
      <c r="B58" t="s">
        <v>36</v>
      </c>
      <c r="C58" t="s">
        <v>9</v>
      </c>
      <c r="D58" s="3">
        <v>0.92708333333333337</v>
      </c>
      <c r="E58" s="3">
        <v>0.94791666666666663</v>
      </c>
      <c r="F58" s="3">
        <f t="shared" si="0"/>
        <v>2.0833333333333259E-2</v>
      </c>
    </row>
    <row r="59" spans="1:7" x14ac:dyDescent="0.3">
      <c r="F59" s="3">
        <f t="shared" si="0"/>
        <v>0</v>
      </c>
      <c r="G59" s="3">
        <f>SUM(F55:F59)</f>
        <v>6.2499999999999778E-2</v>
      </c>
    </row>
    <row r="60" spans="1:7" x14ac:dyDescent="0.3">
      <c r="A60" t="s">
        <v>18</v>
      </c>
      <c r="B60" t="s">
        <v>34</v>
      </c>
      <c r="C60" t="s">
        <v>9</v>
      </c>
      <c r="D60" s="3">
        <v>0.80555555555555558</v>
      </c>
      <c r="E60" s="3">
        <v>0.83333333333333337</v>
      </c>
      <c r="F60" s="3">
        <f t="shared" si="0"/>
        <v>2.777777777777779E-2</v>
      </c>
    </row>
    <row r="61" spans="1:7" x14ac:dyDescent="0.3">
      <c r="D61" s="3">
        <v>0.68402777777777779</v>
      </c>
      <c r="E61" s="3">
        <v>0.69791666666666663</v>
      </c>
      <c r="F61" s="3">
        <f t="shared" si="0"/>
        <v>1.388888888888884E-2</v>
      </c>
    </row>
    <row r="62" spans="1:7" x14ac:dyDescent="0.3">
      <c r="D62" s="3">
        <v>0.67847222222222225</v>
      </c>
      <c r="E62" s="3">
        <v>0.69930555555555551</v>
      </c>
      <c r="F62" s="3">
        <f t="shared" si="0"/>
        <v>2.0833333333333259E-2</v>
      </c>
    </row>
    <row r="63" spans="1:7" x14ac:dyDescent="0.3">
      <c r="B63" t="s">
        <v>36</v>
      </c>
      <c r="C63" t="s">
        <v>9</v>
      </c>
      <c r="D63" s="3">
        <v>0.63680555555555551</v>
      </c>
      <c r="E63" s="3">
        <v>0.65277777777777779</v>
      </c>
      <c r="F63" s="3">
        <f t="shared" si="0"/>
        <v>1.5972222222222276E-2</v>
      </c>
      <c r="G63" s="3"/>
    </row>
    <row r="64" spans="1:7" x14ac:dyDescent="0.3">
      <c r="D64" s="3">
        <v>0.65069444444444446</v>
      </c>
      <c r="E64" s="3">
        <v>0.65277777777777779</v>
      </c>
      <c r="F64" s="3">
        <f t="shared" si="0"/>
        <v>2.0833333333333259E-3</v>
      </c>
      <c r="G64" s="3">
        <f>SUM(F60:F64)</f>
        <v>8.0555555555555491E-2</v>
      </c>
    </row>
    <row r="65" spans="1:7" x14ac:dyDescent="0.3">
      <c r="A65" t="s">
        <v>19</v>
      </c>
      <c r="B65" t="s">
        <v>34</v>
      </c>
      <c r="C65" t="s">
        <v>9</v>
      </c>
      <c r="D65" s="3">
        <v>0.71527777777777779</v>
      </c>
      <c r="E65" s="3">
        <v>0.71944444444444444</v>
      </c>
      <c r="F65" s="3">
        <f t="shared" si="0"/>
        <v>4.1666666666666519E-3</v>
      </c>
    </row>
    <row r="66" spans="1:7" x14ac:dyDescent="0.3">
      <c r="D66" s="3">
        <v>0.5</v>
      </c>
      <c r="E66" s="3">
        <v>0.52083333333333337</v>
      </c>
      <c r="F66" s="3">
        <f t="shared" si="0"/>
        <v>2.083333333333337E-2</v>
      </c>
    </row>
    <row r="67" spans="1:7" x14ac:dyDescent="0.3">
      <c r="D67" s="3">
        <v>0.60763888888888884</v>
      </c>
      <c r="E67" s="3">
        <v>0.625</v>
      </c>
      <c r="F67" s="3">
        <f t="shared" si="0"/>
        <v>1.736111111111116E-2</v>
      </c>
    </row>
    <row r="68" spans="1:7" x14ac:dyDescent="0.3">
      <c r="F68" s="3">
        <f t="shared" si="0"/>
        <v>0</v>
      </c>
      <c r="G68" s="3">
        <f>SUM(F65:F68)</f>
        <v>4.2361111111111183E-2</v>
      </c>
    </row>
    <row r="69" spans="1:7" x14ac:dyDescent="0.3">
      <c r="A69" t="s">
        <v>20</v>
      </c>
      <c r="B69" t="s">
        <v>34</v>
      </c>
      <c r="C69" t="s">
        <v>9</v>
      </c>
      <c r="D69" s="3">
        <v>0.54513888888888884</v>
      </c>
      <c r="E69" s="3">
        <v>0.5625</v>
      </c>
      <c r="F69" s="3">
        <f t="shared" si="0"/>
        <v>1.736111111111116E-2</v>
      </c>
    </row>
    <row r="70" spans="1:7" x14ac:dyDescent="0.3">
      <c r="D70" s="3">
        <v>0.57291666666666663</v>
      </c>
      <c r="E70" s="3">
        <v>0.58333333333333337</v>
      </c>
      <c r="F70" s="3">
        <f t="shared" si="0"/>
        <v>1.0416666666666741E-2</v>
      </c>
    </row>
    <row r="71" spans="1:7" x14ac:dyDescent="0.3">
      <c r="D71" s="3">
        <v>0.75555555555555554</v>
      </c>
      <c r="E71" s="3">
        <v>0.75902777777777775</v>
      </c>
      <c r="F71" s="3">
        <f t="shared" si="0"/>
        <v>3.4722222222222099E-3</v>
      </c>
    </row>
    <row r="72" spans="1:7" x14ac:dyDescent="0.3">
      <c r="F72" s="3">
        <f t="shared" ref="F72:F117" si="1">E72-D72</f>
        <v>0</v>
      </c>
      <c r="G72" s="3">
        <f>SUM(F69:F72)</f>
        <v>3.1250000000000111E-2</v>
      </c>
    </row>
    <row r="73" spans="1:7" x14ac:dyDescent="0.3">
      <c r="A73" t="s">
        <v>21</v>
      </c>
      <c r="B73" t="s">
        <v>34</v>
      </c>
      <c r="C73" t="s">
        <v>9</v>
      </c>
      <c r="D73" s="3">
        <v>0.59166666666666667</v>
      </c>
      <c r="E73" s="3">
        <v>0.60416666666666663</v>
      </c>
      <c r="F73" s="3">
        <f t="shared" si="1"/>
        <v>1.2499999999999956E-2</v>
      </c>
    </row>
    <row r="74" spans="1:7" x14ac:dyDescent="0.3">
      <c r="D74" s="3">
        <v>0.73263888888888884</v>
      </c>
      <c r="E74" s="3">
        <v>0.75347222222222221</v>
      </c>
      <c r="F74" s="3">
        <f t="shared" si="1"/>
        <v>2.083333333333337E-2</v>
      </c>
    </row>
    <row r="75" spans="1:7" x14ac:dyDescent="0.3">
      <c r="F75" s="3">
        <f t="shared" si="1"/>
        <v>0</v>
      </c>
    </row>
    <row r="76" spans="1:7" x14ac:dyDescent="0.3">
      <c r="F76" s="3">
        <f t="shared" si="1"/>
        <v>0</v>
      </c>
      <c r="G76" s="3">
        <f>SUM(F73:F76)</f>
        <v>3.3333333333333326E-2</v>
      </c>
    </row>
    <row r="77" spans="1:7" x14ac:dyDescent="0.3">
      <c r="A77" t="s">
        <v>22</v>
      </c>
      <c r="B77" t="s">
        <v>34</v>
      </c>
      <c r="C77" t="s">
        <v>9</v>
      </c>
      <c r="D77" s="3">
        <v>0.59305555555555556</v>
      </c>
      <c r="E77" s="3">
        <v>0.61527777777777781</v>
      </c>
      <c r="F77" s="3">
        <f t="shared" si="1"/>
        <v>2.2222222222222254E-2</v>
      </c>
    </row>
    <row r="78" spans="1:7" x14ac:dyDescent="0.3">
      <c r="F78" s="3">
        <f t="shared" si="1"/>
        <v>0</v>
      </c>
    </row>
    <row r="79" spans="1:7" x14ac:dyDescent="0.3">
      <c r="F79" s="3">
        <f t="shared" si="1"/>
        <v>0</v>
      </c>
      <c r="G79" s="3">
        <f>SUM(F77:F79)</f>
        <v>2.2222222222222254E-2</v>
      </c>
    </row>
    <row r="80" spans="1:7" x14ac:dyDescent="0.3">
      <c r="A80" t="s">
        <v>23</v>
      </c>
      <c r="B80" t="s">
        <v>34</v>
      </c>
      <c r="C80" t="s">
        <v>9</v>
      </c>
      <c r="D80" s="3">
        <v>0.65625</v>
      </c>
      <c r="E80" s="3">
        <v>0.68263888888888891</v>
      </c>
      <c r="F80" s="3">
        <f t="shared" si="1"/>
        <v>2.6388888888888906E-2</v>
      </c>
    </row>
    <row r="81" spans="1:7" x14ac:dyDescent="0.3">
      <c r="B81" t="s">
        <v>36</v>
      </c>
      <c r="C81" t="s">
        <v>9</v>
      </c>
      <c r="D81" s="3">
        <v>0.95138888888888884</v>
      </c>
      <c r="E81" s="3">
        <v>0.95833333333333337</v>
      </c>
      <c r="F81" s="3">
        <f t="shared" si="1"/>
        <v>6.9444444444445308E-3</v>
      </c>
    </row>
    <row r="82" spans="1:7" x14ac:dyDescent="0.3">
      <c r="D82" s="3">
        <v>0.6</v>
      </c>
      <c r="E82" s="3">
        <v>0.6069444444444444</v>
      </c>
      <c r="F82" s="3">
        <f t="shared" si="1"/>
        <v>6.9444444444444198E-3</v>
      </c>
    </row>
    <row r="83" spans="1:7" x14ac:dyDescent="0.3">
      <c r="F83" s="3">
        <f t="shared" si="1"/>
        <v>0</v>
      </c>
      <c r="G83" s="3">
        <f>SUM(F80:F83)</f>
        <v>4.0277777777777857E-2</v>
      </c>
    </row>
    <row r="84" spans="1:7" x14ac:dyDescent="0.3">
      <c r="A84" t="s">
        <v>24</v>
      </c>
      <c r="B84" t="s">
        <v>34</v>
      </c>
      <c r="C84" t="s">
        <v>9</v>
      </c>
      <c r="D84" s="3">
        <v>0.63402777777777775</v>
      </c>
      <c r="E84" s="3">
        <v>0.66319444444444442</v>
      </c>
      <c r="F84" s="3">
        <f t="shared" si="1"/>
        <v>2.9166666666666674E-2</v>
      </c>
    </row>
    <row r="85" spans="1:7" x14ac:dyDescent="0.3">
      <c r="B85" t="s">
        <v>36</v>
      </c>
      <c r="C85" t="s">
        <v>9</v>
      </c>
      <c r="D85" s="3">
        <v>0.52986111111111112</v>
      </c>
      <c r="E85" s="3">
        <v>0.54513888888888884</v>
      </c>
      <c r="F85" s="3">
        <f t="shared" si="1"/>
        <v>1.5277777777777724E-2</v>
      </c>
    </row>
    <row r="86" spans="1:7" x14ac:dyDescent="0.3">
      <c r="F86" s="3">
        <f t="shared" si="1"/>
        <v>0</v>
      </c>
      <c r="G86" s="3">
        <f>SUM(F84:F86)</f>
        <v>4.4444444444444398E-2</v>
      </c>
    </row>
    <row r="87" spans="1:7" x14ac:dyDescent="0.3">
      <c r="A87" t="s">
        <v>25</v>
      </c>
      <c r="B87" t="s">
        <v>34</v>
      </c>
      <c r="C87" t="s">
        <v>9</v>
      </c>
      <c r="D87" s="3">
        <v>0.58402777777777781</v>
      </c>
      <c r="E87" s="3">
        <v>0.59791666666666665</v>
      </c>
      <c r="F87" s="3">
        <f t="shared" si="1"/>
        <v>1.388888888888884E-2</v>
      </c>
    </row>
    <row r="88" spans="1:7" x14ac:dyDescent="0.3">
      <c r="D88" s="3">
        <v>0.74652777777777779</v>
      </c>
      <c r="E88" s="3">
        <v>0.76458333333333328</v>
      </c>
      <c r="F88" s="3">
        <f t="shared" si="1"/>
        <v>1.8055555555555491E-2</v>
      </c>
    </row>
    <row r="89" spans="1:7" x14ac:dyDescent="0.3">
      <c r="F89" s="3">
        <f t="shared" si="1"/>
        <v>0</v>
      </c>
      <c r="G89" s="3">
        <f>SUM(F87:F89)</f>
        <v>3.1944444444444331E-2</v>
      </c>
    </row>
    <row r="90" spans="1:7" x14ac:dyDescent="0.3">
      <c r="A90" t="s">
        <v>26</v>
      </c>
      <c r="B90" t="s">
        <v>34</v>
      </c>
      <c r="C90" t="s">
        <v>9</v>
      </c>
      <c r="D90" s="3">
        <v>0.52430555555555558</v>
      </c>
      <c r="E90" s="3">
        <v>0.54305555555555551</v>
      </c>
      <c r="F90" s="3">
        <f t="shared" si="1"/>
        <v>1.8749999999999933E-2</v>
      </c>
    </row>
    <row r="91" spans="1:7" x14ac:dyDescent="0.3">
      <c r="D91" s="3">
        <v>0.54722222222222228</v>
      </c>
      <c r="E91" s="3">
        <v>0.5541666666666667</v>
      </c>
      <c r="F91" s="3">
        <f t="shared" si="1"/>
        <v>6.9444444444444198E-3</v>
      </c>
    </row>
    <row r="92" spans="1:7" x14ac:dyDescent="0.3">
      <c r="F92" s="3">
        <f t="shared" si="1"/>
        <v>0</v>
      </c>
      <c r="G92" s="3">
        <f>SUM(F90:F92)</f>
        <v>2.5694444444444353E-2</v>
      </c>
    </row>
    <row r="93" spans="1:7" x14ac:dyDescent="0.3">
      <c r="A93" t="s">
        <v>27</v>
      </c>
      <c r="B93" t="s">
        <v>34</v>
      </c>
      <c r="C93" t="s">
        <v>9</v>
      </c>
      <c r="D93" s="3">
        <v>0.46527777777777779</v>
      </c>
      <c r="E93" s="3">
        <v>0.47569444444444442</v>
      </c>
      <c r="F93" s="3">
        <f t="shared" si="1"/>
        <v>1.041666666666663E-2</v>
      </c>
    </row>
    <row r="94" spans="1:7" x14ac:dyDescent="0.3">
      <c r="D94" s="3">
        <v>0.50694444444444442</v>
      </c>
      <c r="E94" s="3">
        <v>0.51249999999999996</v>
      </c>
      <c r="F94" s="3">
        <f t="shared" si="1"/>
        <v>5.5555555555555358E-3</v>
      </c>
    </row>
    <row r="95" spans="1:7" x14ac:dyDescent="0.3">
      <c r="F95" s="3">
        <f t="shared" si="1"/>
        <v>0</v>
      </c>
      <c r="G95" s="3">
        <f>SUM(F93:F95)</f>
        <v>1.5972222222222165E-2</v>
      </c>
    </row>
    <row r="96" spans="1:7" x14ac:dyDescent="0.3">
      <c r="A96" t="s">
        <v>29</v>
      </c>
      <c r="B96" t="s">
        <v>34</v>
      </c>
      <c r="C96" t="s">
        <v>9</v>
      </c>
      <c r="D96" s="3">
        <v>0.54166666666666663</v>
      </c>
      <c r="E96" s="3">
        <v>0.55763888888888891</v>
      </c>
      <c r="F96" s="3">
        <f t="shared" si="1"/>
        <v>1.5972222222222276E-2</v>
      </c>
    </row>
    <row r="97" spans="1:7" x14ac:dyDescent="0.3">
      <c r="B97" t="s">
        <v>36</v>
      </c>
      <c r="C97" t="s">
        <v>9</v>
      </c>
      <c r="D97" s="3">
        <v>0.59513888888888888</v>
      </c>
      <c r="E97" s="3">
        <v>0.61250000000000004</v>
      </c>
      <c r="F97" s="3">
        <f t="shared" si="1"/>
        <v>1.736111111111116E-2</v>
      </c>
    </row>
    <row r="98" spans="1:7" x14ac:dyDescent="0.3">
      <c r="F98" s="3">
        <f t="shared" si="1"/>
        <v>0</v>
      </c>
      <c r="G98" s="3">
        <f>SUM(F96:F98)</f>
        <v>3.3333333333333437E-2</v>
      </c>
    </row>
    <row r="99" spans="1:7" x14ac:dyDescent="0.3">
      <c r="A99" t="s">
        <v>28</v>
      </c>
      <c r="B99" t="s">
        <v>34</v>
      </c>
      <c r="C99" t="s">
        <v>9</v>
      </c>
      <c r="D99" s="3">
        <v>0.53472222222222221</v>
      </c>
      <c r="E99" s="3">
        <v>0.57291666666666663</v>
      </c>
      <c r="F99" s="3">
        <f t="shared" si="1"/>
        <v>3.819444444444442E-2</v>
      </c>
    </row>
    <row r="100" spans="1:7" x14ac:dyDescent="0.3">
      <c r="B100" t="s">
        <v>36</v>
      </c>
      <c r="C100" t="s">
        <v>9</v>
      </c>
      <c r="D100" s="3">
        <v>0.61597222222222225</v>
      </c>
      <c r="E100" s="3">
        <v>0.62152777777777779</v>
      </c>
      <c r="F100" s="3">
        <f t="shared" si="1"/>
        <v>5.5555555555555358E-3</v>
      </c>
    </row>
    <row r="101" spans="1:7" x14ac:dyDescent="0.3">
      <c r="D101" s="3">
        <v>0.57291666666666663</v>
      </c>
      <c r="E101" s="3">
        <v>0.59097222222222223</v>
      </c>
      <c r="F101" s="3">
        <f t="shared" si="1"/>
        <v>1.8055555555555602E-2</v>
      </c>
    </row>
    <row r="102" spans="1:7" x14ac:dyDescent="0.3">
      <c r="F102" s="3">
        <f t="shared" si="1"/>
        <v>0</v>
      </c>
      <c r="G102" s="3">
        <f>SUM(F99:F102)</f>
        <v>6.1805555555555558E-2</v>
      </c>
    </row>
    <row r="103" spans="1:7" x14ac:dyDescent="0.3">
      <c r="A103" t="s">
        <v>30</v>
      </c>
      <c r="B103" t="s">
        <v>34</v>
      </c>
      <c r="C103" t="s">
        <v>9</v>
      </c>
      <c r="D103" s="3">
        <v>0.54652777777777772</v>
      </c>
      <c r="E103" s="3">
        <v>0.56736111111111109</v>
      </c>
      <c r="F103" s="3">
        <f t="shared" si="1"/>
        <v>2.083333333333337E-2</v>
      </c>
    </row>
    <row r="104" spans="1:7" x14ac:dyDescent="0.3">
      <c r="B104" t="s">
        <v>36</v>
      </c>
      <c r="C104" t="s">
        <v>9</v>
      </c>
      <c r="D104" s="3">
        <v>0.59513888888888888</v>
      </c>
      <c r="E104" s="3">
        <v>0.60416666666666663</v>
      </c>
      <c r="F104" s="3">
        <f t="shared" si="1"/>
        <v>9.0277777777777457E-3</v>
      </c>
    </row>
    <row r="105" spans="1:7" x14ac:dyDescent="0.3">
      <c r="F105" s="3">
        <f t="shared" si="1"/>
        <v>0</v>
      </c>
      <c r="G105" s="3">
        <f>SUM(F103:F105)</f>
        <v>2.9861111111111116E-2</v>
      </c>
    </row>
    <row r="106" spans="1:7" x14ac:dyDescent="0.3">
      <c r="A106" t="s">
        <v>31</v>
      </c>
      <c r="B106" t="s">
        <v>34</v>
      </c>
      <c r="C106" t="s">
        <v>9</v>
      </c>
      <c r="D106" s="3">
        <v>0.78125</v>
      </c>
      <c r="E106" s="3">
        <v>0.80555555555555558</v>
      </c>
      <c r="F106" s="3">
        <f t="shared" si="1"/>
        <v>2.430555555555558E-2</v>
      </c>
    </row>
    <row r="107" spans="1:7" x14ac:dyDescent="0.3">
      <c r="B107" t="s">
        <v>36</v>
      </c>
      <c r="C107" t="s">
        <v>9</v>
      </c>
      <c r="D107" s="3">
        <v>0.5444444444444444</v>
      </c>
      <c r="E107" s="3">
        <v>0.55555555555555558</v>
      </c>
      <c r="F107" s="3">
        <f t="shared" si="1"/>
        <v>1.1111111111111183E-2</v>
      </c>
    </row>
    <row r="108" spans="1:7" x14ac:dyDescent="0.3">
      <c r="F108" s="3">
        <f t="shared" si="1"/>
        <v>0</v>
      </c>
      <c r="G108" s="3">
        <f>SUM(F106:F107)</f>
        <v>3.5416666666666763E-2</v>
      </c>
    </row>
    <row r="109" spans="1:7" x14ac:dyDescent="0.3">
      <c r="A109" t="s">
        <v>32</v>
      </c>
      <c r="B109" t="s">
        <v>34</v>
      </c>
      <c r="C109" t="s">
        <v>9</v>
      </c>
      <c r="D109" s="3">
        <v>0.8125</v>
      </c>
      <c r="E109" s="3">
        <v>0.82986111111111116</v>
      </c>
      <c r="F109" s="3">
        <f t="shared" si="1"/>
        <v>1.736111111111116E-2</v>
      </c>
    </row>
    <row r="110" spans="1:7" x14ac:dyDescent="0.3">
      <c r="B110" t="s">
        <v>36</v>
      </c>
      <c r="C110" t="s">
        <v>9</v>
      </c>
      <c r="D110" s="3">
        <v>0.65486111111111112</v>
      </c>
      <c r="E110" s="3">
        <v>0.66666666666666663</v>
      </c>
      <c r="F110" s="3">
        <f t="shared" si="1"/>
        <v>1.1805555555555514E-2</v>
      </c>
    </row>
    <row r="111" spans="1:7" x14ac:dyDescent="0.3">
      <c r="F111" s="3">
        <f t="shared" si="1"/>
        <v>0</v>
      </c>
      <c r="G111" s="3">
        <f>SUM(F109:F111)</f>
        <v>2.9166666666666674E-2</v>
      </c>
    </row>
    <row r="112" spans="1:7" x14ac:dyDescent="0.3">
      <c r="A112" t="s">
        <v>33</v>
      </c>
      <c r="B112" t="s">
        <v>34</v>
      </c>
      <c r="C112" t="s">
        <v>9</v>
      </c>
      <c r="D112" s="3">
        <v>0.59166666666666667</v>
      </c>
      <c r="E112" s="3">
        <v>0.66666666666666663</v>
      </c>
      <c r="F112" s="3">
        <f t="shared" si="1"/>
        <v>7.4999999999999956E-2</v>
      </c>
    </row>
    <row r="113" spans="4:7" x14ac:dyDescent="0.3">
      <c r="D113" s="3">
        <v>0.78888888888888886</v>
      </c>
      <c r="E113" s="3">
        <v>0.83680555555555558</v>
      </c>
      <c r="F113" s="3">
        <f t="shared" si="1"/>
        <v>4.7916666666666718E-2</v>
      </c>
      <c r="G113" s="3">
        <f>SUM(F112:F113)</f>
        <v>0.12291666666666667</v>
      </c>
    </row>
    <row r="114" spans="4:7" x14ac:dyDescent="0.3">
      <c r="F114" s="3">
        <f t="shared" si="1"/>
        <v>0</v>
      </c>
    </row>
    <row r="115" spans="4:7" x14ac:dyDescent="0.3">
      <c r="F115" s="3">
        <f t="shared" si="1"/>
        <v>0</v>
      </c>
    </row>
    <row r="116" spans="4:7" x14ac:dyDescent="0.3">
      <c r="F116" s="3">
        <f t="shared" si="1"/>
        <v>0</v>
      </c>
    </row>
    <row r="117" spans="4:7" x14ac:dyDescent="0.3">
      <c r="F117" s="3">
        <f t="shared" si="1"/>
        <v>0</v>
      </c>
    </row>
    <row r="118" spans="4:7" x14ac:dyDescent="0.3">
      <c r="F118" s="3"/>
    </row>
    <row r="119" spans="4:7" x14ac:dyDescent="0.3">
      <c r="F119" s="3"/>
    </row>
    <row r="120" spans="4:7" x14ac:dyDescent="0.3">
      <c r="F120" s="3"/>
    </row>
    <row r="121" spans="4:7" x14ac:dyDescent="0.3">
      <c r="F121" s="3"/>
    </row>
    <row r="122" spans="4:7" x14ac:dyDescent="0.3">
      <c r="F122" s="3"/>
    </row>
    <row r="123" spans="4:7" x14ac:dyDescent="0.3">
      <c r="F123" s="3"/>
    </row>
    <row r="124" spans="4:7" x14ac:dyDescent="0.3">
      <c r="F124" s="3"/>
    </row>
    <row r="125" spans="4:7" x14ac:dyDescent="0.3">
      <c r="F125" s="3"/>
    </row>
    <row r="126" spans="4:7" x14ac:dyDescent="0.3">
      <c r="F126" s="3"/>
    </row>
    <row r="127" spans="4:7" x14ac:dyDescent="0.3">
      <c r="F127" s="3"/>
    </row>
    <row r="128" spans="4:7" x14ac:dyDescent="0.3">
      <c r="F128" s="3"/>
    </row>
    <row r="129" spans="6:6" x14ac:dyDescent="0.3">
      <c r="F129" s="3"/>
    </row>
    <row r="130" spans="6:6" x14ac:dyDescent="0.3">
      <c r="F130" s="3"/>
    </row>
    <row r="131" spans="6:6" x14ac:dyDescent="0.3">
      <c r="F131" s="3"/>
    </row>
    <row r="132" spans="6:6" x14ac:dyDescent="0.3">
      <c r="F132" s="3"/>
    </row>
    <row r="133" spans="6:6" x14ac:dyDescent="0.3">
      <c r="F133" s="3"/>
    </row>
    <row r="134" spans="6:6" x14ac:dyDescent="0.3">
      <c r="F1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Tabea Gröger</dc:creator>
  <cp:lastModifiedBy>Tabea Gröger</cp:lastModifiedBy>
  <dcterms:created xsi:type="dcterms:W3CDTF">2015-06-05T18:19:34Z</dcterms:created>
  <dcterms:modified xsi:type="dcterms:W3CDTF">2025-09-02T14:37:16Z</dcterms:modified>
</cp:coreProperties>
</file>