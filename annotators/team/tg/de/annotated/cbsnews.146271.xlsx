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089045FB-50EA-4A24-930A-4818B5F9B9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499" i="2" l="1"/>
  <c r="G498" i="2"/>
  <c r="E498" i="2"/>
  <c r="F498" i="2" s="1"/>
  <c r="J498" i="2" s="1"/>
  <c r="H498" i="2" s="1"/>
  <c r="F497" i="2"/>
  <c r="J497" i="2" s="1"/>
  <c r="H497" i="2" s="1"/>
  <c r="G496" i="2"/>
  <c r="E496" i="2"/>
  <c r="F495" i="2"/>
  <c r="E495" i="2"/>
  <c r="G495" i="2" s="1"/>
  <c r="F493" i="2"/>
  <c r="I493" i="2" s="1"/>
  <c r="E493" i="2"/>
  <c r="G493" i="2" s="1"/>
  <c r="E492" i="2"/>
  <c r="G492" i="2" s="1"/>
  <c r="G491" i="2"/>
  <c r="E491" i="2"/>
  <c r="F491" i="2" s="1"/>
  <c r="F490" i="2"/>
  <c r="G489" i="2"/>
  <c r="F489" i="2"/>
  <c r="J489" i="2" s="1"/>
  <c r="H489" i="2" s="1"/>
  <c r="E489" i="2"/>
  <c r="F488" i="2"/>
  <c r="I488" i="2" s="1"/>
  <c r="E485" i="2"/>
  <c r="G484" i="2"/>
  <c r="E484" i="2"/>
  <c r="F483" i="2"/>
  <c r="K483" i="2" s="1"/>
  <c r="E483" i="2"/>
  <c r="G483" i="2" s="1"/>
  <c r="E482" i="2"/>
  <c r="G480" i="2"/>
  <c r="F480" i="2"/>
  <c r="I480" i="2" s="1"/>
  <c r="E480" i="2"/>
  <c r="G479" i="2"/>
  <c r="J479" i="2"/>
  <c r="H479" i="2" s="1"/>
  <c r="F478" i="2"/>
  <c r="I478" i="2" s="1"/>
  <c r="E478" i="2"/>
  <c r="E477" i="2"/>
  <c r="G476" i="2"/>
  <c r="E476" i="2"/>
  <c r="F475" i="2"/>
  <c r="E472" i="2"/>
  <c r="G471" i="2"/>
  <c r="E471" i="2"/>
  <c r="F471" i="2" s="1"/>
  <c r="K471" i="2" s="1"/>
  <c r="G470" i="2"/>
  <c r="F470" i="2"/>
  <c r="J470" i="2" s="1"/>
  <c r="H470" i="2" s="1"/>
  <c r="E470" i="2"/>
  <c r="G469" i="2"/>
  <c r="J469" i="2"/>
  <c r="H469" i="2" s="1"/>
  <c r="F466" i="2"/>
  <c r="I466" i="2" s="1"/>
  <c r="E466" i="2"/>
  <c r="E465" i="2"/>
  <c r="G464" i="2"/>
  <c r="E464" i="2"/>
  <c r="F463" i="2"/>
  <c r="I463" i="2" s="1"/>
  <c r="E462" i="2"/>
  <c r="G461" i="2"/>
  <c r="E461" i="2"/>
  <c r="F461" i="2" s="1"/>
  <c r="G460" i="2"/>
  <c r="F460" i="2"/>
  <c r="J460" i="2" s="1"/>
  <c r="H460" i="2" s="1"/>
  <c r="E460" i="2"/>
  <c r="G459" i="2"/>
  <c r="F459" i="2"/>
  <c r="J459" i="2" s="1"/>
  <c r="H459" i="2" s="1"/>
  <c r="E459" i="2"/>
  <c r="G458" i="2"/>
  <c r="F458" i="2"/>
  <c r="I458" i="2" s="1"/>
  <c r="E458" i="2"/>
  <c r="E457" i="2"/>
  <c r="F455" i="2"/>
  <c r="E455" i="2"/>
  <c r="G455" i="2" s="1"/>
  <c r="G453" i="2"/>
  <c r="E453" i="2"/>
  <c r="F453" i="2" s="1"/>
  <c r="G452" i="2"/>
  <c r="F452" i="2"/>
  <c r="J452" i="2" s="1"/>
  <c r="H452" i="2" s="1"/>
  <c r="E452" i="2"/>
  <c r="G451" i="2"/>
  <c r="F451" i="2"/>
  <c r="J451" i="2" s="1"/>
  <c r="H451" i="2" s="1"/>
  <c r="E451" i="2"/>
  <c r="G450" i="2"/>
  <c r="F450" i="2"/>
  <c r="I450" i="2" s="1"/>
  <c r="E450" i="2"/>
  <c r="F449" i="2"/>
  <c r="K449" i="2" s="1"/>
  <c r="E449" i="2"/>
  <c r="F447" i="2"/>
  <c r="J447" i="2" s="1"/>
  <c r="H447" i="2" s="1"/>
  <c r="E447" i="2"/>
  <c r="G447" i="2" s="1"/>
  <c r="E444" i="2"/>
  <c r="G443" i="2"/>
  <c r="E443" i="2"/>
  <c r="F443" i="2" s="1"/>
  <c r="J443" i="2" s="1"/>
  <c r="H443" i="2" s="1"/>
  <c r="G442" i="2"/>
  <c r="F442" i="2"/>
  <c r="J442" i="2" s="1"/>
  <c r="H442" i="2" s="1"/>
  <c r="E442" i="2"/>
  <c r="F441" i="2"/>
  <c r="E441" i="2"/>
  <c r="G440" i="2"/>
  <c r="F440" i="2"/>
  <c r="I440" i="2" s="1"/>
  <c r="E440" i="2"/>
  <c r="F439" i="2"/>
  <c r="F437" i="2"/>
  <c r="J437" i="2" s="1"/>
  <c r="H437" i="2" s="1"/>
  <c r="E437" i="2"/>
  <c r="G437" i="2" s="1"/>
  <c r="E436" i="2"/>
  <c r="G435" i="2"/>
  <c r="E435" i="2"/>
  <c r="F435" i="2" s="1"/>
  <c r="K435" i="2" s="1"/>
  <c r="G434" i="2"/>
  <c r="F434" i="2"/>
  <c r="E434" i="2"/>
  <c r="F433" i="2"/>
  <c r="J433" i="2" s="1"/>
  <c r="H433" i="2" s="1"/>
  <c r="G432" i="2"/>
  <c r="F432" i="2"/>
  <c r="I432" i="2" s="1"/>
  <c r="E432" i="2"/>
  <c r="E431" i="2"/>
  <c r="G430" i="2"/>
  <c r="F430" i="2"/>
  <c r="K430" i="2" s="1"/>
  <c r="E430" i="2"/>
  <c r="F429" i="2"/>
  <c r="I429" i="2" s="1"/>
  <c r="E428" i="2"/>
  <c r="G427" i="2"/>
  <c r="E427" i="2"/>
  <c r="F427" i="2" s="1"/>
  <c r="K427" i="2" s="1"/>
  <c r="G426" i="2"/>
  <c r="F426" i="2"/>
  <c r="J426" i="2" s="1"/>
  <c r="H426" i="2" s="1"/>
  <c r="E426" i="2"/>
  <c r="E425" i="2"/>
  <c r="G424" i="2"/>
  <c r="F424" i="2"/>
  <c r="I424" i="2" s="1"/>
  <c r="E424" i="2"/>
  <c r="G423" i="2"/>
  <c r="F423" i="2"/>
  <c r="K423" i="2" s="1"/>
  <c r="E423" i="2"/>
  <c r="F422" i="2"/>
  <c r="E422" i="2"/>
  <c r="E421" i="2"/>
  <c r="E420" i="2"/>
  <c r="F419" i="2"/>
  <c r="G416" i="2"/>
  <c r="F416" i="2"/>
  <c r="K416" i="2" s="1"/>
  <c r="E416" i="2"/>
  <c r="E415" i="2"/>
  <c r="G414" i="2"/>
  <c r="F414" i="2"/>
  <c r="E414" i="2"/>
  <c r="G413" i="2"/>
  <c r="E413" i="2"/>
  <c r="G412" i="2"/>
  <c r="F412" i="2"/>
  <c r="J412" i="2" s="1"/>
  <c r="H412" i="2" s="1"/>
  <c r="E412" i="2"/>
  <c r="E410" i="2"/>
  <c r="F409" i="2"/>
  <c r="I409" i="2" s="1"/>
  <c r="G408" i="2"/>
  <c r="F408" i="2"/>
  <c r="J408" i="2" s="1"/>
  <c r="H408" i="2" s="1"/>
  <c r="E408" i="2"/>
  <c r="G405" i="2"/>
  <c r="F405" i="2"/>
  <c r="I405" i="2" s="1"/>
  <c r="E405" i="2"/>
  <c r="G404" i="2"/>
  <c r="F404" i="2"/>
  <c r="I404" i="2" s="1"/>
  <c r="E404" i="2"/>
  <c r="G403" i="2"/>
  <c r="F403" i="2"/>
  <c r="K403" i="2" s="1"/>
  <c r="E403" i="2"/>
  <c r="E399" i="2"/>
  <c r="E398" i="2"/>
  <c r="G397" i="2"/>
  <c r="E397" i="2"/>
  <c r="F397" i="2" s="1"/>
  <c r="F396" i="2"/>
  <c r="J396" i="2" s="1"/>
  <c r="H396" i="2" s="1"/>
  <c r="E395" i="2"/>
  <c r="G394" i="2"/>
  <c r="F394" i="2"/>
  <c r="E394" i="2"/>
  <c r="G393" i="2"/>
  <c r="E393" i="2"/>
  <c r="F392" i="2"/>
  <c r="E389" i="2"/>
  <c r="E388" i="2"/>
  <c r="G387" i="2"/>
  <c r="E387" i="2"/>
  <c r="F387" i="2" s="1"/>
  <c r="K387" i="2" s="1"/>
  <c r="G386" i="2"/>
  <c r="F386" i="2"/>
  <c r="J386" i="2" s="1"/>
  <c r="H386" i="2" s="1"/>
  <c r="E386" i="2"/>
  <c r="G385" i="2"/>
  <c r="F384" i="2"/>
  <c r="E384" i="2"/>
  <c r="G383" i="2"/>
  <c r="F383" i="2"/>
  <c r="K383" i="2" s="1"/>
  <c r="E383" i="2"/>
  <c r="G382" i="2"/>
  <c r="F382" i="2"/>
  <c r="K382" i="2" s="1"/>
  <c r="E382" i="2"/>
  <c r="F381" i="2"/>
  <c r="I381" i="2" s="1"/>
  <c r="E381" i="2"/>
  <c r="F380" i="2"/>
  <c r="E380" i="2"/>
  <c r="F379" i="2"/>
  <c r="I379" i="2" s="1"/>
  <c r="G376" i="2"/>
  <c r="F376" i="2"/>
  <c r="K376" i="2" s="1"/>
  <c r="E376" i="2"/>
  <c r="G375" i="2"/>
  <c r="F375" i="2"/>
  <c r="I375" i="2" s="1"/>
  <c r="E375" i="2"/>
  <c r="E374" i="2"/>
  <c r="E373" i="2"/>
  <c r="F372" i="2"/>
  <c r="G371" i="2"/>
  <c r="F371" i="2"/>
  <c r="K371" i="2" s="1"/>
  <c r="E371" i="2"/>
  <c r="F370" i="2"/>
  <c r="I370" i="2" s="1"/>
  <c r="E370" i="2"/>
  <c r="G369" i="2"/>
  <c r="E369" i="2"/>
  <c r="I368" i="2"/>
  <c r="G367" i="2"/>
  <c r="F367" i="2"/>
  <c r="I367" i="2" s="1"/>
  <c r="E367" i="2"/>
  <c r="F366" i="2"/>
  <c r="G365" i="2"/>
  <c r="F365" i="2"/>
  <c r="E365" i="2"/>
  <c r="F364" i="2"/>
  <c r="E364" i="2"/>
  <c r="E363" i="2"/>
  <c r="G362" i="2"/>
  <c r="F362" i="2"/>
  <c r="I362" i="2" s="1"/>
  <c r="E362" i="2"/>
  <c r="E361" i="2"/>
  <c r="G360" i="2"/>
  <c r="E360" i="2"/>
  <c r="F360" i="2" s="1"/>
  <c r="K360" i="2" s="1"/>
  <c r="G359" i="2"/>
  <c r="F359" i="2"/>
  <c r="J359" i="2" s="1"/>
  <c r="H359" i="2" s="1"/>
  <c r="E359" i="2"/>
  <c r="E358" i="2"/>
  <c r="G357" i="2"/>
  <c r="F357" i="2"/>
  <c r="I357" i="2" s="1"/>
  <c r="E357" i="2"/>
  <c r="E354" i="2"/>
  <c r="G353" i="2"/>
  <c r="F353" i="2"/>
  <c r="E353" i="2"/>
  <c r="G352" i="2"/>
  <c r="E352" i="2"/>
  <c r="F351" i="2"/>
  <c r="J351" i="2" s="1"/>
  <c r="H351" i="2" s="1"/>
  <c r="E351" i="2"/>
  <c r="E350" i="2"/>
  <c r="G349" i="2"/>
  <c r="F349" i="2"/>
  <c r="K349" i="2" s="1"/>
  <c r="E349" i="2"/>
  <c r="J348" i="2"/>
  <c r="H348" i="2" s="1"/>
  <c r="G347" i="2"/>
  <c r="F347" i="2"/>
  <c r="J347" i="2" s="1"/>
  <c r="H347" i="2" s="1"/>
  <c r="E347" i="2"/>
  <c r="G344" i="2"/>
  <c r="F344" i="2"/>
  <c r="K344" i="2" s="1"/>
  <c r="E344" i="2"/>
  <c r="G342" i="2"/>
  <c r="F342" i="2"/>
  <c r="I342" i="2" s="1"/>
  <c r="E342" i="2"/>
  <c r="E341" i="2"/>
  <c r="F340" i="2"/>
  <c r="J340" i="2" s="1"/>
  <c r="H340" i="2" s="1"/>
  <c r="G339" i="2"/>
  <c r="F339" i="2"/>
  <c r="K339" i="2" s="1"/>
  <c r="E339" i="2"/>
  <c r="E338" i="2"/>
  <c r="F338" i="2" s="1"/>
  <c r="I338" i="2" s="1"/>
  <c r="G337" i="2"/>
  <c r="F337" i="2"/>
  <c r="J337" i="2" s="1"/>
  <c r="H337" i="2" s="1"/>
  <c r="E337" i="2"/>
  <c r="E336" i="2"/>
  <c r="G335" i="2"/>
  <c r="F335" i="2"/>
  <c r="J335" i="2" s="1"/>
  <c r="H335" i="2" s="1"/>
  <c r="E335" i="2"/>
  <c r="E334" i="2"/>
  <c r="E333" i="2"/>
  <c r="E332" i="2"/>
  <c r="F331" i="2"/>
  <c r="G330" i="2"/>
  <c r="E330" i="2"/>
  <c r="F330" i="2" s="1"/>
  <c r="K330" i="2" s="1"/>
  <c r="G329" i="2"/>
  <c r="E329" i="2"/>
  <c r="E327" i="2"/>
  <c r="G326" i="2"/>
  <c r="E326" i="2"/>
  <c r="F326" i="2" s="1"/>
  <c r="E325" i="2"/>
  <c r="E324" i="2"/>
  <c r="G323" i="2"/>
  <c r="F323" i="2"/>
  <c r="J323" i="2" s="1"/>
  <c r="H323" i="2" s="1"/>
  <c r="E323" i="2"/>
  <c r="E322" i="2"/>
  <c r="F318" i="2"/>
  <c r="I318" i="2" s="1"/>
  <c r="E318" i="2"/>
  <c r="E317" i="2"/>
  <c r="F316" i="2"/>
  <c r="I316" i="2" s="1"/>
  <c r="E316" i="2"/>
  <c r="G316" i="2" s="1"/>
  <c r="E315" i="2"/>
  <c r="F315" i="2" s="1"/>
  <c r="K315" i="2" s="1"/>
  <c r="F314" i="2"/>
  <c r="E314" i="2"/>
  <c r="G314" i="2" s="1"/>
  <c r="E313" i="2"/>
  <c r="F312" i="2"/>
  <c r="E309" i="2"/>
  <c r="E307" i="2"/>
  <c r="G306" i="2"/>
  <c r="F306" i="2"/>
  <c r="I306" i="2" s="1"/>
  <c r="E306" i="2"/>
  <c r="G305" i="2"/>
  <c r="E305" i="2"/>
  <c r="F305" i="2" s="1"/>
  <c r="J305" i="2" s="1"/>
  <c r="H305" i="2" s="1"/>
  <c r="F304" i="2"/>
  <c r="I304" i="2" s="1"/>
  <c r="E304" i="2"/>
  <c r="G302" i="2"/>
  <c r="F302" i="2"/>
  <c r="K302" i="2" s="1"/>
  <c r="E302" i="2"/>
  <c r="F300" i="2"/>
  <c r="I300" i="2" s="1"/>
  <c r="E300" i="2"/>
  <c r="E297" i="2"/>
  <c r="G296" i="2"/>
  <c r="F296" i="2"/>
  <c r="I296" i="2" s="1"/>
  <c r="E296" i="2"/>
  <c r="E295" i="2"/>
  <c r="F294" i="2"/>
  <c r="J294" i="2" s="1"/>
  <c r="H294" i="2" s="1"/>
  <c r="E293" i="2"/>
  <c r="G292" i="2"/>
  <c r="F292" i="2"/>
  <c r="K292" i="2" s="1"/>
  <c r="E292" i="2"/>
  <c r="G291" i="2"/>
  <c r="E291" i="2"/>
  <c r="F290" i="2"/>
  <c r="J290" i="2" s="1"/>
  <c r="H290" i="2" s="1"/>
  <c r="E290" i="2"/>
  <c r="F288" i="2"/>
  <c r="I288" i="2" s="1"/>
  <c r="G287" i="2"/>
  <c r="E287" i="2"/>
  <c r="F287" i="2" s="1"/>
  <c r="J287" i="2" s="1"/>
  <c r="H287" i="2" s="1"/>
  <c r="I286" i="2"/>
  <c r="E285" i="2"/>
  <c r="G283" i="2"/>
  <c r="F283" i="2"/>
  <c r="J283" i="2" s="1"/>
  <c r="H283" i="2" s="1"/>
  <c r="E283" i="2"/>
  <c r="G281" i="2"/>
  <c r="E281" i="2"/>
  <c r="F280" i="2"/>
  <c r="I280" i="2" s="1"/>
  <c r="E280" i="2"/>
  <c r="E279" i="2"/>
  <c r="G278" i="2"/>
  <c r="F278" i="2"/>
  <c r="I278" i="2" s="1"/>
  <c r="E278" i="2"/>
  <c r="E277" i="2"/>
  <c r="F276" i="2"/>
  <c r="J276" i="2" s="1"/>
  <c r="H276" i="2" s="1"/>
  <c r="E276" i="2"/>
  <c r="E275" i="2"/>
  <c r="F274" i="2"/>
  <c r="G273" i="2"/>
  <c r="E273" i="2"/>
  <c r="F272" i="2"/>
  <c r="E272" i="2"/>
  <c r="E271" i="2"/>
  <c r="G270" i="2"/>
  <c r="F270" i="2"/>
  <c r="I270" i="2" s="1"/>
  <c r="E270" i="2"/>
  <c r="F269" i="2"/>
  <c r="J269" i="2" s="1"/>
  <c r="G268" i="2"/>
  <c r="E268" i="2"/>
  <c r="E267" i="2"/>
  <c r="G266" i="2"/>
  <c r="E266" i="2"/>
  <c r="E264" i="2"/>
  <c r="E263" i="2"/>
  <c r="F262" i="2"/>
  <c r="I262" i="2" s="1"/>
  <c r="G260" i="2"/>
  <c r="E260" i="2"/>
  <c r="F260" i="2" s="1"/>
  <c r="I260" i="2" s="1"/>
  <c r="G258" i="2"/>
  <c r="E258" i="2"/>
  <c r="G257" i="2"/>
  <c r="E257" i="2"/>
  <c r="E256" i="2"/>
  <c r="G255" i="2"/>
  <c r="E255" i="2"/>
  <c r="F254" i="2"/>
  <c r="E254" i="2"/>
  <c r="G254" i="2" s="1"/>
  <c r="E253" i="2"/>
  <c r="G252" i="2"/>
  <c r="F252" i="2"/>
  <c r="E252" i="2"/>
  <c r="G251" i="2"/>
  <c r="E251" i="2"/>
  <c r="F250" i="2"/>
  <c r="J250" i="2" s="1"/>
  <c r="H250" i="2" s="1"/>
  <c r="E250" i="2"/>
  <c r="E249" i="2"/>
  <c r="F248" i="2"/>
  <c r="K248" i="2" s="1"/>
  <c r="E248" i="2"/>
  <c r="G247" i="2"/>
  <c r="E247" i="2"/>
  <c r="F247" i="2" s="1"/>
  <c r="K247" i="2" s="1"/>
  <c r="J246" i="2"/>
  <c r="H246" i="2" s="1"/>
  <c r="G246" i="2"/>
  <c r="G245" i="2"/>
  <c r="E245" i="2"/>
  <c r="F244" i="2"/>
  <c r="J244" i="2" s="1"/>
  <c r="E241" i="2"/>
  <c r="F240" i="2"/>
  <c r="J240" i="2" s="1"/>
  <c r="H240" i="2" s="1"/>
  <c r="E240" i="2"/>
  <c r="E239" i="2"/>
  <c r="F238" i="2"/>
  <c r="K238" i="2" s="1"/>
  <c r="E238" i="2"/>
  <c r="E237" i="2"/>
  <c r="F236" i="2"/>
  <c r="J236" i="2" s="1"/>
  <c r="H236" i="2" s="1"/>
  <c r="E236" i="2"/>
  <c r="G236" i="2" s="1"/>
  <c r="E235" i="2"/>
  <c r="F234" i="2"/>
  <c r="J234" i="2" s="1"/>
  <c r="G231" i="2"/>
  <c r="E231" i="2"/>
  <c r="F230" i="2"/>
  <c r="J230" i="2" s="1"/>
  <c r="H230" i="2" s="1"/>
  <c r="E230" i="2"/>
  <c r="G229" i="2"/>
  <c r="E229" i="2"/>
  <c r="F228" i="2"/>
  <c r="K228" i="2" s="1"/>
  <c r="E228" i="2"/>
  <c r="F226" i="2"/>
  <c r="K226" i="2" s="1"/>
  <c r="E226" i="2"/>
  <c r="G226" i="2" s="1"/>
  <c r="G223" i="2"/>
  <c r="E223" i="2"/>
  <c r="G222" i="2"/>
  <c r="F222" i="2"/>
  <c r="E222" i="2"/>
  <c r="F221" i="2"/>
  <c r="K221" i="2" s="1"/>
  <c r="E221" i="2"/>
  <c r="E220" i="2"/>
  <c r="G219" i="2"/>
  <c r="E219" i="2"/>
  <c r="F218" i="2"/>
  <c r="K218" i="2" s="1"/>
  <c r="E218" i="2"/>
  <c r="F216" i="2"/>
  <c r="K216" i="2" s="1"/>
  <c r="E216" i="2"/>
  <c r="G216" i="2" s="1"/>
  <c r="E215" i="2"/>
  <c r="G214" i="2"/>
  <c r="F214" i="2"/>
  <c r="E214" i="2"/>
  <c r="G213" i="2"/>
  <c r="F213" i="2"/>
  <c r="K213" i="2" s="1"/>
  <c r="E213" i="2"/>
  <c r="E212" i="2"/>
  <c r="G211" i="2"/>
  <c r="E211" i="2"/>
  <c r="F210" i="2"/>
  <c r="E210" i="2"/>
  <c r="G209" i="2"/>
  <c r="E209" i="2"/>
  <c r="F209" i="2" s="1"/>
  <c r="K209" i="2" s="1"/>
  <c r="F208" i="2"/>
  <c r="K208" i="2" s="1"/>
  <c r="E208" i="2"/>
  <c r="G208" i="2" s="1"/>
  <c r="E207" i="2"/>
  <c r="G206" i="2"/>
  <c r="F206" i="2"/>
  <c r="K206" i="2" s="1"/>
  <c r="E206" i="2"/>
  <c r="F205" i="2"/>
  <c r="I205" i="2" s="1"/>
  <c r="G202" i="2"/>
  <c r="F202" i="2"/>
  <c r="E202" i="2"/>
  <c r="E201" i="2"/>
  <c r="E200" i="2"/>
  <c r="E199" i="2"/>
  <c r="F198" i="2"/>
  <c r="J198" i="2" s="1"/>
  <c r="H198" i="2" s="1"/>
  <c r="E198" i="2"/>
  <c r="G198" i="2" s="1"/>
  <c r="G197" i="2"/>
  <c r="E197" i="2"/>
  <c r="F197" i="2" s="1"/>
  <c r="J197" i="2" s="1"/>
  <c r="H197" i="2" s="1"/>
  <c r="G196" i="2"/>
  <c r="F196" i="2"/>
  <c r="K196" i="2" s="1"/>
  <c r="E196" i="2"/>
  <c r="G192" i="2"/>
  <c r="F192" i="2"/>
  <c r="J192" i="2" s="1"/>
  <c r="H192" i="2" s="1"/>
  <c r="E192" i="2"/>
  <c r="F191" i="2"/>
  <c r="I191" i="2" s="1"/>
  <c r="F190" i="2"/>
  <c r="E190" i="2"/>
  <c r="G189" i="2"/>
  <c r="E189" i="2"/>
  <c r="F189" i="2" s="1"/>
  <c r="K189" i="2" s="1"/>
  <c r="F188" i="2"/>
  <c r="K188" i="2" s="1"/>
  <c r="E188" i="2"/>
  <c r="G188" i="2" s="1"/>
  <c r="E187" i="2"/>
  <c r="G186" i="2"/>
  <c r="F186" i="2"/>
  <c r="E186" i="2"/>
  <c r="E185" i="2"/>
  <c r="F184" i="2"/>
  <c r="I184" i="2" s="1"/>
  <c r="E184" i="2"/>
  <c r="G183" i="2"/>
  <c r="K183" i="2"/>
  <c r="E181" i="2"/>
  <c r="F180" i="2"/>
  <c r="J180" i="2" s="1"/>
  <c r="H180" i="2" s="1"/>
  <c r="E180" i="2"/>
  <c r="G180" i="2" s="1"/>
  <c r="G179" i="2"/>
  <c r="E179" i="2"/>
  <c r="F179" i="2" s="1"/>
  <c r="K179" i="2" s="1"/>
  <c r="G178" i="2"/>
  <c r="F178" i="2"/>
  <c r="E178" i="2"/>
  <c r="E176" i="2"/>
  <c r="F175" i="2"/>
  <c r="I175" i="2" s="1"/>
  <c r="E175" i="2"/>
  <c r="F174" i="2"/>
  <c r="J174" i="2" s="1"/>
  <c r="G173" i="2"/>
  <c r="E173" i="2"/>
  <c r="E172" i="2"/>
  <c r="F171" i="2"/>
  <c r="J171" i="2" s="1"/>
  <c r="H171" i="2" s="1"/>
  <c r="G170" i="2"/>
  <c r="F170" i="2"/>
  <c r="K170" i="2" s="1"/>
  <c r="E170" i="2"/>
  <c r="G168" i="2"/>
  <c r="F168" i="2"/>
  <c r="K168" i="2" s="1"/>
  <c r="E168" i="2"/>
  <c r="E166" i="2"/>
  <c r="G166" i="2" s="1"/>
  <c r="E164" i="2"/>
  <c r="F163" i="2"/>
  <c r="I163" i="2" s="1"/>
  <c r="E162" i="2"/>
  <c r="F160" i="2"/>
  <c r="I160" i="2" s="1"/>
  <c r="E159" i="2"/>
  <c r="G159" i="2" s="1"/>
  <c r="G158" i="2"/>
  <c r="F158" i="2"/>
  <c r="I158" i="2" s="1"/>
  <c r="E158" i="2"/>
  <c r="G157" i="2"/>
  <c r="E157" i="2"/>
  <c r="E156" i="2"/>
  <c r="E155" i="2"/>
  <c r="F154" i="2"/>
  <c r="I154" i="2" s="1"/>
  <c r="E154" i="2"/>
  <c r="G154" i="2" s="1"/>
  <c r="G152" i="2"/>
  <c r="F152" i="2"/>
  <c r="E152" i="2"/>
  <c r="E149" i="2"/>
  <c r="E148" i="2"/>
  <c r="G147" i="2"/>
  <c r="F147" i="2"/>
  <c r="I147" i="2" s="1"/>
  <c r="E147" i="2"/>
  <c r="E146" i="2"/>
  <c r="E145" i="2"/>
  <c r="E144" i="2"/>
  <c r="G144" i="2" s="1"/>
  <c r="F143" i="2"/>
  <c r="J143" i="2" s="1"/>
  <c r="H143" i="2" s="1"/>
  <c r="G142" i="2"/>
  <c r="F142" i="2"/>
  <c r="E142" i="2"/>
  <c r="E141" i="2"/>
  <c r="E140" i="2"/>
  <c r="E139" i="2"/>
  <c r="G138" i="2"/>
  <c r="F138" i="2"/>
  <c r="J138" i="2" s="1"/>
  <c r="H138" i="2" s="1"/>
  <c r="E138" i="2"/>
  <c r="G137" i="2"/>
  <c r="E137" i="2"/>
  <c r="E136" i="2"/>
  <c r="E135" i="2"/>
  <c r="F135" i="2" s="1"/>
  <c r="J135" i="2" s="1"/>
  <c r="H135" i="2" s="1"/>
  <c r="G134" i="2"/>
  <c r="F134" i="2"/>
  <c r="K134" i="2" s="1"/>
  <c r="E134" i="2"/>
  <c r="I133" i="2"/>
  <c r="E131" i="2"/>
  <c r="G130" i="2"/>
  <c r="E130" i="2"/>
  <c r="G129" i="2"/>
  <c r="E129" i="2"/>
  <c r="G128" i="2"/>
  <c r="F128" i="2"/>
  <c r="J128" i="2" s="1"/>
  <c r="H128" i="2" s="1"/>
  <c r="E128" i="2"/>
  <c r="F126" i="2"/>
  <c r="J126" i="2" s="1"/>
  <c r="H126" i="2" s="1"/>
  <c r="E126" i="2"/>
  <c r="G124" i="2"/>
  <c r="F124" i="2"/>
  <c r="I124" i="2" s="1"/>
  <c r="E124" i="2"/>
  <c r="F123" i="2"/>
  <c r="F120" i="2"/>
  <c r="I120" i="2" s="1"/>
  <c r="E120" i="2"/>
  <c r="G120" i="2" s="1"/>
  <c r="G118" i="2"/>
  <c r="F118" i="2"/>
  <c r="E118" i="2"/>
  <c r="E117" i="2"/>
  <c r="F116" i="2"/>
  <c r="J116" i="2" s="1"/>
  <c r="H116" i="2" s="1"/>
  <c r="E116" i="2"/>
  <c r="E115" i="2"/>
  <c r="G114" i="2"/>
  <c r="F114" i="2"/>
  <c r="I114" i="2" s="1"/>
  <c r="E114" i="2"/>
  <c r="G113" i="2"/>
  <c r="E113" i="2"/>
  <c r="F113" i="2" s="1"/>
  <c r="K113" i="2" s="1"/>
  <c r="F112" i="2"/>
  <c r="I112" i="2" s="1"/>
  <c r="E112" i="2"/>
  <c r="G112" i="2" s="1"/>
  <c r="G111" i="2"/>
  <c r="E111" i="2"/>
  <c r="G110" i="2"/>
  <c r="F110" i="2"/>
  <c r="E110" i="2"/>
  <c r="E109" i="2"/>
  <c r="F108" i="2"/>
  <c r="J108" i="2" s="1"/>
  <c r="H108" i="2" s="1"/>
  <c r="E108" i="2"/>
  <c r="E107" i="2"/>
  <c r="G106" i="2"/>
  <c r="F106" i="2"/>
  <c r="I106" i="2" s="1"/>
  <c r="E106" i="2"/>
  <c r="F105" i="2"/>
  <c r="F103" i="2"/>
  <c r="I103" i="2" s="1"/>
  <c r="E103" i="2"/>
  <c r="G103" i="2" s="1"/>
  <c r="E101" i="2"/>
  <c r="G101" i="2" s="1"/>
  <c r="F100" i="2"/>
  <c r="G99" i="2"/>
  <c r="E99" i="2"/>
  <c r="F98" i="2"/>
  <c r="J98" i="2" s="1"/>
  <c r="H98" i="2" s="1"/>
  <c r="E98" i="2"/>
  <c r="G96" i="2"/>
  <c r="F96" i="2"/>
  <c r="I96" i="2" s="1"/>
  <c r="E96" i="2"/>
  <c r="F92" i="2"/>
  <c r="I92" i="2" s="1"/>
  <c r="E92" i="2"/>
  <c r="G92" i="2" s="1"/>
  <c r="E91" i="2"/>
  <c r="G90" i="2"/>
  <c r="F90" i="2"/>
  <c r="K90" i="2" s="1"/>
  <c r="E90" i="2"/>
  <c r="G89" i="2"/>
  <c r="E89" i="2"/>
  <c r="F88" i="2"/>
  <c r="J88" i="2" s="1"/>
  <c r="G85" i="2"/>
  <c r="E85" i="2"/>
  <c r="G84" i="2"/>
  <c r="F84" i="2"/>
  <c r="I84" i="2" s="1"/>
  <c r="E84" i="2"/>
  <c r="E83" i="2"/>
  <c r="F83" i="2" s="1"/>
  <c r="I83" i="2" s="1"/>
  <c r="F82" i="2"/>
  <c r="J82" i="2" s="1"/>
  <c r="H82" i="2" s="1"/>
  <c r="E82" i="2"/>
  <c r="G82" i="2" s="1"/>
  <c r="G80" i="2"/>
  <c r="F80" i="2"/>
  <c r="K80" i="2" s="1"/>
  <c r="E80" i="2"/>
  <c r="E79" i="2"/>
  <c r="F79" i="2" s="1"/>
  <c r="K79" i="2" s="1"/>
  <c r="E78" i="2"/>
  <c r="G76" i="2"/>
  <c r="F76" i="2"/>
  <c r="I76" i="2" s="1"/>
  <c r="E76" i="2"/>
  <c r="G75" i="2"/>
  <c r="E75" i="2"/>
  <c r="F74" i="2"/>
  <c r="E74" i="2"/>
  <c r="E73" i="2"/>
  <c r="G72" i="2"/>
  <c r="F72" i="2"/>
  <c r="J72" i="2" s="1"/>
  <c r="H72" i="2" s="1"/>
  <c r="E72" i="2"/>
  <c r="E70" i="2"/>
  <c r="E69" i="2"/>
  <c r="F68" i="2"/>
  <c r="I68" i="2" s="1"/>
  <c r="E67" i="2"/>
  <c r="F64" i="2"/>
  <c r="J64" i="2" s="1"/>
  <c r="H64" i="2" s="1"/>
  <c r="E64" i="2"/>
  <c r="E63" i="2"/>
  <c r="G62" i="2"/>
  <c r="K62" i="2"/>
  <c r="F61" i="2"/>
  <c r="F60" i="2"/>
  <c r="J60" i="2" s="1"/>
  <c r="H60" i="2" s="1"/>
  <c r="G59" i="2"/>
  <c r="E59" i="2"/>
  <c r="F59" i="2" s="1"/>
  <c r="K59" i="2" s="1"/>
  <c r="G58" i="2"/>
  <c r="F58" i="2"/>
  <c r="J58" i="2" s="1"/>
  <c r="H58" i="2" s="1"/>
  <c r="E58" i="2"/>
  <c r="G56" i="2"/>
  <c r="F56" i="2"/>
  <c r="J56" i="2" s="1"/>
  <c r="H56" i="2" s="1"/>
  <c r="E56" i="2"/>
  <c r="F55" i="2"/>
  <c r="K54" i="2"/>
  <c r="E53" i="2"/>
  <c r="G53" i="2" s="1"/>
  <c r="F52" i="2"/>
  <c r="K52" i="2" s="1"/>
  <c r="E52" i="2"/>
  <c r="G52" i="2" s="1"/>
  <c r="F51" i="2"/>
  <c r="K51" i="2" s="1"/>
  <c r="G50" i="2"/>
  <c r="F50" i="2"/>
  <c r="J50" i="2" s="1"/>
  <c r="H50" i="2" s="1"/>
  <c r="E50" i="2"/>
  <c r="F49" i="2"/>
  <c r="J49" i="2" s="1"/>
  <c r="H49" i="2" s="1"/>
  <c r="E49" i="2"/>
  <c r="G47" i="2"/>
  <c r="F47" i="2"/>
  <c r="K47" i="2" s="1"/>
  <c r="E47" i="2"/>
  <c r="G46" i="2"/>
  <c r="F46" i="2"/>
  <c r="K46" i="2" s="1"/>
  <c r="E46" i="2"/>
  <c r="F45" i="2"/>
  <c r="G43" i="2"/>
  <c r="E43" i="2"/>
  <c r="F43" i="2" s="1"/>
  <c r="K43" i="2" s="1"/>
  <c r="F42" i="2"/>
  <c r="J42" i="2" s="1"/>
  <c r="H42" i="2" s="1"/>
  <c r="F41" i="2"/>
  <c r="J41" i="2" s="1"/>
  <c r="H41" i="2" s="1"/>
  <c r="F40" i="2"/>
  <c r="J40" i="2" s="1"/>
  <c r="H40" i="2" s="1"/>
  <c r="E39" i="2"/>
  <c r="F39" i="2" s="1"/>
  <c r="K39" i="2" s="1"/>
  <c r="G38" i="2"/>
  <c r="F38" i="2"/>
  <c r="K38" i="2" s="1"/>
  <c r="E38" i="2"/>
  <c r="G37" i="2"/>
  <c r="F37" i="2"/>
  <c r="K37" i="2" s="1"/>
  <c r="E37" i="2"/>
  <c r="F34" i="2"/>
  <c r="K34" i="2" s="1"/>
  <c r="E34" i="2"/>
  <c r="G34" i="2" s="1"/>
  <c r="F33" i="2"/>
  <c r="F32" i="2"/>
  <c r="G31" i="2"/>
  <c r="F31" i="2"/>
  <c r="J31" i="2" s="1"/>
  <c r="H31" i="2" s="1"/>
  <c r="E31" i="2"/>
  <c r="G30" i="2"/>
  <c r="F30" i="2"/>
  <c r="J30" i="2" s="1"/>
  <c r="H30" i="2" s="1"/>
  <c r="E30" i="2"/>
  <c r="F29" i="2"/>
  <c r="K29" i="2" s="1"/>
  <c r="E29" i="2"/>
  <c r="E28" i="2"/>
  <c r="G27" i="2"/>
  <c r="K27" i="2"/>
  <c r="F26" i="2"/>
  <c r="J26" i="2" s="1"/>
  <c r="H26" i="2" s="1"/>
  <c r="E26" i="2"/>
  <c r="G26" i="2" s="1"/>
  <c r="G25" i="2"/>
  <c r="E25" i="2"/>
  <c r="F25" i="2" s="1"/>
  <c r="K25" i="2" s="1"/>
  <c r="F24" i="2"/>
  <c r="J24" i="2" s="1"/>
  <c r="H24" i="2" s="1"/>
  <c r="E23" i="2"/>
  <c r="G23" i="2" s="1"/>
  <c r="J22" i="2"/>
  <c r="H22" i="2" s="1"/>
  <c r="G21" i="2"/>
  <c r="F21" i="2"/>
  <c r="K21" i="2" s="1"/>
  <c r="E21" i="2"/>
  <c r="F20" i="2"/>
  <c r="K20" i="2" s="1"/>
  <c r="E20" i="2"/>
  <c r="E19" i="2"/>
  <c r="G19" i="2" s="1"/>
  <c r="F18" i="2"/>
  <c r="I18" i="2" s="1"/>
  <c r="E18" i="2"/>
  <c r="G18" i="2" s="1"/>
  <c r="K15" i="2"/>
  <c r="I15" i="2"/>
  <c r="G15" i="2"/>
  <c r="E15" i="2"/>
  <c r="F15" i="2" s="1"/>
  <c r="J15" i="2" s="1"/>
  <c r="H15" i="2" s="1"/>
  <c r="G14" i="2"/>
  <c r="F14" i="2"/>
  <c r="J14" i="2" s="1"/>
  <c r="H14" i="2" s="1"/>
  <c r="E14" i="2"/>
  <c r="F13" i="2"/>
  <c r="J13" i="2" s="1"/>
  <c r="H13" i="2" s="1"/>
  <c r="E13" i="2"/>
  <c r="E12" i="2"/>
  <c r="F12" i="2" s="1"/>
  <c r="J12" i="2" s="1"/>
  <c r="H12" i="2" s="1"/>
  <c r="G11" i="2"/>
  <c r="F11" i="2"/>
  <c r="K11" i="2" s="1"/>
  <c r="E11" i="2"/>
  <c r="G10" i="2"/>
  <c r="F10" i="2"/>
  <c r="K10" i="2" s="1"/>
  <c r="E10" i="2"/>
  <c r="F8" i="2"/>
  <c r="J8" i="2" s="1"/>
  <c r="H8" i="2" s="1"/>
  <c r="E8" i="2"/>
  <c r="I8" i="2" s="1"/>
  <c r="E6" i="2"/>
  <c r="G6" i="2" s="1"/>
  <c r="G5" i="2"/>
  <c r="E5" i="2"/>
  <c r="F5" i="2" s="1"/>
  <c r="G4" i="2"/>
  <c r="F4" i="2"/>
  <c r="K4" i="2" s="1"/>
  <c r="E4" i="2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439" i="2" l="1"/>
  <c r="K372" i="2"/>
  <c r="K274" i="2"/>
  <c r="K396" i="2"/>
  <c r="I62" i="2"/>
  <c r="J367" i="2"/>
  <c r="H367" i="2" s="1"/>
  <c r="I168" i="2"/>
  <c r="K32" i="2"/>
  <c r="J106" i="2"/>
  <c r="H106" i="2" s="1"/>
  <c r="K98" i="2"/>
  <c r="J163" i="2"/>
  <c r="I134" i="2"/>
  <c r="J274" i="2"/>
  <c r="K288" i="2" s="1"/>
  <c r="K283" i="2"/>
  <c r="J471" i="2"/>
  <c r="H471" i="2" s="1"/>
  <c r="J292" i="2"/>
  <c r="H292" i="2" s="1"/>
  <c r="J302" i="2"/>
  <c r="H302" i="2" s="1"/>
  <c r="K480" i="2"/>
  <c r="J120" i="2"/>
  <c r="H120" i="2" s="1"/>
  <c r="I283" i="2"/>
  <c r="K128" i="2"/>
  <c r="J134" i="2"/>
  <c r="H134" i="2" s="1"/>
  <c r="I331" i="2"/>
  <c r="I42" i="2"/>
  <c r="K42" i="2"/>
  <c r="K163" i="2"/>
  <c r="I447" i="2"/>
  <c r="K348" i="2"/>
  <c r="K429" i="2"/>
  <c r="K340" i="2"/>
  <c r="K412" i="2"/>
  <c r="J103" i="2"/>
  <c r="H103" i="2" s="1"/>
  <c r="K108" i="2"/>
  <c r="J168" i="2"/>
  <c r="H168" i="2" s="1"/>
  <c r="I170" i="2"/>
  <c r="J206" i="2"/>
  <c r="H206" i="2" s="1"/>
  <c r="I330" i="2"/>
  <c r="I52" i="2"/>
  <c r="K147" i="2"/>
  <c r="I274" i="2"/>
  <c r="J382" i="2"/>
  <c r="H382" i="2" s="1"/>
  <c r="K460" i="2"/>
  <c r="J114" i="2"/>
  <c r="H114" i="2" s="1"/>
  <c r="J184" i="2"/>
  <c r="H184" i="2" s="1"/>
  <c r="K342" i="2"/>
  <c r="I347" i="2"/>
  <c r="I359" i="2"/>
  <c r="I208" i="2"/>
  <c r="K351" i="2"/>
  <c r="K230" i="2"/>
  <c r="I344" i="2"/>
  <c r="K359" i="2"/>
  <c r="K447" i="2"/>
  <c r="I460" i="2"/>
  <c r="I105" i="2"/>
  <c r="J379" i="2"/>
  <c r="K392" i="2" s="1"/>
  <c r="I33" i="2"/>
  <c r="J338" i="2"/>
  <c r="H338" i="2" s="1"/>
  <c r="I13" i="2"/>
  <c r="I24" i="2"/>
  <c r="J375" i="2"/>
  <c r="H375" i="2" s="1"/>
  <c r="J409" i="2"/>
  <c r="K419" i="2" s="1"/>
  <c r="I470" i="2"/>
  <c r="I49" i="2"/>
  <c r="K58" i="2"/>
  <c r="K175" i="2"/>
  <c r="I228" i="2"/>
  <c r="I292" i="2"/>
  <c r="I302" i="2"/>
  <c r="K362" i="2"/>
  <c r="I437" i="2"/>
  <c r="J441" i="2"/>
  <c r="H441" i="2" s="1"/>
  <c r="K138" i="2"/>
  <c r="J490" i="2"/>
  <c r="J96" i="2"/>
  <c r="H96" i="2" s="1"/>
  <c r="K337" i="2"/>
  <c r="I213" i="2"/>
  <c r="I43" i="2"/>
  <c r="I51" i="2"/>
  <c r="J62" i="2"/>
  <c r="H62" i="2" s="1"/>
  <c r="K72" i="2"/>
  <c r="J92" i="2"/>
  <c r="H92" i="2" s="1"/>
  <c r="K116" i="2"/>
  <c r="J158" i="2"/>
  <c r="H158" i="2" s="1"/>
  <c r="J160" i="2"/>
  <c r="J188" i="2"/>
  <c r="H188" i="2" s="1"/>
  <c r="K198" i="2"/>
  <c r="J216" i="2"/>
  <c r="H216" i="2" s="1"/>
  <c r="J270" i="2"/>
  <c r="H270" i="2" s="1"/>
  <c r="J288" i="2"/>
  <c r="K312" i="2" s="1"/>
  <c r="K306" i="2"/>
  <c r="J353" i="2"/>
  <c r="H353" i="2" s="1"/>
  <c r="J357" i="2"/>
  <c r="H357" i="2" s="1"/>
  <c r="I366" i="2"/>
  <c r="J371" i="2"/>
  <c r="H371" i="2" s="1"/>
  <c r="J376" i="2"/>
  <c r="H376" i="2" s="1"/>
  <c r="I387" i="2"/>
  <c r="J392" i="2"/>
  <c r="K409" i="2" s="1"/>
  <c r="I408" i="2"/>
  <c r="J416" i="2"/>
  <c r="H416" i="2" s="1"/>
  <c r="J427" i="2"/>
  <c r="H427" i="2" s="1"/>
  <c r="J435" i="2"/>
  <c r="H435" i="2" s="1"/>
  <c r="J493" i="2"/>
  <c r="H493" i="2" s="1"/>
  <c r="I294" i="2"/>
  <c r="J316" i="2"/>
  <c r="H316" i="2" s="1"/>
  <c r="I376" i="2"/>
  <c r="I416" i="2"/>
  <c r="I427" i="2"/>
  <c r="I435" i="2"/>
  <c r="I32" i="2"/>
  <c r="J43" i="2"/>
  <c r="H43" i="2" s="1"/>
  <c r="J51" i="2"/>
  <c r="J76" i="2"/>
  <c r="H76" i="2" s="1"/>
  <c r="K84" i="2"/>
  <c r="I113" i="2"/>
  <c r="J124" i="2"/>
  <c r="H124" i="2" s="1"/>
  <c r="I196" i="2"/>
  <c r="J238" i="2"/>
  <c r="H238" i="2" s="1"/>
  <c r="J262" i="2"/>
  <c r="K294" i="2" s="1"/>
  <c r="K270" i="2"/>
  <c r="I337" i="2"/>
  <c r="I339" i="2"/>
  <c r="I360" i="2"/>
  <c r="J366" i="2"/>
  <c r="J387" i="2"/>
  <c r="H387" i="2" s="1"/>
  <c r="K408" i="2"/>
  <c r="J430" i="2"/>
  <c r="H430" i="2" s="1"/>
  <c r="I490" i="2"/>
  <c r="K493" i="2"/>
  <c r="K76" i="2"/>
  <c r="J339" i="2"/>
  <c r="H339" i="2" s="1"/>
  <c r="J360" i="2"/>
  <c r="H360" i="2" s="1"/>
  <c r="I442" i="2"/>
  <c r="I452" i="2"/>
  <c r="I198" i="2"/>
  <c r="J306" i="2"/>
  <c r="H306" i="2" s="1"/>
  <c r="J32" i="2"/>
  <c r="K41" i="2" s="1"/>
  <c r="K14" i="2"/>
  <c r="J154" i="2"/>
  <c r="H154" i="2" s="1"/>
  <c r="J179" i="2"/>
  <c r="H179" i="2" s="1"/>
  <c r="J208" i="2"/>
  <c r="H208" i="2" s="1"/>
  <c r="I247" i="2"/>
  <c r="J278" i="2"/>
  <c r="H278" i="2" s="1"/>
  <c r="J296" i="2"/>
  <c r="H296" i="2" s="1"/>
  <c r="I315" i="2"/>
  <c r="I348" i="2"/>
  <c r="I383" i="2"/>
  <c r="I396" i="2"/>
  <c r="I426" i="2"/>
  <c r="K452" i="2"/>
  <c r="K470" i="2"/>
  <c r="J480" i="2"/>
  <c r="H480" i="2" s="1"/>
  <c r="I498" i="2"/>
  <c r="J248" i="2"/>
  <c r="H248" i="2" s="1"/>
  <c r="I276" i="2"/>
  <c r="I216" i="2"/>
  <c r="I179" i="2"/>
  <c r="J45" i="2"/>
  <c r="H45" i="2" s="1"/>
  <c r="K50" i="2"/>
  <c r="I58" i="2"/>
  <c r="I64" i="2"/>
  <c r="I72" i="2"/>
  <c r="I100" i="2"/>
  <c r="I118" i="2"/>
  <c r="J170" i="2"/>
  <c r="H170" i="2" s="1"/>
  <c r="I183" i="2"/>
  <c r="J202" i="2"/>
  <c r="H202" i="2" s="1"/>
  <c r="J228" i="2"/>
  <c r="H228" i="2" s="1"/>
  <c r="I248" i="2"/>
  <c r="K260" i="2"/>
  <c r="J331" i="2"/>
  <c r="K357" i="2"/>
  <c r="J372" i="2"/>
  <c r="K463" i="2" s="1"/>
  <c r="K386" i="2"/>
  <c r="K426" i="2"/>
  <c r="I5" i="2"/>
  <c r="K5" i="2"/>
  <c r="J5" i="2"/>
  <c r="H5" i="2" s="1"/>
  <c r="J61" i="2"/>
  <c r="K61" i="2"/>
  <c r="F69" i="2"/>
  <c r="I69" i="2" s="1"/>
  <c r="G78" i="2"/>
  <c r="F109" i="2"/>
  <c r="K109" i="2" s="1"/>
  <c r="F141" i="2"/>
  <c r="K141" i="2" s="1"/>
  <c r="K152" i="2"/>
  <c r="J152" i="2"/>
  <c r="H152" i="2" s="1"/>
  <c r="I152" i="2"/>
  <c r="F161" i="2"/>
  <c r="K161" i="2" s="1"/>
  <c r="K178" i="2"/>
  <c r="J178" i="2"/>
  <c r="H178" i="2" s="1"/>
  <c r="I178" i="2"/>
  <c r="K186" i="2"/>
  <c r="J186" i="2"/>
  <c r="H186" i="2" s="1"/>
  <c r="I186" i="2"/>
  <c r="F217" i="2"/>
  <c r="I217" i="2" s="1"/>
  <c r="F263" i="2"/>
  <c r="K263" i="2" s="1"/>
  <c r="G263" i="2"/>
  <c r="F3" i="2"/>
  <c r="K3" i="2" s="1"/>
  <c r="K8" i="2"/>
  <c r="I10" i="2"/>
  <c r="I12" i="2"/>
  <c r="K13" i="2"/>
  <c r="J21" i="2"/>
  <c r="H21" i="2" s="1"/>
  <c r="K30" i="2"/>
  <c r="J33" i="2"/>
  <c r="I39" i="2"/>
  <c r="I46" i="2"/>
  <c r="K49" i="2"/>
  <c r="J55" i="2"/>
  <c r="K68" i="2" s="1"/>
  <c r="I61" i="2"/>
  <c r="G69" i="2"/>
  <c r="F75" i="2"/>
  <c r="K75" i="2" s="1"/>
  <c r="F78" i="2"/>
  <c r="K78" i="2" s="1"/>
  <c r="I80" i="2"/>
  <c r="G83" i="2"/>
  <c r="J84" i="2"/>
  <c r="H84" i="2" s="1"/>
  <c r="G109" i="2"/>
  <c r="K118" i="2"/>
  <c r="J118" i="2"/>
  <c r="H118" i="2" s="1"/>
  <c r="F129" i="2"/>
  <c r="J129" i="2" s="1"/>
  <c r="H129" i="2" s="1"/>
  <c r="F132" i="2"/>
  <c r="G141" i="2"/>
  <c r="G162" i="2"/>
  <c r="F162" i="2"/>
  <c r="K162" i="2" s="1"/>
  <c r="J165" i="2"/>
  <c r="H165" i="2" s="1"/>
  <c r="F199" i="2"/>
  <c r="I199" i="2" s="1"/>
  <c r="G199" i="2"/>
  <c r="G212" i="2"/>
  <c r="F212" i="2"/>
  <c r="J212" i="2" s="1"/>
  <c r="H212" i="2" s="1"/>
  <c r="F237" i="2"/>
  <c r="J237" i="2" s="1"/>
  <c r="H237" i="2" s="1"/>
  <c r="G237" i="2"/>
  <c r="G341" i="2"/>
  <c r="F341" i="2"/>
  <c r="I341" i="2" s="1"/>
  <c r="F127" i="2"/>
  <c r="I4" i="2"/>
  <c r="K9" i="2"/>
  <c r="I11" i="2"/>
  <c r="J18" i="2"/>
  <c r="H18" i="2" s="1"/>
  <c r="I20" i="2"/>
  <c r="I22" i="2"/>
  <c r="J27" i="2"/>
  <c r="H27" i="2" s="1"/>
  <c r="J29" i="2"/>
  <c r="H29" i="2" s="1"/>
  <c r="I31" i="2"/>
  <c r="J38" i="2"/>
  <c r="H38" i="2" s="1"/>
  <c r="K40" i="2"/>
  <c r="I47" i="2"/>
  <c r="J52" i="2"/>
  <c r="H52" i="2" s="1"/>
  <c r="I54" i="2"/>
  <c r="I56" i="2"/>
  <c r="G63" i="2"/>
  <c r="I71" i="2"/>
  <c r="G74" i="2"/>
  <c r="K74" i="2"/>
  <c r="J83" i="2"/>
  <c r="H83" i="2" s="1"/>
  <c r="F85" i="2"/>
  <c r="J85" i="2" s="1"/>
  <c r="H85" i="2" s="1"/>
  <c r="F89" i="2"/>
  <c r="J89" i="2" s="1"/>
  <c r="H89" i="2" s="1"/>
  <c r="J90" i="2"/>
  <c r="H90" i="2" s="1"/>
  <c r="F99" i="2"/>
  <c r="J99" i="2" s="1"/>
  <c r="H99" i="2" s="1"/>
  <c r="I110" i="2"/>
  <c r="K142" i="2"/>
  <c r="J142" i="2"/>
  <c r="H142" i="2" s="1"/>
  <c r="I142" i="2"/>
  <c r="F157" i="2"/>
  <c r="J157" i="2" s="1"/>
  <c r="H157" i="2" s="1"/>
  <c r="F173" i="2"/>
  <c r="K173" i="2" s="1"/>
  <c r="G181" i="2"/>
  <c r="F181" i="2"/>
  <c r="K181" i="2" s="1"/>
  <c r="J218" i="2"/>
  <c r="H218" i="2" s="1"/>
  <c r="F241" i="2"/>
  <c r="J241" i="2" s="1"/>
  <c r="H241" i="2" s="1"/>
  <c r="G241" i="2"/>
  <c r="K246" i="2"/>
  <c r="I246" i="2"/>
  <c r="I27" i="2"/>
  <c r="G107" i="2"/>
  <c r="F107" i="2"/>
  <c r="J107" i="2" s="1"/>
  <c r="H107" i="2" s="1"/>
  <c r="G156" i="2"/>
  <c r="F156" i="2"/>
  <c r="K156" i="2" s="1"/>
  <c r="F187" i="2"/>
  <c r="I187" i="2" s="1"/>
  <c r="G187" i="2"/>
  <c r="F215" i="2"/>
  <c r="J215" i="2" s="1"/>
  <c r="H215" i="2" s="1"/>
  <c r="G215" i="2"/>
  <c r="K18" i="2"/>
  <c r="I26" i="2"/>
  <c r="I37" i="2"/>
  <c r="G71" i="2"/>
  <c r="K83" i="2"/>
  <c r="F91" i="2"/>
  <c r="K91" i="2" s="1"/>
  <c r="G145" i="2"/>
  <c r="F145" i="2"/>
  <c r="J145" i="2" s="1"/>
  <c r="H145" i="2" s="1"/>
  <c r="G176" i="2"/>
  <c r="F176" i="2"/>
  <c r="I176" i="2" s="1"/>
  <c r="F182" i="2"/>
  <c r="J182" i="2" s="1"/>
  <c r="K190" i="2"/>
  <c r="J190" i="2"/>
  <c r="H190" i="2" s="1"/>
  <c r="F195" i="2"/>
  <c r="K222" i="2"/>
  <c r="I222" i="2"/>
  <c r="J222" i="2"/>
  <c r="H222" i="2" s="1"/>
  <c r="F227" i="2"/>
  <c r="F253" i="2"/>
  <c r="I253" i="2" s="1"/>
  <c r="G253" i="2"/>
  <c r="J272" i="2"/>
  <c r="H272" i="2" s="1"/>
  <c r="I272" i="2"/>
  <c r="J434" i="2"/>
  <c r="H434" i="2" s="1"/>
  <c r="K434" i="2"/>
  <c r="I434" i="2"/>
  <c r="I60" i="2"/>
  <c r="F77" i="2"/>
  <c r="J77" i="2" s="1"/>
  <c r="H77" i="2" s="1"/>
  <c r="F95" i="2"/>
  <c r="J95" i="2" s="1"/>
  <c r="H95" i="2" s="1"/>
  <c r="F119" i="2"/>
  <c r="I119" i="2" s="1"/>
  <c r="J37" i="2"/>
  <c r="H37" i="2" s="1"/>
  <c r="G40" i="2"/>
  <c r="I41" i="2"/>
  <c r="J46" i="2"/>
  <c r="H46" i="2" s="1"/>
  <c r="G49" i="2"/>
  <c r="G54" i="2"/>
  <c r="I55" i="2"/>
  <c r="F67" i="2"/>
  <c r="J67" i="2" s="1"/>
  <c r="H67" i="2" s="1"/>
  <c r="G70" i="2"/>
  <c r="J80" i="2"/>
  <c r="H80" i="2" s="1"/>
  <c r="G91" i="2"/>
  <c r="F97" i="2"/>
  <c r="J97" i="2" s="1"/>
  <c r="J112" i="2"/>
  <c r="H112" i="2" s="1"/>
  <c r="F117" i="2"/>
  <c r="I117" i="2" s="1"/>
  <c r="I123" i="2"/>
  <c r="F146" i="2"/>
  <c r="J146" i="2" s="1"/>
  <c r="H146" i="2" s="1"/>
  <c r="G149" i="2"/>
  <c r="F149" i="2"/>
  <c r="J149" i="2" s="1"/>
  <c r="H149" i="2" s="1"/>
  <c r="F177" i="2"/>
  <c r="I177" i="2" s="1"/>
  <c r="G185" i="2"/>
  <c r="F185" i="2"/>
  <c r="J185" i="2" s="1"/>
  <c r="H185" i="2" s="1"/>
  <c r="G201" i="2"/>
  <c r="F201" i="2"/>
  <c r="J201" i="2" s="1"/>
  <c r="H201" i="2" s="1"/>
  <c r="K210" i="2"/>
  <c r="J210" i="2"/>
  <c r="H210" i="2" s="1"/>
  <c r="F235" i="2"/>
  <c r="J235" i="2" s="1"/>
  <c r="H235" i="2" s="1"/>
  <c r="G235" i="2"/>
  <c r="F153" i="2"/>
  <c r="J153" i="2" s="1"/>
  <c r="H153" i="2" s="1"/>
  <c r="F166" i="2"/>
  <c r="K166" i="2" s="1"/>
  <c r="G172" i="2"/>
  <c r="F172" i="2"/>
  <c r="K172" i="2" s="1"/>
  <c r="G256" i="2"/>
  <c r="F256" i="2"/>
  <c r="J256" i="2" s="1"/>
  <c r="H256" i="2" s="1"/>
  <c r="J4" i="2"/>
  <c r="H4" i="2" s="1"/>
  <c r="K110" i="2"/>
  <c r="J110" i="2"/>
  <c r="H110" i="2" s="1"/>
  <c r="F7" i="2"/>
  <c r="J7" i="2" s="1"/>
  <c r="K24" i="2" s="1"/>
  <c r="G8" i="2"/>
  <c r="J10" i="2"/>
  <c r="H10" i="2" s="1"/>
  <c r="G13" i="2"/>
  <c r="G29" i="2"/>
  <c r="I30" i="2"/>
  <c r="K31" i="2"/>
  <c r="F6" i="2"/>
  <c r="I14" i="2"/>
  <c r="K26" i="2"/>
  <c r="I45" i="2"/>
  <c r="I59" i="2"/>
  <c r="G67" i="2"/>
  <c r="F73" i="2"/>
  <c r="K73" i="2" s="1"/>
  <c r="F81" i="2"/>
  <c r="I82" i="2"/>
  <c r="G117" i="2"/>
  <c r="G136" i="2"/>
  <c r="F136" i="2"/>
  <c r="K136" i="2" s="1"/>
  <c r="G146" i="2"/>
  <c r="G220" i="2"/>
  <c r="F220" i="2"/>
  <c r="K220" i="2" s="1"/>
  <c r="F239" i="2"/>
  <c r="J239" i="2" s="1"/>
  <c r="H239" i="2" s="1"/>
  <c r="G239" i="2"/>
  <c r="F63" i="2"/>
  <c r="I63" i="2" s="1"/>
  <c r="F101" i="2"/>
  <c r="J101" i="2" s="1"/>
  <c r="H101" i="2" s="1"/>
  <c r="F207" i="2"/>
  <c r="K207" i="2" s="1"/>
  <c r="G207" i="2"/>
  <c r="F271" i="2"/>
  <c r="K271" i="2" s="1"/>
  <c r="G271" i="2"/>
  <c r="J79" i="2"/>
  <c r="H79" i="2" s="1"/>
  <c r="F125" i="2"/>
  <c r="J125" i="2" s="1"/>
  <c r="H125" i="2" s="1"/>
  <c r="K12" i="2"/>
  <c r="G20" i="2"/>
  <c r="I21" i="2"/>
  <c r="J39" i="2"/>
  <c r="H39" i="2" s="1"/>
  <c r="F19" i="2"/>
  <c r="J19" i="2" s="1"/>
  <c r="H19" i="2" s="1"/>
  <c r="F23" i="2"/>
  <c r="I25" i="2"/>
  <c r="F28" i="2"/>
  <c r="K28" i="2" s="1"/>
  <c r="I34" i="2"/>
  <c r="F44" i="2"/>
  <c r="J48" i="2"/>
  <c r="H48" i="2" s="1"/>
  <c r="I50" i="2"/>
  <c r="F53" i="2"/>
  <c r="J53" i="2" s="1"/>
  <c r="H53" i="2" s="1"/>
  <c r="F57" i="2"/>
  <c r="J68" i="2"/>
  <c r="F70" i="2"/>
  <c r="I70" i="2" s="1"/>
  <c r="I74" i="2"/>
  <c r="G79" i="2"/>
  <c r="J11" i="2"/>
  <c r="H11" i="2" s="1"/>
  <c r="G12" i="2"/>
  <c r="J20" i="2"/>
  <c r="H20" i="2" s="1"/>
  <c r="K22" i="2"/>
  <c r="J25" i="2"/>
  <c r="H25" i="2" s="1"/>
  <c r="G28" i="2"/>
  <c r="I29" i="2"/>
  <c r="J34" i="2"/>
  <c r="H34" i="2" s="1"/>
  <c r="I38" i="2"/>
  <c r="G39" i="2"/>
  <c r="I40" i="2"/>
  <c r="J47" i="2"/>
  <c r="H47" i="2" s="1"/>
  <c r="G48" i="2"/>
  <c r="J54" i="2"/>
  <c r="H54" i="2" s="1"/>
  <c r="K56" i="2"/>
  <c r="J59" i="2"/>
  <c r="H59" i="2" s="1"/>
  <c r="G64" i="2"/>
  <c r="K64" i="2"/>
  <c r="G73" i="2"/>
  <c r="J74" i="2"/>
  <c r="H74" i="2" s="1"/>
  <c r="I79" i="2"/>
  <c r="I88" i="2"/>
  <c r="I90" i="2"/>
  <c r="K100" i="2"/>
  <c r="J100" i="2"/>
  <c r="K105" i="2" s="1"/>
  <c r="F111" i="2"/>
  <c r="I111" i="2" s="1"/>
  <c r="G115" i="2"/>
  <c r="F115" i="2"/>
  <c r="J115" i="2" s="1"/>
  <c r="H115" i="2" s="1"/>
  <c r="K126" i="2"/>
  <c r="G131" i="2"/>
  <c r="F131" i="2"/>
  <c r="I131" i="2" s="1"/>
  <c r="F137" i="2"/>
  <c r="K137" i="2" s="1"/>
  <c r="G140" i="2"/>
  <c r="F140" i="2"/>
  <c r="J140" i="2" s="1"/>
  <c r="H140" i="2" s="1"/>
  <c r="G277" i="2"/>
  <c r="F277" i="2"/>
  <c r="I277" i="2" s="1"/>
  <c r="I323" i="2"/>
  <c r="K323" i="2"/>
  <c r="G333" i="2"/>
  <c r="F333" i="2"/>
  <c r="K333" i="2" s="1"/>
  <c r="K96" i="2"/>
  <c r="J105" i="2"/>
  <c r="K106" i="2"/>
  <c r="J113" i="2"/>
  <c r="H113" i="2" s="1"/>
  <c r="K114" i="2"/>
  <c r="J123" i="2"/>
  <c r="K124" i="2"/>
  <c r="K135" i="2"/>
  <c r="I143" i="2"/>
  <c r="K180" i="2"/>
  <c r="I188" i="2"/>
  <c r="I190" i="2"/>
  <c r="G190" i="2"/>
  <c r="K197" i="2"/>
  <c r="I210" i="2"/>
  <c r="G210" i="2"/>
  <c r="F229" i="2"/>
  <c r="I229" i="2" s="1"/>
  <c r="F231" i="2"/>
  <c r="J231" i="2" s="1"/>
  <c r="H231" i="2" s="1"/>
  <c r="F251" i="2"/>
  <c r="I251" i="2" s="1"/>
  <c r="I290" i="2"/>
  <c r="F293" i="2"/>
  <c r="J293" i="2" s="1"/>
  <c r="H293" i="2" s="1"/>
  <c r="G293" i="2"/>
  <c r="I301" i="2"/>
  <c r="J312" i="2"/>
  <c r="K331" i="2" s="1"/>
  <c r="I343" i="2"/>
  <c r="G343" i="2"/>
  <c r="K82" i="2"/>
  <c r="K92" i="2"/>
  <c r="G98" i="2"/>
  <c r="K103" i="2"/>
  <c r="G108" i="2"/>
  <c r="K112" i="2"/>
  <c r="G116" i="2"/>
  <c r="K120" i="2"/>
  <c r="G126" i="2"/>
  <c r="I128" i="2"/>
  <c r="J133" i="2"/>
  <c r="K154" i="2"/>
  <c r="K192" i="2"/>
  <c r="I192" i="2"/>
  <c r="J196" i="2"/>
  <c r="H196" i="2" s="1"/>
  <c r="F245" i="2"/>
  <c r="I245" i="2" s="1"/>
  <c r="G249" i="2"/>
  <c r="F249" i="2"/>
  <c r="F275" i="2"/>
  <c r="J275" i="2" s="1"/>
  <c r="H275" i="2" s="1"/>
  <c r="G275" i="2"/>
  <c r="F281" i="2"/>
  <c r="J281" i="2" s="1"/>
  <c r="H281" i="2" s="1"/>
  <c r="K133" i="2"/>
  <c r="J175" i="2"/>
  <c r="H175" i="2" s="1"/>
  <c r="K184" i="2"/>
  <c r="J205" i="2"/>
  <c r="K214" i="2"/>
  <c r="I214" i="2"/>
  <c r="F219" i="2"/>
  <c r="J219" i="2" s="1"/>
  <c r="H219" i="2" s="1"/>
  <c r="J221" i="2"/>
  <c r="H221" i="2" s="1"/>
  <c r="K254" i="2"/>
  <c r="I254" i="2"/>
  <c r="F257" i="2"/>
  <c r="J257" i="2" s="1"/>
  <c r="H257" i="2" s="1"/>
  <c r="G264" i="2"/>
  <c r="F264" i="2"/>
  <c r="J264" i="2" s="1"/>
  <c r="H264" i="2" s="1"/>
  <c r="G267" i="2"/>
  <c r="F267" i="2"/>
  <c r="I267" i="2" s="1"/>
  <c r="F307" i="2"/>
  <c r="J307" i="2" s="1"/>
  <c r="H307" i="2" s="1"/>
  <c r="G307" i="2"/>
  <c r="I98" i="2"/>
  <c r="I108" i="2"/>
  <c r="I116" i="2"/>
  <c r="I126" i="2"/>
  <c r="F130" i="2"/>
  <c r="J130" i="2" s="1"/>
  <c r="H130" i="2" s="1"/>
  <c r="G135" i="2"/>
  <c r="F139" i="2"/>
  <c r="I139" i="2" s="1"/>
  <c r="F144" i="2"/>
  <c r="J144" i="2" s="1"/>
  <c r="H144" i="2" s="1"/>
  <c r="F148" i="2"/>
  <c r="I148" i="2" s="1"/>
  <c r="F155" i="2"/>
  <c r="J155" i="2" s="1"/>
  <c r="H155" i="2" s="1"/>
  <c r="F159" i="2"/>
  <c r="J159" i="2" s="1"/>
  <c r="H159" i="2" s="1"/>
  <c r="F164" i="2"/>
  <c r="J164" i="2" s="1"/>
  <c r="H164" i="2" s="1"/>
  <c r="G200" i="2"/>
  <c r="K252" i="2"/>
  <c r="J252" i="2"/>
  <c r="H252" i="2" s="1"/>
  <c r="I252" i="2"/>
  <c r="F358" i="2"/>
  <c r="K358" i="2" s="1"/>
  <c r="G358" i="2"/>
  <c r="K380" i="2"/>
  <c r="I380" i="2"/>
  <c r="I138" i="2"/>
  <c r="G139" i="2"/>
  <c r="J147" i="2"/>
  <c r="H147" i="2" s="1"/>
  <c r="G148" i="2"/>
  <c r="G155" i="2"/>
  <c r="K158" i="2"/>
  <c r="G164" i="2"/>
  <c r="I174" i="2"/>
  <c r="G175" i="2"/>
  <c r="J183" i="2"/>
  <c r="H183" i="2" s="1"/>
  <c r="G184" i="2"/>
  <c r="I189" i="2"/>
  <c r="J191" i="2"/>
  <c r="K262" i="2" s="1"/>
  <c r="F200" i="2"/>
  <c r="J200" i="2" s="1"/>
  <c r="H200" i="2" s="1"/>
  <c r="I206" i="2"/>
  <c r="I209" i="2"/>
  <c r="F211" i="2"/>
  <c r="J211" i="2" s="1"/>
  <c r="H211" i="2" s="1"/>
  <c r="J213" i="2"/>
  <c r="H213" i="2" s="1"/>
  <c r="G221" i="2"/>
  <c r="F223" i="2"/>
  <c r="J223" i="2" s="1"/>
  <c r="H223" i="2" s="1"/>
  <c r="I226" i="2"/>
  <c r="I234" i="2"/>
  <c r="I238" i="2"/>
  <c r="K240" i="2"/>
  <c r="K250" i="2"/>
  <c r="J254" i="2"/>
  <c r="H254" i="2" s="1"/>
  <c r="F258" i="2"/>
  <c r="I258" i="2" s="1"/>
  <c r="F265" i="2"/>
  <c r="J265" i="2" s="1"/>
  <c r="F268" i="2"/>
  <c r="I268" i="2" s="1"/>
  <c r="F289" i="2"/>
  <c r="J289" i="2" s="1"/>
  <c r="H289" i="2" s="1"/>
  <c r="G295" i="2"/>
  <c r="F295" i="2"/>
  <c r="J295" i="2" s="1"/>
  <c r="H295" i="2" s="1"/>
  <c r="F317" i="2"/>
  <c r="J317" i="2" s="1"/>
  <c r="H317" i="2" s="1"/>
  <c r="G317" i="2"/>
  <c r="J326" i="2"/>
  <c r="H326" i="2" s="1"/>
  <c r="I326" i="2"/>
  <c r="I135" i="2"/>
  <c r="I171" i="2"/>
  <c r="I180" i="2"/>
  <c r="J189" i="2"/>
  <c r="H189" i="2" s="1"/>
  <c r="I197" i="2"/>
  <c r="K202" i="2"/>
  <c r="I202" i="2"/>
  <c r="J209" i="2"/>
  <c r="H209" i="2" s="1"/>
  <c r="J214" i="2"/>
  <c r="H214" i="2" s="1"/>
  <c r="I218" i="2"/>
  <c r="I221" i="2"/>
  <c r="J226" i="2"/>
  <c r="H226" i="2" s="1"/>
  <c r="K236" i="2"/>
  <c r="I236" i="2"/>
  <c r="K244" i="2"/>
  <c r="I244" i="2"/>
  <c r="G309" i="2"/>
  <c r="F309" i="2"/>
  <c r="J309" i="2" s="1"/>
  <c r="H309" i="2" s="1"/>
  <c r="J314" i="2"/>
  <c r="H314" i="2" s="1"/>
  <c r="I314" i="2"/>
  <c r="F332" i="2"/>
  <c r="J332" i="2" s="1"/>
  <c r="H332" i="2" s="1"/>
  <c r="G332" i="2"/>
  <c r="J247" i="2"/>
  <c r="H247" i="2" s="1"/>
  <c r="J260" i="2"/>
  <c r="H260" i="2" s="1"/>
  <c r="I269" i="2"/>
  <c r="K286" i="2"/>
  <c r="I287" i="2"/>
  <c r="G304" i="2"/>
  <c r="K304" i="2"/>
  <c r="I305" i="2"/>
  <c r="J315" i="2"/>
  <c r="H315" i="2" s="1"/>
  <c r="F328" i="2"/>
  <c r="G230" i="2"/>
  <c r="G240" i="2"/>
  <c r="G250" i="2"/>
  <c r="K269" i="2"/>
  <c r="K280" i="2"/>
  <c r="G280" i="2"/>
  <c r="K287" i="2"/>
  <c r="K300" i="2"/>
  <c r="G300" i="2"/>
  <c r="K305" i="2"/>
  <c r="J318" i="2"/>
  <c r="H318" i="2" s="1"/>
  <c r="K318" i="2"/>
  <c r="G322" i="2"/>
  <c r="F322" i="2"/>
  <c r="J322" i="2" s="1"/>
  <c r="H322" i="2" s="1"/>
  <c r="F329" i="2"/>
  <c r="J329" i="2" s="1"/>
  <c r="H329" i="2" s="1"/>
  <c r="F411" i="2"/>
  <c r="I411" i="2" s="1"/>
  <c r="F285" i="2"/>
  <c r="K285" i="2" s="1"/>
  <c r="F303" i="2"/>
  <c r="K303" i="2" s="1"/>
  <c r="F313" i="2"/>
  <c r="K313" i="2" s="1"/>
  <c r="F324" i="2"/>
  <c r="K324" i="2" s="1"/>
  <c r="G324" i="2"/>
  <c r="F334" i="2"/>
  <c r="K334" i="2" s="1"/>
  <c r="F336" i="2"/>
  <c r="I336" i="2" s="1"/>
  <c r="J365" i="2"/>
  <c r="H365" i="2" s="1"/>
  <c r="I365" i="2"/>
  <c r="G218" i="2"/>
  <c r="G228" i="2"/>
  <c r="I230" i="2"/>
  <c r="G238" i="2"/>
  <c r="I240" i="2"/>
  <c r="G248" i="2"/>
  <c r="I250" i="2"/>
  <c r="F255" i="2"/>
  <c r="J255" i="2" s="1"/>
  <c r="H255" i="2" s="1"/>
  <c r="F266" i="2"/>
  <c r="J266" i="2" s="1"/>
  <c r="H266" i="2" s="1"/>
  <c r="F273" i="2"/>
  <c r="J273" i="2" s="1"/>
  <c r="H273" i="2" s="1"/>
  <c r="G276" i="2"/>
  <c r="K276" i="2"/>
  <c r="K278" i="2"/>
  <c r="G285" i="2"/>
  <c r="J286" i="2"/>
  <c r="H286" i="2" s="1"/>
  <c r="F291" i="2"/>
  <c r="J291" i="2" s="1"/>
  <c r="H291" i="2" s="1"/>
  <c r="K296" i="2"/>
  <c r="G303" i="2"/>
  <c r="J304" i="2"/>
  <c r="H304" i="2" s="1"/>
  <c r="G313" i="2"/>
  <c r="G318" i="2"/>
  <c r="G334" i="2"/>
  <c r="G336" i="2"/>
  <c r="F279" i="2"/>
  <c r="K279" i="2" s="1"/>
  <c r="F297" i="2"/>
  <c r="K297" i="2" s="1"/>
  <c r="G325" i="2"/>
  <c r="G327" i="2"/>
  <c r="F327" i="2"/>
  <c r="K327" i="2" s="1"/>
  <c r="F350" i="2"/>
  <c r="J350" i="2" s="1"/>
  <c r="H350" i="2" s="1"/>
  <c r="G350" i="2"/>
  <c r="G374" i="2"/>
  <c r="F374" i="2"/>
  <c r="K374" i="2" s="1"/>
  <c r="J419" i="2"/>
  <c r="K433" i="2" s="1"/>
  <c r="I419" i="2"/>
  <c r="K272" i="2"/>
  <c r="G272" i="2"/>
  <c r="G279" i="2"/>
  <c r="J280" i="2"/>
  <c r="H280" i="2" s="1"/>
  <c r="K290" i="2"/>
  <c r="G290" i="2"/>
  <c r="G297" i="2"/>
  <c r="J300" i="2"/>
  <c r="H300" i="2" s="1"/>
  <c r="F308" i="2"/>
  <c r="J308" i="2" s="1"/>
  <c r="I312" i="2"/>
  <c r="G315" i="2"/>
  <c r="K316" i="2"/>
  <c r="F325" i="2"/>
  <c r="I325" i="2" s="1"/>
  <c r="J364" i="2"/>
  <c r="H364" i="2" s="1"/>
  <c r="K367" i="2"/>
  <c r="G395" i="2"/>
  <c r="F395" i="2"/>
  <c r="J395" i="2" s="1"/>
  <c r="H395" i="2" s="1"/>
  <c r="F413" i="2"/>
  <c r="J413" i="2" s="1"/>
  <c r="H413" i="2" s="1"/>
  <c r="I422" i="2"/>
  <c r="G422" i="2"/>
  <c r="K422" i="2"/>
  <c r="G361" i="2"/>
  <c r="G389" i="2"/>
  <c r="G399" i="2"/>
  <c r="F399" i="2"/>
  <c r="K399" i="2" s="1"/>
  <c r="I455" i="2"/>
  <c r="K455" i="2"/>
  <c r="J455" i="2"/>
  <c r="H455" i="2" s="1"/>
  <c r="I475" i="2"/>
  <c r="J475" i="2"/>
  <c r="K314" i="2"/>
  <c r="K326" i="2"/>
  <c r="J330" i="2"/>
  <c r="H330" i="2" s="1"/>
  <c r="K338" i="2"/>
  <c r="F352" i="2"/>
  <c r="J352" i="2" s="1"/>
  <c r="H352" i="2" s="1"/>
  <c r="F361" i="2"/>
  <c r="I361" i="2" s="1"/>
  <c r="G364" i="2"/>
  <c r="G368" i="2"/>
  <c r="G370" i="2"/>
  <c r="J370" i="2"/>
  <c r="H370" i="2" s="1"/>
  <c r="I371" i="2"/>
  <c r="J381" i="2"/>
  <c r="H381" i="2" s="1"/>
  <c r="K384" i="2"/>
  <c r="G384" i="2"/>
  <c r="J384" i="2"/>
  <c r="H384" i="2" s="1"/>
  <c r="I384" i="2"/>
  <c r="F389" i="2"/>
  <c r="I389" i="2" s="1"/>
  <c r="F393" i="2"/>
  <c r="J393" i="2" s="1"/>
  <c r="H393" i="2" s="1"/>
  <c r="K397" i="2"/>
  <c r="J397" i="2"/>
  <c r="H397" i="2" s="1"/>
  <c r="J422" i="2"/>
  <c r="H422" i="2" s="1"/>
  <c r="K453" i="2"/>
  <c r="J453" i="2"/>
  <c r="H453" i="2" s="1"/>
  <c r="I453" i="2"/>
  <c r="I483" i="2"/>
  <c r="J483" i="2"/>
  <c r="H483" i="2" s="1"/>
  <c r="G373" i="2"/>
  <c r="K461" i="2"/>
  <c r="I461" i="2"/>
  <c r="K491" i="2"/>
  <c r="J491" i="2"/>
  <c r="H491" i="2" s="1"/>
  <c r="I491" i="2"/>
  <c r="I335" i="2"/>
  <c r="K335" i="2"/>
  <c r="I340" i="2"/>
  <c r="J342" i="2"/>
  <c r="H342" i="2" s="1"/>
  <c r="K347" i="2"/>
  <c r="I349" i="2"/>
  <c r="G351" i="2"/>
  <c r="I351" i="2"/>
  <c r="F354" i="2"/>
  <c r="I354" i="2" s="1"/>
  <c r="F363" i="2"/>
  <c r="J363" i="2" s="1"/>
  <c r="H363" i="2" s="1"/>
  <c r="I364" i="2"/>
  <c r="J368" i="2"/>
  <c r="H368" i="2" s="1"/>
  <c r="F373" i="2"/>
  <c r="J373" i="2" s="1"/>
  <c r="H373" i="2" s="1"/>
  <c r="K375" i="2"/>
  <c r="G381" i="2"/>
  <c r="K394" i="2"/>
  <c r="J394" i="2"/>
  <c r="H394" i="2" s="1"/>
  <c r="I394" i="2"/>
  <c r="I397" i="2"/>
  <c r="F402" i="2"/>
  <c r="K402" i="2" s="1"/>
  <c r="F425" i="2"/>
  <c r="K425" i="2" s="1"/>
  <c r="J429" i="2"/>
  <c r="H429" i="2" s="1"/>
  <c r="K437" i="2"/>
  <c r="G457" i="2"/>
  <c r="F457" i="2"/>
  <c r="J457" i="2" s="1"/>
  <c r="H457" i="2" s="1"/>
  <c r="J349" i="2"/>
  <c r="H349" i="2" s="1"/>
  <c r="G354" i="2"/>
  <c r="G363" i="2"/>
  <c r="K364" i="2"/>
  <c r="K368" i="2"/>
  <c r="G425" i="2"/>
  <c r="F431" i="2"/>
  <c r="I431" i="2" s="1"/>
  <c r="J461" i="2"/>
  <c r="H461" i="2" s="1"/>
  <c r="F321" i="2"/>
  <c r="I321" i="2" s="1"/>
  <c r="G338" i="2"/>
  <c r="J344" i="2"/>
  <c r="H344" i="2" s="1"/>
  <c r="I353" i="2"/>
  <c r="K353" i="2"/>
  <c r="J362" i="2"/>
  <c r="H362" i="2" s="1"/>
  <c r="K365" i="2"/>
  <c r="F369" i="2"/>
  <c r="J369" i="2" s="1"/>
  <c r="H369" i="2" s="1"/>
  <c r="K370" i="2"/>
  <c r="G380" i="2"/>
  <c r="J380" i="2"/>
  <c r="H380" i="2" s="1"/>
  <c r="K381" i="2"/>
  <c r="J385" i="2"/>
  <c r="H385" i="2" s="1"/>
  <c r="I386" i="2"/>
  <c r="K405" i="2"/>
  <c r="J405" i="2"/>
  <c r="H405" i="2" s="1"/>
  <c r="G415" i="2"/>
  <c r="F415" i="2"/>
  <c r="K415" i="2" s="1"/>
  <c r="G421" i="2"/>
  <c r="F421" i="2"/>
  <c r="K421" i="2" s="1"/>
  <c r="G431" i="2"/>
  <c r="K443" i="2"/>
  <c r="I443" i="2"/>
  <c r="G465" i="2"/>
  <c r="F465" i="2"/>
  <c r="K465" i="2" s="1"/>
  <c r="G485" i="2"/>
  <c r="F485" i="2"/>
  <c r="K485" i="2" s="1"/>
  <c r="I382" i="2"/>
  <c r="I392" i="2"/>
  <c r="I412" i="2"/>
  <c r="I430" i="2"/>
  <c r="F438" i="2"/>
  <c r="I438" i="2" s="1"/>
  <c r="K440" i="2"/>
  <c r="J440" i="2"/>
  <c r="H440" i="2" s="1"/>
  <c r="K458" i="2"/>
  <c r="J458" i="2"/>
  <c r="H458" i="2" s="1"/>
  <c r="I479" i="2"/>
  <c r="G482" i="2"/>
  <c r="F482" i="2"/>
  <c r="F484" i="2"/>
  <c r="K484" i="2" s="1"/>
  <c r="I497" i="2"/>
  <c r="J403" i="2"/>
  <c r="H403" i="2" s="1"/>
  <c r="I403" i="2"/>
  <c r="J423" i="2"/>
  <c r="H423" i="2" s="1"/>
  <c r="I423" i="2"/>
  <c r="G477" i="2"/>
  <c r="G398" i="2"/>
  <c r="F398" i="2"/>
  <c r="K398" i="2" s="1"/>
  <c r="K414" i="2"/>
  <c r="J414" i="2"/>
  <c r="H414" i="2" s="1"/>
  <c r="G420" i="2"/>
  <c r="F420" i="2"/>
  <c r="K420" i="2" s="1"/>
  <c r="K432" i="2"/>
  <c r="J432" i="2"/>
  <c r="H432" i="2" s="1"/>
  <c r="G449" i="2"/>
  <c r="J449" i="2"/>
  <c r="H449" i="2" s="1"/>
  <c r="I449" i="2"/>
  <c r="I451" i="2"/>
  <c r="J454" i="2"/>
  <c r="H454" i="2" s="1"/>
  <c r="F456" i="2"/>
  <c r="I456" i="2" s="1"/>
  <c r="J463" i="2"/>
  <c r="K466" i="2"/>
  <c r="J466" i="2"/>
  <c r="H466" i="2" s="1"/>
  <c r="F477" i="2"/>
  <c r="K477" i="2" s="1"/>
  <c r="I489" i="2"/>
  <c r="F494" i="2"/>
  <c r="J439" i="2"/>
  <c r="H439" i="2" s="1"/>
  <c r="I439" i="2"/>
  <c r="I441" i="2"/>
  <c r="K441" i="2"/>
  <c r="G444" i="2"/>
  <c r="F444" i="2"/>
  <c r="J444" i="2" s="1"/>
  <c r="H444" i="2" s="1"/>
  <c r="I459" i="2"/>
  <c r="G462" i="2"/>
  <c r="F462" i="2"/>
  <c r="J462" i="2" s="1"/>
  <c r="H462" i="2" s="1"/>
  <c r="F464" i="2"/>
  <c r="K464" i="2" s="1"/>
  <c r="G466" i="2"/>
  <c r="I471" i="2"/>
  <c r="K478" i="2"/>
  <c r="J478" i="2"/>
  <c r="H478" i="2" s="1"/>
  <c r="I372" i="2"/>
  <c r="J383" i="2"/>
  <c r="H383" i="2" s="1"/>
  <c r="G388" i="2"/>
  <c r="F388" i="2"/>
  <c r="K404" i="2"/>
  <c r="J404" i="2"/>
  <c r="H404" i="2" s="1"/>
  <c r="G410" i="2"/>
  <c r="F410" i="2"/>
  <c r="I414" i="2"/>
  <c r="K424" i="2"/>
  <c r="J424" i="2"/>
  <c r="H424" i="2" s="1"/>
  <c r="G428" i="2"/>
  <c r="F428" i="2"/>
  <c r="I433" i="2"/>
  <c r="G436" i="2"/>
  <c r="F436" i="2"/>
  <c r="G441" i="2"/>
  <c r="K442" i="2"/>
  <c r="F448" i="2"/>
  <c r="I448" i="2" s="1"/>
  <c r="K450" i="2"/>
  <c r="J450" i="2"/>
  <c r="H450" i="2" s="1"/>
  <c r="I469" i="2"/>
  <c r="G472" i="2"/>
  <c r="F472" i="2"/>
  <c r="J472" i="2" s="1"/>
  <c r="H472" i="2" s="1"/>
  <c r="F476" i="2"/>
  <c r="J476" i="2" s="1"/>
  <c r="H476" i="2" s="1"/>
  <c r="G478" i="2"/>
  <c r="J488" i="2"/>
  <c r="K490" i="2" s="1"/>
  <c r="F496" i="2"/>
  <c r="K496" i="2" s="1"/>
  <c r="K498" i="2"/>
  <c r="K451" i="2"/>
  <c r="K459" i="2"/>
  <c r="K469" i="2"/>
  <c r="K479" i="2"/>
  <c r="K489" i="2"/>
  <c r="F492" i="2"/>
  <c r="I495" i="2"/>
  <c r="F481" i="2"/>
  <c r="J495" i="2"/>
  <c r="H495" i="2" s="1"/>
  <c r="F499" i="2"/>
  <c r="J499" i="2" s="1"/>
  <c r="H499" i="2" s="1"/>
  <c r="K495" i="2"/>
  <c r="G499" i="2"/>
  <c r="K475" i="2" l="1"/>
  <c r="K494" i="2"/>
  <c r="H490" i="2"/>
  <c r="K481" i="2"/>
  <c r="H475" i="2"/>
  <c r="H463" i="2"/>
  <c r="K328" i="2"/>
  <c r="H409" i="2"/>
  <c r="H379" i="2"/>
  <c r="K379" i="2"/>
  <c r="H366" i="2"/>
  <c r="H372" i="2"/>
  <c r="H312" i="2"/>
  <c r="H265" i="2"/>
  <c r="H274" i="2"/>
  <c r="H262" i="2"/>
  <c r="K195" i="2"/>
  <c r="H191" i="2"/>
  <c r="K160" i="2"/>
  <c r="H160" i="2"/>
  <c r="H133" i="2"/>
  <c r="K132" i="2"/>
  <c r="K127" i="2"/>
  <c r="H105" i="2"/>
  <c r="K81" i="2"/>
  <c r="H100" i="2"/>
  <c r="H61" i="2"/>
  <c r="H55" i="2"/>
  <c r="H51" i="2"/>
  <c r="I91" i="2"/>
  <c r="I464" i="2"/>
  <c r="J464" i="2"/>
  <c r="H464" i="2" s="1"/>
  <c r="K229" i="2"/>
  <c r="I285" i="2"/>
  <c r="J71" i="2"/>
  <c r="H71" i="2" s="1"/>
  <c r="I227" i="2"/>
  <c r="K69" i="2"/>
  <c r="K119" i="2"/>
  <c r="I374" i="2"/>
  <c r="J336" i="2"/>
  <c r="H336" i="2" s="1"/>
  <c r="I129" i="2"/>
  <c r="H32" i="2"/>
  <c r="K237" i="2"/>
  <c r="J285" i="2"/>
  <c r="H285" i="2" s="1"/>
  <c r="K157" i="2"/>
  <c r="J374" i="2"/>
  <c r="H374" i="2" s="1"/>
  <c r="K281" i="2"/>
  <c r="I313" i="2"/>
  <c r="K289" i="2"/>
  <c r="J161" i="2"/>
  <c r="K174" i="2" s="1"/>
  <c r="J399" i="2"/>
  <c r="H399" i="2" s="1"/>
  <c r="K239" i="2"/>
  <c r="J494" i="2"/>
  <c r="K497" i="2" s="1"/>
  <c r="K329" i="2"/>
  <c r="I328" i="2"/>
  <c r="J271" i="2"/>
  <c r="H271" i="2" s="1"/>
  <c r="K85" i="2"/>
  <c r="K273" i="2"/>
  <c r="K361" i="2"/>
  <c r="J229" i="2"/>
  <c r="H229" i="2" s="1"/>
  <c r="K165" i="2"/>
  <c r="K309" i="2"/>
  <c r="I295" i="2"/>
  <c r="I146" i="2"/>
  <c r="I165" i="2"/>
  <c r="K219" i="2"/>
  <c r="K295" i="2"/>
  <c r="I219" i="2"/>
  <c r="J325" i="2"/>
  <c r="H325" i="2" s="1"/>
  <c r="I85" i="2"/>
  <c r="K71" i="2"/>
  <c r="K456" i="2"/>
  <c r="J456" i="2"/>
  <c r="J253" i="2"/>
  <c r="H253" i="2" s="1"/>
  <c r="I157" i="2"/>
  <c r="I75" i="2"/>
  <c r="I395" i="2"/>
  <c r="I494" i="2"/>
  <c r="K476" i="2"/>
  <c r="I399" i="2"/>
  <c r="K336" i="2"/>
  <c r="I28" i="2"/>
  <c r="K241" i="2"/>
  <c r="I237" i="2"/>
  <c r="J69" i="2"/>
  <c r="H69" i="2" s="1"/>
  <c r="I48" i="2"/>
  <c r="I496" i="2"/>
  <c r="J361" i="2"/>
  <c r="H361" i="2" s="1"/>
  <c r="J301" i="2"/>
  <c r="J63" i="2"/>
  <c r="H63" i="2" s="1"/>
  <c r="I9" i="2"/>
  <c r="K177" i="2"/>
  <c r="J195" i="2"/>
  <c r="K205" i="2" s="1"/>
  <c r="I425" i="2"/>
  <c r="K117" i="2"/>
  <c r="H7" i="2"/>
  <c r="I162" i="2"/>
  <c r="K67" i="2"/>
  <c r="K125" i="2"/>
  <c r="K95" i="2"/>
  <c r="K301" i="2"/>
  <c r="J485" i="2"/>
  <c r="H485" i="2" s="1"/>
  <c r="K268" i="2"/>
  <c r="I130" i="2"/>
  <c r="J277" i="2"/>
  <c r="H277" i="2" s="1"/>
  <c r="J75" i="2"/>
  <c r="H75" i="2" s="1"/>
  <c r="I181" i="2"/>
  <c r="J162" i="2"/>
  <c r="H162" i="2" s="1"/>
  <c r="I265" i="2"/>
  <c r="K293" i="2"/>
  <c r="I95" i="2"/>
  <c r="I239" i="2"/>
  <c r="J119" i="2"/>
  <c r="K123" i="2" s="1"/>
  <c r="J187" i="2"/>
  <c r="H187" i="2" s="1"/>
  <c r="J181" i="2"/>
  <c r="H181" i="2" s="1"/>
  <c r="J421" i="2"/>
  <c r="H421" i="2" s="1"/>
  <c r="J411" i="2"/>
  <c r="I333" i="2"/>
  <c r="K139" i="2"/>
  <c r="K70" i="2"/>
  <c r="J496" i="2"/>
  <c r="H496" i="2" s="1"/>
  <c r="I457" i="2"/>
  <c r="K393" i="2"/>
  <c r="K354" i="2"/>
  <c r="K308" i="2"/>
  <c r="I332" i="2"/>
  <c r="K265" i="2"/>
  <c r="I275" i="2"/>
  <c r="J333" i="2"/>
  <c r="H333" i="2" s="1"/>
  <c r="K277" i="2"/>
  <c r="I271" i="2"/>
  <c r="J81" i="2"/>
  <c r="K88" i="2" s="1"/>
  <c r="I125" i="2"/>
  <c r="I3" i="2"/>
  <c r="K253" i="2"/>
  <c r="K176" i="2"/>
  <c r="K187" i="2"/>
  <c r="J173" i="2"/>
  <c r="H173" i="2" s="1"/>
  <c r="J78" i="2"/>
  <c r="H78" i="2" s="1"/>
  <c r="J341" i="2"/>
  <c r="H341" i="2" s="1"/>
  <c r="I212" i="2"/>
  <c r="K217" i="2"/>
  <c r="J251" i="2"/>
  <c r="H251" i="2" s="1"/>
  <c r="I173" i="2"/>
  <c r="K350" i="2"/>
  <c r="I350" i="2"/>
  <c r="J303" i="2"/>
  <c r="H303" i="2" s="1"/>
  <c r="I289" i="2"/>
  <c r="K275" i="2"/>
  <c r="I293" i="2"/>
  <c r="K97" i="2"/>
  <c r="K256" i="2"/>
  <c r="K212" i="2"/>
  <c r="I161" i="2"/>
  <c r="K373" i="2"/>
  <c r="K389" i="2"/>
  <c r="I373" i="2"/>
  <c r="J279" i="2"/>
  <c r="H279" i="2" s="1"/>
  <c r="K251" i="2"/>
  <c r="I140" i="2"/>
  <c r="J3" i="2"/>
  <c r="K33" i="2" s="1"/>
  <c r="I235" i="2"/>
  <c r="J227" i="2"/>
  <c r="K234" i="2" s="1"/>
  <c r="J91" i="2"/>
  <c r="H91" i="2" s="1"/>
  <c r="J263" i="2"/>
  <c r="H263" i="2" s="1"/>
  <c r="I78" i="2"/>
  <c r="I81" i="2"/>
  <c r="I485" i="2"/>
  <c r="I334" i="2"/>
  <c r="I264" i="2"/>
  <c r="I281" i="2"/>
  <c r="K140" i="2"/>
  <c r="K63" i="2"/>
  <c r="I97" i="2"/>
  <c r="I172" i="2"/>
  <c r="K235" i="2"/>
  <c r="K201" i="2"/>
  <c r="J156" i="2"/>
  <c r="H156" i="2" s="1"/>
  <c r="I155" i="2"/>
  <c r="I256" i="2"/>
  <c r="K395" i="2"/>
  <c r="K325" i="2"/>
  <c r="J334" i="2"/>
  <c r="H334" i="2" s="1"/>
  <c r="I266" i="2"/>
  <c r="K245" i="2"/>
  <c r="K266" i="2"/>
  <c r="J111" i="2"/>
  <c r="H111" i="2" s="1"/>
  <c r="J172" i="2"/>
  <c r="H172" i="2" s="1"/>
  <c r="K99" i="2"/>
  <c r="I156" i="2"/>
  <c r="I241" i="2"/>
  <c r="I263" i="2"/>
  <c r="K44" i="2"/>
  <c r="I44" i="2"/>
  <c r="K185" i="2"/>
  <c r="K145" i="2"/>
  <c r="K200" i="2"/>
  <c r="I107" i="2"/>
  <c r="I444" i="2"/>
  <c r="J431" i="2"/>
  <c r="H431" i="2" s="1"/>
  <c r="K457" i="2"/>
  <c r="I402" i="2"/>
  <c r="J389" i="2"/>
  <c r="H389" i="2" s="1"/>
  <c r="K413" i="2"/>
  <c r="I308" i="2"/>
  <c r="I329" i="2"/>
  <c r="J328" i="2"/>
  <c r="K332" i="2"/>
  <c r="I309" i="2"/>
  <c r="J268" i="2"/>
  <c r="H268" i="2" s="1"/>
  <c r="I279" i="2"/>
  <c r="I273" i="2"/>
  <c r="K264" i="2"/>
  <c r="K231" i="2"/>
  <c r="J131" i="2"/>
  <c r="H131" i="2" s="1"/>
  <c r="K101" i="2"/>
  <c r="K149" i="2"/>
  <c r="J73" i="2"/>
  <c r="H73" i="2" s="1"/>
  <c r="K153" i="2"/>
  <c r="J177" i="2"/>
  <c r="K191" i="2" s="1"/>
  <c r="K146" i="2"/>
  <c r="J117" i="2"/>
  <c r="H117" i="2" s="1"/>
  <c r="I89" i="2"/>
  <c r="J176" i="2"/>
  <c r="H176" i="2" s="1"/>
  <c r="K107" i="2"/>
  <c r="J217" i="2"/>
  <c r="K227" i="2" s="1"/>
  <c r="J109" i="2"/>
  <c r="H109" i="2" s="1"/>
  <c r="J28" i="2"/>
  <c r="H28" i="2" s="1"/>
  <c r="J398" i="2"/>
  <c r="H398" i="2" s="1"/>
  <c r="I398" i="2"/>
  <c r="K7" i="2"/>
  <c r="I7" i="2"/>
  <c r="I413" i="2"/>
  <c r="I137" i="2"/>
  <c r="J57" i="2"/>
  <c r="K60" i="2" s="1"/>
  <c r="K57" i="2"/>
  <c r="I166" i="2"/>
  <c r="I291" i="2"/>
  <c r="K436" i="2"/>
  <c r="J436" i="2"/>
  <c r="H436" i="2" s="1"/>
  <c r="I436" i="2"/>
  <c r="I477" i="2"/>
  <c r="K385" i="2"/>
  <c r="I393" i="2"/>
  <c r="K444" i="2"/>
  <c r="J327" i="2"/>
  <c r="H327" i="2" s="1"/>
  <c r="I303" i="2"/>
  <c r="I327" i="2"/>
  <c r="J297" i="2"/>
  <c r="H297" i="2" s="1"/>
  <c r="I324" i="2"/>
  <c r="I255" i="2"/>
  <c r="I317" i="2"/>
  <c r="I358" i="2"/>
  <c r="K267" i="2"/>
  <c r="I257" i="2"/>
  <c r="K148" i="2"/>
  <c r="J343" i="2"/>
  <c r="H343" i="2" s="1"/>
  <c r="K164" i="2"/>
  <c r="J137" i="2"/>
  <c r="H137" i="2" s="1"/>
  <c r="K115" i="2"/>
  <c r="I115" i="2"/>
  <c r="K53" i="2"/>
  <c r="I53" i="2"/>
  <c r="K19" i="2"/>
  <c r="I19" i="2"/>
  <c r="I101" i="2"/>
  <c r="I207" i="2"/>
  <c r="I136" i="2"/>
  <c r="K89" i="2"/>
  <c r="K130" i="2"/>
  <c r="J166" i="2"/>
  <c r="H166" i="2" s="1"/>
  <c r="I185" i="2"/>
  <c r="K48" i="2"/>
  <c r="K182" i="2"/>
  <c r="I215" i="2"/>
  <c r="I99" i="2"/>
  <c r="J127" i="2"/>
  <c r="K171" i="2" s="1"/>
  <c r="I132" i="2"/>
  <c r="J44" i="2"/>
  <c r="K55" i="2" s="1"/>
  <c r="I141" i="2"/>
  <c r="I223" i="2"/>
  <c r="K223" i="2"/>
  <c r="J402" i="2"/>
  <c r="K411" i="2" s="1"/>
  <c r="K352" i="2"/>
  <c r="K249" i="2"/>
  <c r="I249" i="2"/>
  <c r="J220" i="2"/>
  <c r="H220" i="2" s="1"/>
  <c r="I127" i="2"/>
  <c r="I465" i="2"/>
  <c r="I499" i="2"/>
  <c r="K499" i="2"/>
  <c r="I476" i="2"/>
  <c r="J477" i="2"/>
  <c r="H477" i="2" s="1"/>
  <c r="I484" i="2"/>
  <c r="J465" i="2"/>
  <c r="H465" i="2" s="1"/>
  <c r="I421" i="2"/>
  <c r="K369" i="2"/>
  <c r="I369" i="2"/>
  <c r="I385" i="2"/>
  <c r="K321" i="2"/>
  <c r="I352" i="2"/>
  <c r="J425" i="2"/>
  <c r="H425" i="2" s="1"/>
  <c r="K363" i="2"/>
  <c r="J324" i="2"/>
  <c r="H324" i="2" s="1"/>
  <c r="J354" i="2"/>
  <c r="H354" i="2" s="1"/>
  <c r="I144" i="2"/>
  <c r="J358" i="2"/>
  <c r="H358" i="2" s="1"/>
  <c r="I307" i="2"/>
  <c r="J267" i="2"/>
  <c r="H267" i="2" s="1"/>
  <c r="K257" i="2"/>
  <c r="J139" i="2"/>
  <c r="H139" i="2" s="1"/>
  <c r="J249" i="2"/>
  <c r="H249" i="2" s="1"/>
  <c r="K343" i="2"/>
  <c r="K155" i="2"/>
  <c r="K77" i="2"/>
  <c r="I77" i="2"/>
  <c r="J207" i="2"/>
  <c r="H207" i="2" s="1"/>
  <c r="I220" i="2"/>
  <c r="J136" i="2"/>
  <c r="H136" i="2" s="1"/>
  <c r="I149" i="2"/>
  <c r="I195" i="2"/>
  <c r="I182" i="2"/>
  <c r="I145" i="2"/>
  <c r="K215" i="2"/>
  <c r="J148" i="2"/>
  <c r="H148" i="2" s="1"/>
  <c r="K341" i="2"/>
  <c r="J199" i="2"/>
  <c r="H199" i="2" s="1"/>
  <c r="J132" i="2"/>
  <c r="K143" i="2" s="1"/>
  <c r="J141" i="2"/>
  <c r="H141" i="2" s="1"/>
  <c r="I73" i="2"/>
  <c r="J6" i="2"/>
  <c r="H6" i="2" s="1"/>
  <c r="K6" i="2"/>
  <c r="I481" i="2"/>
  <c r="J481" i="2"/>
  <c r="K488" i="2" s="1"/>
  <c r="J388" i="2"/>
  <c r="H388" i="2" s="1"/>
  <c r="I388" i="2"/>
  <c r="K388" i="2"/>
  <c r="K317" i="2"/>
  <c r="I164" i="2"/>
  <c r="J23" i="2"/>
  <c r="H23" i="2" s="1"/>
  <c r="K23" i="2"/>
  <c r="J492" i="2"/>
  <c r="H492" i="2" s="1"/>
  <c r="I492" i="2"/>
  <c r="K492" i="2"/>
  <c r="K410" i="2"/>
  <c r="J410" i="2"/>
  <c r="H410" i="2" s="1"/>
  <c r="I410" i="2"/>
  <c r="K462" i="2"/>
  <c r="I462" i="2"/>
  <c r="I454" i="2"/>
  <c r="K454" i="2"/>
  <c r="J420" i="2"/>
  <c r="H420" i="2" s="1"/>
  <c r="I420" i="2"/>
  <c r="J484" i="2"/>
  <c r="H484" i="2" s="1"/>
  <c r="K431" i="2"/>
  <c r="I363" i="2"/>
  <c r="J321" i="2"/>
  <c r="K366" i="2" s="1"/>
  <c r="G366" i="2" s="1"/>
  <c r="K291" i="2"/>
  <c r="K255" i="2"/>
  <c r="J258" i="2"/>
  <c r="H258" i="2" s="1"/>
  <c r="K211" i="2"/>
  <c r="I211" i="2"/>
  <c r="I200" i="2"/>
  <c r="K307" i="2"/>
  <c r="J245" i="2"/>
  <c r="H245" i="2" s="1"/>
  <c r="K144" i="2"/>
  <c r="I201" i="2"/>
  <c r="K199" i="2"/>
  <c r="I67" i="2"/>
  <c r="K322" i="2"/>
  <c r="I322" i="2"/>
  <c r="I153" i="2"/>
  <c r="I57" i="2"/>
  <c r="K472" i="2"/>
  <c r="I472" i="2"/>
  <c r="K448" i="2"/>
  <c r="J448" i="2"/>
  <c r="K428" i="2"/>
  <c r="J428" i="2"/>
  <c r="H428" i="2" s="1"/>
  <c r="I428" i="2"/>
  <c r="J482" i="2"/>
  <c r="H482" i="2" s="1"/>
  <c r="I482" i="2"/>
  <c r="K482" i="2"/>
  <c r="J438" i="2"/>
  <c r="K438" i="2"/>
  <c r="J415" i="2"/>
  <c r="H415" i="2" s="1"/>
  <c r="I415" i="2"/>
  <c r="J313" i="2"/>
  <c r="H313" i="2" s="1"/>
  <c r="K258" i="2"/>
  <c r="I159" i="2"/>
  <c r="K159" i="2"/>
  <c r="I297" i="2"/>
  <c r="I231" i="2"/>
  <c r="K131" i="2"/>
  <c r="K111" i="2"/>
  <c r="K129" i="2"/>
  <c r="I23" i="2"/>
  <c r="I6" i="2"/>
  <c r="I109" i="2"/>
  <c r="J70" i="2"/>
  <c r="H70" i="2" s="1"/>
  <c r="J9" i="2"/>
  <c r="K45" i="2" s="1"/>
  <c r="H161" i="2" l="1"/>
  <c r="H494" i="2"/>
  <c r="H481" i="2"/>
  <c r="H456" i="2"/>
  <c r="H438" i="2"/>
  <c r="H328" i="2"/>
  <c r="H321" i="2"/>
  <c r="H301" i="2"/>
  <c r="H217" i="2"/>
  <c r="H195" i="2"/>
  <c r="H177" i="2"/>
  <c r="H132" i="2"/>
  <c r="H127" i="2"/>
  <c r="H81" i="2"/>
  <c r="H57" i="2"/>
  <c r="H9" i="2"/>
  <c r="H3" i="2"/>
</calcChain>
</file>

<file path=xl/sharedStrings.xml><?xml version="1.0" encoding="utf-8"?>
<sst xmlns="http://schemas.openxmlformats.org/spreadsheetml/2006/main" count="1282" uniqueCount="435">
  <si>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</si>
  <si>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</si>
  <si>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</si>
  <si>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</si>
  <si>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</si>
  <si>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</si>
  <si>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</si>
  <si>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</si>
  <si>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</si>
  <si>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</si>
  <si>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</si>
  <si>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</si>
  <si>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</si>
  <si>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gut</t>
  </si>
  <si>
    <t>Mutter eines 6 Jährigen mit Mikrozephalie : &amp;quot; Es wird besser &amp;quot;</t>
  </si>
  <si>
    <t>file://conllu/de/cbsnews.146271.conllu#s1_0</t>
  </si>
  <si>
    <t>2</t>
  </si>
  <si>
    <t>6</t>
  </si>
  <si>
    <t>lieben</t>
  </si>
  <si>
    <t>Wie die meisten 6 -Jährigen liebt Edmund Picciuto das Singen , Spielzeuge und natürlich seine Mutter .</t>
  </si>
  <si>
    <t>file://conllu/de/cbsnews.146271.conllu#s2_0</t>
  </si>
  <si>
    <t>3</t>
  </si>
  <si>
    <t>7</t>
  </si>
  <si>
    <t>haben</t>
  </si>
  <si>
    <t>Aber wie die wenigsten seiner Altergenossen hat Edmund Mikrozephalie , das Ergebnis einer genetischen Störung , über die seine Mutter Elizabeth Picciuto während ihrer Schwangerschaft nichts wusste .</t>
  </si>
  <si>
    <t>file://conllu/de/cbsnews.146271.conllu#s3_0</t>
  </si>
  <si>
    <t>4</t>
  </si>
  <si>
    <t>10</t>
  </si>
  <si>
    <t>sein (sein Gedanke)</t>
  </si>
  <si>
    <t>Als er das erste Mal nach Hause kam , war mein erster Gedanke , Ich schaffe das nicht .</t>
  </si>
  <si>
    <t>file://conllu/de/cbsnews.146271.conllu#s4_0</t>
  </si>
  <si>
    <t>5</t>
  </si>
  <si>
    <t>schaffen</t>
  </si>
  <si>
    <t>Ich schaffe das nicht .</t>
  </si>
  <si>
    <t>file://conllu/de/cbsnews.146271.conllu#s5_0</t>
  </si>
  <si>
    <t>einlassen</t>
  </si>
  <si>
    <t>Darauf habe ich mich nicht eingelassen .</t>
  </si>
  <si>
    <t>file://conllu/de/cbsnews.146271.conllu#s6_0</t>
  </si>
  <si>
    <t>Was überhaupt nicht stimmt natürlich hat man sich darauf eingelassen , &amp;quot; sagte sie .</t>
  </si>
  <si>
    <t>file://conllu/de/cbsnews.146271.conllu#s7_0</t>
  </si>
  <si>
    <t>8</t>
  </si>
  <si>
    <t>Ehemann</t>
  </si>
  <si>
    <t>Ihrem Ehemann Vincent und ihr wurde mitgeteilt , dass Edmund sie unter Umständen nie erkennen wird können und , dass er möglicherweise nicht einmal überleben wird .</t>
  </si>
  <si>
    <t>file://conllu/de/cbsnews.146271.conllu#s8_0</t>
  </si>
  <si>
    <t>9</t>
  </si>
  <si>
    <t>gehen</t>
  </si>
  <si>
    <t>Manche Ärzte gingen sogar so weit , dass sie vorschlugen , ihn zu institutionalisieren .</t>
  </si>
  <si>
    <t>file://conllu/de/cbsnews.146271.conllu#s9_0</t>
  </si>
  <si>
    <t>21</t>
  </si>
  <si>
    <t>erklären</t>
  </si>
  <si>
    <t>&amp;quot; Meine erste Antwort darauf war ' Ich wusste nicht , dass das Leute noch immer machen , ' &amp;quot; erklärte Picciuto .</t>
  </si>
  <si>
    <t>file://conllu/de/cbsnews.146271.conllu#s10_0</t>
  </si>
  <si>
    <t>11</t>
  </si>
  <si>
    <t>laufen</t>
  </si>
  <si>
    <t>Edmund kann mit Hilfe einer Gehhilfe laufen .</t>
  </si>
  <si>
    <t>file://conllu/de/cbsnews.146271.conllu#s11_0</t>
  </si>
  <si>
    <t>krabbeln</t>
  </si>
  <si>
    <t>Edmund konnte bis zu seinem dritten Lebensjahr weder sitzen noch krabbeln und er kann noch immer nicht sprechen .</t>
  </si>
  <si>
    <t>file://conllu/de/cbsnews.146271.conllu#s12_0</t>
  </si>
  <si>
    <t>13</t>
  </si>
  <si>
    <t>machen</t>
  </si>
  <si>
    <t>Aber er macht langsam Fortschritte .</t>
  </si>
  <si>
    <t>file://conllu/de/cbsnews.146271.conllu#s13_0</t>
  </si>
  <si>
    <t>14</t>
  </si>
  <si>
    <t>Er kann mit Unterstützung laufen und Fahrradfahren .</t>
  </si>
  <si>
    <t>file://conllu/de/cbsnews.146271.conllu#s14_0</t>
  </si>
  <si>
    <t>15</t>
  </si>
  <si>
    <t>Er liebt es auch , mit seinen zwei Brüdern zu spielen und zu singen .</t>
  </si>
  <si>
    <t>file://conllu/de/cbsnews.146271.conllu#s15_0</t>
  </si>
  <si>
    <t>16</t>
  </si>
  <si>
    <t>zeigen</t>
  </si>
  <si>
    <t>Elizabeth zeigt die Zeichensprache , die sich Edmund für &amp;quot; Bitte sing mir etwas vor &amp;quot; ausgedacht hat . &amp;quot;</t>
  </si>
  <si>
    <t>file://conllu/de/cbsnews.146271.conllu#s16_0</t>
  </si>
  <si>
    <t>17</t>
  </si>
  <si>
    <t>bringen</t>
  </si>
  <si>
    <t>&amp;quot; Wir bringen ihm Zeichensprache bei , &amp;quot; erzählte Picciuto CBS News .</t>
  </si>
  <si>
    <t>file://conllu/de/cbsnews.146271.conllu#s17_0</t>
  </si>
  <si>
    <t>18</t>
  </si>
  <si>
    <t>sagen</t>
  </si>
  <si>
    <t>Aber es ist keine typische Zeichensprache sagt sie .</t>
  </si>
  <si>
    <t>file://conllu/de/cbsnews.146271.conllu#s18_0</t>
  </si>
  <si>
    <t>19</t>
  </si>
  <si>
    <t>erfinden</t>
  </si>
  <si>
    <t>Edmund hat einige Zeichen alleine erfunden .</t>
  </si>
  <si>
    <t>file://conllu/de/cbsnews.146271.conllu#s19_0</t>
  </si>
  <si>
    <t>20</t>
  </si>
  <si>
    <t>Mikrozephalie hat eine Vielzahl an Ursachen : genetische wie bei Edmund sowie Infektionen mit Viren wie Masern oder dem Zikavirus während der Schwangerschaft .</t>
  </si>
  <si>
    <t>file://conllu/de/cbsnews.146271.conllu#s20_0</t>
  </si>
  <si>
    <t>variieren</t>
  </si>
  <si>
    <t>Die Symptome und Prognosen können stark variieren .</t>
  </si>
  <si>
    <t>file://conllu/de/cbsnews.146271.conllu#s21_0</t>
  </si>
  <si>
    <t>22</t>
  </si>
  <si>
    <t>sein</t>
  </si>
  <si>
    <t>Es ist noch zu früh zu sagen , wie es das Leben der mit dem Zikavirus Infizierten beeinflussen wird .</t>
  </si>
  <si>
    <t>file://conllu/de/cbsnews.146271.conllu#s22_0</t>
  </si>
  <si>
    <t>23</t>
  </si>
  <si>
    <t>erinnern</t>
  </si>
  <si>
    <t>Picciuto erinnert sich an den emotionalen Preis einer ungewissen Zukunft .</t>
  </si>
  <si>
    <t>file://conllu/de/cbsnews.146271.conllu#s23_0</t>
  </si>
  <si>
    <t>24</t>
  </si>
  <si>
    <t>Was?</t>
  </si>
  <si>
    <t>fragen</t>
  </si>
  <si>
    <t>Ich fragte ständig , was wird geschehen ?</t>
  </si>
  <si>
    <t>file://conllu/de/cbsnews.146271.conllu#s24_0</t>
  </si>
  <si>
    <t>25</t>
  </si>
  <si>
    <t>geschehen</t>
  </si>
  <si>
    <t>Was wird geschehen ?</t>
  </si>
  <si>
    <t>file://conllu/de/cbsnews.146271.conllu#s25_0</t>
  </si>
  <si>
    <t>26</t>
  </si>
  <si>
    <t>wissen</t>
  </si>
  <si>
    <t>Und sie weiß es noch immer nicht wirklich .</t>
  </si>
  <si>
    <t>file://conllu/de/cbsnews.146271.conllu#s26_0</t>
  </si>
  <si>
    <t>27</t>
  </si>
  <si>
    <t>Ich habe schon seit langer Zeit nicht mehr nach der Prognose gefragt , weil ich nicht erwarte , dass sie mir jemand wirklich sagen kann .</t>
  </si>
  <si>
    <t>file://conllu/de/cbsnews.146271.conllu#s27_0</t>
  </si>
  <si>
    <t>28</t>
  </si>
  <si>
    <t>Aber Picciuto hat einen hoffnungsvollen Ratschlag für Mütter von Säuglingen mit Geburtsschäden , die durch den Zikavirus verursacht wurden .</t>
  </si>
  <si>
    <t>file://conllu/de/cbsnews.146271.conllu#s28_0</t>
  </si>
  <si>
    <t>29</t>
  </si>
  <si>
    <t>werden</t>
  </si>
  <si>
    <t>Es wird besser .</t>
  </si>
  <si>
    <t>file://conllu/de/cbsnews.146271.conllu#s29_0</t>
  </si>
  <si>
    <t>30</t>
  </si>
  <si>
    <t>Sie wissen , dass es für Sie besser werden wird .</t>
  </si>
  <si>
    <t>file://conllu/de/cbsnews.146271.conllu#s30_0</t>
  </si>
  <si>
    <t>31</t>
  </si>
  <si>
    <t>Sie werden Ihr Kind lieben und Ihr Kind wird Sie lieben .</t>
  </si>
  <si>
    <t>file://conllu/de/cbsnews.146271.conllu#s31_0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</si>
  <si>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</si>
  <si>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</si>
  <si>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</si>
  <si>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</si>
  <si>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</si>
  <si>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</si>
  <si>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</si>
  <si>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</si>
  <si>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</si>
  <si>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</si>
  <si>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</si>
  <si>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Mutter eines 6-Jährigen mit Mikrozephalie: "Es wird besser"</t>
  </si>
  <si>
    <t>Mutter</t>
  </si>
  <si>
    <t>SBJ</t>
  </si>
  <si>
    <t>indef-np.bare</t>
  </si>
  <si>
    <t>eines</t>
  </si>
  <si>
    <t>Jährigen</t>
  </si>
  <si>
    <t>other</t>
  </si>
  <si>
    <t>indef-np.a</t>
  </si>
  <si>
    <t>mit</t>
  </si>
  <si>
    <t>Mikrozephalie</t>
  </si>
  <si>
    <t>:</t>
  </si>
  <si>
    <t>&amp;quot;</t>
  </si>
  <si>
    <t>Es</t>
  </si>
  <si>
    <t>wird</t>
  </si>
  <si>
    <t>besser</t>
  </si>
  <si>
    <t># text = Wie die meisten 6-Jährigen liebt Edmund Picciuto das Singen, Spielzeuge und natürlich seine Mutter.</t>
  </si>
  <si>
    <t>Wie</t>
  </si>
  <si>
    <t>die</t>
  </si>
  <si>
    <t>meisten</t>
  </si>
  <si>
    <t>-Jährigen</t>
  </si>
  <si>
    <t>def-np.quant</t>
  </si>
  <si>
    <t>?OLD</t>
  </si>
  <si>
    <t>liebt</t>
  </si>
  <si>
    <t>Edmund</t>
  </si>
  <si>
    <t>ne</t>
  </si>
  <si>
    <t>Picciuto</t>
  </si>
  <si>
    <t>das</t>
  </si>
  <si>
    <t>Singen</t>
  </si>
  <si>
    <t>OBJ</t>
  </si>
  <si>
    <t>def-np.the</t>
  </si>
  <si>
    <t>,</t>
  </si>
  <si>
    <t>Spielzeuge</t>
  </si>
  <si>
    <t>other_2</t>
  </si>
  <si>
    <t>und</t>
  </si>
  <si>
    <t>natürlich</t>
  </si>
  <si>
    <t>seine</t>
  </si>
  <si>
    <t>indef-np</t>
  </si>
  <si>
    <t>.</t>
  </si>
  <si>
    <t># text = Aber wie die wenigsten seiner Altergenossen hat Edmund Mikrozephalie, das Ergebnis einer genetischen Störung, über die seine Mutter Elizabeth Picciuto während ihrer Schwangerschaft nichts wusste.</t>
  </si>
  <si>
    <t>Aber</t>
  </si>
  <si>
    <t>wie</t>
  </si>
  <si>
    <t>wenigsten</t>
  </si>
  <si>
    <t>seiner</t>
  </si>
  <si>
    <t>other_3</t>
  </si>
  <si>
    <t>pron.pper</t>
  </si>
  <si>
    <t>Altergenossen</t>
  </si>
  <si>
    <t>hat</t>
  </si>
  <si>
    <t>Ergebnis</t>
  </si>
  <si>
    <t>einer</t>
  </si>
  <si>
    <t>genetischen</t>
  </si>
  <si>
    <t>Störung</t>
  </si>
  <si>
    <t>über</t>
  </si>
  <si>
    <t>pron</t>
  </si>
  <si>
    <t>SBJ_3</t>
  </si>
  <si>
    <t>Elizabeth</t>
  </si>
  <si>
    <t>other_4</t>
  </si>
  <si>
    <t>während</t>
  </si>
  <si>
    <t>ihrer</t>
  </si>
  <si>
    <t>Schwangerschaft</t>
  </si>
  <si>
    <t>nichts</t>
  </si>
  <si>
    <t>OBJ_3</t>
  </si>
  <si>
    <t>wusste</t>
  </si>
  <si>
    <t># text = Als er das erste Mal nach Hause kam, war mein erster Gedanke, Ich schaffe das nicht.</t>
  </si>
  <si>
    <t>Als</t>
  </si>
  <si>
    <t>er</t>
  </si>
  <si>
    <t>SBJ_2</t>
  </si>
  <si>
    <t>erste</t>
  </si>
  <si>
    <t>Mal</t>
  </si>
  <si>
    <t>nach</t>
  </si>
  <si>
    <t>Hause</t>
  </si>
  <si>
    <t>kam</t>
  </si>
  <si>
    <t>war</t>
  </si>
  <si>
    <t>mein</t>
  </si>
  <si>
    <t>pron.ppos</t>
  </si>
  <si>
    <t>erster</t>
  </si>
  <si>
    <t>Gedanke</t>
  </si>
  <si>
    <t>Ich</t>
  </si>
  <si>
    <t>schaffe</t>
  </si>
  <si>
    <t>nicht</t>
  </si>
  <si>
    <t># text = Ich schaffe das nicht.</t>
  </si>
  <si>
    <t># text = Darauf habe ich mich nicht eingelassen.</t>
  </si>
  <si>
    <t>Darauf</t>
  </si>
  <si>
    <t>habe</t>
  </si>
  <si>
    <t>ich</t>
  </si>
  <si>
    <t>mich</t>
  </si>
  <si>
    <t>eingelassen</t>
  </si>
  <si>
    <t>--</t>
  </si>
  <si>
    <t># text = Was überhaupt nicht stimmt -- natürlich hat man sich darauf eingelassen,\" sagte sie.</t>
  </si>
  <si>
    <t>Was</t>
  </si>
  <si>
    <t>überhaupt</t>
  </si>
  <si>
    <t>stimmt</t>
  </si>
  <si>
    <t>man</t>
  </si>
  <si>
    <t>pron.pind</t>
  </si>
  <si>
    <t>sich</t>
  </si>
  <si>
    <t>darauf</t>
  </si>
  <si>
    <t>sagte</t>
  </si>
  <si>
    <t>sie</t>
  </si>
  <si>
    <t># text = Ihrem Ehemann Vincent und ihr wurde mitgeteilt, dass Edmund sie unter Umständen nie erkennen wird können und, dass er möglicherweise nicht einmal überleben wird.</t>
  </si>
  <si>
    <t>Ihrem</t>
  </si>
  <si>
    <t>Vincent</t>
  </si>
  <si>
    <t>ihr</t>
  </si>
  <si>
    <t>OBJ_2</t>
  </si>
  <si>
    <t>wurde</t>
  </si>
  <si>
    <t>mitgeteilt</t>
  </si>
  <si>
    <t>dass</t>
  </si>
  <si>
    <t>unter</t>
  </si>
  <si>
    <t>Umständen</t>
  </si>
  <si>
    <t>nie</t>
  </si>
  <si>
    <t>erkennen</t>
  </si>
  <si>
    <t>können</t>
  </si>
  <si>
    <t>SBJ_4</t>
  </si>
  <si>
    <t>möglicherweise</t>
  </si>
  <si>
    <t>einmal</t>
  </si>
  <si>
    <t>überleben</t>
  </si>
  <si>
    <t># text = Manche Ärzte gingen sogar so weit, dass sie vorschlugen, ihn zu institutionalisieren.</t>
  </si>
  <si>
    <t>Manche</t>
  </si>
  <si>
    <t>Ärzte</t>
  </si>
  <si>
    <t>indef-np.quant</t>
  </si>
  <si>
    <t>gingen</t>
  </si>
  <si>
    <t>sogar</t>
  </si>
  <si>
    <t>so</t>
  </si>
  <si>
    <t>weit</t>
  </si>
  <si>
    <t>vorschlugen</t>
  </si>
  <si>
    <t>ihn</t>
  </si>
  <si>
    <t>zu</t>
  </si>
  <si>
    <t>institutionalisieren</t>
  </si>
  <si>
    <t># text = "Meine erste Antwort darauf war 'Ich wusste nicht, dass das Leute noch immer machen,'" erklärte Picciuto.</t>
  </si>
  <si>
    <t>Meine</t>
  </si>
  <si>
    <t>Antwort</t>
  </si>
  <si>
    <t>'</t>
  </si>
  <si>
    <t>Leute</t>
  </si>
  <si>
    <t>noch</t>
  </si>
  <si>
    <t>immer</t>
  </si>
  <si>
    <t>erklärte</t>
  </si>
  <si>
    <t># text = Edmund kann mit Hilfe einer Gehhilfe laufen.</t>
  </si>
  <si>
    <t>kann</t>
  </si>
  <si>
    <t>Hilfe</t>
  </si>
  <si>
    <t>Gehhilfe</t>
  </si>
  <si>
    <t># text = Edmund konnte bis zu seinem dritten Lebensjahr weder sitzen noch krabbeln und er kann noch immer nicht sprechen.</t>
  </si>
  <si>
    <t>konnte</t>
  </si>
  <si>
    <t>bis</t>
  </si>
  <si>
    <t>seinem</t>
  </si>
  <si>
    <t>dritten</t>
  </si>
  <si>
    <t>Lebensjahr</t>
  </si>
  <si>
    <t>weder</t>
  </si>
  <si>
    <t>sitzen</t>
  </si>
  <si>
    <t>sprechen</t>
  </si>
  <si>
    <t># text = Aber er macht langsam Fortschritte.</t>
  </si>
  <si>
    <t>macht</t>
  </si>
  <si>
    <t>langsam</t>
  </si>
  <si>
    <t>Fortschritte</t>
  </si>
  <si>
    <t># text = Er kann mit Unterstützung laufen und Fahrradfahren.</t>
  </si>
  <si>
    <t>Er</t>
  </si>
  <si>
    <t>Unterstützung</t>
  </si>
  <si>
    <t>Fahrradfahren</t>
  </si>
  <si>
    <t># text = Er liebt es auch, mit seinen zwei Brüdern zu spielen und zu singen.</t>
  </si>
  <si>
    <t>es</t>
  </si>
  <si>
    <t>auch</t>
  </si>
  <si>
    <t>seinen</t>
  </si>
  <si>
    <t>zwei</t>
  </si>
  <si>
    <t>Brüdern</t>
  </si>
  <si>
    <t>spielen</t>
  </si>
  <si>
    <t>singen</t>
  </si>
  <si>
    <t># text = Elizabeth zeigt die Zeichensprache, die sich Edmund für "Bitte sing mir etwas vor" ausgedacht hat."</t>
  </si>
  <si>
    <t>zeigt</t>
  </si>
  <si>
    <t>Zeichensprache</t>
  </si>
  <si>
    <t>für</t>
  </si>
  <si>
    <t>Bitte</t>
  </si>
  <si>
    <t>sing</t>
  </si>
  <si>
    <t>mir</t>
  </si>
  <si>
    <t>etwas</t>
  </si>
  <si>
    <t>vor</t>
  </si>
  <si>
    <t>ausgedacht</t>
  </si>
  <si>
    <t># text = \"Wir bringen ihm Zeichensprache bei,\" erzählte Picciuto CBS News.</t>
  </si>
  <si>
    <t>Wir</t>
  </si>
  <si>
    <t>ihm</t>
  </si>
  <si>
    <t>bei</t>
  </si>
  <si>
    <t>erzählte</t>
  </si>
  <si>
    <t>CBS</t>
  </si>
  <si>
    <t>News</t>
  </si>
  <si>
    <t># text = Aber es ist keine typische Zeichensprache -- sagt sie.</t>
  </si>
  <si>
    <t>ist</t>
  </si>
  <si>
    <t>keine</t>
  </si>
  <si>
    <t>typische</t>
  </si>
  <si>
    <t>sagt</t>
  </si>
  <si>
    <t># text = Edmund hat einige Zeichen alleine erfunden.</t>
  </si>
  <si>
    <t>einige</t>
  </si>
  <si>
    <t>Zeichen</t>
  </si>
  <si>
    <t>alleine</t>
  </si>
  <si>
    <t>erfunden</t>
  </si>
  <si>
    <t># text = Mikrozephalie hat eine Vielzahl an Ursachen: genetische wie bei Edmund sowie Infektionen mit Viren wie Masern oder dem Zikavirus während der Schwangerschaft.</t>
  </si>
  <si>
    <t>eine</t>
  </si>
  <si>
    <t>Vielzahl</t>
  </si>
  <si>
    <t>an</t>
  </si>
  <si>
    <t>Ursachen</t>
  </si>
  <si>
    <t>genetische</t>
  </si>
  <si>
    <t>sowie</t>
  </si>
  <si>
    <t>Infektionen</t>
  </si>
  <si>
    <t>Viren</t>
  </si>
  <si>
    <t>Masern</t>
  </si>
  <si>
    <t>other_5</t>
  </si>
  <si>
    <t>oder</t>
  </si>
  <si>
    <t>dem</t>
  </si>
  <si>
    <t>Zikavirus</t>
  </si>
  <si>
    <t>other_6</t>
  </si>
  <si>
    <t>der</t>
  </si>
  <si>
    <t># text = Die Symptome und Prognosen können stark variieren.</t>
  </si>
  <si>
    <t>Die</t>
  </si>
  <si>
    <t>Symptome</t>
  </si>
  <si>
    <t>Prognosen</t>
  </si>
  <si>
    <t>stark</t>
  </si>
  <si>
    <t># text = Es ist noch zu früh zu sagen, wie es das Leben der mit dem Zikavirus Infizierten beeinflussen wird.</t>
  </si>
  <si>
    <t>früh</t>
  </si>
  <si>
    <t>Leben</t>
  </si>
  <si>
    <t>Infizierten</t>
  </si>
  <si>
    <t>beeinflussen</t>
  </si>
  <si>
    <t># text = Picciuto erinnert sich an den emotionalen Preis einer ungewissen Zukunft.</t>
  </si>
  <si>
    <t>erinnert</t>
  </si>
  <si>
    <t>den</t>
  </si>
  <si>
    <t>emotionalen</t>
  </si>
  <si>
    <t>Preis</t>
  </si>
  <si>
    <t>ungewissen</t>
  </si>
  <si>
    <t>Zukunft</t>
  </si>
  <si>
    <t># text = Ich fragte ständig, was wird geschehen?</t>
  </si>
  <si>
    <t>fragte</t>
  </si>
  <si>
    <t>ständig</t>
  </si>
  <si>
    <t>was</t>
  </si>
  <si>
    <t>?</t>
  </si>
  <si>
    <t># text = Was wird geschehen?</t>
  </si>
  <si>
    <t># text = Und sie weiß es noch immer nicht wirklich.</t>
  </si>
  <si>
    <t>Und</t>
  </si>
  <si>
    <t>weiß</t>
  </si>
  <si>
    <t>wirklich</t>
  </si>
  <si>
    <t># text = Ich habe schon seit langer Zeit nicht mehr nach der Prognose gefragt, weil ich nicht erwarte, dass sie mir jemand wirklich sagen kann.</t>
  </si>
  <si>
    <t>schon</t>
  </si>
  <si>
    <t>seit</t>
  </si>
  <si>
    <t>langer</t>
  </si>
  <si>
    <t>Zeit</t>
  </si>
  <si>
    <t>mehr</t>
  </si>
  <si>
    <t>Prognose</t>
  </si>
  <si>
    <t>gefragt</t>
  </si>
  <si>
    <t>weil</t>
  </si>
  <si>
    <t>erwarte</t>
  </si>
  <si>
    <t>jemand</t>
  </si>
  <si>
    <t># text = Aber Picciuto hat einen hoffnungsvollen Ratschlag für Mütter von Säuglingen mit Geburtsschäden, die durch den Zikavirus verursacht wurden.</t>
  </si>
  <si>
    <t>einen</t>
  </si>
  <si>
    <t>hoffnungsvollen</t>
  </si>
  <si>
    <t>Ratschlag</t>
  </si>
  <si>
    <t>Mütter</t>
  </si>
  <si>
    <t>von</t>
  </si>
  <si>
    <t>Säuglingen</t>
  </si>
  <si>
    <t>Geburtsschäden</t>
  </si>
  <si>
    <t>durch</t>
  </si>
  <si>
    <t>verursacht</t>
  </si>
  <si>
    <t>wurden</t>
  </si>
  <si>
    <t># text = Es wird besser.</t>
  </si>
  <si>
    <t># text = Sie wissen, dass es für Sie besser werden wird.</t>
  </si>
  <si>
    <t>Sie</t>
  </si>
  <si>
    <t># text = Sie werden Ihr Kind lieben und Ihr Kind wird Sie lieben.</t>
  </si>
  <si>
    <t>Ihr</t>
  </si>
  <si>
    <t>Kind</t>
  </si>
  <si>
    <t>edmund_picciuto</t>
  </si>
  <si>
    <t>mz</t>
  </si>
  <si>
    <t>GEN</t>
  </si>
  <si>
    <t>Antezedens</t>
  </si>
  <si>
    <t>altersgenossen_edmund</t>
  </si>
  <si>
    <t>ID, weil Antezedens</t>
  </si>
  <si>
    <t>BOUND</t>
  </si>
  <si>
    <t>genmutation</t>
  </si>
  <si>
    <t>elizabeth_picciuto</t>
  </si>
  <si>
    <t>schwangerschaft_elizabeth</t>
  </si>
  <si>
    <t>nicht_eingelassen</t>
  </si>
  <si>
    <t>vincent</t>
  </si>
  <si>
    <t>eltern&gt;elizabeth_picciuto,vincent</t>
  </si>
  <si>
    <t>GROUP</t>
  </si>
  <si>
    <t>aerzte</t>
  </si>
  <si>
    <t>antezedens</t>
  </si>
  <si>
    <t>kein auto_ref</t>
  </si>
  <si>
    <t>EXPL</t>
  </si>
  <si>
    <t>zeichensprache</t>
  </si>
  <si>
    <t>eltern</t>
  </si>
  <si>
    <t>OLD</t>
  </si>
  <si>
    <t>artikel</t>
  </si>
  <si>
    <t>zikavirus</t>
  </si>
  <si>
    <t>symptome_prognosen_mz</t>
  </si>
  <si>
    <t>NEW</t>
  </si>
  <si>
    <t>IDIOM</t>
  </si>
  <si>
    <t>zukunft_edmund</t>
  </si>
  <si>
    <t>prognose_edmund</t>
  </si>
  <si>
    <t>muetter_zikavirus_babys</t>
  </si>
  <si>
    <t>zikavirus_babys</t>
  </si>
  <si>
    <t>FAMILIAR</t>
  </si>
  <si>
    <t>FOCUS</t>
  </si>
  <si>
    <t>ACTIVATED</t>
  </si>
  <si>
    <t>UNIQUE</t>
  </si>
  <si>
    <t>vorschlag_aerzte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</si>
</sst>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>
      <pane xSplit="5" ySplit="1" topLeftCell="G36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32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26</v>
      </c>
      <c r="B5" s="6" t="s">
        <v>27</v>
      </c>
      <c r="C5" s="6" t="s">
        <v>12</v>
      </c>
      <c r="D5" s="7" t="s">
        <v>28</v>
      </c>
      <c r="E5" s="8" t="s">
        <v>29</v>
      </c>
      <c r="F5" s="6" t="s">
        <v>30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31</v>
      </c>
      <c r="B6" s="6" t="s">
        <v>16</v>
      </c>
      <c r="C6" s="6" t="s">
        <v>12</v>
      </c>
      <c r="D6" s="7" t="s">
        <v>32</v>
      </c>
      <c r="E6" s="8" t="s">
        <v>33</v>
      </c>
      <c r="F6" s="6" t="s">
        <v>34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17</v>
      </c>
      <c r="B7" s="6" t="s">
        <v>17</v>
      </c>
      <c r="C7" s="6" t="s">
        <v>12</v>
      </c>
      <c r="D7" s="7" t="s">
        <v>35</v>
      </c>
      <c r="E7" s="8" t="s">
        <v>36</v>
      </c>
      <c r="F7" s="6" t="s">
        <v>37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22</v>
      </c>
      <c r="B8" s="6" t="s">
        <v>22</v>
      </c>
      <c r="C8" s="6" t="s">
        <v>12</v>
      </c>
      <c r="D8" s="7" t="s">
        <v>23</v>
      </c>
      <c r="E8" s="8" t="s">
        <v>38</v>
      </c>
      <c r="F8" s="6" t="s">
        <v>39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40</v>
      </c>
      <c r="B9" s="6" t="s">
        <v>16</v>
      </c>
      <c r="C9" s="6" t="s">
        <v>12</v>
      </c>
      <c r="D9" s="7" t="s">
        <v>41</v>
      </c>
      <c r="E9" s="8" t="s">
        <v>42</v>
      </c>
      <c r="F9" s="6" t="s">
        <v>43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44</v>
      </c>
      <c r="B10" s="6" t="s">
        <v>21</v>
      </c>
      <c r="C10" s="6" t="s">
        <v>12</v>
      </c>
      <c r="D10" s="7" t="s">
        <v>45</v>
      </c>
      <c r="E10" s="8" t="s">
        <v>46</v>
      </c>
      <c r="F10" s="6" t="s">
        <v>47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27</v>
      </c>
      <c r="B11" s="6" t="s">
        <v>48</v>
      </c>
      <c r="C11" s="6" t="s">
        <v>12</v>
      </c>
      <c r="D11" s="7" t="s">
        <v>49</v>
      </c>
      <c r="E11" s="8" t="s">
        <v>50</v>
      </c>
      <c r="F11" s="6" t="s">
        <v>51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52</v>
      </c>
      <c r="B12" s="6" t="s">
        <v>22</v>
      </c>
      <c r="C12" s="6" t="s">
        <v>12</v>
      </c>
      <c r="D12" s="7" t="s">
        <v>53</v>
      </c>
      <c r="E12" s="8" t="s">
        <v>54</v>
      </c>
      <c r="F12" s="6" t="s">
        <v>55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11</v>
      </c>
      <c r="B13" s="6" t="s">
        <v>52</v>
      </c>
      <c r="C13" s="6" t="s">
        <v>12</v>
      </c>
      <c r="D13" s="7" t="s">
        <v>56</v>
      </c>
      <c r="E13" s="8" t="s">
        <v>57</v>
      </c>
      <c r="F13" s="6" t="s">
        <v>58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59</v>
      </c>
      <c r="B14" s="6" t="s">
        <v>21</v>
      </c>
      <c r="C14" s="6" t="s">
        <v>12</v>
      </c>
      <c r="D14" s="7" t="s">
        <v>60</v>
      </c>
      <c r="E14" s="8" t="s">
        <v>61</v>
      </c>
      <c r="F14" s="6" t="s">
        <v>62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63</v>
      </c>
      <c r="B15" s="6" t="s">
        <v>31</v>
      </c>
      <c r="C15" s="6" t="s">
        <v>12</v>
      </c>
      <c r="D15" s="7" t="s">
        <v>53</v>
      </c>
      <c r="E15" s="8" t="s">
        <v>64</v>
      </c>
      <c r="F15" s="6" t="s">
        <v>65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66</v>
      </c>
      <c r="B16" s="6" t="s">
        <v>16</v>
      </c>
      <c r="C16" s="6" t="s">
        <v>12</v>
      </c>
      <c r="D16" s="7" t="s">
        <v>18</v>
      </c>
      <c r="E16" s="8" t="s">
        <v>67</v>
      </c>
      <c r="F16" s="6" t="s">
        <v>68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69</v>
      </c>
      <c r="B17" s="6" t="s">
        <v>16</v>
      </c>
      <c r="C17" s="6" t="s">
        <v>12</v>
      </c>
      <c r="D17" s="7" t="s">
        <v>70</v>
      </c>
      <c r="E17" s="8" t="s">
        <v>71</v>
      </c>
      <c r="F17" s="6" t="s">
        <v>72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73</v>
      </c>
      <c r="B18" s="6" t="s">
        <v>21</v>
      </c>
      <c r="C18" s="6" t="s">
        <v>12</v>
      </c>
      <c r="D18" s="7" t="s">
        <v>74</v>
      </c>
      <c r="E18" s="8" t="s">
        <v>75</v>
      </c>
      <c r="F18" s="6" t="s">
        <v>76</v>
      </c>
      <c r="G18" s="9" t="str">
        <f t="shared" si="0"/>
        <v>???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77</v>
      </c>
      <c r="B19" s="6" t="s">
        <v>40</v>
      </c>
      <c r="C19" s="6" t="s">
        <v>12</v>
      </c>
      <c r="D19" s="7" t="s">
        <v>78</v>
      </c>
      <c r="E19" s="8" t="s">
        <v>79</v>
      </c>
      <c r="F19" s="6" t="s">
        <v>80</v>
      </c>
      <c r="G19" s="9" t="str">
        <f t="shared" si="0"/>
        <v>???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81</v>
      </c>
      <c r="B20" s="6" t="s">
        <v>17</v>
      </c>
      <c r="C20" s="6" t="s">
        <v>12</v>
      </c>
      <c r="D20" s="7" t="s">
        <v>82</v>
      </c>
      <c r="E20" s="8" t="s">
        <v>83</v>
      </c>
      <c r="F20" s="6" t="s">
        <v>84</v>
      </c>
      <c r="G20" s="9" t="str">
        <f t="shared" si="0"/>
        <v>???</v>
      </c>
      <c r="H20" s="10" t="s">
        <v>12</v>
      </c>
      <c r="I20" s="11" t="s">
        <v>12</v>
      </c>
      <c r="J20" s="12"/>
    </row>
    <row r="21" spans="1:10" ht="60" customHeight="1" x14ac:dyDescent="0.3">
      <c r="A21" s="6" t="s">
        <v>85</v>
      </c>
      <c r="B21" s="6" t="s">
        <v>16</v>
      </c>
      <c r="C21" s="6" t="s">
        <v>12</v>
      </c>
      <c r="D21" s="7" t="s">
        <v>23</v>
      </c>
      <c r="E21" s="8" t="s">
        <v>86</v>
      </c>
      <c r="F21" s="6" t="s">
        <v>87</v>
      </c>
      <c r="G21" s="9" t="str">
        <f t="shared" si="0"/>
        <v>???</v>
      </c>
      <c r="H21" s="10" t="s">
        <v>12</v>
      </c>
      <c r="I21" s="11" t="s">
        <v>12</v>
      </c>
      <c r="J21" s="12"/>
    </row>
    <row r="22" spans="1:10" ht="60" customHeight="1" x14ac:dyDescent="0.3">
      <c r="A22" s="6" t="s">
        <v>48</v>
      </c>
      <c r="B22" s="6" t="s">
        <v>22</v>
      </c>
      <c r="C22" s="6" t="s">
        <v>12</v>
      </c>
      <c r="D22" s="7" t="s">
        <v>88</v>
      </c>
      <c r="E22" s="8" t="s">
        <v>89</v>
      </c>
      <c r="F22" s="6" t="s">
        <v>90</v>
      </c>
      <c r="G22" s="9" t="str">
        <f t="shared" si="0"/>
        <v>???</v>
      </c>
      <c r="H22" s="10" t="s">
        <v>12</v>
      </c>
      <c r="I22" s="11" t="s">
        <v>12</v>
      </c>
      <c r="J22" s="12"/>
    </row>
    <row r="23" spans="1:10" ht="60" customHeight="1" x14ac:dyDescent="0.3">
      <c r="A23" s="6" t="s">
        <v>91</v>
      </c>
      <c r="B23" s="6" t="s">
        <v>16</v>
      </c>
      <c r="C23" s="6" t="s">
        <v>12</v>
      </c>
      <c r="D23" s="7" t="s">
        <v>92</v>
      </c>
      <c r="E23" s="8" t="s">
        <v>93</v>
      </c>
      <c r="F23" s="6" t="s">
        <v>94</v>
      </c>
      <c r="G23" s="9" t="str">
        <f t="shared" si="0"/>
        <v>???</v>
      </c>
      <c r="H23" s="10" t="s">
        <v>12</v>
      </c>
      <c r="I23" s="11" t="s">
        <v>12</v>
      </c>
      <c r="J23" s="12"/>
    </row>
    <row r="24" spans="1:10" ht="60" customHeight="1" x14ac:dyDescent="0.3">
      <c r="A24" s="6" t="s">
        <v>95</v>
      </c>
      <c r="B24" s="6" t="s">
        <v>16</v>
      </c>
      <c r="C24" s="6" t="s">
        <v>12</v>
      </c>
      <c r="D24" s="7" t="s">
        <v>96</v>
      </c>
      <c r="E24" s="8" t="s">
        <v>97</v>
      </c>
      <c r="F24" s="6" t="s">
        <v>98</v>
      </c>
      <c r="G24" s="9" t="str">
        <f t="shared" si="0"/>
        <v>???</v>
      </c>
      <c r="H24" s="10" t="s">
        <v>12</v>
      </c>
      <c r="I24" s="11" t="s">
        <v>12</v>
      </c>
      <c r="J24" s="12"/>
    </row>
    <row r="25" spans="1:10" ht="60" customHeight="1" x14ac:dyDescent="0.3">
      <c r="A25" s="6" t="s">
        <v>99</v>
      </c>
      <c r="B25" s="6" t="s">
        <v>16</v>
      </c>
      <c r="C25" s="6" t="s">
        <v>100</v>
      </c>
      <c r="D25" s="7" t="s">
        <v>101</v>
      </c>
      <c r="E25" s="8" t="s">
        <v>102</v>
      </c>
      <c r="F25" s="6" t="s">
        <v>103</v>
      </c>
      <c r="G25" s="9" t="str">
        <f t="shared" si="0"/>
        <v>Was?</v>
      </c>
      <c r="H25" s="10" t="s">
        <v>12</v>
      </c>
      <c r="I25" s="11" t="s">
        <v>12</v>
      </c>
      <c r="J25" s="12"/>
    </row>
    <row r="26" spans="1:10" ht="60" customHeight="1" x14ac:dyDescent="0.3">
      <c r="A26" s="6" t="s">
        <v>104</v>
      </c>
      <c r="B26" s="6" t="s">
        <v>21</v>
      </c>
      <c r="C26" s="6" t="s">
        <v>100</v>
      </c>
      <c r="D26" s="7" t="s">
        <v>105</v>
      </c>
      <c r="E26" s="8" t="s">
        <v>106</v>
      </c>
      <c r="F26" s="6" t="s">
        <v>107</v>
      </c>
      <c r="G26" s="9" t="str">
        <f t="shared" si="0"/>
        <v>Was?</v>
      </c>
      <c r="H26" s="10" t="s">
        <v>12</v>
      </c>
      <c r="I26" s="11" t="s">
        <v>12</v>
      </c>
      <c r="J26" s="12"/>
    </row>
    <row r="27" spans="1:10" ht="60" customHeight="1" x14ac:dyDescent="0.3">
      <c r="A27" s="6" t="s">
        <v>108</v>
      </c>
      <c r="B27" s="6" t="s">
        <v>21</v>
      </c>
      <c r="C27" s="6" t="s">
        <v>12</v>
      </c>
      <c r="D27" s="7" t="s">
        <v>109</v>
      </c>
      <c r="E27" s="8" t="s">
        <v>110</v>
      </c>
      <c r="F27" s="6" t="s">
        <v>111</v>
      </c>
      <c r="G27" s="9" t="str">
        <f t="shared" si="0"/>
        <v>???</v>
      </c>
      <c r="H27" s="10" t="s">
        <v>12</v>
      </c>
      <c r="I27" s="11" t="s">
        <v>12</v>
      </c>
      <c r="J27" s="12"/>
    </row>
    <row r="28" spans="1:10" ht="60" customHeight="1" x14ac:dyDescent="0.3">
      <c r="A28" s="6" t="s">
        <v>112</v>
      </c>
      <c r="B28" s="6" t="s">
        <v>11</v>
      </c>
      <c r="C28" s="6" t="s">
        <v>12</v>
      </c>
      <c r="D28" s="7" t="s">
        <v>101</v>
      </c>
      <c r="E28" s="8" t="s">
        <v>113</v>
      </c>
      <c r="F28" s="6" t="s">
        <v>114</v>
      </c>
      <c r="G28" s="9" t="str">
        <f t="shared" si="0"/>
        <v>???</v>
      </c>
      <c r="H28" s="10" t="s">
        <v>12</v>
      </c>
      <c r="I28" s="11" t="s">
        <v>12</v>
      </c>
      <c r="J28" s="12"/>
    </row>
    <row r="29" spans="1:10" ht="60" customHeight="1" x14ac:dyDescent="0.3">
      <c r="A29" s="6" t="s">
        <v>115</v>
      </c>
      <c r="B29" s="6" t="s">
        <v>21</v>
      </c>
      <c r="C29" s="6" t="s">
        <v>12</v>
      </c>
      <c r="D29" s="7" t="s">
        <v>23</v>
      </c>
      <c r="E29" s="8" t="s">
        <v>116</v>
      </c>
      <c r="F29" s="6" t="s">
        <v>117</v>
      </c>
      <c r="G29" s="9" t="str">
        <f t="shared" si="0"/>
        <v>???</v>
      </c>
      <c r="H29" s="10" t="s">
        <v>12</v>
      </c>
      <c r="I29" s="11" t="s">
        <v>12</v>
      </c>
      <c r="J29" s="12"/>
    </row>
    <row r="30" spans="1:10" ht="60" customHeight="1" x14ac:dyDescent="0.3">
      <c r="A30" s="6" t="s">
        <v>118</v>
      </c>
      <c r="B30" s="6" t="s">
        <v>16</v>
      </c>
      <c r="C30" s="6" t="s">
        <v>12</v>
      </c>
      <c r="D30" s="7" t="s">
        <v>119</v>
      </c>
      <c r="E30" s="8" t="s">
        <v>120</v>
      </c>
      <c r="F30" s="6" t="s">
        <v>121</v>
      </c>
      <c r="G30" s="9" t="str">
        <f t="shared" si="0"/>
        <v>???</v>
      </c>
      <c r="H30" s="10" t="s">
        <v>12</v>
      </c>
      <c r="I30" s="11" t="s">
        <v>12</v>
      </c>
      <c r="J30" s="12"/>
    </row>
    <row r="31" spans="1:10" ht="60" customHeight="1" x14ac:dyDescent="0.3">
      <c r="A31" s="6" t="s">
        <v>122</v>
      </c>
      <c r="B31" s="6" t="s">
        <v>16</v>
      </c>
      <c r="C31" s="6" t="s">
        <v>12</v>
      </c>
      <c r="D31" s="7" t="s">
        <v>109</v>
      </c>
      <c r="E31" s="8" t="s">
        <v>123</v>
      </c>
      <c r="F31" s="6" t="s">
        <v>124</v>
      </c>
      <c r="G31" s="9" t="str">
        <f t="shared" si="0"/>
        <v>???</v>
      </c>
      <c r="H31" s="10" t="s">
        <v>12</v>
      </c>
      <c r="I31" s="11" t="s">
        <v>12</v>
      </c>
      <c r="J31" s="12"/>
    </row>
    <row r="32" spans="1:10" ht="60" customHeight="1" x14ac:dyDescent="0.3">
      <c r="A32" s="6" t="s">
        <v>125</v>
      </c>
      <c r="B32" s="6" t="s">
        <v>31</v>
      </c>
      <c r="C32" s="6" t="s">
        <v>12</v>
      </c>
      <c r="D32" s="7" t="s">
        <v>18</v>
      </c>
      <c r="E32" s="8" t="s">
        <v>126</v>
      </c>
      <c r="F32" s="6" t="s">
        <v>127</v>
      </c>
      <c r="G32" s="9" t="str">
        <f t="shared" si="0"/>
        <v>???</v>
      </c>
      <c r="H32" s="10" t="s">
        <v>12</v>
      </c>
      <c r="I32" s="11" t="s">
        <v>12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9"/>
  <sheetViews>
    <sheetView tabSelected="1" workbookViewId="0">
      <pane xSplit="1" ySplit="1" topLeftCell="B478" activePane="bottomRight" state="frozen"/>
      <selection pane="topRight" activeCell="B1" sqref="B1"/>
      <selection pane="bottomLeft" activeCell="A2" sqref="A2"/>
      <selection pane="bottomRight" activeCell="L497" sqref="L497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128</v>
      </c>
      <c r="B1" s="13" t="s">
        <v>129</v>
      </c>
      <c r="C1" s="13" t="s">
        <v>130</v>
      </c>
      <c r="D1" s="13" t="s">
        <v>131</v>
      </c>
      <c r="E1" s="14" t="s">
        <v>132</v>
      </c>
      <c r="F1" s="15" t="s">
        <v>133</v>
      </c>
      <c r="G1" s="16" t="s">
        <v>134</v>
      </c>
      <c r="H1" s="17" t="s">
        <v>135</v>
      </c>
      <c r="I1" s="18" t="s">
        <v>136</v>
      </c>
      <c r="J1" s="18" t="s">
        <v>137</v>
      </c>
      <c r="K1" s="18" t="s">
        <v>138</v>
      </c>
      <c r="L1" s="19" t="s">
        <v>9</v>
      </c>
    </row>
    <row r="2" spans="1:12" x14ac:dyDescent="0.3">
      <c r="A2" t="s">
        <v>139</v>
      </c>
    </row>
    <row r="3" spans="1:12" x14ac:dyDescent="0.3">
      <c r="A3" t="s">
        <v>140</v>
      </c>
      <c r="B3" s="20" t="s">
        <v>141</v>
      </c>
      <c r="C3" s="20" t="s">
        <v>142</v>
      </c>
      <c r="E3" s="21" t="s">
        <v>408</v>
      </c>
      <c r="F3" s="22" t="str">
        <f>IF(OR(E3="",E3="!!!"),"",IF(NOT(ISNA(VLOOKUP(E3,E$1:E2,1,FALSE()))),"OLD",IF(AND(E3&lt;&gt;"",E3&lt;&gt;"!!!"),"NEW","")))</f>
        <v>NEW</v>
      </c>
      <c r="G3" s="23" t="s">
        <v>133</v>
      </c>
      <c r="H3" s="24" t="str">
        <f t="shared" ref="H3:H15" ca="1" si="0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 t="s">
        <v>403</v>
      </c>
    </row>
    <row r="4" spans="1:12" x14ac:dyDescent="0.3">
      <c r="A4" t="s">
        <v>143</v>
      </c>
      <c r="E4" s="21" t="str">
        <f t="shared" ref="E3:E15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17</v>
      </c>
      <c r="E5" s="21" t="str">
        <f t="shared" si="1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12</v>
      </c>
      <c r="E6" s="21" t="str">
        <f t="shared" si="1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144</v>
      </c>
      <c r="B7" s="20" t="s">
        <v>145</v>
      </c>
      <c r="C7" s="20" t="s">
        <v>146</v>
      </c>
      <c r="E7" s="21" t="s">
        <v>400</v>
      </c>
      <c r="F7" s="22" t="str">
        <f>IF(OR(E7="",E7="!!!"),"",IF(NOT(ISNA(VLOOKUP(E7,E$1:E6,1,FALSE()))),"OLD",IF(AND(E7&lt;&gt;"",E7&lt;&gt;"!!!"),"NEW","")))</f>
        <v>NEW</v>
      </c>
      <c r="G7" s="23" t="s">
        <v>133</v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 t="s">
        <v>403</v>
      </c>
    </row>
    <row r="8" spans="1:12" x14ac:dyDescent="0.3">
      <c r="A8" t="s">
        <v>147</v>
      </c>
      <c r="E8" s="21" t="str">
        <f t="shared" si="1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148</v>
      </c>
      <c r="B9" s="20" t="s">
        <v>145</v>
      </c>
      <c r="C9" s="20" t="s">
        <v>142</v>
      </c>
      <c r="E9" s="21" t="s">
        <v>401</v>
      </c>
      <c r="F9" s="22" t="s">
        <v>402</v>
      </c>
      <c r="G9" s="23" t="s">
        <v>430</v>
      </c>
      <c r="H9" s="24" t="str">
        <f t="shared" ca="1" si="0"/>
        <v/>
      </c>
      <c r="I9" s="25" t="e">
        <f>IF(OR(E9="",E9="!!!",F9="NEW"),"",INDEX(B$2:B8,-1+SUMPRODUCT(MAX(ROW(E$2:E8)*(E9=E$2:E8)))))</f>
        <v>#VALUE!</v>
      </c>
      <c r="J9" s="25">
        <f ca="1">IF(OR(E9="",E9="!!!",F9="NEW"),"",COUNTBLANK(OFFSET(A$1,,,SUMPRODUCT(MAX(ROW(E$2:E9)*(E9=E$2:E9)))))-COUNTBLANK(OFFSET(A$1,,,SUMPRODUCT(MAX(ROW(E$1:E8)*(E2=E$1:E8))))))</f>
        <v>0</v>
      </c>
      <c r="K9" s="25" t="e">
        <f>IF(OR(E9="",E9="!!!",F9="NEW"),"",INDEX(J$1:J8,SUMPRODUCT(MAX(ROW(E$1:E8)*(E9=E$1:E8)))))</f>
        <v>#VALUE!</v>
      </c>
      <c r="L9" s="26" t="s">
        <v>403</v>
      </c>
    </row>
    <row r="10" spans="1:12" x14ac:dyDescent="0.3">
      <c r="A10" t="s">
        <v>149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150</v>
      </c>
      <c r="E11" s="21" t="str">
        <f t="shared" si="1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151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152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153</v>
      </c>
      <c r="E14" s="21" t="str">
        <f t="shared" si="1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150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7" spans="1:12" x14ac:dyDescent="0.3">
      <c r="A17" t="s">
        <v>154</v>
      </c>
    </row>
    <row r="18" spans="1:12" x14ac:dyDescent="0.3">
      <c r="A18" t="s">
        <v>155</v>
      </c>
      <c r="E18" s="21" t="str">
        <f t="shared" ref="E18:E34" si="2">IF(D18="?OLD","!!!","")</f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ref="H18:H34" ca="1" si="3">IF(J18&lt;&gt;1,"",IF(I18="SBJ","CB","?"))</f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156</v>
      </c>
      <c r="E19" s="21" t="str">
        <f t="shared" si="2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157</v>
      </c>
      <c r="E20" s="21" t="str">
        <f t="shared" si="2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17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158</v>
      </c>
      <c r="B22" s="20" t="s">
        <v>145</v>
      </c>
      <c r="C22" s="20" t="s">
        <v>159</v>
      </c>
      <c r="D22" s="20" t="s">
        <v>160</v>
      </c>
      <c r="E22" s="21" t="s">
        <v>404</v>
      </c>
      <c r="F22" s="22" t="s">
        <v>402</v>
      </c>
      <c r="G22" s="23"/>
      <c r="H22" s="24" t="str">
        <f t="shared" ca="1" si="3"/>
        <v/>
      </c>
      <c r="I22" s="25" t="e">
        <f>IF(OR(E22="",E22="!!!",F22="NEW"),"",INDEX(B$2:B21,-1+SUMPRODUCT(MAX(ROW(E$2:E21)*(E22=E$2:E21)))))</f>
        <v>#VALUE!</v>
      </c>
      <c r="J22" s="25">
        <f ca="1">IF(OR(E22="",E22="!!!",F22="NEW"),"",COUNTBLANK(OFFSET(A$1,,,SUMPRODUCT(MAX(ROW(E$2:E22)*(E22=E$2:E22)))))-COUNTBLANK(OFFSET(A$1,,,SUMPRODUCT(MAX(ROW(E$1:E21)*(E2=E$1:E21))))))</f>
        <v>0</v>
      </c>
      <c r="K22" s="25" t="e">
        <f>IF(OR(E22="",E22="!!!",F22="NEW"),"",INDEX(J$1:J21,SUMPRODUCT(MAX(ROW(E$1:E21)*(E22=E$1:E21)))))</f>
        <v>#VALUE!</v>
      </c>
      <c r="L22" s="26" t="s">
        <v>405</v>
      </c>
    </row>
    <row r="23" spans="1:12" x14ac:dyDescent="0.3">
      <c r="A23" t="s">
        <v>161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162</v>
      </c>
      <c r="B24" s="20" t="s">
        <v>141</v>
      </c>
      <c r="C24" s="20" t="s">
        <v>163</v>
      </c>
      <c r="D24" s="20" t="s">
        <v>160</v>
      </c>
      <c r="E24" s="21" t="s">
        <v>400</v>
      </c>
      <c r="F24" s="22" t="str">
        <f>IF(OR(E24="",E24="!!!"),"",IF(NOT(ISNA(VLOOKUP(E24,E$1:E23,1,FALSE()))),"OLD",IF(AND(E24&lt;&gt;"",E24&lt;&gt;"!!!"),"NEW","")))</f>
        <v>OLD</v>
      </c>
      <c r="G24" s="23" t="s">
        <v>432</v>
      </c>
      <c r="H24" s="24" t="str">
        <f t="shared" ca="1" si="3"/>
        <v/>
      </c>
      <c r="I24" s="25" t="str">
        <f>IF(OR(E24="",E24="!!!",F24="NEW"),"",INDEX(B$2:B23,-1+SUMPRODUCT(MAX(ROW(E$2:E23)*(E24=E$2:E23)))))</f>
        <v>other</v>
      </c>
      <c r="J24" s="25">
        <f ca="1">IF(OR(E24="",E24="!!!",F24="NEW"),"",COUNTBLANK(OFFSET(A$1,,,SUMPRODUCT(MAX(ROW(E$2:E24)*(E24=E$2:E24)))))-COUNTBLANK(OFFSET(A$1,,,SUMPRODUCT(MAX(ROW(E$1:E23)*(E2=E$1:E23))))))</f>
        <v>0</v>
      </c>
      <c r="K24" s="25" t="str">
        <f ca="1">IF(OR(E24="",E24="!!!",F24="NEW"),"",INDEX(J$1:J23,SUMPRODUCT(MAX(ROW(E$1:E23)*(E24=E$1:E23)))))</f>
        <v/>
      </c>
      <c r="L24" s="26"/>
    </row>
    <row r="25" spans="1:12" x14ac:dyDescent="0.3">
      <c r="A25" t="s">
        <v>164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165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166</v>
      </c>
      <c r="B27" s="20" t="s">
        <v>167</v>
      </c>
      <c r="C27" s="20" t="s">
        <v>168</v>
      </c>
      <c r="D27" s="20" t="s">
        <v>160</v>
      </c>
      <c r="E27" s="21"/>
      <c r="F27" s="22" t="s">
        <v>402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169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170</v>
      </c>
      <c r="B29" s="20" t="s">
        <v>171</v>
      </c>
      <c r="C29" s="20" t="s">
        <v>142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172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173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174</v>
      </c>
      <c r="E32" s="21" t="s">
        <v>400</v>
      </c>
      <c r="F32" s="22" t="str">
        <f>IF(OR(E32="",E32="!!!"),"",IF(NOT(ISNA(VLOOKUP(E32,E$1:E31,1,FALSE()))),"OLD",IF(AND(E32&lt;&gt;"",E32&lt;&gt;"!!!"),"NEW","")))</f>
        <v>OLD</v>
      </c>
      <c r="G32" s="23" t="s">
        <v>431</v>
      </c>
      <c r="H32" s="24" t="str">
        <f t="shared" ca="1" si="3"/>
        <v/>
      </c>
      <c r="I32" s="25" t="str">
        <f>IF(OR(E32="",E32="!!!",F32="NEW"),"",INDEX(B$2:B31,-1+SUMPRODUCT(MAX(ROW(E$2:E31)*(E32=E$2:E31)))))</f>
        <v>SBJ</v>
      </c>
      <c r="J32" s="25">
        <f ca="1">IF(OR(E32="",E32="!!!",F32="NEW"),"",COUNTBLANK(OFFSET(A$1,,,SUMPRODUCT(MAX(ROW(E$2:E32)*(E32=E$2:E32)))))-COUNTBLANK(OFFSET(A$1,,,SUMPRODUCT(MAX(ROW(E$1:E31)*(E2=E$1:E31))))))</f>
        <v>0</v>
      </c>
      <c r="K32" s="25">
        <f ca="1">IF(OR(E32="",E32="!!!",F32="NEW"),"",INDEX(J$1:J31,SUMPRODUCT(MAX(ROW(E$1:E31)*(E32=E$1:E31)))))</f>
        <v>0</v>
      </c>
      <c r="L32" s="26"/>
    </row>
    <row r="33" spans="1:12" x14ac:dyDescent="0.3">
      <c r="A33" t="s">
        <v>140</v>
      </c>
      <c r="B33" s="20" t="s">
        <v>171</v>
      </c>
      <c r="C33" s="20" t="s">
        <v>175</v>
      </c>
      <c r="E33" s="21" t="s">
        <v>408</v>
      </c>
      <c r="F33" s="22" t="str">
        <f>IF(OR(E33="",E33="!!!"),"",IF(NOT(ISNA(VLOOKUP(E33,E$1:E32,1,FALSE()))),"OLD",IF(AND(E33&lt;&gt;"",E33&lt;&gt;"!!!"),"NEW","")))</f>
        <v>OLD</v>
      </c>
      <c r="G33" s="23" t="s">
        <v>431</v>
      </c>
      <c r="H33" s="24" t="s">
        <v>135</v>
      </c>
      <c r="I33" s="25" t="str">
        <f>IF(OR(E33="",E33="!!!",F33="NEW"),"",INDEX(B$2:B32,-1+SUMPRODUCT(MAX(ROW(E$2:E32)*(E33=E$2:E32)))))</f>
        <v>SBJ</v>
      </c>
      <c r="J33" s="25">
        <f ca="1">IF(OR(E33="",E33="!!!",F33="NEW"),"",COUNTBLANK(OFFSET(A$1,,,SUMPRODUCT(MAX(ROW(E$2:E33)*(E33=E$2:E33)))))-COUNTBLANK(OFFSET(A$1,,,SUMPRODUCT(MAX(ROW(E$1:E32)*(E2=E$1:E32))))))</f>
        <v>0</v>
      </c>
      <c r="K33" s="25" t="str">
        <f ca="1">IF(OR(E33="",E33="!!!",F33="NEW"),"",INDEX(J$1:J32,SUMPRODUCT(MAX(ROW(E$1:E32)*(E33=E$1:E32)))))</f>
        <v/>
      </c>
      <c r="L33" s="26"/>
    </row>
    <row r="34" spans="1:12" x14ac:dyDescent="0.3">
      <c r="A34" t="s">
        <v>176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6" spans="1:12" x14ac:dyDescent="0.3">
      <c r="A36" t="s">
        <v>177</v>
      </c>
    </row>
    <row r="37" spans="1:12" x14ac:dyDescent="0.3">
      <c r="A37" t="s">
        <v>178</v>
      </c>
      <c r="E37" s="21" t="str">
        <f t="shared" ref="E37:E64" si="4">IF(D37="?OLD","!!!","")</f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ref="H37:H64" ca="1" si="5">IF(J37&lt;&gt;1,"",IF(I37="SBJ","CB","?"))</f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179</v>
      </c>
      <c r="E38" s="21" t="str">
        <f t="shared" si="4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5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156</v>
      </c>
      <c r="E39" s="21" t="str">
        <f t="shared" si="4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5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180</v>
      </c>
      <c r="B40" s="20" t="s">
        <v>145</v>
      </c>
      <c r="C40" s="20" t="s">
        <v>168</v>
      </c>
      <c r="D40" s="20" t="s">
        <v>160</v>
      </c>
      <c r="E40" s="21"/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5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181</v>
      </c>
      <c r="B41" s="20" t="s">
        <v>182</v>
      </c>
      <c r="C41" s="20" t="s">
        <v>183</v>
      </c>
      <c r="D41" s="20" t="s">
        <v>160</v>
      </c>
      <c r="E41" s="21" t="s">
        <v>400</v>
      </c>
      <c r="F41" s="22" t="str">
        <f>IF(OR(E41="",E41="!!!"),"",IF(NOT(ISNA(VLOOKUP(E41,E$1:E40,1,FALSE()))),"OLD",IF(AND(E41&lt;&gt;"",E41&lt;&gt;"!!!"),"NEW","")))</f>
        <v>OLD</v>
      </c>
      <c r="G41" s="23" t="s">
        <v>431</v>
      </c>
      <c r="H41" s="24" t="str">
        <f t="shared" ca="1" si="5"/>
        <v/>
      </c>
      <c r="I41" s="25">
        <f>IF(OR(E41="",E41="!!!",F41="NEW"),"",INDEX(B$2:B40,-1+SUMPRODUCT(MAX(ROW(E$2:E40)*(E41=E$2:E40)))))</f>
        <v>0</v>
      </c>
      <c r="J41" s="25">
        <f ca="1">IF(OR(E41="",E41="!!!",F41="NEW"),"",COUNTBLANK(OFFSET(A$1,,,SUMPRODUCT(MAX(ROW(E$2:E41)*(E41=E$2:E41)))))-COUNTBLANK(OFFSET(A$1,,,SUMPRODUCT(MAX(ROW(E$1:E40)*(E2=E$1:E40))))))</f>
        <v>0</v>
      </c>
      <c r="K41" s="25">
        <f ca="1">IF(OR(E41="",E41="!!!",F41="NEW"),"",INDEX(J$1:J40,SUMPRODUCT(MAX(ROW(E$1:E40)*(E41=E$1:E40)))))</f>
        <v>0</v>
      </c>
      <c r="L41" s="26"/>
    </row>
    <row r="42" spans="1:12" x14ac:dyDescent="0.3">
      <c r="A42" t="s">
        <v>184</v>
      </c>
      <c r="B42" s="20" t="s">
        <v>171</v>
      </c>
      <c r="C42" s="20" t="s">
        <v>175</v>
      </c>
      <c r="E42" s="21" t="s">
        <v>404</v>
      </c>
      <c r="F42" s="22" t="str">
        <f>IF(OR(E42="",E42="!!!"),"",IF(NOT(ISNA(VLOOKUP(E42,E$1:E41,1,FALSE()))),"OLD",IF(AND(E42&lt;&gt;"",E42&lt;&gt;"!!!"),"NEW","")))</f>
        <v>OLD</v>
      </c>
      <c r="G42" s="23" t="s">
        <v>432</v>
      </c>
      <c r="H42" s="24" t="str">
        <f t="shared" ca="1" si="5"/>
        <v/>
      </c>
      <c r="I42" s="25" t="str">
        <f>IF(OR(E42="",E42="!!!",F42="NEW"),"",INDEX(B$2:B41,-1+SUMPRODUCT(MAX(ROW(E$2:E41)*(E42=E$2:E41)))))</f>
        <v>other</v>
      </c>
      <c r="J42" s="25">
        <f ca="1">IF(OR(E42="",E42="!!!",F42="NEW"),"",COUNTBLANK(OFFSET(A$1,,,SUMPRODUCT(MAX(ROW(E$2:E42)*(E42=E$2:E42)))))-COUNTBLANK(OFFSET(A$1,,,SUMPRODUCT(MAX(ROW(E$1:E41)*(E2=E$1:E41))))))</f>
        <v>0</v>
      </c>
      <c r="K42" s="25">
        <f ca="1">IF(OR(E42="",E42="!!!",F42="NEW"),"",INDEX(J$1:J41,SUMPRODUCT(MAX(ROW(E$1:E41)*(E42=E$1:E41)))))</f>
        <v>0</v>
      </c>
      <c r="L42" s="26"/>
    </row>
    <row r="43" spans="1:12" x14ac:dyDescent="0.3">
      <c r="A43" t="s">
        <v>185</v>
      </c>
      <c r="E43" s="21" t="str">
        <f t="shared" si="4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5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162</v>
      </c>
      <c r="B44" s="20" t="s">
        <v>141</v>
      </c>
      <c r="C44" s="20" t="s">
        <v>163</v>
      </c>
      <c r="D44" s="20" t="s">
        <v>160</v>
      </c>
      <c r="E44" s="21" t="s">
        <v>400</v>
      </c>
      <c r="F44" s="22" t="str">
        <f>IF(OR(E44="",E44="!!!"),"",IF(NOT(ISNA(VLOOKUP(E44,E$1:E43,1,FALSE()))),"OLD",IF(AND(E44&lt;&gt;"",E44&lt;&gt;"!!!"),"NEW","")))</f>
        <v>OLD</v>
      </c>
      <c r="G44" s="23" t="s">
        <v>431</v>
      </c>
      <c r="H44" s="24" t="s">
        <v>135</v>
      </c>
      <c r="I44" s="25" t="str">
        <f>IF(OR(E44="",E44="!!!",F44="NEW"),"",INDEX(B$2:B43,-1+SUMPRODUCT(MAX(ROW(E$2:E43)*(E44=E$2:E43)))))</f>
        <v>other_3</v>
      </c>
      <c r="J44" s="25">
        <f ca="1">IF(OR(E44="",E44="!!!",F44="NEW"),"",COUNTBLANK(OFFSET(A$1,,,SUMPRODUCT(MAX(ROW(E$2:E44)*(E44=E$2:E44)))))-COUNTBLANK(OFFSET(A$1,,,SUMPRODUCT(MAX(ROW(E$1:E43)*(E2=E$1:E43))))))</f>
        <v>0</v>
      </c>
      <c r="K44" s="25">
        <f ca="1">IF(OR(E44="",E44="!!!",F44="NEW"),"",INDEX(J$1:J43,SUMPRODUCT(MAX(ROW(E$1:E43)*(E44=E$1:E43)))))</f>
        <v>0</v>
      </c>
      <c r="L44" s="26"/>
    </row>
    <row r="45" spans="1:12" x14ac:dyDescent="0.3">
      <c r="A45" t="s">
        <v>148</v>
      </c>
      <c r="E45" s="21" t="s">
        <v>401</v>
      </c>
      <c r="F45" s="22" t="str">
        <f>IF(OR(E45="",E45="!!!"),"",IF(NOT(ISNA(VLOOKUP(E45,E$1:E44,1,FALSE()))),"OLD",IF(AND(E45&lt;&gt;"",E45&lt;&gt;"!!!"),"NEW","")))</f>
        <v>OLD</v>
      </c>
      <c r="G45" s="23" t="s">
        <v>432</v>
      </c>
      <c r="H45" s="24" t="str">
        <f t="shared" ca="1" si="5"/>
        <v/>
      </c>
      <c r="I45" s="25" t="str">
        <f>IF(OR(E45="",E45="!!!",F45="NEW"),"",INDEX(B$2:B44,-1+SUMPRODUCT(MAX(ROW(E$2:E44)*(E45=E$2:E44)))))</f>
        <v>other</v>
      </c>
      <c r="J45" s="25">
        <f ca="1">IF(OR(E45="",E45="!!!",F45="NEW"),"",COUNTBLANK(OFFSET(A$1,,,SUMPRODUCT(MAX(ROW(E$2:E45)*(E45=E$2:E45)))))-COUNTBLANK(OFFSET(A$1,,,SUMPRODUCT(MAX(ROW(E$1:E44)*(E2=E$1:E44))))))</f>
        <v>0</v>
      </c>
      <c r="K45" s="25">
        <f ca="1">IF(OR(E45="",E45="!!!",F45="NEW"),"",INDEX(J$1:J44,SUMPRODUCT(MAX(ROW(E$1:E44)*(E45=E$1:E44)))))</f>
        <v>0</v>
      </c>
      <c r="L45" s="26"/>
    </row>
    <row r="46" spans="1:12" x14ac:dyDescent="0.3">
      <c r="A46" t="s">
        <v>169</v>
      </c>
      <c r="E46" s="21" t="str">
        <f t="shared" si="4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5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165</v>
      </c>
      <c r="E47" s="21" t="str">
        <f t="shared" si="4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5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186</v>
      </c>
      <c r="B48" s="20" t="s">
        <v>167</v>
      </c>
      <c r="C48" s="20" t="s">
        <v>168</v>
      </c>
      <c r="D48" s="20" t="s">
        <v>160</v>
      </c>
      <c r="E48" s="21"/>
      <c r="F48" s="22" t="s">
        <v>406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5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187</v>
      </c>
      <c r="E49" s="21" t="str">
        <f t="shared" si="4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5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188</v>
      </c>
      <c r="E50" s="21" t="str">
        <f t="shared" si="4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189</v>
      </c>
      <c r="B51" s="20" t="s">
        <v>171</v>
      </c>
      <c r="C51" s="20" t="s">
        <v>146</v>
      </c>
      <c r="E51" s="21" t="s">
        <v>407</v>
      </c>
      <c r="F51" s="22" t="str">
        <f>IF(OR(E51="",E51="!!!"),"",IF(NOT(ISNA(VLOOKUP(E51,E$1:E50,1,FALSE()))),"OLD",IF(AND(E51&lt;&gt;"",E51&lt;&gt;"!!!"),"NEW","")))</f>
        <v>NEW</v>
      </c>
      <c r="G51" s="23" t="s">
        <v>433</v>
      </c>
      <c r="H51" s="24" t="str">
        <f t="shared" ca="1" si="5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169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190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156</v>
      </c>
      <c r="B54" s="20" t="s">
        <v>182</v>
      </c>
      <c r="C54" s="20" t="s">
        <v>191</v>
      </c>
      <c r="D54" s="20" t="s">
        <v>160</v>
      </c>
      <c r="E54" s="21"/>
      <c r="F54" s="22" t="s">
        <v>406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174</v>
      </c>
      <c r="E55" s="21" t="s">
        <v>400</v>
      </c>
      <c r="F55" s="22" t="str">
        <f>IF(OR(E55="",E55="!!!"),"",IF(NOT(ISNA(VLOOKUP(E55,E$1:E54,1,FALSE()))),"OLD",IF(AND(E55&lt;&gt;"",E55&lt;&gt;"!!!"),"NEW","")))</f>
        <v>OLD</v>
      </c>
      <c r="G55" s="23" t="s">
        <v>431</v>
      </c>
      <c r="H55" s="24" t="str">
        <f t="shared" ca="1" si="5"/>
        <v/>
      </c>
      <c r="I55" s="25" t="str">
        <f>IF(OR(E55="",E55="!!!",F55="NEW"),"",INDEX(B$2:B54,-1+SUMPRODUCT(MAX(ROW(E$2:E54)*(E55=E$2:E54)))))</f>
        <v>SBJ</v>
      </c>
      <c r="J55" s="25">
        <f ca="1">IF(OR(E55="",E55="!!!",F55="NEW"),"",COUNTBLANK(OFFSET(A$1,,,SUMPRODUCT(MAX(ROW(E$2:E55)*(E55=E$2:E55)))))-COUNTBLANK(OFFSET(A$1,,,SUMPRODUCT(MAX(ROW(E$1:E54)*(E2=E$1:E54))))))</f>
        <v>0</v>
      </c>
      <c r="K55" s="25">
        <f ca="1">IF(OR(E55="",E55="!!!",F55="NEW"),"",INDEX(J$1:J54,SUMPRODUCT(MAX(ROW(E$1:E54)*(E55=E$1:E54)))))</f>
        <v>0</v>
      </c>
      <c r="L55" s="26"/>
    </row>
    <row r="56" spans="1:12" x14ac:dyDescent="0.3">
      <c r="A56" t="s">
        <v>140</v>
      </c>
      <c r="B56" s="20" t="s">
        <v>192</v>
      </c>
      <c r="C56" s="20" t="s">
        <v>175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193</v>
      </c>
      <c r="B57" s="20" t="s">
        <v>194</v>
      </c>
      <c r="C57" s="20" t="s">
        <v>163</v>
      </c>
      <c r="D57" s="20" t="s">
        <v>160</v>
      </c>
      <c r="E57" s="21" t="s">
        <v>408</v>
      </c>
      <c r="F57" s="22" t="str">
        <f>IF(OR(E57="",E57="!!!"),"",IF(NOT(ISNA(VLOOKUP(E57,E$1:E56,1,FALSE()))),"OLD",IF(AND(E57&lt;&gt;"",E57&lt;&gt;"!!!"),"NEW","")))</f>
        <v>OLD</v>
      </c>
      <c r="G57" s="23" t="s">
        <v>431</v>
      </c>
      <c r="H57" s="24" t="str">
        <f t="shared" ca="1" si="5"/>
        <v/>
      </c>
      <c r="I57" s="25" t="str">
        <f>IF(OR(E57="",E57="!!!",F57="NEW"),"",INDEX(B$2:B56,-1+SUMPRODUCT(MAX(ROW(E$2:E56)*(E57=E$2:E56)))))</f>
        <v>other_2</v>
      </c>
      <c r="J57" s="25">
        <f ca="1">IF(OR(E57="",E57="!!!",F57="NEW"),"",COUNTBLANK(OFFSET(A$1,,,SUMPRODUCT(MAX(ROW(E$2:E57)*(E57=E$2:E57)))))-COUNTBLANK(OFFSET(A$1,,,SUMPRODUCT(MAX(ROW(E$1:E56)*(E2=E$1:E56))))))</f>
        <v>0</v>
      </c>
      <c r="K57" s="25">
        <f ca="1">IF(OR(E57="",E57="!!!",F57="NEW"),"",INDEX(J$1:J56,SUMPRODUCT(MAX(ROW(E$1:E56)*(E57=E$1:E56)))))</f>
        <v>0</v>
      </c>
      <c r="L57" s="26"/>
    </row>
    <row r="58" spans="1:12" x14ac:dyDescent="0.3">
      <c r="A58" t="s">
        <v>164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195</v>
      </c>
      <c r="E59" s="21" t="str">
        <f t="shared" si="4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5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196</v>
      </c>
      <c r="E60" s="21" t="s">
        <v>408</v>
      </c>
      <c r="F60" s="22" t="str">
        <f>IF(OR(E60="",E60="!!!"),"",IF(NOT(ISNA(VLOOKUP(E60,E$1:E59,1,FALSE()))),"OLD",IF(AND(E60&lt;&gt;"",E60&lt;&gt;"!!!"),"NEW","")))</f>
        <v>OLD</v>
      </c>
      <c r="G60" s="23" t="s">
        <v>431</v>
      </c>
      <c r="H60" s="24" t="str">
        <f t="shared" ca="1" si="5"/>
        <v/>
      </c>
      <c r="I60" s="25" t="str">
        <f>IF(OR(E60="",E60="!!!",F60="NEW"),"",INDEX(B$2:B59,-1+SUMPRODUCT(MAX(ROW(E$2:E59)*(E60=E$2:E59)))))</f>
        <v>other_4</v>
      </c>
      <c r="J60" s="25">
        <f ca="1">IF(OR(E60="",E60="!!!",F60="NEW"),"",COUNTBLANK(OFFSET(A$1,,,SUMPRODUCT(MAX(ROW(E$2:E60)*(E60=E$2:E60)))))-COUNTBLANK(OFFSET(A$1,,,SUMPRODUCT(MAX(ROW(E$1:E59)*(E2=E$1:E59))))))</f>
        <v>0</v>
      </c>
      <c r="K60" s="25">
        <f ca="1">IF(OR(E60="",E60="!!!",F60="NEW"),"",INDEX(J$1:J59,SUMPRODUCT(MAX(ROW(E$1:E59)*(E60=E$1:E59)))))</f>
        <v>0</v>
      </c>
      <c r="L60" s="26"/>
    </row>
    <row r="61" spans="1:12" x14ac:dyDescent="0.3">
      <c r="A61" t="s">
        <v>197</v>
      </c>
      <c r="B61" s="20" t="s">
        <v>182</v>
      </c>
      <c r="C61" s="20" t="s">
        <v>175</v>
      </c>
      <c r="E61" s="21" t="s">
        <v>409</v>
      </c>
      <c r="F61" s="22" t="str">
        <f>IF(OR(E61="",E61="!!!"),"",IF(NOT(ISNA(VLOOKUP(E61,E$1:E60,1,FALSE()))),"OLD",IF(AND(E61&lt;&gt;"",E61&lt;&gt;"!!!"),"NEW","")))</f>
        <v>NEW</v>
      </c>
      <c r="G61" s="23" t="s">
        <v>433</v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198</v>
      </c>
      <c r="B62" s="20" t="s">
        <v>199</v>
      </c>
      <c r="C62" s="20" t="s">
        <v>191</v>
      </c>
      <c r="D62" s="20" t="s">
        <v>160</v>
      </c>
      <c r="E62" s="21"/>
      <c r="F62" s="22" t="s">
        <v>402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200</v>
      </c>
      <c r="E63" s="21" t="str">
        <f t="shared" si="4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176</v>
      </c>
      <c r="E64" s="21" t="str">
        <f t="shared" si="4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6" spans="1:12" x14ac:dyDescent="0.3">
      <c r="A66" t="s">
        <v>201</v>
      </c>
    </row>
    <row r="67" spans="1:12" x14ac:dyDescent="0.3">
      <c r="A67" t="s">
        <v>202</v>
      </c>
      <c r="E67" s="21" t="str">
        <f t="shared" ref="E67:E85" si="6">IF(D67="?OLD","!!!","")</f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ref="H67:H85" ca="1" si="7">IF(J67&lt;&gt;1,"",IF(I67="SBJ","CB","?"))</f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203</v>
      </c>
      <c r="B68" s="20" t="s">
        <v>204</v>
      </c>
      <c r="C68" s="20" t="s">
        <v>183</v>
      </c>
      <c r="D68" s="20" t="s">
        <v>160</v>
      </c>
      <c r="E68" s="21" t="s">
        <v>400</v>
      </c>
      <c r="F68" s="22" t="str">
        <f>IF(OR(E68="",E68="!!!"),"",IF(NOT(ISNA(VLOOKUP(E68,E$1:E67,1,FALSE()))),"OLD",IF(AND(E68&lt;&gt;"",E68&lt;&gt;"!!!"),"NEW","")))</f>
        <v>OLD</v>
      </c>
      <c r="G68" s="23" t="s">
        <v>431</v>
      </c>
      <c r="H68" s="24" t="s">
        <v>135</v>
      </c>
      <c r="I68" s="25">
        <f>IF(OR(E68="",E68="!!!",F68="NEW"),"",INDEX(B$2:B67,-1+SUMPRODUCT(MAX(ROW(E$2:E67)*(E68=E$2:E67)))))</f>
        <v>0</v>
      </c>
      <c r="J68" s="25">
        <f ca="1">IF(OR(E68="",E68="!!!",F68="NEW"),"",COUNTBLANK(OFFSET(A$1,,,SUMPRODUCT(MAX(ROW(E$2:E68)*(E68=E$2:E68)))))-COUNTBLANK(OFFSET(A$1,,,SUMPRODUCT(MAX(ROW(E$1:E67)*(E2=E$1:E67))))))</f>
        <v>0</v>
      </c>
      <c r="K68" s="25">
        <f ca="1">IF(OR(E68="",E68="!!!",F68="NEW"),"",INDEX(J$1:J67,SUMPRODUCT(MAX(ROW(E$1:E67)*(E68=E$1:E67)))))</f>
        <v>0</v>
      </c>
      <c r="L68" s="26"/>
    </row>
    <row r="69" spans="1:12" x14ac:dyDescent="0.3">
      <c r="A69" t="s">
        <v>165</v>
      </c>
      <c r="E69" s="21" t="str">
        <f t="shared" si="6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7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205</v>
      </c>
      <c r="E70" s="21" t="str">
        <f t="shared" si="6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7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206</v>
      </c>
      <c r="B71" s="20" t="s">
        <v>171</v>
      </c>
      <c r="C71" s="20" t="s">
        <v>168</v>
      </c>
      <c r="D71" s="20" t="s">
        <v>160</v>
      </c>
      <c r="E71" s="21"/>
      <c r="F71" s="22" t="s">
        <v>402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7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207</v>
      </c>
      <c r="E72" s="21" t="str">
        <f t="shared" si="6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7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208</v>
      </c>
      <c r="B73" s="20" t="s">
        <v>171</v>
      </c>
      <c r="C73" s="20" t="s">
        <v>142</v>
      </c>
      <c r="E73" s="21" t="str">
        <f t="shared" si="6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7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209</v>
      </c>
      <c r="E74" s="21" t="str">
        <f t="shared" si="6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7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169</v>
      </c>
      <c r="E75" s="21" t="str">
        <f t="shared" si="6"/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7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210</v>
      </c>
      <c r="E76" s="21" t="str">
        <f t="shared" si="6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7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211</v>
      </c>
      <c r="B77" s="20" t="s">
        <v>145</v>
      </c>
      <c r="C77" s="20" t="s">
        <v>212</v>
      </c>
      <c r="D77" s="20" t="s">
        <v>160</v>
      </c>
      <c r="E77" s="21" t="s">
        <v>408</v>
      </c>
      <c r="F77" s="22" t="str">
        <f>IF(OR(E77="",E77="!!!"),"",IF(NOT(ISNA(VLOOKUP(E77,E$1:E76,1,FALSE()))),"OLD",IF(AND(E77&lt;&gt;"",E77&lt;&gt;"!!!"),"NEW","")))</f>
        <v>OLD</v>
      </c>
      <c r="G77" s="23" t="s">
        <v>431</v>
      </c>
      <c r="H77" s="24" t="str">
        <f t="shared" ca="1" si="7"/>
        <v/>
      </c>
      <c r="I77" s="25">
        <f>IF(OR(E77="",E77="!!!",F77="NEW"),"",INDEX(B$2:B76,-1+SUMPRODUCT(MAX(ROW(E$2:E76)*(E77=E$2:E76)))))</f>
        <v>0</v>
      </c>
      <c r="J77" s="25">
        <f ca="1">IF(OR(E77="",E77="!!!",F77="NEW"),"",COUNTBLANK(OFFSET(A$1,,,SUMPRODUCT(MAX(ROW(E$2:E77)*(E77=E$2:E77)))))-COUNTBLANK(OFFSET(A$1,,,SUMPRODUCT(MAX(ROW(E$1:E76)*(E2=E$1:E76))))))</f>
        <v>0</v>
      </c>
      <c r="K77" s="25">
        <f ca="1">IF(OR(E77="",E77="!!!",F77="NEW"),"",INDEX(J$1:J76,SUMPRODUCT(MAX(ROW(E$1:E76)*(E77=E$1:E76)))))</f>
        <v>0</v>
      </c>
      <c r="L77" s="26"/>
    </row>
    <row r="78" spans="1:12" x14ac:dyDescent="0.3">
      <c r="A78" t="s">
        <v>213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214</v>
      </c>
      <c r="B79" s="20" t="s">
        <v>145</v>
      </c>
      <c r="C79" s="20" t="s">
        <v>142</v>
      </c>
      <c r="E79" s="21" t="str">
        <f t="shared" si="6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7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169</v>
      </c>
      <c r="E80" s="21" t="str">
        <f t="shared" si="6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215</v>
      </c>
      <c r="B81" s="20" t="s">
        <v>204</v>
      </c>
      <c r="C81" s="20" t="s">
        <v>183</v>
      </c>
      <c r="D81" s="20" t="s">
        <v>160</v>
      </c>
      <c r="E81" s="21" t="s">
        <v>408</v>
      </c>
      <c r="F81" s="22" t="str">
        <f>IF(OR(E81="",E81="!!!"),"",IF(NOT(ISNA(VLOOKUP(E81,E$1:E80,1,FALSE()))),"OLD",IF(AND(E81&lt;&gt;"",E81&lt;&gt;"!!!"),"NEW","")))</f>
        <v>OLD</v>
      </c>
      <c r="G81" s="23" t="s">
        <v>431</v>
      </c>
      <c r="H81" s="24" t="str">
        <f t="shared" ca="1" si="7"/>
        <v/>
      </c>
      <c r="I81" s="25" t="str">
        <f>IF(OR(E81="",E81="!!!",F81="NEW"),"",INDEX(B$2:B80,-1+SUMPRODUCT(MAX(ROW(E$2:E80)*(E81=E$2:E80)))))</f>
        <v>other</v>
      </c>
      <c r="J81" s="25">
        <f ca="1">IF(OR(E81="",E81="!!!",F81="NEW"),"",COUNTBLANK(OFFSET(A$1,,,SUMPRODUCT(MAX(ROW(E$2:E81)*(E81=E$2:E81)))))-COUNTBLANK(OFFSET(A$1,,,SUMPRODUCT(MAX(ROW(E$1:E80)*(E2=E$1:E80))))))</f>
        <v>0</v>
      </c>
      <c r="K81" s="25">
        <f ca="1">IF(OR(E81="",E81="!!!",F81="NEW"),"",INDEX(J$1:J80,SUMPRODUCT(MAX(ROW(E$1:E80)*(E81=E$1:E80)))))</f>
        <v>0</v>
      </c>
      <c r="L81" s="26"/>
    </row>
    <row r="82" spans="1:12" x14ac:dyDescent="0.3">
      <c r="A82" t="s">
        <v>216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165</v>
      </c>
      <c r="E83" s="21" t="str">
        <f t="shared" si="6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217</v>
      </c>
      <c r="E84" s="21" t="str">
        <f t="shared" si="6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176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7" spans="1:12" x14ac:dyDescent="0.3">
      <c r="A87" t="s">
        <v>218</v>
      </c>
    </row>
    <row r="88" spans="1:12" x14ac:dyDescent="0.3">
      <c r="A88" t="s">
        <v>215</v>
      </c>
      <c r="B88" s="20" t="s">
        <v>141</v>
      </c>
      <c r="C88" s="20" t="s">
        <v>183</v>
      </c>
      <c r="D88" s="20" t="s">
        <v>160</v>
      </c>
      <c r="E88" s="21" t="s">
        <v>408</v>
      </c>
      <c r="F88" s="22" t="str">
        <f>IF(OR(E88="",E88="!!!"),"",IF(NOT(ISNA(VLOOKUP(E88,E$1:E87,1,FALSE()))),"OLD",IF(AND(E88&lt;&gt;"",E88&lt;&gt;"!!!"),"NEW","")))</f>
        <v>OLD</v>
      </c>
      <c r="G88" s="23" t="s">
        <v>431</v>
      </c>
      <c r="H88" s="24" t="s">
        <v>135</v>
      </c>
      <c r="I88" s="25" t="str">
        <f>IF(OR(E88="",E88="!!!",F88="NEW"),"",INDEX(B$2:B87,-1+SUMPRODUCT(MAX(ROW(E$2:E87)*(E88=E$2:E87)))))</f>
        <v>SBJ_2</v>
      </c>
      <c r="J88" s="25">
        <f ca="1">IF(OR(E88="",E88="!!!",F88="NEW"),"",COUNTBLANK(OFFSET(A$1,,,SUMPRODUCT(MAX(ROW(E$2:E88)*(E88=E$2:E88)))))-COUNTBLANK(OFFSET(A$1,,,SUMPRODUCT(MAX(ROW(E$1:E87)*(E2=E$1:E87))))))</f>
        <v>0</v>
      </c>
      <c r="K88" s="25">
        <f ca="1">IF(OR(E88="",E88="!!!",F88="NEW"),"",INDEX(J$1:J87,SUMPRODUCT(MAX(ROW(E$1:E87)*(E88=E$1:E87)))))</f>
        <v>0</v>
      </c>
      <c r="L88" s="26"/>
    </row>
    <row r="89" spans="1:12" x14ac:dyDescent="0.3">
      <c r="A89" t="s">
        <v>216</v>
      </c>
      <c r="E89" s="21" t="str">
        <f>IF(D89="?OLD","!!!","")</f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ca="1">IF(J89&lt;&gt;1,"",IF(I89="SBJ","CB","?"))</f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165</v>
      </c>
      <c r="E90" s="21" t="str">
        <f>IF(D90="?OLD","!!!","")</f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ca="1">IF(J90&lt;&gt;1,"",IF(I90="SBJ","CB","?"))</f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217</v>
      </c>
      <c r="E91" s="21" t="str">
        <f>IF(D91="?OLD","!!!","")</f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ca="1">IF(J91&lt;&gt;1,"",IF(I91="SBJ","CB","?"))</f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176</v>
      </c>
      <c r="E92" s="21" t="str">
        <f>IF(D92="?OLD","!!!","")</f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ca="1">IF(J92&lt;&gt;1,"",IF(I92="SBJ","CB","?"))</f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4" spans="1:12" x14ac:dyDescent="0.3">
      <c r="A94" t="s">
        <v>219</v>
      </c>
    </row>
    <row r="95" spans="1:12" x14ac:dyDescent="0.3">
      <c r="A95" t="s">
        <v>220</v>
      </c>
      <c r="E95" s="21" t="s">
        <v>401</v>
      </c>
      <c r="F95" s="22" t="str">
        <f>IF(OR(E95="",E95="!!!"),"",IF(NOT(ISNA(VLOOKUP(E95,E$1:E94,1,FALSE()))),"OLD",IF(AND(E95&lt;&gt;"",E95&lt;&gt;"!!!"),"NEW","")))</f>
        <v>OLD</v>
      </c>
      <c r="G95" s="23" t="s">
        <v>430</v>
      </c>
      <c r="H95" s="24" t="str">
        <f t="shared" ref="H95:H101" ca="1" si="8">IF(J95&lt;&gt;1,"",IF(I95="SBJ","CB","?"))</f>
        <v/>
      </c>
      <c r="I95" s="25">
        <f>IF(OR(E95="",E95="!!!",F95="NEW"),"",INDEX(B$2:B94,-1+SUMPRODUCT(MAX(ROW(E$2:E94)*(E95=E$2:E94)))))</f>
        <v>0</v>
      </c>
      <c r="J95" s="25">
        <f ca="1">IF(OR(E95="",E95="!!!",F95="NEW"),"",COUNTBLANK(OFFSET(A$1,,,SUMPRODUCT(MAX(ROW(E$2:E95)*(E95=E$2:E95)))))-COUNTBLANK(OFFSET(A$1,,,SUMPRODUCT(MAX(ROW(E$1:E94)*(E2=E$1:E94))))))</f>
        <v>0</v>
      </c>
      <c r="K95" s="25">
        <f ca="1">IF(OR(E95="",E95="!!!",F95="NEW"),"",INDEX(J$1:J94,SUMPRODUCT(MAX(ROW(E$1:E94)*(E95=E$1:E94)))))</f>
        <v>0</v>
      </c>
      <c r="L95" s="26"/>
    </row>
    <row r="96" spans="1:12" x14ac:dyDescent="0.3">
      <c r="A96" t="s">
        <v>221</v>
      </c>
      <c r="E96" s="21" t="str">
        <f t="shared" ref="E95:E101" si="9">IF(D96="?OLD","!!!","")</f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8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222</v>
      </c>
      <c r="B97" s="20" t="s">
        <v>141</v>
      </c>
      <c r="C97" s="20" t="s">
        <v>183</v>
      </c>
      <c r="D97" s="20" t="s">
        <v>160</v>
      </c>
      <c r="E97" s="21" t="s">
        <v>408</v>
      </c>
      <c r="F97" s="22" t="str">
        <f>IF(OR(E97="",E97="!!!"),"",IF(NOT(ISNA(VLOOKUP(E97,E$1:E96,1,FALSE()))),"OLD",IF(AND(E97&lt;&gt;"",E97&lt;&gt;"!!!"),"NEW","")))</f>
        <v>OLD</v>
      </c>
      <c r="G97" s="23" t="s">
        <v>431</v>
      </c>
      <c r="H97" s="24" t="s">
        <v>135</v>
      </c>
      <c r="I97" s="25" t="str">
        <f>IF(OR(E97="",E97="!!!",F97="NEW"),"",INDEX(B$2:B96,-1+SUMPRODUCT(MAX(ROW(E$2:E96)*(E97=E$2:E96)))))</f>
        <v>SBJ</v>
      </c>
      <c r="J97" s="25">
        <f ca="1">IF(OR(E97="",E97="!!!",F97="NEW"),"",COUNTBLANK(OFFSET(A$1,,,SUMPRODUCT(MAX(ROW(E$2:E97)*(E97=E$2:E97)))))-COUNTBLANK(OFFSET(A$1,,,SUMPRODUCT(MAX(ROW(E$1:E96)*(E2=E$1:E96))))))</f>
        <v>0</v>
      </c>
      <c r="K97" s="25">
        <f ca="1">IF(OR(E97="",E97="!!!",F97="NEW"),"",INDEX(J$1:J96,SUMPRODUCT(MAX(ROW(E$1:E96)*(E97=E$1:E96)))))</f>
        <v>0</v>
      </c>
      <c r="L97" s="26"/>
    </row>
    <row r="98" spans="1:12" x14ac:dyDescent="0.3">
      <c r="A98" t="s">
        <v>223</v>
      </c>
      <c r="B98" s="20" t="s">
        <v>167</v>
      </c>
      <c r="E98" s="21" t="str">
        <f t="shared" si="9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8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217</v>
      </c>
      <c r="E99" s="21" t="str">
        <f t="shared" si="9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8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224</v>
      </c>
      <c r="E100" s="21" t="s">
        <v>410</v>
      </c>
      <c r="F100" s="22" t="str">
        <f>IF(OR(E100="",E100="!!!"),"",IF(NOT(ISNA(VLOOKUP(E100,E$1:E99,1,FALSE()))),"OLD",IF(AND(E100&lt;&gt;"",E100&lt;&gt;"!!!"),"NEW","")))</f>
        <v>NEW</v>
      </c>
      <c r="G100" s="23" t="s">
        <v>433</v>
      </c>
      <c r="H100" s="24" t="str">
        <f t="shared" ca="1" si="8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 t="s">
        <v>403</v>
      </c>
    </row>
    <row r="101" spans="1:12" x14ac:dyDescent="0.3">
      <c r="A101" t="s">
        <v>176</v>
      </c>
      <c r="E101" s="21" t="str">
        <f t="shared" si="9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8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3" spans="1:12" x14ac:dyDescent="0.3">
      <c r="A103" t="s">
        <v>225</v>
      </c>
      <c r="E103" s="21" t="str">
        <f>IF(D103="?OLD","!!!","")</f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ca="1">IF(J103&lt;&gt;1,"",IF(I103="SBJ","CB","?"))</f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226</v>
      </c>
    </row>
    <row r="105" spans="1:12" x14ac:dyDescent="0.3">
      <c r="A105" t="s">
        <v>227</v>
      </c>
      <c r="B105" s="20" t="s">
        <v>192</v>
      </c>
      <c r="C105" s="20" t="s">
        <v>191</v>
      </c>
      <c r="D105" s="20" t="s">
        <v>160</v>
      </c>
      <c r="E105" s="21" t="s">
        <v>410</v>
      </c>
      <c r="F105" s="22" t="str">
        <f>IF(OR(E105="",E105="!!!"),"",IF(NOT(ISNA(VLOOKUP(E105,E$1:E104,1,FALSE()))),"OLD",IF(AND(E105&lt;&gt;"",E105&lt;&gt;"!!!"),"NEW","")))</f>
        <v>OLD</v>
      </c>
      <c r="G105" s="23" t="s">
        <v>432</v>
      </c>
      <c r="H105" s="24" t="str">
        <f t="shared" ref="H105:H120" ca="1" si="10">IF(J105&lt;&gt;1,"",IF(I105="SBJ","CB","?"))</f>
        <v/>
      </c>
      <c r="I105" s="25">
        <f>IF(OR(E105="",E105="!!!",F105="NEW"),"",INDEX(B$2:B104,-1+SUMPRODUCT(MAX(ROW(E$2:E104)*(E105=E$2:E104)))))</f>
        <v>0</v>
      </c>
      <c r="J105" s="25">
        <f ca="1">IF(OR(E105="",E105="!!!",F105="NEW"),"",COUNTBLANK(OFFSET(A$1,,,SUMPRODUCT(MAX(ROW(E$2:E105)*(E105=E$2:E105)))))-COUNTBLANK(OFFSET(A$1,,,SUMPRODUCT(MAX(ROW(E$1:E104)*(E2=E$1:E104))))))</f>
        <v>0</v>
      </c>
      <c r="K105" s="25" t="str">
        <f ca="1">IF(OR(E105="",E105="!!!",F105="NEW"),"",INDEX(J$1:J104,SUMPRODUCT(MAX(ROW(E$1:E104)*(E105=E$1:E104)))))</f>
        <v/>
      </c>
      <c r="L105" s="26"/>
    </row>
    <row r="106" spans="1:12" x14ac:dyDescent="0.3">
      <c r="A106" t="s">
        <v>228</v>
      </c>
      <c r="E106" s="21" t="str">
        <f t="shared" ref="E105:E120" si="11">IF(D106="?OLD","!!!","")</f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t="shared" ca="1" si="10"/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217</v>
      </c>
      <c r="E107" s="21" t="str">
        <f t="shared" si="11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10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229</v>
      </c>
      <c r="E108" s="21" t="str">
        <f t="shared" si="11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10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12</v>
      </c>
      <c r="E109" s="21" t="str">
        <f t="shared" si="11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10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173</v>
      </c>
      <c r="E110" s="21" t="str">
        <f t="shared" si="11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0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185</v>
      </c>
      <c r="E111" s="21" t="str">
        <f t="shared" si="11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0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230</v>
      </c>
      <c r="B112" s="20" t="s">
        <v>141</v>
      </c>
      <c r="C112" s="20" t="s">
        <v>231</v>
      </c>
      <c r="E112" s="21" t="str">
        <f t="shared" si="11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0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232</v>
      </c>
      <c r="B113" s="20" t="s">
        <v>167</v>
      </c>
      <c r="E113" s="21" t="str">
        <f t="shared" si="11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0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233</v>
      </c>
      <c r="E114" s="21" t="str">
        <f t="shared" si="11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0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224</v>
      </c>
      <c r="B115" s="20" t="s">
        <v>145</v>
      </c>
      <c r="C115" s="20" t="s">
        <v>142</v>
      </c>
      <c r="E115" s="21" t="str">
        <f t="shared" si="11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0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169</v>
      </c>
      <c r="E116" s="21" t="str">
        <f t="shared" si="11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0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150</v>
      </c>
      <c r="E117" s="21" t="str">
        <f t="shared" si="11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0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234</v>
      </c>
      <c r="E118" s="21" t="str">
        <f t="shared" si="11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0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235</v>
      </c>
      <c r="B119" s="20" t="s">
        <v>204</v>
      </c>
      <c r="C119" s="20" t="s">
        <v>191</v>
      </c>
      <c r="D119" s="20" t="s">
        <v>160</v>
      </c>
      <c r="E119" s="21" t="s">
        <v>408</v>
      </c>
      <c r="F119" s="22" t="str">
        <f>IF(OR(E119="",E119="!!!"),"",IF(NOT(ISNA(VLOOKUP(E119,E$1:E118,1,FALSE()))),"OLD",IF(AND(E119&lt;&gt;"",E119&lt;&gt;"!!!"),"NEW","")))</f>
        <v>OLD</v>
      </c>
      <c r="G119" s="23" t="s">
        <v>431</v>
      </c>
      <c r="H119" s="24" t="s">
        <v>135</v>
      </c>
      <c r="I119" s="25" t="str">
        <f>IF(OR(E119="",E119="!!!",F119="NEW"),"",INDEX(B$2:B118,-1+SUMPRODUCT(MAX(ROW(E$2:E118)*(E119=E$2:E118)))))</f>
        <v>SBJ</v>
      </c>
      <c r="J119" s="25">
        <f ca="1">IF(OR(E119="",E119="!!!",F119="NEW"),"",COUNTBLANK(OFFSET(A$1,,,SUMPRODUCT(MAX(ROW(E$2:E119)*(E119=E$2:E119)))))-COUNTBLANK(OFFSET(A$1,,,SUMPRODUCT(MAX(ROW(E$1:E118)*(E2=E$1:E118))))))</f>
        <v>0</v>
      </c>
      <c r="K119" s="25">
        <f ca="1">IF(OR(E119="",E119="!!!",F119="NEW"),"",INDEX(J$1:J118,SUMPRODUCT(MAX(ROW(E$1:E118)*(E119=E$1:E118)))))</f>
        <v>0</v>
      </c>
      <c r="L119" s="26"/>
    </row>
    <row r="120" spans="1:12" x14ac:dyDescent="0.3">
      <c r="A120" t="s">
        <v>176</v>
      </c>
      <c r="E120" s="21" t="str">
        <f t="shared" si="11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0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2" spans="1:12" x14ac:dyDescent="0.3">
      <c r="A122" t="s">
        <v>236</v>
      </c>
    </row>
    <row r="123" spans="1:12" x14ac:dyDescent="0.3">
      <c r="A123" t="s">
        <v>237</v>
      </c>
      <c r="E123" s="21" t="s">
        <v>408</v>
      </c>
      <c r="F123" s="22" t="str">
        <f>IF(OR(E123="",E123="!!!"),"",IF(NOT(ISNA(VLOOKUP(E123,E$1:E122,1,FALSE()))),"OLD",IF(AND(E123&lt;&gt;"",E123&lt;&gt;"!!!"),"NEW","")))</f>
        <v>OLD</v>
      </c>
      <c r="G123" s="23" t="s">
        <v>431</v>
      </c>
      <c r="H123" s="24" t="s">
        <v>135</v>
      </c>
      <c r="I123" s="25" t="str">
        <f>IF(OR(E123="",E123="!!!",F123="NEW"),"",INDEX(B$2:B122,-1+SUMPRODUCT(MAX(ROW(E$2:E122)*(E123=E$2:E122)))))</f>
        <v>SBJ_2</v>
      </c>
      <c r="J123" s="25">
        <f ca="1">IF(OR(E123="",E123="!!!",F123="NEW"),"",COUNTBLANK(OFFSET(A$1,,,SUMPRODUCT(MAX(ROW(E$2:E123)*(E123=E$2:E123)))))-COUNTBLANK(OFFSET(A$1,,,SUMPRODUCT(MAX(ROW(E$1:E122)*(E2=E$1:E122))))))</f>
        <v>0</v>
      </c>
      <c r="K123" s="25">
        <f ca="1">IF(OR(E123="",E123="!!!",F123="NEW"),"",INDEX(J$1:J122,SUMPRODUCT(MAX(ROW(E$1:E122)*(E123=E$1:E122)))))</f>
        <v>0</v>
      </c>
      <c r="L123" s="26"/>
    </row>
    <row r="124" spans="1:12" x14ac:dyDescent="0.3">
      <c r="A124" t="s">
        <v>41</v>
      </c>
      <c r="B124" s="20" t="s">
        <v>145</v>
      </c>
      <c r="C124" s="20" t="s">
        <v>175</v>
      </c>
      <c r="E124" s="21" t="str">
        <f t="shared" ref="E123:E149" si="12">IF(D124="?OLD","!!!","")</f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ref="H123:H149" ca="1" si="13">IF(J124&lt;&gt;1,"",IF(I124="SBJ","CB","?"))</f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238</v>
      </c>
      <c r="B125" s="20" t="s">
        <v>145</v>
      </c>
      <c r="C125" s="20" t="s">
        <v>163</v>
      </c>
      <c r="D125" s="20" t="s">
        <v>160</v>
      </c>
      <c r="E125" s="21" t="s">
        <v>411</v>
      </c>
      <c r="F125" s="22" t="str">
        <f>IF(OR(E125="",E125="!!!"),"",IF(NOT(ISNA(VLOOKUP(E125,E$1:E124,1,FALSE()))),"OLD",IF(AND(E125&lt;&gt;"",E125&lt;&gt;"!!!"),"NEW","")))</f>
        <v>NEW</v>
      </c>
      <c r="G125" s="23" t="s">
        <v>433</v>
      </c>
      <c r="H125" s="24" t="str">
        <f t="shared" ca="1" si="13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172</v>
      </c>
      <c r="E126" s="21" t="str">
        <f t="shared" si="12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3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239</v>
      </c>
      <c r="B127" s="20" t="s">
        <v>240</v>
      </c>
      <c r="C127" s="20" t="s">
        <v>183</v>
      </c>
      <c r="D127" s="20" t="s">
        <v>160</v>
      </c>
      <c r="E127" s="21" t="s">
        <v>408</v>
      </c>
      <c r="F127" s="22" t="str">
        <f>IF(OR(E127="",E127="!!!"),"",IF(NOT(ISNA(VLOOKUP(E127,E$1:E126,1,FALSE()))),"OLD",IF(AND(E127&lt;&gt;"",E127&lt;&gt;"!!!"),"NEW","")))</f>
        <v>OLD</v>
      </c>
      <c r="G127" s="23" t="s">
        <v>431</v>
      </c>
      <c r="H127" s="24" t="str">
        <f t="shared" ca="1" si="13"/>
        <v/>
      </c>
      <c r="I127" s="25">
        <f>IF(OR(E127="",E127="!!!",F127="NEW"),"",INDEX(B$2:B126,-1+SUMPRODUCT(MAX(ROW(E$2:E126)*(E127=E$2:E126)))))</f>
        <v>0</v>
      </c>
      <c r="J127" s="25">
        <f ca="1">IF(OR(E127="",E127="!!!",F127="NEW"),"",COUNTBLANK(OFFSET(A$1,,,SUMPRODUCT(MAX(ROW(E$2:E127)*(E127=E$2:E127)))))-COUNTBLANK(OFFSET(A$1,,,SUMPRODUCT(MAX(ROW(E$1:E126)*(E2=E$1:E126))))))</f>
        <v>0</v>
      </c>
      <c r="K127" s="25">
        <f ca="1">IF(OR(E127="",E127="!!!",F127="NEW"),"",INDEX(J$1:J126,SUMPRODUCT(MAX(ROW(E$1:E126)*(E127=E$1:E126)))))</f>
        <v>0</v>
      </c>
      <c r="L127" s="26"/>
    </row>
    <row r="128" spans="1:12" x14ac:dyDescent="0.3">
      <c r="A128" t="s">
        <v>241</v>
      </c>
      <c r="E128" s="21" t="str">
        <f t="shared" si="12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3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242</v>
      </c>
      <c r="E129" s="21" t="str">
        <f t="shared" si="12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3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169</v>
      </c>
      <c r="E130" s="21" t="str">
        <f t="shared" si="12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3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243</v>
      </c>
      <c r="E131" s="21" t="str">
        <f t="shared" si="12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3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162</v>
      </c>
      <c r="B132" s="20" t="s">
        <v>192</v>
      </c>
      <c r="C132" s="20" t="s">
        <v>163</v>
      </c>
      <c r="D132" s="20" t="s">
        <v>160</v>
      </c>
      <c r="E132" s="21" t="s">
        <v>400</v>
      </c>
      <c r="F132" s="22" t="str">
        <f>IF(OR(E132="",E132="!!!"),"",IF(NOT(ISNA(VLOOKUP(E132,E$1:E131,1,FALSE()))),"OLD",IF(AND(E132&lt;&gt;"",E132&lt;&gt;"!!!"),"NEW","")))</f>
        <v>OLD</v>
      </c>
      <c r="G132" s="23" t="s">
        <v>430</v>
      </c>
      <c r="H132" s="24" t="str">
        <f t="shared" ca="1" si="13"/>
        <v/>
      </c>
      <c r="I132" s="25" t="str">
        <f>IF(OR(E132="",E132="!!!",F132="NEW"),"",INDEX(B$2:B131,-1+SUMPRODUCT(MAX(ROW(E$2:E131)*(E132=E$2:E131)))))</f>
        <v>SBJ_2</v>
      </c>
      <c r="J132" s="25">
        <f ca="1">IF(OR(E132="",E132="!!!",F132="NEW"),"",COUNTBLANK(OFFSET(A$1,,,SUMPRODUCT(MAX(ROW(E$2:E132)*(E132=E$2:E132)))))-COUNTBLANK(OFFSET(A$1,,,SUMPRODUCT(MAX(ROW(E$1:E131)*(E2=E$1:E131))))))</f>
        <v>0</v>
      </c>
      <c r="K132" s="25">
        <f ca="1">IF(OR(E132="",E132="!!!",F132="NEW"),"",INDEX(J$1:J131,SUMPRODUCT(MAX(ROW(E$1:E131)*(E132=E$1:E131)))))</f>
        <v>0</v>
      </c>
      <c r="L132" s="26"/>
    </row>
    <row r="133" spans="1:12" x14ac:dyDescent="0.3">
      <c r="A133" t="s">
        <v>235</v>
      </c>
      <c r="B133" s="20" t="s">
        <v>192</v>
      </c>
      <c r="C133" s="20" t="s">
        <v>191</v>
      </c>
      <c r="D133" s="20" t="s">
        <v>160</v>
      </c>
      <c r="E133" s="21" t="s">
        <v>412</v>
      </c>
      <c r="F133" s="22" t="s">
        <v>413</v>
      </c>
      <c r="G133" s="23" t="s">
        <v>431</v>
      </c>
      <c r="H133" s="24" t="str">
        <f t="shared" ca="1" si="13"/>
        <v/>
      </c>
      <c r="I133" s="25" t="e">
        <f>IF(OR(E133="",E133="!!!",F133="NEW"),"",INDEX(B$2:B132,-1+SUMPRODUCT(MAX(ROW(E$2:E132)*(E133=E$2:E132)))))</f>
        <v>#VALUE!</v>
      </c>
      <c r="J133" s="25">
        <f ca="1">IF(OR(E133="",E133="!!!",F133="NEW"),"",COUNTBLANK(OFFSET(A$1,,,SUMPRODUCT(MAX(ROW(E$2:E133)*(E133=E$2:E133)))))-COUNTBLANK(OFFSET(A$1,,,SUMPRODUCT(MAX(ROW(E$1:E132)*(E2=E$1:E132))))))</f>
        <v>0</v>
      </c>
      <c r="K133" s="25" t="e">
        <f>IF(OR(E133="",E133="!!!",F133="NEW"),"",INDEX(J$1:J132,SUMPRODUCT(MAX(ROW(E$1:E132)*(E133=E$1:E132)))))</f>
        <v>#VALUE!</v>
      </c>
      <c r="L133" s="26"/>
    </row>
    <row r="134" spans="1:12" x14ac:dyDescent="0.3">
      <c r="A134" t="s">
        <v>244</v>
      </c>
      <c r="E134" s="21" t="str">
        <f t="shared" si="12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3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245</v>
      </c>
      <c r="B135" s="20" t="s">
        <v>182</v>
      </c>
      <c r="C135" s="20" t="s">
        <v>142</v>
      </c>
      <c r="E135" s="21" t="str">
        <f t="shared" si="12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3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246</v>
      </c>
      <c r="E136" s="21" t="str">
        <f t="shared" si="12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3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247</v>
      </c>
      <c r="E137" s="21" t="str">
        <f t="shared" si="12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3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152</v>
      </c>
      <c r="E138" s="21" t="str">
        <f t="shared" si="12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3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248</v>
      </c>
      <c r="E139" s="21" t="str">
        <f t="shared" si="12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3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172</v>
      </c>
      <c r="E140" s="21" t="str">
        <f t="shared" si="12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3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169</v>
      </c>
      <c r="E141" s="21" t="str">
        <f t="shared" si="12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3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243</v>
      </c>
      <c r="E142" s="21" t="str">
        <f t="shared" si="12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3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203</v>
      </c>
      <c r="B143" s="20" t="s">
        <v>249</v>
      </c>
      <c r="C143" s="20" t="s">
        <v>183</v>
      </c>
      <c r="D143" s="20" t="s">
        <v>160</v>
      </c>
      <c r="E143" s="21" t="s">
        <v>400</v>
      </c>
      <c r="F143" s="22" t="str">
        <f>IF(OR(E143="",E143="!!!"),"",IF(NOT(ISNA(VLOOKUP(E143,E$1:E142,1,FALSE()))),"OLD",IF(AND(E143&lt;&gt;"",E143&lt;&gt;"!!!"),"NEW","")))</f>
        <v>OLD</v>
      </c>
      <c r="G143" s="23" t="s">
        <v>431</v>
      </c>
      <c r="H143" s="24" t="str">
        <f t="shared" ca="1" si="13"/>
        <v/>
      </c>
      <c r="I143" s="25" t="str">
        <f>IF(OR(E143="",E143="!!!",F143="NEW"),"",INDEX(B$2:B142,-1+SUMPRODUCT(MAX(ROW(E$2:E142)*(E143=E$2:E142)))))</f>
        <v>SBJ_3</v>
      </c>
      <c r="J143" s="25">
        <f ca="1">IF(OR(E143="",E143="!!!",F143="NEW"),"",COUNTBLANK(OFFSET(A$1,,,SUMPRODUCT(MAX(ROW(E$2:E143)*(E143=E$2:E143)))))-COUNTBLANK(OFFSET(A$1,,,SUMPRODUCT(MAX(ROW(E$1:E142)*(E2=E$1:E142))))))</f>
        <v>0</v>
      </c>
      <c r="K143" s="25">
        <f ca="1">IF(OR(E143="",E143="!!!",F143="NEW"),"",INDEX(J$1:J142,SUMPRODUCT(MAX(ROW(E$1:E142)*(E143=E$1:E142)))))</f>
        <v>0</v>
      </c>
      <c r="L143" s="26"/>
    </row>
    <row r="144" spans="1:12" x14ac:dyDescent="0.3">
      <c r="A144" t="s">
        <v>250</v>
      </c>
      <c r="E144" s="21" t="str">
        <f t="shared" si="12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3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217</v>
      </c>
      <c r="E145" s="21" t="str">
        <f t="shared" si="12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3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251</v>
      </c>
      <c r="E146" s="21" t="str">
        <f t="shared" si="12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3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252</v>
      </c>
      <c r="E147" s="21" t="str">
        <f t="shared" si="12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3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152</v>
      </c>
      <c r="E148" s="21" t="str">
        <f t="shared" si="12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3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176</v>
      </c>
      <c r="E149" s="21" t="str">
        <f t="shared" si="12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3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1" spans="1:12" x14ac:dyDescent="0.3">
      <c r="A151" t="s">
        <v>253</v>
      </c>
    </row>
    <row r="152" spans="1:12" x14ac:dyDescent="0.3">
      <c r="A152" t="s">
        <v>254</v>
      </c>
      <c r="B152" s="20" t="s">
        <v>171</v>
      </c>
      <c r="C152" s="20" t="s">
        <v>231</v>
      </c>
      <c r="E152" s="21" t="str">
        <f t="shared" ref="E152:E166" si="14">IF(D152="?OLD","!!!","")</f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ref="H152:H166" ca="1" si="15">IF(J152&lt;&gt;1,"",IF(I152="SBJ","CB","?"))</f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255</v>
      </c>
      <c r="B153" s="20" t="s">
        <v>141</v>
      </c>
      <c r="C153" s="20" t="s">
        <v>256</v>
      </c>
      <c r="E153" s="21" t="s">
        <v>414</v>
      </c>
      <c r="F153" s="22" t="str">
        <f>IF(OR(E153="",E153="!!!"),"",IF(NOT(ISNA(VLOOKUP(E153,E$1:E152,1,FALSE()))),"OLD",IF(AND(E153&lt;&gt;"",E153&lt;&gt;"!!!"),"NEW","")))</f>
        <v>NEW</v>
      </c>
      <c r="G153" s="23" t="s">
        <v>430</v>
      </c>
      <c r="H153" s="24" t="str">
        <f t="shared" ca="1" si="15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 t="s">
        <v>415</v>
      </c>
    </row>
    <row r="154" spans="1:12" x14ac:dyDescent="0.3">
      <c r="A154" t="s">
        <v>257</v>
      </c>
      <c r="E154" s="21" t="str">
        <f t="shared" si="14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5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258</v>
      </c>
      <c r="E155" s="21" t="str">
        <f t="shared" si="14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5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259</v>
      </c>
      <c r="E156" s="21" t="str">
        <f t="shared" si="14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5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260</v>
      </c>
      <c r="E157" s="21" t="str">
        <f t="shared" si="14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5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169</v>
      </c>
      <c r="E158" s="21" t="str">
        <f t="shared" si="14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5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243</v>
      </c>
      <c r="E159" s="21" t="str">
        <f t="shared" si="14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5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235</v>
      </c>
      <c r="B160" s="20" t="s">
        <v>204</v>
      </c>
      <c r="C160" s="20" t="s">
        <v>191</v>
      </c>
      <c r="D160" s="20" t="s">
        <v>160</v>
      </c>
      <c r="E160" s="21" t="s">
        <v>414</v>
      </c>
      <c r="F160" s="22" t="str">
        <f>IF(OR(E160="",E160="!!!"),"",IF(NOT(ISNA(VLOOKUP(E160,E$1:E159,1,FALSE()))),"OLD",IF(AND(E160&lt;&gt;"",E160&lt;&gt;"!!!"),"NEW","")))</f>
        <v>OLD</v>
      </c>
      <c r="G160" s="23" t="s">
        <v>431</v>
      </c>
      <c r="H160" s="24" t="str">
        <f t="shared" ca="1" si="15"/>
        <v/>
      </c>
      <c r="I160" s="25" t="str">
        <f>IF(OR(E160="",E160="!!!",F160="NEW"),"",INDEX(B$2:B159,-1+SUMPRODUCT(MAX(ROW(E$2:E159)*(E160=E$2:E159)))))</f>
        <v>SBJ</v>
      </c>
      <c r="J160" s="25">
        <f ca="1">IF(OR(E160="",E160="!!!",F160="NEW"),"",COUNTBLANK(OFFSET(A$1,,,SUMPRODUCT(MAX(ROW(E$2:E160)*(E160=E$2:E160)))))-COUNTBLANK(OFFSET(A$1,,,SUMPRODUCT(MAX(ROW(E$1:E159)*(E2=E$1:E159))))))</f>
        <v>0</v>
      </c>
      <c r="K160" s="25" t="str">
        <f ca="1">IF(OR(E160="",E160="!!!",F160="NEW"),"",INDEX(J$1:J159,SUMPRODUCT(MAX(ROW(E$1:E159)*(E160=E$1:E159)))))</f>
        <v/>
      </c>
      <c r="L160" s="26"/>
    </row>
    <row r="161" spans="1:12" x14ac:dyDescent="0.3">
      <c r="A161" t="s">
        <v>261</v>
      </c>
      <c r="E161" s="21" t="s">
        <v>434</v>
      </c>
      <c r="F161" s="22" t="str">
        <f>IF(OR(E161="",E161="!!!"),"",IF(NOT(ISNA(VLOOKUP(E161,E$1:E160,1,FALSE()))),"OLD",IF(AND(E161&lt;&gt;"",E161&lt;&gt;"!!!"),"NEW","")))</f>
        <v>NEW</v>
      </c>
      <c r="G161" s="23" t="s">
        <v>433</v>
      </c>
      <c r="H161" s="24" t="str">
        <f t="shared" ca="1" si="15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 t="s">
        <v>415</v>
      </c>
    </row>
    <row r="162" spans="1:12" x14ac:dyDescent="0.3">
      <c r="A162" t="s">
        <v>169</v>
      </c>
      <c r="E162" s="21" t="str">
        <f t="shared" si="14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5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262</v>
      </c>
      <c r="B163" s="20" t="s">
        <v>199</v>
      </c>
      <c r="C163" s="20" t="s">
        <v>183</v>
      </c>
      <c r="D163" s="20" t="s">
        <v>160</v>
      </c>
      <c r="E163" s="21" t="s">
        <v>400</v>
      </c>
      <c r="F163" s="22" t="str">
        <f>IF(OR(E163="",E163="!!!"),"",IF(NOT(ISNA(VLOOKUP(E163,E$1:E162,1,FALSE()))),"OLD",IF(AND(E163&lt;&gt;"",E163&lt;&gt;"!!!"),"NEW","")))</f>
        <v>OLD</v>
      </c>
      <c r="G163" s="23" t="s">
        <v>431</v>
      </c>
      <c r="H163" s="24" t="s">
        <v>135</v>
      </c>
      <c r="I163" s="25" t="str">
        <f>IF(OR(E163="",E163="!!!",F163="NEW"),"",INDEX(B$2:B162,-1+SUMPRODUCT(MAX(ROW(E$2:E162)*(E163=E$2:E162)))))</f>
        <v>SBJ_4</v>
      </c>
      <c r="J163" s="25">
        <f ca="1">IF(OR(E163="",E163="!!!",F163="NEW"),"",COUNTBLANK(OFFSET(A$1,,,SUMPRODUCT(MAX(ROW(E$2:E163)*(E163=E$2:E163)))))-COUNTBLANK(OFFSET(A$1,,,SUMPRODUCT(MAX(ROW(E$1:E162)*(E2=E$1:E162))))))</f>
        <v>0</v>
      </c>
      <c r="K163" s="25">
        <f ca="1">IF(OR(E163="",E163="!!!",F163="NEW"),"",INDEX(J$1:J162,SUMPRODUCT(MAX(ROW(E$1:E162)*(E163=E$1:E162)))))</f>
        <v>0</v>
      </c>
      <c r="L163" s="26"/>
    </row>
    <row r="164" spans="1:12" x14ac:dyDescent="0.3">
      <c r="A164" t="s">
        <v>263</v>
      </c>
      <c r="E164" s="21" t="str">
        <f t="shared" si="14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5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264</v>
      </c>
      <c r="E165" s="21" t="s">
        <v>264</v>
      </c>
      <c r="F165" s="22" t="s">
        <v>424</v>
      </c>
      <c r="G165" s="23" t="s">
        <v>433</v>
      </c>
      <c r="H165" s="24" t="str">
        <f t="shared" ca="1" si="15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 t="s">
        <v>415</v>
      </c>
    </row>
    <row r="166" spans="1:12" x14ac:dyDescent="0.3">
      <c r="A166" t="s">
        <v>176</v>
      </c>
      <c r="E166" s="21" t="str">
        <f t="shared" si="14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5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8" spans="1:12" x14ac:dyDescent="0.3">
      <c r="A168" t="s">
        <v>225</v>
      </c>
      <c r="E168" s="21" t="str">
        <f>IF(D168="?OLD","!!!","")</f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ca="1">IF(J168&lt;&gt;1,"",IF(I168="SBJ","CB","?"))</f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265</v>
      </c>
    </row>
    <row r="170" spans="1:12" x14ac:dyDescent="0.3">
      <c r="A170" t="s">
        <v>150</v>
      </c>
      <c r="E170" s="21" t="str">
        <f t="shared" ref="E170:E192" si="16">IF(D170="?OLD","!!!","")</f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ref="H170:H192" ca="1" si="17">IF(J170&lt;&gt;1,"",IF(I170="SBJ","CB","?"))</f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266</v>
      </c>
      <c r="B171" s="20" t="s">
        <v>182</v>
      </c>
      <c r="C171" s="20" t="s">
        <v>212</v>
      </c>
      <c r="D171" s="20" t="s">
        <v>160</v>
      </c>
      <c r="E171" s="21" t="s">
        <v>408</v>
      </c>
      <c r="F171" s="22" t="str">
        <f>IF(OR(E171="",E171="!!!"),"",IF(NOT(ISNA(VLOOKUP(E171,E$1:E170,1,FALSE()))),"OLD",IF(AND(E171&lt;&gt;"",E171&lt;&gt;"!!!"),"NEW","")))</f>
        <v>OLD</v>
      </c>
      <c r="G171" s="23" t="s">
        <v>432</v>
      </c>
      <c r="H171" s="24" t="str">
        <f t="shared" ca="1" si="17"/>
        <v/>
      </c>
      <c r="I171" s="25" t="str">
        <f>IF(OR(E171="",E171="!!!",F171="NEW"),"",INDEX(B$2:B170,-1+SUMPRODUCT(MAX(ROW(E$2:E170)*(E171=E$2:E170)))))</f>
        <v>OBJ_2</v>
      </c>
      <c r="J171" s="25">
        <f ca="1">IF(OR(E171="",E171="!!!",F171="NEW"),"",COUNTBLANK(OFFSET(A$1,,,SUMPRODUCT(MAX(ROW(E$2:E171)*(E171=E$2:E171)))))-COUNTBLANK(OFFSET(A$1,,,SUMPRODUCT(MAX(ROW(E$1:E170)*(E2=E$1:E170))))))</f>
        <v>0</v>
      </c>
      <c r="K171" s="25">
        <f ca="1">IF(OR(E171="",E171="!!!",F171="NEW"),"",INDEX(J$1:J170,SUMPRODUCT(MAX(ROW(E$1:E170)*(E171=E$1:E170)))))</f>
        <v>0</v>
      </c>
      <c r="L171" s="26"/>
    </row>
    <row r="172" spans="1:12" x14ac:dyDescent="0.3">
      <c r="A172" t="s">
        <v>205</v>
      </c>
      <c r="E172" s="21" t="str">
        <f t="shared" si="16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7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267</v>
      </c>
      <c r="B173" s="20" t="s">
        <v>204</v>
      </c>
      <c r="C173" s="20" t="s">
        <v>142</v>
      </c>
      <c r="E173" s="21" t="str">
        <f t="shared" si="16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7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233</v>
      </c>
      <c r="E174" s="21" t="s">
        <v>434</v>
      </c>
      <c r="F174" s="22" t="str">
        <f>IF(OR(E174="",E174="!!!"),"",IF(NOT(ISNA(VLOOKUP(E174,E$1:E173,1,FALSE()))),"OLD",IF(AND(E174&lt;&gt;"",E174&lt;&gt;"!!!"),"NEW","")))</f>
        <v>OLD</v>
      </c>
      <c r="G174" s="23" t="s">
        <v>432</v>
      </c>
      <c r="H174" s="24"/>
      <c r="I174" s="25">
        <f>IF(OR(E174="",E174="!!!",F174="NEW"),"",INDEX(B$2:B173,-1+SUMPRODUCT(MAX(ROW(E$2:E173)*(E174=E$2:E173)))))</f>
        <v>0</v>
      </c>
      <c r="J174" s="25">
        <f ca="1">IF(OR(E174="",E174="!!!",F174="NEW"),"",COUNTBLANK(OFFSET(A$1,,,SUMPRODUCT(MAX(ROW(E$2:E174)*(E174=E$2:E174)))))-COUNTBLANK(OFFSET(A$1,,,SUMPRODUCT(MAX(ROW(E$1:E173)*(E2=E$1:E173))))))</f>
        <v>0</v>
      </c>
      <c r="K174" s="25" t="str">
        <f ca="1">IF(OR(E174="",E174="!!!",F174="NEW"),"",INDEX(J$1:J173,SUMPRODUCT(MAX(ROW(E$1:E173)*(E174=E$1:E173)))))</f>
        <v/>
      </c>
      <c r="L174" s="26"/>
    </row>
    <row r="175" spans="1:12" x14ac:dyDescent="0.3">
      <c r="A175" t="s">
        <v>210</v>
      </c>
      <c r="E175" s="21" t="str">
        <f t="shared" si="16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7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268</v>
      </c>
      <c r="E176" s="21" t="str">
        <f t="shared" si="16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7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215</v>
      </c>
      <c r="B177" s="20" t="s">
        <v>204</v>
      </c>
      <c r="C177" s="20" t="s">
        <v>183</v>
      </c>
      <c r="D177" s="20" t="s">
        <v>160</v>
      </c>
      <c r="E177" s="21" t="s">
        <v>408</v>
      </c>
      <c r="F177" s="22" t="str">
        <f>IF(OR(E177="",E177="!!!"),"",IF(NOT(ISNA(VLOOKUP(E177,E$1:E176,1,FALSE()))),"OLD",IF(AND(E177&lt;&gt;"",E177&lt;&gt;"!!!"),"NEW","")))</f>
        <v>OLD</v>
      </c>
      <c r="G177" s="23" t="s">
        <v>431</v>
      </c>
      <c r="H177" s="24" t="str">
        <f t="shared" ca="1" si="17"/>
        <v/>
      </c>
      <c r="I177" s="25" t="str">
        <f>IF(OR(E177="",E177="!!!",F177="NEW"),"",INDEX(B$2:B176,-1+SUMPRODUCT(MAX(ROW(E$2:E176)*(E177=E$2:E176)))))</f>
        <v>other_3</v>
      </c>
      <c r="J177" s="25">
        <f ca="1">IF(OR(E177="",E177="!!!",F177="NEW"),"",COUNTBLANK(OFFSET(A$1,,,SUMPRODUCT(MAX(ROW(E$2:E177)*(E177=E$2:E177)))))-COUNTBLANK(OFFSET(A$1,,,SUMPRODUCT(MAX(ROW(E$1:E176)*(E2=E$1:E176))))))</f>
        <v>0</v>
      </c>
      <c r="K177" s="25">
        <f ca="1">IF(OR(E177="",E177="!!!",F177="NEW"),"",INDEX(J$1:J176,SUMPRODUCT(MAX(ROW(E$1:E176)*(E177=E$1:E176)))))</f>
        <v>0</v>
      </c>
      <c r="L177" s="26"/>
    </row>
    <row r="178" spans="1:12" x14ac:dyDescent="0.3">
      <c r="A178" t="s">
        <v>200</v>
      </c>
      <c r="E178" s="21" t="str">
        <f t="shared" si="16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7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217</v>
      </c>
      <c r="E179" s="21" t="str">
        <f t="shared" si="16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7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169</v>
      </c>
      <c r="E180" s="21" t="str">
        <f t="shared" si="16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7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243</v>
      </c>
      <c r="E181" s="21" t="str">
        <f t="shared" si="16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7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165</v>
      </c>
      <c r="E182" s="21" t="s">
        <v>264</v>
      </c>
      <c r="F182" s="22" t="str">
        <f>IF(OR(E182="",E182="!!!"),"",IF(NOT(ISNA(VLOOKUP(E182,E$1:E181,1,FALSE()))),"OLD",IF(AND(E182&lt;&gt;"",E182&lt;&gt;"!!!"),"NEW","")))</f>
        <v>OLD</v>
      </c>
      <c r="G182" s="23" t="s">
        <v>432</v>
      </c>
      <c r="H182" s="24" t="s">
        <v>135</v>
      </c>
      <c r="I182" s="25">
        <f>IF(OR(E182="",E182="!!!",F182="NEW"),"",INDEX(B$2:B181,-1+SUMPRODUCT(MAX(ROW(E$2:E181)*(E182=E$2:E181)))))</f>
        <v>0</v>
      </c>
      <c r="J182" s="25">
        <f ca="1">IF(OR(E182="",E182="!!!",F182="NEW"),"",COUNTBLANK(OFFSET(A$1,,,SUMPRODUCT(MAX(ROW(E$2:E182)*(E182=E$2:E182)))))-COUNTBLANK(OFFSET(A$1,,,SUMPRODUCT(MAX(ROW(E$1:E181)*(E2=E$1:E181))))))</f>
        <v>0</v>
      </c>
      <c r="K182" s="25" t="str">
        <f ca="1">IF(OR(E182="",E182="!!!",F182="NEW"),"",INDEX(J$1:J181,SUMPRODUCT(MAX(ROW(E$1:E181)*(E182=E$1:E181)))))</f>
        <v/>
      </c>
      <c r="L182" s="26"/>
    </row>
    <row r="183" spans="1:12" x14ac:dyDescent="0.3">
      <c r="A183" t="s">
        <v>269</v>
      </c>
      <c r="B183" s="20" t="s">
        <v>192</v>
      </c>
      <c r="C183" s="20" t="s">
        <v>168</v>
      </c>
      <c r="D183" s="20" t="s">
        <v>160</v>
      </c>
      <c r="E183" s="21"/>
      <c r="F183" s="22" t="s">
        <v>402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270</v>
      </c>
      <c r="E184" s="21" t="str">
        <f t="shared" si="16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7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271</v>
      </c>
      <c r="E185" s="21" t="str">
        <f t="shared" si="16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7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60</v>
      </c>
      <c r="E186" s="21" t="str">
        <f t="shared" si="16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7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169</v>
      </c>
      <c r="E187" s="21" t="str">
        <f t="shared" si="16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7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268</v>
      </c>
      <c r="E188" s="21" t="str">
        <f t="shared" si="16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7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150</v>
      </c>
      <c r="E189" s="21" t="str">
        <f t="shared" si="16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7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272</v>
      </c>
      <c r="E190" s="21" t="str">
        <f t="shared" si="16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7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164</v>
      </c>
      <c r="B191" s="20" t="s">
        <v>141</v>
      </c>
      <c r="C191" s="20" t="s">
        <v>163</v>
      </c>
      <c r="D191" s="20" t="s">
        <v>160</v>
      </c>
      <c r="E191" s="21" t="s">
        <v>408</v>
      </c>
      <c r="F191" s="22" t="str">
        <f>IF(OR(E191="",E191="!!!"),"",IF(NOT(ISNA(VLOOKUP(E191,E$1:E190,1,FALSE()))),"OLD",IF(AND(E191&lt;&gt;"",E191&lt;&gt;"!!!"),"NEW","")))</f>
        <v>OLD</v>
      </c>
      <c r="G191" s="23" t="s">
        <v>431</v>
      </c>
      <c r="H191" s="24" t="str">
        <f t="shared" ca="1" si="17"/>
        <v/>
      </c>
      <c r="I191" s="25" t="str">
        <f>IF(OR(E191="",E191="!!!",F191="NEW"),"",INDEX(B$2:B190,-1+SUMPRODUCT(MAX(ROW(E$2:E190)*(E191=E$2:E190)))))</f>
        <v>SBJ_2</v>
      </c>
      <c r="J191" s="25">
        <f ca="1">IF(OR(E191="",E191="!!!",F191="NEW"),"",COUNTBLANK(OFFSET(A$1,,,SUMPRODUCT(MAX(ROW(E$2:E191)*(E191=E$2:E191)))))-COUNTBLANK(OFFSET(A$1,,,SUMPRODUCT(MAX(ROW(E$1:E190)*(E2=E$1:E190))))))</f>
        <v>0</v>
      </c>
      <c r="K191" s="25">
        <f ca="1">IF(OR(E191="",E191="!!!",F191="NEW"),"",INDEX(J$1:J190,SUMPRODUCT(MAX(ROW(E$1:E190)*(E191=E$1:E190)))))</f>
        <v>0</v>
      </c>
      <c r="L191" s="26"/>
    </row>
    <row r="192" spans="1:12" x14ac:dyDescent="0.3">
      <c r="A192" t="s">
        <v>176</v>
      </c>
      <c r="E192" s="21" t="str">
        <f t="shared" si="16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7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4" spans="1:12" x14ac:dyDescent="0.3">
      <c r="A194" t="s">
        <v>273</v>
      </c>
    </row>
    <row r="195" spans="1:12" x14ac:dyDescent="0.3">
      <c r="A195" t="s">
        <v>162</v>
      </c>
      <c r="E195" s="21" t="s">
        <v>400</v>
      </c>
      <c r="F195" s="22" t="str">
        <f>IF(OR(E195="",E195="!!!"),"",IF(NOT(ISNA(VLOOKUP(E195,E$1:E194,1,FALSE()))),"OLD",IF(AND(E195&lt;&gt;"",E195&lt;&gt;"!!!"),"NEW","")))</f>
        <v>OLD</v>
      </c>
      <c r="G195" s="23" t="s">
        <v>432</v>
      </c>
      <c r="H195" s="24" t="str">
        <f t="shared" ref="H195:H202" ca="1" si="18">IF(J195&lt;&gt;1,"",IF(I195="SBJ","CB","?"))</f>
        <v/>
      </c>
      <c r="I195" s="25" t="str">
        <f>IF(OR(E195="",E195="!!!",F195="NEW"),"",INDEX(B$2:B194,-1+SUMPRODUCT(MAX(ROW(E$2:E194)*(E195=E$2:E194)))))</f>
        <v>OBJ_3</v>
      </c>
      <c r="J195" s="25">
        <f ca="1">IF(OR(E195="",E195="!!!",F195="NEW"),"",COUNTBLANK(OFFSET(A$1,,,SUMPRODUCT(MAX(ROW(E$2:E195)*(E195=E$2:E195)))))-COUNTBLANK(OFFSET(A$1,,,SUMPRODUCT(MAX(ROW(E$1:E194)*(E2=E$1:E194))))))</f>
        <v>0</v>
      </c>
      <c r="K195" s="25">
        <f ca="1">IF(OR(E195="",E195="!!!",F195="NEW"),"",INDEX(J$1:J194,SUMPRODUCT(MAX(ROW(E$1:E194)*(E195=E$1:E194)))))</f>
        <v>0</v>
      </c>
      <c r="L195" s="26" t="s">
        <v>416</v>
      </c>
    </row>
    <row r="196" spans="1:12" x14ac:dyDescent="0.3">
      <c r="A196" t="s">
        <v>274</v>
      </c>
      <c r="E196" s="21" t="str">
        <f t="shared" ref="E195:E202" si="19">IF(D196="?OLD","!!!","")</f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8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147</v>
      </c>
      <c r="E197" s="21" t="str">
        <f t="shared" si="19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8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275</v>
      </c>
      <c r="B198" s="20" t="s">
        <v>145</v>
      </c>
      <c r="C198" s="20" t="s">
        <v>142</v>
      </c>
      <c r="E198" s="21" t="str">
        <f t="shared" si="19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8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187</v>
      </c>
      <c r="E199" s="21" t="str">
        <f t="shared" si="19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8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276</v>
      </c>
      <c r="B200" s="20" t="s">
        <v>167</v>
      </c>
      <c r="C200" s="20" t="s">
        <v>146</v>
      </c>
      <c r="E200" s="21" t="str">
        <f t="shared" si="19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8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53</v>
      </c>
      <c r="E201" s="21" t="str">
        <f t="shared" si="19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8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176</v>
      </c>
      <c r="E202" s="21" t="str">
        <f t="shared" si="19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8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4" spans="1:12" x14ac:dyDescent="0.3">
      <c r="A204" t="s">
        <v>277</v>
      </c>
    </row>
    <row r="205" spans="1:12" x14ac:dyDescent="0.3">
      <c r="A205" t="s">
        <v>162</v>
      </c>
      <c r="B205" s="20" t="s">
        <v>141</v>
      </c>
      <c r="E205" s="21" t="s">
        <v>400</v>
      </c>
      <c r="F205" s="22" t="str">
        <f>IF(OR(E205="",E205="!!!"),"",IF(NOT(ISNA(VLOOKUP(E205,E$1:E204,1,FALSE()))),"OLD",IF(AND(E205&lt;&gt;"",E205&lt;&gt;"!!!"),"NEW","")))</f>
        <v>OLD</v>
      </c>
      <c r="G205" s="23" t="s">
        <v>431</v>
      </c>
      <c r="H205" s="24" t="s">
        <v>135</v>
      </c>
      <c r="I205" s="25">
        <f>IF(OR(E205="",E205="!!!",F205="NEW"),"",INDEX(B$2:B204,-1+SUMPRODUCT(MAX(ROW(E$2:E204)*(E205=E$2:E204)))))</f>
        <v>0</v>
      </c>
      <c r="J205" s="25">
        <f ca="1">IF(OR(E205="",E205="!!!",F205="NEW"),"",COUNTBLANK(OFFSET(A$1,,,SUMPRODUCT(MAX(ROW(E$2:E205)*(E205=E$2:E205)))))-COUNTBLANK(OFFSET(A$1,,,SUMPRODUCT(MAX(ROW(E$1:E204)*(E2=E$1:E204))))))</f>
        <v>0</v>
      </c>
      <c r="K205" s="25">
        <f ca="1">IF(OR(E205="",E205="!!!",F205="NEW"),"",INDEX(J$1:J204,SUMPRODUCT(MAX(ROW(E$1:E204)*(E205=E$1:E204)))))</f>
        <v>0</v>
      </c>
      <c r="L205" s="26" t="s">
        <v>416</v>
      </c>
    </row>
    <row r="206" spans="1:12" x14ac:dyDescent="0.3">
      <c r="A206" t="s">
        <v>278</v>
      </c>
      <c r="E206" s="21" t="str">
        <f t="shared" ref="E205:E223" si="20">IF(D206="?OLD","!!!","")</f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ref="H205:H223" ca="1" si="21">IF(J206&lt;&gt;1,"",IF(I206="SBJ","CB","?"))</f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279</v>
      </c>
      <c r="E207" s="21" t="str">
        <f t="shared" si="20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21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263</v>
      </c>
      <c r="B208" s="20" t="s">
        <v>171</v>
      </c>
      <c r="C208" s="20" t="s">
        <v>231</v>
      </c>
      <c r="E208" s="21" t="str">
        <f t="shared" si="20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21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280</v>
      </c>
      <c r="E209" s="21" t="str">
        <f t="shared" si="20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21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281</v>
      </c>
      <c r="E210" s="21" t="str">
        <f t="shared" si="20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21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282</v>
      </c>
      <c r="B211" s="20" t="s">
        <v>145</v>
      </c>
      <c r="C211" s="20" t="s">
        <v>175</v>
      </c>
      <c r="E211" s="21" t="str">
        <f t="shared" si="20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1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283</v>
      </c>
      <c r="E212" s="21" t="str">
        <f t="shared" si="20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21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284</v>
      </c>
      <c r="B213" s="20" t="s">
        <v>171</v>
      </c>
      <c r="C213" s="20" t="s">
        <v>142</v>
      </c>
      <c r="E213" s="21" t="str">
        <f t="shared" si="20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21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270</v>
      </c>
      <c r="E214" s="21" t="str">
        <f t="shared" si="20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1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56</v>
      </c>
      <c r="E215" s="21" t="str">
        <f t="shared" si="20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1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172</v>
      </c>
      <c r="E216" s="21" t="str">
        <f t="shared" si="20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1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203</v>
      </c>
      <c r="B217" s="20" t="s">
        <v>204</v>
      </c>
      <c r="C217" s="20" t="s">
        <v>183</v>
      </c>
      <c r="D217" s="20" t="s">
        <v>160</v>
      </c>
      <c r="E217" s="21" t="s">
        <v>400</v>
      </c>
      <c r="F217" s="22" t="str">
        <f>IF(OR(E217="",E217="!!!"),"",IF(NOT(ISNA(VLOOKUP(E217,E$1:E216,1,FALSE()))),"OLD",IF(AND(E217&lt;&gt;"",E217&lt;&gt;"!!!"),"NEW","")))</f>
        <v>OLD</v>
      </c>
      <c r="G217" s="23" t="s">
        <v>431</v>
      </c>
      <c r="H217" s="24" t="str">
        <f t="shared" ca="1" si="21"/>
        <v/>
      </c>
      <c r="I217" s="25" t="str">
        <f>IF(OR(E217="",E217="!!!",F217="NEW"),"",INDEX(B$2:B216,-1+SUMPRODUCT(MAX(ROW(E$2:E216)*(E217=E$2:E216)))))</f>
        <v>SBJ</v>
      </c>
      <c r="J217" s="25">
        <f ca="1">IF(OR(E217="",E217="!!!",F217="NEW"),"",COUNTBLANK(OFFSET(A$1,,,SUMPRODUCT(MAX(ROW(E$2:E217)*(E217=E$2:E217)))))-COUNTBLANK(OFFSET(A$1,,,SUMPRODUCT(MAX(ROW(E$1:E216)*(E2=E$1:E216))))))</f>
        <v>0</v>
      </c>
      <c r="K217" s="25">
        <f ca="1">IF(OR(E217="",E217="!!!",F217="NEW"),"",INDEX(J$1:J216,SUMPRODUCT(MAX(ROW(E$1:E216)*(E217=E$1:E216)))))</f>
        <v>0</v>
      </c>
      <c r="L217" s="26"/>
    </row>
    <row r="218" spans="1:12" x14ac:dyDescent="0.3">
      <c r="A218" t="s">
        <v>274</v>
      </c>
      <c r="E218" s="21" t="str">
        <f t="shared" si="20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1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270</v>
      </c>
      <c r="E219" s="21" t="str">
        <f t="shared" si="20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1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271</v>
      </c>
      <c r="E220" s="21" t="str">
        <f t="shared" si="20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1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217</v>
      </c>
      <c r="E221" s="21" t="str">
        <f t="shared" si="20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21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285</v>
      </c>
      <c r="E222" s="21" t="str">
        <f t="shared" si="20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1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176</v>
      </c>
      <c r="E223" s="21" t="str">
        <f t="shared" si="20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1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5" spans="1:12" x14ac:dyDescent="0.3">
      <c r="A225" t="s">
        <v>286</v>
      </c>
    </row>
    <row r="226" spans="1:12" x14ac:dyDescent="0.3">
      <c r="A226" t="s">
        <v>178</v>
      </c>
      <c r="E226" s="21" t="str">
        <f t="shared" ref="E226:E231" si="22">IF(D226="?OLD","!!!","")</f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ref="H226:H231" ca="1" si="23">IF(J226&lt;&gt;1,"",IF(I226="SBJ","CB","?"))</f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203</v>
      </c>
      <c r="B227" s="20" t="s">
        <v>141</v>
      </c>
      <c r="C227" s="20" t="s">
        <v>183</v>
      </c>
      <c r="D227" s="20" t="s">
        <v>160</v>
      </c>
      <c r="E227" s="21" t="s">
        <v>400</v>
      </c>
      <c r="F227" s="22" t="str">
        <f>IF(OR(E227="",E227="!!!"),"",IF(NOT(ISNA(VLOOKUP(E227,E$1:E226,1,FALSE()))),"OLD",IF(AND(E227&lt;&gt;"",E227&lt;&gt;"!!!"),"NEW","")))</f>
        <v>OLD</v>
      </c>
      <c r="G227" s="23" t="s">
        <v>431</v>
      </c>
      <c r="H227" s="24" t="s">
        <v>135</v>
      </c>
      <c r="I227" s="25" t="str">
        <f>IF(OR(E227="",E227="!!!",F227="NEW"),"",INDEX(B$2:B226,-1+SUMPRODUCT(MAX(ROW(E$2:E226)*(E227=E$2:E226)))))</f>
        <v>SBJ_2</v>
      </c>
      <c r="J227" s="25">
        <f ca="1">IF(OR(E227="",E227="!!!",F227="NEW"),"",COUNTBLANK(OFFSET(A$1,,,SUMPRODUCT(MAX(ROW(E$2:E227)*(E227=E$2:E227)))))-COUNTBLANK(OFFSET(A$1,,,SUMPRODUCT(MAX(ROW(E$1:E226)*(E2=E$1:E226))))))</f>
        <v>0</v>
      </c>
      <c r="K227" s="25">
        <f ca="1">IF(OR(E227="",E227="!!!",F227="NEW"),"",INDEX(J$1:J226,SUMPRODUCT(MAX(ROW(E$1:E226)*(E227=E$1:E226)))))</f>
        <v>0</v>
      </c>
      <c r="L227" s="26"/>
    </row>
    <row r="228" spans="1:12" x14ac:dyDescent="0.3">
      <c r="A228" t="s">
        <v>287</v>
      </c>
      <c r="E228" s="21" t="str">
        <f t="shared" si="22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3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288</v>
      </c>
      <c r="E229" s="21" t="str">
        <f t="shared" si="22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3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289</v>
      </c>
      <c r="B230" s="20" t="s">
        <v>167</v>
      </c>
      <c r="C230" s="20" t="s">
        <v>142</v>
      </c>
      <c r="E230" s="21" t="str">
        <f t="shared" si="22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3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176</v>
      </c>
      <c r="E231" s="21" t="str">
        <f t="shared" si="22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3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3" spans="1:12" x14ac:dyDescent="0.3">
      <c r="A233" t="s">
        <v>290</v>
      </c>
    </row>
    <row r="234" spans="1:12" x14ac:dyDescent="0.3">
      <c r="A234" t="s">
        <v>291</v>
      </c>
      <c r="B234" s="20" t="s">
        <v>141</v>
      </c>
      <c r="C234" s="20" t="s">
        <v>183</v>
      </c>
      <c r="D234" s="20" t="s">
        <v>160</v>
      </c>
      <c r="E234" s="21" t="s">
        <v>400</v>
      </c>
      <c r="F234" s="22" t="str">
        <f>IF(OR(E234="",E234="!!!"),"",IF(NOT(ISNA(VLOOKUP(E234,E$1:E233,1,FALSE()))),"OLD",IF(AND(E234&lt;&gt;"",E234&lt;&gt;"!!!"),"NEW","")))</f>
        <v>OLD</v>
      </c>
      <c r="G234" s="23" t="s">
        <v>431</v>
      </c>
      <c r="H234" s="24" t="s">
        <v>135</v>
      </c>
      <c r="I234" s="25" t="str">
        <f>IF(OR(E234="",E234="!!!",F234="NEW"),"",INDEX(B$2:B233,-1+SUMPRODUCT(MAX(ROW(E$2:E233)*(E234=E$2:E233)))))</f>
        <v>SBJ</v>
      </c>
      <c r="J234" s="25">
        <f ca="1">IF(OR(E234="",E234="!!!",F234="NEW"),"",COUNTBLANK(OFFSET(A$1,,,SUMPRODUCT(MAX(ROW(E$2:E234)*(E234=E$2:E234)))))-COUNTBLANK(OFFSET(A$1,,,SUMPRODUCT(MAX(ROW(E$1:E233)*(E2=E$1:E233))))))</f>
        <v>0</v>
      </c>
      <c r="K234" s="25">
        <f ca="1">IF(OR(E234="",E234="!!!",F234="NEW"),"",INDEX(J$1:J233,SUMPRODUCT(MAX(ROW(E$1:E233)*(E234=E$1:E233)))))</f>
        <v>0</v>
      </c>
      <c r="L234" s="26"/>
    </row>
    <row r="235" spans="1:12" x14ac:dyDescent="0.3">
      <c r="A235" t="s">
        <v>274</v>
      </c>
      <c r="E235" s="21" t="str">
        <f t="shared" ref="E234:E241" si="24">IF(D235="?OLD","!!!","")</f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ref="H234:H241" ca="1" si="25">IF(J235&lt;&gt;1,"",IF(I235="SBJ","CB","?"))</f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147</v>
      </c>
      <c r="E236" s="21" t="str">
        <f t="shared" si="24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25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292</v>
      </c>
      <c r="B237" s="20" t="s">
        <v>145</v>
      </c>
      <c r="C237" s="20" t="s">
        <v>142</v>
      </c>
      <c r="E237" s="21" t="str">
        <f t="shared" si="24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5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53</v>
      </c>
      <c r="E238" s="21" t="str">
        <f t="shared" si="24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5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172</v>
      </c>
      <c r="E239" s="21" t="str">
        <f t="shared" si="24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5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293</v>
      </c>
      <c r="B240" s="20" t="s">
        <v>145</v>
      </c>
      <c r="C240" s="20" t="s">
        <v>142</v>
      </c>
      <c r="E240" s="21" t="str">
        <f t="shared" si="24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5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176</v>
      </c>
      <c r="E241" s="21" t="str">
        <f t="shared" si="24"/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ca="1" si="25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3" spans="1:12" x14ac:dyDescent="0.3">
      <c r="A243" t="s">
        <v>294</v>
      </c>
    </row>
    <row r="244" spans="1:12" x14ac:dyDescent="0.3">
      <c r="A244" t="s">
        <v>291</v>
      </c>
      <c r="B244" s="20" t="s">
        <v>141</v>
      </c>
      <c r="C244" s="20" t="s">
        <v>183</v>
      </c>
      <c r="D244" s="20" t="s">
        <v>160</v>
      </c>
      <c r="E244" s="21" t="s">
        <v>400</v>
      </c>
      <c r="F244" s="22" t="str">
        <f>IF(OR(E244="",E244="!!!"),"",IF(NOT(ISNA(VLOOKUP(E244,E$1:E243,1,FALSE()))),"OLD",IF(AND(E244&lt;&gt;"",E244&lt;&gt;"!!!"),"NEW","")))</f>
        <v>OLD</v>
      </c>
      <c r="G244" s="23" t="s">
        <v>431</v>
      </c>
      <c r="H244" s="24" t="s">
        <v>135</v>
      </c>
      <c r="I244" s="25" t="str">
        <f>IF(OR(E244="",E244="!!!",F244="NEW"),"",INDEX(B$2:B243,-1+SUMPRODUCT(MAX(ROW(E$2:E243)*(E244=E$2:E243)))))</f>
        <v>SBJ</v>
      </c>
      <c r="J244" s="25">
        <f ca="1">IF(OR(E244="",E244="!!!",F244="NEW"),"",COUNTBLANK(OFFSET(A$1,,,SUMPRODUCT(MAX(ROW(E$2:E244)*(E244=E$2:E244)))))-COUNTBLANK(OFFSET(A$1,,,SUMPRODUCT(MAX(ROW(E$1:E243)*(E2=E$1:E243))))))</f>
        <v>0</v>
      </c>
      <c r="K244" s="25">
        <f ca="1">IF(OR(E244="",E244="!!!",F244="NEW"),"",INDEX(J$1:J243,SUMPRODUCT(MAX(ROW(E$1:E243)*(E244=E$1:E243)))))</f>
        <v>0</v>
      </c>
      <c r="L244" s="26"/>
    </row>
    <row r="245" spans="1:12" x14ac:dyDescent="0.3">
      <c r="A245" t="s">
        <v>161</v>
      </c>
      <c r="E245" s="21" t="str">
        <f t="shared" ref="E244:E258" si="26">IF(D245="?OLD","!!!","")</f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ref="H244:H258" ca="1" si="27">IF(J245&lt;&gt;1,"",IF(I245="SBJ","CB","?"))</f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295</v>
      </c>
      <c r="B246" s="20" t="s">
        <v>167</v>
      </c>
      <c r="C246" s="20" t="s">
        <v>183</v>
      </c>
      <c r="D246" s="20" t="s">
        <v>160</v>
      </c>
      <c r="E246" s="21"/>
      <c r="F246" s="22" t="s">
        <v>417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7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296</v>
      </c>
      <c r="E247" s="21" t="str">
        <f t="shared" si="26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7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169</v>
      </c>
      <c r="E248" s="21" t="str">
        <f t="shared" si="26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7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147</v>
      </c>
      <c r="E249" s="21" t="str">
        <f t="shared" si="26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7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297</v>
      </c>
      <c r="E250" s="21" t="str">
        <f t="shared" si="26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7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298</v>
      </c>
      <c r="E251" s="21" t="str">
        <f t="shared" si="26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7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299</v>
      </c>
      <c r="B252" s="20" t="s">
        <v>171</v>
      </c>
      <c r="C252" s="20" t="s">
        <v>256</v>
      </c>
      <c r="E252" s="21" t="str">
        <f t="shared" si="26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7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263</v>
      </c>
      <c r="E253" s="21" t="str">
        <f t="shared" si="26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7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300</v>
      </c>
      <c r="E254" s="21" t="str">
        <f t="shared" si="26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7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172</v>
      </c>
      <c r="E255" s="21" t="str">
        <f t="shared" si="26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7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263</v>
      </c>
      <c r="E256" s="21" t="str">
        <f t="shared" si="26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27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301</v>
      </c>
      <c r="E257" s="21" t="str">
        <f t="shared" si="26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27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176</v>
      </c>
      <c r="E258" s="21" t="str">
        <f t="shared" si="26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27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60" spans="1:12" x14ac:dyDescent="0.3">
      <c r="A260" t="s">
        <v>225</v>
      </c>
      <c r="E260" s="21" t="str">
        <f>IF(D260="?OLD","!!!","")</f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ca="1">IF(J260&lt;&gt;1,"",IF(I260="SBJ","CB","?"))</f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302</v>
      </c>
    </row>
    <row r="262" spans="1:12" x14ac:dyDescent="0.3">
      <c r="A262" t="s">
        <v>193</v>
      </c>
      <c r="B262" s="20" t="s">
        <v>141</v>
      </c>
      <c r="C262" s="20" t="s">
        <v>163</v>
      </c>
      <c r="D262" s="20" t="s">
        <v>160</v>
      </c>
      <c r="E262" s="21" t="s">
        <v>408</v>
      </c>
      <c r="F262" s="22" t="str">
        <f>IF(OR(E262="",E262="!!!"),"",IF(NOT(ISNA(VLOOKUP(E262,E$1:E261,1,FALSE()))),"OLD",IF(AND(E262&lt;&gt;"",E262&lt;&gt;"!!!"),"NEW","")))</f>
        <v>OLD</v>
      </c>
      <c r="G262" s="23" t="s">
        <v>430</v>
      </c>
      <c r="H262" s="24" t="str">
        <f t="shared" ref="H262:H281" ca="1" si="28">IF(J262&lt;&gt;1,"",IF(I262="SBJ","CB","?"))</f>
        <v/>
      </c>
      <c r="I262" s="25" t="str">
        <f>IF(OR(E262="",E262="!!!",F262="NEW"),"",INDEX(B$2:B261,-1+SUMPRODUCT(MAX(ROW(E$2:E261)*(E262=E$2:E261)))))</f>
        <v>SBJ</v>
      </c>
      <c r="J262" s="25">
        <f ca="1">IF(OR(E262="",E262="!!!",F262="NEW"),"",COUNTBLANK(OFFSET(A$1,,,SUMPRODUCT(MAX(ROW(E$2:E262)*(E262=E$2:E262)))))-COUNTBLANK(OFFSET(A$1,,,SUMPRODUCT(MAX(ROW(E$1:E261)*(E2=E$1:E261))))))</f>
        <v>0</v>
      </c>
      <c r="K262" s="25">
        <f ca="1">IF(OR(E262="",E262="!!!",F262="NEW"),"",INDEX(J$1:J261,SUMPRODUCT(MAX(ROW(E$1:E261)*(E262=E$1:E261)))))</f>
        <v>0</v>
      </c>
      <c r="L262" s="26"/>
    </row>
    <row r="263" spans="1:12" x14ac:dyDescent="0.3">
      <c r="A263" t="s">
        <v>303</v>
      </c>
      <c r="E263" s="21" t="str">
        <f t="shared" ref="E262:E281" si="29">IF(D263="?OLD","!!!","")</f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8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156</v>
      </c>
      <c r="E264" s="21" t="str">
        <f t="shared" si="29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8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304</v>
      </c>
      <c r="B265" s="20" t="s">
        <v>167</v>
      </c>
      <c r="C265" s="20" t="s">
        <v>168</v>
      </c>
      <c r="D265" s="20" t="s">
        <v>160</v>
      </c>
      <c r="E265" s="21" t="s">
        <v>418</v>
      </c>
      <c r="F265" s="22" t="str">
        <f>IF(OR(E265="",E265="!!!"),"",IF(NOT(ISNA(VLOOKUP(E265,E$1:E264,1,FALSE()))),"OLD",IF(AND(E265&lt;&gt;"",E265&lt;&gt;"!!!"),"NEW","")))</f>
        <v>NEW</v>
      </c>
      <c r="G265" s="23" t="s">
        <v>433</v>
      </c>
      <c r="H265" s="24" t="str">
        <f t="shared" ca="1" si="28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169</v>
      </c>
      <c r="E266" s="21" t="str">
        <f t="shared" si="29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8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156</v>
      </c>
      <c r="B267" s="20" t="s">
        <v>192</v>
      </c>
      <c r="E267" s="21" t="str">
        <f t="shared" si="29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8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232</v>
      </c>
      <c r="B268" s="20" t="s">
        <v>199</v>
      </c>
      <c r="E268" s="21" t="str">
        <f t="shared" si="29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8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162</v>
      </c>
      <c r="B269" s="20" t="s">
        <v>192</v>
      </c>
      <c r="C269" s="20" t="s">
        <v>163</v>
      </c>
      <c r="D269" s="20" t="s">
        <v>160</v>
      </c>
      <c r="E269" s="21" t="s">
        <v>400</v>
      </c>
      <c r="F269" s="22" t="str">
        <f>IF(OR(E269="",E269="!!!"),"",IF(NOT(ISNA(VLOOKUP(E269,E$1:E268,1,FALSE()))),"OLD",IF(AND(E269&lt;&gt;"",E269&lt;&gt;"!!!"),"NEW","")))</f>
        <v>OLD</v>
      </c>
      <c r="G269" s="23" t="s">
        <v>431</v>
      </c>
      <c r="H269" s="24" t="s">
        <v>135</v>
      </c>
      <c r="I269" s="25" t="str">
        <f>IF(OR(E269="",E269="!!!",F269="NEW"),"",INDEX(B$2:B268,-1+SUMPRODUCT(MAX(ROW(E$2:E268)*(E269=E$2:E268)))))</f>
        <v>SBJ</v>
      </c>
      <c r="J269" s="25">
        <f ca="1">IF(OR(E269="",E269="!!!",F269="NEW"),"",COUNTBLANK(OFFSET(A$1,,,SUMPRODUCT(MAX(ROW(E$2:E269)*(E269=E$2:E269)))))-COUNTBLANK(OFFSET(A$1,,,SUMPRODUCT(MAX(ROW(E$1:E268)*(E2=E$1:E268))))))</f>
        <v>0</v>
      </c>
      <c r="K269" s="25">
        <f ca="1">IF(OR(E269="",E269="!!!",F269="NEW"),"",INDEX(J$1:J268,SUMPRODUCT(MAX(ROW(E$1:E268)*(E269=E$1:E268)))))</f>
        <v>0</v>
      </c>
      <c r="L269" s="26"/>
    </row>
    <row r="270" spans="1:12" x14ac:dyDescent="0.3">
      <c r="A270" t="s">
        <v>305</v>
      </c>
      <c r="E270" s="21" t="str">
        <f t="shared" si="29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28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150</v>
      </c>
      <c r="E271" s="21" t="str">
        <f t="shared" si="29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8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306</v>
      </c>
      <c r="E272" s="21" t="str">
        <f t="shared" si="29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8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307</v>
      </c>
      <c r="E273" s="21" t="str">
        <f t="shared" si="29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8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308</v>
      </c>
      <c r="B274" s="20" t="s">
        <v>199</v>
      </c>
      <c r="C274" s="20" t="s">
        <v>183</v>
      </c>
      <c r="D274" s="20" t="s">
        <v>160</v>
      </c>
      <c r="E274" s="21" t="s">
        <v>400</v>
      </c>
      <c r="F274" s="22" t="str">
        <f>IF(OR(E274="",E274="!!!"),"",IF(NOT(ISNA(VLOOKUP(E274,E$1:E273,1,FALSE()))),"OLD",IF(AND(E274&lt;&gt;"",E274&lt;&gt;"!!!"),"NEW","")))</f>
        <v>OLD</v>
      </c>
      <c r="G274" s="23" t="s">
        <v>431</v>
      </c>
      <c r="H274" s="24" t="str">
        <f t="shared" ca="1" si="28"/>
        <v/>
      </c>
      <c r="I274" s="25" t="str">
        <f>IF(OR(E274="",E274="!!!",F274="NEW"),"",INDEX(B$2:B273,-1+SUMPRODUCT(MAX(ROW(E$2:E273)*(E274=E$2:E273)))))</f>
        <v>SBJ_3</v>
      </c>
      <c r="J274" s="25">
        <f ca="1">IF(OR(E274="",E274="!!!",F274="NEW"),"",COUNTBLANK(OFFSET(A$1,,,SUMPRODUCT(MAX(ROW(E$2:E274)*(E274=E$2:E274)))))-COUNTBLANK(OFFSET(A$1,,,SUMPRODUCT(MAX(ROW(E$1:E273)*(E2=E$1:E273))))))</f>
        <v>0</v>
      </c>
      <c r="K274" s="25">
        <f ca="1">IF(OR(E274="",E274="!!!",F274="NEW"),"",INDEX(J$1:J273,SUMPRODUCT(MAX(ROW(E$1:E273)*(E274=E$1:E273)))))</f>
        <v>0</v>
      </c>
      <c r="L274" s="26"/>
    </row>
    <row r="275" spans="1:12" x14ac:dyDescent="0.3">
      <c r="A275" t="s">
        <v>309</v>
      </c>
      <c r="B275" s="20" t="s">
        <v>192</v>
      </c>
      <c r="C275" s="20" t="s">
        <v>231</v>
      </c>
      <c r="E275" s="21" t="str">
        <f t="shared" si="29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8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310</v>
      </c>
      <c r="E276" s="21" t="str">
        <f t="shared" si="29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8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150</v>
      </c>
      <c r="E277" s="21" t="str">
        <f t="shared" si="29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8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311</v>
      </c>
      <c r="E278" s="21" t="str">
        <f t="shared" si="29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8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185</v>
      </c>
      <c r="E279" s="21" t="str">
        <f t="shared" si="29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8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176</v>
      </c>
      <c r="E280" s="21" t="str">
        <f t="shared" si="29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8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150</v>
      </c>
      <c r="E281" s="21" t="str">
        <f t="shared" si="29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8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3" spans="1:12" x14ac:dyDescent="0.3">
      <c r="A283" t="s">
        <v>225</v>
      </c>
      <c r="E283" s="21" t="str">
        <f>IF(D283="?OLD","!!!","")</f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ca="1">IF(J283&lt;&gt;1,"",IF(I283="SBJ","CB","?"))</f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312</v>
      </c>
    </row>
    <row r="285" spans="1:12" x14ac:dyDescent="0.3">
      <c r="A285" t="s">
        <v>150</v>
      </c>
      <c r="E285" s="21" t="str">
        <f t="shared" ref="E285:E297" si="30">IF(D285="?OLD","!!!","")</f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ref="H285:H297" ca="1" si="31">IF(J285&lt;&gt;1,"",IF(I285="SBJ","CB","?"))</f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313</v>
      </c>
      <c r="B286" s="20" t="s">
        <v>141</v>
      </c>
      <c r="C286" s="20" t="s">
        <v>191</v>
      </c>
      <c r="D286" s="20" t="s">
        <v>160</v>
      </c>
      <c r="E286" s="21" t="s">
        <v>419</v>
      </c>
      <c r="F286" s="22" t="s">
        <v>420</v>
      </c>
      <c r="G286" s="23" t="s">
        <v>430</v>
      </c>
      <c r="H286" s="24" t="str">
        <f t="shared" ca="1" si="31"/>
        <v/>
      </c>
      <c r="I286" s="25" t="e">
        <f>IF(OR(E286="",E286="!!!",F286="NEW"),"",INDEX(B$2:B285,-1+SUMPRODUCT(MAX(ROW(E$2:E285)*(E286=E$2:E285)))))</f>
        <v>#VALUE!</v>
      </c>
      <c r="J286" s="25">
        <f ca="1">IF(OR(E286="",E286="!!!",F286="NEW"),"",COUNTBLANK(OFFSET(A$1,,,SUMPRODUCT(MAX(ROW(E$2:E286)*(E286=E$2:E286)))))-COUNTBLANK(OFFSET(A$1,,,SUMPRODUCT(MAX(ROW(E$1:E285)*(E2=E$1:E285))))))</f>
        <v>0</v>
      </c>
      <c r="K286" s="25" t="e">
        <f>IF(OR(E286="",E286="!!!",F286="NEW"),"",INDEX(J$1:J285,SUMPRODUCT(MAX(ROW(E$1:E285)*(E286=E$1:E285)))))</f>
        <v>#VALUE!</v>
      </c>
      <c r="L286" s="26"/>
    </row>
    <row r="287" spans="1:12" x14ac:dyDescent="0.3">
      <c r="A287" t="s">
        <v>74</v>
      </c>
      <c r="E287" s="21" t="str">
        <f t="shared" si="30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31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314</v>
      </c>
      <c r="B288" s="20" t="s">
        <v>167</v>
      </c>
      <c r="C288" s="20" t="s">
        <v>183</v>
      </c>
      <c r="D288" s="20" t="s">
        <v>160</v>
      </c>
      <c r="E288" s="21" t="s">
        <v>400</v>
      </c>
      <c r="F288" s="22" t="str">
        <f>IF(OR(E288="",E288="!!!"),"",IF(NOT(ISNA(VLOOKUP(E288,E$1:E287,1,FALSE()))),"OLD",IF(AND(E288&lt;&gt;"",E288&lt;&gt;"!!!"),"NEW","")))</f>
        <v>OLD</v>
      </c>
      <c r="G288" s="23" t="s">
        <v>431</v>
      </c>
      <c r="H288" s="24" t="s">
        <v>135</v>
      </c>
      <c r="I288" s="25" t="str">
        <f>IF(OR(E288="",E288="!!!",F288="NEW"),"",INDEX(B$2:B287,-1+SUMPRODUCT(MAX(ROW(E$2:E287)*(E288=E$2:E287)))))</f>
        <v>OBJ_3</v>
      </c>
      <c r="J288" s="25">
        <f ca="1">IF(OR(E288="",E288="!!!",F288="NEW"),"",COUNTBLANK(OFFSET(A$1,,,SUMPRODUCT(MAX(ROW(E$2:E288)*(E288=E$2:E288)))))-COUNTBLANK(OFFSET(A$1,,,SUMPRODUCT(MAX(ROW(E$1:E287)*(E2=E$1:E287))))))</f>
        <v>0</v>
      </c>
      <c r="K288" s="25">
        <f ca="1">IF(OR(E288="",E288="!!!",F288="NEW"),"",INDEX(J$1:J287,SUMPRODUCT(MAX(ROW(E$1:E287)*(E288=E$1:E287)))))</f>
        <v>0</v>
      </c>
      <c r="L288" s="26"/>
    </row>
    <row r="289" spans="1:12" x14ac:dyDescent="0.3">
      <c r="A289" t="s">
        <v>304</v>
      </c>
      <c r="B289" s="20" t="s">
        <v>167</v>
      </c>
      <c r="C289" s="20" t="s">
        <v>142</v>
      </c>
      <c r="E289" s="21" t="s">
        <v>418</v>
      </c>
      <c r="F289" s="22" t="str">
        <f>IF(OR(E289="",E289="!!!"),"",IF(NOT(ISNA(VLOOKUP(E289,E$1:E288,1,FALSE()))),"OLD",IF(AND(E289&lt;&gt;"",E289&lt;&gt;"!!!"),"NEW","")))</f>
        <v>OLD</v>
      </c>
      <c r="G289" s="23" t="s">
        <v>432</v>
      </c>
      <c r="H289" s="24" t="str">
        <f t="shared" ca="1" si="31"/>
        <v/>
      </c>
      <c r="I289" s="25" t="str">
        <f>IF(OR(E289="",E289="!!!",F289="NEW"),"",INDEX(B$2:B288,-1+SUMPRODUCT(MAX(ROW(E$2:E288)*(E289=E$2:E288)))))</f>
        <v>OBJ</v>
      </c>
      <c r="J289" s="25">
        <f ca="1">IF(OR(E289="",E289="!!!",F289="NEW"),"",COUNTBLANK(OFFSET(A$1,,,SUMPRODUCT(MAX(ROW(E$2:E289)*(E289=E$2:E289)))))-COUNTBLANK(OFFSET(A$1,,,SUMPRODUCT(MAX(ROW(E$1:E288)*(E2=E$1:E288))))))</f>
        <v>0</v>
      </c>
      <c r="K289" s="25" t="str">
        <f ca="1">IF(OR(E289="",E289="!!!",F289="NEW"),"",INDEX(J$1:J288,SUMPRODUCT(MAX(ROW(E$1:E288)*(E289=E$1:E288)))))</f>
        <v/>
      </c>
      <c r="L289" s="26"/>
    </row>
    <row r="290" spans="1:12" x14ac:dyDescent="0.3">
      <c r="A290" t="s">
        <v>315</v>
      </c>
      <c r="E290" s="21" t="str">
        <f t="shared" si="30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31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169</v>
      </c>
      <c r="E291" s="21" t="str">
        <f t="shared" si="30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31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150</v>
      </c>
      <c r="E292" s="21" t="str">
        <f t="shared" si="30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31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316</v>
      </c>
      <c r="E293" s="21" t="str">
        <f t="shared" si="30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31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164</v>
      </c>
      <c r="B294" s="20" t="s">
        <v>204</v>
      </c>
      <c r="C294" s="20" t="s">
        <v>163</v>
      </c>
      <c r="D294" s="20" t="s">
        <v>160</v>
      </c>
      <c r="E294" s="21" t="s">
        <v>408</v>
      </c>
      <c r="F294" s="22" t="str">
        <f>IF(OR(E294="",E294="!!!"),"",IF(NOT(ISNA(VLOOKUP(E294,E$1:E293,1,FALSE()))),"OLD",IF(AND(E294&lt;&gt;"",E294&lt;&gt;"!!!"),"NEW","")))</f>
        <v>OLD</v>
      </c>
      <c r="G294" s="23" t="s">
        <v>431</v>
      </c>
      <c r="H294" s="24" t="str">
        <f t="shared" ca="1" si="31"/>
        <v/>
      </c>
      <c r="I294" s="25" t="str">
        <f>IF(OR(E294="",E294="!!!",F294="NEW"),"",INDEX(B$2:B293,-1+SUMPRODUCT(MAX(ROW(E$2:E293)*(E294=E$2:E293)))))</f>
        <v>SBJ</v>
      </c>
      <c r="J294" s="25">
        <f ca="1">IF(OR(E294="",E294="!!!",F294="NEW"),"",COUNTBLANK(OFFSET(A$1,,,SUMPRODUCT(MAX(ROW(E$2:E294)*(E294=E$2:E294)))))-COUNTBLANK(OFFSET(A$1,,,SUMPRODUCT(MAX(ROW(E$1:E293)*(E2=E$1:E293))))))</f>
        <v>0</v>
      </c>
      <c r="K294" s="25">
        <f ca="1">IF(OR(E294="",E294="!!!",F294="NEW"),"",INDEX(J$1:J293,SUMPRODUCT(MAX(ROW(E$1:E293)*(E294=E$1:E293)))))</f>
        <v>0</v>
      </c>
      <c r="L294" s="26"/>
    </row>
    <row r="295" spans="1:12" x14ac:dyDescent="0.3">
      <c r="A295" t="s">
        <v>317</v>
      </c>
      <c r="E295" s="21" t="str">
        <f t="shared" si="30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31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318</v>
      </c>
      <c r="E296" s="21" t="str">
        <f t="shared" si="30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31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176</v>
      </c>
      <c r="E297" s="21" t="str">
        <f t="shared" si="30"/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31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9" spans="1:12" x14ac:dyDescent="0.3">
      <c r="A299" t="s">
        <v>319</v>
      </c>
    </row>
    <row r="300" spans="1:12" x14ac:dyDescent="0.3">
      <c r="A300" t="s">
        <v>178</v>
      </c>
      <c r="E300" s="21" t="str">
        <f t="shared" ref="E300:E309" si="32">IF(D300="?OLD","!!!","")</f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ref="H300:H309" ca="1" si="33">IF(J300&lt;&gt;1,"",IF(I300="SBJ","CB","?"))</f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295</v>
      </c>
      <c r="B301" s="20" t="s">
        <v>204</v>
      </c>
      <c r="C301" s="20" t="s">
        <v>183</v>
      </c>
      <c r="D301" s="20" t="s">
        <v>160</v>
      </c>
      <c r="E301" s="21" t="s">
        <v>418</v>
      </c>
      <c r="F301" s="22" t="s">
        <v>420</v>
      </c>
      <c r="G301" s="23" t="s">
        <v>432</v>
      </c>
      <c r="H301" s="24" t="str">
        <f t="shared" ca="1" si="33"/>
        <v/>
      </c>
      <c r="I301" s="25" t="str">
        <f>IF(OR(E301="",E301="!!!",F301="NEW"),"",INDEX(B$2:B300,-1+SUMPRODUCT(MAX(ROW(E$2:E300)*(E301=E$2:E300)))))</f>
        <v>OBJ</v>
      </c>
      <c r="J301" s="25">
        <f ca="1">IF(OR(E301="",E301="!!!",F301="NEW"),"",COUNTBLANK(OFFSET(A$1,,,SUMPRODUCT(MAX(ROW(E$2:E301)*(E301=E$2:E301)))))-COUNTBLANK(OFFSET(A$1,,,SUMPRODUCT(MAX(ROW(E$1:E300)*(E2=E$1:E300))))))</f>
        <v>0</v>
      </c>
      <c r="K301" s="25">
        <f ca="1">IF(OR(E301="",E301="!!!",F301="NEW"),"",INDEX(J$1:J300,SUMPRODUCT(MAX(ROW(E$1:E300)*(E301=E$1:E300)))))</f>
        <v>0</v>
      </c>
      <c r="L301" s="26"/>
    </row>
    <row r="302" spans="1:12" x14ac:dyDescent="0.3">
      <c r="A302" t="s">
        <v>320</v>
      </c>
      <c r="E302" s="21" t="str">
        <f t="shared" si="32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33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321</v>
      </c>
      <c r="B303" s="20" t="s">
        <v>171</v>
      </c>
      <c r="C303" s="20" t="s">
        <v>191</v>
      </c>
      <c r="D303" s="20" t="s">
        <v>160</v>
      </c>
      <c r="E303" s="21"/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33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 t="s">
        <v>421</v>
      </c>
    </row>
    <row r="304" spans="1:12" x14ac:dyDescent="0.3">
      <c r="A304" t="s">
        <v>322</v>
      </c>
      <c r="E304" s="21" t="str">
        <f t="shared" si="32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3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304</v>
      </c>
      <c r="B305" s="20" t="s">
        <v>141</v>
      </c>
      <c r="C305" s="20" t="s">
        <v>256</v>
      </c>
      <c r="E305" s="21" t="str">
        <f t="shared" si="32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3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12</v>
      </c>
      <c r="E306" s="21" t="str">
        <f t="shared" si="32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3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323</v>
      </c>
      <c r="E307" s="21" t="str">
        <f t="shared" si="32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33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235</v>
      </c>
      <c r="B308" s="20" t="s">
        <v>167</v>
      </c>
      <c r="C308" s="20" t="s">
        <v>191</v>
      </c>
      <c r="D308" s="20" t="s">
        <v>160</v>
      </c>
      <c r="E308" s="21" t="s">
        <v>408</v>
      </c>
      <c r="F308" s="22" t="str">
        <f>IF(OR(E308="",E308="!!!"),"",IF(NOT(ISNA(VLOOKUP(E308,E$1:E307,1,FALSE()))),"OLD",IF(AND(E308&lt;&gt;"",E308&lt;&gt;"!!!"),"NEW","")))</f>
        <v>OLD</v>
      </c>
      <c r="G308" s="23" t="s">
        <v>431</v>
      </c>
      <c r="H308" s="24" t="s">
        <v>135</v>
      </c>
      <c r="I308" s="25" t="str">
        <f>IF(OR(E308="",E308="!!!",F308="NEW"),"",INDEX(B$2:B307,-1+SUMPRODUCT(MAX(ROW(E$2:E307)*(E308=E$2:E307)))))</f>
        <v>SBJ_2</v>
      </c>
      <c r="J308" s="25">
        <f ca="1">IF(OR(E308="",E308="!!!",F308="NEW"),"",COUNTBLANK(OFFSET(A$1,,,SUMPRODUCT(MAX(ROW(E$2:E308)*(E308=E$2:E308)))))-COUNTBLANK(OFFSET(A$1,,,SUMPRODUCT(MAX(ROW(E$1:E307)*(E2=E$1:E307))))))</f>
        <v>0</v>
      </c>
      <c r="K308" s="25">
        <f ca="1">IF(OR(E308="",E308="!!!",F308="NEW"),"",INDEX(J$1:J307,SUMPRODUCT(MAX(ROW(E$1:E307)*(E308=E$1:E307)))))</f>
        <v>0</v>
      </c>
      <c r="L308" s="26"/>
    </row>
    <row r="309" spans="1:12" x14ac:dyDescent="0.3">
      <c r="A309" t="s">
        <v>176</v>
      </c>
      <c r="E309" s="21" t="str">
        <f t="shared" si="32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33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1" spans="1:12" x14ac:dyDescent="0.3">
      <c r="A311" t="s">
        <v>324</v>
      </c>
    </row>
    <row r="312" spans="1:12" x14ac:dyDescent="0.3">
      <c r="A312" t="s">
        <v>162</v>
      </c>
      <c r="B312" s="20" t="s">
        <v>141</v>
      </c>
      <c r="C312" s="20" t="s">
        <v>163</v>
      </c>
      <c r="D312" s="20" t="s">
        <v>160</v>
      </c>
      <c r="E312" s="21" t="s">
        <v>400</v>
      </c>
      <c r="F312" s="22" t="str">
        <f>IF(OR(E312="",E312="!!!"),"",IF(NOT(ISNA(VLOOKUP(E312,E$1:E311,1,FALSE()))),"OLD",IF(AND(E312&lt;&gt;"",E312&lt;&gt;"!!!"),"NEW","")))</f>
        <v>OLD</v>
      </c>
      <c r="G312" s="23" t="s">
        <v>432</v>
      </c>
      <c r="H312" s="24" t="str">
        <f t="shared" ref="H312:H318" ca="1" si="34">IF(J312&lt;&gt;1,"",IF(I312="SBJ","CB","?"))</f>
        <v/>
      </c>
      <c r="I312" s="25" t="str">
        <f>IF(OR(E312="",E312="!!!",F312="NEW"),"",INDEX(B$2:B311,-1+SUMPRODUCT(MAX(ROW(E$2:E311)*(E312=E$2:E311)))))</f>
        <v>OBJ</v>
      </c>
      <c r="J312" s="25">
        <f ca="1">IF(OR(E312="",E312="!!!",F312="NEW"),"",COUNTBLANK(OFFSET(A$1,,,SUMPRODUCT(MAX(ROW(E$2:E312)*(E312=E$2:E312)))))-COUNTBLANK(OFFSET(A$1,,,SUMPRODUCT(MAX(ROW(E$1:E311)*(E2=E$1:E311))))))</f>
        <v>0</v>
      </c>
      <c r="K312" s="25">
        <f ca="1">IF(OR(E312="",E312="!!!",F312="NEW"),"",INDEX(J$1:J311,SUMPRODUCT(MAX(ROW(E$1:E311)*(E312=E$1:E311)))))</f>
        <v>0</v>
      </c>
      <c r="L312" s="26"/>
    </row>
    <row r="313" spans="1:12" x14ac:dyDescent="0.3">
      <c r="A313" t="s">
        <v>185</v>
      </c>
      <c r="E313" s="21" t="str">
        <f t="shared" ref="E312:E318" si="35">IF(D313="?OLD","!!!","")</f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4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325</v>
      </c>
      <c r="B314" s="20" t="s">
        <v>171</v>
      </c>
      <c r="C314" s="20" t="s">
        <v>231</v>
      </c>
      <c r="E314" s="21" t="str">
        <f t="shared" si="35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34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326</v>
      </c>
      <c r="B315" s="20" t="s">
        <v>167</v>
      </c>
      <c r="C315" s="20" t="s">
        <v>256</v>
      </c>
      <c r="E315" s="21" t="str">
        <f t="shared" si="35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34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327</v>
      </c>
      <c r="E316" s="21" t="str">
        <f t="shared" si="35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34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328</v>
      </c>
      <c r="E317" s="21" t="str">
        <f t="shared" si="35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34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176</v>
      </c>
      <c r="E318" s="21" t="str">
        <f t="shared" si="35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34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20" spans="1:12" x14ac:dyDescent="0.3">
      <c r="A320" t="s">
        <v>329</v>
      </c>
    </row>
    <row r="321" spans="1:12" x14ac:dyDescent="0.3">
      <c r="A321" t="s">
        <v>148</v>
      </c>
      <c r="E321" s="21" t="s">
        <v>401</v>
      </c>
      <c r="F321" s="22" t="str">
        <f>IF(OR(E321="",E321="!!!"),"",IF(NOT(ISNA(VLOOKUP(E321,E$1:E320,1,FALSE()))),"OLD",IF(AND(E321&lt;&gt;"",E321&lt;&gt;"!!!"),"NEW","")))</f>
        <v>OLD</v>
      </c>
      <c r="G321" s="23" t="s">
        <v>430</v>
      </c>
      <c r="H321" s="24" t="str">
        <f t="shared" ref="H321:H344" ca="1" si="36">IF(J321&lt;&gt;1,"",IF(I321="SBJ","CB","?"))</f>
        <v/>
      </c>
      <c r="I321" s="25">
        <f>IF(OR(E321="",E321="!!!",F321="NEW"),"",INDEX(B$2:B320,-1+SUMPRODUCT(MAX(ROW(E$2:E320)*(E321=E$2:E320)))))</f>
        <v>0</v>
      </c>
      <c r="J321" s="25">
        <f ca="1">IF(OR(E321="",E321="!!!",F321="NEW"),"",COUNTBLANK(OFFSET(A$1,,,SUMPRODUCT(MAX(ROW(E$2:E321)*(E321=E$2:E321)))))-COUNTBLANK(OFFSET(A$1,,,SUMPRODUCT(MAX(ROW(E$1:E320)*(E2=E$1:E320))))))</f>
        <v>0</v>
      </c>
      <c r="K321" s="25">
        <f ca="1">IF(OR(E321="",E321="!!!",F321="NEW"),"",INDEX(J$1:J320,SUMPRODUCT(MAX(ROW(E$1:E320)*(E321=E$1:E320)))))</f>
        <v>0</v>
      </c>
      <c r="L321" s="26"/>
    </row>
    <row r="322" spans="1:12" x14ac:dyDescent="0.3">
      <c r="A322" t="s">
        <v>185</v>
      </c>
      <c r="E322" s="21" t="str">
        <f t="shared" ref="E321:E344" si="37">IF(D322="?OLD","!!!","")</f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36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330</v>
      </c>
      <c r="E323" s="21" t="str">
        <f t="shared" si="37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36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331</v>
      </c>
      <c r="B324" s="20" t="s">
        <v>167</v>
      </c>
      <c r="C324" s="20" t="s">
        <v>146</v>
      </c>
      <c r="E324" s="21" t="str">
        <f t="shared" si="37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36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332</v>
      </c>
      <c r="E325" s="21" t="str">
        <f t="shared" si="37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36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333</v>
      </c>
      <c r="B326" s="20" t="s">
        <v>171</v>
      </c>
      <c r="C326" s="20" t="s">
        <v>142</v>
      </c>
      <c r="E326" s="21" t="str">
        <f t="shared" si="37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6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149</v>
      </c>
      <c r="E327" s="21" t="str">
        <f t="shared" si="37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6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334</v>
      </c>
      <c r="E328" s="21" t="s">
        <v>407</v>
      </c>
      <c r="F328" s="22" t="str">
        <f>IF(OR(E328="",E328="!!!"),"",IF(NOT(ISNA(VLOOKUP(E328,E$1:E327,1,FALSE()))),"OLD",IF(AND(E328&lt;&gt;"",E328&lt;&gt;"!!!"),"NEW","")))</f>
        <v>OLD</v>
      </c>
      <c r="G328" s="23" t="s">
        <v>430</v>
      </c>
      <c r="H328" s="24" t="str">
        <f t="shared" ca="1" si="36"/>
        <v/>
      </c>
      <c r="I328" s="25" t="str">
        <f>IF(OR(E328="",E328="!!!",F328="NEW"),"",INDEX(B$2:B327,-1+SUMPRODUCT(MAX(ROW(E$2:E327)*(E328=E$2:E327)))))</f>
        <v>other_2</v>
      </c>
      <c r="J328" s="25">
        <f ca="1">IF(OR(E328="",E328="!!!",F328="NEW"),"",COUNTBLANK(OFFSET(A$1,,,SUMPRODUCT(MAX(ROW(E$2:E328)*(E328=E$2:E328)))))-COUNTBLANK(OFFSET(A$1,,,SUMPRODUCT(MAX(ROW(E$1:E327)*(E2=E$1:E327))))))</f>
        <v>0</v>
      </c>
      <c r="K328" s="25" t="str">
        <f ca="1">IF(OR(E328="",E328="!!!",F328="NEW"),"",INDEX(J$1:J327,SUMPRODUCT(MAX(ROW(E$1:E327)*(E328=E$1:E327)))))</f>
        <v/>
      </c>
      <c r="L328" s="26"/>
    </row>
    <row r="329" spans="1:12" x14ac:dyDescent="0.3">
      <c r="A329" t="s">
        <v>179</v>
      </c>
      <c r="E329" s="21" t="str">
        <f t="shared" si="37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6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315</v>
      </c>
      <c r="E330" s="21" t="str">
        <f t="shared" si="37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6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162</v>
      </c>
      <c r="B331" s="20" t="s">
        <v>171</v>
      </c>
      <c r="C331" s="20" t="s">
        <v>142</v>
      </c>
      <c r="E331" s="21" t="s">
        <v>400</v>
      </c>
      <c r="F331" s="22" t="str">
        <f>IF(OR(E331="",E331="!!!"),"",IF(NOT(ISNA(VLOOKUP(E331,E$1:E330,1,FALSE()))),"OLD",IF(AND(E331&lt;&gt;"",E331&lt;&gt;"!!!"),"NEW","")))</f>
        <v>OLD</v>
      </c>
      <c r="G331" s="23" t="s">
        <v>431</v>
      </c>
      <c r="H331" s="24" t="s">
        <v>135</v>
      </c>
      <c r="I331" s="25" t="str">
        <f>IF(OR(E331="",E331="!!!",F331="NEW"),"",INDEX(B$2:B330,-1+SUMPRODUCT(MAX(ROW(E$2:E330)*(E331=E$2:E330)))))</f>
        <v>SBJ</v>
      </c>
      <c r="J331" s="25">
        <f ca="1">IF(OR(E331="",E331="!!!",F331="NEW"),"",COUNTBLANK(OFFSET(A$1,,,SUMPRODUCT(MAX(ROW(E$2:E331)*(E331=E$2:E331)))))-COUNTBLANK(OFFSET(A$1,,,SUMPRODUCT(MAX(ROW(E$1:E330)*(E2=E$1:E330))))))</f>
        <v>0</v>
      </c>
      <c r="K331" s="25">
        <f ca="1">IF(OR(E331="",E331="!!!",F331="NEW"),"",INDEX(J$1:J330,SUMPRODUCT(MAX(ROW(E$1:E330)*(E331=E$1:E330)))))</f>
        <v>0</v>
      </c>
      <c r="L331" s="26"/>
    </row>
    <row r="332" spans="1:12" x14ac:dyDescent="0.3">
      <c r="A332" t="s">
        <v>335</v>
      </c>
      <c r="E332" s="21" t="str">
        <f t="shared" si="37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6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336</v>
      </c>
      <c r="B333" s="20" t="s">
        <v>182</v>
      </c>
      <c r="C333" s="20" t="s">
        <v>142</v>
      </c>
      <c r="E333" s="21" t="str">
        <f t="shared" si="37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6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147</v>
      </c>
      <c r="E334" s="21" t="str">
        <f t="shared" si="37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36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337</v>
      </c>
      <c r="B335" s="20" t="s">
        <v>194</v>
      </c>
      <c r="C335" s="20" t="s">
        <v>142</v>
      </c>
      <c r="E335" s="21" t="str">
        <f t="shared" si="37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6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179</v>
      </c>
      <c r="E336" s="21" t="str">
        <f t="shared" si="37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6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338</v>
      </c>
      <c r="B337" s="20" t="s">
        <v>339</v>
      </c>
      <c r="C337" s="20" t="s">
        <v>142</v>
      </c>
      <c r="E337" s="21" t="str">
        <f t="shared" si="37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36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340</v>
      </c>
      <c r="E338" s="21" t="str">
        <f t="shared" si="37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6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341</v>
      </c>
      <c r="E339" s="21" t="str">
        <f t="shared" si="37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6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342</v>
      </c>
      <c r="B340" s="20" t="s">
        <v>343</v>
      </c>
      <c r="C340" s="20" t="s">
        <v>168</v>
      </c>
      <c r="D340" s="20" t="s">
        <v>160</v>
      </c>
      <c r="E340" s="21" t="s">
        <v>422</v>
      </c>
      <c r="F340" s="22" t="str">
        <f>IF(OR(E340="",E340="!!!"),"",IF(NOT(ISNA(VLOOKUP(E340,E$1:E339,1,FALSE()))),"OLD",IF(AND(E340&lt;&gt;"",E340&lt;&gt;"!!!"),"NEW","")))</f>
        <v>NEW</v>
      </c>
      <c r="G340" s="23" t="s">
        <v>433</v>
      </c>
      <c r="H340" s="24" t="str">
        <f t="shared" ca="1" si="36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195</v>
      </c>
      <c r="E341" s="21" t="str">
        <f t="shared" si="37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6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344</v>
      </c>
      <c r="E342" s="21" t="str">
        <f t="shared" si="37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6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197</v>
      </c>
      <c r="B343" s="20" t="s">
        <v>145</v>
      </c>
      <c r="C343" s="20" t="s">
        <v>168</v>
      </c>
      <c r="D343" s="20" t="s">
        <v>160</v>
      </c>
      <c r="E343" s="21"/>
      <c r="F343" s="22" t="s">
        <v>402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6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176</v>
      </c>
      <c r="E344" s="21" t="str">
        <f t="shared" si="37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6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6" spans="1:12" x14ac:dyDescent="0.3">
      <c r="A346" t="s">
        <v>345</v>
      </c>
    </row>
    <row r="347" spans="1:12" x14ac:dyDescent="0.3">
      <c r="A347" t="s">
        <v>346</v>
      </c>
      <c r="E347" s="21" t="str">
        <f t="shared" ref="E347:E354" si="38">IF(D347="?OLD","!!!","")</f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ref="H347:H354" ca="1" si="39">IF(J347&lt;&gt;1,"",IF(I347="SBJ","CB","?"))</f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347</v>
      </c>
      <c r="B348" s="20" t="s">
        <v>141</v>
      </c>
      <c r="C348" s="20" t="s">
        <v>168</v>
      </c>
      <c r="D348" s="20" t="s">
        <v>160</v>
      </c>
      <c r="E348" s="21" t="s">
        <v>423</v>
      </c>
      <c r="F348" s="22" t="s">
        <v>424</v>
      </c>
      <c r="G348" s="23" t="s">
        <v>433</v>
      </c>
      <c r="H348" s="24" t="str">
        <f t="shared" ca="1" si="39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172</v>
      </c>
      <c r="E349" s="21" t="str">
        <f t="shared" si="38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39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348</v>
      </c>
      <c r="B350" s="20" t="s">
        <v>171</v>
      </c>
      <c r="C350" s="20" t="s">
        <v>142</v>
      </c>
      <c r="E350" s="21" t="str">
        <f t="shared" si="38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9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248</v>
      </c>
      <c r="E351" s="21" t="str">
        <f t="shared" si="38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39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349</v>
      </c>
      <c r="E352" s="21" t="str">
        <f t="shared" si="38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9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88</v>
      </c>
      <c r="E353" s="21" t="str">
        <f t="shared" si="38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39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176</v>
      </c>
      <c r="E354" s="21" t="str">
        <f t="shared" si="38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39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6" spans="1:12" x14ac:dyDescent="0.3">
      <c r="A356" t="s">
        <v>350</v>
      </c>
    </row>
    <row r="357" spans="1:12" x14ac:dyDescent="0.3">
      <c r="A357" t="s">
        <v>151</v>
      </c>
      <c r="E357" s="21" t="str">
        <f t="shared" ref="E357:E376" si="40">IF(D357="?OLD","!!!","")</f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ref="H357:H376" ca="1" si="41">IF(J357&lt;&gt;1,"",IF(I357="SBJ","CB","?"))</f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320</v>
      </c>
      <c r="E358" s="21" t="str">
        <f t="shared" si="40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41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270</v>
      </c>
      <c r="E359" s="21" t="str">
        <f t="shared" si="40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41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263</v>
      </c>
      <c r="E360" s="21" t="str">
        <f t="shared" si="40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41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351</v>
      </c>
      <c r="E361" s="21" t="str">
        <f t="shared" si="40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41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263</v>
      </c>
      <c r="E362" s="21" t="str">
        <f t="shared" si="40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41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78</v>
      </c>
      <c r="E363" s="21" t="str">
        <f t="shared" si="40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41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169</v>
      </c>
      <c r="E364" s="21" t="str">
        <f t="shared" si="40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41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179</v>
      </c>
      <c r="E365" s="21" t="str">
        <f t="shared" si="40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41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295</v>
      </c>
      <c r="E366" s="21"/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41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165</v>
      </c>
      <c r="E367" s="21" t="str">
        <f t="shared" si="40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41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352</v>
      </c>
      <c r="B368" s="20" t="s">
        <v>204</v>
      </c>
      <c r="C368" s="20" t="s">
        <v>168</v>
      </c>
      <c r="D368" s="20" t="s">
        <v>160</v>
      </c>
      <c r="E368" s="21"/>
      <c r="F368" s="22" t="s">
        <v>402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41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344</v>
      </c>
      <c r="E369" s="21" t="str">
        <f t="shared" si="40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41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147</v>
      </c>
      <c r="E370" s="21" t="str">
        <f t="shared" si="40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41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341</v>
      </c>
      <c r="E371" s="21" t="str">
        <f t="shared" si="40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41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342</v>
      </c>
      <c r="B372" s="20" t="s">
        <v>182</v>
      </c>
      <c r="C372" s="20" t="s">
        <v>168</v>
      </c>
      <c r="D372" s="20" t="s">
        <v>160</v>
      </c>
      <c r="E372" s="21" t="s">
        <v>422</v>
      </c>
      <c r="F372" s="22" t="str">
        <f>IF(OR(E372="",E372="!!!"),"",IF(NOT(ISNA(VLOOKUP(E372,E$1:E371,1,FALSE()))),"OLD",IF(AND(E372&lt;&gt;"",E372&lt;&gt;"!!!"),"NEW","")))</f>
        <v>OLD</v>
      </c>
      <c r="G372" s="23" t="s">
        <v>432</v>
      </c>
      <c r="H372" s="24" t="str">
        <f t="shared" ca="1" si="41"/>
        <v/>
      </c>
      <c r="I372" s="25" t="str">
        <f>IF(OR(E372="",E372="!!!",F372="NEW"),"",INDEX(B$2:B371,-1+SUMPRODUCT(MAX(ROW(E$2:E371)*(E372=E$2:E371)))))</f>
        <v>other_6</v>
      </c>
      <c r="J372" s="25">
        <f ca="1">IF(OR(E372="",E372="!!!",F372="NEW"),"",COUNTBLANK(OFFSET(A$1,,,SUMPRODUCT(MAX(ROW(E$2:E372)*(E372=E$2:E372)))))-COUNTBLANK(OFFSET(A$1,,,SUMPRODUCT(MAX(ROW(E$1:E371)*(E2=E$1:E371))))))</f>
        <v>0</v>
      </c>
      <c r="K372" s="25" t="str">
        <f ca="1">IF(OR(E372="",E372="!!!",F372="NEW"),"",INDEX(J$1:J371,SUMPRODUCT(MAX(ROW(E$1:E371)*(E372=E$1:E371)))))</f>
        <v/>
      </c>
      <c r="L372" s="26"/>
    </row>
    <row r="373" spans="1:12" x14ac:dyDescent="0.3">
      <c r="A373" t="s">
        <v>353</v>
      </c>
      <c r="E373" s="21" t="str">
        <f t="shared" si="40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41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354</v>
      </c>
      <c r="E374" s="21" t="str">
        <f t="shared" si="40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41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152</v>
      </c>
      <c r="E375" s="21" t="str">
        <f t="shared" si="40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41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176</v>
      </c>
      <c r="E376" s="21" t="str">
        <f t="shared" si="40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41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8" spans="1:12" x14ac:dyDescent="0.3">
      <c r="A378" t="s">
        <v>355</v>
      </c>
    </row>
    <row r="379" spans="1:12" x14ac:dyDescent="0.3">
      <c r="A379" t="s">
        <v>164</v>
      </c>
      <c r="B379" s="20" t="s">
        <v>141</v>
      </c>
      <c r="C379" s="20" t="s">
        <v>163</v>
      </c>
      <c r="D379" s="20" t="s">
        <v>160</v>
      </c>
      <c r="E379" s="21" t="s">
        <v>408</v>
      </c>
      <c r="F379" s="22" t="str">
        <f>IF(OR(E379="",E379="!!!"),"",IF(NOT(ISNA(VLOOKUP(E379,E$1:E378,1,FALSE()))),"OLD",IF(AND(E379&lt;&gt;"",E379&lt;&gt;"!!!"),"NEW","")))</f>
        <v>OLD</v>
      </c>
      <c r="G379" s="23" t="s">
        <v>430</v>
      </c>
      <c r="H379" s="24" t="str">
        <f t="shared" ref="H379:H389" ca="1" si="42">IF(J379&lt;&gt;1,"",IF(I379="SBJ","CB","?"))</f>
        <v/>
      </c>
      <c r="I379" s="25" t="str">
        <f>IF(OR(E379="",E379="!!!",F379="NEW"),"",INDEX(B$2:B378,-1+SUMPRODUCT(MAX(ROW(E$2:E378)*(E379=E$2:E378)))))</f>
        <v>OBJ</v>
      </c>
      <c r="J379" s="25">
        <f ca="1">IF(OR(E379="",E379="!!!",F379="NEW"),"",COUNTBLANK(OFFSET(A$1,,,SUMPRODUCT(MAX(ROW(E$2:E379)*(E379=E$2:E379)))))-COUNTBLANK(OFFSET(A$1,,,SUMPRODUCT(MAX(ROW(E$1:E378)*(E2=E$1:E378))))))</f>
        <v>0</v>
      </c>
      <c r="K379" s="25">
        <f ca="1">IF(OR(E379="",E379="!!!",F379="NEW"),"",INDEX(J$1:J378,SUMPRODUCT(MAX(ROW(E$1:E378)*(E379=E$1:E378)))))</f>
        <v>0</v>
      </c>
      <c r="L379" s="26"/>
    </row>
    <row r="380" spans="1:12" x14ac:dyDescent="0.3">
      <c r="A380" t="s">
        <v>356</v>
      </c>
      <c r="E380" s="21" t="str">
        <f t="shared" ref="E379:E389" si="43">IF(D380="?OLD","!!!","")</f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42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232</v>
      </c>
      <c r="B381" s="20" t="s">
        <v>167</v>
      </c>
      <c r="E381" s="21" t="str">
        <f t="shared" si="43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2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332</v>
      </c>
      <c r="E382" s="21" t="str">
        <f t="shared" si="43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2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357</v>
      </c>
      <c r="E383" s="21" t="str">
        <f t="shared" si="43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42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358</v>
      </c>
      <c r="E384" s="21" t="str">
        <f t="shared" si="43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42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359</v>
      </c>
      <c r="B385" s="20" t="s">
        <v>145</v>
      </c>
      <c r="C385" s="20" t="s">
        <v>168</v>
      </c>
      <c r="D385" s="20" t="s">
        <v>160</v>
      </c>
      <c r="E385" s="21"/>
      <c r="F385" s="22" t="s">
        <v>425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42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187</v>
      </c>
      <c r="E386" s="21" t="str">
        <f t="shared" si="43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2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360</v>
      </c>
      <c r="E387" s="21" t="str">
        <f t="shared" si="43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42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361</v>
      </c>
      <c r="B388" s="20" t="s">
        <v>171</v>
      </c>
      <c r="C388" s="20" t="s">
        <v>146</v>
      </c>
      <c r="E388" s="21" t="str">
        <f t="shared" si="43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42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176</v>
      </c>
      <c r="E389" s="21" t="str">
        <f t="shared" si="43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42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1" spans="1:12" x14ac:dyDescent="0.3">
      <c r="A391" t="s">
        <v>362</v>
      </c>
    </row>
    <row r="392" spans="1:12" x14ac:dyDescent="0.3">
      <c r="A392" t="s">
        <v>215</v>
      </c>
      <c r="B392" s="20" t="s">
        <v>141</v>
      </c>
      <c r="C392" s="20" t="s">
        <v>183</v>
      </c>
      <c r="D392" s="20" t="s">
        <v>160</v>
      </c>
      <c r="E392" s="21" t="s">
        <v>408</v>
      </c>
      <c r="F392" s="22" t="str">
        <f>IF(OR(E392="",E392="!!!"),"",IF(NOT(ISNA(VLOOKUP(E392,E$1:E391,1,FALSE()))),"OLD",IF(AND(E392&lt;&gt;"",E392&lt;&gt;"!!!"),"NEW","")))</f>
        <v>OLD</v>
      </c>
      <c r="G392" s="23" t="s">
        <v>431</v>
      </c>
      <c r="H392" s="24" t="s">
        <v>135</v>
      </c>
      <c r="I392" s="25" t="str">
        <f>IF(OR(E392="",E392="!!!",F392="NEW"),"",INDEX(B$2:B391,-1+SUMPRODUCT(MAX(ROW(E$2:E391)*(E392=E$2:E391)))))</f>
        <v>SBJ</v>
      </c>
      <c r="J392" s="25">
        <f ca="1">IF(OR(E392="",E392="!!!",F392="NEW"),"",COUNTBLANK(OFFSET(A$1,,,SUMPRODUCT(MAX(ROW(E$2:E392)*(E392=E$2:E392)))))-COUNTBLANK(OFFSET(A$1,,,SUMPRODUCT(MAX(ROW(E$1:E391)*(E2=E$1:E391))))))</f>
        <v>0</v>
      </c>
      <c r="K392" s="25">
        <f ca="1">IF(OR(E392="",E392="!!!",F392="NEW"),"",INDEX(J$1:J391,SUMPRODUCT(MAX(ROW(E$1:E391)*(E392=E$1:E391)))))</f>
        <v>0</v>
      </c>
      <c r="L392" s="26"/>
    </row>
    <row r="393" spans="1:12" x14ac:dyDescent="0.3">
      <c r="A393" t="s">
        <v>363</v>
      </c>
      <c r="E393" s="21" t="str">
        <f t="shared" ref="E392:E399" si="44">IF(D393="?OLD","!!!","")</f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ref="H392:H399" ca="1" si="45">IF(J393&lt;&gt;1,"",IF(I393="SBJ","CB","?"))</f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364</v>
      </c>
      <c r="E394" s="21" t="str">
        <f t="shared" si="44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45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169</v>
      </c>
      <c r="E395" s="21" t="str">
        <f t="shared" si="44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45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365</v>
      </c>
      <c r="B396" s="20" t="s">
        <v>204</v>
      </c>
      <c r="C396" s="20" t="s">
        <v>191</v>
      </c>
      <c r="D396" s="20" t="s">
        <v>160</v>
      </c>
      <c r="E396" s="21" t="s">
        <v>426</v>
      </c>
      <c r="F396" s="22" t="str">
        <f>IF(OR(E396="",E396="!!!"),"",IF(NOT(ISNA(VLOOKUP(E396,E$1:E395,1,FALSE()))),"OLD",IF(AND(E396&lt;&gt;"",E396&lt;&gt;"!!!"),"NEW","")))</f>
        <v>NEW</v>
      </c>
      <c r="G396" s="23" t="s">
        <v>433</v>
      </c>
      <c r="H396" s="24" t="str">
        <f t="shared" ca="1" si="45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152</v>
      </c>
      <c r="E397" s="21" t="str">
        <f t="shared" si="44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45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105</v>
      </c>
      <c r="E398" s="21" t="str">
        <f t="shared" si="44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45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366</v>
      </c>
      <c r="E399" s="21" t="str">
        <f t="shared" si="44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45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1" spans="1:12" x14ac:dyDescent="0.3">
      <c r="A401" t="s">
        <v>367</v>
      </c>
    </row>
    <row r="402" spans="1:12" x14ac:dyDescent="0.3">
      <c r="A402" t="s">
        <v>227</v>
      </c>
      <c r="B402" s="20" t="s">
        <v>141</v>
      </c>
      <c r="C402" s="20" t="s">
        <v>191</v>
      </c>
      <c r="D402" s="20" t="s">
        <v>160</v>
      </c>
      <c r="E402" s="21" t="s">
        <v>426</v>
      </c>
      <c r="F402" s="22" t="str">
        <f>IF(OR(E402="",E402="!!!"),"",IF(NOT(ISNA(VLOOKUP(E402,E$1:E401,1,FALSE()))),"OLD",IF(AND(E402&lt;&gt;"",E402&lt;&gt;"!!!"),"NEW","")))</f>
        <v>OLD</v>
      </c>
      <c r="G402" s="23" t="s">
        <v>432</v>
      </c>
      <c r="H402" s="24" t="s">
        <v>135</v>
      </c>
      <c r="I402" s="25" t="str">
        <f>IF(OR(E402="",E402="!!!",F402="NEW"),"",INDEX(B$2:B401,-1+SUMPRODUCT(MAX(ROW(E$2:E401)*(E402=E$2:E401)))))</f>
        <v>SBJ_2</v>
      </c>
      <c r="J402" s="25">
        <f ca="1">IF(OR(E402="",E402="!!!",F402="NEW"),"",COUNTBLANK(OFFSET(A$1,,,SUMPRODUCT(MAX(ROW(E$2:E402)*(E402=E$2:E402)))))-COUNTBLANK(OFFSET(A$1,,,SUMPRODUCT(MAX(ROW(E$1:E401)*(E2=E$1:E401))))))</f>
        <v>0</v>
      </c>
      <c r="K402" s="25" t="str">
        <f ca="1">IF(OR(E402="",E402="!!!",F402="NEW"),"",INDEX(J$1:J401,SUMPRODUCT(MAX(ROW(E$1:E401)*(E402=E$1:E401)))))</f>
        <v/>
      </c>
      <c r="L402" s="26"/>
    </row>
    <row r="403" spans="1:12" x14ac:dyDescent="0.3">
      <c r="A403" t="s">
        <v>152</v>
      </c>
      <c r="E403" s="21" t="str">
        <f>IF(D403="?OLD","!!!","")</f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ca="1">IF(J403&lt;&gt;1,"",IF(I403="SBJ","CB","?"))</f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105</v>
      </c>
      <c r="E404" s="21" t="str">
        <f>IF(D404="?OLD","!!!","")</f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ca="1">IF(J404&lt;&gt;1,"",IF(I404="SBJ","CB","?"))</f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366</v>
      </c>
      <c r="E405" s="21" t="str">
        <f>IF(D405="?OLD","!!!","")</f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ca="1">IF(J405&lt;&gt;1,"",IF(I405="SBJ","CB","?"))</f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7" spans="1:12" x14ac:dyDescent="0.3">
      <c r="A407" t="s">
        <v>368</v>
      </c>
    </row>
    <row r="408" spans="1:12" x14ac:dyDescent="0.3">
      <c r="A408" t="s">
        <v>369</v>
      </c>
      <c r="E408" s="21" t="str">
        <f t="shared" ref="E408:E416" si="46">IF(D408="?OLD","!!!","")</f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ref="H408:H416" ca="1" si="47">IF(J408&lt;&gt;1,"",IF(I408="SBJ","CB","?"))</f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235</v>
      </c>
      <c r="B409" s="20" t="s">
        <v>141</v>
      </c>
      <c r="C409" s="20" t="s">
        <v>191</v>
      </c>
      <c r="D409" s="20" t="s">
        <v>160</v>
      </c>
      <c r="E409" s="21" t="s">
        <v>408</v>
      </c>
      <c r="F409" s="22" t="str">
        <f>IF(OR(E409="",E409="!!!"),"",IF(NOT(ISNA(VLOOKUP(E409,E$1:E408,1,FALSE()))),"OLD",IF(AND(E409&lt;&gt;"",E409&lt;&gt;"!!!"),"NEW","")))</f>
        <v>OLD</v>
      </c>
      <c r="G409" s="23" t="s">
        <v>432</v>
      </c>
      <c r="H409" s="24" t="str">
        <f t="shared" ca="1" si="47"/>
        <v/>
      </c>
      <c r="I409" s="25" t="str">
        <f>IF(OR(E409="",E409="!!!",F409="NEW"),"",INDEX(B$2:B408,-1+SUMPRODUCT(MAX(ROW(E$2:E408)*(E409=E$2:E408)))))</f>
        <v>SBJ</v>
      </c>
      <c r="J409" s="25">
        <f ca="1">IF(OR(E409="",E409="!!!",F409="NEW"),"",COUNTBLANK(OFFSET(A$1,,,SUMPRODUCT(MAX(ROW(E$2:E409)*(E409=E$2:E409)))))-COUNTBLANK(OFFSET(A$1,,,SUMPRODUCT(MAX(ROW(E$1:E408)*(E2=E$1:E408))))))</f>
        <v>0</v>
      </c>
      <c r="K409" s="25">
        <f ca="1">IF(OR(E409="",E409="!!!",F409="NEW"),"",INDEX(J$1:J408,SUMPRODUCT(MAX(ROW(E$1:E408)*(E409=E$1:E408)))))</f>
        <v>0</v>
      </c>
      <c r="L409" s="26"/>
    </row>
    <row r="410" spans="1:12" x14ac:dyDescent="0.3">
      <c r="A410" t="s">
        <v>370</v>
      </c>
      <c r="E410" s="21" t="str">
        <f t="shared" si="46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47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295</v>
      </c>
      <c r="B411" s="20" t="s">
        <v>167</v>
      </c>
      <c r="C411" s="20" t="s">
        <v>183</v>
      </c>
      <c r="D411" s="20" t="s">
        <v>160</v>
      </c>
      <c r="E411" s="21" t="s">
        <v>426</v>
      </c>
      <c r="F411" s="22" t="str">
        <f>IF(OR(E411="",E411="!!!"),"",IF(NOT(ISNA(VLOOKUP(E411,E$1:E410,1,FALSE()))),"OLD",IF(AND(E411&lt;&gt;"",E411&lt;&gt;"!!!"),"NEW","")))</f>
        <v>OLD</v>
      </c>
      <c r="G411" s="23" t="s">
        <v>431</v>
      </c>
      <c r="H411" s="24" t="s">
        <v>135</v>
      </c>
      <c r="I411" s="25" t="str">
        <f>IF(OR(E411="",E411="!!!",F411="NEW"),"",INDEX(B$2:B410,-1+SUMPRODUCT(MAX(ROW(E$2:E410)*(E411=E$2:E410)))))</f>
        <v>SBJ</v>
      </c>
      <c r="J411" s="25">
        <f ca="1">IF(OR(E411="",E411="!!!",F411="NEW"),"",COUNTBLANK(OFFSET(A$1,,,SUMPRODUCT(MAX(ROW(E$2:E411)*(E411=E$2:E411)))))-COUNTBLANK(OFFSET(A$1,,,SUMPRODUCT(MAX(ROW(E$1:E410)*(E2=E$1:E410))))))</f>
        <v>0</v>
      </c>
      <c r="K411" s="25">
        <f ca="1">IF(OR(E411="",E411="!!!",F411="NEW"),"",INDEX(J$1:J410,SUMPRODUCT(MAX(ROW(E$1:E410)*(E411=E$1:E410)))))</f>
        <v>0</v>
      </c>
      <c r="L411" s="26"/>
    </row>
    <row r="412" spans="1:12" x14ac:dyDescent="0.3">
      <c r="A412" t="s">
        <v>270</v>
      </c>
      <c r="E412" s="21" t="str">
        <f t="shared" si="46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7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271</v>
      </c>
      <c r="E413" s="21" t="str">
        <f t="shared" si="46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7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217</v>
      </c>
      <c r="E414" s="21" t="str">
        <f t="shared" si="46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7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371</v>
      </c>
      <c r="E415" s="21" t="str">
        <f t="shared" si="46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7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176</v>
      </c>
      <c r="E416" s="21" t="str">
        <f t="shared" si="46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47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8" spans="1:12" x14ac:dyDescent="0.3">
      <c r="A418" t="s">
        <v>372</v>
      </c>
    </row>
    <row r="419" spans="1:12" x14ac:dyDescent="0.3">
      <c r="A419" t="s">
        <v>215</v>
      </c>
      <c r="B419" s="20" t="s">
        <v>141</v>
      </c>
      <c r="C419" s="20" t="s">
        <v>183</v>
      </c>
      <c r="D419" s="20" t="s">
        <v>160</v>
      </c>
      <c r="E419" s="21" t="s">
        <v>408</v>
      </c>
      <c r="F419" s="22" t="str">
        <f>IF(OR(E419="",E419="!!!"),"",IF(NOT(ISNA(VLOOKUP(E419,E$1:E418,1,FALSE()))),"OLD",IF(AND(E419&lt;&gt;"",E419&lt;&gt;"!!!"),"NEW","")))</f>
        <v>OLD</v>
      </c>
      <c r="G419" s="23" t="s">
        <v>431</v>
      </c>
      <c r="H419" s="24" t="s">
        <v>135</v>
      </c>
      <c r="I419" s="25" t="str">
        <f>IF(OR(E419="",E419="!!!",F419="NEW"),"",INDEX(B$2:B418,-1+SUMPRODUCT(MAX(ROW(E$2:E418)*(E419=E$2:E418)))))</f>
        <v>SBJ</v>
      </c>
      <c r="J419" s="25">
        <f ca="1">IF(OR(E419="",E419="!!!",F419="NEW"),"",COUNTBLANK(OFFSET(A$1,,,SUMPRODUCT(MAX(ROW(E$2:E419)*(E419=E$2:E419)))))-COUNTBLANK(OFFSET(A$1,,,SUMPRODUCT(MAX(ROW(E$1:E418)*(E2=E$1:E418))))))</f>
        <v>0</v>
      </c>
      <c r="K419" s="25">
        <f ca="1">IF(OR(E419="",E419="!!!",F419="NEW"),"",INDEX(J$1:J418,SUMPRODUCT(MAX(ROW(E$1:E418)*(E419=E$1:E418)))))</f>
        <v>0</v>
      </c>
      <c r="L419" s="26"/>
    </row>
    <row r="420" spans="1:12" x14ac:dyDescent="0.3">
      <c r="A420" t="s">
        <v>221</v>
      </c>
      <c r="E420" s="21" t="str">
        <f t="shared" ref="E419:E444" si="48">IF(D420="?OLD","!!!","")</f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ref="H419:H444" ca="1" si="49">IF(J420&lt;&gt;1,"",IF(I420="SBJ","CB","?"))</f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373</v>
      </c>
      <c r="E421" s="21" t="str">
        <f t="shared" si="48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49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374</v>
      </c>
      <c r="E422" s="21" t="str">
        <f t="shared" si="48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49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375</v>
      </c>
      <c r="E423" s="21" t="str">
        <f t="shared" si="48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9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376</v>
      </c>
      <c r="B424" s="20" t="s">
        <v>145</v>
      </c>
      <c r="C424" s="20" t="s">
        <v>142</v>
      </c>
      <c r="E424" s="21" t="str">
        <f t="shared" si="48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9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217</v>
      </c>
      <c r="E425" s="21" t="str">
        <f t="shared" si="48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9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377</v>
      </c>
      <c r="E426" s="21" t="str">
        <f t="shared" si="48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9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207</v>
      </c>
      <c r="E427" s="21" t="str">
        <f t="shared" si="48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9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344</v>
      </c>
      <c r="E428" s="21" t="str">
        <f t="shared" si="48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9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378</v>
      </c>
      <c r="B429" s="20" t="s">
        <v>145</v>
      </c>
      <c r="C429" s="20" t="s">
        <v>168</v>
      </c>
      <c r="D429" s="20" t="s">
        <v>160</v>
      </c>
      <c r="E429" s="21" t="s">
        <v>427</v>
      </c>
      <c r="F429" s="22" t="str">
        <f>IF(OR(E429="",E429="!!!"),"",IF(NOT(ISNA(VLOOKUP(E429,E$1:E428,1,FALSE()))),"OLD",IF(AND(E429&lt;&gt;"",E429&lt;&gt;"!!!"),"NEW","")))</f>
        <v>NEW</v>
      </c>
      <c r="G429" s="23" t="s">
        <v>430</v>
      </c>
      <c r="H429" s="24" t="str">
        <f t="shared" ca="1" si="49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379</v>
      </c>
      <c r="E430" s="21" t="str">
        <f t="shared" si="48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9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169</v>
      </c>
      <c r="E431" s="21" t="str">
        <f t="shared" si="48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9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380</v>
      </c>
      <c r="E432" s="21" t="str">
        <f t="shared" si="48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49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222</v>
      </c>
      <c r="B433" s="20" t="s">
        <v>204</v>
      </c>
      <c r="C433" s="20" t="s">
        <v>183</v>
      </c>
      <c r="D433" s="20" t="s">
        <v>160</v>
      </c>
      <c r="E433" s="21" t="s">
        <v>408</v>
      </c>
      <c r="F433" s="22" t="str">
        <f>IF(OR(E433="",E433="!!!"),"",IF(NOT(ISNA(VLOOKUP(E433,E$1:E432,1,FALSE()))),"OLD",IF(AND(E433&lt;&gt;"",E433&lt;&gt;"!!!"),"NEW","")))</f>
        <v>OLD</v>
      </c>
      <c r="G433" s="23" t="s">
        <v>431</v>
      </c>
      <c r="H433" s="24" t="str">
        <f t="shared" ca="1" si="49"/>
        <v/>
      </c>
      <c r="I433" s="25" t="str">
        <f>IF(OR(E433="",E433="!!!",F433="NEW"),"",INDEX(B$2:B432,-1+SUMPRODUCT(MAX(ROW(E$2:E432)*(E433=E$2:E432)))))</f>
        <v>SBJ</v>
      </c>
      <c r="J433" s="25">
        <f ca="1">IF(OR(E433="",E433="!!!",F433="NEW"),"",COUNTBLANK(OFFSET(A$1,,,SUMPRODUCT(MAX(ROW(E$2:E433)*(E433=E$2:E433)))))-COUNTBLANK(OFFSET(A$1,,,SUMPRODUCT(MAX(ROW(E$1:E432)*(E2=E$1:E432))))))</f>
        <v>0</v>
      </c>
      <c r="K433" s="25">
        <f ca="1">IF(OR(E433="",E433="!!!",F433="NEW"),"",INDEX(J$1:J432,SUMPRODUCT(MAX(ROW(E$1:E432)*(E433=E$1:E432)))))</f>
        <v>0</v>
      </c>
      <c r="L433" s="26"/>
    </row>
    <row r="434" spans="1:12" x14ac:dyDescent="0.3">
      <c r="A434" t="s">
        <v>217</v>
      </c>
      <c r="E434" s="21" t="str">
        <f t="shared" si="48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9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381</v>
      </c>
      <c r="E435" s="21" t="str">
        <f t="shared" si="48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49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169</v>
      </c>
      <c r="E436" s="21" t="str">
        <f t="shared" si="48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49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243</v>
      </c>
      <c r="E437" s="21" t="str">
        <f t="shared" si="48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49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235</v>
      </c>
      <c r="B438" s="20" t="s">
        <v>192</v>
      </c>
      <c r="C438" s="20" t="s">
        <v>191</v>
      </c>
      <c r="D438" s="20" t="s">
        <v>160</v>
      </c>
      <c r="E438" s="21" t="s">
        <v>427</v>
      </c>
      <c r="F438" s="22" t="str">
        <f>IF(OR(E438="",E438="!!!"),"",IF(NOT(ISNA(VLOOKUP(E438,E$1:E437,1,FALSE()))),"OLD",IF(AND(E438&lt;&gt;"",E438&lt;&gt;"!!!"),"NEW","")))</f>
        <v>OLD</v>
      </c>
      <c r="G438" s="23" t="s">
        <v>431</v>
      </c>
      <c r="H438" s="24" t="str">
        <f t="shared" ca="1" si="49"/>
        <v/>
      </c>
      <c r="I438" s="25" t="str">
        <f>IF(OR(E438="",E438="!!!",F438="NEW"),"",INDEX(B$2:B437,-1+SUMPRODUCT(MAX(ROW(E$2:E437)*(E438=E$2:E437)))))</f>
        <v>other</v>
      </c>
      <c r="J438" s="25">
        <f ca="1">IF(OR(E438="",E438="!!!",F438="NEW"),"",COUNTBLANK(OFFSET(A$1,,,SUMPRODUCT(MAX(ROW(E$2:E438)*(E438=E$2:E438)))))-COUNTBLANK(OFFSET(A$1,,,SUMPRODUCT(MAX(ROW(E$1:E437)*(E2=E$1:E437))))))</f>
        <v>0</v>
      </c>
      <c r="K438" s="25" t="str">
        <f ca="1">IF(OR(E438="",E438="!!!",F438="NEW"),"",INDEX(J$1:J437,SUMPRODUCT(MAX(ROW(E$1:E437)*(E438=E$1:E437)))))</f>
        <v/>
      </c>
      <c r="L438" s="26"/>
    </row>
    <row r="439" spans="1:12" x14ac:dyDescent="0.3">
      <c r="A439" t="s">
        <v>308</v>
      </c>
      <c r="B439" s="20" t="s">
        <v>199</v>
      </c>
      <c r="C439" s="20" t="s">
        <v>183</v>
      </c>
      <c r="D439" s="20" t="s">
        <v>160</v>
      </c>
      <c r="E439" s="21" t="s">
        <v>408</v>
      </c>
      <c r="F439" s="22" t="str">
        <f>IF(OR(E439="",E439="!!!"),"",IF(NOT(ISNA(VLOOKUP(E439,E$1:E438,1,FALSE()))),"OLD",IF(AND(E439&lt;&gt;"",E439&lt;&gt;"!!!"),"NEW","")))</f>
        <v>OLD</v>
      </c>
      <c r="G439" s="23" t="s">
        <v>431</v>
      </c>
      <c r="H439" s="24" t="str">
        <f t="shared" ca="1" si="49"/>
        <v/>
      </c>
      <c r="I439" s="25" t="str">
        <f>IF(OR(E439="",E439="!!!",F439="NEW"),"",INDEX(B$2:B438,-1+SUMPRODUCT(MAX(ROW(E$2:E438)*(E439=E$2:E438)))))</f>
        <v>SBJ_2</v>
      </c>
      <c r="J439" s="25">
        <f ca="1">IF(OR(E439="",E439="!!!",F439="NEW"),"",COUNTBLANK(OFFSET(A$1,,,SUMPRODUCT(MAX(ROW(E$2:E439)*(E439=E$2:E439)))))-COUNTBLANK(OFFSET(A$1,,,SUMPRODUCT(MAX(ROW(E$1:E438)*(E2=E$1:E438))))))</f>
        <v>0</v>
      </c>
      <c r="K439" s="25">
        <f ca="1">IF(OR(E439="",E439="!!!",F439="NEW"),"",INDEX(J$1:J438,SUMPRODUCT(MAX(ROW(E$1:E438)*(E439=E$1:E438)))))</f>
        <v>0</v>
      </c>
      <c r="L439" s="26"/>
    </row>
    <row r="440" spans="1:12" x14ac:dyDescent="0.3">
      <c r="A440" t="s">
        <v>382</v>
      </c>
      <c r="B440" s="20" t="s">
        <v>192</v>
      </c>
      <c r="C440" s="20" t="s">
        <v>231</v>
      </c>
      <c r="E440" s="21" t="str">
        <f t="shared" si="48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49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371</v>
      </c>
      <c r="E441" s="21" t="str">
        <f t="shared" si="48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9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78</v>
      </c>
      <c r="E442" s="21" t="str">
        <f t="shared" si="48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9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274</v>
      </c>
      <c r="E443" s="21" t="str">
        <f t="shared" si="48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49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176</v>
      </c>
      <c r="E444" s="21" t="str">
        <f t="shared" si="48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9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6" spans="1:12" x14ac:dyDescent="0.3">
      <c r="A446" t="s">
        <v>383</v>
      </c>
    </row>
    <row r="447" spans="1:12" x14ac:dyDescent="0.3">
      <c r="A447" t="s">
        <v>178</v>
      </c>
      <c r="E447" s="21" t="str">
        <f t="shared" ref="E447:E466" si="50">IF(D447="?OLD","!!!","")</f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ref="H447:H466" ca="1" si="51">IF(J447&lt;&gt;1,"",IF(I447="SBJ","CB","?"))</f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164</v>
      </c>
      <c r="B448" s="20" t="s">
        <v>141</v>
      </c>
      <c r="C448" s="20" t="s">
        <v>163</v>
      </c>
      <c r="D448" s="20" t="s">
        <v>160</v>
      </c>
      <c r="E448" s="21" t="s">
        <v>408</v>
      </c>
      <c r="F448" s="22" t="str">
        <f>IF(OR(E448="",E448="!!!"),"",IF(NOT(ISNA(VLOOKUP(E448,E$1:E447,1,FALSE()))),"OLD",IF(AND(E448&lt;&gt;"",E448&lt;&gt;"!!!"),"NEW","")))</f>
        <v>OLD</v>
      </c>
      <c r="G448" s="23" t="s">
        <v>431</v>
      </c>
      <c r="H448" s="24" t="s">
        <v>135</v>
      </c>
      <c r="I448" s="25" t="str">
        <f>IF(OR(E448="",E448="!!!",F448="NEW"),"",INDEX(B$2:B447,-1+SUMPRODUCT(MAX(ROW(E$2:E447)*(E448=E$2:E447)))))</f>
        <v>OBJ_3</v>
      </c>
      <c r="J448" s="25">
        <f ca="1">IF(OR(E448="",E448="!!!",F448="NEW"),"",COUNTBLANK(OFFSET(A$1,,,SUMPRODUCT(MAX(ROW(E$2:E448)*(E448=E$2:E448)))))-COUNTBLANK(OFFSET(A$1,,,SUMPRODUCT(MAX(ROW(E$1:E447)*(E2=E$1:E447))))))</f>
        <v>0</v>
      </c>
      <c r="K448" s="25">
        <f ca="1">IF(OR(E448="",E448="!!!",F448="NEW"),"",INDEX(J$1:J447,SUMPRODUCT(MAX(ROW(E$1:E447)*(E448=E$1:E447)))))</f>
        <v>0</v>
      </c>
      <c r="L448" s="26"/>
    </row>
    <row r="449" spans="1:12" x14ac:dyDescent="0.3">
      <c r="A449" t="s">
        <v>185</v>
      </c>
      <c r="E449" s="21" t="str">
        <f t="shared" si="50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51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384</v>
      </c>
      <c r="E450" s="21" t="str">
        <f t="shared" si="50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51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385</v>
      </c>
      <c r="E451" s="21" t="str">
        <f t="shared" si="50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51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386</v>
      </c>
      <c r="B452" s="20" t="s">
        <v>167</v>
      </c>
      <c r="C452" s="20" t="s">
        <v>146</v>
      </c>
      <c r="E452" s="21" t="str">
        <f t="shared" si="50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51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305</v>
      </c>
      <c r="E453" s="21" t="str">
        <f t="shared" si="50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51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387</v>
      </c>
      <c r="B454" s="20" t="s">
        <v>171</v>
      </c>
      <c r="C454" s="20" t="s">
        <v>163</v>
      </c>
      <c r="D454" s="20" t="s">
        <v>160</v>
      </c>
      <c r="E454" s="21" t="s">
        <v>428</v>
      </c>
      <c r="F454" s="22" t="s">
        <v>424</v>
      </c>
      <c r="G454" s="23" t="s">
        <v>430</v>
      </c>
      <c r="H454" s="24" t="str">
        <f t="shared" ca="1" si="51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388</v>
      </c>
      <c r="E455" s="21" t="str">
        <f t="shared" si="50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51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389</v>
      </c>
      <c r="B456" s="20" t="s">
        <v>182</v>
      </c>
      <c r="C456" s="20" t="s">
        <v>163</v>
      </c>
      <c r="D456" s="20" t="s">
        <v>160</v>
      </c>
      <c r="E456" s="21" t="s">
        <v>429</v>
      </c>
      <c r="F456" s="22" t="str">
        <f>IF(OR(E456="",E456="!!!"),"",IF(NOT(ISNA(VLOOKUP(E456,E$1:E455,1,FALSE()))),"OLD",IF(AND(E456&lt;&gt;"",E456&lt;&gt;"!!!"),"NEW","")))</f>
        <v>NEW</v>
      </c>
      <c r="G456" s="23" t="s">
        <v>433</v>
      </c>
      <c r="H456" s="24" t="str">
        <f t="shared" ca="1" si="51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147</v>
      </c>
      <c r="E457" s="21" t="str">
        <f t="shared" si="50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51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390</v>
      </c>
      <c r="B458" s="20" t="s">
        <v>145</v>
      </c>
      <c r="C458" s="20" t="s">
        <v>142</v>
      </c>
      <c r="E458" s="21" t="str">
        <f t="shared" si="50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51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169</v>
      </c>
      <c r="E459" s="21" t="str">
        <f t="shared" si="50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51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156</v>
      </c>
      <c r="B460" s="20" t="s">
        <v>192</v>
      </c>
      <c r="E460" s="21" t="str">
        <f t="shared" si="50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51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391</v>
      </c>
      <c r="E461" s="21" t="str">
        <f t="shared" si="50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51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357</v>
      </c>
      <c r="E462" s="21" t="str">
        <f t="shared" si="50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51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342</v>
      </c>
      <c r="B463" s="20" t="s">
        <v>182</v>
      </c>
      <c r="C463" s="20" t="s">
        <v>168</v>
      </c>
      <c r="D463" s="20" t="s">
        <v>160</v>
      </c>
      <c r="E463" s="21" t="s">
        <v>422</v>
      </c>
      <c r="F463" s="22" t="str">
        <f>IF(OR(E463="",E463="!!!"),"",IF(NOT(ISNA(VLOOKUP(E463,E$1:E462,1,FALSE()))),"OLD",IF(AND(E463&lt;&gt;"",E463&lt;&gt;"!!!"),"NEW","")))</f>
        <v>OLD</v>
      </c>
      <c r="G463" s="23" t="s">
        <v>430</v>
      </c>
      <c r="H463" s="24" t="str">
        <f t="shared" ca="1" si="51"/>
        <v/>
      </c>
      <c r="I463" s="25" t="str">
        <f>IF(OR(E463="",E463="!!!",F463="NEW"),"",INDEX(B$2:B462,-1+SUMPRODUCT(MAX(ROW(E$2:E462)*(E463=E$2:E462)))))</f>
        <v>other_3</v>
      </c>
      <c r="J463" s="25">
        <f ca="1">IF(OR(E463="",E463="!!!",F463="NEW"),"",COUNTBLANK(OFFSET(A$1,,,SUMPRODUCT(MAX(ROW(E$2:E463)*(E463=E$2:E463)))))-COUNTBLANK(OFFSET(A$1,,,SUMPRODUCT(MAX(ROW(E$1:E462)*(E2=E$1:E462))))))</f>
        <v>0</v>
      </c>
      <c r="K463" s="25">
        <f ca="1">IF(OR(E463="",E463="!!!",F463="NEW"),"",INDEX(J$1:J462,SUMPRODUCT(MAX(ROW(E$1:E462)*(E463=E$1:E462)))))</f>
        <v>0</v>
      </c>
      <c r="L463" s="26"/>
    </row>
    <row r="464" spans="1:12" x14ac:dyDescent="0.3">
      <c r="A464" t="s">
        <v>392</v>
      </c>
      <c r="E464" s="21" t="str">
        <f t="shared" si="50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51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393</v>
      </c>
      <c r="E465" s="21" t="str">
        <f t="shared" si="50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51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176</v>
      </c>
      <c r="E466" s="21" t="str">
        <f t="shared" si="50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51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8" spans="1:12" x14ac:dyDescent="0.3">
      <c r="A468" t="s">
        <v>394</v>
      </c>
    </row>
    <row r="469" spans="1:12" x14ac:dyDescent="0.3">
      <c r="A469" t="s">
        <v>151</v>
      </c>
      <c r="B469" s="20" t="s">
        <v>141</v>
      </c>
      <c r="C469" s="20" t="s">
        <v>183</v>
      </c>
      <c r="D469" s="20" t="s">
        <v>160</v>
      </c>
      <c r="E469" s="21"/>
      <c r="F469" s="22" t="s">
        <v>417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ca="1">IF(J469&lt;&gt;1,"",IF(I469="SBJ","CB","?"))</f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152</v>
      </c>
      <c r="E470" s="21" t="str">
        <f>IF(D470="?OLD","!!!","")</f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ca="1">IF(J470&lt;&gt;1,"",IF(I470="SBJ","CB","?"))</f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153</v>
      </c>
      <c r="E471" s="21" t="str">
        <f>IF(D471="?OLD","!!!","")</f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ca="1">IF(J471&lt;&gt;1,"",IF(I471="SBJ","CB","?"))</f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176</v>
      </c>
      <c r="E472" s="21" t="str">
        <f>IF(D472="?OLD","!!!","")</f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ca="1">IF(J472&lt;&gt;1,"",IF(I472="SBJ","CB","?"))</f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4" spans="1:12" x14ac:dyDescent="0.3">
      <c r="A474" t="s">
        <v>395</v>
      </c>
    </row>
    <row r="475" spans="1:12" x14ac:dyDescent="0.3">
      <c r="A475" t="s">
        <v>396</v>
      </c>
      <c r="B475" s="20" t="s">
        <v>141</v>
      </c>
      <c r="C475" s="20" t="s">
        <v>183</v>
      </c>
      <c r="D475" s="20" t="s">
        <v>160</v>
      </c>
      <c r="E475" s="21" t="s">
        <v>428</v>
      </c>
      <c r="F475" s="22" t="str">
        <f>IF(OR(E475="",E475="!!!"),"",IF(NOT(ISNA(VLOOKUP(E475,E$1:E474,1,FALSE()))),"OLD",IF(AND(E475&lt;&gt;"",E475&lt;&gt;"!!!"),"NEW","")))</f>
        <v>OLD</v>
      </c>
      <c r="G475" s="23" t="s">
        <v>432</v>
      </c>
      <c r="H475" s="24" t="str">
        <f t="shared" ref="H475:H485" ca="1" si="52">IF(J475&lt;&gt;1,"",IF(I475="SBJ","CB","?"))</f>
        <v/>
      </c>
      <c r="I475" s="25" t="str">
        <f>IF(OR(E475="",E475="!!!",F475="NEW"),"",INDEX(B$2:B474,-1+SUMPRODUCT(MAX(ROW(E$2:E474)*(E475=E$2:E474)))))</f>
        <v>other_2</v>
      </c>
      <c r="J475" s="25">
        <f ca="1">IF(OR(E475="",E475="!!!",F475="NEW"),"",COUNTBLANK(OFFSET(A$1,,,SUMPRODUCT(MAX(ROW(E$2:E475)*(E475=E$2:E475)))))-COUNTBLANK(OFFSET(A$1,,,SUMPRODUCT(MAX(ROW(E$1:E474)*(E2=E$1:E474))))))</f>
        <v>0</v>
      </c>
      <c r="K475" s="25" t="str">
        <f ca="1">IF(OR(E475="",E475="!!!",F475="NEW"),"",INDEX(J$1:J474,SUMPRODUCT(MAX(ROW(E$1:E474)*(E475=E$1:E474)))))</f>
        <v/>
      </c>
      <c r="L475" s="26"/>
    </row>
    <row r="476" spans="1:12" x14ac:dyDescent="0.3">
      <c r="A476" t="s">
        <v>109</v>
      </c>
      <c r="E476" s="21" t="str">
        <f t="shared" ref="E475:E485" si="53">IF(D476="?OLD","!!!","")</f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2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169</v>
      </c>
      <c r="E477" s="21" t="str">
        <f t="shared" si="53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2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243</v>
      </c>
      <c r="E478" s="21" t="str">
        <f t="shared" si="53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52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295</v>
      </c>
      <c r="B479" s="20" t="s">
        <v>204</v>
      </c>
      <c r="C479" s="20" t="s">
        <v>183</v>
      </c>
      <c r="D479" s="20" t="s">
        <v>160</v>
      </c>
      <c r="E479" s="21"/>
      <c r="F479" s="22" t="s">
        <v>417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2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305</v>
      </c>
      <c r="E480" s="21" t="str">
        <f t="shared" si="53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52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396</v>
      </c>
      <c r="B481" s="20" t="s">
        <v>171</v>
      </c>
      <c r="C481" s="20" t="s">
        <v>183</v>
      </c>
      <c r="D481" s="20" t="s">
        <v>160</v>
      </c>
      <c r="E481" s="21" t="s">
        <v>428</v>
      </c>
      <c r="F481" s="22" t="str">
        <f>IF(OR(E481="",E481="!!!"),"",IF(NOT(ISNA(VLOOKUP(E481,E$1:E480,1,FALSE()))),"OLD",IF(AND(E481&lt;&gt;"",E481&lt;&gt;"!!!"),"NEW","")))</f>
        <v>OLD</v>
      </c>
      <c r="G481" s="23" t="s">
        <v>431</v>
      </c>
      <c r="H481" s="24" t="str">
        <f t="shared" ca="1" si="52"/>
        <v/>
      </c>
      <c r="I481" s="25" t="str">
        <f>IF(OR(E481="",E481="!!!",F481="NEW"),"",INDEX(B$2:B480,-1+SUMPRODUCT(MAX(ROW(E$2:E480)*(E481=E$2:E480)))))</f>
        <v>SBJ</v>
      </c>
      <c r="J481" s="25">
        <f ca="1">IF(OR(E481="",E481="!!!",F481="NEW"),"",COUNTBLANK(OFFSET(A$1,,,SUMPRODUCT(MAX(ROW(E$2:E481)*(E481=E$2:E481)))))-COUNTBLANK(OFFSET(A$1,,,SUMPRODUCT(MAX(ROW(E$1:E480)*(E2=E$1:E480))))))</f>
        <v>0</v>
      </c>
      <c r="K481" s="25">
        <f ca="1">IF(OR(E481="",E481="!!!",F481="NEW"),"",INDEX(J$1:J480,SUMPRODUCT(MAX(ROW(E$1:E480)*(E481=E$1:E480)))))</f>
        <v>0</v>
      </c>
      <c r="L481" s="26"/>
    </row>
    <row r="482" spans="1:12" x14ac:dyDescent="0.3">
      <c r="A482" t="s">
        <v>153</v>
      </c>
      <c r="E482" s="21" t="str">
        <f t="shared" si="53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52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119</v>
      </c>
      <c r="E483" s="21" t="str">
        <f t="shared" si="53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52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152</v>
      </c>
      <c r="E484" s="21" t="str">
        <f t="shared" si="53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52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176</v>
      </c>
      <c r="E485" s="21" t="str">
        <f t="shared" si="53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52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7" spans="1:12" x14ac:dyDescent="0.3">
      <c r="A487" t="s">
        <v>397</v>
      </c>
    </row>
    <row r="488" spans="1:12" x14ac:dyDescent="0.3">
      <c r="A488" t="s">
        <v>396</v>
      </c>
      <c r="B488" s="20" t="s">
        <v>141</v>
      </c>
      <c r="C488" s="20" t="s">
        <v>183</v>
      </c>
      <c r="D488" s="20" t="s">
        <v>160</v>
      </c>
      <c r="E488" s="21" t="s">
        <v>428</v>
      </c>
      <c r="F488" s="22" t="str">
        <f>IF(OR(E488="",E488="!!!"),"",IF(NOT(ISNA(VLOOKUP(E488,E$1:E487,1,FALSE()))),"OLD",IF(AND(E488&lt;&gt;"",E488&lt;&gt;"!!!"),"NEW","")))</f>
        <v>OLD</v>
      </c>
      <c r="G488" s="23" t="s">
        <v>431</v>
      </c>
      <c r="H488" s="24" t="s">
        <v>135</v>
      </c>
      <c r="I488" s="25" t="str">
        <f>IF(OR(E488="",E488="!!!",F488="NEW"),"",INDEX(B$2:B487,-1+SUMPRODUCT(MAX(ROW(E$2:E487)*(E488=E$2:E487)))))</f>
        <v>other_2</v>
      </c>
      <c r="J488" s="25">
        <f ca="1">IF(OR(E488="",E488="!!!",F488="NEW"),"",COUNTBLANK(OFFSET(A$1,,,SUMPRODUCT(MAX(ROW(E$2:E488)*(E488=E$2:E488)))))-COUNTBLANK(OFFSET(A$1,,,SUMPRODUCT(MAX(ROW(E$1:E487)*(E2=E$1:E487))))))</f>
        <v>0</v>
      </c>
      <c r="K488" s="25">
        <f ca="1">IF(OR(E488="",E488="!!!",F488="NEW"),"",INDEX(J$1:J487,SUMPRODUCT(MAX(ROW(E$1:E487)*(E488=E$1:E487)))))</f>
        <v>0</v>
      </c>
      <c r="L488" s="26"/>
    </row>
    <row r="489" spans="1:12" x14ac:dyDescent="0.3">
      <c r="A489" t="s">
        <v>119</v>
      </c>
      <c r="E489" s="21" t="str">
        <f t="shared" ref="E488:E499" si="54">IF(D489="?OLD","!!!","")</f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ref="H488:H499" ca="1" si="55">IF(J489&lt;&gt;1,"",IF(I489="SBJ","CB","?"))</f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398</v>
      </c>
      <c r="B490" s="20" t="s">
        <v>171</v>
      </c>
      <c r="C490" s="20" t="s">
        <v>212</v>
      </c>
      <c r="D490" s="20" t="s">
        <v>160</v>
      </c>
      <c r="E490" s="21" t="s">
        <v>428</v>
      </c>
      <c r="F490" s="22" t="str">
        <f>IF(OR(E490="",E490="!!!"),"",IF(NOT(ISNA(VLOOKUP(E490,E$1:E489,1,FALSE()))),"OLD",IF(AND(E490&lt;&gt;"",E490&lt;&gt;"!!!"),"NEW","")))</f>
        <v>OLD</v>
      </c>
      <c r="G490" s="23" t="s">
        <v>431</v>
      </c>
      <c r="H490" s="24" t="str">
        <f t="shared" ca="1" si="55"/>
        <v/>
      </c>
      <c r="I490" s="25" t="str">
        <f>IF(OR(E490="",E490="!!!",F490="NEW"),"",INDEX(B$2:B489,-1+SUMPRODUCT(MAX(ROW(E$2:E489)*(E490=E$2:E489)))))</f>
        <v>SBJ</v>
      </c>
      <c r="J490" s="25">
        <f ca="1">IF(OR(E490="",E490="!!!",F490="NEW"),"",COUNTBLANK(OFFSET(A$1,,,SUMPRODUCT(MAX(ROW(E$2:E490)*(E490=E$2:E490)))))-COUNTBLANK(OFFSET(A$1,,,SUMPRODUCT(MAX(ROW(E$1:E489)*(E2=E$1:E489))))))</f>
        <v>0</v>
      </c>
      <c r="K490" s="25">
        <f ca="1">IF(OR(E490="",E490="!!!",F490="NEW"),"",INDEX(J$1:J489,SUMPRODUCT(MAX(ROW(E$1:E489)*(E490=E$1:E489)))))</f>
        <v>0</v>
      </c>
      <c r="L490" s="26"/>
    </row>
    <row r="491" spans="1:12" x14ac:dyDescent="0.3">
      <c r="A491" t="s">
        <v>399</v>
      </c>
      <c r="B491" s="20" t="s">
        <v>145</v>
      </c>
      <c r="C491" s="20" t="s">
        <v>142</v>
      </c>
      <c r="E491" s="21" t="str">
        <f t="shared" si="54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55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18</v>
      </c>
      <c r="E492" s="21" t="str">
        <f t="shared" si="54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55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172</v>
      </c>
      <c r="E493" s="21" t="str">
        <f t="shared" si="54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55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398</v>
      </c>
      <c r="B494" s="20" t="s">
        <v>182</v>
      </c>
      <c r="C494" s="20" t="s">
        <v>212</v>
      </c>
      <c r="D494" s="20" t="s">
        <v>160</v>
      </c>
      <c r="E494" s="21" t="s">
        <v>428</v>
      </c>
      <c r="F494" s="22" t="str">
        <f>IF(OR(E494="",E494="!!!"),"",IF(NOT(ISNA(VLOOKUP(E494,E$1:E493,1,FALSE()))),"OLD",IF(AND(E494&lt;&gt;"",E494&lt;&gt;"!!!"),"NEW","")))</f>
        <v>OLD</v>
      </c>
      <c r="G494" s="23" t="s">
        <v>431</v>
      </c>
      <c r="H494" s="24" t="str">
        <f t="shared" ca="1" si="55"/>
        <v/>
      </c>
      <c r="I494" s="25" t="str">
        <f>IF(OR(E494="",E494="!!!",F494="NEW"),"",INDEX(B$2:B493,-1+SUMPRODUCT(MAX(ROW(E$2:E493)*(E494=E$2:E493)))))</f>
        <v>other_2</v>
      </c>
      <c r="J494" s="25">
        <f ca="1">IF(OR(E494="",E494="!!!",F494="NEW"),"",COUNTBLANK(OFFSET(A$1,,,SUMPRODUCT(MAX(ROW(E$2:E494)*(E494=E$2:E494)))))-COUNTBLANK(OFFSET(A$1,,,SUMPRODUCT(MAX(ROW(E$1:E493)*(E2=E$1:E493))))))</f>
        <v>0</v>
      </c>
      <c r="K494" s="25">
        <f ca="1">IF(OR(E494="",E494="!!!",F494="NEW"),"",INDEX(J$1:J493,SUMPRODUCT(MAX(ROW(E$1:E493)*(E494=E$1:E493)))))</f>
        <v>0</v>
      </c>
      <c r="L494" s="26"/>
    </row>
    <row r="495" spans="1:12" x14ac:dyDescent="0.3">
      <c r="A495" t="s">
        <v>399</v>
      </c>
      <c r="B495" s="20" t="s">
        <v>171</v>
      </c>
      <c r="C495" s="20" t="s">
        <v>142</v>
      </c>
      <c r="E495" s="21" t="str">
        <f t="shared" si="54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55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152</v>
      </c>
      <c r="E496" s="21" t="str">
        <f t="shared" si="54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55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396</v>
      </c>
      <c r="B497" s="20" t="s">
        <v>204</v>
      </c>
      <c r="C497" s="20" t="s">
        <v>183</v>
      </c>
      <c r="D497" s="20" t="s">
        <v>160</v>
      </c>
      <c r="E497" s="21" t="s">
        <v>428</v>
      </c>
      <c r="F497" s="22" t="str">
        <f>IF(OR(E497="",E497="!!!"),"",IF(NOT(ISNA(VLOOKUP(E497,E$1:E496,1,FALSE()))),"OLD",IF(AND(E497&lt;&gt;"",E497&lt;&gt;"!!!"),"NEW","")))</f>
        <v>OLD</v>
      </c>
      <c r="G497" s="23" t="s">
        <v>431</v>
      </c>
      <c r="H497" s="24" t="str">
        <f t="shared" ca="1" si="55"/>
        <v/>
      </c>
      <c r="I497" s="25" t="str">
        <f>IF(OR(E497="",E497="!!!",F497="NEW"),"",INDEX(B$2:B496,-1+SUMPRODUCT(MAX(ROW(E$2:E496)*(E497=E$2:E496)))))</f>
        <v>other_3</v>
      </c>
      <c r="J497" s="25">
        <f ca="1">IF(OR(E497="",E497="!!!",F497="NEW"),"",COUNTBLANK(OFFSET(A$1,,,SUMPRODUCT(MAX(ROW(E$2:E497)*(E497=E$2:E497)))))-COUNTBLANK(OFFSET(A$1,,,SUMPRODUCT(MAX(ROW(E$1:E496)*(E2=E$1:E496))))))</f>
        <v>0</v>
      </c>
      <c r="K497" s="25">
        <f ca="1">IF(OR(E497="",E497="!!!",F497="NEW"),"",INDEX(J$1:J496,SUMPRODUCT(MAX(ROW(E$1:E496)*(E497=E$1:E496)))))</f>
        <v>0</v>
      </c>
      <c r="L497" s="26"/>
    </row>
    <row r="498" spans="1:12" x14ac:dyDescent="0.3">
      <c r="A498" t="s">
        <v>18</v>
      </c>
      <c r="E498" s="21" t="str">
        <f t="shared" si="54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55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176</v>
      </c>
      <c r="E499" s="21" t="str">
        <f t="shared" si="54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55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2024-12-05T17:54:42Z</dcterms:created>
  <dcterms:modified xsi:type="dcterms:W3CDTF">2025-05-20T11:29:20Z</dcterms:modified>
</cp:coreProperties>
</file>