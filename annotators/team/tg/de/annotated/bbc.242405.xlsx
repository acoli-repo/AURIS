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C:\Users\tabea\Desktop\Git\AURIS\annotators\team\tg\annotated\"/>
    </mc:Choice>
  </mc:AlternateContent>
  <xr:revisionPtr revIDLastSave="0" documentId="13_ncr:1_{59FA1BCE-7D57-485A-AA7F-E3D71932D8E1}" xr6:coauthVersionLast="47" xr6:coauthVersionMax="47" xr10:uidLastSave="{00000000-0000-0000-0000-000000000000}"/>
  <bookViews>
    <workbookView xWindow="1152" yWindow="1152" windowWidth="16368" windowHeight="10836"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530" i="2" l="1"/>
  <c r="G529" i="2"/>
  <c r="E529" i="2"/>
  <c r="F529" i="2" s="1"/>
  <c r="K529" i="2" s="1"/>
  <c r="G528" i="2"/>
  <c r="F528" i="2"/>
  <c r="I528" i="2" s="1"/>
  <c r="E528" i="2"/>
  <c r="G527" i="2"/>
  <c r="J527" i="2"/>
  <c r="H527" i="2" s="1"/>
  <c r="F526" i="2"/>
  <c r="E526" i="2"/>
  <c r="G526" i="2" s="1"/>
  <c r="G525" i="2"/>
  <c r="E525" i="2"/>
  <c r="F525" i="2" s="1"/>
  <c r="G524" i="2"/>
  <c r="F524" i="2"/>
  <c r="E524" i="2"/>
  <c r="E522" i="2"/>
  <c r="G521" i="2"/>
  <c r="E521" i="2"/>
  <c r="F521" i="2" s="1"/>
  <c r="K521" i="2" s="1"/>
  <c r="G520" i="2"/>
  <c r="F520" i="2"/>
  <c r="I520" i="2" s="1"/>
  <c r="E520" i="2"/>
  <c r="G519" i="2"/>
  <c r="F519" i="2"/>
  <c r="J519" i="2" s="1"/>
  <c r="H519" i="2" s="1"/>
  <c r="E519" i="2"/>
  <c r="F518" i="2"/>
  <c r="E518" i="2"/>
  <c r="G518" i="2" s="1"/>
  <c r="G516" i="2"/>
  <c r="F516" i="2"/>
  <c r="E515" i="2"/>
  <c r="G511" i="2"/>
  <c r="E511" i="2"/>
  <c r="F511" i="2" s="1"/>
  <c r="J511" i="2" s="1"/>
  <c r="H511" i="2" s="1"/>
  <c r="G510" i="2"/>
  <c r="F510" i="2"/>
  <c r="I510" i="2" s="1"/>
  <c r="E510" i="2"/>
  <c r="G509" i="2"/>
  <c r="F509" i="2"/>
  <c r="J509" i="2" s="1"/>
  <c r="H509" i="2" s="1"/>
  <c r="E509" i="2"/>
  <c r="F508" i="2"/>
  <c r="E508" i="2"/>
  <c r="G508" i="2" s="1"/>
  <c r="E507" i="2"/>
  <c r="G506" i="2"/>
  <c r="F506" i="2"/>
  <c r="E506" i="2"/>
  <c r="E505" i="2"/>
  <c r="G503" i="2"/>
  <c r="E503" i="2"/>
  <c r="F503" i="2" s="1"/>
  <c r="J503" i="2" s="1"/>
  <c r="H503" i="2" s="1"/>
  <c r="G502" i="2"/>
  <c r="F502" i="2"/>
  <c r="I502" i="2" s="1"/>
  <c r="E502" i="2"/>
  <c r="G501" i="2"/>
  <c r="F501" i="2"/>
  <c r="E501" i="2"/>
  <c r="E499" i="2"/>
  <c r="G498" i="2"/>
  <c r="F498" i="2"/>
  <c r="E498" i="2"/>
  <c r="E497" i="2"/>
  <c r="E496" i="2"/>
  <c r="J495" i="2"/>
  <c r="H495" i="2" s="1"/>
  <c r="G494" i="2"/>
  <c r="F494" i="2"/>
  <c r="I494" i="2" s="1"/>
  <c r="E494" i="2"/>
  <c r="G493" i="2"/>
  <c r="F493" i="2"/>
  <c r="E493" i="2"/>
  <c r="F492" i="2"/>
  <c r="I492" i="2" s="1"/>
  <c r="G490" i="2"/>
  <c r="F490" i="2"/>
  <c r="J490" i="2" s="1"/>
  <c r="H490" i="2" s="1"/>
  <c r="E490" i="2"/>
  <c r="E489" i="2"/>
  <c r="E486" i="2"/>
  <c r="G485" i="2"/>
  <c r="E485" i="2"/>
  <c r="F485" i="2" s="1"/>
  <c r="G484" i="2"/>
  <c r="F484" i="2"/>
  <c r="I484" i="2" s="1"/>
  <c r="E484" i="2"/>
  <c r="F483" i="2"/>
  <c r="E481" i="2"/>
  <c r="G480" i="2"/>
  <c r="F480" i="2"/>
  <c r="J480" i="2" s="1"/>
  <c r="H480" i="2" s="1"/>
  <c r="E480" i="2"/>
  <c r="F479" i="2"/>
  <c r="J479" i="2" s="1"/>
  <c r="H479" i="2" s="1"/>
  <c r="E479" i="2"/>
  <c r="E478" i="2"/>
  <c r="G477" i="2"/>
  <c r="E477" i="2"/>
  <c r="F477" i="2" s="1"/>
  <c r="G476" i="2"/>
  <c r="F476" i="2"/>
  <c r="I476" i="2" s="1"/>
  <c r="E476" i="2"/>
  <c r="F475" i="2"/>
  <c r="J475" i="2" s="1"/>
  <c r="H475" i="2" s="1"/>
  <c r="F474" i="2"/>
  <c r="E473" i="2"/>
  <c r="F472" i="2"/>
  <c r="J472" i="2" s="1"/>
  <c r="H472" i="2" s="1"/>
  <c r="E471" i="2"/>
  <c r="E470" i="2"/>
  <c r="G469" i="2"/>
  <c r="E469" i="2"/>
  <c r="F469" i="2" s="1"/>
  <c r="J469" i="2" s="1"/>
  <c r="H469" i="2" s="1"/>
  <c r="G468" i="2"/>
  <c r="F468" i="2"/>
  <c r="I468" i="2" s="1"/>
  <c r="E468" i="2"/>
  <c r="F467" i="2"/>
  <c r="J467" i="2" s="1"/>
  <c r="F466" i="2"/>
  <c r="I466" i="2" s="1"/>
  <c r="E466" i="2"/>
  <c r="E465" i="2"/>
  <c r="G464" i="2"/>
  <c r="F464" i="2"/>
  <c r="E464" i="2"/>
  <c r="E463" i="2"/>
  <c r="E462" i="2"/>
  <c r="G461" i="2"/>
  <c r="E461" i="2"/>
  <c r="F461" i="2" s="1"/>
  <c r="J461" i="2" s="1"/>
  <c r="H461" i="2" s="1"/>
  <c r="G460" i="2"/>
  <c r="F460" i="2"/>
  <c r="I460" i="2" s="1"/>
  <c r="E460" i="2"/>
  <c r="F459" i="2"/>
  <c r="E459" i="2"/>
  <c r="F458" i="2"/>
  <c r="I458" i="2" s="1"/>
  <c r="E458" i="2"/>
  <c r="G454" i="2"/>
  <c r="F454" i="2"/>
  <c r="K454" i="2" s="1"/>
  <c r="E454" i="2"/>
  <c r="F453" i="2"/>
  <c r="E452" i="2"/>
  <c r="G451" i="2"/>
  <c r="E451" i="2"/>
  <c r="F451" i="2" s="1"/>
  <c r="G450" i="2"/>
  <c r="F450" i="2"/>
  <c r="E450" i="2"/>
  <c r="F449" i="2"/>
  <c r="J449" i="2" s="1"/>
  <c r="H449" i="2" s="1"/>
  <c r="E449" i="2"/>
  <c r="F448" i="2"/>
  <c r="I448" i="2" s="1"/>
  <c r="G447" i="2"/>
  <c r="E447" i="2"/>
  <c r="G446" i="2"/>
  <c r="F446" i="2"/>
  <c r="J446" i="2" s="1"/>
  <c r="H446" i="2" s="1"/>
  <c r="E446" i="2"/>
  <c r="E445" i="2"/>
  <c r="E444" i="2"/>
  <c r="G443" i="2"/>
  <c r="E443" i="2"/>
  <c r="G442" i="2"/>
  <c r="F442" i="2"/>
  <c r="I442" i="2" s="1"/>
  <c r="E442" i="2"/>
  <c r="G441" i="2"/>
  <c r="F441" i="2"/>
  <c r="J441" i="2" s="1"/>
  <c r="H441" i="2" s="1"/>
  <c r="E441" i="2"/>
  <c r="E440" i="2"/>
  <c r="G439" i="2"/>
  <c r="E439" i="2"/>
  <c r="E437" i="2"/>
  <c r="G437" i="2" s="1"/>
  <c r="E436" i="2"/>
  <c r="G435" i="2"/>
  <c r="E435" i="2"/>
  <c r="G434" i="2"/>
  <c r="F434" i="2"/>
  <c r="I434" i="2" s="1"/>
  <c r="E434" i="2"/>
  <c r="G433" i="2"/>
  <c r="E433" i="2"/>
  <c r="G431" i="2"/>
  <c r="E431" i="2"/>
  <c r="G430" i="2"/>
  <c r="F430" i="2"/>
  <c r="E430" i="2"/>
  <c r="F428" i="2"/>
  <c r="J428" i="2" s="1"/>
  <c r="H428" i="2" s="1"/>
  <c r="G427" i="2"/>
  <c r="E427" i="2"/>
  <c r="G426" i="2"/>
  <c r="F426" i="2"/>
  <c r="K426" i="2" s="1"/>
  <c r="E426" i="2"/>
  <c r="G425" i="2"/>
  <c r="E425" i="2"/>
  <c r="F425" i="2" s="1"/>
  <c r="K425" i="2" s="1"/>
  <c r="F424" i="2"/>
  <c r="I424" i="2" s="1"/>
  <c r="E424" i="2"/>
  <c r="E423" i="2"/>
  <c r="G422" i="2"/>
  <c r="F422" i="2"/>
  <c r="K422" i="2" s="1"/>
  <c r="E422" i="2"/>
  <c r="F421" i="2"/>
  <c r="I421" i="2" s="1"/>
  <c r="E420" i="2"/>
  <c r="G418" i="2"/>
  <c r="F418" i="2"/>
  <c r="K418" i="2" s="1"/>
  <c r="E418" i="2"/>
  <c r="G417" i="2"/>
  <c r="E417" i="2"/>
  <c r="E416" i="2"/>
  <c r="E415" i="2"/>
  <c r="F414" i="2"/>
  <c r="E413" i="2"/>
  <c r="F412" i="2"/>
  <c r="J412" i="2" s="1"/>
  <c r="H412" i="2" s="1"/>
  <c r="E412" i="2"/>
  <c r="G411" i="2"/>
  <c r="F411" i="2"/>
  <c r="E411" i="2"/>
  <c r="E409" i="2"/>
  <c r="E407" i="2"/>
  <c r="E405" i="2"/>
  <c r="E404" i="2"/>
  <c r="G404" i="2" s="1"/>
  <c r="G403" i="2"/>
  <c r="E403" i="2"/>
  <c r="F403" i="2" s="1"/>
  <c r="K403" i="2" s="1"/>
  <c r="F402" i="2"/>
  <c r="E401" i="2"/>
  <c r="G400" i="2"/>
  <c r="E400" i="2"/>
  <c r="E398" i="2"/>
  <c r="E396" i="2"/>
  <c r="G396" i="2" s="1"/>
  <c r="G395" i="2"/>
  <c r="E395" i="2"/>
  <c r="F395" i="2" s="1"/>
  <c r="J395" i="2" s="1"/>
  <c r="H395" i="2" s="1"/>
  <c r="G394" i="2"/>
  <c r="E393" i="2"/>
  <c r="E391" i="2"/>
  <c r="F390" i="2"/>
  <c r="E390" i="2"/>
  <c r="E389" i="2"/>
  <c r="E388" i="2"/>
  <c r="G388" i="2" s="1"/>
  <c r="G387" i="2"/>
  <c r="E387" i="2"/>
  <c r="F387" i="2" s="1"/>
  <c r="G386" i="2"/>
  <c r="F386" i="2"/>
  <c r="I386" i="2" s="1"/>
  <c r="E386" i="2"/>
  <c r="G385" i="2"/>
  <c r="F385" i="2"/>
  <c r="I385" i="2" s="1"/>
  <c r="E385" i="2"/>
  <c r="G383" i="2"/>
  <c r="F383" i="2"/>
  <c r="K383" i="2" s="1"/>
  <c r="G379" i="2"/>
  <c r="E379" i="2"/>
  <c r="F379" i="2" s="1"/>
  <c r="K379" i="2" s="1"/>
  <c r="G378" i="2"/>
  <c r="F378" i="2"/>
  <c r="J378" i="2" s="1"/>
  <c r="H378" i="2" s="1"/>
  <c r="E378" i="2"/>
  <c r="G377" i="2"/>
  <c r="F377" i="2"/>
  <c r="E377" i="2"/>
  <c r="E376" i="2"/>
  <c r="F375" i="2"/>
  <c r="E375" i="2"/>
  <c r="E371" i="2"/>
  <c r="E370" i="2"/>
  <c r="G370" i="2" s="1"/>
  <c r="F369" i="2"/>
  <c r="J369" i="2" s="1"/>
  <c r="H369" i="2" s="1"/>
  <c r="G368" i="2"/>
  <c r="F368" i="2"/>
  <c r="E368" i="2"/>
  <c r="E367" i="2"/>
  <c r="E364" i="2"/>
  <c r="E363" i="2"/>
  <c r="F361" i="2"/>
  <c r="J361" i="2" s="1"/>
  <c r="G360" i="2"/>
  <c r="F360" i="2"/>
  <c r="E360" i="2"/>
  <c r="E359" i="2"/>
  <c r="E358" i="2"/>
  <c r="E357" i="2"/>
  <c r="E356" i="2"/>
  <c r="E355" i="2"/>
  <c r="F354" i="2"/>
  <c r="K354" i="2" s="1"/>
  <c r="G353" i="2"/>
  <c r="F353" i="2"/>
  <c r="J353" i="2" s="1"/>
  <c r="H353" i="2" s="1"/>
  <c r="E353" i="2"/>
  <c r="F352" i="2"/>
  <c r="E351" i="2"/>
  <c r="E350" i="2"/>
  <c r="F348" i="2"/>
  <c r="J348" i="2" s="1"/>
  <c r="H348" i="2" s="1"/>
  <c r="E347" i="2"/>
  <c r="G344" i="2"/>
  <c r="E344" i="2"/>
  <c r="F344" i="2" s="1"/>
  <c r="K344" i="2" s="1"/>
  <c r="G343" i="2"/>
  <c r="F343" i="2"/>
  <c r="K343" i="2" s="1"/>
  <c r="E343" i="2"/>
  <c r="F342" i="2"/>
  <c r="E341" i="2"/>
  <c r="G340" i="2"/>
  <c r="F340" i="2"/>
  <c r="E340" i="2"/>
  <c r="E339" i="2"/>
  <c r="F337" i="2"/>
  <c r="I337" i="2" s="1"/>
  <c r="E337" i="2"/>
  <c r="G337" i="2" s="1"/>
  <c r="F335" i="2"/>
  <c r="J335" i="2" s="1"/>
  <c r="G334" i="2"/>
  <c r="E334" i="2"/>
  <c r="F334" i="2" s="1"/>
  <c r="K334" i="2" s="1"/>
  <c r="G333" i="2"/>
  <c r="F333" i="2"/>
  <c r="J333" i="2" s="1"/>
  <c r="H333" i="2" s="1"/>
  <c r="E333" i="2"/>
  <c r="G332" i="2"/>
  <c r="F332" i="2"/>
  <c r="I332" i="2" s="1"/>
  <c r="E332" i="2"/>
  <c r="F331" i="2"/>
  <c r="E331" i="2"/>
  <c r="F327" i="2"/>
  <c r="I327" i="2" s="1"/>
  <c r="E327" i="2"/>
  <c r="G327" i="2" s="1"/>
  <c r="G325" i="2"/>
  <c r="F325" i="2"/>
  <c r="K325" i="2" s="1"/>
  <c r="E325" i="2"/>
  <c r="E324" i="2"/>
  <c r="G323" i="2"/>
  <c r="F323" i="2"/>
  <c r="J323" i="2" s="1"/>
  <c r="H323" i="2" s="1"/>
  <c r="E323" i="2"/>
  <c r="F322" i="2"/>
  <c r="F321" i="2"/>
  <c r="K321" i="2" s="1"/>
  <c r="E321" i="2"/>
  <c r="E320" i="2"/>
  <c r="G320" i="2" s="1"/>
  <c r="G319" i="2"/>
  <c r="F319" i="2"/>
  <c r="I319" i="2" s="1"/>
  <c r="E319" i="2"/>
  <c r="E318" i="2"/>
  <c r="F318" i="2" s="1"/>
  <c r="I318" i="2" s="1"/>
  <c r="G317" i="2"/>
  <c r="F317" i="2"/>
  <c r="J317" i="2" s="1"/>
  <c r="H317" i="2" s="1"/>
  <c r="E317" i="2"/>
  <c r="G316" i="2"/>
  <c r="F316" i="2"/>
  <c r="E316" i="2"/>
  <c r="F315" i="2"/>
  <c r="J315" i="2" s="1"/>
  <c r="H315" i="2" s="1"/>
  <c r="E315" i="2"/>
  <c r="G314" i="2"/>
  <c r="F314" i="2"/>
  <c r="K314" i="2" s="1"/>
  <c r="E314" i="2"/>
  <c r="E312" i="2"/>
  <c r="F312" i="2" s="1"/>
  <c r="J312" i="2" s="1"/>
  <c r="H312" i="2" s="1"/>
  <c r="G311" i="2"/>
  <c r="F311" i="2"/>
  <c r="K311" i="2" s="1"/>
  <c r="E311" i="2"/>
  <c r="G308" i="2"/>
  <c r="E308" i="2"/>
  <c r="F308" i="2" s="1"/>
  <c r="I308" i="2" s="1"/>
  <c r="G307" i="2"/>
  <c r="F307" i="2"/>
  <c r="E307" i="2"/>
  <c r="F306" i="2"/>
  <c r="K306" i="2" s="1"/>
  <c r="E306" i="2"/>
  <c r="F305" i="2"/>
  <c r="J305" i="2" s="1"/>
  <c r="H305" i="2" s="1"/>
  <c r="E304" i="2"/>
  <c r="E303" i="2"/>
  <c r="G302" i="2"/>
  <c r="E302" i="2"/>
  <c r="F302" i="2" s="1"/>
  <c r="J302" i="2" s="1"/>
  <c r="H302" i="2" s="1"/>
  <c r="F301" i="2"/>
  <c r="E301" i="2"/>
  <c r="G301" i="2" s="1"/>
  <c r="G300" i="2"/>
  <c r="E300" i="2"/>
  <c r="F300" i="2" s="1"/>
  <c r="K300" i="2" s="1"/>
  <c r="G299" i="2"/>
  <c r="F299" i="2"/>
  <c r="I299" i="2" s="1"/>
  <c r="E299" i="2"/>
  <c r="F298" i="2"/>
  <c r="G297" i="2"/>
  <c r="F297" i="2"/>
  <c r="E297" i="2"/>
  <c r="F296" i="2"/>
  <c r="E296" i="2"/>
  <c r="F295" i="2"/>
  <c r="K295" i="2" s="1"/>
  <c r="E295" i="2"/>
  <c r="G294" i="2"/>
  <c r="F294" i="2"/>
  <c r="K294" i="2" s="1"/>
  <c r="E294" i="2"/>
  <c r="F293" i="2"/>
  <c r="I293" i="2" s="1"/>
  <c r="E293" i="2"/>
  <c r="G293" i="2" s="1"/>
  <c r="F291" i="2"/>
  <c r="J291" i="2" s="1"/>
  <c r="H291" i="2" s="1"/>
  <c r="K290" i="2"/>
  <c r="G290" i="2"/>
  <c r="G289" i="2"/>
  <c r="F289" i="2"/>
  <c r="I289" i="2" s="1"/>
  <c r="E289" i="2"/>
  <c r="G288" i="2"/>
  <c r="F288" i="2"/>
  <c r="E288" i="2"/>
  <c r="F286" i="2"/>
  <c r="I286" i="2" s="1"/>
  <c r="E286" i="2"/>
  <c r="G286" i="2" s="1"/>
  <c r="E285" i="2"/>
  <c r="G285" i="2" s="1"/>
  <c r="G284" i="2"/>
  <c r="F284" i="2"/>
  <c r="K284" i="2" s="1"/>
  <c r="E284" i="2"/>
  <c r="G283" i="2"/>
  <c r="K283" i="2"/>
  <c r="E283" i="2"/>
  <c r="G282" i="2"/>
  <c r="E281" i="2"/>
  <c r="E280" i="2"/>
  <c r="K278" i="2"/>
  <c r="G278" i="2"/>
  <c r="E277" i="2"/>
  <c r="G277" i="2" s="1"/>
  <c r="G276" i="2"/>
  <c r="F276" i="2"/>
  <c r="K276" i="2" s="1"/>
  <c r="E276" i="2"/>
  <c r="G275" i="2"/>
  <c r="F275" i="2"/>
  <c r="K275" i="2" s="1"/>
  <c r="E275" i="2"/>
  <c r="G274" i="2"/>
  <c r="F274" i="2"/>
  <c r="E274" i="2"/>
  <c r="G273" i="2"/>
  <c r="E273" i="2"/>
  <c r="F272" i="2"/>
  <c r="E271" i="2"/>
  <c r="F270" i="2"/>
  <c r="K270" i="2" s="1"/>
  <c r="E270" i="2"/>
  <c r="G270" i="2" s="1"/>
  <c r="G267" i="2"/>
  <c r="F267" i="2"/>
  <c r="K267" i="2" s="1"/>
  <c r="E267" i="2"/>
  <c r="G265" i="2"/>
  <c r="F265" i="2"/>
  <c r="K265" i="2" s="1"/>
  <c r="E265" i="2"/>
  <c r="G264" i="2"/>
  <c r="F264" i="2"/>
  <c r="E264" i="2"/>
  <c r="F263" i="2"/>
  <c r="E262" i="2"/>
  <c r="E261" i="2"/>
  <c r="F260" i="2"/>
  <c r="J260" i="2" s="1"/>
  <c r="H260" i="2" s="1"/>
  <c r="E260" i="2"/>
  <c r="G260" i="2" s="1"/>
  <c r="E259" i="2"/>
  <c r="G259" i="2" s="1"/>
  <c r="G258" i="2"/>
  <c r="F258" i="2"/>
  <c r="K258" i="2" s="1"/>
  <c r="E258" i="2"/>
  <c r="G257" i="2"/>
  <c r="F257" i="2"/>
  <c r="K257" i="2" s="1"/>
  <c r="E257" i="2"/>
  <c r="G256" i="2"/>
  <c r="F256" i="2"/>
  <c r="E256" i="2"/>
  <c r="F255" i="2"/>
  <c r="E255" i="2"/>
  <c r="E254" i="2"/>
  <c r="F250" i="2"/>
  <c r="K250" i="2" s="1"/>
  <c r="E250" i="2"/>
  <c r="G250" i="2" s="1"/>
  <c r="G249" i="2"/>
  <c r="G248" i="2"/>
  <c r="F248" i="2"/>
  <c r="K248" i="2" s="1"/>
  <c r="E248" i="2"/>
  <c r="E246" i="2"/>
  <c r="F244" i="2"/>
  <c r="K244" i="2" s="1"/>
  <c r="E244" i="2"/>
  <c r="F242" i="2"/>
  <c r="K242" i="2" s="1"/>
  <c r="E242" i="2"/>
  <c r="G242" i="2" s="1"/>
  <c r="G240" i="2"/>
  <c r="F240" i="2"/>
  <c r="K240" i="2" s="1"/>
  <c r="E240" i="2"/>
  <c r="G238" i="2"/>
  <c r="E238" i="2"/>
  <c r="G237" i="2"/>
  <c r="E237" i="2"/>
  <c r="E236" i="2"/>
  <c r="E235" i="2"/>
  <c r="F234" i="2"/>
  <c r="I234" i="2" s="1"/>
  <c r="E234" i="2"/>
  <c r="G234" i="2" s="1"/>
  <c r="E233" i="2"/>
  <c r="G233" i="2" s="1"/>
  <c r="G232" i="2"/>
  <c r="F232" i="2"/>
  <c r="J232" i="2" s="1"/>
  <c r="H232" i="2" s="1"/>
  <c r="E232" i="2"/>
  <c r="F231" i="2"/>
  <c r="K231" i="2" s="1"/>
  <c r="F230" i="2"/>
  <c r="E230" i="2"/>
  <c r="G229" i="2"/>
  <c r="F229" i="2"/>
  <c r="E229" i="2"/>
  <c r="E227" i="2"/>
  <c r="F226" i="2"/>
  <c r="I226" i="2" s="1"/>
  <c r="E226" i="2"/>
  <c r="G226" i="2" s="1"/>
  <c r="G225" i="2"/>
  <c r="G224" i="2"/>
  <c r="F224" i="2"/>
  <c r="J224" i="2" s="1"/>
  <c r="H224" i="2" s="1"/>
  <c r="E224" i="2"/>
  <c r="G223" i="2"/>
  <c r="F223" i="2"/>
  <c r="K223" i="2" s="1"/>
  <c r="E223" i="2"/>
  <c r="G220" i="2"/>
  <c r="F220" i="2"/>
  <c r="E220" i="2"/>
  <c r="F219" i="2"/>
  <c r="E219" i="2"/>
  <c r="E217" i="2"/>
  <c r="F216" i="2"/>
  <c r="K216" i="2" s="1"/>
  <c r="G215" i="2"/>
  <c r="G214" i="2"/>
  <c r="F214" i="2"/>
  <c r="I214" i="2" s="1"/>
  <c r="E214" i="2"/>
  <c r="G213" i="2"/>
  <c r="F213" i="2"/>
  <c r="E213" i="2"/>
  <c r="E212" i="2"/>
  <c r="E211" i="2"/>
  <c r="F210" i="2"/>
  <c r="K210" i="2" s="1"/>
  <c r="E210" i="2"/>
  <c r="E209" i="2"/>
  <c r="F208" i="2"/>
  <c r="I208" i="2" s="1"/>
  <c r="E208" i="2"/>
  <c r="G208" i="2" s="1"/>
  <c r="G206" i="2"/>
  <c r="F206" i="2"/>
  <c r="I206" i="2" s="1"/>
  <c r="G205" i="2"/>
  <c r="F205" i="2"/>
  <c r="K205" i="2" s="1"/>
  <c r="E205" i="2"/>
  <c r="E202" i="2"/>
  <c r="E201" i="2"/>
  <c r="F200" i="2"/>
  <c r="E199" i="2"/>
  <c r="F198" i="2"/>
  <c r="I198" i="2" s="1"/>
  <c r="G197" i="2"/>
  <c r="E197" i="2"/>
  <c r="G196" i="2"/>
  <c r="F196" i="2"/>
  <c r="I196" i="2" s="1"/>
  <c r="E196" i="2"/>
  <c r="G194" i="2"/>
  <c r="E194" i="2"/>
  <c r="G193" i="2"/>
  <c r="F193" i="2"/>
  <c r="K193" i="2" s="1"/>
  <c r="E193" i="2"/>
  <c r="F192" i="2"/>
  <c r="J192" i="2" s="1"/>
  <c r="H192" i="2" s="1"/>
  <c r="E192" i="2"/>
  <c r="E191" i="2"/>
  <c r="F190" i="2"/>
  <c r="I190" i="2" s="1"/>
  <c r="E189" i="2"/>
  <c r="F189" i="2" s="1"/>
  <c r="J189" i="2" s="1"/>
  <c r="H189" i="2" s="1"/>
  <c r="G188" i="2"/>
  <c r="F188" i="2"/>
  <c r="E188" i="2"/>
  <c r="F187" i="2"/>
  <c r="F186" i="2"/>
  <c r="J186" i="2" s="1"/>
  <c r="H186" i="2" s="1"/>
  <c r="E186" i="2"/>
  <c r="F185" i="2"/>
  <c r="I185" i="2" s="1"/>
  <c r="E184" i="2"/>
  <c r="G181" i="2"/>
  <c r="F181" i="2"/>
  <c r="J181" i="2" s="1"/>
  <c r="H181" i="2" s="1"/>
  <c r="E181" i="2"/>
  <c r="F180" i="2"/>
  <c r="K180" i="2" s="1"/>
  <c r="E180" i="2"/>
  <c r="G180" i="2" s="1"/>
  <c r="E179" i="2"/>
  <c r="G179" i="2" s="1"/>
  <c r="G178" i="2"/>
  <c r="F178" i="2"/>
  <c r="K178" i="2" s="1"/>
  <c r="E178" i="2"/>
  <c r="G177" i="2"/>
  <c r="F177" i="2"/>
  <c r="K177" i="2" s="1"/>
  <c r="E177" i="2"/>
  <c r="G176" i="2"/>
  <c r="E176" i="2"/>
  <c r="F175" i="2"/>
  <c r="E175" i="2"/>
  <c r="E174" i="2"/>
  <c r="G173" i="2"/>
  <c r="E173" i="2"/>
  <c r="F173" i="2" s="1"/>
  <c r="I173" i="2" s="1"/>
  <c r="F172" i="2"/>
  <c r="E171" i="2"/>
  <c r="G171" i="2" s="1"/>
  <c r="F170" i="2"/>
  <c r="K170" i="2" s="1"/>
  <c r="G169" i="2"/>
  <c r="F169" i="2"/>
  <c r="K169" i="2" s="1"/>
  <c r="E169" i="2"/>
  <c r="E168" i="2"/>
  <c r="F168" i="2" s="1"/>
  <c r="F167" i="2"/>
  <c r="E167" i="2"/>
  <c r="E166" i="2"/>
  <c r="G165" i="2"/>
  <c r="F165" i="2"/>
  <c r="K165" i="2" s="1"/>
  <c r="E165" i="2"/>
  <c r="F164" i="2"/>
  <c r="I164" i="2" s="1"/>
  <c r="E164" i="2"/>
  <c r="G164" i="2" s="1"/>
  <c r="G162" i="2"/>
  <c r="F162" i="2"/>
  <c r="K162" i="2" s="1"/>
  <c r="E162" i="2"/>
  <c r="G159" i="2"/>
  <c r="F159" i="2"/>
  <c r="K159" i="2" s="1"/>
  <c r="E159" i="2"/>
  <c r="E157" i="2"/>
  <c r="G155" i="2"/>
  <c r="F155" i="2"/>
  <c r="J155" i="2" s="1"/>
  <c r="H155" i="2" s="1"/>
  <c r="E155" i="2"/>
  <c r="F154" i="2"/>
  <c r="K154" i="2" s="1"/>
  <c r="E154" i="2"/>
  <c r="G154" i="2" s="1"/>
  <c r="G152" i="2"/>
  <c r="F152" i="2"/>
  <c r="K152" i="2" s="1"/>
  <c r="E152" i="2"/>
  <c r="G151" i="2"/>
  <c r="F151" i="2"/>
  <c r="K151" i="2" s="1"/>
  <c r="E151" i="2"/>
  <c r="G150" i="2"/>
  <c r="F150" i="2"/>
  <c r="E150" i="2"/>
  <c r="E149" i="2"/>
  <c r="F149" i="2" s="1"/>
  <c r="G147" i="2"/>
  <c r="F147" i="2"/>
  <c r="K147" i="2" s="1"/>
  <c r="E147" i="2"/>
  <c r="F146" i="2"/>
  <c r="E145" i="2"/>
  <c r="G145" i="2" s="1"/>
  <c r="G144" i="2"/>
  <c r="F144" i="2"/>
  <c r="K144" i="2" s="1"/>
  <c r="E144" i="2"/>
  <c r="G143" i="2"/>
  <c r="F143" i="2"/>
  <c r="K143" i="2" s="1"/>
  <c r="E143" i="2"/>
  <c r="G140" i="2"/>
  <c r="F140" i="2"/>
  <c r="E140" i="2"/>
  <c r="E139" i="2"/>
  <c r="F139" i="2" s="1"/>
  <c r="G137" i="2"/>
  <c r="F137" i="2"/>
  <c r="K137" i="2" s="1"/>
  <c r="E137" i="2"/>
  <c r="K136" i="2"/>
  <c r="E135" i="2"/>
  <c r="G135" i="2" s="1"/>
  <c r="G134" i="2"/>
  <c r="F134" i="2"/>
  <c r="K134" i="2" s="1"/>
  <c r="E134" i="2"/>
  <c r="G133" i="2"/>
  <c r="F133" i="2"/>
  <c r="K133" i="2" s="1"/>
  <c r="E133" i="2"/>
  <c r="G132" i="2"/>
  <c r="F132" i="2"/>
  <c r="E132" i="2"/>
  <c r="F131" i="2"/>
  <c r="E131" i="2"/>
  <c r="E130" i="2"/>
  <c r="I129" i="2"/>
  <c r="F128" i="2"/>
  <c r="I128" i="2" s="1"/>
  <c r="E128" i="2"/>
  <c r="G128" i="2" s="1"/>
  <c r="E127" i="2"/>
  <c r="G127" i="2" s="1"/>
  <c r="G126" i="2"/>
  <c r="F126" i="2"/>
  <c r="K126" i="2" s="1"/>
  <c r="E126" i="2"/>
  <c r="F125" i="2"/>
  <c r="K125" i="2" s="1"/>
  <c r="G124" i="2"/>
  <c r="E124" i="2"/>
  <c r="E122" i="2"/>
  <c r="G121" i="2"/>
  <c r="F121" i="2"/>
  <c r="K121" i="2" s="1"/>
  <c r="E121" i="2"/>
  <c r="F120" i="2"/>
  <c r="I120" i="2" s="1"/>
  <c r="E119" i="2"/>
  <c r="G119" i="2" s="1"/>
  <c r="G118" i="2"/>
  <c r="F118" i="2"/>
  <c r="K118" i="2" s="1"/>
  <c r="E118" i="2"/>
  <c r="G117" i="2"/>
  <c r="F117" i="2"/>
  <c r="K117" i="2" s="1"/>
  <c r="E117" i="2"/>
  <c r="F116" i="2"/>
  <c r="F113" i="2"/>
  <c r="E113" i="2"/>
  <c r="G111" i="2"/>
  <c r="F111" i="2"/>
  <c r="K111" i="2" s="1"/>
  <c r="E111" i="2"/>
  <c r="F110" i="2"/>
  <c r="K110" i="2" s="1"/>
  <c r="E110" i="2"/>
  <c r="G110" i="2" s="1"/>
  <c r="E109" i="2"/>
  <c r="G109" i="2" s="1"/>
  <c r="G108" i="2"/>
  <c r="F108" i="2"/>
  <c r="K108" i="2" s="1"/>
  <c r="E108" i="2"/>
  <c r="G107" i="2"/>
  <c r="F107" i="2"/>
  <c r="K107" i="2" s="1"/>
  <c r="E107" i="2"/>
  <c r="E105" i="2"/>
  <c r="G103" i="2"/>
  <c r="F103" i="2"/>
  <c r="K103" i="2" s="1"/>
  <c r="E103" i="2"/>
  <c r="F102" i="2"/>
  <c r="K102" i="2" s="1"/>
  <c r="E101" i="2"/>
  <c r="G101" i="2" s="1"/>
  <c r="F100" i="2"/>
  <c r="G99" i="2"/>
  <c r="F99" i="2"/>
  <c r="K99" i="2" s="1"/>
  <c r="E98" i="2"/>
  <c r="G98" i="2" s="1"/>
  <c r="F96" i="2"/>
  <c r="E96" i="2"/>
  <c r="E94" i="2"/>
  <c r="G93" i="2"/>
  <c r="F93" i="2"/>
  <c r="J93" i="2" s="1"/>
  <c r="H93" i="2" s="1"/>
  <c r="E93" i="2"/>
  <c r="F92" i="2"/>
  <c r="K92" i="2" s="1"/>
  <c r="E92" i="2"/>
  <c r="G92" i="2" s="1"/>
  <c r="E91" i="2"/>
  <c r="G91" i="2" s="1"/>
  <c r="G90" i="2"/>
  <c r="F90" i="2"/>
  <c r="K90" i="2" s="1"/>
  <c r="E90" i="2"/>
  <c r="G89" i="2"/>
  <c r="F89" i="2"/>
  <c r="K89" i="2" s="1"/>
  <c r="E89" i="2"/>
  <c r="E88" i="2"/>
  <c r="F88" i="2" s="1"/>
  <c r="E86" i="2"/>
  <c r="G85" i="2"/>
  <c r="F85" i="2"/>
  <c r="K85" i="2" s="1"/>
  <c r="E85" i="2"/>
  <c r="F84" i="2"/>
  <c r="I84" i="2" s="1"/>
  <c r="E83" i="2"/>
  <c r="G83" i="2" s="1"/>
  <c r="G82" i="2"/>
  <c r="F82" i="2"/>
  <c r="K82" i="2" s="1"/>
  <c r="E82" i="2"/>
  <c r="G81" i="2"/>
  <c r="F81" i="2"/>
  <c r="K81" i="2" s="1"/>
  <c r="E81" i="2"/>
  <c r="G80" i="2"/>
  <c r="E80" i="2"/>
  <c r="E79" i="2"/>
  <c r="E78" i="2"/>
  <c r="F77" i="2"/>
  <c r="F76" i="2"/>
  <c r="I76" i="2" s="1"/>
  <c r="E76" i="2"/>
  <c r="G76" i="2" s="1"/>
  <c r="E73" i="2"/>
  <c r="G73" i="2" s="1"/>
  <c r="G72" i="2"/>
  <c r="F72" i="2"/>
  <c r="K72" i="2" s="1"/>
  <c r="E72" i="2"/>
  <c r="G71" i="2"/>
  <c r="F71" i="2"/>
  <c r="E71" i="2"/>
  <c r="F70" i="2"/>
  <c r="E69" i="2"/>
  <c r="G67" i="2"/>
  <c r="E67" i="2"/>
  <c r="F67" i="2" s="1"/>
  <c r="I67" i="2" s="1"/>
  <c r="F66" i="2"/>
  <c r="I66" i="2" s="1"/>
  <c r="E66" i="2"/>
  <c r="G66" i="2" s="1"/>
  <c r="E65" i="2"/>
  <c r="G65" i="2" s="1"/>
  <c r="F64" i="2"/>
  <c r="G63" i="2"/>
  <c r="G62" i="2"/>
  <c r="F62" i="2"/>
  <c r="E62" i="2"/>
  <c r="F61" i="2"/>
  <c r="E61" i="2"/>
  <c r="E60" i="2"/>
  <c r="G59" i="2"/>
  <c r="E59" i="2"/>
  <c r="F59" i="2" s="1"/>
  <c r="I59" i="2" s="1"/>
  <c r="F58" i="2"/>
  <c r="J58" i="2" s="1"/>
  <c r="H58" i="2" s="1"/>
  <c r="G58" i="2"/>
  <c r="F57" i="2"/>
  <c r="J57" i="2" s="1"/>
  <c r="H57" i="2" s="1"/>
  <c r="G56" i="2"/>
  <c r="F56" i="2"/>
  <c r="K56" i="2" s="1"/>
  <c r="E56" i="2"/>
  <c r="G55" i="2"/>
  <c r="F55" i="2"/>
  <c r="E55" i="2"/>
  <c r="E54" i="2"/>
  <c r="F54" i="2" s="1"/>
  <c r="E50" i="2"/>
  <c r="G49" i="2"/>
  <c r="E49" i="2"/>
  <c r="F49" i="2" s="1"/>
  <c r="K49" i="2" s="1"/>
  <c r="F48" i="2"/>
  <c r="K48" i="2" s="1"/>
  <c r="E48" i="2"/>
  <c r="G48" i="2" s="1"/>
  <c r="G47" i="2"/>
  <c r="E47" i="2"/>
  <c r="F47" i="2" s="1"/>
  <c r="J47" i="2" s="1"/>
  <c r="H47" i="2" s="1"/>
  <c r="G46" i="2"/>
  <c r="F46" i="2"/>
  <c r="I46" i="2" s="1"/>
  <c r="E46" i="2"/>
  <c r="G44" i="2"/>
  <c r="E44" i="2"/>
  <c r="F43" i="2"/>
  <c r="E42" i="2"/>
  <c r="G41" i="2"/>
  <c r="E41" i="2"/>
  <c r="F41" i="2" s="1"/>
  <c r="K41" i="2" s="1"/>
  <c r="F40" i="2"/>
  <c r="I40" i="2" s="1"/>
  <c r="E40" i="2"/>
  <c r="G40" i="2" s="1"/>
  <c r="E39" i="2"/>
  <c r="G38" i="2"/>
  <c r="F38" i="2"/>
  <c r="I38" i="2" s="1"/>
  <c r="E38" i="2"/>
  <c r="F37" i="2"/>
  <c r="E36" i="2"/>
  <c r="G36" i="2" s="1"/>
  <c r="F33" i="2"/>
  <c r="K33" i="2" s="1"/>
  <c r="E33" i="2"/>
  <c r="E32" i="2"/>
  <c r="G31" i="2"/>
  <c r="E31" i="2"/>
  <c r="F31" i="2" s="1"/>
  <c r="J31" i="2" s="1"/>
  <c r="H31" i="2" s="1"/>
  <c r="F30" i="2"/>
  <c r="I30" i="2" s="1"/>
  <c r="E30" i="2"/>
  <c r="G30" i="2" s="1"/>
  <c r="E29" i="2"/>
  <c r="G29" i="2" s="1"/>
  <c r="G28" i="2"/>
  <c r="F28" i="2"/>
  <c r="I28" i="2" s="1"/>
  <c r="E28" i="2"/>
  <c r="G27" i="2"/>
  <c r="E27" i="2"/>
  <c r="E26" i="2"/>
  <c r="E25" i="2"/>
  <c r="G23" i="2"/>
  <c r="E23" i="2"/>
  <c r="F23" i="2" s="1"/>
  <c r="K23" i="2" s="1"/>
  <c r="F22" i="2"/>
  <c r="I22" i="2" s="1"/>
  <c r="E21" i="2"/>
  <c r="G20" i="2"/>
  <c r="F20" i="2"/>
  <c r="I20" i="2" s="1"/>
  <c r="E20" i="2"/>
  <c r="E19" i="2"/>
  <c r="F18" i="2"/>
  <c r="J18" i="2" s="1"/>
  <c r="H18" i="2" s="1"/>
  <c r="E16" i="2"/>
  <c r="G13" i="2"/>
  <c r="E13" i="2"/>
  <c r="F13" i="2" s="1"/>
  <c r="K13" i="2" s="1"/>
  <c r="G12" i="2"/>
  <c r="F12" i="2"/>
  <c r="K12" i="2" s="1"/>
  <c r="E12" i="2"/>
  <c r="G11" i="2"/>
  <c r="E11" i="2"/>
  <c r="F10" i="2"/>
  <c r="K10" i="2" s="1"/>
  <c r="E9" i="2"/>
  <c r="F8" i="2"/>
  <c r="J8" i="2" s="1"/>
  <c r="H8" i="2" s="1"/>
  <c r="E7" i="2"/>
  <c r="E6" i="2"/>
  <c r="G5" i="2"/>
  <c r="E5" i="2"/>
  <c r="F5" i="2" s="1"/>
  <c r="K5" i="2" s="1"/>
  <c r="G4" i="2"/>
  <c r="F4" i="2"/>
  <c r="K4" i="2" s="1"/>
  <c r="E4" i="2"/>
  <c r="G23" i="1"/>
  <c r="G22" i="1"/>
  <c r="G21" i="1"/>
  <c r="G20" i="1"/>
  <c r="G19" i="1"/>
  <c r="G18" i="1"/>
  <c r="G17" i="1"/>
  <c r="G16" i="1"/>
  <c r="G15" i="1"/>
  <c r="G14" i="1"/>
  <c r="G13" i="1"/>
  <c r="G12" i="1"/>
  <c r="G11" i="1"/>
  <c r="G10" i="1"/>
  <c r="G9" i="1"/>
  <c r="G8" i="1"/>
  <c r="G7" i="1"/>
  <c r="G6" i="1"/>
  <c r="G5" i="1"/>
  <c r="G4" i="1"/>
  <c r="G3" i="1"/>
  <c r="G2" i="1"/>
  <c r="K298" i="2" l="1"/>
  <c r="J120" i="2"/>
  <c r="J64" i="2"/>
  <c r="I294" i="2"/>
  <c r="K318" i="2"/>
  <c r="J426" i="2"/>
  <c r="H426" i="2" s="1"/>
  <c r="I311" i="2"/>
  <c r="J66" i="2"/>
  <c r="H66" i="2" s="1"/>
  <c r="I378" i="2"/>
  <c r="J67" i="2"/>
  <c r="H67" i="2" s="1"/>
  <c r="J90" i="2"/>
  <c r="H90" i="2" s="1"/>
  <c r="I134" i="2"/>
  <c r="I257" i="2"/>
  <c r="I290" i="2"/>
  <c r="K476" i="2"/>
  <c r="J510" i="2"/>
  <c r="H510" i="2" s="1"/>
  <c r="J23" i="2"/>
  <c r="H23" i="2" s="1"/>
  <c r="I48" i="2"/>
  <c r="K58" i="2"/>
  <c r="I121" i="2"/>
  <c r="J133" i="2"/>
  <c r="H133" i="2" s="1"/>
  <c r="J290" i="2"/>
  <c r="H290" i="2" s="1"/>
  <c r="I314" i="2"/>
  <c r="K469" i="2"/>
  <c r="J81" i="2"/>
  <c r="H81" i="2" s="1"/>
  <c r="K164" i="2"/>
  <c r="J177" i="2"/>
  <c r="H177" i="2" s="1"/>
  <c r="K299" i="2"/>
  <c r="K312" i="2"/>
  <c r="K40" i="2"/>
  <c r="K46" i="2"/>
  <c r="J48" i="2"/>
  <c r="H48" i="2" s="1"/>
  <c r="J129" i="2"/>
  <c r="J196" i="2"/>
  <c r="H196" i="2" s="1"/>
  <c r="J206" i="2"/>
  <c r="H206" i="2" s="1"/>
  <c r="I231" i="2"/>
  <c r="J294" i="2"/>
  <c r="H294" i="2" s="1"/>
  <c r="I353" i="2"/>
  <c r="J454" i="2"/>
  <c r="H454" i="2" s="1"/>
  <c r="I511" i="2"/>
  <c r="I23" i="2"/>
  <c r="K38" i="2"/>
  <c r="K63" i="2"/>
  <c r="I77" i="2"/>
  <c r="K120" i="2"/>
  <c r="I146" i="2"/>
  <c r="I165" i="2"/>
  <c r="I472" i="2"/>
  <c r="K520" i="2"/>
  <c r="K31" i="2"/>
  <c r="I49" i="2"/>
  <c r="J146" i="2"/>
  <c r="I152" i="2"/>
  <c r="J267" i="2"/>
  <c r="H267" i="2" s="1"/>
  <c r="J319" i="2"/>
  <c r="H319" i="2" s="1"/>
  <c r="I344" i="2"/>
  <c r="I461" i="2"/>
  <c r="J468" i="2"/>
  <c r="H468" i="2" s="1"/>
  <c r="I275" i="2"/>
  <c r="J520" i="2"/>
  <c r="H520" i="2" s="1"/>
  <c r="K66" i="2"/>
  <c r="I90" i="2"/>
  <c r="J125" i="2"/>
  <c r="K402" i="2" s="1"/>
  <c r="K181" i="2"/>
  <c r="J208" i="2"/>
  <c r="H208" i="2" s="1"/>
  <c r="J226" i="2"/>
  <c r="H226" i="2" s="1"/>
  <c r="I232" i="2"/>
  <c r="J247" i="2"/>
  <c r="J257" i="2"/>
  <c r="H257" i="2" s="1"/>
  <c r="K461" i="2"/>
  <c r="K468" i="2"/>
  <c r="I178" i="2"/>
  <c r="K206" i="2"/>
  <c r="K208" i="2"/>
  <c r="K226" i="2"/>
  <c r="J231" i="2"/>
  <c r="J297" i="2"/>
  <c r="H297" i="2" s="1"/>
  <c r="J311" i="2"/>
  <c r="H311" i="2" s="1"/>
  <c r="J422" i="2"/>
  <c r="H422" i="2" s="1"/>
  <c r="I454" i="2"/>
  <c r="I519" i="2"/>
  <c r="K76" i="2"/>
  <c r="J275" i="2"/>
  <c r="H275" i="2" s="1"/>
  <c r="J283" i="2"/>
  <c r="H283" i="2" s="1"/>
  <c r="K129" i="2"/>
  <c r="J190" i="2"/>
  <c r="J234" i="2"/>
  <c r="H234" i="2" s="1"/>
  <c r="I250" i="2"/>
  <c r="I270" i="2"/>
  <c r="J30" i="2"/>
  <c r="H30" i="2" s="1"/>
  <c r="I57" i="2"/>
  <c r="J84" i="2"/>
  <c r="I100" i="2"/>
  <c r="I111" i="2"/>
  <c r="J121" i="2"/>
  <c r="H121" i="2" s="1"/>
  <c r="J128" i="2"/>
  <c r="H128" i="2" s="1"/>
  <c r="I136" i="2"/>
  <c r="J151" i="2"/>
  <c r="H151" i="2" s="1"/>
  <c r="J165" i="2"/>
  <c r="H165" i="2" s="1"/>
  <c r="K173" i="2"/>
  <c r="I180" i="2"/>
  <c r="K185" i="2"/>
  <c r="K190" i="2"/>
  <c r="K232" i="2"/>
  <c r="K234" i="2"/>
  <c r="J242" i="2"/>
  <c r="H242" i="2" s="1"/>
  <c r="J250" i="2"/>
  <c r="H250" i="2" s="1"/>
  <c r="I258" i="2"/>
  <c r="J270" i="2"/>
  <c r="H270" i="2" s="1"/>
  <c r="I276" i="2"/>
  <c r="K282" i="2"/>
  <c r="J295" i="2"/>
  <c r="H295" i="2" s="1"/>
  <c r="I317" i="2"/>
  <c r="K319" i="2"/>
  <c r="K333" i="2"/>
  <c r="I379" i="2"/>
  <c r="I428" i="2"/>
  <c r="I480" i="2"/>
  <c r="I490" i="2"/>
  <c r="K519" i="2"/>
  <c r="K30" i="2"/>
  <c r="J59" i="2"/>
  <c r="H59" i="2" s="1"/>
  <c r="J111" i="2"/>
  <c r="H111" i="2" s="1"/>
  <c r="J117" i="2"/>
  <c r="H117" i="2" s="1"/>
  <c r="K128" i="2"/>
  <c r="J136" i="2"/>
  <c r="I144" i="2"/>
  <c r="J180" i="2"/>
  <c r="H180" i="2" s="1"/>
  <c r="J258" i="2"/>
  <c r="H258" i="2" s="1"/>
  <c r="I298" i="2"/>
  <c r="I300" i="2"/>
  <c r="I335" i="2"/>
  <c r="I343" i="2"/>
  <c r="I361" i="2"/>
  <c r="J379" i="2"/>
  <c r="H379" i="2" s="1"/>
  <c r="I403" i="2"/>
  <c r="J82" i="2"/>
  <c r="H82" i="2" s="1"/>
  <c r="J164" i="2"/>
  <c r="H164" i="2" s="1"/>
  <c r="J318" i="2"/>
  <c r="H318" i="2" s="1"/>
  <c r="J343" i="2"/>
  <c r="H343" i="2" s="1"/>
  <c r="K361" i="2"/>
  <c r="J403" i="2"/>
  <c r="H403" i="2" s="1"/>
  <c r="I430" i="2"/>
  <c r="I438" i="2"/>
  <c r="I464" i="2"/>
  <c r="I469" i="2"/>
  <c r="J460" i="2"/>
  <c r="H460" i="2" s="1"/>
  <c r="K480" i="2"/>
  <c r="I31" i="2"/>
  <c r="I58" i="2"/>
  <c r="I102" i="2"/>
  <c r="K189" i="2"/>
  <c r="J278" i="2"/>
  <c r="H278" i="2" s="1"/>
  <c r="K353" i="2"/>
  <c r="I449" i="2"/>
  <c r="K510" i="2"/>
  <c r="J40" i="2"/>
  <c r="H40" i="2" s="1"/>
  <c r="I56" i="2"/>
  <c r="J76" i="2"/>
  <c r="H76" i="2" s="1"/>
  <c r="I85" i="2"/>
  <c r="J102" i="2"/>
  <c r="K214" i="2"/>
  <c r="K260" i="2"/>
  <c r="J265" i="2"/>
  <c r="H265" i="2" s="1"/>
  <c r="J299" i="2"/>
  <c r="H299" i="2" s="1"/>
  <c r="I334" i="2"/>
  <c r="J421" i="2"/>
  <c r="J434" i="2"/>
  <c r="H434" i="2" s="1"/>
  <c r="K446" i="2"/>
  <c r="K509" i="2"/>
  <c r="I216" i="2"/>
  <c r="I10" i="2"/>
  <c r="I103" i="2"/>
  <c r="I110" i="2"/>
  <c r="I137" i="2"/>
  <c r="I147" i="2"/>
  <c r="I172" i="2"/>
  <c r="K192" i="2"/>
  <c r="J216" i="2"/>
  <c r="I224" i="2"/>
  <c r="K286" i="2"/>
  <c r="J321" i="2"/>
  <c r="J337" i="2"/>
  <c r="H337" i="2" s="1"/>
  <c r="I395" i="2"/>
  <c r="I467" i="2"/>
  <c r="I475" i="2"/>
  <c r="J484" i="2"/>
  <c r="H484" i="2" s="1"/>
  <c r="J528" i="2"/>
  <c r="H528" i="2" s="1"/>
  <c r="J286" i="2"/>
  <c r="H286" i="2" s="1"/>
  <c r="I13" i="2"/>
  <c r="J13" i="2"/>
  <c r="H13" i="2" s="1"/>
  <c r="I47" i="2"/>
  <c r="I72" i="2"/>
  <c r="I82" i="2"/>
  <c r="I93" i="2"/>
  <c r="J103" i="2"/>
  <c r="H103" i="2" s="1"/>
  <c r="J110" i="2"/>
  <c r="H110" i="2" s="1"/>
  <c r="J137" i="2"/>
  <c r="H137" i="2" s="1"/>
  <c r="J147" i="2"/>
  <c r="H147" i="2" s="1"/>
  <c r="I155" i="2"/>
  <c r="J172" i="2"/>
  <c r="I205" i="2"/>
  <c r="J223" i="2"/>
  <c r="H223" i="2" s="1"/>
  <c r="I242" i="2"/>
  <c r="I248" i="2"/>
  <c r="I265" i="2"/>
  <c r="I278" i="2"/>
  <c r="J298" i="2"/>
  <c r="I302" i="2"/>
  <c r="K327" i="2"/>
  <c r="K337" i="2"/>
  <c r="J386" i="2"/>
  <c r="H386" i="2" s="1"/>
  <c r="K395" i="2"/>
  <c r="I425" i="2"/>
  <c r="K484" i="2"/>
  <c r="K490" i="2"/>
  <c r="I495" i="2"/>
  <c r="J502" i="2"/>
  <c r="H502" i="2" s="1"/>
  <c r="I509" i="2"/>
  <c r="K527" i="2"/>
  <c r="K528" i="2"/>
  <c r="I354" i="2"/>
  <c r="I92" i="2"/>
  <c r="K93" i="2"/>
  <c r="I154" i="2"/>
  <c r="K155" i="2"/>
  <c r="J214" i="2"/>
  <c r="H214" i="2" s="1"/>
  <c r="J284" i="2"/>
  <c r="H284" i="2" s="1"/>
  <c r="J289" i="2"/>
  <c r="H289" i="2" s="1"/>
  <c r="J300" i="2"/>
  <c r="H300" i="2" s="1"/>
  <c r="I306" i="2"/>
  <c r="J354" i="2"/>
  <c r="I412" i="2"/>
  <c r="I426" i="2"/>
  <c r="K434" i="2"/>
  <c r="K511" i="2"/>
  <c r="I64" i="2"/>
  <c r="J248" i="2"/>
  <c r="H248" i="2" s="1"/>
  <c r="I284" i="2"/>
  <c r="J425" i="2"/>
  <c r="H425" i="2" s="1"/>
  <c r="K495" i="2"/>
  <c r="I33" i="2"/>
  <c r="J49" i="2"/>
  <c r="H49" i="2" s="1"/>
  <c r="K59" i="2"/>
  <c r="K67" i="2"/>
  <c r="J77" i="2"/>
  <c r="K84" i="2" s="1"/>
  <c r="J85" i="2"/>
  <c r="H85" i="2" s="1"/>
  <c r="J92" i="2"/>
  <c r="H92" i="2" s="1"/>
  <c r="I108" i="2"/>
  <c r="J154" i="2"/>
  <c r="H154" i="2" s="1"/>
  <c r="I170" i="2"/>
  <c r="I181" i="2"/>
  <c r="I189" i="2"/>
  <c r="I223" i="2"/>
  <c r="I240" i="2"/>
  <c r="I260" i="2"/>
  <c r="I291" i="2"/>
  <c r="I325" i="2"/>
  <c r="I369" i="2"/>
  <c r="J442" i="2"/>
  <c r="H442" i="2" s="1"/>
  <c r="J494" i="2"/>
  <c r="H494" i="2" s="1"/>
  <c r="I527" i="2"/>
  <c r="K502" i="2"/>
  <c r="J72" i="2"/>
  <c r="H72" i="2" s="1"/>
  <c r="I118" i="2"/>
  <c r="I126" i="2"/>
  <c r="I162" i="2"/>
  <c r="J173" i="2"/>
  <c r="H173" i="2" s="1"/>
  <c r="K224" i="2"/>
  <c r="J240" i="2"/>
  <c r="H240" i="2" s="1"/>
  <c r="I267" i="2"/>
  <c r="J276" i="2"/>
  <c r="H276" i="2" s="1"/>
  <c r="I283" i="2"/>
  <c r="K307" i="2"/>
  <c r="K323" i="2"/>
  <c r="J325" i="2"/>
  <c r="H325" i="2" s="1"/>
  <c r="J344" i="2"/>
  <c r="H344" i="2" s="1"/>
  <c r="K442" i="2"/>
  <c r="J476" i="2"/>
  <c r="H476" i="2" s="1"/>
  <c r="K494" i="2"/>
  <c r="I498" i="2"/>
  <c r="K503" i="2"/>
  <c r="J138" i="2"/>
  <c r="H138" i="2" s="1"/>
  <c r="I5" i="2"/>
  <c r="F24" i="2"/>
  <c r="J24" i="2" s="1"/>
  <c r="G69" i="2"/>
  <c r="G122" i="2"/>
  <c r="F122" i="2"/>
  <c r="J122" i="2" s="1"/>
  <c r="H122" i="2" s="1"/>
  <c r="G336" i="2"/>
  <c r="F336" i="2"/>
  <c r="K336" i="2" s="1"/>
  <c r="G356" i="2"/>
  <c r="F356" i="2"/>
  <c r="K356" i="2" s="1"/>
  <c r="J5" i="2"/>
  <c r="H5" i="2" s="1"/>
  <c r="G9" i="2"/>
  <c r="F11" i="2"/>
  <c r="K11" i="2" s="1"/>
  <c r="G21" i="2"/>
  <c r="J22" i="2"/>
  <c r="F26" i="2"/>
  <c r="J26" i="2" s="1"/>
  <c r="H26" i="2" s="1"/>
  <c r="K28" i="2"/>
  <c r="I41" i="2"/>
  <c r="F45" i="2"/>
  <c r="G50" i="2"/>
  <c r="F50" i="2"/>
  <c r="K50" i="2" s="1"/>
  <c r="G54" i="2"/>
  <c r="G60" i="2"/>
  <c r="F60" i="2"/>
  <c r="I60" i="2" s="1"/>
  <c r="F69" i="2"/>
  <c r="J69" i="2" s="1"/>
  <c r="H69" i="2" s="1"/>
  <c r="J107" i="2"/>
  <c r="H107" i="2" s="1"/>
  <c r="F112" i="2"/>
  <c r="K131" i="2"/>
  <c r="J131" i="2"/>
  <c r="H131" i="2" s="1"/>
  <c r="I131" i="2"/>
  <c r="G131" i="2"/>
  <c r="K150" i="2"/>
  <c r="J150" i="2"/>
  <c r="H150" i="2" s="1"/>
  <c r="I150" i="2"/>
  <c r="F158" i="2"/>
  <c r="J158" i="2" s="1"/>
  <c r="H158" i="2" s="1"/>
  <c r="G168" i="2"/>
  <c r="G202" i="2"/>
  <c r="G254" i="2"/>
  <c r="G280" i="2"/>
  <c r="J352" i="2"/>
  <c r="I352" i="2"/>
  <c r="K387" i="2"/>
  <c r="J387" i="2"/>
  <c r="H387" i="2" s="1"/>
  <c r="I387" i="2"/>
  <c r="F517" i="2"/>
  <c r="G17" i="2"/>
  <c r="F68" i="2"/>
  <c r="J68" i="2" s="1"/>
  <c r="H68" i="2" s="1"/>
  <c r="F191" i="2"/>
  <c r="I191" i="2" s="1"/>
  <c r="G227" i="2"/>
  <c r="F227" i="2"/>
  <c r="I227" i="2" s="1"/>
  <c r="F19" i="2"/>
  <c r="K19" i="2" s="1"/>
  <c r="F36" i="2"/>
  <c r="I36" i="2" s="1"/>
  <c r="J187" i="2"/>
  <c r="H187" i="2" s="1"/>
  <c r="K187" i="2"/>
  <c r="I187" i="2"/>
  <c r="F9" i="2"/>
  <c r="K9" i="2" s="1"/>
  <c r="G19" i="2"/>
  <c r="J43" i="2"/>
  <c r="H43" i="2" s="1"/>
  <c r="K88" i="2"/>
  <c r="J88" i="2"/>
  <c r="H88" i="2" s="1"/>
  <c r="I88" i="2"/>
  <c r="K139" i="2"/>
  <c r="J139" i="2"/>
  <c r="H139" i="2" s="1"/>
  <c r="I139" i="2"/>
  <c r="G139" i="2"/>
  <c r="G174" i="2"/>
  <c r="F174" i="2"/>
  <c r="J174" i="2" s="1"/>
  <c r="H174" i="2" s="1"/>
  <c r="K247" i="2"/>
  <c r="I247" i="2"/>
  <c r="F3" i="2"/>
  <c r="K3" i="2" s="1"/>
  <c r="I12" i="2"/>
  <c r="G16" i="2"/>
  <c r="F16" i="2"/>
  <c r="I18" i="2"/>
  <c r="K22" i="2"/>
  <c r="G26" i="2"/>
  <c r="J33" i="2"/>
  <c r="H33" i="2" s="1"/>
  <c r="G33" i="2"/>
  <c r="J37" i="2"/>
  <c r="K64" i="2" s="1"/>
  <c r="I37" i="2"/>
  <c r="J41" i="2"/>
  <c r="H41" i="2" s="1"/>
  <c r="I43" i="2"/>
  <c r="K55" i="2"/>
  <c r="J55" i="2"/>
  <c r="H55" i="2" s="1"/>
  <c r="I55" i="2"/>
  <c r="J70" i="2"/>
  <c r="K77" i="2" s="1"/>
  <c r="I70" i="2"/>
  <c r="F80" i="2"/>
  <c r="K80" i="2" s="1"/>
  <c r="G88" i="2"/>
  <c r="J99" i="2"/>
  <c r="H99" i="2" s="1"/>
  <c r="F104" i="2"/>
  <c r="K123" i="2"/>
  <c r="J123" i="2"/>
  <c r="H123" i="2" s="1"/>
  <c r="I123" i="2"/>
  <c r="G123" i="2"/>
  <c r="K140" i="2"/>
  <c r="J140" i="2"/>
  <c r="H140" i="2" s="1"/>
  <c r="I140" i="2"/>
  <c r="J169" i="2"/>
  <c r="H169" i="2" s="1"/>
  <c r="K175" i="2"/>
  <c r="J175" i="2"/>
  <c r="H175" i="2" s="1"/>
  <c r="I175" i="2"/>
  <c r="G175" i="2"/>
  <c r="J188" i="2"/>
  <c r="H188" i="2" s="1"/>
  <c r="I188" i="2"/>
  <c r="F194" i="2"/>
  <c r="K194" i="2" s="1"/>
  <c r="F202" i="2"/>
  <c r="J202" i="2" s="1"/>
  <c r="H202" i="2" s="1"/>
  <c r="J213" i="2"/>
  <c r="H213" i="2" s="1"/>
  <c r="G235" i="2"/>
  <c r="F235" i="2"/>
  <c r="I235" i="2" s="1"/>
  <c r="K239" i="2"/>
  <c r="I239" i="2"/>
  <c r="F254" i="2"/>
  <c r="J254" i="2" s="1"/>
  <c r="H254" i="2" s="1"/>
  <c r="F280" i="2"/>
  <c r="I280" i="2" s="1"/>
  <c r="J360" i="2"/>
  <c r="H360" i="2" s="1"/>
  <c r="I360" i="2"/>
  <c r="G7" i="2"/>
  <c r="G79" i="2"/>
  <c r="G211" i="2"/>
  <c r="F211" i="2"/>
  <c r="J211" i="2" s="1"/>
  <c r="H211" i="2" s="1"/>
  <c r="F79" i="2"/>
  <c r="K79" i="2" s="1"/>
  <c r="F98" i="2"/>
  <c r="I98" i="2" s="1"/>
  <c r="K198" i="2"/>
  <c r="J198" i="2"/>
  <c r="I4" i="2"/>
  <c r="G6" i="2"/>
  <c r="F6" i="2"/>
  <c r="I6" i="2" s="1"/>
  <c r="K8" i="2"/>
  <c r="I8" i="2"/>
  <c r="J12" i="2"/>
  <c r="H12" i="2" s="1"/>
  <c r="K20" i="2"/>
  <c r="K43" i="2"/>
  <c r="K61" i="2"/>
  <c r="J61" i="2"/>
  <c r="H61" i="2" s="1"/>
  <c r="I61" i="2"/>
  <c r="G61" i="2"/>
  <c r="J89" i="2"/>
  <c r="H89" i="2" s="1"/>
  <c r="G94" i="2"/>
  <c r="F94" i="2"/>
  <c r="K94" i="2" s="1"/>
  <c r="K113" i="2"/>
  <c r="J113" i="2"/>
  <c r="H113" i="2" s="1"/>
  <c r="I113" i="2"/>
  <c r="G113" i="2"/>
  <c r="K132" i="2"/>
  <c r="J132" i="2"/>
  <c r="H132" i="2" s="1"/>
  <c r="I132" i="2"/>
  <c r="J159" i="2"/>
  <c r="H159" i="2" s="1"/>
  <c r="G166" i="2"/>
  <c r="F166" i="2"/>
  <c r="K166" i="2" s="1"/>
  <c r="K213" i="2"/>
  <c r="I213" i="2"/>
  <c r="G261" i="2"/>
  <c r="F261" i="2"/>
  <c r="K261" i="2" s="1"/>
  <c r="G281" i="2"/>
  <c r="F281" i="2"/>
  <c r="J281" i="2" s="1"/>
  <c r="H281" i="2" s="1"/>
  <c r="F382" i="2"/>
  <c r="I382" i="2" s="1"/>
  <c r="F423" i="2"/>
  <c r="J423" i="2" s="1"/>
  <c r="H423" i="2" s="1"/>
  <c r="G423" i="2"/>
  <c r="F29" i="2"/>
  <c r="I29" i="2" s="1"/>
  <c r="G32" i="2"/>
  <c r="F32" i="2"/>
  <c r="J32" i="2" s="1"/>
  <c r="H32" i="2" s="1"/>
  <c r="G157" i="2"/>
  <c r="K17" i="2"/>
  <c r="K54" i="2"/>
  <c r="J54" i="2"/>
  <c r="H54" i="2" s="1"/>
  <c r="I54" i="2"/>
  <c r="J87" i="2"/>
  <c r="H87" i="2" s="1"/>
  <c r="G130" i="2"/>
  <c r="F130" i="2"/>
  <c r="J130" i="2" s="1"/>
  <c r="H130" i="2" s="1"/>
  <c r="K149" i="2"/>
  <c r="J149" i="2"/>
  <c r="H149" i="2" s="1"/>
  <c r="I149" i="2"/>
  <c r="G149" i="2"/>
  <c r="F157" i="2"/>
  <c r="J157" i="2" s="1"/>
  <c r="H157" i="2" s="1"/>
  <c r="K168" i="2"/>
  <c r="J168" i="2"/>
  <c r="H168" i="2" s="1"/>
  <c r="I168" i="2"/>
  <c r="G184" i="2"/>
  <c r="F184" i="2"/>
  <c r="J184" i="2" s="1"/>
  <c r="H184" i="2" s="1"/>
  <c r="G191" i="2"/>
  <c r="J4" i="2"/>
  <c r="H4" i="2" s="1"/>
  <c r="G25" i="2"/>
  <c r="F39" i="2"/>
  <c r="K39" i="2" s="1"/>
  <c r="G42" i="2"/>
  <c r="F42" i="2"/>
  <c r="I42" i="2" s="1"/>
  <c r="G86" i="2"/>
  <c r="F86" i="2"/>
  <c r="J86" i="2" s="1"/>
  <c r="H86" i="2" s="1"/>
  <c r="G105" i="2"/>
  <c r="G156" i="2"/>
  <c r="I156" i="2"/>
  <c r="J245" i="2"/>
  <c r="H245" i="2" s="1"/>
  <c r="G304" i="2"/>
  <c r="F304" i="2"/>
  <c r="J304" i="2" s="1"/>
  <c r="H304" i="2" s="1"/>
  <c r="F320" i="2"/>
  <c r="K320" i="2" s="1"/>
  <c r="J9" i="2"/>
  <c r="H9" i="2" s="1"/>
  <c r="K106" i="2"/>
  <c r="K272" i="2"/>
  <c r="J272" i="2"/>
  <c r="H272" i="2" s="1"/>
  <c r="I272" i="2"/>
  <c r="F7" i="2"/>
  <c r="K7" i="2" s="1"/>
  <c r="F21" i="2"/>
  <c r="J21" i="2" s="1"/>
  <c r="H21" i="2" s="1"/>
  <c r="F25" i="2"/>
  <c r="J25" i="2" s="1"/>
  <c r="H25" i="2" s="1"/>
  <c r="F27" i="2"/>
  <c r="K27" i="2" s="1"/>
  <c r="G39" i="2"/>
  <c r="F44" i="2"/>
  <c r="J44" i="2" s="1"/>
  <c r="H44" i="2" s="1"/>
  <c r="F53" i="2"/>
  <c r="K62" i="2"/>
  <c r="J62" i="2"/>
  <c r="H62" i="2" s="1"/>
  <c r="I62" i="2"/>
  <c r="K71" i="2"/>
  <c r="G78" i="2"/>
  <c r="F78" i="2"/>
  <c r="K78" i="2" s="1"/>
  <c r="K96" i="2"/>
  <c r="J96" i="2"/>
  <c r="H96" i="2" s="1"/>
  <c r="I96" i="2"/>
  <c r="G96" i="2"/>
  <c r="F105" i="2"/>
  <c r="K105" i="2" s="1"/>
  <c r="J116" i="2"/>
  <c r="I116" i="2"/>
  <c r="F124" i="2"/>
  <c r="I124" i="2" s="1"/>
  <c r="J143" i="2"/>
  <c r="H143" i="2" s="1"/>
  <c r="K148" i="2"/>
  <c r="K167" i="2"/>
  <c r="J167" i="2"/>
  <c r="H167" i="2" s="1"/>
  <c r="I167" i="2"/>
  <c r="G167" i="2"/>
  <c r="F176" i="2"/>
  <c r="K176" i="2" s="1"/>
  <c r="F197" i="2"/>
  <c r="I197" i="2" s="1"/>
  <c r="J200" i="2"/>
  <c r="H200" i="2" s="1"/>
  <c r="I200" i="2"/>
  <c r="K200" i="2"/>
  <c r="F207" i="2"/>
  <c r="I207" i="2" s="1"/>
  <c r="F218" i="2"/>
  <c r="K218" i="2" s="1"/>
  <c r="K230" i="2"/>
  <c r="J230" i="2"/>
  <c r="H230" i="2" s="1"/>
  <c r="I230" i="2"/>
  <c r="G230" i="2"/>
  <c r="F237" i="2"/>
  <c r="I237" i="2" s="1"/>
  <c r="G262" i="2"/>
  <c r="F262" i="2"/>
  <c r="J262" i="2" s="1"/>
  <c r="H262" i="2" s="1"/>
  <c r="K360" i="2"/>
  <c r="J485" i="2"/>
  <c r="H485" i="2" s="1"/>
  <c r="K485" i="2"/>
  <c r="I485" i="2"/>
  <c r="J10" i="2"/>
  <c r="J20" i="2"/>
  <c r="H20" i="2" s="1"/>
  <c r="J28" i="2"/>
  <c r="H28" i="2" s="1"/>
  <c r="J38" i="2"/>
  <c r="H38" i="2" s="1"/>
  <c r="J46" i="2"/>
  <c r="H46" i="2" s="1"/>
  <c r="K47" i="2"/>
  <c r="J56" i="2"/>
  <c r="H56" i="2" s="1"/>
  <c r="K57" i="2"/>
  <c r="I63" i="2"/>
  <c r="I71" i="2"/>
  <c r="I81" i="2"/>
  <c r="I89" i="2"/>
  <c r="I99" i="2"/>
  <c r="J100" i="2"/>
  <c r="I107" i="2"/>
  <c r="J108" i="2"/>
  <c r="H108" i="2" s="1"/>
  <c r="I117" i="2"/>
  <c r="J118" i="2"/>
  <c r="H118" i="2" s="1"/>
  <c r="I125" i="2"/>
  <c r="J126" i="2"/>
  <c r="H126" i="2" s="1"/>
  <c r="I133" i="2"/>
  <c r="J134" i="2"/>
  <c r="H134" i="2" s="1"/>
  <c r="I143" i="2"/>
  <c r="J144" i="2"/>
  <c r="H144" i="2" s="1"/>
  <c r="I151" i="2"/>
  <c r="J152" i="2"/>
  <c r="H152" i="2" s="1"/>
  <c r="I159" i="2"/>
  <c r="J162" i="2"/>
  <c r="H162" i="2" s="1"/>
  <c r="I169" i="2"/>
  <c r="J170" i="2"/>
  <c r="K369" i="2" s="1"/>
  <c r="I177" i="2"/>
  <c r="J178" i="2"/>
  <c r="H178" i="2" s="1"/>
  <c r="J193" i="2"/>
  <c r="H193" i="2" s="1"/>
  <c r="K196" i="2"/>
  <c r="F292" i="2"/>
  <c r="K292" i="2" s="1"/>
  <c r="J296" i="2"/>
  <c r="H296" i="2" s="1"/>
  <c r="K296" i="2"/>
  <c r="I296" i="2"/>
  <c r="G296" i="2"/>
  <c r="K301" i="2"/>
  <c r="J301" i="2"/>
  <c r="H301" i="2" s="1"/>
  <c r="I301" i="2"/>
  <c r="K394" i="2"/>
  <c r="F523" i="2"/>
  <c r="J63" i="2"/>
  <c r="H63" i="2" s="1"/>
  <c r="J71" i="2"/>
  <c r="H71" i="2" s="1"/>
  <c r="K186" i="2"/>
  <c r="I186" i="2"/>
  <c r="G209" i="2"/>
  <c r="F209" i="2"/>
  <c r="J209" i="2" s="1"/>
  <c r="H209" i="2" s="1"/>
  <c r="K219" i="2"/>
  <c r="J219" i="2"/>
  <c r="H219" i="2" s="1"/>
  <c r="I219" i="2"/>
  <c r="F228" i="2"/>
  <c r="K228" i="2" s="1"/>
  <c r="F238" i="2"/>
  <c r="K238" i="2" s="1"/>
  <c r="G243" i="2"/>
  <c r="F243" i="2"/>
  <c r="J243" i="2" s="1"/>
  <c r="H243" i="2" s="1"/>
  <c r="K255" i="2"/>
  <c r="J255" i="2"/>
  <c r="H255" i="2" s="1"/>
  <c r="I255" i="2"/>
  <c r="K263" i="2"/>
  <c r="J263" i="2"/>
  <c r="H263" i="2" s="1"/>
  <c r="I263" i="2"/>
  <c r="F273" i="2"/>
  <c r="I273" i="2" s="1"/>
  <c r="I287" i="2"/>
  <c r="K287" i="2"/>
  <c r="J287" i="2"/>
  <c r="H287" i="2" s="1"/>
  <c r="G287" i="2"/>
  <c r="G365" i="2"/>
  <c r="F365" i="2"/>
  <c r="I365" i="2" s="1"/>
  <c r="I390" i="2"/>
  <c r="G390" i="2"/>
  <c r="K390" i="2"/>
  <c r="J394" i="2"/>
  <c r="H394" i="2" s="1"/>
  <c r="I394" i="2"/>
  <c r="F199" i="2"/>
  <c r="K199" i="2" s="1"/>
  <c r="G236" i="2"/>
  <c r="G326" i="2"/>
  <c r="I326" i="2"/>
  <c r="F338" i="2"/>
  <c r="J338" i="2" s="1"/>
  <c r="H338" i="2" s="1"/>
  <c r="F415" i="2"/>
  <c r="J415" i="2" s="1"/>
  <c r="H415" i="2" s="1"/>
  <c r="G415" i="2"/>
  <c r="K457" i="2"/>
  <c r="G457" i="2"/>
  <c r="F65" i="2"/>
  <c r="K65" i="2" s="1"/>
  <c r="F73" i="2"/>
  <c r="F83" i="2"/>
  <c r="K83" i="2" s="1"/>
  <c r="F91" i="2"/>
  <c r="K91" i="2" s="1"/>
  <c r="F101" i="2"/>
  <c r="F109" i="2"/>
  <c r="K109" i="2" s="1"/>
  <c r="F119" i="2"/>
  <c r="K119" i="2" s="1"/>
  <c r="F127" i="2"/>
  <c r="F135" i="2"/>
  <c r="K135" i="2" s="1"/>
  <c r="F145" i="2"/>
  <c r="K145" i="2" s="1"/>
  <c r="F153" i="2"/>
  <c r="F163" i="2"/>
  <c r="F171" i="2"/>
  <c r="F179" i="2"/>
  <c r="K179" i="2" s="1"/>
  <c r="G186" i="2"/>
  <c r="G189" i="2"/>
  <c r="I192" i="2"/>
  <c r="G192" i="2"/>
  <c r="I193" i="2"/>
  <c r="F195" i="2"/>
  <c r="J195" i="2" s="1"/>
  <c r="H195" i="2" s="1"/>
  <c r="G199" i="2"/>
  <c r="F201" i="2"/>
  <c r="I201" i="2" s="1"/>
  <c r="J205" i="2"/>
  <c r="H205" i="2" s="1"/>
  <c r="F212" i="2"/>
  <c r="I212" i="2" s="1"/>
  <c r="G217" i="2"/>
  <c r="F217" i="2"/>
  <c r="I217" i="2" s="1"/>
  <c r="G219" i="2"/>
  <c r="K229" i="2"/>
  <c r="J229" i="2"/>
  <c r="H229" i="2" s="1"/>
  <c r="I229" i="2"/>
  <c r="F236" i="2"/>
  <c r="I236" i="2" s="1"/>
  <c r="F246" i="2"/>
  <c r="K246" i="2" s="1"/>
  <c r="F253" i="2"/>
  <c r="I253" i="2" s="1"/>
  <c r="G255" i="2"/>
  <c r="K274" i="2"/>
  <c r="F279" i="2"/>
  <c r="K288" i="2"/>
  <c r="J307" i="2"/>
  <c r="H307" i="2" s="1"/>
  <c r="I307" i="2"/>
  <c r="F313" i="2"/>
  <c r="J313" i="2" s="1"/>
  <c r="F349" i="2"/>
  <c r="I349" i="2" s="1"/>
  <c r="J390" i="2"/>
  <c r="H390" i="2" s="1"/>
  <c r="F399" i="2"/>
  <c r="J399" i="2" s="1"/>
  <c r="H399" i="2" s="1"/>
  <c r="J185" i="2"/>
  <c r="K188" i="2"/>
  <c r="G201" i="2"/>
  <c r="J210" i="2"/>
  <c r="H210" i="2" s="1"/>
  <c r="I210" i="2"/>
  <c r="G210" i="2"/>
  <c r="G212" i="2"/>
  <c r="K220" i="2"/>
  <c r="J220" i="2"/>
  <c r="H220" i="2" s="1"/>
  <c r="I220" i="2"/>
  <c r="J239" i="2"/>
  <c r="J244" i="2"/>
  <c r="H244" i="2" s="1"/>
  <c r="I244" i="2"/>
  <c r="G244" i="2"/>
  <c r="G246" i="2"/>
  <c r="K256" i="2"/>
  <c r="J256" i="2"/>
  <c r="H256" i="2" s="1"/>
  <c r="I256" i="2"/>
  <c r="K264" i="2"/>
  <c r="G271" i="2"/>
  <c r="F271" i="2"/>
  <c r="K271" i="2" s="1"/>
  <c r="J316" i="2"/>
  <c r="H316" i="2" s="1"/>
  <c r="K316" i="2"/>
  <c r="I316" i="2"/>
  <c r="K340" i="2"/>
  <c r="G350" i="2"/>
  <c r="F350" i="2"/>
  <c r="K350" i="2" s="1"/>
  <c r="J453" i="2"/>
  <c r="I453" i="2"/>
  <c r="I264" i="2"/>
  <c r="I274" i="2"/>
  <c r="I282" i="2"/>
  <c r="I288" i="2"/>
  <c r="J293" i="2"/>
  <c r="H293" i="2" s="1"/>
  <c r="I295" i="2"/>
  <c r="I297" i="2"/>
  <c r="K302" i="2"/>
  <c r="J306" i="2"/>
  <c r="H306" i="2" s="1"/>
  <c r="J308" i="2"/>
  <c r="H308" i="2" s="1"/>
  <c r="K315" i="2"/>
  <c r="I315" i="2"/>
  <c r="J322" i="2"/>
  <c r="K331" i="2"/>
  <c r="J331" i="2"/>
  <c r="H331" i="2" s="1"/>
  <c r="I331" i="2"/>
  <c r="G331" i="2"/>
  <c r="J375" i="2"/>
  <c r="H375" i="2" s="1"/>
  <c r="I375" i="2"/>
  <c r="K375" i="2"/>
  <c r="G462" i="2"/>
  <c r="F462" i="2"/>
  <c r="K462" i="2" s="1"/>
  <c r="J483" i="2"/>
  <c r="I483" i="2"/>
  <c r="J264" i="2"/>
  <c r="H264" i="2" s="1"/>
  <c r="J274" i="2"/>
  <c r="H274" i="2" s="1"/>
  <c r="J282" i="2"/>
  <c r="H282" i="2" s="1"/>
  <c r="K293" i="2"/>
  <c r="G303" i="2"/>
  <c r="K308" i="2"/>
  <c r="G341" i="2"/>
  <c r="F341" i="2"/>
  <c r="J341" i="2" s="1"/>
  <c r="H341" i="2" s="1"/>
  <c r="G363" i="2"/>
  <c r="F363" i="2"/>
  <c r="I363" i="2" s="1"/>
  <c r="G367" i="2"/>
  <c r="F367" i="2"/>
  <c r="J367" i="2" s="1"/>
  <c r="H367" i="2" s="1"/>
  <c r="F397" i="2"/>
  <c r="J397" i="2" s="1"/>
  <c r="H397" i="2" s="1"/>
  <c r="G401" i="2"/>
  <c r="F401" i="2"/>
  <c r="I401" i="2" s="1"/>
  <c r="F409" i="2"/>
  <c r="J409" i="2" s="1"/>
  <c r="H409" i="2" s="1"/>
  <c r="G440" i="2"/>
  <c r="F225" i="2"/>
  <c r="F233" i="2"/>
  <c r="F249" i="2"/>
  <c r="F259" i="2"/>
  <c r="F269" i="2"/>
  <c r="F277" i="2"/>
  <c r="F285" i="2"/>
  <c r="K289" i="2"/>
  <c r="G295" i="2"/>
  <c r="F303" i="2"/>
  <c r="G306" i="2"/>
  <c r="G312" i="2"/>
  <c r="G315" i="2"/>
  <c r="G318" i="2"/>
  <c r="F324" i="2"/>
  <c r="J324" i="2" s="1"/>
  <c r="H324" i="2" s="1"/>
  <c r="G339" i="2"/>
  <c r="G347" i="2"/>
  <c r="F347" i="2"/>
  <c r="K347" i="2" s="1"/>
  <c r="G351" i="2"/>
  <c r="F351" i="2"/>
  <c r="I351" i="2" s="1"/>
  <c r="F358" i="2"/>
  <c r="J358" i="2" s="1"/>
  <c r="H358" i="2" s="1"/>
  <c r="G375" i="2"/>
  <c r="F392" i="2"/>
  <c r="I392" i="2" s="1"/>
  <c r="G409" i="2"/>
  <c r="F429" i="2"/>
  <c r="I429" i="2" s="1"/>
  <c r="F440" i="2"/>
  <c r="J440" i="2" s="1"/>
  <c r="H440" i="2" s="1"/>
  <c r="I305" i="2"/>
  <c r="I312" i="2"/>
  <c r="J314" i="2"/>
  <c r="H314" i="2" s="1"/>
  <c r="K317" i="2"/>
  <c r="I321" i="2"/>
  <c r="G321" i="2"/>
  <c r="I322" i="2"/>
  <c r="G324" i="2"/>
  <c r="J327" i="2"/>
  <c r="H327" i="2" s="1"/>
  <c r="K332" i="2"/>
  <c r="J332" i="2"/>
  <c r="H332" i="2" s="1"/>
  <c r="F339" i="2"/>
  <c r="I339" i="2" s="1"/>
  <c r="K342" i="2"/>
  <c r="J342" i="2"/>
  <c r="H342" i="2" s="1"/>
  <c r="I342" i="2"/>
  <c r="I348" i="2"/>
  <c r="G348" i="2"/>
  <c r="K348" i="2"/>
  <c r="G358" i="2"/>
  <c r="J368" i="2"/>
  <c r="H368" i="2" s="1"/>
  <c r="I368" i="2"/>
  <c r="J402" i="2"/>
  <c r="I402" i="2"/>
  <c r="G413" i="2"/>
  <c r="F413" i="2"/>
  <c r="I413" i="2" s="1"/>
  <c r="J451" i="2"/>
  <c r="H451" i="2" s="1"/>
  <c r="K451" i="2"/>
  <c r="I451" i="2"/>
  <c r="J498" i="2"/>
  <c r="H498" i="2" s="1"/>
  <c r="K498" i="2"/>
  <c r="J288" i="2"/>
  <c r="H288" i="2" s="1"/>
  <c r="K297" i="2"/>
  <c r="G371" i="2"/>
  <c r="F371" i="2"/>
  <c r="K371" i="2" s="1"/>
  <c r="K377" i="2"/>
  <c r="J377" i="2"/>
  <c r="H377" i="2" s="1"/>
  <c r="I377" i="2"/>
  <c r="F384" i="2"/>
  <c r="K384" i="2" s="1"/>
  <c r="G405" i="2"/>
  <c r="F405" i="2"/>
  <c r="K405" i="2" s="1"/>
  <c r="K411" i="2"/>
  <c r="J411" i="2"/>
  <c r="H411" i="2" s="1"/>
  <c r="I411" i="2"/>
  <c r="F417" i="2"/>
  <c r="K417" i="2" s="1"/>
  <c r="F427" i="2"/>
  <c r="K427" i="2" s="1"/>
  <c r="J477" i="2"/>
  <c r="H477" i="2" s="1"/>
  <c r="K477" i="2"/>
  <c r="I477" i="2"/>
  <c r="J493" i="2"/>
  <c r="H493" i="2" s="1"/>
  <c r="I493" i="2"/>
  <c r="I323" i="2"/>
  <c r="I333" i="2"/>
  <c r="J334" i="2"/>
  <c r="H334" i="2" s="1"/>
  <c r="K386" i="2"/>
  <c r="I418" i="2"/>
  <c r="G424" i="2"/>
  <c r="K424" i="2"/>
  <c r="J424" i="2"/>
  <c r="H424" i="2" s="1"/>
  <c r="G436" i="2"/>
  <c r="F436" i="2"/>
  <c r="J436" i="2" s="1"/>
  <c r="H436" i="2" s="1"/>
  <c r="K438" i="2"/>
  <c r="J438" i="2"/>
  <c r="F491" i="2"/>
  <c r="I491" i="2" s="1"/>
  <c r="G355" i="2"/>
  <c r="F355" i="2"/>
  <c r="I355" i="2" s="1"/>
  <c r="G389" i="2"/>
  <c r="F389" i="2"/>
  <c r="K389" i="2" s="1"/>
  <c r="G407" i="2"/>
  <c r="G420" i="2"/>
  <c r="G445" i="2"/>
  <c r="F481" i="2"/>
  <c r="K481" i="2" s="1"/>
  <c r="G505" i="2"/>
  <c r="F505" i="2"/>
  <c r="I505" i="2" s="1"/>
  <c r="F357" i="2"/>
  <c r="I357" i="2" s="1"/>
  <c r="F359" i="2"/>
  <c r="I359" i="2" s="1"/>
  <c r="F374" i="2"/>
  <c r="I374" i="2" s="1"/>
  <c r="F376" i="2"/>
  <c r="J376" i="2" s="1"/>
  <c r="H376" i="2" s="1"/>
  <c r="K378" i="2"/>
  <c r="F391" i="2"/>
  <c r="J391" i="2" s="1"/>
  <c r="H391" i="2" s="1"/>
  <c r="F393" i="2"/>
  <c r="I393" i="2" s="1"/>
  <c r="F407" i="2"/>
  <c r="I407" i="2" s="1"/>
  <c r="I410" i="2"/>
  <c r="I414" i="2"/>
  <c r="F420" i="2"/>
  <c r="K420" i="2" s="1"/>
  <c r="K430" i="2"/>
  <c r="J430" i="2"/>
  <c r="H430" i="2" s="1"/>
  <c r="F445" i="2"/>
  <c r="I445" i="2" s="1"/>
  <c r="K459" i="2"/>
  <c r="J459" i="2"/>
  <c r="H459" i="2" s="1"/>
  <c r="I459" i="2"/>
  <c r="G459" i="2"/>
  <c r="J464" i="2"/>
  <c r="H464" i="2" s="1"/>
  <c r="K464" i="2"/>
  <c r="K474" i="2"/>
  <c r="J474" i="2"/>
  <c r="H474" i="2" s="1"/>
  <c r="I474" i="2"/>
  <c r="I479" i="2"/>
  <c r="G479" i="2"/>
  <c r="K479" i="2"/>
  <c r="G481" i="2"/>
  <c r="G496" i="2"/>
  <c r="F496" i="2"/>
  <c r="I496" i="2" s="1"/>
  <c r="G357" i="2"/>
  <c r="G359" i="2"/>
  <c r="G364" i="2"/>
  <c r="G376" i="2"/>
  <c r="F381" i="2"/>
  <c r="J383" i="2"/>
  <c r="H383" i="2" s="1"/>
  <c r="I383" i="2"/>
  <c r="K385" i="2"/>
  <c r="J385" i="2"/>
  <c r="H385" i="2" s="1"/>
  <c r="G391" i="2"/>
  <c r="G393" i="2"/>
  <c r="G398" i="2"/>
  <c r="G410" i="2"/>
  <c r="K414" i="2"/>
  <c r="J414" i="2"/>
  <c r="K428" i="2" s="1"/>
  <c r="I441" i="2"/>
  <c r="I446" i="2"/>
  <c r="G489" i="2"/>
  <c r="F489" i="2"/>
  <c r="K489" i="2" s="1"/>
  <c r="K501" i="2"/>
  <c r="J340" i="2"/>
  <c r="H340" i="2" s="1"/>
  <c r="I340" i="2"/>
  <c r="F364" i="2"/>
  <c r="F366" i="2"/>
  <c r="J366" i="2" s="1"/>
  <c r="K421" i="2" s="1"/>
  <c r="K368" i="2"/>
  <c r="F398" i="2"/>
  <c r="I398" i="2" s="1"/>
  <c r="F400" i="2"/>
  <c r="K400" i="2" s="1"/>
  <c r="J418" i="2"/>
  <c r="H418" i="2" s="1"/>
  <c r="F431" i="2"/>
  <c r="I431" i="2" s="1"/>
  <c r="F433" i="2"/>
  <c r="I433" i="2" s="1"/>
  <c r="I450" i="2"/>
  <c r="K450" i="2"/>
  <c r="J450" i="2"/>
  <c r="H450" i="2" s="1"/>
  <c r="K493" i="2"/>
  <c r="J501" i="2"/>
  <c r="H501" i="2" s="1"/>
  <c r="I501" i="2"/>
  <c r="G416" i="2"/>
  <c r="G432" i="2"/>
  <c r="F447" i="2"/>
  <c r="K447" i="2" s="1"/>
  <c r="K449" i="2"/>
  <c r="G452" i="2"/>
  <c r="F452" i="2"/>
  <c r="J452" i="2" s="1"/>
  <c r="H452" i="2" s="1"/>
  <c r="K460" i="2"/>
  <c r="G470" i="2"/>
  <c r="F470" i="2"/>
  <c r="J470" i="2" s="1"/>
  <c r="H470" i="2" s="1"/>
  <c r="G482" i="2"/>
  <c r="I506" i="2"/>
  <c r="G515" i="2"/>
  <c r="F515" i="2"/>
  <c r="K515" i="2" s="1"/>
  <c r="I524" i="2"/>
  <c r="F362" i="2"/>
  <c r="F370" i="2"/>
  <c r="F380" i="2"/>
  <c r="F388" i="2"/>
  <c r="F396" i="2"/>
  <c r="F404" i="2"/>
  <c r="F416" i="2"/>
  <c r="K416" i="2" s="1"/>
  <c r="J419" i="2"/>
  <c r="H419" i="2" s="1"/>
  <c r="I422" i="2"/>
  <c r="I432" i="2"/>
  <c r="F437" i="2"/>
  <c r="I437" i="2" s="1"/>
  <c r="G463" i="2"/>
  <c r="F465" i="2"/>
  <c r="I465" i="2" s="1"/>
  <c r="F482" i="2"/>
  <c r="I482" i="2" s="1"/>
  <c r="G497" i="2"/>
  <c r="F499" i="2"/>
  <c r="I499" i="2" s="1"/>
  <c r="K506" i="2"/>
  <c r="J506" i="2"/>
  <c r="H506" i="2" s="1"/>
  <c r="K524" i="2"/>
  <c r="J524" i="2"/>
  <c r="H524" i="2" s="1"/>
  <c r="J529" i="2"/>
  <c r="H529" i="2" s="1"/>
  <c r="I529" i="2"/>
  <c r="K412" i="2"/>
  <c r="G412" i="2"/>
  <c r="F439" i="2"/>
  <c r="K439" i="2" s="1"/>
  <c r="K441" i="2"/>
  <c r="G444" i="2"/>
  <c r="F444" i="2"/>
  <c r="G449" i="2"/>
  <c r="G458" i="2"/>
  <c r="K458" i="2"/>
  <c r="J458" i="2"/>
  <c r="H458" i="2" s="1"/>
  <c r="F463" i="2"/>
  <c r="I463" i="2" s="1"/>
  <c r="G465" i="2"/>
  <c r="K472" i="2"/>
  <c r="K475" i="2"/>
  <c r="G478" i="2"/>
  <c r="F478" i="2"/>
  <c r="K478" i="2" s="1"/>
  <c r="K492" i="2"/>
  <c r="J492" i="2"/>
  <c r="H492" i="2" s="1"/>
  <c r="F497" i="2"/>
  <c r="I497" i="2" s="1"/>
  <c r="G499" i="2"/>
  <c r="I503" i="2"/>
  <c r="I516" i="2"/>
  <c r="G471" i="2"/>
  <c r="F473" i="2"/>
  <c r="I473" i="2" s="1"/>
  <c r="F507" i="2"/>
  <c r="I507" i="2" s="1"/>
  <c r="K516" i="2"/>
  <c r="J516" i="2"/>
  <c r="H516" i="2" s="1"/>
  <c r="J521" i="2"/>
  <c r="H521" i="2" s="1"/>
  <c r="I521" i="2"/>
  <c r="K448" i="2"/>
  <c r="J448" i="2"/>
  <c r="H448" i="2" s="1"/>
  <c r="G466" i="2"/>
  <c r="K466" i="2"/>
  <c r="J466" i="2"/>
  <c r="H466" i="2" s="1"/>
  <c r="F471" i="2"/>
  <c r="G473" i="2"/>
  <c r="G486" i="2"/>
  <c r="F486" i="2"/>
  <c r="F500" i="2"/>
  <c r="I500" i="2" s="1"/>
  <c r="G507" i="2"/>
  <c r="I508" i="2"/>
  <c r="I518" i="2"/>
  <c r="I526" i="2"/>
  <c r="F504" i="2"/>
  <c r="J508" i="2"/>
  <c r="H508" i="2" s="1"/>
  <c r="F514" i="2"/>
  <c r="J518" i="2"/>
  <c r="H518" i="2" s="1"/>
  <c r="F522" i="2"/>
  <c r="K522" i="2" s="1"/>
  <c r="I525" i="2"/>
  <c r="J526" i="2"/>
  <c r="H526" i="2" s="1"/>
  <c r="F530" i="2"/>
  <c r="I530" i="2" s="1"/>
  <c r="F435" i="2"/>
  <c r="F443" i="2"/>
  <c r="K508" i="2"/>
  <c r="K518" i="2"/>
  <c r="G522" i="2"/>
  <c r="J525" i="2"/>
  <c r="H525" i="2" s="1"/>
  <c r="K526" i="2"/>
  <c r="G530" i="2"/>
  <c r="K525" i="2"/>
  <c r="H438" i="2" l="1"/>
  <c r="H421" i="2"/>
  <c r="H483" i="2"/>
  <c r="H354" i="2"/>
  <c r="H352" i="2"/>
  <c r="H402" i="2"/>
  <c r="H366" i="2"/>
  <c r="K504" i="2"/>
  <c r="H125" i="2"/>
  <c r="G342" i="2"/>
  <c r="K335" i="2"/>
  <c r="H453" i="2"/>
  <c r="H298" i="2"/>
  <c r="K279" i="2"/>
  <c r="H239" i="2"/>
  <c r="G239" i="2"/>
  <c r="H231" i="2"/>
  <c r="H198" i="2"/>
  <c r="K146" i="2"/>
  <c r="H170" i="2"/>
  <c r="H129" i="2"/>
  <c r="H120" i="2"/>
  <c r="H102" i="2"/>
  <c r="K104" i="2"/>
  <c r="H247" i="2"/>
  <c r="G247" i="2"/>
  <c r="H216" i="2"/>
  <c r="H185" i="2"/>
  <c r="H172" i="2"/>
  <c r="K163" i="2"/>
  <c r="H136" i="2"/>
  <c r="H100" i="2"/>
  <c r="K100" i="2"/>
  <c r="K53" i="2"/>
  <c r="K70" i="2"/>
  <c r="H84" i="2"/>
  <c r="H64" i="2"/>
  <c r="H22" i="2"/>
  <c r="J491" i="2"/>
  <c r="K500" i="2" s="1"/>
  <c r="K45" i="2"/>
  <c r="K505" i="2"/>
  <c r="K37" i="2"/>
  <c r="J349" i="2"/>
  <c r="K207" i="2"/>
  <c r="K338" i="2"/>
  <c r="J462" i="2"/>
  <c r="H462" i="2" s="1"/>
  <c r="K357" i="2"/>
  <c r="I279" i="2"/>
  <c r="K227" i="2"/>
  <c r="J357" i="2"/>
  <c r="H357" i="2" s="1"/>
  <c r="I415" i="2"/>
  <c r="K507" i="2"/>
  <c r="K156" i="2"/>
  <c r="J156" i="2"/>
  <c r="H156" i="2" s="1"/>
  <c r="K397" i="2"/>
  <c r="K197" i="2"/>
  <c r="K281" i="2"/>
  <c r="K473" i="2"/>
  <c r="J365" i="2"/>
  <c r="H365" i="2" s="1"/>
  <c r="I26" i="2"/>
  <c r="J447" i="2"/>
  <c r="H447" i="2" s="1"/>
  <c r="J496" i="2"/>
  <c r="H496" i="2" s="1"/>
  <c r="K235" i="2"/>
  <c r="J505" i="2"/>
  <c r="H505" i="2" s="1"/>
  <c r="J166" i="2"/>
  <c r="H166" i="2" s="1"/>
  <c r="I356" i="2"/>
  <c r="J500" i="2"/>
  <c r="K514" i="2" s="1"/>
  <c r="K355" i="2"/>
  <c r="J433" i="2"/>
  <c r="H433" i="2" s="1"/>
  <c r="J94" i="2"/>
  <c r="H94" i="2" s="1"/>
  <c r="J60" i="2"/>
  <c r="H60" i="2" s="1"/>
  <c r="J407" i="2"/>
  <c r="H407" i="2" s="1"/>
  <c r="K367" i="2"/>
  <c r="J176" i="2"/>
  <c r="H176" i="2" s="1"/>
  <c r="J392" i="2"/>
  <c r="K399" i="2" s="1"/>
  <c r="J473" i="2"/>
  <c r="H473" i="2" s="1"/>
  <c r="I439" i="2"/>
  <c r="I397" i="2"/>
  <c r="J363" i="2"/>
  <c r="H363" i="2" s="1"/>
  <c r="I409" i="2"/>
  <c r="I457" i="2"/>
  <c r="J197" i="2"/>
  <c r="H197" i="2" s="1"/>
  <c r="K21" i="2"/>
  <c r="K184" i="2"/>
  <c r="J393" i="2"/>
  <c r="H393" i="2" s="1"/>
  <c r="J212" i="2"/>
  <c r="H212" i="2" s="1"/>
  <c r="J273" i="2"/>
  <c r="H273" i="2" s="1"/>
  <c r="K44" i="2"/>
  <c r="K26" i="2"/>
  <c r="J507" i="2"/>
  <c r="H507" i="2" s="1"/>
  <c r="I481" i="2"/>
  <c r="J351" i="2"/>
  <c r="H351" i="2" s="1"/>
  <c r="K363" i="2"/>
  <c r="J457" i="2"/>
  <c r="H457" i="2" s="1"/>
  <c r="I238" i="2"/>
  <c r="I304" i="2"/>
  <c r="I32" i="2"/>
  <c r="J382" i="2"/>
  <c r="I211" i="2"/>
  <c r="K60" i="2"/>
  <c r="I68" i="2"/>
  <c r="J112" i="2"/>
  <c r="I24" i="2"/>
  <c r="I447" i="2"/>
  <c r="J481" i="2"/>
  <c r="H481" i="2" s="1"/>
  <c r="J413" i="2"/>
  <c r="H413" i="2" s="1"/>
  <c r="K351" i="2"/>
  <c r="I462" i="2"/>
  <c r="K409" i="2"/>
  <c r="K326" i="2"/>
  <c r="K365" i="2"/>
  <c r="J227" i="2"/>
  <c r="H227" i="2" s="1"/>
  <c r="K304" i="2"/>
  <c r="K29" i="2"/>
  <c r="K382" i="2"/>
  <c r="I94" i="2"/>
  <c r="K211" i="2"/>
  <c r="I104" i="2"/>
  <c r="I452" i="2"/>
  <c r="K374" i="2"/>
  <c r="I341" i="2"/>
  <c r="J199" i="2"/>
  <c r="H199" i="2" s="1"/>
  <c r="K415" i="2"/>
  <c r="K262" i="2"/>
  <c r="J320" i="2"/>
  <c r="H320" i="2" s="1"/>
  <c r="I245" i="2"/>
  <c r="I184" i="2"/>
  <c r="J19" i="2"/>
  <c r="H19" i="2" s="1"/>
  <c r="I194" i="2"/>
  <c r="K32" i="2"/>
  <c r="K69" i="2"/>
  <c r="K391" i="2"/>
  <c r="J445" i="2"/>
  <c r="H445" i="2" s="1"/>
  <c r="I19" i="2"/>
  <c r="J431" i="2"/>
  <c r="H431" i="2" s="1"/>
  <c r="K341" i="2"/>
  <c r="J326" i="2"/>
  <c r="H326" i="2" s="1"/>
  <c r="K243" i="2"/>
  <c r="I313" i="2"/>
  <c r="K245" i="2"/>
  <c r="I281" i="2"/>
  <c r="I166" i="2"/>
  <c r="I45" i="2"/>
  <c r="K68" i="2"/>
  <c r="K212" i="2"/>
  <c r="J482" i="2"/>
  <c r="H482" i="2" s="1"/>
  <c r="I366" i="2"/>
  <c r="J401" i="2"/>
  <c r="H401" i="2" s="1"/>
  <c r="I271" i="2"/>
  <c r="K209" i="2"/>
  <c r="J201" i="2"/>
  <c r="H201" i="2" s="1"/>
  <c r="I523" i="2"/>
  <c r="I86" i="2"/>
  <c r="I21" i="2"/>
  <c r="I202" i="2"/>
  <c r="I50" i="2"/>
  <c r="I336" i="2"/>
  <c r="J499" i="2"/>
  <c r="H499" i="2" s="1"/>
  <c r="K482" i="2"/>
  <c r="K407" i="2"/>
  <c r="I489" i="2"/>
  <c r="I436" i="2"/>
  <c r="J410" i="2"/>
  <c r="H410" i="2" s="1"/>
  <c r="K359" i="2"/>
  <c r="K401" i="2"/>
  <c r="J271" i="2"/>
  <c r="H271" i="2" s="1"/>
  <c r="I243" i="2"/>
  <c r="I209" i="2"/>
  <c r="J523" i="2"/>
  <c r="I320" i="2"/>
  <c r="K157" i="2"/>
  <c r="J235" i="2"/>
  <c r="H235" i="2" s="1"/>
  <c r="J194" i="2"/>
  <c r="H194" i="2" s="1"/>
  <c r="J336" i="2"/>
  <c r="H336" i="2" s="1"/>
  <c r="I69" i="2"/>
  <c r="K236" i="2"/>
  <c r="H10" i="2"/>
  <c r="K436" i="2"/>
  <c r="I384" i="2"/>
  <c r="I338" i="2"/>
  <c r="K124" i="2"/>
  <c r="J17" i="2"/>
  <c r="H17" i="2" s="1"/>
  <c r="J356" i="2"/>
  <c r="H356" i="2" s="1"/>
  <c r="I158" i="2"/>
  <c r="I389" i="2"/>
  <c r="I400" i="2"/>
  <c r="K86" i="2"/>
  <c r="J124" i="2"/>
  <c r="H124" i="2" s="1"/>
  <c r="I87" i="2"/>
  <c r="J400" i="2"/>
  <c r="H400" i="2" s="1"/>
  <c r="J465" i="2"/>
  <c r="H465" i="2" s="1"/>
  <c r="K433" i="2"/>
  <c r="I391" i="2"/>
  <c r="J384" i="2"/>
  <c r="J236" i="2"/>
  <c r="H236" i="2" s="1"/>
  <c r="K273" i="2"/>
  <c r="I262" i="2"/>
  <c r="J207" i="2"/>
  <c r="I176" i="2"/>
  <c r="J50" i="2"/>
  <c r="H50" i="2" s="1"/>
  <c r="K254" i="2"/>
  <c r="K285" i="2"/>
  <c r="J285" i="2"/>
  <c r="H285" i="2" s="1"/>
  <c r="I285" i="2"/>
  <c r="J215" i="2"/>
  <c r="H215" i="2" s="1"/>
  <c r="I215" i="2"/>
  <c r="K215" i="2"/>
  <c r="K358" i="2"/>
  <c r="I171" i="2"/>
  <c r="J171" i="2"/>
  <c r="H171" i="2" s="1"/>
  <c r="I101" i="2"/>
  <c r="J101" i="2"/>
  <c r="H101" i="2" s="1"/>
  <c r="I228" i="2"/>
  <c r="K36" i="2"/>
  <c r="I218" i="2"/>
  <c r="J7" i="2"/>
  <c r="H7" i="2" s="1"/>
  <c r="J98" i="2"/>
  <c r="H98" i="2" s="1"/>
  <c r="J191" i="2"/>
  <c r="H191" i="2" s="1"/>
  <c r="J280" i="2"/>
  <c r="H280" i="2" s="1"/>
  <c r="K443" i="2"/>
  <c r="I443" i="2"/>
  <c r="J439" i="2"/>
  <c r="H439" i="2" s="1"/>
  <c r="K499" i="2"/>
  <c r="K465" i="2"/>
  <c r="K452" i="2"/>
  <c r="J389" i="2"/>
  <c r="H389" i="2" s="1"/>
  <c r="J374" i="2"/>
  <c r="K380" i="2" s="1"/>
  <c r="J355" i="2"/>
  <c r="H355" i="2" s="1"/>
  <c r="K445" i="2"/>
  <c r="K410" i="2"/>
  <c r="K491" i="2"/>
  <c r="J427" i="2"/>
  <c r="H427" i="2" s="1"/>
  <c r="K413" i="2"/>
  <c r="K429" i="2"/>
  <c r="J277" i="2"/>
  <c r="H277" i="2" s="1"/>
  <c r="I277" i="2"/>
  <c r="K277" i="2"/>
  <c r="J217" i="2"/>
  <c r="H217" i="2" s="1"/>
  <c r="K217" i="2"/>
  <c r="K195" i="2"/>
  <c r="I195" i="2"/>
  <c r="J163" i="2"/>
  <c r="K313" i="2" s="1"/>
  <c r="I163" i="2"/>
  <c r="I91" i="2"/>
  <c r="J91" i="2"/>
  <c r="H91" i="2" s="1"/>
  <c r="J228" i="2"/>
  <c r="K349" i="2" s="1"/>
  <c r="I9" i="2"/>
  <c r="J218" i="2"/>
  <c r="J42" i="2"/>
  <c r="H42" i="2" s="1"/>
  <c r="K42" i="2"/>
  <c r="J104" i="2"/>
  <c r="K98" i="2"/>
  <c r="K191" i="2"/>
  <c r="K280" i="2"/>
  <c r="K202" i="2"/>
  <c r="I112" i="2"/>
  <c r="K419" i="2"/>
  <c r="I419" i="2"/>
  <c r="I440" i="2"/>
  <c r="K16" i="2"/>
  <c r="J16" i="2"/>
  <c r="H16" i="2" s="1"/>
  <c r="K404" i="2"/>
  <c r="J404" i="2"/>
  <c r="H404" i="2" s="1"/>
  <c r="I404" i="2"/>
  <c r="K259" i="2"/>
  <c r="J259" i="2"/>
  <c r="H259" i="2" s="1"/>
  <c r="I259" i="2"/>
  <c r="I399" i="2"/>
  <c r="J279" i="2"/>
  <c r="J145" i="2"/>
  <c r="H145" i="2" s="1"/>
  <c r="I145" i="2"/>
  <c r="I246" i="2"/>
  <c r="K376" i="2"/>
  <c r="J429" i="2"/>
  <c r="K467" i="2" s="1"/>
  <c r="J339" i="2"/>
  <c r="H339" i="2" s="1"/>
  <c r="J249" i="2"/>
  <c r="H249" i="2" s="1"/>
  <c r="I249" i="2"/>
  <c r="K249" i="2"/>
  <c r="K440" i="2"/>
  <c r="J135" i="2"/>
  <c r="H135" i="2" s="1"/>
  <c r="I135" i="2"/>
  <c r="J65" i="2"/>
  <c r="H65" i="2" s="1"/>
  <c r="I65" i="2"/>
  <c r="J246" i="2"/>
  <c r="H246" i="2" s="1"/>
  <c r="I330" i="2"/>
  <c r="J237" i="2"/>
  <c r="H237" i="2" s="1"/>
  <c r="K87" i="2"/>
  <c r="K423" i="2"/>
  <c r="I79" i="2"/>
  <c r="J29" i="2"/>
  <c r="H29" i="2" s="1"/>
  <c r="I16" i="2"/>
  <c r="J106" i="2"/>
  <c r="I254" i="2"/>
  <c r="I80" i="2"/>
  <c r="I7" i="2"/>
  <c r="J45" i="2"/>
  <c r="K172" i="2" s="1"/>
  <c r="I138" i="2"/>
  <c r="K130" i="2"/>
  <c r="I435" i="2"/>
  <c r="K435" i="2"/>
  <c r="I376" i="2"/>
  <c r="J371" i="2"/>
  <c r="H371" i="2" s="1"/>
  <c r="I371" i="2"/>
  <c r="I153" i="2"/>
  <c r="J153" i="2"/>
  <c r="K305" i="2" s="1"/>
  <c r="J36" i="2"/>
  <c r="H36" i="2" s="1"/>
  <c r="I73" i="2"/>
  <c r="J73" i="2"/>
  <c r="H73" i="2" s="1"/>
  <c r="K138" i="2"/>
  <c r="I106" i="2"/>
  <c r="J444" i="2"/>
  <c r="H444" i="2" s="1"/>
  <c r="I444" i="2"/>
  <c r="K437" i="2"/>
  <c r="J437" i="2"/>
  <c r="H437" i="2" s="1"/>
  <c r="K388" i="2"/>
  <c r="J388" i="2"/>
  <c r="H388" i="2" s="1"/>
  <c r="I388" i="2"/>
  <c r="J515" i="2"/>
  <c r="H515" i="2" s="1"/>
  <c r="J489" i="2"/>
  <c r="H489" i="2" s="1"/>
  <c r="K393" i="2"/>
  <c r="J435" i="2"/>
  <c r="H435" i="2" s="1"/>
  <c r="I417" i="2"/>
  <c r="I347" i="2"/>
  <c r="K339" i="2"/>
  <c r="J303" i="2"/>
  <c r="H303" i="2" s="1"/>
  <c r="K303" i="2"/>
  <c r="K241" i="2"/>
  <c r="J241" i="2"/>
  <c r="I241" i="2"/>
  <c r="I350" i="2"/>
  <c r="J127" i="2"/>
  <c r="H127" i="2" s="1"/>
  <c r="I127" i="2"/>
  <c r="K201" i="2"/>
  <c r="J330" i="2"/>
  <c r="I292" i="2"/>
  <c r="J238" i="2"/>
  <c r="H238" i="2" s="1"/>
  <c r="K153" i="2"/>
  <c r="I78" i="2"/>
  <c r="K237" i="2"/>
  <c r="I105" i="2"/>
  <c r="I53" i="2"/>
  <c r="I39" i="2"/>
  <c r="J39" i="2"/>
  <c r="H39" i="2" s="1"/>
  <c r="I261" i="2"/>
  <c r="J6" i="2"/>
  <c r="H6" i="2" s="1"/>
  <c r="K6" i="2"/>
  <c r="I17" i="2"/>
  <c r="J79" i="2"/>
  <c r="H79" i="2" s="1"/>
  <c r="I517" i="2"/>
  <c r="J80" i="2"/>
  <c r="H80" i="2" s="1"/>
  <c r="I122" i="2"/>
  <c r="K174" i="2"/>
  <c r="I504" i="2"/>
  <c r="J504" i="2"/>
  <c r="K523" i="2" s="1"/>
  <c r="I269" i="2"/>
  <c r="J269" i="2"/>
  <c r="K497" i="2"/>
  <c r="J497" i="2"/>
  <c r="H497" i="2" s="1"/>
  <c r="I420" i="2"/>
  <c r="I396" i="2"/>
  <c r="K396" i="2"/>
  <c r="J396" i="2"/>
  <c r="H396" i="2" s="1"/>
  <c r="K470" i="2"/>
  <c r="J420" i="2"/>
  <c r="H420" i="2" s="1"/>
  <c r="J522" i="2"/>
  <c r="H522" i="2" s="1"/>
  <c r="I522" i="2"/>
  <c r="K530" i="2"/>
  <c r="K463" i="2"/>
  <c r="J463" i="2"/>
  <c r="H463" i="2" s="1"/>
  <c r="K444" i="2"/>
  <c r="I470" i="2"/>
  <c r="J380" i="2"/>
  <c r="K381" i="2" s="1"/>
  <c r="I380" i="2"/>
  <c r="J432" i="2"/>
  <c r="H432" i="2" s="1"/>
  <c r="K364" i="2"/>
  <c r="J364" i="2"/>
  <c r="H364" i="2" s="1"/>
  <c r="I381" i="2"/>
  <c r="J381" i="2"/>
  <c r="I364" i="2"/>
  <c r="K496" i="2"/>
  <c r="J443" i="2"/>
  <c r="H443" i="2" s="1"/>
  <c r="I427" i="2"/>
  <c r="J417" i="2"/>
  <c r="H417" i="2" s="1"/>
  <c r="J347" i="2"/>
  <c r="H347" i="2" s="1"/>
  <c r="K233" i="2"/>
  <c r="J233" i="2"/>
  <c r="H233" i="2" s="1"/>
  <c r="I233" i="2"/>
  <c r="I367" i="2"/>
  <c r="I358" i="2"/>
  <c r="J350" i="2"/>
  <c r="H350" i="2" s="1"/>
  <c r="J119" i="2"/>
  <c r="H119" i="2" s="1"/>
  <c r="I119" i="2"/>
  <c r="J292" i="2"/>
  <c r="K362" i="2" s="1"/>
  <c r="K127" i="2"/>
  <c r="K73" i="2"/>
  <c r="I148" i="2"/>
  <c r="J78" i="2"/>
  <c r="H78" i="2" s="1"/>
  <c r="J105" i="2"/>
  <c r="H105" i="2" s="1"/>
  <c r="J53" i="2"/>
  <c r="K253" i="2" s="1"/>
  <c r="I27" i="2"/>
  <c r="I130" i="2"/>
  <c r="I157" i="2"/>
  <c r="I423" i="2"/>
  <c r="J261" i="2"/>
  <c r="H261" i="2" s="1"/>
  <c r="I174" i="2"/>
  <c r="J517" i="2"/>
  <c r="K122" i="2"/>
  <c r="I514" i="2"/>
  <c r="J514" i="2"/>
  <c r="I362" i="2"/>
  <c r="J362" i="2"/>
  <c r="K398" i="2"/>
  <c r="J398" i="2"/>
  <c r="H398" i="2" s="1"/>
  <c r="J486" i="2"/>
  <c r="H486" i="2" s="1"/>
  <c r="I486" i="2"/>
  <c r="J416" i="2"/>
  <c r="H416" i="2" s="1"/>
  <c r="I416" i="2"/>
  <c r="I83" i="2"/>
  <c r="J83" i="2"/>
  <c r="H83" i="2" s="1"/>
  <c r="J11" i="2"/>
  <c r="H11" i="2" s="1"/>
  <c r="I11" i="2"/>
  <c r="K486" i="2"/>
  <c r="I515" i="2"/>
  <c r="J530" i="2"/>
  <c r="H530" i="2" s="1"/>
  <c r="K471" i="2"/>
  <c r="J471" i="2"/>
  <c r="H471" i="2" s="1"/>
  <c r="I471" i="2"/>
  <c r="J478" i="2"/>
  <c r="H478" i="2" s="1"/>
  <c r="I478" i="2"/>
  <c r="K370" i="2"/>
  <c r="J370" i="2"/>
  <c r="H370" i="2" s="1"/>
  <c r="I370" i="2"/>
  <c r="K432" i="2"/>
  <c r="J359" i="2"/>
  <c r="H359" i="2" s="1"/>
  <c r="J405" i="2"/>
  <c r="H405" i="2" s="1"/>
  <c r="I405" i="2"/>
  <c r="K324" i="2"/>
  <c r="I324" i="2"/>
  <c r="J225" i="2"/>
  <c r="H225" i="2" s="1"/>
  <c r="I225" i="2"/>
  <c r="K225" i="2"/>
  <c r="I303" i="2"/>
  <c r="K431" i="2"/>
  <c r="J253" i="2"/>
  <c r="K269" i="2" s="1"/>
  <c r="J179" i="2"/>
  <c r="H179" i="2" s="1"/>
  <c r="I179" i="2"/>
  <c r="J109" i="2"/>
  <c r="H109" i="2" s="1"/>
  <c r="I109" i="2"/>
  <c r="I199" i="2"/>
  <c r="K171" i="2"/>
  <c r="K101" i="2"/>
  <c r="J148" i="2"/>
  <c r="K158" i="2" s="1"/>
  <c r="K25" i="2"/>
  <c r="I25" i="2"/>
  <c r="I44" i="2"/>
  <c r="J27" i="2"/>
  <c r="H27" i="2" s="1"/>
  <c r="I3" i="2"/>
  <c r="J3" i="2"/>
  <c r="K18" i="2" s="1"/>
  <c r="G419" i="2" l="1"/>
  <c r="K517" i="2"/>
  <c r="K483" i="2"/>
  <c r="H153" i="2"/>
  <c r="H517" i="2"/>
  <c r="K366" i="2"/>
  <c r="K352" i="2"/>
  <c r="H384" i="2"/>
  <c r="H381" i="2"/>
  <c r="K392" i="2"/>
  <c r="H382" i="2"/>
  <c r="H392" i="2"/>
  <c r="H380" i="2"/>
  <c r="H349" i="2"/>
  <c r="H523" i="2"/>
  <c r="H504" i="2"/>
  <c r="H500" i="2"/>
  <c r="H429" i="2"/>
  <c r="H362" i="2"/>
  <c r="K453" i="2"/>
  <c r="K330" i="2"/>
  <c r="K291" i="2"/>
  <c r="H330" i="2"/>
  <c r="H292" i="2"/>
  <c r="G245" i="2"/>
  <c r="H241" i="2"/>
  <c r="G241" i="2"/>
  <c r="H228" i="2"/>
  <c r="H148" i="2"/>
  <c r="K322" i="2"/>
  <c r="K116" i="2"/>
  <c r="H106" i="2"/>
  <c r="K112" i="2"/>
  <c r="H112" i="2"/>
  <c r="H279" i="2"/>
  <c r="H253" i="2"/>
  <c r="H218" i="2"/>
  <c r="H207" i="2"/>
  <c r="H163" i="2"/>
  <c r="H104" i="2"/>
  <c r="H53" i="2"/>
  <c r="K24" i="2"/>
  <c r="H45" i="2"/>
  <c r="H3" i="2"/>
</calcChain>
</file>

<file path=xl/sharedStrings.xml><?xml version="1.0" encoding="utf-8"?>
<sst xmlns="http://schemas.openxmlformats.org/spreadsheetml/2006/main" count="1372" uniqueCount="431">
  <si>
    <t>ID</t>
  </si>
  <si>
    <t>PRED_ID</t>
  </si>
  <si>
    <t>MARKER_AUTO</t>
  </si>
  <si>
    <t>PREDICATE</t>
  </si>
  <si>
    <t>TEXT</t>
  </si>
  <si>
    <t>SENTENCE</t>
  </si>
  <si>
    <t>MARKER</t>
  </si>
  <si>
    <t>TARGET</t>
  </si>
  <si>
    <t>RELATION</t>
  </si>
  <si>
    <t>COMMENT</t>
  </si>
  <si>
    <t>1</t>
  </si>
  <si>
    <t>11</t>
  </si>
  <si>
    <t>_</t>
  </si>
  <si>
    <t>verfügbar</t>
  </si>
  <si>
    <t>Royal Bank of Scotland für Kunden außerhalb Schottlands nicht mehr verfügbar</t>
  </si>
  <si>
    <t>file://conllu/de/bbc.242405.conllu#s1_0</t>
  </si>
  <si>
    <t>2</t>
  </si>
  <si>
    <t>16</t>
  </si>
  <si>
    <t>reduzieren</t>
  </si>
  <si>
    <t>Die Marke RBS soll laut dem Vorstandschef der Bank nurmehr auf eine Backoffice Rolle reduziert werden .</t>
  </si>
  <si>
    <t>file://conllu/de/bbc.242405.conllu#s2_0</t>
  </si>
  <si>
    <t>3</t>
  </si>
  <si>
    <t>14</t>
  </si>
  <si>
    <t>sein (sein verfügbar)</t>
  </si>
  <si>
    <t>Die Royal Bank of Scotland wird für Kunden außerhalb Schottlands nicht mehr verfügbar sein .</t>
  </si>
  <si>
    <t>file://conllu/de/bbc.242405.conllu#s3_0</t>
  </si>
  <si>
    <t>4</t>
  </si>
  <si>
    <t>teilen</t>
  </si>
  <si>
    <t>Ross McEwan teilte der BBC Scotland mit , dass die Marke RBS mit den globalen Ambitionen der Bank verbunden waren .</t>
  </si>
  <si>
    <t>file://conllu/de/bbc.242405.conllu#s4_0</t>
  </si>
  <si>
    <t>5</t>
  </si>
  <si>
    <t>6</t>
  </si>
  <si>
    <t>distanzieren</t>
  </si>
  <si>
    <t>Die Bank hat sich seitdem distanziert , als sie vor acht Jahren fast kollabierte und gerettet werden musste .</t>
  </si>
  <si>
    <t>file://conllu/de/bbc.242405.conllu#s5_0</t>
  </si>
  <si>
    <t>10</t>
  </si>
  <si>
    <t>in dieser Zeit?</t>
  </si>
  <si>
    <t>verwenden</t>
  </si>
  <si>
    <t>In dieser Zeit haben Markenstrategen &amp;quot; RBS &amp;quot; dazu verwendet , andere Endverbraucherfinanzmarken zu schützen .</t>
  </si>
  <si>
    <t>file://conllu/de/bbc.242405.conllu#s6_0</t>
  </si>
  <si>
    <t>7</t>
  </si>
  <si>
    <t>unterstützen</t>
  </si>
  <si>
    <t>Sie unterstützte den internationalen Sport mit Millionen Pfund an Sponsoring , vom von dem Six Nations Rugby bis hin zum zu dem Wimbledon Sieger Andy Murray .</t>
  </si>
  <si>
    <t>file://conllu/de/bbc.242405.conllu#s7_0</t>
  </si>
  <si>
    <t>8</t>
  </si>
  <si>
    <t>entschieden</t>
  </si>
  <si>
    <t>Aber jetzt hat sie sich dazu entschieden , mehr nationale Marken in den Fokus zu rücken .</t>
  </si>
  <si>
    <t>file://conllu/de/bbc.242405.conllu#s8_0</t>
  </si>
  <si>
    <t>9</t>
  </si>
  <si>
    <t>13</t>
  </si>
  <si>
    <t>Die Royal Bank of Scotland wird nur für Kunden in Schottland verfügbar sein , aber wird nicht initialisiert werden .</t>
  </si>
  <si>
    <t>file://conllu/de/bbc.242405.conllu#s9_0</t>
  </si>
  <si>
    <t>18</t>
  </si>
  <si>
    <t>wechseln</t>
  </si>
  <si>
    <t>In England und Wales werden alle RSB Referenzen , der dezentrale Hauptsitz und die Börsennotierung zu NatWest wechseln .</t>
  </si>
  <si>
    <t>file://conllu/de/bbc.242405.conllu#s10_0</t>
  </si>
  <si>
    <t>15</t>
  </si>
  <si>
    <t>Die Marke Ulster Bank wird bereits für Kunden in der Republik Irland und Nordirland verwendet .</t>
  </si>
  <si>
    <t>file://conllu/de/bbc.242405.conllu#s11_0</t>
  </si>
  <si>
    <t>12</t>
  </si>
  <si>
    <t>geben</t>
  </si>
  <si>
    <t>Es gibt andere , kleinere Marken für das Privatkundengeschäft , die mehr Bedeutung erhalten werden Coutts , Adam &amp;amp; Co , Drummond und Holt's Military Bank .</t>
  </si>
  <si>
    <t>file://conllu/de/bbc.242405.conllu#s12_0</t>
  </si>
  <si>
    <t>interviewen</t>
  </si>
  <si>
    <t>McEwan wurde während einer Besichtigungstour von Kunden und Mitarbeitern in Inverness-shire interviewt .</t>
  </si>
  <si>
    <t>file://conllu/de/bbc.242405.conllu#s13_0</t>
  </si>
  <si>
    <t>Er teilte der BBC Scotland mit : &amp;quot; Die Marke RSB wird zu unserer Investorenmarke sowie zu der Marke , unter der unsere Mitarbeiter beschäftigt sein werden , da wir jetzt mehr zu einer Bank von Marken werden . &amp;quot;</t>
  </si>
  <si>
    <t>file://conllu/de/bbc.242405.conllu#s14_0</t>
  </si>
  <si>
    <t>werden</t>
  </si>
  <si>
    <t>Als die Bank selber zu einer globalen Marke wurde , wurde RBS zur zu der globalen Marke .</t>
  </si>
  <si>
    <t>file://conllu/de/bbc.242405.conllu#s15_0</t>
  </si>
  <si>
    <t>sagen</t>
  </si>
  <si>
    <t>Ich sage jetzt , dass wir keine globalen Ziele , sondern lokale Ziele verfolgen .</t>
  </si>
  <si>
    <t>file://conllu/de/bbc.242405.conllu#s16_0</t>
  </si>
  <si>
    <t>17</t>
  </si>
  <si>
    <t>stehen</t>
  </si>
  <si>
    <t>Jede dieser Marken wird in ihren eigenen Gemeinden für etwas vollkommen anderes stehen und unsere Mitarbeiter werden unter diesen Marken mit den Kunden arbeiten .</t>
  </si>
  <si>
    <t>file://conllu/de/bbc.242405.conllu#s17_0</t>
  </si>
  <si>
    <t>ausgesagen</t>
  </si>
  <si>
    <t>RBS hat bereits ausgesagt , dass es sein Six Nations Sponsoring nicht mehr fortführen wird und , dass es die Wahrnehmbarkeit der verschiedenen Marken in seinem Sport Sponsoring erhöhen wird .</t>
  </si>
  <si>
    <t>file://conllu/de/bbc.242405.conllu#s18_0</t>
  </si>
  <si>
    <t>19</t>
  </si>
  <si>
    <t>43</t>
  </si>
  <si>
    <t>&amp;quot; Es ist Zeit für uns , sich zur zu der Bank der Marken zu entwickeln , denn wie konzentrieren wir uns im in dem Inneren ( wir haben gefragt ) darauf , dies zu einer besseren Bank für Kunden zu machen ? &amp;quot; sagte der Vorstandschef .</t>
  </si>
  <si>
    <t>file://conllu/de/bbc.242405.conllu#s19_0</t>
  </si>
  <si>
    <t>20</t>
  </si>
  <si>
    <t>sein (sein zynisch)</t>
  </si>
  <si>
    <t>Es wäre vor drei Jahren sehr zynisch gewesen , wenn wir gesagt hätten , dass wir für unsere Kunden eine tolle Bank sein werden und diese Marken lanciert hätten .</t>
  </si>
  <si>
    <t>file://conllu/de/bbc.242405.conllu#s20_0</t>
  </si>
  <si>
    <t>21</t>
  </si>
  <si>
    <t>denken (denken sehen)</t>
  </si>
  <si>
    <t>Aber mit unserer Arbeit , dem Fokus auf Kundenbedürfnisse und nicht unsere eigenen , denke ich , wird man viele Veränderungen sehen .</t>
  </si>
  <si>
    <t>file://conllu/de/bbc.242405.conllu#s21_0</t>
  </si>
  <si>
    <t>22</t>
  </si>
  <si>
    <t>lancieren</t>
  </si>
  <si>
    <t>Wir können diese Marken wieder lancieren , daher denke ich , dass die Zeit gekommen ist .</t>
  </si>
  <si>
    <t>file://conllu/de/bbc.242405.conllu#s22_0</t>
  </si>
  <si>
    <t>WORD</t>
  </si>
  <si>
    <t>GR</t>
  </si>
  <si>
    <t>NP_TYPE</t>
  </si>
  <si>
    <t>REF_AUTO</t>
  </si>
  <si>
    <t>COREF</t>
  </si>
  <si>
    <t>REF</t>
  </si>
  <si>
    <t>IS</t>
  </si>
  <si>
    <t>CB</t>
  </si>
  <si>
    <t>GR_ANTE</t>
  </si>
  <si>
    <t>REF_DIST</t>
  </si>
  <si>
    <t>REF_DIST_ANTE</t>
  </si>
  <si>
    <t># text = Royal Bank of Scotland für Kunden außerhalb Schottlands nicht mehr verfügbar</t>
  </si>
  <si>
    <t>Royal</t>
  </si>
  <si>
    <t>SBJ</t>
  </si>
  <si>
    <t>ne</t>
  </si>
  <si>
    <t>?OLD</t>
  </si>
  <si>
    <t>Bank</t>
  </si>
  <si>
    <t>of</t>
  </si>
  <si>
    <t>Scotland</t>
  </si>
  <si>
    <t>für</t>
  </si>
  <si>
    <t>Kunden</t>
  </si>
  <si>
    <t>other_2</t>
  </si>
  <si>
    <t>def-np.poss</t>
  </si>
  <si>
    <t>außerhalb</t>
  </si>
  <si>
    <t>Schottlands</t>
  </si>
  <si>
    <t>other_3</t>
  </si>
  <si>
    <t>nicht</t>
  </si>
  <si>
    <t>mehr</t>
  </si>
  <si>
    <t># text = Die Marke RBS soll laut dem Vorstandschef der Bank nurmehr auf eine Backoffice-Rolle reduziert werden.</t>
  </si>
  <si>
    <t>Die</t>
  </si>
  <si>
    <t>Marke</t>
  </si>
  <si>
    <t>def-np.the</t>
  </si>
  <si>
    <t>RBS</t>
  </si>
  <si>
    <t>soll</t>
  </si>
  <si>
    <t>laut</t>
  </si>
  <si>
    <t>dem</t>
  </si>
  <si>
    <t>Vorstandschef</t>
  </si>
  <si>
    <t>other</t>
  </si>
  <si>
    <t>der</t>
  </si>
  <si>
    <t>nurmehr</t>
  </si>
  <si>
    <t>auf</t>
  </si>
  <si>
    <t>eine</t>
  </si>
  <si>
    <t>Backoffice</t>
  </si>
  <si>
    <t>Rolle</t>
  </si>
  <si>
    <t>indef-np.a</t>
  </si>
  <si>
    <t>reduziert</t>
  </si>
  <si>
    <t>.</t>
  </si>
  <si>
    <t># text = Die Royal Bank of Scotland wird für Kunden außerhalb Schottlands nicht mehr verfügbar sein.</t>
  </si>
  <si>
    <t>wird</t>
  </si>
  <si>
    <t>sein</t>
  </si>
  <si>
    <t># text = Ross McEwan teilte der BBC Scotland mit, dass die Marke RBS mit den globalen Ambitionen der Bank verbunden waren.</t>
  </si>
  <si>
    <t>Ross</t>
  </si>
  <si>
    <t>McEwan</t>
  </si>
  <si>
    <t>teilte</t>
  </si>
  <si>
    <t>BBC</t>
  </si>
  <si>
    <t>SBJ_2</t>
  </si>
  <si>
    <t>OBJ</t>
  </si>
  <si>
    <t>mit</t>
  </si>
  <si>
    <t>,</t>
  </si>
  <si>
    <t>dass</t>
  </si>
  <si>
    <t>die</t>
  </si>
  <si>
    <t>den</t>
  </si>
  <si>
    <t>globalen</t>
  </si>
  <si>
    <t>Ambitionen</t>
  </si>
  <si>
    <t>verbunden</t>
  </si>
  <si>
    <t>waren</t>
  </si>
  <si>
    <t># text = Die Bank hat sich seitdem distanziert, als sie vor acht Jahren fast kollabierte und gerettet werden musste.</t>
  </si>
  <si>
    <t>hat</t>
  </si>
  <si>
    <t>sich</t>
  </si>
  <si>
    <t>seitdem</t>
  </si>
  <si>
    <t>distanziert</t>
  </si>
  <si>
    <t>als</t>
  </si>
  <si>
    <t>sie</t>
  </si>
  <si>
    <t>pron</t>
  </si>
  <si>
    <t>vor</t>
  </si>
  <si>
    <t>acht</t>
  </si>
  <si>
    <t>Jahren</t>
  </si>
  <si>
    <t>indef-np.quant</t>
  </si>
  <si>
    <t>fast</t>
  </si>
  <si>
    <t>kollabierte</t>
  </si>
  <si>
    <t>und</t>
  </si>
  <si>
    <t>gerettet</t>
  </si>
  <si>
    <t>musste</t>
  </si>
  <si>
    <t>--</t>
  </si>
  <si>
    <t># text = In dieser Zeit haben Markenstrategen \"RBS\" dazu verwendet, andere Endverbraucherfinanzmarken zu schützen.</t>
  </si>
  <si>
    <t>In</t>
  </si>
  <si>
    <t>dieser</t>
  </si>
  <si>
    <t>pron.pds</t>
  </si>
  <si>
    <t>Zeit</t>
  </si>
  <si>
    <t>def-np.dem</t>
  </si>
  <si>
    <t>haben</t>
  </si>
  <si>
    <t>Markenstrategen</t>
  </si>
  <si>
    <t>&amp;quot;</t>
  </si>
  <si>
    <t>dazu</t>
  </si>
  <si>
    <t>pron.padv</t>
  </si>
  <si>
    <t>verwendet</t>
  </si>
  <si>
    <t>andere</t>
  </si>
  <si>
    <t>Endverbraucherfinanzmarken</t>
  </si>
  <si>
    <t>OBJ_2</t>
  </si>
  <si>
    <t>indef-np.bare</t>
  </si>
  <si>
    <t>zu</t>
  </si>
  <si>
    <t>schützen</t>
  </si>
  <si>
    <t># text = Sie unterstützte den internationalen Sport mit Millionen Pfund an Sponsoring, vom Six Nations Rugby bis hin zum Wimbledon Sieger Andy Murray.</t>
  </si>
  <si>
    <t>Sie</t>
  </si>
  <si>
    <t>pron.pper</t>
  </si>
  <si>
    <t>unterstützte</t>
  </si>
  <si>
    <t>internationalen</t>
  </si>
  <si>
    <t>Sport</t>
  </si>
  <si>
    <t>Millionen</t>
  </si>
  <si>
    <t>Pfund</t>
  </si>
  <si>
    <t>an</t>
  </si>
  <si>
    <t>Sponsoring</t>
  </si>
  <si>
    <t>von</t>
  </si>
  <si>
    <t>Six</t>
  </si>
  <si>
    <t>Nations</t>
  </si>
  <si>
    <t>Rugby</t>
  </si>
  <si>
    <t>bis</t>
  </si>
  <si>
    <t>hin</t>
  </si>
  <si>
    <t>pron.pind</t>
  </si>
  <si>
    <t>Wimbledon</t>
  </si>
  <si>
    <t>Sieger</t>
  </si>
  <si>
    <t>Andy</t>
  </si>
  <si>
    <t>Murray</t>
  </si>
  <si>
    <t># text = Aber jetzt hat sie sich dazu entschieden, mehr nationale Marken in den Fokus zu rücken.</t>
  </si>
  <si>
    <t>Aber</t>
  </si>
  <si>
    <t>jetzt</t>
  </si>
  <si>
    <t>nationale</t>
  </si>
  <si>
    <t>Marken</t>
  </si>
  <si>
    <t>in</t>
  </si>
  <si>
    <t>Fokus</t>
  </si>
  <si>
    <t>rücken</t>
  </si>
  <si>
    <t># text = Die Royal Bank of Scotland wird nur für Kunden in Schottland verfügbar sein, aber wird nicht initialisiert werden.</t>
  </si>
  <si>
    <t>nur</t>
  </si>
  <si>
    <t>Schottland</t>
  </si>
  <si>
    <t>aber</t>
  </si>
  <si>
    <t>initialisiert</t>
  </si>
  <si>
    <t># text = In England und Wales werden alle RSB Referenzen, der dezentrale Hauptsitz und die Börsennotierung zu NatWest wechseln.</t>
  </si>
  <si>
    <t>England</t>
  </si>
  <si>
    <t>Wales</t>
  </si>
  <si>
    <t>alle</t>
  </si>
  <si>
    <t>RSB</t>
  </si>
  <si>
    <t>Referenzen</t>
  </si>
  <si>
    <t>dezentrale</t>
  </si>
  <si>
    <t>Hauptsitz</t>
  </si>
  <si>
    <t>Börsennotierung</t>
  </si>
  <si>
    <t>NatWest</t>
  </si>
  <si>
    <t># text = Die Marke Ulster Bank wird bereits für Kunden in der Republik Irland und Nordirland verwendet.</t>
  </si>
  <si>
    <t>Ulster</t>
  </si>
  <si>
    <t>bereits</t>
  </si>
  <si>
    <t>Republik</t>
  </si>
  <si>
    <t>Irland</t>
  </si>
  <si>
    <t>Nordirland</t>
  </si>
  <si>
    <t># text = Es gibt andere, kleinere Marken für das Privatkundengeschäft, die mehr Bedeutung erhalten werden - Coutts, Adam &amp; Co, Drummond und Holt's Military Bank.</t>
  </si>
  <si>
    <t>Es</t>
  </si>
  <si>
    <t>gibt</t>
  </si>
  <si>
    <t>kleinere</t>
  </si>
  <si>
    <t>das</t>
  </si>
  <si>
    <t>Privatkundengeschäft</t>
  </si>
  <si>
    <t>SBJ_5</t>
  </si>
  <si>
    <t>Bedeutung</t>
  </si>
  <si>
    <t>OBJ_5</t>
  </si>
  <si>
    <t>erhalten</t>
  </si>
  <si>
    <t>Coutts</t>
  </si>
  <si>
    <t>Adam</t>
  </si>
  <si>
    <t>other_5</t>
  </si>
  <si>
    <t>&amp;amp;</t>
  </si>
  <si>
    <t>Co</t>
  </si>
  <si>
    <t>other_6</t>
  </si>
  <si>
    <t>Drummond</t>
  </si>
  <si>
    <t>Holt's</t>
  </si>
  <si>
    <t>Military</t>
  </si>
  <si>
    <t># text = McEwan wurde während einer Besichtigungstour von Kunden und Mitarbeitern in Inverness-shire interviewt.</t>
  </si>
  <si>
    <t>wurde</t>
  </si>
  <si>
    <t>während</t>
  </si>
  <si>
    <t>einer</t>
  </si>
  <si>
    <t>Besichtigungstour</t>
  </si>
  <si>
    <t>Mitarbeitern</t>
  </si>
  <si>
    <t>Inverness-shire</t>
  </si>
  <si>
    <t>interviewt</t>
  </si>
  <si>
    <t># text = Er teilte der BBC Scotland mit: \"Die Marke RSB wird zu unserer Investorenmarke sowie zu der Marke, unter der unsere Mitarbeiter beschäftigt sein werden, da wir jetzt mehr zu einer Bank von Marken werden.\"</t>
  </si>
  <si>
    <t>Er</t>
  </si>
  <si>
    <t>:</t>
  </si>
  <si>
    <t>unserer</t>
  </si>
  <si>
    <t>pron.ppos</t>
  </si>
  <si>
    <t>Investorenmarke</t>
  </si>
  <si>
    <t>sowie</t>
  </si>
  <si>
    <t>unter</t>
  </si>
  <si>
    <t>unsere</t>
  </si>
  <si>
    <t>Mitarbeiter</t>
  </si>
  <si>
    <t>beschäftigt</t>
  </si>
  <si>
    <t>da</t>
  </si>
  <si>
    <t>wir</t>
  </si>
  <si>
    <t>SBJ_3</t>
  </si>
  <si>
    <t>other_4</t>
  </si>
  <si>
    <t># text = Als die Bank selber zu einer globalen Marke wurde, wurde RBS zur globalen Marke.</t>
  </si>
  <si>
    <t>Als</t>
  </si>
  <si>
    <t>selber</t>
  </si>
  <si>
    <t># text = Ich sage jetzt, dass wir keine globalen Ziele, sondern lokale Ziele verfolgen.</t>
  </si>
  <si>
    <t>Ich</t>
  </si>
  <si>
    <t>sage</t>
  </si>
  <si>
    <t>keine</t>
  </si>
  <si>
    <t>Ziele</t>
  </si>
  <si>
    <t>sondern</t>
  </si>
  <si>
    <t>lokale</t>
  </si>
  <si>
    <t>verfolgen</t>
  </si>
  <si>
    <t># text = Jede dieser Marken wird in ihren eigenen Gemeinden für etwas vollkommen anderes stehen und unsere Mitarbeiter werden unter diesen Marken mit den Kunden arbeiten.</t>
  </si>
  <si>
    <t>Jede</t>
  </si>
  <si>
    <t>ihren</t>
  </si>
  <si>
    <t>eigenen</t>
  </si>
  <si>
    <t>Gemeinden</t>
  </si>
  <si>
    <t>indef-np</t>
  </si>
  <si>
    <t>etwas</t>
  </si>
  <si>
    <t>vollkommen</t>
  </si>
  <si>
    <t>anderes</t>
  </si>
  <si>
    <t>diesen</t>
  </si>
  <si>
    <t>arbeiten</t>
  </si>
  <si>
    <t># text = RBS hat bereits ausgesagt, dass es sein Six Nations Sponsoring nicht mehr fortführen wird und, dass es die Wahrnehmbarkeit der verschiedenen Marken in seinem Sport-Sponsoring erhöhen wird.</t>
  </si>
  <si>
    <t>ausgesagt</t>
  </si>
  <si>
    <t>es</t>
  </si>
  <si>
    <t>fortführen</t>
  </si>
  <si>
    <t>Wahrnehmbarkeit</t>
  </si>
  <si>
    <t>OBJ_3</t>
  </si>
  <si>
    <t>verschiedenen</t>
  </si>
  <si>
    <t>seinem</t>
  </si>
  <si>
    <t>erhöhen</t>
  </si>
  <si>
    <t># text = \"Es ist Zeit für uns, sich zur Bank der Marken zu entwickeln, denn wie konzentrieren wir uns im Inneren (wir haben gefragt) darauf, dies zu einer besseren Bank für Kunden zu machen?\" sagte der Vorstandschef.</t>
  </si>
  <si>
    <t>ist</t>
  </si>
  <si>
    <t>uns</t>
  </si>
  <si>
    <t>entwickeln</t>
  </si>
  <si>
    <t>denn</t>
  </si>
  <si>
    <t>wie</t>
  </si>
  <si>
    <t>konzentrieren</t>
  </si>
  <si>
    <t>Inneren</t>
  </si>
  <si>
    <t>(</t>
  </si>
  <si>
    <t>SBJ_6</t>
  </si>
  <si>
    <t>gefragt</t>
  </si>
  <si>
    <t>)</t>
  </si>
  <si>
    <t>darauf</t>
  </si>
  <si>
    <t>dies</t>
  </si>
  <si>
    <t>besseren</t>
  </si>
  <si>
    <t>machen</t>
  </si>
  <si>
    <t>?</t>
  </si>
  <si>
    <t>sagte</t>
  </si>
  <si>
    <t># text = Es wäre vor drei Jahren sehr zynisch gewesen, wenn wir gesagt hätten, dass wir für unsere Kunden eine tolle Bank sein werden und diese Marken lanciert hätten.</t>
  </si>
  <si>
    <t>wäre</t>
  </si>
  <si>
    <t>drei</t>
  </si>
  <si>
    <t>sehr</t>
  </si>
  <si>
    <t>zynisch</t>
  </si>
  <si>
    <t>gewesen</t>
  </si>
  <si>
    <t>wenn</t>
  </si>
  <si>
    <t>gesagt</t>
  </si>
  <si>
    <t>hätten</t>
  </si>
  <si>
    <t>tolle</t>
  </si>
  <si>
    <t>diese</t>
  </si>
  <si>
    <t>OBJ_4</t>
  </si>
  <si>
    <t>lanciert</t>
  </si>
  <si>
    <t># text = Aber mit unserer Arbeit, dem Fokus auf Kundenbedürfnisse und nicht unsere eigenen, denke ich, wird man viele Veränderungen sehen.</t>
  </si>
  <si>
    <t>Arbeit</t>
  </si>
  <si>
    <t>Kundenbedürfnisse</t>
  </si>
  <si>
    <t>denke</t>
  </si>
  <si>
    <t>ich</t>
  </si>
  <si>
    <t>man</t>
  </si>
  <si>
    <t>viele</t>
  </si>
  <si>
    <t>Veränderungen</t>
  </si>
  <si>
    <t>sehen</t>
  </si>
  <si>
    <t># text = Wir können diese Marken wieder lancieren, daher denke ich, dass die Zeit gekommen ist.</t>
  </si>
  <si>
    <t>Wir</t>
  </si>
  <si>
    <t>können</t>
  </si>
  <si>
    <t>wieder</t>
  </si>
  <si>
    <t>daher</t>
  </si>
  <si>
    <t>gekommen</t>
  </si>
  <si>
    <t>schottland</t>
  </si>
  <si>
    <t>FAMILIAR</t>
  </si>
  <si>
    <t>rbs</t>
  </si>
  <si>
    <t>PRED</t>
  </si>
  <si>
    <t>bbc_scotland</t>
  </si>
  <si>
    <t>rbs_marke</t>
  </si>
  <si>
    <t>ross_mcewan</t>
  </si>
  <si>
    <t>SIT</t>
  </si>
  <si>
    <t>Antezedens</t>
  </si>
  <si>
    <t>artikel</t>
  </si>
  <si>
    <t>zeitpunkt1</t>
  </si>
  <si>
    <t>england</t>
  </si>
  <si>
    <t>wales</t>
  </si>
  <si>
    <t>natwest</t>
  </si>
  <si>
    <t>irland</t>
  </si>
  <si>
    <t>nordirland</t>
  </si>
  <si>
    <t>markenstrategen</t>
  </si>
  <si>
    <t>CAT</t>
  </si>
  <si>
    <t>schutz_marken</t>
  </si>
  <si>
    <t>sport_int</t>
  </si>
  <si>
    <t>six_nations_rugby</t>
  </si>
  <si>
    <t>kunden_schottland</t>
  </si>
  <si>
    <t>kunden_ausland</t>
  </si>
  <si>
    <t>IDIOM</t>
  </si>
  <si>
    <t>nationale_marken_staerken</t>
  </si>
  <si>
    <t>rsb</t>
  </si>
  <si>
    <t>hauptsitz_rsb</t>
  </si>
  <si>
    <t>boersennotierung_rbs</t>
  </si>
  <si>
    <t>ulster_bank_marke</t>
  </si>
  <si>
    <t>kleine_marken</t>
  </si>
  <si>
    <t>privatkundengeschaeft</t>
  </si>
  <si>
    <t>parser error</t>
  </si>
  <si>
    <t>syntaktischer Kopf</t>
  </si>
  <si>
    <t>inverness_shire</t>
  </si>
  <si>
    <t>BOUND</t>
  </si>
  <si>
    <t>rbs_mitarbeiter</t>
  </si>
  <si>
    <t>globale_ziele</t>
  </si>
  <si>
    <t>OLD</t>
  </si>
  <si>
    <t>kein auto_ref</t>
  </si>
  <si>
    <t>EXPL</t>
  </si>
  <si>
    <t>arbeit_rbs</t>
  </si>
  <si>
    <t>siehe log</t>
  </si>
  <si>
    <t>NEW</t>
  </si>
  <si>
    <t>erster Namensbestandteil als Kopf</t>
  </si>
  <si>
    <t>GEN</t>
  </si>
  <si>
    <t>gemeinden_marken</t>
  </si>
  <si>
    <t>FOCUS</t>
  </si>
  <si>
    <t>ACTIVATED</t>
  </si>
  <si>
    <t>UNIQUE</t>
  </si>
  <si>
    <t>nationale_marken</t>
  </si>
  <si>
    <t>nationale_sportmarken</t>
  </si>
  <si>
    <t>sponsoring_int_sport</t>
  </si>
  <si>
    <t>sponsoring_six_nations</t>
  </si>
  <si>
    <t>sponsoring_lok_sport</t>
  </si>
  <si>
    <t>wimbledon</t>
  </si>
  <si>
    <t>syntaktischer Kopf eigentlich Andy Murray, aber auch = PRED</t>
  </si>
  <si>
    <t>activated, weil in rbs_marke implizit enthalten</t>
  </si>
  <si>
    <t>antezedens</t>
  </si>
  <si>
    <t>TYPE</t>
  </si>
  <si>
    <t>activated, weil in rbs_marke implizit vorhanden</t>
  </si>
  <si>
    <t>activated, siehe log</t>
  </si>
  <si>
    <t>CHECK, siehe log</t>
  </si>
  <si>
    <t>bessere_bank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</si>
</sst>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workbookViewId="0">
      <pane xSplit="5" ySplit="1" topLeftCell="F2" activePane="bottomRight" state="frozen"/>
      <selection pane="topRight" activeCell="F1" sqref="F1"/>
      <selection pane="bottomLeft" activeCell="A2" sqref="A2"/>
      <selection pane="bottomRight"/>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23" si="0">IF(A2=1,"_",IF(C2="_","???",C2))</f>
        <v>???</v>
      </c>
      <c r="H2" s="10" t="s">
        <v>12</v>
      </c>
      <c r="I2" s="11" t="s">
        <v>12</v>
      </c>
      <c r="J2" s="12"/>
    </row>
    <row r="3" spans="1:10" ht="60" customHeight="1" x14ac:dyDescent="0.3">
      <c r="A3" s="6" t="s">
        <v>16</v>
      </c>
      <c r="B3" s="6" t="s">
        <v>17</v>
      </c>
      <c r="C3" s="6" t="s">
        <v>12</v>
      </c>
      <c r="D3" s="7" t="s">
        <v>18</v>
      </c>
      <c r="E3" s="8" t="s">
        <v>19</v>
      </c>
      <c r="F3" s="6" t="s">
        <v>20</v>
      </c>
      <c r="G3" s="9" t="str">
        <f t="shared" si="0"/>
        <v>???</v>
      </c>
      <c r="H3" s="10" t="s">
        <v>12</v>
      </c>
      <c r="I3" s="11" t="s">
        <v>12</v>
      </c>
      <c r="J3" s="12"/>
    </row>
    <row r="4" spans="1:10" ht="60" customHeight="1" x14ac:dyDescent="0.3">
      <c r="A4" s="6" t="s">
        <v>21</v>
      </c>
      <c r="B4" s="6" t="s">
        <v>22</v>
      </c>
      <c r="C4" s="6" t="s">
        <v>12</v>
      </c>
      <c r="D4" s="7" t="s">
        <v>23</v>
      </c>
      <c r="E4" s="8" t="s">
        <v>24</v>
      </c>
      <c r="F4" s="6" t="s">
        <v>25</v>
      </c>
      <c r="G4" s="9" t="str">
        <f t="shared" si="0"/>
        <v>???</v>
      </c>
      <c r="H4" s="10" t="s">
        <v>12</v>
      </c>
      <c r="I4" s="11" t="s">
        <v>12</v>
      </c>
      <c r="J4" s="12"/>
    </row>
    <row r="5" spans="1:10" ht="60" customHeight="1" x14ac:dyDescent="0.3">
      <c r="A5" s="6" t="s">
        <v>26</v>
      </c>
      <c r="B5" s="6" t="s">
        <v>21</v>
      </c>
      <c r="C5" s="6" t="s">
        <v>12</v>
      </c>
      <c r="D5" s="7" t="s">
        <v>27</v>
      </c>
      <c r="E5" s="8" t="s">
        <v>28</v>
      </c>
      <c r="F5" s="6" t="s">
        <v>29</v>
      </c>
      <c r="G5" s="9" t="str">
        <f t="shared" si="0"/>
        <v>???</v>
      </c>
      <c r="H5" s="10" t="s">
        <v>12</v>
      </c>
      <c r="I5" s="11" t="s">
        <v>12</v>
      </c>
      <c r="J5" s="12"/>
    </row>
    <row r="6" spans="1:10" ht="60" customHeight="1" x14ac:dyDescent="0.3">
      <c r="A6" s="6" t="s">
        <v>30</v>
      </c>
      <c r="B6" s="6" t="s">
        <v>31</v>
      </c>
      <c r="C6" s="6" t="s">
        <v>12</v>
      </c>
      <c r="D6" s="7" t="s">
        <v>32</v>
      </c>
      <c r="E6" s="8" t="s">
        <v>33</v>
      </c>
      <c r="F6" s="6" t="s">
        <v>34</v>
      </c>
      <c r="G6" s="9" t="str">
        <f t="shared" si="0"/>
        <v>???</v>
      </c>
      <c r="H6" s="10" t="s">
        <v>12</v>
      </c>
      <c r="I6" s="11" t="s">
        <v>12</v>
      </c>
      <c r="J6" s="12"/>
    </row>
    <row r="7" spans="1:10" ht="60" customHeight="1" x14ac:dyDescent="0.3">
      <c r="A7" s="6" t="s">
        <v>31</v>
      </c>
      <c r="B7" s="6" t="s">
        <v>35</v>
      </c>
      <c r="C7" s="6" t="s">
        <v>36</v>
      </c>
      <c r="D7" s="7" t="s">
        <v>37</v>
      </c>
      <c r="E7" s="8" t="s">
        <v>38</v>
      </c>
      <c r="F7" s="6" t="s">
        <v>39</v>
      </c>
      <c r="G7" s="9" t="str">
        <f t="shared" si="0"/>
        <v>in dieser Zeit?</v>
      </c>
      <c r="H7" s="10" t="s">
        <v>12</v>
      </c>
      <c r="I7" s="11" t="s">
        <v>12</v>
      </c>
      <c r="J7" s="12"/>
    </row>
    <row r="8" spans="1:10" ht="60" customHeight="1" x14ac:dyDescent="0.3">
      <c r="A8" s="6" t="s">
        <v>40</v>
      </c>
      <c r="B8" s="6" t="s">
        <v>16</v>
      </c>
      <c r="C8" s="6" t="s">
        <v>12</v>
      </c>
      <c r="D8" s="7" t="s">
        <v>41</v>
      </c>
      <c r="E8" s="8" t="s">
        <v>42</v>
      </c>
      <c r="F8" s="6" t="s">
        <v>43</v>
      </c>
      <c r="G8" s="9" t="str">
        <f t="shared" si="0"/>
        <v>???</v>
      </c>
      <c r="H8" s="10" t="s">
        <v>12</v>
      </c>
      <c r="I8" s="11" t="s">
        <v>12</v>
      </c>
      <c r="J8" s="12"/>
    </row>
    <row r="9" spans="1:10" ht="60" customHeight="1" x14ac:dyDescent="0.3">
      <c r="A9" s="6" t="s">
        <v>44</v>
      </c>
      <c r="B9" s="6" t="s">
        <v>40</v>
      </c>
      <c r="C9" s="6" t="s">
        <v>12</v>
      </c>
      <c r="D9" s="7" t="s">
        <v>45</v>
      </c>
      <c r="E9" s="8" t="s">
        <v>46</v>
      </c>
      <c r="F9" s="6" t="s">
        <v>47</v>
      </c>
      <c r="G9" s="9" t="str">
        <f t="shared" si="0"/>
        <v>???</v>
      </c>
      <c r="H9" s="10" t="s">
        <v>12</v>
      </c>
      <c r="I9" s="11" t="s">
        <v>12</v>
      </c>
      <c r="J9" s="12"/>
    </row>
    <row r="10" spans="1:10" ht="60" customHeight="1" x14ac:dyDescent="0.3">
      <c r="A10" s="6" t="s">
        <v>48</v>
      </c>
      <c r="B10" s="6" t="s">
        <v>49</v>
      </c>
      <c r="C10" s="6" t="s">
        <v>12</v>
      </c>
      <c r="D10" s="7" t="s">
        <v>23</v>
      </c>
      <c r="E10" s="8" t="s">
        <v>50</v>
      </c>
      <c r="F10" s="6" t="s">
        <v>51</v>
      </c>
      <c r="G10" s="9" t="str">
        <f t="shared" si="0"/>
        <v>???</v>
      </c>
      <c r="H10" s="10" t="s">
        <v>12</v>
      </c>
      <c r="I10" s="11" t="s">
        <v>12</v>
      </c>
      <c r="J10" s="12"/>
    </row>
    <row r="11" spans="1:10" ht="60" customHeight="1" x14ac:dyDescent="0.3">
      <c r="A11" s="6" t="s">
        <v>35</v>
      </c>
      <c r="B11" s="6" t="s">
        <v>52</v>
      </c>
      <c r="C11" s="6" t="s">
        <v>12</v>
      </c>
      <c r="D11" s="7" t="s">
        <v>53</v>
      </c>
      <c r="E11" s="8" t="s">
        <v>54</v>
      </c>
      <c r="F11" s="6" t="s">
        <v>55</v>
      </c>
      <c r="G11" s="9" t="str">
        <f t="shared" si="0"/>
        <v>???</v>
      </c>
      <c r="H11" s="10" t="s">
        <v>12</v>
      </c>
      <c r="I11" s="11" t="s">
        <v>12</v>
      </c>
      <c r="J11" s="12"/>
    </row>
    <row r="12" spans="1:10" ht="60" customHeight="1" x14ac:dyDescent="0.3">
      <c r="A12" s="6" t="s">
        <v>11</v>
      </c>
      <c r="B12" s="6" t="s">
        <v>56</v>
      </c>
      <c r="C12" s="6" t="s">
        <v>12</v>
      </c>
      <c r="D12" s="7" t="s">
        <v>37</v>
      </c>
      <c r="E12" s="8" t="s">
        <v>57</v>
      </c>
      <c r="F12" s="6" t="s">
        <v>58</v>
      </c>
      <c r="G12" s="9" t="str">
        <f t="shared" si="0"/>
        <v>???</v>
      </c>
      <c r="H12" s="10" t="s">
        <v>12</v>
      </c>
      <c r="I12" s="11" t="s">
        <v>12</v>
      </c>
      <c r="J12" s="12"/>
    </row>
    <row r="13" spans="1:10" ht="60" customHeight="1" x14ac:dyDescent="0.3">
      <c r="A13" s="6" t="s">
        <v>59</v>
      </c>
      <c r="B13" s="6" t="s">
        <v>16</v>
      </c>
      <c r="C13" s="6" t="s">
        <v>12</v>
      </c>
      <c r="D13" s="7" t="s">
        <v>60</v>
      </c>
      <c r="E13" s="8" t="s">
        <v>61</v>
      </c>
      <c r="F13" s="6" t="s">
        <v>62</v>
      </c>
      <c r="G13" s="9" t="str">
        <f t="shared" si="0"/>
        <v>???</v>
      </c>
      <c r="H13" s="10" t="s">
        <v>12</v>
      </c>
      <c r="I13" s="11" t="s">
        <v>12</v>
      </c>
      <c r="J13" s="12"/>
    </row>
    <row r="14" spans="1:10" ht="60" customHeight="1" x14ac:dyDescent="0.3">
      <c r="A14" s="6" t="s">
        <v>49</v>
      </c>
      <c r="B14" s="6" t="s">
        <v>59</v>
      </c>
      <c r="C14" s="6" t="s">
        <v>12</v>
      </c>
      <c r="D14" s="7" t="s">
        <v>63</v>
      </c>
      <c r="E14" s="8" t="s">
        <v>64</v>
      </c>
      <c r="F14" s="6" t="s">
        <v>65</v>
      </c>
      <c r="G14" s="9" t="str">
        <f t="shared" si="0"/>
        <v>???</v>
      </c>
      <c r="H14" s="10" t="s">
        <v>12</v>
      </c>
      <c r="I14" s="11" t="s">
        <v>12</v>
      </c>
      <c r="J14" s="12"/>
    </row>
    <row r="15" spans="1:10" ht="60" customHeight="1" x14ac:dyDescent="0.3">
      <c r="A15" s="6" t="s">
        <v>22</v>
      </c>
      <c r="B15" s="6" t="s">
        <v>16</v>
      </c>
      <c r="C15" s="6" t="s">
        <v>12</v>
      </c>
      <c r="D15" s="7" t="s">
        <v>27</v>
      </c>
      <c r="E15" s="8" t="s">
        <v>66</v>
      </c>
      <c r="F15" s="6" t="s">
        <v>67</v>
      </c>
      <c r="G15" s="9" t="str">
        <f t="shared" si="0"/>
        <v>???</v>
      </c>
      <c r="H15" s="10" t="s">
        <v>12</v>
      </c>
      <c r="I15" s="11" t="s">
        <v>12</v>
      </c>
      <c r="J15" s="12"/>
    </row>
    <row r="16" spans="1:10" ht="60" customHeight="1" x14ac:dyDescent="0.3">
      <c r="A16" s="6" t="s">
        <v>56</v>
      </c>
      <c r="B16" s="6" t="s">
        <v>11</v>
      </c>
      <c r="C16" s="6" t="s">
        <v>12</v>
      </c>
      <c r="D16" s="7" t="s">
        <v>68</v>
      </c>
      <c r="E16" s="8" t="s">
        <v>69</v>
      </c>
      <c r="F16" s="6" t="s">
        <v>70</v>
      </c>
      <c r="G16" s="9" t="str">
        <f t="shared" si="0"/>
        <v>???</v>
      </c>
      <c r="H16" s="10" t="s">
        <v>12</v>
      </c>
      <c r="I16" s="11" t="s">
        <v>12</v>
      </c>
      <c r="J16" s="12"/>
    </row>
    <row r="17" spans="1:10" ht="60" customHeight="1" x14ac:dyDescent="0.3">
      <c r="A17" s="6" t="s">
        <v>17</v>
      </c>
      <c r="B17" s="6" t="s">
        <v>16</v>
      </c>
      <c r="C17" s="6" t="s">
        <v>12</v>
      </c>
      <c r="D17" s="7" t="s">
        <v>71</v>
      </c>
      <c r="E17" s="8" t="s">
        <v>72</v>
      </c>
      <c r="F17" s="6" t="s">
        <v>73</v>
      </c>
      <c r="G17" s="9" t="str">
        <f t="shared" si="0"/>
        <v>???</v>
      </c>
      <c r="H17" s="10" t="s">
        <v>12</v>
      </c>
      <c r="I17" s="11" t="s">
        <v>12</v>
      </c>
      <c r="J17" s="12"/>
    </row>
    <row r="18" spans="1:10" ht="60" customHeight="1" x14ac:dyDescent="0.3">
      <c r="A18" s="6" t="s">
        <v>74</v>
      </c>
      <c r="B18" s="6" t="s">
        <v>49</v>
      </c>
      <c r="C18" s="6" t="s">
        <v>12</v>
      </c>
      <c r="D18" s="7" t="s">
        <v>75</v>
      </c>
      <c r="E18" s="8" t="s">
        <v>76</v>
      </c>
      <c r="F18" s="6" t="s">
        <v>77</v>
      </c>
      <c r="G18" s="9" t="str">
        <f t="shared" si="0"/>
        <v>???</v>
      </c>
      <c r="H18" s="10" t="s">
        <v>12</v>
      </c>
      <c r="I18" s="11" t="s">
        <v>12</v>
      </c>
      <c r="J18" s="12"/>
    </row>
    <row r="19" spans="1:10" ht="60" customHeight="1" x14ac:dyDescent="0.3">
      <c r="A19" s="6" t="s">
        <v>52</v>
      </c>
      <c r="B19" s="6" t="s">
        <v>26</v>
      </c>
      <c r="C19" s="6" t="s">
        <v>12</v>
      </c>
      <c r="D19" s="7" t="s">
        <v>78</v>
      </c>
      <c r="E19" s="8" t="s">
        <v>79</v>
      </c>
      <c r="F19" s="6" t="s">
        <v>80</v>
      </c>
      <c r="G19" s="9" t="str">
        <f t="shared" si="0"/>
        <v>???</v>
      </c>
      <c r="H19" s="10" t="s">
        <v>12</v>
      </c>
      <c r="I19" s="11" t="s">
        <v>12</v>
      </c>
      <c r="J19" s="12"/>
    </row>
    <row r="20" spans="1:10" ht="60" customHeight="1" x14ac:dyDescent="0.3">
      <c r="A20" s="6" t="s">
        <v>81</v>
      </c>
      <c r="B20" s="6" t="s">
        <v>82</v>
      </c>
      <c r="C20" s="6" t="s">
        <v>12</v>
      </c>
      <c r="D20" s="7" t="s">
        <v>71</v>
      </c>
      <c r="E20" s="8" t="s">
        <v>83</v>
      </c>
      <c r="F20" s="6" t="s">
        <v>84</v>
      </c>
      <c r="G20" s="9" t="str">
        <f t="shared" si="0"/>
        <v>???</v>
      </c>
      <c r="H20" s="10" t="s">
        <v>12</v>
      </c>
      <c r="I20" s="11" t="s">
        <v>12</v>
      </c>
      <c r="J20" s="12"/>
    </row>
    <row r="21" spans="1:10" ht="60" customHeight="1" x14ac:dyDescent="0.3">
      <c r="A21" s="6" t="s">
        <v>85</v>
      </c>
      <c r="B21" s="6" t="s">
        <v>44</v>
      </c>
      <c r="C21" s="6" t="s">
        <v>12</v>
      </c>
      <c r="D21" s="7" t="s">
        <v>86</v>
      </c>
      <c r="E21" s="8" t="s">
        <v>87</v>
      </c>
      <c r="F21" s="6" t="s">
        <v>88</v>
      </c>
      <c r="G21" s="9" t="str">
        <f t="shared" si="0"/>
        <v>???</v>
      </c>
      <c r="H21" s="10" t="s">
        <v>12</v>
      </c>
      <c r="I21" s="11" t="s">
        <v>12</v>
      </c>
      <c r="J21" s="12"/>
    </row>
    <row r="22" spans="1:10" ht="60" customHeight="1" x14ac:dyDescent="0.3">
      <c r="A22" s="6" t="s">
        <v>89</v>
      </c>
      <c r="B22" s="6" t="s">
        <v>56</v>
      </c>
      <c r="C22" s="6" t="s">
        <v>12</v>
      </c>
      <c r="D22" s="7" t="s">
        <v>90</v>
      </c>
      <c r="E22" s="8" t="s">
        <v>91</v>
      </c>
      <c r="F22" s="6" t="s">
        <v>92</v>
      </c>
      <c r="G22" s="9" t="str">
        <f t="shared" si="0"/>
        <v>???</v>
      </c>
      <c r="H22" s="10" t="s">
        <v>12</v>
      </c>
      <c r="I22" s="11" t="s">
        <v>12</v>
      </c>
      <c r="J22" s="12"/>
    </row>
    <row r="23" spans="1:10" ht="60" customHeight="1" x14ac:dyDescent="0.3">
      <c r="A23" s="6" t="s">
        <v>93</v>
      </c>
      <c r="B23" s="6" t="s">
        <v>31</v>
      </c>
      <c r="C23" s="6" t="s">
        <v>12</v>
      </c>
      <c r="D23" s="7" t="s">
        <v>94</v>
      </c>
      <c r="E23" s="8" t="s">
        <v>95</v>
      </c>
      <c r="F23" s="6" t="s">
        <v>96</v>
      </c>
      <c r="G23" s="9" t="str">
        <f t="shared" si="0"/>
        <v>???</v>
      </c>
      <c r="H23" s="10" t="s">
        <v>12</v>
      </c>
      <c r="I23" s="11" t="s">
        <v>12</v>
      </c>
      <c r="J2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30"/>
  <sheetViews>
    <sheetView tabSelected="1" zoomScale="99" workbookViewId="0">
      <pane xSplit="1" ySplit="1" topLeftCell="B96" activePane="bottomRight" state="frozen"/>
      <selection pane="topRight" activeCell="B1" sqref="B1"/>
      <selection pane="bottomLeft" activeCell="A2" sqref="A2"/>
      <selection pane="bottomRight" activeCell="H108" sqref="H108"/>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97</v>
      </c>
      <c r="B1" s="13" t="s">
        <v>98</v>
      </c>
      <c r="C1" s="13" t="s">
        <v>99</v>
      </c>
      <c r="D1" s="13" t="s">
        <v>100</v>
      </c>
      <c r="E1" s="14" t="s">
        <v>101</v>
      </c>
      <c r="F1" s="15" t="s">
        <v>102</v>
      </c>
      <c r="G1" s="16" t="s">
        <v>103</v>
      </c>
      <c r="H1" s="17" t="s">
        <v>104</v>
      </c>
      <c r="I1" s="18" t="s">
        <v>105</v>
      </c>
      <c r="J1" s="18" t="s">
        <v>106</v>
      </c>
      <c r="K1" s="18" t="s">
        <v>107</v>
      </c>
      <c r="L1" s="19" t="s">
        <v>9</v>
      </c>
    </row>
    <row r="2" spans="1:12" x14ac:dyDescent="0.3">
      <c r="A2" t="s">
        <v>108</v>
      </c>
    </row>
    <row r="3" spans="1:12" x14ac:dyDescent="0.3">
      <c r="A3" t="s">
        <v>109</v>
      </c>
      <c r="B3" s="20" t="s">
        <v>110</v>
      </c>
      <c r="C3" s="20" t="s">
        <v>111</v>
      </c>
      <c r="D3" s="20" t="s">
        <v>112</v>
      </c>
      <c r="E3" s="21" t="s">
        <v>370</v>
      </c>
      <c r="F3" s="22" t="str">
        <f>IF(OR(E3="",E3="!!!"),"",IF(NOT(ISNA(VLOOKUP(E3,E$1:E2,1,FALSE()))),"OLD",IF(AND(E3&lt;&gt;"",E3&lt;&gt;"!!!"),"NEW","")))</f>
        <v>NEW</v>
      </c>
      <c r="G3" s="23" t="s">
        <v>102</v>
      </c>
      <c r="H3" s="24" t="str">
        <f t="shared" ref="H3:H13"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113</v>
      </c>
      <c r="E4" s="21" t="str">
        <f t="shared" ref="E4:E13" si="1">IF(D4="?OLD","!!!","")</f>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114</v>
      </c>
      <c r="E5" s="21" t="str">
        <f t="shared" si="1"/>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115</v>
      </c>
      <c r="E6" s="21" t="str">
        <f t="shared" si="1"/>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116</v>
      </c>
      <c r="E7" s="21" t="str">
        <f t="shared" si="1"/>
        <v/>
      </c>
      <c r="F7" s="22" t="str">
        <f>IF(OR(E7="",E7="!!!"),"",IF(NOT(ISNA(VLOOKUP(E7,E$1:E6,1,FALSE()))),"OLD",IF(AND(E7&lt;&gt;"",E7&lt;&gt;"!!!"),"NEW","")))</f>
        <v/>
      </c>
      <c r="G7" s="23" t="str">
        <f>IF(OR(E7="",E7="!!!"),"",IF(OR(J7=0,AND(J7=1,K7=1),AND(J7=1,I7="SBJ"),AND(J7=1,I7=0)),"?IN_FOCUS",IF(J7&lt;=2,"?ACTIVATED",IF(J7&lt;&gt;"","?FAMILIAR",IF(F7="NEW",IF(ISNA(VLOOKUP(E7,#REF!,1,FALSE())),"?TYPE_IDENTIFIABLE","?REFERENTIAL"),"_")))))</f>
        <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row>
    <row r="8" spans="1:12" x14ac:dyDescent="0.3">
      <c r="A8" t="s">
        <v>117</v>
      </c>
      <c r="B8" s="20" t="s">
        <v>118</v>
      </c>
      <c r="C8" s="20" t="s">
        <v>119</v>
      </c>
      <c r="D8" s="20" t="s">
        <v>112</v>
      </c>
      <c r="E8" s="21" t="s">
        <v>390</v>
      </c>
      <c r="F8" s="22" t="str">
        <f>IF(OR(E8="",E8="!!!"),"",IF(NOT(ISNA(VLOOKUP(E8,E$1:E7,1,FALSE()))),"OLD",IF(AND(E8&lt;&gt;"",E8&lt;&gt;"!!!"),"NEW","")))</f>
        <v>NEW</v>
      </c>
      <c r="G8" s="23" t="s">
        <v>369</v>
      </c>
      <c r="H8" s="24" t="str">
        <f t="shared" ca="1" si="0"/>
        <v/>
      </c>
      <c r="I8" s="25" t="str">
        <f>IF(OR(E8="",E8="!!!",F8="NEW"),"",INDEX(B$2:B7,-1+SUMPRODUCT(MAX(ROW(E$2:E7)*(E8=E$2:E7)))))</f>
        <v/>
      </c>
      <c r="J8" s="25" t="str">
        <f ca="1">IF(OR(E8="",E8="!!!",F8="NEW"),"",COUNTBLANK(OFFSET(A$1,,,SUMPRODUCT(MAX(ROW(E$2:E8)*(E8=E$2:E8)))))-COUNTBLANK(OFFSET(A$1,,,SUMPRODUCT(MAX(ROW(E$1:E7)*(E2=E$1:E7))))))</f>
        <v/>
      </c>
      <c r="K8" s="25" t="str">
        <f>IF(OR(E8="",E8="!!!",F8="NEW"),"",INDEX(J$1:J7,SUMPRODUCT(MAX(ROW(E$1:E7)*(E8=E$1:E7)))))</f>
        <v/>
      </c>
      <c r="L8" s="26"/>
    </row>
    <row r="9" spans="1:12" x14ac:dyDescent="0.3">
      <c r="A9" t="s">
        <v>120</v>
      </c>
      <c r="E9" s="21" t="str">
        <f t="shared" si="1"/>
        <v/>
      </c>
      <c r="F9" s="22" t="str">
        <f>IF(OR(E9="",E9="!!!"),"",IF(NOT(ISNA(VLOOKUP(E9,E$1:E8,1,FALSE()))),"OLD",IF(AND(E9&lt;&gt;"",E9&lt;&gt;"!!!"),"NEW","")))</f>
        <v/>
      </c>
      <c r="G9" s="23" t="str">
        <f>IF(OR(E9="",E9="!!!"),"",IF(OR(J9=0,AND(J9=1,K9=1),AND(J9=1,I9="SBJ"),AND(J9=1,I9=0)),"?IN_FOCUS",IF(J9&lt;=2,"?ACTIVATED",IF(J9&lt;&gt;"","?FAMILIAR",IF(F9="NEW",IF(ISNA(VLOOKUP(E9,#REF!,1,FALSE())),"?TYPE_IDENTIFIABLE","?REFERENTIAL"),"_")))))</f>
        <v/>
      </c>
      <c r="H9" s="24" t="str">
        <f t="shared" ca="1" si="0"/>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row>
    <row r="10" spans="1:12" x14ac:dyDescent="0.3">
      <c r="A10" t="s">
        <v>121</v>
      </c>
      <c r="B10" s="20" t="s">
        <v>122</v>
      </c>
      <c r="C10" s="20" t="s">
        <v>111</v>
      </c>
      <c r="D10" s="20" t="s">
        <v>112</v>
      </c>
      <c r="E10" s="21" t="s">
        <v>368</v>
      </c>
      <c r="F10" s="22" t="str">
        <f>IF(OR(E10="",E10="!!!"),"",IF(NOT(ISNA(VLOOKUP(E10,E$1:E9,1,FALSE()))),"OLD",IF(AND(E10&lt;&gt;"",E10&lt;&gt;"!!!"),"NEW","")))</f>
        <v>NEW</v>
      </c>
      <c r="G10" s="23" t="s">
        <v>369</v>
      </c>
      <c r="H10" s="24" t="str">
        <f t="shared" ca="1" si="0"/>
        <v/>
      </c>
      <c r="I10" s="25" t="str">
        <f>IF(OR(E10="",E10="!!!",F10="NEW"),"",INDEX(B$2:B9,-1+SUMPRODUCT(MAX(ROW(E$2:E9)*(E10=E$2:E9)))))</f>
        <v/>
      </c>
      <c r="J10" s="25" t="str">
        <f ca="1">IF(OR(E10="",E10="!!!",F10="NEW"),"",COUNTBLANK(OFFSET(A$1,,,SUMPRODUCT(MAX(ROW(E$2:E10)*(E10=E$2:E10)))))-COUNTBLANK(OFFSET(A$1,,,SUMPRODUCT(MAX(ROW(E$1:E9)*(E2=E$1:E9))))))</f>
        <v/>
      </c>
      <c r="K10" s="25" t="str">
        <f>IF(OR(E10="",E10="!!!",F10="NEW"),"",INDEX(J$1:J9,SUMPRODUCT(MAX(ROW(E$1:E9)*(E10=E$1:E9)))))</f>
        <v/>
      </c>
      <c r="L10" s="26"/>
    </row>
    <row r="11" spans="1:12" x14ac:dyDescent="0.3">
      <c r="A11" t="s">
        <v>123</v>
      </c>
      <c r="E11" s="21" t="str">
        <f t="shared" si="1"/>
        <v/>
      </c>
      <c r="F11" s="22" t="str">
        <f>IF(OR(E11="",E11="!!!"),"",IF(NOT(ISNA(VLOOKUP(E11,E$1:E10,1,FALSE()))),"OLD",IF(AND(E11&lt;&gt;"",E11&lt;&gt;"!!!"),"NEW","")))</f>
        <v/>
      </c>
      <c r="G11" s="23" t="str">
        <f>IF(OR(E11="",E11="!!!"),"",IF(OR(J11=0,AND(J11=1,K11=1),AND(J11=1,I11="SBJ"),AND(J11=1,I11=0)),"?IN_FOCUS",IF(J11&lt;=2,"?ACTIVATED",IF(J11&lt;&gt;"","?FAMILIAR",IF(F11="NEW",IF(ISNA(VLOOKUP(E11,#REF!,1,FALSE())),"?TYPE_IDENTIFIABLE","?REFERENTIAL"),"_")))))</f>
        <v/>
      </c>
      <c r="H11" s="24" t="str">
        <f t="shared" ca="1" si="0"/>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124</v>
      </c>
      <c r="E12" s="21" t="str">
        <f t="shared" si="1"/>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t="shared" ca="1" si="0"/>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3" spans="1:12" x14ac:dyDescent="0.3">
      <c r="A13" t="s">
        <v>13</v>
      </c>
      <c r="E13" s="21" t="str">
        <f t="shared" si="1"/>
        <v/>
      </c>
      <c r="F13" s="22" t="str">
        <f>IF(OR(E13="",E13="!!!"),"",IF(NOT(ISNA(VLOOKUP(E13,E$1:E12,1,FALSE()))),"OLD",IF(AND(E13&lt;&gt;"",E13&lt;&gt;"!!!"),"NEW","")))</f>
        <v/>
      </c>
      <c r="G13" s="23" t="str">
        <f>IF(OR(E13="",E13="!!!"),"",IF(OR(J13=0,AND(J13=1,K13=1),AND(J13=1,I13="SBJ"),AND(J13=1,I13=0)),"?IN_FOCUS",IF(J13&lt;=2,"?ACTIVATED",IF(J13&lt;&gt;"","?FAMILIAR",IF(F13="NEW",IF(ISNA(VLOOKUP(E13,#REF!,1,FALSE())),"?TYPE_IDENTIFIABLE","?REFERENTIAL"),"_")))))</f>
        <v/>
      </c>
      <c r="H13" s="24" t="str">
        <f t="shared" ca="1" si="0"/>
        <v/>
      </c>
      <c r="I13" s="25" t="str">
        <f>IF(OR(E13="",E13="!!!",F13="NEW"),"",INDEX(B$2:B12,-1+SUMPRODUCT(MAX(ROW(E$2:E12)*(E13=E$2:E12)))))</f>
        <v/>
      </c>
      <c r="J13" s="25" t="str">
        <f ca="1">IF(OR(E13="",E13="!!!",F13="NEW"),"",COUNTBLANK(OFFSET(A$1,,,SUMPRODUCT(MAX(ROW(E$2:E13)*(E13=E$2:E13)))))-COUNTBLANK(OFFSET(A$1,,,SUMPRODUCT(MAX(ROW(E$1:E12)*(E2=E$1:E12))))))</f>
        <v/>
      </c>
      <c r="K13" s="25" t="str">
        <f>IF(OR(E13="",E13="!!!",F13="NEW"),"",INDEX(J$1:J12,SUMPRODUCT(MAX(ROW(E$1:E12)*(E13=E$1:E12)))))</f>
        <v/>
      </c>
      <c r="L13" s="26"/>
    </row>
    <row r="15" spans="1:12" x14ac:dyDescent="0.3">
      <c r="A15" t="s">
        <v>125</v>
      </c>
    </row>
    <row r="16" spans="1:12" x14ac:dyDescent="0.3">
      <c r="A16" t="s">
        <v>126</v>
      </c>
      <c r="E16" s="21" t="str">
        <f t="shared" ref="E16:E33" si="2">IF(D16="?OLD","!!!","")</f>
        <v/>
      </c>
      <c r="F16" s="22" t="str">
        <f>IF(OR(E16="",E16="!!!"),"",IF(NOT(ISNA(VLOOKUP(E16,E$1:E15,1,FALSE()))),"OLD",IF(AND(E16&lt;&gt;"",E16&lt;&gt;"!!!"),"NEW","")))</f>
        <v/>
      </c>
      <c r="G16" s="23" t="str">
        <f>IF(OR(E16="",E16="!!!"),"",IF(OR(J16=0,AND(J16=1,K16=1),AND(J16=1,I16="SBJ"),AND(J16=1,I16=0)),"?IN_FOCUS",IF(J16&lt;=2,"?ACTIVATED",IF(J16&lt;&gt;"","?FAMILIAR",IF(F16="NEW",IF(ISNA(VLOOKUP(E16,#REF!,1,FALSE())),"?TYPE_IDENTIFIABLE","?REFERENTIAL"),"_")))))</f>
        <v/>
      </c>
      <c r="H16" s="24" t="str">
        <f t="shared" ref="H16:H33" ca="1" si="3">IF(J16&lt;&gt;1,"",IF(I16="SBJ","CB","?"))</f>
        <v/>
      </c>
      <c r="I16" s="25" t="str">
        <f>IF(OR(E16="",E16="!!!",F16="NEW"),"",INDEX(B$2:B15,-1+SUMPRODUCT(MAX(ROW(E$2:E15)*(E16=E$2:E15)))))</f>
        <v/>
      </c>
      <c r="J16" s="25" t="str">
        <f ca="1">IF(OR(E16="",E16="!!!",F16="NEW"),"",COUNTBLANK(OFFSET(A$1,,,SUMPRODUCT(MAX(ROW(E$2:E16)*(E16=E$2:E16)))))-COUNTBLANK(OFFSET(A$1,,,SUMPRODUCT(MAX(ROW(E$1:E15)*(E2=E$1:E15))))))</f>
        <v/>
      </c>
      <c r="K16" s="25" t="str">
        <f>IF(OR(E16="",E16="!!!",F16="NEW"),"",INDEX(J$1:J15,SUMPRODUCT(MAX(ROW(E$1:E15)*(E16=E$1:E15)))))</f>
        <v/>
      </c>
      <c r="L16" s="26"/>
    </row>
    <row r="17" spans="1:12" x14ac:dyDescent="0.3">
      <c r="A17" t="s">
        <v>127</v>
      </c>
      <c r="B17" s="20" t="s">
        <v>110</v>
      </c>
      <c r="C17" s="20" t="s">
        <v>128</v>
      </c>
      <c r="D17" s="20" t="s">
        <v>112</v>
      </c>
      <c r="E17" s="21"/>
      <c r="F17" s="22" t="s">
        <v>371</v>
      </c>
      <c r="G17" s="23" t="str">
        <f>IF(OR(E17="",E17="!!!"),"",IF(OR(J17=0,AND(J17=1,K17=1),AND(J17=1,I17="SBJ"),AND(J17=1,I17=0)),"?IN_FOCUS",IF(J17&lt;=2,"?ACTIVATED",IF(J17&lt;&gt;"","?FAMILIAR",IF(F17="NEW",IF(ISNA(VLOOKUP(E17,#REF!,1,FALSE())),"?TYPE_IDENTIFIABLE","?REFERENTIAL"),"_")))))</f>
        <v/>
      </c>
      <c r="H17" s="24" t="str">
        <f t="shared" ca="1" si="3"/>
        <v/>
      </c>
      <c r="I17" s="25" t="str">
        <f>IF(OR(E17="",E17="!!!",F17="NEW"),"",INDEX(B$2:B16,-1+SUMPRODUCT(MAX(ROW(E$2:E16)*(E17=E$2:E16)))))</f>
        <v/>
      </c>
      <c r="J17" s="25" t="str">
        <f ca="1">IF(OR(E17="",E17="!!!",F17="NEW"),"",COUNTBLANK(OFFSET(A$1,,,SUMPRODUCT(MAX(ROW(E$2:E17)*(E17=E$2:E17)))))-COUNTBLANK(OFFSET(A$1,,,SUMPRODUCT(MAX(ROW(E$1:E16)*(E2=E$1:E16))))))</f>
        <v/>
      </c>
      <c r="K17" s="25" t="str">
        <f>IF(OR(E17="",E17="!!!",F17="NEW"),"",INDEX(J$1:J16,SUMPRODUCT(MAX(ROW(E$1:E16)*(E17=E$1:E16)))))</f>
        <v/>
      </c>
      <c r="L17" s="26"/>
    </row>
    <row r="18" spans="1:12" x14ac:dyDescent="0.3">
      <c r="A18" t="s">
        <v>129</v>
      </c>
      <c r="B18" s="20" t="s">
        <v>118</v>
      </c>
      <c r="C18" s="20" t="s">
        <v>111</v>
      </c>
      <c r="D18" s="20" t="s">
        <v>112</v>
      </c>
      <c r="E18" s="21" t="s">
        <v>373</v>
      </c>
      <c r="F18" s="22" t="str">
        <f>IF(OR(E18="",E18="!!!"),"",IF(NOT(ISNA(VLOOKUP(E18,E$1:E17,1,FALSE()))),"OLD",IF(AND(E18&lt;&gt;"",E18&lt;&gt;"!!!"),"NEW","")))</f>
        <v>NEW</v>
      </c>
      <c r="G18" s="23" t="s">
        <v>102</v>
      </c>
      <c r="H18" s="24" t="str">
        <f t="shared" ca="1" si="3"/>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130</v>
      </c>
      <c r="E19" s="21" t="str">
        <f t="shared" si="2"/>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t="shared" ca="1" si="3"/>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131</v>
      </c>
      <c r="E20" s="21" t="str">
        <f t="shared" si="2"/>
        <v/>
      </c>
      <c r="F20" s="22" t="str">
        <f>IF(OR(E20="",E20="!!!"),"",IF(NOT(ISNA(VLOOKUP(E20,E$1:E19,1,FALSE()))),"OLD",IF(AND(E20&lt;&gt;"",E20&lt;&gt;"!!!"),"NEW","")))</f>
        <v/>
      </c>
      <c r="G20" s="23" t="str">
        <f>IF(OR(E20="",E20="!!!"),"",IF(OR(J20=0,AND(J20=1,K20=1),AND(J20=1,I20="SBJ"),AND(J20=1,I20=0)),"?IN_FOCUS",IF(J20&lt;=2,"?ACTIVATED",IF(J20&lt;&gt;"","?FAMILIAR",IF(F20="NEW",IF(ISNA(VLOOKUP(E20,#REF!,1,FALSE())),"?TYPE_IDENTIFIABLE","?REFERENTIAL"),"_")))))</f>
        <v/>
      </c>
      <c r="H20" s="24" t="str">
        <f t="shared" ca="1" si="3"/>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132</v>
      </c>
      <c r="E21" s="21" t="str">
        <f t="shared" si="2"/>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3"/>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133</v>
      </c>
      <c r="B22" s="20" t="s">
        <v>134</v>
      </c>
      <c r="C22" s="20" t="s">
        <v>128</v>
      </c>
      <c r="D22" s="20" t="s">
        <v>112</v>
      </c>
      <c r="E22" s="21" t="s">
        <v>374</v>
      </c>
      <c r="F22" s="22" t="str">
        <f>IF(OR(E22="",E22="!!!"),"",IF(NOT(ISNA(VLOOKUP(E22,E$1:E21,1,FALSE()))),"OLD",IF(AND(E22&lt;&gt;"",E22&lt;&gt;"!!!"),"NEW","")))</f>
        <v>NEW</v>
      </c>
      <c r="G22" s="23" t="s">
        <v>102</v>
      </c>
      <c r="H22" s="24" t="str">
        <f t="shared" ca="1" si="3"/>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135</v>
      </c>
      <c r="E23" s="21" t="str">
        <f t="shared" si="2"/>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t="shared" ca="1" si="3"/>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4" spans="1:12" x14ac:dyDescent="0.3">
      <c r="A24" t="s">
        <v>113</v>
      </c>
      <c r="B24" s="20" t="s">
        <v>118</v>
      </c>
      <c r="C24" s="20" t="s">
        <v>128</v>
      </c>
      <c r="D24" s="20" t="s">
        <v>112</v>
      </c>
      <c r="E24" s="21" t="s">
        <v>370</v>
      </c>
      <c r="F24" s="22" t="str">
        <f>IF(OR(E24="",E24="!!!"),"",IF(NOT(ISNA(VLOOKUP(E24,E$1:E23,1,FALSE()))),"OLD",IF(AND(E24&lt;&gt;"",E24&lt;&gt;"!!!"),"NEW","")))</f>
        <v>OLD</v>
      </c>
      <c r="G24" s="23" t="s">
        <v>414</v>
      </c>
      <c r="H24" s="24" t="s">
        <v>104</v>
      </c>
      <c r="I24" s="25" t="str">
        <f>IF(OR(E24="",E24="!!!",F24="NEW"),"",INDEX(B$2:B23,-1+SUMPRODUCT(MAX(ROW(E$2:E23)*(E24=E$2:E23)))))</f>
        <v>SBJ</v>
      </c>
      <c r="J24" s="25">
        <f ca="1">IF(OR(E24="",E24="!!!",F24="NEW"),"",COUNTBLANK(OFFSET(A$1,,,SUMPRODUCT(MAX(ROW(E$2:E24)*(E24=E$2:E24)))))-COUNTBLANK(OFFSET(A$1,,,SUMPRODUCT(MAX(ROW(E$1:E23)*(E2=E$1:E23))))))</f>
        <v>0</v>
      </c>
      <c r="K24" s="25" t="str">
        <f ca="1">IF(OR(E24="",E24="!!!",F24="NEW"),"",INDEX(J$1:J23,SUMPRODUCT(MAX(ROW(E$1:E23)*(E24=E$1:E23)))))</f>
        <v/>
      </c>
      <c r="L24" s="26"/>
    </row>
    <row r="25" spans="1:12" x14ac:dyDescent="0.3">
      <c r="A25" t="s">
        <v>136</v>
      </c>
      <c r="E25" s="21" t="str">
        <f t="shared" si="2"/>
        <v/>
      </c>
      <c r="F25" s="22" t="str">
        <f>IF(OR(E25="",E25="!!!"),"",IF(NOT(ISNA(VLOOKUP(E25,E$1:E24,1,FALSE()))),"OLD",IF(AND(E25&lt;&gt;"",E25&lt;&gt;"!!!"),"NEW","")))</f>
        <v/>
      </c>
      <c r="G25" s="23" t="str">
        <f>IF(OR(E25="",E25="!!!"),"",IF(OR(J25=0,AND(J25=1,K25=1),AND(J25=1,I25="SBJ"),AND(J25=1,I25=0)),"?IN_FOCUS",IF(J25&lt;=2,"?ACTIVATED",IF(J25&lt;&gt;"","?FAMILIAR",IF(F25="NEW",IF(ISNA(VLOOKUP(E25,#REF!,1,FALSE())),"?TYPE_IDENTIFIABLE","?REFERENTIAL"),"_")))))</f>
        <v/>
      </c>
      <c r="H25" s="24" t="str">
        <f t="shared" ca="1" si="3"/>
        <v/>
      </c>
      <c r="I25" s="25" t="str">
        <f>IF(OR(E25="",E25="!!!",F25="NEW"),"",INDEX(B$2:B24,-1+SUMPRODUCT(MAX(ROW(E$2:E24)*(E25=E$2:E24)))))</f>
        <v/>
      </c>
      <c r="J25" s="25" t="str">
        <f ca="1">IF(OR(E25="",E25="!!!",F25="NEW"),"",COUNTBLANK(OFFSET(A$1,,,SUMPRODUCT(MAX(ROW(E$2:E25)*(E25=E$2:E25)))))-COUNTBLANK(OFFSET(A$1,,,SUMPRODUCT(MAX(ROW(E$1:E24)*(E2=E$1:E24))))))</f>
        <v/>
      </c>
      <c r="K25" s="25" t="str">
        <f>IF(OR(E25="",E25="!!!",F25="NEW"),"",INDEX(J$1:J24,SUMPRODUCT(MAX(ROW(E$1:E24)*(E25=E$1:E24)))))</f>
        <v/>
      </c>
      <c r="L25" s="26"/>
    </row>
    <row r="26" spans="1:12" x14ac:dyDescent="0.3">
      <c r="A26" t="s">
        <v>137</v>
      </c>
      <c r="E26" s="21" t="str">
        <f t="shared" si="2"/>
        <v/>
      </c>
      <c r="F26" s="22" t="str">
        <f>IF(OR(E26="",E26="!!!"),"",IF(NOT(ISNA(VLOOKUP(E26,E$1:E25,1,FALSE()))),"OLD",IF(AND(E26&lt;&gt;"",E26&lt;&gt;"!!!"),"NEW","")))</f>
        <v/>
      </c>
      <c r="G26" s="23" t="str">
        <f>IF(OR(E26="",E26="!!!"),"",IF(OR(J26=0,AND(J26=1,K26=1),AND(J26=1,I26="SBJ"),AND(J26=1,I26=0)),"?IN_FOCUS",IF(J26&lt;=2,"?ACTIVATED",IF(J26&lt;&gt;"","?FAMILIAR",IF(F26="NEW",IF(ISNA(VLOOKUP(E26,#REF!,1,FALSE())),"?TYPE_IDENTIFIABLE","?REFERENTIAL"),"_")))))</f>
        <v/>
      </c>
      <c r="H26" s="24" t="str">
        <f t="shared" ca="1" si="3"/>
        <v/>
      </c>
      <c r="I26" s="25" t="str">
        <f>IF(OR(E26="",E26="!!!",F26="NEW"),"",INDEX(B$2:B25,-1+SUMPRODUCT(MAX(ROW(E$2:E25)*(E26=E$2:E25)))))</f>
        <v/>
      </c>
      <c r="J26" s="25" t="str">
        <f ca="1">IF(OR(E26="",E26="!!!",F26="NEW"),"",COUNTBLANK(OFFSET(A$1,,,SUMPRODUCT(MAX(ROW(E$2:E26)*(E26=E$2:E26)))))-COUNTBLANK(OFFSET(A$1,,,SUMPRODUCT(MAX(ROW(E$1:E25)*(E2=E$1:E25))))))</f>
        <v/>
      </c>
      <c r="K26" s="25" t="str">
        <f>IF(OR(E26="",E26="!!!",F26="NEW"),"",INDEX(J$1:J25,SUMPRODUCT(MAX(ROW(E$1:E25)*(E26=E$1:E25)))))</f>
        <v/>
      </c>
      <c r="L26" s="26"/>
    </row>
    <row r="27" spans="1:12" x14ac:dyDescent="0.3">
      <c r="A27" t="s">
        <v>138</v>
      </c>
      <c r="E27" s="21" t="str">
        <f t="shared" si="2"/>
        <v/>
      </c>
      <c r="F27" s="22" t="str">
        <f>IF(OR(E27="",E27="!!!"),"",IF(NOT(ISNA(VLOOKUP(E27,E$1:E26,1,FALSE()))),"OLD",IF(AND(E27&lt;&gt;"",E27&lt;&gt;"!!!"),"NEW","")))</f>
        <v/>
      </c>
      <c r="G27" s="23" t="str">
        <f>IF(OR(E27="",E27="!!!"),"",IF(OR(J27=0,AND(J27=1,K27=1),AND(J27=1,I27="SBJ"),AND(J27=1,I27=0)),"?IN_FOCUS",IF(J27&lt;=2,"?ACTIVATED",IF(J27&lt;&gt;"","?FAMILIAR",IF(F27="NEW",IF(ISNA(VLOOKUP(E27,#REF!,1,FALSE())),"?TYPE_IDENTIFIABLE","?REFERENTIAL"),"_")))))</f>
        <v/>
      </c>
      <c r="H27" s="24" t="str">
        <f t="shared" ca="1" si="3"/>
        <v/>
      </c>
      <c r="I27" s="25" t="str">
        <f>IF(OR(E27="",E27="!!!",F27="NEW"),"",INDEX(B$2:B26,-1+SUMPRODUCT(MAX(ROW(E$2:E26)*(E27=E$2:E26)))))</f>
        <v/>
      </c>
      <c r="J27" s="25" t="str">
        <f ca="1">IF(OR(E27="",E27="!!!",F27="NEW"),"",COUNTBLANK(OFFSET(A$1,,,SUMPRODUCT(MAX(ROW(E$2:E27)*(E27=E$2:E27)))))-COUNTBLANK(OFFSET(A$1,,,SUMPRODUCT(MAX(ROW(E$1:E26)*(E2=E$1:E26))))))</f>
        <v/>
      </c>
      <c r="K27" s="25" t="str">
        <f>IF(OR(E27="",E27="!!!",F27="NEW"),"",INDEX(J$1:J26,SUMPRODUCT(MAX(ROW(E$1:E26)*(E27=E$1:E26)))))</f>
        <v/>
      </c>
      <c r="L27" s="26"/>
    </row>
    <row r="28" spans="1:12" x14ac:dyDescent="0.3">
      <c r="A28" t="s">
        <v>139</v>
      </c>
      <c r="E28" s="21" t="str">
        <f t="shared" si="2"/>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3"/>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29" spans="1:12" x14ac:dyDescent="0.3">
      <c r="A29" t="s">
        <v>12</v>
      </c>
      <c r="E29" s="21" t="str">
        <f t="shared" si="2"/>
        <v/>
      </c>
      <c r="F29" s="22" t="str">
        <f>IF(OR(E29="",E29="!!!"),"",IF(NOT(ISNA(VLOOKUP(E29,E$1:E28,1,FALSE()))),"OLD",IF(AND(E29&lt;&gt;"",E29&lt;&gt;"!!!"),"NEW","")))</f>
        <v/>
      </c>
      <c r="G29" s="23" t="str">
        <f>IF(OR(E29="",E29="!!!"),"",IF(OR(J29=0,AND(J29=1,K29=1),AND(J29=1,I29="SBJ"),AND(J29=1,I29=0)),"?IN_FOCUS",IF(J29&lt;=2,"?ACTIVATED",IF(J29&lt;&gt;"","?FAMILIAR",IF(F29="NEW",IF(ISNA(VLOOKUP(E29,#REF!,1,FALSE())),"?TYPE_IDENTIFIABLE","?REFERENTIAL"),"_")))))</f>
        <v/>
      </c>
      <c r="H29" s="24" t="str">
        <f t="shared" ca="1" si="3"/>
        <v/>
      </c>
      <c r="I29" s="25" t="str">
        <f>IF(OR(E29="",E29="!!!",F29="NEW"),"",INDEX(B$2:B28,-1+SUMPRODUCT(MAX(ROW(E$2:E28)*(E29=E$2:E28)))))</f>
        <v/>
      </c>
      <c r="J29" s="25" t="str">
        <f ca="1">IF(OR(E29="",E29="!!!",F29="NEW"),"",COUNTBLANK(OFFSET(A$1,,,SUMPRODUCT(MAX(ROW(E$2:E29)*(E29=E$2:E29)))))-COUNTBLANK(OFFSET(A$1,,,SUMPRODUCT(MAX(ROW(E$1:E28)*(E2=E$1:E28))))))</f>
        <v/>
      </c>
      <c r="K29" s="25" t="str">
        <f>IF(OR(E29="",E29="!!!",F29="NEW"),"",INDEX(J$1:J28,SUMPRODUCT(MAX(ROW(E$1:E28)*(E29=E$1:E28)))))</f>
        <v/>
      </c>
      <c r="L29" s="26"/>
    </row>
    <row r="30" spans="1:12" x14ac:dyDescent="0.3">
      <c r="A30" t="s">
        <v>140</v>
      </c>
      <c r="B30" s="20" t="s">
        <v>134</v>
      </c>
      <c r="C30" s="20" t="s">
        <v>141</v>
      </c>
      <c r="E30" s="21" t="str">
        <f t="shared" si="2"/>
        <v/>
      </c>
      <c r="F30" s="22" t="str">
        <f>IF(OR(E30="",E30="!!!"),"",IF(NOT(ISNA(VLOOKUP(E30,E$1:E29,1,FALSE()))),"OLD",IF(AND(E30&lt;&gt;"",E30&lt;&gt;"!!!"),"NEW","")))</f>
        <v/>
      </c>
      <c r="G30" s="23" t="str">
        <f>IF(OR(E30="",E30="!!!"),"",IF(OR(J30=0,AND(J30=1,K30=1),AND(J30=1,I30="SBJ"),AND(J30=1,I30=0)),"?IN_FOCUS",IF(J30&lt;=2,"?ACTIVATED",IF(J30&lt;&gt;"","?FAMILIAR",IF(F30="NEW",IF(ISNA(VLOOKUP(E30,#REF!,1,FALSE())),"?TYPE_IDENTIFIABLE","?REFERENTIAL"),"_")))))</f>
        <v/>
      </c>
      <c r="H30" s="24" t="str">
        <f t="shared" ca="1" si="3"/>
        <v/>
      </c>
      <c r="I30" s="25" t="str">
        <f>IF(OR(E30="",E30="!!!",F30="NEW"),"",INDEX(B$2:B29,-1+SUMPRODUCT(MAX(ROW(E$2:E29)*(E30=E$2:E29)))))</f>
        <v/>
      </c>
      <c r="J30" s="25" t="str">
        <f ca="1">IF(OR(E30="",E30="!!!",F30="NEW"),"",COUNTBLANK(OFFSET(A$1,,,SUMPRODUCT(MAX(ROW(E$2:E30)*(E30=E$2:E30)))))-COUNTBLANK(OFFSET(A$1,,,SUMPRODUCT(MAX(ROW(E$1:E29)*(E2=E$1:E29))))))</f>
        <v/>
      </c>
      <c r="K30" s="25" t="str">
        <f>IF(OR(E30="",E30="!!!",F30="NEW"),"",INDEX(J$1:J29,SUMPRODUCT(MAX(ROW(E$1:E29)*(E30=E$1:E29)))))</f>
        <v/>
      </c>
      <c r="L30" s="26"/>
    </row>
    <row r="31" spans="1:12" x14ac:dyDescent="0.3">
      <c r="A31" t="s">
        <v>142</v>
      </c>
      <c r="E31" s="21" t="str">
        <f t="shared" si="2"/>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ca="1" si="3"/>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68</v>
      </c>
      <c r="E32" s="21" t="str">
        <f t="shared" si="2"/>
        <v/>
      </c>
      <c r="F32" s="22" t="str">
        <f>IF(OR(E32="",E32="!!!"),"",IF(NOT(ISNA(VLOOKUP(E32,E$1:E31,1,FALSE()))),"OLD",IF(AND(E32&lt;&gt;"",E32&lt;&gt;"!!!"),"NEW","")))</f>
        <v/>
      </c>
      <c r="G32" s="23" t="str">
        <f>IF(OR(E32="",E32="!!!"),"",IF(OR(J32=0,AND(J32=1,K32=1),AND(J32=1,I32="SBJ"),AND(J32=1,I32=0)),"?IN_FOCUS",IF(J32&lt;=2,"?ACTIVATED",IF(J32&lt;&gt;"","?FAMILIAR",IF(F32="NEW",IF(ISNA(VLOOKUP(E32,#REF!,1,FALSE())),"?TYPE_IDENTIFIABLE","?REFERENTIAL"),"_")))))</f>
        <v/>
      </c>
      <c r="H32" s="24" t="str">
        <f t="shared" ca="1" si="3"/>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143</v>
      </c>
      <c r="E33" s="21" t="str">
        <f t="shared" si="2"/>
        <v/>
      </c>
      <c r="F33" s="22" t="str">
        <f>IF(OR(E33="",E33="!!!"),"",IF(NOT(ISNA(VLOOKUP(E33,E$1:E32,1,FALSE()))),"OLD",IF(AND(E33&lt;&gt;"",E33&lt;&gt;"!!!"),"NEW","")))</f>
        <v/>
      </c>
      <c r="G33" s="23" t="str">
        <f>IF(OR(E33="",E33="!!!"),"",IF(OR(J33=0,AND(J33=1,K33=1),AND(J33=1,I33="SBJ"),AND(J33=1,I33=0)),"?IN_FOCUS",IF(J33&lt;=2,"?ACTIVATED",IF(J33&lt;&gt;"","?FAMILIAR",IF(F33="NEW",IF(ISNA(VLOOKUP(E33,#REF!,1,FALSE())),"?TYPE_IDENTIFIABLE","?REFERENTIAL"),"_")))))</f>
        <v/>
      </c>
      <c r="H33" s="24" t="str">
        <f t="shared" ca="1" si="3"/>
        <v/>
      </c>
      <c r="I33" s="25" t="str">
        <f>IF(OR(E33="",E33="!!!",F33="NEW"),"",INDEX(B$2:B32,-1+SUMPRODUCT(MAX(ROW(E$2:E32)*(E33=E$2:E32)))))</f>
        <v/>
      </c>
      <c r="J33" s="25" t="str">
        <f ca="1">IF(OR(E33="",E33="!!!",F33="NEW"),"",COUNTBLANK(OFFSET(A$1,,,SUMPRODUCT(MAX(ROW(E$2:E33)*(E33=E$2:E33)))))-COUNTBLANK(OFFSET(A$1,,,SUMPRODUCT(MAX(ROW(E$1:E32)*(E2=E$1:E32))))))</f>
        <v/>
      </c>
      <c r="K33" s="25" t="str">
        <f>IF(OR(E33="",E33="!!!",F33="NEW"),"",INDEX(J$1:J32,SUMPRODUCT(MAX(ROW(E$1:E32)*(E33=E$1:E32)))))</f>
        <v/>
      </c>
      <c r="L33" s="26"/>
    </row>
    <row r="35" spans="1:12" x14ac:dyDescent="0.3">
      <c r="A35" t="s">
        <v>144</v>
      </c>
    </row>
    <row r="36" spans="1:12" x14ac:dyDescent="0.3">
      <c r="A36" t="s">
        <v>126</v>
      </c>
      <c r="E36" s="21" t="str">
        <f t="shared" ref="E36:E50" si="4">IF(D36="?OLD","!!!","")</f>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ref="H36:H50" ca="1" si="5">IF(J36&lt;&gt;1,"",IF(I36="SBJ","CB","?"))</f>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109</v>
      </c>
      <c r="B37" s="20" t="s">
        <v>110</v>
      </c>
      <c r="C37" s="20" t="s">
        <v>111</v>
      </c>
      <c r="D37" s="20" t="s">
        <v>112</v>
      </c>
      <c r="E37" s="21" t="s">
        <v>370</v>
      </c>
      <c r="F37" s="22" t="str">
        <f>IF(OR(E37="",E37="!!!"),"",IF(NOT(ISNA(VLOOKUP(E37,E$1:E36,1,FALSE()))),"OLD",IF(AND(E37&lt;&gt;"",E37&lt;&gt;"!!!"),"NEW","")))</f>
        <v>OLD</v>
      </c>
      <c r="G37" s="23" t="s">
        <v>414</v>
      </c>
      <c r="H37" s="24" t="s">
        <v>104</v>
      </c>
      <c r="I37" s="25" t="str">
        <f>IF(OR(E37="",E37="!!!",F37="NEW"),"",INDEX(B$2:B36,-1+SUMPRODUCT(MAX(ROW(E$2:E36)*(E37=E$2:E36)))))</f>
        <v>other_2</v>
      </c>
      <c r="J37" s="25">
        <f ca="1">IF(OR(E37="",E37="!!!",F37="NEW"),"",COUNTBLANK(OFFSET(A$1,,,SUMPRODUCT(MAX(ROW(E$2:E37)*(E37=E$2:E37)))))-COUNTBLANK(OFFSET(A$1,,,SUMPRODUCT(MAX(ROW(E$1:E36)*(E2=E$1:E36))))))</f>
        <v>0</v>
      </c>
      <c r="K37" s="25">
        <f ca="1">IF(OR(E37="",E37="!!!",F37="NEW"),"",INDEX(J$1:J36,SUMPRODUCT(MAX(ROW(E$1:E36)*(E37=E$1:E36)))))</f>
        <v>0</v>
      </c>
      <c r="L37" s="26"/>
    </row>
    <row r="38" spans="1:12" x14ac:dyDescent="0.3">
      <c r="A38" t="s">
        <v>113</v>
      </c>
      <c r="E38" s="21" t="str">
        <f t="shared" si="4"/>
        <v/>
      </c>
      <c r="F38" s="22" t="str">
        <f>IF(OR(E38="",E38="!!!"),"",IF(NOT(ISNA(VLOOKUP(E38,E$1:E37,1,FALSE()))),"OLD",IF(AND(E38&lt;&gt;"",E38&lt;&gt;"!!!"),"NEW","")))</f>
        <v/>
      </c>
      <c r="G38" s="23" t="str">
        <f>IF(OR(E38="",E38="!!!"),"",IF(OR(J38=0,AND(J38=1,K38=1),AND(J38=1,I38="SBJ"),AND(J38=1,I38=0)),"?IN_FOCUS",IF(J38&lt;=2,"?ACTIVATED",IF(J38&lt;&gt;"","?FAMILIAR",IF(F38="NEW",IF(ISNA(VLOOKUP(E38,#REF!,1,FALSE())),"?TYPE_IDENTIFIABLE","?REFERENTIAL"),"_")))))</f>
        <v/>
      </c>
      <c r="H38" s="24" t="str">
        <f t="shared" ca="1" si="5"/>
        <v/>
      </c>
      <c r="I38" s="25" t="str">
        <f>IF(OR(E38="",E38="!!!",F38="NEW"),"",INDEX(B$2:B37,-1+SUMPRODUCT(MAX(ROW(E$2:E37)*(E38=E$2:E37)))))</f>
        <v/>
      </c>
      <c r="J38" s="25" t="str">
        <f ca="1">IF(OR(E38="",E38="!!!",F38="NEW"),"",COUNTBLANK(OFFSET(A$1,,,SUMPRODUCT(MAX(ROW(E$2:E38)*(E38=E$2:E38)))))-COUNTBLANK(OFFSET(A$1,,,SUMPRODUCT(MAX(ROW(E$1:E37)*(E2=E$1:E37))))))</f>
        <v/>
      </c>
      <c r="K38" s="25" t="str">
        <f>IF(OR(E38="",E38="!!!",F38="NEW"),"",INDEX(J$1:J37,SUMPRODUCT(MAX(ROW(E$1:E37)*(E38=E$1:E37)))))</f>
        <v/>
      </c>
      <c r="L38" s="26"/>
    </row>
    <row r="39" spans="1:12" x14ac:dyDescent="0.3">
      <c r="A39" t="s">
        <v>114</v>
      </c>
      <c r="E39" s="21" t="str">
        <f t="shared" si="4"/>
        <v/>
      </c>
      <c r="F39" s="22" t="str">
        <f>IF(OR(E39="",E39="!!!"),"",IF(NOT(ISNA(VLOOKUP(E39,E$1:E38,1,FALSE()))),"OLD",IF(AND(E39&lt;&gt;"",E39&lt;&gt;"!!!"),"NEW","")))</f>
        <v/>
      </c>
      <c r="G39" s="23" t="str">
        <f>IF(OR(E39="",E39="!!!"),"",IF(OR(J39=0,AND(J39=1,K39=1),AND(J39=1,I39="SBJ"),AND(J39=1,I39=0)),"?IN_FOCUS",IF(J39&lt;=2,"?ACTIVATED",IF(J39&lt;&gt;"","?FAMILIAR",IF(F39="NEW",IF(ISNA(VLOOKUP(E39,#REF!,1,FALSE())),"?TYPE_IDENTIFIABLE","?REFERENTIAL"),"_")))))</f>
        <v/>
      </c>
      <c r="H39" s="24" t="str">
        <f t="shared" ca="1" si="5"/>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0" spans="1:12" x14ac:dyDescent="0.3">
      <c r="A40" t="s">
        <v>115</v>
      </c>
      <c r="E40" s="21" t="str">
        <f t="shared" si="4"/>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5"/>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145</v>
      </c>
      <c r="E41" s="21" t="str">
        <f t="shared" si="4"/>
        <v/>
      </c>
      <c r="F41" s="22" t="str">
        <f>IF(OR(E41="",E41="!!!"),"",IF(NOT(ISNA(VLOOKUP(E41,E$1:E40,1,FALSE()))),"OLD",IF(AND(E41&lt;&gt;"",E41&lt;&gt;"!!!"),"NEW","")))</f>
        <v/>
      </c>
      <c r="G41" s="23" t="str">
        <f>IF(OR(E41="",E41="!!!"),"",IF(OR(J41=0,AND(J41=1,K41=1),AND(J41=1,I41="SBJ"),AND(J41=1,I41=0)),"?IN_FOCUS",IF(J41&lt;=2,"?ACTIVATED",IF(J41&lt;&gt;"","?FAMILIAR",IF(F41="NEW",IF(ISNA(VLOOKUP(E41,#REF!,1,FALSE())),"?TYPE_IDENTIFIABLE","?REFERENTIAL"),"_")))))</f>
        <v/>
      </c>
      <c r="H41" s="24" t="str">
        <f t="shared" ca="1" si="5"/>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row>
    <row r="42" spans="1:12" x14ac:dyDescent="0.3">
      <c r="A42" t="s">
        <v>116</v>
      </c>
      <c r="E42" s="21" t="str">
        <f t="shared" si="4"/>
        <v/>
      </c>
      <c r="F42" s="22" t="str">
        <f>IF(OR(E42="",E42="!!!"),"",IF(NOT(ISNA(VLOOKUP(E42,E$1:E41,1,FALSE()))),"OLD",IF(AND(E42&lt;&gt;"",E42&lt;&gt;"!!!"),"NEW","")))</f>
        <v/>
      </c>
      <c r="G42" s="23" t="str">
        <f>IF(OR(E42="",E42="!!!"),"",IF(OR(J42=0,AND(J42=1,K42=1),AND(J42=1,I42="SBJ"),AND(J42=1,I42=0)),"?IN_FOCUS",IF(J42&lt;=2,"?ACTIVATED",IF(J42&lt;&gt;"","?FAMILIAR",IF(F42="NEW",IF(ISNA(VLOOKUP(E42,#REF!,1,FALSE())),"?TYPE_IDENTIFIABLE","?REFERENTIAL"),"_")))))</f>
        <v/>
      </c>
      <c r="H42" s="24" t="str">
        <f t="shared" ca="1" si="5"/>
        <v/>
      </c>
      <c r="I42" s="25" t="str">
        <f>IF(OR(E42="",E42="!!!",F42="NEW"),"",INDEX(B$2:B41,-1+SUMPRODUCT(MAX(ROW(E$2:E41)*(E42=E$2:E41)))))</f>
        <v/>
      </c>
      <c r="J42" s="25" t="str">
        <f ca="1">IF(OR(E42="",E42="!!!",F42="NEW"),"",COUNTBLANK(OFFSET(A$1,,,SUMPRODUCT(MAX(ROW(E$2:E42)*(E42=E$2:E42)))))-COUNTBLANK(OFFSET(A$1,,,SUMPRODUCT(MAX(ROW(E$1:E41)*(E2=E$1:E41))))))</f>
        <v/>
      </c>
      <c r="K42" s="25" t="str">
        <f>IF(OR(E42="",E42="!!!",F42="NEW"),"",INDEX(J$1:J41,SUMPRODUCT(MAX(ROW(E$1:E41)*(E42=E$1:E41)))))</f>
        <v/>
      </c>
      <c r="L42" s="26"/>
    </row>
    <row r="43" spans="1:12" x14ac:dyDescent="0.3">
      <c r="A43" t="s">
        <v>117</v>
      </c>
      <c r="B43" s="20" t="s">
        <v>134</v>
      </c>
      <c r="C43" s="20" t="s">
        <v>119</v>
      </c>
      <c r="D43" s="20" t="s">
        <v>112</v>
      </c>
      <c r="E43" s="21" t="s">
        <v>390</v>
      </c>
      <c r="F43" s="22" t="str">
        <f>IF(OR(E43="",E43="!!!"),"",IF(NOT(ISNA(VLOOKUP(E43,E$1:E42,1,FALSE()))),"OLD",IF(AND(E43&lt;&gt;"",E43&lt;&gt;"!!!"),"NEW","")))</f>
        <v>OLD</v>
      </c>
      <c r="G43" s="23" t="s">
        <v>415</v>
      </c>
      <c r="H43" s="24" t="str">
        <f t="shared" ca="1" si="5"/>
        <v/>
      </c>
      <c r="I43" s="25" t="str">
        <f>IF(OR(E43="",E43="!!!",F43="NEW"),"",INDEX(B$2:B42,-1+SUMPRODUCT(MAX(ROW(E$2:E42)*(E43=E$2:E42)))))</f>
        <v>other_2</v>
      </c>
      <c r="J43" s="25">
        <f ca="1">IF(OR(E43="",E43="!!!",F43="NEW"),"",COUNTBLANK(OFFSET(A$1,,,SUMPRODUCT(MAX(ROW(E$2:E43)*(E43=E$2:E43)))))-COUNTBLANK(OFFSET(A$1,,,SUMPRODUCT(MAX(ROW(E$1:E42)*(E2=E$1:E42))))))</f>
        <v>0</v>
      </c>
      <c r="K43" s="25" t="str">
        <f ca="1">IF(OR(E43="",E43="!!!",F43="NEW"),"",INDEX(J$1:J42,SUMPRODUCT(MAX(ROW(E$1:E42)*(E43=E$1:E42)))))</f>
        <v/>
      </c>
      <c r="L43" s="26"/>
    </row>
    <row r="44" spans="1:12" x14ac:dyDescent="0.3">
      <c r="A44" t="s">
        <v>120</v>
      </c>
      <c r="E44" s="21" t="str">
        <f t="shared" si="4"/>
        <v/>
      </c>
      <c r="F44" s="22" t="str">
        <f>IF(OR(E44="",E44="!!!"),"",IF(NOT(ISNA(VLOOKUP(E44,E$1:E43,1,FALSE()))),"OLD",IF(AND(E44&lt;&gt;"",E44&lt;&gt;"!!!"),"NEW","")))</f>
        <v/>
      </c>
      <c r="G44" s="23" t="str">
        <f>IF(OR(E44="",E44="!!!"),"",IF(OR(J44=0,AND(J44=1,K44=1),AND(J44=1,I44="SBJ"),AND(J44=1,I44=0)),"?IN_FOCUS",IF(J44&lt;=2,"?ACTIVATED",IF(J44&lt;&gt;"","?FAMILIAR",IF(F44="NEW",IF(ISNA(VLOOKUP(E44,#REF!,1,FALSE())),"?TYPE_IDENTIFIABLE","?REFERENTIAL"),"_")))))</f>
        <v/>
      </c>
      <c r="H44" s="24" t="str">
        <f t="shared" ca="1" si="5"/>
        <v/>
      </c>
      <c r="I44" s="25" t="str">
        <f>IF(OR(E44="",E44="!!!",F44="NEW"),"",INDEX(B$2:B43,-1+SUMPRODUCT(MAX(ROW(E$2:E43)*(E44=E$2:E43)))))</f>
        <v/>
      </c>
      <c r="J44" s="25" t="str">
        <f ca="1">IF(OR(E44="",E44="!!!",F44="NEW"),"",COUNTBLANK(OFFSET(A$1,,,SUMPRODUCT(MAX(ROW(E$2:E44)*(E44=E$2:E44)))))-COUNTBLANK(OFFSET(A$1,,,SUMPRODUCT(MAX(ROW(E$1:E43)*(E2=E$1:E43))))))</f>
        <v/>
      </c>
      <c r="K44" s="25" t="str">
        <f>IF(OR(E44="",E44="!!!",F44="NEW"),"",INDEX(J$1:J43,SUMPRODUCT(MAX(ROW(E$1:E43)*(E44=E$1:E43)))))</f>
        <v/>
      </c>
      <c r="L44" s="26"/>
    </row>
    <row r="45" spans="1:12" x14ac:dyDescent="0.3">
      <c r="A45" t="s">
        <v>121</v>
      </c>
      <c r="B45" s="20" t="s">
        <v>118</v>
      </c>
      <c r="C45" s="20" t="s">
        <v>111</v>
      </c>
      <c r="D45" s="20" t="s">
        <v>112</v>
      </c>
      <c r="E45" s="21" t="s">
        <v>368</v>
      </c>
      <c r="F45" s="22" t="str">
        <f>IF(OR(E45="",E45="!!!"),"",IF(NOT(ISNA(VLOOKUP(E45,E$1:E44,1,FALSE()))),"OLD",IF(AND(E45&lt;&gt;"",E45&lt;&gt;"!!!"),"NEW","")))</f>
        <v>OLD</v>
      </c>
      <c r="G45" s="23" t="s">
        <v>415</v>
      </c>
      <c r="H45" s="24" t="str">
        <f t="shared" ca="1" si="5"/>
        <v/>
      </c>
      <c r="I45" s="25" t="str">
        <f>IF(OR(E45="",E45="!!!",F45="NEW"),"",INDEX(B$2:B44,-1+SUMPRODUCT(MAX(ROW(E$2:E44)*(E45=E$2:E44)))))</f>
        <v>other_3</v>
      </c>
      <c r="J45" s="25">
        <f ca="1">IF(OR(E45="",E45="!!!",F45="NEW"),"",COUNTBLANK(OFFSET(A$1,,,SUMPRODUCT(MAX(ROW(E$2:E45)*(E45=E$2:E45)))))-COUNTBLANK(OFFSET(A$1,,,SUMPRODUCT(MAX(ROW(E$1:E44)*(E2=E$1:E44))))))</f>
        <v>0</v>
      </c>
      <c r="K45" s="25" t="str">
        <f ca="1">IF(OR(E45="",E45="!!!",F45="NEW"),"",INDEX(J$1:J44,SUMPRODUCT(MAX(ROW(E$1:E44)*(E45=E$1:E44)))))</f>
        <v/>
      </c>
      <c r="L45" s="26"/>
    </row>
    <row r="46" spans="1:12" x14ac:dyDescent="0.3">
      <c r="A46" t="s">
        <v>123</v>
      </c>
      <c r="E46" s="21" t="str">
        <f t="shared" si="4"/>
        <v/>
      </c>
      <c r="F46" s="22" t="str">
        <f>IF(OR(E46="",E46="!!!"),"",IF(NOT(ISNA(VLOOKUP(E46,E$1:E45,1,FALSE()))),"OLD",IF(AND(E46&lt;&gt;"",E46&lt;&gt;"!!!"),"NEW","")))</f>
        <v/>
      </c>
      <c r="G46" s="23" t="str">
        <f>IF(OR(E46="",E46="!!!"),"",IF(OR(J46=0,AND(J46=1,K46=1),AND(J46=1,I46="SBJ"),AND(J46=1,I46=0)),"?IN_FOCUS",IF(J46&lt;=2,"?ACTIVATED",IF(J46&lt;&gt;"","?FAMILIAR",IF(F46="NEW",IF(ISNA(VLOOKUP(E46,#REF!,1,FALSE())),"?TYPE_IDENTIFIABLE","?REFERENTIAL"),"_")))))</f>
        <v/>
      </c>
      <c r="H46" s="24" t="str">
        <f t="shared" ca="1" si="5"/>
        <v/>
      </c>
      <c r="I46" s="25" t="str">
        <f>IF(OR(E46="",E46="!!!",F46="NEW"),"",INDEX(B$2:B45,-1+SUMPRODUCT(MAX(ROW(E$2:E45)*(E46=E$2:E45)))))</f>
        <v/>
      </c>
      <c r="J46" s="25" t="str">
        <f ca="1">IF(OR(E46="",E46="!!!",F46="NEW"),"",COUNTBLANK(OFFSET(A$1,,,SUMPRODUCT(MAX(ROW(E$2:E46)*(E46=E$2:E46)))))-COUNTBLANK(OFFSET(A$1,,,SUMPRODUCT(MAX(ROW(E$1:E45)*(E2=E$1:E45))))))</f>
        <v/>
      </c>
      <c r="K46" s="25" t="str">
        <f>IF(OR(E46="",E46="!!!",F46="NEW"),"",INDEX(J$1:J45,SUMPRODUCT(MAX(ROW(E$1:E45)*(E46=E$1:E45)))))</f>
        <v/>
      </c>
      <c r="L46" s="26"/>
    </row>
    <row r="47" spans="1:12" x14ac:dyDescent="0.3">
      <c r="A47" t="s">
        <v>124</v>
      </c>
      <c r="E47" s="21" t="str">
        <f t="shared" si="4"/>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t="shared" ca="1" si="5"/>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8" spans="1:12" x14ac:dyDescent="0.3">
      <c r="A48" t="s">
        <v>13</v>
      </c>
      <c r="E48" s="21" t="str">
        <f t="shared" si="4"/>
        <v/>
      </c>
      <c r="F48" s="22" t="str">
        <f>IF(OR(E48="",E48="!!!"),"",IF(NOT(ISNA(VLOOKUP(E48,E$1:E47,1,FALSE()))),"OLD",IF(AND(E48&lt;&gt;"",E48&lt;&gt;"!!!"),"NEW","")))</f>
        <v/>
      </c>
      <c r="G48" s="23" t="str">
        <f>IF(OR(E48="",E48="!!!"),"",IF(OR(J48=0,AND(J48=1,K48=1),AND(J48=1,I48="SBJ"),AND(J48=1,I48=0)),"?IN_FOCUS",IF(J48&lt;=2,"?ACTIVATED",IF(J48&lt;&gt;"","?FAMILIAR",IF(F48="NEW",IF(ISNA(VLOOKUP(E48,#REF!,1,FALSE())),"?TYPE_IDENTIFIABLE","?REFERENTIAL"),"_")))))</f>
        <v/>
      </c>
      <c r="H48" s="24" t="str">
        <f t="shared" ca="1" si="5"/>
        <v/>
      </c>
      <c r="I48" s="25" t="str">
        <f>IF(OR(E48="",E48="!!!",F48="NEW"),"",INDEX(B$2:B47,-1+SUMPRODUCT(MAX(ROW(E$2:E47)*(E48=E$2:E47)))))</f>
        <v/>
      </c>
      <c r="J48" s="25" t="str">
        <f ca="1">IF(OR(E48="",E48="!!!",F48="NEW"),"",COUNTBLANK(OFFSET(A$1,,,SUMPRODUCT(MAX(ROW(E$2:E48)*(E48=E$2:E48)))))-COUNTBLANK(OFFSET(A$1,,,SUMPRODUCT(MAX(ROW(E$1:E47)*(E2=E$1:E47))))))</f>
        <v/>
      </c>
      <c r="K48" s="25" t="str">
        <f>IF(OR(E48="",E48="!!!",F48="NEW"),"",INDEX(J$1:J47,SUMPRODUCT(MAX(ROW(E$1:E47)*(E48=E$1:E47)))))</f>
        <v/>
      </c>
      <c r="L48" s="26"/>
    </row>
    <row r="49" spans="1:12" x14ac:dyDescent="0.3">
      <c r="A49" t="s">
        <v>146</v>
      </c>
      <c r="E49" s="21" t="str">
        <f t="shared" si="4"/>
        <v/>
      </c>
      <c r="F49" s="22" t="str">
        <f>IF(OR(E49="",E49="!!!"),"",IF(NOT(ISNA(VLOOKUP(E49,E$1:E48,1,FALSE()))),"OLD",IF(AND(E49&lt;&gt;"",E49&lt;&gt;"!!!"),"NEW","")))</f>
        <v/>
      </c>
      <c r="G49" s="23" t="str">
        <f>IF(OR(E49="",E49="!!!"),"",IF(OR(J49=0,AND(J49=1,K49=1),AND(J49=1,I49="SBJ"),AND(J49=1,I49=0)),"?IN_FOCUS",IF(J49&lt;=2,"?ACTIVATED",IF(J49&lt;&gt;"","?FAMILIAR",IF(F49="NEW",IF(ISNA(VLOOKUP(E49,#REF!,1,FALSE())),"?TYPE_IDENTIFIABLE","?REFERENTIAL"),"_")))))</f>
        <v/>
      </c>
      <c r="H49" s="24" t="str">
        <f t="shared" ca="1" si="5"/>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143</v>
      </c>
      <c r="E50" s="21" t="str">
        <f t="shared" si="4"/>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5"/>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2" spans="1:12" x14ac:dyDescent="0.3">
      <c r="A52" t="s">
        <v>147</v>
      </c>
    </row>
    <row r="53" spans="1:12" x14ac:dyDescent="0.3">
      <c r="A53" t="s">
        <v>148</v>
      </c>
      <c r="B53" s="20" t="s">
        <v>110</v>
      </c>
      <c r="C53" s="20" t="s">
        <v>111</v>
      </c>
      <c r="D53" s="20" t="s">
        <v>112</v>
      </c>
      <c r="E53" s="21" t="s">
        <v>374</v>
      </c>
      <c r="F53" s="22" t="str">
        <f>IF(OR(E53="",E53="!!!"),"",IF(NOT(ISNA(VLOOKUP(E53,E$1:E52,1,FALSE()))),"OLD",IF(AND(E53&lt;&gt;"",E53&lt;&gt;"!!!"),"NEW","")))</f>
        <v>OLD</v>
      </c>
      <c r="G53" s="23" t="s">
        <v>415</v>
      </c>
      <c r="H53" s="24" t="str">
        <f t="shared" ref="H53:H73" ca="1" si="6">IF(J53&lt;&gt;1,"",IF(I53="SBJ","CB","?"))</f>
        <v/>
      </c>
      <c r="I53" s="25" t="str">
        <f>IF(OR(E53="",E53="!!!",F53="NEW"),"",INDEX(B$2:B52,-1+SUMPRODUCT(MAX(ROW(E$2:E52)*(E53=E$2:E52)))))</f>
        <v>other</v>
      </c>
      <c r="J53" s="25">
        <f ca="1">IF(OR(E53="",E53="!!!",F53="NEW"),"",COUNTBLANK(OFFSET(A$1,,,SUMPRODUCT(MAX(ROW(E$2:E53)*(E53=E$2:E53)))))-COUNTBLANK(OFFSET(A$1,,,SUMPRODUCT(MAX(ROW(E$1:E52)*(E2=E$1:E52))))))</f>
        <v>0</v>
      </c>
      <c r="K53" s="25" t="str">
        <f ca="1">IF(OR(E53="",E53="!!!",F53="NEW"),"",INDEX(J$1:J52,SUMPRODUCT(MAX(ROW(E$1:E52)*(E53=E$1:E52)))))</f>
        <v/>
      </c>
      <c r="L53" s="26"/>
    </row>
    <row r="54" spans="1:12" x14ac:dyDescent="0.3">
      <c r="A54" t="s">
        <v>149</v>
      </c>
      <c r="E54" s="21" t="str">
        <f t="shared" ref="E54:E73" si="7">IF(D54="?OLD","!!!","")</f>
        <v/>
      </c>
      <c r="F54" s="22" t="str">
        <f>IF(OR(E54="",E54="!!!"),"",IF(NOT(ISNA(VLOOKUP(E54,E$1:E53,1,FALSE()))),"OLD",IF(AND(E54&lt;&gt;"",E54&lt;&gt;"!!!"),"NEW","")))</f>
        <v/>
      </c>
      <c r="G54" s="23" t="str">
        <f>IF(OR(E54="",E54="!!!"),"",IF(OR(J54=0,AND(J54=1,K54=1),AND(J54=1,I54="SBJ"),AND(J54=1,I54=0)),"?IN_FOCUS",IF(J54&lt;=2,"?ACTIVATED",IF(J54&lt;&gt;"","?FAMILIAR",IF(F54="NEW",IF(ISNA(VLOOKUP(E54,#REF!,1,FALSE())),"?TYPE_IDENTIFIABLE","?REFERENTIAL"),"_")))))</f>
        <v/>
      </c>
      <c r="H54" s="24" t="str">
        <f t="shared" ca="1" si="6"/>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5" spans="1:12" x14ac:dyDescent="0.3">
      <c r="A55" t="s">
        <v>150</v>
      </c>
      <c r="E55" s="21" t="str">
        <f t="shared" si="7"/>
        <v/>
      </c>
      <c r="F55" s="22" t="str">
        <f>IF(OR(E55="",E55="!!!"),"",IF(NOT(ISNA(VLOOKUP(E55,E$1:E54,1,FALSE()))),"OLD",IF(AND(E55&lt;&gt;"",E55&lt;&gt;"!!!"),"NEW","")))</f>
        <v/>
      </c>
      <c r="G55" s="23" t="str">
        <f>IF(OR(E55="",E55="!!!"),"",IF(OR(J55=0,AND(J55=1,K55=1),AND(J55=1,I55="SBJ"),AND(J55=1,I55=0)),"?IN_FOCUS",IF(J55&lt;=2,"?ACTIVATED",IF(J55&lt;&gt;"","?FAMILIAR",IF(F55="NEW",IF(ISNA(VLOOKUP(E55,#REF!,1,FALSE())),"?TYPE_IDENTIFIABLE","?REFERENTIAL"),"_")))))</f>
        <v/>
      </c>
      <c r="H55" s="24" t="str">
        <f t="shared" ca="1" si="6"/>
        <v/>
      </c>
      <c r="I55" s="25" t="str">
        <f>IF(OR(E55="",E55="!!!",F55="NEW"),"",INDEX(B$2:B54,-1+SUMPRODUCT(MAX(ROW(E$2:E54)*(E55=E$2:E54)))))</f>
        <v/>
      </c>
      <c r="J55" s="25" t="str">
        <f ca="1">IF(OR(E55="",E55="!!!",F55="NEW"),"",COUNTBLANK(OFFSET(A$1,,,SUMPRODUCT(MAX(ROW(E$2:E55)*(E55=E$2:E55)))))-COUNTBLANK(OFFSET(A$1,,,SUMPRODUCT(MAX(ROW(E$1:E54)*(E2=E$1:E54))))))</f>
        <v/>
      </c>
      <c r="K55" s="25" t="str">
        <f>IF(OR(E55="",E55="!!!",F55="NEW"),"",INDEX(J$1:J54,SUMPRODUCT(MAX(ROW(E$1:E54)*(E55=E$1:E54)))))</f>
        <v/>
      </c>
      <c r="L55" s="26"/>
    </row>
    <row r="56" spans="1:12" x14ac:dyDescent="0.3">
      <c r="A56" t="s">
        <v>135</v>
      </c>
      <c r="E56" s="21" t="str">
        <f t="shared" si="7"/>
        <v/>
      </c>
      <c r="F56" s="22" t="str">
        <f>IF(OR(E56="",E56="!!!"),"",IF(NOT(ISNA(VLOOKUP(E56,E$1:E55,1,FALSE()))),"OLD",IF(AND(E56&lt;&gt;"",E56&lt;&gt;"!!!"),"NEW","")))</f>
        <v/>
      </c>
      <c r="G56" s="23" t="str">
        <f>IF(OR(E56="",E56="!!!"),"",IF(OR(J56=0,AND(J56=1,K56=1),AND(J56=1,I56="SBJ"),AND(J56=1,I56=0)),"?IN_FOCUS",IF(J56&lt;=2,"?ACTIVATED",IF(J56&lt;&gt;"","?FAMILIAR",IF(F56="NEW",IF(ISNA(VLOOKUP(E56,#REF!,1,FALSE())),"?TYPE_IDENTIFIABLE","?REFERENTIAL"),"_")))))</f>
        <v/>
      </c>
      <c r="H56" s="24" t="str">
        <f t="shared" ca="1" si="6"/>
        <v/>
      </c>
      <c r="I56" s="25" t="str">
        <f>IF(OR(E56="",E56="!!!",F56="NEW"),"",INDEX(B$2:B55,-1+SUMPRODUCT(MAX(ROW(E$2:E55)*(E56=E$2:E55)))))</f>
        <v/>
      </c>
      <c r="J56" s="25" t="str">
        <f ca="1">IF(OR(E56="",E56="!!!",F56="NEW"),"",COUNTBLANK(OFFSET(A$1,,,SUMPRODUCT(MAX(ROW(E$2:E56)*(E56=E$2:E56)))))-COUNTBLANK(OFFSET(A$1,,,SUMPRODUCT(MAX(ROW(E$1:E55)*(E2=E$1:E55))))))</f>
        <v/>
      </c>
      <c r="K56" s="25" t="str">
        <f>IF(OR(E56="",E56="!!!",F56="NEW"),"",INDEX(J$1:J55,SUMPRODUCT(MAX(ROW(E$1:E55)*(E56=E$1:E55)))))</f>
        <v/>
      </c>
      <c r="L56" s="26"/>
    </row>
    <row r="57" spans="1:12" x14ac:dyDescent="0.3">
      <c r="A57" t="s">
        <v>151</v>
      </c>
      <c r="B57" s="20" t="s">
        <v>152</v>
      </c>
      <c r="C57" s="20" t="s">
        <v>111</v>
      </c>
      <c r="D57" s="20" t="s">
        <v>112</v>
      </c>
      <c r="E57" s="21" t="s">
        <v>372</v>
      </c>
      <c r="F57" s="22" t="str">
        <f>IF(OR(E57="",E57="!!!"),"",IF(NOT(ISNA(VLOOKUP(E57,E$1:E56,1,FALSE()))),"OLD",IF(AND(E57&lt;&gt;"",E57&lt;&gt;"!!!"),"NEW","")))</f>
        <v>NEW</v>
      </c>
      <c r="G57" s="23" t="s">
        <v>369</v>
      </c>
      <c r="H57" s="24" t="str">
        <f t="shared" ca="1" si="6"/>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115</v>
      </c>
      <c r="B58" s="20" t="s">
        <v>153</v>
      </c>
      <c r="C58" s="20" t="s">
        <v>111</v>
      </c>
      <c r="D58" s="20" t="s">
        <v>112</v>
      </c>
      <c r="E58" s="21"/>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ca="1" si="6"/>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154</v>
      </c>
      <c r="E59" s="21" t="str">
        <f t="shared" si="7"/>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6"/>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155</v>
      </c>
      <c r="E60" s="21" t="str">
        <f t="shared" si="7"/>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6"/>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156</v>
      </c>
      <c r="E61" s="21" t="str">
        <f t="shared" si="7"/>
        <v/>
      </c>
      <c r="F61" s="22" t="str">
        <f>IF(OR(E61="",E61="!!!"),"",IF(NOT(ISNA(VLOOKUP(E61,E$1:E60,1,FALSE()))),"OLD",IF(AND(E61&lt;&gt;"",E61&lt;&gt;"!!!"),"NEW","")))</f>
        <v/>
      </c>
      <c r="G61" s="23" t="str">
        <f>IF(OR(E61="",E61="!!!"),"",IF(OR(J61=0,AND(J61=1,K61=1),AND(J61=1,I61="SBJ"),AND(J61=1,I61=0)),"?IN_FOCUS",IF(J61&lt;=2,"?ACTIVATED",IF(J61&lt;&gt;"","?FAMILIAR",IF(F61="NEW",IF(ISNA(VLOOKUP(E61,#REF!,1,FALSE())),"?TYPE_IDENTIFIABLE","?REFERENTIAL"),"_")))))</f>
        <v/>
      </c>
      <c r="H61" s="24" t="str">
        <f t="shared" ca="1" si="6"/>
        <v/>
      </c>
      <c r="I61" s="25" t="str">
        <f>IF(OR(E61="",E61="!!!",F61="NEW"),"",INDEX(B$2:B60,-1+SUMPRODUCT(MAX(ROW(E$2:E60)*(E61=E$2:E60)))))</f>
        <v/>
      </c>
      <c r="J61" s="25" t="str">
        <f ca="1">IF(OR(E61="",E61="!!!",F61="NEW"),"",COUNTBLANK(OFFSET(A$1,,,SUMPRODUCT(MAX(ROW(E$2:E61)*(E61=E$2:E61)))))-COUNTBLANK(OFFSET(A$1,,,SUMPRODUCT(MAX(ROW(E$1:E60)*(E2=E$1:E60))))))</f>
        <v/>
      </c>
      <c r="K61" s="25" t="str">
        <f>IF(OR(E61="",E61="!!!",F61="NEW"),"",INDEX(J$1:J60,SUMPRODUCT(MAX(ROW(E$1:E60)*(E61=E$1:E60)))))</f>
        <v/>
      </c>
      <c r="L61" s="26"/>
    </row>
    <row r="62" spans="1:12" x14ac:dyDescent="0.3">
      <c r="A62" t="s">
        <v>157</v>
      </c>
      <c r="E62" s="21" t="str">
        <f t="shared" si="7"/>
        <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t="shared" ca="1" si="6"/>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127</v>
      </c>
      <c r="B63" s="20" t="s">
        <v>152</v>
      </c>
      <c r="C63" s="20" t="s">
        <v>128</v>
      </c>
      <c r="D63" s="20" t="s">
        <v>112</v>
      </c>
      <c r="E63" s="21"/>
      <c r="F63" s="22" t="s">
        <v>371</v>
      </c>
      <c r="G63" s="23" t="str">
        <f>IF(OR(E63="",E63="!!!"),"",IF(OR(J63=0,AND(J63=1,K63=1),AND(J63=1,I63="SBJ"),AND(J63=1,I63=0)),"?IN_FOCUS",IF(J63&lt;=2,"?ACTIVATED",IF(J63&lt;&gt;"","?FAMILIAR",IF(F63="NEW",IF(ISNA(VLOOKUP(E63,#REF!,1,FALSE())),"?TYPE_IDENTIFIABLE","?REFERENTIAL"),"_")))))</f>
        <v/>
      </c>
      <c r="H63" s="24" t="str">
        <f t="shared" ca="1" si="6"/>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4" spans="1:12" x14ac:dyDescent="0.3">
      <c r="A64" t="s">
        <v>129</v>
      </c>
      <c r="B64" s="20" t="s">
        <v>122</v>
      </c>
      <c r="C64" s="20" t="s">
        <v>111</v>
      </c>
      <c r="D64" s="20" t="s">
        <v>112</v>
      </c>
      <c r="E64" s="21" t="s">
        <v>373</v>
      </c>
      <c r="F64" s="22" t="str">
        <f>IF(OR(E64="",E64="!!!"),"",IF(NOT(ISNA(VLOOKUP(E64,E$1:E63,1,FALSE()))),"OLD",IF(AND(E64&lt;&gt;"",E64&lt;&gt;"!!!"),"NEW","")))</f>
        <v>OLD</v>
      </c>
      <c r="G64" s="23" t="s">
        <v>415</v>
      </c>
      <c r="H64" s="24" t="str">
        <f t="shared" ca="1" si="6"/>
        <v/>
      </c>
      <c r="I64" s="25" t="str">
        <f>IF(OR(E64="",E64="!!!",F64="NEW"),"",INDEX(B$2:B63,-1+SUMPRODUCT(MAX(ROW(E$2:E63)*(E64=E$2:E63)))))</f>
        <v>other_2</v>
      </c>
      <c r="J64" s="25">
        <f ca="1">IF(OR(E64="",E64="!!!",F64="NEW"),"",COUNTBLANK(OFFSET(A$1,,,SUMPRODUCT(MAX(ROW(E$2:E64)*(E64=E$2:E64)))))-COUNTBLANK(OFFSET(A$1,,,SUMPRODUCT(MAX(ROW(E$1:E63)*(E2=E$1:E63))))))</f>
        <v>0</v>
      </c>
      <c r="K64" s="25" t="str">
        <f ca="1">IF(OR(E64="",E64="!!!",F64="NEW"),"",INDEX(J$1:J63,SUMPRODUCT(MAX(ROW(E$1:E63)*(E64=E$1:E63)))))</f>
        <v/>
      </c>
      <c r="L64" s="26"/>
    </row>
    <row r="65" spans="1:12" x14ac:dyDescent="0.3">
      <c r="A65" t="s">
        <v>154</v>
      </c>
      <c r="E65" s="21" t="str">
        <f t="shared" si="7"/>
        <v/>
      </c>
      <c r="F65" s="22" t="str">
        <f>IF(OR(E65="",E65="!!!"),"",IF(NOT(ISNA(VLOOKUP(E65,E$1:E64,1,FALSE()))),"OLD",IF(AND(E65&lt;&gt;"",E65&lt;&gt;"!!!"),"NEW","")))</f>
        <v/>
      </c>
      <c r="G65" s="23" t="str">
        <f>IF(OR(E65="",E65="!!!"),"",IF(OR(J65=0,AND(J65=1,K65=1),AND(J65=1,I65="SBJ"),AND(J65=1,I65=0)),"?IN_FOCUS",IF(J65&lt;=2,"?ACTIVATED",IF(J65&lt;&gt;"","?FAMILIAR",IF(F65="NEW",IF(ISNA(VLOOKUP(E65,#REF!,1,FALSE())),"?TYPE_IDENTIFIABLE","?REFERENTIAL"),"_")))))</f>
        <v/>
      </c>
      <c r="H65" s="24" t="str">
        <f t="shared" ca="1" si="6"/>
        <v/>
      </c>
      <c r="I65" s="25" t="str">
        <f>IF(OR(E65="",E65="!!!",F65="NEW"),"",INDEX(B$2:B64,-1+SUMPRODUCT(MAX(ROW(E$2:E64)*(E65=E$2:E64)))))</f>
        <v/>
      </c>
      <c r="J65" s="25" t="str">
        <f ca="1">IF(OR(E65="",E65="!!!",F65="NEW"),"",COUNTBLANK(OFFSET(A$1,,,SUMPRODUCT(MAX(ROW(E$2:E65)*(E65=E$2:E65)))))-COUNTBLANK(OFFSET(A$1,,,SUMPRODUCT(MAX(ROW(E$1:E64)*(E2=E$1:E64))))))</f>
        <v/>
      </c>
      <c r="K65" s="25" t="str">
        <f>IF(OR(E65="",E65="!!!",F65="NEW"),"",INDEX(J$1:J64,SUMPRODUCT(MAX(ROW(E$1:E64)*(E65=E$1:E64)))))</f>
        <v/>
      </c>
      <c r="L65" s="26"/>
    </row>
    <row r="66" spans="1:12" x14ac:dyDescent="0.3">
      <c r="A66" t="s">
        <v>158</v>
      </c>
      <c r="E66" s="21" t="str">
        <f t="shared" si="7"/>
        <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ca="1" si="6"/>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159</v>
      </c>
      <c r="E67" s="21" t="str">
        <f t="shared" si="7"/>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6"/>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160</v>
      </c>
      <c r="B68" s="20" t="s">
        <v>118</v>
      </c>
      <c r="C68" s="20" t="s">
        <v>128</v>
      </c>
      <c r="D68" s="20" t="s">
        <v>112</v>
      </c>
      <c r="E68" s="21" t="s">
        <v>404</v>
      </c>
      <c r="F68" s="22" t="str">
        <f>IF(OR(E68="",E68="!!!"),"",IF(NOT(ISNA(VLOOKUP(E68,E$1:E67,1,FALSE()))),"OLD",IF(AND(E68&lt;&gt;"",E68&lt;&gt;"!!!"),"NEW","")))</f>
        <v>NEW</v>
      </c>
      <c r="G68" s="23" t="s">
        <v>416</v>
      </c>
      <c r="H68" s="24" t="str">
        <f t="shared" ca="1" si="6"/>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135</v>
      </c>
      <c r="E69" s="21" t="str">
        <f t="shared" si="7"/>
        <v/>
      </c>
      <c r="F69" s="22" t="str">
        <f>IF(OR(E69="",E69="!!!"),"",IF(NOT(ISNA(VLOOKUP(E69,E$1:E68,1,FALSE()))),"OLD",IF(AND(E69&lt;&gt;"",E69&lt;&gt;"!!!"),"NEW","")))</f>
        <v/>
      </c>
      <c r="G69" s="23" t="str">
        <f>IF(OR(E69="",E69="!!!"),"",IF(OR(J69=0,AND(J69=1,K69=1),AND(J69=1,I69="SBJ"),AND(J69=1,I69=0)),"?IN_FOCUS",IF(J69&lt;=2,"?ACTIVATED",IF(J69&lt;&gt;"","?FAMILIAR",IF(F69="NEW",IF(ISNA(VLOOKUP(E69,#REF!,1,FALSE())),"?TYPE_IDENTIFIABLE","?REFERENTIAL"),"_")))))</f>
        <v/>
      </c>
      <c r="H69" s="24" t="str">
        <f t="shared" ca="1" si="6"/>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row>
    <row r="70" spans="1:12" x14ac:dyDescent="0.3">
      <c r="A70" t="s">
        <v>113</v>
      </c>
      <c r="B70" s="20" t="s">
        <v>122</v>
      </c>
      <c r="C70" s="20" t="s">
        <v>128</v>
      </c>
      <c r="D70" s="20" t="s">
        <v>112</v>
      </c>
      <c r="E70" s="21" t="s">
        <v>370</v>
      </c>
      <c r="F70" s="22" t="str">
        <f>IF(OR(E70="",E70="!!!"),"",IF(NOT(ISNA(VLOOKUP(E70,E$1:E69,1,FALSE()))),"OLD",IF(AND(E70&lt;&gt;"",E70&lt;&gt;"!!!"),"NEW","")))</f>
        <v>OLD</v>
      </c>
      <c r="G70" s="23" t="s">
        <v>414</v>
      </c>
      <c r="H70" s="24" t="s">
        <v>104</v>
      </c>
      <c r="I70" s="25" t="str">
        <f>IF(OR(E70="",E70="!!!",F70="NEW"),"",INDEX(B$2:B69,-1+SUMPRODUCT(MAX(ROW(E$2:E69)*(E70=E$2:E69)))))</f>
        <v>SBJ</v>
      </c>
      <c r="J70" s="25">
        <f ca="1">IF(OR(E70="",E70="!!!",F70="NEW"),"",COUNTBLANK(OFFSET(A$1,,,SUMPRODUCT(MAX(ROW(E$2:E70)*(E70=E$2:E70)))))-COUNTBLANK(OFFSET(A$1,,,SUMPRODUCT(MAX(ROW(E$1:E69)*(E2=E$1:E69))))))</f>
        <v>0</v>
      </c>
      <c r="K70" s="25">
        <f ca="1">IF(OR(E70="",E70="!!!",F70="NEW"),"",INDEX(J$1:J69,SUMPRODUCT(MAX(ROW(E$1:E69)*(E70=E$1:E69)))))</f>
        <v>0</v>
      </c>
      <c r="L70" s="26"/>
    </row>
    <row r="71" spans="1:12" x14ac:dyDescent="0.3">
      <c r="A71" t="s">
        <v>161</v>
      </c>
      <c r="E71" s="21" t="str">
        <f t="shared" si="7"/>
        <v/>
      </c>
      <c r="F71" s="22" t="str">
        <f>IF(OR(E71="",E71="!!!"),"",IF(NOT(ISNA(VLOOKUP(E71,E$1:E70,1,FALSE()))),"OLD",IF(AND(E71&lt;&gt;"",E71&lt;&gt;"!!!"),"NEW","")))</f>
        <v/>
      </c>
      <c r="G71" s="23" t="str">
        <f>IF(OR(E71="",E71="!!!"),"",IF(OR(J71=0,AND(J71=1,K71=1),AND(J71=1,I71="SBJ"),AND(J71=1,I71=0)),"?IN_FOCUS",IF(J71&lt;=2,"?ACTIVATED",IF(J71&lt;&gt;"","?FAMILIAR",IF(F71="NEW",IF(ISNA(VLOOKUP(E71,#REF!,1,FALSE())),"?TYPE_IDENTIFIABLE","?REFERENTIAL"),"_")))))</f>
        <v/>
      </c>
      <c r="H71" s="24" t="str">
        <f t="shared" ca="1" si="6"/>
        <v/>
      </c>
      <c r="I71" s="25" t="str">
        <f>IF(OR(E71="",E71="!!!",F71="NEW"),"",INDEX(B$2:B70,-1+SUMPRODUCT(MAX(ROW(E$2:E70)*(E71=E$2:E70)))))</f>
        <v/>
      </c>
      <c r="J71" s="25" t="str">
        <f ca="1">IF(OR(E71="",E71="!!!",F71="NEW"),"",COUNTBLANK(OFFSET(A$1,,,SUMPRODUCT(MAX(ROW(E$2:E71)*(E71=E$2:E71)))))-COUNTBLANK(OFFSET(A$1,,,SUMPRODUCT(MAX(ROW(E$1:E70)*(E2=E$1:E70))))))</f>
        <v/>
      </c>
      <c r="K71" s="25" t="str">
        <f>IF(OR(E71="",E71="!!!",F71="NEW"),"",INDEX(J$1:J70,SUMPRODUCT(MAX(ROW(E$1:E70)*(E71=E$1:E70)))))</f>
        <v/>
      </c>
      <c r="L71" s="26"/>
    </row>
    <row r="72" spans="1:12" x14ac:dyDescent="0.3">
      <c r="A72" t="s">
        <v>162</v>
      </c>
      <c r="E72" s="21" t="str">
        <f t="shared" si="7"/>
        <v/>
      </c>
      <c r="F72" s="22" t="str">
        <f>IF(OR(E72="",E72="!!!"),"",IF(NOT(ISNA(VLOOKUP(E72,E$1:E71,1,FALSE()))),"OLD",IF(AND(E72&lt;&gt;"",E72&lt;&gt;"!!!"),"NEW","")))</f>
        <v/>
      </c>
      <c r="G72" s="23" t="str">
        <f>IF(OR(E72="",E72="!!!"),"",IF(OR(J72=0,AND(J72=1,K72=1),AND(J72=1,I72="SBJ"),AND(J72=1,I72=0)),"?IN_FOCUS",IF(J72&lt;=2,"?ACTIVATED",IF(J72&lt;&gt;"","?FAMILIAR",IF(F72="NEW",IF(ISNA(VLOOKUP(E72,#REF!,1,FALSE())),"?TYPE_IDENTIFIABLE","?REFERENTIAL"),"_")))))</f>
        <v/>
      </c>
      <c r="H72" s="24" t="str">
        <f t="shared" ca="1" si="6"/>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3" spans="1:12" x14ac:dyDescent="0.3">
      <c r="A73" t="s">
        <v>143</v>
      </c>
      <c r="E73" s="21" t="str">
        <f t="shared" si="7"/>
        <v/>
      </c>
      <c r="F73" s="22" t="str">
        <f>IF(OR(E73="",E73="!!!"),"",IF(NOT(ISNA(VLOOKUP(E73,E$1:E72,1,FALSE()))),"OLD",IF(AND(E73&lt;&gt;"",E73&lt;&gt;"!!!"),"NEW","")))</f>
        <v/>
      </c>
      <c r="G73" s="23" t="str">
        <f>IF(OR(E73="",E73="!!!"),"",IF(OR(J73=0,AND(J73=1,K73=1),AND(J73=1,I73="SBJ"),AND(J73=1,I73=0)),"?IN_FOCUS",IF(J73&lt;=2,"?ACTIVATED",IF(J73&lt;&gt;"","?FAMILIAR",IF(F73="NEW",IF(ISNA(VLOOKUP(E73,#REF!,1,FALSE())),"?TYPE_IDENTIFIABLE","?REFERENTIAL"),"_")))))</f>
        <v/>
      </c>
      <c r="H73" s="24" t="str">
        <f t="shared" ca="1" si="6"/>
        <v/>
      </c>
      <c r="I73" s="25" t="str">
        <f>IF(OR(E73="",E73="!!!",F73="NEW"),"",INDEX(B$2:B72,-1+SUMPRODUCT(MAX(ROW(E$2:E72)*(E73=E$2:E72)))))</f>
        <v/>
      </c>
      <c r="J73" s="25" t="str">
        <f ca="1">IF(OR(E73="",E73="!!!",F73="NEW"),"",COUNTBLANK(OFFSET(A$1,,,SUMPRODUCT(MAX(ROW(E$2:E73)*(E73=E$2:E73)))))-COUNTBLANK(OFFSET(A$1,,,SUMPRODUCT(MAX(ROW(E$1:E72)*(E2=E$1:E72))))))</f>
        <v/>
      </c>
      <c r="K73" s="25" t="str">
        <f>IF(OR(E73="",E73="!!!",F73="NEW"),"",INDEX(J$1:J72,SUMPRODUCT(MAX(ROW(E$1:E72)*(E73=E$1:E72)))))</f>
        <v/>
      </c>
      <c r="L73" s="26"/>
    </row>
    <row r="75" spans="1:12" x14ac:dyDescent="0.3">
      <c r="A75" t="s">
        <v>163</v>
      </c>
    </row>
    <row r="76" spans="1:12" x14ac:dyDescent="0.3">
      <c r="A76" t="s">
        <v>126</v>
      </c>
      <c r="E76" s="21" t="str">
        <f t="shared" ref="E76:E94" si="8">IF(D76="?OLD","!!!","")</f>
        <v/>
      </c>
      <c r="F76" s="22" t="str">
        <f>IF(OR(E76="",E76="!!!"),"",IF(NOT(ISNA(VLOOKUP(E76,E$1:E75,1,FALSE()))),"OLD",IF(AND(E76&lt;&gt;"",E76&lt;&gt;"!!!"),"NEW","")))</f>
        <v/>
      </c>
      <c r="G76" s="23" t="str">
        <f>IF(OR(E76="",E76="!!!"),"",IF(OR(J76=0,AND(J76=1,K76=1),AND(J76=1,I76="SBJ"),AND(J76=1,I76=0)),"?IN_FOCUS",IF(J76&lt;=2,"?ACTIVATED",IF(J76&lt;&gt;"","?FAMILIAR",IF(F76="NEW",IF(ISNA(VLOOKUP(E76,#REF!,1,FALSE())),"?TYPE_IDENTIFIABLE","?REFERENTIAL"),"_")))))</f>
        <v/>
      </c>
      <c r="H76" s="24" t="str">
        <f t="shared" ref="H76:H94" ca="1" si="9">IF(J76&lt;&gt;1,"",IF(I76="SBJ","CB","?"))</f>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row>
    <row r="77" spans="1:12" x14ac:dyDescent="0.3">
      <c r="A77" t="s">
        <v>113</v>
      </c>
      <c r="B77" s="20" t="s">
        <v>110</v>
      </c>
      <c r="C77" s="20" t="s">
        <v>128</v>
      </c>
      <c r="D77" s="20" t="s">
        <v>112</v>
      </c>
      <c r="E77" s="21" t="s">
        <v>370</v>
      </c>
      <c r="F77" s="22" t="str">
        <f>IF(OR(E77="",E77="!!!"),"",IF(NOT(ISNA(VLOOKUP(E77,E$1:E76,1,FALSE()))),"OLD",IF(AND(E77&lt;&gt;"",E77&lt;&gt;"!!!"),"NEW","")))</f>
        <v>OLD</v>
      </c>
      <c r="G77" s="23" t="s">
        <v>414</v>
      </c>
      <c r="H77" s="24" t="s">
        <v>104</v>
      </c>
      <c r="I77" s="25" t="str">
        <f>IF(OR(E77="",E77="!!!",F77="NEW"),"",INDEX(B$2:B76,-1+SUMPRODUCT(MAX(ROW(E$2:E76)*(E77=E$2:E76)))))</f>
        <v>other_3</v>
      </c>
      <c r="J77" s="25">
        <f ca="1">IF(OR(E77="",E77="!!!",F77="NEW"),"",COUNTBLANK(OFFSET(A$1,,,SUMPRODUCT(MAX(ROW(E$2:E77)*(E77=E$2:E77)))))-COUNTBLANK(OFFSET(A$1,,,SUMPRODUCT(MAX(ROW(E$1:E76)*(E2=E$1:E76))))))</f>
        <v>0</v>
      </c>
      <c r="K77" s="25">
        <f ca="1">IF(OR(E77="",E77="!!!",F77="NEW"),"",INDEX(J$1:J76,SUMPRODUCT(MAX(ROW(E$1:E76)*(E77=E$1:E76)))))</f>
        <v>0</v>
      </c>
      <c r="L77" s="26"/>
    </row>
    <row r="78" spans="1:12" x14ac:dyDescent="0.3">
      <c r="A78" t="s">
        <v>164</v>
      </c>
      <c r="E78" s="21" t="str">
        <f t="shared" si="8"/>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9"/>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165</v>
      </c>
      <c r="B79" s="20" t="s">
        <v>153</v>
      </c>
      <c r="E79" s="21" t="str">
        <f t="shared" si="8"/>
        <v/>
      </c>
      <c r="F79" s="22" t="str">
        <f>IF(OR(E79="",E79="!!!"),"",IF(NOT(ISNA(VLOOKUP(E79,E$1:E78,1,FALSE()))),"OLD",IF(AND(E79&lt;&gt;"",E79&lt;&gt;"!!!"),"NEW","")))</f>
        <v/>
      </c>
      <c r="G79" s="23" t="str">
        <f>IF(OR(E79="",E79="!!!"),"",IF(OR(J79=0,AND(J79=1,K79=1),AND(J79=1,I79="SBJ"),AND(J79=1,I79=0)),"?IN_FOCUS",IF(J79&lt;=2,"?ACTIVATED",IF(J79&lt;&gt;"","?FAMILIAR",IF(F79="NEW",IF(ISNA(VLOOKUP(E79,#REF!,1,FALSE())),"?TYPE_IDENTIFIABLE","?REFERENTIAL"),"_")))))</f>
        <v/>
      </c>
      <c r="H79" s="24" t="str">
        <f t="shared" ca="1" si="9"/>
        <v/>
      </c>
      <c r="I79" s="25" t="str">
        <f>IF(OR(E79="",E79="!!!",F79="NEW"),"",INDEX(B$2:B78,-1+SUMPRODUCT(MAX(ROW(E$2:E78)*(E79=E$2:E78)))))</f>
        <v/>
      </c>
      <c r="J79" s="25" t="str">
        <f ca="1">IF(OR(E79="",E79="!!!",F79="NEW"),"",COUNTBLANK(OFFSET(A$1,,,SUMPRODUCT(MAX(ROW(E$2:E79)*(E79=E$2:E79)))))-COUNTBLANK(OFFSET(A$1,,,SUMPRODUCT(MAX(ROW(E$1:E78)*(E2=E$1:E78))))))</f>
        <v/>
      </c>
      <c r="K79" s="25" t="str">
        <f>IF(OR(E79="",E79="!!!",F79="NEW"),"",INDEX(J$1:J78,SUMPRODUCT(MAX(ROW(E$1:E78)*(E79=E$1:E78)))))</f>
        <v/>
      </c>
      <c r="L79" s="26"/>
    </row>
    <row r="80" spans="1:12" x14ac:dyDescent="0.3">
      <c r="A80" t="s">
        <v>166</v>
      </c>
      <c r="E80" s="21" t="str">
        <f t="shared" si="8"/>
        <v/>
      </c>
      <c r="F80" s="22" t="str">
        <f>IF(OR(E80="",E80="!!!"),"",IF(NOT(ISNA(VLOOKUP(E80,E$1:E79,1,FALSE()))),"OLD",IF(AND(E80&lt;&gt;"",E80&lt;&gt;"!!!"),"NEW","")))</f>
        <v/>
      </c>
      <c r="G80" s="23" t="str">
        <f>IF(OR(E80="",E80="!!!"),"",IF(OR(J80=0,AND(J80=1,K80=1),AND(J80=1,I80="SBJ"),AND(J80=1,I80=0)),"?IN_FOCUS",IF(J80&lt;=2,"?ACTIVATED",IF(J80&lt;&gt;"","?FAMILIAR",IF(F80="NEW",IF(ISNA(VLOOKUP(E80,#REF!,1,FALSE())),"?TYPE_IDENTIFIABLE","?REFERENTIAL"),"_")))))</f>
        <v/>
      </c>
      <c r="H80" s="24" t="str">
        <f t="shared" ca="1" si="9"/>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row>
    <row r="81" spans="1:12" x14ac:dyDescent="0.3">
      <c r="A81" t="s">
        <v>167</v>
      </c>
      <c r="E81" s="21" t="str">
        <f t="shared" si="8"/>
        <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ca="1" si="9"/>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155</v>
      </c>
      <c r="E82" s="21" t="str">
        <f t="shared" si="8"/>
        <v/>
      </c>
      <c r="F82" s="22" t="str">
        <f>IF(OR(E82="",E82="!!!"),"",IF(NOT(ISNA(VLOOKUP(E82,E$1:E81,1,FALSE()))),"OLD",IF(AND(E82&lt;&gt;"",E82&lt;&gt;"!!!"),"NEW","")))</f>
        <v/>
      </c>
      <c r="G82" s="23" t="str">
        <f>IF(OR(E82="",E82="!!!"),"",IF(OR(J82=0,AND(J82=1,K82=1),AND(J82=1,I82="SBJ"),AND(J82=1,I82=0)),"?IN_FOCUS",IF(J82&lt;=2,"?ACTIVATED",IF(J82&lt;&gt;"","?FAMILIAR",IF(F82="NEW",IF(ISNA(VLOOKUP(E82,#REF!,1,FALSE())),"?TYPE_IDENTIFIABLE","?REFERENTIAL"),"_")))))</f>
        <v/>
      </c>
      <c r="H82" s="24" t="str">
        <f t="shared" ca="1" si="9"/>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168</v>
      </c>
      <c r="E83" s="21" t="str">
        <f t="shared" si="8"/>
        <v/>
      </c>
      <c r="F83" s="22" t="str">
        <f>IF(OR(E83="",E83="!!!"),"",IF(NOT(ISNA(VLOOKUP(E83,E$1:E82,1,FALSE()))),"OLD",IF(AND(E83&lt;&gt;"",E83&lt;&gt;"!!!"),"NEW","")))</f>
        <v/>
      </c>
      <c r="G83" s="23" t="str">
        <f>IF(OR(E83="",E83="!!!"),"",IF(OR(J83=0,AND(J83=1,K83=1),AND(J83=1,I83="SBJ"),AND(J83=1,I83=0)),"?IN_FOCUS",IF(J83&lt;=2,"?ACTIVATED",IF(J83&lt;&gt;"","?FAMILIAR",IF(F83="NEW",IF(ISNA(VLOOKUP(E83,#REF!,1,FALSE())),"?TYPE_IDENTIFIABLE","?REFERENTIAL"),"_")))))</f>
        <v/>
      </c>
      <c r="H83" s="24" t="str">
        <f t="shared" ca="1" si="9"/>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169</v>
      </c>
      <c r="B84" s="20" t="s">
        <v>152</v>
      </c>
      <c r="C84" s="20" t="s">
        <v>170</v>
      </c>
      <c r="D84" s="20" t="s">
        <v>112</v>
      </c>
      <c r="E84" s="21" t="s">
        <v>370</v>
      </c>
      <c r="F84" s="22" t="str">
        <f>IF(OR(E84="",E84="!!!"),"",IF(NOT(ISNA(VLOOKUP(E84,E$1:E83,1,FALSE()))),"OLD",IF(AND(E84&lt;&gt;"",E84&lt;&gt;"!!!"),"NEW","")))</f>
        <v>OLD</v>
      </c>
      <c r="G84" s="23" t="s">
        <v>414</v>
      </c>
      <c r="H84" s="24" t="str">
        <f t="shared" ca="1" si="9"/>
        <v/>
      </c>
      <c r="I84" s="25" t="str">
        <f>IF(OR(E84="",E84="!!!",F84="NEW"),"",INDEX(B$2:B83,-1+SUMPRODUCT(MAX(ROW(E$2:E83)*(E84=E$2:E83)))))</f>
        <v>SBJ</v>
      </c>
      <c r="J84" s="25">
        <f ca="1">IF(OR(E84="",E84="!!!",F84="NEW"),"",COUNTBLANK(OFFSET(A$1,,,SUMPRODUCT(MAX(ROW(E$2:E84)*(E84=E$2:E84)))))-COUNTBLANK(OFFSET(A$1,,,SUMPRODUCT(MAX(ROW(E$1:E83)*(E2=E$1:E83))))))</f>
        <v>0</v>
      </c>
      <c r="K84" s="25">
        <f ca="1">IF(OR(E84="",E84="!!!",F84="NEW"),"",INDEX(J$1:J83,SUMPRODUCT(MAX(ROW(E$1:E83)*(E84=E$1:E83)))))</f>
        <v>0</v>
      </c>
      <c r="L84" s="26"/>
    </row>
    <row r="85" spans="1:12" x14ac:dyDescent="0.3">
      <c r="A85" t="s">
        <v>171</v>
      </c>
      <c r="E85" s="21" t="str">
        <f t="shared" si="8"/>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9"/>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172</v>
      </c>
      <c r="E86" s="21" t="str">
        <f t="shared" si="8"/>
        <v/>
      </c>
      <c r="F86" s="22" t="str">
        <f>IF(OR(E86="",E86="!!!"),"",IF(NOT(ISNA(VLOOKUP(E86,E$1:E85,1,FALSE()))),"OLD",IF(AND(E86&lt;&gt;"",E86&lt;&gt;"!!!"),"NEW","")))</f>
        <v/>
      </c>
      <c r="G86" s="23" t="str">
        <f>IF(OR(E86="",E86="!!!"),"",IF(OR(J86=0,AND(J86=1,K86=1),AND(J86=1,I86="SBJ"),AND(J86=1,I86=0)),"?IN_FOCUS",IF(J86&lt;=2,"?ACTIVATED",IF(J86&lt;&gt;"","?FAMILIAR",IF(F86="NEW",IF(ISNA(VLOOKUP(E86,#REF!,1,FALSE())),"?TYPE_IDENTIFIABLE","?REFERENTIAL"),"_")))))</f>
        <v/>
      </c>
      <c r="H86" s="24" t="str">
        <f t="shared" ca="1" si="9"/>
        <v/>
      </c>
      <c r="I86" s="25" t="str">
        <f>IF(OR(E86="",E86="!!!",F86="NEW"),"",INDEX(B$2:B85,-1+SUMPRODUCT(MAX(ROW(E$2:E85)*(E86=E$2:E85)))))</f>
        <v/>
      </c>
      <c r="J86" s="25" t="str">
        <f ca="1">IF(OR(E86="",E86="!!!",F86="NEW"),"",COUNTBLANK(OFFSET(A$1,,,SUMPRODUCT(MAX(ROW(E$2:E86)*(E86=E$2:E86)))))-COUNTBLANK(OFFSET(A$1,,,SUMPRODUCT(MAX(ROW(E$1:E85)*(E2=E$1:E85))))))</f>
        <v/>
      </c>
      <c r="K86" s="25" t="str">
        <f>IF(OR(E86="",E86="!!!",F86="NEW"),"",INDEX(J$1:J85,SUMPRODUCT(MAX(ROW(E$1:E85)*(E86=E$1:E85)))))</f>
        <v/>
      </c>
      <c r="L86" s="26"/>
    </row>
    <row r="87" spans="1:12" x14ac:dyDescent="0.3">
      <c r="A87" t="s">
        <v>173</v>
      </c>
      <c r="B87" s="20" t="s">
        <v>118</v>
      </c>
      <c r="C87" s="20" t="s">
        <v>174</v>
      </c>
      <c r="E87" s="21" t="s">
        <v>378</v>
      </c>
      <c r="F87" s="22" t="s">
        <v>375</v>
      </c>
      <c r="G87" s="23" t="s">
        <v>416</v>
      </c>
      <c r="H87" s="24" t="str">
        <f t="shared" ca="1" si="9"/>
        <v/>
      </c>
      <c r="I87" s="25" t="e">
        <f>IF(OR(E87="",E87="!!!",F87="NEW"),"",INDEX(B$2:B86,-1+SUMPRODUCT(MAX(ROW(E$2:E86)*(E87=E$2:E86)))))</f>
        <v>#VALUE!</v>
      </c>
      <c r="J87" s="25">
        <f ca="1">IF(OR(E87="",E87="!!!",F87="NEW"),"",COUNTBLANK(OFFSET(A$1,,,SUMPRODUCT(MAX(ROW(E$2:E87)*(E87=E$2:E87)))))-COUNTBLANK(OFFSET(A$1,,,SUMPRODUCT(MAX(ROW(E$1:E86)*(E2=E$1:E86))))))</f>
        <v>0</v>
      </c>
      <c r="K87" s="25" t="e">
        <f>IF(OR(E87="",E87="!!!",F87="NEW"),"",INDEX(J$1:J86,SUMPRODUCT(MAX(ROW(E$1:E86)*(E87=E$1:E86)))))</f>
        <v>#VALUE!</v>
      </c>
      <c r="L87" s="26" t="s">
        <v>376</v>
      </c>
    </row>
    <row r="88" spans="1:12" x14ac:dyDescent="0.3">
      <c r="A88" t="s">
        <v>175</v>
      </c>
      <c r="E88" s="21" t="str">
        <f t="shared" si="8"/>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9"/>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176</v>
      </c>
      <c r="E89" s="21" t="str">
        <f t="shared" si="8"/>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9"/>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177</v>
      </c>
      <c r="E90" s="21" t="str">
        <f t="shared" si="8"/>
        <v/>
      </c>
      <c r="F90" s="22" t="str">
        <f>IF(OR(E90="",E90="!!!"),"",IF(NOT(ISNA(VLOOKUP(E90,E$1:E89,1,FALSE()))),"OLD",IF(AND(E90&lt;&gt;"",E90&lt;&gt;"!!!"),"NEW","")))</f>
        <v/>
      </c>
      <c r="G90" s="23" t="str">
        <f>IF(OR(E90="",E90="!!!"),"",IF(OR(J90=0,AND(J90=1,K90=1),AND(J90=1,I90="SBJ"),AND(J90=1,I90=0)),"?IN_FOCUS",IF(J90&lt;=2,"?ACTIVATED",IF(J90&lt;&gt;"","?FAMILIAR",IF(F90="NEW",IF(ISNA(VLOOKUP(E90,#REF!,1,FALSE())),"?TYPE_IDENTIFIABLE","?REFERENTIAL"),"_")))))</f>
        <v/>
      </c>
      <c r="H90" s="24" t="str">
        <f t="shared" ca="1" si="9"/>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178</v>
      </c>
      <c r="E91" s="21" t="str">
        <f t="shared" si="8"/>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9"/>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68</v>
      </c>
      <c r="E92" s="21" t="str">
        <f t="shared" si="8"/>
        <v/>
      </c>
      <c r="F92" s="22" t="str">
        <f>IF(OR(E92="",E92="!!!"),"",IF(NOT(ISNA(VLOOKUP(E92,E$1:E91,1,FALSE()))),"OLD",IF(AND(E92&lt;&gt;"",E92&lt;&gt;"!!!"),"NEW","")))</f>
        <v/>
      </c>
      <c r="G92" s="23" t="str">
        <f>IF(OR(E92="",E92="!!!"),"",IF(OR(J92=0,AND(J92=1,K92=1),AND(J92=1,I92="SBJ"),AND(J92=1,I92=0)),"?IN_FOCUS",IF(J92&lt;=2,"?ACTIVATED",IF(J92&lt;&gt;"","?FAMILIAR",IF(F92="NEW",IF(ISNA(VLOOKUP(E92,#REF!,1,FALSE())),"?TYPE_IDENTIFIABLE","?REFERENTIAL"),"_")))))</f>
        <v/>
      </c>
      <c r="H92" s="24" t="str">
        <f t="shared" ca="1" si="9"/>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3" spans="1:12" x14ac:dyDescent="0.3">
      <c r="A93" t="s">
        <v>179</v>
      </c>
      <c r="E93" s="21" t="str">
        <f t="shared" si="8"/>
        <v/>
      </c>
      <c r="F93" s="22" t="str">
        <f>IF(OR(E93="",E93="!!!"),"",IF(NOT(ISNA(VLOOKUP(E93,E$1:E92,1,FALSE()))),"OLD",IF(AND(E93&lt;&gt;"",E93&lt;&gt;"!!!"),"NEW","")))</f>
        <v/>
      </c>
      <c r="G93" s="23" t="str">
        <f>IF(OR(E93="",E93="!!!"),"",IF(OR(J93=0,AND(J93=1,K93=1),AND(J93=1,I93="SBJ"),AND(J93=1,I93=0)),"?IN_FOCUS",IF(J93&lt;=2,"?ACTIVATED",IF(J93&lt;&gt;"","?FAMILIAR",IF(F93="NEW",IF(ISNA(VLOOKUP(E93,#REF!,1,FALSE())),"?TYPE_IDENTIFIABLE","?REFERENTIAL"),"_")))))</f>
        <v/>
      </c>
      <c r="H93" s="24" t="str">
        <f t="shared" ca="1" si="9"/>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143</v>
      </c>
      <c r="E94" s="21" t="str">
        <f t="shared" si="8"/>
        <v/>
      </c>
      <c r="F94" s="22" t="str">
        <f>IF(OR(E94="",E94="!!!"),"",IF(NOT(ISNA(VLOOKUP(E94,E$1:E93,1,FALSE()))),"OLD",IF(AND(E94&lt;&gt;"",E94&lt;&gt;"!!!"),"NEW","")))</f>
        <v/>
      </c>
      <c r="G94" s="23" t="str">
        <f>IF(OR(E94="",E94="!!!"),"",IF(OR(J94=0,AND(J94=1,K94=1),AND(J94=1,I94="SBJ"),AND(J94=1,I94=0)),"?IN_FOCUS",IF(J94&lt;=2,"?ACTIVATED",IF(J94&lt;&gt;"","?FAMILIAR",IF(F94="NEW",IF(ISNA(VLOOKUP(E94,#REF!,1,FALSE())),"?TYPE_IDENTIFIABLE","?REFERENTIAL"),"_")))))</f>
        <v/>
      </c>
      <c r="H94" s="24" t="str">
        <f t="shared" ca="1" si="9"/>
        <v/>
      </c>
      <c r="I94" s="25" t="str">
        <f>IF(OR(E94="",E94="!!!",F94="NEW"),"",INDEX(B$2:B93,-1+SUMPRODUCT(MAX(ROW(E$2:E93)*(E94=E$2:E93)))))</f>
        <v/>
      </c>
      <c r="J94" s="25" t="str">
        <f ca="1">IF(OR(E94="",E94="!!!",F94="NEW"),"",COUNTBLANK(OFFSET(A$1,,,SUMPRODUCT(MAX(ROW(E$2:E94)*(E94=E$2:E94)))))-COUNTBLANK(OFFSET(A$1,,,SUMPRODUCT(MAX(ROW(E$1:E93)*(E2=E$1:E93))))))</f>
        <v/>
      </c>
      <c r="K94" s="25" t="str">
        <f>IF(OR(E94="",E94="!!!",F94="NEW"),"",INDEX(J$1:J93,SUMPRODUCT(MAX(ROW(E$1:E93)*(E94=E$1:E93)))))</f>
        <v/>
      </c>
      <c r="L94" s="26"/>
    </row>
    <row r="96" spans="1:12" x14ac:dyDescent="0.3">
      <c r="A96" t="s">
        <v>180</v>
      </c>
      <c r="E96" s="21" t="str">
        <f>IF(D96="?OLD","!!!","")</f>
        <v/>
      </c>
      <c r="F96" s="22" t="str">
        <f>IF(OR(E96="",E96="!!!"),"",IF(NOT(ISNA(VLOOKUP(E96,E$1:E95,1,FALSE()))),"OLD",IF(AND(E96&lt;&gt;"",E96&lt;&gt;"!!!"),"NEW","")))</f>
        <v/>
      </c>
      <c r="G96" s="23" t="str">
        <f>IF(OR(E96="",E96="!!!"),"",IF(OR(J96=0,AND(J96=1,K96=1),AND(J96=1,I96="SBJ"),AND(J96=1,I96=0)),"?IN_FOCUS",IF(J96&lt;=2,"?ACTIVATED",IF(J96&lt;&gt;"","?FAMILIAR",IF(F96="NEW",IF(ISNA(VLOOKUP(E96,#REF!,1,FALSE())),"?TYPE_IDENTIFIABLE","?REFERENTIAL"),"_")))))</f>
        <v/>
      </c>
      <c r="H96" s="24" t="str">
        <f ca="1">IF(J96&lt;&gt;1,"",IF(I96="SBJ","CB","?"))</f>
        <v/>
      </c>
      <c r="I96" s="25" t="str">
        <f>IF(OR(E96="",E96="!!!",F96="NEW"),"",INDEX(B$2:B95,-1+SUMPRODUCT(MAX(ROW(E$2:E95)*(E96=E$2:E95)))))</f>
        <v/>
      </c>
      <c r="J96" s="25" t="str">
        <f ca="1">IF(OR(E96="",E96="!!!",F96="NEW"),"",COUNTBLANK(OFFSET(A$1,,,SUMPRODUCT(MAX(ROW(E$2:E96)*(E96=E$2:E96)))))-COUNTBLANK(OFFSET(A$1,,,SUMPRODUCT(MAX(ROW(E$1:E95)*(E2=E$1:E95))))))</f>
        <v/>
      </c>
      <c r="K96" s="25" t="str">
        <f>IF(OR(E96="",E96="!!!",F96="NEW"),"",INDEX(J$1:J95,SUMPRODUCT(MAX(ROW(E$1:E95)*(E96=E$1:E95)))))</f>
        <v/>
      </c>
      <c r="L96" s="26"/>
    </row>
    <row r="97" spans="1:12" x14ac:dyDescent="0.3">
      <c r="A97" t="s">
        <v>181</v>
      </c>
    </row>
    <row r="98" spans="1:12" x14ac:dyDescent="0.3">
      <c r="A98" t="s">
        <v>182</v>
      </c>
      <c r="E98" s="21" t="str">
        <f t="shared" ref="E98:E113" si="10">IF(D98="?OLD","!!!","")</f>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ref="H98:H113" ca="1" si="11">IF(J98&lt;&gt;1,"",IF(I98="SBJ","CB","?"))</f>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183</v>
      </c>
      <c r="B99" s="20" t="s">
        <v>118</v>
      </c>
      <c r="C99" s="20" t="s">
        <v>184</v>
      </c>
      <c r="D99" s="20" t="s">
        <v>112</v>
      </c>
      <c r="E99" s="21"/>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11"/>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t="s">
        <v>377</v>
      </c>
    </row>
    <row r="100" spans="1:12" x14ac:dyDescent="0.3">
      <c r="A100" t="s">
        <v>185</v>
      </c>
      <c r="B100" s="20" t="s">
        <v>134</v>
      </c>
      <c r="C100" s="20" t="s">
        <v>186</v>
      </c>
      <c r="D100" s="20" t="s">
        <v>112</v>
      </c>
      <c r="E100" s="21" t="s">
        <v>378</v>
      </c>
      <c r="F100" s="22" t="str">
        <f>IF(OR(E100="",E100="!!!"),"",IF(NOT(ISNA(VLOOKUP(E100,E$1:E99,1,FALSE()))),"OLD",IF(AND(E100&lt;&gt;"",E100&lt;&gt;"!!!"),"NEW","")))</f>
        <v>OLD</v>
      </c>
      <c r="G100" s="23" t="s">
        <v>415</v>
      </c>
      <c r="H100" s="24" t="str">
        <f t="shared" ca="1" si="11"/>
        <v/>
      </c>
      <c r="I100" s="25" t="str">
        <f>IF(OR(E100="",E100="!!!",F100="NEW"),"",INDEX(B$2:B99,-1+SUMPRODUCT(MAX(ROW(E$2:E99)*(E100=E$2:E99)))))</f>
        <v>other_2</v>
      </c>
      <c r="J100" s="25">
        <f ca="1">IF(OR(E100="",E100="!!!",F100="NEW"),"",COUNTBLANK(OFFSET(A$1,,,SUMPRODUCT(MAX(ROW(E$2:E100)*(E100=E$2:E100)))))-COUNTBLANK(OFFSET(A$1,,,SUMPRODUCT(MAX(ROW(E$1:E99)*(E2=E$1:E99))))))</f>
        <v>0</v>
      </c>
      <c r="K100" s="25">
        <f ca="1">IF(OR(E100="",E100="!!!",F100="NEW"),"",INDEX(J$1:J99,SUMPRODUCT(MAX(ROW(E$1:E99)*(E100=E$1:E99)))))</f>
        <v>0</v>
      </c>
      <c r="L100" s="26"/>
    </row>
    <row r="101" spans="1:12" x14ac:dyDescent="0.3">
      <c r="A101" t="s">
        <v>187</v>
      </c>
      <c r="E101" s="21" t="str">
        <f t="shared" si="10"/>
        <v/>
      </c>
      <c r="F101" s="22" t="str">
        <f>IF(OR(E101="",E101="!!!"),"",IF(NOT(ISNA(VLOOKUP(E101,E$1:E100,1,FALSE()))),"OLD",IF(AND(E101&lt;&gt;"",E101&lt;&gt;"!!!"),"NEW","")))</f>
        <v/>
      </c>
      <c r="G101" s="23" t="str">
        <f>IF(OR(E101="",E101="!!!"),"",IF(OR(J101=0,AND(J101=1,K101=1),AND(J101=1,I101="SBJ"),AND(J101=1,I101=0)),"?IN_FOCUS",IF(J101&lt;=2,"?ACTIVATED",IF(J101&lt;&gt;"","?FAMILIAR",IF(F101="NEW",IF(ISNA(VLOOKUP(E101,#REF!,1,FALSE())),"?TYPE_IDENTIFIABLE","?REFERENTIAL"),"_")))))</f>
        <v/>
      </c>
      <c r="H101" s="24" t="str">
        <f t="shared" ca="1" si="11"/>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2" spans="1:12" x14ac:dyDescent="0.3">
      <c r="A102" t="s">
        <v>188</v>
      </c>
      <c r="B102" s="20" t="s">
        <v>110</v>
      </c>
      <c r="C102" s="20" t="s">
        <v>111</v>
      </c>
      <c r="D102" s="20" t="s">
        <v>112</v>
      </c>
      <c r="E102" s="21" t="s">
        <v>384</v>
      </c>
      <c r="F102" s="22" t="str">
        <f>IF(OR(E102="",E102="!!!"),"",IF(NOT(ISNA(VLOOKUP(E102,E$1:E101,1,FALSE()))),"OLD",IF(AND(E102&lt;&gt;"",E102&lt;&gt;"!!!"),"NEW","")))</f>
        <v>NEW</v>
      </c>
      <c r="G102" s="23" t="s">
        <v>416</v>
      </c>
      <c r="H102" s="24" t="str">
        <f t="shared" ca="1" si="11"/>
        <v/>
      </c>
      <c r="I102" s="25" t="str">
        <f>IF(OR(E102="",E102="!!!",F102="NEW"),"",INDEX(B$2:B101,-1+SUMPRODUCT(MAX(ROW(E$2:E101)*(E102=E$2:E101)))))</f>
        <v/>
      </c>
      <c r="J102" s="25" t="str">
        <f ca="1">IF(OR(E102="",E102="!!!",F102="NEW"),"",COUNTBLANK(OFFSET(A$1,,,SUMPRODUCT(MAX(ROW(E$2:E102)*(E102=E$2:E102)))))-COUNTBLANK(OFFSET(A$1,,,SUMPRODUCT(MAX(ROW(E$1:E101)*(E2=E$1:E101))))))</f>
        <v/>
      </c>
      <c r="K102" s="25" t="str">
        <f>IF(OR(E102="",E102="!!!",F102="NEW"),"",INDEX(J$1:J101,SUMPRODUCT(MAX(ROW(E$1:E101)*(E102=E$1:E101)))))</f>
        <v/>
      </c>
      <c r="L102" s="26"/>
    </row>
    <row r="103" spans="1:12" x14ac:dyDescent="0.3">
      <c r="A103" t="s">
        <v>189</v>
      </c>
      <c r="E103" s="21" t="str">
        <f t="shared" si="10"/>
        <v/>
      </c>
      <c r="F103" s="22" t="str">
        <f>IF(OR(E103="",E103="!!!"),"",IF(NOT(ISNA(VLOOKUP(E103,E$1:E102,1,FALSE()))),"OLD",IF(AND(E103&lt;&gt;"",E103&lt;&gt;"!!!"),"NEW","")))</f>
        <v/>
      </c>
      <c r="G103" s="23" t="str">
        <f>IF(OR(E103="",E103="!!!"),"",IF(OR(J103=0,AND(J103=1,K103=1),AND(J103=1,I103="SBJ"),AND(J103=1,I103=0)),"?IN_FOCUS",IF(J103&lt;=2,"?ACTIVATED",IF(J103&lt;&gt;"","?FAMILIAR",IF(F103="NEW",IF(ISNA(VLOOKUP(E103,#REF!,1,FALSE())),"?TYPE_IDENTIFIABLE","?REFERENTIAL"),"_")))))</f>
        <v/>
      </c>
      <c r="H103" s="24" t="str">
        <f t="shared" ca="1" si="11"/>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row>
    <row r="104" spans="1:12" x14ac:dyDescent="0.3">
      <c r="A104" t="s">
        <v>129</v>
      </c>
      <c r="B104" s="20" t="s">
        <v>118</v>
      </c>
      <c r="C104" s="20" t="s">
        <v>111</v>
      </c>
      <c r="D104" s="20" t="s">
        <v>112</v>
      </c>
      <c r="E104" s="21" t="s">
        <v>373</v>
      </c>
      <c r="F104" s="22" t="str">
        <f>IF(OR(E104="",E104="!!!"),"",IF(NOT(ISNA(VLOOKUP(E104,E$1:E103,1,FALSE()))),"OLD",IF(AND(E104&lt;&gt;"",E104&lt;&gt;"!!!"),"NEW","")))</f>
        <v>OLD</v>
      </c>
      <c r="G104" s="23" t="s">
        <v>415</v>
      </c>
      <c r="H104" s="24" t="str">
        <f t="shared" ca="1" si="11"/>
        <v/>
      </c>
      <c r="I104" s="25" t="str">
        <f>IF(OR(E104="",E104="!!!",F104="NEW"),"",INDEX(B$2:B103,-1+SUMPRODUCT(MAX(ROW(E$2:E103)*(E104=E$2:E103)))))</f>
        <v>other_3</v>
      </c>
      <c r="J104" s="25">
        <f ca="1">IF(OR(E104="",E104="!!!",F104="NEW"),"",COUNTBLANK(OFFSET(A$1,,,SUMPRODUCT(MAX(ROW(E$2:E104)*(E104=E$2:E104)))))-COUNTBLANK(OFFSET(A$1,,,SUMPRODUCT(MAX(ROW(E$1:E103)*(E2=E$1:E103))))))</f>
        <v>0</v>
      </c>
      <c r="K104" s="25">
        <f ca="1">IF(OR(E104="",E104="!!!",F104="NEW"),"",INDEX(J$1:J103,SUMPRODUCT(MAX(ROW(E$1:E103)*(E104=E$1:E103)))))</f>
        <v>0</v>
      </c>
      <c r="L104" s="26"/>
    </row>
    <row r="105" spans="1:12" x14ac:dyDescent="0.3">
      <c r="A105" t="s">
        <v>189</v>
      </c>
      <c r="E105" s="21" t="str">
        <f t="shared" si="10"/>
        <v/>
      </c>
      <c r="F105" s="22" t="str">
        <f>IF(OR(E105="",E105="!!!"),"",IF(NOT(ISNA(VLOOKUP(E105,E$1:E104,1,FALSE()))),"OLD",IF(AND(E105&lt;&gt;"",E105&lt;&gt;"!!!"),"NEW","")))</f>
        <v/>
      </c>
      <c r="G105" s="23" t="str">
        <f>IF(OR(E105="",E105="!!!"),"",IF(OR(J105=0,AND(J105=1,K105=1),AND(J105=1,I105="SBJ"),AND(J105=1,I105=0)),"?IN_FOCUS",IF(J105&lt;=2,"?ACTIVATED",IF(J105&lt;&gt;"","?FAMILIAR",IF(F105="NEW",IF(ISNA(VLOOKUP(E105,#REF!,1,FALSE())),"?TYPE_IDENTIFIABLE","?REFERENTIAL"),"_")))))</f>
        <v/>
      </c>
      <c r="H105" s="24" t="str">
        <f t="shared" ca="1" si="11"/>
        <v/>
      </c>
      <c r="I105" s="25" t="str">
        <f>IF(OR(E105="",E105="!!!",F105="NEW"),"",INDEX(B$2:B104,-1+SUMPRODUCT(MAX(ROW(E$2:E104)*(E105=E$2:E104)))))</f>
        <v/>
      </c>
      <c r="J105" s="25" t="str">
        <f ca="1">IF(OR(E105="",E105="!!!",F105="NEW"),"",COUNTBLANK(OFFSET(A$1,,,SUMPRODUCT(MAX(ROW(E$2:E105)*(E105=E$2:E105)))))-COUNTBLANK(OFFSET(A$1,,,SUMPRODUCT(MAX(ROW(E$1:E104)*(E2=E$1:E104))))))</f>
        <v/>
      </c>
      <c r="K105" s="25" t="str">
        <f>IF(OR(E105="",E105="!!!",F105="NEW"),"",INDEX(J$1:J104,SUMPRODUCT(MAX(ROW(E$1:E104)*(E105=E$1:E104)))))</f>
        <v/>
      </c>
      <c r="L105" s="26"/>
    </row>
    <row r="106" spans="1:12" x14ac:dyDescent="0.3">
      <c r="A106" t="s">
        <v>190</v>
      </c>
      <c r="B106" s="20" t="s">
        <v>134</v>
      </c>
      <c r="C106" s="20" t="s">
        <v>191</v>
      </c>
      <c r="D106" s="20" t="s">
        <v>112</v>
      </c>
      <c r="E106" s="21" t="s">
        <v>386</v>
      </c>
      <c r="F106" s="22" t="s">
        <v>385</v>
      </c>
      <c r="G106" s="23"/>
      <c r="H106" s="24" t="str">
        <f t="shared" ca="1" si="11"/>
        <v/>
      </c>
      <c r="I106" s="25" t="e">
        <f>IF(OR(E106="",E106="!!!",F106="NEW"),"",INDEX(B$2:B105,-1+SUMPRODUCT(MAX(ROW(E$2:E105)*(E106=E$2:E105)))))</f>
        <v>#VALUE!</v>
      </c>
      <c r="J106" s="25">
        <f ca="1">IF(OR(E106="",E106="!!!",F106="NEW"),"",COUNTBLANK(OFFSET(A$1,,,SUMPRODUCT(MAX(ROW(E$2:E106)*(E106=E$2:E106)))))-COUNTBLANK(OFFSET(A$1,,,SUMPRODUCT(MAX(ROW(E$1:E105)*(E2=E$1:E105))))))</f>
        <v>0</v>
      </c>
      <c r="K106" s="25" t="e">
        <f>IF(OR(E106="",E106="!!!",F106="NEW"),"",INDEX(J$1:J105,SUMPRODUCT(MAX(ROW(E$1:E105)*(E106=E$1:E105)))))</f>
        <v>#VALUE!</v>
      </c>
      <c r="L106" s="26"/>
    </row>
    <row r="107" spans="1:12" x14ac:dyDescent="0.3">
      <c r="A107" t="s">
        <v>192</v>
      </c>
      <c r="E107" s="21" t="str">
        <f t="shared" si="10"/>
        <v/>
      </c>
      <c r="F107" s="22" t="str">
        <f>IF(OR(E107="",E107="!!!"),"",IF(NOT(ISNA(VLOOKUP(E107,E$1:E106,1,FALSE()))),"OLD",IF(AND(E107&lt;&gt;"",E107&lt;&gt;"!!!"),"NEW","")))</f>
        <v/>
      </c>
      <c r="G107" s="23" t="str">
        <f>IF(OR(E107="",E107="!!!"),"",IF(OR(J107=0,AND(J107=1,K107=1),AND(J107=1,I107="SBJ"),AND(J107=1,I107=0)),"?IN_FOCUS",IF(J107&lt;=2,"?ACTIVATED",IF(J107&lt;&gt;"","?FAMILIAR",IF(F107="NEW",IF(ISNA(VLOOKUP(E107,#REF!,1,FALSE())),"?TYPE_IDENTIFIABLE","?REFERENTIAL"),"_")))))</f>
        <v/>
      </c>
      <c r="H107" s="24" t="str">
        <f t="shared" ca="1" si="11"/>
        <v/>
      </c>
      <c r="I107" s="25" t="str">
        <f>IF(OR(E107="",E107="!!!",F107="NEW"),"",INDEX(B$2:B106,-1+SUMPRODUCT(MAX(ROW(E$2:E106)*(E107=E$2:E106)))))</f>
        <v/>
      </c>
      <c r="J107" s="25" t="str">
        <f ca="1">IF(OR(E107="",E107="!!!",F107="NEW"),"",COUNTBLANK(OFFSET(A$1,,,SUMPRODUCT(MAX(ROW(E$2:E107)*(E107=E$2:E107)))))-COUNTBLANK(OFFSET(A$1,,,SUMPRODUCT(MAX(ROW(E$1:E106)*(E2=E$1:E106))))))</f>
        <v/>
      </c>
      <c r="K107" s="25" t="str">
        <f>IF(OR(E107="",E107="!!!",F107="NEW"),"",INDEX(J$1:J106,SUMPRODUCT(MAX(ROW(E$1:E106)*(E107=E$1:E106)))))</f>
        <v/>
      </c>
      <c r="L107" s="26"/>
    </row>
    <row r="108" spans="1:12" x14ac:dyDescent="0.3">
      <c r="A108" t="s">
        <v>155</v>
      </c>
      <c r="E108" s="21" t="str">
        <f t="shared" si="10"/>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ca="1" si="11"/>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193</v>
      </c>
      <c r="E109" s="21" t="str">
        <f t="shared" si="10"/>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11"/>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194</v>
      </c>
      <c r="B110" s="20" t="s">
        <v>195</v>
      </c>
      <c r="C110" s="20" t="s">
        <v>196</v>
      </c>
      <c r="E110" s="21" t="str">
        <f t="shared" si="10"/>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11"/>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197</v>
      </c>
      <c r="E111" s="21" t="str">
        <f t="shared" si="10"/>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11"/>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2" spans="1:12" x14ac:dyDescent="0.3">
      <c r="A112" t="s">
        <v>198</v>
      </c>
      <c r="E112" s="21" t="s">
        <v>386</v>
      </c>
      <c r="F112" s="22" t="str">
        <f>IF(OR(E112="",E112="!!!"),"",IF(NOT(ISNA(VLOOKUP(E112,E$1:E111,1,FALSE()))),"OLD",IF(AND(E112&lt;&gt;"",E112&lt;&gt;"!!!"),"NEW","")))</f>
        <v>OLD</v>
      </c>
      <c r="G112" s="23" t="s">
        <v>416</v>
      </c>
      <c r="H112" s="24" t="str">
        <f t="shared" ca="1" si="11"/>
        <v/>
      </c>
      <c r="I112" s="25" t="str">
        <f>IF(OR(E112="",E112="!!!",F112="NEW"),"",INDEX(B$2:B111,-1+SUMPRODUCT(MAX(ROW(E$2:E111)*(E112=E$2:E111)))))</f>
        <v>other</v>
      </c>
      <c r="J112" s="25">
        <f ca="1">IF(OR(E112="",E112="!!!",F112="NEW"),"",COUNTBLANK(OFFSET(A$1,,,SUMPRODUCT(MAX(ROW(E$2:E112)*(E112=E$2:E112)))))-COUNTBLANK(OFFSET(A$1,,,SUMPRODUCT(MAX(ROW(E$1:E111)*(E2=E$1:E111))))))</f>
        <v>0</v>
      </c>
      <c r="K112" s="25">
        <f ca="1">IF(OR(E112="",E112="!!!",F112="NEW"),"",INDEX(J$1:J111,SUMPRODUCT(MAX(ROW(E$1:E111)*(E112=E$1:E111)))))</f>
        <v>0</v>
      </c>
      <c r="L112" s="26"/>
    </row>
    <row r="113" spans="1:12" x14ac:dyDescent="0.3">
      <c r="A113" t="s">
        <v>143</v>
      </c>
      <c r="E113" s="21" t="str">
        <f t="shared" si="10"/>
        <v/>
      </c>
      <c r="F113" s="22" t="str">
        <f>IF(OR(E113="",E113="!!!"),"",IF(NOT(ISNA(VLOOKUP(E113,E$1:E112,1,FALSE()))),"OLD",IF(AND(E113&lt;&gt;"",E113&lt;&gt;"!!!"),"NEW","")))</f>
        <v/>
      </c>
      <c r="G113" s="23" t="str">
        <f>IF(OR(E113="",E113="!!!"),"",IF(OR(J113=0,AND(J113=1,K113=1),AND(J113=1,I113="SBJ"),AND(J113=1,I113=0)),"?IN_FOCUS",IF(J113&lt;=2,"?ACTIVATED",IF(J113&lt;&gt;"","?FAMILIAR",IF(F113="NEW",IF(ISNA(VLOOKUP(E113,#REF!,1,FALSE())),"?TYPE_IDENTIFIABLE","?REFERENTIAL"),"_")))))</f>
        <v/>
      </c>
      <c r="H113" s="24" t="str">
        <f t="shared" ca="1" si="11"/>
        <v/>
      </c>
      <c r="I113" s="25" t="str">
        <f>IF(OR(E113="",E113="!!!",F113="NEW"),"",INDEX(B$2:B112,-1+SUMPRODUCT(MAX(ROW(E$2:E112)*(E113=E$2:E112)))))</f>
        <v/>
      </c>
      <c r="J113" s="25" t="str">
        <f ca="1">IF(OR(E113="",E113="!!!",F113="NEW"),"",COUNTBLANK(OFFSET(A$1,,,SUMPRODUCT(MAX(ROW(E$2:E113)*(E113=E$2:E113)))))-COUNTBLANK(OFFSET(A$1,,,SUMPRODUCT(MAX(ROW(E$1:E112)*(E2=E$1:E112))))))</f>
        <v/>
      </c>
      <c r="K113" s="25" t="str">
        <f>IF(OR(E113="",E113="!!!",F113="NEW"),"",INDEX(J$1:J112,SUMPRODUCT(MAX(ROW(E$1:E112)*(E113=E$1:E112)))))</f>
        <v/>
      </c>
      <c r="L113" s="26"/>
    </row>
    <row r="115" spans="1:12" x14ac:dyDescent="0.3">
      <c r="A115" t="s">
        <v>199</v>
      </c>
    </row>
    <row r="116" spans="1:12" x14ac:dyDescent="0.3">
      <c r="A116" t="s">
        <v>200</v>
      </c>
      <c r="B116" s="20" t="s">
        <v>110</v>
      </c>
      <c r="C116" s="20" t="s">
        <v>201</v>
      </c>
      <c r="D116" s="20" t="s">
        <v>112</v>
      </c>
      <c r="E116" s="21" t="s">
        <v>373</v>
      </c>
      <c r="F116" s="22" t="str">
        <f>IF(OR(E116="",E116="!!!"),"",IF(NOT(ISNA(VLOOKUP(E116,E$1:E115,1,FALSE()))),"OLD",IF(AND(E116&lt;&gt;"",E116&lt;&gt;"!!!"),"NEW","")))</f>
        <v>OLD</v>
      </c>
      <c r="G116" s="23" t="s">
        <v>414</v>
      </c>
      <c r="H116" s="24" t="s">
        <v>104</v>
      </c>
      <c r="I116" s="25" t="str">
        <f>IF(OR(E116="",E116="!!!",F116="NEW"),"",INDEX(B$2:B115,-1+SUMPRODUCT(MAX(ROW(E$2:E115)*(E116=E$2:E115)))))</f>
        <v>other_2</v>
      </c>
      <c r="J116" s="25">
        <f ca="1">IF(OR(E116="",E116="!!!",F116="NEW"),"",COUNTBLANK(OFFSET(A$1,,,SUMPRODUCT(MAX(ROW(E$2:E116)*(E116=E$2:E116)))))-COUNTBLANK(OFFSET(A$1,,,SUMPRODUCT(MAX(ROW(E$1:E115)*(E2=E$1:E115))))))</f>
        <v>0</v>
      </c>
      <c r="K116" s="25">
        <f ca="1">IF(OR(E116="",E116="!!!",F116="NEW"),"",INDEX(J$1:J115,SUMPRODUCT(MAX(ROW(E$1:E115)*(E116=E$1:E115)))))</f>
        <v>0</v>
      </c>
      <c r="L116" s="26"/>
    </row>
    <row r="117" spans="1:12" x14ac:dyDescent="0.3">
      <c r="A117" t="s">
        <v>202</v>
      </c>
      <c r="E117" s="21" t="str">
        <f t="shared" ref="E117:E140" si="12">IF(D117="?OLD","!!!","")</f>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ref="H117:H140" ca="1" si="13">IF(J117&lt;&gt;1,"",IF(I117="SBJ","CB","?"))</f>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158</v>
      </c>
      <c r="E118" s="21" t="str">
        <f t="shared" si="12"/>
        <v/>
      </c>
      <c r="F118" s="22" t="str">
        <f>IF(OR(E118="",E118="!!!"),"",IF(NOT(ISNA(VLOOKUP(E118,E$1:E117,1,FALSE()))),"OLD",IF(AND(E118&lt;&gt;"",E118&lt;&gt;"!!!"),"NEW","")))</f>
        <v/>
      </c>
      <c r="G118" s="23" t="str">
        <f>IF(OR(E118="",E118="!!!"),"",IF(OR(J118=0,AND(J118=1,K118=1),AND(J118=1,I118="SBJ"),AND(J118=1,I118=0)),"?IN_FOCUS",IF(J118&lt;=2,"?ACTIVATED",IF(J118&lt;&gt;"","?FAMILIAR",IF(F118="NEW",IF(ISNA(VLOOKUP(E118,#REF!,1,FALSE())),"?TYPE_IDENTIFIABLE","?REFERENTIAL"),"_")))))</f>
        <v/>
      </c>
      <c r="H118" s="24" t="str">
        <f t="shared" ca="1" si="13"/>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203</v>
      </c>
      <c r="E119" s="21" t="str">
        <f t="shared" si="12"/>
        <v/>
      </c>
      <c r="F119" s="22" t="str">
        <f>IF(OR(E119="",E119="!!!"),"",IF(NOT(ISNA(VLOOKUP(E119,E$1:E118,1,FALSE()))),"OLD",IF(AND(E119&lt;&gt;"",E119&lt;&gt;"!!!"),"NEW","")))</f>
        <v/>
      </c>
      <c r="G119" s="23" t="str">
        <f>IF(OR(E119="",E119="!!!"),"",IF(OR(J119=0,AND(J119=1,K119=1),AND(J119=1,I119="SBJ"),AND(J119=1,I119=0)),"?IN_FOCUS",IF(J119&lt;=2,"?ACTIVATED",IF(J119&lt;&gt;"","?FAMILIAR",IF(F119="NEW",IF(ISNA(VLOOKUP(E119,#REF!,1,FALSE())),"?TYPE_IDENTIFIABLE","?REFERENTIAL"),"_")))))</f>
        <v/>
      </c>
      <c r="H119" s="24" t="str">
        <f t="shared" ca="1" si="13"/>
        <v/>
      </c>
      <c r="I119" s="25" t="str">
        <f>IF(OR(E119="",E119="!!!",F119="NEW"),"",INDEX(B$2:B118,-1+SUMPRODUCT(MAX(ROW(E$2:E118)*(E119=E$2:E118)))))</f>
        <v/>
      </c>
      <c r="J119" s="25" t="str">
        <f ca="1">IF(OR(E119="",E119="!!!",F119="NEW"),"",COUNTBLANK(OFFSET(A$1,,,SUMPRODUCT(MAX(ROW(E$2:E119)*(E119=E$2:E119)))))-COUNTBLANK(OFFSET(A$1,,,SUMPRODUCT(MAX(ROW(E$1:E118)*(E2=E$1:E118))))))</f>
        <v/>
      </c>
      <c r="K119" s="25" t="str">
        <f>IF(OR(E119="",E119="!!!",F119="NEW"),"",INDEX(J$1:J118,SUMPRODUCT(MAX(ROW(E$1:E118)*(E119=E$1:E118)))))</f>
        <v/>
      </c>
      <c r="L119" s="26"/>
    </row>
    <row r="120" spans="1:12" x14ac:dyDescent="0.3">
      <c r="A120" t="s">
        <v>204</v>
      </c>
      <c r="B120" s="20" t="s">
        <v>153</v>
      </c>
      <c r="C120" s="20" t="s">
        <v>128</v>
      </c>
      <c r="D120" s="20" t="s">
        <v>112</v>
      </c>
      <c r="E120" s="21" t="s">
        <v>387</v>
      </c>
      <c r="F120" s="22" t="str">
        <f>IF(OR(E120="",E120="!!!"),"",IF(NOT(ISNA(VLOOKUP(E120,E$1:E119,1,FALSE()))),"OLD",IF(AND(E120&lt;&gt;"",E120&lt;&gt;"!!!"),"NEW","")))</f>
        <v>NEW</v>
      </c>
      <c r="G120" s="23" t="s">
        <v>369</v>
      </c>
      <c r="H120" s="24" t="str">
        <f t="shared" ca="1" si="13"/>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154</v>
      </c>
      <c r="E121" s="21" t="str">
        <f t="shared" si="12"/>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13"/>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205</v>
      </c>
      <c r="B122" s="20" t="s">
        <v>122</v>
      </c>
      <c r="C122" s="20" t="s">
        <v>196</v>
      </c>
      <c r="E122" s="21" t="str">
        <f t="shared" si="12"/>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13"/>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206</v>
      </c>
      <c r="B123" s="20" t="s">
        <v>118</v>
      </c>
      <c r="C123" s="20" t="s">
        <v>111</v>
      </c>
      <c r="D123" s="20" t="s">
        <v>112</v>
      </c>
      <c r="E123" s="21"/>
      <c r="F123" s="22" t="s">
        <v>371</v>
      </c>
      <c r="G123" s="23" t="str">
        <f>IF(OR(E123="",E123="!!!"),"",IF(OR(J123=0,AND(J123=1,K123=1),AND(J123=1,I123="SBJ"),AND(J123=1,I123=0)),"?IN_FOCUS",IF(J123&lt;=2,"?ACTIVATED",IF(J123&lt;&gt;"","?FAMILIAR",IF(F123="NEW",IF(ISNA(VLOOKUP(E123,#REF!,1,FALSE())),"?TYPE_IDENTIFIABLE","?REFERENTIAL"),"_")))))</f>
        <v/>
      </c>
      <c r="H123" s="24" t="str">
        <f t="shared" ca="1" si="13"/>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207</v>
      </c>
      <c r="E124" s="21" t="str">
        <f t="shared" si="12"/>
        <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13"/>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208</v>
      </c>
      <c r="B125" s="20" t="s">
        <v>134</v>
      </c>
      <c r="C125" s="20" t="s">
        <v>111</v>
      </c>
      <c r="D125" s="20" t="s">
        <v>112</v>
      </c>
      <c r="E125" s="21" t="s">
        <v>419</v>
      </c>
      <c r="F125" s="22" t="str">
        <f>IF(OR(E125="",E125="!!!"),"",IF(NOT(ISNA(VLOOKUP(E125,E$1:E124,1,FALSE()))),"OLD",IF(AND(E125&lt;&gt;"",E125&lt;&gt;"!!!"),"NEW","")))</f>
        <v>NEW</v>
      </c>
      <c r="G125" s="23" t="s">
        <v>416</v>
      </c>
      <c r="H125" s="24" t="str">
        <f t="shared" ca="1" si="13"/>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155</v>
      </c>
      <c r="E126" s="21" t="str">
        <f t="shared" si="12"/>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13"/>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209</v>
      </c>
      <c r="E127" s="21" t="str">
        <f t="shared" si="12"/>
        <v/>
      </c>
      <c r="F127" s="22" t="str">
        <f>IF(OR(E127="",E127="!!!"),"",IF(NOT(ISNA(VLOOKUP(E127,E$1:E126,1,FALSE()))),"OLD",IF(AND(E127&lt;&gt;"",E127&lt;&gt;"!!!"),"NEW","")))</f>
        <v/>
      </c>
      <c r="G127" s="23" t="str">
        <f>IF(OR(E127="",E127="!!!"),"",IF(OR(J127=0,AND(J127=1,K127=1),AND(J127=1,I127="SBJ"),AND(J127=1,I127=0)),"?IN_FOCUS",IF(J127&lt;=2,"?ACTIVATED",IF(J127&lt;&gt;"","?FAMILIAR",IF(F127="NEW",IF(ISNA(VLOOKUP(E127,#REF!,1,FALSE())),"?TYPE_IDENTIFIABLE","?REFERENTIAL"),"_")))))</f>
        <v/>
      </c>
      <c r="H127" s="24" t="str">
        <f t="shared" ca="1" si="13"/>
        <v/>
      </c>
      <c r="I127" s="25" t="str">
        <f>IF(OR(E127="",E127="!!!",F127="NEW"),"",INDEX(B$2:B126,-1+SUMPRODUCT(MAX(ROW(E$2:E126)*(E127=E$2:E126)))))</f>
        <v/>
      </c>
      <c r="J127" s="25" t="str">
        <f ca="1">IF(OR(E127="",E127="!!!",F127="NEW"),"",COUNTBLANK(OFFSET(A$1,,,SUMPRODUCT(MAX(ROW(E$2:E127)*(E127=E$2:E127)))))-COUNTBLANK(OFFSET(A$1,,,SUMPRODUCT(MAX(ROW(E$1:E126)*(E2=E$1:E126))))))</f>
        <v/>
      </c>
      <c r="K127" s="25" t="str">
        <f>IF(OR(E127="",E127="!!!",F127="NEW"),"",INDEX(J$1:J126,SUMPRODUCT(MAX(ROW(E$1:E126)*(E127=E$1:E126)))))</f>
        <v/>
      </c>
      <c r="L127" s="26"/>
    </row>
    <row r="128" spans="1:12" x14ac:dyDescent="0.3">
      <c r="A128" t="s">
        <v>132</v>
      </c>
      <c r="E128" s="21" t="str">
        <f t="shared" si="12"/>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13"/>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210</v>
      </c>
      <c r="B129" s="20" t="s">
        <v>134</v>
      </c>
      <c r="C129" s="20" t="s">
        <v>111</v>
      </c>
      <c r="D129" s="20" t="s">
        <v>112</v>
      </c>
      <c r="E129" s="21" t="s">
        <v>388</v>
      </c>
      <c r="F129" s="22" t="s">
        <v>410</v>
      </c>
      <c r="G129" s="23" t="s">
        <v>416</v>
      </c>
      <c r="H129" s="24" t="str">
        <f t="shared" ca="1" si="13"/>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t="s">
        <v>376</v>
      </c>
    </row>
    <row r="130" spans="1:12" x14ac:dyDescent="0.3">
      <c r="A130" t="s">
        <v>211</v>
      </c>
      <c r="E130" s="21" t="str">
        <f t="shared" si="12"/>
        <v/>
      </c>
      <c r="F130" s="22" t="str">
        <f>IF(OR(E130="",E130="!!!"),"",IF(NOT(ISNA(VLOOKUP(E130,E$1:E129,1,FALSE()))),"OLD",IF(AND(E130&lt;&gt;"",E130&lt;&gt;"!!!"),"NEW","")))</f>
        <v/>
      </c>
      <c r="G130" s="23" t="str">
        <f>IF(OR(E130="",E130="!!!"),"",IF(OR(J130=0,AND(J130=1,K130=1),AND(J130=1,I130="SBJ"),AND(J130=1,I130=0)),"?IN_FOCUS",IF(J130&lt;=2,"?ACTIVATED",IF(J130&lt;&gt;"","?FAMILIAR",IF(F130="NEW",IF(ISNA(VLOOKUP(E130,#REF!,1,FALSE())),"?TYPE_IDENTIFIABLE","?REFERENTIAL"),"_")))))</f>
        <v/>
      </c>
      <c r="H130" s="24" t="str">
        <f t="shared" ca="1" si="13"/>
        <v/>
      </c>
      <c r="I130" s="25" t="str">
        <f>IF(OR(E130="",E130="!!!",F130="NEW"),"",INDEX(B$2:B129,-1+SUMPRODUCT(MAX(ROW(E$2:E129)*(E130=E$2:E129)))))</f>
        <v/>
      </c>
      <c r="J130" s="25" t="str">
        <f ca="1">IF(OR(E130="",E130="!!!",F130="NEW"),"",COUNTBLANK(OFFSET(A$1,,,SUMPRODUCT(MAX(ROW(E$2:E130)*(E130=E$2:E130)))))-COUNTBLANK(OFFSET(A$1,,,SUMPRODUCT(MAX(ROW(E$1:E129)*(E2=E$1:E129))))))</f>
        <v/>
      </c>
      <c r="K130" s="25" t="str">
        <f>IF(OR(E130="",E130="!!!",F130="NEW"),"",INDEX(J$1:J129,SUMPRODUCT(MAX(ROW(E$1:E129)*(E130=E$1:E129)))))</f>
        <v/>
      </c>
      <c r="L130" s="26"/>
    </row>
    <row r="131" spans="1:12" x14ac:dyDescent="0.3">
      <c r="A131" t="s">
        <v>212</v>
      </c>
      <c r="E131" s="21" t="str">
        <f t="shared" si="12"/>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t="shared" ca="1" si="13"/>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213</v>
      </c>
      <c r="E132" s="21" t="str">
        <f t="shared" si="12"/>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t="shared" ca="1" si="13"/>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3" spans="1:12" x14ac:dyDescent="0.3">
      <c r="A133" t="s">
        <v>214</v>
      </c>
      <c r="E133" s="21" t="str">
        <f t="shared" si="12"/>
        <v/>
      </c>
      <c r="F133" s="22" t="str">
        <f>IF(OR(E133="",E133="!!!"),"",IF(NOT(ISNA(VLOOKUP(E133,E$1:E132,1,FALSE()))),"OLD",IF(AND(E133&lt;&gt;"",E133&lt;&gt;"!!!"),"NEW","")))</f>
        <v/>
      </c>
      <c r="G133" s="23" t="str">
        <f>IF(OR(E133="",E133="!!!"),"",IF(OR(J133=0,AND(J133=1,K133=1),AND(J133=1,I133="SBJ"),AND(J133=1,I133=0)),"?IN_FOCUS",IF(J133&lt;=2,"?ACTIVATED",IF(J133&lt;&gt;"","?FAMILIAR",IF(F133="NEW",IF(ISNA(VLOOKUP(E133,#REF!,1,FALSE())),"?TYPE_IDENTIFIABLE","?REFERENTIAL"),"_")))))</f>
        <v/>
      </c>
      <c r="H133" s="24" t="str">
        <f t="shared" ca="1" si="13"/>
        <v/>
      </c>
      <c r="I133" s="25" t="str">
        <f>IF(OR(E133="",E133="!!!",F133="NEW"),"",INDEX(B$2:B132,-1+SUMPRODUCT(MAX(ROW(E$2:E132)*(E133=E$2:E132)))))</f>
        <v/>
      </c>
      <c r="J133" s="25" t="str">
        <f ca="1">IF(OR(E133="",E133="!!!",F133="NEW"),"",COUNTBLANK(OFFSET(A$1,,,SUMPRODUCT(MAX(ROW(E$2:E133)*(E133=E$2:E133)))))-COUNTBLANK(OFFSET(A$1,,,SUMPRODUCT(MAX(ROW(E$1:E132)*(E2=E$1:E132))))))</f>
        <v/>
      </c>
      <c r="K133" s="25" t="str">
        <f>IF(OR(E133="",E133="!!!",F133="NEW"),"",INDEX(J$1:J132,SUMPRODUCT(MAX(ROW(E$1:E132)*(E133=E$1:E132)))))</f>
        <v/>
      </c>
      <c r="L133" s="26"/>
    </row>
    <row r="134" spans="1:12" x14ac:dyDescent="0.3">
      <c r="A134" t="s">
        <v>197</v>
      </c>
      <c r="B134" s="20" t="s">
        <v>118</v>
      </c>
      <c r="C134" s="20" t="s">
        <v>215</v>
      </c>
      <c r="E134" s="21" t="str">
        <f t="shared" si="12"/>
        <v/>
      </c>
      <c r="F134" s="22" t="str">
        <f>IF(OR(E134="",E134="!!!"),"",IF(NOT(ISNA(VLOOKUP(E134,E$1:E133,1,FALSE()))),"OLD",IF(AND(E134&lt;&gt;"",E134&lt;&gt;"!!!"),"NEW","")))</f>
        <v/>
      </c>
      <c r="G134" s="23" t="str">
        <f>IF(OR(E134="",E134="!!!"),"",IF(OR(J134=0,AND(J134=1,K134=1),AND(J134=1,I134="SBJ"),AND(J134=1,I134=0)),"?IN_FOCUS",IF(J134&lt;=2,"?ACTIVATED",IF(J134&lt;&gt;"","?FAMILIAR",IF(F134="NEW",IF(ISNA(VLOOKUP(E134,#REF!,1,FALSE())),"?TYPE_IDENTIFIABLE","?REFERENTIAL"),"_")))))</f>
        <v/>
      </c>
      <c r="H134" s="24" t="str">
        <f t="shared" ca="1" si="13"/>
        <v/>
      </c>
      <c r="I134" s="25" t="str">
        <f>IF(OR(E134="",E134="!!!",F134="NEW"),"",INDEX(B$2:B133,-1+SUMPRODUCT(MAX(ROW(E$2:E133)*(E134=E$2:E133)))))</f>
        <v/>
      </c>
      <c r="J134" s="25" t="str">
        <f ca="1">IF(OR(E134="",E134="!!!",F134="NEW"),"",COUNTBLANK(OFFSET(A$1,,,SUMPRODUCT(MAX(ROW(E$2:E134)*(E134=E$2:E134)))))-COUNTBLANK(OFFSET(A$1,,,SUMPRODUCT(MAX(ROW(E$1:E133)*(E2=E$1:E133))))))</f>
        <v/>
      </c>
      <c r="K134" s="25" t="str">
        <f>IF(OR(E134="",E134="!!!",F134="NEW"),"",INDEX(J$1:J133,SUMPRODUCT(MAX(ROW(E$1:E133)*(E134=E$1:E133)))))</f>
        <v/>
      </c>
      <c r="L134" s="26"/>
    </row>
    <row r="135" spans="1:12" x14ac:dyDescent="0.3">
      <c r="A135" t="s">
        <v>132</v>
      </c>
      <c r="E135" s="21" t="str">
        <f t="shared" si="12"/>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ca="1" si="13"/>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6" spans="1:12" ht="28.8" x14ac:dyDescent="0.3">
      <c r="A136" t="s">
        <v>216</v>
      </c>
      <c r="B136" s="20" t="s">
        <v>134</v>
      </c>
      <c r="C136" s="20" t="s">
        <v>111</v>
      </c>
      <c r="D136" s="20" t="s">
        <v>112</v>
      </c>
      <c r="E136" s="21" t="s">
        <v>422</v>
      </c>
      <c r="F136" s="22" t="s">
        <v>410</v>
      </c>
      <c r="G136" s="23" t="s">
        <v>369</v>
      </c>
      <c r="H136" s="24" t="str">
        <f t="shared" ca="1" si="13"/>
        <v/>
      </c>
      <c r="I136" s="25" t="str">
        <f>IF(OR(E136="",E136="!!!",F136="NEW"),"",INDEX(B$2:B135,-1+SUMPRODUCT(MAX(ROW(E$2:E135)*(E136=E$2:E135)))))</f>
        <v/>
      </c>
      <c r="J136" s="25" t="str">
        <f ca="1">IF(OR(E136="",E136="!!!",F136="NEW"),"",COUNTBLANK(OFFSET(A$1,,,SUMPRODUCT(MAX(ROW(E$2:E136)*(E136=E$2:E136)))))-COUNTBLANK(OFFSET(A$1,,,SUMPRODUCT(MAX(ROW(E$1:E135)*(E2=E$1:E135))))))</f>
        <v/>
      </c>
      <c r="K136" s="25" t="str">
        <f>IF(OR(E136="",E136="!!!",F136="NEW"),"",INDEX(J$1:J135,SUMPRODUCT(MAX(ROW(E$1:E135)*(E136=E$1:E135)))))</f>
        <v/>
      </c>
      <c r="L136" s="26" t="s">
        <v>423</v>
      </c>
    </row>
    <row r="137" spans="1:12" x14ac:dyDescent="0.3">
      <c r="A137" t="s">
        <v>217</v>
      </c>
      <c r="E137" s="21" t="str">
        <f t="shared" si="12"/>
        <v/>
      </c>
      <c r="F137" s="22" t="str">
        <f>IF(OR(E137="",E137="!!!"),"",IF(NOT(ISNA(VLOOKUP(E137,E$1:E136,1,FALSE()))),"OLD",IF(AND(E137&lt;&gt;"",E137&lt;&gt;"!!!"),"NEW","")))</f>
        <v/>
      </c>
      <c r="G137" s="23" t="str">
        <f>IF(OR(E137="",E137="!!!"),"",IF(OR(J137=0,AND(J137=1,K137=1),AND(J137=1,I137="SBJ"),AND(J137=1,I137=0)),"?IN_FOCUS",IF(J137&lt;=2,"?ACTIVATED",IF(J137&lt;&gt;"","?FAMILIAR",IF(F137="NEW",IF(ISNA(VLOOKUP(E137,#REF!,1,FALSE())),"?TYPE_IDENTIFIABLE","?REFERENTIAL"),"_")))))</f>
        <v/>
      </c>
      <c r="H137" s="24" t="str">
        <f t="shared" ca="1" si="13"/>
        <v/>
      </c>
      <c r="I137" s="25" t="str">
        <f>IF(OR(E137="",E137="!!!",F137="NEW"),"",INDEX(B$2:B136,-1+SUMPRODUCT(MAX(ROW(E$2:E136)*(E137=E$2:E136)))))</f>
        <v/>
      </c>
      <c r="J137" s="25" t="str">
        <f ca="1">IF(OR(E137="",E137="!!!",F137="NEW"),"",COUNTBLANK(OFFSET(A$1,,,SUMPRODUCT(MAX(ROW(E$2:E137)*(E137=E$2:E137)))))-COUNTBLANK(OFFSET(A$1,,,SUMPRODUCT(MAX(ROW(E$1:E136)*(E2=E$1:E136))))))</f>
        <v/>
      </c>
      <c r="K137" s="25" t="str">
        <f>IF(OR(E137="",E137="!!!",F137="NEW"),"",INDEX(J$1:J136,SUMPRODUCT(MAX(ROW(E$1:E136)*(E137=E$1:E136)))))</f>
        <v/>
      </c>
      <c r="L137" s="26"/>
    </row>
    <row r="138" spans="1:12" x14ac:dyDescent="0.3">
      <c r="A138" t="s">
        <v>218</v>
      </c>
      <c r="E138" s="21"/>
      <c r="F138" s="22"/>
      <c r="G138" s="23"/>
      <c r="H138" s="24" t="str">
        <f t="shared" ca="1" si="13"/>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219</v>
      </c>
      <c r="E139" s="21" t="str">
        <f t="shared" si="12"/>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ca="1" si="13"/>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143</v>
      </c>
      <c r="E140" s="21" t="str">
        <f t="shared" si="12"/>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13"/>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2" spans="1:12" x14ac:dyDescent="0.3">
      <c r="A142" t="s">
        <v>220</v>
      </c>
    </row>
    <row r="143" spans="1:12" x14ac:dyDescent="0.3">
      <c r="A143" t="s">
        <v>221</v>
      </c>
      <c r="E143" s="21" t="str">
        <f t="shared" ref="E143:E159" si="14">IF(D143="?OLD","!!!","")</f>
        <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ref="H143:H159" ca="1" si="15">IF(J143&lt;&gt;1,"",IF(I143="SBJ","CB","?"))</f>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222</v>
      </c>
      <c r="E144" s="21" t="str">
        <f t="shared" si="14"/>
        <v/>
      </c>
      <c r="F144" s="22" t="str">
        <f>IF(OR(E144="",E144="!!!"),"",IF(NOT(ISNA(VLOOKUP(E144,E$1:E143,1,FALSE()))),"OLD",IF(AND(E144&lt;&gt;"",E144&lt;&gt;"!!!"),"NEW","")))</f>
        <v/>
      </c>
      <c r="G144" s="23" t="str">
        <f>IF(OR(E144="",E144="!!!"),"",IF(OR(J144=0,AND(J144=1,K144=1),AND(J144=1,I144="SBJ"),AND(J144=1,I144=0)),"?IN_FOCUS",IF(J144&lt;=2,"?ACTIVATED",IF(J144&lt;&gt;"","?FAMILIAR",IF(F144="NEW",IF(ISNA(VLOOKUP(E144,#REF!,1,FALSE())),"?TYPE_IDENTIFIABLE","?REFERENTIAL"),"_")))))</f>
        <v/>
      </c>
      <c r="H144" s="24" t="str">
        <f t="shared" ca="1" si="15"/>
        <v/>
      </c>
      <c r="I144" s="25" t="str">
        <f>IF(OR(E144="",E144="!!!",F144="NEW"),"",INDEX(B$2:B143,-1+SUMPRODUCT(MAX(ROW(E$2:E143)*(E144=E$2:E143)))))</f>
        <v/>
      </c>
      <c r="J144" s="25" t="str">
        <f ca="1">IF(OR(E144="",E144="!!!",F144="NEW"),"",COUNTBLANK(OFFSET(A$1,,,SUMPRODUCT(MAX(ROW(E$2:E144)*(E144=E$2:E144)))))-COUNTBLANK(OFFSET(A$1,,,SUMPRODUCT(MAX(ROW(E$1:E143)*(E2=E$1:E143))))))</f>
        <v/>
      </c>
      <c r="K144" s="25" t="str">
        <f>IF(OR(E144="",E144="!!!",F144="NEW"),"",INDEX(J$1:J143,SUMPRODUCT(MAX(ROW(E$1:E143)*(E144=E$1:E143)))))</f>
        <v/>
      </c>
      <c r="L144" s="26"/>
    </row>
    <row r="145" spans="1:12" x14ac:dyDescent="0.3">
      <c r="A145" t="s">
        <v>164</v>
      </c>
      <c r="E145" s="21" t="str">
        <f t="shared" si="14"/>
        <v/>
      </c>
      <c r="F145" s="22" t="str">
        <f>IF(OR(E145="",E145="!!!"),"",IF(NOT(ISNA(VLOOKUP(E145,E$1:E144,1,FALSE()))),"OLD",IF(AND(E145&lt;&gt;"",E145&lt;&gt;"!!!"),"NEW","")))</f>
        <v/>
      </c>
      <c r="G145" s="23" t="str">
        <f>IF(OR(E145="",E145="!!!"),"",IF(OR(J145=0,AND(J145=1,K145=1),AND(J145=1,I145="SBJ"),AND(J145=1,I145=0)),"?IN_FOCUS",IF(J145&lt;=2,"?ACTIVATED",IF(J145&lt;&gt;"","?FAMILIAR",IF(F145="NEW",IF(ISNA(VLOOKUP(E145,#REF!,1,FALSE())),"?TYPE_IDENTIFIABLE","?REFERENTIAL"),"_")))))</f>
        <v/>
      </c>
      <c r="H145" s="24" t="str">
        <f t="shared" ca="1" si="15"/>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169</v>
      </c>
      <c r="B146" s="20" t="s">
        <v>110</v>
      </c>
      <c r="C146" s="20" t="s">
        <v>170</v>
      </c>
      <c r="D146" s="20" t="s">
        <v>112</v>
      </c>
      <c r="E146" s="21" t="s">
        <v>373</v>
      </c>
      <c r="F146" s="22" t="str">
        <f>IF(OR(E146="",E146="!!!"),"",IF(NOT(ISNA(VLOOKUP(E146,E$1:E145,1,FALSE()))),"OLD",IF(AND(E146&lt;&gt;"",E146&lt;&gt;"!!!"),"NEW","")))</f>
        <v>OLD</v>
      </c>
      <c r="G146" s="23" t="s">
        <v>414</v>
      </c>
      <c r="H146" s="24" t="s">
        <v>104</v>
      </c>
      <c r="I146" s="25" t="str">
        <f>IF(OR(E146="",E146="!!!",F146="NEW"),"",INDEX(B$2:B145,-1+SUMPRODUCT(MAX(ROW(E$2:E145)*(E146=E$2:E145)))))</f>
        <v>SBJ</v>
      </c>
      <c r="J146" s="25">
        <f ca="1">IF(OR(E146="",E146="!!!",F146="NEW"),"",COUNTBLANK(OFFSET(A$1,,,SUMPRODUCT(MAX(ROW(E$2:E146)*(E146=E$2:E146)))))-COUNTBLANK(OFFSET(A$1,,,SUMPRODUCT(MAX(ROW(E$1:E145)*(E2=E$1:E145))))))</f>
        <v>0</v>
      </c>
      <c r="K146" s="25">
        <f ca="1">IF(OR(E146="",E146="!!!",F146="NEW"),"",INDEX(J$1:J145,SUMPRODUCT(MAX(ROW(E$1:E145)*(E146=E$1:E145)))))</f>
        <v>0</v>
      </c>
      <c r="L146" s="26"/>
    </row>
    <row r="147" spans="1:12" x14ac:dyDescent="0.3">
      <c r="A147" t="s">
        <v>165</v>
      </c>
      <c r="B147" s="20" t="s">
        <v>153</v>
      </c>
      <c r="E147" s="21" t="str">
        <f t="shared" si="14"/>
        <v/>
      </c>
      <c r="F147" s="22" t="str">
        <f>IF(OR(E147="",E147="!!!"),"",IF(NOT(ISNA(VLOOKUP(E147,E$1:E146,1,FALSE()))),"OLD",IF(AND(E147&lt;&gt;"",E147&lt;&gt;"!!!"),"NEW","")))</f>
        <v/>
      </c>
      <c r="G147" s="23" t="str">
        <f>IF(OR(E147="",E147="!!!"),"",IF(OR(J147=0,AND(J147=1,K147=1),AND(J147=1,I147="SBJ"),AND(J147=1,I147=0)),"?IN_FOCUS",IF(J147&lt;=2,"?ACTIVATED",IF(J147&lt;&gt;"","?FAMILIAR",IF(F147="NEW",IF(ISNA(VLOOKUP(E147,#REF!,1,FALSE())),"?TYPE_IDENTIFIABLE","?REFERENTIAL"),"_")))))</f>
        <v/>
      </c>
      <c r="H147" s="24" t="str">
        <f t="shared" ca="1" si="15"/>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190</v>
      </c>
      <c r="B148" s="20" t="s">
        <v>134</v>
      </c>
      <c r="C148" s="20" t="s">
        <v>191</v>
      </c>
      <c r="D148" s="20" t="s">
        <v>112</v>
      </c>
      <c r="E148" s="21" t="s">
        <v>392</v>
      </c>
      <c r="F148" s="22" t="s">
        <v>385</v>
      </c>
      <c r="G148" s="23"/>
      <c r="H148" s="24" t="str">
        <f t="shared" ca="1" si="15"/>
        <v/>
      </c>
      <c r="I148" s="25" t="e">
        <f>IF(OR(E148="",E148="!!!",F148="NEW"),"",INDEX(B$2:B147,-1+SUMPRODUCT(MAX(ROW(E$2:E147)*(E148=E$2:E147)))))</f>
        <v>#VALUE!</v>
      </c>
      <c r="J148" s="25">
        <f ca="1">IF(OR(E148="",E148="!!!",F148="NEW"),"",COUNTBLANK(OFFSET(A$1,,,SUMPRODUCT(MAX(ROW(E$2:E148)*(E148=E$2:E148)))))-COUNTBLANK(OFFSET(A$1,,,SUMPRODUCT(MAX(ROW(E$1:E147)*(E2=E$1:E147))))))</f>
        <v>0</v>
      </c>
      <c r="K148" s="25" t="e">
        <f>IF(OR(E148="",E148="!!!",F148="NEW"),"",INDEX(J$1:J147,SUMPRODUCT(MAX(ROW(E$1:E147)*(E148=E$1:E147)))))</f>
        <v>#VALUE!</v>
      </c>
      <c r="L148" s="26"/>
    </row>
    <row r="149" spans="1:12" x14ac:dyDescent="0.3">
      <c r="A149" t="s">
        <v>45</v>
      </c>
      <c r="E149" s="21" t="str">
        <f t="shared" si="14"/>
        <v/>
      </c>
      <c r="F149" s="22" t="str">
        <f>IF(OR(E149="",E149="!!!"),"",IF(NOT(ISNA(VLOOKUP(E149,E$1:E148,1,FALSE()))),"OLD",IF(AND(E149&lt;&gt;"",E149&lt;&gt;"!!!"),"NEW","")))</f>
        <v/>
      </c>
      <c r="G149" s="23" t="str">
        <f>IF(OR(E149="",E149="!!!"),"",IF(OR(J149=0,AND(J149=1,K149=1),AND(J149=1,I149="SBJ"),AND(J149=1,I149=0)),"?IN_FOCUS",IF(J149&lt;=2,"?ACTIVATED",IF(J149&lt;&gt;"","?FAMILIAR",IF(F149="NEW",IF(ISNA(VLOOKUP(E149,#REF!,1,FALSE())),"?TYPE_IDENTIFIABLE","?REFERENTIAL"),"_")))))</f>
        <v/>
      </c>
      <c r="H149" s="24" t="str">
        <f t="shared" ca="1" si="15"/>
        <v/>
      </c>
      <c r="I149" s="25" t="str">
        <f>IF(OR(E149="",E149="!!!",F149="NEW"),"",INDEX(B$2:B148,-1+SUMPRODUCT(MAX(ROW(E$2:E148)*(E149=E$2:E148)))))</f>
        <v/>
      </c>
      <c r="J149" s="25" t="str">
        <f ca="1">IF(OR(E149="",E149="!!!",F149="NEW"),"",COUNTBLANK(OFFSET(A$1,,,SUMPRODUCT(MAX(ROW(E$2:E149)*(E149=E$2:E149)))))-COUNTBLANK(OFFSET(A$1,,,SUMPRODUCT(MAX(ROW(E$1:E148)*(E2=E$1:E148))))))</f>
        <v/>
      </c>
      <c r="K149" s="25" t="str">
        <f>IF(OR(E149="",E149="!!!",F149="NEW"),"",INDEX(J$1:J148,SUMPRODUCT(MAX(ROW(E$1:E148)*(E149=E$1:E148)))))</f>
        <v/>
      </c>
      <c r="L149" s="26"/>
    </row>
    <row r="150" spans="1:12" x14ac:dyDescent="0.3">
      <c r="A150" t="s">
        <v>155</v>
      </c>
      <c r="E150" s="21" t="str">
        <f t="shared" si="14"/>
        <v/>
      </c>
      <c r="F150" s="22" t="str">
        <f>IF(OR(E150="",E150="!!!"),"",IF(NOT(ISNA(VLOOKUP(E150,E$1:E149,1,FALSE()))),"OLD",IF(AND(E150&lt;&gt;"",E150&lt;&gt;"!!!"),"NEW","")))</f>
        <v/>
      </c>
      <c r="G150" s="23" t="str">
        <f>IF(OR(E150="",E150="!!!"),"",IF(OR(J150=0,AND(J150=1,K150=1),AND(J150=1,I150="SBJ"),AND(J150=1,I150=0)),"?IN_FOCUS",IF(J150&lt;=2,"?ACTIVATED",IF(J150&lt;&gt;"","?FAMILIAR",IF(F150="NEW",IF(ISNA(VLOOKUP(E150,#REF!,1,FALSE())),"?TYPE_IDENTIFIABLE","?REFERENTIAL"),"_")))))</f>
        <v/>
      </c>
      <c r="H150" s="24" t="str">
        <f t="shared" ca="1" si="15"/>
        <v/>
      </c>
      <c r="I150" s="25" t="str">
        <f>IF(OR(E150="",E150="!!!",F150="NEW"),"",INDEX(B$2:B149,-1+SUMPRODUCT(MAX(ROW(E$2:E149)*(E150=E$2:E149)))))</f>
        <v/>
      </c>
      <c r="J150" s="25" t="str">
        <f ca="1">IF(OR(E150="",E150="!!!",F150="NEW"),"",COUNTBLANK(OFFSET(A$1,,,SUMPRODUCT(MAX(ROW(E$2:E150)*(E150=E$2:E150)))))-COUNTBLANK(OFFSET(A$1,,,SUMPRODUCT(MAX(ROW(E$1:E149)*(E2=E$1:E149))))))</f>
        <v/>
      </c>
      <c r="K150" s="25" t="str">
        <f>IF(OR(E150="",E150="!!!",F150="NEW"),"",INDEX(J$1:J149,SUMPRODUCT(MAX(ROW(E$1:E149)*(E150=E$1:E149)))))</f>
        <v/>
      </c>
      <c r="L150" s="26"/>
    </row>
    <row r="151" spans="1:12" x14ac:dyDescent="0.3">
      <c r="A151" t="s">
        <v>124</v>
      </c>
      <c r="E151" s="21" t="str">
        <f t="shared" si="14"/>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ca="1" si="15"/>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223</v>
      </c>
      <c r="E152" s="21" t="str">
        <f t="shared" si="14"/>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15"/>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224</v>
      </c>
      <c r="B153" s="20" t="s">
        <v>195</v>
      </c>
      <c r="C153" s="20" t="s">
        <v>196</v>
      </c>
      <c r="E153" s="21" t="s">
        <v>417</v>
      </c>
      <c r="F153" s="22" t="str">
        <f>IF(OR(E153="",E153="!!!"),"",IF(NOT(ISNA(VLOOKUP(E153,E$1:E152,1,FALSE()))),"OLD",IF(AND(E153&lt;&gt;"",E153&lt;&gt;"!!!"),"NEW","")))</f>
        <v>NEW</v>
      </c>
      <c r="G153" s="23" t="s">
        <v>369</v>
      </c>
      <c r="H153" s="24" t="str">
        <f t="shared" ca="1" si="15"/>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row>
    <row r="154" spans="1:12" x14ac:dyDescent="0.3">
      <c r="A154" t="s">
        <v>225</v>
      </c>
      <c r="E154" s="21" t="str">
        <f t="shared" si="14"/>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15"/>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5" spans="1:12" x14ac:dyDescent="0.3">
      <c r="A155" t="s">
        <v>158</v>
      </c>
      <c r="E155" s="21" t="str">
        <f t="shared" si="14"/>
        <v/>
      </c>
      <c r="F155" s="22" t="str">
        <f>IF(OR(E155="",E155="!!!"),"",IF(NOT(ISNA(VLOOKUP(E155,E$1:E154,1,FALSE()))),"OLD",IF(AND(E155&lt;&gt;"",E155&lt;&gt;"!!!"),"NEW","")))</f>
        <v/>
      </c>
      <c r="G155" s="23" t="str">
        <f>IF(OR(E155="",E155="!!!"),"",IF(OR(J155=0,AND(J155=1,K155=1),AND(J155=1,I155="SBJ"),AND(J155=1,I155=0)),"?IN_FOCUS",IF(J155&lt;=2,"?ACTIVATED",IF(J155&lt;&gt;"","?FAMILIAR",IF(F155="NEW",IF(ISNA(VLOOKUP(E155,#REF!,1,FALSE())),"?TYPE_IDENTIFIABLE","?REFERENTIAL"),"_")))))</f>
        <v/>
      </c>
      <c r="H155" s="24" t="str">
        <f t="shared" ca="1" si="15"/>
        <v/>
      </c>
      <c r="I155" s="25" t="str">
        <f>IF(OR(E155="",E155="!!!",F155="NEW"),"",INDEX(B$2:B154,-1+SUMPRODUCT(MAX(ROW(E$2:E154)*(E155=E$2:E154)))))</f>
        <v/>
      </c>
      <c r="J155" s="25" t="str">
        <f ca="1">IF(OR(E155="",E155="!!!",F155="NEW"),"",COUNTBLANK(OFFSET(A$1,,,SUMPRODUCT(MAX(ROW(E$2:E155)*(E155=E$2:E155)))))-COUNTBLANK(OFFSET(A$1,,,SUMPRODUCT(MAX(ROW(E$1:E154)*(E2=E$1:E154))))))</f>
        <v/>
      </c>
      <c r="K155" s="25" t="str">
        <f>IF(OR(E155="",E155="!!!",F155="NEW"),"",INDEX(J$1:J154,SUMPRODUCT(MAX(ROW(E$1:E154)*(E155=E$1:E154)))))</f>
        <v/>
      </c>
      <c r="L155" s="26"/>
    </row>
    <row r="156" spans="1:12" x14ac:dyDescent="0.3">
      <c r="A156" t="s">
        <v>226</v>
      </c>
      <c r="B156" s="20" t="s">
        <v>118</v>
      </c>
      <c r="C156" s="20" t="s">
        <v>128</v>
      </c>
      <c r="D156" s="20" t="s">
        <v>112</v>
      </c>
      <c r="E156" s="21"/>
      <c r="F156" s="22" t="s">
        <v>391</v>
      </c>
      <c r="G156" s="23" t="str">
        <f>IF(OR(E156="",E156="!!!"),"",IF(OR(J156=0,AND(J156=1,K156=1),AND(J156=1,I156="SBJ"),AND(J156=1,I156=0)),"?IN_FOCUS",IF(J156&lt;=2,"?ACTIVATED",IF(J156&lt;&gt;"","?FAMILIAR",IF(F156="NEW",IF(ISNA(VLOOKUP(E156,#REF!,1,FALSE())),"?TYPE_IDENTIFIABLE","?REFERENTIAL"),"_")))))</f>
        <v/>
      </c>
      <c r="H156" s="24" t="str">
        <f t="shared" ca="1" si="15"/>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197</v>
      </c>
      <c r="E157" s="21" t="str">
        <f t="shared" si="14"/>
        <v/>
      </c>
      <c r="F157" s="22" t="str">
        <f>IF(OR(E157="",E157="!!!"),"",IF(NOT(ISNA(VLOOKUP(E157,E$1:E156,1,FALSE()))),"OLD",IF(AND(E157&lt;&gt;"",E157&lt;&gt;"!!!"),"NEW","")))</f>
        <v/>
      </c>
      <c r="G157" s="23" t="str">
        <f>IF(OR(E157="",E157="!!!"),"",IF(OR(J157=0,AND(J157=1,K157=1),AND(J157=1,I157="SBJ"),AND(J157=1,I157=0)),"?IN_FOCUS",IF(J157&lt;=2,"?ACTIVATED",IF(J157&lt;&gt;"","?FAMILIAR",IF(F157="NEW",IF(ISNA(VLOOKUP(E157,#REF!,1,FALSE())),"?TYPE_IDENTIFIABLE","?REFERENTIAL"),"_")))))</f>
        <v/>
      </c>
      <c r="H157" s="24" t="str">
        <f t="shared" ca="1" si="15"/>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227</v>
      </c>
      <c r="E158" s="21" t="s">
        <v>392</v>
      </c>
      <c r="F158" s="22" t="str">
        <f>IF(OR(E158="",E158="!!!"),"",IF(NOT(ISNA(VLOOKUP(E158,E$1:E157,1,FALSE()))),"OLD",IF(AND(E158&lt;&gt;"",E158&lt;&gt;"!!!"),"NEW","")))</f>
        <v>OLD</v>
      </c>
      <c r="G158" s="23" t="s">
        <v>416</v>
      </c>
      <c r="H158" s="24" t="str">
        <f t="shared" ca="1" si="15"/>
        <v/>
      </c>
      <c r="I158" s="25" t="str">
        <f>IF(OR(E158="",E158="!!!",F158="NEW"),"",INDEX(B$2:B157,-1+SUMPRODUCT(MAX(ROW(E$2:E157)*(E158=E$2:E157)))))</f>
        <v>other</v>
      </c>
      <c r="J158" s="25">
        <f ca="1">IF(OR(E158="",E158="!!!",F158="NEW"),"",COUNTBLANK(OFFSET(A$1,,,SUMPRODUCT(MAX(ROW(E$2:E158)*(E158=E$2:E158)))))-COUNTBLANK(OFFSET(A$1,,,SUMPRODUCT(MAX(ROW(E$1:E157)*(E2=E$1:E157))))))</f>
        <v>0</v>
      </c>
      <c r="K158" s="25">
        <f ca="1">IF(OR(E158="",E158="!!!",F158="NEW"),"",INDEX(J$1:J157,SUMPRODUCT(MAX(ROW(E$1:E157)*(E158=E$1:E157)))))</f>
        <v>0</v>
      </c>
      <c r="L158" s="26"/>
    </row>
    <row r="159" spans="1:12" x14ac:dyDescent="0.3">
      <c r="A159" t="s">
        <v>143</v>
      </c>
      <c r="E159" s="21" t="str">
        <f t="shared" si="14"/>
        <v/>
      </c>
      <c r="F159" s="22" t="str">
        <f>IF(OR(E159="",E159="!!!"),"",IF(NOT(ISNA(VLOOKUP(E159,E$1:E158,1,FALSE()))),"OLD",IF(AND(E159&lt;&gt;"",E159&lt;&gt;"!!!"),"NEW","")))</f>
        <v/>
      </c>
      <c r="G159" s="23" t="str">
        <f>IF(OR(E159="",E159="!!!"),"",IF(OR(J159=0,AND(J159=1,K159=1),AND(J159=1,I159="SBJ"),AND(J159=1,I159=0)),"?IN_FOCUS",IF(J159&lt;=2,"?ACTIVATED",IF(J159&lt;&gt;"","?FAMILIAR",IF(F159="NEW",IF(ISNA(VLOOKUP(E159,#REF!,1,FALSE())),"?TYPE_IDENTIFIABLE","?REFERENTIAL"),"_")))))</f>
        <v/>
      </c>
      <c r="H159" s="24" t="str">
        <f t="shared" ca="1" si="15"/>
        <v/>
      </c>
      <c r="I159" s="25" t="str">
        <f>IF(OR(E159="",E159="!!!",F159="NEW"),"",INDEX(B$2:B158,-1+SUMPRODUCT(MAX(ROW(E$2:E158)*(E159=E$2:E158)))))</f>
        <v/>
      </c>
      <c r="J159" s="25" t="str">
        <f ca="1">IF(OR(E159="",E159="!!!",F159="NEW"),"",COUNTBLANK(OFFSET(A$1,,,SUMPRODUCT(MAX(ROW(E$2:E159)*(E159=E$2:E159)))))-COUNTBLANK(OFFSET(A$1,,,SUMPRODUCT(MAX(ROW(E$1:E158)*(E2=E$1:E158))))))</f>
        <v/>
      </c>
      <c r="K159" s="25" t="str">
        <f>IF(OR(E159="",E159="!!!",F159="NEW"),"",INDEX(J$1:J158,SUMPRODUCT(MAX(ROW(E$1:E158)*(E159=E$1:E158)))))</f>
        <v/>
      </c>
      <c r="L159" s="26"/>
    </row>
    <row r="161" spans="1:12" x14ac:dyDescent="0.3">
      <c r="A161" t="s">
        <v>228</v>
      </c>
    </row>
    <row r="162" spans="1:12" x14ac:dyDescent="0.3">
      <c r="A162" t="s">
        <v>126</v>
      </c>
      <c r="E162" s="21" t="str">
        <f t="shared" ref="E162:E181" si="16">IF(D162="?OLD","!!!","")</f>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ref="H162:H181" ca="1" si="17">IF(J162&lt;&gt;1,"",IF(I162="SBJ","CB","?"))</f>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109</v>
      </c>
      <c r="B163" s="20" t="s">
        <v>110</v>
      </c>
      <c r="C163" s="20" t="s">
        <v>111</v>
      </c>
      <c r="D163" s="20" t="s">
        <v>112</v>
      </c>
      <c r="E163" s="21" t="s">
        <v>370</v>
      </c>
      <c r="F163" s="22" t="str">
        <f>IF(OR(E163="",E163="!!!"),"",IF(NOT(ISNA(VLOOKUP(E163,E$1:E162,1,FALSE()))),"OLD",IF(AND(E163&lt;&gt;"",E163&lt;&gt;"!!!"),"NEW","")))</f>
        <v>OLD</v>
      </c>
      <c r="G163" s="23" t="s">
        <v>415</v>
      </c>
      <c r="H163" s="24" t="str">
        <f t="shared" ca="1" si="17"/>
        <v/>
      </c>
      <c r="I163" s="25" t="str">
        <f>IF(OR(E163="",E163="!!!",F163="NEW"),"",INDEX(B$2:B162,-1+SUMPRODUCT(MAX(ROW(E$2:E162)*(E163=E$2:E162)))))</f>
        <v>SBJ_2</v>
      </c>
      <c r="J163" s="25">
        <f ca="1">IF(OR(E163="",E163="!!!",F163="NEW"),"",COUNTBLANK(OFFSET(A$1,,,SUMPRODUCT(MAX(ROW(E$2:E163)*(E163=E$2:E163)))))-COUNTBLANK(OFFSET(A$1,,,SUMPRODUCT(MAX(ROW(E$1:E162)*(E2=E$1:E162))))))</f>
        <v>0</v>
      </c>
      <c r="K163" s="25">
        <f ca="1">IF(OR(E163="",E163="!!!",F163="NEW"),"",INDEX(J$1:J162,SUMPRODUCT(MAX(ROW(E$1:E162)*(E163=E$1:E162)))))</f>
        <v>0</v>
      </c>
      <c r="L163" s="26" t="s">
        <v>424</v>
      </c>
    </row>
    <row r="164" spans="1:12" x14ac:dyDescent="0.3">
      <c r="A164" t="s">
        <v>113</v>
      </c>
      <c r="E164" s="21" t="str">
        <f t="shared" si="16"/>
        <v/>
      </c>
      <c r="F164" s="22" t="str">
        <f>IF(OR(E164="",E164="!!!"),"",IF(NOT(ISNA(VLOOKUP(E164,E$1:E163,1,FALSE()))),"OLD",IF(AND(E164&lt;&gt;"",E164&lt;&gt;"!!!"),"NEW","")))</f>
        <v/>
      </c>
      <c r="G164" s="23" t="str">
        <f>IF(OR(E164="",E164="!!!"),"",IF(OR(J164=0,AND(J164=1,K164=1),AND(J164=1,I164="SBJ"),AND(J164=1,I164=0)),"?IN_FOCUS",IF(J164&lt;=2,"?ACTIVATED",IF(J164&lt;&gt;"","?FAMILIAR",IF(F164="NEW",IF(ISNA(VLOOKUP(E164,#REF!,1,FALSE())),"?TYPE_IDENTIFIABLE","?REFERENTIAL"),"_")))))</f>
        <v/>
      </c>
      <c r="H164" s="24" t="str">
        <f t="shared" ca="1" si="17"/>
        <v/>
      </c>
      <c r="I164" s="25" t="str">
        <f>IF(OR(E164="",E164="!!!",F164="NEW"),"",INDEX(B$2:B163,-1+SUMPRODUCT(MAX(ROW(E$2:E163)*(E164=E$2:E163)))))</f>
        <v/>
      </c>
      <c r="J164" s="25" t="str">
        <f ca="1">IF(OR(E164="",E164="!!!",F164="NEW"),"",COUNTBLANK(OFFSET(A$1,,,SUMPRODUCT(MAX(ROW(E$2:E164)*(E164=E$2:E164)))))-COUNTBLANK(OFFSET(A$1,,,SUMPRODUCT(MAX(ROW(E$1:E163)*(E2=E$1:E163))))))</f>
        <v/>
      </c>
      <c r="K164" s="25" t="str">
        <f>IF(OR(E164="",E164="!!!",F164="NEW"),"",INDEX(J$1:J163,SUMPRODUCT(MAX(ROW(E$1:E163)*(E164=E$1:E163)))))</f>
        <v/>
      </c>
      <c r="L164" s="26"/>
    </row>
    <row r="165" spans="1:12" x14ac:dyDescent="0.3">
      <c r="A165" t="s">
        <v>114</v>
      </c>
      <c r="E165" s="21" t="str">
        <f t="shared" si="16"/>
        <v/>
      </c>
      <c r="F165" s="22" t="str">
        <f>IF(OR(E165="",E165="!!!"),"",IF(NOT(ISNA(VLOOKUP(E165,E$1:E164,1,FALSE()))),"OLD",IF(AND(E165&lt;&gt;"",E165&lt;&gt;"!!!"),"NEW","")))</f>
        <v/>
      </c>
      <c r="G165" s="23" t="str">
        <f>IF(OR(E165="",E165="!!!"),"",IF(OR(J165=0,AND(J165=1,K165=1),AND(J165=1,I165="SBJ"),AND(J165=1,I165=0)),"?IN_FOCUS",IF(J165&lt;=2,"?ACTIVATED",IF(J165&lt;&gt;"","?FAMILIAR",IF(F165="NEW",IF(ISNA(VLOOKUP(E165,#REF!,1,FALSE())),"?TYPE_IDENTIFIABLE","?REFERENTIAL"),"_")))))</f>
        <v/>
      </c>
      <c r="H165" s="24" t="str">
        <f t="shared" ca="1" si="17"/>
        <v/>
      </c>
      <c r="I165" s="25" t="str">
        <f>IF(OR(E165="",E165="!!!",F165="NEW"),"",INDEX(B$2:B164,-1+SUMPRODUCT(MAX(ROW(E$2:E164)*(E165=E$2:E164)))))</f>
        <v/>
      </c>
      <c r="J165" s="25" t="str">
        <f ca="1">IF(OR(E165="",E165="!!!",F165="NEW"),"",COUNTBLANK(OFFSET(A$1,,,SUMPRODUCT(MAX(ROW(E$2:E165)*(E165=E$2:E165)))))-COUNTBLANK(OFFSET(A$1,,,SUMPRODUCT(MAX(ROW(E$1:E164)*(E2=E$1:E164))))))</f>
        <v/>
      </c>
      <c r="K165" s="25" t="str">
        <f>IF(OR(E165="",E165="!!!",F165="NEW"),"",INDEX(J$1:J164,SUMPRODUCT(MAX(ROW(E$1:E164)*(E165=E$1:E164)))))</f>
        <v/>
      </c>
      <c r="L165" s="26"/>
    </row>
    <row r="166" spans="1:12" x14ac:dyDescent="0.3">
      <c r="A166" t="s">
        <v>115</v>
      </c>
      <c r="E166" s="21" t="str">
        <f t="shared" si="16"/>
        <v/>
      </c>
      <c r="F166" s="22" t="str">
        <f>IF(OR(E166="",E166="!!!"),"",IF(NOT(ISNA(VLOOKUP(E166,E$1:E165,1,FALSE()))),"OLD",IF(AND(E166&lt;&gt;"",E166&lt;&gt;"!!!"),"NEW","")))</f>
        <v/>
      </c>
      <c r="G166" s="23" t="str">
        <f>IF(OR(E166="",E166="!!!"),"",IF(OR(J166=0,AND(J166=1,K166=1),AND(J166=1,I166="SBJ"),AND(J166=1,I166=0)),"?IN_FOCUS",IF(J166&lt;=2,"?ACTIVATED",IF(J166&lt;&gt;"","?FAMILIAR",IF(F166="NEW",IF(ISNA(VLOOKUP(E166,#REF!,1,FALSE())),"?TYPE_IDENTIFIABLE","?REFERENTIAL"),"_")))))</f>
        <v/>
      </c>
      <c r="H166" s="24" t="str">
        <f t="shared" ca="1" si="17"/>
        <v/>
      </c>
      <c r="I166" s="25" t="str">
        <f>IF(OR(E166="",E166="!!!",F166="NEW"),"",INDEX(B$2:B165,-1+SUMPRODUCT(MAX(ROW(E$2:E165)*(E166=E$2:E165)))))</f>
        <v/>
      </c>
      <c r="J166" s="25" t="str">
        <f ca="1">IF(OR(E166="",E166="!!!",F166="NEW"),"",COUNTBLANK(OFFSET(A$1,,,SUMPRODUCT(MAX(ROW(E$2:E166)*(E166=E$2:E166)))))-COUNTBLANK(OFFSET(A$1,,,SUMPRODUCT(MAX(ROW(E$1:E165)*(E2=E$1:E165))))))</f>
        <v/>
      </c>
      <c r="K166" s="25" t="str">
        <f>IF(OR(E166="",E166="!!!",F166="NEW"),"",INDEX(J$1:J165,SUMPRODUCT(MAX(ROW(E$1:E165)*(E166=E$1:E165)))))</f>
        <v/>
      </c>
      <c r="L166" s="26"/>
    </row>
    <row r="167" spans="1:12" x14ac:dyDescent="0.3">
      <c r="A167" t="s">
        <v>145</v>
      </c>
      <c r="E167" s="21" t="str">
        <f t="shared" si="16"/>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7"/>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229</v>
      </c>
      <c r="E168" s="21" t="str">
        <f t="shared" si="16"/>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ca="1" si="17"/>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116</v>
      </c>
      <c r="E169" s="21" t="str">
        <f t="shared" si="16"/>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7"/>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117</v>
      </c>
      <c r="B170" s="20" t="s">
        <v>134</v>
      </c>
      <c r="C170" s="20" t="s">
        <v>196</v>
      </c>
      <c r="E170" s="21" t="s">
        <v>389</v>
      </c>
      <c r="F170" s="22" t="str">
        <f>IF(OR(E170="",E170="!!!"),"",IF(NOT(ISNA(VLOOKUP(E170,E$1:E169,1,FALSE()))),"OLD",IF(AND(E170&lt;&gt;"",E170&lt;&gt;"!!!"),"NEW","")))</f>
        <v>NEW</v>
      </c>
      <c r="G170" s="23" t="s">
        <v>102</v>
      </c>
      <c r="H170" s="24" t="str">
        <f t="shared" ca="1" si="17"/>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t="s">
        <v>425</v>
      </c>
    </row>
    <row r="171" spans="1:12" x14ac:dyDescent="0.3">
      <c r="A171" t="s">
        <v>225</v>
      </c>
      <c r="E171" s="21" t="str">
        <f t="shared" si="16"/>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7"/>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230</v>
      </c>
      <c r="B172" s="20" t="s">
        <v>118</v>
      </c>
      <c r="C172" s="20" t="s">
        <v>111</v>
      </c>
      <c r="D172" s="20" t="s">
        <v>112</v>
      </c>
      <c r="E172" s="21" t="s">
        <v>368</v>
      </c>
      <c r="F172" s="22" t="str">
        <f>IF(OR(E172="",E172="!!!"),"",IF(NOT(ISNA(VLOOKUP(E172,E$1:E171,1,FALSE()))),"OLD",IF(AND(E172&lt;&gt;"",E172&lt;&gt;"!!!"),"NEW","")))</f>
        <v>OLD</v>
      </c>
      <c r="G172" s="23" t="s">
        <v>369</v>
      </c>
      <c r="H172" s="24" t="str">
        <f t="shared" ca="1" si="17"/>
        <v/>
      </c>
      <c r="I172" s="25" t="str">
        <f>IF(OR(E172="",E172="!!!",F172="NEW"),"",INDEX(B$2:B171,-1+SUMPRODUCT(MAX(ROW(E$2:E171)*(E172=E$2:E171)))))</f>
        <v>other_2</v>
      </c>
      <c r="J172" s="25">
        <f ca="1">IF(OR(E172="",E172="!!!",F172="NEW"),"",COUNTBLANK(OFFSET(A$1,,,SUMPRODUCT(MAX(ROW(E$2:E172)*(E172=E$2:E172)))))-COUNTBLANK(OFFSET(A$1,,,SUMPRODUCT(MAX(ROW(E$1:E171)*(E2=E$1:E171))))))</f>
        <v>0</v>
      </c>
      <c r="K172" s="25">
        <f ca="1">IF(OR(E172="",E172="!!!",F172="NEW"),"",INDEX(J$1:J171,SUMPRODUCT(MAX(ROW(E$1:E171)*(E172=E$1:E171)))))</f>
        <v>0</v>
      </c>
      <c r="L172" s="26"/>
    </row>
    <row r="173" spans="1:12" x14ac:dyDescent="0.3">
      <c r="A173" t="s">
        <v>13</v>
      </c>
      <c r="E173" s="21" t="str">
        <f t="shared" si="16"/>
        <v/>
      </c>
      <c r="F173" s="22" t="str">
        <f>IF(OR(E173="",E173="!!!"),"",IF(NOT(ISNA(VLOOKUP(E173,E$1:E172,1,FALSE()))),"OLD",IF(AND(E173&lt;&gt;"",E173&lt;&gt;"!!!"),"NEW","")))</f>
        <v/>
      </c>
      <c r="G173" s="23" t="str">
        <f>IF(OR(E173="",E173="!!!"),"",IF(OR(J173=0,AND(J173=1,K173=1),AND(J173=1,I173="SBJ"),AND(J173=1,I173=0)),"?IN_FOCUS",IF(J173&lt;=2,"?ACTIVATED",IF(J173&lt;&gt;"","?FAMILIAR",IF(F173="NEW",IF(ISNA(VLOOKUP(E173,#REF!,1,FALSE())),"?TYPE_IDENTIFIABLE","?REFERENTIAL"),"_")))))</f>
        <v/>
      </c>
      <c r="H173" s="24" t="str">
        <f t="shared" ca="1" si="17"/>
        <v/>
      </c>
      <c r="I173" s="25" t="str">
        <f>IF(OR(E173="",E173="!!!",F173="NEW"),"",INDEX(B$2:B172,-1+SUMPRODUCT(MAX(ROW(E$2:E172)*(E173=E$2:E172)))))</f>
        <v/>
      </c>
      <c r="J173" s="25" t="str">
        <f ca="1">IF(OR(E173="",E173="!!!",F173="NEW"),"",COUNTBLANK(OFFSET(A$1,,,SUMPRODUCT(MAX(ROW(E$2:E173)*(E173=E$2:E173)))))-COUNTBLANK(OFFSET(A$1,,,SUMPRODUCT(MAX(ROW(E$1:E172)*(E2=E$1:E172))))))</f>
        <v/>
      </c>
      <c r="K173" s="25" t="str">
        <f>IF(OR(E173="",E173="!!!",F173="NEW"),"",INDEX(J$1:J172,SUMPRODUCT(MAX(ROW(E$1:E172)*(E173=E$1:E172)))))</f>
        <v/>
      </c>
      <c r="L173" s="26"/>
    </row>
    <row r="174" spans="1:12" x14ac:dyDescent="0.3">
      <c r="A174" t="s">
        <v>146</v>
      </c>
      <c r="E174" s="21" t="str">
        <f t="shared" si="16"/>
        <v/>
      </c>
      <c r="F174" s="22" t="str">
        <f>IF(OR(E174="",E174="!!!"),"",IF(NOT(ISNA(VLOOKUP(E174,E$1:E173,1,FALSE()))),"OLD",IF(AND(E174&lt;&gt;"",E174&lt;&gt;"!!!"),"NEW","")))</f>
        <v/>
      </c>
      <c r="G174" s="23" t="str">
        <f>IF(OR(E174="",E174="!!!"),"",IF(OR(J174=0,AND(J174=1,K174=1),AND(J174=1,I174="SBJ"),AND(J174=1,I174=0)),"?IN_FOCUS",IF(J174&lt;=2,"?ACTIVATED",IF(J174&lt;&gt;"","?FAMILIAR",IF(F174="NEW",IF(ISNA(VLOOKUP(E174,#REF!,1,FALSE())),"?TYPE_IDENTIFIABLE","?REFERENTIAL"),"_")))))</f>
        <v/>
      </c>
      <c r="H174" s="24" t="str">
        <f t="shared" ca="1" si="17"/>
        <v/>
      </c>
      <c r="I174" s="25" t="str">
        <f>IF(OR(E174="",E174="!!!",F174="NEW"),"",INDEX(B$2:B173,-1+SUMPRODUCT(MAX(ROW(E$2:E173)*(E174=E$2:E173)))))</f>
        <v/>
      </c>
      <c r="J174" s="25" t="str">
        <f ca="1">IF(OR(E174="",E174="!!!",F174="NEW"),"",COUNTBLANK(OFFSET(A$1,,,SUMPRODUCT(MAX(ROW(E$2:E174)*(E174=E$2:E174)))))-COUNTBLANK(OFFSET(A$1,,,SUMPRODUCT(MAX(ROW(E$1:E173)*(E2=E$1:E173))))))</f>
        <v/>
      </c>
      <c r="K174" s="25" t="str">
        <f>IF(OR(E174="",E174="!!!",F174="NEW"),"",INDEX(J$1:J173,SUMPRODUCT(MAX(ROW(E$1:E173)*(E174=E$1:E173)))))</f>
        <v/>
      </c>
      <c r="L174" s="26"/>
    </row>
    <row r="175" spans="1:12" x14ac:dyDescent="0.3">
      <c r="A175" t="s">
        <v>155</v>
      </c>
      <c r="E175" s="21" t="str">
        <f t="shared" si="16"/>
        <v/>
      </c>
      <c r="F175" s="22" t="str">
        <f>IF(OR(E175="",E175="!!!"),"",IF(NOT(ISNA(VLOOKUP(E175,E$1:E174,1,FALSE()))),"OLD",IF(AND(E175&lt;&gt;"",E175&lt;&gt;"!!!"),"NEW","")))</f>
        <v/>
      </c>
      <c r="G175" s="23" t="str">
        <f>IF(OR(E175="",E175="!!!"),"",IF(OR(J175=0,AND(J175=1,K175=1),AND(J175=1,I175="SBJ"),AND(J175=1,I175=0)),"?IN_FOCUS",IF(J175&lt;=2,"?ACTIVATED",IF(J175&lt;&gt;"","?FAMILIAR",IF(F175="NEW",IF(ISNA(VLOOKUP(E175,#REF!,1,FALSE())),"?TYPE_IDENTIFIABLE","?REFERENTIAL"),"_")))))</f>
        <v/>
      </c>
      <c r="H175" s="24" t="str">
        <f t="shared" ca="1" si="17"/>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231</v>
      </c>
      <c r="E176" s="21" t="str">
        <f t="shared" si="16"/>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ca="1" si="17"/>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145</v>
      </c>
      <c r="E177" s="21" t="str">
        <f t="shared" si="16"/>
        <v/>
      </c>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7"/>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row>
    <row r="178" spans="1:12" x14ac:dyDescent="0.3">
      <c r="A178" t="s">
        <v>123</v>
      </c>
      <c r="E178" s="21" t="str">
        <f t="shared" si="16"/>
        <v/>
      </c>
      <c r="F178" s="22" t="str">
        <f>IF(OR(E178="",E178="!!!"),"",IF(NOT(ISNA(VLOOKUP(E178,E$1:E177,1,FALSE()))),"OLD",IF(AND(E178&lt;&gt;"",E178&lt;&gt;"!!!"),"NEW","")))</f>
        <v/>
      </c>
      <c r="G178" s="23" t="str">
        <f>IF(OR(E178="",E178="!!!"),"",IF(OR(J178=0,AND(J178=1,K178=1),AND(J178=1,I178="SBJ"),AND(J178=1,I178=0)),"?IN_FOCUS",IF(J178&lt;=2,"?ACTIVATED",IF(J178&lt;&gt;"","?FAMILIAR",IF(F178="NEW",IF(ISNA(VLOOKUP(E178,#REF!,1,FALSE())),"?TYPE_IDENTIFIABLE","?REFERENTIAL"),"_")))))</f>
        <v/>
      </c>
      <c r="H178" s="24" t="str">
        <f t="shared" ca="1" si="17"/>
        <v/>
      </c>
      <c r="I178" s="25" t="str">
        <f>IF(OR(E178="",E178="!!!",F178="NEW"),"",INDEX(B$2:B177,-1+SUMPRODUCT(MAX(ROW(E$2:E177)*(E178=E$2:E177)))))</f>
        <v/>
      </c>
      <c r="J178" s="25" t="str">
        <f ca="1">IF(OR(E178="",E178="!!!",F178="NEW"),"",COUNTBLANK(OFFSET(A$1,,,SUMPRODUCT(MAX(ROW(E$2:E178)*(E178=E$2:E178)))))-COUNTBLANK(OFFSET(A$1,,,SUMPRODUCT(MAX(ROW(E$1:E177)*(E2=E$1:E177))))))</f>
        <v/>
      </c>
      <c r="K178" s="25" t="str">
        <f>IF(OR(E178="",E178="!!!",F178="NEW"),"",INDEX(J$1:J177,SUMPRODUCT(MAX(ROW(E$1:E177)*(E178=E$1:E177)))))</f>
        <v/>
      </c>
      <c r="L178" s="26"/>
    </row>
    <row r="179" spans="1:12" x14ac:dyDescent="0.3">
      <c r="A179" t="s">
        <v>232</v>
      </c>
      <c r="E179" s="21" t="str">
        <f t="shared" si="16"/>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7"/>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68</v>
      </c>
      <c r="E180" s="21" t="str">
        <f t="shared" si="16"/>
        <v/>
      </c>
      <c r="F180" s="22" t="str">
        <f>IF(OR(E180="",E180="!!!"),"",IF(NOT(ISNA(VLOOKUP(E180,E$1:E179,1,FALSE()))),"OLD",IF(AND(E180&lt;&gt;"",E180&lt;&gt;"!!!"),"NEW","")))</f>
        <v/>
      </c>
      <c r="G180" s="23" t="str">
        <f>IF(OR(E180="",E180="!!!"),"",IF(OR(J180=0,AND(J180=1,K180=1),AND(J180=1,I180="SBJ"),AND(J180=1,I180=0)),"?IN_FOCUS",IF(J180&lt;=2,"?ACTIVATED",IF(J180&lt;&gt;"","?FAMILIAR",IF(F180="NEW",IF(ISNA(VLOOKUP(E180,#REF!,1,FALSE())),"?TYPE_IDENTIFIABLE","?REFERENTIAL"),"_")))))</f>
        <v/>
      </c>
      <c r="H180" s="24" t="str">
        <f t="shared" ca="1" si="17"/>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143</v>
      </c>
      <c r="E181" s="21" t="str">
        <f t="shared" si="16"/>
        <v/>
      </c>
      <c r="F181" s="22" t="str">
        <f>IF(OR(E181="",E181="!!!"),"",IF(NOT(ISNA(VLOOKUP(E181,E$1:E180,1,FALSE()))),"OLD",IF(AND(E181&lt;&gt;"",E181&lt;&gt;"!!!"),"NEW","")))</f>
        <v/>
      </c>
      <c r="G181" s="23" t="str">
        <f>IF(OR(E181="",E181="!!!"),"",IF(OR(J181=0,AND(J181=1,K181=1),AND(J181=1,I181="SBJ"),AND(J181=1,I181=0)),"?IN_FOCUS",IF(J181&lt;=2,"?ACTIVATED",IF(J181&lt;&gt;"","?FAMILIAR",IF(F181="NEW",IF(ISNA(VLOOKUP(E181,#REF!,1,FALSE())),"?TYPE_IDENTIFIABLE","?REFERENTIAL"),"_")))))</f>
        <v/>
      </c>
      <c r="H181" s="24" t="str">
        <f t="shared" ca="1" si="17"/>
        <v/>
      </c>
      <c r="I181" s="25" t="str">
        <f>IF(OR(E181="",E181="!!!",F181="NEW"),"",INDEX(B$2:B180,-1+SUMPRODUCT(MAX(ROW(E$2:E180)*(E181=E$2:E180)))))</f>
        <v/>
      </c>
      <c r="J181" s="25" t="str">
        <f ca="1">IF(OR(E181="",E181="!!!",F181="NEW"),"",COUNTBLANK(OFFSET(A$1,,,SUMPRODUCT(MAX(ROW(E$2:E181)*(E181=E$2:E181)))))-COUNTBLANK(OFFSET(A$1,,,SUMPRODUCT(MAX(ROW(E$1:E180)*(E2=E$1:E180))))))</f>
        <v/>
      </c>
      <c r="K181" s="25" t="str">
        <f>IF(OR(E181="",E181="!!!",F181="NEW"),"",INDEX(J$1:J180,SUMPRODUCT(MAX(ROW(E$1:E180)*(E181=E$1:E180)))))</f>
        <v/>
      </c>
      <c r="L181" s="26"/>
    </row>
    <row r="183" spans="1:12" x14ac:dyDescent="0.3">
      <c r="A183" t="s">
        <v>233</v>
      </c>
    </row>
    <row r="184" spans="1:12" x14ac:dyDescent="0.3">
      <c r="A184" t="s">
        <v>182</v>
      </c>
      <c r="E184" s="21" t="str">
        <f t="shared" ref="E184:E202" si="18">IF(D184="?OLD","!!!","")</f>
        <v/>
      </c>
      <c r="F184" s="22" t="str">
        <f>IF(OR(E184="",E184="!!!"),"",IF(NOT(ISNA(VLOOKUP(E184,E$1:E183,1,FALSE()))),"OLD",IF(AND(E184&lt;&gt;"",E184&lt;&gt;"!!!"),"NEW","")))</f>
        <v/>
      </c>
      <c r="G184" s="23" t="str">
        <f>IF(OR(E184="",E184="!!!"),"",IF(OR(J184=0,AND(J184=1,K184=1),AND(J184=1,I184="SBJ"),AND(J184=1,I184=0)),"?IN_FOCUS",IF(J184&lt;=2,"?ACTIVATED",IF(J184&lt;&gt;"","?FAMILIAR",IF(F184="NEW",IF(ISNA(VLOOKUP(E184,#REF!,1,FALSE())),"?TYPE_IDENTIFIABLE","?REFERENTIAL"),"_")))))</f>
        <v/>
      </c>
      <c r="H184" s="24" t="str">
        <f t="shared" ref="H184:H202" ca="1" si="19">IF(J184&lt;&gt;1,"",IF(I184="SBJ","CB","?"))</f>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234</v>
      </c>
      <c r="B185" s="20" t="s">
        <v>134</v>
      </c>
      <c r="C185" s="20" t="s">
        <v>111</v>
      </c>
      <c r="D185" s="20" t="s">
        <v>112</v>
      </c>
      <c r="E185" s="21" t="s">
        <v>379</v>
      </c>
      <c r="F185" s="22" t="str">
        <f>IF(OR(E185="",E185="!!!"),"",IF(NOT(ISNA(VLOOKUP(E185,E$1:E184,1,FALSE()))),"OLD",IF(AND(E185&lt;&gt;"",E185&lt;&gt;"!!!"),"NEW","")))</f>
        <v>NEW</v>
      </c>
      <c r="G185" s="23" t="s">
        <v>369</v>
      </c>
      <c r="H185" s="24" t="str">
        <f t="shared" ca="1" si="19"/>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177</v>
      </c>
      <c r="E186" s="21" t="str">
        <f t="shared" si="18"/>
        <v/>
      </c>
      <c r="F186" s="22" t="str">
        <f>IF(OR(E186="",E186="!!!"),"",IF(NOT(ISNA(VLOOKUP(E186,E$1:E185,1,FALSE()))),"OLD",IF(AND(E186&lt;&gt;"",E186&lt;&gt;"!!!"),"NEW","")))</f>
        <v/>
      </c>
      <c r="G186" s="23" t="str">
        <f>IF(OR(E186="",E186="!!!"),"",IF(OR(J186=0,AND(J186=1,K186=1),AND(J186=1,I186="SBJ"),AND(J186=1,I186=0)),"?IN_FOCUS",IF(J186&lt;=2,"?ACTIVATED",IF(J186&lt;&gt;"","?FAMILIAR",IF(F186="NEW",IF(ISNA(VLOOKUP(E186,#REF!,1,FALSE())),"?TYPE_IDENTIFIABLE","?REFERENTIAL"),"_")))))</f>
        <v/>
      </c>
      <c r="H186" s="24" t="str">
        <f t="shared" ca="1" si="19"/>
        <v/>
      </c>
      <c r="I186" s="25" t="str">
        <f>IF(OR(E186="",E186="!!!",F186="NEW"),"",INDEX(B$2:B185,-1+SUMPRODUCT(MAX(ROW(E$2:E185)*(E186=E$2:E185)))))</f>
        <v/>
      </c>
      <c r="J186" s="25" t="str">
        <f ca="1">IF(OR(E186="",E186="!!!",F186="NEW"),"",COUNTBLANK(OFFSET(A$1,,,SUMPRODUCT(MAX(ROW(E$2:E186)*(E186=E$2:E186)))))-COUNTBLANK(OFFSET(A$1,,,SUMPRODUCT(MAX(ROW(E$1:E185)*(E2=E$1:E185))))))</f>
        <v/>
      </c>
      <c r="K186" s="25" t="str">
        <f>IF(OR(E186="",E186="!!!",F186="NEW"),"",INDEX(J$1:J185,SUMPRODUCT(MAX(ROW(E$1:E185)*(E186=E$1:E185)))))</f>
        <v/>
      </c>
      <c r="L186" s="26"/>
    </row>
    <row r="187" spans="1:12" x14ac:dyDescent="0.3">
      <c r="A187" t="s">
        <v>235</v>
      </c>
      <c r="B187" s="20" t="s">
        <v>118</v>
      </c>
      <c r="C187" s="20" t="s">
        <v>111</v>
      </c>
      <c r="D187" s="20" t="s">
        <v>112</v>
      </c>
      <c r="E187" s="21" t="s">
        <v>380</v>
      </c>
      <c r="F187" s="22" t="str">
        <f>IF(OR(E187="",E187="!!!"),"",IF(NOT(ISNA(VLOOKUP(E187,E$1:E186,1,FALSE()))),"OLD",IF(AND(E187&lt;&gt;"",E187&lt;&gt;"!!!"),"NEW","")))</f>
        <v>NEW</v>
      </c>
      <c r="G187" s="23" t="s">
        <v>369</v>
      </c>
      <c r="H187" s="24" t="str">
        <f t="shared" ca="1" si="19"/>
        <v/>
      </c>
      <c r="I187" s="25" t="str">
        <f>IF(OR(E187="",E187="!!!",F187="NEW"),"",INDEX(B$2:B186,-1+SUMPRODUCT(MAX(ROW(E$2:E186)*(E187=E$2:E186)))))</f>
        <v/>
      </c>
      <c r="J187" s="25" t="str">
        <f ca="1">IF(OR(E187="",E187="!!!",F187="NEW"),"",COUNTBLANK(OFFSET(A$1,,,SUMPRODUCT(MAX(ROW(E$2:E187)*(E187=E$2:E187)))))-COUNTBLANK(OFFSET(A$1,,,SUMPRODUCT(MAX(ROW(E$1:E186)*(E2=E$1:E186))))))</f>
        <v/>
      </c>
      <c r="K187" s="25" t="str">
        <f>IF(OR(E187="",E187="!!!",F187="NEW"),"",INDEX(J$1:J186,SUMPRODUCT(MAX(ROW(E$1:E186)*(E187=E$1:E186)))))</f>
        <v/>
      </c>
      <c r="L187" s="26"/>
    </row>
    <row r="188" spans="1:12" x14ac:dyDescent="0.3">
      <c r="A188" t="s">
        <v>68</v>
      </c>
      <c r="E188" s="21" t="str">
        <f t="shared" si="18"/>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9"/>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236</v>
      </c>
      <c r="B189" s="20" t="s">
        <v>118</v>
      </c>
      <c r="C189" s="20" t="s">
        <v>215</v>
      </c>
      <c r="E189" s="21" t="str">
        <f t="shared" si="18"/>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9"/>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0" spans="1:12" x14ac:dyDescent="0.3">
      <c r="A190" t="s">
        <v>237</v>
      </c>
      <c r="B190" s="20" t="s">
        <v>153</v>
      </c>
      <c r="C190" s="20" t="s">
        <v>111</v>
      </c>
      <c r="D190" s="20" t="s">
        <v>112</v>
      </c>
      <c r="E190" s="21" t="s">
        <v>393</v>
      </c>
      <c r="F190" s="22" t="str">
        <f>IF(OR(E190="",E190="!!!"),"",IF(NOT(ISNA(VLOOKUP(E190,E$1:E189,1,FALSE()))),"OLD",IF(AND(E190&lt;&gt;"",E190&lt;&gt;"!!!"),"NEW","")))</f>
        <v>NEW</v>
      </c>
      <c r="G190" s="23" t="s">
        <v>414</v>
      </c>
      <c r="H190" s="24" t="s">
        <v>104</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238</v>
      </c>
      <c r="E191" s="21" t="str">
        <f t="shared" si="18"/>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9"/>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155</v>
      </c>
      <c r="E192" s="21" t="str">
        <f t="shared" si="18"/>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9"/>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135</v>
      </c>
      <c r="E193" s="21" t="str">
        <f t="shared" si="18"/>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9"/>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239</v>
      </c>
      <c r="E194" s="21" t="str">
        <f t="shared" si="18"/>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19"/>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240</v>
      </c>
      <c r="B195" s="20" t="s">
        <v>118</v>
      </c>
      <c r="C195" s="20" t="s">
        <v>128</v>
      </c>
      <c r="D195" s="20" t="s">
        <v>112</v>
      </c>
      <c r="E195" s="21" t="s">
        <v>394</v>
      </c>
      <c r="F195" s="22" t="str">
        <f>IF(OR(E195="",E195="!!!"),"",IF(NOT(ISNA(VLOOKUP(E195,E$1:E194,1,FALSE()))),"OLD",IF(AND(E195&lt;&gt;"",E195&lt;&gt;"!!!"),"NEW","")))</f>
        <v>NEW</v>
      </c>
      <c r="G195" s="23" t="s">
        <v>416</v>
      </c>
      <c r="H195" s="24" t="str">
        <f t="shared" ca="1" si="19"/>
        <v/>
      </c>
      <c r="I195" s="25" t="str">
        <f>IF(OR(E195="",E195="!!!",F195="NEW"),"",INDEX(B$2:B194,-1+SUMPRODUCT(MAX(ROW(E$2:E194)*(E195=E$2:E194)))))</f>
        <v/>
      </c>
      <c r="J195" s="25" t="str">
        <f ca="1">IF(OR(E195="",E195="!!!",F195="NEW"),"",COUNTBLANK(OFFSET(A$1,,,SUMPRODUCT(MAX(ROW(E$2:E195)*(E195=E$2:E195)))))-COUNTBLANK(OFFSET(A$1,,,SUMPRODUCT(MAX(ROW(E$1:E194)*(E2=E$1:E194))))))</f>
        <v/>
      </c>
      <c r="K195" s="25" t="str">
        <f>IF(OR(E195="",E195="!!!",F195="NEW"),"",INDEX(J$1:J194,SUMPRODUCT(MAX(ROW(E$1:E194)*(E195=E$1:E194)))))</f>
        <v/>
      </c>
      <c r="L195" s="26"/>
    </row>
    <row r="196" spans="1:12" x14ac:dyDescent="0.3">
      <c r="A196" t="s">
        <v>177</v>
      </c>
      <c r="E196" s="21" t="str">
        <f t="shared" si="18"/>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ca="1" si="19"/>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157</v>
      </c>
      <c r="E197" s="21" t="str">
        <f t="shared" si="18"/>
        <v/>
      </c>
      <c r="F197" s="22" t="str">
        <f>IF(OR(E197="",E197="!!!"),"",IF(NOT(ISNA(VLOOKUP(E197,E$1:E196,1,FALSE()))),"OLD",IF(AND(E197&lt;&gt;"",E197&lt;&gt;"!!!"),"NEW","")))</f>
        <v/>
      </c>
      <c r="G197" s="23" t="str">
        <f>IF(OR(E197="",E197="!!!"),"",IF(OR(J197=0,AND(J197=1,K197=1),AND(J197=1,I197="SBJ"),AND(J197=1,I197=0)),"?IN_FOCUS",IF(J197&lt;=2,"?ACTIVATED",IF(J197&lt;&gt;"","?FAMILIAR",IF(F197="NEW",IF(ISNA(VLOOKUP(E197,#REF!,1,FALSE())),"?TYPE_IDENTIFIABLE","?REFERENTIAL"),"_")))))</f>
        <v/>
      </c>
      <c r="H197" s="24" t="str">
        <f t="shared" ca="1" si="19"/>
        <v/>
      </c>
      <c r="I197" s="25" t="str">
        <f>IF(OR(E197="",E197="!!!",F197="NEW"),"",INDEX(B$2:B196,-1+SUMPRODUCT(MAX(ROW(E$2:E196)*(E197=E$2:E196)))))</f>
        <v/>
      </c>
      <c r="J197" s="25" t="str">
        <f ca="1">IF(OR(E197="",E197="!!!",F197="NEW"),"",COUNTBLANK(OFFSET(A$1,,,SUMPRODUCT(MAX(ROW(E$2:E197)*(E197=E$2:E197)))))-COUNTBLANK(OFFSET(A$1,,,SUMPRODUCT(MAX(ROW(E$1:E196)*(E2=E$1:E196))))))</f>
        <v/>
      </c>
      <c r="K197" s="25" t="str">
        <f>IF(OR(E197="",E197="!!!",F197="NEW"),"",INDEX(J$1:J196,SUMPRODUCT(MAX(ROW(E$1:E196)*(E197=E$1:E196)))))</f>
        <v/>
      </c>
      <c r="L197" s="26"/>
    </row>
    <row r="198" spans="1:12" x14ac:dyDescent="0.3">
      <c r="A198" t="s">
        <v>241</v>
      </c>
      <c r="B198" s="20" t="s">
        <v>118</v>
      </c>
      <c r="C198" s="20" t="s">
        <v>128</v>
      </c>
      <c r="D198" s="20" t="s">
        <v>112</v>
      </c>
      <c r="E198" s="21" t="s">
        <v>395</v>
      </c>
      <c r="F198" s="22" t="str">
        <f>IF(OR(E198="",E198="!!!"),"",IF(NOT(ISNA(VLOOKUP(E198,E$1:E197,1,FALSE()))),"OLD",IF(AND(E198&lt;&gt;"",E198&lt;&gt;"!!!"),"NEW","")))</f>
        <v>NEW</v>
      </c>
      <c r="G198" s="23" t="s">
        <v>416</v>
      </c>
      <c r="H198" s="24" t="str">
        <f t="shared" ca="1" si="19"/>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199" spans="1:12" x14ac:dyDescent="0.3">
      <c r="A199" t="s">
        <v>197</v>
      </c>
      <c r="B199" s="20" t="s">
        <v>118</v>
      </c>
      <c r="C199" s="20" t="s">
        <v>215</v>
      </c>
      <c r="E199" s="21" t="str">
        <f t="shared" si="18"/>
        <v/>
      </c>
      <c r="F199" s="22" t="str">
        <f>IF(OR(E199="",E199="!!!"),"",IF(NOT(ISNA(VLOOKUP(E199,E$1:E198,1,FALSE()))),"OLD",IF(AND(E199&lt;&gt;"",E199&lt;&gt;"!!!"),"NEW","")))</f>
        <v/>
      </c>
      <c r="G199" s="23" t="str">
        <f>IF(OR(E199="",E199="!!!"),"",IF(OR(J199=0,AND(J199=1,K199=1),AND(J199=1,I199="SBJ"),AND(J199=1,I199=0)),"?IN_FOCUS",IF(J199&lt;=2,"?ACTIVATED",IF(J199&lt;&gt;"","?FAMILIAR",IF(F199="NEW",IF(ISNA(VLOOKUP(E199,#REF!,1,FALSE())),"?TYPE_IDENTIFIABLE","?REFERENTIAL"),"_")))))</f>
        <v/>
      </c>
      <c r="H199" s="24" t="str">
        <f t="shared" ca="1" si="19"/>
        <v/>
      </c>
      <c r="I199" s="25" t="str">
        <f>IF(OR(E199="",E199="!!!",F199="NEW"),"",INDEX(B$2:B198,-1+SUMPRODUCT(MAX(ROW(E$2:E198)*(E199=E$2:E198)))))</f>
        <v/>
      </c>
      <c r="J199" s="25" t="str">
        <f ca="1">IF(OR(E199="",E199="!!!",F199="NEW"),"",COUNTBLANK(OFFSET(A$1,,,SUMPRODUCT(MAX(ROW(E$2:E199)*(E199=E$2:E199)))))-COUNTBLANK(OFFSET(A$1,,,SUMPRODUCT(MAX(ROW(E$1:E198)*(E2=E$1:E198))))))</f>
        <v/>
      </c>
      <c r="K199" s="25" t="str">
        <f>IF(OR(E199="",E199="!!!",F199="NEW"),"",INDEX(J$1:J198,SUMPRODUCT(MAX(ROW(E$1:E198)*(E199=E$1:E198)))))</f>
        <v/>
      </c>
      <c r="L199" s="26"/>
    </row>
    <row r="200" spans="1:12" x14ac:dyDescent="0.3">
      <c r="A200" t="s">
        <v>242</v>
      </c>
      <c r="B200" s="20" t="s">
        <v>134</v>
      </c>
      <c r="C200" s="20" t="s">
        <v>111</v>
      </c>
      <c r="D200" s="20" t="s">
        <v>112</v>
      </c>
      <c r="E200" s="21" t="s">
        <v>381</v>
      </c>
      <c r="F200" s="22" t="str">
        <f>IF(OR(E200="",E200="!!!"),"",IF(NOT(ISNA(VLOOKUP(E200,E$1:E199,1,FALSE()))),"OLD",IF(AND(E200&lt;&gt;"",E200&lt;&gt;"!!!"),"NEW","")))</f>
        <v>NEW</v>
      </c>
      <c r="G200" s="23" t="s">
        <v>426</v>
      </c>
      <c r="H200" s="24" t="str">
        <f t="shared" ca="1" si="19"/>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53</v>
      </c>
      <c r="E201" s="21" t="str">
        <f t="shared" si="18"/>
        <v/>
      </c>
      <c r="F201" s="22" t="str">
        <f>IF(OR(E201="",E201="!!!"),"",IF(NOT(ISNA(VLOOKUP(E201,E$1:E200,1,FALSE()))),"OLD",IF(AND(E201&lt;&gt;"",E201&lt;&gt;"!!!"),"NEW","")))</f>
        <v/>
      </c>
      <c r="G201" s="23" t="str">
        <f>IF(OR(E201="",E201="!!!"),"",IF(OR(J201=0,AND(J201=1,K201=1),AND(J201=1,I201="SBJ"),AND(J201=1,I201=0)),"?IN_FOCUS",IF(J201&lt;=2,"?ACTIVATED",IF(J201&lt;&gt;"","?FAMILIAR",IF(F201="NEW",IF(ISNA(VLOOKUP(E201,#REF!,1,FALSE())),"?TYPE_IDENTIFIABLE","?REFERENTIAL"),"_")))))</f>
        <v/>
      </c>
      <c r="H201" s="24" t="str">
        <f t="shared" ca="1" si="19"/>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143</v>
      </c>
      <c r="E202" s="21" t="str">
        <f t="shared" si="18"/>
        <v/>
      </c>
      <c r="F202" s="22" t="str">
        <f>IF(OR(E202="",E202="!!!"),"",IF(NOT(ISNA(VLOOKUP(E202,E$1:E201,1,FALSE()))),"OLD",IF(AND(E202&lt;&gt;"",E202&lt;&gt;"!!!"),"NEW","")))</f>
        <v/>
      </c>
      <c r="G202" s="23" t="str">
        <f>IF(OR(E202="",E202="!!!"),"",IF(OR(J202=0,AND(J202=1,K202=1),AND(J202=1,I202="SBJ"),AND(J202=1,I202=0)),"?IN_FOCUS",IF(J202&lt;=2,"?ACTIVATED",IF(J202&lt;&gt;"","?FAMILIAR",IF(F202="NEW",IF(ISNA(VLOOKUP(E202,#REF!,1,FALSE())),"?TYPE_IDENTIFIABLE","?REFERENTIAL"),"_")))))</f>
        <v/>
      </c>
      <c r="H202" s="24" t="str">
        <f t="shared" ca="1" si="19"/>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4" spans="1:12" x14ac:dyDescent="0.3">
      <c r="A204" t="s">
        <v>243</v>
      </c>
    </row>
    <row r="205" spans="1:12" x14ac:dyDescent="0.3">
      <c r="A205" t="s">
        <v>126</v>
      </c>
      <c r="E205" s="21" t="str">
        <f t="shared" ref="E205:E220" si="20">IF(D205="?OLD","!!!","")</f>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ref="H205:H220" ca="1" si="21">IF(J205&lt;&gt;1,"",IF(I205="SBJ","CB","?"))</f>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6" spans="1:12" x14ac:dyDescent="0.3">
      <c r="A206" t="s">
        <v>127</v>
      </c>
      <c r="B206" s="20" t="s">
        <v>110</v>
      </c>
      <c r="C206" s="20" t="s">
        <v>128</v>
      </c>
      <c r="D206" s="20" t="s">
        <v>112</v>
      </c>
      <c r="E206" s="21"/>
      <c r="F206" s="22" t="str">
        <f>IF(OR(E206="",E206="!!!"),"",IF(NOT(ISNA(VLOOKUP(E206,E$1:E205,1,FALSE()))),"OLD",IF(AND(E206&lt;&gt;"",E206&lt;&gt;"!!!"),"NEW","")))</f>
        <v/>
      </c>
      <c r="G206" s="23" t="str">
        <f>IF(OR(E206="",E206="!!!"),"",IF(OR(J206=0,AND(J206=1,K206=1),AND(J206=1,I206="SBJ"),AND(J206=1,I206=0)),"?IN_FOCUS",IF(J206&lt;=2,"?ACTIVATED",IF(J206&lt;&gt;"","?FAMILIAR",IF(F206="NEW",IF(ISNA(VLOOKUP(E206,#REF!,1,FALSE())),"?TYPE_IDENTIFIABLE","?REFERENTIAL"),"_")))))</f>
        <v/>
      </c>
      <c r="H206" s="24" t="str">
        <f t="shared" ca="1" si="21"/>
        <v/>
      </c>
      <c r="I206" s="25" t="str">
        <f>IF(OR(E206="",E206="!!!",F206="NEW"),"",INDEX(B$2:B205,-1+SUMPRODUCT(MAX(ROW(E$2:E205)*(E206=E$2:E205)))))</f>
        <v/>
      </c>
      <c r="J206" s="25" t="str">
        <f ca="1">IF(OR(E206="",E206="!!!",F206="NEW"),"",COUNTBLANK(OFFSET(A$1,,,SUMPRODUCT(MAX(ROW(E$2:E206)*(E206=E$2:E206)))))-COUNTBLANK(OFFSET(A$1,,,SUMPRODUCT(MAX(ROW(E$1:E205)*(E2=E$1:E205))))))</f>
        <v/>
      </c>
      <c r="K206" s="25" t="str">
        <f>IF(OR(E206="",E206="!!!",F206="NEW"),"",INDEX(J$1:J205,SUMPRODUCT(MAX(ROW(E$1:E205)*(E206=E$1:E205)))))</f>
        <v/>
      </c>
      <c r="L206" s="26"/>
    </row>
    <row r="207" spans="1:12" x14ac:dyDescent="0.3">
      <c r="A207" t="s">
        <v>244</v>
      </c>
      <c r="B207" s="20" t="s">
        <v>118</v>
      </c>
      <c r="C207" s="20" t="s">
        <v>111</v>
      </c>
      <c r="D207" s="20" t="s">
        <v>112</v>
      </c>
      <c r="E207" s="21" t="s">
        <v>396</v>
      </c>
      <c r="F207" s="22" t="str">
        <f>IF(OR(E207="",E207="!!!"),"",IF(NOT(ISNA(VLOOKUP(E207,E$1:E206,1,FALSE()))),"OLD",IF(AND(E207&lt;&gt;"",E207&lt;&gt;"!!!"),"NEW","")))</f>
        <v>NEW</v>
      </c>
      <c r="G207" s="23" t="s">
        <v>426</v>
      </c>
      <c r="H207" s="24" t="str">
        <f t="shared" ca="1" si="21"/>
        <v/>
      </c>
      <c r="I207" s="25" t="str">
        <f>IF(OR(E207="",E207="!!!",F207="NEW"),"",INDEX(B$2:B206,-1+SUMPRODUCT(MAX(ROW(E$2:E206)*(E207=E$2:E206)))))</f>
        <v/>
      </c>
      <c r="J207" s="25" t="str">
        <f ca="1">IF(OR(E207="",E207="!!!",F207="NEW"),"",COUNTBLANK(OFFSET(A$1,,,SUMPRODUCT(MAX(ROW(E$2:E207)*(E207=E$2:E207)))))-COUNTBLANK(OFFSET(A$1,,,SUMPRODUCT(MAX(ROW(E$1:E206)*(E2=E$1:E206))))))</f>
        <v/>
      </c>
      <c r="K207" s="25" t="str">
        <f>IF(OR(E207="",E207="!!!",F207="NEW"),"",INDEX(J$1:J206,SUMPRODUCT(MAX(ROW(E$1:E206)*(E207=E$1:E206)))))</f>
        <v/>
      </c>
      <c r="L207" s="26"/>
    </row>
    <row r="208" spans="1:12" x14ac:dyDescent="0.3">
      <c r="A208" t="s">
        <v>113</v>
      </c>
      <c r="E208" s="21" t="str">
        <f t="shared" si="20"/>
        <v/>
      </c>
      <c r="F208" s="22" t="str">
        <f>IF(OR(E208="",E208="!!!"),"",IF(NOT(ISNA(VLOOKUP(E208,E$1:E207,1,FALSE()))),"OLD",IF(AND(E208&lt;&gt;"",E208&lt;&gt;"!!!"),"NEW","")))</f>
        <v/>
      </c>
      <c r="G208" s="23" t="str">
        <f>IF(OR(E208="",E208="!!!"),"",IF(OR(J208=0,AND(J208=1,K208=1),AND(J208=1,I208="SBJ"),AND(J208=1,I208=0)),"?IN_FOCUS",IF(J208&lt;=2,"?ACTIVATED",IF(J208&lt;&gt;"","?FAMILIAR",IF(F208="NEW",IF(ISNA(VLOOKUP(E208,#REF!,1,FALSE())),"?TYPE_IDENTIFIABLE","?REFERENTIAL"),"_")))))</f>
        <v/>
      </c>
      <c r="H208" s="24" t="str">
        <f t="shared" ca="1" si="21"/>
        <v/>
      </c>
      <c r="I208" s="25" t="str">
        <f>IF(OR(E208="",E208="!!!",F208="NEW"),"",INDEX(B$2:B207,-1+SUMPRODUCT(MAX(ROW(E$2:E207)*(E208=E$2:E207)))))</f>
        <v/>
      </c>
      <c r="J208" s="25" t="str">
        <f ca="1">IF(OR(E208="",E208="!!!",F208="NEW"),"",COUNTBLANK(OFFSET(A$1,,,SUMPRODUCT(MAX(ROW(E$2:E208)*(E208=E$2:E208)))))-COUNTBLANK(OFFSET(A$1,,,SUMPRODUCT(MAX(ROW(E$1:E207)*(E2=E$1:E207))))))</f>
        <v/>
      </c>
      <c r="K208" s="25" t="str">
        <f>IF(OR(E208="",E208="!!!",F208="NEW"),"",INDEX(J$1:J207,SUMPRODUCT(MAX(ROW(E$1:E207)*(E208=E$1:E207)))))</f>
        <v/>
      </c>
      <c r="L208" s="26"/>
    </row>
    <row r="209" spans="1:12" x14ac:dyDescent="0.3">
      <c r="A209" t="s">
        <v>145</v>
      </c>
      <c r="E209" s="21" t="str">
        <f t="shared" si="20"/>
        <v/>
      </c>
      <c r="F209" s="22" t="str">
        <f>IF(OR(E209="",E209="!!!"),"",IF(NOT(ISNA(VLOOKUP(E209,E$1:E208,1,FALSE()))),"OLD",IF(AND(E209&lt;&gt;"",E209&lt;&gt;"!!!"),"NEW","")))</f>
        <v/>
      </c>
      <c r="G209" s="23" t="str">
        <f>IF(OR(E209="",E209="!!!"),"",IF(OR(J209=0,AND(J209=1,K209=1),AND(J209=1,I209="SBJ"),AND(J209=1,I209=0)),"?IN_FOCUS",IF(J209&lt;=2,"?ACTIVATED",IF(J209&lt;&gt;"","?FAMILIAR",IF(F209="NEW",IF(ISNA(VLOOKUP(E209,#REF!,1,FALSE())),"?TYPE_IDENTIFIABLE","?REFERENTIAL"),"_")))))</f>
        <v/>
      </c>
      <c r="H209" s="24" t="str">
        <f t="shared" ca="1" si="21"/>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245</v>
      </c>
      <c r="E210" s="21" t="str">
        <f t="shared" si="20"/>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ca="1" si="21"/>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116</v>
      </c>
      <c r="E211" s="21" t="str">
        <f t="shared" si="20"/>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ca="1" si="21"/>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117</v>
      </c>
      <c r="B212" s="20" t="s">
        <v>118</v>
      </c>
      <c r="C212" s="20" t="s">
        <v>196</v>
      </c>
      <c r="E212" s="21" t="str">
        <f t="shared" si="20"/>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21"/>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225</v>
      </c>
      <c r="E213" s="21" t="str">
        <f t="shared" si="20"/>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21"/>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135</v>
      </c>
      <c r="E214" s="21" t="str">
        <f t="shared" si="20"/>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21"/>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246</v>
      </c>
      <c r="B215" s="20" t="s">
        <v>134</v>
      </c>
      <c r="C215" s="20" t="s">
        <v>128</v>
      </c>
      <c r="D215" s="20" t="s">
        <v>112</v>
      </c>
      <c r="E215" s="21"/>
      <c r="F215" s="22" t="s">
        <v>371</v>
      </c>
      <c r="G215" s="23" t="str">
        <f>IF(OR(E215="",E215="!!!"),"",IF(OR(J215=0,AND(J215=1,K215=1),AND(J215=1,I215="SBJ"),AND(J215=1,I215=0)),"?IN_FOCUS",IF(J215&lt;=2,"?ACTIVATED",IF(J215&lt;&gt;"","?FAMILIAR",IF(F215="NEW",IF(ISNA(VLOOKUP(E215,#REF!,1,FALSE())),"?TYPE_IDENTIFIABLE","?REFERENTIAL"),"_")))))</f>
        <v/>
      </c>
      <c r="H215" s="24" t="str">
        <f t="shared" ca="1" si="21"/>
        <v/>
      </c>
      <c r="I215" s="25" t="str">
        <f>IF(OR(E215="",E215="!!!",F215="NEW"),"",INDEX(B$2:B214,-1+SUMPRODUCT(MAX(ROW(E$2:E214)*(E215=E$2:E214)))))</f>
        <v/>
      </c>
      <c r="J215" s="25" t="str">
        <f ca="1">IF(OR(E215="",E215="!!!",F215="NEW"),"",COUNTBLANK(OFFSET(A$1,,,SUMPRODUCT(MAX(ROW(E$2:E215)*(E215=E$2:E215)))))-COUNTBLANK(OFFSET(A$1,,,SUMPRODUCT(MAX(ROW(E$1:E214)*(E2=E$1:E214))))))</f>
        <v/>
      </c>
      <c r="K215" s="25" t="str">
        <f>IF(OR(E215="",E215="!!!",F215="NEW"),"",INDEX(J$1:J214,SUMPRODUCT(MAX(ROW(E$1:E214)*(E215=E$1:E214)))))</f>
        <v/>
      </c>
      <c r="L215" s="26"/>
    </row>
    <row r="216" spans="1:12" x14ac:dyDescent="0.3">
      <c r="A216" t="s">
        <v>247</v>
      </c>
      <c r="B216" s="20" t="s">
        <v>118</v>
      </c>
      <c r="C216" s="20" t="s">
        <v>111</v>
      </c>
      <c r="D216" s="20" t="s">
        <v>112</v>
      </c>
      <c r="E216" s="21" t="s">
        <v>382</v>
      </c>
      <c r="F216" s="22" t="str">
        <f>IF(OR(E216="",E216="!!!"),"",IF(NOT(ISNA(VLOOKUP(E216,E$1:E215,1,FALSE()))),"OLD",IF(AND(E216&lt;&gt;"",E216&lt;&gt;"!!!"),"NEW","")))</f>
        <v>NEW</v>
      </c>
      <c r="G216" s="23" t="s">
        <v>369</v>
      </c>
      <c r="H216" s="24" t="str">
        <f t="shared" ca="1" si="21"/>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177</v>
      </c>
      <c r="E217" s="21" t="str">
        <f t="shared" si="20"/>
        <v/>
      </c>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21"/>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row>
    <row r="218" spans="1:12" x14ac:dyDescent="0.3">
      <c r="A218" t="s">
        <v>248</v>
      </c>
      <c r="B218" s="20" t="s">
        <v>122</v>
      </c>
      <c r="C218" s="20" t="s">
        <v>111</v>
      </c>
      <c r="D218" s="20" t="s">
        <v>112</v>
      </c>
      <c r="E218" s="21" t="s">
        <v>383</v>
      </c>
      <c r="F218" s="22" t="str">
        <f>IF(OR(E218="",E218="!!!"),"",IF(NOT(ISNA(VLOOKUP(E218,E$1:E217,1,FALSE()))),"OLD",IF(AND(E218&lt;&gt;"",E218&lt;&gt;"!!!"),"NEW","")))</f>
        <v>NEW</v>
      </c>
      <c r="G218" s="23" t="s">
        <v>369</v>
      </c>
      <c r="H218" s="24" t="str">
        <f t="shared" ca="1" si="21"/>
        <v/>
      </c>
      <c r="I218" s="25" t="str">
        <f>IF(OR(E218="",E218="!!!",F218="NEW"),"",INDEX(B$2:B217,-1+SUMPRODUCT(MAX(ROW(E$2:E217)*(E218=E$2:E217)))))</f>
        <v/>
      </c>
      <c r="J218" s="25" t="str">
        <f ca="1">IF(OR(E218="",E218="!!!",F218="NEW"),"",COUNTBLANK(OFFSET(A$1,,,SUMPRODUCT(MAX(ROW(E$2:E218)*(E218=E$2:E218)))))-COUNTBLANK(OFFSET(A$1,,,SUMPRODUCT(MAX(ROW(E$1:E217)*(E2=E$1:E217))))))</f>
        <v/>
      </c>
      <c r="K218" s="25" t="str">
        <f>IF(OR(E218="",E218="!!!",F218="NEW"),"",INDEX(J$1:J217,SUMPRODUCT(MAX(ROW(E$1:E217)*(E218=E$1:E217)))))</f>
        <v/>
      </c>
      <c r="L218" s="26"/>
    </row>
    <row r="219" spans="1:12" x14ac:dyDescent="0.3">
      <c r="A219" t="s">
        <v>192</v>
      </c>
      <c r="E219" s="21" t="str">
        <f t="shared" si="20"/>
        <v/>
      </c>
      <c r="F219" s="22" t="str">
        <f>IF(OR(E219="",E219="!!!"),"",IF(NOT(ISNA(VLOOKUP(E219,E$1:E218,1,FALSE()))),"OLD",IF(AND(E219&lt;&gt;"",E219&lt;&gt;"!!!"),"NEW","")))</f>
        <v/>
      </c>
      <c r="G219" s="23" t="str">
        <f>IF(OR(E219="",E219="!!!"),"",IF(OR(J219=0,AND(J219=1,K219=1),AND(J219=1,I219="SBJ"),AND(J219=1,I219=0)),"?IN_FOCUS",IF(J219&lt;=2,"?ACTIVATED",IF(J219&lt;&gt;"","?FAMILIAR",IF(F219="NEW",IF(ISNA(VLOOKUP(E219,#REF!,1,FALSE())),"?TYPE_IDENTIFIABLE","?REFERENTIAL"),"_")))))</f>
        <v/>
      </c>
      <c r="H219" s="24" t="str">
        <f t="shared" ca="1" si="21"/>
        <v/>
      </c>
      <c r="I219" s="25" t="str">
        <f>IF(OR(E219="",E219="!!!",F219="NEW"),"",INDEX(B$2:B218,-1+SUMPRODUCT(MAX(ROW(E$2:E218)*(E219=E$2:E218)))))</f>
        <v/>
      </c>
      <c r="J219" s="25" t="str">
        <f ca="1">IF(OR(E219="",E219="!!!",F219="NEW"),"",COUNTBLANK(OFFSET(A$1,,,SUMPRODUCT(MAX(ROW(E$2:E219)*(E219=E$2:E219)))))-COUNTBLANK(OFFSET(A$1,,,SUMPRODUCT(MAX(ROW(E$1:E218)*(E2=E$1:E218))))))</f>
        <v/>
      </c>
      <c r="K219" s="25" t="str">
        <f>IF(OR(E219="",E219="!!!",F219="NEW"),"",INDEX(J$1:J218,SUMPRODUCT(MAX(ROW(E$1:E218)*(E219=E$1:E218)))))</f>
        <v/>
      </c>
      <c r="L219" s="26"/>
    </row>
    <row r="220" spans="1:12" x14ac:dyDescent="0.3">
      <c r="A220" t="s">
        <v>143</v>
      </c>
      <c r="E220" s="21" t="str">
        <f t="shared" si="20"/>
        <v/>
      </c>
      <c r="F220" s="22" t="str">
        <f>IF(OR(E220="",E220="!!!"),"",IF(NOT(ISNA(VLOOKUP(E220,E$1:E219,1,FALSE()))),"OLD",IF(AND(E220&lt;&gt;"",E220&lt;&gt;"!!!"),"NEW","")))</f>
        <v/>
      </c>
      <c r="G220" s="23" t="str">
        <f>IF(OR(E220="",E220="!!!"),"",IF(OR(J220=0,AND(J220=1,K220=1),AND(J220=1,I220="SBJ"),AND(J220=1,I220=0)),"?IN_FOCUS",IF(J220&lt;=2,"?ACTIVATED",IF(J220&lt;&gt;"","?FAMILIAR",IF(F220="NEW",IF(ISNA(VLOOKUP(E220,#REF!,1,FALSE())),"?TYPE_IDENTIFIABLE","?REFERENTIAL"),"_")))))</f>
        <v/>
      </c>
      <c r="H220" s="24" t="str">
        <f t="shared" ca="1" si="21"/>
        <v/>
      </c>
      <c r="I220" s="25" t="str">
        <f>IF(OR(E220="",E220="!!!",F220="NEW"),"",INDEX(B$2:B219,-1+SUMPRODUCT(MAX(ROW(E$2:E219)*(E220=E$2:E219)))))</f>
        <v/>
      </c>
      <c r="J220" s="25" t="str">
        <f ca="1">IF(OR(E220="",E220="!!!",F220="NEW"),"",COUNTBLANK(OFFSET(A$1,,,SUMPRODUCT(MAX(ROW(E$2:E220)*(E220=E$2:E220)))))-COUNTBLANK(OFFSET(A$1,,,SUMPRODUCT(MAX(ROW(E$1:E219)*(E2=E$1:E219))))))</f>
        <v/>
      </c>
      <c r="K220" s="25" t="str">
        <f>IF(OR(E220="",E220="!!!",F220="NEW"),"",INDEX(J$1:J219,SUMPRODUCT(MAX(ROW(E$1:E219)*(E220=E$1:E219)))))</f>
        <v/>
      </c>
      <c r="L220" s="26"/>
    </row>
    <row r="222" spans="1:12" x14ac:dyDescent="0.3">
      <c r="A222" t="s">
        <v>249</v>
      </c>
    </row>
    <row r="223" spans="1:12" x14ac:dyDescent="0.3">
      <c r="A223" t="s">
        <v>250</v>
      </c>
      <c r="E223" s="21" t="str">
        <f t="shared" ref="E223:E250" si="22">IF(D223="?OLD","!!!","")</f>
        <v/>
      </c>
      <c r="F223" s="22" t="str">
        <f>IF(OR(E223="",E223="!!!"),"",IF(NOT(ISNA(VLOOKUP(E223,E$1:E222,1,FALSE()))),"OLD",IF(AND(E223&lt;&gt;"",E223&lt;&gt;"!!!"),"NEW","")))</f>
        <v/>
      </c>
      <c r="G223" s="23" t="str">
        <f>IF(OR(E223="",E223="!!!"),"",IF(OR(J223=0,AND(J223=1,K223=1),AND(J223=1,I223="SBJ"),AND(J223=1,I223=0)),"?IN_FOCUS",IF(J223&lt;=2,"?ACTIVATED",IF(J223&lt;&gt;"","?FAMILIAR",IF(F223="NEW",IF(ISNA(VLOOKUP(E223,#REF!,1,FALSE())),"?TYPE_IDENTIFIABLE","?REFERENTIAL"),"_")))))</f>
        <v/>
      </c>
      <c r="H223" s="24" t="str">
        <f t="shared" ref="H223:H250" ca="1" si="23">IF(J223&lt;&gt;1,"",IF(I223="SBJ","CB","?"))</f>
        <v/>
      </c>
      <c r="I223" s="25" t="str">
        <f>IF(OR(E223="",E223="!!!",F223="NEW"),"",INDEX(B$2:B222,-1+SUMPRODUCT(MAX(ROW(E$2:E222)*(E223=E$2:E222)))))</f>
        <v/>
      </c>
      <c r="J223" s="25" t="str">
        <f ca="1">IF(OR(E223="",E223="!!!",F223="NEW"),"",COUNTBLANK(OFFSET(A$1,,,SUMPRODUCT(MAX(ROW(E$2:E223)*(E223=E$2:E223)))))-COUNTBLANK(OFFSET(A$1,,,SUMPRODUCT(MAX(ROW(E$1:E222)*(E2=E$1:E222))))))</f>
        <v/>
      </c>
      <c r="K223" s="25" t="str">
        <f>IF(OR(E223="",E223="!!!",F223="NEW"),"",INDEX(J$1:J222,SUMPRODUCT(MAX(ROW(E$1:E222)*(E223=E$1:E222)))))</f>
        <v/>
      </c>
      <c r="L223" s="26"/>
    </row>
    <row r="224" spans="1:12" x14ac:dyDescent="0.3">
      <c r="A224" t="s">
        <v>251</v>
      </c>
      <c r="E224" s="21" t="str">
        <f t="shared" si="22"/>
        <v/>
      </c>
      <c r="F224" s="22" t="str">
        <f>IF(OR(E224="",E224="!!!"),"",IF(NOT(ISNA(VLOOKUP(E224,E$1:E223,1,FALSE()))),"OLD",IF(AND(E224&lt;&gt;"",E224&lt;&gt;"!!!"),"NEW","")))</f>
        <v/>
      </c>
      <c r="G224" s="23" t="str">
        <f>IF(OR(E224="",E224="!!!"),"",IF(OR(J224=0,AND(J224=1,K224=1),AND(J224=1,I224="SBJ"),AND(J224=1,I224=0)),"?IN_FOCUS",IF(J224&lt;=2,"?ACTIVATED",IF(J224&lt;&gt;"","?FAMILIAR",IF(F224="NEW",IF(ISNA(VLOOKUP(E224,#REF!,1,FALSE())),"?TYPE_IDENTIFIABLE","?REFERENTIAL"),"_")))))</f>
        <v/>
      </c>
      <c r="H224" s="24" t="str">
        <f t="shared" ca="1" si="23"/>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193</v>
      </c>
      <c r="B225" s="20" t="s">
        <v>118</v>
      </c>
      <c r="C225" s="20" t="s">
        <v>170</v>
      </c>
      <c r="D225" s="20" t="s">
        <v>112</v>
      </c>
      <c r="E225" s="21"/>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23"/>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t="s">
        <v>399</v>
      </c>
    </row>
    <row r="226" spans="1:12" x14ac:dyDescent="0.3">
      <c r="A226" t="s">
        <v>155</v>
      </c>
      <c r="E226" s="21" t="str">
        <f t="shared" si="22"/>
        <v/>
      </c>
      <c r="F226" s="22" t="str">
        <f>IF(OR(E226="",E226="!!!"),"",IF(NOT(ISNA(VLOOKUP(E226,E$1:E225,1,FALSE()))),"OLD",IF(AND(E226&lt;&gt;"",E226&lt;&gt;"!!!"),"NEW","")))</f>
        <v/>
      </c>
      <c r="G226" s="23" t="str">
        <f>IF(OR(E226="",E226="!!!"),"",IF(OR(J226=0,AND(J226=1,K226=1),AND(J226=1,I226="SBJ"),AND(J226=1,I226=0)),"?IN_FOCUS",IF(J226&lt;=2,"?ACTIVATED",IF(J226&lt;&gt;"","?FAMILIAR",IF(F226="NEW",IF(ISNA(VLOOKUP(E226,#REF!,1,FALSE())),"?TYPE_IDENTIFIABLE","?REFERENTIAL"),"_")))))</f>
        <v/>
      </c>
      <c r="H226" s="24" t="str">
        <f t="shared" ca="1" si="23"/>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7" spans="1:12" x14ac:dyDescent="0.3">
      <c r="A227" t="s">
        <v>252</v>
      </c>
      <c r="E227" s="21" t="str">
        <f t="shared" si="22"/>
        <v/>
      </c>
      <c r="F227" s="22" t="str">
        <f>IF(OR(E227="",E227="!!!"),"",IF(NOT(ISNA(VLOOKUP(E227,E$1:E226,1,FALSE()))),"OLD",IF(AND(E227&lt;&gt;"",E227&lt;&gt;"!!!"),"NEW","")))</f>
        <v/>
      </c>
      <c r="G227" s="23" t="str">
        <f>IF(OR(E227="",E227="!!!"),"",IF(OR(J227=0,AND(J227=1,K227=1),AND(J227=1,I227="SBJ"),AND(J227=1,I227=0)),"?IN_FOCUS",IF(J227&lt;=2,"?ACTIVATED",IF(J227&lt;&gt;"","?FAMILIAR",IF(F227="NEW",IF(ISNA(VLOOKUP(E227,#REF!,1,FALSE())),"?TYPE_IDENTIFIABLE","?REFERENTIAL"),"_")))))</f>
        <v/>
      </c>
      <c r="H227" s="24" t="str">
        <f t="shared" ca="1" si="23"/>
        <v/>
      </c>
      <c r="I227" s="25" t="str">
        <f>IF(OR(E227="",E227="!!!",F227="NEW"),"",INDEX(B$2:B226,-1+SUMPRODUCT(MAX(ROW(E$2:E226)*(E227=E$2:E226)))))</f>
        <v/>
      </c>
      <c r="J227" s="25" t="str">
        <f ca="1">IF(OR(E227="",E227="!!!",F227="NEW"),"",COUNTBLANK(OFFSET(A$1,,,SUMPRODUCT(MAX(ROW(E$2:E227)*(E227=E$2:E227)))))-COUNTBLANK(OFFSET(A$1,,,SUMPRODUCT(MAX(ROW(E$1:E226)*(E2=E$1:E226))))))</f>
        <v/>
      </c>
      <c r="K227" s="25" t="str">
        <f>IF(OR(E227="",E227="!!!",F227="NEW"),"",INDEX(J$1:J226,SUMPRODUCT(MAX(ROW(E$1:E226)*(E227=E$1:E226)))))</f>
        <v/>
      </c>
      <c r="L227" s="26"/>
    </row>
    <row r="228" spans="1:12" x14ac:dyDescent="0.3">
      <c r="A228" t="s">
        <v>224</v>
      </c>
      <c r="B228" s="20" t="s">
        <v>110</v>
      </c>
      <c r="C228" s="20" t="s">
        <v>196</v>
      </c>
      <c r="E228" s="21" t="s">
        <v>397</v>
      </c>
      <c r="F228" s="22" t="str">
        <f>IF(OR(E228="",E228="!!!"),"",IF(NOT(ISNA(VLOOKUP(E228,E$1:E227,1,FALSE()))),"OLD",IF(AND(E228&lt;&gt;"",E228&lt;&gt;"!!!"),"NEW","")))</f>
        <v>NEW</v>
      </c>
      <c r="G228" s="23" t="s">
        <v>416</v>
      </c>
      <c r="H228" s="24" t="str">
        <f t="shared" ca="1" si="23"/>
        <v/>
      </c>
      <c r="I228" s="25" t="str">
        <f>IF(OR(E228="",E228="!!!",F228="NEW"),"",INDEX(B$2:B227,-1+SUMPRODUCT(MAX(ROW(E$2:E227)*(E228=E$2:E227)))))</f>
        <v/>
      </c>
      <c r="J228" s="25" t="str">
        <f ca="1">IF(OR(E228="",E228="!!!",F228="NEW"),"",COUNTBLANK(OFFSET(A$1,,,SUMPRODUCT(MAX(ROW(E$2:E228)*(E228=E$2:E228)))))-COUNTBLANK(OFFSET(A$1,,,SUMPRODUCT(MAX(ROW(E$1:E227)*(E2=E$1:E227))))))</f>
        <v/>
      </c>
      <c r="K228" s="25" t="str">
        <f>IF(OR(E228="",E228="!!!",F228="NEW"),"",INDEX(J$1:J227,SUMPRODUCT(MAX(ROW(E$1:E227)*(E228=E$1:E227)))))</f>
        <v/>
      </c>
      <c r="L228" s="26" t="s">
        <v>400</v>
      </c>
    </row>
    <row r="229" spans="1:12" x14ac:dyDescent="0.3">
      <c r="A229" t="s">
        <v>116</v>
      </c>
      <c r="E229" s="21" t="str">
        <f t="shared" si="22"/>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ca="1" si="23"/>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253</v>
      </c>
      <c r="E230" s="21" t="str">
        <f t="shared" si="22"/>
        <v/>
      </c>
      <c r="F230" s="22" t="str">
        <f>IF(OR(E230="",E230="!!!"),"",IF(NOT(ISNA(VLOOKUP(E230,E$1:E229,1,FALSE()))),"OLD",IF(AND(E230&lt;&gt;"",E230&lt;&gt;"!!!"),"NEW","")))</f>
        <v/>
      </c>
      <c r="G230" s="23" t="str">
        <f>IF(OR(E230="",E230="!!!"),"",IF(OR(J230=0,AND(J230=1,K230=1),AND(J230=1,I230="SBJ"),AND(J230=1,I230=0)),"?IN_FOCUS",IF(J230&lt;=2,"?ACTIVATED",IF(J230&lt;&gt;"","?FAMILIAR",IF(F230="NEW",IF(ISNA(VLOOKUP(E230,#REF!,1,FALSE())),"?TYPE_IDENTIFIABLE","?REFERENTIAL"),"_")))))</f>
        <v/>
      </c>
      <c r="H230" s="24" t="str">
        <f t="shared" ca="1" si="23"/>
        <v/>
      </c>
      <c r="I230" s="25" t="str">
        <f>IF(OR(E230="",E230="!!!",F230="NEW"),"",INDEX(B$2:B229,-1+SUMPRODUCT(MAX(ROW(E$2:E229)*(E230=E$2:E229)))))</f>
        <v/>
      </c>
      <c r="J230" s="25" t="str">
        <f ca="1">IF(OR(E230="",E230="!!!",F230="NEW"),"",COUNTBLANK(OFFSET(A$1,,,SUMPRODUCT(MAX(ROW(E$2:E230)*(E230=E$2:E230)))))-COUNTBLANK(OFFSET(A$1,,,SUMPRODUCT(MAX(ROW(E$1:E229)*(E2=E$1:E229))))))</f>
        <v/>
      </c>
      <c r="K230" s="25" t="str">
        <f>IF(OR(E230="",E230="!!!",F230="NEW"),"",INDEX(J$1:J229,SUMPRODUCT(MAX(ROW(E$1:E229)*(E230=E$1:E229)))))</f>
        <v/>
      </c>
      <c r="L230" s="26"/>
    </row>
    <row r="231" spans="1:12" x14ac:dyDescent="0.3">
      <c r="A231" t="s">
        <v>254</v>
      </c>
      <c r="B231" s="20" t="s">
        <v>118</v>
      </c>
      <c r="C231" s="20" t="s">
        <v>128</v>
      </c>
      <c r="D231" s="20" t="s">
        <v>112</v>
      </c>
      <c r="E231" s="21" t="s">
        <v>398</v>
      </c>
      <c r="F231" s="22" t="str">
        <f>IF(OR(E231="",E231="!!!"),"",IF(NOT(ISNA(VLOOKUP(E231,E$1:E230,1,FALSE()))),"OLD",IF(AND(E231&lt;&gt;"",E231&lt;&gt;"!!!"),"NEW","")))</f>
        <v>NEW</v>
      </c>
      <c r="G231" s="23" t="s">
        <v>416</v>
      </c>
      <c r="H231" s="24" t="str">
        <f t="shared" ca="1" si="23"/>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155</v>
      </c>
      <c r="E232" s="21" t="str">
        <f t="shared" si="22"/>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23"/>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157</v>
      </c>
      <c r="B233" s="20" t="s">
        <v>255</v>
      </c>
      <c r="E233" s="21" t="str">
        <f t="shared" si="22"/>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23"/>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124</v>
      </c>
      <c r="E234" s="21" t="str">
        <f t="shared" si="22"/>
        <v/>
      </c>
      <c r="F234" s="22" t="str">
        <f>IF(OR(E234="",E234="!!!"),"",IF(NOT(ISNA(VLOOKUP(E234,E$1:E233,1,FALSE()))),"OLD",IF(AND(E234&lt;&gt;"",E234&lt;&gt;"!!!"),"NEW","")))</f>
        <v/>
      </c>
      <c r="G234" s="23" t="str">
        <f>IF(OR(E234="",E234="!!!"),"",IF(OR(J234=0,AND(J234=1,K234=1),AND(J234=1,I234="SBJ"),AND(J234=1,I234=0)),"?IN_FOCUS",IF(J234&lt;=2,"?ACTIVATED",IF(J234&lt;&gt;"","?FAMILIAR",IF(F234="NEW",IF(ISNA(VLOOKUP(E234,#REF!,1,FALSE())),"?TYPE_IDENTIFIABLE","?REFERENTIAL"),"_")))))</f>
        <v/>
      </c>
      <c r="H234" s="24" t="str">
        <f t="shared" ca="1" si="23"/>
        <v/>
      </c>
      <c r="I234" s="25" t="str">
        <f>IF(OR(E234="",E234="!!!",F234="NEW"),"",INDEX(B$2:B233,-1+SUMPRODUCT(MAX(ROW(E$2:E233)*(E234=E$2:E233)))))</f>
        <v/>
      </c>
      <c r="J234" s="25" t="str">
        <f ca="1">IF(OR(E234="",E234="!!!",F234="NEW"),"",COUNTBLANK(OFFSET(A$1,,,SUMPRODUCT(MAX(ROW(E$2:E234)*(E234=E$2:E234)))))-COUNTBLANK(OFFSET(A$1,,,SUMPRODUCT(MAX(ROW(E$1:E233)*(E2=E$1:E233))))))</f>
        <v/>
      </c>
      <c r="K234" s="25" t="str">
        <f>IF(OR(E234="",E234="!!!",F234="NEW"),"",INDEX(J$1:J233,SUMPRODUCT(MAX(ROW(E$1:E233)*(E234=E$1:E233)))))</f>
        <v/>
      </c>
      <c r="L234" s="26"/>
    </row>
    <row r="235" spans="1:12" x14ac:dyDescent="0.3">
      <c r="A235" t="s">
        <v>256</v>
      </c>
      <c r="B235" s="20" t="s">
        <v>257</v>
      </c>
      <c r="C235" s="20" t="s">
        <v>196</v>
      </c>
      <c r="E235" s="21" t="str">
        <f t="shared" si="22"/>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23"/>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258</v>
      </c>
      <c r="E236" s="21" t="str">
        <f t="shared" si="22"/>
        <v/>
      </c>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23"/>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68</v>
      </c>
      <c r="E237" s="21" t="str">
        <f t="shared" si="22"/>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23"/>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12</v>
      </c>
      <c r="E238" s="21" t="str">
        <f t="shared" si="22"/>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23"/>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259</v>
      </c>
      <c r="E239" s="21"/>
      <c r="F239" s="22" t="s">
        <v>371</v>
      </c>
      <c r="G239" s="23" t="str">
        <f>IF(OR(E239="",E239="!!!"),"",IF(OR(J239=0,AND(J239=1,K239=1),AND(J239=1,I239="SBJ"),AND(J239=1,I239=0)),"?IN_FOCUS",IF(J239&lt;=2,"?ACTIVATED",IF(J239&lt;&gt;"","?FAMILIAR",IF(F239="NEW",IF(ISNA(VLOOKUP(E239,#REF!,1,FALSE())),"?TYPE_IDENTIFIABLE","?REFERENTIAL"),"_")))))</f>
        <v/>
      </c>
      <c r="H239" s="24" t="str">
        <f t="shared" ca="1" si="23"/>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155</v>
      </c>
      <c r="E240" s="21" t="str">
        <f t="shared" si="22"/>
        <v/>
      </c>
      <c r="F240" s="22" t="str">
        <f>IF(OR(E240="",E240="!!!"),"",IF(NOT(ISNA(VLOOKUP(E240,E$1:E239,1,FALSE()))),"OLD",IF(AND(E240&lt;&gt;"",E240&lt;&gt;"!!!"),"NEW","")))</f>
        <v/>
      </c>
      <c r="G240" s="23" t="str">
        <f>IF(OR(E240="",E240="!!!"),"",IF(OR(J240=0,AND(J240=1,K240=1),AND(J240=1,I240="SBJ"),AND(J240=1,I240=0)),"?IN_FOCUS",IF(J240&lt;=2,"?ACTIVATED",IF(J240&lt;&gt;"","?FAMILIAR",IF(F240="NEW",IF(ISNA(VLOOKUP(E240,#REF!,1,FALSE())),"?TYPE_IDENTIFIABLE","?REFERENTIAL"),"_")))))</f>
        <v/>
      </c>
      <c r="H240" s="24" t="str">
        <f t="shared" ca="1" si="23"/>
        <v/>
      </c>
      <c r="I240" s="25" t="str">
        <f>IF(OR(E240="",E240="!!!",F240="NEW"),"",INDEX(B$2:B239,-1+SUMPRODUCT(MAX(ROW(E$2:E239)*(E240=E$2:E239)))))</f>
        <v/>
      </c>
      <c r="J240" s="25" t="str">
        <f ca="1">IF(OR(E240="",E240="!!!",F240="NEW"),"",COUNTBLANK(OFFSET(A$1,,,SUMPRODUCT(MAX(ROW(E$2:E240)*(E240=E$2:E240)))))-COUNTBLANK(OFFSET(A$1,,,SUMPRODUCT(MAX(ROW(E$1:E239)*(E2=E$1:E239))))))</f>
        <v/>
      </c>
      <c r="K240" s="25" t="str">
        <f>IF(OR(E240="",E240="!!!",F240="NEW"),"",INDEX(J$1:J239,SUMPRODUCT(MAX(ROW(E$1:E239)*(E240=E$1:E239)))))</f>
        <v/>
      </c>
      <c r="L240" s="26"/>
    </row>
    <row r="241" spans="1:12" x14ac:dyDescent="0.3">
      <c r="A241" t="s">
        <v>260</v>
      </c>
      <c r="B241" s="20" t="s">
        <v>261</v>
      </c>
      <c r="C241" s="20" t="s">
        <v>111</v>
      </c>
      <c r="D241" s="20" t="s">
        <v>112</v>
      </c>
      <c r="E241" s="21"/>
      <c r="F241" s="22" t="s">
        <v>371</v>
      </c>
      <c r="G241" s="23" t="str">
        <f>IF(OR(E241="",E241="!!!"),"",IF(OR(J241=0,AND(J241=1,K241=1),AND(J241=1,I241="SBJ"),AND(J241=1,I241=0)),"?IN_FOCUS",IF(J241&lt;=2,"?ACTIVATED",IF(J241&lt;&gt;"","?FAMILIAR",IF(F241="NEW",IF(ISNA(VLOOKUP(E241,#REF!,1,FALSE())),"?TYPE_IDENTIFIABLE","?REFERENTIAL"),"_")))))</f>
        <v/>
      </c>
      <c r="H241" s="24" t="str">
        <f t="shared" ca="1" si="23"/>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262</v>
      </c>
      <c r="E242" s="21" t="str">
        <f t="shared" si="22"/>
        <v/>
      </c>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23"/>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263</v>
      </c>
      <c r="B243" s="20" t="s">
        <v>264</v>
      </c>
      <c r="C243" s="20" t="s">
        <v>111</v>
      </c>
      <c r="D243" s="20" t="s">
        <v>112</v>
      </c>
      <c r="E243" s="21"/>
      <c r="F243" s="22" t="str">
        <f>IF(OR(E243="",E243="!!!"),"",IF(NOT(ISNA(VLOOKUP(E243,E$1:E242,1,FALSE()))),"OLD",IF(AND(E243&lt;&gt;"",E243&lt;&gt;"!!!"),"NEW","")))</f>
        <v/>
      </c>
      <c r="G243" s="23" t="str">
        <f>IF(OR(E243="",E243="!!!"),"",IF(OR(J243=0,AND(J243=1,K243=1),AND(J243=1,I243="SBJ"),AND(J243=1,I243=0)),"?IN_FOCUS",IF(J243&lt;=2,"?ACTIVATED",IF(J243&lt;&gt;"","?FAMILIAR",IF(F243="NEW",IF(ISNA(VLOOKUP(E243,#REF!,1,FALSE())),"?TYPE_IDENTIFIABLE","?REFERENTIAL"),"_")))))</f>
        <v/>
      </c>
      <c r="H243" s="24" t="str">
        <f t="shared" ca="1" si="23"/>
        <v/>
      </c>
      <c r="I243" s="25" t="str">
        <f>IF(OR(E243="",E243="!!!",F243="NEW"),"",INDEX(B$2:B242,-1+SUMPRODUCT(MAX(ROW(E$2:E242)*(E243=E$2:E242)))))</f>
        <v/>
      </c>
      <c r="J243" s="25" t="str">
        <f ca="1">IF(OR(E243="",E243="!!!",F243="NEW"),"",COUNTBLANK(OFFSET(A$1,,,SUMPRODUCT(MAX(ROW(E$2:E243)*(E243=E$2:E243)))))-COUNTBLANK(OFFSET(A$1,,,SUMPRODUCT(MAX(ROW(E$1:E242)*(E2=E$1:E242))))))</f>
        <v/>
      </c>
      <c r="K243" s="25" t="str">
        <f>IF(OR(E243="",E243="!!!",F243="NEW"),"",INDEX(J$1:J242,SUMPRODUCT(MAX(ROW(E$1:E242)*(E243=E$1:E242)))))</f>
        <v/>
      </c>
      <c r="L243" s="26"/>
    </row>
    <row r="244" spans="1:12" x14ac:dyDescent="0.3">
      <c r="A244" t="s">
        <v>155</v>
      </c>
      <c r="E244" s="21" t="str">
        <f t="shared" si="22"/>
        <v/>
      </c>
      <c r="F244" s="22" t="str">
        <f>IF(OR(E244="",E244="!!!"),"",IF(NOT(ISNA(VLOOKUP(E244,E$1:E243,1,FALSE()))),"OLD",IF(AND(E244&lt;&gt;"",E244&lt;&gt;"!!!"),"NEW","")))</f>
        <v/>
      </c>
      <c r="G244" s="23" t="str">
        <f>IF(OR(E244="",E244="!!!"),"",IF(OR(J244=0,AND(J244=1,K244=1),AND(J244=1,I244="SBJ"),AND(J244=1,I244=0)),"?IN_FOCUS",IF(J244&lt;=2,"?ACTIVATED",IF(J244&lt;&gt;"","?FAMILIAR",IF(F244="NEW",IF(ISNA(VLOOKUP(E244,#REF!,1,FALSE())),"?TYPE_IDENTIFIABLE","?REFERENTIAL"),"_")))))</f>
        <v/>
      </c>
      <c r="H244" s="24" t="str">
        <f t="shared" ca="1" si="23"/>
        <v/>
      </c>
      <c r="I244" s="25" t="str">
        <f>IF(OR(E244="",E244="!!!",F244="NEW"),"",INDEX(B$2:B243,-1+SUMPRODUCT(MAX(ROW(E$2:E243)*(E244=E$2:E243)))))</f>
        <v/>
      </c>
      <c r="J244" s="25" t="str">
        <f ca="1">IF(OR(E244="",E244="!!!",F244="NEW"),"",COUNTBLANK(OFFSET(A$1,,,SUMPRODUCT(MAX(ROW(E$2:E244)*(E244=E$2:E244)))))-COUNTBLANK(OFFSET(A$1,,,SUMPRODUCT(MAX(ROW(E$1:E243)*(E2=E$1:E243))))))</f>
        <v/>
      </c>
      <c r="K244" s="25" t="str">
        <f>IF(OR(E244="",E244="!!!",F244="NEW"),"",INDEX(J$1:J243,SUMPRODUCT(MAX(ROW(E$1:E243)*(E244=E$1:E243)))))</f>
        <v/>
      </c>
      <c r="L244" s="26"/>
    </row>
    <row r="245" spans="1:12" x14ac:dyDescent="0.3">
      <c r="A245" t="s">
        <v>265</v>
      </c>
      <c r="B245" s="20" t="s">
        <v>261</v>
      </c>
      <c r="C245" s="20" t="s">
        <v>111</v>
      </c>
      <c r="D245" s="20" t="s">
        <v>112</v>
      </c>
      <c r="E245" s="21"/>
      <c r="F245" s="22" t="s">
        <v>371</v>
      </c>
      <c r="G245" s="23" t="str">
        <f>IF(OR(E245="",E245="!!!"),"",IF(OR(J245=0,AND(J245=1,K245=1),AND(J245=1,I245="SBJ"),AND(J245=1,I245=0)),"?IN_FOCUS",IF(J245&lt;=2,"?ACTIVATED",IF(J245&lt;&gt;"","?FAMILIAR",IF(F245="NEW",IF(ISNA(VLOOKUP(E245,#REF!,1,FALSE())),"?TYPE_IDENTIFIABLE","?REFERENTIAL"),"_")))))</f>
        <v/>
      </c>
      <c r="H245" s="24" t="str">
        <f t="shared" ca="1" si="23"/>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177</v>
      </c>
      <c r="E246" s="21" t="str">
        <f t="shared" si="22"/>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t="shared" ca="1" si="23"/>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7" spans="1:12" x14ac:dyDescent="0.3">
      <c r="A247" t="s">
        <v>266</v>
      </c>
      <c r="B247" s="20" t="s">
        <v>261</v>
      </c>
      <c r="C247" s="20" t="s">
        <v>111</v>
      </c>
      <c r="D247" s="20" t="s">
        <v>112</v>
      </c>
      <c r="E247" s="21"/>
      <c r="F247" s="22" t="s">
        <v>371</v>
      </c>
      <c r="G247" s="23" t="str">
        <f>IF(OR(E247="",E247="!!!"),"",IF(OR(J247=0,AND(J247=1,K247=1),AND(J247=1,I247="SBJ"),AND(J247=1,I247=0)),"?IN_FOCUS",IF(J247&lt;=2,"?ACTIVATED",IF(J247&lt;&gt;"","?FAMILIAR",IF(F247="NEW",IF(ISNA(VLOOKUP(E247,#REF!,1,FALSE())),"?TYPE_IDENTIFIABLE","?REFERENTIAL"),"_")))))</f>
        <v/>
      </c>
      <c r="H247" s="24" t="str">
        <f t="shared" ca="1" si="23"/>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8" spans="1:12" x14ac:dyDescent="0.3">
      <c r="A248" t="s">
        <v>267</v>
      </c>
      <c r="E248" s="21" t="str">
        <f t="shared" si="22"/>
        <v/>
      </c>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t="shared" ca="1" si="23"/>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row>
    <row r="249" spans="1:12" x14ac:dyDescent="0.3">
      <c r="A249" t="s">
        <v>113</v>
      </c>
      <c r="B249" s="20" t="s">
        <v>122</v>
      </c>
      <c r="C249" s="20" t="s">
        <v>111</v>
      </c>
      <c r="D249" s="20" t="s">
        <v>112</v>
      </c>
      <c r="E249" s="21"/>
      <c r="F249" s="22" t="str">
        <f>IF(OR(E249="",E249="!!!"),"",IF(NOT(ISNA(VLOOKUP(E249,E$1:E248,1,FALSE()))),"OLD",IF(AND(E249&lt;&gt;"",E249&lt;&gt;"!!!"),"NEW","")))</f>
        <v/>
      </c>
      <c r="G249" s="23" t="str">
        <f>IF(OR(E249="",E249="!!!"),"",IF(OR(J249=0,AND(J249=1,K249=1),AND(J249=1,I249="SBJ"),AND(J249=1,I249=0)),"?IN_FOCUS",IF(J249&lt;=2,"?ACTIVATED",IF(J249&lt;&gt;"","?FAMILIAR",IF(F249="NEW",IF(ISNA(VLOOKUP(E249,#REF!,1,FALSE())),"?TYPE_IDENTIFIABLE","?REFERENTIAL"),"_")))))</f>
        <v/>
      </c>
      <c r="H249" s="24" t="str">
        <f t="shared" ca="1" si="23"/>
        <v/>
      </c>
      <c r="I249" s="25" t="str">
        <f>IF(OR(E249="",E249="!!!",F249="NEW"),"",INDEX(B$2:B248,-1+SUMPRODUCT(MAX(ROW(E$2:E248)*(E249=E$2:E248)))))</f>
        <v/>
      </c>
      <c r="J249" s="25" t="str">
        <f ca="1">IF(OR(E249="",E249="!!!",F249="NEW"),"",COUNTBLANK(OFFSET(A$1,,,SUMPRODUCT(MAX(ROW(E$2:E249)*(E249=E$2:E249)))))-COUNTBLANK(OFFSET(A$1,,,SUMPRODUCT(MAX(ROW(E$1:E248)*(E2=E$1:E248))))))</f>
        <v/>
      </c>
      <c r="K249" s="25" t="str">
        <f>IF(OR(E249="",E249="!!!",F249="NEW"),"",INDEX(J$1:J248,SUMPRODUCT(MAX(ROW(E$1:E248)*(E249=E$1:E248)))))</f>
        <v/>
      </c>
      <c r="L249" s="26"/>
    </row>
    <row r="250" spans="1:12" x14ac:dyDescent="0.3">
      <c r="A250" t="s">
        <v>143</v>
      </c>
      <c r="E250" s="21" t="str">
        <f t="shared" si="22"/>
        <v/>
      </c>
      <c r="F250" s="22" t="str">
        <f>IF(OR(E250="",E250="!!!"),"",IF(NOT(ISNA(VLOOKUP(E250,E$1:E249,1,FALSE()))),"OLD",IF(AND(E250&lt;&gt;"",E250&lt;&gt;"!!!"),"NEW","")))</f>
        <v/>
      </c>
      <c r="G250" s="23" t="str">
        <f>IF(OR(E250="",E250="!!!"),"",IF(OR(J250=0,AND(J250=1,K250=1),AND(J250=1,I250="SBJ"),AND(J250=1,I250=0)),"?IN_FOCUS",IF(J250&lt;=2,"?ACTIVATED",IF(J250&lt;&gt;"","?FAMILIAR",IF(F250="NEW",IF(ISNA(VLOOKUP(E250,#REF!,1,FALSE())),"?TYPE_IDENTIFIABLE","?REFERENTIAL"),"_")))))</f>
        <v/>
      </c>
      <c r="H250" s="24" t="str">
        <f t="shared" ca="1" si="23"/>
        <v/>
      </c>
      <c r="I250" s="25" t="str">
        <f>IF(OR(E250="",E250="!!!",F250="NEW"),"",INDEX(B$2:B249,-1+SUMPRODUCT(MAX(ROW(E$2:E249)*(E250=E$2:E249)))))</f>
        <v/>
      </c>
      <c r="J250" s="25" t="str">
        <f ca="1">IF(OR(E250="",E250="!!!",F250="NEW"),"",COUNTBLANK(OFFSET(A$1,,,SUMPRODUCT(MAX(ROW(E$2:E250)*(E250=E$2:E250)))))-COUNTBLANK(OFFSET(A$1,,,SUMPRODUCT(MAX(ROW(E$1:E249)*(E2=E$1:E249))))))</f>
        <v/>
      </c>
      <c r="K250" s="25" t="str">
        <f>IF(OR(E250="",E250="!!!",F250="NEW"),"",INDEX(J$1:J249,SUMPRODUCT(MAX(ROW(E$1:E249)*(E250=E$1:E249)))))</f>
        <v/>
      </c>
      <c r="L250" s="26"/>
    </row>
    <row r="252" spans="1:12" x14ac:dyDescent="0.3">
      <c r="A252" t="s">
        <v>268</v>
      </c>
    </row>
    <row r="253" spans="1:12" x14ac:dyDescent="0.3">
      <c r="A253" t="s">
        <v>149</v>
      </c>
      <c r="B253" s="20" t="s">
        <v>110</v>
      </c>
      <c r="C253" s="20" t="s">
        <v>111</v>
      </c>
      <c r="D253" s="20" t="s">
        <v>112</v>
      </c>
      <c r="E253" s="21" t="s">
        <v>374</v>
      </c>
      <c r="F253" s="22" t="str">
        <f>IF(OR(E253="",E253="!!!"),"",IF(NOT(ISNA(VLOOKUP(E253,E$1:E252,1,FALSE()))),"OLD",IF(AND(E253&lt;&gt;"",E253&lt;&gt;"!!!"),"NEW","")))</f>
        <v>OLD</v>
      </c>
      <c r="G253" s="23" t="s">
        <v>369</v>
      </c>
      <c r="H253" s="24" t="str">
        <f t="shared" ref="H253:H265" ca="1" si="24">IF(J253&lt;&gt;1,"",IF(I253="SBJ","CB","?"))</f>
        <v/>
      </c>
      <c r="I253" s="25" t="str">
        <f>IF(OR(E253="",E253="!!!",F253="NEW"),"",INDEX(B$2:B252,-1+SUMPRODUCT(MAX(ROW(E$2:E252)*(E253=E$2:E252)))))</f>
        <v>SBJ</v>
      </c>
      <c r="J253" s="25">
        <f ca="1">IF(OR(E253="",E253="!!!",F253="NEW"),"",COUNTBLANK(OFFSET(A$1,,,SUMPRODUCT(MAX(ROW(E$2:E253)*(E253=E$2:E253)))))-COUNTBLANK(OFFSET(A$1,,,SUMPRODUCT(MAX(ROW(E$1:E252)*(E2=E$1:E252))))))</f>
        <v>0</v>
      </c>
      <c r="K253" s="25">
        <f ca="1">IF(OR(E253="",E253="!!!",F253="NEW"),"",INDEX(J$1:J252,SUMPRODUCT(MAX(ROW(E$1:E252)*(E253=E$1:E252)))))</f>
        <v>0</v>
      </c>
      <c r="L253" s="26"/>
    </row>
    <row r="254" spans="1:12" x14ac:dyDescent="0.3">
      <c r="A254" t="s">
        <v>269</v>
      </c>
      <c r="E254" s="21" t="str">
        <f t="shared" ref="E254:E265" si="25">IF(D254="?OLD","!!!","")</f>
        <v/>
      </c>
      <c r="F254" s="22" t="str">
        <f>IF(OR(E254="",E254="!!!"),"",IF(NOT(ISNA(VLOOKUP(E254,E$1:E253,1,FALSE()))),"OLD",IF(AND(E254&lt;&gt;"",E254&lt;&gt;"!!!"),"NEW","")))</f>
        <v/>
      </c>
      <c r="G254" s="23" t="str">
        <f>IF(OR(E254="",E254="!!!"),"",IF(OR(J254=0,AND(J254=1,K254=1),AND(J254=1,I254="SBJ"),AND(J254=1,I254=0)),"?IN_FOCUS",IF(J254&lt;=2,"?ACTIVATED",IF(J254&lt;&gt;"","?FAMILIAR",IF(F254="NEW",IF(ISNA(VLOOKUP(E254,#REF!,1,FALSE())),"?TYPE_IDENTIFIABLE","?REFERENTIAL"),"_")))))</f>
        <v/>
      </c>
      <c r="H254" s="24" t="str">
        <f t="shared" ca="1" si="24"/>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270</v>
      </c>
      <c r="E255" s="21" t="str">
        <f t="shared" si="25"/>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t="shared" ca="1" si="24"/>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6" spans="1:12" x14ac:dyDescent="0.3">
      <c r="A256" t="s">
        <v>271</v>
      </c>
      <c r="E256" s="21" t="str">
        <f t="shared" si="25"/>
        <v/>
      </c>
      <c r="F256" s="22" t="str">
        <f>IF(OR(E256="",E256="!!!"),"",IF(NOT(ISNA(VLOOKUP(E256,E$1:E255,1,FALSE()))),"OLD",IF(AND(E256&lt;&gt;"",E256&lt;&gt;"!!!"),"NEW","")))</f>
        <v/>
      </c>
      <c r="G256" s="23" t="str">
        <f>IF(OR(E256="",E256="!!!"),"",IF(OR(J256=0,AND(J256=1,K256=1),AND(J256=1,I256="SBJ"),AND(J256=1,I256=0)),"?IN_FOCUS",IF(J256&lt;=2,"?ACTIVATED",IF(J256&lt;&gt;"","?FAMILIAR",IF(F256="NEW",IF(ISNA(VLOOKUP(E256,#REF!,1,FALSE())),"?TYPE_IDENTIFIABLE","?REFERENTIAL"),"_")))))</f>
        <v/>
      </c>
      <c r="H256" s="24" t="str">
        <f t="shared" ca="1" si="24"/>
        <v/>
      </c>
      <c r="I256" s="25" t="str">
        <f>IF(OR(E256="",E256="!!!",F256="NEW"),"",INDEX(B$2:B255,-1+SUMPRODUCT(MAX(ROW(E$2:E255)*(E256=E$2:E255)))))</f>
        <v/>
      </c>
      <c r="J256" s="25" t="str">
        <f ca="1">IF(OR(E256="",E256="!!!",F256="NEW"),"",COUNTBLANK(OFFSET(A$1,,,SUMPRODUCT(MAX(ROW(E$2:E256)*(E256=E$2:E256)))))-COUNTBLANK(OFFSET(A$1,,,SUMPRODUCT(MAX(ROW(E$1:E255)*(E2=E$1:E255))))))</f>
        <v/>
      </c>
      <c r="K256" s="25" t="str">
        <f>IF(OR(E256="",E256="!!!",F256="NEW"),"",INDEX(J$1:J255,SUMPRODUCT(MAX(ROW(E$1:E255)*(E256=E$1:E255)))))</f>
        <v/>
      </c>
      <c r="L256" s="26"/>
    </row>
    <row r="257" spans="1:12" x14ac:dyDescent="0.3">
      <c r="A257" t="s">
        <v>272</v>
      </c>
      <c r="B257" s="20" t="s">
        <v>134</v>
      </c>
      <c r="C257" s="20" t="s">
        <v>141</v>
      </c>
      <c r="E257" s="21" t="str">
        <f t="shared" si="25"/>
        <v/>
      </c>
      <c r="F257" s="22" t="str">
        <f>IF(OR(E257="",E257="!!!"),"",IF(NOT(ISNA(VLOOKUP(E257,E$1:E256,1,FALSE()))),"OLD",IF(AND(E257&lt;&gt;"",E257&lt;&gt;"!!!"),"NEW","")))</f>
        <v/>
      </c>
      <c r="G257" s="23" t="str">
        <f>IF(OR(E257="",E257="!!!"),"",IF(OR(J257=0,AND(J257=1,K257=1),AND(J257=1,I257="SBJ"),AND(J257=1,I257=0)),"?IN_FOCUS",IF(J257&lt;=2,"?ACTIVATED",IF(J257&lt;&gt;"","?FAMILIAR",IF(F257="NEW",IF(ISNA(VLOOKUP(E257,#REF!,1,FALSE())),"?TYPE_IDENTIFIABLE","?REFERENTIAL"),"_")))))</f>
        <v/>
      </c>
      <c r="H257" s="24" t="str">
        <f t="shared" ca="1" si="24"/>
        <v/>
      </c>
      <c r="I257" s="25" t="str">
        <f>IF(OR(E257="",E257="!!!",F257="NEW"),"",INDEX(B$2:B256,-1+SUMPRODUCT(MAX(ROW(E$2:E256)*(E257=E$2:E256)))))</f>
        <v/>
      </c>
      <c r="J257" s="25" t="str">
        <f ca="1">IF(OR(E257="",E257="!!!",F257="NEW"),"",COUNTBLANK(OFFSET(A$1,,,SUMPRODUCT(MAX(ROW(E$2:E257)*(E257=E$2:E257)))))-COUNTBLANK(OFFSET(A$1,,,SUMPRODUCT(MAX(ROW(E$1:E256)*(E2=E$1:E256))))))</f>
        <v/>
      </c>
      <c r="K257" s="25" t="str">
        <f>IF(OR(E257="",E257="!!!",F257="NEW"),"",INDEX(J$1:J256,SUMPRODUCT(MAX(ROW(E$1:E256)*(E257=E$1:E256)))))</f>
        <v/>
      </c>
      <c r="L257" s="26"/>
    </row>
    <row r="258" spans="1:12" x14ac:dyDescent="0.3">
      <c r="A258" t="s">
        <v>209</v>
      </c>
      <c r="E258" s="21" t="str">
        <f t="shared" si="25"/>
        <v/>
      </c>
      <c r="F258" s="22" t="str">
        <f>IF(OR(E258="",E258="!!!"),"",IF(NOT(ISNA(VLOOKUP(E258,E$1:E257,1,FALSE()))),"OLD",IF(AND(E258&lt;&gt;"",E258&lt;&gt;"!!!"),"NEW","")))</f>
        <v/>
      </c>
      <c r="G258" s="23" t="str">
        <f>IF(OR(E258="",E258="!!!"),"",IF(OR(J258=0,AND(J258=1,K258=1),AND(J258=1,I258="SBJ"),AND(J258=1,I258=0)),"?IN_FOCUS",IF(J258&lt;=2,"?ACTIVATED",IF(J258&lt;&gt;"","?FAMILIAR",IF(F258="NEW",IF(ISNA(VLOOKUP(E258,#REF!,1,FALSE())),"?TYPE_IDENTIFIABLE","?REFERENTIAL"),"_")))))</f>
        <v/>
      </c>
      <c r="H258" s="24" t="str">
        <f t="shared" ca="1" si="24"/>
        <v/>
      </c>
      <c r="I258" s="25" t="str">
        <f>IF(OR(E258="",E258="!!!",F258="NEW"),"",INDEX(B$2:B257,-1+SUMPRODUCT(MAX(ROW(E$2:E257)*(E258=E$2:E257)))))</f>
        <v/>
      </c>
      <c r="J258" s="25" t="str">
        <f ca="1">IF(OR(E258="",E258="!!!",F258="NEW"),"",COUNTBLANK(OFFSET(A$1,,,SUMPRODUCT(MAX(ROW(E$2:E258)*(E258=E$2:E258)))))-COUNTBLANK(OFFSET(A$1,,,SUMPRODUCT(MAX(ROW(E$1:E257)*(E2=E$1:E257))))))</f>
        <v/>
      </c>
      <c r="K258" s="25" t="str">
        <f>IF(OR(E258="",E258="!!!",F258="NEW"),"",INDEX(J$1:J257,SUMPRODUCT(MAX(ROW(E$1:E257)*(E258=E$1:E257)))))</f>
        <v/>
      </c>
      <c r="L258" s="26"/>
    </row>
    <row r="259" spans="1:12" x14ac:dyDescent="0.3">
      <c r="A259" t="s">
        <v>117</v>
      </c>
      <c r="B259" s="20" t="s">
        <v>118</v>
      </c>
      <c r="C259" s="20" t="s">
        <v>196</v>
      </c>
      <c r="E259" s="21" t="str">
        <f t="shared" si="25"/>
        <v/>
      </c>
      <c r="F259" s="22" t="str">
        <f>IF(OR(E259="",E259="!!!"),"",IF(NOT(ISNA(VLOOKUP(E259,E$1:E258,1,FALSE()))),"OLD",IF(AND(E259&lt;&gt;"",E259&lt;&gt;"!!!"),"NEW","")))</f>
        <v/>
      </c>
      <c r="G259" s="23" t="str">
        <f>IF(OR(E259="",E259="!!!"),"",IF(OR(J259=0,AND(J259=1,K259=1),AND(J259=1,I259="SBJ"),AND(J259=1,I259=0)),"?IN_FOCUS",IF(J259&lt;=2,"?ACTIVATED",IF(J259&lt;&gt;"","?FAMILIAR",IF(F259="NEW",IF(ISNA(VLOOKUP(E259,#REF!,1,FALSE())),"?TYPE_IDENTIFIABLE","?REFERENTIAL"),"_")))))</f>
        <v/>
      </c>
      <c r="H259" s="24" t="str">
        <f t="shared" ca="1" si="24"/>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177</v>
      </c>
      <c r="E260" s="21" t="str">
        <f t="shared" si="25"/>
        <v/>
      </c>
      <c r="F260" s="22" t="str">
        <f>IF(OR(E260="",E260="!!!"),"",IF(NOT(ISNA(VLOOKUP(E260,E$1:E259,1,FALSE()))),"OLD",IF(AND(E260&lt;&gt;"",E260&lt;&gt;"!!!"),"NEW","")))</f>
        <v/>
      </c>
      <c r="G260" s="23" t="str">
        <f>IF(OR(E260="",E260="!!!"),"",IF(OR(J260=0,AND(J260=1,K260=1),AND(J260=1,I260="SBJ"),AND(J260=1,I260=0)),"?IN_FOCUS",IF(J260&lt;=2,"?ACTIVATED",IF(J260&lt;&gt;"","?FAMILIAR",IF(F260="NEW",IF(ISNA(VLOOKUP(E260,#REF!,1,FALSE())),"?TYPE_IDENTIFIABLE","?REFERENTIAL"),"_")))))</f>
        <v/>
      </c>
      <c r="H260" s="24" t="str">
        <f t="shared" ca="1" si="24"/>
        <v/>
      </c>
      <c r="I260" s="25" t="str">
        <f>IF(OR(E260="",E260="!!!",F260="NEW"),"",INDEX(B$2:B259,-1+SUMPRODUCT(MAX(ROW(E$2:E259)*(E260=E$2:E259)))))</f>
        <v/>
      </c>
      <c r="J260" s="25" t="str">
        <f ca="1">IF(OR(E260="",E260="!!!",F260="NEW"),"",COUNTBLANK(OFFSET(A$1,,,SUMPRODUCT(MAX(ROW(E$2:E260)*(E260=E$2:E260)))))-COUNTBLANK(OFFSET(A$1,,,SUMPRODUCT(MAX(ROW(E$1:E259)*(E2=E$1:E259))))))</f>
        <v/>
      </c>
      <c r="K260" s="25" t="str">
        <f>IF(OR(E260="",E260="!!!",F260="NEW"),"",INDEX(J$1:J259,SUMPRODUCT(MAX(ROW(E$1:E259)*(E260=E$1:E259)))))</f>
        <v/>
      </c>
      <c r="L260" s="26"/>
    </row>
    <row r="261" spans="1:12" x14ac:dyDescent="0.3">
      <c r="A261" t="s">
        <v>273</v>
      </c>
      <c r="B261" s="20" t="s">
        <v>122</v>
      </c>
      <c r="C261" s="20" t="s">
        <v>196</v>
      </c>
      <c r="E261" s="21" t="str">
        <f t="shared" si="25"/>
        <v/>
      </c>
      <c r="F261" s="22" t="str">
        <f>IF(OR(E261="",E261="!!!"),"",IF(NOT(ISNA(VLOOKUP(E261,E$1:E260,1,FALSE()))),"OLD",IF(AND(E261&lt;&gt;"",E261&lt;&gt;"!!!"),"NEW","")))</f>
        <v/>
      </c>
      <c r="G261" s="23" t="str">
        <f>IF(OR(E261="",E261="!!!"),"",IF(OR(J261=0,AND(J261=1,K261=1),AND(J261=1,I261="SBJ"),AND(J261=1,I261=0)),"?IN_FOCUS",IF(J261&lt;=2,"?ACTIVATED",IF(J261&lt;&gt;"","?FAMILIAR",IF(F261="NEW",IF(ISNA(VLOOKUP(E261,#REF!,1,FALSE())),"?TYPE_IDENTIFIABLE","?REFERENTIAL"),"_")))))</f>
        <v/>
      </c>
      <c r="H261" s="24" t="str">
        <f t="shared" ca="1" si="24"/>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row>
    <row r="262" spans="1:12" x14ac:dyDescent="0.3">
      <c r="A262" t="s">
        <v>225</v>
      </c>
      <c r="E262" s="21" t="str">
        <f t="shared" si="25"/>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24"/>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274</v>
      </c>
      <c r="B263" s="20" t="s">
        <v>134</v>
      </c>
      <c r="C263" s="20" t="s">
        <v>111</v>
      </c>
      <c r="D263" s="20" t="s">
        <v>112</v>
      </c>
      <c r="E263" s="21" t="s">
        <v>401</v>
      </c>
      <c r="F263" s="22" t="str">
        <f>IF(OR(E263="",E263="!!!"),"",IF(NOT(ISNA(VLOOKUP(E263,E$1:E262,1,FALSE()))),"OLD",IF(AND(E263&lt;&gt;"",E263&lt;&gt;"!!!"),"NEW","")))</f>
        <v>NEW</v>
      </c>
      <c r="G263" s="23" t="s">
        <v>426</v>
      </c>
      <c r="H263" s="24" t="str">
        <f t="shared" ca="1" si="24"/>
        <v/>
      </c>
      <c r="I263" s="25" t="str">
        <f>IF(OR(E263="",E263="!!!",F263="NEW"),"",INDEX(B$2:B262,-1+SUMPRODUCT(MAX(ROW(E$2:E262)*(E263=E$2:E262)))))</f>
        <v/>
      </c>
      <c r="J263" s="25" t="str">
        <f ca="1">IF(OR(E263="",E263="!!!",F263="NEW"),"",COUNTBLANK(OFFSET(A$1,,,SUMPRODUCT(MAX(ROW(E$2:E263)*(E263=E$2:E263)))))-COUNTBLANK(OFFSET(A$1,,,SUMPRODUCT(MAX(ROW(E$1:E262)*(E2=E$1:E262))))))</f>
        <v/>
      </c>
      <c r="K263" s="25" t="str">
        <f>IF(OR(E263="",E263="!!!",F263="NEW"),"",INDEX(J$1:J262,SUMPRODUCT(MAX(ROW(E$1:E262)*(E263=E$1:E262)))))</f>
        <v/>
      </c>
      <c r="L263" s="26"/>
    </row>
    <row r="264" spans="1:12" x14ac:dyDescent="0.3">
      <c r="A264" t="s">
        <v>275</v>
      </c>
      <c r="E264" s="21" t="str">
        <f t="shared" si="25"/>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ca="1" si="24"/>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143</v>
      </c>
      <c r="E265" s="21" t="str">
        <f t="shared" si="25"/>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24"/>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7" spans="1:12" x14ac:dyDescent="0.3">
      <c r="A267" t="s">
        <v>180</v>
      </c>
      <c r="E267" s="21" t="str">
        <f>IF(D267="?OLD","!!!","")</f>
        <v/>
      </c>
      <c r="F267" s="22" t="str">
        <f>IF(OR(E267="",E267="!!!"),"",IF(NOT(ISNA(VLOOKUP(E267,E$1:E266,1,FALSE()))),"OLD",IF(AND(E267&lt;&gt;"",E267&lt;&gt;"!!!"),"NEW","")))</f>
        <v/>
      </c>
      <c r="G267" s="23" t="str">
        <f>IF(OR(E267="",E267="!!!"),"",IF(OR(J267=0,AND(J267=1,K267=1),AND(J267=1,I267="SBJ"),AND(J267=1,I267=0)),"?IN_FOCUS",IF(J267&lt;=2,"?ACTIVATED",IF(J267&lt;&gt;"","?FAMILIAR",IF(F267="NEW",IF(ISNA(VLOOKUP(E267,#REF!,1,FALSE())),"?TYPE_IDENTIFIABLE","?REFERENTIAL"),"_")))))</f>
        <v/>
      </c>
      <c r="H267" s="24" t="str">
        <f ca="1">IF(J267&lt;&gt;1,"",IF(I267="SBJ","CB","?"))</f>
        <v/>
      </c>
      <c r="I267" s="25" t="str">
        <f>IF(OR(E267="",E267="!!!",F267="NEW"),"",INDEX(B$2:B266,-1+SUMPRODUCT(MAX(ROW(E$2:E266)*(E267=E$2:E266)))))</f>
        <v/>
      </c>
      <c r="J267" s="25" t="str">
        <f ca="1">IF(OR(E267="",E267="!!!",F267="NEW"),"",COUNTBLANK(OFFSET(A$1,,,SUMPRODUCT(MAX(ROW(E$2:E267)*(E267=E$2:E267)))))-COUNTBLANK(OFFSET(A$1,,,SUMPRODUCT(MAX(ROW(E$1:E266)*(E2=E$1:E266))))))</f>
        <v/>
      </c>
      <c r="K267" s="25" t="str">
        <f>IF(OR(E267="",E267="!!!",F267="NEW"),"",INDEX(J$1:J266,SUMPRODUCT(MAX(ROW(E$1:E266)*(E267=E$1:E266)))))</f>
        <v/>
      </c>
      <c r="L267" s="26"/>
    </row>
    <row r="268" spans="1:12" x14ac:dyDescent="0.3">
      <c r="A268" t="s">
        <v>276</v>
      </c>
    </row>
    <row r="269" spans="1:12" x14ac:dyDescent="0.3">
      <c r="A269" t="s">
        <v>277</v>
      </c>
      <c r="B269" s="20" t="s">
        <v>110</v>
      </c>
      <c r="C269" s="20" t="s">
        <v>201</v>
      </c>
      <c r="D269" s="20" t="s">
        <v>112</v>
      </c>
      <c r="E269" s="21" t="s">
        <v>374</v>
      </c>
      <c r="F269" s="22" t="str">
        <f>IF(OR(E269="",E269="!!!"),"",IF(NOT(ISNA(VLOOKUP(E269,E$1:E268,1,FALSE()))),"OLD",IF(AND(E269&lt;&gt;"",E269&lt;&gt;"!!!"),"NEW","")))</f>
        <v>OLD</v>
      </c>
      <c r="G269" s="23" t="s">
        <v>414</v>
      </c>
      <c r="H269" s="24" t="s">
        <v>104</v>
      </c>
      <c r="I269" s="25" t="str">
        <f>IF(OR(E269="",E269="!!!",F269="NEW"),"",INDEX(B$2:B268,-1+SUMPRODUCT(MAX(ROW(E$2:E268)*(E269=E$2:E268)))))</f>
        <v>SBJ</v>
      </c>
      <c r="J269" s="25">
        <f ca="1">IF(OR(E269="",E269="!!!",F269="NEW"),"",COUNTBLANK(OFFSET(A$1,,,SUMPRODUCT(MAX(ROW(E$2:E269)*(E269=E$2:E269)))))-COUNTBLANK(OFFSET(A$1,,,SUMPRODUCT(MAX(ROW(E$1:E268)*(E2=E$1:E268))))))</f>
        <v>0</v>
      </c>
      <c r="K269" s="25">
        <f ca="1">IF(OR(E269="",E269="!!!",F269="NEW"),"",INDEX(J$1:J268,SUMPRODUCT(MAX(ROW(E$1:E268)*(E269=E$1:E268)))))</f>
        <v>0</v>
      </c>
      <c r="L269" s="26"/>
    </row>
    <row r="270" spans="1:12" x14ac:dyDescent="0.3">
      <c r="A270" t="s">
        <v>150</v>
      </c>
      <c r="E270" s="21" t="str">
        <f t="shared" ref="E270:E308" si="26">IF(D270="?OLD","!!!","")</f>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ref="H270:H308" ca="1" si="27">IF(J270&lt;&gt;1,"",IF(I270="SBJ","CB","?"))</f>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135</v>
      </c>
      <c r="E271" s="21" t="str">
        <f t="shared" si="26"/>
        <v/>
      </c>
      <c r="F271" s="22" t="str">
        <f>IF(OR(E271="",E271="!!!"),"",IF(NOT(ISNA(VLOOKUP(E271,E$1:E270,1,FALSE()))),"OLD",IF(AND(E271&lt;&gt;"",E271&lt;&gt;"!!!"),"NEW","")))</f>
        <v/>
      </c>
      <c r="G271" s="23" t="str">
        <f>IF(OR(E271="",E271="!!!"),"",IF(OR(J271=0,AND(J271=1,K271=1),AND(J271=1,I271="SBJ"),AND(J271=1,I271=0)),"?IN_FOCUS",IF(J271&lt;=2,"?ACTIVATED",IF(J271&lt;&gt;"","?FAMILIAR",IF(F271="NEW",IF(ISNA(VLOOKUP(E271,#REF!,1,FALSE())),"?TYPE_IDENTIFIABLE","?REFERENTIAL"),"_")))))</f>
        <v/>
      </c>
      <c r="H271" s="24" t="str">
        <f t="shared" ca="1" si="27"/>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row>
    <row r="272" spans="1:12" x14ac:dyDescent="0.3">
      <c r="A272" t="s">
        <v>151</v>
      </c>
      <c r="B272" s="20" t="s">
        <v>153</v>
      </c>
      <c r="C272" s="20" t="s">
        <v>111</v>
      </c>
      <c r="D272" s="20" t="s">
        <v>112</v>
      </c>
      <c r="E272" s="21" t="s">
        <v>372</v>
      </c>
      <c r="F272" s="22" t="str">
        <f>IF(OR(E272="",E272="!!!"),"",IF(NOT(ISNA(VLOOKUP(E272,E$1:E271,1,FALSE()))),"OLD",IF(AND(E272&lt;&gt;"",E272&lt;&gt;"!!!"),"NEW","")))</f>
        <v>OLD</v>
      </c>
      <c r="G272" s="23" t="s">
        <v>369</v>
      </c>
      <c r="H272" s="24" t="str">
        <f t="shared" ca="1" si="27"/>
        <v/>
      </c>
      <c r="I272" s="25" t="str">
        <f>IF(OR(E272="",E272="!!!",F272="NEW"),"",INDEX(B$2:B271,-1+SUMPRODUCT(MAX(ROW(E$2:E271)*(E272=E$2:E271)))))</f>
        <v>SBJ_2</v>
      </c>
      <c r="J272" s="25">
        <f ca="1">IF(OR(E272="",E272="!!!",F272="NEW"),"",COUNTBLANK(OFFSET(A$1,,,SUMPRODUCT(MAX(ROW(E$2:E272)*(E272=E$2:E272)))))-COUNTBLANK(OFFSET(A$1,,,SUMPRODUCT(MAX(ROW(E$1:E271)*(E2=E$1:E271))))))</f>
        <v>0</v>
      </c>
      <c r="K272" s="25" t="str">
        <f ca="1">IF(OR(E272="",E272="!!!",F272="NEW"),"",INDEX(J$1:J271,SUMPRODUCT(MAX(ROW(E$1:E271)*(E272=E$1:E271)))))</f>
        <v/>
      </c>
      <c r="L272" s="26"/>
    </row>
    <row r="273" spans="1:12" x14ac:dyDescent="0.3">
      <c r="A273" t="s">
        <v>115</v>
      </c>
      <c r="E273" s="21" t="str">
        <f t="shared" si="26"/>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7"/>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154</v>
      </c>
      <c r="E274" s="21" t="str">
        <f t="shared" si="26"/>
        <v/>
      </c>
      <c r="F274" s="22" t="str">
        <f>IF(OR(E274="",E274="!!!"),"",IF(NOT(ISNA(VLOOKUP(E274,E$1:E273,1,FALSE()))),"OLD",IF(AND(E274&lt;&gt;"",E274&lt;&gt;"!!!"),"NEW","")))</f>
        <v/>
      </c>
      <c r="G274" s="23" t="str">
        <f>IF(OR(E274="",E274="!!!"),"",IF(OR(J274=0,AND(J274=1,K274=1),AND(J274=1,I274="SBJ"),AND(J274=1,I274=0)),"?IN_FOCUS",IF(J274&lt;=2,"?ACTIVATED",IF(J274&lt;&gt;"","?FAMILIAR",IF(F274="NEW",IF(ISNA(VLOOKUP(E274,#REF!,1,FALSE())),"?TYPE_IDENTIFIABLE","?REFERENTIAL"),"_")))))</f>
        <v/>
      </c>
      <c r="H274" s="24" t="str">
        <f t="shared" ca="1" si="27"/>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278</v>
      </c>
      <c r="E275" s="21" t="str">
        <f t="shared" si="26"/>
        <v/>
      </c>
      <c r="F275" s="22" t="str">
        <f>IF(OR(E275="",E275="!!!"),"",IF(NOT(ISNA(VLOOKUP(E275,E$1:E274,1,FALSE()))),"OLD",IF(AND(E275&lt;&gt;"",E275&lt;&gt;"!!!"),"NEW","")))</f>
        <v/>
      </c>
      <c r="G275" s="23" t="str">
        <f>IF(OR(E275="",E275="!!!"),"",IF(OR(J275=0,AND(J275=1,K275=1),AND(J275=1,I275="SBJ"),AND(J275=1,I275=0)),"?IN_FOCUS",IF(J275&lt;=2,"?ACTIVATED",IF(J275&lt;&gt;"","?FAMILIAR",IF(F275="NEW",IF(ISNA(VLOOKUP(E275,#REF!,1,FALSE())),"?TYPE_IDENTIFIABLE","?REFERENTIAL"),"_")))))</f>
        <v/>
      </c>
      <c r="H275" s="24" t="str">
        <f t="shared" ca="1" si="27"/>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189</v>
      </c>
      <c r="E276" s="21" t="str">
        <f t="shared" si="26"/>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ca="1" si="27"/>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126</v>
      </c>
      <c r="E277" s="21" t="str">
        <f t="shared" si="26"/>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27"/>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127</v>
      </c>
      <c r="B278" s="20" t="s">
        <v>152</v>
      </c>
      <c r="C278" s="20" t="s">
        <v>111</v>
      </c>
      <c r="D278" s="20" t="s">
        <v>112</v>
      </c>
      <c r="E278" s="21"/>
      <c r="F278" s="22" t="s">
        <v>371</v>
      </c>
      <c r="G278" s="23" t="str">
        <f>IF(OR(E278="",E278="!!!"),"",IF(OR(J278=0,AND(J278=1,K278=1),AND(J278=1,I278="SBJ"),AND(J278=1,I278=0)),"?IN_FOCUS",IF(J278&lt;=2,"?ACTIVATED",IF(J278&lt;&gt;"","?FAMILIAR",IF(F278="NEW",IF(ISNA(VLOOKUP(E278,#REF!,1,FALSE())),"?TYPE_IDENTIFIABLE","?REFERENTIAL"),"_")))))</f>
        <v/>
      </c>
      <c r="H278" s="24" t="str">
        <f t="shared" ca="1" si="27"/>
        <v/>
      </c>
      <c r="I278" s="25" t="str">
        <f>IF(OR(E278="",E278="!!!",F278="NEW"),"",INDEX(B$2:B277,-1+SUMPRODUCT(MAX(ROW(E$2:E277)*(E278=E$2:E277)))))</f>
        <v/>
      </c>
      <c r="J278" s="25" t="str">
        <f ca="1">IF(OR(E278="",E278="!!!",F278="NEW"),"",COUNTBLANK(OFFSET(A$1,,,SUMPRODUCT(MAX(ROW(E$2:E278)*(E278=E$2:E278)))))-COUNTBLANK(OFFSET(A$1,,,SUMPRODUCT(MAX(ROW(E$1:E277)*(E2=E$1:E277))))))</f>
        <v/>
      </c>
      <c r="K278" s="25" t="str">
        <f>IF(OR(E278="",E278="!!!",F278="NEW"),"",INDEX(J$1:J277,SUMPRODUCT(MAX(ROW(E$1:E277)*(E278=E$1:E277)))))</f>
        <v/>
      </c>
      <c r="L278" s="26"/>
    </row>
    <row r="279" spans="1:12" x14ac:dyDescent="0.3">
      <c r="A279" t="s">
        <v>237</v>
      </c>
      <c r="E279" s="21" t="s">
        <v>373</v>
      </c>
      <c r="F279" s="22" t="str">
        <f>IF(OR(E279="",E279="!!!"),"",IF(NOT(ISNA(VLOOKUP(E279,E$1:E278,1,FALSE()))),"OLD",IF(AND(E279&lt;&gt;"",E279&lt;&gt;"!!!"),"NEW","")))</f>
        <v>OLD</v>
      </c>
      <c r="G279" s="23" t="s">
        <v>369</v>
      </c>
      <c r="H279" s="24" t="str">
        <f t="shared" ca="1" si="27"/>
        <v/>
      </c>
      <c r="I279" s="25" t="str">
        <f>IF(OR(E279="",E279="!!!",F279="NEW"),"",INDEX(B$2:B278,-1+SUMPRODUCT(MAX(ROW(E$2:E278)*(E279=E$2:E278)))))</f>
        <v>SBJ</v>
      </c>
      <c r="J279" s="25">
        <f ca="1">IF(OR(E279="",E279="!!!",F279="NEW"),"",COUNTBLANK(OFFSET(A$1,,,SUMPRODUCT(MAX(ROW(E$2:E279)*(E279=E$2:E279)))))-COUNTBLANK(OFFSET(A$1,,,SUMPRODUCT(MAX(ROW(E$1:E278)*(E2=E$1:E278))))))</f>
        <v>0</v>
      </c>
      <c r="K279" s="25">
        <f ca="1">IF(OR(E279="",E279="!!!",F279="NEW"),"",INDEX(J$1:J278,SUMPRODUCT(MAX(ROW(E$1:E278)*(E279=E$1:E278)))))</f>
        <v>0</v>
      </c>
      <c r="L279" s="26"/>
    </row>
    <row r="280" spans="1:12" x14ac:dyDescent="0.3">
      <c r="A280" t="s">
        <v>145</v>
      </c>
      <c r="E280" s="21" t="str">
        <f t="shared" si="26"/>
        <v/>
      </c>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27"/>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row>
    <row r="281" spans="1:12" x14ac:dyDescent="0.3">
      <c r="A281" t="s">
        <v>197</v>
      </c>
      <c r="B281" s="20" t="s">
        <v>122</v>
      </c>
      <c r="C281" s="20" t="s">
        <v>215</v>
      </c>
      <c r="E281" s="21" t="str">
        <f t="shared" si="26"/>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27"/>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279</v>
      </c>
      <c r="B282" s="20" t="s">
        <v>122</v>
      </c>
      <c r="C282" s="20" t="s">
        <v>280</v>
      </c>
      <c r="D282" s="20" t="s">
        <v>112</v>
      </c>
      <c r="E282" s="21"/>
      <c r="F282" s="22" t="s">
        <v>371</v>
      </c>
      <c r="G282" s="23" t="str">
        <f>IF(OR(E282="",E282="!!!"),"",IF(OR(J282=0,AND(J282=1,K282=1),AND(J282=1,I282="SBJ"),AND(J282=1,I282=0)),"?IN_FOCUS",IF(J282&lt;=2,"?ACTIVATED",IF(J282&lt;&gt;"","?FAMILIAR",IF(F282="NEW",IF(ISNA(VLOOKUP(E282,#REF!,1,FALSE())),"?TYPE_IDENTIFIABLE","?REFERENTIAL"),"_")))))</f>
        <v/>
      </c>
      <c r="H282" s="24" t="str">
        <f t="shared" ca="1" si="27"/>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281</v>
      </c>
      <c r="B283" s="20" t="s">
        <v>118</v>
      </c>
      <c r="C283" s="20" t="s">
        <v>196</v>
      </c>
      <c r="E283" s="21" t="str">
        <f t="shared" si="26"/>
        <v/>
      </c>
      <c r="F283" s="22" t="s">
        <v>371</v>
      </c>
      <c r="G283" s="23" t="str">
        <f>IF(OR(E283="",E283="!!!"),"",IF(OR(J283=0,AND(J283=1,K283=1),AND(J283=1,I283="SBJ"),AND(J283=1,I283=0)),"?IN_FOCUS",IF(J283&lt;=2,"?ACTIVATED",IF(J283&lt;&gt;"","?FAMILIAR",IF(F283="NEW",IF(ISNA(VLOOKUP(E283,#REF!,1,FALSE())),"?TYPE_IDENTIFIABLE","?REFERENTIAL"),"_")))))</f>
        <v/>
      </c>
      <c r="H283" s="24" t="str">
        <f t="shared" ca="1" si="27"/>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t="s">
        <v>406</v>
      </c>
    </row>
    <row r="284" spans="1:12" x14ac:dyDescent="0.3">
      <c r="A284" t="s">
        <v>282</v>
      </c>
      <c r="E284" s="21" t="str">
        <f t="shared" si="26"/>
        <v/>
      </c>
      <c r="F284" s="22" t="str">
        <f>IF(OR(E284="",E284="!!!"),"",IF(NOT(ISNA(VLOOKUP(E284,E$1:E283,1,FALSE()))),"OLD",IF(AND(E284&lt;&gt;"",E284&lt;&gt;"!!!"),"NEW","")))</f>
        <v/>
      </c>
      <c r="G284" s="23" t="str">
        <f>IF(OR(E284="",E284="!!!"),"",IF(OR(J284=0,AND(J284=1,K284=1),AND(J284=1,I284="SBJ"),AND(J284=1,I284=0)),"?IN_FOCUS",IF(J284&lt;=2,"?ACTIVATED",IF(J284&lt;&gt;"","?FAMILIAR",IF(F284="NEW",IF(ISNA(VLOOKUP(E284,#REF!,1,FALSE())),"?TYPE_IDENTIFIABLE","?REFERENTIAL"),"_")))))</f>
        <v/>
      </c>
      <c r="H284" s="24" t="str">
        <f t="shared" ca="1" si="27"/>
        <v/>
      </c>
      <c r="I284" s="25" t="str">
        <f>IF(OR(E284="",E284="!!!",F284="NEW"),"",INDEX(B$2:B283,-1+SUMPRODUCT(MAX(ROW(E$2:E283)*(E284=E$2:E283)))))</f>
        <v/>
      </c>
      <c r="J284" s="25" t="str">
        <f ca="1">IF(OR(E284="",E284="!!!",F284="NEW"),"",COUNTBLANK(OFFSET(A$1,,,SUMPRODUCT(MAX(ROW(E$2:E284)*(E284=E$2:E284)))))-COUNTBLANK(OFFSET(A$1,,,SUMPRODUCT(MAX(ROW(E$1:E283)*(E2=E$1:E283))))))</f>
        <v/>
      </c>
      <c r="K284" s="25" t="str">
        <f>IF(OR(E284="",E284="!!!",F284="NEW"),"",INDEX(J$1:J283,SUMPRODUCT(MAX(ROW(E$1:E283)*(E284=E$1:E283)))))</f>
        <v/>
      </c>
      <c r="L284" s="26"/>
    </row>
    <row r="285" spans="1:12" x14ac:dyDescent="0.3">
      <c r="A285" t="s">
        <v>197</v>
      </c>
      <c r="E285" s="21" t="str">
        <f t="shared" si="26"/>
        <v/>
      </c>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27"/>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135</v>
      </c>
      <c r="E286" s="21" t="str">
        <f t="shared" si="26"/>
        <v/>
      </c>
      <c r="F286" s="22" t="str">
        <f>IF(OR(E286="",E286="!!!"),"",IF(NOT(ISNA(VLOOKUP(E286,E$1:E285,1,FALSE()))),"OLD",IF(AND(E286&lt;&gt;"",E286&lt;&gt;"!!!"),"NEW","")))</f>
        <v/>
      </c>
      <c r="G286" s="23" t="str">
        <f>IF(OR(E286="",E286="!!!"),"",IF(OR(J286=0,AND(J286=1,K286=1),AND(J286=1,I286="SBJ"),AND(J286=1,I286=0)),"?IN_FOCUS",IF(J286&lt;=2,"?ACTIVATED",IF(J286&lt;&gt;"","?FAMILIAR",IF(F286="NEW",IF(ISNA(VLOOKUP(E286,#REF!,1,FALSE())),"?TYPE_IDENTIFIABLE","?REFERENTIAL"),"_")))))</f>
        <v/>
      </c>
      <c r="H286" s="24" t="str">
        <f t="shared" ca="1" si="27"/>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row>
    <row r="287" spans="1:12" x14ac:dyDescent="0.3">
      <c r="A287" t="s">
        <v>127</v>
      </c>
      <c r="B287" s="20" t="s">
        <v>122</v>
      </c>
      <c r="C287" s="20" t="s">
        <v>128</v>
      </c>
      <c r="D287" s="20" t="s">
        <v>112</v>
      </c>
      <c r="E287" s="21"/>
      <c r="F287" s="22" t="s">
        <v>371</v>
      </c>
      <c r="G287" s="23" t="str">
        <f>IF(OR(E287="",E287="!!!"),"",IF(OR(J287=0,AND(J287=1,K287=1),AND(J287=1,I287="SBJ"),AND(J287=1,I287=0)),"?IN_FOCUS",IF(J287&lt;=2,"?ACTIVATED",IF(J287&lt;&gt;"","?FAMILIAR",IF(F287="NEW",IF(ISNA(VLOOKUP(E287,#REF!,1,FALSE())),"?TYPE_IDENTIFIABLE","?REFERENTIAL"),"_")))))</f>
        <v/>
      </c>
      <c r="H287" s="24" t="str">
        <f t="shared" ca="1" si="27"/>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155</v>
      </c>
      <c r="E288" s="21" t="str">
        <f t="shared" si="26"/>
        <v/>
      </c>
      <c r="F288" s="22" t="str">
        <f>IF(OR(E288="",E288="!!!"),"",IF(NOT(ISNA(VLOOKUP(E288,E$1:E287,1,FALSE()))),"OLD",IF(AND(E288&lt;&gt;"",E288&lt;&gt;"!!!"),"NEW","")))</f>
        <v/>
      </c>
      <c r="G288" s="23" t="str">
        <f>IF(OR(E288="",E288="!!!"),"",IF(OR(J288=0,AND(J288=1,K288=1),AND(J288=1,I288="SBJ"),AND(J288=1,I288=0)),"?IN_FOCUS",IF(J288&lt;=2,"?ACTIVATED",IF(J288&lt;&gt;"","?FAMILIAR",IF(F288="NEW",IF(ISNA(VLOOKUP(E288,#REF!,1,FALSE())),"?TYPE_IDENTIFIABLE","?REFERENTIAL"),"_")))))</f>
        <v/>
      </c>
      <c r="H288" s="24" t="str">
        <f t="shared" ca="1" si="27"/>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283</v>
      </c>
      <c r="E289" s="21" t="str">
        <f t="shared" si="26"/>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7"/>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135</v>
      </c>
      <c r="B290" s="20" t="s">
        <v>261</v>
      </c>
      <c r="C290" s="20" t="s">
        <v>170</v>
      </c>
      <c r="D290" s="20" t="s">
        <v>112</v>
      </c>
      <c r="E290" s="21"/>
      <c r="F290" s="22" t="s">
        <v>402</v>
      </c>
      <c r="G290" s="23" t="str">
        <f>IF(OR(E290="",E290="!!!"),"",IF(OR(J290=0,AND(J290=1,K290=1),AND(J290=1,I290="SBJ"),AND(J290=1,I290=0)),"?IN_FOCUS",IF(J290&lt;=2,"?ACTIVATED",IF(J290&lt;&gt;"","?FAMILIAR",IF(F290="NEW",IF(ISNA(VLOOKUP(E290,#REF!,1,FALSE())),"?TYPE_IDENTIFIABLE","?REFERENTIAL"),"_")))))</f>
        <v/>
      </c>
      <c r="H290" s="24" t="str">
        <f t="shared" ca="1" si="27"/>
        <v/>
      </c>
      <c r="I290" s="25" t="str">
        <f>IF(OR(E290="",E290="!!!",F290="NEW"),"",INDEX(B$2:B289,-1+SUMPRODUCT(MAX(ROW(E$2:E289)*(E290=E$2:E289)))))</f>
        <v/>
      </c>
      <c r="J290" s="25" t="str">
        <f ca="1">IF(OR(E290="",E290="!!!",F290="NEW"),"",COUNTBLANK(OFFSET(A$1,,,SUMPRODUCT(MAX(ROW(E$2:E290)*(E290=E$2:E290)))))-COUNTBLANK(OFFSET(A$1,,,SUMPRODUCT(MAX(ROW(E$1:E289)*(E2=E$1:E289))))))</f>
        <v/>
      </c>
      <c r="K290" s="25" t="str">
        <f>IF(OR(E290="",E290="!!!",F290="NEW"),"",INDEX(J$1:J289,SUMPRODUCT(MAX(ROW(E$1:E289)*(E290=E$1:E289)))))</f>
        <v/>
      </c>
      <c r="L290" s="26"/>
    </row>
    <row r="291" spans="1:12" x14ac:dyDescent="0.3">
      <c r="A291" t="s">
        <v>284</v>
      </c>
      <c r="B291" s="20" t="s">
        <v>264</v>
      </c>
      <c r="C291" s="20" t="s">
        <v>280</v>
      </c>
      <c r="D291" s="20" t="s">
        <v>112</v>
      </c>
      <c r="E291" s="21" t="s">
        <v>370</v>
      </c>
      <c r="F291" s="22" t="str">
        <f>IF(OR(E291="",E291="!!!"),"",IF(NOT(ISNA(VLOOKUP(E291,E$1:E290,1,FALSE()))),"OLD",IF(AND(E291&lt;&gt;"",E291&lt;&gt;"!!!"),"NEW","")))</f>
        <v>OLD</v>
      </c>
      <c r="G291" s="23" t="s">
        <v>415</v>
      </c>
      <c r="H291" s="24" t="str">
        <f t="shared" ca="1" si="27"/>
        <v/>
      </c>
      <c r="I291" s="25" t="str">
        <f>IF(OR(E291="",E291="!!!",F291="NEW"),"",INDEX(B$2:B290,-1+SUMPRODUCT(MAX(ROW(E$2:E290)*(E291=E$2:E290)))))</f>
        <v>SBJ</v>
      </c>
      <c r="J291" s="25">
        <f ca="1">IF(OR(E291="",E291="!!!",F291="NEW"),"",COUNTBLANK(OFFSET(A$1,,,SUMPRODUCT(MAX(ROW(E$2:E291)*(E291=E$2:E291)))))-COUNTBLANK(OFFSET(A$1,,,SUMPRODUCT(MAX(ROW(E$1:E290)*(E2=E$1:E290))))))</f>
        <v>0</v>
      </c>
      <c r="K291" s="25">
        <f ca="1">IF(OR(E291="",E291="!!!",F291="NEW"),"",INDEX(J$1:J290,SUMPRODUCT(MAX(ROW(E$1:E290)*(E291=E$1:E290)))))</f>
        <v>0</v>
      </c>
      <c r="L291" s="26" t="s">
        <v>427</v>
      </c>
    </row>
    <row r="292" spans="1:12" x14ac:dyDescent="0.3">
      <c r="A292" t="s">
        <v>285</v>
      </c>
      <c r="B292" s="20" t="s">
        <v>257</v>
      </c>
      <c r="C292" s="20" t="s">
        <v>196</v>
      </c>
      <c r="E292" s="21" t="s">
        <v>403</v>
      </c>
      <c r="F292" s="22" t="str">
        <f>IF(OR(E292="",E292="!!!"),"",IF(NOT(ISNA(VLOOKUP(E292,E$1:E291,1,FALSE()))),"OLD",IF(AND(E292&lt;&gt;"",E292&lt;&gt;"!!!"),"NEW","")))</f>
        <v>NEW</v>
      </c>
      <c r="G292" s="23" t="s">
        <v>416</v>
      </c>
      <c r="H292" s="24" t="str">
        <f t="shared" ca="1" si="27"/>
        <v/>
      </c>
      <c r="I292" s="25" t="str">
        <f>IF(OR(E292="",E292="!!!",F292="NEW"),"",INDEX(B$2:B291,-1+SUMPRODUCT(MAX(ROW(E$2:E291)*(E292=E$2:E291)))))</f>
        <v/>
      </c>
      <c r="J292" s="25" t="str">
        <f ca="1">IF(OR(E292="",E292="!!!",F292="NEW"),"",COUNTBLANK(OFFSET(A$1,,,SUMPRODUCT(MAX(ROW(E$2:E292)*(E292=E$2:E292)))))-COUNTBLANK(OFFSET(A$1,,,SUMPRODUCT(MAX(ROW(E$1:E291)*(E2=E$1:E291))))))</f>
        <v/>
      </c>
      <c r="K292" s="25" t="str">
        <f>IF(OR(E292="",E292="!!!",F292="NEW"),"",INDEX(J$1:J291,SUMPRODUCT(MAX(ROW(E$1:E291)*(E292=E$1:E291)))))</f>
        <v/>
      </c>
      <c r="L292" s="26"/>
    </row>
    <row r="293" spans="1:12" x14ac:dyDescent="0.3">
      <c r="A293" t="s">
        <v>286</v>
      </c>
      <c r="E293" s="21" t="str">
        <f t="shared" si="26"/>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7"/>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4" spans="1:12" x14ac:dyDescent="0.3">
      <c r="A294" t="s">
        <v>146</v>
      </c>
      <c r="E294" s="21" t="str">
        <f t="shared" si="26"/>
        <v/>
      </c>
      <c r="F294" s="22" t="str">
        <f>IF(OR(E294="",E294="!!!"),"",IF(NOT(ISNA(VLOOKUP(E294,E$1:E293,1,FALSE()))),"OLD",IF(AND(E294&lt;&gt;"",E294&lt;&gt;"!!!"),"NEW","")))</f>
        <v/>
      </c>
      <c r="G294" s="23" t="str">
        <f>IF(OR(E294="",E294="!!!"),"",IF(OR(J294=0,AND(J294=1,K294=1),AND(J294=1,I294="SBJ"),AND(J294=1,I294=0)),"?IN_FOCUS",IF(J294&lt;=2,"?ACTIVATED",IF(J294&lt;&gt;"","?FAMILIAR",IF(F294="NEW",IF(ISNA(VLOOKUP(E294,#REF!,1,FALSE())),"?TYPE_IDENTIFIABLE","?REFERENTIAL"),"_")))))</f>
        <v/>
      </c>
      <c r="H294" s="24" t="str">
        <f t="shared" ca="1" si="27"/>
        <v/>
      </c>
      <c r="I294" s="25" t="str">
        <f>IF(OR(E294="",E294="!!!",F294="NEW"),"",INDEX(B$2:B293,-1+SUMPRODUCT(MAX(ROW(E$2:E293)*(E294=E$2:E293)))))</f>
        <v/>
      </c>
      <c r="J294" s="25" t="str">
        <f ca="1">IF(OR(E294="",E294="!!!",F294="NEW"),"",COUNTBLANK(OFFSET(A$1,,,SUMPRODUCT(MAX(ROW(E$2:E294)*(E294=E$2:E294)))))-COUNTBLANK(OFFSET(A$1,,,SUMPRODUCT(MAX(ROW(E$1:E293)*(E2=E$1:E293))))))</f>
        <v/>
      </c>
      <c r="K294" s="25" t="str">
        <f>IF(OR(E294="",E294="!!!",F294="NEW"),"",INDEX(J$1:J293,SUMPRODUCT(MAX(ROW(E$1:E293)*(E294=E$1:E293)))))</f>
        <v/>
      </c>
      <c r="L294" s="26"/>
    </row>
    <row r="295" spans="1:12" x14ac:dyDescent="0.3">
      <c r="A295" t="s">
        <v>68</v>
      </c>
      <c r="E295" s="21" t="str">
        <f t="shared" si="26"/>
        <v/>
      </c>
      <c r="F295" s="22" t="str">
        <f>IF(OR(E295="",E295="!!!"),"",IF(NOT(ISNA(VLOOKUP(E295,E$1:E294,1,FALSE()))),"OLD",IF(AND(E295&lt;&gt;"",E295&lt;&gt;"!!!"),"NEW","")))</f>
        <v/>
      </c>
      <c r="G295" s="23" t="str">
        <f>IF(OR(E295="",E295="!!!"),"",IF(OR(J295=0,AND(J295=1,K295=1),AND(J295=1,I295="SBJ"),AND(J295=1,I295=0)),"?IN_FOCUS",IF(J295&lt;=2,"?ACTIVATED",IF(J295&lt;&gt;"","?FAMILIAR",IF(F295="NEW",IF(ISNA(VLOOKUP(E295,#REF!,1,FALSE())),"?TYPE_IDENTIFIABLE","?REFERENTIAL"),"_")))))</f>
        <v/>
      </c>
      <c r="H295" s="24" t="str">
        <f t="shared" ca="1" si="27"/>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155</v>
      </c>
      <c r="E296" s="21" t="str">
        <f t="shared" si="26"/>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ca="1" si="27"/>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287</v>
      </c>
      <c r="E297" s="21" t="str">
        <f t="shared" si="26"/>
        <v/>
      </c>
      <c r="F297" s="22" t="str">
        <f>IF(OR(E297="",E297="!!!"),"",IF(NOT(ISNA(VLOOKUP(E297,E$1:E296,1,FALSE()))),"OLD",IF(AND(E297&lt;&gt;"",E297&lt;&gt;"!!!"),"NEW","")))</f>
        <v/>
      </c>
      <c r="G297" s="23" t="str">
        <f>IF(OR(E297="",E297="!!!"),"",IF(OR(J297=0,AND(J297=1,K297=1),AND(J297=1,I297="SBJ"),AND(J297=1,I297=0)),"?IN_FOCUS",IF(J297&lt;=2,"?ACTIVATED",IF(J297&lt;&gt;"","?FAMILIAR",IF(F297="NEW",IF(ISNA(VLOOKUP(E297,#REF!,1,FALSE())),"?TYPE_IDENTIFIABLE","?REFERENTIAL"),"_")))))</f>
        <v/>
      </c>
      <c r="H297" s="24" t="str">
        <f t="shared" ca="1" si="27"/>
        <v/>
      </c>
      <c r="I297" s="25" t="str">
        <f>IF(OR(E297="",E297="!!!",F297="NEW"),"",INDEX(B$2:B296,-1+SUMPRODUCT(MAX(ROW(E$2:E296)*(E297=E$2:E296)))))</f>
        <v/>
      </c>
      <c r="J297" s="25" t="str">
        <f ca="1">IF(OR(E297="",E297="!!!",F297="NEW"),"",COUNTBLANK(OFFSET(A$1,,,SUMPRODUCT(MAX(ROW(E$2:E297)*(E297=E$2:E297)))))-COUNTBLANK(OFFSET(A$1,,,SUMPRODUCT(MAX(ROW(E$1:E296)*(E2=E$1:E296))))))</f>
        <v/>
      </c>
      <c r="K297" s="25" t="str">
        <f>IF(OR(E297="",E297="!!!",F297="NEW"),"",INDEX(J$1:J296,SUMPRODUCT(MAX(ROW(E$1:E296)*(E297=E$1:E296)))))</f>
        <v/>
      </c>
      <c r="L297" s="26"/>
    </row>
    <row r="298" spans="1:12" x14ac:dyDescent="0.3">
      <c r="A298" t="s">
        <v>288</v>
      </c>
      <c r="B298" s="20" t="s">
        <v>289</v>
      </c>
      <c r="C298" s="20" t="s">
        <v>170</v>
      </c>
      <c r="D298" s="20" t="s">
        <v>112</v>
      </c>
      <c r="E298" s="21" t="s">
        <v>370</v>
      </c>
      <c r="F298" s="22" t="str">
        <f>IF(OR(E298="",E298="!!!"),"",IF(NOT(ISNA(VLOOKUP(E298,E$1:E297,1,FALSE()))),"OLD",IF(AND(E298&lt;&gt;"",E298&lt;&gt;"!!!"),"NEW","")))</f>
        <v>OLD</v>
      </c>
      <c r="G298" s="23" t="s">
        <v>414</v>
      </c>
      <c r="H298" s="24" t="str">
        <f t="shared" ca="1" si="27"/>
        <v/>
      </c>
      <c r="I298" s="25" t="str">
        <f>IF(OR(E298="",E298="!!!",F298="NEW"),"",INDEX(B$2:B297,-1+SUMPRODUCT(MAX(ROW(E$2:E297)*(E298=E$2:E297)))))</f>
        <v>other_6</v>
      </c>
      <c r="J298" s="25">
        <f ca="1">IF(OR(E298="",E298="!!!",F298="NEW"),"",COUNTBLANK(OFFSET(A$1,,,SUMPRODUCT(MAX(ROW(E$2:E298)*(E298=E$2:E298)))))-COUNTBLANK(OFFSET(A$1,,,SUMPRODUCT(MAX(ROW(E$1:E297)*(E2=E$1:E297))))))</f>
        <v>0</v>
      </c>
      <c r="K298" s="25">
        <f ca="1">IF(OR(E298="",E298="!!!",F298="NEW"),"",INDEX(J$1:J297,SUMPRODUCT(MAX(ROW(E$1:E297)*(E298=E$1:E297)))))</f>
        <v>0</v>
      </c>
      <c r="L298" s="26"/>
    </row>
    <row r="299" spans="1:12" x14ac:dyDescent="0.3">
      <c r="A299" t="s">
        <v>222</v>
      </c>
      <c r="E299" s="21" t="str">
        <f t="shared" si="26"/>
        <v/>
      </c>
      <c r="F299" s="22" t="str">
        <f>IF(OR(E299="",E299="!!!"),"",IF(NOT(ISNA(VLOOKUP(E299,E$1:E298,1,FALSE()))),"OLD",IF(AND(E299&lt;&gt;"",E299&lt;&gt;"!!!"),"NEW","")))</f>
        <v/>
      </c>
      <c r="G299" s="23" t="str">
        <f>IF(OR(E299="",E299="!!!"),"",IF(OR(J299=0,AND(J299=1,K299=1),AND(J299=1,I299="SBJ"),AND(J299=1,I299=0)),"?IN_FOCUS",IF(J299&lt;=2,"?ACTIVATED",IF(J299&lt;&gt;"","?FAMILIAR",IF(F299="NEW",IF(ISNA(VLOOKUP(E299,#REF!,1,FALSE())),"?TYPE_IDENTIFIABLE","?REFERENTIAL"),"_")))))</f>
        <v/>
      </c>
      <c r="H299" s="24" t="str">
        <f t="shared" ca="1" si="27"/>
        <v/>
      </c>
      <c r="I299" s="25" t="str">
        <f>IF(OR(E299="",E299="!!!",F299="NEW"),"",INDEX(B$2:B298,-1+SUMPRODUCT(MAX(ROW(E$2:E298)*(E299=E$2:E298)))))</f>
        <v/>
      </c>
      <c r="J299" s="25" t="str">
        <f ca="1">IF(OR(E299="",E299="!!!",F299="NEW"),"",COUNTBLANK(OFFSET(A$1,,,SUMPRODUCT(MAX(ROW(E$2:E299)*(E299=E$2:E299)))))-COUNTBLANK(OFFSET(A$1,,,SUMPRODUCT(MAX(ROW(E$1:E298)*(E2=E$1:E298))))))</f>
        <v/>
      </c>
      <c r="K299" s="25" t="str">
        <f>IF(OR(E299="",E299="!!!",F299="NEW"),"",INDEX(J$1:J298,SUMPRODUCT(MAX(ROW(E$1:E298)*(E299=E$1:E298)))))</f>
        <v/>
      </c>
      <c r="L299" s="26"/>
    </row>
    <row r="300" spans="1:12" x14ac:dyDescent="0.3">
      <c r="A300" t="s">
        <v>124</v>
      </c>
      <c r="E300" s="21" t="str">
        <f t="shared" si="26"/>
        <v/>
      </c>
      <c r="F300" s="22" t="str">
        <f>IF(OR(E300="",E300="!!!"),"",IF(NOT(ISNA(VLOOKUP(E300,E$1:E299,1,FALSE()))),"OLD",IF(AND(E300&lt;&gt;"",E300&lt;&gt;"!!!"),"NEW","")))</f>
        <v/>
      </c>
      <c r="G300" s="23" t="str">
        <f>IF(OR(E300="",E300="!!!"),"",IF(OR(J300=0,AND(J300=1,K300=1),AND(J300=1,I300="SBJ"),AND(J300=1,I300=0)),"?IN_FOCUS",IF(J300&lt;=2,"?ACTIVATED",IF(J300&lt;&gt;"","?FAMILIAR",IF(F300="NEW",IF(ISNA(VLOOKUP(E300,#REF!,1,FALSE())),"?TYPE_IDENTIFIABLE","?REFERENTIAL"),"_")))))</f>
        <v/>
      </c>
      <c r="H300" s="24" t="str">
        <f t="shared" ca="1" si="27"/>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197</v>
      </c>
      <c r="B301" s="20" t="s">
        <v>290</v>
      </c>
      <c r="C301" s="20" t="s">
        <v>215</v>
      </c>
      <c r="E301" s="21" t="str">
        <f t="shared" si="26"/>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ca="1" si="27"/>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2" spans="1:12" x14ac:dyDescent="0.3">
      <c r="A302" t="s">
        <v>271</v>
      </c>
      <c r="E302" s="21" t="str">
        <f t="shared" si="26"/>
        <v/>
      </c>
      <c r="F302" s="22" t="str">
        <f>IF(OR(E302="",E302="!!!"),"",IF(NOT(ISNA(VLOOKUP(E302,E$1:E301,1,FALSE()))),"OLD",IF(AND(E302&lt;&gt;"",E302&lt;&gt;"!!!"),"NEW","")))</f>
        <v/>
      </c>
      <c r="G302" s="23" t="str">
        <f>IF(OR(E302="",E302="!!!"),"",IF(OR(J302=0,AND(J302=1,K302=1),AND(J302=1,I302="SBJ"),AND(J302=1,I302=0)),"?IN_FOCUS",IF(J302&lt;=2,"?ACTIVATED",IF(J302&lt;&gt;"","?FAMILIAR",IF(F302="NEW",IF(ISNA(VLOOKUP(E302,#REF!,1,FALSE())),"?TYPE_IDENTIFIABLE","?REFERENTIAL"),"_")))))</f>
        <v/>
      </c>
      <c r="H302" s="24" t="str">
        <f t="shared" ca="1" si="27"/>
        <v/>
      </c>
      <c r="I302" s="25" t="str">
        <f>IF(OR(E302="",E302="!!!",F302="NEW"),"",INDEX(B$2:B301,-1+SUMPRODUCT(MAX(ROW(E$2:E301)*(E302=E$2:E301)))))</f>
        <v/>
      </c>
      <c r="J302" s="25" t="str">
        <f ca="1">IF(OR(E302="",E302="!!!",F302="NEW"),"",COUNTBLANK(OFFSET(A$1,,,SUMPRODUCT(MAX(ROW(E$2:E302)*(E302=E$2:E302)))))-COUNTBLANK(OFFSET(A$1,,,SUMPRODUCT(MAX(ROW(E$1:E301)*(E2=E$1:E301))))))</f>
        <v/>
      </c>
      <c r="K302" s="25" t="str">
        <f>IF(OR(E302="",E302="!!!",F302="NEW"),"",INDEX(J$1:J301,SUMPRODUCT(MAX(ROW(E$1:E301)*(E302=E$1:E301)))))</f>
        <v/>
      </c>
      <c r="L302" s="26"/>
    </row>
    <row r="303" spans="1:12" x14ac:dyDescent="0.3">
      <c r="A303" t="s">
        <v>113</v>
      </c>
      <c r="B303" s="20" t="s">
        <v>122</v>
      </c>
      <c r="C303" s="20" t="s">
        <v>141</v>
      </c>
      <c r="E303" s="21" t="str">
        <f t="shared" si="26"/>
        <v/>
      </c>
      <c r="F303" s="22" t="str">
        <f>IF(OR(E303="",E303="!!!"),"",IF(NOT(ISNA(VLOOKUP(E303,E$1:E302,1,FALSE()))),"OLD",IF(AND(E303&lt;&gt;"",E303&lt;&gt;"!!!"),"NEW","")))</f>
        <v/>
      </c>
      <c r="G303" s="23" t="str">
        <f>IF(OR(E303="",E303="!!!"),"",IF(OR(J303=0,AND(J303=1,K303=1),AND(J303=1,I303="SBJ"),AND(J303=1,I303=0)),"?IN_FOCUS",IF(J303&lt;=2,"?ACTIVATED",IF(J303&lt;&gt;"","?FAMILIAR",IF(F303="NEW",IF(ISNA(VLOOKUP(E303,#REF!,1,FALSE())),"?TYPE_IDENTIFIABLE","?REFERENTIAL"),"_")))))</f>
        <v/>
      </c>
      <c r="H303" s="24" t="str">
        <f t="shared" ca="1" si="27"/>
        <v/>
      </c>
      <c r="I303" s="25" t="str">
        <f>IF(OR(E303="",E303="!!!",F303="NEW"),"",INDEX(B$2:B302,-1+SUMPRODUCT(MAX(ROW(E$2:E302)*(E303=E$2:E302)))))</f>
        <v/>
      </c>
      <c r="J303" s="25" t="str">
        <f ca="1">IF(OR(E303="",E303="!!!",F303="NEW"),"",COUNTBLANK(OFFSET(A$1,,,SUMPRODUCT(MAX(ROW(E$2:E303)*(E303=E$2:E303)))))-COUNTBLANK(OFFSET(A$1,,,SUMPRODUCT(MAX(ROW(E$1:E302)*(E2=E$1:E302))))))</f>
        <v/>
      </c>
      <c r="K303" s="25" t="str">
        <f>IF(OR(E303="",E303="!!!",F303="NEW"),"",INDEX(J$1:J302,SUMPRODUCT(MAX(ROW(E$1:E302)*(E303=E$1:E302)))))</f>
        <v/>
      </c>
      <c r="L303" s="26"/>
    </row>
    <row r="304" spans="1:12" x14ac:dyDescent="0.3">
      <c r="A304" t="s">
        <v>209</v>
      </c>
      <c r="E304" s="21" t="str">
        <f t="shared" si="26"/>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ca="1" si="27"/>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5" spans="1:12" x14ac:dyDescent="0.3">
      <c r="A305" t="s">
        <v>224</v>
      </c>
      <c r="B305" s="20" t="s">
        <v>290</v>
      </c>
      <c r="C305" s="20" t="s">
        <v>196</v>
      </c>
      <c r="E305" s="21" t="s">
        <v>417</v>
      </c>
      <c r="F305" s="22" t="str">
        <f>IF(OR(E305="",E305="!!!"),"",IF(NOT(ISNA(VLOOKUP(E305,E$1:E304,1,FALSE()))),"OLD",IF(AND(E305&lt;&gt;"",E305&lt;&gt;"!!!"),"NEW","")))</f>
        <v>OLD</v>
      </c>
      <c r="G305" s="23" t="s">
        <v>369</v>
      </c>
      <c r="H305" s="24" t="str">
        <f t="shared" ca="1" si="27"/>
        <v/>
      </c>
      <c r="I305" s="25" t="str">
        <f>IF(OR(E305="",E305="!!!",F305="NEW"),"",INDEX(B$2:B304,-1+SUMPRODUCT(MAX(ROW(E$2:E304)*(E305=E$2:E304)))))</f>
        <v>OBJ_2</v>
      </c>
      <c r="J305" s="25">
        <f ca="1">IF(OR(E305="",E305="!!!",F305="NEW"),"",COUNTBLANK(OFFSET(A$1,,,SUMPRODUCT(MAX(ROW(E$2:E305)*(E305=E$2:E305)))))-COUNTBLANK(OFFSET(A$1,,,SUMPRODUCT(MAX(ROW(E$1:E304)*(E2=E$1:E304))))))</f>
        <v>0</v>
      </c>
      <c r="K305" s="25" t="str">
        <f ca="1">IF(OR(E305="",E305="!!!",F305="NEW"),"",INDEX(J$1:J304,SUMPRODUCT(MAX(ROW(E$1:E304)*(E305=E$1:E304)))))</f>
        <v/>
      </c>
      <c r="L305" s="26" t="s">
        <v>425</v>
      </c>
    </row>
    <row r="306" spans="1:12" x14ac:dyDescent="0.3">
      <c r="A306" t="s">
        <v>68</v>
      </c>
      <c r="E306" s="21" t="str">
        <f t="shared" si="26"/>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27"/>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7" spans="1:12" x14ac:dyDescent="0.3">
      <c r="A307" t="s">
        <v>143</v>
      </c>
      <c r="E307" s="21" t="str">
        <f t="shared" si="26"/>
        <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ca="1" si="27"/>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189</v>
      </c>
      <c r="E308" s="21" t="str">
        <f t="shared" si="26"/>
        <v/>
      </c>
      <c r="F308" s="22" t="str">
        <f>IF(OR(E308="",E308="!!!"),"",IF(NOT(ISNA(VLOOKUP(E308,E$1:E307,1,FALSE()))),"OLD",IF(AND(E308&lt;&gt;"",E308&lt;&gt;"!!!"),"NEW","")))</f>
        <v/>
      </c>
      <c r="G308" s="23" t="str">
        <f>IF(OR(E308="",E308="!!!"),"",IF(OR(J308=0,AND(J308=1,K308=1),AND(J308=1,I308="SBJ"),AND(J308=1,I308=0)),"?IN_FOCUS",IF(J308&lt;=2,"?ACTIVATED",IF(J308&lt;&gt;"","?FAMILIAR",IF(F308="NEW",IF(ISNA(VLOOKUP(E308,#REF!,1,FALSE())),"?TYPE_IDENTIFIABLE","?REFERENTIAL"),"_")))))</f>
        <v/>
      </c>
      <c r="H308" s="24" t="str">
        <f t="shared" ca="1" si="27"/>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10" spans="1:12" x14ac:dyDescent="0.3">
      <c r="A310" t="s">
        <v>291</v>
      </c>
    </row>
    <row r="311" spans="1:12" x14ac:dyDescent="0.3">
      <c r="A311" t="s">
        <v>292</v>
      </c>
      <c r="E311" s="21" t="str">
        <f t="shared" ref="E311:E327" si="28">IF(D311="?OLD","!!!","")</f>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ref="H311:H327" ca="1" si="29">IF(J311&lt;&gt;1,"",IF(I311="SBJ","CB","?"))</f>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157</v>
      </c>
      <c r="E312" s="21" t="str">
        <f t="shared" si="28"/>
        <v/>
      </c>
      <c r="F312" s="22" t="str">
        <f>IF(OR(E312="",E312="!!!"),"",IF(NOT(ISNA(VLOOKUP(E312,E$1:E311,1,FALSE()))),"OLD",IF(AND(E312&lt;&gt;"",E312&lt;&gt;"!!!"),"NEW","")))</f>
        <v/>
      </c>
      <c r="G312" s="23" t="str">
        <f>IF(OR(E312="",E312="!!!"),"",IF(OR(J312=0,AND(J312=1,K312=1),AND(J312=1,I312="SBJ"),AND(J312=1,I312=0)),"?IN_FOCUS",IF(J312&lt;=2,"?ACTIVATED",IF(J312&lt;&gt;"","?FAMILIAR",IF(F312="NEW",IF(ISNA(VLOOKUP(E312,#REF!,1,FALSE())),"?TYPE_IDENTIFIABLE","?REFERENTIAL"),"_")))))</f>
        <v/>
      </c>
      <c r="H312" s="24" t="str">
        <f t="shared" ca="1" si="29"/>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3" spans="1:12" x14ac:dyDescent="0.3">
      <c r="A313" t="s">
        <v>113</v>
      </c>
      <c r="B313" s="20" t="s">
        <v>152</v>
      </c>
      <c r="C313" s="20" t="s">
        <v>128</v>
      </c>
      <c r="D313" s="20" t="s">
        <v>112</v>
      </c>
      <c r="E313" s="21" t="s">
        <v>370</v>
      </c>
      <c r="F313" s="22" t="str">
        <f>IF(OR(E313="",E313="!!!"),"",IF(NOT(ISNA(VLOOKUP(E313,E$1:E312,1,FALSE()))),"OLD",IF(AND(E313&lt;&gt;"",E313&lt;&gt;"!!!"),"NEW","")))</f>
        <v>OLD</v>
      </c>
      <c r="G313" s="23" t="s">
        <v>415</v>
      </c>
      <c r="H313" s="24"/>
      <c r="I313" s="25" t="str">
        <f>IF(OR(E313="",E313="!!!",F313="NEW"),"",INDEX(B$2:B312,-1+SUMPRODUCT(MAX(ROW(E$2:E312)*(E313=E$2:E312)))))</f>
        <v>SBJ_3</v>
      </c>
      <c r="J313" s="25">
        <f ca="1">IF(OR(E313="",E313="!!!",F313="NEW"),"",COUNTBLANK(OFFSET(A$1,,,SUMPRODUCT(MAX(ROW(E$2:E313)*(E313=E$2:E313)))))-COUNTBLANK(OFFSET(A$1,,,SUMPRODUCT(MAX(ROW(E$1:E312)*(E2=E$1:E312))))))</f>
        <v>0</v>
      </c>
      <c r="K313" s="25">
        <f ca="1">IF(OR(E313="",E313="!!!",F313="NEW"),"",INDEX(J$1:J312,SUMPRODUCT(MAX(ROW(E$1:E312)*(E313=E$1:E312)))))</f>
        <v>0</v>
      </c>
      <c r="L313" s="26"/>
    </row>
    <row r="314" spans="1:12" x14ac:dyDescent="0.3">
      <c r="A314" t="s">
        <v>293</v>
      </c>
      <c r="E314" s="21" t="str">
        <f t="shared" si="28"/>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29"/>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197</v>
      </c>
      <c r="E315" s="21" t="str">
        <f t="shared" si="28"/>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ca="1" si="29"/>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271</v>
      </c>
      <c r="E316" s="21" t="str">
        <f t="shared" si="28"/>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29"/>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159</v>
      </c>
      <c r="E317" s="21" t="str">
        <f t="shared" si="28"/>
        <v/>
      </c>
      <c r="F317" s="22" t="str">
        <f>IF(OR(E317="",E317="!!!"),"",IF(NOT(ISNA(VLOOKUP(E317,E$1:E316,1,FALSE()))),"OLD",IF(AND(E317&lt;&gt;"",E317&lt;&gt;"!!!"),"NEW","")))</f>
        <v/>
      </c>
      <c r="G317" s="23" t="str">
        <f>IF(OR(E317="",E317="!!!"),"",IF(OR(J317=0,AND(J317=1,K317=1),AND(J317=1,I317="SBJ"),AND(J317=1,I317=0)),"?IN_FOCUS",IF(J317&lt;=2,"?ACTIVATED",IF(J317&lt;&gt;"","?FAMILIAR",IF(F317="NEW",IF(ISNA(VLOOKUP(E317,#REF!,1,FALSE())),"?TYPE_IDENTIFIABLE","?REFERENTIAL"),"_")))))</f>
        <v/>
      </c>
      <c r="H317" s="24" t="str">
        <f t="shared" ca="1" si="29"/>
        <v/>
      </c>
      <c r="I317" s="25" t="str">
        <f>IF(OR(E317="",E317="!!!",F317="NEW"),"",INDEX(B$2:B316,-1+SUMPRODUCT(MAX(ROW(E$2:E316)*(E317=E$2:E316)))))</f>
        <v/>
      </c>
      <c r="J317" s="25" t="str">
        <f ca="1">IF(OR(E317="",E317="!!!",F317="NEW"),"",COUNTBLANK(OFFSET(A$1,,,SUMPRODUCT(MAX(ROW(E$2:E317)*(E317=E$2:E317)))))-COUNTBLANK(OFFSET(A$1,,,SUMPRODUCT(MAX(ROW(E$1:E316)*(E2=E$1:E316))))))</f>
        <v/>
      </c>
      <c r="K317" s="25" t="str">
        <f>IF(OR(E317="",E317="!!!",F317="NEW"),"",INDEX(J$1:J316,SUMPRODUCT(MAX(ROW(E$1:E316)*(E317=E$1:E316)))))</f>
        <v/>
      </c>
      <c r="L317" s="26"/>
    </row>
    <row r="318" spans="1:12" x14ac:dyDescent="0.3">
      <c r="A318" t="s">
        <v>127</v>
      </c>
      <c r="B318" s="20" t="s">
        <v>118</v>
      </c>
      <c r="C318" s="20" t="s">
        <v>141</v>
      </c>
      <c r="E318" s="21" t="str">
        <f t="shared" si="28"/>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29"/>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269</v>
      </c>
      <c r="E319" s="21" t="str">
        <f t="shared" si="28"/>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29"/>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155</v>
      </c>
      <c r="E320" s="21" t="str">
        <f t="shared" si="28"/>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29"/>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269</v>
      </c>
      <c r="E321" s="21" t="str">
        <f t="shared" si="28"/>
        <v/>
      </c>
      <c r="F321" s="22" t="str">
        <f>IF(OR(E321="",E321="!!!"),"",IF(NOT(ISNA(VLOOKUP(E321,E$1:E320,1,FALSE()))),"OLD",IF(AND(E321&lt;&gt;"",E321&lt;&gt;"!!!"),"NEW","")))</f>
        <v/>
      </c>
      <c r="G321" s="23" t="str">
        <f>IF(OR(E321="",E321="!!!"),"",IF(OR(J321=0,AND(J321=1,K321=1),AND(J321=1,I321="SBJ"),AND(J321=1,I321=0)),"?IN_FOCUS",IF(J321&lt;=2,"?ACTIVATED",IF(J321&lt;&gt;"","?FAMILIAR",IF(F321="NEW",IF(ISNA(VLOOKUP(E321,#REF!,1,FALSE())),"?TYPE_IDENTIFIABLE","?REFERENTIAL"),"_")))))</f>
        <v/>
      </c>
      <c r="H321" s="24"/>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129</v>
      </c>
      <c r="B322" s="20" t="s">
        <v>134</v>
      </c>
      <c r="C322" s="20" t="s">
        <v>111</v>
      </c>
      <c r="D322" s="20" t="s">
        <v>112</v>
      </c>
      <c r="E322" s="21" t="s">
        <v>373</v>
      </c>
      <c r="F322" s="22" t="str">
        <f>IF(OR(E322="",E322="!!!"),"",IF(NOT(ISNA(VLOOKUP(E322,E$1:E321,1,FALSE()))),"OLD",IF(AND(E322&lt;&gt;"",E322&lt;&gt;"!!!"),"NEW","")))</f>
        <v>OLD</v>
      </c>
      <c r="G322" s="23" t="s">
        <v>414</v>
      </c>
      <c r="H322" s="24" t="s">
        <v>104</v>
      </c>
      <c r="I322" s="25">
        <f>IF(OR(E322="",E322="!!!",F322="NEW"),"",INDEX(B$2:B321,-1+SUMPRODUCT(MAX(ROW(E$2:E321)*(E322=E$2:E321)))))</f>
        <v>0</v>
      </c>
      <c r="J322" s="25">
        <f ca="1">IF(OR(E322="",E322="!!!",F322="NEW"),"",COUNTBLANK(OFFSET(A$1,,,SUMPRODUCT(MAX(ROW(E$2:E322)*(E322=E$2:E322)))))-COUNTBLANK(OFFSET(A$1,,,SUMPRODUCT(MAX(ROW(E$1:E321)*(E2=E$1:E321))))))</f>
        <v>0</v>
      </c>
      <c r="K322" s="25">
        <f ca="1">IF(OR(E322="",E322="!!!",F322="NEW"),"",INDEX(J$1:J321,SUMPRODUCT(MAX(ROW(E$1:E321)*(E322=E$1:E321)))))</f>
        <v>0</v>
      </c>
      <c r="L322" s="26"/>
    </row>
    <row r="323" spans="1:12" x14ac:dyDescent="0.3">
      <c r="A323" t="s">
        <v>197</v>
      </c>
      <c r="B323" s="20" t="s">
        <v>122</v>
      </c>
      <c r="C323" s="20" t="s">
        <v>215</v>
      </c>
      <c r="E323" s="21" t="str">
        <f t="shared" si="28"/>
        <v/>
      </c>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t="shared" ca="1" si="29"/>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4" spans="1:12" x14ac:dyDescent="0.3">
      <c r="A324" t="s">
        <v>135</v>
      </c>
      <c r="E324" s="21" t="str">
        <f t="shared" si="28"/>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t="shared" ca="1" si="29"/>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5" spans="1:12" x14ac:dyDescent="0.3">
      <c r="A325" t="s">
        <v>159</v>
      </c>
      <c r="E325" s="21" t="str">
        <f t="shared" si="28"/>
        <v/>
      </c>
      <c r="F325" s="22" t="str">
        <f>IF(OR(E325="",E325="!!!"),"",IF(NOT(ISNA(VLOOKUP(E325,E$1:E324,1,FALSE()))),"OLD",IF(AND(E325&lt;&gt;"",E325&lt;&gt;"!!!"),"NEW","")))</f>
        <v/>
      </c>
      <c r="G325" s="23" t="str">
        <f>IF(OR(E325="",E325="!!!"),"",IF(OR(J325=0,AND(J325=1,K325=1),AND(J325=1,I325="SBJ"),AND(J325=1,I325=0)),"?IN_FOCUS",IF(J325&lt;=2,"?ACTIVATED",IF(J325&lt;&gt;"","?FAMILIAR",IF(F325="NEW",IF(ISNA(VLOOKUP(E325,#REF!,1,FALSE())),"?TYPE_IDENTIFIABLE","?REFERENTIAL"),"_")))))</f>
        <v/>
      </c>
      <c r="H325" s="24" t="str">
        <f t="shared" ca="1" si="29"/>
        <v/>
      </c>
      <c r="I325" s="25" t="str">
        <f>IF(OR(E325="",E325="!!!",F325="NEW"),"",INDEX(B$2:B324,-1+SUMPRODUCT(MAX(ROW(E$2:E324)*(E325=E$2:E324)))))</f>
        <v/>
      </c>
      <c r="J325" s="25" t="str">
        <f ca="1">IF(OR(E325="",E325="!!!",F325="NEW"),"",COUNTBLANK(OFFSET(A$1,,,SUMPRODUCT(MAX(ROW(E$2:E325)*(E325=E$2:E325)))))-COUNTBLANK(OFFSET(A$1,,,SUMPRODUCT(MAX(ROW(E$1:E324)*(E2=E$1:E324))))))</f>
        <v/>
      </c>
      <c r="K325" s="25" t="str">
        <f>IF(OR(E325="",E325="!!!",F325="NEW"),"",INDEX(J$1:J324,SUMPRODUCT(MAX(ROW(E$1:E324)*(E325=E$1:E324)))))</f>
        <v/>
      </c>
      <c r="L325" s="26"/>
    </row>
    <row r="326" spans="1:12" x14ac:dyDescent="0.3">
      <c r="A326" t="s">
        <v>127</v>
      </c>
      <c r="B326" s="20" t="s">
        <v>118</v>
      </c>
      <c r="C326" s="20" t="s">
        <v>128</v>
      </c>
      <c r="D326" s="20" t="s">
        <v>112</v>
      </c>
      <c r="E326" s="21"/>
      <c r="F326" s="22" t="s">
        <v>371</v>
      </c>
      <c r="G326" s="23" t="str">
        <f>IF(OR(E326="",E326="!!!"),"",IF(OR(J326=0,AND(J326=1,K326=1),AND(J326=1,I326="SBJ"),AND(J326=1,I326=0)),"?IN_FOCUS",IF(J326&lt;=2,"?ACTIVATED",IF(J326&lt;&gt;"","?FAMILIAR",IF(F326="NEW",IF(ISNA(VLOOKUP(E326,#REF!,1,FALSE())),"?TYPE_IDENTIFIABLE","?REFERENTIAL"),"_")))))</f>
        <v/>
      </c>
      <c r="H326" s="24" t="str">
        <f t="shared" ca="1" si="29"/>
        <v/>
      </c>
      <c r="I326" s="25" t="str">
        <f>IF(OR(E326="",E326="!!!",F326="NEW"),"",INDEX(B$2:B325,-1+SUMPRODUCT(MAX(ROW(E$2:E325)*(E326=E$2:E325)))))</f>
        <v/>
      </c>
      <c r="J326" s="25" t="str">
        <f ca="1">IF(OR(E326="",E326="!!!",F326="NEW"),"",COUNTBLANK(OFFSET(A$1,,,SUMPRODUCT(MAX(ROW(E$2:E326)*(E326=E$2:E326)))))-COUNTBLANK(OFFSET(A$1,,,SUMPRODUCT(MAX(ROW(E$1:E325)*(E2=E$1:E325))))))</f>
        <v/>
      </c>
      <c r="K326" s="25" t="str">
        <f>IF(OR(E326="",E326="!!!",F326="NEW"),"",INDEX(J$1:J325,SUMPRODUCT(MAX(ROW(E$1:E325)*(E326=E$1:E325)))))</f>
        <v/>
      </c>
      <c r="L326" s="26"/>
    </row>
    <row r="327" spans="1:12" x14ac:dyDescent="0.3">
      <c r="A327" t="s">
        <v>143</v>
      </c>
      <c r="E327" s="21" t="str">
        <f t="shared" si="28"/>
        <v/>
      </c>
      <c r="F327" s="22" t="str">
        <f>IF(OR(E327="",E327="!!!"),"",IF(NOT(ISNA(VLOOKUP(E327,E$1:E326,1,FALSE()))),"OLD",IF(AND(E327&lt;&gt;"",E327&lt;&gt;"!!!"),"NEW","")))</f>
        <v/>
      </c>
      <c r="G327" s="23" t="str">
        <f>IF(OR(E327="",E327="!!!"),"",IF(OR(J327=0,AND(J327=1,K327=1),AND(J327=1,I327="SBJ"),AND(J327=1,I327=0)),"?IN_FOCUS",IF(J327&lt;=2,"?ACTIVATED",IF(J327&lt;&gt;"","?FAMILIAR",IF(F327="NEW",IF(ISNA(VLOOKUP(E327,#REF!,1,FALSE())),"?TYPE_IDENTIFIABLE","?REFERENTIAL"),"_")))))</f>
        <v/>
      </c>
      <c r="H327" s="24" t="str">
        <f t="shared" ca="1" si="29"/>
        <v/>
      </c>
      <c r="I327" s="25" t="str">
        <f>IF(OR(E327="",E327="!!!",F327="NEW"),"",INDEX(B$2:B326,-1+SUMPRODUCT(MAX(ROW(E$2:E326)*(E327=E$2:E326)))))</f>
        <v/>
      </c>
      <c r="J327" s="25" t="str">
        <f ca="1">IF(OR(E327="",E327="!!!",F327="NEW"),"",COUNTBLANK(OFFSET(A$1,,,SUMPRODUCT(MAX(ROW(E$2:E327)*(E327=E$2:E327)))))-COUNTBLANK(OFFSET(A$1,,,SUMPRODUCT(MAX(ROW(E$1:E326)*(E2=E$1:E326))))))</f>
        <v/>
      </c>
      <c r="K327" s="25" t="str">
        <f>IF(OR(E327="",E327="!!!",F327="NEW"),"",INDEX(J$1:J326,SUMPRODUCT(MAX(ROW(E$1:E326)*(E327=E$1:E326)))))</f>
        <v/>
      </c>
      <c r="L327" s="26"/>
    </row>
    <row r="329" spans="1:12" x14ac:dyDescent="0.3">
      <c r="A329" t="s">
        <v>294</v>
      </c>
    </row>
    <row r="330" spans="1:12" x14ac:dyDescent="0.3">
      <c r="A330" t="s">
        <v>295</v>
      </c>
      <c r="B330" s="20" t="s">
        <v>110</v>
      </c>
      <c r="C330" s="20" t="s">
        <v>201</v>
      </c>
      <c r="D330" s="20" t="s">
        <v>112</v>
      </c>
      <c r="E330" s="21" t="s">
        <v>374</v>
      </c>
      <c r="F330" s="22" t="s">
        <v>405</v>
      </c>
      <c r="G330" s="23" t="s">
        <v>415</v>
      </c>
      <c r="H330" s="24" t="str">
        <f t="shared" ref="H330:H344" ca="1" si="30">IF(J330&lt;&gt;1,"",IF(I330="SBJ","CB","?"))</f>
        <v/>
      </c>
      <c r="I330" s="25" t="str">
        <f>IF(OR(E330="",E330="!!!",F330="NEW"),"",INDEX(B$2:B329,-1+SUMPRODUCT(MAX(ROW(E$2:E329)*(E330=E$2:E329)))))</f>
        <v>SBJ</v>
      </c>
      <c r="J330" s="25">
        <f ca="1">IF(OR(E330="",E330="!!!",F330="NEW"),"",COUNTBLANK(OFFSET(A$1,,,SUMPRODUCT(MAX(ROW(E$2:E330)*(E330=E$2:E330)))))-COUNTBLANK(OFFSET(A$1,,,SUMPRODUCT(MAX(ROW(E$1:E329)*(E2=E$1:E329))))))</f>
        <v>0</v>
      </c>
      <c r="K330" s="25">
        <f ca="1">IF(OR(E330="",E330="!!!",F330="NEW"),"",INDEX(J$1:J329,SUMPRODUCT(MAX(ROW(E$1:E329)*(E330=E$1:E329)))))</f>
        <v>0</v>
      </c>
      <c r="L330" s="26"/>
    </row>
    <row r="331" spans="1:12" x14ac:dyDescent="0.3">
      <c r="A331" t="s">
        <v>296</v>
      </c>
      <c r="E331" s="21" t="str">
        <f t="shared" ref="E331:E344" si="31">IF(D331="?OLD","!!!","")</f>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30"/>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222</v>
      </c>
      <c r="E332" s="21" t="str">
        <f t="shared" si="31"/>
        <v/>
      </c>
      <c r="F332" s="22" t="str">
        <f>IF(OR(E332="",E332="!!!"),"",IF(NOT(ISNA(VLOOKUP(E332,E$1:E331,1,FALSE()))),"OLD",IF(AND(E332&lt;&gt;"",E332&lt;&gt;"!!!"),"NEW","")))</f>
        <v/>
      </c>
      <c r="G332" s="23" t="str">
        <f>IF(OR(E332="",E332="!!!"),"",IF(OR(J332=0,AND(J332=1,K332=1),AND(J332=1,I332="SBJ"),AND(J332=1,I332=0)),"?IN_FOCUS",IF(J332&lt;=2,"?ACTIVATED",IF(J332&lt;&gt;"","?FAMILIAR",IF(F332="NEW",IF(ISNA(VLOOKUP(E332,#REF!,1,FALSE())),"?TYPE_IDENTIFIABLE","?REFERENTIAL"),"_")))))</f>
        <v/>
      </c>
      <c r="H332" s="24" t="str">
        <f t="shared" ca="1" si="30"/>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3" spans="1:12" x14ac:dyDescent="0.3">
      <c r="A333" t="s">
        <v>155</v>
      </c>
      <c r="E333" s="21" t="str">
        <f t="shared" si="31"/>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30"/>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156</v>
      </c>
      <c r="E334" s="21" t="str">
        <f t="shared" si="31"/>
        <v/>
      </c>
      <c r="F334" s="22" t="str">
        <f>IF(OR(E334="",E334="!!!"),"",IF(NOT(ISNA(VLOOKUP(E334,E$1:E333,1,FALSE()))),"OLD",IF(AND(E334&lt;&gt;"",E334&lt;&gt;"!!!"),"NEW","")))</f>
        <v/>
      </c>
      <c r="G334" s="23" t="str">
        <f>IF(OR(E334="",E334="!!!"),"",IF(OR(J334=0,AND(J334=1,K334=1),AND(J334=1,I334="SBJ"),AND(J334=1,I334=0)),"?IN_FOCUS",IF(J334&lt;=2,"?ACTIVATED",IF(J334&lt;&gt;"","?FAMILIAR",IF(F334="NEW",IF(ISNA(VLOOKUP(E334,#REF!,1,FALSE())),"?TYPE_IDENTIFIABLE","?REFERENTIAL"),"_")))))</f>
        <v/>
      </c>
      <c r="H334" s="24" t="str">
        <f t="shared" ca="1" si="30"/>
        <v/>
      </c>
      <c r="I334" s="25" t="str">
        <f>IF(OR(E334="",E334="!!!",F334="NEW"),"",INDEX(B$2:B333,-1+SUMPRODUCT(MAX(ROW(E$2:E333)*(E334=E$2:E333)))))</f>
        <v/>
      </c>
      <c r="J334" s="25" t="str">
        <f ca="1">IF(OR(E334="",E334="!!!",F334="NEW"),"",COUNTBLANK(OFFSET(A$1,,,SUMPRODUCT(MAX(ROW(E$2:E334)*(E334=E$2:E334)))))-COUNTBLANK(OFFSET(A$1,,,SUMPRODUCT(MAX(ROW(E$1:E333)*(E2=E$1:E333))))))</f>
        <v/>
      </c>
      <c r="K334" s="25" t="str">
        <f>IF(OR(E334="",E334="!!!",F334="NEW"),"",INDEX(J$1:J333,SUMPRODUCT(MAX(ROW(E$1:E333)*(E334=E$1:E333)))))</f>
        <v/>
      </c>
      <c r="L334" s="26"/>
    </row>
    <row r="335" spans="1:12" x14ac:dyDescent="0.3">
      <c r="A335" t="s">
        <v>288</v>
      </c>
      <c r="B335" s="20" t="s">
        <v>152</v>
      </c>
      <c r="C335" s="20" t="s">
        <v>170</v>
      </c>
      <c r="D335" s="20" t="s">
        <v>112</v>
      </c>
      <c r="E335" s="21" t="s">
        <v>370</v>
      </c>
      <c r="F335" s="22" t="str">
        <f>IF(OR(E335="",E335="!!!"),"",IF(NOT(ISNA(VLOOKUP(E335,E$1:E334,1,FALSE()))),"OLD",IF(AND(E335&lt;&gt;"",E335&lt;&gt;"!!!"),"NEW","")))</f>
        <v>OLD</v>
      </c>
      <c r="G335" s="23" t="s">
        <v>414</v>
      </c>
      <c r="H335" s="24" t="s">
        <v>104</v>
      </c>
      <c r="I335" s="25" t="str">
        <f>IF(OR(E335="",E335="!!!",F335="NEW"),"",INDEX(B$2:B334,-1+SUMPRODUCT(MAX(ROW(E$2:E334)*(E335=E$2:E334)))))</f>
        <v>SBJ_2</v>
      </c>
      <c r="J335" s="25">
        <f ca="1">IF(OR(E335="",E335="!!!",F335="NEW"),"",COUNTBLANK(OFFSET(A$1,,,SUMPRODUCT(MAX(ROW(E$2:E335)*(E335=E$2:E335)))))-COUNTBLANK(OFFSET(A$1,,,SUMPRODUCT(MAX(ROW(E$1:E334)*(E2=E$1:E334))))))</f>
        <v>0</v>
      </c>
      <c r="K335" s="25">
        <f ca="1">IF(OR(E335="",E335="!!!",F335="NEW"),"",INDEX(J$1:J334,SUMPRODUCT(MAX(ROW(E$1:E334)*(E335=E$1:E334)))))</f>
        <v>0</v>
      </c>
      <c r="L335" s="26"/>
    </row>
    <row r="336" spans="1:12" x14ac:dyDescent="0.3">
      <c r="A336" t="s">
        <v>297</v>
      </c>
      <c r="B336" s="20" t="s">
        <v>122</v>
      </c>
      <c r="C336" s="20" t="s">
        <v>170</v>
      </c>
      <c r="D336" s="20" t="s">
        <v>112</v>
      </c>
      <c r="E336" s="21"/>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30"/>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t="s">
        <v>399</v>
      </c>
    </row>
    <row r="337" spans="1:12" x14ac:dyDescent="0.3">
      <c r="A337" t="s">
        <v>159</v>
      </c>
      <c r="E337" s="21" t="str">
        <f t="shared" si="31"/>
        <v/>
      </c>
      <c r="F337" s="22" t="str">
        <f>IF(OR(E337="",E337="!!!"),"",IF(NOT(ISNA(VLOOKUP(E337,E$1:E336,1,FALSE()))),"OLD",IF(AND(E337&lt;&gt;"",E337&lt;&gt;"!!!"),"NEW","")))</f>
        <v/>
      </c>
      <c r="G337" s="23" t="str">
        <f>IF(OR(E337="",E337="!!!"),"",IF(OR(J337=0,AND(J337=1,K337=1),AND(J337=1,I337="SBJ"),AND(J337=1,I337=0)),"?IN_FOCUS",IF(J337&lt;=2,"?ACTIVATED",IF(J337&lt;&gt;"","?FAMILIAR",IF(F337="NEW",IF(ISNA(VLOOKUP(E337,#REF!,1,FALSE())),"?TYPE_IDENTIFIABLE","?REFERENTIAL"),"_")))))</f>
        <v/>
      </c>
      <c r="H337" s="24" t="str">
        <f t="shared" ca="1" si="30"/>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298</v>
      </c>
      <c r="B338" s="20" t="s">
        <v>195</v>
      </c>
      <c r="C338" s="20" t="s">
        <v>174</v>
      </c>
      <c r="E338" s="21" t="s">
        <v>404</v>
      </c>
      <c r="F338" s="22" t="str">
        <f>IF(OR(E338="",E338="!!!"),"",IF(NOT(ISNA(VLOOKUP(E338,E$1:E337,1,FALSE()))),"OLD",IF(AND(E338&lt;&gt;"",E338&lt;&gt;"!!!"),"NEW","")))</f>
        <v>OLD</v>
      </c>
      <c r="G338" s="23" t="s">
        <v>369</v>
      </c>
      <c r="H338" s="24" t="str">
        <f t="shared" ca="1" si="30"/>
        <v/>
      </c>
      <c r="I338" s="25" t="str">
        <f>IF(OR(E338="",E338="!!!",F338="NEW"),"",INDEX(B$2:B337,-1+SUMPRODUCT(MAX(ROW(E$2:E337)*(E338=E$2:E337)))))</f>
        <v>other_2</v>
      </c>
      <c r="J338" s="25">
        <f ca="1">IF(OR(E338="",E338="!!!",F338="NEW"),"",COUNTBLANK(OFFSET(A$1,,,SUMPRODUCT(MAX(ROW(E$2:E338)*(E338=E$2:E338)))))-COUNTBLANK(OFFSET(A$1,,,SUMPRODUCT(MAX(ROW(E$1:E337)*(E2=E$1:E337))))))</f>
        <v>0</v>
      </c>
      <c r="K338" s="25" t="str">
        <f ca="1">IF(OR(E338="",E338="!!!",F338="NEW"),"",INDEX(J$1:J337,SUMPRODUCT(MAX(ROW(E$1:E337)*(E338=E$1:E337)))))</f>
        <v/>
      </c>
      <c r="L338" s="26" t="s">
        <v>400</v>
      </c>
    </row>
    <row r="339" spans="1:12" x14ac:dyDescent="0.3">
      <c r="A339" t="s">
        <v>155</v>
      </c>
      <c r="E339" s="21" t="str">
        <f t="shared" si="31"/>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30"/>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0" spans="1:12" x14ac:dyDescent="0.3">
      <c r="A340" t="s">
        <v>299</v>
      </c>
      <c r="E340" s="21" t="str">
        <f t="shared" si="31"/>
        <v/>
      </c>
      <c r="F340" s="22" t="str">
        <f>IF(OR(E340="",E340="!!!"),"",IF(NOT(ISNA(VLOOKUP(E340,E$1:E339,1,FALSE()))),"OLD",IF(AND(E340&lt;&gt;"",E340&lt;&gt;"!!!"),"NEW","")))</f>
        <v/>
      </c>
      <c r="G340" s="23" t="str">
        <f>IF(OR(E340="",E340="!!!"),"",IF(OR(J340=0,AND(J340=1,K340=1),AND(J340=1,I340="SBJ"),AND(J340=1,I340=0)),"?IN_FOCUS",IF(J340&lt;=2,"?ACTIVATED",IF(J340&lt;&gt;"","?FAMILIAR",IF(F340="NEW",IF(ISNA(VLOOKUP(E340,#REF!,1,FALSE())),"?TYPE_IDENTIFIABLE","?REFERENTIAL"),"_")))))</f>
        <v/>
      </c>
      <c r="H340" s="24" t="str">
        <f t="shared" ca="1" si="30"/>
        <v/>
      </c>
      <c r="I340" s="25" t="str">
        <f>IF(OR(E340="",E340="!!!",F340="NEW"),"",INDEX(B$2:B339,-1+SUMPRODUCT(MAX(ROW(E$2:E339)*(E340=E$2:E339)))))</f>
        <v/>
      </c>
      <c r="J340" s="25" t="str">
        <f ca="1">IF(OR(E340="",E340="!!!",F340="NEW"),"",COUNTBLANK(OFFSET(A$1,,,SUMPRODUCT(MAX(ROW(E$2:E340)*(E340=E$2:E340)))))-COUNTBLANK(OFFSET(A$1,,,SUMPRODUCT(MAX(ROW(E$1:E339)*(E2=E$1:E339))))))</f>
        <v/>
      </c>
      <c r="K340" s="25" t="str">
        <f>IF(OR(E340="",E340="!!!",F340="NEW"),"",INDEX(J$1:J339,SUMPRODUCT(MAX(ROW(E$1:E339)*(E340=E$1:E339)))))</f>
        <v/>
      </c>
      <c r="L340" s="26"/>
    </row>
    <row r="341" spans="1:12" x14ac:dyDescent="0.3">
      <c r="A341" t="s">
        <v>300</v>
      </c>
      <c r="E341" s="21" t="str">
        <f t="shared" si="31"/>
        <v/>
      </c>
      <c r="F341" s="22" t="str">
        <f>IF(OR(E341="",E341="!!!"),"",IF(NOT(ISNA(VLOOKUP(E341,E$1:E340,1,FALSE()))),"OLD",IF(AND(E341&lt;&gt;"",E341&lt;&gt;"!!!"),"NEW","")))</f>
        <v/>
      </c>
      <c r="G341" s="23" t="str">
        <f>IF(OR(E341="",E341="!!!"),"",IF(OR(J341=0,AND(J341=1,K341=1),AND(J341=1,I341="SBJ"),AND(J341=1,I341=0)),"?IN_FOCUS",IF(J341&lt;=2,"?ACTIVATED",IF(J341&lt;&gt;"","?FAMILIAR",IF(F341="NEW",IF(ISNA(VLOOKUP(E341,#REF!,1,FALSE())),"?TYPE_IDENTIFIABLE","?REFERENTIAL"),"_")))))</f>
        <v/>
      </c>
      <c r="H341" s="24" t="str">
        <f t="shared" ca="1" si="30"/>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298</v>
      </c>
      <c r="B342" s="20" t="s">
        <v>195</v>
      </c>
      <c r="C342" s="20" t="s">
        <v>196</v>
      </c>
      <c r="E342" s="21"/>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30"/>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301</v>
      </c>
      <c r="E343" s="21" t="str">
        <f t="shared" si="31"/>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30"/>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143</v>
      </c>
      <c r="E344" s="21" t="str">
        <f t="shared" si="31"/>
        <v/>
      </c>
      <c r="F344" s="22" t="str">
        <f>IF(OR(E344="",E344="!!!"),"",IF(NOT(ISNA(VLOOKUP(E344,E$1:E343,1,FALSE()))),"OLD",IF(AND(E344&lt;&gt;"",E344&lt;&gt;"!!!"),"NEW","")))</f>
        <v/>
      </c>
      <c r="G344" s="23" t="str">
        <f>IF(OR(E344="",E344="!!!"),"",IF(OR(J344=0,AND(J344=1,K344=1),AND(J344=1,I344="SBJ"),AND(J344=1,I344=0)),"?IN_FOCUS",IF(J344&lt;=2,"?ACTIVATED",IF(J344&lt;&gt;"","?FAMILIAR",IF(F344="NEW",IF(ISNA(VLOOKUP(E344,#REF!,1,FALSE())),"?TYPE_IDENTIFIABLE","?REFERENTIAL"),"_")))))</f>
        <v/>
      </c>
      <c r="H344" s="24" t="str">
        <f t="shared" ca="1" si="30"/>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row>
    <row r="346" spans="1:12" x14ac:dyDescent="0.3">
      <c r="A346" t="s">
        <v>302</v>
      </c>
    </row>
    <row r="347" spans="1:12" x14ac:dyDescent="0.3">
      <c r="A347" t="s">
        <v>303</v>
      </c>
      <c r="B347" s="20" t="s">
        <v>110</v>
      </c>
      <c r="C347" s="20" t="s">
        <v>215</v>
      </c>
      <c r="E347" s="21" t="str">
        <f t="shared" ref="E347:E371" si="32">IF(D347="?OLD","!!!","")</f>
        <v/>
      </c>
      <c r="F347" s="22" t="str">
        <f>IF(OR(E347="",E347="!!!"),"",IF(NOT(ISNA(VLOOKUP(E347,E$1:E346,1,FALSE()))),"OLD",IF(AND(E347&lt;&gt;"",E347&lt;&gt;"!!!"),"NEW","")))</f>
        <v/>
      </c>
      <c r="G347" s="23" t="str">
        <f>IF(OR(E347="",E347="!!!"),"",IF(OR(J347=0,AND(J347=1,K347=1),AND(J347=1,I347="SBJ"),AND(J347=1,I347=0)),"?IN_FOCUS",IF(J347&lt;=2,"?ACTIVATED",IF(J347&lt;&gt;"","?FAMILIAR",IF(F347="NEW",IF(ISNA(VLOOKUP(E347,#REF!,1,FALSE())),"?TYPE_IDENTIFIABLE","?REFERENTIAL"),"_")))))</f>
        <v/>
      </c>
      <c r="H347" s="24" t="str">
        <f t="shared" ref="H347:H371" ca="1" si="33">IF(J347&lt;&gt;1,"",IF(I347="SBJ","CB","?"))</f>
        <v/>
      </c>
      <c r="I347" s="25" t="str">
        <f>IF(OR(E347="",E347="!!!",F347="NEW"),"",INDEX(B$2:B346,-1+SUMPRODUCT(MAX(ROW(E$2:E346)*(E347=E$2:E346)))))</f>
        <v/>
      </c>
      <c r="J347" s="25" t="str">
        <f ca="1">IF(OR(E347="",E347="!!!",F347="NEW"),"",COUNTBLANK(OFFSET(A$1,,,SUMPRODUCT(MAX(ROW(E$2:E347)*(E347=E$2:E347)))))-COUNTBLANK(OFFSET(A$1,,,SUMPRODUCT(MAX(ROW(E$1:E346)*(E2=E$1:E346))))))</f>
        <v/>
      </c>
      <c r="K347" s="25" t="str">
        <f>IF(OR(E347="",E347="!!!",F347="NEW"),"",INDEX(J$1:J346,SUMPRODUCT(MAX(ROW(E$1:E346)*(E347=E$1:E346)))))</f>
        <v/>
      </c>
      <c r="L347" s="26"/>
    </row>
    <row r="348" spans="1:12" x14ac:dyDescent="0.3">
      <c r="A348" t="s">
        <v>183</v>
      </c>
      <c r="B348" s="20" t="s">
        <v>122</v>
      </c>
      <c r="C348" s="20" t="s">
        <v>184</v>
      </c>
      <c r="D348" s="20" t="s">
        <v>112</v>
      </c>
      <c r="E348" s="21"/>
      <c r="F348" s="22" t="str">
        <f>IF(OR(E348="",E348="!!!"),"",IF(NOT(ISNA(VLOOKUP(E348,E$1:E347,1,FALSE()))),"OLD",IF(AND(E348&lt;&gt;"",E348&lt;&gt;"!!!"),"NEW","")))</f>
        <v/>
      </c>
      <c r="G348" s="23" t="str">
        <f>IF(OR(E348="",E348="!!!"),"",IF(OR(J348=0,AND(J348=1,K348=1),AND(J348=1,I348="SBJ"),AND(J348=1,I348=0)),"?IN_FOCUS",IF(J348&lt;=2,"?ACTIVATED",IF(J348&lt;&gt;"","?FAMILIAR",IF(F348="NEW",IF(ISNA(VLOOKUP(E348,#REF!,1,FALSE())),"?TYPE_IDENTIFIABLE","?REFERENTIAL"),"_")))))</f>
        <v/>
      </c>
      <c r="H348" s="24" t="str">
        <f t="shared" ca="1" si="33"/>
        <v/>
      </c>
      <c r="I348" s="25" t="str">
        <f>IF(OR(E348="",E348="!!!",F348="NEW"),"",INDEX(B$2:B347,-1+SUMPRODUCT(MAX(ROW(E$2:E347)*(E348=E$2:E347)))))</f>
        <v/>
      </c>
      <c r="J348" s="25" t="str">
        <f ca="1">IF(OR(E348="",E348="!!!",F348="NEW"),"",COUNTBLANK(OFFSET(A$1,,,SUMPRODUCT(MAX(ROW(E$2:E348)*(E348=E$2:E348)))))-COUNTBLANK(OFFSET(A$1,,,SUMPRODUCT(MAX(ROW(E$1:E347)*(E2=E$1:E347))))))</f>
        <v/>
      </c>
      <c r="K348" s="25" t="str">
        <f>IF(OR(E348="",E348="!!!",F348="NEW"),"",INDEX(J$1:J347,SUMPRODUCT(MAX(ROW(E$1:E347)*(E348=E$1:E347)))))</f>
        <v/>
      </c>
      <c r="L348" s="26" t="s">
        <v>377</v>
      </c>
    </row>
    <row r="349" spans="1:12" x14ac:dyDescent="0.3">
      <c r="A349" t="s">
        <v>224</v>
      </c>
      <c r="B349" s="20" t="s">
        <v>118</v>
      </c>
      <c r="C349" s="20" t="s">
        <v>186</v>
      </c>
      <c r="D349" s="20" t="s">
        <v>112</v>
      </c>
      <c r="E349" s="21" t="s">
        <v>417</v>
      </c>
      <c r="F349" s="22" t="str">
        <f>IF(OR(E349="",E349="!!!"),"",IF(NOT(ISNA(VLOOKUP(E349,E$1:E348,1,FALSE()))),"OLD",IF(AND(E349&lt;&gt;"",E349&lt;&gt;"!!!"),"NEW","")))</f>
        <v>OLD</v>
      </c>
      <c r="G349" s="23" t="s">
        <v>415</v>
      </c>
      <c r="H349" s="24" t="str">
        <f t="shared" ca="1" si="33"/>
        <v/>
      </c>
      <c r="I349" s="25" t="str">
        <f>IF(OR(E349="",E349="!!!",F349="NEW"),"",INDEX(B$2:B348,-1+SUMPRODUCT(MAX(ROW(E$2:E348)*(E349=E$2:E348)))))</f>
        <v>other_4</v>
      </c>
      <c r="J349" s="25">
        <f ca="1">IF(OR(E349="",E349="!!!",F349="NEW"),"",COUNTBLANK(OFFSET(A$1,,,SUMPRODUCT(MAX(ROW(E$2:E349)*(E349=E$2:E349)))))-COUNTBLANK(OFFSET(A$1,,,SUMPRODUCT(MAX(ROW(E$1:E348)*(E2=E$1:E348))))))</f>
        <v>0</v>
      </c>
      <c r="K349" s="25">
        <f ca="1">IF(OR(E349="",E349="!!!",F349="NEW"),"",INDEX(J$1:J348,SUMPRODUCT(MAX(ROW(E$1:E348)*(E349=E$1:E348)))))</f>
        <v>0</v>
      </c>
      <c r="L349" s="26" t="s">
        <v>409</v>
      </c>
    </row>
    <row r="350" spans="1:12" x14ac:dyDescent="0.3">
      <c r="A350" t="s">
        <v>145</v>
      </c>
      <c r="E350" s="21" t="str">
        <f t="shared" si="32"/>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33"/>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225</v>
      </c>
      <c r="E351" s="21" t="str">
        <f t="shared" si="32"/>
        <v/>
      </c>
      <c r="F351" s="22" t="str">
        <f>IF(OR(E351="",E351="!!!"),"",IF(NOT(ISNA(VLOOKUP(E351,E$1:E350,1,FALSE()))),"OLD",IF(AND(E351&lt;&gt;"",E351&lt;&gt;"!!!"),"NEW","")))</f>
        <v/>
      </c>
      <c r="G351" s="23" t="str">
        <f>IF(OR(E351="",E351="!!!"),"",IF(OR(J351=0,AND(J351=1,K351=1),AND(J351=1,I351="SBJ"),AND(J351=1,I351=0)),"?IN_FOCUS",IF(J351&lt;=2,"?ACTIVATED",IF(J351&lt;&gt;"","?FAMILIAR",IF(F351="NEW",IF(ISNA(VLOOKUP(E351,#REF!,1,FALSE())),"?TYPE_IDENTIFIABLE","?REFERENTIAL"),"_")))))</f>
        <v/>
      </c>
      <c r="H351" s="24" t="str">
        <f t="shared" ca="1" si="33"/>
        <v/>
      </c>
      <c r="I351" s="25" t="str">
        <f>IF(OR(E351="",E351="!!!",F351="NEW"),"",INDEX(B$2:B350,-1+SUMPRODUCT(MAX(ROW(E$2:E350)*(E351=E$2:E350)))))</f>
        <v/>
      </c>
      <c r="J351" s="25" t="str">
        <f ca="1">IF(OR(E351="",E351="!!!",F351="NEW"),"",COUNTBLANK(OFFSET(A$1,,,SUMPRODUCT(MAX(ROW(E$2:E351)*(E351=E$2:E351)))))-COUNTBLANK(OFFSET(A$1,,,SUMPRODUCT(MAX(ROW(E$1:E350)*(E2=E$1:E350))))))</f>
        <v/>
      </c>
      <c r="K351" s="25" t="str">
        <f>IF(OR(E351="",E351="!!!",F351="NEW"),"",INDEX(J$1:J350,SUMPRODUCT(MAX(ROW(E$1:E350)*(E351=E$1:E350)))))</f>
        <v/>
      </c>
      <c r="L351" s="26"/>
    </row>
    <row r="352" spans="1:12" x14ac:dyDescent="0.3">
      <c r="A352" t="s">
        <v>304</v>
      </c>
      <c r="E352" s="21" t="s">
        <v>417</v>
      </c>
      <c r="F352" s="22" t="str">
        <f>IF(OR(E352="",E352="!!!"),"",IF(NOT(ISNA(VLOOKUP(E352,E$1:E351,1,FALSE()))),"OLD",IF(AND(E352&lt;&gt;"",E352&lt;&gt;"!!!"),"NEW","")))</f>
        <v>OLD</v>
      </c>
      <c r="G352" s="23" t="s">
        <v>414</v>
      </c>
      <c r="H352" s="24" t="str">
        <f t="shared" ca="1" si="33"/>
        <v/>
      </c>
      <c r="I352" s="25" t="str">
        <f>IF(OR(E352="",E352="!!!",F352="NEW"),"",INDEX(B$2:B351,-1+SUMPRODUCT(MAX(ROW(E$2:E351)*(E352=E$2:E351)))))</f>
        <v>other_2</v>
      </c>
      <c r="J352" s="25">
        <f ca="1">IF(OR(E352="",E352="!!!",F352="NEW"),"",COUNTBLANK(OFFSET(A$1,,,SUMPRODUCT(MAX(ROW(E$2:E352)*(E352=E$2:E352)))))-COUNTBLANK(OFFSET(A$1,,,SUMPRODUCT(MAX(ROW(E$1:E351)*(E2=E$1:E351))))))</f>
        <v>0</v>
      </c>
      <c r="K352" s="25">
        <f ca="1">IF(OR(E352="",E352="!!!",F352="NEW"),"",INDEX(J$1:J351,SUMPRODUCT(MAX(ROW(E$1:E351)*(E352=E$1:E351)))))</f>
        <v>0</v>
      </c>
      <c r="L352" s="26" t="s">
        <v>406</v>
      </c>
    </row>
    <row r="353" spans="1:12" x14ac:dyDescent="0.3">
      <c r="A353" t="s">
        <v>305</v>
      </c>
      <c r="E353" s="21" t="str">
        <f t="shared" si="32"/>
        <v/>
      </c>
      <c r="F353" s="22" t="str">
        <f>IF(OR(E353="",E353="!!!"),"",IF(NOT(ISNA(VLOOKUP(E353,E$1:E352,1,FALSE()))),"OLD",IF(AND(E353&lt;&gt;"",E353&lt;&gt;"!!!"),"NEW","")))</f>
        <v/>
      </c>
      <c r="G353" s="23" t="str">
        <f>IF(OR(E353="",E353="!!!"),"",IF(OR(J353=0,AND(J353=1,K353=1),AND(J353=1,I353="SBJ"),AND(J353=1,I353=0)),"?IN_FOCUS",IF(J353&lt;=2,"?ACTIVATED",IF(J353&lt;&gt;"","?FAMILIAR",IF(F353="NEW",IF(ISNA(VLOOKUP(E353,#REF!,1,FALSE())),"?TYPE_IDENTIFIABLE","?REFERENTIAL"),"_")))))</f>
        <v/>
      </c>
      <c r="H353" s="24" t="str">
        <f t="shared" ca="1" si="33"/>
        <v/>
      </c>
      <c r="I353" s="25" t="str">
        <f>IF(OR(E353="",E353="!!!",F353="NEW"),"",INDEX(B$2:B352,-1+SUMPRODUCT(MAX(ROW(E$2:E352)*(E353=E$2:E352)))))</f>
        <v/>
      </c>
      <c r="J353" s="25" t="str">
        <f ca="1">IF(OR(E353="",E353="!!!",F353="NEW"),"",COUNTBLANK(OFFSET(A$1,,,SUMPRODUCT(MAX(ROW(E$2:E353)*(E353=E$2:E353)))))-COUNTBLANK(OFFSET(A$1,,,SUMPRODUCT(MAX(ROW(E$1:E352)*(E2=E$1:E352))))))</f>
        <v/>
      </c>
      <c r="K353" s="25" t="str">
        <f>IF(OR(E353="",E353="!!!",F353="NEW"),"",INDEX(J$1:J352,SUMPRODUCT(MAX(ROW(E$1:E352)*(E353=E$1:E352)))))</f>
        <v/>
      </c>
      <c r="L353" s="26"/>
    </row>
    <row r="354" spans="1:12" x14ac:dyDescent="0.3">
      <c r="A354" t="s">
        <v>306</v>
      </c>
      <c r="B354" s="20" t="s">
        <v>134</v>
      </c>
      <c r="C354" s="20" t="s">
        <v>307</v>
      </c>
      <c r="E354" s="21" t="s">
        <v>413</v>
      </c>
      <c r="F354" s="22" t="str">
        <f>IF(OR(E354="",E354="!!!"),"",IF(NOT(ISNA(VLOOKUP(E354,E$1:E353,1,FALSE()))),"OLD",IF(AND(E354&lt;&gt;"",E354&lt;&gt;"!!!"),"NEW","")))</f>
        <v>NEW</v>
      </c>
      <c r="G354" s="23" t="s">
        <v>416</v>
      </c>
      <c r="H354" s="24" t="str">
        <f t="shared" ca="1" si="33"/>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5" spans="1:12" x14ac:dyDescent="0.3">
      <c r="A355" t="s">
        <v>116</v>
      </c>
      <c r="E355" s="21" t="str">
        <f t="shared" si="32"/>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ca="1" si="33"/>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308</v>
      </c>
      <c r="E356" s="21" t="str">
        <f t="shared" si="32"/>
        <v/>
      </c>
      <c r="F356" s="22" t="str">
        <f>IF(OR(E356="",E356="!!!"),"",IF(NOT(ISNA(VLOOKUP(E356,E$1:E355,1,FALSE()))),"OLD",IF(AND(E356&lt;&gt;"",E356&lt;&gt;"!!!"),"NEW","")))</f>
        <v/>
      </c>
      <c r="G356" s="23" t="str">
        <f>IF(OR(E356="",E356="!!!"),"",IF(OR(J356=0,AND(J356=1,K356=1),AND(J356=1,I356="SBJ"),AND(J356=1,I356=0)),"?IN_FOCUS",IF(J356&lt;=2,"?ACTIVATED",IF(J356&lt;&gt;"","?FAMILIAR",IF(F356="NEW",IF(ISNA(VLOOKUP(E356,#REF!,1,FALSE())),"?TYPE_IDENTIFIABLE","?REFERENTIAL"),"_")))))</f>
        <v/>
      </c>
      <c r="H356" s="24" t="str">
        <f t="shared" ca="1" si="33"/>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309</v>
      </c>
      <c r="E357" s="21" t="str">
        <f t="shared" si="32"/>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ca="1" si="33"/>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310</v>
      </c>
      <c r="B358" s="20" t="s">
        <v>134</v>
      </c>
      <c r="C358" s="20" t="s">
        <v>215</v>
      </c>
      <c r="E358" s="21" t="str">
        <f t="shared" si="32"/>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33"/>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75</v>
      </c>
      <c r="E359" s="21" t="str">
        <f t="shared" si="32"/>
        <v/>
      </c>
      <c r="F359" s="22" t="str">
        <f>IF(OR(E359="",E359="!!!"),"",IF(NOT(ISNA(VLOOKUP(E359,E$1:E358,1,FALSE()))),"OLD",IF(AND(E359&lt;&gt;"",E359&lt;&gt;"!!!"),"NEW","")))</f>
        <v/>
      </c>
      <c r="G359" s="23" t="str">
        <f>IF(OR(E359="",E359="!!!"),"",IF(OR(J359=0,AND(J359=1,K359=1),AND(J359=1,I359="SBJ"),AND(J359=1,I359=0)),"?IN_FOCUS",IF(J359&lt;=2,"?ACTIVATED",IF(J359&lt;&gt;"","?FAMILIAR",IF(F359="NEW",IF(ISNA(VLOOKUP(E359,#REF!,1,FALSE())),"?TYPE_IDENTIFIABLE","?REFERENTIAL"),"_")))))</f>
        <v/>
      </c>
      <c r="H359" s="24" t="str">
        <f t="shared" ca="1" si="33"/>
        <v/>
      </c>
      <c r="I359" s="25" t="str">
        <f>IF(OR(E359="",E359="!!!",F359="NEW"),"",INDEX(B$2:B358,-1+SUMPRODUCT(MAX(ROW(E$2:E358)*(E359=E$2:E358)))))</f>
        <v/>
      </c>
      <c r="J359" s="25" t="str">
        <f ca="1">IF(OR(E359="",E359="!!!",F359="NEW"),"",COUNTBLANK(OFFSET(A$1,,,SUMPRODUCT(MAX(ROW(E$2:E359)*(E359=E$2:E359)))))-COUNTBLANK(OFFSET(A$1,,,SUMPRODUCT(MAX(ROW(E$1:E358)*(E2=E$1:E358))))))</f>
        <v/>
      </c>
      <c r="K359" s="25" t="str">
        <f>IF(OR(E359="",E359="!!!",F359="NEW"),"",INDEX(J$1:J358,SUMPRODUCT(MAX(ROW(E$1:E358)*(E359=E$1:E358)))))</f>
        <v/>
      </c>
      <c r="L359" s="26"/>
    </row>
    <row r="360" spans="1:12" x14ac:dyDescent="0.3">
      <c r="A360" t="s">
        <v>177</v>
      </c>
      <c r="E360" s="21" t="str">
        <f t="shared" si="32"/>
        <v/>
      </c>
      <c r="F360" s="22" t="str">
        <f>IF(OR(E360="",E360="!!!"),"",IF(NOT(ISNA(VLOOKUP(E360,E$1:E359,1,FALSE()))),"OLD",IF(AND(E360&lt;&gt;"",E360&lt;&gt;"!!!"),"NEW","")))</f>
        <v/>
      </c>
      <c r="G360" s="23" t="str">
        <f>IF(OR(E360="",E360="!!!"),"",IF(OR(J360=0,AND(J360=1,K360=1),AND(J360=1,I360="SBJ"),AND(J360=1,I360=0)),"?IN_FOCUS",IF(J360&lt;=2,"?ACTIVATED",IF(J360&lt;&gt;"","?FAMILIAR",IF(F360="NEW",IF(ISNA(VLOOKUP(E360,#REF!,1,FALSE())),"?TYPE_IDENTIFIABLE","?REFERENTIAL"),"_")))))</f>
        <v/>
      </c>
      <c r="H360" s="24" t="str">
        <f t="shared" ca="1" si="33"/>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284</v>
      </c>
      <c r="B361" s="20" t="s">
        <v>122</v>
      </c>
      <c r="C361" s="20" t="s">
        <v>280</v>
      </c>
      <c r="D361" s="20" t="s">
        <v>112</v>
      </c>
      <c r="E361" s="21" t="s">
        <v>370</v>
      </c>
      <c r="F361" s="22" t="str">
        <f>IF(OR(E361="",E361="!!!"),"",IF(NOT(ISNA(VLOOKUP(E361,E$1:E360,1,FALSE()))),"OLD",IF(AND(E361&lt;&gt;"",E361&lt;&gt;"!!!"),"NEW","")))</f>
        <v>OLD</v>
      </c>
      <c r="G361" s="23" t="s">
        <v>414</v>
      </c>
      <c r="H361" s="24" t="s">
        <v>104</v>
      </c>
      <c r="I361" s="25" t="str">
        <f>IF(OR(E361="",E361="!!!",F361="NEW"),"",INDEX(B$2:B360,-1+SUMPRODUCT(MAX(ROW(E$2:E360)*(E361=E$2:E360)))))</f>
        <v>SBJ_2</v>
      </c>
      <c r="J361" s="25">
        <f ca="1">IF(OR(E361="",E361="!!!",F361="NEW"),"",COUNTBLANK(OFFSET(A$1,,,SUMPRODUCT(MAX(ROW(E$2:E361)*(E361=E$2:E361)))))-COUNTBLANK(OFFSET(A$1,,,SUMPRODUCT(MAX(ROW(E$1:E360)*(E2=E$1:E360))))))</f>
        <v>0</v>
      </c>
      <c r="K361" s="25">
        <f ca="1">IF(OR(E361="",E361="!!!",F361="NEW"),"",INDEX(J$1:J360,SUMPRODUCT(MAX(ROW(E$1:E360)*(E361=E$1:E360)))))</f>
        <v>0</v>
      </c>
      <c r="L361" s="26"/>
    </row>
    <row r="362" spans="1:12" x14ac:dyDescent="0.3">
      <c r="A362" t="s">
        <v>285</v>
      </c>
      <c r="B362" s="20" t="s">
        <v>195</v>
      </c>
      <c r="C362" s="20" t="s">
        <v>196</v>
      </c>
      <c r="E362" s="21" t="s">
        <v>403</v>
      </c>
      <c r="F362" s="22" t="str">
        <f>IF(OR(E362="",E362="!!!"),"",IF(NOT(ISNA(VLOOKUP(E362,E$1:E361,1,FALSE()))),"OLD",IF(AND(E362&lt;&gt;"",E362&lt;&gt;"!!!"),"NEW","")))</f>
        <v>OLD</v>
      </c>
      <c r="G362" s="23" t="s">
        <v>369</v>
      </c>
      <c r="H362" s="24" t="str">
        <f t="shared" ca="1" si="33"/>
        <v/>
      </c>
      <c r="I362" s="25" t="str">
        <f>IF(OR(E362="",E362="!!!",F362="NEW"),"",INDEX(B$2:B361,-1+SUMPRODUCT(MAX(ROW(E$2:E361)*(E362=E$2:E361)))))</f>
        <v>OBJ_5</v>
      </c>
      <c r="J362" s="25">
        <f ca="1">IF(OR(E362="",E362="!!!",F362="NEW"),"",COUNTBLANK(OFFSET(A$1,,,SUMPRODUCT(MAX(ROW(E$2:E362)*(E362=E$2:E362)))))-COUNTBLANK(OFFSET(A$1,,,SUMPRODUCT(MAX(ROW(E$1:E361)*(E2=E$1:E361))))))</f>
        <v>0</v>
      </c>
      <c r="K362" s="25" t="str">
        <f ca="1">IF(OR(E362="",E362="!!!",F362="NEW"),"",INDEX(J$1:J361,SUMPRODUCT(MAX(ROW(E$1:E361)*(E362=E$1:E361)))))</f>
        <v/>
      </c>
      <c r="L362" s="26" t="s">
        <v>406</v>
      </c>
    </row>
    <row r="363" spans="1:12" x14ac:dyDescent="0.3">
      <c r="A363" t="s">
        <v>68</v>
      </c>
      <c r="E363" s="21" t="str">
        <f t="shared" si="32"/>
        <v/>
      </c>
      <c r="F363" s="22" t="str">
        <f>IF(OR(E363="",E363="!!!"),"",IF(NOT(ISNA(VLOOKUP(E363,E$1:E362,1,FALSE()))),"OLD",IF(AND(E363&lt;&gt;"",E363&lt;&gt;"!!!"),"NEW","")))</f>
        <v/>
      </c>
      <c r="G363" s="23" t="str">
        <f>IF(OR(E363="",E363="!!!"),"",IF(OR(J363=0,AND(J363=1,K363=1),AND(J363=1,I363="SBJ"),AND(J363=1,I363=0)),"?IN_FOCUS",IF(J363&lt;=2,"?ACTIVATED",IF(J363&lt;&gt;"","?FAMILIAR",IF(F363="NEW",IF(ISNA(VLOOKUP(E363,#REF!,1,FALSE())),"?TYPE_IDENTIFIABLE","?REFERENTIAL"),"_")))))</f>
        <v/>
      </c>
      <c r="H363" s="24" t="str">
        <f t="shared" ca="1" si="33"/>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283</v>
      </c>
      <c r="E364" s="21" t="str">
        <f t="shared" si="32"/>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33"/>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311</v>
      </c>
      <c r="B365" s="20" t="s">
        <v>122</v>
      </c>
      <c r="C365" s="20" t="s">
        <v>184</v>
      </c>
      <c r="D365" s="20" t="s">
        <v>112</v>
      </c>
      <c r="E365" s="21"/>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33"/>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t="s">
        <v>377</v>
      </c>
    </row>
    <row r="366" spans="1:12" x14ac:dyDescent="0.3">
      <c r="A366" t="s">
        <v>224</v>
      </c>
      <c r="B366" s="20" t="s">
        <v>118</v>
      </c>
      <c r="C366" s="20" t="s">
        <v>186</v>
      </c>
      <c r="D366" s="20" t="s">
        <v>112</v>
      </c>
      <c r="E366" s="21" t="s">
        <v>417</v>
      </c>
      <c r="F366" s="22" t="str">
        <f>IF(OR(E366="",E366="!!!"),"",IF(NOT(ISNA(VLOOKUP(E366,E$1:E365,1,FALSE()))),"OLD",IF(AND(E366&lt;&gt;"",E366&lt;&gt;"!!!"),"NEW","")))</f>
        <v>OLD</v>
      </c>
      <c r="G366" s="23" t="s">
        <v>414</v>
      </c>
      <c r="H366" s="24" t="str">
        <f t="shared" ca="1" si="33"/>
        <v/>
      </c>
      <c r="I366" s="25">
        <f>IF(OR(E366="",E366="!!!",F366="NEW"),"",INDEX(B$2:B365,-1+SUMPRODUCT(MAX(ROW(E$2:E365)*(E366=E$2:E365)))))</f>
        <v>0</v>
      </c>
      <c r="J366" s="25">
        <f ca="1">IF(OR(E366="",E366="!!!",F366="NEW"),"",COUNTBLANK(OFFSET(A$1,,,SUMPRODUCT(MAX(ROW(E$2:E366)*(E366=E$2:E366)))))-COUNTBLANK(OFFSET(A$1,,,SUMPRODUCT(MAX(ROW(E$1:E365)*(E2=E$1:E365))))))</f>
        <v>0</v>
      </c>
      <c r="K366" s="25">
        <f ca="1">IF(OR(E366="",E366="!!!",F366="NEW"),"",INDEX(J$1:J365,SUMPRODUCT(MAX(ROW(E$1:E365)*(E366=E$1:E365)))))</f>
        <v>0</v>
      </c>
      <c r="L366" s="26"/>
    </row>
    <row r="367" spans="1:12" x14ac:dyDescent="0.3">
      <c r="A367" t="s">
        <v>154</v>
      </c>
      <c r="E367" s="21" t="str">
        <f t="shared" si="32"/>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33"/>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158</v>
      </c>
      <c r="E368" s="21" t="str">
        <f t="shared" si="32"/>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33"/>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117</v>
      </c>
      <c r="B369" s="20" t="s">
        <v>118</v>
      </c>
      <c r="C369" s="20" t="s">
        <v>128</v>
      </c>
      <c r="D369" s="20" t="s">
        <v>112</v>
      </c>
      <c r="E369" s="21" t="s">
        <v>389</v>
      </c>
      <c r="F369" s="22" t="str">
        <f>IF(OR(E369="",E369="!!!"),"",IF(NOT(ISNA(VLOOKUP(E369,E$1:E368,1,FALSE()))),"OLD",IF(AND(E369&lt;&gt;"",E369&lt;&gt;"!!!"),"NEW","")))</f>
        <v>OLD</v>
      </c>
      <c r="G369" s="23" t="s">
        <v>369</v>
      </c>
      <c r="H369" s="24" t="str">
        <f t="shared" ca="1" si="33"/>
        <v/>
      </c>
      <c r="I369" s="25" t="str">
        <f>IF(OR(E369="",E369="!!!",F369="NEW"),"",INDEX(B$2:B368,-1+SUMPRODUCT(MAX(ROW(E$2:E368)*(E369=E$2:E368)))))</f>
        <v>other</v>
      </c>
      <c r="J369" s="25">
        <f ca="1">IF(OR(E369="",E369="!!!",F369="NEW"),"",COUNTBLANK(OFFSET(A$1,,,SUMPRODUCT(MAX(ROW(E$2:E369)*(E369=E$2:E369)))))-COUNTBLANK(OFFSET(A$1,,,SUMPRODUCT(MAX(ROW(E$1:E368)*(E2=E$1:E368))))))</f>
        <v>0</v>
      </c>
      <c r="K369" s="25" t="str">
        <f ca="1">IF(OR(E369="",E369="!!!",F369="NEW"),"",INDEX(J$1:J368,SUMPRODUCT(MAX(ROW(E$1:E368)*(E369=E$1:E368)))))</f>
        <v/>
      </c>
      <c r="L369" s="26"/>
    </row>
    <row r="370" spans="1:12" x14ac:dyDescent="0.3">
      <c r="A370" t="s">
        <v>312</v>
      </c>
      <c r="E370" s="21" t="str">
        <f t="shared" si="32"/>
        <v/>
      </c>
      <c r="F370" s="22" t="str">
        <f>IF(OR(E370="",E370="!!!"),"",IF(NOT(ISNA(VLOOKUP(E370,E$1:E369,1,FALSE()))),"OLD",IF(AND(E370&lt;&gt;"",E370&lt;&gt;"!!!"),"NEW","")))</f>
        <v/>
      </c>
      <c r="G370" s="23" t="str">
        <f>IF(OR(E370="",E370="!!!"),"",IF(OR(J370=0,AND(J370=1,K370=1),AND(J370=1,I370="SBJ"),AND(J370=1,I370=0)),"?IN_FOCUS",IF(J370&lt;=2,"?ACTIVATED",IF(J370&lt;&gt;"","?FAMILIAR",IF(F370="NEW",IF(ISNA(VLOOKUP(E370,#REF!,1,FALSE())),"?TYPE_IDENTIFIABLE","?REFERENTIAL"),"_")))))</f>
        <v/>
      </c>
      <c r="H370" s="24" t="str">
        <f t="shared" ca="1" si="33"/>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row>
    <row r="371" spans="1:12" x14ac:dyDescent="0.3">
      <c r="A371" t="s">
        <v>143</v>
      </c>
      <c r="E371" s="21" t="str">
        <f t="shared" si="32"/>
        <v/>
      </c>
      <c r="F371" s="22" t="str">
        <f>IF(OR(E371="",E371="!!!"),"",IF(NOT(ISNA(VLOOKUP(E371,E$1:E370,1,FALSE()))),"OLD",IF(AND(E371&lt;&gt;"",E371&lt;&gt;"!!!"),"NEW","")))</f>
        <v/>
      </c>
      <c r="G371" s="23" t="str">
        <f>IF(OR(E371="",E371="!!!"),"",IF(OR(J371=0,AND(J371=1,K371=1),AND(J371=1,I371="SBJ"),AND(J371=1,I371=0)),"?IN_FOCUS",IF(J371&lt;=2,"?ACTIVATED",IF(J371&lt;&gt;"","?FAMILIAR",IF(F371="NEW",IF(ISNA(VLOOKUP(E371,#REF!,1,FALSE())),"?TYPE_IDENTIFIABLE","?REFERENTIAL"),"_")))))</f>
        <v/>
      </c>
      <c r="H371" s="24" t="str">
        <f t="shared" ca="1" si="33"/>
        <v/>
      </c>
      <c r="I371" s="25" t="str">
        <f>IF(OR(E371="",E371="!!!",F371="NEW"),"",INDEX(B$2:B370,-1+SUMPRODUCT(MAX(ROW(E$2:E370)*(E371=E$2:E370)))))</f>
        <v/>
      </c>
      <c r="J371" s="25" t="str">
        <f ca="1">IF(OR(E371="",E371="!!!",F371="NEW"),"",COUNTBLANK(OFFSET(A$1,,,SUMPRODUCT(MAX(ROW(E$2:E371)*(E371=E$2:E371)))))-COUNTBLANK(OFFSET(A$1,,,SUMPRODUCT(MAX(ROW(E$1:E370)*(E2=E$1:E370))))))</f>
        <v/>
      </c>
      <c r="K371" s="25" t="str">
        <f>IF(OR(E371="",E371="!!!",F371="NEW"),"",INDEX(J$1:J370,SUMPRODUCT(MAX(ROW(E$1:E370)*(E371=E$1:E370)))))</f>
        <v/>
      </c>
      <c r="L371" s="26"/>
    </row>
    <row r="373" spans="1:12" x14ac:dyDescent="0.3">
      <c r="A373" t="s">
        <v>313</v>
      </c>
    </row>
    <row r="374" spans="1:12" x14ac:dyDescent="0.3">
      <c r="A374" t="s">
        <v>129</v>
      </c>
      <c r="B374" s="20" t="s">
        <v>110</v>
      </c>
      <c r="C374" s="20" t="s">
        <v>111</v>
      </c>
      <c r="D374" s="20" t="s">
        <v>112</v>
      </c>
      <c r="E374" s="21" t="s">
        <v>373</v>
      </c>
      <c r="F374" s="22" t="str">
        <f>IF(OR(E374="",E374="!!!"),"",IF(NOT(ISNA(VLOOKUP(E374,E$1:E373,1,FALSE()))),"OLD",IF(AND(E374&lt;&gt;"",E374&lt;&gt;"!!!"),"NEW","")))</f>
        <v>OLD</v>
      </c>
      <c r="G374" s="23" t="s">
        <v>415</v>
      </c>
      <c r="H374" s="24" t="s">
        <v>104</v>
      </c>
      <c r="I374" s="25" t="str">
        <f>IF(OR(E374="",E374="!!!",F374="NEW"),"",INDEX(B$2:B373,-1+SUMPRODUCT(MAX(ROW(E$2:E373)*(E374=E$2:E373)))))</f>
        <v>other</v>
      </c>
      <c r="J374" s="25">
        <f ca="1">IF(OR(E374="",E374="!!!",F374="NEW"),"",COUNTBLANK(OFFSET(A$1,,,SUMPRODUCT(MAX(ROW(E$2:E374)*(E374=E$2:E374)))))-COUNTBLANK(OFFSET(A$1,,,SUMPRODUCT(MAX(ROW(E$1:E373)*(E2=E$1:E373))))))</f>
        <v>0</v>
      </c>
      <c r="K374" s="25">
        <f ca="1">IF(OR(E374="",E374="!!!",F374="NEW"),"",INDEX(J$1:J373,SUMPRODUCT(MAX(ROW(E$1:E373)*(E374=E$1:E373)))))</f>
        <v>0</v>
      </c>
      <c r="L374" s="26" t="s">
        <v>428</v>
      </c>
    </row>
    <row r="375" spans="1:12" x14ac:dyDescent="0.3">
      <c r="A375" t="s">
        <v>164</v>
      </c>
      <c r="E375" s="21" t="str">
        <f t="shared" ref="E375:E405" si="34">IF(D375="?OLD","!!!","")</f>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t="shared" ref="H375:H405" ca="1" si="35">IF(J375&lt;&gt;1,"",IF(I375="SBJ","CB","?"))</f>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245</v>
      </c>
      <c r="E376" s="21" t="str">
        <f t="shared" si="34"/>
        <v/>
      </c>
      <c r="F376" s="22" t="str">
        <f>IF(OR(E376="",E376="!!!"),"",IF(NOT(ISNA(VLOOKUP(E376,E$1:E375,1,FALSE()))),"OLD",IF(AND(E376&lt;&gt;"",E376&lt;&gt;"!!!"),"NEW","")))</f>
        <v/>
      </c>
      <c r="G376" s="23" t="str">
        <f>IF(OR(E376="",E376="!!!"),"",IF(OR(J376=0,AND(J376=1,K376=1),AND(J376=1,I376="SBJ"),AND(J376=1,I376=0)),"?IN_FOCUS",IF(J376&lt;=2,"?ACTIVATED",IF(J376&lt;&gt;"","?FAMILIAR",IF(F376="NEW",IF(ISNA(VLOOKUP(E376,#REF!,1,FALSE())),"?TYPE_IDENTIFIABLE","?REFERENTIAL"),"_")))))</f>
        <v/>
      </c>
      <c r="H376" s="24" t="str">
        <f t="shared" ca="1" si="35"/>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7" spans="1:12" x14ac:dyDescent="0.3">
      <c r="A377" t="s">
        <v>314</v>
      </c>
      <c r="E377" s="21" t="str">
        <f t="shared" si="34"/>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t="shared" ca="1" si="35"/>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8" spans="1:12" x14ac:dyDescent="0.3">
      <c r="A378" t="s">
        <v>155</v>
      </c>
      <c r="E378" s="21" t="str">
        <f t="shared" si="34"/>
        <v/>
      </c>
      <c r="F378" s="22" t="str">
        <f>IF(OR(E378="",E378="!!!"),"",IF(NOT(ISNA(VLOOKUP(E378,E$1:E377,1,FALSE()))),"OLD",IF(AND(E378&lt;&gt;"",E378&lt;&gt;"!!!"),"NEW","")))</f>
        <v/>
      </c>
      <c r="G378" s="23" t="str">
        <f>IF(OR(E378="",E378="!!!"),"",IF(OR(J378=0,AND(J378=1,K378=1),AND(J378=1,I378="SBJ"),AND(J378=1,I378=0)),"?IN_FOCUS",IF(J378&lt;=2,"?ACTIVATED",IF(J378&lt;&gt;"","?FAMILIAR",IF(F378="NEW",IF(ISNA(VLOOKUP(E378,#REF!,1,FALSE())),"?TYPE_IDENTIFIABLE","?REFERENTIAL"),"_")))))</f>
        <v/>
      </c>
      <c r="H378" s="24" t="str">
        <f t="shared" ca="1" si="35"/>
        <v/>
      </c>
      <c r="I378" s="25" t="str">
        <f>IF(OR(E378="",E378="!!!",F378="NEW"),"",INDEX(B$2:B377,-1+SUMPRODUCT(MAX(ROW(E$2:E377)*(E378=E$2:E377)))))</f>
        <v/>
      </c>
      <c r="J378" s="25" t="str">
        <f ca="1">IF(OR(E378="",E378="!!!",F378="NEW"),"",COUNTBLANK(OFFSET(A$1,,,SUMPRODUCT(MAX(ROW(E$2:E378)*(E378=E$2:E378)))))-COUNTBLANK(OFFSET(A$1,,,SUMPRODUCT(MAX(ROW(E$1:E377)*(E2=E$1:E377))))))</f>
        <v/>
      </c>
      <c r="K378" s="25" t="str">
        <f>IF(OR(E378="",E378="!!!",F378="NEW"),"",INDEX(J$1:J377,SUMPRODUCT(MAX(ROW(E$1:E377)*(E378=E$1:E377)))))</f>
        <v/>
      </c>
      <c r="L378" s="26"/>
    </row>
    <row r="379" spans="1:12" x14ac:dyDescent="0.3">
      <c r="A379" t="s">
        <v>156</v>
      </c>
      <c r="E379" s="21" t="str">
        <f t="shared" si="34"/>
        <v/>
      </c>
      <c r="F379" s="22" t="str">
        <f>IF(OR(E379="",E379="!!!"),"",IF(NOT(ISNA(VLOOKUP(E379,E$1:E378,1,FALSE()))),"OLD",IF(AND(E379&lt;&gt;"",E379&lt;&gt;"!!!"),"NEW","")))</f>
        <v/>
      </c>
      <c r="G379" s="23" t="str">
        <f>IF(OR(E379="",E379="!!!"),"",IF(OR(J379=0,AND(J379=1,K379=1),AND(J379=1,I379="SBJ"),AND(J379=1,I379=0)),"?IN_FOCUS",IF(J379&lt;=2,"?ACTIVATED",IF(J379&lt;&gt;"","?FAMILIAR",IF(F379="NEW",IF(ISNA(VLOOKUP(E379,#REF!,1,FALSE())),"?TYPE_IDENTIFIABLE","?REFERENTIAL"),"_")))))</f>
        <v/>
      </c>
      <c r="H379" s="24" t="str">
        <f t="shared" ca="1" si="35"/>
        <v/>
      </c>
      <c r="I379" s="25" t="str">
        <f>IF(OR(E379="",E379="!!!",F379="NEW"),"",INDEX(B$2:B378,-1+SUMPRODUCT(MAX(ROW(E$2:E378)*(E379=E$2:E378)))))</f>
        <v/>
      </c>
      <c r="J379" s="25" t="str">
        <f ca="1">IF(OR(E379="",E379="!!!",F379="NEW"),"",COUNTBLANK(OFFSET(A$1,,,SUMPRODUCT(MAX(ROW(E$2:E379)*(E379=E$2:E379)))))-COUNTBLANK(OFFSET(A$1,,,SUMPRODUCT(MAX(ROW(E$1:E378)*(E2=E$1:E378))))))</f>
        <v/>
      </c>
      <c r="K379" s="25" t="str">
        <f>IF(OR(E379="",E379="!!!",F379="NEW"),"",INDEX(J$1:J378,SUMPRODUCT(MAX(ROW(E$1:E378)*(E379=E$1:E378)))))</f>
        <v/>
      </c>
      <c r="L379" s="26"/>
    </row>
    <row r="380" spans="1:12" x14ac:dyDescent="0.3">
      <c r="A380" t="s">
        <v>315</v>
      </c>
      <c r="B380" s="20" t="s">
        <v>152</v>
      </c>
      <c r="C380" s="20" t="s">
        <v>201</v>
      </c>
      <c r="D380" s="20" t="s">
        <v>112</v>
      </c>
      <c r="E380" s="21" t="s">
        <v>373</v>
      </c>
      <c r="F380" s="22" t="str">
        <f>IF(OR(E380="",E380="!!!"),"",IF(NOT(ISNA(VLOOKUP(E380,E$1:E379,1,FALSE()))),"OLD",IF(AND(E380&lt;&gt;"",E380&lt;&gt;"!!!"),"NEW","")))</f>
        <v>OLD</v>
      </c>
      <c r="G380" s="23" t="s">
        <v>414</v>
      </c>
      <c r="H380" s="24" t="str">
        <f t="shared" ca="1" si="35"/>
        <v/>
      </c>
      <c r="I380" s="25" t="str">
        <f>IF(OR(E380="",E380="!!!",F380="NEW"),"",INDEX(B$2:B379,-1+SUMPRODUCT(MAX(ROW(E$2:E379)*(E380=E$2:E379)))))</f>
        <v>SBJ</v>
      </c>
      <c r="J380" s="25">
        <f ca="1">IF(OR(E380="",E380="!!!",F380="NEW"),"",COUNTBLANK(OFFSET(A$1,,,SUMPRODUCT(MAX(ROW(E$2:E380)*(E380=E$2:E380)))))-COUNTBLANK(OFFSET(A$1,,,SUMPRODUCT(MAX(ROW(E$1:E379)*(E2=E$1:E379))))))</f>
        <v>0</v>
      </c>
      <c r="K380" s="25">
        <f ca="1">IF(OR(E380="",E380="!!!",F380="NEW"),"",INDEX(J$1:J379,SUMPRODUCT(MAX(ROW(E$1:E379)*(E380=E$1:E379)))))</f>
        <v>0</v>
      </c>
      <c r="L380" s="26"/>
    </row>
    <row r="381" spans="1:12" x14ac:dyDescent="0.3">
      <c r="A381" t="s">
        <v>146</v>
      </c>
      <c r="E381" s="21" t="s">
        <v>373</v>
      </c>
      <c r="F381" s="22" t="str">
        <f>IF(OR(E381="",E381="!!!"),"",IF(NOT(ISNA(VLOOKUP(E381,E$1:E380,1,FALSE()))),"OLD",IF(AND(E381&lt;&gt;"",E381&lt;&gt;"!!!"),"NEW","")))</f>
        <v>OLD</v>
      </c>
      <c r="G381" s="23" t="s">
        <v>414</v>
      </c>
      <c r="H381" s="24" t="str">
        <f t="shared" ca="1" si="35"/>
        <v/>
      </c>
      <c r="I381" s="25" t="str">
        <f>IF(OR(E381="",E381="!!!",F381="NEW"),"",INDEX(B$2:B380,-1+SUMPRODUCT(MAX(ROW(E$2:E380)*(E381=E$2:E380)))))</f>
        <v>SBJ_2</v>
      </c>
      <c r="J381" s="25">
        <f ca="1">IF(OR(E381="",E381="!!!",F381="NEW"),"",COUNTBLANK(OFFSET(A$1,,,SUMPRODUCT(MAX(ROW(E$2:E381)*(E381=E$2:E381)))))-COUNTBLANK(OFFSET(A$1,,,SUMPRODUCT(MAX(ROW(E$1:E380)*(E2=E$1:E380))))))</f>
        <v>0</v>
      </c>
      <c r="K381" s="25">
        <f ca="1">IF(OR(E381="",E381="!!!",F381="NEW"),"",INDEX(J$1:J380,SUMPRODUCT(MAX(ROW(E$1:E380)*(E381=E$1:E380)))))</f>
        <v>0</v>
      </c>
      <c r="L381" s="26" t="s">
        <v>406</v>
      </c>
    </row>
    <row r="382" spans="1:12" x14ac:dyDescent="0.3">
      <c r="A382" t="s">
        <v>210</v>
      </c>
      <c r="B382" s="20" t="s">
        <v>152</v>
      </c>
      <c r="C382" s="20" t="s">
        <v>307</v>
      </c>
      <c r="E382" s="21" t="s">
        <v>388</v>
      </c>
      <c r="F382" s="22" t="str">
        <f>IF(OR(E382="",E382="!!!"),"",IF(NOT(ISNA(VLOOKUP(E382,E$1:E381,1,FALSE()))),"OLD",IF(AND(E382&lt;&gt;"",E382&lt;&gt;"!!!"),"NEW","")))</f>
        <v>OLD</v>
      </c>
      <c r="G382" s="23" t="s">
        <v>369</v>
      </c>
      <c r="H382" s="24" t="str">
        <f t="shared" ca="1" si="35"/>
        <v/>
      </c>
      <c r="I382" s="25" t="str">
        <f>IF(OR(E382="",E382="!!!",F382="NEW"),"",INDEX(B$2:B381,-1+SUMPRODUCT(MAX(ROW(E$2:E381)*(E382=E$2:E381)))))</f>
        <v>other</v>
      </c>
      <c r="J382" s="25">
        <f ca="1">IF(OR(E382="",E382="!!!",F382="NEW"),"",COUNTBLANK(OFFSET(A$1,,,SUMPRODUCT(MAX(ROW(E$2:E382)*(E382=E$2:E382)))))-COUNTBLANK(OFFSET(A$1,,,SUMPRODUCT(MAX(ROW(E$1:E381)*(E2=E$1:E381))))))</f>
        <v>0</v>
      </c>
      <c r="K382" s="25" t="str">
        <f ca="1">IF(OR(E382="",E382="!!!",F382="NEW"),"",INDEX(J$1:J381,SUMPRODUCT(MAX(ROW(E$1:E381)*(E382=E$1:E381)))))</f>
        <v/>
      </c>
      <c r="L382" s="26" t="s">
        <v>411</v>
      </c>
    </row>
    <row r="383" spans="1:12" x14ac:dyDescent="0.3">
      <c r="A383" t="s">
        <v>211</v>
      </c>
      <c r="B383" s="20" t="s">
        <v>122</v>
      </c>
      <c r="C383" s="20" t="s">
        <v>111</v>
      </c>
      <c r="D383" s="20" t="s">
        <v>112</v>
      </c>
      <c r="E383" s="21"/>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ca="1" si="35"/>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208</v>
      </c>
      <c r="E384" s="21" t="s">
        <v>420</v>
      </c>
      <c r="F384" s="22" t="str">
        <f>IF(OR(E384="",E384="!!!"),"",IF(NOT(ISNA(VLOOKUP(E384,E$1:E383,1,FALSE()))),"OLD",IF(AND(E384&lt;&gt;"",E384&lt;&gt;"!!!"),"NEW","")))</f>
        <v>NEW</v>
      </c>
      <c r="G384" s="23" t="s">
        <v>416</v>
      </c>
      <c r="H384" s="24" t="str">
        <f t="shared" ca="1" si="35"/>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123</v>
      </c>
      <c r="E385" s="21" t="str">
        <f t="shared" si="34"/>
        <v/>
      </c>
      <c r="F385" s="22" t="str">
        <f>IF(OR(E385="",E385="!!!"),"",IF(NOT(ISNA(VLOOKUP(E385,E$1:E384,1,FALSE()))),"OLD",IF(AND(E385&lt;&gt;"",E385&lt;&gt;"!!!"),"NEW","")))</f>
        <v/>
      </c>
      <c r="G385" s="23" t="str">
        <f>IF(OR(E385="",E385="!!!"),"",IF(OR(J385=0,AND(J385=1,K385=1),AND(J385=1,I385="SBJ"),AND(J385=1,I385=0)),"?IN_FOCUS",IF(J385&lt;=2,"?ACTIVATED",IF(J385&lt;&gt;"","?FAMILIAR",IF(F385="NEW",IF(ISNA(VLOOKUP(E385,#REF!,1,FALSE())),"?TYPE_IDENTIFIABLE","?REFERENTIAL"),"_")))))</f>
        <v/>
      </c>
      <c r="H385" s="24" t="str">
        <f t="shared" ca="1" si="35"/>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124</v>
      </c>
      <c r="E386" s="21" t="str">
        <f t="shared" si="34"/>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35"/>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316</v>
      </c>
      <c r="E387" s="21" t="str">
        <f t="shared" si="34"/>
        <v/>
      </c>
      <c r="F387" s="22" t="str">
        <f>IF(OR(E387="",E387="!!!"),"",IF(NOT(ISNA(VLOOKUP(E387,E$1:E386,1,FALSE()))),"OLD",IF(AND(E387&lt;&gt;"",E387&lt;&gt;"!!!"),"NEW","")))</f>
        <v/>
      </c>
      <c r="G387" s="23" t="str">
        <f>IF(OR(E387="",E387="!!!"),"",IF(OR(J387=0,AND(J387=1,K387=1),AND(J387=1,I387="SBJ"),AND(J387=1,I387=0)),"?IN_FOCUS",IF(J387&lt;=2,"?ACTIVATED",IF(J387&lt;&gt;"","?FAMILIAR",IF(F387="NEW",IF(ISNA(VLOOKUP(E387,#REF!,1,FALSE())),"?TYPE_IDENTIFIABLE","?REFERENTIAL"),"_")))))</f>
        <v/>
      </c>
      <c r="H387" s="24" t="str">
        <f t="shared" ca="1" si="35"/>
        <v/>
      </c>
      <c r="I387" s="25" t="str">
        <f>IF(OR(E387="",E387="!!!",F387="NEW"),"",INDEX(B$2:B386,-1+SUMPRODUCT(MAX(ROW(E$2:E386)*(E387=E$2:E386)))))</f>
        <v/>
      </c>
      <c r="J387" s="25" t="str">
        <f ca="1">IF(OR(E387="",E387="!!!",F387="NEW"),"",COUNTBLANK(OFFSET(A$1,,,SUMPRODUCT(MAX(ROW(E$2:E387)*(E387=E$2:E387)))))-COUNTBLANK(OFFSET(A$1,,,SUMPRODUCT(MAX(ROW(E$1:E386)*(E2=E$1:E386))))))</f>
        <v/>
      </c>
      <c r="K387" s="25" t="str">
        <f>IF(OR(E387="",E387="!!!",F387="NEW"),"",INDEX(J$1:J386,SUMPRODUCT(MAX(ROW(E$1:E386)*(E387=E$1:E386)))))</f>
        <v/>
      </c>
      <c r="L387" s="26"/>
    </row>
    <row r="388" spans="1:12" x14ac:dyDescent="0.3">
      <c r="A388" t="s">
        <v>145</v>
      </c>
      <c r="E388" s="21" t="str">
        <f t="shared" si="34"/>
        <v/>
      </c>
      <c r="F388" s="22" t="str">
        <f>IF(OR(E388="",E388="!!!"),"",IF(NOT(ISNA(VLOOKUP(E388,E$1:E387,1,FALSE()))),"OLD",IF(AND(E388&lt;&gt;"",E388&lt;&gt;"!!!"),"NEW","")))</f>
        <v/>
      </c>
      <c r="G388" s="23" t="str">
        <f>IF(OR(E388="",E388="!!!"),"",IF(OR(J388=0,AND(J388=1,K388=1),AND(J388=1,I388="SBJ"),AND(J388=1,I388=0)),"?IN_FOCUS",IF(J388&lt;=2,"?ACTIVATED",IF(J388&lt;&gt;"","?FAMILIAR",IF(F388="NEW",IF(ISNA(VLOOKUP(E388,#REF!,1,FALSE())),"?TYPE_IDENTIFIABLE","?REFERENTIAL"),"_")))))</f>
        <v/>
      </c>
      <c r="H388" s="24" t="str">
        <f t="shared" ca="1" si="35"/>
        <v/>
      </c>
      <c r="I388" s="25" t="str">
        <f>IF(OR(E388="",E388="!!!",F388="NEW"),"",INDEX(B$2:B387,-1+SUMPRODUCT(MAX(ROW(E$2:E387)*(E388=E$2:E387)))))</f>
        <v/>
      </c>
      <c r="J388" s="25" t="str">
        <f ca="1">IF(OR(E388="",E388="!!!",F388="NEW"),"",COUNTBLANK(OFFSET(A$1,,,SUMPRODUCT(MAX(ROW(E$2:E388)*(E388=E$2:E388)))))-COUNTBLANK(OFFSET(A$1,,,SUMPRODUCT(MAX(ROW(E$1:E387)*(E2=E$1:E387))))))</f>
        <v/>
      </c>
      <c r="K388" s="25" t="str">
        <f>IF(OR(E388="",E388="!!!",F388="NEW"),"",INDEX(J$1:J387,SUMPRODUCT(MAX(ROW(E$1:E387)*(E388=E$1:E387)))))</f>
        <v/>
      </c>
      <c r="L388" s="26"/>
    </row>
    <row r="389" spans="1:12" x14ac:dyDescent="0.3">
      <c r="A389" t="s">
        <v>177</v>
      </c>
      <c r="E389" s="21" t="str">
        <f t="shared" si="34"/>
        <v/>
      </c>
      <c r="F389" s="22" t="str">
        <f>IF(OR(E389="",E389="!!!"),"",IF(NOT(ISNA(VLOOKUP(E389,E$1:E388,1,FALSE()))),"OLD",IF(AND(E389&lt;&gt;"",E389&lt;&gt;"!!!"),"NEW","")))</f>
        <v/>
      </c>
      <c r="G389" s="23" t="str">
        <f>IF(OR(E389="",E389="!!!"),"",IF(OR(J389=0,AND(J389=1,K389=1),AND(J389=1,I389="SBJ"),AND(J389=1,I389=0)),"?IN_FOCUS",IF(J389&lt;=2,"?ACTIVATED",IF(J389&lt;&gt;"","?FAMILIAR",IF(F389="NEW",IF(ISNA(VLOOKUP(E389,#REF!,1,FALSE())),"?TYPE_IDENTIFIABLE","?REFERENTIAL"),"_")))))</f>
        <v/>
      </c>
      <c r="H389" s="24" t="str">
        <f t="shared" ca="1" si="35"/>
        <v/>
      </c>
      <c r="I389" s="25" t="str">
        <f>IF(OR(E389="",E389="!!!",F389="NEW"),"",INDEX(B$2:B388,-1+SUMPRODUCT(MAX(ROW(E$2:E388)*(E389=E$2:E388)))))</f>
        <v/>
      </c>
      <c r="J389" s="25" t="str">
        <f ca="1">IF(OR(E389="",E389="!!!",F389="NEW"),"",COUNTBLANK(OFFSET(A$1,,,SUMPRODUCT(MAX(ROW(E$2:E389)*(E389=E$2:E389)))))-COUNTBLANK(OFFSET(A$1,,,SUMPRODUCT(MAX(ROW(E$1:E388)*(E2=E$1:E388))))))</f>
        <v/>
      </c>
      <c r="K389" s="25" t="str">
        <f>IF(OR(E389="",E389="!!!",F389="NEW"),"",INDEX(J$1:J388,SUMPRODUCT(MAX(ROW(E$1:E388)*(E389=E$1:E388)))))</f>
        <v/>
      </c>
      <c r="L389" s="26"/>
    </row>
    <row r="390" spans="1:12" x14ac:dyDescent="0.3">
      <c r="A390" t="s">
        <v>155</v>
      </c>
      <c r="E390" s="21" t="str">
        <f t="shared" si="34"/>
        <v/>
      </c>
      <c r="F390" s="22" t="str">
        <f>IF(OR(E390="",E390="!!!"),"",IF(NOT(ISNA(VLOOKUP(E390,E$1:E389,1,FALSE()))),"OLD",IF(AND(E390&lt;&gt;"",E390&lt;&gt;"!!!"),"NEW","")))</f>
        <v/>
      </c>
      <c r="G390" s="23" t="str">
        <f>IF(OR(E390="",E390="!!!"),"",IF(OR(J390=0,AND(J390=1,K390=1),AND(J390=1,I390="SBJ"),AND(J390=1,I390=0)),"?IN_FOCUS",IF(J390&lt;=2,"?ACTIVATED",IF(J390&lt;&gt;"","?FAMILIAR",IF(F390="NEW",IF(ISNA(VLOOKUP(E390,#REF!,1,FALSE())),"?TYPE_IDENTIFIABLE","?REFERENTIAL"),"_")))))</f>
        <v/>
      </c>
      <c r="H390" s="24" t="str">
        <f t="shared" ca="1" si="35"/>
        <v/>
      </c>
      <c r="I390" s="25" t="str">
        <f>IF(OR(E390="",E390="!!!",F390="NEW"),"",INDEX(B$2:B389,-1+SUMPRODUCT(MAX(ROW(E$2:E389)*(E390=E$2:E389)))))</f>
        <v/>
      </c>
      <c r="J390" s="25" t="str">
        <f ca="1">IF(OR(E390="",E390="!!!",F390="NEW"),"",COUNTBLANK(OFFSET(A$1,,,SUMPRODUCT(MAX(ROW(E$2:E390)*(E390=E$2:E390)))))-COUNTBLANK(OFFSET(A$1,,,SUMPRODUCT(MAX(ROW(E$1:E389)*(E2=E$1:E389))))))</f>
        <v/>
      </c>
      <c r="K390" s="25" t="str">
        <f>IF(OR(E390="",E390="!!!",F390="NEW"),"",INDEX(J$1:J389,SUMPRODUCT(MAX(ROW(E$1:E389)*(E390=E$1:E389)))))</f>
        <v/>
      </c>
      <c r="L390" s="26"/>
    </row>
    <row r="391" spans="1:12" x14ac:dyDescent="0.3">
      <c r="A391" t="s">
        <v>156</v>
      </c>
      <c r="E391" s="21" t="str">
        <f t="shared" si="34"/>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35"/>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315</v>
      </c>
      <c r="B392" s="20" t="s">
        <v>289</v>
      </c>
      <c r="C392" s="20" t="s">
        <v>201</v>
      </c>
      <c r="D392" s="20" t="s">
        <v>112</v>
      </c>
      <c r="E392" s="21" t="s">
        <v>373</v>
      </c>
      <c r="F392" s="22" t="str">
        <f>IF(OR(E392="",E392="!!!"),"",IF(NOT(ISNA(VLOOKUP(E392,E$1:E391,1,FALSE()))),"OLD",IF(AND(E392&lt;&gt;"",E392&lt;&gt;"!!!"),"NEW","")))</f>
        <v>OLD</v>
      </c>
      <c r="G392" s="23" t="s">
        <v>414</v>
      </c>
      <c r="H392" s="24" t="str">
        <f t="shared" ca="1" si="35"/>
        <v/>
      </c>
      <c r="I392" s="25">
        <f>IF(OR(E392="",E392="!!!",F392="NEW"),"",INDEX(B$2:B391,-1+SUMPRODUCT(MAX(ROW(E$2:E391)*(E392=E$2:E391)))))</f>
        <v>0</v>
      </c>
      <c r="J392" s="25">
        <f ca="1">IF(OR(E392="",E392="!!!",F392="NEW"),"",COUNTBLANK(OFFSET(A$1,,,SUMPRODUCT(MAX(ROW(E$2:E392)*(E392=E$2:E392)))))-COUNTBLANK(OFFSET(A$1,,,SUMPRODUCT(MAX(ROW(E$1:E391)*(E2=E$1:E391))))))</f>
        <v>0</v>
      </c>
      <c r="K392" s="25">
        <f ca="1">IF(OR(E392="",E392="!!!",F392="NEW"),"",INDEX(J$1:J391,SUMPRODUCT(MAX(ROW(E$1:E391)*(E392=E$1:E391)))))</f>
        <v>0</v>
      </c>
      <c r="L392" s="26"/>
    </row>
    <row r="393" spans="1:12" x14ac:dyDescent="0.3">
      <c r="A393" t="s">
        <v>157</v>
      </c>
      <c r="E393" s="21" t="str">
        <f t="shared" si="34"/>
        <v/>
      </c>
      <c r="F393" s="22" t="str">
        <f>IF(OR(E393="",E393="!!!"),"",IF(NOT(ISNA(VLOOKUP(E393,E$1:E392,1,FALSE()))),"OLD",IF(AND(E393&lt;&gt;"",E393&lt;&gt;"!!!"),"NEW","")))</f>
        <v/>
      </c>
      <c r="G393" s="23" t="str">
        <f>IF(OR(E393="",E393="!!!"),"",IF(OR(J393=0,AND(J393=1,K393=1),AND(J393=1,I393="SBJ"),AND(J393=1,I393=0)),"?IN_FOCUS",IF(J393&lt;=2,"?ACTIVATED",IF(J393&lt;&gt;"","?FAMILIAR",IF(F393="NEW",IF(ISNA(VLOOKUP(E393,#REF!,1,FALSE())),"?TYPE_IDENTIFIABLE","?REFERENTIAL"),"_")))))</f>
        <v/>
      </c>
      <c r="H393" s="24" t="str">
        <f t="shared" ca="1" si="35"/>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4" spans="1:12" x14ac:dyDescent="0.3">
      <c r="A394" t="s">
        <v>317</v>
      </c>
      <c r="B394" s="20" t="s">
        <v>318</v>
      </c>
      <c r="C394" s="20" t="s">
        <v>128</v>
      </c>
      <c r="D394" s="20" t="s">
        <v>112</v>
      </c>
      <c r="E394" s="21"/>
      <c r="F394" s="22" t="s">
        <v>412</v>
      </c>
      <c r="G394" s="23" t="str">
        <f>IF(OR(E394="",E394="!!!"),"",IF(OR(J394=0,AND(J394=1,K394=1),AND(J394=1,I394="SBJ"),AND(J394=1,I394=0)),"?IN_FOCUS",IF(J394&lt;=2,"?ACTIVATED",IF(J394&lt;&gt;"","?FAMILIAR",IF(F394="NEW",IF(ISNA(VLOOKUP(E394,#REF!,1,FALSE())),"?TYPE_IDENTIFIABLE","?REFERENTIAL"),"_")))))</f>
        <v/>
      </c>
      <c r="H394" s="24" t="str">
        <f t="shared" ca="1" si="35"/>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135</v>
      </c>
      <c r="E395" s="21" t="str">
        <f t="shared" si="34"/>
        <v/>
      </c>
      <c r="F395" s="22" t="str">
        <f>IF(OR(E395="",E395="!!!"),"",IF(NOT(ISNA(VLOOKUP(E395,E$1:E394,1,FALSE()))),"OLD",IF(AND(E395&lt;&gt;"",E395&lt;&gt;"!!!"),"NEW","")))</f>
        <v/>
      </c>
      <c r="G395" s="23" t="str">
        <f>IF(OR(E395="",E395="!!!"),"",IF(OR(J395=0,AND(J395=1,K395=1),AND(J395=1,I395="SBJ"),AND(J395=1,I395=0)),"?IN_FOCUS",IF(J395&lt;=2,"?ACTIVATED",IF(J395&lt;&gt;"","?FAMILIAR",IF(F395="NEW",IF(ISNA(VLOOKUP(E395,#REF!,1,FALSE())),"?TYPE_IDENTIFIABLE","?REFERENTIAL"),"_")))))</f>
        <v/>
      </c>
      <c r="H395" s="24" t="str">
        <f t="shared" ca="1" si="35"/>
        <v/>
      </c>
      <c r="I395" s="25" t="str">
        <f>IF(OR(E395="",E395="!!!",F395="NEW"),"",INDEX(B$2:B394,-1+SUMPRODUCT(MAX(ROW(E$2:E394)*(E395=E$2:E394)))))</f>
        <v/>
      </c>
      <c r="J395" s="25" t="str">
        <f ca="1">IF(OR(E395="",E395="!!!",F395="NEW"),"",COUNTBLANK(OFFSET(A$1,,,SUMPRODUCT(MAX(ROW(E$2:E395)*(E395=E$2:E395)))))-COUNTBLANK(OFFSET(A$1,,,SUMPRODUCT(MAX(ROW(E$1:E394)*(E2=E$1:E394))))))</f>
        <v/>
      </c>
      <c r="K395" s="25" t="str">
        <f>IF(OR(E395="",E395="!!!",F395="NEW"),"",INDEX(J$1:J394,SUMPRODUCT(MAX(ROW(E$1:E394)*(E395=E$1:E394)))))</f>
        <v/>
      </c>
      <c r="L395" s="26"/>
    </row>
    <row r="396" spans="1:12" x14ac:dyDescent="0.3">
      <c r="A396" t="s">
        <v>319</v>
      </c>
      <c r="E396" s="21" t="str">
        <f t="shared" si="34"/>
        <v/>
      </c>
      <c r="F396" s="22" t="str">
        <f>IF(OR(E396="",E396="!!!"),"",IF(NOT(ISNA(VLOOKUP(E396,E$1:E395,1,FALSE()))),"OLD",IF(AND(E396&lt;&gt;"",E396&lt;&gt;"!!!"),"NEW","")))</f>
        <v/>
      </c>
      <c r="G396" s="23" t="str">
        <f>IF(OR(E396="",E396="!!!"),"",IF(OR(J396=0,AND(J396=1,K396=1),AND(J396=1,I396="SBJ"),AND(J396=1,I396=0)),"?IN_FOCUS",IF(J396&lt;=2,"?ACTIVATED",IF(J396&lt;&gt;"","?FAMILIAR",IF(F396="NEW",IF(ISNA(VLOOKUP(E396,#REF!,1,FALSE())),"?TYPE_IDENTIFIABLE","?REFERENTIAL"),"_")))))</f>
        <v/>
      </c>
      <c r="H396" s="24" t="str">
        <f t="shared" ca="1" si="35"/>
        <v/>
      </c>
      <c r="I396" s="25" t="str">
        <f>IF(OR(E396="",E396="!!!",F396="NEW"),"",INDEX(B$2:B395,-1+SUMPRODUCT(MAX(ROW(E$2:E395)*(E396=E$2:E395)))))</f>
        <v/>
      </c>
      <c r="J396" s="25" t="str">
        <f ca="1">IF(OR(E396="",E396="!!!",F396="NEW"),"",COUNTBLANK(OFFSET(A$1,,,SUMPRODUCT(MAX(ROW(E$2:E396)*(E396=E$2:E396)))))-COUNTBLANK(OFFSET(A$1,,,SUMPRODUCT(MAX(ROW(E$1:E395)*(E2=E$1:E395))))))</f>
        <v/>
      </c>
      <c r="K396" s="25" t="str">
        <f>IF(OR(E396="",E396="!!!",F396="NEW"),"",INDEX(J$1:J395,SUMPRODUCT(MAX(ROW(E$1:E395)*(E396=E$1:E395)))))</f>
        <v/>
      </c>
      <c r="L396" s="26"/>
    </row>
    <row r="397" spans="1:12" x14ac:dyDescent="0.3">
      <c r="A397" t="s">
        <v>224</v>
      </c>
      <c r="B397" s="20" t="s">
        <v>290</v>
      </c>
      <c r="C397" s="20" t="s">
        <v>128</v>
      </c>
      <c r="D397" s="20" t="s">
        <v>112</v>
      </c>
      <c r="E397" s="21" t="s">
        <v>418</v>
      </c>
      <c r="F397" s="22" t="str">
        <f>IF(OR(E397="",E397="!!!"),"",IF(NOT(ISNA(VLOOKUP(E397,E$1:E396,1,FALSE()))),"OLD",IF(AND(E397&lt;&gt;"",E397&lt;&gt;"!!!"),"NEW","")))</f>
        <v>NEW</v>
      </c>
      <c r="G397" s="23" t="s">
        <v>416</v>
      </c>
      <c r="H397" s="24" t="str">
        <f t="shared" ca="1" si="35"/>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225</v>
      </c>
      <c r="E398" s="21" t="str">
        <f t="shared" si="34"/>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35"/>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320</v>
      </c>
      <c r="E399" s="21" t="s">
        <v>373</v>
      </c>
      <c r="F399" s="22" t="str">
        <f>IF(OR(E399="",E399="!!!"),"",IF(NOT(ISNA(VLOOKUP(E399,E$1:E398,1,FALSE()))),"OLD",IF(AND(E399&lt;&gt;"",E399&lt;&gt;"!!!"),"NEW","")))</f>
        <v>OLD</v>
      </c>
      <c r="G399" s="23" t="s">
        <v>414</v>
      </c>
      <c r="H399" s="24" t="str">
        <f t="shared" ca="1" si="35"/>
        <v/>
      </c>
      <c r="I399" s="25" t="str">
        <f>IF(OR(E399="",E399="!!!",F399="NEW"),"",INDEX(B$2:B398,-1+SUMPRODUCT(MAX(ROW(E$2:E398)*(E399=E$2:E398)))))</f>
        <v>SBJ_3</v>
      </c>
      <c r="J399" s="25">
        <f ca="1">IF(OR(E399="",E399="!!!",F399="NEW"),"",COUNTBLANK(OFFSET(A$1,,,SUMPRODUCT(MAX(ROW(E$2:E399)*(E399=E$2:E399)))))-COUNTBLANK(OFFSET(A$1,,,SUMPRODUCT(MAX(ROW(E$1:E398)*(E2=E$1:E398))))))</f>
        <v>0</v>
      </c>
      <c r="K399" s="25">
        <f ca="1">IF(OR(E399="",E399="!!!",F399="NEW"),"",INDEX(J$1:J398,SUMPRODUCT(MAX(ROW(E$1:E398)*(E399=E$1:E398)))))</f>
        <v>0</v>
      </c>
      <c r="L399" s="26" t="s">
        <v>406</v>
      </c>
    </row>
    <row r="400" spans="1:12" x14ac:dyDescent="0.3">
      <c r="A400" t="s">
        <v>204</v>
      </c>
      <c r="E400" s="21" t="str">
        <f t="shared" si="34"/>
        <v/>
      </c>
      <c r="F400" s="22" t="str">
        <f>IF(OR(E400="",E400="!!!"),"",IF(NOT(ISNA(VLOOKUP(E400,E$1:E399,1,FALSE()))),"OLD",IF(AND(E400&lt;&gt;"",E400&lt;&gt;"!!!"),"NEW","")))</f>
        <v/>
      </c>
      <c r="G400" s="23" t="str">
        <f>IF(OR(E400="",E400="!!!"),"",IF(OR(J400=0,AND(J400=1,K400=1),AND(J400=1,I400="SBJ"),AND(J400=1,I400=0)),"?IN_FOCUS",IF(J400&lt;=2,"?ACTIVATED",IF(J400&lt;&gt;"","?FAMILIAR",IF(F400="NEW",IF(ISNA(VLOOKUP(E400,#REF!,1,FALSE())),"?TYPE_IDENTIFIABLE","?REFERENTIAL"),"_")))))</f>
        <v/>
      </c>
      <c r="H400" s="24" t="str">
        <f t="shared" ca="1" si="35"/>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12</v>
      </c>
      <c r="E401" s="21" t="str">
        <f t="shared" si="34"/>
        <v/>
      </c>
      <c r="F401" s="22" t="str">
        <f>IF(OR(E401="",E401="!!!"),"",IF(NOT(ISNA(VLOOKUP(E401,E$1:E400,1,FALSE()))),"OLD",IF(AND(E401&lt;&gt;"",E401&lt;&gt;"!!!"),"NEW","")))</f>
        <v/>
      </c>
      <c r="G401" s="23" t="str">
        <f>IF(OR(E401="",E401="!!!"),"",IF(OR(J401=0,AND(J401=1,K401=1),AND(J401=1,I401="SBJ"),AND(J401=1,I401=0)),"?IN_FOCUS",IF(J401&lt;=2,"?ACTIVATED",IF(J401&lt;&gt;"","?FAMILIAR",IF(F401="NEW",IF(ISNA(VLOOKUP(E401,#REF!,1,FALSE())),"?TYPE_IDENTIFIABLE","?REFERENTIAL"),"_")))))</f>
        <v/>
      </c>
      <c r="H401" s="24" t="str">
        <f t="shared" ca="1" si="35"/>
        <v/>
      </c>
      <c r="I401" s="25" t="str">
        <f>IF(OR(E401="",E401="!!!",F401="NEW"),"",INDEX(B$2:B400,-1+SUMPRODUCT(MAX(ROW(E$2:E400)*(E401=E$2:E400)))))</f>
        <v/>
      </c>
      <c r="J401" s="25" t="str">
        <f ca="1">IF(OR(E401="",E401="!!!",F401="NEW"),"",COUNTBLANK(OFFSET(A$1,,,SUMPRODUCT(MAX(ROW(E$2:E401)*(E401=E$2:E401)))))-COUNTBLANK(OFFSET(A$1,,,SUMPRODUCT(MAX(ROW(E$1:E400)*(E2=E$1:E400))))))</f>
        <v/>
      </c>
      <c r="K401" s="25" t="str">
        <f>IF(OR(E401="",E401="!!!",F401="NEW"),"",INDEX(J$1:J400,SUMPRODUCT(MAX(ROW(E$1:E400)*(E401=E$1:E400)))))</f>
        <v/>
      </c>
      <c r="L401" s="26"/>
    </row>
    <row r="402" spans="1:12" x14ac:dyDescent="0.3">
      <c r="A402" t="s">
        <v>208</v>
      </c>
      <c r="B402" s="20" t="s">
        <v>122</v>
      </c>
      <c r="C402" s="20" t="s">
        <v>307</v>
      </c>
      <c r="E402" s="21" t="s">
        <v>421</v>
      </c>
      <c r="F402" s="22" t="str">
        <f>IF(OR(E402="",E402="!!!"),"",IF(NOT(ISNA(VLOOKUP(E402,E$1:E401,1,FALSE()))),"OLD",IF(AND(E402&lt;&gt;"",E402&lt;&gt;"!!!"),"NEW","")))</f>
        <v>NEW</v>
      </c>
      <c r="G402" s="23" t="s">
        <v>416</v>
      </c>
      <c r="H402" s="24" t="str">
        <f t="shared" ca="1" si="35"/>
        <v/>
      </c>
      <c r="I402" s="25" t="str">
        <f>IF(OR(E402="",E402="!!!",F402="NEW"),"",INDEX(B$2:B401,-1+SUMPRODUCT(MAX(ROW(E$2:E401)*(E402=E$2:E401)))))</f>
        <v/>
      </c>
      <c r="J402" s="25" t="str">
        <f ca="1">IF(OR(E402="",E402="!!!",F402="NEW"),"",COUNTBLANK(OFFSET(A$1,,,SUMPRODUCT(MAX(ROW(E$2:E402)*(E402=E$2:E402)))))-COUNTBLANK(OFFSET(A$1,,,SUMPRODUCT(MAX(ROW(E$1:E401)*(E2=E$1:E401))))))</f>
        <v/>
      </c>
      <c r="K402" s="25" t="str">
        <f>IF(OR(E402="",E402="!!!",F402="NEW"),"",INDEX(J$1:J401,SUMPRODUCT(MAX(ROW(E$1:E401)*(E402=E$1:E401)))))</f>
        <v/>
      </c>
      <c r="L402" s="26"/>
    </row>
    <row r="403" spans="1:12" x14ac:dyDescent="0.3">
      <c r="A403" t="s">
        <v>321</v>
      </c>
      <c r="E403" s="21" t="str">
        <f t="shared" si="34"/>
        <v/>
      </c>
      <c r="F403" s="22" t="str">
        <f>IF(OR(E403="",E403="!!!"),"",IF(NOT(ISNA(VLOOKUP(E403,E$1:E402,1,FALSE()))),"OLD",IF(AND(E403&lt;&gt;"",E403&lt;&gt;"!!!"),"NEW","")))</f>
        <v/>
      </c>
      <c r="G403" s="23" t="str">
        <f>IF(OR(E403="",E403="!!!"),"",IF(OR(J403=0,AND(J403=1,K403=1),AND(J403=1,I403="SBJ"),AND(J403=1,I403=0)),"?IN_FOCUS",IF(J403&lt;=2,"?ACTIVATED",IF(J403&lt;&gt;"","?FAMILIAR",IF(F403="NEW",IF(ISNA(VLOOKUP(E403,#REF!,1,FALSE())),"?TYPE_IDENTIFIABLE","?REFERENTIAL"),"_")))))</f>
        <v/>
      </c>
      <c r="H403" s="24" t="str">
        <f t="shared" ca="1" si="35"/>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145</v>
      </c>
      <c r="E404" s="21" t="str">
        <f t="shared" si="34"/>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35"/>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143</v>
      </c>
      <c r="E405" s="21" t="str">
        <f t="shared" si="34"/>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35"/>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7" spans="1:12" x14ac:dyDescent="0.3">
      <c r="A407" t="s">
        <v>180</v>
      </c>
      <c r="E407" s="21" t="str">
        <f>IF(D407="?OLD","!!!","")</f>
        <v/>
      </c>
      <c r="F407" s="22" t="str">
        <f>IF(OR(E407="",E407="!!!"),"",IF(NOT(ISNA(VLOOKUP(E407,E$1:E406,1,FALSE()))),"OLD",IF(AND(E407&lt;&gt;"",E407&lt;&gt;"!!!"),"NEW","")))</f>
        <v/>
      </c>
      <c r="G407" s="23" t="str">
        <f>IF(OR(E407="",E407="!!!"),"",IF(OR(J407=0,AND(J407=1,K407=1),AND(J407=1,I407="SBJ"),AND(J407=1,I407=0)),"?IN_FOCUS",IF(J407&lt;=2,"?ACTIVATED",IF(J407&lt;&gt;"","?FAMILIAR",IF(F407="NEW",IF(ISNA(VLOOKUP(E407,#REF!,1,FALSE())),"?TYPE_IDENTIFIABLE","?REFERENTIAL"),"_")))))</f>
        <v/>
      </c>
      <c r="H407" s="24" t="str">
        <f ca="1">IF(J407&lt;&gt;1,"",IF(I407="SBJ","CB","?"))</f>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322</v>
      </c>
    </row>
    <row r="409" spans="1:12" x14ac:dyDescent="0.3">
      <c r="A409" t="s">
        <v>189</v>
      </c>
      <c r="E409" s="21" t="str">
        <f t="shared" ref="E409:E454" si="36">IF(D409="?OLD","!!!","")</f>
        <v/>
      </c>
      <c r="F409" s="22" t="str">
        <f>IF(OR(E409="",E409="!!!"),"",IF(NOT(ISNA(VLOOKUP(E409,E$1:E408,1,FALSE()))),"OLD",IF(AND(E409&lt;&gt;"",E409&lt;&gt;"!!!"),"NEW","")))</f>
        <v/>
      </c>
      <c r="G409" s="23" t="str">
        <f>IF(OR(E409="",E409="!!!"),"",IF(OR(J409=0,AND(J409=1,K409=1),AND(J409=1,I409="SBJ"),AND(J409=1,I409=0)),"?IN_FOCUS",IF(J409&lt;=2,"?ACTIVATED",IF(J409&lt;&gt;"","?FAMILIAR",IF(F409="NEW",IF(ISNA(VLOOKUP(E409,#REF!,1,FALSE())),"?TYPE_IDENTIFIABLE","?REFERENTIAL"),"_")))))</f>
        <v/>
      </c>
      <c r="H409" s="24" t="str">
        <f t="shared" ref="H409:H454" ca="1" si="37">IF(J409&lt;&gt;1,"",IF(I409="SBJ","CB","?"))</f>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0" spans="1:12" x14ac:dyDescent="0.3">
      <c r="A410" t="s">
        <v>250</v>
      </c>
      <c r="B410" s="20" t="s">
        <v>152</v>
      </c>
      <c r="C410" s="20" t="s">
        <v>201</v>
      </c>
      <c r="D410" s="20" t="s">
        <v>112</v>
      </c>
      <c r="E410" s="21"/>
      <c r="F410" s="22" t="s">
        <v>407</v>
      </c>
      <c r="G410" s="23" t="str">
        <f>IF(OR(E410="",E410="!!!"),"",IF(OR(J410=0,AND(J410=1,K410=1),AND(J410=1,I410="SBJ"),AND(J410=1,I410=0)),"?IN_FOCUS",IF(J410&lt;=2,"?ACTIVATED",IF(J410&lt;&gt;"","?FAMILIAR",IF(F410="NEW",IF(ISNA(VLOOKUP(E410,#REF!,1,FALSE())),"?TYPE_IDENTIFIABLE","?REFERENTIAL"),"_")))))</f>
        <v/>
      </c>
      <c r="H410" s="24" t="str">
        <f t="shared" ca="1" si="37"/>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323</v>
      </c>
      <c r="E411" s="21" t="str">
        <f t="shared" si="36"/>
        <v/>
      </c>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t="shared" ca="1" si="37"/>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2" spans="1:12" x14ac:dyDescent="0.3">
      <c r="A412" t="s">
        <v>185</v>
      </c>
      <c r="B412" s="20" t="s">
        <v>153</v>
      </c>
      <c r="C412" s="20" t="s">
        <v>196</v>
      </c>
      <c r="E412" s="21" t="str">
        <f t="shared" si="36"/>
        <v/>
      </c>
      <c r="F412" s="22" t="str">
        <f>IF(OR(E412="",E412="!!!"),"",IF(NOT(ISNA(VLOOKUP(E412,E$1:E411,1,FALSE()))),"OLD",IF(AND(E412&lt;&gt;"",E412&lt;&gt;"!!!"),"NEW","")))</f>
        <v/>
      </c>
      <c r="G412" s="23" t="str">
        <f>IF(OR(E412="",E412="!!!"),"",IF(OR(J412=0,AND(J412=1,K412=1),AND(J412=1,I412="SBJ"),AND(J412=1,I412=0)),"?IN_FOCUS",IF(J412&lt;=2,"?ACTIVATED",IF(J412&lt;&gt;"","?FAMILIAR",IF(F412="NEW",IF(ISNA(VLOOKUP(E412,#REF!,1,FALSE())),"?TYPE_IDENTIFIABLE","?REFERENTIAL"),"_")))))</f>
        <v/>
      </c>
      <c r="H412" s="24" t="str">
        <f t="shared" ca="1" si="37"/>
        <v/>
      </c>
      <c r="I412" s="25" t="str">
        <f>IF(OR(E412="",E412="!!!",F412="NEW"),"",INDEX(B$2:B411,-1+SUMPRODUCT(MAX(ROW(E$2:E411)*(E412=E$2:E411)))))</f>
        <v/>
      </c>
      <c r="J412" s="25" t="str">
        <f ca="1">IF(OR(E412="",E412="!!!",F412="NEW"),"",COUNTBLANK(OFFSET(A$1,,,SUMPRODUCT(MAX(ROW(E$2:E412)*(E412=E$2:E412)))))-COUNTBLANK(OFFSET(A$1,,,SUMPRODUCT(MAX(ROW(E$1:E411)*(E2=E$1:E411))))))</f>
        <v/>
      </c>
      <c r="K412" s="25" t="str">
        <f>IF(OR(E412="",E412="!!!",F412="NEW"),"",INDEX(J$1:J411,SUMPRODUCT(MAX(ROW(E$1:E411)*(E412=E$1:E411)))))</f>
        <v/>
      </c>
      <c r="L412" s="26"/>
    </row>
    <row r="413" spans="1:12" x14ac:dyDescent="0.3">
      <c r="A413" t="s">
        <v>116</v>
      </c>
      <c r="E413" s="21" t="str">
        <f t="shared" si="36"/>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ca="1" si="37"/>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324</v>
      </c>
      <c r="B414" s="20" t="s">
        <v>118</v>
      </c>
      <c r="C414" s="20" t="s">
        <v>170</v>
      </c>
      <c r="D414" s="20" t="s">
        <v>112</v>
      </c>
      <c r="E414" s="21" t="s">
        <v>370</v>
      </c>
      <c r="F414" s="22" t="str">
        <f>IF(OR(E414="",E414="!!!"),"",IF(NOT(ISNA(VLOOKUP(E414,E$1:E413,1,FALSE()))),"OLD",IF(AND(E414&lt;&gt;"",E414&lt;&gt;"!!!"),"NEW","")))</f>
        <v>OLD</v>
      </c>
      <c r="G414" s="23" t="s">
        <v>415</v>
      </c>
      <c r="H414" s="24" t="s">
        <v>104</v>
      </c>
      <c r="I414" s="25" t="str">
        <f>IF(OR(E414="",E414="!!!",F414="NEW"),"",INDEX(B$2:B413,-1+SUMPRODUCT(MAX(ROW(E$2:E413)*(E414=E$2:E413)))))</f>
        <v>other_3</v>
      </c>
      <c r="J414" s="25">
        <f ca="1">IF(OR(E414="",E414="!!!",F414="NEW"),"",COUNTBLANK(OFFSET(A$1,,,SUMPRODUCT(MAX(ROW(E$2:E414)*(E414=E$2:E414)))))-COUNTBLANK(OFFSET(A$1,,,SUMPRODUCT(MAX(ROW(E$1:E413)*(E2=E$1:E413))))))</f>
        <v>0</v>
      </c>
      <c r="K414" s="25">
        <f ca="1">IF(OR(E414="",E414="!!!",F414="NEW"),"",INDEX(J$1:J413,SUMPRODUCT(MAX(ROW(E$1:E413)*(E414=E$1:E413)))))</f>
        <v>0</v>
      </c>
      <c r="L414" s="26"/>
    </row>
    <row r="415" spans="1:12" x14ac:dyDescent="0.3">
      <c r="A415" t="s">
        <v>155</v>
      </c>
      <c r="E415" s="21" t="str">
        <f t="shared" si="36"/>
        <v/>
      </c>
      <c r="F415" s="22" t="str">
        <f>IF(OR(E415="",E415="!!!"),"",IF(NOT(ISNA(VLOOKUP(E415,E$1:E414,1,FALSE()))),"OLD",IF(AND(E415&lt;&gt;"",E415&lt;&gt;"!!!"),"NEW","")))</f>
        <v/>
      </c>
      <c r="G415" s="23" t="str">
        <f>IF(OR(E415="",E415="!!!"),"",IF(OR(J415=0,AND(J415=1,K415=1),AND(J415=1,I415="SBJ"),AND(J415=1,I415=0)),"?IN_FOCUS",IF(J415&lt;=2,"?ACTIVATED",IF(J415&lt;&gt;"","?FAMILIAR",IF(F415="NEW",IF(ISNA(VLOOKUP(E415,#REF!,1,FALSE())),"?TYPE_IDENTIFIABLE","?REFERENTIAL"),"_")))))</f>
        <v/>
      </c>
      <c r="H415" s="24" t="str">
        <f t="shared" ca="1" si="37"/>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165</v>
      </c>
      <c r="B416" s="20" t="s">
        <v>318</v>
      </c>
      <c r="E416" s="21" t="str">
        <f t="shared" si="36"/>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37"/>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197</v>
      </c>
      <c r="B417" s="20" t="s">
        <v>290</v>
      </c>
      <c r="C417" s="20" t="s">
        <v>215</v>
      </c>
      <c r="E417" s="21" t="str">
        <f t="shared" si="36"/>
        <v/>
      </c>
      <c r="F417" s="22" t="str">
        <f>IF(OR(E417="",E417="!!!"),"",IF(NOT(ISNA(VLOOKUP(E417,E$1:E416,1,FALSE()))),"OLD",IF(AND(E417&lt;&gt;"",E417&lt;&gt;"!!!"),"NEW","")))</f>
        <v/>
      </c>
      <c r="G417" s="23" t="str">
        <f>IF(OR(E417="",E417="!!!"),"",IF(OR(J417=0,AND(J417=1,K417=1),AND(J417=1,I417="SBJ"),AND(J417=1,I417=0)),"?IN_FOCUS",IF(J417&lt;=2,"?ACTIVATED",IF(J417&lt;&gt;"","?FAMILIAR",IF(F417="NEW",IF(ISNA(VLOOKUP(E417,#REF!,1,FALSE())),"?TYPE_IDENTIFIABLE","?REFERENTIAL"),"_")))))</f>
        <v/>
      </c>
      <c r="H417" s="24" t="str">
        <f t="shared" ca="1" si="37"/>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135</v>
      </c>
      <c r="E418" s="21" t="str">
        <f t="shared" si="36"/>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ca="1" si="37"/>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19" spans="1:12" x14ac:dyDescent="0.3">
      <c r="A419" t="s">
        <v>113</v>
      </c>
      <c r="B419" s="20" t="s">
        <v>122</v>
      </c>
      <c r="C419" s="20" t="s">
        <v>128</v>
      </c>
      <c r="D419" s="20" t="s">
        <v>112</v>
      </c>
      <c r="E419" s="21"/>
      <c r="F419" s="22" t="s">
        <v>412</v>
      </c>
      <c r="G419" s="23" t="str">
        <f>IF(OR(E419="",E419="!!!"),"",IF(OR(J419=0,AND(J419=1,K419=1),AND(J419=1,I419="SBJ"),AND(J419=1,I419=0)),"?IN_FOCUS",IF(J419&lt;=2,"?ACTIVATED",IF(J419&lt;&gt;"","?FAMILIAR",IF(F419="NEW",IF(ISNA(VLOOKUP(E419,#REF!,1,FALSE())),"?TYPE_IDENTIFIABLE","?REFERENTIAL"),"_")))))</f>
        <v/>
      </c>
      <c r="H419" s="24" t="str">
        <f t="shared" ca="1" si="37"/>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135</v>
      </c>
      <c r="E420" s="21" t="str">
        <f t="shared" si="36"/>
        <v/>
      </c>
      <c r="F420" s="22" t="str">
        <f>IF(OR(E420="",E420="!!!"),"",IF(NOT(ISNA(VLOOKUP(E420,E$1:E419,1,FALSE()))),"OLD",IF(AND(E420&lt;&gt;"",E420&lt;&gt;"!!!"),"NEW","")))</f>
        <v/>
      </c>
      <c r="G420" s="23" t="str">
        <f>IF(OR(E420="",E420="!!!"),"",IF(OR(J420=0,AND(J420=1,K420=1),AND(J420=1,I420="SBJ"),AND(J420=1,I420=0)),"?IN_FOCUS",IF(J420&lt;=2,"?ACTIVATED",IF(J420&lt;&gt;"","?FAMILIAR",IF(F420="NEW",IF(ISNA(VLOOKUP(E420,#REF!,1,FALSE())),"?TYPE_IDENTIFIABLE","?REFERENTIAL"),"_")))))</f>
        <v/>
      </c>
      <c r="H420" s="24" t="str">
        <f t="shared" ca="1" si="37"/>
        <v/>
      </c>
      <c r="I420" s="25" t="str">
        <f>IF(OR(E420="",E420="!!!",F420="NEW"),"",INDEX(B$2:B419,-1+SUMPRODUCT(MAX(ROW(E$2:E419)*(E420=E$2:E419)))))</f>
        <v/>
      </c>
      <c r="J420" s="25" t="str">
        <f ca="1">IF(OR(E420="",E420="!!!",F420="NEW"),"",COUNTBLANK(OFFSET(A$1,,,SUMPRODUCT(MAX(ROW(E$2:E420)*(E420=E$2:E420)))))-COUNTBLANK(OFFSET(A$1,,,SUMPRODUCT(MAX(ROW(E$1:E419)*(E2=E$1:E419))))))</f>
        <v/>
      </c>
      <c r="K420" s="25" t="str">
        <f>IF(OR(E420="",E420="!!!",F420="NEW"),"",INDEX(J$1:J419,SUMPRODUCT(MAX(ROW(E$1:E419)*(E420=E$1:E419)))))</f>
        <v/>
      </c>
      <c r="L420" s="26"/>
    </row>
    <row r="421" spans="1:12" x14ac:dyDescent="0.3">
      <c r="A421" t="s">
        <v>224</v>
      </c>
      <c r="B421" s="20" t="s">
        <v>290</v>
      </c>
      <c r="C421" s="20" t="s">
        <v>128</v>
      </c>
      <c r="D421" s="20" t="s">
        <v>112</v>
      </c>
      <c r="E421" s="21" t="s">
        <v>417</v>
      </c>
      <c r="F421" s="22" t="str">
        <f>IF(OR(E421="",E421="!!!"),"",IF(NOT(ISNA(VLOOKUP(E421,E$1:E420,1,FALSE()))),"OLD",IF(AND(E421&lt;&gt;"",E421&lt;&gt;"!!!"),"NEW","")))</f>
        <v>OLD</v>
      </c>
      <c r="G421" s="23" t="s">
        <v>415</v>
      </c>
      <c r="H421" s="24" t="str">
        <f t="shared" ca="1" si="37"/>
        <v/>
      </c>
      <c r="I421" s="25" t="str">
        <f>IF(OR(E421="",E421="!!!",F421="NEW"),"",INDEX(B$2:B420,-1+SUMPRODUCT(MAX(ROW(E$2:E420)*(E421=E$2:E420)))))</f>
        <v>other_2</v>
      </c>
      <c r="J421" s="25">
        <f ca="1">IF(OR(E421="",E421="!!!",F421="NEW"),"",COUNTBLANK(OFFSET(A$1,,,SUMPRODUCT(MAX(ROW(E$2:E421)*(E421=E$2:E421)))))-COUNTBLANK(OFFSET(A$1,,,SUMPRODUCT(MAX(ROW(E$1:E420)*(E2=E$1:E420))))))</f>
        <v>0</v>
      </c>
      <c r="K421" s="25">
        <f ca="1">IF(OR(E421="",E421="!!!",F421="NEW"),"",INDEX(J$1:J420,SUMPRODUCT(MAX(ROW(E$1:E420)*(E421=E$1:E420)))))</f>
        <v>0</v>
      </c>
      <c r="L421" s="26"/>
    </row>
    <row r="422" spans="1:12" x14ac:dyDescent="0.3">
      <c r="A422" t="s">
        <v>197</v>
      </c>
      <c r="E422" s="21" t="str">
        <f t="shared" si="36"/>
        <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t="shared" ca="1" si="37"/>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3" spans="1:12" x14ac:dyDescent="0.3">
      <c r="A423" t="s">
        <v>325</v>
      </c>
      <c r="E423" s="21" t="str">
        <f t="shared" si="36"/>
        <v/>
      </c>
      <c r="F423" s="22" t="str">
        <f>IF(OR(E423="",E423="!!!"),"",IF(NOT(ISNA(VLOOKUP(E423,E$1:E422,1,FALSE()))),"OLD",IF(AND(E423&lt;&gt;"",E423&lt;&gt;"!!!"),"NEW","")))</f>
        <v/>
      </c>
      <c r="G423" s="23" t="str">
        <f>IF(OR(E423="",E423="!!!"),"",IF(OR(J423=0,AND(J423=1,K423=1),AND(J423=1,I423="SBJ"),AND(J423=1,I423=0)),"?IN_FOCUS",IF(J423&lt;=2,"?ACTIVATED",IF(J423&lt;&gt;"","?FAMILIAR",IF(F423="NEW",IF(ISNA(VLOOKUP(E423,#REF!,1,FALSE())),"?TYPE_IDENTIFIABLE","?REFERENTIAL"),"_")))))</f>
        <v/>
      </c>
      <c r="H423" s="24" t="str">
        <f t="shared" ca="1" si="37"/>
        <v/>
      </c>
      <c r="I423" s="25" t="str">
        <f>IF(OR(E423="",E423="!!!",F423="NEW"),"",INDEX(B$2:B422,-1+SUMPRODUCT(MAX(ROW(E$2:E422)*(E423=E$2:E422)))))</f>
        <v/>
      </c>
      <c r="J423" s="25" t="str">
        <f ca="1">IF(OR(E423="",E423="!!!",F423="NEW"),"",COUNTBLANK(OFFSET(A$1,,,SUMPRODUCT(MAX(ROW(E$2:E423)*(E423=E$2:E423)))))-COUNTBLANK(OFFSET(A$1,,,SUMPRODUCT(MAX(ROW(E$1:E422)*(E2=E$1:E422))))))</f>
        <v/>
      </c>
      <c r="K423" s="25" t="str">
        <f>IF(OR(E423="",E423="!!!",F423="NEW"),"",INDEX(J$1:J422,SUMPRODUCT(MAX(ROW(E$1:E422)*(E423=E$1:E422)))))</f>
        <v/>
      </c>
      <c r="L423" s="26"/>
    </row>
    <row r="424" spans="1:12" x14ac:dyDescent="0.3">
      <c r="A424" t="s">
        <v>155</v>
      </c>
      <c r="E424" s="21" t="str">
        <f t="shared" si="36"/>
        <v/>
      </c>
      <c r="F424" s="22" t="str">
        <f>IF(OR(E424="",E424="!!!"),"",IF(NOT(ISNA(VLOOKUP(E424,E$1:E423,1,FALSE()))),"OLD",IF(AND(E424&lt;&gt;"",E424&lt;&gt;"!!!"),"NEW","")))</f>
        <v/>
      </c>
      <c r="G424" s="23" t="str">
        <f>IF(OR(E424="",E424="!!!"),"",IF(OR(J424=0,AND(J424=1,K424=1),AND(J424=1,I424="SBJ"),AND(J424=1,I424=0)),"?IN_FOCUS",IF(J424&lt;=2,"?ACTIVATED",IF(J424&lt;&gt;"","?FAMILIAR",IF(F424="NEW",IF(ISNA(VLOOKUP(E424,#REF!,1,FALSE())),"?TYPE_IDENTIFIABLE","?REFERENTIAL"),"_")))))</f>
        <v/>
      </c>
      <c r="H424" s="24" t="str">
        <f t="shared" ca="1" si="37"/>
        <v/>
      </c>
      <c r="I424" s="25" t="str">
        <f>IF(OR(E424="",E424="!!!",F424="NEW"),"",INDEX(B$2:B423,-1+SUMPRODUCT(MAX(ROW(E$2:E423)*(E424=E$2:E423)))))</f>
        <v/>
      </c>
      <c r="J424" s="25" t="str">
        <f ca="1">IF(OR(E424="",E424="!!!",F424="NEW"),"",COUNTBLANK(OFFSET(A$1,,,SUMPRODUCT(MAX(ROW(E$2:E424)*(E424=E$2:E424)))))-COUNTBLANK(OFFSET(A$1,,,SUMPRODUCT(MAX(ROW(E$1:E423)*(E2=E$1:E423))))))</f>
        <v/>
      </c>
      <c r="K424" s="25" t="str">
        <f>IF(OR(E424="",E424="!!!",F424="NEW"),"",INDEX(J$1:J423,SUMPRODUCT(MAX(ROW(E$1:E423)*(E424=E$1:E423)))))</f>
        <v/>
      </c>
      <c r="L424" s="26"/>
    </row>
    <row r="425" spans="1:12" x14ac:dyDescent="0.3">
      <c r="A425" t="s">
        <v>326</v>
      </c>
      <c r="E425" s="21" t="str">
        <f t="shared" si="36"/>
        <v/>
      </c>
      <c r="F425" s="22" t="str">
        <f>IF(OR(E425="",E425="!!!"),"",IF(NOT(ISNA(VLOOKUP(E425,E$1:E424,1,FALSE()))),"OLD",IF(AND(E425&lt;&gt;"",E425&lt;&gt;"!!!"),"NEW","")))</f>
        <v/>
      </c>
      <c r="G425" s="23" t="str">
        <f>IF(OR(E425="",E425="!!!"),"",IF(OR(J425=0,AND(J425=1,K425=1),AND(J425=1,I425="SBJ"),AND(J425=1,I425=0)),"?IN_FOCUS",IF(J425&lt;=2,"?ACTIVATED",IF(J425&lt;&gt;"","?FAMILIAR",IF(F425="NEW",IF(ISNA(VLOOKUP(E425,#REF!,1,FALSE())),"?TYPE_IDENTIFIABLE","?REFERENTIAL"),"_")))))</f>
        <v/>
      </c>
      <c r="H425" s="24" t="str">
        <f t="shared" ca="1" si="37"/>
        <v/>
      </c>
      <c r="I425" s="25" t="str">
        <f>IF(OR(E425="",E425="!!!",F425="NEW"),"",INDEX(B$2:B424,-1+SUMPRODUCT(MAX(ROW(E$2:E424)*(E425=E$2:E424)))))</f>
        <v/>
      </c>
      <c r="J425" s="25" t="str">
        <f ca="1">IF(OR(E425="",E425="!!!",F425="NEW"),"",COUNTBLANK(OFFSET(A$1,,,SUMPRODUCT(MAX(ROW(E$2:E425)*(E425=E$2:E425)))))-COUNTBLANK(OFFSET(A$1,,,SUMPRODUCT(MAX(ROW(E$1:E424)*(E2=E$1:E424))))))</f>
        <v/>
      </c>
      <c r="K425" s="25" t="str">
        <f>IF(OR(E425="",E425="!!!",F425="NEW"),"",INDEX(J$1:J424,SUMPRODUCT(MAX(ROW(E$1:E424)*(E425=E$1:E424)))))</f>
        <v/>
      </c>
      <c r="L425" s="26"/>
    </row>
    <row r="426" spans="1:12" x14ac:dyDescent="0.3">
      <c r="A426" t="s">
        <v>327</v>
      </c>
      <c r="E426" s="21" t="str">
        <f t="shared" si="36"/>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37"/>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328</v>
      </c>
      <c r="E427" s="21" t="str">
        <f t="shared" si="36"/>
        <v/>
      </c>
      <c r="F427" s="22" t="str">
        <f>IF(OR(E427="",E427="!!!"),"",IF(NOT(ISNA(VLOOKUP(E427,E$1:E426,1,FALSE()))),"OLD",IF(AND(E427&lt;&gt;"",E427&lt;&gt;"!!!"),"NEW","")))</f>
        <v/>
      </c>
      <c r="G427" s="23" t="str">
        <f>IF(OR(E427="",E427="!!!"),"",IF(OR(J427=0,AND(J427=1,K427=1),AND(J427=1,I427="SBJ"),AND(J427=1,I427=0)),"?IN_FOCUS",IF(J427&lt;=2,"?ACTIVATED",IF(J427&lt;&gt;"","?FAMILIAR",IF(F427="NEW",IF(ISNA(VLOOKUP(E427,#REF!,1,FALSE())),"?TYPE_IDENTIFIABLE","?REFERENTIAL"),"_")))))</f>
        <v/>
      </c>
      <c r="H427" s="24" t="str">
        <f t="shared" ca="1" si="37"/>
        <v/>
      </c>
      <c r="I427" s="25" t="str">
        <f>IF(OR(E427="",E427="!!!",F427="NEW"),"",INDEX(B$2:B426,-1+SUMPRODUCT(MAX(ROW(E$2:E426)*(E427=E$2:E426)))))</f>
        <v/>
      </c>
      <c r="J427" s="25" t="str">
        <f ca="1">IF(OR(E427="",E427="!!!",F427="NEW"),"",COUNTBLANK(OFFSET(A$1,,,SUMPRODUCT(MAX(ROW(E$2:E427)*(E427=E$2:E427)))))-COUNTBLANK(OFFSET(A$1,,,SUMPRODUCT(MAX(ROW(E$1:E426)*(E2=E$1:E426))))))</f>
        <v/>
      </c>
      <c r="K427" s="25" t="str">
        <f>IF(OR(E427="",E427="!!!",F427="NEW"),"",INDEX(J$1:J426,SUMPRODUCT(MAX(ROW(E$1:E426)*(E427=E$1:E426)))))</f>
        <v/>
      </c>
      <c r="L427" s="26"/>
    </row>
    <row r="428" spans="1:12" x14ac:dyDescent="0.3">
      <c r="A428" t="s">
        <v>288</v>
      </c>
      <c r="B428" s="20" t="s">
        <v>289</v>
      </c>
      <c r="C428" s="20" t="s">
        <v>170</v>
      </c>
      <c r="D428" s="20" t="s">
        <v>112</v>
      </c>
      <c r="E428" s="21" t="s">
        <v>370</v>
      </c>
      <c r="F428" s="22" t="str">
        <f>IF(OR(E428="",E428="!!!"),"",IF(NOT(ISNA(VLOOKUP(E428,E$1:E427,1,FALSE()))),"OLD",IF(AND(E428&lt;&gt;"",E428&lt;&gt;"!!!"),"NEW","")))</f>
        <v>OLD</v>
      </c>
      <c r="G428" s="23" t="s">
        <v>414</v>
      </c>
      <c r="H428" s="24" t="str">
        <f t="shared" ca="1" si="37"/>
        <v/>
      </c>
      <c r="I428" s="25" t="str">
        <f>IF(OR(E428="",E428="!!!",F428="NEW"),"",INDEX(B$2:B427,-1+SUMPRODUCT(MAX(ROW(E$2:E427)*(E428=E$2:E427)))))</f>
        <v>other_2</v>
      </c>
      <c r="J428" s="25">
        <f ca="1">IF(OR(E428="",E428="!!!",F428="NEW"),"",COUNTBLANK(OFFSET(A$1,,,SUMPRODUCT(MAX(ROW(E$2:E428)*(E428=E$2:E428)))))-COUNTBLANK(OFFSET(A$1,,,SUMPRODUCT(MAX(ROW(E$1:E427)*(E2=E$1:E427))))))</f>
        <v>0</v>
      </c>
      <c r="K428" s="25">
        <f ca="1">IF(OR(E428="",E428="!!!",F428="NEW"),"",INDEX(J$1:J427,SUMPRODUCT(MAX(ROW(E$1:E427)*(E428=E$1:E427)))))</f>
        <v>0</v>
      </c>
      <c r="L428" s="26"/>
    </row>
    <row r="429" spans="1:12" x14ac:dyDescent="0.3">
      <c r="A429" t="s">
        <v>324</v>
      </c>
      <c r="B429" s="20" t="s">
        <v>318</v>
      </c>
      <c r="C429" s="20" t="s">
        <v>170</v>
      </c>
      <c r="D429" s="20" t="s">
        <v>112</v>
      </c>
      <c r="E429" s="21" t="s">
        <v>370</v>
      </c>
      <c r="F429" s="22" t="str">
        <f>IF(OR(E429="",E429="!!!"),"",IF(NOT(ISNA(VLOOKUP(E429,E$1:E428,1,FALSE()))),"OLD",IF(AND(E429&lt;&gt;"",E429&lt;&gt;"!!!"),"NEW","")))</f>
        <v>OLD</v>
      </c>
      <c r="G429" s="23" t="s">
        <v>414</v>
      </c>
      <c r="H429" s="24" t="str">
        <f t="shared" ca="1" si="37"/>
        <v/>
      </c>
      <c r="I429" s="25" t="str">
        <f>IF(OR(E429="",E429="!!!",F429="NEW"),"",INDEX(B$2:B428,-1+SUMPRODUCT(MAX(ROW(E$2:E428)*(E429=E$2:E428)))))</f>
        <v>SBJ_3</v>
      </c>
      <c r="J429" s="25">
        <f ca="1">IF(OR(E429="",E429="!!!",F429="NEW"),"",COUNTBLANK(OFFSET(A$1,,,SUMPRODUCT(MAX(ROW(E$2:E429)*(E429=E$2:E429)))))-COUNTBLANK(OFFSET(A$1,,,SUMPRODUCT(MAX(ROW(E$1:E428)*(E2=E$1:E428))))))</f>
        <v>0</v>
      </c>
      <c r="K429" s="25">
        <f ca="1">IF(OR(E429="",E429="!!!",F429="NEW"),"",INDEX(J$1:J428,SUMPRODUCT(MAX(ROW(E$1:E428)*(E429=E$1:E428)))))</f>
        <v>0</v>
      </c>
      <c r="L429" s="26"/>
    </row>
    <row r="430" spans="1:12" x14ac:dyDescent="0.3">
      <c r="A430" t="s">
        <v>225</v>
      </c>
      <c r="E430" s="21" t="str">
        <f t="shared" si="36"/>
        <v/>
      </c>
      <c r="F430" s="22" t="str">
        <f>IF(OR(E430="",E430="!!!"),"",IF(NOT(ISNA(VLOOKUP(E430,E$1:E429,1,FALSE()))),"OLD",IF(AND(E430&lt;&gt;"",E430&lt;&gt;"!!!"),"NEW","")))</f>
        <v/>
      </c>
      <c r="G430" s="23" t="str">
        <f>IF(OR(E430="",E430="!!!"),"",IF(OR(J430=0,AND(J430=1,K430=1),AND(J430=1,I430="SBJ"),AND(J430=1,I430=0)),"?IN_FOCUS",IF(J430&lt;=2,"?ACTIVATED",IF(J430&lt;&gt;"","?FAMILIAR",IF(F430="NEW",IF(ISNA(VLOOKUP(E430,#REF!,1,FALSE())),"?TYPE_IDENTIFIABLE","?REFERENTIAL"),"_")))))</f>
        <v/>
      </c>
      <c r="H430" s="24" t="str">
        <f t="shared" ca="1" si="37"/>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1" spans="1:12" x14ac:dyDescent="0.3">
      <c r="A431" t="s">
        <v>132</v>
      </c>
      <c r="E431" s="21" t="str">
        <f t="shared" si="36"/>
        <v/>
      </c>
      <c r="F431" s="22" t="str">
        <f>IF(OR(E431="",E431="!!!"),"",IF(NOT(ISNA(VLOOKUP(E431,E$1:E430,1,FALSE()))),"OLD",IF(AND(E431&lt;&gt;"",E431&lt;&gt;"!!!"),"NEW","")))</f>
        <v/>
      </c>
      <c r="G431" s="23" t="str">
        <f>IF(OR(E431="",E431="!!!"),"",IF(OR(J431=0,AND(J431=1,K431=1),AND(J431=1,I431="SBJ"),AND(J431=1,I431=0)),"?IN_FOCUS",IF(J431&lt;=2,"?ACTIVATED",IF(J431&lt;&gt;"","?FAMILIAR",IF(F431="NEW",IF(ISNA(VLOOKUP(E431,#REF!,1,FALSE())),"?TYPE_IDENTIFIABLE","?REFERENTIAL"),"_")))))</f>
        <v/>
      </c>
      <c r="H431" s="24" t="str">
        <f t="shared" ca="1" si="37"/>
        <v/>
      </c>
      <c r="I431" s="25" t="str">
        <f>IF(OR(E431="",E431="!!!",F431="NEW"),"",INDEX(B$2:B430,-1+SUMPRODUCT(MAX(ROW(E$2:E430)*(E431=E$2:E430)))))</f>
        <v/>
      </c>
      <c r="J431" s="25" t="str">
        <f ca="1">IF(OR(E431="",E431="!!!",F431="NEW"),"",COUNTBLANK(OFFSET(A$1,,,SUMPRODUCT(MAX(ROW(E$2:E431)*(E431=E$2:E431)))))-COUNTBLANK(OFFSET(A$1,,,SUMPRODUCT(MAX(ROW(E$1:E430)*(E2=E$1:E430))))))</f>
        <v/>
      </c>
      <c r="K431" s="25" t="str">
        <f>IF(OR(E431="",E431="!!!",F431="NEW"),"",INDEX(J$1:J430,SUMPRODUCT(MAX(ROW(E$1:E430)*(E431=E$1:E430)))))</f>
        <v/>
      </c>
      <c r="L431" s="26"/>
    </row>
    <row r="432" spans="1:12" x14ac:dyDescent="0.3">
      <c r="A432" t="s">
        <v>329</v>
      </c>
      <c r="B432" s="20" t="s">
        <v>264</v>
      </c>
      <c r="C432" s="20" t="s">
        <v>128</v>
      </c>
      <c r="D432" s="20" t="s">
        <v>112</v>
      </c>
      <c r="E432" s="21"/>
      <c r="F432" s="22" t="s">
        <v>391</v>
      </c>
      <c r="G432" s="23" t="str">
        <f>IF(OR(E432="",E432="!!!"),"",IF(OR(J432=0,AND(J432=1,K432=1),AND(J432=1,I432="SBJ"),AND(J432=1,I432=0)),"?IN_FOCUS",IF(J432&lt;=2,"?ACTIVATED",IF(J432&lt;&gt;"","?FAMILIAR",IF(F432="NEW",IF(ISNA(VLOOKUP(E432,#REF!,1,FALSE())),"?TYPE_IDENTIFIABLE","?REFERENTIAL"),"_")))))</f>
        <v/>
      </c>
      <c r="H432" s="24" t="str">
        <f t="shared" ca="1" si="37"/>
        <v/>
      </c>
      <c r="I432" s="25" t="str">
        <f>IF(OR(E432="",E432="!!!",F432="NEW"),"",INDEX(B$2:B431,-1+SUMPRODUCT(MAX(ROW(E$2:E431)*(E432=E$2:E431)))))</f>
        <v/>
      </c>
      <c r="J432" s="25" t="str">
        <f ca="1">IF(OR(E432="",E432="!!!",F432="NEW"),"",COUNTBLANK(OFFSET(A$1,,,SUMPRODUCT(MAX(ROW(E$2:E432)*(E432=E$2:E432)))))-COUNTBLANK(OFFSET(A$1,,,SUMPRODUCT(MAX(ROW(E$1:E431)*(E2=E$1:E431))))))</f>
        <v/>
      </c>
      <c r="K432" s="25" t="str">
        <f>IF(OR(E432="",E432="!!!",F432="NEW"),"",INDEX(J$1:J431,SUMPRODUCT(MAX(ROW(E$1:E431)*(E432=E$1:E431)))))</f>
        <v/>
      </c>
      <c r="L432" s="26"/>
    </row>
    <row r="433" spans="1:12" x14ac:dyDescent="0.3">
      <c r="A433" t="s">
        <v>330</v>
      </c>
      <c r="E433" s="21" t="str">
        <f t="shared" si="36"/>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ca="1" si="37"/>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4" spans="1:12" x14ac:dyDescent="0.3">
      <c r="A434" t="s">
        <v>288</v>
      </c>
      <c r="B434" s="20" t="s">
        <v>331</v>
      </c>
      <c r="C434" s="20" t="s">
        <v>170</v>
      </c>
      <c r="D434" s="20" t="s">
        <v>112</v>
      </c>
      <c r="E434" s="21" t="str">
        <f t="shared" si="36"/>
        <v>!!!</v>
      </c>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ca="1" si="37"/>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t="s">
        <v>429</v>
      </c>
    </row>
    <row r="435" spans="1:12" x14ac:dyDescent="0.3">
      <c r="A435" t="s">
        <v>187</v>
      </c>
      <c r="E435" s="21" t="str">
        <f t="shared" si="36"/>
        <v/>
      </c>
      <c r="F435" s="22" t="str">
        <f>IF(OR(E435="",E435="!!!"),"",IF(NOT(ISNA(VLOOKUP(E435,E$1:E434,1,FALSE()))),"OLD",IF(AND(E435&lt;&gt;"",E435&lt;&gt;"!!!"),"NEW","")))</f>
        <v/>
      </c>
      <c r="G435" s="23" t="str">
        <f>IF(OR(E435="",E435="!!!"),"",IF(OR(J435=0,AND(J435=1,K435=1),AND(J435=1,I435="SBJ"),AND(J435=1,I435=0)),"?IN_FOCUS",IF(J435&lt;=2,"?ACTIVATED",IF(J435&lt;&gt;"","?FAMILIAR",IF(F435="NEW",IF(ISNA(VLOOKUP(E435,#REF!,1,FALSE())),"?TYPE_IDENTIFIABLE","?REFERENTIAL"),"_")))))</f>
        <v/>
      </c>
      <c r="H435" s="24" t="str">
        <f t="shared" ca="1" si="37"/>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332</v>
      </c>
      <c r="E436" s="21" t="str">
        <f t="shared" si="36"/>
        <v/>
      </c>
      <c r="F436" s="22" t="str">
        <f>IF(OR(E436="",E436="!!!"),"",IF(NOT(ISNA(VLOOKUP(E436,E$1:E435,1,FALSE()))),"OLD",IF(AND(E436&lt;&gt;"",E436&lt;&gt;"!!!"),"NEW","")))</f>
        <v/>
      </c>
      <c r="G436" s="23" t="str">
        <f>IF(OR(E436="",E436="!!!"),"",IF(OR(J436=0,AND(J436=1,K436=1),AND(J436=1,I436="SBJ"),AND(J436=1,I436=0)),"?IN_FOCUS",IF(J436&lt;=2,"?ACTIVATED",IF(J436&lt;&gt;"","?FAMILIAR",IF(F436="NEW",IF(ISNA(VLOOKUP(E436,#REF!,1,FALSE())),"?TYPE_IDENTIFIABLE","?REFERENTIAL"),"_")))))</f>
        <v/>
      </c>
      <c r="H436" s="24" t="str">
        <f t="shared" ca="1" si="37"/>
        <v/>
      </c>
      <c r="I436" s="25" t="str">
        <f>IF(OR(E436="",E436="!!!",F436="NEW"),"",INDEX(B$2:B435,-1+SUMPRODUCT(MAX(ROW(E$2:E435)*(E436=E$2:E435)))))</f>
        <v/>
      </c>
      <c r="J436" s="25" t="str">
        <f ca="1">IF(OR(E436="",E436="!!!",F436="NEW"),"",COUNTBLANK(OFFSET(A$1,,,SUMPRODUCT(MAX(ROW(E$2:E436)*(E436=E$2:E436)))))-COUNTBLANK(OFFSET(A$1,,,SUMPRODUCT(MAX(ROW(E$1:E435)*(E2=E$1:E435))))))</f>
        <v/>
      </c>
      <c r="K436" s="25" t="str">
        <f>IF(OR(E436="",E436="!!!",F436="NEW"),"",INDEX(J$1:J435,SUMPRODUCT(MAX(ROW(E$1:E435)*(E436=E$1:E435)))))</f>
        <v/>
      </c>
      <c r="L436" s="26"/>
    </row>
    <row r="437" spans="1:12" x14ac:dyDescent="0.3">
      <c r="A437" t="s">
        <v>333</v>
      </c>
      <c r="E437" s="21" t="str">
        <f t="shared" si="36"/>
        <v/>
      </c>
      <c r="F437" s="22" t="str">
        <f>IF(OR(E437="",E437="!!!"),"",IF(NOT(ISNA(VLOOKUP(E437,E$1:E436,1,FALSE()))),"OLD",IF(AND(E437&lt;&gt;"",E437&lt;&gt;"!!!"),"NEW","")))</f>
        <v/>
      </c>
      <c r="G437" s="23" t="str">
        <f>IF(OR(E437="",E437="!!!"),"",IF(OR(J437=0,AND(J437=1,K437=1),AND(J437=1,I437="SBJ"),AND(J437=1,I437=0)),"?IN_FOCUS",IF(J437&lt;=2,"?ACTIVATED",IF(J437&lt;&gt;"","?FAMILIAR",IF(F437="NEW",IF(ISNA(VLOOKUP(E437,#REF!,1,FALSE())),"?TYPE_IDENTIFIABLE","?REFERENTIAL"),"_")))))</f>
        <v/>
      </c>
      <c r="H437" s="24" t="str">
        <f t="shared" ca="1" si="37"/>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row>
    <row r="438" spans="1:12" x14ac:dyDescent="0.3">
      <c r="A438" t="s">
        <v>334</v>
      </c>
      <c r="B438" s="20" t="s">
        <v>290</v>
      </c>
      <c r="C438" s="20" t="s">
        <v>191</v>
      </c>
      <c r="D438" s="20" t="s">
        <v>112</v>
      </c>
      <c r="E438" s="21" t="s">
        <v>430</v>
      </c>
      <c r="F438" s="22" t="s">
        <v>385</v>
      </c>
      <c r="G438" s="23"/>
      <c r="H438" s="24" t="str">
        <f t="shared" ca="1" si="37"/>
        <v/>
      </c>
      <c r="I438" s="25" t="e">
        <f>IF(OR(E438="",E438="!!!",F438="NEW"),"",INDEX(B$2:B437,-1+SUMPRODUCT(MAX(ROW(E$2:E437)*(E438=E$2:E437)))))</f>
        <v>#VALUE!</v>
      </c>
      <c r="J438" s="25">
        <f ca="1">IF(OR(E438="",E438="!!!",F438="NEW"),"",COUNTBLANK(OFFSET(A$1,,,SUMPRODUCT(MAX(ROW(E$2:E438)*(E438=E$2:E438)))))-COUNTBLANK(OFFSET(A$1,,,SUMPRODUCT(MAX(ROW(E$1:E437)*(E2=E$1:E437))))))</f>
        <v>0</v>
      </c>
      <c r="K438" s="25" t="e">
        <f>IF(OR(E438="",E438="!!!",F438="NEW"),"",INDEX(J$1:J437,SUMPRODUCT(MAX(ROW(E$1:E437)*(E438=E$1:E437)))))</f>
        <v>#VALUE!</v>
      </c>
      <c r="L438" s="26"/>
    </row>
    <row r="439" spans="1:12" x14ac:dyDescent="0.3">
      <c r="A439" t="s">
        <v>155</v>
      </c>
      <c r="E439" s="21" t="str">
        <f t="shared" si="36"/>
        <v/>
      </c>
      <c r="F439" s="22" t="str">
        <f>IF(OR(E439="",E439="!!!"),"",IF(NOT(ISNA(VLOOKUP(E439,E$1:E438,1,FALSE()))),"OLD",IF(AND(E439&lt;&gt;"",E439&lt;&gt;"!!!"),"NEW","")))</f>
        <v/>
      </c>
      <c r="G439" s="23" t="str">
        <f>IF(OR(E439="",E439="!!!"),"",IF(OR(J439=0,AND(J439=1,K439=1),AND(J439=1,I439="SBJ"),AND(J439=1,I439=0)),"?IN_FOCUS",IF(J439&lt;=2,"?ACTIVATED",IF(J439&lt;&gt;"","?FAMILIAR",IF(F439="NEW",IF(ISNA(VLOOKUP(E439,#REF!,1,FALSE())),"?TYPE_IDENTIFIABLE","?REFERENTIAL"),"_")))))</f>
        <v/>
      </c>
      <c r="H439" s="24" t="str">
        <f t="shared" ca="1" si="37"/>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335</v>
      </c>
      <c r="B440" s="20" t="s">
        <v>331</v>
      </c>
      <c r="C440" s="20" t="s">
        <v>184</v>
      </c>
      <c r="D440" s="20" t="s">
        <v>112</v>
      </c>
      <c r="E440" s="21" t="str">
        <f t="shared" si="36"/>
        <v>!!!</v>
      </c>
      <c r="F440" s="22" t="str">
        <f>IF(OR(E440="",E440="!!!"),"",IF(NOT(ISNA(VLOOKUP(E440,E$1:E439,1,FALSE()))),"OLD",IF(AND(E440&lt;&gt;"",E440&lt;&gt;"!!!"),"NEW","")))</f>
        <v/>
      </c>
      <c r="G440" s="23" t="str">
        <f>IF(OR(E440="",E440="!!!"),"",IF(OR(J440=0,AND(J440=1,K440=1),AND(J440=1,I440="SBJ"),AND(J440=1,I440=0)),"?IN_FOCUS",IF(J440&lt;=2,"?ACTIVATED",IF(J440&lt;&gt;"","?FAMILIAR",IF(F440="NEW",IF(ISNA(VLOOKUP(E440,#REF!,1,FALSE())),"?TYPE_IDENTIFIABLE","?REFERENTIAL"),"_")))))</f>
        <v/>
      </c>
      <c r="H440" s="24" t="str">
        <f t="shared" ca="1" si="37"/>
        <v/>
      </c>
      <c r="I440" s="25" t="str">
        <f>IF(OR(E440="",E440="!!!",F440="NEW"),"",INDEX(B$2:B439,-1+SUMPRODUCT(MAX(ROW(E$2:E439)*(E440=E$2:E439)))))</f>
        <v/>
      </c>
      <c r="J440" s="25" t="str">
        <f ca="1">IF(OR(E440="",E440="!!!",F440="NEW"),"",COUNTBLANK(OFFSET(A$1,,,SUMPRODUCT(MAX(ROW(E$2:E440)*(E440=E$2:E440)))))-COUNTBLANK(OFFSET(A$1,,,SUMPRODUCT(MAX(ROW(E$1:E439)*(E2=E$1:E439))))))</f>
        <v/>
      </c>
      <c r="K440" s="25" t="str">
        <f>IF(OR(E440="",E440="!!!",F440="NEW"),"",INDEX(J$1:J439,SUMPRODUCT(MAX(ROW(E$1:E439)*(E440=E$1:E439)))))</f>
        <v/>
      </c>
      <c r="L440" s="26" t="s">
        <v>429</v>
      </c>
    </row>
    <row r="441" spans="1:12" x14ac:dyDescent="0.3">
      <c r="A441" t="s">
        <v>197</v>
      </c>
      <c r="B441" s="20" t="s">
        <v>264</v>
      </c>
      <c r="C441" s="20" t="s">
        <v>215</v>
      </c>
      <c r="E441" s="21" t="str">
        <f t="shared" si="36"/>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37"/>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271</v>
      </c>
      <c r="E442" s="21" t="str">
        <f t="shared" si="36"/>
        <v/>
      </c>
      <c r="F442" s="22" t="str">
        <f>IF(OR(E442="",E442="!!!"),"",IF(NOT(ISNA(VLOOKUP(E442,E$1:E441,1,FALSE()))),"OLD",IF(AND(E442&lt;&gt;"",E442&lt;&gt;"!!!"),"NEW","")))</f>
        <v/>
      </c>
      <c r="G442" s="23" t="str">
        <f>IF(OR(E442="",E442="!!!"),"",IF(OR(J442=0,AND(J442=1,K442=1),AND(J442=1,I442="SBJ"),AND(J442=1,I442=0)),"?IN_FOCUS",IF(J442&lt;=2,"?ACTIVATED",IF(J442&lt;&gt;"","?FAMILIAR",IF(F442="NEW",IF(ISNA(VLOOKUP(E442,#REF!,1,FALSE())),"?TYPE_IDENTIFIABLE","?REFERENTIAL"),"_")))))</f>
        <v/>
      </c>
      <c r="H442" s="24" t="str">
        <f t="shared" ca="1" si="37"/>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336</v>
      </c>
      <c r="E443" s="21" t="str">
        <f t="shared" si="36"/>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37"/>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113</v>
      </c>
      <c r="B444" s="20" t="s">
        <v>261</v>
      </c>
      <c r="C444" s="20" t="s">
        <v>141</v>
      </c>
      <c r="E444" s="21" t="str">
        <f t="shared" si="36"/>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37"/>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116</v>
      </c>
      <c r="E445" s="21" t="str">
        <f t="shared" si="36"/>
        <v/>
      </c>
      <c r="F445" s="22" t="str">
        <f>IF(OR(E445="",E445="!!!"),"",IF(NOT(ISNA(VLOOKUP(E445,E$1:E444,1,FALSE()))),"OLD",IF(AND(E445&lt;&gt;"",E445&lt;&gt;"!!!"),"NEW","")))</f>
        <v/>
      </c>
      <c r="G445" s="23" t="str">
        <f>IF(OR(E445="",E445="!!!"),"",IF(OR(J445=0,AND(J445=1,K445=1),AND(J445=1,I445="SBJ"),AND(J445=1,I445=0)),"?IN_FOCUS",IF(J445&lt;=2,"?ACTIVATED",IF(J445&lt;&gt;"","?FAMILIAR",IF(F445="NEW",IF(ISNA(VLOOKUP(E445,#REF!,1,FALSE())),"?TYPE_IDENTIFIABLE","?REFERENTIAL"),"_")))))</f>
        <v/>
      </c>
      <c r="H445" s="24" t="str">
        <f t="shared" ca="1" si="37"/>
        <v/>
      </c>
      <c r="I445" s="25" t="str">
        <f>IF(OR(E445="",E445="!!!",F445="NEW"),"",INDEX(B$2:B444,-1+SUMPRODUCT(MAX(ROW(E$2:E444)*(E445=E$2:E444)))))</f>
        <v/>
      </c>
      <c r="J445" s="25" t="str">
        <f ca="1">IF(OR(E445="",E445="!!!",F445="NEW"),"",COUNTBLANK(OFFSET(A$1,,,SUMPRODUCT(MAX(ROW(E$2:E445)*(E445=E$2:E445)))))-COUNTBLANK(OFFSET(A$1,,,SUMPRODUCT(MAX(ROW(E$1:E444)*(E2=E$1:E444))))))</f>
        <v/>
      </c>
      <c r="K445" s="25" t="str">
        <f>IF(OR(E445="",E445="!!!",F445="NEW"),"",INDEX(J$1:J444,SUMPRODUCT(MAX(ROW(E$1:E444)*(E445=E$1:E444)))))</f>
        <v/>
      </c>
      <c r="L445" s="26"/>
    </row>
    <row r="446" spans="1:12" x14ac:dyDescent="0.3">
      <c r="A446" t="s">
        <v>117</v>
      </c>
      <c r="B446" s="20" t="s">
        <v>290</v>
      </c>
      <c r="C446" s="20" t="s">
        <v>196</v>
      </c>
      <c r="E446" s="21" t="str">
        <f t="shared" si="36"/>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37"/>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197</v>
      </c>
      <c r="E447" s="21" t="str">
        <f t="shared" si="36"/>
        <v/>
      </c>
      <c r="F447" s="22" t="str">
        <f>IF(OR(E447="",E447="!!!"),"",IF(NOT(ISNA(VLOOKUP(E447,E$1:E446,1,FALSE()))),"OLD",IF(AND(E447&lt;&gt;"",E447&lt;&gt;"!!!"),"NEW","")))</f>
        <v/>
      </c>
      <c r="G447" s="23" t="str">
        <f>IF(OR(E447="",E447="!!!"),"",IF(OR(J447=0,AND(J447=1,K447=1),AND(J447=1,I447="SBJ"),AND(J447=1,I447=0)),"?IN_FOCUS",IF(J447&lt;=2,"?ACTIVATED",IF(J447&lt;&gt;"","?FAMILIAR",IF(F447="NEW",IF(ISNA(VLOOKUP(E447,#REF!,1,FALSE())),"?TYPE_IDENTIFIABLE","?REFERENTIAL"),"_")))))</f>
        <v/>
      </c>
      <c r="H447" s="24" t="str">
        <f t="shared" ca="1" si="37"/>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row>
    <row r="448" spans="1:12" x14ac:dyDescent="0.3">
      <c r="A448" t="s">
        <v>337</v>
      </c>
      <c r="E448" s="21" t="s">
        <v>430</v>
      </c>
      <c r="F448" s="22" t="str">
        <f>IF(OR(E448="",E448="!!!"),"",IF(NOT(ISNA(VLOOKUP(E448,E$1:E447,1,FALSE()))),"OLD",IF(AND(E448&lt;&gt;"",E448&lt;&gt;"!!!"),"NEW","")))</f>
        <v>OLD</v>
      </c>
      <c r="G448" s="23" t="s">
        <v>416</v>
      </c>
      <c r="H448" s="24" t="str">
        <f t="shared" ca="1" si="37"/>
        <v/>
      </c>
      <c r="I448" s="25" t="str">
        <f>IF(OR(E448="",E448="!!!",F448="NEW"),"",INDEX(B$2:B447,-1+SUMPRODUCT(MAX(ROW(E$2:E447)*(E448=E$2:E447)))))</f>
        <v>other_4</v>
      </c>
      <c r="J448" s="25">
        <f ca="1">IF(OR(E448="",E448="!!!",F448="NEW"),"",COUNTBLANK(OFFSET(A$1,,,SUMPRODUCT(MAX(ROW(E$2:E448)*(E448=E$2:E448)))))-COUNTBLANK(OFFSET(A$1,,,SUMPRODUCT(MAX(ROW(E$1:E447)*(E2=E$1:E447))))))</f>
        <v>0</v>
      </c>
      <c r="K448" s="25">
        <f ca="1">IF(OR(E448="",E448="!!!",F448="NEW"),"",INDEX(J$1:J447,SUMPRODUCT(MAX(ROW(E$1:E447)*(E448=E$1:E447)))))</f>
        <v>0</v>
      </c>
      <c r="L448" s="26"/>
    </row>
    <row r="449" spans="1:12" x14ac:dyDescent="0.3">
      <c r="A449" t="s">
        <v>338</v>
      </c>
      <c r="E449" s="21" t="str">
        <f t="shared" si="36"/>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37"/>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189</v>
      </c>
      <c r="E450" s="21" t="str">
        <f t="shared" si="36"/>
        <v/>
      </c>
      <c r="F450" s="22" t="str">
        <f>IF(OR(E450="",E450="!!!"),"",IF(NOT(ISNA(VLOOKUP(E450,E$1:E449,1,FALSE()))),"OLD",IF(AND(E450&lt;&gt;"",E450&lt;&gt;"!!!"),"NEW","")))</f>
        <v/>
      </c>
      <c r="G450" s="23" t="str">
        <f>IF(OR(E450="",E450="!!!"),"",IF(OR(J450=0,AND(J450=1,K450=1),AND(J450=1,I450="SBJ"),AND(J450=1,I450=0)),"?IN_FOCUS",IF(J450&lt;=2,"?ACTIVATED",IF(J450&lt;&gt;"","?FAMILIAR",IF(F450="NEW",IF(ISNA(VLOOKUP(E450,#REF!,1,FALSE())),"?TYPE_IDENTIFIABLE","?REFERENTIAL"),"_")))))</f>
        <v/>
      </c>
      <c r="H450" s="24" t="str">
        <f t="shared" ca="1" si="37"/>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row>
    <row r="451" spans="1:12" x14ac:dyDescent="0.3">
      <c r="A451" t="s">
        <v>339</v>
      </c>
      <c r="E451" s="21" t="str">
        <f t="shared" si="36"/>
        <v/>
      </c>
      <c r="F451" s="22" t="str">
        <f>IF(OR(E451="",E451="!!!"),"",IF(NOT(ISNA(VLOOKUP(E451,E$1:E450,1,FALSE()))),"OLD",IF(AND(E451&lt;&gt;"",E451&lt;&gt;"!!!"),"NEW","")))</f>
        <v/>
      </c>
      <c r="G451" s="23" t="str">
        <f>IF(OR(E451="",E451="!!!"),"",IF(OR(J451=0,AND(J451=1,K451=1),AND(J451=1,I451="SBJ"),AND(J451=1,I451=0)),"?IN_FOCUS",IF(J451&lt;=2,"?ACTIVATED",IF(J451&lt;&gt;"","?FAMILIAR",IF(F451="NEW",IF(ISNA(VLOOKUP(E451,#REF!,1,FALSE())),"?TYPE_IDENTIFIABLE","?REFERENTIAL"),"_")))))</f>
        <v/>
      </c>
      <c r="H451" s="24" t="str">
        <f t="shared" ca="1" si="37"/>
        <v/>
      </c>
      <c r="I451" s="25" t="str">
        <f>IF(OR(E451="",E451="!!!",F451="NEW"),"",INDEX(B$2:B450,-1+SUMPRODUCT(MAX(ROW(E$2:E450)*(E451=E$2:E450)))))</f>
        <v/>
      </c>
      <c r="J451" s="25" t="str">
        <f ca="1">IF(OR(E451="",E451="!!!",F451="NEW"),"",COUNTBLANK(OFFSET(A$1,,,SUMPRODUCT(MAX(ROW(E$2:E451)*(E451=E$2:E451)))))-COUNTBLANK(OFFSET(A$1,,,SUMPRODUCT(MAX(ROW(E$1:E450)*(E2=E$1:E450))))))</f>
        <v/>
      </c>
      <c r="K451" s="25" t="str">
        <f>IF(OR(E451="",E451="!!!",F451="NEW"),"",INDEX(J$1:J450,SUMPRODUCT(MAX(ROW(E$1:E450)*(E451=E$1:E450)))))</f>
        <v/>
      </c>
      <c r="L451" s="26"/>
    </row>
    <row r="452" spans="1:12" x14ac:dyDescent="0.3">
      <c r="A452" t="s">
        <v>135</v>
      </c>
      <c r="E452" s="21" t="str">
        <f t="shared" si="36"/>
        <v/>
      </c>
      <c r="F452" s="22" t="str">
        <f>IF(OR(E452="",E452="!!!"),"",IF(NOT(ISNA(VLOOKUP(E452,E$1:E451,1,FALSE()))),"OLD",IF(AND(E452&lt;&gt;"",E452&lt;&gt;"!!!"),"NEW","")))</f>
        <v/>
      </c>
      <c r="G452" s="23" t="str">
        <f>IF(OR(E452="",E452="!!!"),"",IF(OR(J452=0,AND(J452=1,K452=1),AND(J452=1,I452="SBJ"),AND(J452=1,I452=0)),"?IN_FOCUS",IF(J452&lt;=2,"?ACTIVATED",IF(J452&lt;&gt;"","?FAMILIAR",IF(F452="NEW",IF(ISNA(VLOOKUP(E452,#REF!,1,FALSE())),"?TYPE_IDENTIFIABLE","?REFERENTIAL"),"_")))))</f>
        <v/>
      </c>
      <c r="H452" s="24" t="str">
        <f t="shared" ca="1" si="37"/>
        <v/>
      </c>
      <c r="I452" s="25" t="str">
        <f>IF(OR(E452="",E452="!!!",F452="NEW"),"",INDEX(B$2:B451,-1+SUMPRODUCT(MAX(ROW(E$2:E451)*(E452=E$2:E451)))))</f>
        <v/>
      </c>
      <c r="J452" s="25" t="str">
        <f ca="1">IF(OR(E452="",E452="!!!",F452="NEW"),"",COUNTBLANK(OFFSET(A$1,,,SUMPRODUCT(MAX(ROW(E$2:E452)*(E452=E$2:E452)))))-COUNTBLANK(OFFSET(A$1,,,SUMPRODUCT(MAX(ROW(E$1:E451)*(E2=E$1:E451))))))</f>
        <v/>
      </c>
      <c r="K452" s="25" t="str">
        <f>IF(OR(E452="",E452="!!!",F452="NEW"),"",INDEX(J$1:J451,SUMPRODUCT(MAX(ROW(E$1:E451)*(E452=E$1:E451)))))</f>
        <v/>
      </c>
      <c r="L452" s="26"/>
    </row>
    <row r="453" spans="1:12" x14ac:dyDescent="0.3">
      <c r="A453" t="s">
        <v>133</v>
      </c>
      <c r="B453" s="20" t="s">
        <v>110</v>
      </c>
      <c r="C453" s="20" t="s">
        <v>128</v>
      </c>
      <c r="D453" s="20" t="s">
        <v>112</v>
      </c>
      <c r="E453" s="21" t="s">
        <v>374</v>
      </c>
      <c r="F453" s="22" t="str">
        <f>IF(OR(E453="",E453="!!!"),"",IF(NOT(ISNA(VLOOKUP(E453,E$1:E452,1,FALSE()))),"OLD",IF(AND(E453&lt;&gt;"",E453&lt;&gt;"!!!"),"NEW","")))</f>
        <v>OLD</v>
      </c>
      <c r="G453" s="23" t="s">
        <v>369</v>
      </c>
      <c r="H453" s="24" t="str">
        <f t="shared" ca="1" si="37"/>
        <v/>
      </c>
      <c r="I453" s="25" t="str">
        <f>IF(OR(E453="",E453="!!!",F453="NEW"),"",INDEX(B$2:B452,-1+SUMPRODUCT(MAX(ROW(E$2:E452)*(E453=E$2:E452)))))</f>
        <v>SBJ</v>
      </c>
      <c r="J453" s="25">
        <f ca="1">IF(OR(E453="",E453="!!!",F453="NEW"),"",COUNTBLANK(OFFSET(A$1,,,SUMPRODUCT(MAX(ROW(E$2:E453)*(E453=E$2:E453)))))-COUNTBLANK(OFFSET(A$1,,,SUMPRODUCT(MAX(ROW(E$1:E452)*(E2=E$1:E452))))))</f>
        <v>0</v>
      </c>
      <c r="K453" s="25">
        <f ca="1">IF(OR(E453="",E453="!!!",F453="NEW"),"",INDEX(J$1:J452,SUMPRODUCT(MAX(ROW(E$1:E452)*(E453=E$1:E452)))))</f>
        <v>0</v>
      </c>
      <c r="L453" s="26"/>
    </row>
    <row r="454" spans="1:12" x14ac:dyDescent="0.3">
      <c r="A454" t="s">
        <v>143</v>
      </c>
      <c r="E454" s="21" t="str">
        <f t="shared" si="36"/>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37"/>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6" spans="1:12" x14ac:dyDescent="0.3">
      <c r="A456" t="s">
        <v>340</v>
      </c>
    </row>
    <row r="457" spans="1:12" x14ac:dyDescent="0.3">
      <c r="A457" t="s">
        <v>250</v>
      </c>
      <c r="B457" s="20" t="s">
        <v>110</v>
      </c>
      <c r="C457" s="20" t="s">
        <v>201</v>
      </c>
      <c r="D457" s="20" t="s">
        <v>112</v>
      </c>
      <c r="E457" s="21"/>
      <c r="F457" s="22" t="s">
        <v>407</v>
      </c>
      <c r="G457" s="23" t="str">
        <f>IF(OR(E457="",E457="!!!"),"",IF(OR(J457=0,AND(J457=1,K457=1),AND(J457=1,I457="SBJ"),AND(J457=1,I457=0)),"?IN_FOCUS",IF(J457&lt;=2,"?ACTIVATED",IF(J457&lt;&gt;"","?FAMILIAR",IF(F457="NEW",IF(ISNA(VLOOKUP(E457,#REF!,1,FALSE())),"?TYPE_IDENTIFIABLE","?REFERENTIAL"),"_")))))</f>
        <v/>
      </c>
      <c r="H457" s="24" t="str">
        <f t="shared" ref="H457:H486" ca="1" si="38">IF(J457&lt;&gt;1,"",IF(I457="SBJ","CB","?"))</f>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341</v>
      </c>
      <c r="E458" s="21" t="str">
        <f t="shared" ref="E458:E486" si="39">IF(D458="?OLD","!!!","")</f>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38"/>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59" spans="1:12" x14ac:dyDescent="0.3">
      <c r="A459" t="s">
        <v>171</v>
      </c>
      <c r="E459" s="21" t="str">
        <f t="shared" si="39"/>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t="shared" ca="1" si="38"/>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342</v>
      </c>
      <c r="E460" s="21" t="str">
        <f t="shared" si="39"/>
        <v/>
      </c>
      <c r="F460" s="22" t="str">
        <f>IF(OR(E460="",E460="!!!"),"",IF(NOT(ISNA(VLOOKUP(E460,E$1:E459,1,FALSE()))),"OLD",IF(AND(E460&lt;&gt;"",E460&lt;&gt;"!!!"),"NEW","")))</f>
        <v/>
      </c>
      <c r="G460" s="23" t="str">
        <f>IF(OR(E460="",E460="!!!"),"",IF(OR(J460=0,AND(J460=1,K460=1),AND(J460=1,I460="SBJ"),AND(J460=1,I460=0)),"?IN_FOCUS",IF(J460&lt;=2,"?ACTIVATED",IF(J460&lt;&gt;"","?FAMILIAR",IF(F460="NEW",IF(ISNA(VLOOKUP(E460,#REF!,1,FALSE())),"?TYPE_IDENTIFIABLE","?REFERENTIAL"),"_")))))</f>
        <v/>
      </c>
      <c r="H460" s="24" t="str">
        <f t="shared" ca="1" si="38"/>
        <v/>
      </c>
      <c r="I460" s="25" t="str">
        <f>IF(OR(E460="",E460="!!!",F460="NEW"),"",INDEX(B$2:B459,-1+SUMPRODUCT(MAX(ROW(E$2:E459)*(E460=E$2:E459)))))</f>
        <v/>
      </c>
      <c r="J460" s="25" t="str">
        <f ca="1">IF(OR(E460="",E460="!!!",F460="NEW"),"",COUNTBLANK(OFFSET(A$1,,,SUMPRODUCT(MAX(ROW(E$2:E460)*(E460=E$2:E460)))))-COUNTBLANK(OFFSET(A$1,,,SUMPRODUCT(MAX(ROW(E$1:E459)*(E2=E$1:E459))))))</f>
        <v/>
      </c>
      <c r="K460" s="25" t="str">
        <f>IF(OR(E460="",E460="!!!",F460="NEW"),"",INDEX(J$1:J459,SUMPRODUCT(MAX(ROW(E$1:E459)*(E460=E$1:E459)))))</f>
        <v/>
      </c>
      <c r="L460" s="26"/>
    </row>
    <row r="461" spans="1:12" x14ac:dyDescent="0.3">
      <c r="A461" t="s">
        <v>173</v>
      </c>
      <c r="B461" s="20" t="s">
        <v>134</v>
      </c>
      <c r="C461" s="20" t="s">
        <v>174</v>
      </c>
      <c r="E461" s="21" t="str">
        <f t="shared" si="39"/>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ca="1" si="38"/>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343</v>
      </c>
      <c r="E462" s="21" t="str">
        <f t="shared" si="39"/>
        <v/>
      </c>
      <c r="F462" s="22" t="str">
        <f>IF(OR(E462="",E462="!!!"),"",IF(NOT(ISNA(VLOOKUP(E462,E$1:E461,1,FALSE()))),"OLD",IF(AND(E462&lt;&gt;"",E462&lt;&gt;"!!!"),"NEW","")))</f>
        <v/>
      </c>
      <c r="G462" s="23" t="str">
        <f>IF(OR(E462="",E462="!!!"),"",IF(OR(J462=0,AND(J462=1,K462=1),AND(J462=1,I462="SBJ"),AND(J462=1,I462=0)),"?IN_FOCUS",IF(J462&lt;=2,"?ACTIVATED",IF(J462&lt;&gt;"","?FAMILIAR",IF(F462="NEW",IF(ISNA(VLOOKUP(E462,#REF!,1,FALSE())),"?TYPE_IDENTIFIABLE","?REFERENTIAL"),"_")))))</f>
        <v/>
      </c>
      <c r="H462" s="24" t="str">
        <f t="shared" ca="1" si="38"/>
        <v/>
      </c>
      <c r="I462" s="25" t="str">
        <f>IF(OR(E462="",E462="!!!",F462="NEW"),"",INDEX(B$2:B461,-1+SUMPRODUCT(MAX(ROW(E$2:E461)*(E462=E$2:E461)))))</f>
        <v/>
      </c>
      <c r="J462" s="25" t="str">
        <f ca="1">IF(OR(E462="",E462="!!!",F462="NEW"),"",COUNTBLANK(OFFSET(A$1,,,SUMPRODUCT(MAX(ROW(E$2:E462)*(E462=E$2:E462)))))-COUNTBLANK(OFFSET(A$1,,,SUMPRODUCT(MAX(ROW(E$1:E461)*(E2=E$1:E461))))))</f>
        <v/>
      </c>
      <c r="K462" s="25" t="str">
        <f>IF(OR(E462="",E462="!!!",F462="NEW"),"",INDEX(J$1:J461,SUMPRODUCT(MAX(ROW(E$1:E461)*(E462=E$1:E461)))))</f>
        <v/>
      </c>
      <c r="L462" s="26"/>
    </row>
    <row r="463" spans="1:12" x14ac:dyDescent="0.3">
      <c r="A463" t="s">
        <v>344</v>
      </c>
      <c r="E463" s="21" t="str">
        <f t="shared" si="39"/>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38"/>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345</v>
      </c>
      <c r="E464" s="21" t="str">
        <f t="shared" si="39"/>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38"/>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155</v>
      </c>
      <c r="E465" s="21" t="str">
        <f t="shared" si="39"/>
        <v/>
      </c>
      <c r="F465" s="22" t="str">
        <f>IF(OR(E465="",E465="!!!"),"",IF(NOT(ISNA(VLOOKUP(E465,E$1:E464,1,FALSE()))),"OLD",IF(AND(E465&lt;&gt;"",E465&lt;&gt;"!!!"),"NEW","")))</f>
        <v/>
      </c>
      <c r="G465" s="23" t="str">
        <f>IF(OR(E465="",E465="!!!"),"",IF(OR(J465=0,AND(J465=1,K465=1),AND(J465=1,I465="SBJ"),AND(J465=1,I465=0)),"?IN_FOCUS",IF(J465&lt;=2,"?ACTIVATED",IF(J465&lt;&gt;"","?FAMILIAR",IF(F465="NEW",IF(ISNA(VLOOKUP(E465,#REF!,1,FALSE())),"?TYPE_IDENTIFIABLE","?REFERENTIAL"),"_")))))</f>
        <v/>
      </c>
      <c r="H465" s="24" t="str">
        <f t="shared" ca="1" si="38"/>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346</v>
      </c>
      <c r="E466" s="21" t="str">
        <f t="shared" si="39"/>
        <v/>
      </c>
      <c r="F466" s="22" t="str">
        <f>IF(OR(E466="",E466="!!!"),"",IF(NOT(ISNA(VLOOKUP(E466,E$1:E465,1,FALSE()))),"OLD",IF(AND(E466&lt;&gt;"",E466&lt;&gt;"!!!"),"NEW","")))</f>
        <v/>
      </c>
      <c r="G466" s="23" t="str">
        <f>IF(OR(E466="",E466="!!!"),"",IF(OR(J466=0,AND(J466=1,K466=1),AND(J466=1,I466="SBJ"),AND(J466=1,I466=0)),"?IN_FOCUS",IF(J466&lt;=2,"?ACTIVATED",IF(J466&lt;&gt;"","?FAMILIAR",IF(F466="NEW",IF(ISNA(VLOOKUP(E466,#REF!,1,FALSE())),"?TYPE_IDENTIFIABLE","?REFERENTIAL"),"_")))))</f>
        <v/>
      </c>
      <c r="H466" s="24" t="str">
        <f t="shared" ca="1" si="38"/>
        <v/>
      </c>
      <c r="I466" s="25" t="str">
        <f>IF(OR(E466="",E466="!!!",F466="NEW"),"",INDEX(B$2:B465,-1+SUMPRODUCT(MAX(ROW(E$2:E465)*(E466=E$2:E465)))))</f>
        <v/>
      </c>
      <c r="J466" s="25" t="str">
        <f ca="1">IF(OR(E466="",E466="!!!",F466="NEW"),"",COUNTBLANK(OFFSET(A$1,,,SUMPRODUCT(MAX(ROW(E$2:E466)*(E466=E$2:E466)))))-COUNTBLANK(OFFSET(A$1,,,SUMPRODUCT(MAX(ROW(E$1:E465)*(E2=E$1:E465))))))</f>
        <v/>
      </c>
      <c r="K466" s="25" t="str">
        <f>IF(OR(E466="",E466="!!!",F466="NEW"),"",INDEX(J$1:J465,SUMPRODUCT(MAX(ROW(E$1:E465)*(E466=E$1:E465)))))</f>
        <v/>
      </c>
      <c r="L466" s="26"/>
    </row>
    <row r="467" spans="1:12" x14ac:dyDescent="0.3">
      <c r="A467" t="s">
        <v>288</v>
      </c>
      <c r="B467" s="20" t="s">
        <v>152</v>
      </c>
      <c r="C467" s="20" t="s">
        <v>170</v>
      </c>
      <c r="D467" s="20" t="s">
        <v>112</v>
      </c>
      <c r="E467" s="21" t="s">
        <v>370</v>
      </c>
      <c r="F467" s="22" t="str">
        <f>IF(OR(E467="",E467="!!!"),"",IF(NOT(ISNA(VLOOKUP(E467,E$1:E466,1,FALSE()))),"OLD",IF(AND(E467&lt;&gt;"",E467&lt;&gt;"!!!"),"NEW","")))</f>
        <v>OLD</v>
      </c>
      <c r="G467" s="23" t="s">
        <v>414</v>
      </c>
      <c r="H467" s="24" t="s">
        <v>104</v>
      </c>
      <c r="I467" s="25" t="str">
        <f>IF(OR(E467="",E467="!!!",F467="NEW"),"",INDEX(B$2:B466,-1+SUMPRODUCT(MAX(ROW(E$2:E466)*(E467=E$2:E466)))))</f>
        <v>OBJ_3</v>
      </c>
      <c r="J467" s="25">
        <f ca="1">IF(OR(E467="",E467="!!!",F467="NEW"),"",COUNTBLANK(OFFSET(A$1,,,SUMPRODUCT(MAX(ROW(E$2:E467)*(E467=E$2:E467)))))-COUNTBLANK(OFFSET(A$1,,,SUMPRODUCT(MAX(ROW(E$1:E466)*(E2=E$1:E466))))))</f>
        <v>0</v>
      </c>
      <c r="K467" s="25">
        <f ca="1">IF(OR(E467="",E467="!!!",F467="NEW"),"",INDEX(J$1:J466,SUMPRODUCT(MAX(ROW(E$1:E466)*(E467=E$1:E466)))))</f>
        <v>0</v>
      </c>
      <c r="L467" s="26"/>
    </row>
    <row r="468" spans="1:12" x14ac:dyDescent="0.3">
      <c r="A468" t="s">
        <v>347</v>
      </c>
      <c r="E468" s="21" t="str">
        <f t="shared" si="39"/>
        <v/>
      </c>
      <c r="F468" s="22" t="str">
        <f>IF(OR(E468="",E468="!!!"),"",IF(NOT(ISNA(VLOOKUP(E468,E$1:E467,1,FALSE()))),"OLD",IF(AND(E468&lt;&gt;"",E468&lt;&gt;"!!!"),"NEW","")))</f>
        <v/>
      </c>
      <c r="G468" s="23" t="str">
        <f>IF(OR(E468="",E468="!!!"),"",IF(OR(J468=0,AND(J468=1,K468=1),AND(J468=1,I468="SBJ"),AND(J468=1,I468=0)),"?IN_FOCUS",IF(J468&lt;=2,"?ACTIVATED",IF(J468&lt;&gt;"","?FAMILIAR",IF(F468="NEW",IF(ISNA(VLOOKUP(E468,#REF!,1,FALSE())),"?TYPE_IDENTIFIABLE","?REFERENTIAL"),"_")))))</f>
        <v/>
      </c>
      <c r="H468" s="24" t="str">
        <f t="shared" ca="1" si="38"/>
        <v/>
      </c>
      <c r="I468" s="25" t="str">
        <f>IF(OR(E468="",E468="!!!",F468="NEW"),"",INDEX(B$2:B467,-1+SUMPRODUCT(MAX(ROW(E$2:E467)*(E468=E$2:E467)))))</f>
        <v/>
      </c>
      <c r="J468" s="25" t="str">
        <f ca="1">IF(OR(E468="",E468="!!!",F468="NEW"),"",COUNTBLANK(OFFSET(A$1,,,SUMPRODUCT(MAX(ROW(E$2:E468)*(E468=E$2:E468)))))-COUNTBLANK(OFFSET(A$1,,,SUMPRODUCT(MAX(ROW(E$1:E467)*(E2=E$1:E467))))))</f>
        <v/>
      </c>
      <c r="K468" s="25" t="str">
        <f>IF(OR(E468="",E468="!!!",F468="NEW"),"",INDEX(J$1:J467,SUMPRODUCT(MAX(ROW(E$1:E467)*(E468=E$1:E467)))))</f>
        <v/>
      </c>
      <c r="L468" s="26"/>
    </row>
    <row r="469" spans="1:12" x14ac:dyDescent="0.3">
      <c r="A469" t="s">
        <v>348</v>
      </c>
      <c r="E469" s="21" t="str">
        <f t="shared" si="39"/>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38"/>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155</v>
      </c>
      <c r="E470" s="21" t="str">
        <f t="shared" si="39"/>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38"/>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156</v>
      </c>
      <c r="E471" s="21" t="str">
        <f t="shared" si="39"/>
        <v/>
      </c>
      <c r="F471" s="22" t="str">
        <f>IF(OR(E471="",E471="!!!"),"",IF(NOT(ISNA(VLOOKUP(E471,E$1:E470,1,FALSE()))),"OLD",IF(AND(E471&lt;&gt;"",E471&lt;&gt;"!!!"),"NEW","")))</f>
        <v/>
      </c>
      <c r="G471" s="23" t="str">
        <f>IF(OR(E471="",E471="!!!"),"",IF(OR(J471=0,AND(J471=1,K471=1),AND(J471=1,I471="SBJ"),AND(J471=1,I471=0)),"?IN_FOCUS",IF(J471&lt;=2,"?ACTIVATED",IF(J471&lt;&gt;"","?FAMILIAR",IF(F471="NEW",IF(ISNA(VLOOKUP(E471,#REF!,1,FALSE())),"?TYPE_IDENTIFIABLE","?REFERENTIAL"),"_")))))</f>
        <v/>
      </c>
      <c r="H471" s="24" t="str">
        <f t="shared" ca="1" si="38"/>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288</v>
      </c>
      <c r="B472" s="20" t="s">
        <v>289</v>
      </c>
      <c r="C472" s="20" t="s">
        <v>170</v>
      </c>
      <c r="D472" s="20" t="s">
        <v>112</v>
      </c>
      <c r="E472" s="21" t="s">
        <v>370</v>
      </c>
      <c r="F472" s="22" t="str">
        <f>IF(OR(E472="",E472="!!!"),"",IF(NOT(ISNA(VLOOKUP(E472,E$1:E471,1,FALSE()))),"OLD",IF(AND(E472&lt;&gt;"",E472&lt;&gt;"!!!"),"NEW","")))</f>
        <v>OLD</v>
      </c>
      <c r="G472" s="23" t="s">
        <v>414</v>
      </c>
      <c r="H472" s="24" t="str">
        <f t="shared" ca="1" si="38"/>
        <v/>
      </c>
      <c r="I472" s="25" t="str">
        <f>IF(OR(E472="",E472="!!!",F472="NEW"),"",INDEX(B$2:B471,-1+SUMPRODUCT(MAX(ROW(E$2:E471)*(E472=E$2:E471)))))</f>
        <v>SBJ_2</v>
      </c>
      <c r="J472" s="25">
        <f ca="1">IF(OR(E472="",E472="!!!",F472="NEW"),"",COUNTBLANK(OFFSET(A$1,,,SUMPRODUCT(MAX(ROW(E$2:E472)*(E472=E$2:E472)))))-COUNTBLANK(OFFSET(A$1,,,SUMPRODUCT(MAX(ROW(E$1:E471)*(E2=E$1:E471))))))</f>
        <v>0</v>
      </c>
      <c r="K472" s="25">
        <f ca="1">IF(OR(E472="",E472="!!!",F472="NEW"),"",INDEX(J$1:J471,SUMPRODUCT(MAX(ROW(E$1:E471)*(E472=E$1:E471)))))</f>
        <v>0</v>
      </c>
      <c r="L472" s="26"/>
    </row>
    <row r="473" spans="1:12" x14ac:dyDescent="0.3">
      <c r="A473" t="s">
        <v>116</v>
      </c>
      <c r="E473" s="21" t="str">
        <f t="shared" si="39"/>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38"/>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284</v>
      </c>
      <c r="B474" s="20" t="s">
        <v>290</v>
      </c>
      <c r="C474" s="20" t="s">
        <v>280</v>
      </c>
      <c r="D474" s="20" t="s">
        <v>112</v>
      </c>
      <c r="E474" s="21" t="s">
        <v>370</v>
      </c>
      <c r="F474" s="22" t="str">
        <f>IF(OR(E474="",E474="!!!"),"",IF(NOT(ISNA(VLOOKUP(E474,E$1:E473,1,FALSE()))),"OLD",IF(AND(E474&lt;&gt;"",E474&lt;&gt;"!!!"),"NEW","")))</f>
        <v>OLD</v>
      </c>
      <c r="G474" s="23" t="s">
        <v>414</v>
      </c>
      <c r="H474" s="24" t="str">
        <f t="shared" ca="1" si="38"/>
        <v/>
      </c>
      <c r="I474" s="25" t="str">
        <f>IF(OR(E474="",E474="!!!",F474="NEW"),"",INDEX(B$2:B473,-1+SUMPRODUCT(MAX(ROW(E$2:E473)*(E474=E$2:E473)))))</f>
        <v>SBJ_3</v>
      </c>
      <c r="J474" s="25">
        <f ca="1">IF(OR(E474="",E474="!!!",F474="NEW"),"",COUNTBLANK(OFFSET(A$1,,,SUMPRODUCT(MAX(ROW(E$2:E474)*(E474=E$2:E474)))))-COUNTBLANK(OFFSET(A$1,,,SUMPRODUCT(MAX(ROW(E$1:E473)*(E2=E$1:E473))))))</f>
        <v>0</v>
      </c>
      <c r="K474" s="25">
        <f ca="1">IF(OR(E474="",E474="!!!",F474="NEW"),"",INDEX(J$1:J473,SUMPRODUCT(MAX(ROW(E$1:E473)*(E474=E$1:E473)))))</f>
        <v>0</v>
      </c>
      <c r="L474" s="26"/>
    </row>
    <row r="475" spans="1:12" x14ac:dyDescent="0.3">
      <c r="A475" t="s">
        <v>117</v>
      </c>
      <c r="B475" s="20" t="s">
        <v>122</v>
      </c>
      <c r="C475" s="20" t="s">
        <v>196</v>
      </c>
      <c r="E475" s="21" t="s">
        <v>389</v>
      </c>
      <c r="F475" s="22" t="str">
        <f>IF(OR(E475="",E475="!!!"),"",IF(NOT(ISNA(VLOOKUP(E475,E$1:E474,1,FALSE()))),"OLD",IF(AND(E475&lt;&gt;"",E475&lt;&gt;"!!!"),"NEW","")))</f>
        <v>OLD</v>
      </c>
      <c r="G475" s="23" t="s">
        <v>369</v>
      </c>
      <c r="H475" s="24" t="str">
        <f t="shared" ca="1" si="38"/>
        <v/>
      </c>
      <c r="I475" s="25" t="str">
        <f>IF(OR(E475="",E475="!!!",F475="NEW"),"",INDEX(B$2:B474,-1+SUMPRODUCT(MAX(ROW(E$2:E474)*(E475=E$2:E474)))))</f>
        <v>other_2</v>
      </c>
      <c r="J475" s="25">
        <f ca="1">IF(OR(E475="",E475="!!!",F475="NEW"),"",COUNTBLANK(OFFSET(A$1,,,SUMPRODUCT(MAX(ROW(E$2:E475)*(E475=E$2:E475)))))-COUNTBLANK(OFFSET(A$1,,,SUMPRODUCT(MAX(ROW(E$1:E474)*(E2=E$1:E474))))))</f>
        <v>0</v>
      </c>
      <c r="K475" s="25">
        <f ca="1">IF(OR(E475="",E475="!!!",F475="NEW"),"",INDEX(J$1:J474,SUMPRODUCT(MAX(ROW(E$1:E474)*(E475=E$1:E474)))))</f>
        <v>0</v>
      </c>
      <c r="L475" s="26"/>
    </row>
    <row r="476" spans="1:12" x14ac:dyDescent="0.3">
      <c r="A476" t="s">
        <v>138</v>
      </c>
      <c r="E476" s="21" t="str">
        <f t="shared" si="39"/>
        <v/>
      </c>
      <c r="F476" s="22" t="str">
        <f>IF(OR(E476="",E476="!!!"),"",IF(NOT(ISNA(VLOOKUP(E476,E$1:E475,1,FALSE()))),"OLD",IF(AND(E476&lt;&gt;"",E476&lt;&gt;"!!!"),"NEW","")))</f>
        <v/>
      </c>
      <c r="G476" s="23" t="str">
        <f>IF(OR(E476="",E476="!!!"),"",IF(OR(J476=0,AND(J476=1,K476=1),AND(J476=1,I476="SBJ"),AND(J476=1,I476=0)),"?IN_FOCUS",IF(J476&lt;=2,"?ACTIVATED",IF(J476&lt;&gt;"","?FAMILIAR",IF(F476="NEW",IF(ISNA(VLOOKUP(E476,#REF!,1,FALSE())),"?TYPE_IDENTIFIABLE","?REFERENTIAL"),"_")))))</f>
        <v/>
      </c>
      <c r="H476" s="24" t="str">
        <f t="shared" ca="1" si="38"/>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349</v>
      </c>
      <c r="E477" s="21" t="str">
        <f t="shared" si="39"/>
        <v/>
      </c>
      <c r="F477" s="22" t="str">
        <f>IF(OR(E477="",E477="!!!"),"",IF(NOT(ISNA(VLOOKUP(E477,E$1:E476,1,FALSE()))),"OLD",IF(AND(E477&lt;&gt;"",E477&lt;&gt;"!!!"),"NEW","")))</f>
        <v/>
      </c>
      <c r="G477" s="23" t="str">
        <f>IF(OR(E477="",E477="!!!"),"",IF(OR(J477=0,AND(J477=1,K477=1),AND(J477=1,I477="SBJ"),AND(J477=1,I477=0)),"?IN_FOCUS",IF(J477&lt;=2,"?ACTIVATED",IF(J477&lt;&gt;"","?FAMILIAR",IF(F477="NEW",IF(ISNA(VLOOKUP(E477,#REF!,1,FALSE())),"?TYPE_IDENTIFIABLE","?REFERENTIAL"),"_")))))</f>
        <v/>
      </c>
      <c r="H477" s="24" t="str">
        <f t="shared" ca="1" si="38"/>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113</v>
      </c>
      <c r="B478" s="20" t="s">
        <v>289</v>
      </c>
      <c r="C478" s="20" t="s">
        <v>141</v>
      </c>
      <c r="E478" s="21" t="str">
        <f t="shared" si="39"/>
        <v/>
      </c>
      <c r="F478" s="22" t="str">
        <f>IF(OR(E478="",E478="!!!"),"",IF(NOT(ISNA(VLOOKUP(E478,E$1:E477,1,FALSE()))),"OLD",IF(AND(E478&lt;&gt;"",E478&lt;&gt;"!!!"),"NEW","")))</f>
        <v/>
      </c>
      <c r="G478" s="23" t="str">
        <f>IF(OR(E478="",E478="!!!"),"",IF(OR(J478=0,AND(J478=1,K478=1),AND(J478=1,I478="SBJ"),AND(J478=1,I478=0)),"?IN_FOCUS",IF(J478&lt;=2,"?ACTIVATED",IF(J478&lt;&gt;"","?FAMILIAR",IF(F478="NEW",IF(ISNA(VLOOKUP(E478,#REF!,1,FALSE())),"?TYPE_IDENTIFIABLE","?REFERENTIAL"),"_")))))</f>
        <v/>
      </c>
      <c r="H478" s="24" t="str">
        <f t="shared" ca="1" si="38"/>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146</v>
      </c>
      <c r="E479" s="21" t="str">
        <f t="shared" si="39"/>
        <v/>
      </c>
      <c r="F479" s="22" t="str">
        <f>IF(OR(E479="",E479="!!!"),"",IF(NOT(ISNA(VLOOKUP(E479,E$1:E478,1,FALSE()))),"OLD",IF(AND(E479&lt;&gt;"",E479&lt;&gt;"!!!"),"NEW","")))</f>
        <v/>
      </c>
      <c r="G479" s="23" t="str">
        <f>IF(OR(E479="",E479="!!!"),"",IF(OR(J479=0,AND(J479=1,K479=1),AND(J479=1,I479="SBJ"),AND(J479=1,I479=0)),"?IN_FOCUS",IF(J479&lt;=2,"?ACTIVATED",IF(J479&lt;&gt;"","?FAMILIAR",IF(F479="NEW",IF(ISNA(VLOOKUP(E479,#REF!,1,FALSE())),"?TYPE_IDENTIFIABLE","?REFERENTIAL"),"_")))))</f>
        <v/>
      </c>
      <c r="H479" s="24" t="str">
        <f t="shared" ca="1" si="38"/>
        <v/>
      </c>
      <c r="I479" s="25" t="str">
        <f>IF(OR(E479="",E479="!!!",F479="NEW"),"",INDEX(B$2:B478,-1+SUMPRODUCT(MAX(ROW(E$2:E478)*(E479=E$2:E478)))))</f>
        <v/>
      </c>
      <c r="J479" s="25" t="str">
        <f ca="1">IF(OR(E479="",E479="!!!",F479="NEW"),"",COUNTBLANK(OFFSET(A$1,,,SUMPRODUCT(MAX(ROW(E$2:E479)*(E479=E$2:E479)))))-COUNTBLANK(OFFSET(A$1,,,SUMPRODUCT(MAX(ROW(E$1:E478)*(E2=E$1:E478))))))</f>
        <v/>
      </c>
      <c r="K479" s="25" t="str">
        <f>IF(OR(E479="",E479="!!!",F479="NEW"),"",INDEX(J$1:J478,SUMPRODUCT(MAX(ROW(E$1:E478)*(E479=E$1:E478)))))</f>
        <v/>
      </c>
      <c r="L479" s="26"/>
    </row>
    <row r="480" spans="1:12" x14ac:dyDescent="0.3">
      <c r="A480" t="s">
        <v>68</v>
      </c>
      <c r="E480" s="21" t="str">
        <f t="shared" si="39"/>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38"/>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177</v>
      </c>
      <c r="E481" s="21" t="str">
        <f t="shared" si="39"/>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38"/>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350</v>
      </c>
      <c r="B482" s="20" t="s">
        <v>261</v>
      </c>
      <c r="C482" s="20" t="s">
        <v>184</v>
      </c>
      <c r="D482" s="20" t="s">
        <v>112</v>
      </c>
      <c r="E482" s="21"/>
      <c r="F482" s="22" t="str">
        <f>IF(OR(E482="",E482="!!!"),"",IF(NOT(ISNA(VLOOKUP(E482,E$1:E481,1,FALSE()))),"OLD",IF(AND(E482&lt;&gt;"",E482&lt;&gt;"!!!"),"NEW","")))</f>
        <v/>
      </c>
      <c r="G482" s="23" t="str">
        <f>IF(OR(E482="",E482="!!!"),"",IF(OR(J482=0,AND(J482=1,K482=1),AND(J482=1,I482="SBJ"),AND(J482=1,I482=0)),"?IN_FOCUS",IF(J482&lt;=2,"?ACTIVATED",IF(J482&lt;&gt;"","?FAMILIAR",IF(F482="NEW",IF(ISNA(VLOOKUP(E482,#REF!,1,FALSE())),"?TYPE_IDENTIFIABLE","?REFERENTIAL"),"_")))))</f>
        <v/>
      </c>
      <c r="H482" s="24" t="str">
        <f t="shared" ca="1" si="38"/>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t="s">
        <v>377</v>
      </c>
    </row>
    <row r="483" spans="1:12" x14ac:dyDescent="0.3">
      <c r="A483" t="s">
        <v>224</v>
      </c>
      <c r="B483" s="20" t="s">
        <v>351</v>
      </c>
      <c r="C483" s="20" t="s">
        <v>186</v>
      </c>
      <c r="D483" s="20" t="s">
        <v>112</v>
      </c>
      <c r="E483" s="21" t="s">
        <v>417</v>
      </c>
      <c r="F483" s="22" t="str">
        <f>IF(OR(E483="",E483="!!!"),"",IF(NOT(ISNA(VLOOKUP(E483,E$1:E482,1,FALSE()))),"OLD",IF(AND(E483&lt;&gt;"",E483&lt;&gt;"!!!"),"NEW","")))</f>
        <v>OLD</v>
      </c>
      <c r="G483" s="23" t="s">
        <v>415</v>
      </c>
      <c r="H483" s="24" t="str">
        <f t="shared" ca="1" si="38"/>
        <v/>
      </c>
      <c r="I483" s="25" t="str">
        <f>IF(OR(E483="",E483="!!!",F483="NEW"),"",INDEX(B$2:B482,-1+SUMPRODUCT(MAX(ROW(E$2:E482)*(E483=E$2:E482)))))</f>
        <v>other_4</v>
      </c>
      <c r="J483" s="25">
        <f ca="1">IF(OR(E483="",E483="!!!",F483="NEW"),"",COUNTBLANK(OFFSET(A$1,,,SUMPRODUCT(MAX(ROW(E$2:E483)*(E483=E$2:E483)))))-COUNTBLANK(OFFSET(A$1,,,SUMPRODUCT(MAX(ROW(E$1:E482)*(E2=E$1:E482))))))</f>
        <v>0</v>
      </c>
      <c r="K483" s="25">
        <f ca="1">IF(OR(E483="",E483="!!!",F483="NEW"),"",INDEX(J$1:J482,SUMPRODUCT(MAX(ROW(E$1:E482)*(E483=E$1:E482)))))</f>
        <v>0</v>
      </c>
      <c r="L483" s="26" t="s">
        <v>409</v>
      </c>
    </row>
    <row r="484" spans="1:12" x14ac:dyDescent="0.3">
      <c r="A484" t="s">
        <v>352</v>
      </c>
      <c r="E484" s="21" t="str">
        <f t="shared" si="39"/>
        <v/>
      </c>
      <c r="F484" s="22" t="str">
        <f>IF(OR(E484="",E484="!!!"),"",IF(NOT(ISNA(VLOOKUP(E484,E$1:E483,1,FALSE()))),"OLD",IF(AND(E484&lt;&gt;"",E484&lt;&gt;"!!!"),"NEW","")))</f>
        <v/>
      </c>
      <c r="G484" s="23" t="str">
        <f>IF(OR(E484="",E484="!!!"),"",IF(OR(J484=0,AND(J484=1,K484=1),AND(J484=1,I484="SBJ"),AND(J484=1,I484=0)),"?IN_FOCUS",IF(J484&lt;=2,"?ACTIVATED",IF(J484&lt;&gt;"","?FAMILIAR",IF(F484="NEW",IF(ISNA(VLOOKUP(E484,#REF!,1,FALSE())),"?TYPE_IDENTIFIABLE","?REFERENTIAL"),"_")))))</f>
        <v/>
      </c>
      <c r="H484" s="24" t="str">
        <f t="shared" ca="1" si="38"/>
        <v/>
      </c>
      <c r="I484" s="25" t="str">
        <f>IF(OR(E484="",E484="!!!",F484="NEW"),"",INDEX(B$2:B483,-1+SUMPRODUCT(MAX(ROW(E$2:E483)*(E484=E$2:E483)))))</f>
        <v/>
      </c>
      <c r="J484" s="25" t="str">
        <f ca="1">IF(OR(E484="",E484="!!!",F484="NEW"),"",COUNTBLANK(OFFSET(A$1,,,SUMPRODUCT(MAX(ROW(E$2:E484)*(E484=E$2:E484)))))-COUNTBLANK(OFFSET(A$1,,,SUMPRODUCT(MAX(ROW(E$1:E483)*(E2=E$1:E483))))))</f>
        <v/>
      </c>
      <c r="K484" s="25" t="str">
        <f>IF(OR(E484="",E484="!!!",F484="NEW"),"",INDEX(J$1:J483,SUMPRODUCT(MAX(ROW(E$1:E483)*(E484=E$1:E483)))))</f>
        <v/>
      </c>
      <c r="L484" s="26"/>
    </row>
    <row r="485" spans="1:12" x14ac:dyDescent="0.3">
      <c r="A485" t="s">
        <v>348</v>
      </c>
      <c r="E485" s="21" t="str">
        <f t="shared" si="39"/>
        <v/>
      </c>
      <c r="F485" s="22" t="str">
        <f>IF(OR(E485="",E485="!!!"),"",IF(NOT(ISNA(VLOOKUP(E485,E$1:E484,1,FALSE()))),"OLD",IF(AND(E485&lt;&gt;"",E485&lt;&gt;"!!!"),"NEW","")))</f>
        <v/>
      </c>
      <c r="G485" s="23" t="str">
        <f>IF(OR(E485="",E485="!!!"),"",IF(OR(J485=0,AND(J485=1,K485=1),AND(J485=1,I485="SBJ"),AND(J485=1,I485=0)),"?IN_FOCUS",IF(J485&lt;=2,"?ACTIVATED",IF(J485&lt;&gt;"","?FAMILIAR",IF(F485="NEW",IF(ISNA(VLOOKUP(E485,#REF!,1,FALSE())),"?TYPE_IDENTIFIABLE","?REFERENTIAL"),"_")))))</f>
        <v/>
      </c>
      <c r="H485" s="24" t="str">
        <f t="shared" ca="1" si="38"/>
        <v/>
      </c>
      <c r="I485" s="25" t="str">
        <f>IF(OR(E485="",E485="!!!",F485="NEW"),"",INDEX(B$2:B484,-1+SUMPRODUCT(MAX(ROW(E$2:E484)*(E485=E$2:E484)))))</f>
        <v/>
      </c>
      <c r="J485" s="25" t="str">
        <f ca="1">IF(OR(E485="",E485="!!!",F485="NEW"),"",COUNTBLANK(OFFSET(A$1,,,SUMPRODUCT(MAX(ROW(E$2:E485)*(E485=E$2:E485)))))-COUNTBLANK(OFFSET(A$1,,,SUMPRODUCT(MAX(ROW(E$1:E484)*(E2=E$1:E484))))))</f>
        <v/>
      </c>
      <c r="K485" s="25" t="str">
        <f>IF(OR(E485="",E485="!!!",F485="NEW"),"",INDEX(J$1:J484,SUMPRODUCT(MAX(ROW(E$1:E484)*(E485=E$1:E484)))))</f>
        <v/>
      </c>
      <c r="L485" s="26"/>
    </row>
    <row r="486" spans="1:12" x14ac:dyDescent="0.3">
      <c r="A486" t="s">
        <v>143</v>
      </c>
      <c r="E486" s="21" t="str">
        <f t="shared" si="39"/>
        <v/>
      </c>
      <c r="F486" s="22" t="str">
        <f>IF(OR(E486="",E486="!!!"),"",IF(NOT(ISNA(VLOOKUP(E486,E$1:E485,1,FALSE()))),"OLD",IF(AND(E486&lt;&gt;"",E486&lt;&gt;"!!!"),"NEW","")))</f>
        <v/>
      </c>
      <c r="G486" s="23" t="str">
        <f>IF(OR(E486="",E486="!!!"),"",IF(OR(J486=0,AND(J486=1,K486=1),AND(J486=1,I486="SBJ"),AND(J486=1,I486=0)),"?IN_FOCUS",IF(J486&lt;=2,"?ACTIVATED",IF(J486&lt;&gt;"","?FAMILIAR",IF(F486="NEW",IF(ISNA(VLOOKUP(E486,#REF!,1,FALSE())),"?TYPE_IDENTIFIABLE","?REFERENTIAL"),"_")))))</f>
        <v/>
      </c>
      <c r="H486" s="24" t="str">
        <f t="shared" ca="1" si="38"/>
        <v/>
      </c>
      <c r="I486" s="25" t="str">
        <f>IF(OR(E486="",E486="!!!",F486="NEW"),"",INDEX(B$2:B485,-1+SUMPRODUCT(MAX(ROW(E$2:E485)*(E486=E$2:E485)))))</f>
        <v/>
      </c>
      <c r="J486" s="25" t="str">
        <f ca="1">IF(OR(E486="",E486="!!!",F486="NEW"),"",COUNTBLANK(OFFSET(A$1,,,SUMPRODUCT(MAX(ROW(E$2:E486)*(E486=E$2:E486)))))-COUNTBLANK(OFFSET(A$1,,,SUMPRODUCT(MAX(ROW(E$1:E485)*(E2=E$1:E485))))))</f>
        <v/>
      </c>
      <c r="K486" s="25" t="str">
        <f>IF(OR(E486="",E486="!!!",F486="NEW"),"",INDEX(J$1:J485,SUMPRODUCT(MAX(ROW(E$1:E485)*(E486=E$1:E485)))))</f>
        <v/>
      </c>
      <c r="L486" s="26"/>
    </row>
    <row r="488" spans="1:12" x14ac:dyDescent="0.3">
      <c r="A488" t="s">
        <v>353</v>
      </c>
    </row>
    <row r="489" spans="1:12" x14ac:dyDescent="0.3">
      <c r="A489" t="s">
        <v>221</v>
      </c>
      <c r="E489" s="21" t="str">
        <f t="shared" ref="E489:E511" si="40">IF(D489="?OLD","!!!","")</f>
        <v/>
      </c>
      <c r="F489" s="22" t="str">
        <f>IF(OR(E489="",E489="!!!"),"",IF(NOT(ISNA(VLOOKUP(E489,E$1:E488,1,FALSE()))),"OLD",IF(AND(E489&lt;&gt;"",E489&lt;&gt;"!!!"),"NEW","")))</f>
        <v/>
      </c>
      <c r="G489" s="23" t="str">
        <f>IF(OR(E489="",E489="!!!"),"",IF(OR(J489=0,AND(J489=1,K489=1),AND(J489=1,I489="SBJ"),AND(J489=1,I489=0)),"?IN_FOCUS",IF(J489&lt;=2,"?ACTIVATED",IF(J489&lt;&gt;"","?FAMILIAR",IF(F489="NEW",IF(ISNA(VLOOKUP(E489,#REF!,1,FALSE())),"?TYPE_IDENTIFIABLE","?REFERENTIAL"),"_")))))</f>
        <v/>
      </c>
      <c r="H489" s="24" t="str">
        <f t="shared" ref="H489:H511" ca="1" si="41">IF(J489&lt;&gt;1,"",IF(I489="SBJ","CB","?"))</f>
        <v/>
      </c>
      <c r="I489" s="25" t="str">
        <f>IF(OR(E489="",E489="!!!",F489="NEW"),"",INDEX(B$2:B488,-1+SUMPRODUCT(MAX(ROW(E$2:E488)*(E489=E$2:E488)))))</f>
        <v/>
      </c>
      <c r="J489" s="25" t="str">
        <f ca="1">IF(OR(E489="",E489="!!!",F489="NEW"),"",COUNTBLANK(OFFSET(A$1,,,SUMPRODUCT(MAX(ROW(E$2:E489)*(E489=E$2:E489)))))-COUNTBLANK(OFFSET(A$1,,,SUMPRODUCT(MAX(ROW(E$1:E488)*(E2=E$1:E488))))))</f>
        <v/>
      </c>
      <c r="K489" s="25" t="str">
        <f>IF(OR(E489="",E489="!!!",F489="NEW"),"",INDEX(J$1:J488,SUMPRODUCT(MAX(ROW(E$1:E488)*(E489=E$1:E488)))))</f>
        <v/>
      </c>
      <c r="L489" s="26"/>
    </row>
    <row r="490" spans="1:12" x14ac:dyDescent="0.3">
      <c r="A490" t="s">
        <v>154</v>
      </c>
      <c r="E490" s="21" t="str">
        <f t="shared" si="40"/>
        <v/>
      </c>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41"/>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279</v>
      </c>
      <c r="E491" s="21" t="s">
        <v>370</v>
      </c>
      <c r="F491" s="22" t="str">
        <f>IF(OR(E491="",E491="!!!"),"",IF(NOT(ISNA(VLOOKUP(E491,E$1:E490,1,FALSE()))),"OLD",IF(AND(E491&lt;&gt;"",E491&lt;&gt;"!!!"),"NEW","")))</f>
        <v>OLD</v>
      </c>
      <c r="G491" s="23" t="s">
        <v>414</v>
      </c>
      <c r="H491" s="24" t="s">
        <v>104</v>
      </c>
      <c r="I491" s="25" t="str">
        <f>IF(OR(E491="",E491="!!!",F491="NEW"),"",INDEX(B$2:B490,-1+SUMPRODUCT(MAX(ROW(E$2:E490)*(E491=E$2:E490)))))</f>
        <v>other_4</v>
      </c>
      <c r="J491" s="25">
        <f ca="1">IF(OR(E491="",E491="!!!",F491="NEW"),"",COUNTBLANK(OFFSET(A$1,,,SUMPRODUCT(MAX(ROW(E$2:E491)*(E491=E$2:E491)))))-COUNTBLANK(OFFSET(A$1,,,SUMPRODUCT(MAX(ROW(E$1:E490)*(E2=E$1:E490))))))</f>
        <v>0</v>
      </c>
      <c r="K491" s="25">
        <f ca="1">IF(OR(E491="",E491="!!!",F491="NEW"),"",INDEX(J$1:J490,SUMPRODUCT(MAX(ROW(E$1:E490)*(E491=E$1:E490)))))</f>
        <v>0</v>
      </c>
      <c r="L491" s="26" t="s">
        <v>406</v>
      </c>
    </row>
    <row r="492" spans="1:12" x14ac:dyDescent="0.3">
      <c r="A492" t="s">
        <v>354</v>
      </c>
      <c r="B492" s="20" t="s">
        <v>118</v>
      </c>
      <c r="C492" s="20" t="s">
        <v>196</v>
      </c>
      <c r="E492" s="21" t="s">
        <v>408</v>
      </c>
      <c r="F492" s="22" t="str">
        <f>IF(OR(E492="",E492="!!!"),"",IF(NOT(ISNA(VLOOKUP(E492,E$1:E491,1,FALSE()))),"OLD",IF(AND(E492&lt;&gt;"",E492&lt;&gt;"!!!"),"NEW","")))</f>
        <v>NEW</v>
      </c>
      <c r="G492" s="23" t="s">
        <v>416</v>
      </c>
      <c r="H492" s="24" t="str">
        <f t="shared" ca="1" si="41"/>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3" spans="1:12" x14ac:dyDescent="0.3">
      <c r="A493" t="s">
        <v>155</v>
      </c>
      <c r="E493" s="21" t="str">
        <f t="shared" si="40"/>
        <v/>
      </c>
      <c r="F493" s="22" t="str">
        <f>IF(OR(E493="",E493="!!!"),"",IF(NOT(ISNA(VLOOKUP(E493,E$1:E492,1,FALSE()))),"OLD",IF(AND(E493&lt;&gt;"",E493&lt;&gt;"!!!"),"NEW","")))</f>
        <v/>
      </c>
      <c r="G493" s="23" t="str">
        <f>IF(OR(E493="",E493="!!!"),"",IF(OR(J493=0,AND(J493=1,K493=1),AND(J493=1,I493="SBJ"),AND(J493=1,I493=0)),"?IN_FOCUS",IF(J493&lt;=2,"?ACTIVATED",IF(J493&lt;&gt;"","?FAMILIAR",IF(F493="NEW",IF(ISNA(VLOOKUP(E493,#REF!,1,FALSE())),"?TYPE_IDENTIFIABLE","?REFERENTIAL"),"_")))))</f>
        <v/>
      </c>
      <c r="H493" s="24" t="str">
        <f t="shared" ca="1" si="41"/>
        <v/>
      </c>
      <c r="I493" s="25" t="str">
        <f>IF(OR(E493="",E493="!!!",F493="NEW"),"",INDEX(B$2:B492,-1+SUMPRODUCT(MAX(ROW(E$2:E492)*(E493=E$2:E492)))))</f>
        <v/>
      </c>
      <c r="J493" s="25" t="str">
        <f ca="1">IF(OR(E493="",E493="!!!",F493="NEW"),"",COUNTBLANK(OFFSET(A$1,,,SUMPRODUCT(MAX(ROW(E$2:E493)*(E493=E$2:E493)))))-COUNTBLANK(OFFSET(A$1,,,SUMPRODUCT(MAX(ROW(E$1:E492)*(E2=E$1:E492))))))</f>
        <v/>
      </c>
      <c r="K493" s="25" t="str">
        <f>IF(OR(E493="",E493="!!!",F493="NEW"),"",INDEX(J$1:J492,SUMPRODUCT(MAX(ROW(E$1:E492)*(E493=E$1:E492)))))</f>
        <v/>
      </c>
      <c r="L493" s="26"/>
    </row>
    <row r="494" spans="1:12" x14ac:dyDescent="0.3">
      <c r="A494" t="s">
        <v>132</v>
      </c>
      <c r="E494" s="21" t="str">
        <f t="shared" si="40"/>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41"/>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226</v>
      </c>
      <c r="B495" s="20" t="s">
        <v>122</v>
      </c>
      <c r="C495" s="20" t="s">
        <v>128</v>
      </c>
      <c r="D495" s="20" t="s">
        <v>112</v>
      </c>
      <c r="E495" s="21"/>
      <c r="F495" s="22" t="s">
        <v>412</v>
      </c>
      <c r="G495" s="23"/>
      <c r="H495" s="24" t="str">
        <f t="shared" ca="1" si="41"/>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6" spans="1:12" x14ac:dyDescent="0.3">
      <c r="A496" t="s">
        <v>137</v>
      </c>
      <c r="E496" s="21" t="str">
        <f t="shared" si="40"/>
        <v/>
      </c>
      <c r="F496" s="22" t="str">
        <f>IF(OR(E496="",E496="!!!"),"",IF(NOT(ISNA(VLOOKUP(E496,E$1:E495,1,FALSE()))),"OLD",IF(AND(E496&lt;&gt;"",E496&lt;&gt;"!!!"),"NEW","")))</f>
        <v/>
      </c>
      <c r="G496" s="23" t="str">
        <f>IF(OR(E496="",E496="!!!"),"",IF(OR(J496=0,AND(J496=1,K496=1),AND(J496=1,I496="SBJ"),AND(J496=1,I496=0)),"?IN_FOCUS",IF(J496&lt;=2,"?ACTIVATED",IF(J496&lt;&gt;"","?FAMILIAR",IF(F496="NEW",IF(ISNA(VLOOKUP(E496,#REF!,1,FALSE())),"?TYPE_IDENTIFIABLE","?REFERENTIAL"),"_")))))</f>
        <v/>
      </c>
      <c r="H496" s="24" t="str">
        <f t="shared" ca="1" si="41"/>
        <v/>
      </c>
      <c r="I496" s="25" t="str">
        <f>IF(OR(E496="",E496="!!!",F496="NEW"),"",INDEX(B$2:B495,-1+SUMPRODUCT(MAX(ROW(E$2:E495)*(E496=E$2:E495)))))</f>
        <v/>
      </c>
      <c r="J496" s="25" t="str">
        <f ca="1">IF(OR(E496="",E496="!!!",F496="NEW"),"",COUNTBLANK(OFFSET(A$1,,,SUMPRODUCT(MAX(ROW(E$2:E496)*(E496=E$2:E496)))))-COUNTBLANK(OFFSET(A$1,,,SUMPRODUCT(MAX(ROW(E$1:E495)*(E2=E$1:E495))))))</f>
        <v/>
      </c>
      <c r="K496" s="25" t="str">
        <f>IF(OR(E496="",E496="!!!",F496="NEW"),"",INDEX(J$1:J495,SUMPRODUCT(MAX(ROW(E$1:E495)*(E496=E$1:E495)))))</f>
        <v/>
      </c>
      <c r="L496" s="26"/>
    </row>
    <row r="497" spans="1:12" x14ac:dyDescent="0.3">
      <c r="A497" t="s">
        <v>355</v>
      </c>
      <c r="B497" s="20" t="s">
        <v>290</v>
      </c>
      <c r="C497" s="20" t="s">
        <v>196</v>
      </c>
      <c r="E497" s="21" t="str">
        <f t="shared" si="40"/>
        <v/>
      </c>
      <c r="F497" s="22" t="str">
        <f>IF(OR(E497="",E497="!!!"),"",IF(NOT(ISNA(VLOOKUP(E497,E$1:E496,1,FALSE()))),"OLD",IF(AND(E497&lt;&gt;"",E497&lt;&gt;"!!!"),"NEW","")))</f>
        <v/>
      </c>
      <c r="G497" s="23" t="str">
        <f>IF(OR(E497="",E497="!!!"),"",IF(OR(J497=0,AND(J497=1,K497=1),AND(J497=1,I497="SBJ"),AND(J497=1,I497=0)),"?IN_FOCUS",IF(J497&lt;=2,"?ACTIVATED",IF(J497&lt;&gt;"","?FAMILIAR",IF(F497="NEW",IF(ISNA(VLOOKUP(E497,#REF!,1,FALSE())),"?TYPE_IDENTIFIABLE","?REFERENTIAL"),"_")))))</f>
        <v/>
      </c>
      <c r="H497" s="24" t="str">
        <f t="shared" ca="1" si="41"/>
        <v/>
      </c>
      <c r="I497" s="25" t="str">
        <f>IF(OR(E497="",E497="!!!",F497="NEW"),"",INDEX(B$2:B496,-1+SUMPRODUCT(MAX(ROW(E$2:E496)*(E497=E$2:E496)))))</f>
        <v/>
      </c>
      <c r="J497" s="25" t="str">
        <f ca="1">IF(OR(E497="",E497="!!!",F497="NEW"),"",COUNTBLANK(OFFSET(A$1,,,SUMPRODUCT(MAX(ROW(E$2:E497)*(E497=E$2:E497)))))-COUNTBLANK(OFFSET(A$1,,,SUMPRODUCT(MAX(ROW(E$1:E496)*(E2=E$1:E496))))))</f>
        <v/>
      </c>
      <c r="K497" s="25" t="str">
        <f>IF(OR(E497="",E497="!!!",F497="NEW"),"",INDEX(J$1:J496,SUMPRODUCT(MAX(ROW(E$1:E496)*(E497=E$1:E496)))))</f>
        <v/>
      </c>
      <c r="L497" s="26"/>
    </row>
    <row r="498" spans="1:12" x14ac:dyDescent="0.3">
      <c r="A498" t="s">
        <v>177</v>
      </c>
      <c r="E498" s="21" t="str">
        <f t="shared" si="40"/>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ca="1" si="41"/>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123</v>
      </c>
      <c r="E499" s="21" t="str">
        <f t="shared" si="40"/>
        <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41"/>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284</v>
      </c>
      <c r="B500" s="20" t="s">
        <v>290</v>
      </c>
      <c r="C500" s="20" t="s">
        <v>280</v>
      </c>
      <c r="D500" s="20" t="s">
        <v>112</v>
      </c>
      <c r="E500" s="21" t="s">
        <v>370</v>
      </c>
      <c r="F500" s="22" t="str">
        <f>IF(OR(E500="",E500="!!!"),"",IF(NOT(ISNA(VLOOKUP(E500,E$1:E499,1,FALSE()))),"OLD",IF(AND(E500&lt;&gt;"",E500&lt;&gt;"!!!"),"NEW","")))</f>
        <v>OLD</v>
      </c>
      <c r="G500" s="23" t="s">
        <v>414</v>
      </c>
      <c r="H500" s="24" t="str">
        <f t="shared" ca="1" si="41"/>
        <v/>
      </c>
      <c r="I500" s="25">
        <f>IF(OR(E500="",E500="!!!",F500="NEW"),"",INDEX(B$2:B499,-1+SUMPRODUCT(MAX(ROW(E$2:E499)*(E500=E$2:E499)))))</f>
        <v>0</v>
      </c>
      <c r="J500" s="25">
        <f ca="1">IF(OR(E500="",E500="!!!",F500="NEW"),"",COUNTBLANK(OFFSET(A$1,,,SUMPRODUCT(MAX(ROW(E$2:E500)*(E500=E$2:E500)))))-COUNTBLANK(OFFSET(A$1,,,SUMPRODUCT(MAX(ROW(E$1:E499)*(E2=E$1:E499))))))</f>
        <v>0</v>
      </c>
      <c r="K500" s="25">
        <f ca="1">IF(OR(E500="",E500="!!!",F500="NEW"),"",INDEX(J$1:J499,SUMPRODUCT(MAX(ROW(E$1:E499)*(E500=E$1:E499)))))</f>
        <v>0</v>
      </c>
      <c r="L500" s="26"/>
    </row>
    <row r="501" spans="1:12" x14ac:dyDescent="0.3">
      <c r="A501" t="s">
        <v>305</v>
      </c>
      <c r="E501" s="21" t="str">
        <f t="shared" si="40"/>
        <v/>
      </c>
      <c r="F501" s="22" t="str">
        <f>IF(OR(E501="",E501="!!!"),"",IF(NOT(ISNA(VLOOKUP(E501,E$1:E500,1,FALSE()))),"OLD",IF(AND(E501&lt;&gt;"",E501&lt;&gt;"!!!"),"NEW","")))</f>
        <v/>
      </c>
      <c r="G501" s="23" t="str">
        <f>IF(OR(E501="",E501="!!!"),"",IF(OR(J501=0,AND(J501=1,K501=1),AND(J501=1,I501="SBJ"),AND(J501=1,I501=0)),"?IN_FOCUS",IF(J501&lt;=2,"?ACTIVATED",IF(J501&lt;&gt;"","?FAMILIAR",IF(F501="NEW",IF(ISNA(VLOOKUP(E501,#REF!,1,FALSE())),"?TYPE_IDENTIFIABLE","?REFERENTIAL"),"_")))))</f>
        <v/>
      </c>
      <c r="H501" s="24" t="str">
        <f t="shared" ca="1" si="41"/>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155</v>
      </c>
      <c r="E502" s="21" t="str">
        <f t="shared" si="40"/>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41"/>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356</v>
      </c>
      <c r="E503" s="21" t="str">
        <f t="shared" si="40"/>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41"/>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357</v>
      </c>
      <c r="B504" s="20" t="s">
        <v>152</v>
      </c>
      <c r="C504" s="20" t="s">
        <v>201</v>
      </c>
      <c r="D504" s="20" t="s">
        <v>112</v>
      </c>
      <c r="E504" s="21" t="s">
        <v>374</v>
      </c>
      <c r="F504" s="22" t="str">
        <f>IF(OR(E504="",E504="!!!"),"",IF(NOT(ISNA(VLOOKUP(E504,E$1:E503,1,FALSE()))),"OLD",IF(AND(E504&lt;&gt;"",E504&lt;&gt;"!!!"),"NEW","")))</f>
        <v>OLD</v>
      </c>
      <c r="G504" s="23" t="s">
        <v>415</v>
      </c>
      <c r="H504" s="24" t="str">
        <f t="shared" ca="1" si="41"/>
        <v/>
      </c>
      <c r="I504" s="25" t="str">
        <f>IF(OR(E504="",E504="!!!",F504="NEW"),"",INDEX(B$2:B503,-1+SUMPRODUCT(MAX(ROW(E$2:E503)*(E504=E$2:E503)))))</f>
        <v>SBJ</v>
      </c>
      <c r="J504" s="25">
        <f ca="1">IF(OR(E504="",E504="!!!",F504="NEW"),"",COUNTBLANK(OFFSET(A$1,,,SUMPRODUCT(MAX(ROW(E$2:E504)*(E504=E$2:E504)))))-COUNTBLANK(OFFSET(A$1,,,SUMPRODUCT(MAX(ROW(E$1:E503)*(E2=E$1:E503))))))</f>
        <v>0</v>
      </c>
      <c r="K504" s="25">
        <f ca="1">IF(OR(E504="",E504="!!!",F504="NEW"),"",INDEX(J$1:J503,SUMPRODUCT(MAX(ROW(E$1:E503)*(E504=E$1:E503)))))</f>
        <v>0</v>
      </c>
      <c r="L504" s="26"/>
    </row>
    <row r="505" spans="1:12" x14ac:dyDescent="0.3">
      <c r="A505" t="s">
        <v>155</v>
      </c>
      <c r="E505" s="21" t="str">
        <f t="shared" si="40"/>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41"/>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145</v>
      </c>
      <c r="E506" s="21" t="str">
        <f t="shared" si="40"/>
        <v/>
      </c>
      <c r="F506" s="22" t="str">
        <f>IF(OR(E506="",E506="!!!"),"",IF(NOT(ISNA(VLOOKUP(E506,E$1:E505,1,FALSE()))),"OLD",IF(AND(E506&lt;&gt;"",E506&lt;&gt;"!!!"),"NEW","")))</f>
        <v/>
      </c>
      <c r="G506" s="23" t="str">
        <f>IF(OR(E506="",E506="!!!"),"",IF(OR(J506=0,AND(J506=1,K506=1),AND(J506=1,I506="SBJ"),AND(J506=1,I506=0)),"?IN_FOCUS",IF(J506&lt;=2,"?ACTIVATED",IF(J506&lt;&gt;"","?FAMILIAR",IF(F506="NEW",IF(ISNA(VLOOKUP(E506,#REF!,1,FALSE())),"?TYPE_IDENTIFIABLE","?REFERENTIAL"),"_")))))</f>
        <v/>
      </c>
      <c r="H506" s="24" t="str">
        <f t="shared" ca="1" si="41"/>
        <v/>
      </c>
      <c r="I506" s="25" t="str">
        <f>IF(OR(E506="",E506="!!!",F506="NEW"),"",INDEX(B$2:B505,-1+SUMPRODUCT(MAX(ROW(E$2:E505)*(E506=E$2:E505)))))</f>
        <v/>
      </c>
      <c r="J506" s="25" t="str">
        <f ca="1">IF(OR(E506="",E506="!!!",F506="NEW"),"",COUNTBLANK(OFFSET(A$1,,,SUMPRODUCT(MAX(ROW(E$2:E506)*(E506=E$2:E506)))))-COUNTBLANK(OFFSET(A$1,,,SUMPRODUCT(MAX(ROW(E$1:E505)*(E2=E$1:E505))))))</f>
        <v/>
      </c>
      <c r="K506" s="25" t="str">
        <f>IF(OR(E506="",E506="!!!",F506="NEW"),"",INDEX(J$1:J505,SUMPRODUCT(MAX(ROW(E$1:E505)*(E506=E$1:E505)))))</f>
        <v/>
      </c>
      <c r="L506" s="26"/>
    </row>
    <row r="507" spans="1:12" x14ac:dyDescent="0.3">
      <c r="A507" t="s">
        <v>358</v>
      </c>
      <c r="B507" s="20" t="s">
        <v>110</v>
      </c>
      <c r="C507" s="20" t="s">
        <v>215</v>
      </c>
      <c r="E507" s="21" t="str">
        <f t="shared" si="40"/>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t="shared" ca="1" si="41"/>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8" spans="1:12" x14ac:dyDescent="0.3">
      <c r="A508" t="s">
        <v>359</v>
      </c>
      <c r="E508" s="21" t="str">
        <f t="shared" si="40"/>
        <v/>
      </c>
      <c r="F508" s="22" t="str">
        <f>IF(OR(E508="",E508="!!!"),"",IF(NOT(ISNA(VLOOKUP(E508,E$1:E507,1,FALSE()))),"OLD",IF(AND(E508&lt;&gt;"",E508&lt;&gt;"!!!"),"NEW","")))</f>
        <v/>
      </c>
      <c r="G508" s="23" t="str">
        <f>IF(OR(E508="",E508="!!!"),"",IF(OR(J508=0,AND(J508=1,K508=1),AND(J508=1,I508="SBJ"),AND(J508=1,I508=0)),"?IN_FOCUS",IF(J508&lt;=2,"?ACTIVATED",IF(J508&lt;&gt;"","?FAMILIAR",IF(F508="NEW",IF(ISNA(VLOOKUP(E508,#REF!,1,FALSE())),"?TYPE_IDENTIFIABLE","?REFERENTIAL"),"_")))))</f>
        <v/>
      </c>
      <c r="H508" s="24" t="str">
        <f t="shared" ca="1" si="41"/>
        <v/>
      </c>
      <c r="I508" s="25" t="str">
        <f>IF(OR(E508="",E508="!!!",F508="NEW"),"",INDEX(B$2:B507,-1+SUMPRODUCT(MAX(ROW(E$2:E507)*(E508=E$2:E507)))))</f>
        <v/>
      </c>
      <c r="J508" s="25" t="str">
        <f ca="1">IF(OR(E508="",E508="!!!",F508="NEW"),"",COUNTBLANK(OFFSET(A$1,,,SUMPRODUCT(MAX(ROW(E$2:E508)*(E508=E$2:E508)))))-COUNTBLANK(OFFSET(A$1,,,SUMPRODUCT(MAX(ROW(E$1:E507)*(E2=E$1:E507))))))</f>
        <v/>
      </c>
      <c r="K508" s="25" t="str">
        <f>IF(OR(E508="",E508="!!!",F508="NEW"),"",INDEX(J$1:J507,SUMPRODUCT(MAX(ROW(E$1:E507)*(E508=E$1:E507)))))</f>
        <v/>
      </c>
      <c r="L508" s="26"/>
    </row>
    <row r="509" spans="1:12" x14ac:dyDescent="0.3">
      <c r="A509" t="s">
        <v>360</v>
      </c>
      <c r="B509" s="20" t="s">
        <v>153</v>
      </c>
      <c r="C509" s="20" t="s">
        <v>174</v>
      </c>
      <c r="E509" s="21" t="str">
        <f t="shared" si="40"/>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t="shared" ca="1" si="41"/>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361</v>
      </c>
      <c r="E510" s="21" t="str">
        <f t="shared" si="40"/>
        <v/>
      </c>
      <c r="F510" s="22" t="str">
        <f>IF(OR(E510="",E510="!!!"),"",IF(NOT(ISNA(VLOOKUP(E510,E$1:E509,1,FALSE()))),"OLD",IF(AND(E510&lt;&gt;"",E510&lt;&gt;"!!!"),"NEW","")))</f>
        <v/>
      </c>
      <c r="G510" s="23" t="str">
        <f>IF(OR(E510="",E510="!!!"),"",IF(OR(J510=0,AND(J510=1,K510=1),AND(J510=1,I510="SBJ"),AND(J510=1,I510=0)),"?IN_FOCUS",IF(J510&lt;=2,"?ACTIVATED",IF(J510&lt;&gt;"","?FAMILIAR",IF(F510="NEW",IF(ISNA(VLOOKUP(E510,#REF!,1,FALSE())),"?TYPE_IDENTIFIABLE","?REFERENTIAL"),"_")))))</f>
        <v/>
      </c>
      <c r="H510" s="24" t="str">
        <f t="shared" ca="1" si="41"/>
        <v/>
      </c>
      <c r="I510" s="25" t="str">
        <f>IF(OR(E510="",E510="!!!",F510="NEW"),"",INDEX(B$2:B509,-1+SUMPRODUCT(MAX(ROW(E$2:E509)*(E510=E$2:E509)))))</f>
        <v/>
      </c>
      <c r="J510" s="25" t="str">
        <f ca="1">IF(OR(E510="",E510="!!!",F510="NEW"),"",COUNTBLANK(OFFSET(A$1,,,SUMPRODUCT(MAX(ROW(E$2:E510)*(E510=E$2:E510)))))-COUNTBLANK(OFFSET(A$1,,,SUMPRODUCT(MAX(ROW(E$1:E509)*(E2=E$1:E509))))))</f>
        <v/>
      </c>
      <c r="K510" s="25" t="str">
        <f>IF(OR(E510="",E510="!!!",F510="NEW"),"",INDEX(J$1:J509,SUMPRODUCT(MAX(ROW(E$1:E509)*(E510=E$1:E509)))))</f>
        <v/>
      </c>
      <c r="L510" s="26"/>
    </row>
    <row r="511" spans="1:12" x14ac:dyDescent="0.3">
      <c r="A511" t="s">
        <v>143</v>
      </c>
      <c r="E511" s="21" t="str">
        <f t="shared" si="40"/>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41"/>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3" spans="1:12" x14ac:dyDescent="0.3">
      <c r="A513" t="s">
        <v>362</v>
      </c>
    </row>
    <row r="514" spans="1:12" x14ac:dyDescent="0.3">
      <c r="A514" t="s">
        <v>363</v>
      </c>
      <c r="B514" s="20" t="s">
        <v>110</v>
      </c>
      <c r="C514" s="20" t="s">
        <v>170</v>
      </c>
      <c r="D514" s="20" t="s">
        <v>112</v>
      </c>
      <c r="E514" s="21" t="s">
        <v>370</v>
      </c>
      <c r="F514" s="22" t="str">
        <f>IF(OR(E514="",E514="!!!"),"",IF(NOT(ISNA(VLOOKUP(E514,E$1:E513,1,FALSE()))),"OLD",IF(AND(E514&lt;&gt;"",E514&lt;&gt;"!!!"),"NEW","")))</f>
        <v>OLD</v>
      </c>
      <c r="G514" s="23" t="s">
        <v>414</v>
      </c>
      <c r="H514" s="24" t="s">
        <v>104</v>
      </c>
      <c r="I514" s="25" t="str">
        <f>IF(OR(E514="",E514="!!!",F514="NEW"),"",INDEX(B$2:B513,-1+SUMPRODUCT(MAX(ROW(E$2:E513)*(E514=E$2:E513)))))</f>
        <v>other_4</v>
      </c>
      <c r="J514" s="25">
        <f ca="1">IF(OR(E514="",E514="!!!",F514="NEW"),"",COUNTBLANK(OFFSET(A$1,,,SUMPRODUCT(MAX(ROW(E$2:E514)*(E514=E$2:E514)))))-COUNTBLANK(OFFSET(A$1,,,SUMPRODUCT(MAX(ROW(E$1:E513)*(E2=E$1:E513))))))</f>
        <v>0</v>
      </c>
      <c r="K514" s="25">
        <f ca="1">IF(OR(E514="",E514="!!!",F514="NEW"),"",INDEX(J$1:J513,SUMPRODUCT(MAX(ROW(E$1:E513)*(E514=E$1:E513)))))</f>
        <v>0</v>
      </c>
      <c r="L514" s="26"/>
    </row>
    <row r="515" spans="1:12" x14ac:dyDescent="0.3">
      <c r="A515" t="s">
        <v>364</v>
      </c>
      <c r="E515" s="21" t="str">
        <f t="shared" ref="E515:E530" si="42">IF(D515="?OLD","!!!","")</f>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ref="H515:H530" ca="1" si="43">IF(J515&lt;&gt;1,"",IF(I515="SBJ","CB","?"))</f>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350</v>
      </c>
      <c r="B516" s="20" t="s">
        <v>118</v>
      </c>
      <c r="C516" s="20" t="s">
        <v>184</v>
      </c>
      <c r="D516" s="20" t="s">
        <v>112</v>
      </c>
      <c r="E516" s="21"/>
      <c r="F516" s="22" t="str">
        <f>IF(OR(E516="",E516="!!!"),"",IF(NOT(ISNA(VLOOKUP(E516,E$1:E515,1,FALSE()))),"OLD",IF(AND(E516&lt;&gt;"",E516&lt;&gt;"!!!"),"NEW","")))</f>
        <v/>
      </c>
      <c r="G516" s="23" t="str">
        <f>IF(OR(E516="",E516="!!!"),"",IF(OR(J516=0,AND(J516=1,K516=1),AND(J516=1,I516="SBJ"),AND(J516=1,I516=0)),"?IN_FOCUS",IF(J516&lt;=2,"?ACTIVATED",IF(J516&lt;&gt;"","?FAMILIAR",IF(F516="NEW",IF(ISNA(VLOOKUP(E516,#REF!,1,FALSE())),"?TYPE_IDENTIFIABLE","?REFERENTIAL"),"_")))))</f>
        <v/>
      </c>
      <c r="H516" s="24" t="str">
        <f t="shared" ca="1" si="43"/>
        <v/>
      </c>
      <c r="I516" s="25" t="str">
        <f>IF(OR(E516="",E516="!!!",F516="NEW"),"",INDEX(B$2:B515,-1+SUMPRODUCT(MAX(ROW(E$2:E515)*(E516=E$2:E515)))))</f>
        <v/>
      </c>
      <c r="J516" s="25" t="str">
        <f ca="1">IF(OR(E516="",E516="!!!",F516="NEW"),"",COUNTBLANK(OFFSET(A$1,,,SUMPRODUCT(MAX(ROW(E$2:E516)*(E516=E$2:E516)))))-COUNTBLANK(OFFSET(A$1,,,SUMPRODUCT(MAX(ROW(E$1:E515)*(E2=E$1:E515))))))</f>
        <v/>
      </c>
      <c r="K516" s="25" t="str">
        <f>IF(OR(E516="",E516="!!!",F516="NEW"),"",INDEX(J$1:J515,SUMPRODUCT(MAX(ROW(E$1:E515)*(E516=E$1:E515)))))</f>
        <v/>
      </c>
      <c r="L516" s="26" t="s">
        <v>377</v>
      </c>
    </row>
    <row r="517" spans="1:12" x14ac:dyDescent="0.3">
      <c r="A517" t="s">
        <v>224</v>
      </c>
      <c r="B517" s="20" t="s">
        <v>153</v>
      </c>
      <c r="C517" s="20" t="s">
        <v>186</v>
      </c>
      <c r="D517" s="20" t="s">
        <v>112</v>
      </c>
      <c r="E517" s="21" t="s">
        <v>417</v>
      </c>
      <c r="F517" s="22" t="str">
        <f>IF(OR(E517="",E517="!!!"),"",IF(NOT(ISNA(VLOOKUP(E517,E$1:E516,1,FALSE()))),"OLD",IF(AND(E517&lt;&gt;"",E517&lt;&gt;"!!!"),"NEW","")))</f>
        <v>OLD</v>
      </c>
      <c r="G517" s="23" t="s">
        <v>415</v>
      </c>
      <c r="H517" s="24" t="str">
        <f t="shared" ca="1" si="43"/>
        <v/>
      </c>
      <c r="I517" s="25" t="str">
        <f>IF(OR(E517="",E517="!!!",F517="NEW"),"",INDEX(B$2:B516,-1+SUMPRODUCT(MAX(ROW(E$2:E516)*(E517=E$2:E516)))))</f>
        <v>OBJ_4</v>
      </c>
      <c r="J517" s="25">
        <f ca="1">IF(OR(E517="",E517="!!!",F517="NEW"),"",COUNTBLANK(OFFSET(A$1,,,SUMPRODUCT(MAX(ROW(E$2:E517)*(E517=E$2:E517)))))-COUNTBLANK(OFFSET(A$1,,,SUMPRODUCT(MAX(ROW(E$1:E516)*(E2=E$1:E516))))))</f>
        <v>0</v>
      </c>
      <c r="K517" s="25">
        <f ca="1">IF(OR(E517="",E517="!!!",F517="NEW"),"",INDEX(J$1:J516,SUMPRODUCT(MAX(ROW(E$1:E516)*(E517=E$1:E516)))))</f>
        <v>0</v>
      </c>
      <c r="L517" s="26"/>
    </row>
    <row r="518" spans="1:12" x14ac:dyDescent="0.3">
      <c r="A518" t="s">
        <v>365</v>
      </c>
      <c r="E518" s="21" t="str">
        <f t="shared" si="42"/>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43"/>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94</v>
      </c>
      <c r="E519" s="21" t="str">
        <f t="shared" si="42"/>
        <v/>
      </c>
      <c r="F519" s="22" t="str">
        <f>IF(OR(E519="",E519="!!!"),"",IF(NOT(ISNA(VLOOKUP(E519,E$1:E518,1,FALSE()))),"OLD",IF(AND(E519&lt;&gt;"",E519&lt;&gt;"!!!"),"NEW","")))</f>
        <v/>
      </c>
      <c r="G519" s="23" t="str">
        <f>IF(OR(E519="",E519="!!!"),"",IF(OR(J519=0,AND(J519=1,K519=1),AND(J519=1,I519="SBJ"),AND(J519=1,I519=0)),"?IN_FOCUS",IF(J519&lt;=2,"?ACTIVATED",IF(J519&lt;&gt;"","?FAMILIAR",IF(F519="NEW",IF(ISNA(VLOOKUP(E519,#REF!,1,FALSE())),"?TYPE_IDENTIFIABLE","?REFERENTIAL"),"_")))))</f>
        <v/>
      </c>
      <c r="H519" s="24" t="str">
        <f t="shared" ca="1" si="43"/>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155</v>
      </c>
      <c r="E520" s="21" t="str">
        <f t="shared" si="42"/>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43"/>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366</v>
      </c>
      <c r="E521" s="21" t="str">
        <f t="shared" si="42"/>
        <v/>
      </c>
      <c r="F521" s="22" t="str">
        <f>IF(OR(E521="",E521="!!!"),"",IF(NOT(ISNA(VLOOKUP(E521,E$1:E520,1,FALSE()))),"OLD",IF(AND(E521&lt;&gt;"",E521&lt;&gt;"!!!"),"NEW","")))</f>
        <v/>
      </c>
      <c r="G521" s="23" t="str">
        <f>IF(OR(E521="",E521="!!!"),"",IF(OR(J521=0,AND(J521=1,K521=1),AND(J521=1,I521="SBJ"),AND(J521=1,I521=0)),"?IN_FOCUS",IF(J521&lt;=2,"?ACTIVATED",IF(J521&lt;&gt;"","?FAMILIAR",IF(F521="NEW",IF(ISNA(VLOOKUP(E521,#REF!,1,FALSE())),"?TYPE_IDENTIFIABLE","?REFERENTIAL"),"_")))))</f>
        <v/>
      </c>
      <c r="H521" s="24" t="str">
        <f t="shared" ca="1" si="43"/>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356</v>
      </c>
      <c r="E522" s="21" t="str">
        <f t="shared" si="42"/>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43"/>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3" spans="1:12" x14ac:dyDescent="0.3">
      <c r="A523" t="s">
        <v>357</v>
      </c>
      <c r="B523" s="20" t="s">
        <v>152</v>
      </c>
      <c r="C523" s="20" t="s">
        <v>201</v>
      </c>
      <c r="D523" s="20" t="s">
        <v>112</v>
      </c>
      <c r="E523" s="21" t="s">
        <v>374</v>
      </c>
      <c r="F523" s="22" t="str">
        <f>IF(OR(E523="",E523="!!!"),"",IF(NOT(ISNA(VLOOKUP(E523,E$1:E522,1,FALSE()))),"OLD",IF(AND(E523&lt;&gt;"",E523&lt;&gt;"!!!"),"NEW","")))</f>
        <v>OLD</v>
      </c>
      <c r="G523" s="23" t="s">
        <v>415</v>
      </c>
      <c r="H523" s="24" t="str">
        <f t="shared" ca="1" si="43"/>
        <v/>
      </c>
      <c r="I523" s="25" t="str">
        <f>IF(OR(E523="",E523="!!!",F523="NEW"),"",INDEX(B$2:B522,-1+SUMPRODUCT(MAX(ROW(E$2:E522)*(E523=E$2:E522)))))</f>
        <v>SBJ_2</v>
      </c>
      <c r="J523" s="25">
        <f ca="1">IF(OR(E523="",E523="!!!",F523="NEW"),"",COUNTBLANK(OFFSET(A$1,,,SUMPRODUCT(MAX(ROW(E$2:E523)*(E523=E$2:E523)))))-COUNTBLANK(OFFSET(A$1,,,SUMPRODUCT(MAX(ROW(E$1:E522)*(E2=E$1:E522))))))</f>
        <v>0</v>
      </c>
      <c r="K523" s="25">
        <f ca="1">IF(OR(E523="",E523="!!!",F523="NEW"),"",INDEX(J$1:J522,SUMPRODUCT(MAX(ROW(E$1:E522)*(E523=E$1:E522)))))</f>
        <v>0</v>
      </c>
      <c r="L523" s="26"/>
    </row>
    <row r="524" spans="1:12" x14ac:dyDescent="0.3">
      <c r="A524" t="s">
        <v>155</v>
      </c>
      <c r="E524" s="21" t="str">
        <f t="shared" si="42"/>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43"/>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156</v>
      </c>
      <c r="E525" s="21" t="str">
        <f t="shared" si="42"/>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43"/>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6" spans="1:12" x14ac:dyDescent="0.3">
      <c r="A526" t="s">
        <v>157</v>
      </c>
      <c r="E526" s="21" t="str">
        <f t="shared" si="42"/>
        <v/>
      </c>
      <c r="F526" s="22" t="str">
        <f>IF(OR(E526="",E526="!!!"),"",IF(NOT(ISNA(VLOOKUP(E526,E$1:E525,1,FALSE()))),"OLD",IF(AND(E526&lt;&gt;"",E526&lt;&gt;"!!!"),"NEW","")))</f>
        <v/>
      </c>
      <c r="G526" s="23" t="str">
        <f>IF(OR(E526="",E526="!!!"),"",IF(OR(J526=0,AND(J526=1,K526=1),AND(J526=1,I526="SBJ"),AND(J526=1,I526=0)),"?IN_FOCUS",IF(J526&lt;=2,"?ACTIVATED",IF(J526&lt;&gt;"","?FAMILIAR",IF(F526="NEW",IF(ISNA(VLOOKUP(E526,#REF!,1,FALSE())),"?TYPE_IDENTIFIABLE","?REFERENTIAL"),"_")))))</f>
        <v/>
      </c>
      <c r="H526" s="24" t="str">
        <f t="shared" ca="1" si="43"/>
        <v/>
      </c>
      <c r="I526" s="25" t="str">
        <f>IF(OR(E526="",E526="!!!",F526="NEW"),"",INDEX(B$2:B525,-1+SUMPRODUCT(MAX(ROW(E$2:E525)*(E526=E$2:E525)))))</f>
        <v/>
      </c>
      <c r="J526" s="25" t="str">
        <f ca="1">IF(OR(E526="",E526="!!!",F526="NEW"),"",COUNTBLANK(OFFSET(A$1,,,SUMPRODUCT(MAX(ROW(E$2:E526)*(E526=E$2:E526)))))-COUNTBLANK(OFFSET(A$1,,,SUMPRODUCT(MAX(ROW(E$1:E525)*(E2=E$1:E525))))))</f>
        <v/>
      </c>
      <c r="K526" s="25" t="str">
        <f>IF(OR(E526="",E526="!!!",F526="NEW"),"",INDEX(J$1:J525,SUMPRODUCT(MAX(ROW(E$1:E525)*(E526=E$1:E525)))))</f>
        <v/>
      </c>
      <c r="L526" s="26"/>
    </row>
    <row r="527" spans="1:12" x14ac:dyDescent="0.3">
      <c r="A527" t="s">
        <v>185</v>
      </c>
      <c r="B527" s="20" t="s">
        <v>289</v>
      </c>
      <c r="C527" s="20" t="s">
        <v>128</v>
      </c>
      <c r="D527" s="20" t="s">
        <v>112</v>
      </c>
      <c r="E527" s="21"/>
      <c r="F527" s="22" t="s">
        <v>391</v>
      </c>
      <c r="G527" s="23" t="str">
        <f>IF(OR(E527="",E527="!!!"),"",IF(OR(J527=0,AND(J527=1,K527=1),AND(J527=1,I527="SBJ"),AND(J527=1,I527=0)),"?IN_FOCUS",IF(J527&lt;=2,"?ACTIVATED",IF(J527&lt;&gt;"","?FAMILIAR",IF(F527="NEW",IF(ISNA(VLOOKUP(E527,#REF!,1,FALSE())),"?TYPE_IDENTIFIABLE","?REFERENTIAL"),"_")))))</f>
        <v/>
      </c>
      <c r="H527" s="24" t="str">
        <f t="shared" ca="1" si="43"/>
        <v/>
      </c>
      <c r="I527" s="25" t="str">
        <f>IF(OR(E527="",E527="!!!",F527="NEW"),"",INDEX(B$2:B526,-1+SUMPRODUCT(MAX(ROW(E$2:E526)*(E527=E$2:E526)))))</f>
        <v/>
      </c>
      <c r="J527" s="25" t="str">
        <f ca="1">IF(OR(E527="",E527="!!!",F527="NEW"),"",COUNTBLANK(OFFSET(A$1,,,SUMPRODUCT(MAX(ROW(E$2:E527)*(E527=E$2:E527)))))-COUNTBLANK(OFFSET(A$1,,,SUMPRODUCT(MAX(ROW(E$1:E526)*(E2=E$1:E526))))))</f>
        <v/>
      </c>
      <c r="K527" s="25" t="str">
        <f>IF(OR(E527="",E527="!!!",F527="NEW"),"",INDEX(J$1:J526,SUMPRODUCT(MAX(ROW(E$1:E526)*(E527=E$1:E526)))))</f>
        <v/>
      </c>
      <c r="L527" s="26"/>
    </row>
    <row r="528" spans="1:12" x14ac:dyDescent="0.3">
      <c r="A528" t="s">
        <v>367</v>
      </c>
      <c r="E528" s="21" t="str">
        <f t="shared" si="42"/>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ca="1" si="43"/>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323</v>
      </c>
      <c r="E529" s="21" t="str">
        <f t="shared" si="42"/>
        <v/>
      </c>
      <c r="F529" s="22" t="str">
        <f>IF(OR(E529="",E529="!!!"),"",IF(NOT(ISNA(VLOOKUP(E529,E$1:E528,1,FALSE()))),"OLD",IF(AND(E529&lt;&gt;"",E529&lt;&gt;"!!!"),"NEW","")))</f>
        <v/>
      </c>
      <c r="G529" s="23" t="str">
        <f>IF(OR(E529="",E529="!!!"),"",IF(OR(J529=0,AND(J529=1,K529=1),AND(J529=1,I529="SBJ"),AND(J529=1,I529=0)),"?IN_FOCUS",IF(J529&lt;=2,"?ACTIVATED",IF(J529&lt;&gt;"","?FAMILIAR",IF(F529="NEW",IF(ISNA(VLOOKUP(E529,#REF!,1,FALSE())),"?TYPE_IDENTIFIABLE","?REFERENTIAL"),"_")))))</f>
        <v/>
      </c>
      <c r="H529" s="24" t="str">
        <f t="shared" ca="1" si="43"/>
        <v/>
      </c>
      <c r="I529" s="25" t="str">
        <f>IF(OR(E529="",E529="!!!",F529="NEW"),"",INDEX(B$2:B528,-1+SUMPRODUCT(MAX(ROW(E$2:E528)*(E529=E$2:E528)))))</f>
        <v/>
      </c>
      <c r="J529" s="25" t="str">
        <f ca="1">IF(OR(E529="",E529="!!!",F529="NEW"),"",COUNTBLANK(OFFSET(A$1,,,SUMPRODUCT(MAX(ROW(E$2:E529)*(E529=E$2:E529)))))-COUNTBLANK(OFFSET(A$1,,,SUMPRODUCT(MAX(ROW(E$1:E528)*(E2=E$1:E528))))))</f>
        <v/>
      </c>
      <c r="K529" s="25" t="str">
        <f>IF(OR(E529="",E529="!!!",F529="NEW"),"",INDEX(J$1:J528,SUMPRODUCT(MAX(ROW(E$1:E528)*(E529=E$1:E528)))))</f>
        <v/>
      </c>
      <c r="L529" s="26"/>
    </row>
    <row r="530" spans="1:12" x14ac:dyDescent="0.3">
      <c r="A530" t="s">
        <v>143</v>
      </c>
      <c r="E530" s="21" t="str">
        <f t="shared" si="42"/>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43"/>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2024-12-05T17:52:24Z</dcterms:created>
  <dcterms:modified xsi:type="dcterms:W3CDTF">2025-02-02T13:18:47Z</dcterms:modified>
</cp:coreProperties>
</file>