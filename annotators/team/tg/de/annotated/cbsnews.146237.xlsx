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annotated\"/>
    </mc:Choice>
  </mc:AlternateContent>
  <xr:revisionPtr revIDLastSave="0" documentId="13_ncr:1_{B6A4CDCE-29AC-403F-8750-A280C05CC01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E458" i="2" l="1"/>
  <c r="E456" i="2"/>
  <c r="E455" i="2"/>
  <c r="G455" i="2" s="1"/>
  <c r="E454" i="2"/>
  <c r="G454" i="2" s="1"/>
  <c r="E453" i="2"/>
  <c r="F453" i="2" s="1"/>
  <c r="F452" i="2"/>
  <c r="F451" i="2"/>
  <c r="E451" i="2"/>
  <c r="E450" i="2"/>
  <c r="G449" i="2"/>
  <c r="E449" i="2"/>
  <c r="G448" i="2"/>
  <c r="F448" i="2"/>
  <c r="K448" i="2" s="1"/>
  <c r="E448" i="2"/>
  <c r="F447" i="2"/>
  <c r="J447" i="2" s="1"/>
  <c r="H447" i="2" s="1"/>
  <c r="E447" i="2"/>
  <c r="G447" i="2" s="1"/>
  <c r="E446" i="2"/>
  <c r="G446" i="2" s="1"/>
  <c r="G445" i="2"/>
  <c r="F445" i="2"/>
  <c r="J445" i="2" s="1"/>
  <c r="H445" i="2" s="1"/>
  <c r="E445" i="2"/>
  <c r="G444" i="2"/>
  <c r="F444" i="2"/>
  <c r="K444" i="2" s="1"/>
  <c r="E444" i="2"/>
  <c r="F443" i="2"/>
  <c r="E440" i="2"/>
  <c r="G439" i="2"/>
  <c r="E439" i="2"/>
  <c r="F438" i="2"/>
  <c r="I438" i="2" s="1"/>
  <c r="F437" i="2"/>
  <c r="J437" i="2" s="1"/>
  <c r="H437" i="2" s="1"/>
  <c r="E437" i="2"/>
  <c r="G437" i="2" s="1"/>
  <c r="G436" i="2"/>
  <c r="G435" i="2"/>
  <c r="F435" i="2"/>
  <c r="J435" i="2" s="1"/>
  <c r="H435" i="2" s="1"/>
  <c r="E435" i="2"/>
  <c r="E433" i="2"/>
  <c r="E432" i="2"/>
  <c r="G431" i="2"/>
  <c r="F431" i="2"/>
  <c r="K431" i="2" s="1"/>
  <c r="E431" i="2"/>
  <c r="G430" i="2"/>
  <c r="F430" i="2"/>
  <c r="I430" i="2" s="1"/>
  <c r="E430" i="2"/>
  <c r="F429" i="2"/>
  <c r="J429" i="2" s="1"/>
  <c r="H429" i="2" s="1"/>
  <c r="E428" i="2"/>
  <c r="G428" i="2" s="1"/>
  <c r="G427" i="2"/>
  <c r="F427" i="2"/>
  <c r="J427" i="2" s="1"/>
  <c r="H427" i="2" s="1"/>
  <c r="E427" i="2"/>
  <c r="G426" i="2"/>
  <c r="F426" i="2"/>
  <c r="K426" i="2" s="1"/>
  <c r="E426" i="2"/>
  <c r="E424" i="2"/>
  <c r="G423" i="2"/>
  <c r="F423" i="2"/>
  <c r="K423" i="2" s="1"/>
  <c r="E423" i="2"/>
  <c r="G422" i="2"/>
  <c r="F422" i="2"/>
  <c r="I422" i="2" s="1"/>
  <c r="E422" i="2"/>
  <c r="F421" i="2"/>
  <c r="I421" i="2" s="1"/>
  <c r="E421" i="2"/>
  <c r="G421" i="2" s="1"/>
  <c r="E420" i="2"/>
  <c r="G420" i="2" s="1"/>
  <c r="G419" i="2"/>
  <c r="F419" i="2"/>
  <c r="J419" i="2" s="1"/>
  <c r="H419" i="2" s="1"/>
  <c r="E419" i="2"/>
  <c r="G418" i="2"/>
  <c r="F418" i="2"/>
  <c r="K418" i="2" s="1"/>
  <c r="E418" i="2"/>
  <c r="E417" i="2"/>
  <c r="E416" i="2"/>
  <c r="G415" i="2"/>
  <c r="F415" i="2"/>
  <c r="J415" i="2" s="1"/>
  <c r="H415" i="2" s="1"/>
  <c r="E415" i="2"/>
  <c r="G414" i="2"/>
  <c r="F414" i="2"/>
  <c r="I414" i="2" s="1"/>
  <c r="E414" i="2"/>
  <c r="F413" i="2"/>
  <c r="J413" i="2" s="1"/>
  <c r="H413" i="2" s="1"/>
  <c r="E413" i="2"/>
  <c r="G413" i="2" s="1"/>
  <c r="E412" i="2"/>
  <c r="G412" i="2" s="1"/>
  <c r="G411" i="2"/>
  <c r="F411" i="2"/>
  <c r="J411" i="2" s="1"/>
  <c r="H411" i="2" s="1"/>
  <c r="E411" i="2"/>
  <c r="F410" i="2"/>
  <c r="E409" i="2"/>
  <c r="E408" i="2"/>
  <c r="G407" i="2"/>
  <c r="F407" i="2"/>
  <c r="K407" i="2" s="1"/>
  <c r="E407" i="2"/>
  <c r="G406" i="2"/>
  <c r="F406" i="2"/>
  <c r="I406" i="2" s="1"/>
  <c r="E406" i="2"/>
  <c r="F405" i="2"/>
  <c r="J405" i="2" s="1"/>
  <c r="H405" i="2" s="1"/>
  <c r="E405" i="2"/>
  <c r="G405" i="2" s="1"/>
  <c r="E404" i="2"/>
  <c r="G404" i="2" s="1"/>
  <c r="F403" i="2"/>
  <c r="J403" i="2" s="1"/>
  <c r="H403" i="2" s="1"/>
  <c r="G402" i="2"/>
  <c r="F402" i="2"/>
  <c r="K402" i="2" s="1"/>
  <c r="E402" i="2"/>
  <c r="E399" i="2"/>
  <c r="E398" i="2"/>
  <c r="G397" i="2"/>
  <c r="F397" i="2"/>
  <c r="I397" i="2" s="1"/>
  <c r="E397" i="2"/>
  <c r="G396" i="2"/>
  <c r="F396" i="2"/>
  <c r="I396" i="2" s="1"/>
  <c r="E396" i="2"/>
  <c r="F395" i="2"/>
  <c r="J395" i="2" s="1"/>
  <c r="H395" i="2" s="1"/>
  <c r="E395" i="2"/>
  <c r="G395" i="2" s="1"/>
  <c r="E394" i="2"/>
  <c r="G394" i="2" s="1"/>
  <c r="G393" i="2"/>
  <c r="F393" i="2"/>
  <c r="J393" i="2" s="1"/>
  <c r="H393" i="2" s="1"/>
  <c r="E393" i="2"/>
  <c r="G392" i="2"/>
  <c r="F392" i="2"/>
  <c r="K392" i="2" s="1"/>
  <c r="E392" i="2"/>
  <c r="E391" i="2"/>
  <c r="E390" i="2"/>
  <c r="G389" i="2"/>
  <c r="F389" i="2"/>
  <c r="I389" i="2" s="1"/>
  <c r="E389" i="2"/>
  <c r="G388" i="2"/>
  <c r="F388" i="2"/>
  <c r="I388" i="2" s="1"/>
  <c r="E388" i="2"/>
  <c r="F387" i="2"/>
  <c r="J387" i="2" s="1"/>
  <c r="H387" i="2" s="1"/>
  <c r="E387" i="2"/>
  <c r="G387" i="2" s="1"/>
  <c r="E386" i="2"/>
  <c r="G386" i="2" s="1"/>
  <c r="G385" i="2"/>
  <c r="F385" i="2"/>
  <c r="J385" i="2" s="1"/>
  <c r="H385" i="2" s="1"/>
  <c r="E385" i="2"/>
  <c r="F384" i="2"/>
  <c r="E383" i="2"/>
  <c r="G381" i="2"/>
  <c r="F381" i="2"/>
  <c r="I381" i="2" s="1"/>
  <c r="E381" i="2"/>
  <c r="G380" i="2"/>
  <c r="F380" i="2"/>
  <c r="I380" i="2" s="1"/>
  <c r="E380" i="2"/>
  <c r="F379" i="2"/>
  <c r="J379" i="2" s="1"/>
  <c r="H379" i="2" s="1"/>
  <c r="E379" i="2"/>
  <c r="G379" i="2" s="1"/>
  <c r="G377" i="2"/>
  <c r="F377" i="2"/>
  <c r="J377" i="2" s="1"/>
  <c r="H377" i="2" s="1"/>
  <c r="E377" i="2"/>
  <c r="G376" i="2"/>
  <c r="F376" i="2"/>
  <c r="K376" i="2" s="1"/>
  <c r="E376" i="2"/>
  <c r="E375" i="2"/>
  <c r="E374" i="2"/>
  <c r="G371" i="2"/>
  <c r="F371" i="2"/>
  <c r="I371" i="2" s="1"/>
  <c r="E371" i="2"/>
  <c r="G370" i="2"/>
  <c r="F370" i="2"/>
  <c r="I370" i="2" s="1"/>
  <c r="E370" i="2"/>
  <c r="F369" i="2"/>
  <c r="J369" i="2" s="1"/>
  <c r="H369" i="2" s="1"/>
  <c r="E369" i="2"/>
  <c r="G369" i="2" s="1"/>
  <c r="E368" i="2"/>
  <c r="G368" i="2" s="1"/>
  <c r="G367" i="2"/>
  <c r="F367" i="2"/>
  <c r="J367" i="2" s="1"/>
  <c r="H367" i="2" s="1"/>
  <c r="E367" i="2"/>
  <c r="F366" i="2"/>
  <c r="G363" i="2"/>
  <c r="F363" i="2"/>
  <c r="J363" i="2" s="1"/>
  <c r="H363" i="2" s="1"/>
  <c r="E363" i="2"/>
  <c r="G362" i="2"/>
  <c r="F362" i="2"/>
  <c r="K362" i="2" s="1"/>
  <c r="E362" i="2"/>
  <c r="F361" i="2"/>
  <c r="J361" i="2" s="1"/>
  <c r="H361" i="2" s="1"/>
  <c r="E361" i="2"/>
  <c r="G361" i="2" s="1"/>
  <c r="E360" i="2"/>
  <c r="G360" i="2" s="1"/>
  <c r="F359" i="2"/>
  <c r="G356" i="2"/>
  <c r="F356" i="2"/>
  <c r="E356" i="2"/>
  <c r="E355" i="2"/>
  <c r="E354" i="2"/>
  <c r="G353" i="2"/>
  <c r="F353" i="2"/>
  <c r="J353" i="2" s="1"/>
  <c r="H353" i="2" s="1"/>
  <c r="E353" i="2"/>
  <c r="G352" i="2"/>
  <c r="F352" i="2"/>
  <c r="K352" i="2" s="1"/>
  <c r="E352" i="2"/>
  <c r="F351" i="2"/>
  <c r="J351" i="2" s="1"/>
  <c r="H351" i="2" s="1"/>
  <c r="G349" i="2"/>
  <c r="F349" i="2"/>
  <c r="K349" i="2" s="1"/>
  <c r="E349" i="2"/>
  <c r="G348" i="2"/>
  <c r="F348" i="2"/>
  <c r="E348" i="2"/>
  <c r="E347" i="2"/>
  <c r="E346" i="2"/>
  <c r="G345" i="2"/>
  <c r="F345" i="2"/>
  <c r="J345" i="2" s="1"/>
  <c r="H345" i="2" s="1"/>
  <c r="E345" i="2"/>
  <c r="F344" i="2"/>
  <c r="J344" i="2" s="1"/>
  <c r="H344" i="2" s="1"/>
  <c r="F341" i="2"/>
  <c r="J341" i="2" s="1"/>
  <c r="H341" i="2" s="1"/>
  <c r="E341" i="2"/>
  <c r="G341" i="2" s="1"/>
  <c r="E340" i="2"/>
  <c r="G340" i="2" s="1"/>
  <c r="G339" i="2"/>
  <c r="F339" i="2"/>
  <c r="J339" i="2" s="1"/>
  <c r="H339" i="2" s="1"/>
  <c r="E339" i="2"/>
  <c r="F338" i="2"/>
  <c r="E337" i="2"/>
  <c r="E336" i="2"/>
  <c r="E335" i="2"/>
  <c r="G334" i="2"/>
  <c r="F334" i="2"/>
  <c r="K334" i="2" s="1"/>
  <c r="E334" i="2"/>
  <c r="G333" i="2"/>
  <c r="F333" i="2"/>
  <c r="K333" i="2" s="1"/>
  <c r="E333" i="2"/>
  <c r="F332" i="2"/>
  <c r="E332" i="2"/>
  <c r="G332" i="2" s="1"/>
  <c r="G330" i="2"/>
  <c r="F330" i="2"/>
  <c r="E330" i="2"/>
  <c r="E329" i="2"/>
  <c r="F328" i="2"/>
  <c r="J328" i="2" s="1"/>
  <c r="H328" i="2" s="1"/>
  <c r="E328" i="2"/>
  <c r="E327" i="2"/>
  <c r="G326" i="2"/>
  <c r="F326" i="2"/>
  <c r="K326" i="2" s="1"/>
  <c r="E326" i="2"/>
  <c r="G325" i="2"/>
  <c r="K325" i="2"/>
  <c r="F324" i="2"/>
  <c r="E324" i="2"/>
  <c r="G324" i="2" s="1"/>
  <c r="G323" i="2"/>
  <c r="E323" i="2"/>
  <c r="F322" i="2"/>
  <c r="G321" i="2"/>
  <c r="F320" i="2"/>
  <c r="J320" i="2" s="1"/>
  <c r="H320" i="2" s="1"/>
  <c r="E320" i="2"/>
  <c r="E319" i="2"/>
  <c r="F318" i="2"/>
  <c r="K318" i="2" s="1"/>
  <c r="G317" i="2"/>
  <c r="F317" i="2"/>
  <c r="J317" i="2" s="1"/>
  <c r="H317" i="2" s="1"/>
  <c r="E317" i="2"/>
  <c r="F316" i="2"/>
  <c r="E316" i="2"/>
  <c r="G316" i="2" s="1"/>
  <c r="E315" i="2"/>
  <c r="G314" i="2"/>
  <c r="F314" i="2"/>
  <c r="E314" i="2"/>
  <c r="G312" i="2"/>
  <c r="F312" i="2"/>
  <c r="J312" i="2" s="1"/>
  <c r="H312" i="2" s="1"/>
  <c r="E312" i="2"/>
  <c r="F309" i="2"/>
  <c r="I309" i="2" s="1"/>
  <c r="E309" i="2"/>
  <c r="E308" i="2"/>
  <c r="G307" i="2"/>
  <c r="F307" i="2"/>
  <c r="K307" i="2" s="1"/>
  <c r="E307" i="2"/>
  <c r="G306" i="2"/>
  <c r="F306" i="2"/>
  <c r="I306" i="2" s="1"/>
  <c r="E306" i="2"/>
  <c r="E305" i="2"/>
  <c r="F304" i="2"/>
  <c r="I304" i="2" s="1"/>
  <c r="E304" i="2"/>
  <c r="E303" i="2"/>
  <c r="F302" i="2"/>
  <c r="J302" i="2" s="1"/>
  <c r="H302" i="2" s="1"/>
  <c r="F301" i="2"/>
  <c r="J301" i="2" s="1"/>
  <c r="H301" i="2" s="1"/>
  <c r="E301" i="2"/>
  <c r="G301" i="2" s="1"/>
  <c r="E300" i="2"/>
  <c r="G299" i="2"/>
  <c r="F299" i="2"/>
  <c r="K299" i="2" s="1"/>
  <c r="E299" i="2"/>
  <c r="G298" i="2"/>
  <c r="F298" i="2"/>
  <c r="I298" i="2" s="1"/>
  <c r="E298" i="2"/>
  <c r="E297" i="2"/>
  <c r="F296" i="2"/>
  <c r="I296" i="2" s="1"/>
  <c r="E296" i="2"/>
  <c r="E295" i="2"/>
  <c r="F294" i="2"/>
  <c r="K294" i="2" s="1"/>
  <c r="F293" i="2"/>
  <c r="J293" i="2" s="1"/>
  <c r="H293" i="2" s="1"/>
  <c r="E293" i="2"/>
  <c r="G293" i="2" s="1"/>
  <c r="E292" i="2"/>
  <c r="G291" i="2"/>
  <c r="F291" i="2"/>
  <c r="J291" i="2" s="1"/>
  <c r="H291" i="2" s="1"/>
  <c r="E291" i="2"/>
  <c r="G290" i="2"/>
  <c r="F290" i="2"/>
  <c r="I290" i="2" s="1"/>
  <c r="E290" i="2"/>
  <c r="G289" i="2"/>
  <c r="E289" i="2"/>
  <c r="F288" i="2"/>
  <c r="I288" i="2" s="1"/>
  <c r="E288" i="2"/>
  <c r="E287" i="2"/>
  <c r="G286" i="2"/>
  <c r="F286" i="2"/>
  <c r="K286" i="2" s="1"/>
  <c r="E286" i="2"/>
  <c r="F285" i="2"/>
  <c r="E285" i="2"/>
  <c r="G285" i="2" s="1"/>
  <c r="E284" i="2"/>
  <c r="G283" i="2"/>
  <c r="F283" i="2"/>
  <c r="I283" i="2" s="1"/>
  <c r="E283" i="2"/>
  <c r="G282" i="2"/>
  <c r="F282" i="2"/>
  <c r="I282" i="2" s="1"/>
  <c r="E282" i="2"/>
  <c r="F280" i="2"/>
  <c r="I280" i="2" s="1"/>
  <c r="E280" i="2"/>
  <c r="E279" i="2"/>
  <c r="G278" i="2"/>
  <c r="F278" i="2"/>
  <c r="J278" i="2" s="1"/>
  <c r="H278" i="2" s="1"/>
  <c r="E278" i="2"/>
  <c r="G277" i="2"/>
  <c r="E277" i="2"/>
  <c r="F277" i="2" s="1"/>
  <c r="E276" i="2"/>
  <c r="E275" i="2"/>
  <c r="G272" i="2"/>
  <c r="F272" i="2"/>
  <c r="K272" i="2" s="1"/>
  <c r="E272" i="2"/>
  <c r="G271" i="2"/>
  <c r="F271" i="2"/>
  <c r="E271" i="2"/>
  <c r="E269" i="2"/>
  <c r="G268" i="2"/>
  <c r="F268" i="2"/>
  <c r="K268" i="2" s="1"/>
  <c r="E268" i="2"/>
  <c r="G267" i="2"/>
  <c r="F267" i="2"/>
  <c r="J267" i="2" s="1"/>
  <c r="H267" i="2" s="1"/>
  <c r="E267" i="2"/>
  <c r="F266" i="2"/>
  <c r="J266" i="2" s="1"/>
  <c r="H266" i="2" s="1"/>
  <c r="E265" i="2"/>
  <c r="E264" i="2"/>
  <c r="G263" i="2"/>
  <c r="F263" i="2"/>
  <c r="K263" i="2" s="1"/>
  <c r="E263" i="2"/>
  <c r="F262" i="2"/>
  <c r="K262" i="2" s="1"/>
  <c r="E262" i="2"/>
  <c r="G262" i="2" s="1"/>
  <c r="G260" i="2"/>
  <c r="F260" i="2"/>
  <c r="E260" i="2"/>
  <c r="G258" i="2"/>
  <c r="F258" i="2"/>
  <c r="J258" i="2" s="1"/>
  <c r="H258" i="2" s="1"/>
  <c r="E258" i="2"/>
  <c r="G257" i="2"/>
  <c r="F257" i="2"/>
  <c r="K257" i="2" s="1"/>
  <c r="E257" i="2"/>
  <c r="G256" i="2"/>
  <c r="E256" i="2"/>
  <c r="E255" i="2"/>
  <c r="F254" i="2"/>
  <c r="J254" i="2" s="1"/>
  <c r="H254" i="2" s="1"/>
  <c r="E254" i="2"/>
  <c r="G254" i="2" s="1"/>
  <c r="G253" i="2"/>
  <c r="E253" i="2"/>
  <c r="G252" i="2"/>
  <c r="F252" i="2"/>
  <c r="I252" i="2" s="1"/>
  <c r="E252" i="2"/>
  <c r="E251" i="2"/>
  <c r="E250" i="2"/>
  <c r="G249" i="2"/>
  <c r="F249" i="2"/>
  <c r="J249" i="2" s="1"/>
  <c r="H249" i="2" s="1"/>
  <c r="E249" i="2"/>
  <c r="G247" i="2"/>
  <c r="E247" i="2"/>
  <c r="G245" i="2"/>
  <c r="F245" i="2"/>
  <c r="J245" i="2" s="1"/>
  <c r="H245" i="2" s="1"/>
  <c r="E245" i="2"/>
  <c r="E243" i="2"/>
  <c r="G242" i="2"/>
  <c r="F242" i="2"/>
  <c r="I242" i="2" s="1"/>
  <c r="E242" i="2"/>
  <c r="F241" i="2"/>
  <c r="E241" i="2"/>
  <c r="E240" i="2"/>
  <c r="G239" i="2"/>
  <c r="F239" i="2"/>
  <c r="J239" i="2" s="1"/>
  <c r="H239" i="2" s="1"/>
  <c r="E239" i="2"/>
  <c r="E238" i="2"/>
  <c r="G237" i="2"/>
  <c r="E237" i="2"/>
  <c r="G236" i="2"/>
  <c r="F236" i="2"/>
  <c r="E236" i="2"/>
  <c r="G234" i="2"/>
  <c r="F234" i="2"/>
  <c r="I234" i="2" s="1"/>
  <c r="E234" i="2"/>
  <c r="F233" i="2"/>
  <c r="E233" i="2"/>
  <c r="G232" i="2"/>
  <c r="E232" i="2"/>
  <c r="G231" i="2"/>
  <c r="F231" i="2"/>
  <c r="E231" i="2"/>
  <c r="E230" i="2"/>
  <c r="E229" i="2"/>
  <c r="G228" i="2"/>
  <c r="F228" i="2"/>
  <c r="E228" i="2"/>
  <c r="E227" i="2"/>
  <c r="G226" i="2"/>
  <c r="F226" i="2"/>
  <c r="J226" i="2" s="1"/>
  <c r="H226" i="2" s="1"/>
  <c r="E226" i="2"/>
  <c r="E225" i="2"/>
  <c r="G224" i="2"/>
  <c r="E224" i="2"/>
  <c r="G223" i="2"/>
  <c r="F223" i="2"/>
  <c r="E223" i="2"/>
  <c r="E220" i="2"/>
  <c r="G219" i="2"/>
  <c r="E219" i="2"/>
  <c r="G218" i="2"/>
  <c r="F218" i="2"/>
  <c r="J218" i="2" s="1"/>
  <c r="H218" i="2" s="1"/>
  <c r="E218" i="2"/>
  <c r="G217" i="2"/>
  <c r="E217" i="2"/>
  <c r="G216" i="2"/>
  <c r="F216" i="2"/>
  <c r="E216" i="2"/>
  <c r="E215" i="2"/>
  <c r="E214" i="2"/>
  <c r="F213" i="2"/>
  <c r="J213" i="2" s="1"/>
  <c r="H213" i="2" s="1"/>
  <c r="F212" i="2"/>
  <c r="J212" i="2" s="1"/>
  <c r="H212" i="2" s="1"/>
  <c r="E212" i="2"/>
  <c r="G211" i="2"/>
  <c r="E211" i="2"/>
  <c r="G210" i="2"/>
  <c r="F210" i="2"/>
  <c r="J210" i="2" s="1"/>
  <c r="H210" i="2" s="1"/>
  <c r="E210" i="2"/>
  <c r="G209" i="2"/>
  <c r="E209" i="2"/>
  <c r="G208" i="2"/>
  <c r="F208" i="2"/>
  <c r="E208" i="2"/>
  <c r="E207" i="2"/>
  <c r="G206" i="2"/>
  <c r="E206" i="2"/>
  <c r="G205" i="2"/>
  <c r="F205" i="2"/>
  <c r="J205" i="2" s="1"/>
  <c r="H205" i="2" s="1"/>
  <c r="E205" i="2"/>
  <c r="F204" i="2"/>
  <c r="K204" i="2" s="1"/>
  <c r="E204" i="2"/>
  <c r="E203" i="2"/>
  <c r="G202" i="2"/>
  <c r="F202" i="2"/>
  <c r="J202" i="2" s="1"/>
  <c r="H202" i="2" s="1"/>
  <c r="E202" i="2"/>
  <c r="G200" i="2"/>
  <c r="F200" i="2"/>
  <c r="J200" i="2" s="1"/>
  <c r="H200" i="2" s="1"/>
  <c r="E200" i="2"/>
  <c r="F199" i="2"/>
  <c r="I199" i="2" s="1"/>
  <c r="E198" i="2"/>
  <c r="G197" i="2"/>
  <c r="F197" i="2"/>
  <c r="J197" i="2" s="1"/>
  <c r="H197" i="2" s="1"/>
  <c r="E197" i="2"/>
  <c r="E196" i="2"/>
  <c r="E195" i="2"/>
  <c r="G194" i="2"/>
  <c r="F194" i="2"/>
  <c r="J194" i="2" s="1"/>
  <c r="H194" i="2" s="1"/>
  <c r="E194" i="2"/>
  <c r="G190" i="2"/>
  <c r="F190" i="2"/>
  <c r="I190" i="2" s="1"/>
  <c r="E190" i="2"/>
  <c r="F189" i="2"/>
  <c r="K189" i="2" s="1"/>
  <c r="E189" i="2"/>
  <c r="G187" i="2"/>
  <c r="F187" i="2"/>
  <c r="J187" i="2" s="1"/>
  <c r="H187" i="2" s="1"/>
  <c r="E187" i="2"/>
  <c r="E185" i="2"/>
  <c r="G182" i="2"/>
  <c r="F182" i="2"/>
  <c r="E182" i="2"/>
  <c r="G181" i="2"/>
  <c r="E181" i="2"/>
  <c r="F180" i="2"/>
  <c r="J180" i="2" s="1"/>
  <c r="H180" i="2" s="1"/>
  <c r="F179" i="2"/>
  <c r="I179" i="2" s="1"/>
  <c r="E179" i="2"/>
  <c r="E178" i="2"/>
  <c r="G177" i="2"/>
  <c r="J177" i="2"/>
  <c r="H177" i="2" s="1"/>
  <c r="G175" i="2"/>
  <c r="E175" i="2"/>
  <c r="G174" i="2"/>
  <c r="F174" i="2"/>
  <c r="E174" i="2"/>
  <c r="E173" i="2"/>
  <c r="J172" i="2"/>
  <c r="H172" i="2" s="1"/>
  <c r="E171" i="2"/>
  <c r="E170" i="2"/>
  <c r="G169" i="2"/>
  <c r="F169" i="2"/>
  <c r="I169" i="2" s="1"/>
  <c r="E169" i="2"/>
  <c r="E167" i="2"/>
  <c r="G166" i="2"/>
  <c r="F166" i="2"/>
  <c r="I166" i="2" s="1"/>
  <c r="E166" i="2"/>
  <c r="E164" i="2"/>
  <c r="F163" i="2"/>
  <c r="K163" i="2" s="1"/>
  <c r="E163" i="2"/>
  <c r="G161" i="2"/>
  <c r="F161" i="2"/>
  <c r="I161" i="2" s="1"/>
  <c r="E161" i="2"/>
  <c r="F160" i="2"/>
  <c r="K160" i="2" s="1"/>
  <c r="E160" i="2"/>
  <c r="G160" i="2" s="1"/>
  <c r="G159" i="2"/>
  <c r="E159" i="2"/>
  <c r="G158" i="2"/>
  <c r="F158" i="2"/>
  <c r="J158" i="2" s="1"/>
  <c r="H158" i="2" s="1"/>
  <c r="E158" i="2"/>
  <c r="E157" i="2"/>
  <c r="F156" i="2"/>
  <c r="I156" i="2" s="1"/>
  <c r="E156" i="2"/>
  <c r="E155" i="2"/>
  <c r="G154" i="2"/>
  <c r="E154" i="2"/>
  <c r="G153" i="2"/>
  <c r="F153" i="2"/>
  <c r="I153" i="2" s="1"/>
  <c r="E153" i="2"/>
  <c r="E151" i="2"/>
  <c r="G150" i="2"/>
  <c r="F150" i="2"/>
  <c r="E150" i="2"/>
  <c r="F147" i="2"/>
  <c r="K147" i="2" s="1"/>
  <c r="E147" i="2"/>
  <c r="G146" i="2"/>
  <c r="E146" i="2"/>
  <c r="G145" i="2"/>
  <c r="F145" i="2"/>
  <c r="I145" i="2" s="1"/>
  <c r="E145" i="2"/>
  <c r="F144" i="2"/>
  <c r="K144" i="2" s="1"/>
  <c r="E144" i="2"/>
  <c r="G144" i="2" s="1"/>
  <c r="G143" i="2"/>
  <c r="E143" i="2"/>
  <c r="F142" i="2"/>
  <c r="J142" i="2" s="1"/>
  <c r="H142" i="2" s="1"/>
  <c r="E141" i="2"/>
  <c r="E138" i="2"/>
  <c r="E137" i="2"/>
  <c r="G136" i="2"/>
  <c r="E136" i="2"/>
  <c r="F135" i="2"/>
  <c r="I135" i="2" s="1"/>
  <c r="F134" i="2"/>
  <c r="E134" i="2"/>
  <c r="E133" i="2"/>
  <c r="G132" i="2"/>
  <c r="F132" i="2"/>
  <c r="E132" i="2"/>
  <c r="G131" i="2"/>
  <c r="F131" i="2"/>
  <c r="E131" i="2"/>
  <c r="E130" i="2"/>
  <c r="F129" i="2"/>
  <c r="K129" i="2" s="1"/>
  <c r="E129" i="2"/>
  <c r="E128" i="2"/>
  <c r="G127" i="2"/>
  <c r="F127" i="2"/>
  <c r="I127" i="2" s="1"/>
  <c r="E127" i="2"/>
  <c r="F126" i="2"/>
  <c r="K126" i="2" s="1"/>
  <c r="E126" i="2"/>
  <c r="G126" i="2" s="1"/>
  <c r="G125" i="2"/>
  <c r="E125" i="2"/>
  <c r="G124" i="2"/>
  <c r="F124" i="2"/>
  <c r="J124" i="2" s="1"/>
  <c r="H124" i="2" s="1"/>
  <c r="E124" i="2"/>
  <c r="E123" i="2"/>
  <c r="F122" i="2"/>
  <c r="I122" i="2" s="1"/>
  <c r="E121" i="2"/>
  <c r="G119" i="2"/>
  <c r="F119" i="2"/>
  <c r="I119" i="2" s="1"/>
  <c r="E119" i="2"/>
  <c r="F118" i="2"/>
  <c r="E118" i="2"/>
  <c r="G116" i="2"/>
  <c r="F116" i="2"/>
  <c r="K116" i="2" s="1"/>
  <c r="E116" i="2"/>
  <c r="G115" i="2"/>
  <c r="F115" i="2"/>
  <c r="I115" i="2" s="1"/>
  <c r="E115" i="2"/>
  <c r="E114" i="2"/>
  <c r="E113" i="2"/>
  <c r="E112" i="2"/>
  <c r="G111" i="2"/>
  <c r="F111" i="2"/>
  <c r="K111" i="2" s="1"/>
  <c r="E111" i="2"/>
  <c r="F110" i="2"/>
  <c r="E110" i="2"/>
  <c r="E109" i="2"/>
  <c r="F108" i="2"/>
  <c r="K108" i="2" s="1"/>
  <c r="E107" i="2"/>
  <c r="G107" i="2" s="1"/>
  <c r="G104" i="2"/>
  <c r="F104" i="2"/>
  <c r="J104" i="2" s="1"/>
  <c r="H104" i="2" s="1"/>
  <c r="E104" i="2"/>
  <c r="E102" i="2"/>
  <c r="E101" i="2"/>
  <c r="G101" i="2" s="1"/>
  <c r="F100" i="2"/>
  <c r="K100" i="2" s="1"/>
  <c r="E100" i="2"/>
  <c r="G100" i="2" s="1"/>
  <c r="E99" i="2"/>
  <c r="G98" i="2"/>
  <c r="F98" i="2"/>
  <c r="K98" i="2" s="1"/>
  <c r="E98" i="2"/>
  <c r="E97" i="2"/>
  <c r="E96" i="2"/>
  <c r="G95" i="2"/>
  <c r="F95" i="2"/>
  <c r="K95" i="2" s="1"/>
  <c r="E95" i="2"/>
  <c r="F94" i="2"/>
  <c r="F93" i="2"/>
  <c r="K93" i="2" s="1"/>
  <c r="E93" i="2"/>
  <c r="E92" i="2"/>
  <c r="G92" i="2" s="1"/>
  <c r="G91" i="2"/>
  <c r="E91" i="2"/>
  <c r="F91" i="2" s="1"/>
  <c r="K91" i="2" s="1"/>
  <c r="G90" i="2"/>
  <c r="F90" i="2"/>
  <c r="I90" i="2" s="1"/>
  <c r="E90" i="2"/>
  <c r="F89" i="2"/>
  <c r="E86" i="2"/>
  <c r="E85" i="2"/>
  <c r="G84" i="2"/>
  <c r="F84" i="2"/>
  <c r="K84" i="2" s="1"/>
  <c r="E84" i="2"/>
  <c r="G83" i="2"/>
  <c r="E83" i="2"/>
  <c r="F82" i="2"/>
  <c r="E82" i="2"/>
  <c r="F81" i="2"/>
  <c r="G80" i="2"/>
  <c r="K80" i="2"/>
  <c r="F79" i="2"/>
  <c r="G78" i="2"/>
  <c r="E78" i="2"/>
  <c r="F77" i="2"/>
  <c r="E76" i="2"/>
  <c r="F75" i="2"/>
  <c r="I75" i="2" s="1"/>
  <c r="F74" i="2"/>
  <c r="I74" i="2" s="1"/>
  <c r="E74" i="2"/>
  <c r="G73" i="2"/>
  <c r="E73" i="2"/>
  <c r="G72" i="2"/>
  <c r="F72" i="2"/>
  <c r="J72" i="2" s="1"/>
  <c r="H72" i="2" s="1"/>
  <c r="E72" i="2"/>
  <c r="G68" i="2"/>
  <c r="F68" i="2"/>
  <c r="J68" i="2" s="1"/>
  <c r="H68" i="2" s="1"/>
  <c r="E68" i="2"/>
  <c r="F67" i="2"/>
  <c r="E67" i="2"/>
  <c r="G67" i="2" s="1"/>
  <c r="F66" i="2"/>
  <c r="K66" i="2" s="1"/>
  <c r="E66" i="2"/>
  <c r="E65" i="2"/>
  <c r="G65" i="2" s="1"/>
  <c r="F64" i="2"/>
  <c r="K64" i="2" s="1"/>
  <c r="E64" i="2"/>
  <c r="G64" i="2" s="1"/>
  <c r="G62" i="2"/>
  <c r="F62" i="2"/>
  <c r="E62" i="2"/>
  <c r="E61" i="2"/>
  <c r="E60" i="2"/>
  <c r="F59" i="2"/>
  <c r="G58" i="2"/>
  <c r="E58" i="2"/>
  <c r="F57" i="2"/>
  <c r="E57" i="2"/>
  <c r="E56" i="2"/>
  <c r="G56" i="2" s="1"/>
  <c r="G55" i="2"/>
  <c r="E55" i="2"/>
  <c r="F55" i="2" s="1"/>
  <c r="I55" i="2" s="1"/>
  <c r="E53" i="2"/>
  <c r="F53" i="2" s="1"/>
  <c r="E51" i="2"/>
  <c r="E50" i="2"/>
  <c r="E49" i="2"/>
  <c r="G49" i="2" s="1"/>
  <c r="G48" i="2"/>
  <c r="F48" i="2"/>
  <c r="J48" i="2" s="1"/>
  <c r="H48" i="2" s="1"/>
  <c r="E48" i="2"/>
  <c r="G47" i="2"/>
  <c r="F47" i="2"/>
  <c r="K47" i="2" s="1"/>
  <c r="E47" i="2"/>
  <c r="F46" i="2"/>
  <c r="I46" i="2" s="1"/>
  <c r="E46" i="2"/>
  <c r="G46" i="2" s="1"/>
  <c r="F44" i="2"/>
  <c r="K44" i="2" s="1"/>
  <c r="E44" i="2"/>
  <c r="G44" i="2" s="1"/>
  <c r="E43" i="2"/>
  <c r="E41" i="2"/>
  <c r="G41" i="2" s="1"/>
  <c r="J40" i="2"/>
  <c r="G39" i="2"/>
  <c r="F39" i="2"/>
  <c r="J39" i="2" s="1"/>
  <c r="H39" i="2" s="1"/>
  <c r="E39" i="2"/>
  <c r="E38" i="2"/>
  <c r="F37" i="2"/>
  <c r="E36" i="2"/>
  <c r="F35" i="2"/>
  <c r="K35" i="2" s="1"/>
  <c r="E35" i="2"/>
  <c r="E34" i="2"/>
  <c r="E33" i="2"/>
  <c r="G33" i="2" s="1"/>
  <c r="G32" i="2"/>
  <c r="F32" i="2"/>
  <c r="I32" i="2" s="1"/>
  <c r="E32" i="2"/>
  <c r="G31" i="2"/>
  <c r="F31" i="2"/>
  <c r="J31" i="2" s="1"/>
  <c r="H31" i="2" s="1"/>
  <c r="E31" i="2"/>
  <c r="F30" i="2"/>
  <c r="I30" i="2" s="1"/>
  <c r="F29" i="2"/>
  <c r="E29" i="2"/>
  <c r="G28" i="2"/>
  <c r="F28" i="2"/>
  <c r="K28" i="2" s="1"/>
  <c r="E28" i="2"/>
  <c r="F27" i="2"/>
  <c r="K27" i="2" s="1"/>
  <c r="E27" i="2"/>
  <c r="E26" i="2"/>
  <c r="G25" i="2"/>
  <c r="E25" i="2"/>
  <c r="F25" i="2" s="1"/>
  <c r="J25" i="2" s="1"/>
  <c r="H25" i="2" s="1"/>
  <c r="K24" i="2"/>
  <c r="I24" i="2"/>
  <c r="J24" i="2"/>
  <c r="H24" i="2" s="1"/>
  <c r="E23" i="2"/>
  <c r="G22" i="2"/>
  <c r="F22" i="2"/>
  <c r="I22" i="2" s="1"/>
  <c r="E22" i="2"/>
  <c r="G21" i="2"/>
  <c r="F21" i="2"/>
  <c r="K21" i="2" s="1"/>
  <c r="E21" i="2"/>
  <c r="F20" i="2"/>
  <c r="K20" i="2" s="1"/>
  <c r="E20" i="2"/>
  <c r="G20" i="2" s="1"/>
  <c r="E19" i="2"/>
  <c r="G19" i="2" s="1"/>
  <c r="E18" i="2"/>
  <c r="G15" i="2"/>
  <c r="E15" i="2"/>
  <c r="F15" i="2" s="1"/>
  <c r="K15" i="2" s="1"/>
  <c r="F14" i="2"/>
  <c r="I14" i="2" s="1"/>
  <c r="E13" i="2"/>
  <c r="F12" i="2"/>
  <c r="E12" i="2"/>
  <c r="G11" i="2"/>
  <c r="G10" i="2"/>
  <c r="E10" i="2"/>
  <c r="E9" i="2"/>
  <c r="G9" i="2" s="1"/>
  <c r="E7" i="2"/>
  <c r="F7" i="2" s="1"/>
  <c r="I7" i="2" s="1"/>
  <c r="F6" i="2"/>
  <c r="J6" i="2" s="1"/>
  <c r="H6" i="2" s="1"/>
  <c r="F5" i="2"/>
  <c r="J5" i="2" s="1"/>
  <c r="H5" i="2" s="1"/>
  <c r="E5" i="2"/>
  <c r="G5" i="2" s="1"/>
  <c r="F4" i="2"/>
  <c r="I4" i="2" s="1"/>
  <c r="E4" i="2"/>
  <c r="J4" i="2" s="1"/>
  <c r="H4" i="2" s="1"/>
  <c r="I3" i="2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K410" i="2" l="1"/>
  <c r="I12" i="2"/>
  <c r="K7" i="2"/>
  <c r="K3" i="2"/>
  <c r="K384" i="2"/>
  <c r="K59" i="2"/>
  <c r="J127" i="2"/>
  <c r="H127" i="2" s="1"/>
  <c r="J298" i="2"/>
  <c r="H298" i="2" s="1"/>
  <c r="J371" i="2"/>
  <c r="H371" i="2" s="1"/>
  <c r="J388" i="2"/>
  <c r="H388" i="2" s="1"/>
  <c r="I402" i="2"/>
  <c r="K388" i="2"/>
  <c r="J421" i="2"/>
  <c r="H421" i="2" s="1"/>
  <c r="J349" i="2"/>
  <c r="H349" i="2" s="1"/>
  <c r="K406" i="2"/>
  <c r="J14" i="2"/>
  <c r="I15" i="2"/>
  <c r="I239" i="2"/>
  <c r="I48" i="2"/>
  <c r="K197" i="2"/>
  <c r="K290" i="2"/>
  <c r="I294" i="2"/>
  <c r="J334" i="2"/>
  <c r="H334" i="2" s="1"/>
  <c r="K377" i="2"/>
  <c r="K397" i="2"/>
  <c r="I407" i="2"/>
  <c r="I444" i="2"/>
  <c r="K40" i="2"/>
  <c r="K317" i="2"/>
  <c r="I302" i="2"/>
  <c r="K385" i="2"/>
  <c r="I429" i="2"/>
  <c r="K435" i="2"/>
  <c r="I6" i="2"/>
  <c r="K6" i="2"/>
  <c r="K14" i="2"/>
  <c r="I226" i="2"/>
  <c r="I291" i="2"/>
  <c r="I379" i="2"/>
  <c r="K415" i="2"/>
  <c r="I210" i="2"/>
  <c r="K419" i="2"/>
  <c r="J204" i="2"/>
  <c r="H204" i="2" s="1"/>
  <c r="K210" i="2"/>
  <c r="I108" i="2"/>
  <c r="I111" i="2"/>
  <c r="J268" i="2"/>
  <c r="H268" i="2" s="1"/>
  <c r="K282" i="2"/>
  <c r="J306" i="2"/>
  <c r="H306" i="2" s="1"/>
  <c r="K32" i="2"/>
  <c r="I40" i="2"/>
  <c r="J108" i="2"/>
  <c r="I160" i="2"/>
  <c r="K306" i="2"/>
  <c r="I325" i="2"/>
  <c r="K371" i="2"/>
  <c r="I448" i="2"/>
  <c r="K127" i="2"/>
  <c r="J234" i="2"/>
  <c r="H234" i="2" s="1"/>
  <c r="J263" i="2"/>
  <c r="H263" i="2" s="1"/>
  <c r="I341" i="2"/>
  <c r="J448" i="2"/>
  <c r="H448" i="2" s="1"/>
  <c r="J161" i="2"/>
  <c r="H161" i="2" s="1"/>
  <c r="K177" i="2"/>
  <c r="I197" i="2"/>
  <c r="J423" i="2"/>
  <c r="H423" i="2" s="1"/>
  <c r="I47" i="2"/>
  <c r="I72" i="2"/>
  <c r="K226" i="2"/>
  <c r="I377" i="2"/>
  <c r="I393" i="2"/>
  <c r="J430" i="2"/>
  <c r="H430" i="2" s="1"/>
  <c r="K31" i="2"/>
  <c r="K190" i="2"/>
  <c r="I286" i="2"/>
  <c r="K312" i="2"/>
  <c r="I410" i="2"/>
  <c r="I180" i="2"/>
  <c r="J362" i="2"/>
  <c r="H362" i="2" s="1"/>
  <c r="J81" i="2"/>
  <c r="H81" i="2" s="1"/>
  <c r="J252" i="2"/>
  <c r="H252" i="2" s="1"/>
  <c r="I25" i="2"/>
  <c r="I31" i="2"/>
  <c r="J55" i="2"/>
  <c r="H55" i="2" s="1"/>
  <c r="K72" i="2"/>
  <c r="J190" i="2"/>
  <c r="H190" i="2" s="1"/>
  <c r="I202" i="2"/>
  <c r="K267" i="2"/>
  <c r="J283" i="2"/>
  <c r="H283" i="2" s="1"/>
  <c r="J286" i="2"/>
  <c r="H286" i="2" s="1"/>
  <c r="K291" i="2"/>
  <c r="K298" i="2"/>
  <c r="J325" i="2"/>
  <c r="H325" i="2" s="1"/>
  <c r="K339" i="2"/>
  <c r="J380" i="2"/>
  <c r="H380" i="2" s="1"/>
  <c r="J396" i="2"/>
  <c r="H396" i="2" s="1"/>
  <c r="K422" i="2"/>
  <c r="K430" i="2"/>
  <c r="I437" i="2"/>
  <c r="K218" i="2"/>
  <c r="K25" i="2"/>
  <c r="K55" i="2"/>
  <c r="J75" i="2"/>
  <c r="K79" i="2" s="1"/>
  <c r="I116" i="2"/>
  <c r="K200" i="2"/>
  <c r="K283" i="2"/>
  <c r="J307" i="2"/>
  <c r="H307" i="2" s="1"/>
  <c r="I326" i="2"/>
  <c r="I349" i="2"/>
  <c r="I361" i="2"/>
  <c r="I376" i="2"/>
  <c r="K380" i="2"/>
  <c r="K393" i="2"/>
  <c r="K396" i="2"/>
  <c r="J407" i="2"/>
  <c r="H407" i="2" s="1"/>
  <c r="J414" i="2"/>
  <c r="H414" i="2" s="1"/>
  <c r="I418" i="2"/>
  <c r="J64" i="2"/>
  <c r="H64" i="2" s="1"/>
  <c r="K75" i="2"/>
  <c r="J116" i="2"/>
  <c r="H116" i="2" s="1"/>
  <c r="I144" i="2"/>
  <c r="I334" i="2"/>
  <c r="I415" i="2"/>
  <c r="K252" i="2"/>
  <c r="I317" i="2"/>
  <c r="I362" i="2"/>
  <c r="I392" i="2"/>
  <c r="I403" i="2"/>
  <c r="I447" i="2"/>
  <c r="J32" i="2"/>
  <c r="H32" i="2" s="1"/>
  <c r="K48" i="2"/>
  <c r="K145" i="2"/>
  <c r="K161" i="2"/>
  <c r="K208" i="2"/>
  <c r="K212" i="2"/>
  <c r="J242" i="2"/>
  <c r="H242" i="2" s="1"/>
  <c r="K278" i="2"/>
  <c r="J326" i="2"/>
  <c r="H326" i="2" s="1"/>
  <c r="I333" i="2"/>
  <c r="I351" i="2"/>
  <c r="I359" i="2"/>
  <c r="I369" i="2"/>
  <c r="I384" i="2"/>
  <c r="K451" i="2"/>
  <c r="I68" i="2"/>
  <c r="I80" i="2"/>
  <c r="I271" i="2"/>
  <c r="J318" i="2"/>
  <c r="J333" i="2"/>
  <c r="H333" i="2" s="1"/>
  <c r="I344" i="2"/>
  <c r="K345" i="2"/>
  <c r="I367" i="2"/>
  <c r="J406" i="2"/>
  <c r="H406" i="2" s="1"/>
  <c r="K411" i="2"/>
  <c r="J80" i="2"/>
  <c r="H80" i="2" s="1"/>
  <c r="I91" i="2"/>
  <c r="J144" i="2"/>
  <c r="H144" i="2" s="1"/>
  <c r="J160" i="2"/>
  <c r="H160" i="2" s="1"/>
  <c r="I352" i="2"/>
  <c r="K353" i="2"/>
  <c r="I387" i="2"/>
  <c r="J431" i="2"/>
  <c r="H431" i="2" s="1"/>
  <c r="K445" i="2"/>
  <c r="J91" i="2"/>
  <c r="H91" i="2" s="1"/>
  <c r="K158" i="2"/>
  <c r="I189" i="2"/>
  <c r="J294" i="2"/>
  <c r="K302" i="2" s="1"/>
  <c r="K309" i="2"/>
  <c r="K363" i="2"/>
  <c r="I385" i="2"/>
  <c r="I395" i="2"/>
  <c r="K414" i="2"/>
  <c r="J422" i="2"/>
  <c r="H422" i="2" s="1"/>
  <c r="K427" i="2"/>
  <c r="I126" i="2"/>
  <c r="K202" i="2"/>
  <c r="K205" i="2"/>
  <c r="I263" i="2"/>
  <c r="I268" i="2"/>
  <c r="I278" i="2"/>
  <c r="J290" i="2"/>
  <c r="H290" i="2" s="1"/>
  <c r="I299" i="2"/>
  <c r="J359" i="2"/>
  <c r="K367" i="2"/>
  <c r="J381" i="2"/>
  <c r="H381" i="2" s="1"/>
  <c r="I405" i="2"/>
  <c r="I59" i="2"/>
  <c r="I79" i="2"/>
  <c r="I81" i="2"/>
  <c r="J126" i="2"/>
  <c r="H126" i="2" s="1"/>
  <c r="I147" i="2"/>
  <c r="I194" i="2"/>
  <c r="J299" i="2"/>
  <c r="H299" i="2" s="1"/>
  <c r="I307" i="2"/>
  <c r="J352" i="2"/>
  <c r="H352" i="2" s="1"/>
  <c r="J370" i="2"/>
  <c r="H370" i="2" s="1"/>
  <c r="K381" i="2"/>
  <c r="J389" i="2"/>
  <c r="H389" i="2" s="1"/>
  <c r="I413" i="2"/>
  <c r="I423" i="2"/>
  <c r="I426" i="2"/>
  <c r="J438" i="2"/>
  <c r="J15" i="2"/>
  <c r="H15" i="2" s="1"/>
  <c r="J35" i="2"/>
  <c r="H35" i="2" s="1"/>
  <c r="I95" i="2"/>
  <c r="J111" i="2"/>
  <c r="H111" i="2" s="1"/>
  <c r="K124" i="2"/>
  <c r="I172" i="2"/>
  <c r="I187" i="2"/>
  <c r="K194" i="2"/>
  <c r="I318" i="2"/>
  <c r="I339" i="2"/>
  <c r="K370" i="2"/>
  <c r="K389" i="2"/>
  <c r="J397" i="2"/>
  <c r="H397" i="2" s="1"/>
  <c r="I431" i="2"/>
  <c r="I434" i="2"/>
  <c r="J84" i="2"/>
  <c r="H84" i="2" s="1"/>
  <c r="I104" i="2"/>
  <c r="J145" i="2"/>
  <c r="H145" i="2" s="1"/>
  <c r="K187" i="2"/>
  <c r="I267" i="2"/>
  <c r="J272" i="2"/>
  <c r="H272" i="2" s="1"/>
  <c r="G23" i="2"/>
  <c r="G34" i="2"/>
  <c r="F34" i="2"/>
  <c r="I34" i="2" s="1"/>
  <c r="I100" i="2"/>
  <c r="K119" i="2"/>
  <c r="J119" i="2"/>
  <c r="H119" i="2" s="1"/>
  <c r="G121" i="2"/>
  <c r="F121" i="2"/>
  <c r="I121" i="2" s="1"/>
  <c r="I129" i="2"/>
  <c r="J132" i="2"/>
  <c r="H132" i="2" s="1"/>
  <c r="K132" i="2"/>
  <c r="J182" i="2"/>
  <c r="H182" i="2" s="1"/>
  <c r="K182" i="2"/>
  <c r="F193" i="2"/>
  <c r="I193" i="2" s="1"/>
  <c r="G238" i="2"/>
  <c r="F238" i="2"/>
  <c r="K238" i="2" s="1"/>
  <c r="F297" i="2"/>
  <c r="K297" i="2" s="1"/>
  <c r="K452" i="2"/>
  <c r="J452" i="2"/>
  <c r="I452" i="2"/>
  <c r="J3" i="2"/>
  <c r="K142" i="2" s="1"/>
  <c r="G4" i="2"/>
  <c r="I5" i="2"/>
  <c r="F8" i="2"/>
  <c r="F11" i="2"/>
  <c r="J11" i="2" s="1"/>
  <c r="H11" i="2" s="1"/>
  <c r="K22" i="2"/>
  <c r="J22" i="2"/>
  <c r="H22" i="2" s="1"/>
  <c r="G26" i="2"/>
  <c r="F26" i="2"/>
  <c r="J28" i="2"/>
  <c r="H28" i="2" s="1"/>
  <c r="I28" i="2"/>
  <c r="K30" i="2"/>
  <c r="J30" i="2"/>
  <c r="F36" i="2"/>
  <c r="I36" i="2" s="1"/>
  <c r="F38" i="2"/>
  <c r="K38" i="2" s="1"/>
  <c r="I39" i="2"/>
  <c r="J47" i="2"/>
  <c r="H47" i="2" s="1"/>
  <c r="F58" i="2"/>
  <c r="J58" i="2" s="1"/>
  <c r="H58" i="2" s="1"/>
  <c r="F78" i="2"/>
  <c r="K78" i="2" s="1"/>
  <c r="J79" i="2"/>
  <c r="K344" i="2" s="1"/>
  <c r="F83" i="2"/>
  <c r="J83" i="2" s="1"/>
  <c r="H83" i="2" s="1"/>
  <c r="K89" i="2"/>
  <c r="J89" i="2"/>
  <c r="I89" i="2"/>
  <c r="J100" i="2"/>
  <c r="H100" i="2" s="1"/>
  <c r="J103" i="2"/>
  <c r="K403" i="2" s="1"/>
  <c r="G113" i="2"/>
  <c r="F113" i="2"/>
  <c r="K113" i="2" s="1"/>
  <c r="J122" i="2"/>
  <c r="G152" i="2"/>
  <c r="K152" i="2"/>
  <c r="J152" i="2"/>
  <c r="H152" i="2" s="1"/>
  <c r="I152" i="2"/>
  <c r="F159" i="2"/>
  <c r="K159" i="2" s="1"/>
  <c r="F165" i="2"/>
  <c r="K165" i="2" s="1"/>
  <c r="I177" i="2"/>
  <c r="F214" i="2"/>
  <c r="J214" i="2" s="1"/>
  <c r="H214" i="2" s="1"/>
  <c r="G214" i="2"/>
  <c r="J233" i="2"/>
  <c r="H233" i="2" s="1"/>
  <c r="G233" i="2"/>
  <c r="K233" i="2"/>
  <c r="I233" i="2"/>
  <c r="K285" i="2"/>
  <c r="I285" i="2"/>
  <c r="G297" i="2"/>
  <c r="G347" i="2"/>
  <c r="F347" i="2"/>
  <c r="J347" i="2" s="1"/>
  <c r="H347" i="2" s="1"/>
  <c r="J20" i="2"/>
  <c r="H20" i="2" s="1"/>
  <c r="G51" i="2"/>
  <c r="F99" i="2"/>
  <c r="J99" i="2" s="1"/>
  <c r="H99" i="2" s="1"/>
  <c r="J150" i="2"/>
  <c r="H150" i="2" s="1"/>
  <c r="K150" i="2"/>
  <c r="F198" i="2"/>
  <c r="K198" i="2" s="1"/>
  <c r="J260" i="2"/>
  <c r="H260" i="2" s="1"/>
  <c r="K260" i="2"/>
  <c r="I260" i="2"/>
  <c r="K5" i="2"/>
  <c r="G43" i="2"/>
  <c r="J62" i="2"/>
  <c r="H62" i="2" s="1"/>
  <c r="I62" i="2"/>
  <c r="G99" i="2"/>
  <c r="F128" i="2"/>
  <c r="I128" i="2" s="1"/>
  <c r="I132" i="2"/>
  <c r="G171" i="2"/>
  <c r="F173" i="2"/>
  <c r="J173" i="2" s="1"/>
  <c r="H173" i="2" s="1"/>
  <c r="G173" i="2"/>
  <c r="I182" i="2"/>
  <c r="G198" i="2"/>
  <c r="J236" i="2"/>
  <c r="H236" i="2" s="1"/>
  <c r="K236" i="2"/>
  <c r="I236" i="2"/>
  <c r="I324" i="2"/>
  <c r="J324" i="2"/>
  <c r="H324" i="2" s="1"/>
  <c r="G36" i="2"/>
  <c r="G38" i="2"/>
  <c r="K53" i="2"/>
  <c r="J53" i="2"/>
  <c r="H53" i="2" s="1"/>
  <c r="I53" i="2"/>
  <c r="G137" i="2"/>
  <c r="F137" i="2"/>
  <c r="J137" i="2" s="1"/>
  <c r="H137" i="2" s="1"/>
  <c r="G196" i="2"/>
  <c r="F196" i="2"/>
  <c r="K196" i="2" s="1"/>
  <c r="K453" i="2"/>
  <c r="J453" i="2"/>
  <c r="H453" i="2" s="1"/>
  <c r="I453" i="2"/>
  <c r="F13" i="2"/>
  <c r="I13" i="2" s="1"/>
  <c r="F19" i="2"/>
  <c r="K19" i="2" s="1"/>
  <c r="F51" i="2"/>
  <c r="I51" i="2" s="1"/>
  <c r="G97" i="2"/>
  <c r="F97" i="2"/>
  <c r="I97" i="2" s="1"/>
  <c r="F109" i="2"/>
  <c r="J109" i="2" s="1"/>
  <c r="H109" i="2" s="1"/>
  <c r="G109" i="2"/>
  <c r="G7" i="2"/>
  <c r="F10" i="2"/>
  <c r="J10" i="2" s="1"/>
  <c r="H10" i="2" s="1"/>
  <c r="G13" i="2"/>
  <c r="J21" i="2"/>
  <c r="H21" i="2" s="1"/>
  <c r="I21" i="2"/>
  <c r="I35" i="2"/>
  <c r="G35" i="2"/>
  <c r="K37" i="2"/>
  <c r="J37" i="2"/>
  <c r="K81" i="2" s="1"/>
  <c r="I37" i="2"/>
  <c r="F43" i="2"/>
  <c r="K43" i="2" s="1"/>
  <c r="I45" i="2"/>
  <c r="G53" i="2"/>
  <c r="I66" i="2"/>
  <c r="J66" i="2"/>
  <c r="H66" i="2" s="1"/>
  <c r="G66" i="2"/>
  <c r="F73" i="2"/>
  <c r="K73" i="2" s="1"/>
  <c r="J93" i="2"/>
  <c r="H93" i="2" s="1"/>
  <c r="I93" i="2"/>
  <c r="G93" i="2"/>
  <c r="F114" i="2"/>
  <c r="K114" i="2" s="1"/>
  <c r="G128" i="2"/>
  <c r="I131" i="2"/>
  <c r="K131" i="2"/>
  <c r="J131" i="2"/>
  <c r="H131" i="2" s="1"/>
  <c r="F138" i="2"/>
  <c r="I138" i="2" s="1"/>
  <c r="K153" i="2"/>
  <c r="J153" i="2"/>
  <c r="H153" i="2" s="1"/>
  <c r="G155" i="2"/>
  <c r="F155" i="2"/>
  <c r="K155" i="2" s="1"/>
  <c r="I163" i="2"/>
  <c r="J166" i="2"/>
  <c r="H166" i="2" s="1"/>
  <c r="K166" i="2"/>
  <c r="F168" i="2"/>
  <c r="J168" i="2" s="1"/>
  <c r="H168" i="2" s="1"/>
  <c r="F171" i="2"/>
  <c r="J171" i="2" s="1"/>
  <c r="H171" i="2" s="1"/>
  <c r="I176" i="2"/>
  <c r="G176" i="2"/>
  <c r="K176" i="2"/>
  <c r="J176" i="2"/>
  <c r="H176" i="2" s="1"/>
  <c r="J179" i="2"/>
  <c r="H179" i="2" s="1"/>
  <c r="G179" i="2"/>
  <c r="K179" i="2"/>
  <c r="F201" i="2"/>
  <c r="J201" i="2" s="1"/>
  <c r="H201" i="2" s="1"/>
  <c r="J208" i="2"/>
  <c r="H208" i="2" s="1"/>
  <c r="I208" i="2"/>
  <c r="G225" i="2"/>
  <c r="F225" i="2"/>
  <c r="K225" i="2" s="1"/>
  <c r="J228" i="2"/>
  <c r="H228" i="2" s="1"/>
  <c r="K228" i="2"/>
  <c r="I228" i="2"/>
  <c r="J231" i="2"/>
  <c r="H231" i="2" s="1"/>
  <c r="K231" i="2"/>
  <c r="I231" i="2"/>
  <c r="I249" i="2"/>
  <c r="G255" i="2"/>
  <c r="F255" i="2"/>
  <c r="I255" i="2" s="1"/>
  <c r="K271" i="2"/>
  <c r="J271" i="2"/>
  <c r="H271" i="2" s="1"/>
  <c r="F305" i="2"/>
  <c r="K305" i="2" s="1"/>
  <c r="G305" i="2"/>
  <c r="K135" i="2"/>
  <c r="J135" i="2"/>
  <c r="K254" i="2"/>
  <c r="I254" i="2"/>
  <c r="J338" i="2"/>
  <c r="K438" i="2" s="1"/>
  <c r="I338" i="2"/>
  <c r="K12" i="2"/>
  <c r="J12" i="2"/>
  <c r="H12" i="2" s="1"/>
  <c r="G18" i="2"/>
  <c r="F18" i="2"/>
  <c r="J18" i="2" s="1"/>
  <c r="H18" i="2" s="1"/>
  <c r="I27" i="2"/>
  <c r="G27" i="2"/>
  <c r="K29" i="2"/>
  <c r="J29" i="2"/>
  <c r="H29" i="2" s="1"/>
  <c r="I29" i="2"/>
  <c r="K39" i="2"/>
  <c r="J57" i="2"/>
  <c r="H57" i="2" s="1"/>
  <c r="I57" i="2"/>
  <c r="G57" i="2"/>
  <c r="K62" i="2"/>
  <c r="I64" i="2"/>
  <c r="J77" i="2"/>
  <c r="H77" i="2" s="1"/>
  <c r="I77" i="2"/>
  <c r="G77" i="2"/>
  <c r="G82" i="2"/>
  <c r="J82" i="2"/>
  <c r="H82" i="2" s="1"/>
  <c r="I82" i="2"/>
  <c r="G110" i="2"/>
  <c r="K110" i="2"/>
  <c r="J110" i="2"/>
  <c r="H110" i="2" s="1"/>
  <c r="I110" i="2"/>
  <c r="G114" i="2"/>
  <c r="G118" i="2"/>
  <c r="K118" i="2"/>
  <c r="J118" i="2"/>
  <c r="H118" i="2" s="1"/>
  <c r="I118" i="2"/>
  <c r="F125" i="2"/>
  <c r="J125" i="2" s="1"/>
  <c r="H125" i="2" s="1"/>
  <c r="G138" i="2"/>
  <c r="F146" i="2"/>
  <c r="K146" i="2" s="1"/>
  <c r="I150" i="2"/>
  <c r="K156" i="2"/>
  <c r="J156" i="2"/>
  <c r="H156" i="2" s="1"/>
  <c r="J174" i="2"/>
  <c r="H174" i="2" s="1"/>
  <c r="K174" i="2"/>
  <c r="I174" i="2"/>
  <c r="F181" i="2"/>
  <c r="I181" i="2" s="1"/>
  <c r="F203" i="2"/>
  <c r="K203" i="2" s="1"/>
  <c r="G203" i="2"/>
  <c r="K249" i="2"/>
  <c r="F279" i="2"/>
  <c r="I279" i="2" s="1"/>
  <c r="G279" i="2"/>
  <c r="K90" i="2"/>
  <c r="J90" i="2"/>
  <c r="H90" i="2" s="1"/>
  <c r="G50" i="2"/>
  <c r="F50" i="2"/>
  <c r="K50" i="2" s="1"/>
  <c r="G61" i="2"/>
  <c r="F63" i="2"/>
  <c r="I63" i="2" s="1"/>
  <c r="G86" i="2"/>
  <c r="G102" i="2"/>
  <c r="F102" i="2"/>
  <c r="I102" i="2" s="1"/>
  <c r="J169" i="2"/>
  <c r="H169" i="2" s="1"/>
  <c r="K169" i="2"/>
  <c r="F188" i="2"/>
  <c r="F229" i="2"/>
  <c r="J229" i="2" s="1"/>
  <c r="H229" i="2" s="1"/>
  <c r="G229" i="2"/>
  <c r="K277" i="2"/>
  <c r="I277" i="2"/>
  <c r="K4" i="2"/>
  <c r="J7" i="2"/>
  <c r="H7" i="2" s="1"/>
  <c r="F9" i="2"/>
  <c r="J9" i="2" s="1"/>
  <c r="H9" i="2" s="1"/>
  <c r="K10" i="2"/>
  <c r="G12" i="2"/>
  <c r="I20" i="2"/>
  <c r="F23" i="2"/>
  <c r="K23" i="2" s="1"/>
  <c r="J27" i="2"/>
  <c r="H27" i="2" s="1"/>
  <c r="G29" i="2"/>
  <c r="F42" i="2"/>
  <c r="J42" i="2" s="1"/>
  <c r="H42" i="2" s="1"/>
  <c r="J44" i="2"/>
  <c r="H44" i="2" s="1"/>
  <c r="I44" i="2"/>
  <c r="K46" i="2"/>
  <c r="J46" i="2"/>
  <c r="H46" i="2" s="1"/>
  <c r="F52" i="2"/>
  <c r="F54" i="2"/>
  <c r="K54" i="2" s="1"/>
  <c r="K57" i="2"/>
  <c r="F61" i="2"/>
  <c r="J61" i="2" s="1"/>
  <c r="H61" i="2" s="1"/>
  <c r="J67" i="2"/>
  <c r="H67" i="2" s="1"/>
  <c r="K67" i="2"/>
  <c r="I67" i="2"/>
  <c r="G74" i="2"/>
  <c r="K74" i="2"/>
  <c r="J74" i="2"/>
  <c r="H74" i="2" s="1"/>
  <c r="K77" i="2"/>
  <c r="K82" i="2"/>
  <c r="F86" i="2"/>
  <c r="J86" i="2" s="1"/>
  <c r="H86" i="2" s="1"/>
  <c r="I94" i="2"/>
  <c r="J94" i="2"/>
  <c r="K122" i="2" s="1"/>
  <c r="J98" i="2"/>
  <c r="H98" i="2" s="1"/>
  <c r="I98" i="2"/>
  <c r="K115" i="2"/>
  <c r="J115" i="2"/>
  <c r="H115" i="2" s="1"/>
  <c r="G134" i="2"/>
  <c r="K134" i="2"/>
  <c r="J134" i="2"/>
  <c r="H134" i="2" s="1"/>
  <c r="I134" i="2"/>
  <c r="F143" i="2"/>
  <c r="K143" i="2" s="1"/>
  <c r="F149" i="2"/>
  <c r="I149" i="2" s="1"/>
  <c r="G156" i="2"/>
  <c r="F162" i="2"/>
  <c r="J162" i="2" s="1"/>
  <c r="I186" i="2"/>
  <c r="F211" i="2"/>
  <c r="J211" i="2" s="1"/>
  <c r="H211" i="2" s="1"/>
  <c r="J216" i="2"/>
  <c r="H216" i="2" s="1"/>
  <c r="I216" i="2"/>
  <c r="J223" i="2"/>
  <c r="H223" i="2" s="1"/>
  <c r="K223" i="2"/>
  <c r="I223" i="2"/>
  <c r="F243" i="2"/>
  <c r="I243" i="2" s="1"/>
  <c r="G243" i="2"/>
  <c r="I248" i="2"/>
  <c r="G248" i="2"/>
  <c r="K248" i="2"/>
  <c r="J248" i="2"/>
  <c r="H248" i="2" s="1"/>
  <c r="G251" i="2"/>
  <c r="F251" i="2"/>
  <c r="I251" i="2" s="1"/>
  <c r="F253" i="2"/>
  <c r="K253" i="2" s="1"/>
  <c r="F265" i="2"/>
  <c r="J265" i="2" s="1"/>
  <c r="H265" i="2" s="1"/>
  <c r="G265" i="2"/>
  <c r="G284" i="2"/>
  <c r="F284" i="2"/>
  <c r="I284" i="2" s="1"/>
  <c r="F287" i="2"/>
  <c r="K287" i="2" s="1"/>
  <c r="G287" i="2"/>
  <c r="G300" i="2"/>
  <c r="F300" i="2"/>
  <c r="J300" i="2" s="1"/>
  <c r="H300" i="2" s="1"/>
  <c r="F206" i="2"/>
  <c r="K206" i="2" s="1"/>
  <c r="K216" i="2"/>
  <c r="F219" i="2"/>
  <c r="I219" i="2" s="1"/>
  <c r="J241" i="2"/>
  <c r="H241" i="2" s="1"/>
  <c r="G241" i="2"/>
  <c r="F281" i="2"/>
  <c r="I281" i="2" s="1"/>
  <c r="F289" i="2"/>
  <c r="I289" i="2" s="1"/>
  <c r="G292" i="2"/>
  <c r="F292" i="2"/>
  <c r="K292" i="2" s="1"/>
  <c r="J321" i="2"/>
  <c r="H321" i="2" s="1"/>
  <c r="F178" i="2"/>
  <c r="I178" i="2" s="1"/>
  <c r="F195" i="2"/>
  <c r="K195" i="2" s="1"/>
  <c r="G215" i="2"/>
  <c r="G230" i="2"/>
  <c r="F235" i="2"/>
  <c r="K235" i="2" s="1"/>
  <c r="K239" i="2"/>
  <c r="I241" i="2"/>
  <c r="I245" i="2"/>
  <c r="F250" i="2"/>
  <c r="I250" i="2" s="1"/>
  <c r="I258" i="2"/>
  <c r="F269" i="2"/>
  <c r="J269" i="2" s="1"/>
  <c r="H269" i="2" s="1"/>
  <c r="G275" i="2"/>
  <c r="F295" i="2"/>
  <c r="K295" i="2" s="1"/>
  <c r="G295" i="2"/>
  <c r="J322" i="2"/>
  <c r="K443" i="2" s="1"/>
  <c r="I322" i="2"/>
  <c r="F329" i="2"/>
  <c r="J329" i="2" s="1"/>
  <c r="H329" i="2" s="1"/>
  <c r="K356" i="2"/>
  <c r="J356" i="2"/>
  <c r="H356" i="2" s="1"/>
  <c r="I356" i="2"/>
  <c r="F117" i="2"/>
  <c r="F130" i="2"/>
  <c r="J130" i="2" s="1"/>
  <c r="H130" i="2" s="1"/>
  <c r="F133" i="2"/>
  <c r="K133" i="2" s="1"/>
  <c r="F148" i="2"/>
  <c r="J148" i="2" s="1"/>
  <c r="H148" i="2" s="1"/>
  <c r="F151" i="2"/>
  <c r="K151" i="2" s="1"/>
  <c r="F164" i="2"/>
  <c r="J164" i="2" s="1"/>
  <c r="H164" i="2" s="1"/>
  <c r="F167" i="2"/>
  <c r="K167" i="2" s="1"/>
  <c r="F170" i="2"/>
  <c r="J170" i="2" s="1"/>
  <c r="H170" i="2" s="1"/>
  <c r="G178" i="2"/>
  <c r="F185" i="2"/>
  <c r="J185" i="2" s="1"/>
  <c r="H185" i="2" s="1"/>
  <c r="G195" i="2"/>
  <c r="G207" i="2"/>
  <c r="F215" i="2"/>
  <c r="K215" i="2" s="1"/>
  <c r="G220" i="2"/>
  <c r="F227" i="2"/>
  <c r="I227" i="2" s="1"/>
  <c r="F230" i="2"/>
  <c r="K230" i="2" s="1"/>
  <c r="F240" i="2"/>
  <c r="J240" i="2" s="1"/>
  <c r="H240" i="2" s="1"/>
  <c r="K241" i="2"/>
  <c r="K245" i="2"/>
  <c r="G250" i="2"/>
  <c r="G264" i="2"/>
  <c r="G269" i="2"/>
  <c r="F275" i="2"/>
  <c r="J275" i="2" s="1"/>
  <c r="H275" i="2" s="1"/>
  <c r="I293" i="2"/>
  <c r="F303" i="2"/>
  <c r="J303" i="2" s="1"/>
  <c r="H303" i="2" s="1"/>
  <c r="G303" i="2"/>
  <c r="G329" i="2"/>
  <c r="I332" i="2"/>
  <c r="J332" i="2"/>
  <c r="H332" i="2" s="1"/>
  <c r="F33" i="2"/>
  <c r="F41" i="2"/>
  <c r="F49" i="2"/>
  <c r="F56" i="2"/>
  <c r="F60" i="2"/>
  <c r="F65" i="2"/>
  <c r="F71" i="2"/>
  <c r="F76" i="2"/>
  <c r="I76" i="2" s="1"/>
  <c r="F85" i="2"/>
  <c r="J85" i="2" s="1"/>
  <c r="H85" i="2" s="1"/>
  <c r="F92" i="2"/>
  <c r="F96" i="2"/>
  <c r="F101" i="2"/>
  <c r="F107" i="2"/>
  <c r="F112" i="2"/>
  <c r="I112" i="2" s="1"/>
  <c r="F120" i="2"/>
  <c r="I120" i="2" s="1"/>
  <c r="F123" i="2"/>
  <c r="I123" i="2" s="1"/>
  <c r="G130" i="2"/>
  <c r="G133" i="2"/>
  <c r="F136" i="2"/>
  <c r="I136" i="2" s="1"/>
  <c r="F141" i="2"/>
  <c r="I141" i="2" s="1"/>
  <c r="G148" i="2"/>
  <c r="G151" i="2"/>
  <c r="F154" i="2"/>
  <c r="F157" i="2"/>
  <c r="I157" i="2" s="1"/>
  <c r="G164" i="2"/>
  <c r="G167" i="2"/>
  <c r="G170" i="2"/>
  <c r="K172" i="2"/>
  <c r="F175" i="2"/>
  <c r="K175" i="2" s="1"/>
  <c r="G185" i="2"/>
  <c r="J199" i="2"/>
  <c r="I200" i="2"/>
  <c r="F207" i="2"/>
  <c r="J207" i="2" s="1"/>
  <c r="H207" i="2" s="1"/>
  <c r="I212" i="2"/>
  <c r="G212" i="2"/>
  <c r="I213" i="2"/>
  <c r="F217" i="2"/>
  <c r="I217" i="2" s="1"/>
  <c r="F220" i="2"/>
  <c r="I220" i="2" s="1"/>
  <c r="G227" i="2"/>
  <c r="F232" i="2"/>
  <c r="J232" i="2" s="1"/>
  <c r="H232" i="2" s="1"/>
  <c r="G240" i="2"/>
  <c r="K242" i="2"/>
  <c r="F247" i="2"/>
  <c r="K247" i="2" s="1"/>
  <c r="I257" i="2"/>
  <c r="F259" i="2"/>
  <c r="I259" i="2" s="1"/>
  <c r="J262" i="2"/>
  <c r="H262" i="2" s="1"/>
  <c r="F264" i="2"/>
  <c r="J264" i="2" s="1"/>
  <c r="H264" i="2" s="1"/>
  <c r="I266" i="2"/>
  <c r="K293" i="2"/>
  <c r="I301" i="2"/>
  <c r="J59" i="2"/>
  <c r="K180" i="2" s="1"/>
  <c r="G60" i="2"/>
  <c r="K68" i="2"/>
  <c r="G76" i="2"/>
  <c r="I84" i="2"/>
  <c r="G85" i="2"/>
  <c r="J95" i="2"/>
  <c r="H95" i="2" s="1"/>
  <c r="G96" i="2"/>
  <c r="K104" i="2"/>
  <c r="G112" i="2"/>
  <c r="G123" i="2"/>
  <c r="I124" i="2"/>
  <c r="J129" i="2"/>
  <c r="H129" i="2" s="1"/>
  <c r="G129" i="2"/>
  <c r="G141" i="2"/>
  <c r="I142" i="2"/>
  <c r="J147" i="2"/>
  <c r="H147" i="2" s="1"/>
  <c r="G147" i="2"/>
  <c r="G157" i="2"/>
  <c r="I158" i="2"/>
  <c r="J163" i="2"/>
  <c r="H163" i="2" s="1"/>
  <c r="G163" i="2"/>
  <c r="J189" i="2"/>
  <c r="H189" i="2" s="1"/>
  <c r="G189" i="2"/>
  <c r="I204" i="2"/>
  <c r="G204" i="2"/>
  <c r="I205" i="2"/>
  <c r="F209" i="2"/>
  <c r="I209" i="2" s="1"/>
  <c r="I218" i="2"/>
  <c r="F224" i="2"/>
  <c r="J224" i="2" s="1"/>
  <c r="H224" i="2" s="1"/>
  <c r="K234" i="2"/>
  <c r="F237" i="2"/>
  <c r="K237" i="2" s="1"/>
  <c r="F256" i="2"/>
  <c r="K256" i="2" s="1"/>
  <c r="F261" i="2"/>
  <c r="J261" i="2" s="1"/>
  <c r="H261" i="2" s="1"/>
  <c r="I270" i="2"/>
  <c r="G276" i="2"/>
  <c r="F276" i="2"/>
  <c r="I276" i="2" s="1"/>
  <c r="K301" i="2"/>
  <c r="I316" i="2"/>
  <c r="J316" i="2"/>
  <c r="H316" i="2" s="1"/>
  <c r="K330" i="2"/>
  <c r="J330" i="2"/>
  <c r="H330" i="2" s="1"/>
  <c r="I330" i="2"/>
  <c r="I262" i="2"/>
  <c r="J277" i="2"/>
  <c r="H277" i="2" s="1"/>
  <c r="J282" i="2"/>
  <c r="H282" i="2" s="1"/>
  <c r="J285" i="2"/>
  <c r="H285" i="2" s="1"/>
  <c r="G308" i="2"/>
  <c r="F308" i="2"/>
  <c r="J308" i="2" s="1"/>
  <c r="H308" i="2" s="1"/>
  <c r="K314" i="2"/>
  <c r="J314" i="2"/>
  <c r="H314" i="2" s="1"/>
  <c r="G319" i="2"/>
  <c r="F319" i="2"/>
  <c r="J319" i="2" s="1"/>
  <c r="H319" i="2" s="1"/>
  <c r="G327" i="2"/>
  <c r="F327" i="2"/>
  <c r="J327" i="2" s="1"/>
  <c r="H327" i="2" s="1"/>
  <c r="G335" i="2"/>
  <c r="F335" i="2"/>
  <c r="K348" i="2"/>
  <c r="J348" i="2"/>
  <c r="H348" i="2" s="1"/>
  <c r="I348" i="2"/>
  <c r="G355" i="2"/>
  <c r="F355" i="2"/>
  <c r="I355" i="2" s="1"/>
  <c r="K258" i="2"/>
  <c r="I272" i="2"/>
  <c r="K280" i="2"/>
  <c r="J280" i="2"/>
  <c r="H280" i="2" s="1"/>
  <c r="G280" i="2"/>
  <c r="K288" i="2"/>
  <c r="J288" i="2"/>
  <c r="H288" i="2" s="1"/>
  <c r="G288" i="2"/>
  <c r="K296" i="2"/>
  <c r="J296" i="2"/>
  <c r="H296" i="2" s="1"/>
  <c r="G296" i="2"/>
  <c r="K304" i="2"/>
  <c r="J304" i="2"/>
  <c r="H304" i="2" s="1"/>
  <c r="G304" i="2"/>
  <c r="J309" i="2"/>
  <c r="H309" i="2" s="1"/>
  <c r="G309" i="2"/>
  <c r="F313" i="2"/>
  <c r="I314" i="2"/>
  <c r="K320" i="2"/>
  <c r="K328" i="2"/>
  <c r="F315" i="2"/>
  <c r="K315" i="2" s="1"/>
  <c r="G337" i="2"/>
  <c r="F337" i="2"/>
  <c r="K337" i="2" s="1"/>
  <c r="J257" i="2"/>
  <c r="H257" i="2" s="1"/>
  <c r="K266" i="2"/>
  <c r="G315" i="2"/>
  <c r="F323" i="2"/>
  <c r="I323" i="2" s="1"/>
  <c r="I331" i="2"/>
  <c r="G453" i="2"/>
  <c r="K365" i="2"/>
  <c r="F375" i="2"/>
  <c r="K375" i="2" s="1"/>
  <c r="F383" i="2"/>
  <c r="I383" i="2" s="1"/>
  <c r="F391" i="2"/>
  <c r="K391" i="2" s="1"/>
  <c r="F399" i="2"/>
  <c r="I399" i="2" s="1"/>
  <c r="F409" i="2"/>
  <c r="K409" i="2" s="1"/>
  <c r="F417" i="2"/>
  <c r="K417" i="2" s="1"/>
  <c r="F425" i="2"/>
  <c r="F433" i="2"/>
  <c r="K433" i="2" s="1"/>
  <c r="F336" i="2"/>
  <c r="K336" i="2" s="1"/>
  <c r="K341" i="2"/>
  <c r="F346" i="2"/>
  <c r="K346" i="2" s="1"/>
  <c r="K351" i="2"/>
  <c r="F354" i="2"/>
  <c r="K354" i="2" s="1"/>
  <c r="K361" i="2"/>
  <c r="F364" i="2"/>
  <c r="G365" i="2"/>
  <c r="K369" i="2"/>
  <c r="F374" i="2"/>
  <c r="K374" i="2" s="1"/>
  <c r="G375" i="2"/>
  <c r="K379" i="2"/>
  <c r="J382" i="2"/>
  <c r="H382" i="2" s="1"/>
  <c r="G383" i="2"/>
  <c r="K387" i="2"/>
  <c r="F390" i="2"/>
  <c r="I390" i="2" s="1"/>
  <c r="G391" i="2"/>
  <c r="K395" i="2"/>
  <c r="F398" i="2"/>
  <c r="K398" i="2" s="1"/>
  <c r="G399" i="2"/>
  <c r="K405" i="2"/>
  <c r="F408" i="2"/>
  <c r="K408" i="2" s="1"/>
  <c r="G409" i="2"/>
  <c r="I411" i="2"/>
  <c r="K413" i="2"/>
  <c r="F416" i="2"/>
  <c r="K416" i="2" s="1"/>
  <c r="G417" i="2"/>
  <c r="I419" i="2"/>
  <c r="K421" i="2"/>
  <c r="F424" i="2"/>
  <c r="K424" i="2" s="1"/>
  <c r="I427" i="2"/>
  <c r="F432" i="2"/>
  <c r="K432" i="2" s="1"/>
  <c r="G433" i="2"/>
  <c r="I435" i="2"/>
  <c r="K437" i="2"/>
  <c r="F440" i="2"/>
  <c r="K440" i="2" s="1"/>
  <c r="I445" i="2"/>
  <c r="K447" i="2"/>
  <c r="F450" i="2"/>
  <c r="K450" i="2" s="1"/>
  <c r="G451" i="2"/>
  <c r="F458" i="2"/>
  <c r="K458" i="2" s="1"/>
  <c r="K316" i="2"/>
  <c r="G320" i="2"/>
  <c r="K324" i="2"/>
  <c r="G328" i="2"/>
  <c r="K332" i="2"/>
  <c r="G336" i="2"/>
  <c r="G346" i="2"/>
  <c r="G354" i="2"/>
  <c r="I366" i="2"/>
  <c r="G374" i="2"/>
  <c r="G382" i="2"/>
  <c r="G390" i="2"/>
  <c r="G398" i="2"/>
  <c r="G408" i="2"/>
  <c r="G416" i="2"/>
  <c r="G424" i="2"/>
  <c r="G432" i="2"/>
  <c r="F439" i="2"/>
  <c r="G440" i="2"/>
  <c r="F449" i="2"/>
  <c r="K449" i="2" s="1"/>
  <c r="G450" i="2"/>
  <c r="F457" i="2"/>
  <c r="J457" i="2" s="1"/>
  <c r="H457" i="2" s="1"/>
  <c r="G458" i="2"/>
  <c r="J366" i="2"/>
  <c r="J376" i="2"/>
  <c r="H376" i="2" s="1"/>
  <c r="J384" i="2"/>
  <c r="J392" i="2"/>
  <c r="H392" i="2" s="1"/>
  <c r="J402" i="2"/>
  <c r="H402" i="2" s="1"/>
  <c r="J410" i="2"/>
  <c r="J418" i="2"/>
  <c r="H418" i="2" s="1"/>
  <c r="J426" i="2"/>
  <c r="H426" i="2" s="1"/>
  <c r="J434" i="2"/>
  <c r="I443" i="2"/>
  <c r="J444" i="2"/>
  <c r="H444" i="2" s="1"/>
  <c r="I451" i="2"/>
  <c r="F456" i="2"/>
  <c r="K456" i="2" s="1"/>
  <c r="I312" i="2"/>
  <c r="I320" i="2"/>
  <c r="I328" i="2"/>
  <c r="J443" i="2"/>
  <c r="H443" i="2" s="1"/>
  <c r="J451" i="2"/>
  <c r="H451" i="2" s="1"/>
  <c r="F455" i="2"/>
  <c r="I455" i="2" s="1"/>
  <c r="G456" i="2"/>
  <c r="F340" i="2"/>
  <c r="I340" i="2" s="1"/>
  <c r="I345" i="2"/>
  <c r="F350" i="2"/>
  <c r="I350" i="2" s="1"/>
  <c r="I353" i="2"/>
  <c r="F360" i="2"/>
  <c r="I360" i="2" s="1"/>
  <c r="I363" i="2"/>
  <c r="F368" i="2"/>
  <c r="I368" i="2" s="1"/>
  <c r="F378" i="2"/>
  <c r="I378" i="2" s="1"/>
  <c r="F386" i="2"/>
  <c r="I386" i="2" s="1"/>
  <c r="F394" i="2"/>
  <c r="I394" i="2" s="1"/>
  <c r="F404" i="2"/>
  <c r="I404" i="2" s="1"/>
  <c r="F412" i="2"/>
  <c r="I412" i="2" s="1"/>
  <c r="F420" i="2"/>
  <c r="I420" i="2" s="1"/>
  <c r="F428" i="2"/>
  <c r="I428" i="2" s="1"/>
  <c r="I436" i="2"/>
  <c r="F446" i="2"/>
  <c r="I446" i="2" s="1"/>
  <c r="F454" i="2"/>
  <c r="I454" i="2" s="1"/>
  <c r="K434" i="2" l="1"/>
  <c r="G434" i="2" s="1"/>
  <c r="H452" i="2"/>
  <c r="H434" i="2"/>
  <c r="H410" i="2"/>
  <c r="H318" i="2"/>
  <c r="H294" i="2"/>
  <c r="K117" i="2"/>
  <c r="K199" i="2"/>
  <c r="K213" i="2"/>
  <c r="H135" i="2"/>
  <c r="H103" i="2"/>
  <c r="H89" i="2"/>
  <c r="H438" i="2"/>
  <c r="K34" i="2"/>
  <c r="H3" i="2"/>
  <c r="I10" i="2"/>
  <c r="H366" i="2"/>
  <c r="K366" i="2"/>
  <c r="H359" i="2"/>
  <c r="K313" i="2"/>
  <c r="H322" i="2"/>
  <c r="H108" i="2"/>
  <c r="H94" i="2"/>
  <c r="J195" i="2"/>
  <c r="H195" i="2" s="1"/>
  <c r="H79" i="2"/>
  <c r="H75" i="2"/>
  <c r="H37" i="2"/>
  <c r="H30" i="2"/>
  <c r="H59" i="2"/>
  <c r="I336" i="2"/>
  <c r="J97" i="2"/>
  <c r="H97" i="2" s="1"/>
  <c r="I215" i="2"/>
  <c r="J219" i="2"/>
  <c r="H219" i="2" s="1"/>
  <c r="I185" i="2"/>
  <c r="K219" i="2"/>
  <c r="J440" i="2"/>
  <c r="H440" i="2" s="1"/>
  <c r="H14" i="2"/>
  <c r="J432" i="2"/>
  <c r="H432" i="2" s="1"/>
  <c r="K97" i="2"/>
  <c r="K201" i="2"/>
  <c r="J253" i="2"/>
  <c r="H253" i="2" s="1"/>
  <c r="I201" i="2"/>
  <c r="I253" i="2"/>
  <c r="J13" i="2"/>
  <c r="H13" i="2" s="1"/>
  <c r="J279" i="2"/>
  <c r="H279" i="2" s="1"/>
  <c r="I425" i="2"/>
  <c r="I450" i="2"/>
  <c r="I198" i="2"/>
  <c r="J425" i="2"/>
  <c r="K429" i="2" s="1"/>
  <c r="I424" i="2"/>
  <c r="K300" i="2"/>
  <c r="J390" i="2"/>
  <c r="H390" i="2" s="1"/>
  <c r="I433" i="2"/>
  <c r="K269" i="2"/>
  <c r="J215" i="2"/>
  <c r="H215" i="2" s="1"/>
  <c r="K138" i="2"/>
  <c r="J417" i="2"/>
  <c r="H417" i="2" s="1"/>
  <c r="J409" i="2"/>
  <c r="H409" i="2" s="1"/>
  <c r="I170" i="2"/>
  <c r="I113" i="2"/>
  <c r="I224" i="2"/>
  <c r="J408" i="2"/>
  <c r="H408" i="2" s="1"/>
  <c r="I354" i="2"/>
  <c r="I409" i="2"/>
  <c r="I256" i="2"/>
  <c r="K170" i="2"/>
  <c r="K224" i="2"/>
  <c r="J399" i="2"/>
  <c r="H399" i="2" s="1"/>
  <c r="J354" i="2"/>
  <c r="H354" i="2" s="1"/>
  <c r="I416" i="2"/>
  <c r="I346" i="2"/>
  <c r="I264" i="2"/>
  <c r="I300" i="2"/>
  <c r="I305" i="2"/>
  <c r="I73" i="2"/>
  <c r="J346" i="2"/>
  <c r="H346" i="2" s="1"/>
  <c r="I398" i="2"/>
  <c r="K270" i="2"/>
  <c r="K265" i="2"/>
  <c r="K51" i="2"/>
  <c r="K137" i="2"/>
  <c r="I432" i="2"/>
  <c r="I391" i="2"/>
  <c r="J383" i="2"/>
  <c r="H383" i="2" s="1"/>
  <c r="I449" i="2"/>
  <c r="J336" i="2"/>
  <c r="H336" i="2" s="1"/>
  <c r="I382" i="2"/>
  <c r="I337" i="2"/>
  <c r="I313" i="2"/>
  <c r="K264" i="2"/>
  <c r="K255" i="2"/>
  <c r="I159" i="2"/>
  <c r="J250" i="2"/>
  <c r="H250" i="2" s="1"/>
  <c r="K232" i="2"/>
  <c r="J374" i="2"/>
  <c r="H374" i="2" s="1"/>
  <c r="J450" i="2"/>
  <c r="H450" i="2" s="1"/>
  <c r="J375" i="2"/>
  <c r="H375" i="2" s="1"/>
  <c r="I375" i="2"/>
  <c r="J337" i="2"/>
  <c r="H337" i="2" s="1"/>
  <c r="K303" i="2"/>
  <c r="J230" i="2"/>
  <c r="H230" i="2" s="1"/>
  <c r="J178" i="2"/>
  <c r="H178" i="2" s="1"/>
  <c r="I240" i="2"/>
  <c r="I269" i="2"/>
  <c r="J51" i="2"/>
  <c r="H51" i="2" s="1"/>
  <c r="J159" i="2"/>
  <c r="H159" i="2" s="1"/>
  <c r="K250" i="2"/>
  <c r="I265" i="2"/>
  <c r="J54" i="2"/>
  <c r="K188" i="2" s="1"/>
  <c r="J391" i="2"/>
  <c r="H391" i="2" s="1"/>
  <c r="I130" i="2"/>
  <c r="I295" i="2"/>
  <c r="I229" i="2"/>
  <c r="J186" i="2"/>
  <c r="K193" i="2" s="1"/>
  <c r="K63" i="2"/>
  <c r="I203" i="2"/>
  <c r="I146" i="2"/>
  <c r="I155" i="2"/>
  <c r="I38" i="2"/>
  <c r="I19" i="2"/>
  <c r="I196" i="2"/>
  <c r="I99" i="2"/>
  <c r="J113" i="2"/>
  <c r="H113" i="2" s="1"/>
  <c r="I165" i="2"/>
  <c r="J365" i="2"/>
  <c r="H365" i="2" s="1"/>
  <c r="J420" i="2"/>
  <c r="H420" i="2" s="1"/>
  <c r="K399" i="2"/>
  <c r="J295" i="2"/>
  <c r="H295" i="2" s="1"/>
  <c r="I287" i="2"/>
  <c r="K186" i="2"/>
  <c r="K279" i="2"/>
  <c r="J203" i="2"/>
  <c r="H203" i="2" s="1"/>
  <c r="J305" i="2"/>
  <c r="H305" i="2" s="1"/>
  <c r="J255" i="2"/>
  <c r="H255" i="2" s="1"/>
  <c r="K394" i="2"/>
  <c r="K340" i="2"/>
  <c r="K331" i="2"/>
  <c r="K178" i="2"/>
  <c r="J287" i="2"/>
  <c r="H287" i="2" s="1"/>
  <c r="I18" i="2"/>
  <c r="K125" i="2"/>
  <c r="J19" i="2"/>
  <c r="H19" i="2" s="1"/>
  <c r="I225" i="2"/>
  <c r="J196" i="2"/>
  <c r="H196" i="2" s="1"/>
  <c r="K109" i="2"/>
  <c r="K11" i="2"/>
  <c r="I137" i="2"/>
  <c r="J34" i="2"/>
  <c r="H34" i="2" s="1"/>
  <c r="I83" i="2"/>
  <c r="J238" i="2"/>
  <c r="H238" i="2" s="1"/>
  <c r="K83" i="2"/>
  <c r="K148" i="2"/>
  <c r="J43" i="2"/>
  <c r="H43" i="2" s="1"/>
  <c r="I11" i="2"/>
  <c r="I457" i="2"/>
  <c r="J424" i="2"/>
  <c r="H424" i="2" s="1"/>
  <c r="J433" i="2"/>
  <c r="H433" i="2" s="1"/>
  <c r="J313" i="2"/>
  <c r="K322" i="2" s="1"/>
  <c r="K240" i="2"/>
  <c r="K321" i="2"/>
  <c r="K102" i="2"/>
  <c r="K229" i="2"/>
  <c r="J52" i="2"/>
  <c r="J181" i="2"/>
  <c r="H181" i="2" s="1"/>
  <c r="J193" i="2"/>
  <c r="K259" i="2" s="1"/>
  <c r="I365" i="2"/>
  <c r="K428" i="2"/>
  <c r="J340" i="2"/>
  <c r="H340" i="2" s="1"/>
  <c r="I148" i="2"/>
  <c r="J243" i="2"/>
  <c r="H243" i="2" s="1"/>
  <c r="K181" i="2"/>
  <c r="I364" i="2"/>
  <c r="I308" i="2"/>
  <c r="I292" i="2"/>
  <c r="K251" i="2"/>
  <c r="K243" i="2"/>
  <c r="K211" i="2"/>
  <c r="J146" i="2"/>
  <c r="H146" i="2" s="1"/>
  <c r="J138" i="2"/>
  <c r="H138" i="2" s="1"/>
  <c r="K36" i="2"/>
  <c r="I43" i="2"/>
  <c r="K347" i="2"/>
  <c r="J121" i="2"/>
  <c r="H121" i="2" s="1"/>
  <c r="J439" i="2"/>
  <c r="H439" i="2" s="1"/>
  <c r="K439" i="2"/>
  <c r="J458" i="2"/>
  <c r="H458" i="2" s="1"/>
  <c r="J398" i="2"/>
  <c r="H398" i="2" s="1"/>
  <c r="J364" i="2"/>
  <c r="I440" i="2"/>
  <c r="I408" i="2"/>
  <c r="I374" i="2"/>
  <c r="K436" i="2"/>
  <c r="K404" i="2"/>
  <c r="K368" i="2"/>
  <c r="J436" i="2"/>
  <c r="H436" i="2" s="1"/>
  <c r="J394" i="2"/>
  <c r="H394" i="2" s="1"/>
  <c r="J378" i="2"/>
  <c r="J360" i="2"/>
  <c r="H360" i="2" s="1"/>
  <c r="J323" i="2"/>
  <c r="H323" i="2" s="1"/>
  <c r="I439" i="2"/>
  <c r="J355" i="2"/>
  <c r="H355" i="2" s="1"/>
  <c r="K327" i="2"/>
  <c r="I327" i="2"/>
  <c r="K308" i="2"/>
  <c r="J276" i="2"/>
  <c r="H276" i="2" s="1"/>
  <c r="I237" i="2"/>
  <c r="J237" i="2"/>
  <c r="H237" i="2" s="1"/>
  <c r="K275" i="2"/>
  <c r="J247" i="2"/>
  <c r="H247" i="2" s="1"/>
  <c r="I247" i="2"/>
  <c r="K107" i="2"/>
  <c r="J107" i="2"/>
  <c r="H107" i="2" s="1"/>
  <c r="I107" i="2"/>
  <c r="K65" i="2"/>
  <c r="J65" i="2"/>
  <c r="H65" i="2" s="1"/>
  <c r="I65" i="2"/>
  <c r="I151" i="2"/>
  <c r="J151" i="2"/>
  <c r="H151" i="2" s="1"/>
  <c r="J117" i="2"/>
  <c r="K162" i="2" s="1"/>
  <c r="I117" i="2"/>
  <c r="J206" i="2"/>
  <c r="H206" i="2" s="1"/>
  <c r="K130" i="2"/>
  <c r="I321" i="2"/>
  <c r="J289" i="2"/>
  <c r="H289" i="2" s="1"/>
  <c r="J284" i="2"/>
  <c r="H284" i="2" s="1"/>
  <c r="J251" i="2"/>
  <c r="H251" i="2" s="1"/>
  <c r="I211" i="2"/>
  <c r="I162" i="2"/>
  <c r="J102" i="2"/>
  <c r="H102" i="2" s="1"/>
  <c r="J73" i="2"/>
  <c r="H73" i="2" s="1"/>
  <c r="K168" i="2"/>
  <c r="I109" i="2"/>
  <c r="J45" i="2"/>
  <c r="K173" i="2"/>
  <c r="J128" i="2"/>
  <c r="H128" i="2" s="1"/>
  <c r="J198" i="2"/>
  <c r="H198" i="2" s="1"/>
  <c r="K99" i="2"/>
  <c r="I347" i="2"/>
  <c r="J165" i="2"/>
  <c r="K121" i="2"/>
  <c r="K58" i="2"/>
  <c r="J36" i="2"/>
  <c r="H36" i="2" s="1"/>
  <c r="K61" i="2"/>
  <c r="K457" i="2"/>
  <c r="K323" i="2"/>
  <c r="K390" i="2"/>
  <c r="J315" i="2"/>
  <c r="H315" i="2" s="1"/>
  <c r="I315" i="2"/>
  <c r="K355" i="2"/>
  <c r="K276" i="2"/>
  <c r="J235" i="2"/>
  <c r="J217" i="2"/>
  <c r="H217" i="2" s="1"/>
  <c r="K217" i="2"/>
  <c r="I195" i="2"/>
  <c r="K157" i="2"/>
  <c r="J157" i="2"/>
  <c r="H157" i="2" s="1"/>
  <c r="K101" i="2"/>
  <c r="J101" i="2"/>
  <c r="H101" i="2" s="1"/>
  <c r="I101" i="2"/>
  <c r="J60" i="2"/>
  <c r="H60" i="2" s="1"/>
  <c r="I60" i="2"/>
  <c r="K329" i="2"/>
  <c r="I235" i="2"/>
  <c r="J449" i="2"/>
  <c r="H449" i="2" s="1"/>
  <c r="K289" i="2"/>
  <c r="K284" i="2"/>
  <c r="I50" i="2"/>
  <c r="J188" i="2"/>
  <c r="I61" i="2"/>
  <c r="J225" i="2"/>
  <c r="H225" i="2" s="1"/>
  <c r="J155" i="2"/>
  <c r="H155" i="2" s="1"/>
  <c r="K45" i="2"/>
  <c r="I173" i="2"/>
  <c r="K128" i="2"/>
  <c r="K26" i="2"/>
  <c r="J26" i="2"/>
  <c r="H26" i="2" s="1"/>
  <c r="I26" i="2"/>
  <c r="I297" i="2"/>
  <c r="I238" i="2"/>
  <c r="I58" i="2"/>
  <c r="I458" i="2"/>
  <c r="I261" i="2"/>
  <c r="K261" i="2"/>
  <c r="J154" i="2"/>
  <c r="H154" i="2" s="1"/>
  <c r="K154" i="2"/>
  <c r="J96" i="2"/>
  <c r="H96" i="2" s="1"/>
  <c r="I96" i="2"/>
  <c r="K56" i="2"/>
  <c r="J56" i="2"/>
  <c r="H56" i="2" s="1"/>
  <c r="I56" i="2"/>
  <c r="K96" i="2"/>
  <c r="I54" i="2"/>
  <c r="K382" i="2"/>
  <c r="I417" i="2"/>
  <c r="K360" i="2"/>
  <c r="J446" i="2"/>
  <c r="H446" i="2" s="1"/>
  <c r="J350" i="2"/>
  <c r="K364" i="2" s="1"/>
  <c r="K319" i="2"/>
  <c r="I319" i="2"/>
  <c r="K209" i="2"/>
  <c r="J209" i="2"/>
  <c r="H209" i="2" s="1"/>
  <c r="I154" i="2"/>
  <c r="J123" i="2"/>
  <c r="H123" i="2" s="1"/>
  <c r="K123" i="2"/>
  <c r="K92" i="2"/>
  <c r="J92" i="2"/>
  <c r="H92" i="2" s="1"/>
  <c r="I92" i="2"/>
  <c r="K49" i="2"/>
  <c r="J49" i="2"/>
  <c r="H49" i="2" s="1"/>
  <c r="I49" i="2"/>
  <c r="I303" i="2"/>
  <c r="I329" i="2"/>
  <c r="J292" i="2"/>
  <c r="H292" i="2" s="1"/>
  <c r="J281" i="2"/>
  <c r="K338" i="2" s="1"/>
  <c r="I206" i="2"/>
  <c r="I143" i="2"/>
  <c r="I188" i="2"/>
  <c r="J149" i="2"/>
  <c r="I86" i="2"/>
  <c r="I23" i="2"/>
  <c r="I171" i="2"/>
  <c r="J23" i="2"/>
  <c r="H23" i="2" s="1"/>
  <c r="J297" i="2"/>
  <c r="H297" i="2" s="1"/>
  <c r="I78" i="2"/>
  <c r="K454" i="2"/>
  <c r="J456" i="2"/>
  <c r="H456" i="2" s="1"/>
  <c r="K383" i="2"/>
  <c r="J416" i="2"/>
  <c r="H416" i="2" s="1"/>
  <c r="K455" i="2"/>
  <c r="J455" i="2"/>
  <c r="H455" i="2" s="1"/>
  <c r="K420" i="2"/>
  <c r="K386" i="2"/>
  <c r="J404" i="2"/>
  <c r="H404" i="2" s="1"/>
  <c r="J386" i="2"/>
  <c r="H386" i="2" s="1"/>
  <c r="J368" i="2"/>
  <c r="H368" i="2" s="1"/>
  <c r="J270" i="2"/>
  <c r="J256" i="2"/>
  <c r="H256" i="2" s="1"/>
  <c r="I164" i="2"/>
  <c r="I232" i="2"/>
  <c r="J175" i="2"/>
  <c r="H175" i="2" s="1"/>
  <c r="I175" i="2"/>
  <c r="K120" i="2"/>
  <c r="J120" i="2"/>
  <c r="K85" i="2"/>
  <c r="I85" i="2"/>
  <c r="K41" i="2"/>
  <c r="J41" i="2"/>
  <c r="H41" i="2" s="1"/>
  <c r="I41" i="2"/>
  <c r="J167" i="2"/>
  <c r="H167" i="2" s="1"/>
  <c r="I167" i="2"/>
  <c r="J133" i="2"/>
  <c r="H133" i="2" s="1"/>
  <c r="I133" i="2"/>
  <c r="I230" i="2"/>
  <c r="K281" i="2"/>
  <c r="J143" i="2"/>
  <c r="H143" i="2" s="1"/>
  <c r="K149" i="2"/>
  <c r="K86" i="2"/>
  <c r="I52" i="2"/>
  <c r="I125" i="2"/>
  <c r="I114" i="2"/>
  <c r="K9" i="2"/>
  <c r="K171" i="2"/>
  <c r="I214" i="2"/>
  <c r="J78" i="2"/>
  <c r="H78" i="2" s="1"/>
  <c r="J50" i="2"/>
  <c r="H50" i="2" s="1"/>
  <c r="I9" i="2"/>
  <c r="K18" i="2"/>
  <c r="K446" i="2"/>
  <c r="K350" i="2"/>
  <c r="J428" i="2"/>
  <c r="H428" i="2" s="1"/>
  <c r="J331" i="2"/>
  <c r="K335" i="2"/>
  <c r="I335" i="2"/>
  <c r="J259" i="2"/>
  <c r="K207" i="2"/>
  <c r="I207" i="2"/>
  <c r="K33" i="2"/>
  <c r="J33" i="2"/>
  <c r="H33" i="2" s="1"/>
  <c r="I33" i="2"/>
  <c r="K185" i="2"/>
  <c r="K60" i="2"/>
  <c r="I275" i="2"/>
  <c r="J63" i="2"/>
  <c r="K94" i="2" s="1"/>
  <c r="J114" i="2"/>
  <c r="H114" i="2" s="1"/>
  <c r="K13" i="2"/>
  <c r="K214" i="2"/>
  <c r="I103" i="2"/>
  <c r="J38" i="2"/>
  <c r="H38" i="2" s="1"/>
  <c r="K412" i="2"/>
  <c r="K378" i="2"/>
  <c r="I456" i="2"/>
  <c r="K141" i="2"/>
  <c r="J141" i="2"/>
  <c r="H141" i="2" s="1"/>
  <c r="K76" i="2"/>
  <c r="J76" i="2"/>
  <c r="H76" i="2" s="1"/>
  <c r="K227" i="2"/>
  <c r="J227" i="2"/>
  <c r="H227" i="2" s="1"/>
  <c r="K164" i="2"/>
  <c r="K42" i="2"/>
  <c r="I42" i="2"/>
  <c r="I168" i="2"/>
  <c r="K103" i="2"/>
  <c r="J454" i="2"/>
  <c r="H454" i="2" s="1"/>
  <c r="J412" i="2"/>
  <c r="H412" i="2" s="1"/>
  <c r="J335" i="2"/>
  <c r="H335" i="2" s="1"/>
  <c r="K220" i="2"/>
  <c r="J220" i="2"/>
  <c r="H220" i="2" s="1"/>
  <c r="K136" i="2"/>
  <c r="J136" i="2"/>
  <c r="H136" i="2" s="1"/>
  <c r="J112" i="2"/>
  <c r="H112" i="2" s="1"/>
  <c r="K112" i="2"/>
  <c r="K71" i="2"/>
  <c r="J71" i="2"/>
  <c r="K359" i="2" s="1"/>
  <c r="I71" i="2"/>
  <c r="K8" i="2"/>
  <c r="J8" i="2"/>
  <c r="K52" i="2" s="1"/>
  <c r="I8" i="2"/>
  <c r="H235" i="2" l="1"/>
  <c r="H331" i="2"/>
  <c r="H270" i="2"/>
  <c r="H45" i="2"/>
  <c r="G45" i="2"/>
  <c r="H165" i="2"/>
  <c r="H120" i="2"/>
  <c r="H52" i="2"/>
  <c r="H149" i="2"/>
  <c r="K425" i="2"/>
  <c r="H425" i="2"/>
  <c r="H8" i="2"/>
  <c r="H378" i="2"/>
  <c r="H350" i="2"/>
  <c r="H313" i="2"/>
  <c r="H281" i="2"/>
  <c r="H259" i="2"/>
  <c r="H193" i="2"/>
  <c r="H186" i="2"/>
  <c r="H188" i="2"/>
  <c r="H117" i="2"/>
  <c r="H63" i="2"/>
  <c r="H54" i="2"/>
</calcChain>
</file>

<file path=xl/sharedStrings.xml><?xml version="1.0" encoding="utf-8"?>
<sst xmlns="http://schemas.openxmlformats.org/spreadsheetml/2006/main" count="1058" uniqueCount="400">
  <si>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</si>
  <si>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</si>
  <si>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</si>
  <si>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</si>
  <si>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</si>
  <si>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</si>
  <si>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</si>
  <si>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</si>
  <si>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</si>
  <si>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</si>
  <si>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</si>
  <si>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13</t>
  </si>
  <si>
    <t>_</t>
  </si>
  <si>
    <t>erschießen</t>
  </si>
  <si>
    <t>Polizei : 3 Opfer in Serienmörderfall beim bei dem Musikhören im in dem Auto erschossen</t>
  </si>
  <si>
    <t>file://conllu/de/cbsnews.146237.conllu#s1_0</t>
  </si>
  <si>
    <t>2</t>
  </si>
  <si>
    <t>21</t>
  </si>
  <si>
    <t>Laut Polizeiberichten , die am an dem Donnerstag veröffentlicht wurden , wurden zwei Frauen und ein 12 Jahre altes Mädchen erschossen , die in einem der tödlichsten Angriffe seit einem Jahrzehnt im in dem ersten Serienmörderfall von Phoenix umgekommen sind , während sie sich im in dem Auto unterhielten und Musik hörten .</t>
  </si>
  <si>
    <t>file://conllu/de/cbsnews.146237.conllu#s2_0</t>
  </si>
  <si>
    <t>3</t>
  </si>
  <si>
    <t>12</t>
  </si>
  <si>
    <t>werden</t>
  </si>
  <si>
    <t>Angela Rochelle Liner , Stefanie R. Ellis and Ellis Tochter Maleah wurden am an dem 12 .</t>
  </si>
  <si>
    <t>file://conllu/de/cbsnews.146237.conllu#s3_0</t>
  </si>
  <si>
    <t>4</t>
  </si>
  <si>
    <t>sagen</t>
  </si>
  <si>
    <t>Juni erschossen , während das Auto in einer Einfahrt geparkt war , sagten die Behörden .</t>
  </si>
  <si>
    <t>file://conllu/de/cbsnews.146237.conllu#s4_0</t>
  </si>
  <si>
    <t>5</t>
  </si>
  <si>
    <t>feueren</t>
  </si>
  <si>
    <t>Der Täter feuerte acht Schüsse aus einer Handfeuerwaffe , während er auf der Beifahrerseite des Autos stand und floh anschließend mit einem anderen Fahrzeug , ist im in dem Bericht zu lesen .</t>
  </si>
  <si>
    <t>file://conllu/de/cbsnews.146237.conllu#s5_0</t>
  </si>
  <si>
    <t>6</t>
  </si>
  <si>
    <t>teilen</t>
  </si>
  <si>
    <t>Die Polizei teilte mit , dass der dreifache Mord nicht das Ergebnis eines Raubüberfalles gewesen zu sein scheint , da der Angreifer nicht die Handtaschen oder die $ 2.900 mitnahm , die sich im in dem Besitz einer der erwachsenen Opfer befanden .</t>
  </si>
  <si>
    <t>file://conllu/de/cbsnews.146237.conllu#s6_0</t>
  </si>
  <si>
    <t>7</t>
  </si>
  <si>
    <t>Polizeisprecher</t>
  </si>
  <si>
    <t>Der Polizeisprecher von Phoenix Sgt .</t>
  </si>
  <si>
    <t>file://conllu/de/cbsnews.146237.conllu#s7_0</t>
  </si>
  <si>
    <t>8</t>
  </si>
  <si>
    <t>Jonathan Howard sagte , dass die Schießerei die Ermittler dazu verleitete , einen näheren Blick darauf zu werden , ob sie mit vier vorherigen Angriffen verbunden ist .</t>
  </si>
  <si>
    <t>file://conllu/de/cbsnews.146237.conllu#s8_0</t>
  </si>
  <si>
    <t>9</t>
  </si>
  <si>
    <t>16</t>
  </si>
  <si>
    <t>töten</t>
  </si>
  <si>
    <t>Insgesamt wurden vorwiegend in hispanischen Wohngegenden innerhalb von vier Monaten in neun Angriffen sieben Personen getötet und zwei weitere verletzt .</t>
  </si>
  <si>
    <t>file://conllu/de/cbsnews.146237.conllu#s9_0</t>
  </si>
  <si>
    <t>10</t>
  </si>
  <si>
    <t>geschehen</t>
  </si>
  <si>
    <t>&amp;quot; Es geschieht in einer Wohngegend vor einem Haus , &amp;quot; teilte Howard der KHPO , einer Tochtergesellschaft von CBS , Anfang des Monats mit .</t>
  </si>
  <si>
    <t>file://conllu/de/cbsnews.146237.conllu#s10_0</t>
  </si>
  <si>
    <t>11</t>
  </si>
  <si>
    <t>annehmen</t>
  </si>
  <si>
    <t>Es wird angenommen , dass der Verdächtige mehrere Fahrzeuge benutzt hat , einschließlich eines braunen Nissans aus den späten 1990ern , einem schwarzen BMW aus den späten 1990ern und einem weißen Cadillac oder Lincoln .</t>
  </si>
  <si>
    <t>file://conllu/de/cbsnews.146237.conllu#s11_0</t>
  </si>
  <si>
    <t>weigern</t>
  </si>
  <si>
    <t>Die Ermittler weigerten sich , die Beweise offenzulegen , die sie zu der Schlußfolgerung geführt haben , dass die Angriffe verknüpft sind und von dem selben Mörder begangen wurden .</t>
  </si>
  <si>
    <t>file://conllu/de/cbsnews.146237.conllu#s12_0</t>
  </si>
  <si>
    <t>hospitalisieren</t>
  </si>
  <si>
    <t>Ellis , 33 , wurde aufgrund ihrer Verletzungen hospitalisiert und verstarb später .</t>
  </si>
  <si>
    <t>file://conllu/de/cbsnews.146237.conllu#s13_0</t>
  </si>
  <si>
    <t>14</t>
  </si>
  <si>
    <t>verstarben</t>
  </si>
  <si>
    <t>Liner , 31 , und Ellis Tochter Maleah verstarben noch vor Ort .</t>
  </si>
  <si>
    <t>file://conllu/de/cbsnews.146237.conllu#s14_0</t>
  </si>
  <si>
    <t>15</t>
  </si>
  <si>
    <t>Ein Zeuge teilte der Polizei mit , dass es für sie nicht ungewöhnlich war , in einem geparkten Auto zu sitzen und Musik zu hören .</t>
  </si>
  <si>
    <t>file://conllu/de/cbsnews.146237.conllu#s15_0</t>
  </si>
  <si>
    <t>veröffentlichen</t>
  </si>
  <si>
    <t>Die Behörden veröffentlichten auch einen Polizeibericht über die Schießerei , die auf einen leeren Pickup Truck eine halbe Stunde vor dem dreifachen Mord abzielte und von dem ausgegangen wird , dass es das Werk des Serienmörders war .</t>
  </si>
  <si>
    <t>file://conllu/de/cbsnews.146237.conllu#s16_0</t>
  </si>
  <si>
    <t>17</t>
  </si>
  <si>
    <t>finden</t>
  </si>
  <si>
    <t>Ermittler fanden Patronenhülsen und sicherten eine Kugel aus dem Sitz sowie Kugelfragmente aus dem Motorraum .</t>
  </si>
  <si>
    <t>file://conllu/de/cbsnews.146237.conllu#s17_0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</si>
  <si>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</si>
  <si>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</si>
  <si>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</si>
  <si>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</si>
  <si>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</si>
  <si>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</si>
  <si>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</si>
  <si>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</si>
  <si>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</si>
  <si>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</si>
  <si>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</si>
  <si>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Polizei: 3 Opfer in Serienmörderfall beim Musikhören im Auto erschossen</t>
  </si>
  <si>
    <t>Polizei</t>
  </si>
  <si>
    <t>SBJ</t>
  </si>
  <si>
    <t>indef-np.bare</t>
  </si>
  <si>
    <t>:</t>
  </si>
  <si>
    <t>Opfer</t>
  </si>
  <si>
    <t>OBJ</t>
  </si>
  <si>
    <t>indef-np.quant</t>
  </si>
  <si>
    <t>in</t>
  </si>
  <si>
    <t>Serienmörderfall</t>
  </si>
  <si>
    <t>other_2</t>
  </si>
  <si>
    <t>bei</t>
  </si>
  <si>
    <t>dem</t>
  </si>
  <si>
    <t>Musikhören</t>
  </si>
  <si>
    <t>other_3</t>
  </si>
  <si>
    <t>def-np.the</t>
  </si>
  <si>
    <t>?OLD</t>
  </si>
  <si>
    <t>Auto</t>
  </si>
  <si>
    <t>other_4</t>
  </si>
  <si>
    <t>erschossen</t>
  </si>
  <si>
    <t># text = Laut Polizeiberichten, die am Donnerstag veröffentlicht wurden, wurden zwei Frauen und ein 12-Jahre altes Mädchen erschossen, die in einem der tödlichsten Angriffe seit einem Jahrzehnt im ersten Serienmörderfall von Phoenix umgekommen sind, während sie sich im Auto unterhielten und Musik hörten.</t>
  </si>
  <si>
    <t>Laut</t>
  </si>
  <si>
    <t>Polizeiberichten</t>
  </si>
  <si>
    <t>other</t>
  </si>
  <si>
    <t>,</t>
  </si>
  <si>
    <t>die</t>
  </si>
  <si>
    <t>SBJ_3</t>
  </si>
  <si>
    <t>an</t>
  </si>
  <si>
    <t>Donnerstag</t>
  </si>
  <si>
    <t>ne</t>
  </si>
  <si>
    <t>veröffentlicht</t>
  </si>
  <si>
    <t>wurden</t>
  </si>
  <si>
    <t>zwei</t>
  </si>
  <si>
    <t>Frauen</t>
  </si>
  <si>
    <t>und</t>
  </si>
  <si>
    <t>ein</t>
  </si>
  <si>
    <t>Jahre</t>
  </si>
  <si>
    <t>altes</t>
  </si>
  <si>
    <t>Mädchen</t>
  </si>
  <si>
    <t>indef-np.a</t>
  </si>
  <si>
    <t>SBJ_2</t>
  </si>
  <si>
    <t>einem</t>
  </si>
  <si>
    <t>pron.pind</t>
  </si>
  <si>
    <t>der</t>
  </si>
  <si>
    <t>tödlichsten</t>
  </si>
  <si>
    <t>Angriffe</t>
  </si>
  <si>
    <t>seit</t>
  </si>
  <si>
    <t>Jahrzehnt</t>
  </si>
  <si>
    <t>ersten</t>
  </si>
  <si>
    <t>von</t>
  </si>
  <si>
    <t>Phoenix</t>
  </si>
  <si>
    <t>umgekommen</t>
  </si>
  <si>
    <t>sind</t>
  </si>
  <si>
    <t>während</t>
  </si>
  <si>
    <t>sie</t>
  </si>
  <si>
    <t>pron</t>
  </si>
  <si>
    <t>sich</t>
  </si>
  <si>
    <t>OBJ_3</t>
  </si>
  <si>
    <t>unterhielten</t>
  </si>
  <si>
    <t>Musik</t>
  </si>
  <si>
    <t>OBJ_4</t>
  </si>
  <si>
    <t>hörten</t>
  </si>
  <si>
    <t>.</t>
  </si>
  <si>
    <t># text = Angela Rochelle Liner, Stefanie R. Ellis and Ellis Tochter Maleah wurden am 12.</t>
  </si>
  <si>
    <t>Angela</t>
  </si>
  <si>
    <t>Rochelle</t>
  </si>
  <si>
    <t>Liner</t>
  </si>
  <si>
    <t>Stefanie</t>
  </si>
  <si>
    <t>R.</t>
  </si>
  <si>
    <t>Ellis</t>
  </si>
  <si>
    <t>and</t>
  </si>
  <si>
    <t>Tochter</t>
  </si>
  <si>
    <t>Maleah</t>
  </si>
  <si>
    <t># text = Juni erschossen, während das Auto in einer Einfahrt geparkt war, sagten die Behörden.</t>
  </si>
  <si>
    <t>Juni</t>
  </si>
  <si>
    <t>das</t>
  </si>
  <si>
    <t>SBJ_4</t>
  </si>
  <si>
    <t>einer</t>
  </si>
  <si>
    <t>Einfahrt</t>
  </si>
  <si>
    <t>geparkt</t>
  </si>
  <si>
    <t>war</t>
  </si>
  <si>
    <t>sagten</t>
  </si>
  <si>
    <t>Behörden</t>
  </si>
  <si>
    <t># text = Der Täter feuerte acht Schüsse aus einer Handfeuerwaffe, während er auf der Beifahrerseite des Autos stand und floh anschließend mit einem anderen Fahrzeug, ist im Bericht zu lesen.</t>
  </si>
  <si>
    <t>Der</t>
  </si>
  <si>
    <t>Täter</t>
  </si>
  <si>
    <t>feuerte</t>
  </si>
  <si>
    <t>acht</t>
  </si>
  <si>
    <t>Schüsse</t>
  </si>
  <si>
    <t>aus</t>
  </si>
  <si>
    <t>Handfeuerwaffe</t>
  </si>
  <si>
    <t>er</t>
  </si>
  <si>
    <t>pron.pper</t>
  </si>
  <si>
    <t>auf</t>
  </si>
  <si>
    <t>Beifahrerseite</t>
  </si>
  <si>
    <t>des</t>
  </si>
  <si>
    <t>Autos</t>
  </si>
  <si>
    <t>stand</t>
  </si>
  <si>
    <t>floh</t>
  </si>
  <si>
    <t>anschließend</t>
  </si>
  <si>
    <t>mit</t>
  </si>
  <si>
    <t>anderen</t>
  </si>
  <si>
    <t>Fahrzeug</t>
  </si>
  <si>
    <t>ist</t>
  </si>
  <si>
    <t>Bericht</t>
  </si>
  <si>
    <t>zu</t>
  </si>
  <si>
    <t>lesen</t>
  </si>
  <si>
    <t># text = Die Polizei teilte mit, dass der dreifache Mord nicht das Ergebnis eines Raubüberfalles gewesen zu sein scheint, da der Angreifer nicht die Handtaschen oder die $ 2.900 mitnahm, die sich im Besitz einer der erwachsenen Opfer befanden.</t>
  </si>
  <si>
    <t>Die</t>
  </si>
  <si>
    <t>teilte</t>
  </si>
  <si>
    <t>dass</t>
  </si>
  <si>
    <t>dreifache</t>
  </si>
  <si>
    <t>Mord</t>
  </si>
  <si>
    <t>nicht</t>
  </si>
  <si>
    <t>Ergebnis</t>
  </si>
  <si>
    <t>eines</t>
  </si>
  <si>
    <t>Raubüberfalles</t>
  </si>
  <si>
    <t>gewesen</t>
  </si>
  <si>
    <t>sein</t>
  </si>
  <si>
    <t>scheint</t>
  </si>
  <si>
    <t>da</t>
  </si>
  <si>
    <t>Angreifer</t>
  </si>
  <si>
    <t>Handtaschen</t>
  </si>
  <si>
    <t>oder</t>
  </si>
  <si>
    <t>$</t>
  </si>
  <si>
    <t>def-np.quant</t>
  </si>
  <si>
    <t>2.900</t>
  </si>
  <si>
    <t>mitnahm</t>
  </si>
  <si>
    <t>Besitz</t>
  </si>
  <si>
    <t>erwachsenen</t>
  </si>
  <si>
    <t>OBJ_2</t>
  </si>
  <si>
    <t>befanden</t>
  </si>
  <si>
    <t># text = Der Polizeisprecher von Phoenix Sgt.</t>
  </si>
  <si>
    <t>Sgt</t>
  </si>
  <si>
    <t># text = Jonathan Howard sagte, dass die Schießerei die Ermittler dazu verleitete, einen näheren Blick darauf zu werden, ob sie mit vier vorherigen Angriffen verbunden ist.</t>
  </si>
  <si>
    <t>Jonathan</t>
  </si>
  <si>
    <t>Howard</t>
  </si>
  <si>
    <t>sagte</t>
  </si>
  <si>
    <t>Schießerei</t>
  </si>
  <si>
    <t>Ermittler</t>
  </si>
  <si>
    <t>dazu</t>
  </si>
  <si>
    <t>verleitete</t>
  </si>
  <si>
    <t>einen</t>
  </si>
  <si>
    <t>näheren</t>
  </si>
  <si>
    <t>Blick</t>
  </si>
  <si>
    <t>darauf</t>
  </si>
  <si>
    <t>ob</t>
  </si>
  <si>
    <t>vier</t>
  </si>
  <si>
    <t>vorherigen</t>
  </si>
  <si>
    <t>Angriffen</t>
  </si>
  <si>
    <t>verbunden</t>
  </si>
  <si>
    <t># text = Insgesamt wurden vorwiegend in hispanischen Wohngegenden innerhalb von vier Monaten in neun Angriffen sieben Personen getötet und zwei weitere verletzt.</t>
  </si>
  <si>
    <t>Insgesamt</t>
  </si>
  <si>
    <t>vorwiegend</t>
  </si>
  <si>
    <t>hispanischen</t>
  </si>
  <si>
    <t>Wohngegenden</t>
  </si>
  <si>
    <t>innerhalb</t>
  </si>
  <si>
    <t>Monaten</t>
  </si>
  <si>
    <t>neun</t>
  </si>
  <si>
    <t>sieben</t>
  </si>
  <si>
    <t>Personen</t>
  </si>
  <si>
    <t>getötet</t>
  </si>
  <si>
    <t>weitere</t>
  </si>
  <si>
    <t>verletzt</t>
  </si>
  <si>
    <t>--</t>
  </si>
  <si>
    <t># text = "Es geschieht in einer Wohngegend vor einem Haus," teilte Howard der KHPO, einer Tochtergesellschaft von CBS, Anfang des Monats mit.</t>
  </si>
  <si>
    <t>&amp;quot;</t>
  </si>
  <si>
    <t>Es</t>
  </si>
  <si>
    <t>geschieht</t>
  </si>
  <si>
    <t>Wohngegend</t>
  </si>
  <si>
    <t>vor</t>
  </si>
  <si>
    <t>Haus</t>
  </si>
  <si>
    <t>KHPO</t>
  </si>
  <si>
    <t>Tochtergesellschaft</t>
  </si>
  <si>
    <t>CBS</t>
  </si>
  <si>
    <t>other_5</t>
  </si>
  <si>
    <t>Anfang</t>
  </si>
  <si>
    <t>Monats</t>
  </si>
  <si>
    <t># text = Es wird angenommen, dass der Verdächtige mehrere Fahrzeuge benutzt hat, einschließlich eines braunen Nissans aus den späten 1990ern, einem schwarzen BMW aus den späten 1990ern und einem weißen Cadillac oder Lincoln.</t>
  </si>
  <si>
    <t>wird</t>
  </si>
  <si>
    <t>angenommen</t>
  </si>
  <si>
    <t>Verdächtige</t>
  </si>
  <si>
    <t>mehrere</t>
  </si>
  <si>
    <t>Fahrzeuge</t>
  </si>
  <si>
    <t>benutzt</t>
  </si>
  <si>
    <t>hat</t>
  </si>
  <si>
    <t>einschließlich</t>
  </si>
  <si>
    <t>braunen</t>
  </si>
  <si>
    <t>Nissans</t>
  </si>
  <si>
    <t>den</t>
  </si>
  <si>
    <t>späten</t>
  </si>
  <si>
    <t>1990ern</t>
  </si>
  <si>
    <t>schwarzen</t>
  </si>
  <si>
    <t>BMW</t>
  </si>
  <si>
    <t>weißen</t>
  </si>
  <si>
    <t>Cadillac</t>
  </si>
  <si>
    <t>other_6</t>
  </si>
  <si>
    <t>Lincoln</t>
  </si>
  <si>
    <t>other_7</t>
  </si>
  <si>
    <t># text = Die Ermittler weigerten sich, die Beweise offenzulegen, die sie zu der Schlußfolgerung geführt haben, dass die Angriffe verknüpft sind und von dem selben Mörder begangen wurden.</t>
  </si>
  <si>
    <t>weigerten</t>
  </si>
  <si>
    <t>Beweise</t>
  </si>
  <si>
    <t>offenzulegen</t>
  </si>
  <si>
    <t>Schlußfolgerung</t>
  </si>
  <si>
    <t>geführt</t>
  </si>
  <si>
    <t>haben</t>
  </si>
  <si>
    <t>verknüpft</t>
  </si>
  <si>
    <t>selben</t>
  </si>
  <si>
    <t>Mörder</t>
  </si>
  <si>
    <t>begangen</t>
  </si>
  <si>
    <t># text = Ellis, 33, wurde aufgrund ihrer Verletzungen hospitalisiert und verstarb später.</t>
  </si>
  <si>
    <t>33</t>
  </si>
  <si>
    <t>wurde</t>
  </si>
  <si>
    <t>aufgrund</t>
  </si>
  <si>
    <t>ihrer</t>
  </si>
  <si>
    <t>Verletzungen</t>
  </si>
  <si>
    <t>indef-np</t>
  </si>
  <si>
    <t>hospitalisiert</t>
  </si>
  <si>
    <t>verstarb</t>
  </si>
  <si>
    <t>später</t>
  </si>
  <si>
    <t># text = Liner, 31, und Ellis Tochter Maleah verstarben noch vor Ort.</t>
  </si>
  <si>
    <t>31</t>
  </si>
  <si>
    <t>noch</t>
  </si>
  <si>
    <t>Ort</t>
  </si>
  <si>
    <t># text = Ein Zeuge teilte der Polizei mit, dass es für sie nicht ungewöhnlich war, in einem geparkten Auto zu sitzen und Musik zu hören.</t>
  </si>
  <si>
    <t>Ein</t>
  </si>
  <si>
    <t>Zeuge</t>
  </si>
  <si>
    <t>es</t>
  </si>
  <si>
    <t>für</t>
  </si>
  <si>
    <t>ungewöhnlich</t>
  </si>
  <si>
    <t>geparkten</t>
  </si>
  <si>
    <t>sitzen</t>
  </si>
  <si>
    <t>hören</t>
  </si>
  <si>
    <t># text = Die Behörden veröffentlichten auch einen Polizeibericht über die Schießerei, die auf einen leeren Pickup-Truck eine halbe Stunde vor dem dreifachen Mord abzielte und von dem ausgegangen wird, dass es das Werk des Serienmörders war.</t>
  </si>
  <si>
    <t>veröffentlichten</t>
  </si>
  <si>
    <t>auch</t>
  </si>
  <si>
    <t>Polizeibericht</t>
  </si>
  <si>
    <t>über</t>
  </si>
  <si>
    <t>leeren</t>
  </si>
  <si>
    <t>Pickup</t>
  </si>
  <si>
    <t>Truck</t>
  </si>
  <si>
    <t>eine</t>
  </si>
  <si>
    <t>halbe</t>
  </si>
  <si>
    <t>Stunde</t>
  </si>
  <si>
    <t>dreifachen</t>
  </si>
  <si>
    <t>abzielte</t>
  </si>
  <si>
    <t>ausgegangen</t>
  </si>
  <si>
    <t>SBJ_6</t>
  </si>
  <si>
    <t>Werk</t>
  </si>
  <si>
    <t>Serienmörders</t>
  </si>
  <si>
    <t># text = Ermittler fanden Patronenhülsen und sicherten eine Kugel aus dem Sitz sowie Kugelfragmente aus dem Motorraum.</t>
  </si>
  <si>
    <t>fanden</t>
  </si>
  <si>
    <t>Patronenhülsen</t>
  </si>
  <si>
    <t>sicherten</t>
  </si>
  <si>
    <t>Kugel</t>
  </si>
  <si>
    <t>Sitz</t>
  </si>
  <si>
    <t>sowie</t>
  </si>
  <si>
    <t>Kugelfragmente</t>
  </si>
  <si>
    <t>Motorraum</t>
  </si>
  <si>
    <t>substantiviertes Verb</t>
  </si>
  <si>
    <t>SIT</t>
  </si>
  <si>
    <t>donnerstag</t>
  </si>
  <si>
    <t>drei_opfer</t>
  </si>
  <si>
    <t>Antezedens</t>
  </si>
  <si>
    <t>auto_opfer</t>
  </si>
  <si>
    <t>phoenix</t>
  </si>
  <si>
    <t>angela_liner</t>
  </si>
  <si>
    <t>stefanie_ellis</t>
  </si>
  <si>
    <t>maleah_ellis</t>
  </si>
  <si>
    <t>PRED</t>
  </si>
  <si>
    <t>error sentence break</t>
  </si>
  <si>
    <t>taeter</t>
  </si>
  <si>
    <t>polizei</t>
  </si>
  <si>
    <t>parser error</t>
  </si>
  <si>
    <t>jonathan_howard</t>
  </si>
  <si>
    <t>khpo</t>
  </si>
  <si>
    <t>cbs</t>
  </si>
  <si>
    <t>ermittler_fall</t>
  </si>
  <si>
    <t>BOUND</t>
  </si>
  <si>
    <t>kein auto ref</t>
  </si>
  <si>
    <t>verletzungen_ellis</t>
  </si>
  <si>
    <t>EXPL</t>
  </si>
  <si>
    <t>GEN</t>
  </si>
  <si>
    <t>mord</t>
  </si>
  <si>
    <t>ellis_liner</t>
  </si>
  <si>
    <t>12_juni</t>
  </si>
  <si>
    <t>behoerden</t>
  </si>
  <si>
    <t>ID, weil nacherwähnt</t>
  </si>
  <si>
    <t>beifahrerseite_auto</t>
  </si>
  <si>
    <t>bericht</t>
  </si>
  <si>
    <t>handtaschen_opfer</t>
  </si>
  <si>
    <t>geld_opfer</t>
  </si>
  <si>
    <t>GROUP</t>
  </si>
  <si>
    <t>besitz&gt;handtaschen_opfer,geld_opfer</t>
  </si>
  <si>
    <t>IDIOM</t>
  </si>
  <si>
    <t>angriff</t>
  </si>
  <si>
    <t>anfang_monat</t>
  </si>
  <si>
    <t>spaete_90er</t>
  </si>
  <si>
    <t>beweise</t>
  </si>
  <si>
    <t>schiesserei</t>
  </si>
  <si>
    <t>sitz_auto</t>
  </si>
  <si>
    <t>motorraum_auto</t>
  </si>
  <si>
    <t>neun_angriffe</t>
  </si>
  <si>
    <t>angriffe&gt;neun_angriffe,angriff</t>
  </si>
  <si>
    <t>serienmordfall</t>
  </si>
  <si>
    <t>FAMILIAR</t>
  </si>
  <si>
    <t>UNIQUE</t>
  </si>
  <si>
    <t>FOCUS</t>
  </si>
  <si>
    <t>ACTIVATED</t>
  </si>
  <si>
    <t>sentence break error</t>
  </si>
  <si>
    <t>TYPE</t>
  </si>
  <si>
    <t>drei_opfer&gt;ellis_liner,maleah_ellis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</si>
</sst>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5" sqref="E5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 t="shared" ref="G2:G18" si="0">IF(A2=1,"_",IF(C2="_","???",C2))</f>
        <v>???</v>
      </c>
      <c r="H2" s="10" t="s">
        <v>12</v>
      </c>
      <c r="I2" s="11" t="s">
        <v>12</v>
      </c>
      <c r="J2" s="12"/>
    </row>
    <row r="3" spans="1:10" ht="60" customHeight="1" x14ac:dyDescent="0.3">
      <c r="A3" s="6" t="s">
        <v>16</v>
      </c>
      <c r="B3" s="6" t="s">
        <v>17</v>
      </c>
      <c r="C3" s="6" t="s">
        <v>12</v>
      </c>
      <c r="D3" s="7" t="s">
        <v>13</v>
      </c>
      <c r="E3" s="8" t="s">
        <v>18</v>
      </c>
      <c r="F3" s="6" t="s">
        <v>19</v>
      </c>
      <c r="G3" s="9" t="str">
        <f t="shared" si="0"/>
        <v>???</v>
      </c>
      <c r="H3" s="10" t="s">
        <v>12</v>
      </c>
      <c r="I3" s="11" t="s">
        <v>12</v>
      </c>
      <c r="J3" s="12"/>
    </row>
    <row r="4" spans="1:10" ht="60" customHeight="1" x14ac:dyDescent="0.3">
      <c r="A4" s="6" t="s">
        <v>20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 t="str">
        <f t="shared" si="0"/>
        <v>???</v>
      </c>
      <c r="H4" s="10" t="s">
        <v>12</v>
      </c>
      <c r="I4" s="11" t="s">
        <v>12</v>
      </c>
      <c r="J4" s="12"/>
    </row>
    <row r="5" spans="1:10" ht="60" customHeight="1" x14ac:dyDescent="0.3">
      <c r="A5" s="6" t="s">
        <v>25</v>
      </c>
      <c r="B5" s="6" t="s">
        <v>11</v>
      </c>
      <c r="C5" s="6" t="s">
        <v>12</v>
      </c>
      <c r="D5" s="7" t="s">
        <v>26</v>
      </c>
      <c r="E5" s="8" t="s">
        <v>27</v>
      </c>
      <c r="F5" s="6" t="s">
        <v>28</v>
      </c>
      <c r="G5" s="9" t="str">
        <f t="shared" si="0"/>
        <v>???</v>
      </c>
      <c r="H5" s="10" t="s">
        <v>12</v>
      </c>
      <c r="I5" s="11" t="s">
        <v>12</v>
      </c>
      <c r="J5" s="12"/>
    </row>
    <row r="6" spans="1:10" ht="60" customHeight="1" x14ac:dyDescent="0.3">
      <c r="A6" s="6" t="s">
        <v>29</v>
      </c>
      <c r="B6" s="6" t="s">
        <v>20</v>
      </c>
      <c r="C6" s="6" t="s">
        <v>12</v>
      </c>
      <c r="D6" s="7" t="s">
        <v>30</v>
      </c>
      <c r="E6" s="8" t="s">
        <v>31</v>
      </c>
      <c r="F6" s="6" t="s">
        <v>32</v>
      </c>
      <c r="G6" s="9" t="str">
        <f t="shared" si="0"/>
        <v>???</v>
      </c>
      <c r="H6" s="10" t="s">
        <v>12</v>
      </c>
      <c r="I6" s="11" t="s">
        <v>12</v>
      </c>
      <c r="J6" s="12"/>
    </row>
    <row r="7" spans="1:10" ht="60" customHeight="1" x14ac:dyDescent="0.3">
      <c r="A7" s="6" t="s">
        <v>33</v>
      </c>
      <c r="B7" s="6" t="s">
        <v>20</v>
      </c>
      <c r="C7" s="6" t="s">
        <v>12</v>
      </c>
      <c r="D7" s="7" t="s">
        <v>34</v>
      </c>
      <c r="E7" s="8" t="s">
        <v>35</v>
      </c>
      <c r="F7" s="6" t="s">
        <v>36</v>
      </c>
      <c r="G7" s="9" t="str">
        <f t="shared" si="0"/>
        <v>???</v>
      </c>
      <c r="H7" s="10" t="s">
        <v>12</v>
      </c>
      <c r="I7" s="11" t="s">
        <v>12</v>
      </c>
      <c r="J7" s="12"/>
    </row>
    <row r="8" spans="1:10" ht="60" customHeight="1" x14ac:dyDescent="0.3">
      <c r="A8" s="6" t="s">
        <v>37</v>
      </c>
      <c r="B8" s="6" t="s">
        <v>16</v>
      </c>
      <c r="C8" s="6" t="s">
        <v>12</v>
      </c>
      <c r="D8" s="7" t="s">
        <v>38</v>
      </c>
      <c r="E8" s="8" t="s">
        <v>39</v>
      </c>
      <c r="F8" s="6" t="s">
        <v>40</v>
      </c>
      <c r="G8" s="9" t="str">
        <f t="shared" si="0"/>
        <v>???</v>
      </c>
      <c r="H8" s="10" t="s">
        <v>12</v>
      </c>
      <c r="I8" s="11" t="s">
        <v>12</v>
      </c>
      <c r="J8" s="12"/>
    </row>
    <row r="9" spans="1:10" ht="60" customHeight="1" x14ac:dyDescent="0.3">
      <c r="A9" s="6" t="s">
        <v>41</v>
      </c>
      <c r="B9" s="6" t="s">
        <v>20</v>
      </c>
      <c r="C9" s="6" t="s">
        <v>12</v>
      </c>
      <c r="D9" s="7" t="s">
        <v>26</v>
      </c>
      <c r="E9" s="8" t="s">
        <v>42</v>
      </c>
      <c r="F9" s="6" t="s">
        <v>43</v>
      </c>
      <c r="G9" s="9" t="str">
        <f t="shared" si="0"/>
        <v>???</v>
      </c>
      <c r="H9" s="10" t="s">
        <v>12</v>
      </c>
      <c r="I9" s="11" t="s">
        <v>12</v>
      </c>
      <c r="J9" s="12"/>
    </row>
    <row r="10" spans="1:10" ht="60" customHeight="1" x14ac:dyDescent="0.3">
      <c r="A10" s="6" t="s">
        <v>44</v>
      </c>
      <c r="B10" s="6" t="s">
        <v>45</v>
      </c>
      <c r="C10" s="6" t="s">
        <v>12</v>
      </c>
      <c r="D10" s="7" t="s">
        <v>46</v>
      </c>
      <c r="E10" s="8" t="s">
        <v>47</v>
      </c>
      <c r="F10" s="6" t="s">
        <v>48</v>
      </c>
      <c r="G10" s="9" t="str">
        <f t="shared" si="0"/>
        <v>???</v>
      </c>
      <c r="H10" s="10" t="s">
        <v>12</v>
      </c>
      <c r="I10" s="11" t="s">
        <v>12</v>
      </c>
      <c r="J10" s="12"/>
    </row>
    <row r="11" spans="1:10" ht="60" customHeight="1" x14ac:dyDescent="0.3">
      <c r="A11" s="6" t="s">
        <v>49</v>
      </c>
      <c r="B11" s="6" t="s">
        <v>20</v>
      </c>
      <c r="C11" s="6" t="s">
        <v>12</v>
      </c>
      <c r="D11" s="7" t="s">
        <v>50</v>
      </c>
      <c r="E11" s="8" t="s">
        <v>51</v>
      </c>
      <c r="F11" s="6" t="s">
        <v>52</v>
      </c>
      <c r="G11" s="9" t="str">
        <f t="shared" si="0"/>
        <v>???</v>
      </c>
      <c r="H11" s="10" t="s">
        <v>12</v>
      </c>
      <c r="I11" s="11" t="s">
        <v>12</v>
      </c>
      <c r="J11" s="12"/>
    </row>
    <row r="12" spans="1:10" ht="60" customHeight="1" x14ac:dyDescent="0.3">
      <c r="A12" s="6" t="s">
        <v>53</v>
      </c>
      <c r="B12" s="6" t="s">
        <v>20</v>
      </c>
      <c r="C12" s="6" t="s">
        <v>12</v>
      </c>
      <c r="D12" s="7" t="s">
        <v>54</v>
      </c>
      <c r="E12" s="8" t="s">
        <v>55</v>
      </c>
      <c r="F12" s="6" t="s">
        <v>56</v>
      </c>
      <c r="G12" s="9" t="str">
        <f t="shared" si="0"/>
        <v>???</v>
      </c>
      <c r="H12" s="10" t="s">
        <v>12</v>
      </c>
      <c r="I12" s="11" t="s">
        <v>12</v>
      </c>
      <c r="J12" s="12"/>
    </row>
    <row r="13" spans="1:10" ht="60" customHeight="1" x14ac:dyDescent="0.3">
      <c r="A13" s="6" t="s">
        <v>21</v>
      </c>
      <c r="B13" s="6" t="s">
        <v>20</v>
      </c>
      <c r="C13" s="6" t="s">
        <v>12</v>
      </c>
      <c r="D13" s="7" t="s">
        <v>57</v>
      </c>
      <c r="E13" s="8" t="s">
        <v>58</v>
      </c>
      <c r="F13" s="6" t="s">
        <v>59</v>
      </c>
      <c r="G13" s="9" t="str">
        <f t="shared" si="0"/>
        <v>???</v>
      </c>
      <c r="H13" s="10" t="s">
        <v>12</v>
      </c>
      <c r="I13" s="11" t="s">
        <v>12</v>
      </c>
      <c r="J13" s="12"/>
    </row>
    <row r="14" spans="1:10" ht="60" customHeight="1" x14ac:dyDescent="0.3">
      <c r="A14" s="6" t="s">
        <v>11</v>
      </c>
      <c r="B14" s="6" t="s">
        <v>44</v>
      </c>
      <c r="C14" s="6" t="s">
        <v>12</v>
      </c>
      <c r="D14" s="7" t="s">
        <v>60</v>
      </c>
      <c r="E14" s="8" t="s">
        <v>61</v>
      </c>
      <c r="F14" s="6" t="s">
        <v>62</v>
      </c>
      <c r="G14" s="9" t="str">
        <f t="shared" si="0"/>
        <v>???</v>
      </c>
      <c r="H14" s="10" t="s">
        <v>12</v>
      </c>
      <c r="I14" s="11" t="s">
        <v>12</v>
      </c>
      <c r="J14" s="12"/>
    </row>
    <row r="15" spans="1:10" ht="60" customHeight="1" x14ac:dyDescent="0.3">
      <c r="A15" s="6" t="s">
        <v>63</v>
      </c>
      <c r="B15" s="6" t="s">
        <v>44</v>
      </c>
      <c r="C15" s="6" t="s">
        <v>12</v>
      </c>
      <c r="D15" s="7" t="s">
        <v>64</v>
      </c>
      <c r="E15" s="8" t="s">
        <v>65</v>
      </c>
      <c r="F15" s="6" t="s">
        <v>66</v>
      </c>
      <c r="G15" s="9" t="str">
        <f t="shared" si="0"/>
        <v>???</v>
      </c>
      <c r="H15" s="10" t="s">
        <v>12</v>
      </c>
      <c r="I15" s="11" t="s">
        <v>12</v>
      </c>
      <c r="J15" s="12"/>
    </row>
    <row r="16" spans="1:10" ht="60" customHeight="1" x14ac:dyDescent="0.3">
      <c r="A16" s="6" t="s">
        <v>67</v>
      </c>
      <c r="B16" s="6" t="s">
        <v>20</v>
      </c>
      <c r="C16" s="6" t="s">
        <v>12</v>
      </c>
      <c r="D16" s="7" t="s">
        <v>34</v>
      </c>
      <c r="E16" s="8" t="s">
        <v>68</v>
      </c>
      <c r="F16" s="6" t="s">
        <v>69</v>
      </c>
      <c r="G16" s="9" t="str">
        <f t="shared" si="0"/>
        <v>???</v>
      </c>
      <c r="H16" s="10" t="s">
        <v>12</v>
      </c>
      <c r="I16" s="11" t="s">
        <v>12</v>
      </c>
      <c r="J16" s="12"/>
    </row>
    <row r="17" spans="1:10" ht="60" customHeight="1" x14ac:dyDescent="0.3">
      <c r="A17" s="6" t="s">
        <v>45</v>
      </c>
      <c r="B17" s="6" t="s">
        <v>20</v>
      </c>
      <c r="C17" s="6" t="s">
        <v>12</v>
      </c>
      <c r="D17" s="7" t="s">
        <v>70</v>
      </c>
      <c r="E17" s="8" t="s">
        <v>71</v>
      </c>
      <c r="F17" s="6" t="s">
        <v>72</v>
      </c>
      <c r="G17" s="9" t="str">
        <f t="shared" si="0"/>
        <v>???</v>
      </c>
      <c r="H17" s="10" t="s">
        <v>12</v>
      </c>
      <c r="I17" s="11" t="s">
        <v>12</v>
      </c>
      <c r="J17" s="12"/>
    </row>
    <row r="18" spans="1:10" ht="60" customHeight="1" x14ac:dyDescent="0.3">
      <c r="A18" s="6" t="s">
        <v>73</v>
      </c>
      <c r="B18" s="6" t="s">
        <v>16</v>
      </c>
      <c r="C18" s="6" t="s">
        <v>12</v>
      </c>
      <c r="D18" s="7" t="s">
        <v>74</v>
      </c>
      <c r="E18" s="8" t="s">
        <v>75</v>
      </c>
      <c r="F18" s="6" t="s">
        <v>76</v>
      </c>
      <c r="G18" s="9" t="str">
        <f t="shared" si="0"/>
        <v>???</v>
      </c>
      <c r="H18" s="10" t="s">
        <v>12</v>
      </c>
      <c r="I18" s="11" t="s">
        <v>12</v>
      </c>
      <c r="J1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8"/>
  <sheetViews>
    <sheetView tabSelected="1" workbookViewId="0">
      <pane xSplit="1" ySplit="1" topLeftCell="B437" activePane="bottomRight" state="frozen"/>
      <selection pane="topRight" activeCell="B1" sqref="B1"/>
      <selection pane="bottomLeft" activeCell="A2" sqref="A2"/>
      <selection pane="bottomRight" activeCell="E172" sqref="E172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77</v>
      </c>
      <c r="B1" s="13" t="s">
        <v>78</v>
      </c>
      <c r="C1" s="13" t="s">
        <v>79</v>
      </c>
      <c r="D1" s="13" t="s">
        <v>80</v>
      </c>
      <c r="E1" s="14" t="s">
        <v>81</v>
      </c>
      <c r="F1" s="15" t="s">
        <v>82</v>
      </c>
      <c r="G1" s="16" t="s">
        <v>83</v>
      </c>
      <c r="H1" s="17" t="s">
        <v>84</v>
      </c>
      <c r="I1" s="18" t="s">
        <v>85</v>
      </c>
      <c r="J1" s="18" t="s">
        <v>86</v>
      </c>
      <c r="K1" s="18" t="s">
        <v>87</v>
      </c>
      <c r="L1" s="19" t="s">
        <v>9</v>
      </c>
    </row>
    <row r="2" spans="1:12" x14ac:dyDescent="0.3">
      <c r="A2" t="s">
        <v>88</v>
      </c>
    </row>
    <row r="3" spans="1:12" x14ac:dyDescent="0.3">
      <c r="A3" t="s">
        <v>89</v>
      </c>
      <c r="B3" s="20" t="s">
        <v>90</v>
      </c>
      <c r="C3" s="20" t="s">
        <v>91</v>
      </c>
      <c r="E3" s="21" t="s">
        <v>360</v>
      </c>
      <c r="F3" s="22" t="s">
        <v>370</v>
      </c>
      <c r="G3" s="23" t="s">
        <v>393</v>
      </c>
      <c r="H3" s="24" t="str">
        <f t="shared" ref="H3:H15" ca="1" si="0">IF(J3&lt;&gt;1,"",IF(I3="SBJ","CB","?"))</f>
        <v/>
      </c>
      <c r="I3" s="25" t="e">
        <f>IF(OR(E3="",E3="!!!",F3="NEW"),"",INDEX(B2:B$2,-1+SUMPRODUCT(MAX(ROW(E2:E$2)*(E3=E2:E$2)))))</f>
        <v>#VALUE!</v>
      </c>
      <c r="J3" s="25">
        <f ca="1">IF(OR(E3="",E3="!!!",F3="NEW"),"",COUNTBLANK(OFFSET(A$1,,,SUMPRODUCT(MAX(ROW(E$2:E3)*(E3=E$2:E3)))))-COUNTBLANK(OFFSET(A$1,,,SUMPRODUCT(MAX(ROW(E$1:E2)*(E2=E$1:E2))))))</f>
        <v>0</v>
      </c>
      <c r="K3" s="25" t="e">
        <f>IF(OR(E3="",E3="!!!",F3="NEW"),"",INDEX(J$1:J2,SUMPRODUCT(MAX(ROW(E$1:E2)*(E3=E$1:E2)))))</f>
        <v>#VALUE!</v>
      </c>
      <c r="L3" s="26" t="s">
        <v>351</v>
      </c>
    </row>
    <row r="4" spans="1:12" x14ac:dyDescent="0.3">
      <c r="A4" t="s">
        <v>92</v>
      </c>
      <c r="E4" s="21" t="str">
        <f t="shared" ref="E4:E15" si="1">IF(D4="?OLD","!!!","")</f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0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20</v>
      </c>
      <c r="E5" s="21" t="str">
        <f t="shared" si="1"/>
        <v/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t="shared" ca="1" si="0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93</v>
      </c>
      <c r="B6" s="20" t="s">
        <v>94</v>
      </c>
      <c r="C6" s="20" t="s">
        <v>95</v>
      </c>
      <c r="E6" s="21" t="s">
        <v>350</v>
      </c>
      <c r="F6" s="22" t="str">
        <f>IF(OR(E6="",E6="!!!"),"",IF(NOT(ISNA(VLOOKUP(E6,E$1:E5,1,FALSE()))),"OLD",IF(AND(E6&lt;&gt;"",E6&lt;&gt;"!!!"),"NEW","")))</f>
        <v>NEW</v>
      </c>
      <c r="G6" s="23" t="s">
        <v>82</v>
      </c>
      <c r="H6" s="24" t="str">
        <f t="shared" ca="1" si="0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 t="s">
        <v>351</v>
      </c>
    </row>
    <row r="7" spans="1:12" x14ac:dyDescent="0.3">
      <c r="A7" t="s">
        <v>96</v>
      </c>
      <c r="E7" s="21" t="str">
        <f t="shared" si="1"/>
        <v/>
      </c>
      <c r="F7" s="22" t="str">
        <f>IF(OR(E7="",E7="!!!"),"",IF(NOT(ISNA(VLOOKUP(E7,E$1:E6,1,FALSE()))),"OLD",IF(AND(E7&lt;&gt;"",E7&lt;&gt;"!!!"),"NEW","")))</f>
        <v/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t="shared" ca="1" si="0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8" spans="1:12" x14ac:dyDescent="0.3">
      <c r="A8" t="s">
        <v>97</v>
      </c>
      <c r="B8" s="20" t="s">
        <v>98</v>
      </c>
      <c r="C8" s="20" t="s">
        <v>91</v>
      </c>
      <c r="E8" s="21" t="s">
        <v>392</v>
      </c>
      <c r="F8" s="22" t="str">
        <f>IF(OR(E8="",E8="!!!"),"",IF(NOT(ISNA(VLOOKUP(E8,E$1:E7,1,FALSE()))),"OLD",IF(AND(E8&lt;&gt;"",E8&lt;&gt;"!!!"),"NEW","")))</f>
        <v>NEW</v>
      </c>
      <c r="G8" s="23" t="s">
        <v>394</v>
      </c>
      <c r="H8" s="24" t="str">
        <f t="shared" ca="1" si="0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 t="s">
        <v>351</v>
      </c>
    </row>
    <row r="9" spans="1:12" x14ac:dyDescent="0.3">
      <c r="A9" t="s">
        <v>99</v>
      </c>
      <c r="E9" s="21" t="str">
        <f t="shared" si="1"/>
        <v/>
      </c>
      <c r="F9" s="22" t="str">
        <f>IF(OR(E9="",E9="!!!"),"",IF(NOT(ISNA(VLOOKUP(E9,E$1:E8,1,FALSE()))),"OLD",IF(AND(E9&lt;&gt;"",E9&lt;&gt;"!!!"),"NEW","")))</f>
        <v/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t="shared" ca="1" si="0"/>
        <v/>
      </c>
      <c r="I9" s="25" t="str">
        <f>IF(OR(E9="",E9="!!!",F9="NEW"),"",INDEX(B$2:B8,-1+SUMPRODUCT(MAX(ROW(E$2:E8)*(E9=E$2:E8)))))</f>
        <v/>
      </c>
      <c r="J9" s="25" t="str">
        <f ca="1">IF(OR(E9="",E9="!!!",F9="NEW"),"",COUNTBLANK(OFFSET(A$1,,,SUMPRODUCT(MAX(ROW(E$2:E9)*(E9=E$2:E9)))))-COUNTBLANK(OFFSET(A$1,,,SUMPRODUCT(MAX(ROW(E$1:E8)*(E2=E$1:E8))))))</f>
        <v/>
      </c>
      <c r="K9" s="25" t="str">
        <f>IF(OR(E9="",E9="!!!",F9="NEW"),"",INDEX(J$1:J8,SUMPRODUCT(MAX(ROW(E$1:E8)*(E9=E$1:E8)))))</f>
        <v/>
      </c>
      <c r="L9" s="26"/>
    </row>
    <row r="10" spans="1:12" x14ac:dyDescent="0.3">
      <c r="A10" t="s">
        <v>100</v>
      </c>
      <c r="E10" s="21" t="str">
        <f t="shared" si="1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0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101</v>
      </c>
      <c r="B11" s="20" t="s">
        <v>102</v>
      </c>
      <c r="C11" s="20" t="s">
        <v>103</v>
      </c>
      <c r="D11" s="20" t="s">
        <v>104</v>
      </c>
      <c r="E11" s="21"/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ca="1" si="0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 t="s">
        <v>347</v>
      </c>
    </row>
    <row r="12" spans="1:12" x14ac:dyDescent="0.3">
      <c r="A12" t="s">
        <v>96</v>
      </c>
      <c r="E12" s="21" t="str">
        <f t="shared" si="1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0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100</v>
      </c>
      <c r="E13" s="21" t="str">
        <f t="shared" si="1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0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105</v>
      </c>
      <c r="B14" s="20" t="s">
        <v>106</v>
      </c>
      <c r="C14" s="20" t="s">
        <v>103</v>
      </c>
      <c r="D14" s="20" t="s">
        <v>104</v>
      </c>
      <c r="E14" s="21" t="s">
        <v>352</v>
      </c>
      <c r="F14" s="22" t="str">
        <f>IF(OR(E14="",E14="!!!"),"",IF(NOT(ISNA(VLOOKUP(E14,E$1:E13,1,FALSE()))),"OLD",IF(AND(E14&lt;&gt;"",E14&lt;&gt;"!!!"),"NEW","")))</f>
        <v>NEW</v>
      </c>
      <c r="G14" s="23" t="s">
        <v>394</v>
      </c>
      <c r="H14" s="24" t="str">
        <f t="shared" ca="1" si="0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/>
    </row>
    <row r="15" spans="1:12" x14ac:dyDescent="0.3">
      <c r="A15" t="s">
        <v>107</v>
      </c>
      <c r="E15" s="21" t="str">
        <f t="shared" si="1"/>
        <v/>
      </c>
      <c r="F15" s="22" t="str">
        <f>IF(OR(E15="",E15="!!!"),"",IF(NOT(ISNA(VLOOKUP(E15,E$1:E14,1,FALSE()))),"OLD",IF(AND(E15&lt;&gt;"",E15&lt;&gt;"!!!"),"NEW","")))</f>
        <v/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4" t="str">
        <f t="shared" ca="1" si="0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/>
    </row>
    <row r="17" spans="1:12" x14ac:dyDescent="0.3">
      <c r="A17" t="s">
        <v>108</v>
      </c>
    </row>
    <row r="18" spans="1:12" x14ac:dyDescent="0.3">
      <c r="A18" t="s">
        <v>109</v>
      </c>
      <c r="E18" s="21" t="str">
        <f t="shared" ref="E18:E49" si="2">IF(D18="?OLD","!!!","")</f>
        <v/>
      </c>
      <c r="F18" s="22" t="str">
        <f>IF(OR(E18="",E18="!!!"),"",IF(NOT(ISNA(VLOOKUP(E18,E$1:E17,1,FALSE()))),"OLD",IF(AND(E18&lt;&gt;"",E18&lt;&gt;"!!!"),"NEW","")))</f>
        <v/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4" t="str">
        <f t="shared" ref="H18:H49" ca="1" si="3">IF(J18&lt;&gt;1,"",IF(I18="SBJ","CB","?"))</f>
        <v/>
      </c>
      <c r="I18" s="25" t="str">
        <f>IF(OR(E18="",E18="!!!",F18="NEW"),"",INDEX(B$2:B17,-1+SUMPRODUCT(MAX(ROW(E$2:E17)*(E18=E$2:E17)))))</f>
        <v/>
      </c>
      <c r="J18" s="25" t="str">
        <f ca="1">IF(OR(E18="",E18="!!!",F18="NEW"),"",COUNTBLANK(OFFSET(A$1,,,SUMPRODUCT(MAX(ROW(E$2:E18)*(E18=E$2:E18)))))-COUNTBLANK(OFFSET(A$1,,,SUMPRODUCT(MAX(ROW(E$1:E17)*(E2=E$1:E17))))))</f>
        <v/>
      </c>
      <c r="K18" s="25" t="str">
        <f>IF(OR(E18="",E18="!!!",F18="NEW"),"",INDEX(J$1:J17,SUMPRODUCT(MAX(ROW(E$1:E17)*(E18=E$1:E17)))))</f>
        <v/>
      </c>
      <c r="L18" s="26"/>
    </row>
    <row r="19" spans="1:12" x14ac:dyDescent="0.3">
      <c r="A19" t="s">
        <v>110</v>
      </c>
      <c r="B19" s="20" t="s">
        <v>111</v>
      </c>
      <c r="C19" s="20" t="s">
        <v>91</v>
      </c>
      <c r="E19" s="21" t="str">
        <f t="shared" si="2"/>
        <v/>
      </c>
      <c r="F19" s="22" t="str">
        <f>IF(OR(E19="",E19="!!!"),"",IF(NOT(ISNA(VLOOKUP(E19,E$1:E18,1,FALSE()))),"OLD",IF(AND(E19&lt;&gt;"",E19&lt;&gt;"!!!"),"NEW","")))</f>
        <v/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4" t="str">
        <f t="shared" ca="1" si="3"/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/>
    </row>
    <row r="20" spans="1:12" x14ac:dyDescent="0.3">
      <c r="A20" t="s">
        <v>112</v>
      </c>
      <c r="E20" s="21" t="str">
        <f t="shared" si="2"/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ca="1" si="3"/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113</v>
      </c>
      <c r="B21" s="20" t="s">
        <v>114</v>
      </c>
      <c r="E21" s="21" t="str">
        <f t="shared" si="2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3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115</v>
      </c>
      <c r="E22" s="21" t="str">
        <f t="shared" si="2"/>
        <v/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3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100</v>
      </c>
      <c r="E23" s="21" t="str">
        <f t="shared" si="2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3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116</v>
      </c>
      <c r="B24" s="20" t="s">
        <v>102</v>
      </c>
      <c r="C24" s="20" t="s">
        <v>117</v>
      </c>
      <c r="D24" s="20" t="s">
        <v>104</v>
      </c>
      <c r="E24" s="21" t="s">
        <v>349</v>
      </c>
      <c r="F24" s="22" t="s">
        <v>348</v>
      </c>
      <c r="G24" s="23"/>
      <c r="H24" s="24" t="str">
        <f t="shared" ca="1" si="3"/>
        <v/>
      </c>
      <c r="I24" s="25" t="e">
        <f>IF(OR(E24="",E24="!!!",F24="NEW"),"",INDEX(B$2:B23,-1+SUMPRODUCT(MAX(ROW(E$2:E23)*(E24=E$2:E23)))))</f>
        <v>#VALUE!</v>
      </c>
      <c r="J24" s="25">
        <f ca="1">IF(OR(E24="",E24="!!!",F24="NEW"),"",COUNTBLANK(OFFSET(A$1,,,SUMPRODUCT(MAX(ROW(E$2:E24)*(E24=E$2:E24)))))-COUNTBLANK(OFFSET(A$1,,,SUMPRODUCT(MAX(ROW(E$1:E23)*(E2=E$1:E23))))))</f>
        <v>0</v>
      </c>
      <c r="K24" s="25" t="e">
        <f>IF(OR(E24="",E24="!!!",F24="NEW"),"",INDEX(J$1:J23,SUMPRODUCT(MAX(ROW(E$1:E23)*(E24=E$1:E23)))))</f>
        <v>#VALUE!</v>
      </c>
      <c r="L24" s="26"/>
    </row>
    <row r="25" spans="1:12" x14ac:dyDescent="0.3">
      <c r="A25" t="s">
        <v>118</v>
      </c>
      <c r="E25" s="21" t="str">
        <f t="shared" si="2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3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119</v>
      </c>
      <c r="E26" s="21" t="str">
        <f t="shared" si="2"/>
        <v/>
      </c>
      <c r="F26" s="22" t="str">
        <f>IF(OR(E26="",E26="!!!"),"",IF(NOT(ISNA(VLOOKUP(E26,E$1:E25,1,FALSE()))),"OLD",IF(AND(E26&lt;&gt;"",E26&lt;&gt;"!!!"),"NEW","")))</f>
        <v/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3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112</v>
      </c>
      <c r="E27" s="21" t="str">
        <f t="shared" si="2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3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119</v>
      </c>
      <c r="E28" s="21" t="str">
        <f t="shared" si="2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3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120</v>
      </c>
      <c r="E29" s="21" t="str">
        <f t="shared" si="2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3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121</v>
      </c>
      <c r="B30" s="20" t="s">
        <v>90</v>
      </c>
      <c r="C30" s="20" t="s">
        <v>95</v>
      </c>
      <c r="E30" s="21" t="s">
        <v>372</v>
      </c>
      <c r="F30" s="22" t="str">
        <f>IF(OR(E30="",E30="!!!"),"",IF(NOT(ISNA(VLOOKUP(E30,E$1:E29,1,FALSE()))),"OLD",IF(AND(E30&lt;&gt;"",E30&lt;&gt;"!!!"),"NEW","")))</f>
        <v>NEW</v>
      </c>
      <c r="G30" s="23" t="s">
        <v>395</v>
      </c>
      <c r="H30" s="24" t="str">
        <f t="shared" ca="1" si="3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122</v>
      </c>
      <c r="E31" s="21" t="str">
        <f t="shared" si="2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3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123</v>
      </c>
      <c r="E32" s="21" t="str">
        <f t="shared" si="2"/>
        <v/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ca="1" si="3"/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3" spans="1:12" x14ac:dyDescent="0.3">
      <c r="A33" t="s">
        <v>21</v>
      </c>
      <c r="E33" s="21" t="str">
        <f t="shared" si="2"/>
        <v/>
      </c>
      <c r="F33" s="22" t="str">
        <f>IF(OR(E33="",E33="!!!"),"",IF(NOT(ISNA(VLOOKUP(E33,E$1:E32,1,FALSE()))),"OLD",IF(AND(E33&lt;&gt;"",E33&lt;&gt;"!!!"),"NEW","")))</f>
        <v/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4" t="str">
        <f t="shared" ca="1" si="3"/>
        <v/>
      </c>
      <c r="I33" s="25" t="str">
        <f>IF(OR(E33="",E33="!!!",F33="NEW"),"",INDEX(B$2:B32,-1+SUMPRODUCT(MAX(ROW(E$2:E32)*(E33=E$2:E32)))))</f>
        <v/>
      </c>
      <c r="J33" s="25" t="str">
        <f ca="1">IF(OR(E33="",E33="!!!",F33="NEW"),"",COUNTBLANK(OFFSET(A$1,,,SUMPRODUCT(MAX(ROW(E$2:E33)*(E33=E$2:E33)))))-COUNTBLANK(OFFSET(A$1,,,SUMPRODUCT(MAX(ROW(E$1:E32)*(E2=E$1:E32))))))</f>
        <v/>
      </c>
      <c r="K33" s="25" t="str">
        <f>IF(OR(E33="",E33="!!!",F33="NEW"),"",INDEX(J$1:J32,SUMPRODUCT(MAX(ROW(E$1:E32)*(E33=E$1:E32)))))</f>
        <v/>
      </c>
      <c r="L33" s="26"/>
    </row>
    <row r="34" spans="1:12" x14ac:dyDescent="0.3">
      <c r="A34" t="s">
        <v>12</v>
      </c>
      <c r="E34" s="21" t="str">
        <f t="shared" si="2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3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5" spans="1:12" x14ac:dyDescent="0.3">
      <c r="A35" t="s">
        <v>124</v>
      </c>
      <c r="B35" s="20" t="s">
        <v>106</v>
      </c>
      <c r="C35" s="20" t="s">
        <v>95</v>
      </c>
      <c r="E35" s="21" t="str">
        <f t="shared" si="2"/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ca="1" si="3"/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125</v>
      </c>
      <c r="E36" s="21" t="str">
        <f t="shared" si="2"/>
        <v/>
      </c>
      <c r="F36" s="22" t="str">
        <f>IF(OR(E36="",E36="!!!"),"",IF(NOT(ISNA(VLOOKUP(E36,E$1:E35,1,FALSE()))),"OLD",IF(AND(E36&lt;&gt;"",E36&lt;&gt;"!!!"),"NEW","")))</f>
        <v/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t="shared" ca="1" si="3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/>
    </row>
    <row r="37" spans="1:12" x14ac:dyDescent="0.3">
      <c r="A37" t="s">
        <v>126</v>
      </c>
      <c r="B37" s="20" t="s">
        <v>98</v>
      </c>
      <c r="C37" s="20" t="s">
        <v>127</v>
      </c>
      <c r="E37" s="21" t="s">
        <v>356</v>
      </c>
      <c r="F37" s="22" t="str">
        <f>IF(OR(E37="",E37="!!!"),"",IF(NOT(ISNA(VLOOKUP(E37,E$1:E36,1,FALSE()))),"OLD",IF(AND(E37&lt;&gt;"",E37&lt;&gt;"!!!"),"NEW","")))</f>
        <v>NEW</v>
      </c>
      <c r="G37" s="23" t="s">
        <v>395</v>
      </c>
      <c r="H37" s="24" t="str">
        <f t="shared" ca="1" si="3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107</v>
      </c>
      <c r="E38" s="21" t="str">
        <f t="shared" si="2"/>
        <v/>
      </c>
      <c r="F38" s="22" t="str">
        <f>IF(OR(E38="",E38="!!!"),"",IF(NOT(ISNA(VLOOKUP(E38,E$1:E37,1,FALSE()))),"OLD",IF(AND(E38&lt;&gt;"",E38&lt;&gt;"!!!"),"NEW","")))</f>
        <v/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t="shared" ca="1" si="3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112</v>
      </c>
      <c r="E39" s="21" t="str">
        <f t="shared" si="2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3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113</v>
      </c>
      <c r="B40" s="20" t="s">
        <v>128</v>
      </c>
      <c r="E40" s="21" t="s">
        <v>399</v>
      </c>
      <c r="F40" s="22" t="s">
        <v>380</v>
      </c>
      <c r="G40" s="23" t="s">
        <v>395</v>
      </c>
      <c r="H40" s="24" t="s">
        <v>84</v>
      </c>
      <c r="I40" s="25" t="e">
        <f>IF(OR(E40="",E40="!!!",F40="NEW"),"",INDEX(B$2:B39,-1+SUMPRODUCT(MAX(ROW(E$2:E39)*(E40=E$2:E39)))))</f>
        <v>#VALUE!</v>
      </c>
      <c r="J40" s="25">
        <f ca="1">IF(OR(E40="",E40="!!!",F40="NEW"),"",COUNTBLANK(OFFSET(A$1,,,SUMPRODUCT(MAX(ROW(E$2:E40)*(E40=E$2:E40)))))-COUNTBLANK(OFFSET(A$1,,,SUMPRODUCT(MAX(ROW(E$1:E39)*(E2=E$1:E39))))))</f>
        <v>0</v>
      </c>
      <c r="K40" s="25" t="e">
        <f>IF(OR(E40="",E40="!!!",F40="NEW"),"",INDEX(J$1:J39,SUMPRODUCT(MAX(ROW(E$1:E39)*(E40=E$1:E39)))))</f>
        <v>#VALUE!</v>
      </c>
      <c r="L40" s="26"/>
    </row>
    <row r="41" spans="1:12" x14ac:dyDescent="0.3">
      <c r="A41" t="s">
        <v>96</v>
      </c>
      <c r="E41" s="21" t="str">
        <f t="shared" si="2"/>
        <v/>
      </c>
      <c r="F41" s="22" t="str">
        <f>IF(OR(E41="",E41="!!!"),"",IF(NOT(ISNA(VLOOKUP(E41,E$1:E40,1,FALSE()))),"OLD",IF(AND(E41&lt;&gt;"",E41&lt;&gt;"!!!"),"NEW","")))</f>
        <v/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4" t="str">
        <f t="shared" ca="1" si="3"/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/>
    </row>
    <row r="42" spans="1:12" x14ac:dyDescent="0.3">
      <c r="A42" t="s">
        <v>129</v>
      </c>
      <c r="B42" s="20" t="s">
        <v>98</v>
      </c>
      <c r="C42" s="20" t="s">
        <v>130</v>
      </c>
      <c r="E42" s="21" t="s">
        <v>383</v>
      </c>
      <c r="F42" s="22" t="str">
        <f>IF(OR(E42="",E42="!!!"),"",IF(NOT(ISNA(VLOOKUP(E42,E$1:E41,1,FALSE()))),"OLD",IF(AND(E42&lt;&gt;"",E42&lt;&gt;"!!!"),"NEW","")))</f>
        <v>NEW</v>
      </c>
      <c r="G42" s="23" t="s">
        <v>394</v>
      </c>
      <c r="H42" s="24" t="str">
        <f t="shared" ca="1" si="3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/>
    </row>
    <row r="43" spans="1:12" x14ac:dyDescent="0.3">
      <c r="A43" t="s">
        <v>131</v>
      </c>
      <c r="E43" s="21" t="str">
        <f t="shared" si="2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3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132</v>
      </c>
      <c r="E44" s="21" t="str">
        <f t="shared" si="2"/>
        <v/>
      </c>
      <c r="F44" s="22" t="str">
        <f>IF(OR(E44="",E44="!!!"),"",IF(NOT(ISNA(VLOOKUP(E44,E$1:E43,1,FALSE()))),"OLD",IF(AND(E44&lt;&gt;"",E44&lt;&gt;"!!!"),"NEW","")))</f>
        <v/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4" t="str">
        <f t="shared" ca="1" si="3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/>
    </row>
    <row r="45" spans="1:12" x14ac:dyDescent="0.3">
      <c r="A45" t="s">
        <v>133</v>
      </c>
      <c r="B45" s="20" t="s">
        <v>128</v>
      </c>
      <c r="C45" s="20" t="s">
        <v>103</v>
      </c>
      <c r="D45" s="20" t="s">
        <v>104</v>
      </c>
      <c r="E45" s="21"/>
      <c r="F45" s="22" t="s">
        <v>370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ca="1" si="3"/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6" spans="1:12" x14ac:dyDescent="0.3">
      <c r="A46" t="s">
        <v>134</v>
      </c>
      <c r="E46" s="21" t="str">
        <f t="shared" si="2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3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129</v>
      </c>
      <c r="E47" s="21" t="str">
        <f t="shared" si="2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3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135</v>
      </c>
      <c r="B48" s="20" t="s">
        <v>98</v>
      </c>
      <c r="C48" s="20" t="s">
        <v>127</v>
      </c>
      <c r="E48" s="21" t="str">
        <f t="shared" si="2"/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3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96</v>
      </c>
      <c r="E49" s="21" t="str">
        <f t="shared" si="2"/>
        <v/>
      </c>
      <c r="F49" s="22" t="str">
        <f>IF(OR(E49="",E49="!!!"),"",IF(NOT(ISNA(VLOOKUP(E49,E$1:E48,1,FALSE()))),"OLD",IF(AND(E49&lt;&gt;"",E49&lt;&gt;"!!!"),"NEW","")))</f>
        <v/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4" t="str">
        <f t="shared" ca="1" si="3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/>
    </row>
    <row r="50" spans="1:12" x14ac:dyDescent="0.3">
      <c r="A50" t="s">
        <v>100</v>
      </c>
      <c r="E50" s="21" t="str">
        <f t="shared" ref="E50:E68" si="4">IF(D50="?OLD","!!!","")</f>
        <v/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t="shared" ref="H50:H68" ca="1" si="5">IF(J50&lt;&gt;1,"",IF(I50="SBJ","CB","?"))</f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136</v>
      </c>
      <c r="E51" s="21" t="str">
        <f t="shared" si="4"/>
        <v/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t="shared" ca="1" si="5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97</v>
      </c>
      <c r="B52" s="20" t="s">
        <v>98</v>
      </c>
      <c r="C52" s="20" t="s">
        <v>103</v>
      </c>
      <c r="D52" s="20" t="s">
        <v>104</v>
      </c>
      <c r="E52" s="21" t="s">
        <v>392</v>
      </c>
      <c r="F52" s="22" t="str">
        <f>IF(OR(E52="",E52="!!!"),"",IF(NOT(ISNA(VLOOKUP(E52,E$1:E51,1,FALSE()))),"OLD",IF(AND(E52&lt;&gt;"",E52&lt;&gt;"!!!"),"NEW","")))</f>
        <v>OLD</v>
      </c>
      <c r="G52" s="23" t="s">
        <v>396</v>
      </c>
      <c r="H52" s="24" t="str">
        <f t="shared" ca="1" si="5"/>
        <v/>
      </c>
      <c r="I52" s="25" t="str">
        <f>IF(OR(E52="",E52="!!!",F52="NEW"),"",INDEX(B$2:B51,-1+SUMPRODUCT(MAX(ROW(E$2:E51)*(E52=E$2:E51)))))</f>
        <v>other_2</v>
      </c>
      <c r="J52" s="25">
        <f ca="1">IF(OR(E52="",E52="!!!",F52="NEW"),"",COUNTBLANK(OFFSET(A$1,,,SUMPRODUCT(MAX(ROW(E$2:E52)*(E52=E$2:E52)))))-COUNTBLANK(OFFSET(A$1,,,SUMPRODUCT(MAX(ROW(E$1:E51)*(E2=E$1:E51))))))</f>
        <v>0</v>
      </c>
      <c r="K52" s="25" t="str">
        <f ca="1">IF(OR(E52="",E52="!!!",F52="NEW"),"",INDEX(J$1:J51,SUMPRODUCT(MAX(ROW(E$1:E51)*(E52=E$1:E51)))))</f>
        <v/>
      </c>
      <c r="L52" s="26"/>
    </row>
    <row r="53" spans="1:12" x14ac:dyDescent="0.3">
      <c r="A53" t="s">
        <v>137</v>
      </c>
      <c r="E53" s="21" t="str">
        <f t="shared" si="4"/>
        <v/>
      </c>
      <c r="F53" s="22" t="str">
        <f>IF(OR(E53="",E53="!!!"),"",IF(NOT(ISNA(VLOOKUP(E53,E$1:E52,1,FALSE()))),"OLD",IF(AND(E53&lt;&gt;"",E53&lt;&gt;"!!!"),"NEW","")))</f>
        <v/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t="shared" ca="1" si="5"/>
        <v/>
      </c>
      <c r="I53" s="25" t="str">
        <f>IF(OR(E53="",E53="!!!",F53="NEW"),"",INDEX(B$2:B52,-1+SUMPRODUCT(MAX(ROW(E$2:E52)*(E53=E$2:E52)))))</f>
        <v/>
      </c>
      <c r="J53" s="25" t="str">
        <f ca="1">IF(OR(E53="",E53="!!!",F53="NEW"),"",COUNTBLANK(OFFSET(A$1,,,SUMPRODUCT(MAX(ROW(E$2:E53)*(E53=E$2:E53)))))-COUNTBLANK(OFFSET(A$1,,,SUMPRODUCT(MAX(ROW(E$1:E52)*(E2=E$1:E52))))))</f>
        <v/>
      </c>
      <c r="K53" s="25" t="str">
        <f>IF(OR(E53="",E53="!!!",F53="NEW"),"",INDEX(J$1:J52,SUMPRODUCT(MAX(ROW(E$1:E52)*(E53=E$1:E52)))))</f>
        <v/>
      </c>
      <c r="L53" s="26"/>
    </row>
    <row r="54" spans="1:12" x14ac:dyDescent="0.3">
      <c r="A54" t="s">
        <v>138</v>
      </c>
      <c r="B54" s="20" t="s">
        <v>102</v>
      </c>
      <c r="C54" s="20" t="s">
        <v>117</v>
      </c>
      <c r="D54" s="20" t="s">
        <v>104</v>
      </c>
      <c r="E54" s="21" t="s">
        <v>353</v>
      </c>
      <c r="F54" s="22" t="str">
        <f>IF(OR(E54="",E54="!!!"),"",IF(NOT(ISNA(VLOOKUP(E54,E$1:E53,1,FALSE()))),"OLD",IF(AND(E54&lt;&gt;"",E54&lt;&gt;"!!!"),"NEW","")))</f>
        <v>NEW</v>
      </c>
      <c r="G54" s="23" t="s">
        <v>393</v>
      </c>
      <c r="H54" s="24" t="str">
        <f t="shared" ca="1" si="5"/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5" spans="1:12" x14ac:dyDescent="0.3">
      <c r="A55" t="s">
        <v>139</v>
      </c>
      <c r="E55" s="21" t="str">
        <f t="shared" si="4"/>
        <v/>
      </c>
      <c r="F55" s="22" t="str">
        <f>IF(OR(E55="",E55="!!!"),"",IF(NOT(ISNA(VLOOKUP(E55,E$1:E54,1,FALSE()))),"OLD",IF(AND(E55&lt;&gt;"",E55&lt;&gt;"!!!"),"NEW","")))</f>
        <v/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4" t="str">
        <f t="shared" ca="1" si="5"/>
        <v/>
      </c>
      <c r="I55" s="25" t="str">
        <f>IF(OR(E55="",E55="!!!",F55="NEW"),"",INDEX(B$2:B54,-1+SUMPRODUCT(MAX(ROW(E$2:E54)*(E55=E$2:E54)))))</f>
        <v/>
      </c>
      <c r="J55" s="25" t="str">
        <f ca="1">IF(OR(E55="",E55="!!!",F55="NEW"),"",COUNTBLANK(OFFSET(A$1,,,SUMPRODUCT(MAX(ROW(E$2:E55)*(E55=E$2:E55)))))-COUNTBLANK(OFFSET(A$1,,,SUMPRODUCT(MAX(ROW(E$1:E54)*(E2=E$1:E54))))))</f>
        <v/>
      </c>
      <c r="K55" s="25" t="str">
        <f>IF(OR(E55="",E55="!!!",F55="NEW"),"",INDEX(J$1:J54,SUMPRODUCT(MAX(ROW(E$1:E54)*(E55=E$1:E54)))))</f>
        <v/>
      </c>
      <c r="L55" s="26"/>
    </row>
    <row r="56" spans="1:12" x14ac:dyDescent="0.3">
      <c r="A56" t="s">
        <v>140</v>
      </c>
      <c r="E56" s="21" t="str">
        <f t="shared" si="4"/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ca="1" si="5"/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112</v>
      </c>
      <c r="E57" s="21" t="str">
        <f t="shared" si="4"/>
        <v/>
      </c>
      <c r="F57" s="22" t="str">
        <f>IF(OR(E57="",E57="!!!"),"",IF(NOT(ISNA(VLOOKUP(E57,E$1:E56,1,FALSE()))),"OLD",IF(AND(E57&lt;&gt;"",E57&lt;&gt;"!!!"),"NEW","")))</f>
        <v/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4" t="str">
        <f t="shared" ca="1" si="5"/>
        <v/>
      </c>
      <c r="I57" s="25" t="str">
        <f>IF(OR(E57="",E57="!!!",F57="NEW"),"",INDEX(B$2:B56,-1+SUMPRODUCT(MAX(ROW(E$2:E56)*(E57=E$2:E56)))))</f>
        <v/>
      </c>
      <c r="J57" s="25" t="str">
        <f ca="1">IF(OR(E57="",E57="!!!",F57="NEW"),"",COUNTBLANK(OFFSET(A$1,,,SUMPRODUCT(MAX(ROW(E$2:E57)*(E57=E$2:E57)))))-COUNTBLANK(OFFSET(A$1,,,SUMPRODUCT(MAX(ROW(E$1:E56)*(E2=E$1:E56))))))</f>
        <v/>
      </c>
      <c r="K57" s="25" t="str">
        <f>IF(OR(E57="",E57="!!!",F57="NEW"),"",INDEX(J$1:J56,SUMPRODUCT(MAX(ROW(E$1:E56)*(E57=E$1:E56)))))</f>
        <v/>
      </c>
      <c r="L57" s="26"/>
    </row>
    <row r="58" spans="1:12" x14ac:dyDescent="0.3">
      <c r="A58" t="s">
        <v>141</v>
      </c>
      <c r="E58" s="21" t="str">
        <f t="shared" si="4"/>
        <v/>
      </c>
      <c r="F58" s="22" t="str">
        <f>IF(OR(E58="",E58="!!!"),"",IF(NOT(ISNA(VLOOKUP(E58,E$1:E57,1,FALSE()))),"OLD",IF(AND(E58&lt;&gt;"",E58&lt;&gt;"!!!"),"NEW","")))</f>
        <v/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t="shared" ca="1" si="5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142</v>
      </c>
      <c r="B59" s="20" t="s">
        <v>114</v>
      </c>
      <c r="C59" s="20" t="s">
        <v>143</v>
      </c>
      <c r="D59" s="20" t="s">
        <v>104</v>
      </c>
      <c r="E59" s="21" t="s">
        <v>350</v>
      </c>
      <c r="F59" s="22" t="str">
        <f>IF(OR(E59="",E59="!!!"),"",IF(NOT(ISNA(VLOOKUP(E59,E$1:E58,1,FALSE()))),"OLD",IF(AND(E59&lt;&gt;"",E59&lt;&gt;"!!!"),"NEW","")))</f>
        <v>OLD</v>
      </c>
      <c r="G59" s="23" t="s">
        <v>395</v>
      </c>
      <c r="H59" s="24" t="str">
        <f t="shared" ca="1" si="5"/>
        <v/>
      </c>
      <c r="I59" s="25" t="str">
        <f>IF(OR(E59="",E59="!!!",F59="NEW"),"",INDEX(B$2:B58,-1+SUMPRODUCT(MAX(ROW(E$2:E58)*(E59=E$2:E58)))))</f>
        <v>OBJ</v>
      </c>
      <c r="J59" s="25">
        <f ca="1">IF(OR(E59="",E59="!!!",F59="NEW"),"",COUNTBLANK(OFFSET(A$1,,,SUMPRODUCT(MAX(ROW(E$2:E59)*(E59=E$2:E59)))))-COUNTBLANK(OFFSET(A$1,,,SUMPRODUCT(MAX(ROW(E$1:E58)*(E2=E$1:E58))))))</f>
        <v>0</v>
      </c>
      <c r="K59" s="25" t="str">
        <f ca="1">IF(OR(E59="",E59="!!!",F59="NEW"),"",INDEX(J$1:J58,SUMPRODUCT(MAX(ROW(E$1:E58)*(E59=E$1:E58)))))</f>
        <v/>
      </c>
      <c r="L59" s="26"/>
    </row>
    <row r="60" spans="1:12" x14ac:dyDescent="0.3">
      <c r="A60" t="s">
        <v>144</v>
      </c>
      <c r="B60" s="20" t="s">
        <v>145</v>
      </c>
      <c r="E60" s="21" t="str">
        <f t="shared" si="4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5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96</v>
      </c>
      <c r="E61" s="21" t="str">
        <f t="shared" si="4"/>
        <v/>
      </c>
      <c r="F61" s="22" t="str">
        <f>IF(OR(E61="",E61="!!!"),"",IF(NOT(ISNA(VLOOKUP(E61,E$1:E60,1,FALSE()))),"OLD",IF(AND(E61&lt;&gt;"",E61&lt;&gt;"!!!"),"NEW","")))</f>
        <v/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t="shared" ca="1" si="5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100</v>
      </c>
      <c r="E62" s="21" t="str">
        <f t="shared" si="4"/>
        <v/>
      </c>
      <c r="F62" s="22" t="str">
        <f>IF(OR(E62="",E62="!!!"),"",IF(NOT(ISNA(VLOOKUP(E62,E$1:E61,1,FALSE()))),"OLD",IF(AND(E62&lt;&gt;"",E62&lt;&gt;"!!!"),"NEW","")))</f>
        <v/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5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3" spans="1:12" x14ac:dyDescent="0.3">
      <c r="A63" t="s">
        <v>105</v>
      </c>
      <c r="B63" s="20" t="s">
        <v>102</v>
      </c>
      <c r="C63" s="20" t="s">
        <v>103</v>
      </c>
      <c r="D63" s="20" t="s">
        <v>104</v>
      </c>
      <c r="E63" s="21" t="s">
        <v>352</v>
      </c>
      <c r="F63" s="22" t="str">
        <f>IF(OR(E63="",E63="!!!"),"",IF(NOT(ISNA(VLOOKUP(E63,E$1:E62,1,FALSE()))),"OLD",IF(AND(E63&lt;&gt;"",E63&lt;&gt;"!!!"),"NEW","")))</f>
        <v>OLD</v>
      </c>
      <c r="G63" s="23" t="s">
        <v>396</v>
      </c>
      <c r="H63" s="24" t="str">
        <f t="shared" ca="1" si="5"/>
        <v/>
      </c>
      <c r="I63" s="25" t="str">
        <f>IF(OR(E63="",E63="!!!",F63="NEW"),"",INDEX(B$2:B62,-1+SUMPRODUCT(MAX(ROW(E$2:E62)*(E63=E$2:E62)))))</f>
        <v>other_4</v>
      </c>
      <c r="J63" s="25">
        <f ca="1">IF(OR(E63="",E63="!!!",F63="NEW"),"",COUNTBLANK(OFFSET(A$1,,,SUMPRODUCT(MAX(ROW(E$2:E63)*(E63=E$2:E63)))))-COUNTBLANK(OFFSET(A$1,,,SUMPRODUCT(MAX(ROW(E$1:E62)*(E2=E$1:E62))))))</f>
        <v>0</v>
      </c>
      <c r="K63" s="25" t="str">
        <f ca="1">IF(OR(E63="",E63="!!!",F63="NEW"),"",INDEX(J$1:J62,SUMPRODUCT(MAX(ROW(E$1:E62)*(E63=E$1:E62)))))</f>
        <v/>
      </c>
      <c r="L63" s="26"/>
    </row>
    <row r="64" spans="1:12" x14ac:dyDescent="0.3">
      <c r="A64" t="s">
        <v>146</v>
      </c>
      <c r="E64" s="21" t="str">
        <f t="shared" si="4"/>
        <v/>
      </c>
      <c r="F64" s="22" t="str">
        <f>IF(OR(E64="",E64="!!!"),"",IF(NOT(ISNA(VLOOKUP(E64,E$1:E63,1,FALSE()))),"OLD",IF(AND(E64&lt;&gt;"",E64&lt;&gt;"!!!"),"NEW","")))</f>
        <v/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t="shared" ca="1" si="5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/>
    </row>
    <row r="65" spans="1:12" x14ac:dyDescent="0.3">
      <c r="A65" t="s">
        <v>122</v>
      </c>
      <c r="E65" s="21" t="str">
        <f t="shared" si="4"/>
        <v/>
      </c>
      <c r="F65" s="22" t="str">
        <f>IF(OR(E65="",E65="!!!"),"",IF(NOT(ISNA(VLOOKUP(E65,E$1:E64,1,FALSE()))),"OLD",IF(AND(E65&lt;&gt;"",E65&lt;&gt;"!!!"),"NEW","")))</f>
        <v/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4" t="str">
        <f t="shared" ca="1" si="5"/>
        <v/>
      </c>
      <c r="I65" s="25" t="str">
        <f>IF(OR(E65="",E65="!!!",F65="NEW"),"",INDEX(B$2:B64,-1+SUMPRODUCT(MAX(ROW(E$2:E64)*(E65=E$2:E64)))))</f>
        <v/>
      </c>
      <c r="J65" s="25" t="str">
        <f ca="1">IF(OR(E65="",E65="!!!",F65="NEW"),"",COUNTBLANK(OFFSET(A$1,,,SUMPRODUCT(MAX(ROW(E$2:E65)*(E65=E$2:E65)))))-COUNTBLANK(OFFSET(A$1,,,SUMPRODUCT(MAX(ROW(E$1:E64)*(E2=E$1:E64))))))</f>
        <v/>
      </c>
      <c r="K65" s="25" t="str">
        <f>IF(OR(E65="",E65="!!!",F65="NEW"),"",INDEX(J$1:J64,SUMPRODUCT(MAX(ROW(E$1:E64)*(E65=E$1:E64)))))</f>
        <v/>
      </c>
      <c r="L65" s="26"/>
    </row>
    <row r="66" spans="1:12" x14ac:dyDescent="0.3">
      <c r="A66" t="s">
        <v>147</v>
      </c>
      <c r="B66" s="20" t="s">
        <v>148</v>
      </c>
      <c r="C66" s="20" t="s">
        <v>91</v>
      </c>
      <c r="E66" s="21" t="str">
        <f t="shared" si="4"/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5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7" spans="1:12" x14ac:dyDescent="0.3">
      <c r="A67" t="s">
        <v>149</v>
      </c>
      <c r="E67" s="21" t="str">
        <f t="shared" si="4"/>
        <v/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ca="1" si="5"/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8" spans="1:12" x14ac:dyDescent="0.3">
      <c r="A68" t="s">
        <v>150</v>
      </c>
      <c r="E68" s="21" t="str">
        <f t="shared" si="4"/>
        <v/>
      </c>
      <c r="F68" s="22" t="str">
        <f>IF(OR(E68="",E68="!!!"),"",IF(NOT(ISNA(VLOOKUP(E68,E$1:E67,1,FALSE()))),"OLD",IF(AND(E68&lt;&gt;"",E68&lt;&gt;"!!!"),"NEW","")))</f>
        <v/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4" t="str">
        <f t="shared" ca="1" si="5"/>
        <v/>
      </c>
      <c r="I68" s="25" t="str">
        <f>IF(OR(E68="",E68="!!!",F68="NEW"),"",INDEX(B$2:B67,-1+SUMPRODUCT(MAX(ROW(E$2:E67)*(E68=E$2:E67)))))</f>
        <v/>
      </c>
      <c r="J68" s="25" t="str">
        <f ca="1">IF(OR(E68="",E68="!!!",F68="NEW"),"",COUNTBLANK(OFFSET(A$1,,,SUMPRODUCT(MAX(ROW(E$2:E68)*(E68=E$2:E68)))))-COUNTBLANK(OFFSET(A$1,,,SUMPRODUCT(MAX(ROW(E$1:E67)*(E2=E$1:E67))))))</f>
        <v/>
      </c>
      <c r="K68" s="25" t="str">
        <f>IF(OR(E68="",E68="!!!",F68="NEW"),"",INDEX(J$1:J67,SUMPRODUCT(MAX(ROW(E$1:E67)*(E68=E$1:E67)))))</f>
        <v/>
      </c>
      <c r="L68" s="26"/>
    </row>
    <row r="70" spans="1:12" x14ac:dyDescent="0.3">
      <c r="A70" t="s">
        <v>151</v>
      </c>
    </row>
    <row r="71" spans="1:12" x14ac:dyDescent="0.3">
      <c r="A71" t="s">
        <v>152</v>
      </c>
      <c r="B71" s="20" t="s">
        <v>90</v>
      </c>
      <c r="C71" s="20" t="s">
        <v>117</v>
      </c>
      <c r="D71" s="20" t="s">
        <v>104</v>
      </c>
      <c r="E71" s="21" t="s">
        <v>354</v>
      </c>
      <c r="F71" s="22" t="str">
        <f>IF(OR(E71="",E71="!!!"),"",IF(NOT(ISNA(VLOOKUP(E71,E$1:E70,1,FALSE()))),"OLD",IF(AND(E71&lt;&gt;"",E71&lt;&gt;"!!!"),"NEW","")))</f>
        <v>NEW</v>
      </c>
      <c r="G71" s="23" t="s">
        <v>395</v>
      </c>
      <c r="H71" s="24" t="s">
        <v>84</v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153</v>
      </c>
      <c r="E72" s="21" t="str">
        <f t="shared" ref="E72:E86" si="6">IF(D72="?OLD","!!!","")</f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ref="H72:H86" ca="1" si="7">IF(J72&lt;&gt;1,"",IF(I72="SBJ","CB","?"))</f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154</v>
      </c>
      <c r="E73" s="21" t="str">
        <f t="shared" si="6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7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4" spans="1:12" x14ac:dyDescent="0.3">
      <c r="A74" t="s">
        <v>112</v>
      </c>
      <c r="E74" s="21" t="str">
        <f t="shared" si="6"/>
        <v/>
      </c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t="shared" ca="1" si="7"/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155</v>
      </c>
      <c r="B75" s="20" t="s">
        <v>98</v>
      </c>
      <c r="C75" s="20" t="s">
        <v>117</v>
      </c>
      <c r="D75" s="20" t="s">
        <v>104</v>
      </c>
      <c r="E75" s="21" t="s">
        <v>355</v>
      </c>
      <c r="F75" s="22" t="str">
        <f>IF(OR(E75="",E75="!!!"),"",IF(NOT(ISNA(VLOOKUP(E75,E$1:E74,1,FALSE()))),"OLD",IF(AND(E75&lt;&gt;"",E75&lt;&gt;"!!!"),"NEW","")))</f>
        <v>NEW</v>
      </c>
      <c r="G75" s="23" t="s">
        <v>395</v>
      </c>
      <c r="H75" s="24" t="str">
        <f t="shared" ca="1" si="7"/>
        <v/>
      </c>
      <c r="I75" s="25" t="str">
        <f>IF(OR(E75="",E75="!!!",F75="NEW"),"",INDEX(B$2:B74,-1+SUMPRODUCT(MAX(ROW(E$2:E74)*(E75=E$2:E74)))))</f>
        <v/>
      </c>
      <c r="J75" s="25" t="str">
        <f ca="1">IF(OR(E75="",E75="!!!",F75="NEW"),"",COUNTBLANK(OFFSET(A$1,,,SUMPRODUCT(MAX(ROW(E$2:E75)*(E75=E$2:E75)))))-COUNTBLANK(OFFSET(A$1,,,SUMPRODUCT(MAX(ROW(E$1:E74)*(E2=E$1:E74))))))</f>
        <v/>
      </c>
      <c r="K75" s="25" t="str">
        <f>IF(OR(E75="",E75="!!!",F75="NEW"),"",INDEX(J$1:J74,SUMPRODUCT(MAX(ROW(E$1:E74)*(E75=E$1:E74)))))</f>
        <v/>
      </c>
      <c r="L75" s="26"/>
    </row>
    <row r="76" spans="1:12" x14ac:dyDescent="0.3">
      <c r="A76" t="s">
        <v>156</v>
      </c>
      <c r="E76" s="21" t="str">
        <f t="shared" si="6"/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ca="1" si="7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157</v>
      </c>
      <c r="B77" s="20" t="s">
        <v>102</v>
      </c>
      <c r="C77" s="20" t="s">
        <v>117</v>
      </c>
      <c r="D77" s="20" t="s">
        <v>104</v>
      </c>
      <c r="E77" s="21"/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7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8" spans="1:12" x14ac:dyDescent="0.3">
      <c r="A78" t="s">
        <v>158</v>
      </c>
      <c r="E78" s="21" t="str">
        <f t="shared" si="6"/>
        <v/>
      </c>
      <c r="F78" s="22" t="str">
        <f>IF(OR(E78="",E78="!!!"),"",IF(NOT(ISNA(VLOOKUP(E78,E$1:E77,1,FALSE()))),"OLD",IF(AND(E78&lt;&gt;"",E78&lt;&gt;"!!!"),"NEW","")))</f>
        <v/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7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/>
    </row>
    <row r="79" spans="1:12" x14ac:dyDescent="0.3">
      <c r="A79" t="s">
        <v>157</v>
      </c>
      <c r="B79" s="20" t="s">
        <v>98</v>
      </c>
      <c r="C79" s="20" t="s">
        <v>117</v>
      </c>
      <c r="D79" s="20" t="s">
        <v>104</v>
      </c>
      <c r="E79" s="21" t="s">
        <v>355</v>
      </c>
      <c r="F79" s="22" t="str">
        <f>IF(OR(E79="",E79="!!!"),"",IF(NOT(ISNA(VLOOKUP(E79,E$1:E78,1,FALSE()))),"OLD",IF(AND(E79&lt;&gt;"",E79&lt;&gt;"!!!"),"NEW","")))</f>
        <v>OLD</v>
      </c>
      <c r="G79" s="23" t="s">
        <v>395</v>
      </c>
      <c r="H79" s="24" t="str">
        <f t="shared" ca="1" si="7"/>
        <v/>
      </c>
      <c r="I79" s="25" t="str">
        <f>IF(OR(E79="",E79="!!!",F79="NEW"),"",INDEX(B$2:B78,-1+SUMPRODUCT(MAX(ROW(E$2:E78)*(E79=E$2:E78)))))</f>
        <v>other_2</v>
      </c>
      <c r="J79" s="25">
        <f ca="1">IF(OR(E79="",E79="!!!",F79="NEW"),"",COUNTBLANK(OFFSET(A$1,,,SUMPRODUCT(MAX(ROW(E$2:E79)*(E79=E$2:E79)))))-COUNTBLANK(OFFSET(A$1,,,SUMPRODUCT(MAX(ROW(E$1:E78)*(E2=E$1:E78))))))</f>
        <v>0</v>
      </c>
      <c r="K79" s="25" t="str">
        <f ca="1">IF(OR(E79="",E79="!!!",F79="NEW"),"",INDEX(J$1:J78,SUMPRODUCT(MAX(ROW(E$1:E78)*(E79=E$1:E78)))))</f>
        <v/>
      </c>
      <c r="L79" s="26"/>
    </row>
    <row r="80" spans="1:12" x14ac:dyDescent="0.3">
      <c r="A80" t="s">
        <v>159</v>
      </c>
      <c r="B80" s="20" t="s">
        <v>102</v>
      </c>
      <c r="C80" s="20" t="s">
        <v>117</v>
      </c>
      <c r="D80" s="20" t="s">
        <v>104</v>
      </c>
      <c r="E80" s="21"/>
      <c r="F80" s="22" t="s">
        <v>357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t="shared" ca="1" si="7"/>
        <v/>
      </c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160</v>
      </c>
      <c r="E81" s="21" t="s">
        <v>356</v>
      </c>
      <c r="F81" s="22" t="str">
        <f>IF(OR(E81="",E81="!!!"),"",IF(NOT(ISNA(VLOOKUP(E81,E$1:E80,1,FALSE()))),"OLD",IF(AND(E81&lt;&gt;"",E81&lt;&gt;"!!!"),"NEW","")))</f>
        <v>OLD</v>
      </c>
      <c r="G81" s="23" t="s">
        <v>395</v>
      </c>
      <c r="H81" s="24" t="str">
        <f t="shared" ca="1" si="7"/>
        <v/>
      </c>
      <c r="I81" s="25" t="str">
        <f>IF(OR(E81="",E81="!!!",F81="NEW"),"",INDEX(B$2:B80,-1+SUMPRODUCT(MAX(ROW(E$2:E80)*(E81=E$2:E80)))))</f>
        <v>other_2</v>
      </c>
      <c r="J81" s="25">
        <f ca="1">IF(OR(E81="",E81="!!!",F81="NEW"),"",COUNTBLANK(OFFSET(A$1,,,SUMPRODUCT(MAX(ROW(E$2:E81)*(E81=E$2:E81)))))-COUNTBLANK(OFFSET(A$1,,,SUMPRODUCT(MAX(ROW(E$1:E80)*(E2=E$1:E80))))))</f>
        <v>0</v>
      </c>
      <c r="K81" s="25" t="str">
        <f ca="1">IF(OR(E81="",E81="!!!",F81="NEW"),"",INDEX(J$1:J80,SUMPRODUCT(MAX(ROW(E$1:E80)*(E81=E$1:E80)))))</f>
        <v/>
      </c>
      <c r="L81" s="26"/>
    </row>
    <row r="82" spans="1:12" x14ac:dyDescent="0.3">
      <c r="A82" t="s">
        <v>119</v>
      </c>
      <c r="E82" s="21" t="str">
        <f t="shared" si="6"/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ca="1" si="7"/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115</v>
      </c>
      <c r="E83" s="21" t="str">
        <f t="shared" si="6"/>
        <v/>
      </c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7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100</v>
      </c>
      <c r="E84" s="21" t="str">
        <f t="shared" si="6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7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21</v>
      </c>
      <c r="E85" s="21" t="str">
        <f t="shared" si="6"/>
        <v/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7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6" spans="1:12" x14ac:dyDescent="0.3">
      <c r="A86" t="s">
        <v>150</v>
      </c>
      <c r="E86" s="21" t="str">
        <f t="shared" si="6"/>
        <v/>
      </c>
      <c r="F86" s="22" t="str">
        <f>IF(OR(E86="",E86="!!!"),"",IF(NOT(ISNA(VLOOKUP(E86,E$1:E85,1,FALSE()))),"OLD",IF(AND(E86&lt;&gt;"",E86&lt;&gt;"!!!"),"NEW","")))</f>
        <v/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t="shared" ca="1" si="7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 t="s">
        <v>358</v>
      </c>
    </row>
    <row r="88" spans="1:12" x14ac:dyDescent="0.3">
      <c r="A88" t="s">
        <v>161</v>
      </c>
    </row>
    <row r="89" spans="1:12" x14ac:dyDescent="0.3">
      <c r="A89" t="s">
        <v>162</v>
      </c>
      <c r="B89" s="20" t="s">
        <v>111</v>
      </c>
      <c r="C89" s="20" t="s">
        <v>117</v>
      </c>
      <c r="D89" s="20" t="s">
        <v>104</v>
      </c>
      <c r="E89" s="21" t="s">
        <v>373</v>
      </c>
      <c r="F89" s="22" t="str">
        <f>IF(OR(E89="",E89="!!!"),"",IF(NOT(ISNA(VLOOKUP(E89,E$1:E88,1,FALSE()))),"OLD",IF(AND(E89&lt;&gt;"",E89&lt;&gt;"!!!"),"NEW","")))</f>
        <v>NEW</v>
      </c>
      <c r="G89" s="23" t="s">
        <v>394</v>
      </c>
      <c r="H89" s="24" t="str">
        <f t="shared" ref="H89:H104" ca="1" si="8">IF(J89&lt;&gt;1,"",IF(I89="SBJ","CB","?"))</f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107</v>
      </c>
      <c r="E90" s="21" t="str">
        <f t="shared" ref="E90:E104" si="9">IF(D90="?OLD","!!!","")</f>
        <v/>
      </c>
      <c r="F90" s="22" t="str">
        <f>IF(OR(E90="",E90="!!!"),"",IF(NOT(ISNA(VLOOKUP(E90,E$1:E89,1,FALSE()))),"OLD",IF(AND(E90&lt;&gt;"",E90&lt;&gt;"!!!"),"NEW","")))</f>
        <v/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4" t="str">
        <f t="shared" ca="1" si="8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112</v>
      </c>
      <c r="E91" s="21" t="str">
        <f t="shared" si="9"/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8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2" spans="1:12" x14ac:dyDescent="0.3">
      <c r="A92" t="s">
        <v>141</v>
      </c>
      <c r="E92" s="21" t="str">
        <f t="shared" si="9"/>
        <v/>
      </c>
      <c r="F92" s="22" t="str">
        <f>IF(OR(E92="",E92="!!!"),"",IF(NOT(ISNA(VLOOKUP(E92,E$1:E91,1,FALSE()))),"OLD",IF(AND(E92&lt;&gt;"",E92&lt;&gt;"!!!"),"NEW","")))</f>
        <v/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4" t="str">
        <f t="shared" ca="1" si="8"/>
        <v/>
      </c>
      <c r="I92" s="25" t="str">
        <f>IF(OR(E92="",E92="!!!",F92="NEW"),"",INDEX(B$2:B91,-1+SUMPRODUCT(MAX(ROW(E$2:E91)*(E92=E$2:E91)))))</f>
        <v/>
      </c>
      <c r="J92" s="25" t="str">
        <f ca="1">IF(OR(E92="",E92="!!!",F92="NEW"),"",COUNTBLANK(OFFSET(A$1,,,SUMPRODUCT(MAX(ROW(E$2:E92)*(E92=E$2:E92)))))-COUNTBLANK(OFFSET(A$1,,,SUMPRODUCT(MAX(ROW(E$1:E91)*(E2=E$1:E91))))))</f>
        <v/>
      </c>
      <c r="K92" s="25" t="str">
        <f>IF(OR(E92="",E92="!!!",F92="NEW"),"",INDEX(J$1:J91,SUMPRODUCT(MAX(ROW(E$1:E91)*(E92=E$1:E91)))))</f>
        <v/>
      </c>
      <c r="L92" s="26"/>
    </row>
    <row r="93" spans="1:12" x14ac:dyDescent="0.3">
      <c r="A93" t="s">
        <v>163</v>
      </c>
      <c r="E93" s="21" t="str">
        <f t="shared" si="9"/>
        <v/>
      </c>
      <c r="F93" s="22" t="str">
        <f>IF(OR(E93="",E93="!!!"),"",IF(NOT(ISNA(VLOOKUP(E93,E$1:E92,1,FALSE()))),"OLD",IF(AND(E93&lt;&gt;"",E93&lt;&gt;"!!!"),"NEW","")))</f>
        <v/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4" t="str">
        <f t="shared" ca="1" si="8"/>
        <v/>
      </c>
      <c r="I93" s="25" t="str">
        <f>IF(OR(E93="",E93="!!!",F93="NEW"),"",INDEX(B$2:B92,-1+SUMPRODUCT(MAX(ROW(E$2:E92)*(E93=E$2:E92)))))</f>
        <v/>
      </c>
      <c r="J93" s="25" t="str">
        <f ca="1">IF(OR(E93="",E93="!!!",F93="NEW"),"",COUNTBLANK(OFFSET(A$1,,,SUMPRODUCT(MAX(ROW(E$2:E93)*(E93=E$2:E93)))))-COUNTBLANK(OFFSET(A$1,,,SUMPRODUCT(MAX(ROW(E$1:E92)*(E2=E$1:E92))))))</f>
        <v/>
      </c>
      <c r="K93" s="25" t="str">
        <f>IF(OR(E93="",E93="!!!",F93="NEW"),"",INDEX(J$1:J92,SUMPRODUCT(MAX(ROW(E$1:E92)*(E93=E$1:E92)))))</f>
        <v/>
      </c>
      <c r="L93" s="26"/>
    </row>
    <row r="94" spans="1:12" x14ac:dyDescent="0.3">
      <c r="A94" t="s">
        <v>105</v>
      </c>
      <c r="B94" s="20" t="s">
        <v>164</v>
      </c>
      <c r="C94" s="20" t="s">
        <v>103</v>
      </c>
      <c r="D94" s="20" t="s">
        <v>104</v>
      </c>
      <c r="E94" s="21" t="s">
        <v>352</v>
      </c>
      <c r="F94" s="22" t="str">
        <f>IF(OR(E94="",E94="!!!"),"",IF(NOT(ISNA(VLOOKUP(E94,E$1:E93,1,FALSE()))),"OLD",IF(AND(E94&lt;&gt;"",E94&lt;&gt;"!!!"),"NEW","")))</f>
        <v>OLD</v>
      </c>
      <c r="G94" s="23" t="s">
        <v>396</v>
      </c>
      <c r="H94" s="24" t="str">
        <f t="shared" ca="1" si="8"/>
        <v/>
      </c>
      <c r="I94" s="25" t="str">
        <f>IF(OR(E94="",E94="!!!",F94="NEW"),"",INDEX(B$2:B93,-1+SUMPRODUCT(MAX(ROW(E$2:E93)*(E94=E$2:E93)))))</f>
        <v>other_3</v>
      </c>
      <c r="J94" s="25">
        <f ca="1">IF(OR(E94="",E94="!!!",F94="NEW"),"",COUNTBLANK(OFFSET(A$1,,,SUMPRODUCT(MAX(ROW(E$2:E94)*(E94=E$2:E94)))))-COUNTBLANK(OFFSET(A$1,,,SUMPRODUCT(MAX(ROW(E$1:E93)*(E2=E$1:E93))))))</f>
        <v>0</v>
      </c>
      <c r="K94" s="25">
        <f ca="1">IF(OR(E94="",E94="!!!",F94="NEW"),"",INDEX(J$1:J93,SUMPRODUCT(MAX(ROW(E$1:E93)*(E94=E$1:E93)))))</f>
        <v>0</v>
      </c>
      <c r="L94" s="26"/>
    </row>
    <row r="95" spans="1:12" x14ac:dyDescent="0.3">
      <c r="A95" t="s">
        <v>96</v>
      </c>
      <c r="E95" s="21" t="str">
        <f t="shared" si="9"/>
        <v/>
      </c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8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/>
    </row>
    <row r="96" spans="1:12" x14ac:dyDescent="0.3">
      <c r="A96" t="s">
        <v>165</v>
      </c>
      <c r="E96" s="21" t="str">
        <f t="shared" si="9"/>
        <v/>
      </c>
      <c r="F96" s="22" t="str">
        <f>IF(OR(E96="",E96="!!!"),"",IF(NOT(ISNA(VLOOKUP(E96,E$1:E95,1,FALSE()))),"OLD",IF(AND(E96&lt;&gt;"",E96&lt;&gt;"!!!"),"NEW","")))</f>
        <v/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ca="1" si="8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166</v>
      </c>
      <c r="B97" s="20" t="s">
        <v>106</v>
      </c>
      <c r="C97" s="20" t="s">
        <v>127</v>
      </c>
      <c r="E97" s="21" t="str">
        <f t="shared" si="9"/>
        <v/>
      </c>
      <c r="F97" s="22" t="str">
        <f>IF(OR(E97="",E97="!!!"),"",IF(NOT(ISNA(VLOOKUP(E97,E$1:E96,1,FALSE()))),"OLD",IF(AND(E97&lt;&gt;"",E97&lt;&gt;"!!!"),"NEW","")))</f>
        <v/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t="shared" ca="1" si="8"/>
        <v/>
      </c>
      <c r="I97" s="25" t="str">
        <f>IF(OR(E97="",E97="!!!",F97="NEW"),"",INDEX(B$2:B96,-1+SUMPRODUCT(MAX(ROW(E$2:E96)*(E97=E$2:E96)))))</f>
        <v/>
      </c>
      <c r="J97" s="25" t="str">
        <f ca="1">IF(OR(E97="",E97="!!!",F97="NEW"),"",COUNTBLANK(OFFSET(A$1,,,SUMPRODUCT(MAX(ROW(E$2:E97)*(E97=E$2:E97)))))-COUNTBLANK(OFFSET(A$1,,,SUMPRODUCT(MAX(ROW(E$1:E96)*(E2=E$1:E96))))))</f>
        <v/>
      </c>
      <c r="K97" s="25" t="str">
        <f>IF(OR(E97="",E97="!!!",F97="NEW"),"",INDEX(J$1:J96,SUMPRODUCT(MAX(ROW(E$1:E96)*(E97=E$1:E96)))))</f>
        <v/>
      </c>
      <c r="L97" s="26"/>
    </row>
    <row r="98" spans="1:12" x14ac:dyDescent="0.3">
      <c r="A98" t="s">
        <v>167</v>
      </c>
      <c r="E98" s="21" t="str">
        <f t="shared" si="9"/>
        <v/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8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168</v>
      </c>
      <c r="E99" s="21" t="str">
        <f t="shared" si="9"/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8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112</v>
      </c>
      <c r="E100" s="21" t="str">
        <f t="shared" si="9"/>
        <v/>
      </c>
      <c r="F100" s="22" t="str">
        <f>IF(OR(E100="",E100="!!!"),"",IF(NOT(ISNA(VLOOKUP(E100,E$1:E99,1,FALSE()))),"OLD",IF(AND(E100&lt;&gt;"",E100&lt;&gt;"!!!"),"NEW","")))</f>
        <v/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4" t="str">
        <f t="shared" ca="1" si="8"/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/>
    </row>
    <row r="101" spans="1:12" x14ac:dyDescent="0.3">
      <c r="A101" t="s">
        <v>169</v>
      </c>
      <c r="E101" s="21" t="str">
        <f t="shared" si="9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8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113</v>
      </c>
      <c r="E102" s="21" t="str">
        <f t="shared" si="9"/>
        <v/>
      </c>
      <c r="F102" s="22" t="str">
        <f>IF(OR(E102="",E102="!!!"),"",IF(NOT(ISNA(VLOOKUP(E102,E$1:E101,1,FALSE()))),"OLD",IF(AND(E102&lt;&gt;"",E102&lt;&gt;"!!!"),"NEW","")))</f>
        <v/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t="shared" ca="1" si="8"/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3" spans="1:12" x14ac:dyDescent="0.3">
      <c r="A103" t="s">
        <v>170</v>
      </c>
      <c r="B103" s="20" t="s">
        <v>90</v>
      </c>
      <c r="C103" s="20" t="s">
        <v>103</v>
      </c>
      <c r="D103" s="20" t="s">
        <v>104</v>
      </c>
      <c r="E103" s="21" t="s">
        <v>374</v>
      </c>
      <c r="F103" s="22" t="s">
        <v>370</v>
      </c>
      <c r="G103" s="23" t="s">
        <v>393</v>
      </c>
      <c r="H103" s="24" t="str">
        <f t="shared" ca="1" si="8"/>
        <v/>
      </c>
      <c r="I103" s="25" t="e">
        <f>IF(OR(E103="",E103="!!!",F103="NEW"),"",INDEX(B$2:B102,-1+SUMPRODUCT(MAX(ROW(E$2:E102)*(E103=E$2:E102)))))</f>
        <v>#VALUE!</v>
      </c>
      <c r="J103" s="25">
        <f ca="1">IF(OR(E103="",E103="!!!",F103="NEW"),"",COUNTBLANK(OFFSET(A$1,,,SUMPRODUCT(MAX(ROW(E$2:E103)*(E103=E$2:E103)))))-COUNTBLANK(OFFSET(A$1,,,SUMPRODUCT(MAX(ROW(E$1:E102)*(E2=E$1:E102))))))</f>
        <v>0</v>
      </c>
      <c r="K103" s="25" t="e">
        <f>IF(OR(E103="",E103="!!!",F103="NEW"),"",INDEX(J$1:J102,SUMPRODUCT(MAX(ROW(E$1:E102)*(E103=E$1:E102)))))</f>
        <v>#VALUE!</v>
      </c>
      <c r="L103" s="26" t="s">
        <v>375</v>
      </c>
    </row>
    <row r="104" spans="1:12" x14ac:dyDescent="0.3">
      <c r="A104" t="s">
        <v>150</v>
      </c>
      <c r="E104" s="21" t="str">
        <f t="shared" si="9"/>
        <v/>
      </c>
      <c r="F104" s="22" t="str">
        <f>IF(OR(E104="",E104="!!!"),"",IF(NOT(ISNA(VLOOKUP(E104,E$1:E103,1,FALSE()))),"OLD",IF(AND(E104&lt;&gt;"",E104&lt;&gt;"!!!"),"NEW","")))</f>
        <v/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4" t="str">
        <f t="shared" ca="1" si="8"/>
        <v/>
      </c>
      <c r="I104" s="25" t="str">
        <f>IF(OR(E104="",E104="!!!",F104="NEW"),"",INDEX(B$2:B103,-1+SUMPRODUCT(MAX(ROW(E$2:E103)*(E104=E$2:E103)))))</f>
        <v/>
      </c>
      <c r="J104" s="25" t="str">
        <f ca="1">IF(OR(E104="",E104="!!!",F104="NEW"),"",COUNTBLANK(OFFSET(A$1,,,SUMPRODUCT(MAX(ROW(E$2:E104)*(E104=E$2:E104)))))-COUNTBLANK(OFFSET(A$1,,,SUMPRODUCT(MAX(ROW(E$1:E103)*(E2=E$1:E103))))))</f>
        <v/>
      </c>
      <c r="K104" s="25" t="str">
        <f>IF(OR(E104="",E104="!!!",F104="NEW"),"",INDEX(J$1:J103,SUMPRODUCT(MAX(ROW(E$1:E103)*(E104=E$1:E103)))))</f>
        <v/>
      </c>
      <c r="L104" s="26"/>
    </row>
    <row r="106" spans="1:12" x14ac:dyDescent="0.3">
      <c r="A106" t="s">
        <v>171</v>
      </c>
    </row>
    <row r="107" spans="1:12" x14ac:dyDescent="0.3">
      <c r="A107" t="s">
        <v>172</v>
      </c>
      <c r="E107" s="21" t="str">
        <f t="shared" ref="E107:E138" si="10">IF(D107="?OLD","!!!","")</f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ref="H107:H138" ca="1" si="11">IF(J107&lt;&gt;1,"",IF(I107="SBJ","CB","?"))</f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173</v>
      </c>
      <c r="B108" s="20" t="s">
        <v>90</v>
      </c>
      <c r="C108" s="20" t="s">
        <v>103</v>
      </c>
      <c r="D108" s="20" t="s">
        <v>104</v>
      </c>
      <c r="E108" s="21" t="s">
        <v>359</v>
      </c>
      <c r="F108" s="22" t="str">
        <f>IF(OR(E108="",E108="!!!"),"",IF(NOT(ISNA(VLOOKUP(E108,E$1:E107,1,FALSE()))),"OLD",IF(AND(E108&lt;&gt;"",E108&lt;&gt;"!!!"),"NEW","")))</f>
        <v>NEW</v>
      </c>
      <c r="G108" s="23" t="s">
        <v>394</v>
      </c>
      <c r="H108" s="24" t="str">
        <f t="shared" ca="1" si="11"/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174</v>
      </c>
      <c r="E109" s="21" t="str">
        <f t="shared" si="10"/>
        <v/>
      </c>
      <c r="F109" s="22" t="str">
        <f>IF(OR(E109="",E109="!!!"),"",IF(NOT(ISNA(VLOOKUP(E109,E$1:E108,1,FALSE()))),"OLD",IF(AND(E109&lt;&gt;"",E109&lt;&gt;"!!!"),"NEW","")))</f>
        <v/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4" t="str">
        <f t="shared" ca="1" si="11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175</v>
      </c>
      <c r="E110" s="21" t="str">
        <f t="shared" si="10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11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176</v>
      </c>
      <c r="B111" s="20" t="s">
        <v>94</v>
      </c>
      <c r="C111" s="20" t="s">
        <v>95</v>
      </c>
      <c r="E111" s="21" t="str">
        <f t="shared" si="10"/>
        <v/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11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x14ac:dyDescent="0.3">
      <c r="A112" t="s">
        <v>177</v>
      </c>
      <c r="E112" s="21" t="str">
        <f t="shared" si="10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11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165</v>
      </c>
      <c r="E113" s="21" t="str">
        <f t="shared" si="10"/>
        <v/>
      </c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11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178</v>
      </c>
      <c r="B114" s="20" t="s">
        <v>111</v>
      </c>
      <c r="C114" s="20" t="s">
        <v>127</v>
      </c>
      <c r="E114" s="21" t="str">
        <f t="shared" si="10"/>
        <v/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11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112</v>
      </c>
      <c r="E115" s="21" t="str">
        <f t="shared" si="10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11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141</v>
      </c>
      <c r="E116" s="21" t="str">
        <f t="shared" si="10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11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179</v>
      </c>
      <c r="B117" s="20" t="s">
        <v>128</v>
      </c>
      <c r="C117" s="20" t="s">
        <v>180</v>
      </c>
      <c r="D117" s="20" t="s">
        <v>104</v>
      </c>
      <c r="E117" s="21" t="s">
        <v>359</v>
      </c>
      <c r="F117" s="22" t="str">
        <f>IF(OR(E117="",E117="!!!"),"",IF(NOT(ISNA(VLOOKUP(E117,E$1:E116,1,FALSE()))),"OLD",IF(AND(E117&lt;&gt;"",E117&lt;&gt;"!!!"),"NEW","")))</f>
        <v>OLD</v>
      </c>
      <c r="G117" s="23" t="s">
        <v>395</v>
      </c>
      <c r="H117" s="24" t="str">
        <f t="shared" ca="1" si="11"/>
        <v/>
      </c>
      <c r="I117" s="25" t="str">
        <f>IF(OR(E117="",E117="!!!",F117="NEW"),"",INDEX(B$2:B116,-1+SUMPRODUCT(MAX(ROW(E$2:E116)*(E117=E$2:E116)))))</f>
        <v>SBJ</v>
      </c>
      <c r="J117" s="25">
        <f ca="1">IF(OR(E117="",E117="!!!",F117="NEW"),"",COUNTBLANK(OFFSET(A$1,,,SUMPRODUCT(MAX(ROW(E$2:E117)*(E117=E$2:E117)))))-COUNTBLANK(OFFSET(A$1,,,SUMPRODUCT(MAX(ROW(E$1:E116)*(E2=E$1:E116))))))</f>
        <v>0</v>
      </c>
      <c r="K117" s="25" t="str">
        <f ca="1">IF(OR(E117="",E117="!!!",F117="NEW"),"",INDEX(J$1:J116,SUMPRODUCT(MAX(ROW(E$1:E116)*(E117=E$1:E116)))))</f>
        <v/>
      </c>
      <c r="L117" s="26"/>
    </row>
    <row r="118" spans="1:12" x14ac:dyDescent="0.3">
      <c r="A118" t="s">
        <v>181</v>
      </c>
      <c r="E118" s="21" t="str">
        <f t="shared" si="10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11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19" spans="1:12" x14ac:dyDescent="0.3">
      <c r="A119" t="s">
        <v>131</v>
      </c>
      <c r="E119" s="21" t="str">
        <f t="shared" si="10"/>
        <v/>
      </c>
      <c r="F119" s="22" t="str">
        <f>IF(OR(E119="",E119="!!!"),"",IF(NOT(ISNA(VLOOKUP(E119,E$1:E118,1,FALSE()))),"OLD",IF(AND(E119&lt;&gt;"",E119&lt;&gt;"!!!"),"NEW","")))</f>
        <v/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4" t="str">
        <f t="shared" ca="1" si="11"/>
        <v/>
      </c>
      <c r="I119" s="25" t="str">
        <f>IF(OR(E119="",E119="!!!",F119="NEW"),"",INDEX(B$2:B118,-1+SUMPRODUCT(MAX(ROW(E$2:E118)*(E119=E$2:E118)))))</f>
        <v/>
      </c>
      <c r="J119" s="25" t="str">
        <f ca="1">IF(OR(E119="",E119="!!!",F119="NEW"),"",COUNTBLANK(OFFSET(A$1,,,SUMPRODUCT(MAX(ROW(E$2:E119)*(E119=E$2:E119)))))-COUNTBLANK(OFFSET(A$1,,,SUMPRODUCT(MAX(ROW(E$1:E118)*(E2=E$1:E118))))))</f>
        <v/>
      </c>
      <c r="K119" s="25" t="str">
        <f>IF(OR(E119="",E119="!!!",F119="NEW"),"",INDEX(J$1:J118,SUMPRODUCT(MAX(ROW(E$1:E118)*(E119=E$1:E118)))))</f>
        <v/>
      </c>
      <c r="L119" s="26"/>
    </row>
    <row r="120" spans="1:12" x14ac:dyDescent="0.3">
      <c r="A120" t="s">
        <v>182</v>
      </c>
      <c r="B120" s="20" t="s">
        <v>98</v>
      </c>
      <c r="C120" s="20" t="s">
        <v>103</v>
      </c>
      <c r="D120" s="20" t="s">
        <v>104</v>
      </c>
      <c r="E120" s="21" t="s">
        <v>376</v>
      </c>
      <c r="F120" s="22" t="str">
        <f>IF(OR(E120="",E120="!!!"),"",IF(NOT(ISNA(VLOOKUP(E120,E$1:E119,1,FALSE()))),"OLD",IF(AND(E120&lt;&gt;"",E120&lt;&gt;"!!!"),"NEW","")))</f>
        <v>NEW</v>
      </c>
      <c r="G120" s="23" t="s">
        <v>394</v>
      </c>
      <c r="H120" s="24" t="str">
        <f t="shared" ca="1" si="11"/>
        <v/>
      </c>
      <c r="I120" s="25" t="str">
        <f>IF(OR(E120="",E120="!!!",F120="NEW"),"",INDEX(B$2:B119,-1+SUMPRODUCT(MAX(ROW(E$2:E119)*(E120=E$2:E119)))))</f>
        <v/>
      </c>
      <c r="J120" s="25" t="str">
        <f ca="1">IF(OR(E120="",E120="!!!",F120="NEW"),"",COUNTBLANK(OFFSET(A$1,,,SUMPRODUCT(MAX(ROW(E$2:E120)*(E120=E$2:E120)))))-COUNTBLANK(OFFSET(A$1,,,SUMPRODUCT(MAX(ROW(E$1:E119)*(E2=E$1:E119))))))</f>
        <v/>
      </c>
      <c r="K120" s="25" t="str">
        <f>IF(OR(E120="",E120="!!!",F120="NEW"),"",INDEX(J$1:J119,SUMPRODUCT(MAX(ROW(E$1:E119)*(E120=E$1:E119)))))</f>
        <v/>
      </c>
      <c r="L120" s="26"/>
    </row>
    <row r="121" spans="1:12" x14ac:dyDescent="0.3">
      <c r="A121" t="s">
        <v>183</v>
      </c>
      <c r="E121" s="21" t="str">
        <f t="shared" si="10"/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11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184</v>
      </c>
      <c r="B122" s="20" t="s">
        <v>102</v>
      </c>
      <c r="C122" s="20" t="s">
        <v>103</v>
      </c>
      <c r="D122" s="20" t="s">
        <v>104</v>
      </c>
      <c r="E122" s="21" t="s">
        <v>352</v>
      </c>
      <c r="F122" s="22" t="str">
        <f>IF(OR(E122="",E122="!!!"),"",IF(NOT(ISNA(VLOOKUP(E122,E$1:E121,1,FALSE()))),"OLD",IF(AND(E122&lt;&gt;"",E122&lt;&gt;"!!!"),"NEW","")))</f>
        <v>OLD</v>
      </c>
      <c r="G122" s="23" t="s">
        <v>395</v>
      </c>
      <c r="H122" s="24" t="s">
        <v>84</v>
      </c>
      <c r="I122" s="25" t="str">
        <f>IF(OR(E122="",E122="!!!",F122="NEW"),"",INDEX(B$2:B121,-1+SUMPRODUCT(MAX(ROW(E$2:E121)*(E122=E$2:E121)))))</f>
        <v>SBJ_4</v>
      </c>
      <c r="J122" s="25">
        <f ca="1">IF(OR(E122="",E122="!!!",F122="NEW"),"",COUNTBLANK(OFFSET(A$1,,,SUMPRODUCT(MAX(ROW(E$2:E122)*(E122=E$2:E122)))))-COUNTBLANK(OFFSET(A$1,,,SUMPRODUCT(MAX(ROW(E$1:E121)*(E2=E$1:E121))))))</f>
        <v>0</v>
      </c>
      <c r="K122" s="25">
        <f ca="1">IF(OR(E122="",E122="!!!",F122="NEW"),"",INDEX(J$1:J121,SUMPRODUCT(MAX(ROW(E$1:E121)*(E122=E$1:E121)))))</f>
        <v>0</v>
      </c>
      <c r="L122" s="26"/>
    </row>
    <row r="123" spans="1:12" x14ac:dyDescent="0.3">
      <c r="A123" t="s">
        <v>185</v>
      </c>
      <c r="E123" s="21" t="str">
        <f t="shared" si="10"/>
        <v/>
      </c>
      <c r="F123" s="22" t="str">
        <f>IF(OR(E123="",E123="!!!"),"",IF(NOT(ISNA(VLOOKUP(E123,E$1:E122,1,FALSE()))),"OLD",IF(AND(E123&lt;&gt;"",E123&lt;&gt;"!!!"),"NEW","")))</f>
        <v/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4" t="str">
        <f t="shared" ca="1" si="11"/>
        <v/>
      </c>
      <c r="I123" s="25" t="str">
        <f>IF(OR(E123="",E123="!!!",F123="NEW"),"",INDEX(B$2:B122,-1+SUMPRODUCT(MAX(ROW(E$2:E122)*(E123=E$2:E122)))))</f>
        <v/>
      </c>
      <c r="J123" s="25" t="str">
        <f ca="1">IF(OR(E123="",E123="!!!",F123="NEW"),"",COUNTBLANK(OFFSET(A$1,,,SUMPRODUCT(MAX(ROW(E$2:E123)*(E123=E$2:E123)))))-COUNTBLANK(OFFSET(A$1,,,SUMPRODUCT(MAX(ROW(E$1:E122)*(E2=E$1:E122))))))</f>
        <v/>
      </c>
      <c r="K123" s="25" t="str">
        <f>IF(OR(E123="",E123="!!!",F123="NEW"),"",INDEX(J$1:J122,SUMPRODUCT(MAX(ROW(E$1:E122)*(E123=E$1:E122)))))</f>
        <v/>
      </c>
      <c r="L123" s="26"/>
    </row>
    <row r="124" spans="1:12" x14ac:dyDescent="0.3">
      <c r="A124" t="s">
        <v>122</v>
      </c>
      <c r="E124" s="21" t="str">
        <f t="shared" si="10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11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186</v>
      </c>
      <c r="E125" s="21" t="str">
        <f t="shared" si="10"/>
        <v/>
      </c>
      <c r="F125" s="22" t="str">
        <f>IF(OR(E125="",E125="!!!"),"",IF(NOT(ISNA(VLOOKUP(E125,E$1:E124,1,FALSE()))),"OLD",IF(AND(E125&lt;&gt;"",E125&lt;&gt;"!!!"),"NEW","")))</f>
        <v/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t="shared" ca="1" si="11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187</v>
      </c>
      <c r="E126" s="21" t="str">
        <f t="shared" si="10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11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188</v>
      </c>
      <c r="E127" s="21" t="str">
        <f t="shared" si="10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11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129</v>
      </c>
      <c r="E128" s="21" t="str">
        <f t="shared" si="10"/>
        <v/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11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189</v>
      </c>
      <c r="E129" s="21" t="str">
        <f t="shared" si="10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11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190</v>
      </c>
      <c r="B130" s="20" t="s">
        <v>102</v>
      </c>
      <c r="C130" s="20" t="s">
        <v>127</v>
      </c>
      <c r="E130" s="21" t="str">
        <f t="shared" si="10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11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1" spans="1:12" x14ac:dyDescent="0.3">
      <c r="A131" t="s">
        <v>112</v>
      </c>
      <c r="E131" s="21" t="str">
        <f t="shared" si="10"/>
        <v/>
      </c>
      <c r="F131" s="22" t="str">
        <f>IF(OR(E131="",E131="!!!"),"",IF(NOT(ISNA(VLOOKUP(E131,E$1:E130,1,FALSE()))),"OLD",IF(AND(E131&lt;&gt;"",E131&lt;&gt;"!!!"),"NEW","")))</f>
        <v/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t="shared" ca="1" si="11"/>
        <v/>
      </c>
      <c r="I131" s="25" t="str">
        <f>IF(OR(E131="",E131="!!!",F131="NEW"),"",INDEX(B$2:B130,-1+SUMPRODUCT(MAX(ROW(E$2:E130)*(E131=E$2:E130)))))</f>
        <v/>
      </c>
      <c r="J131" s="25" t="str">
        <f ca="1">IF(OR(E131="",E131="!!!",F131="NEW"),"",COUNTBLANK(OFFSET(A$1,,,SUMPRODUCT(MAX(ROW(E$2:E131)*(E131=E$2:E131)))))-COUNTBLANK(OFFSET(A$1,,,SUMPRODUCT(MAX(ROW(E$1:E130)*(E2=E$1:E130))))))</f>
        <v/>
      </c>
      <c r="K131" s="25" t="str">
        <f>IF(OR(E131="",E131="!!!",F131="NEW"),"",INDEX(J$1:J130,SUMPRODUCT(MAX(ROW(E$1:E130)*(E131=E$1:E130)))))</f>
        <v/>
      </c>
      <c r="L131" s="26"/>
    </row>
    <row r="132" spans="1:12" x14ac:dyDescent="0.3">
      <c r="A132" t="s">
        <v>191</v>
      </c>
      <c r="E132" s="21" t="str">
        <f t="shared" si="10"/>
        <v/>
      </c>
      <c r="F132" s="22" t="str">
        <f>IF(OR(E132="",E132="!!!"),"",IF(NOT(ISNA(VLOOKUP(E132,E$1:E131,1,FALSE()))),"OLD",IF(AND(E132&lt;&gt;"",E132&lt;&gt;"!!!"),"NEW","")))</f>
        <v/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4" t="str">
        <f t="shared" ca="1" si="11"/>
        <v/>
      </c>
      <c r="I132" s="25" t="str">
        <f>IF(OR(E132="",E132="!!!",F132="NEW"),"",INDEX(B$2:B131,-1+SUMPRODUCT(MAX(ROW(E$2:E131)*(E132=E$2:E131)))))</f>
        <v/>
      </c>
      <c r="J132" s="25" t="str">
        <f ca="1">IF(OR(E132="",E132="!!!",F132="NEW"),"",COUNTBLANK(OFFSET(A$1,,,SUMPRODUCT(MAX(ROW(E$2:E132)*(E132=E$2:E132)))))-COUNTBLANK(OFFSET(A$1,,,SUMPRODUCT(MAX(ROW(E$1:E131)*(E2=E$1:E131))))))</f>
        <v/>
      </c>
      <c r="K132" s="25" t="str">
        <f>IF(OR(E132="",E132="!!!",F132="NEW"),"",INDEX(J$1:J131,SUMPRODUCT(MAX(ROW(E$1:E131)*(E132=E$1:E131)))))</f>
        <v/>
      </c>
      <c r="L132" s="26"/>
    </row>
    <row r="133" spans="1:12" x14ac:dyDescent="0.3">
      <c r="A133" t="s">
        <v>96</v>
      </c>
      <c r="E133" s="21" t="str">
        <f t="shared" si="10"/>
        <v/>
      </c>
      <c r="F133" s="22" t="str">
        <f>IF(OR(E133="",E133="!!!"),"",IF(NOT(ISNA(VLOOKUP(E133,E$1:E132,1,FALSE()))),"OLD",IF(AND(E133&lt;&gt;"",E133&lt;&gt;"!!!"),"NEW","")))</f>
        <v/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4" t="str">
        <f t="shared" ca="1" si="11"/>
        <v/>
      </c>
      <c r="I133" s="25" t="str">
        <f>IF(OR(E133="",E133="!!!",F133="NEW"),"",INDEX(B$2:B132,-1+SUMPRODUCT(MAX(ROW(E$2:E132)*(E133=E$2:E132)))))</f>
        <v/>
      </c>
      <c r="J133" s="25" t="str">
        <f ca="1">IF(OR(E133="",E133="!!!",F133="NEW"),"",COUNTBLANK(OFFSET(A$1,,,SUMPRODUCT(MAX(ROW(E$2:E133)*(E133=E$2:E133)))))-COUNTBLANK(OFFSET(A$1,,,SUMPRODUCT(MAX(ROW(E$1:E132)*(E2=E$1:E132))))))</f>
        <v/>
      </c>
      <c r="K133" s="25" t="str">
        <f>IF(OR(E133="",E133="!!!",F133="NEW"),"",INDEX(J$1:J132,SUMPRODUCT(MAX(ROW(E$1:E132)*(E133=E$1:E132)))))</f>
        <v/>
      </c>
      <c r="L133" s="26"/>
    </row>
    <row r="134" spans="1:12" x14ac:dyDescent="0.3">
      <c r="A134" t="s">
        <v>100</v>
      </c>
      <c r="E134" s="21" t="str">
        <f t="shared" si="10"/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ca="1" si="11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192</v>
      </c>
      <c r="B135" s="20" t="s">
        <v>98</v>
      </c>
      <c r="C135" s="20" t="s">
        <v>103</v>
      </c>
      <c r="D135" s="20" t="s">
        <v>104</v>
      </c>
      <c r="E135" s="21" t="s">
        <v>377</v>
      </c>
      <c r="F135" s="22" t="str">
        <f>IF(OR(E135="",E135="!!!"),"",IF(NOT(ISNA(VLOOKUP(E135,E$1:E134,1,FALSE()))),"OLD",IF(AND(E135&lt;&gt;"",E135&lt;&gt;"!!!"),"NEW","")))</f>
        <v>NEW</v>
      </c>
      <c r="G135" s="23" t="s">
        <v>394</v>
      </c>
      <c r="H135" s="24" t="str">
        <f t="shared" ca="1" si="11"/>
        <v/>
      </c>
      <c r="I135" s="25" t="str">
        <f>IF(OR(E135="",E135="!!!",F135="NEW"),"",INDEX(B$2:B134,-1+SUMPRODUCT(MAX(ROW(E$2:E134)*(E135=E$2:E134)))))</f>
        <v/>
      </c>
      <c r="J135" s="25" t="str">
        <f ca="1">IF(OR(E135="",E135="!!!",F135="NEW"),"",COUNTBLANK(OFFSET(A$1,,,SUMPRODUCT(MAX(ROW(E$2:E135)*(E135=E$2:E135)))))-COUNTBLANK(OFFSET(A$1,,,SUMPRODUCT(MAX(ROW(E$1:E134)*(E2=E$1:E134))))))</f>
        <v/>
      </c>
      <c r="K135" s="25" t="str">
        <f>IF(OR(E135="",E135="!!!",F135="NEW"),"",INDEX(J$1:J134,SUMPRODUCT(MAX(ROW(E$1:E134)*(E135=E$1:E134)))))</f>
        <v/>
      </c>
      <c r="L135" s="26"/>
    </row>
    <row r="136" spans="1:12" x14ac:dyDescent="0.3">
      <c r="A136" t="s">
        <v>193</v>
      </c>
      <c r="E136" s="21" t="str">
        <f t="shared" si="10"/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11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194</v>
      </c>
      <c r="E137" s="21" t="str">
        <f t="shared" si="10"/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ca="1" si="11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150</v>
      </c>
      <c r="E138" s="21" t="str">
        <f t="shared" si="10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1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40" spans="1:12" x14ac:dyDescent="0.3">
      <c r="A140" t="s">
        <v>195</v>
      </c>
    </row>
    <row r="141" spans="1:12" x14ac:dyDescent="0.3">
      <c r="A141" t="s">
        <v>196</v>
      </c>
      <c r="E141" s="21" t="str">
        <f t="shared" ref="E141:E182" si="12">IF(D141="?OLD","!!!","")</f>
        <v/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ref="H141:H182" ca="1" si="13">IF(J141&lt;&gt;1,"",IF(I141="SBJ","CB","?"))</f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89</v>
      </c>
      <c r="B142" s="20" t="s">
        <v>90</v>
      </c>
      <c r="C142" s="20" t="s">
        <v>103</v>
      </c>
      <c r="D142" s="20" t="s">
        <v>104</v>
      </c>
      <c r="E142" s="21" t="s">
        <v>360</v>
      </c>
      <c r="F142" s="22" t="str">
        <f>IF(OR(E142="",E142="!!!"),"",IF(NOT(ISNA(VLOOKUP(E142,E$1:E141,1,FALSE()))),"OLD",IF(AND(E142&lt;&gt;"",E142&lt;&gt;"!!!"),"NEW","")))</f>
        <v>OLD</v>
      </c>
      <c r="G142" s="23" t="s">
        <v>393</v>
      </c>
      <c r="H142" s="24" t="str">
        <f t="shared" ca="1" si="13"/>
        <v/>
      </c>
      <c r="I142" s="25" t="str">
        <f>IF(OR(E142="",E142="!!!",F142="NEW"),"",INDEX(B$2:B141,-1+SUMPRODUCT(MAX(ROW(E$2:E141)*(E142=E$2:E141)))))</f>
        <v>SBJ</v>
      </c>
      <c r="J142" s="25">
        <f ca="1">IF(OR(E142="",E142="!!!",F142="NEW"),"",COUNTBLANK(OFFSET(A$1,,,SUMPRODUCT(MAX(ROW(E$2:E142)*(E142=E$2:E142)))))-COUNTBLANK(OFFSET(A$1,,,SUMPRODUCT(MAX(ROW(E$1:E141)*(E2=E$1:E141))))))</f>
        <v>0</v>
      </c>
      <c r="K142" s="25">
        <f ca="1">IF(OR(E142="",E142="!!!",F142="NEW"),"",INDEX(J$1:J141,SUMPRODUCT(MAX(ROW(E$1:E141)*(E142=E$1:E141)))))</f>
        <v>0</v>
      </c>
      <c r="L142" s="26"/>
    </row>
    <row r="143" spans="1:12" x14ac:dyDescent="0.3">
      <c r="A143" t="s">
        <v>197</v>
      </c>
      <c r="E143" s="21" t="str">
        <f t="shared" si="12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13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188</v>
      </c>
      <c r="E144" s="21" t="str">
        <f t="shared" si="12"/>
        <v/>
      </c>
      <c r="F144" s="22" t="str">
        <f>IF(OR(E144="",E144="!!!"),"",IF(NOT(ISNA(VLOOKUP(E144,E$1:E143,1,FALSE()))),"OLD",IF(AND(E144&lt;&gt;"",E144&lt;&gt;"!!!"),"NEW","")))</f>
        <v/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4" t="str">
        <f t="shared" ca="1" si="13"/>
        <v/>
      </c>
      <c r="I144" s="25" t="str">
        <f>IF(OR(E144="",E144="!!!",F144="NEW"),"",INDEX(B$2:B143,-1+SUMPRODUCT(MAX(ROW(E$2:E143)*(E144=E$2:E143)))))</f>
        <v/>
      </c>
      <c r="J144" s="25" t="str">
        <f ca="1">IF(OR(E144="",E144="!!!",F144="NEW"),"",COUNTBLANK(OFFSET(A$1,,,SUMPRODUCT(MAX(ROW(E$2:E144)*(E144=E$2:E144)))))-COUNTBLANK(OFFSET(A$1,,,SUMPRODUCT(MAX(ROW(E$1:E143)*(E2=E$1:E143))))))</f>
        <v/>
      </c>
      <c r="K144" s="25" t="str">
        <f>IF(OR(E144="",E144="!!!",F144="NEW"),"",INDEX(J$1:J143,SUMPRODUCT(MAX(ROW(E$1:E143)*(E144=E$1:E143)))))</f>
        <v/>
      </c>
      <c r="L144" s="26"/>
    </row>
    <row r="145" spans="1:12" x14ac:dyDescent="0.3">
      <c r="A145" t="s">
        <v>112</v>
      </c>
      <c r="E145" s="21" t="str">
        <f t="shared" si="12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13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198</v>
      </c>
      <c r="E146" s="21" t="str">
        <f t="shared" si="12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13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131</v>
      </c>
      <c r="E147" s="21" t="str">
        <f t="shared" si="12"/>
        <v/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13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8" spans="1:12" x14ac:dyDescent="0.3">
      <c r="A148" t="s">
        <v>199</v>
      </c>
      <c r="B148" s="20" t="s">
        <v>106</v>
      </c>
      <c r="C148" s="20" t="s">
        <v>143</v>
      </c>
      <c r="D148" s="20" t="s">
        <v>104</v>
      </c>
      <c r="E148" s="21"/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13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 t="s">
        <v>361</v>
      </c>
    </row>
    <row r="149" spans="1:12" x14ac:dyDescent="0.3">
      <c r="A149" t="s">
        <v>200</v>
      </c>
      <c r="B149" s="20" t="s">
        <v>114</v>
      </c>
      <c r="C149" s="20" t="s">
        <v>103</v>
      </c>
      <c r="D149" s="20" t="s">
        <v>104</v>
      </c>
      <c r="E149" s="21" t="s">
        <v>371</v>
      </c>
      <c r="F149" s="22" t="str">
        <f>IF(OR(E149="",E149="!!!"),"",IF(NOT(ISNA(VLOOKUP(E149,E$1:E148,1,FALSE()))),"OLD",IF(AND(E149&lt;&gt;"",E149&lt;&gt;"!!!"),"NEW","")))</f>
        <v>NEW</v>
      </c>
      <c r="G149" s="23" t="s">
        <v>396</v>
      </c>
      <c r="H149" s="24" t="str">
        <f t="shared" ca="1" si="13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201</v>
      </c>
      <c r="E150" s="21" t="str">
        <f t="shared" si="12"/>
        <v/>
      </c>
      <c r="F150" s="22" t="str">
        <f>IF(OR(E150="",E150="!!!"),"",IF(NOT(ISNA(VLOOKUP(E150,E$1:E149,1,FALSE()))),"OLD",IF(AND(E150&lt;&gt;"",E150&lt;&gt;"!!!"),"NEW","")))</f>
        <v/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13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163</v>
      </c>
      <c r="E151" s="21" t="str">
        <f t="shared" si="12"/>
        <v/>
      </c>
      <c r="F151" s="22" t="str">
        <f>IF(OR(E151="",E151="!!!"),"",IF(NOT(ISNA(VLOOKUP(E151,E$1:E150,1,FALSE()))),"OLD",IF(AND(E151&lt;&gt;"",E151&lt;&gt;"!!!"),"NEW","")))</f>
        <v/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4" t="str">
        <f t="shared" ca="1" si="13"/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202</v>
      </c>
      <c r="B152" s="20" t="s">
        <v>98</v>
      </c>
      <c r="C152" s="20" t="s">
        <v>103</v>
      </c>
      <c r="D152" s="20" t="s">
        <v>104</v>
      </c>
      <c r="E152" s="21"/>
      <c r="F152" s="22" t="s">
        <v>370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13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3" spans="1:12" x14ac:dyDescent="0.3">
      <c r="A153" t="s">
        <v>203</v>
      </c>
      <c r="E153" s="21" t="str">
        <f t="shared" si="12"/>
        <v/>
      </c>
      <c r="F153" s="22" t="str">
        <f>IF(OR(E153="",E153="!!!"),"",IF(NOT(ISNA(VLOOKUP(E153,E$1:E152,1,FALSE()))),"OLD",IF(AND(E153&lt;&gt;"",E153&lt;&gt;"!!!"),"NEW","")))</f>
        <v/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4" t="str">
        <f t="shared" ca="1" si="13"/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/>
    </row>
    <row r="154" spans="1:12" x14ac:dyDescent="0.3">
      <c r="A154" t="s">
        <v>204</v>
      </c>
      <c r="B154" s="20" t="s">
        <v>102</v>
      </c>
      <c r="C154" s="20" t="s">
        <v>127</v>
      </c>
      <c r="E154" s="21" t="str">
        <f t="shared" si="12"/>
        <v/>
      </c>
      <c r="F154" s="22" t="str">
        <f>IF(OR(E154="",E154="!!!"),"",IF(NOT(ISNA(VLOOKUP(E154,E$1:E153,1,FALSE()))),"OLD",IF(AND(E154&lt;&gt;"",E154&lt;&gt;"!!!"),"NEW","")))</f>
        <v/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t="shared" ca="1" si="13"/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205</v>
      </c>
      <c r="E155" s="21" t="str">
        <f t="shared" si="12"/>
        <v/>
      </c>
      <c r="F155" s="22" t="str">
        <f>IF(OR(E155="",E155="!!!"),"",IF(NOT(ISNA(VLOOKUP(E155,E$1:E154,1,FALSE()))),"OLD",IF(AND(E155&lt;&gt;"",E155&lt;&gt;"!!!"),"NEW","")))</f>
        <v/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4" t="str">
        <f t="shared" ca="1" si="13"/>
        <v/>
      </c>
      <c r="I155" s="25" t="str">
        <f>IF(OR(E155="",E155="!!!",F155="NEW"),"",INDEX(B$2:B154,-1+SUMPRODUCT(MAX(ROW(E$2:E154)*(E155=E$2:E154)))))</f>
        <v/>
      </c>
      <c r="J155" s="25" t="str">
        <f ca="1">IF(OR(E155="",E155="!!!",F155="NEW"),"",COUNTBLANK(OFFSET(A$1,,,SUMPRODUCT(MAX(ROW(E$2:E155)*(E155=E$2:E155)))))-COUNTBLANK(OFFSET(A$1,,,SUMPRODUCT(MAX(ROW(E$1:E154)*(E2=E$1:E154))))))</f>
        <v/>
      </c>
      <c r="K155" s="25" t="str">
        <f>IF(OR(E155="",E155="!!!",F155="NEW"),"",INDEX(J$1:J154,SUMPRODUCT(MAX(ROW(E$1:E154)*(E155=E$1:E154)))))</f>
        <v/>
      </c>
      <c r="L155" s="26"/>
    </row>
    <row r="156" spans="1:12" x14ac:dyDescent="0.3">
      <c r="A156" t="s">
        <v>193</v>
      </c>
      <c r="E156" s="21" t="str">
        <f t="shared" si="12"/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ca="1" si="13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206</v>
      </c>
      <c r="E157" s="21" t="str">
        <f t="shared" si="12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3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207</v>
      </c>
      <c r="E158" s="21" t="str">
        <f t="shared" si="12"/>
        <v/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13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112</v>
      </c>
      <c r="E159" s="21" t="str">
        <f t="shared" si="12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13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208</v>
      </c>
      <c r="E160" s="21" t="str">
        <f t="shared" si="12"/>
        <v/>
      </c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13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131</v>
      </c>
      <c r="E161" s="21" t="str">
        <f t="shared" si="12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13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209</v>
      </c>
      <c r="B162" s="20" t="s">
        <v>114</v>
      </c>
      <c r="C162" s="20" t="s">
        <v>103</v>
      </c>
      <c r="D162" s="20" t="s">
        <v>104</v>
      </c>
      <c r="E162" s="21" t="s">
        <v>359</v>
      </c>
      <c r="F162" s="22" t="str">
        <f>IF(OR(E162="",E162="!!!"),"",IF(NOT(ISNA(VLOOKUP(E162,E$1:E161,1,FALSE()))),"OLD",IF(AND(E162&lt;&gt;"",E162&lt;&gt;"!!!"),"NEW","")))</f>
        <v>OLD</v>
      </c>
      <c r="G162" s="23" t="s">
        <v>395</v>
      </c>
      <c r="H162" s="24" t="s">
        <v>84</v>
      </c>
      <c r="I162" s="25" t="str">
        <f>IF(OR(E162="",E162="!!!",F162="NEW"),"",INDEX(B$2:B161,-1+SUMPRODUCT(MAX(ROW(E$2:E161)*(E162=E$2:E161)))))</f>
        <v>SBJ_2</v>
      </c>
      <c r="J162" s="25">
        <f ca="1">IF(OR(E162="",E162="!!!",F162="NEW"),"",COUNTBLANK(OFFSET(A$1,,,SUMPRODUCT(MAX(ROW(E$2:E162)*(E162=E$2:E162)))))-COUNTBLANK(OFFSET(A$1,,,SUMPRODUCT(MAX(ROW(E$1:E161)*(E2=E$1:E161))))))</f>
        <v>0</v>
      </c>
      <c r="K162" s="25">
        <f ca="1">IF(OR(E162="",E162="!!!",F162="NEW"),"",INDEX(J$1:J161,SUMPRODUCT(MAX(ROW(E$1:E161)*(E162=E$1:E161)))))</f>
        <v>0</v>
      </c>
      <c r="L162" s="26"/>
    </row>
    <row r="163" spans="1:12" x14ac:dyDescent="0.3">
      <c r="A163" t="s">
        <v>201</v>
      </c>
      <c r="E163" s="21" t="str">
        <f t="shared" si="12"/>
        <v/>
      </c>
      <c r="F163" s="22" t="str">
        <f>IF(OR(E163="",E163="!!!"),"",IF(NOT(ISNA(VLOOKUP(E163,E$1:E162,1,FALSE()))),"OLD",IF(AND(E163&lt;&gt;"",E163&lt;&gt;"!!!"),"NEW","")))</f>
        <v/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ca="1" si="13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113</v>
      </c>
      <c r="E164" s="21" t="str">
        <f t="shared" si="12"/>
        <v/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ca="1" si="13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210</v>
      </c>
      <c r="B165" s="20" t="s">
        <v>114</v>
      </c>
      <c r="C165" s="20" t="s">
        <v>103</v>
      </c>
      <c r="D165" s="20" t="s">
        <v>104</v>
      </c>
      <c r="E165" s="21" t="s">
        <v>378</v>
      </c>
      <c r="F165" s="22" t="str">
        <f>IF(OR(E165="",E165="!!!"),"",IF(NOT(ISNA(VLOOKUP(E165,E$1:E164,1,FALSE()))),"OLD",IF(AND(E165&lt;&gt;"",E165&lt;&gt;"!!!"),"NEW","")))</f>
        <v>NEW</v>
      </c>
      <c r="G165" s="23" t="s">
        <v>394</v>
      </c>
      <c r="H165" s="24" t="str">
        <f t="shared" ca="1" si="13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211</v>
      </c>
      <c r="E166" s="21" t="str">
        <f t="shared" si="12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13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113</v>
      </c>
      <c r="E167" s="21" t="str">
        <f t="shared" si="12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13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212</v>
      </c>
      <c r="B168" s="20" t="s">
        <v>106</v>
      </c>
      <c r="C168" s="20" t="s">
        <v>213</v>
      </c>
      <c r="D168" s="20" t="s">
        <v>104</v>
      </c>
      <c r="E168" s="21" t="s">
        <v>379</v>
      </c>
      <c r="F168" s="22" t="str">
        <f>IF(OR(E168="",E168="!!!"),"",IF(NOT(ISNA(VLOOKUP(E168,E$1:E167,1,FALSE()))),"OLD",IF(AND(E168&lt;&gt;"",E168&lt;&gt;"!!!"),"NEW","")))</f>
        <v>NEW</v>
      </c>
      <c r="G168" s="23" t="s">
        <v>394</v>
      </c>
      <c r="H168" s="24" t="str">
        <f t="shared" ca="1" si="13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214</v>
      </c>
      <c r="E169" s="21" t="str">
        <f t="shared" si="12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13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215</v>
      </c>
      <c r="E170" s="21" t="str">
        <f t="shared" si="12"/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13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1" spans="1:12" x14ac:dyDescent="0.3">
      <c r="A171" t="s">
        <v>112</v>
      </c>
      <c r="E171" s="21" t="str">
        <f t="shared" si="12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13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113</v>
      </c>
      <c r="B172" s="20" t="s">
        <v>128</v>
      </c>
      <c r="E172" s="21" t="s">
        <v>381</v>
      </c>
      <c r="F172" s="22" t="s">
        <v>380</v>
      </c>
      <c r="G172" s="23" t="s">
        <v>395</v>
      </c>
      <c r="H172" s="24" t="str">
        <f t="shared" ca="1" si="13"/>
        <v/>
      </c>
      <c r="I172" s="25" t="e">
        <f>IF(OR(E172="",E172="!!!",F172="NEW"),"",INDEX(B$2:B171,-1+SUMPRODUCT(MAX(ROW(E$2:E171)*(E172=E$2:E171)))))</f>
        <v>#VALUE!</v>
      </c>
      <c r="J172" s="25">
        <f ca="1">IF(OR(E172="",E172="!!!",F172="NEW"),"",COUNTBLANK(OFFSET(A$1,,,SUMPRODUCT(MAX(ROW(E$2:E172)*(E172=E$2:E172)))))-COUNTBLANK(OFFSET(A$1,,,SUMPRODUCT(MAX(ROW(E$1:E171)*(E2=E$1:E171))))))</f>
        <v>0</v>
      </c>
      <c r="K172" s="25" t="e">
        <f>IF(OR(E172="",E172="!!!",F172="NEW"),"",INDEX(J$1:J171,SUMPRODUCT(MAX(ROW(E$1:E171)*(E172=E$1:E171)))))</f>
        <v>#VALUE!</v>
      </c>
      <c r="L172" s="26"/>
    </row>
    <row r="173" spans="1:12" x14ac:dyDescent="0.3">
      <c r="A173" t="s">
        <v>144</v>
      </c>
      <c r="E173" s="21" t="str">
        <f t="shared" si="12"/>
        <v/>
      </c>
      <c r="F173" s="22" t="str">
        <f>IF(OR(E173="",E173="!!!"),"",IF(NOT(ISNA(VLOOKUP(E173,E$1:E172,1,FALSE()))),"OLD",IF(AND(E173&lt;&gt;"",E173&lt;&gt;"!!!"),"NEW","")))</f>
        <v/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t="shared" ca="1" si="13"/>
        <v/>
      </c>
      <c r="I173" s="25" t="str">
        <f>IF(OR(E173="",E173="!!!",F173="NEW"),"",INDEX(B$2:B172,-1+SUMPRODUCT(MAX(ROW(E$2:E172)*(E173=E$2:E172)))))</f>
        <v/>
      </c>
      <c r="J173" s="25" t="str">
        <f ca="1">IF(OR(E173="",E173="!!!",F173="NEW"),"",COUNTBLANK(OFFSET(A$1,,,SUMPRODUCT(MAX(ROW(E$2:E173)*(E173=E$2:E173)))))-COUNTBLANK(OFFSET(A$1,,,SUMPRODUCT(MAX(ROW(E$1:E172)*(E2=E$1:E172))))))</f>
        <v/>
      </c>
      <c r="K173" s="25" t="str">
        <f>IF(OR(E173="",E173="!!!",F173="NEW"),"",INDEX(J$1:J172,SUMPRODUCT(MAX(ROW(E$1:E172)*(E173=E$1:E172)))))</f>
        <v/>
      </c>
      <c r="L173" s="26"/>
    </row>
    <row r="174" spans="1:12" x14ac:dyDescent="0.3">
      <c r="A174" t="s">
        <v>96</v>
      </c>
      <c r="E174" s="21" t="str">
        <f t="shared" si="12"/>
        <v/>
      </c>
      <c r="F174" s="22" t="str">
        <f>IF(OR(E174="",E174="!!!"),"",IF(NOT(ISNA(VLOOKUP(E174,E$1:E173,1,FALSE()))),"OLD",IF(AND(E174&lt;&gt;"",E174&lt;&gt;"!!!"),"NEW","")))</f>
        <v/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t="shared" ca="1" si="13"/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/>
    </row>
    <row r="175" spans="1:12" x14ac:dyDescent="0.3">
      <c r="A175" t="s">
        <v>100</v>
      </c>
      <c r="E175" s="21" t="str">
        <f t="shared" si="12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13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216</v>
      </c>
      <c r="B176" s="20" t="s">
        <v>98</v>
      </c>
      <c r="C176" s="20" t="s">
        <v>103</v>
      </c>
      <c r="D176" s="20" t="s">
        <v>104</v>
      </c>
      <c r="E176" s="21"/>
      <c r="F176" s="22" t="s">
        <v>382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3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165</v>
      </c>
      <c r="B177" s="20" t="s">
        <v>128</v>
      </c>
      <c r="C177" s="20" t="s">
        <v>143</v>
      </c>
      <c r="D177" s="20" t="s">
        <v>104</v>
      </c>
      <c r="E177" s="21"/>
      <c r="F177" s="22" t="s">
        <v>366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3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131</v>
      </c>
      <c r="E178" s="21" t="str">
        <f t="shared" si="12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3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79" spans="1:12" x14ac:dyDescent="0.3">
      <c r="A179" t="s">
        <v>217</v>
      </c>
      <c r="E179" s="21" t="str">
        <f t="shared" si="12"/>
        <v/>
      </c>
      <c r="F179" s="22" t="str">
        <f>IF(OR(E179="",E179="!!!"),"",IF(NOT(ISNA(VLOOKUP(E179,E$1:E178,1,FALSE()))),"OLD",IF(AND(E179&lt;&gt;"",E179&lt;&gt;"!!!"),"NEW","")))</f>
        <v/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4" t="str">
        <f t="shared" ca="1" si="13"/>
        <v/>
      </c>
      <c r="I179" s="25" t="str">
        <f>IF(OR(E179="",E179="!!!",F179="NEW"),"",INDEX(B$2:B178,-1+SUMPRODUCT(MAX(ROW(E$2:E178)*(E179=E$2:E178)))))</f>
        <v/>
      </c>
      <c r="J179" s="25" t="str">
        <f ca="1">IF(OR(E179="",E179="!!!",F179="NEW"),"",COUNTBLANK(OFFSET(A$1,,,SUMPRODUCT(MAX(ROW(E$2:E179)*(E179=E$2:E179)))))-COUNTBLANK(OFFSET(A$1,,,SUMPRODUCT(MAX(ROW(E$1:E178)*(E2=E$1:E178))))))</f>
        <v/>
      </c>
      <c r="K179" s="25" t="str">
        <f>IF(OR(E179="",E179="!!!",F179="NEW"),"",INDEX(J$1:J178,SUMPRODUCT(MAX(ROW(E$1:E178)*(E179=E$1:E178)))))</f>
        <v/>
      </c>
      <c r="L179" s="26"/>
    </row>
    <row r="180" spans="1:12" x14ac:dyDescent="0.3">
      <c r="A180" t="s">
        <v>93</v>
      </c>
      <c r="B180" s="20" t="s">
        <v>218</v>
      </c>
      <c r="C180" s="20" t="s">
        <v>103</v>
      </c>
      <c r="D180" s="20" t="s">
        <v>104</v>
      </c>
      <c r="E180" s="21" t="s">
        <v>350</v>
      </c>
      <c r="F180" s="22" t="str">
        <f>IF(OR(E180="",E180="!!!"),"",IF(NOT(ISNA(VLOOKUP(E180,E$1:E179,1,FALSE()))),"OLD",IF(AND(E180&lt;&gt;"",E180&lt;&gt;"!!!"),"NEW","")))</f>
        <v>OLD</v>
      </c>
      <c r="G180" s="23" t="s">
        <v>396</v>
      </c>
      <c r="H180" s="24" t="str">
        <f t="shared" ca="1" si="13"/>
        <v/>
      </c>
      <c r="I180" s="25" t="str">
        <f>IF(OR(E180="",E180="!!!",F180="NEW"),"",INDEX(B$2:B179,-1+SUMPRODUCT(MAX(ROW(E$2:E179)*(E180=E$2:E179)))))</f>
        <v>SBJ_3</v>
      </c>
      <c r="J180" s="25">
        <f ca="1">IF(OR(E180="",E180="!!!",F180="NEW"),"",COUNTBLANK(OFFSET(A$1,,,SUMPRODUCT(MAX(ROW(E$2:E180)*(E180=E$2:E180)))))-COUNTBLANK(OFFSET(A$1,,,SUMPRODUCT(MAX(ROW(E$1:E179)*(E2=E$1:E179))))))</f>
        <v>0</v>
      </c>
      <c r="K180" s="25">
        <f ca="1">IF(OR(E180="",E180="!!!",F180="NEW"),"",INDEX(J$1:J179,SUMPRODUCT(MAX(ROW(E$1:E179)*(E180=E$1:E179)))))</f>
        <v>0</v>
      </c>
      <c r="L180" s="26"/>
    </row>
    <row r="181" spans="1:12" x14ac:dyDescent="0.3">
      <c r="A181" t="s">
        <v>219</v>
      </c>
      <c r="E181" s="21" t="str">
        <f t="shared" si="12"/>
        <v/>
      </c>
      <c r="F181" s="22" t="str">
        <f>IF(OR(E181="",E181="!!!"),"",IF(NOT(ISNA(VLOOKUP(E181,E$1:E180,1,FALSE()))),"OLD",IF(AND(E181&lt;&gt;"",E181&lt;&gt;"!!!"),"NEW","")))</f>
        <v/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t="shared" ca="1" si="13"/>
        <v/>
      </c>
      <c r="I181" s="25" t="str">
        <f>IF(OR(E181="",E181="!!!",F181="NEW"),"",INDEX(B$2:B180,-1+SUMPRODUCT(MAX(ROW(E$2:E180)*(E181=E$2:E180)))))</f>
        <v/>
      </c>
      <c r="J181" s="25" t="str">
        <f ca="1">IF(OR(E181="",E181="!!!",F181="NEW"),"",COUNTBLANK(OFFSET(A$1,,,SUMPRODUCT(MAX(ROW(E$2:E181)*(E181=E$2:E181)))))-COUNTBLANK(OFFSET(A$1,,,SUMPRODUCT(MAX(ROW(E$1:E180)*(E2=E$1:E180))))))</f>
        <v/>
      </c>
      <c r="K181" s="25" t="str">
        <f>IF(OR(E181="",E181="!!!",F181="NEW"),"",INDEX(J$1:J180,SUMPRODUCT(MAX(ROW(E$1:E180)*(E181=E$1:E180)))))</f>
        <v/>
      </c>
      <c r="L181" s="26"/>
    </row>
    <row r="182" spans="1:12" x14ac:dyDescent="0.3">
      <c r="A182" t="s">
        <v>150</v>
      </c>
      <c r="E182" s="21" t="str">
        <f t="shared" si="12"/>
        <v/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ca="1" si="13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4" spans="1:12" x14ac:dyDescent="0.3">
      <c r="A184" t="s">
        <v>220</v>
      </c>
    </row>
    <row r="185" spans="1:12" x14ac:dyDescent="0.3">
      <c r="A185" t="s">
        <v>172</v>
      </c>
      <c r="E185" s="21" t="str">
        <f t="shared" ref="E185:E190" si="14">IF(D185="?OLD","!!!","")</f>
        <v/>
      </c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ref="H185:H190" ca="1" si="15">IF(J185&lt;&gt;1,"",IF(I185="SBJ","CB","?"))</f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38</v>
      </c>
      <c r="B186" s="20" t="s">
        <v>111</v>
      </c>
      <c r="C186" s="20" t="s">
        <v>103</v>
      </c>
      <c r="D186" s="20" t="s">
        <v>104</v>
      </c>
      <c r="E186" s="21"/>
      <c r="F186" s="22" t="s">
        <v>357</v>
      </c>
      <c r="G186" s="23"/>
      <c r="H186" s="24" t="str">
        <f t="shared" ca="1" si="15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137</v>
      </c>
      <c r="E187" s="21" t="str">
        <f t="shared" si="14"/>
        <v/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ca="1" si="15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138</v>
      </c>
      <c r="B188" s="20" t="s">
        <v>111</v>
      </c>
      <c r="C188" s="20" t="s">
        <v>117</v>
      </c>
      <c r="D188" s="20" t="s">
        <v>104</v>
      </c>
      <c r="E188" s="21" t="s">
        <v>353</v>
      </c>
      <c r="F188" s="22" t="str">
        <f>IF(OR(E188="",E188="!!!"),"",IF(NOT(ISNA(VLOOKUP(E188,E$1:E187,1,FALSE()))),"OLD",IF(AND(E188&lt;&gt;"",E188&lt;&gt;"!!!"),"NEW","")))</f>
        <v>OLD</v>
      </c>
      <c r="G188" s="23" t="s">
        <v>393</v>
      </c>
      <c r="H188" s="24" t="str">
        <f t="shared" ca="1" si="15"/>
        <v/>
      </c>
      <c r="I188" s="25" t="str">
        <f>IF(OR(E188="",E188="!!!",F188="NEW"),"",INDEX(B$2:B187,-1+SUMPRODUCT(MAX(ROW(E$2:E187)*(E188=E$2:E187)))))</f>
        <v>other_3</v>
      </c>
      <c r="J188" s="25">
        <f ca="1">IF(OR(E188="",E188="!!!",F188="NEW"),"",COUNTBLANK(OFFSET(A$1,,,SUMPRODUCT(MAX(ROW(E$2:E188)*(E188=E$2:E188)))))-COUNTBLANK(OFFSET(A$1,,,SUMPRODUCT(MAX(ROW(E$1:E187)*(E2=E$1:E187))))))</f>
        <v>0</v>
      </c>
      <c r="K188" s="25" t="str">
        <f ca="1">IF(OR(E188="",E188="!!!",F188="NEW"),"",INDEX(J$1:J187,SUMPRODUCT(MAX(ROW(E$1:E187)*(E188=E$1:E187)))))</f>
        <v/>
      </c>
      <c r="L188" s="26"/>
    </row>
    <row r="189" spans="1:12" x14ac:dyDescent="0.3">
      <c r="A189" t="s">
        <v>221</v>
      </c>
      <c r="E189" s="21" t="str">
        <f t="shared" si="14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15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150</v>
      </c>
      <c r="E190" s="21" t="str">
        <f t="shared" si="14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15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 t="s">
        <v>397</v>
      </c>
    </row>
    <row r="192" spans="1:12" x14ac:dyDescent="0.3">
      <c r="A192" t="s">
        <v>222</v>
      </c>
    </row>
    <row r="193" spans="1:12" x14ac:dyDescent="0.3">
      <c r="A193" t="s">
        <v>223</v>
      </c>
      <c r="B193" s="20" t="s">
        <v>90</v>
      </c>
      <c r="C193" s="20" t="s">
        <v>117</v>
      </c>
      <c r="D193" s="20" t="s">
        <v>104</v>
      </c>
      <c r="E193" s="21" t="s">
        <v>362</v>
      </c>
      <c r="F193" s="22" t="str">
        <f>IF(OR(E193="",E193="!!!"),"",IF(NOT(ISNA(VLOOKUP(E193,E$1:E192,1,FALSE()))),"OLD",IF(AND(E193&lt;&gt;"",E193&lt;&gt;"!!!"),"NEW","")))</f>
        <v>NEW</v>
      </c>
      <c r="G193" s="23" t="s">
        <v>394</v>
      </c>
      <c r="H193" s="24" t="str">
        <f t="shared" ref="H193:H220" ca="1" si="16">IF(J193&lt;&gt;1,"",IF(I193="SBJ","CB","?"))</f>
        <v/>
      </c>
      <c r="I193" s="25" t="str">
        <f>IF(OR(E193="",E193="!!!",F193="NEW"),"",INDEX(B$2:B192,-1+SUMPRODUCT(MAX(ROW(E$2:E192)*(E193=E$2:E192)))))</f>
        <v/>
      </c>
      <c r="J193" s="25" t="str">
        <f ca="1">IF(OR(E193="",E193="!!!",F193="NEW"),"",COUNTBLANK(OFFSET(A$1,,,SUMPRODUCT(MAX(ROW(E$2:E193)*(E193=E$2:E193)))))-COUNTBLANK(OFFSET(A$1,,,SUMPRODUCT(MAX(ROW(E$1:E192)*(E2=E$1:E192))))))</f>
        <v/>
      </c>
      <c r="K193" s="25" t="str">
        <f>IF(OR(E193="",E193="!!!",F193="NEW"),"",INDEX(J$1:J192,SUMPRODUCT(MAX(ROW(E$1:E192)*(E193=E$1:E192)))))</f>
        <v/>
      </c>
      <c r="L193" s="26"/>
    </row>
    <row r="194" spans="1:12" x14ac:dyDescent="0.3">
      <c r="A194" t="s">
        <v>224</v>
      </c>
      <c r="E194" s="21" t="str">
        <f t="shared" ref="E194:E220" si="17">IF(D194="?OLD","!!!","")</f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16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5" spans="1:12" x14ac:dyDescent="0.3">
      <c r="A195" t="s">
        <v>225</v>
      </c>
      <c r="E195" s="21" t="str">
        <f t="shared" si="17"/>
        <v/>
      </c>
      <c r="F195" s="22" t="str">
        <f>IF(OR(E195="",E195="!!!"),"",IF(NOT(ISNA(VLOOKUP(E195,E$1:E194,1,FALSE()))),"OLD",IF(AND(E195&lt;&gt;"",E195&lt;&gt;"!!!"),"NEW","")))</f>
        <v/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4" t="str">
        <f t="shared" ca="1" si="16"/>
        <v/>
      </c>
      <c r="I195" s="25" t="str">
        <f>IF(OR(E195="",E195="!!!",F195="NEW"),"",INDEX(B$2:B194,-1+SUMPRODUCT(MAX(ROW(E$2:E194)*(E195=E$2:E194)))))</f>
        <v/>
      </c>
      <c r="J195" s="25" t="str">
        <f ca="1">IF(OR(E195="",E195="!!!",F195="NEW"),"",COUNTBLANK(OFFSET(A$1,,,SUMPRODUCT(MAX(ROW(E$2:E195)*(E195=E$2:E195)))))-COUNTBLANK(OFFSET(A$1,,,SUMPRODUCT(MAX(ROW(E$1:E194)*(E2=E$1:E194))))))</f>
        <v/>
      </c>
      <c r="K195" s="25" t="str">
        <f>IF(OR(E195="",E195="!!!",F195="NEW"),"",INDEX(J$1:J194,SUMPRODUCT(MAX(ROW(E$1:E194)*(E195=E$1:E194)))))</f>
        <v/>
      </c>
      <c r="L195" s="26"/>
    </row>
    <row r="196" spans="1:12" x14ac:dyDescent="0.3">
      <c r="A196" t="s">
        <v>112</v>
      </c>
      <c r="E196" s="21" t="str">
        <f t="shared" si="17"/>
        <v/>
      </c>
      <c r="F196" s="22" t="str">
        <f>IF(OR(E196="",E196="!!!"),"",IF(NOT(ISNA(VLOOKUP(E196,E$1:E195,1,FALSE()))),"OLD",IF(AND(E196&lt;&gt;"",E196&lt;&gt;"!!!"),"NEW","")))</f>
        <v/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ca="1" si="16"/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198</v>
      </c>
      <c r="E197" s="21" t="str">
        <f t="shared" si="17"/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ca="1" si="16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113</v>
      </c>
      <c r="E198" s="21" t="str">
        <f t="shared" si="17"/>
        <v/>
      </c>
      <c r="F198" s="22" t="str">
        <f>IF(OR(E198="",E198="!!!"),"",IF(NOT(ISNA(VLOOKUP(E198,E$1:E197,1,FALSE()))),"OLD",IF(AND(E198&lt;&gt;"",E198&lt;&gt;"!!!"),"NEW","")))</f>
        <v/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4" t="str">
        <f t="shared" ca="1" si="16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226</v>
      </c>
      <c r="B199" s="20" t="s">
        <v>128</v>
      </c>
      <c r="C199" s="20" t="s">
        <v>103</v>
      </c>
      <c r="D199" s="20" t="s">
        <v>104</v>
      </c>
      <c r="E199" s="21" t="s">
        <v>383</v>
      </c>
      <c r="F199" s="22" t="str">
        <f>IF(OR(E199="",E199="!!!"),"",IF(NOT(ISNA(VLOOKUP(E199,E$1:E198,1,FALSE()))),"OLD",IF(AND(E199&lt;&gt;"",E199&lt;&gt;"!!!"),"NEW","")))</f>
        <v>OLD</v>
      </c>
      <c r="G199" s="23" t="s">
        <v>396</v>
      </c>
      <c r="H199" s="24" t="s">
        <v>84</v>
      </c>
      <c r="I199" s="25" t="str">
        <f>IF(OR(E199="",E199="!!!",F199="NEW"),"",INDEX(B$2:B198,-1+SUMPRODUCT(MAX(ROW(E$2:E198)*(E199=E$2:E198)))))</f>
        <v>other_2</v>
      </c>
      <c r="J199" s="25">
        <f ca="1">IF(OR(E199="",E199="!!!",F199="NEW"),"",COUNTBLANK(OFFSET(A$1,,,SUMPRODUCT(MAX(ROW(E$2:E199)*(E199=E$2:E199)))))-COUNTBLANK(OFFSET(A$1,,,SUMPRODUCT(MAX(ROW(E$1:E198)*(E2=E$1:E198))))))</f>
        <v>0</v>
      </c>
      <c r="K199" s="25" t="str">
        <f ca="1">IF(OR(E199="",E199="!!!",F199="NEW"),"",INDEX(J$1:J198,SUMPRODUCT(MAX(ROW(E$1:E198)*(E199=E$1:E198)))))</f>
        <v/>
      </c>
      <c r="L199" s="26"/>
    </row>
    <row r="200" spans="1:12" x14ac:dyDescent="0.3">
      <c r="A200" t="s">
        <v>113</v>
      </c>
      <c r="E200" s="21" t="str">
        <f t="shared" si="17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16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227</v>
      </c>
      <c r="B201" s="20" t="s">
        <v>218</v>
      </c>
      <c r="C201" s="20" t="s">
        <v>103</v>
      </c>
      <c r="D201" s="20" t="s">
        <v>104</v>
      </c>
      <c r="E201" s="21" t="s">
        <v>365</v>
      </c>
      <c r="F201" s="22" t="str">
        <f>IF(OR(E201="",E201="!!!"),"",IF(NOT(ISNA(VLOOKUP(E201,E$1:E200,1,FALSE()))),"OLD",IF(AND(E201&lt;&gt;"",E201&lt;&gt;"!!!"),"NEW","")))</f>
        <v>NEW</v>
      </c>
      <c r="G201" s="23" t="s">
        <v>393</v>
      </c>
      <c r="H201" s="24" t="str">
        <f t="shared" ca="1" si="16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228</v>
      </c>
      <c r="E202" s="21" t="str">
        <f t="shared" si="17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16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229</v>
      </c>
      <c r="E203" s="21" t="str">
        <f t="shared" si="17"/>
        <v/>
      </c>
      <c r="F203" s="22" t="str">
        <f>IF(OR(E203="",E203="!!!"),"",IF(NOT(ISNA(VLOOKUP(E203,E$1:E202,1,FALSE()))),"OLD",IF(AND(E203&lt;&gt;"",E203&lt;&gt;"!!!"),"NEW","")))</f>
        <v/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4" t="str">
        <f t="shared" ca="1" si="16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112</v>
      </c>
      <c r="E204" s="21" t="str">
        <f t="shared" si="17"/>
        <v/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16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230</v>
      </c>
      <c r="E205" s="21" t="str">
        <f t="shared" si="17"/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16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231</v>
      </c>
      <c r="E206" s="21" t="str">
        <f t="shared" si="17"/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ca="1" si="16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232</v>
      </c>
      <c r="B207" s="20" t="s">
        <v>102</v>
      </c>
      <c r="C207" s="20" t="s">
        <v>127</v>
      </c>
      <c r="E207" s="21" t="str">
        <f t="shared" si="17"/>
        <v/>
      </c>
      <c r="F207" s="22" t="str">
        <f>IF(OR(E207="",E207="!!!"),"",IF(NOT(ISNA(VLOOKUP(E207,E$1:E206,1,FALSE()))),"OLD",IF(AND(E207&lt;&gt;"",E207&lt;&gt;"!!!"),"NEW","")))</f>
        <v/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t="shared" ca="1" si="16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233</v>
      </c>
      <c r="E208" s="21" t="str">
        <f t="shared" si="17"/>
        <v/>
      </c>
      <c r="F208" s="22" t="str">
        <f>IF(OR(E208="",E208="!!!"),"",IF(NOT(ISNA(VLOOKUP(E208,E$1:E207,1,FALSE()))),"OLD",IF(AND(E208&lt;&gt;"",E208&lt;&gt;"!!!"),"NEW","")))</f>
        <v/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t="shared" ca="1" si="16"/>
        <v/>
      </c>
      <c r="I208" s="25" t="str">
        <f>IF(OR(E208="",E208="!!!",F208="NEW"),"",INDEX(B$2:B207,-1+SUMPRODUCT(MAX(ROW(E$2:E207)*(E208=E$2:E207)))))</f>
        <v/>
      </c>
      <c r="J208" s="25" t="str">
        <f ca="1">IF(OR(E208="",E208="!!!",F208="NEW"),"",COUNTBLANK(OFFSET(A$1,,,SUMPRODUCT(MAX(ROW(E$2:E208)*(E208=E$2:E208)))))-COUNTBLANK(OFFSET(A$1,,,SUMPRODUCT(MAX(ROW(E$1:E207)*(E2=E$1:E207))))))</f>
        <v/>
      </c>
      <c r="K208" s="25" t="str">
        <f>IF(OR(E208="",E208="!!!",F208="NEW"),"",INDEX(J$1:J207,SUMPRODUCT(MAX(ROW(E$1:E207)*(E208=E$1:E207)))))</f>
        <v/>
      </c>
      <c r="L208" s="26"/>
    </row>
    <row r="209" spans="1:12" x14ac:dyDescent="0.3">
      <c r="A209" t="s">
        <v>193</v>
      </c>
      <c r="E209" s="21" t="str">
        <f t="shared" si="17"/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ca="1" si="16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22</v>
      </c>
      <c r="E210" s="21" t="str">
        <f t="shared" si="17"/>
        <v/>
      </c>
      <c r="F210" s="22" t="str">
        <f>IF(OR(E210="",E210="!!!"),"",IF(NOT(ISNA(VLOOKUP(E210,E$1:E209,1,FALSE()))),"OLD",IF(AND(E210&lt;&gt;"",E210&lt;&gt;"!!!"),"NEW","")))</f>
        <v/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t="shared" ca="1" si="16"/>
        <v/>
      </c>
      <c r="I210" s="25" t="str">
        <f>IF(OR(E210="",E210="!!!",F210="NEW"),"",INDEX(B$2:B209,-1+SUMPRODUCT(MAX(ROW(E$2:E209)*(E210=E$2:E209)))))</f>
        <v/>
      </c>
      <c r="J210" s="25" t="str">
        <f ca="1">IF(OR(E210="",E210="!!!",F210="NEW"),"",COUNTBLANK(OFFSET(A$1,,,SUMPRODUCT(MAX(ROW(E$2:E210)*(E210=E$2:E210)))))-COUNTBLANK(OFFSET(A$1,,,SUMPRODUCT(MAX(ROW(E$1:E209)*(E2=E$1:E209))))))</f>
        <v/>
      </c>
      <c r="K210" s="25" t="str">
        <f>IF(OR(E210="",E210="!!!",F210="NEW"),"",INDEX(J$1:J209,SUMPRODUCT(MAX(ROW(E$1:E209)*(E210=E$1:E209)))))</f>
        <v/>
      </c>
      <c r="L210" s="26"/>
    </row>
    <row r="211" spans="1:12" x14ac:dyDescent="0.3">
      <c r="A211" t="s">
        <v>112</v>
      </c>
      <c r="E211" s="21" t="str">
        <f t="shared" si="17"/>
        <v/>
      </c>
      <c r="F211" s="22" t="str">
        <f>IF(OR(E211="",E211="!!!"),"",IF(NOT(ISNA(VLOOKUP(E211,E$1:E210,1,FALSE()))),"OLD",IF(AND(E211&lt;&gt;"",E211&lt;&gt;"!!!"),"NEW","")))</f>
        <v/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16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2" spans="1:12" x14ac:dyDescent="0.3">
      <c r="A212" t="s">
        <v>234</v>
      </c>
      <c r="E212" s="21" t="str">
        <f t="shared" si="17"/>
        <v/>
      </c>
      <c r="F212" s="22" t="str">
        <f>IF(OR(E212="",E212="!!!"),"",IF(NOT(ISNA(VLOOKUP(E212,E$1:E211,1,FALSE()))),"OLD",IF(AND(E212&lt;&gt;"",E212&lt;&gt;"!!!"),"NEW","")))</f>
        <v/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4" t="str">
        <f t="shared" ca="1" si="16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3" spans="1:12" x14ac:dyDescent="0.3">
      <c r="A213" t="s">
        <v>142</v>
      </c>
      <c r="B213" s="20" t="s">
        <v>128</v>
      </c>
      <c r="C213" s="20" t="s">
        <v>143</v>
      </c>
      <c r="D213" s="20" t="s">
        <v>104</v>
      </c>
      <c r="E213" s="21" t="s">
        <v>383</v>
      </c>
      <c r="F213" s="22" t="str">
        <f>IF(OR(E213="",E213="!!!"),"",IF(NOT(ISNA(VLOOKUP(E213,E$1:E212,1,FALSE()))),"OLD",IF(AND(E213&lt;&gt;"",E213&lt;&gt;"!!!"),"NEW","")))</f>
        <v>OLD</v>
      </c>
      <c r="G213" s="23" t="s">
        <v>395</v>
      </c>
      <c r="H213" s="24" t="str">
        <f t="shared" ca="1" si="16"/>
        <v/>
      </c>
      <c r="I213" s="25" t="str">
        <f>IF(OR(E213="",E213="!!!",F213="NEW"),"",INDEX(B$2:B212,-1+SUMPRODUCT(MAX(ROW(E$2:E212)*(E213=E$2:E212)))))</f>
        <v>SBJ_2</v>
      </c>
      <c r="J213" s="25">
        <f ca="1">IF(OR(E213="",E213="!!!",F213="NEW"),"",COUNTBLANK(OFFSET(A$1,,,SUMPRODUCT(MAX(ROW(E$2:E213)*(E213=E$2:E213)))))-COUNTBLANK(OFFSET(A$1,,,SUMPRODUCT(MAX(ROW(E$1:E212)*(E2=E$1:E212))))))</f>
        <v>0</v>
      </c>
      <c r="K213" s="25">
        <f ca="1">IF(OR(E213="",E213="!!!",F213="NEW"),"",INDEX(J$1:J212,SUMPRODUCT(MAX(ROW(E$1:E212)*(E213=E$1:E212)))))</f>
        <v>0</v>
      </c>
      <c r="L213" s="26"/>
    </row>
    <row r="214" spans="1:12" x14ac:dyDescent="0.3">
      <c r="A214" t="s">
        <v>188</v>
      </c>
      <c r="E214" s="21" t="str">
        <f t="shared" si="17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16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235</v>
      </c>
      <c r="E215" s="21" t="str">
        <f t="shared" si="17"/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16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236</v>
      </c>
      <c r="E216" s="21" t="str">
        <f t="shared" si="17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16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237</v>
      </c>
      <c r="B217" s="20" t="s">
        <v>98</v>
      </c>
      <c r="C217" s="20" t="s">
        <v>95</v>
      </c>
      <c r="E217" s="21" t="str">
        <f t="shared" si="17"/>
        <v/>
      </c>
      <c r="F217" s="22" t="str">
        <f>IF(OR(E217="",E217="!!!"),"",IF(NOT(ISNA(VLOOKUP(E217,E$1:E216,1,FALSE()))),"OLD",IF(AND(E217&lt;&gt;"",E217&lt;&gt;"!!!"),"NEW","")))</f>
        <v/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4" t="str">
        <f t="shared" ca="1" si="16"/>
        <v/>
      </c>
      <c r="I217" s="25" t="str">
        <f>IF(OR(E217="",E217="!!!",F217="NEW"),"",INDEX(B$2:B216,-1+SUMPRODUCT(MAX(ROW(E$2:E216)*(E217=E$2:E216)))))</f>
        <v/>
      </c>
      <c r="J217" s="25" t="str">
        <f ca="1">IF(OR(E217="",E217="!!!",F217="NEW"),"",COUNTBLANK(OFFSET(A$1,,,SUMPRODUCT(MAX(ROW(E$2:E217)*(E217=E$2:E217)))))-COUNTBLANK(OFFSET(A$1,,,SUMPRODUCT(MAX(ROW(E$1:E216)*(E2=E$1:E216))))))</f>
        <v/>
      </c>
      <c r="K217" s="25" t="str">
        <f>IF(OR(E217="",E217="!!!",F217="NEW"),"",INDEX(J$1:J216,SUMPRODUCT(MAX(ROW(E$1:E216)*(E217=E$1:E216)))))</f>
        <v/>
      </c>
      <c r="L217" s="26"/>
    </row>
    <row r="218" spans="1:12" x14ac:dyDescent="0.3">
      <c r="A218" t="s">
        <v>238</v>
      </c>
      <c r="E218" s="21" t="str">
        <f t="shared" si="17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16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191</v>
      </c>
      <c r="E219" s="21" t="str">
        <f t="shared" si="17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16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150</v>
      </c>
      <c r="E220" s="21" t="str">
        <f t="shared" si="17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16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2" spans="1:12" x14ac:dyDescent="0.3">
      <c r="A222" t="s">
        <v>239</v>
      </c>
    </row>
    <row r="223" spans="1:12" x14ac:dyDescent="0.3">
      <c r="A223" t="s">
        <v>240</v>
      </c>
      <c r="E223" s="21" t="str">
        <f t="shared" ref="E223:E243" si="18">IF(D223="?OLD","!!!","")</f>
        <v/>
      </c>
      <c r="F223" s="22" t="str">
        <f>IF(OR(E223="",E223="!!!"),"",IF(NOT(ISNA(VLOOKUP(E223,E$1:E222,1,FALSE()))),"OLD",IF(AND(E223&lt;&gt;"",E223&lt;&gt;"!!!"),"NEW","")))</f>
        <v/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t="shared" ref="H223:H243" ca="1" si="19">IF(J223&lt;&gt;1,"",IF(I223="SBJ","CB","?"))</f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4" spans="1:12" x14ac:dyDescent="0.3">
      <c r="A224" t="s">
        <v>119</v>
      </c>
      <c r="E224" s="21" t="str">
        <f t="shared" si="18"/>
        <v/>
      </c>
      <c r="F224" s="22" t="str">
        <f>IF(OR(E224="",E224="!!!"),"",IF(NOT(ISNA(VLOOKUP(E224,E$1:E223,1,FALSE()))),"OLD",IF(AND(E224&lt;&gt;"",E224&lt;&gt;"!!!"),"NEW","")))</f>
        <v/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t="shared" ca="1" si="19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241</v>
      </c>
      <c r="E225" s="21" t="str">
        <f t="shared" si="18"/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19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96</v>
      </c>
      <c r="E226" s="21" t="str">
        <f t="shared" si="18"/>
        <v/>
      </c>
      <c r="F226" s="22" t="str">
        <f>IF(OR(E226="",E226="!!!"),"",IF(NOT(ISNA(VLOOKUP(E226,E$1:E225,1,FALSE()))),"OLD",IF(AND(E226&lt;&gt;"",E226&lt;&gt;"!!!"),"NEW","")))</f>
        <v/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ca="1" si="19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242</v>
      </c>
      <c r="E227" s="21" t="str">
        <f t="shared" si="18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19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243</v>
      </c>
      <c r="B228" s="20" t="s">
        <v>111</v>
      </c>
      <c r="C228" s="20" t="s">
        <v>91</v>
      </c>
      <c r="E228" s="21" t="str">
        <f t="shared" si="18"/>
        <v/>
      </c>
      <c r="F228" s="22" t="str">
        <f>IF(OR(E228="",E228="!!!"),"",IF(NOT(ISNA(VLOOKUP(E228,E$1:E227,1,FALSE()))),"OLD",IF(AND(E228&lt;&gt;"",E228&lt;&gt;"!!!"),"NEW","")))</f>
        <v/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t="shared" ca="1" si="19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244</v>
      </c>
      <c r="E229" s="21" t="str">
        <f t="shared" si="18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19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137</v>
      </c>
      <c r="E230" s="21" t="str">
        <f t="shared" si="18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19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235</v>
      </c>
      <c r="E231" s="21" t="str">
        <f t="shared" si="18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19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2" spans="1:12" x14ac:dyDescent="0.3">
      <c r="A232" t="s">
        <v>245</v>
      </c>
      <c r="B232" s="20" t="s">
        <v>111</v>
      </c>
      <c r="C232" s="20" t="s">
        <v>95</v>
      </c>
      <c r="E232" s="21" t="str">
        <f t="shared" si="18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19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96</v>
      </c>
      <c r="E233" s="21" t="str">
        <f t="shared" si="18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19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4" spans="1:12" x14ac:dyDescent="0.3">
      <c r="A234" t="s">
        <v>246</v>
      </c>
      <c r="E234" s="21" t="str">
        <f t="shared" si="18"/>
        <v/>
      </c>
      <c r="F234" s="22" t="str">
        <f>IF(OR(E234="",E234="!!!"),"",IF(NOT(ISNA(VLOOKUP(E234,E$1:E233,1,FALSE()))),"OLD",IF(AND(E234&lt;&gt;"",E234&lt;&gt;"!!!"),"NEW","")))</f>
        <v/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4" t="str">
        <f t="shared" ca="1" si="19"/>
        <v/>
      </c>
      <c r="I234" s="25" t="str">
        <f>IF(OR(E234="",E234="!!!",F234="NEW"),"",INDEX(B$2:B233,-1+SUMPRODUCT(MAX(ROW(E$2:E233)*(E234=E$2:E233)))))</f>
        <v/>
      </c>
      <c r="J234" s="25" t="str">
        <f ca="1">IF(OR(E234="",E234="!!!",F234="NEW"),"",COUNTBLANK(OFFSET(A$1,,,SUMPRODUCT(MAX(ROW(E$2:E234)*(E234=E$2:E234)))))-COUNTBLANK(OFFSET(A$1,,,SUMPRODUCT(MAX(ROW(E$1:E233)*(E2=E$1:E233))))))</f>
        <v/>
      </c>
      <c r="K234" s="25" t="str">
        <f>IF(OR(E234="",E234="!!!",F234="NEW"),"",INDEX(J$1:J233,SUMPRODUCT(MAX(ROW(E$1:E233)*(E234=E$1:E233)))))</f>
        <v/>
      </c>
      <c r="L234" s="26"/>
    </row>
    <row r="235" spans="1:12" x14ac:dyDescent="0.3">
      <c r="A235" t="s">
        <v>237</v>
      </c>
      <c r="B235" s="20" t="s">
        <v>111</v>
      </c>
      <c r="C235" s="20" t="s">
        <v>95</v>
      </c>
      <c r="E235" s="21" t="s">
        <v>390</v>
      </c>
      <c r="F235" s="22" t="str">
        <f>IF(OR(E235="",E235="!!!"),"",IF(NOT(ISNA(VLOOKUP(E235,E$1:E234,1,FALSE()))),"OLD",IF(AND(E235&lt;&gt;"",E235&lt;&gt;"!!!"),"NEW","")))</f>
        <v>NEW</v>
      </c>
      <c r="G235" s="23" t="s">
        <v>394</v>
      </c>
      <c r="H235" s="24" t="str">
        <f t="shared" ca="1" si="19"/>
        <v/>
      </c>
      <c r="I235" s="25" t="str">
        <f>IF(OR(E235="",E235="!!!",F235="NEW"),"",INDEX(B$2:B234,-1+SUMPRODUCT(MAX(ROW(E$2:E234)*(E235=E$2:E234)))))</f>
        <v/>
      </c>
      <c r="J235" s="25" t="str">
        <f ca="1">IF(OR(E235="",E235="!!!",F235="NEW"),"",COUNTBLANK(OFFSET(A$1,,,SUMPRODUCT(MAX(ROW(E$2:E235)*(E235=E$2:E235)))))-COUNTBLANK(OFFSET(A$1,,,SUMPRODUCT(MAX(ROW(E$1:E234)*(E2=E$1:E234))))))</f>
        <v/>
      </c>
      <c r="K235" s="25" t="str">
        <f>IF(OR(E235="",E235="!!!",F235="NEW"),"",INDEX(J$1:J234,SUMPRODUCT(MAX(ROW(E$1:E234)*(E235=E$1:E234)))))</f>
        <v/>
      </c>
      <c r="L235" s="26"/>
    </row>
    <row r="236" spans="1:12" x14ac:dyDescent="0.3">
      <c r="A236" t="s">
        <v>247</v>
      </c>
      <c r="E236" s="21" t="str">
        <f t="shared" si="18"/>
        <v/>
      </c>
      <c r="F236" s="22" t="str">
        <f>IF(OR(E236="",E236="!!!"),"",IF(NOT(ISNA(VLOOKUP(E236,E$1:E235,1,FALSE()))),"OLD",IF(AND(E236&lt;&gt;"",E236&lt;&gt;"!!!"),"NEW","")))</f>
        <v/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4" t="str">
        <f t="shared" ca="1" si="19"/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/>
    </row>
    <row r="237" spans="1:12" x14ac:dyDescent="0.3">
      <c r="A237" t="s">
        <v>248</v>
      </c>
      <c r="B237" s="20" t="s">
        <v>90</v>
      </c>
      <c r="C237" s="20" t="s">
        <v>95</v>
      </c>
      <c r="E237" s="21" t="str">
        <f t="shared" si="18"/>
        <v/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19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249</v>
      </c>
      <c r="E238" s="21" t="str">
        <f t="shared" si="18"/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ca="1" si="19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122</v>
      </c>
      <c r="E239" s="21" t="str">
        <f t="shared" si="18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19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120</v>
      </c>
      <c r="E240" s="21" t="str">
        <f t="shared" si="18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19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1" spans="1:12" x14ac:dyDescent="0.3">
      <c r="A241" t="s">
        <v>250</v>
      </c>
      <c r="E241" s="21" t="str">
        <f t="shared" si="18"/>
        <v/>
      </c>
      <c r="F241" s="22" t="str">
        <f>IF(OR(E241="",E241="!!!"),"",IF(NOT(ISNA(VLOOKUP(E241,E$1:E240,1,FALSE()))),"OLD",IF(AND(E241&lt;&gt;"",E241&lt;&gt;"!!!"),"NEW","")))</f>
        <v/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4" t="str">
        <f t="shared" ca="1" si="19"/>
        <v/>
      </c>
      <c r="I241" s="25" t="str">
        <f>IF(OR(E241="",E241="!!!",F241="NEW"),"",INDEX(B$2:B240,-1+SUMPRODUCT(MAX(ROW(E$2:E240)*(E241=E$2:E240)))))</f>
        <v/>
      </c>
      <c r="J241" s="25" t="str">
        <f ca="1">IF(OR(E241="",E241="!!!",F241="NEW"),"",COUNTBLANK(OFFSET(A$1,,,SUMPRODUCT(MAX(ROW(E$2:E241)*(E241=E$2:E241)))))-COUNTBLANK(OFFSET(A$1,,,SUMPRODUCT(MAX(ROW(E$1:E240)*(E2=E$1:E240))))))</f>
        <v/>
      </c>
      <c r="K241" s="25" t="str">
        <f>IF(OR(E241="",E241="!!!",F241="NEW"),"",INDEX(J$1:J240,SUMPRODUCT(MAX(ROW(E$1:E240)*(E241=E$1:E240)))))</f>
        <v/>
      </c>
      <c r="L241" s="26"/>
    </row>
    <row r="242" spans="1:12" x14ac:dyDescent="0.3">
      <c r="A242" t="s">
        <v>251</v>
      </c>
      <c r="E242" s="21" t="str">
        <f t="shared" si="18"/>
        <v/>
      </c>
      <c r="F242" s="22" t="str">
        <f>IF(OR(E242="",E242="!!!"),"",IF(NOT(ISNA(VLOOKUP(E242,E$1:E241,1,FALSE()))),"OLD",IF(AND(E242&lt;&gt;"",E242&lt;&gt;"!!!"),"NEW","")))</f>
        <v/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4" t="str">
        <f t="shared" ca="1" si="19"/>
        <v/>
      </c>
      <c r="I242" s="25" t="str">
        <f>IF(OR(E242="",E242="!!!",F242="NEW"),"",INDEX(B$2:B241,-1+SUMPRODUCT(MAX(ROW(E$2:E241)*(E242=E$2:E241)))))</f>
        <v/>
      </c>
      <c r="J242" s="25" t="str">
        <f ca="1">IF(OR(E242="",E242="!!!",F242="NEW"),"",COUNTBLANK(OFFSET(A$1,,,SUMPRODUCT(MAX(ROW(E$2:E242)*(E242=E$2:E242)))))-COUNTBLANK(OFFSET(A$1,,,SUMPRODUCT(MAX(ROW(E$1:E241)*(E2=E$1:E241))))))</f>
        <v/>
      </c>
      <c r="K242" s="25" t="str">
        <f>IF(OR(E242="",E242="!!!",F242="NEW"),"",INDEX(J$1:J241,SUMPRODUCT(MAX(ROW(E$1:E241)*(E242=E$1:E241)))))</f>
        <v/>
      </c>
      <c r="L242" s="26"/>
    </row>
    <row r="243" spans="1:12" x14ac:dyDescent="0.3">
      <c r="A243" t="s">
        <v>150</v>
      </c>
      <c r="E243" s="21" t="str">
        <f t="shared" si="18"/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19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5" spans="1:12" x14ac:dyDescent="0.3">
      <c r="A245" t="s">
        <v>252</v>
      </c>
      <c r="E245" s="21" t="str">
        <f>IF(D245="?OLD","!!!","")</f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ca="1">IF(J245&lt;&gt;1,"",IF(I245="SBJ","CB","?"))</f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253</v>
      </c>
    </row>
    <row r="247" spans="1:12" x14ac:dyDescent="0.3">
      <c r="A247" t="s">
        <v>254</v>
      </c>
      <c r="E247" s="21" t="str">
        <f t="shared" ref="E247:E272" si="20">IF(D247="?OLD","!!!","")</f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ref="H247:H272" ca="1" si="21">IF(J247&lt;&gt;1,"",IF(I247="SBJ","CB","?"))</f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255</v>
      </c>
      <c r="B248" s="20" t="s">
        <v>90</v>
      </c>
      <c r="C248" s="20" t="s">
        <v>180</v>
      </c>
      <c r="D248" s="20" t="s">
        <v>104</v>
      </c>
      <c r="E248" s="21"/>
      <c r="F248" s="22" t="s">
        <v>369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21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256</v>
      </c>
      <c r="E249" s="21" t="str">
        <f t="shared" si="20"/>
        <v/>
      </c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21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0" spans="1:12" x14ac:dyDescent="0.3">
      <c r="A250" t="s">
        <v>96</v>
      </c>
      <c r="E250" s="21" t="str">
        <f t="shared" si="20"/>
        <v/>
      </c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21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165</v>
      </c>
      <c r="E251" s="21" t="str">
        <f t="shared" si="20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21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257</v>
      </c>
      <c r="B252" s="20" t="s">
        <v>111</v>
      </c>
      <c r="C252" s="20" t="s">
        <v>127</v>
      </c>
      <c r="E252" s="21" t="str">
        <f t="shared" si="20"/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ca="1" si="21"/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258</v>
      </c>
      <c r="E253" s="21" t="str">
        <f t="shared" si="20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21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129</v>
      </c>
      <c r="E254" s="21" t="str">
        <f t="shared" si="20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21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259</v>
      </c>
      <c r="B255" s="20" t="s">
        <v>98</v>
      </c>
      <c r="C255" s="20" t="s">
        <v>127</v>
      </c>
      <c r="E255" s="21" t="str">
        <f t="shared" si="20"/>
        <v/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21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6" spans="1:12" x14ac:dyDescent="0.3">
      <c r="A256" t="s">
        <v>112</v>
      </c>
      <c r="E256" s="21" t="str">
        <f t="shared" si="20"/>
        <v/>
      </c>
      <c r="F256" s="22" t="str">
        <f>IF(OR(E256="",E256="!!!"),"",IF(NOT(ISNA(VLOOKUP(E256,E$1:E255,1,FALSE()))),"OLD",IF(AND(E256&lt;&gt;"",E256&lt;&gt;"!!!"),"NEW","")))</f>
        <v/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4" t="str">
        <f t="shared" ca="1" si="21"/>
        <v/>
      </c>
      <c r="I256" s="25" t="str">
        <f>IF(OR(E256="",E256="!!!",F256="NEW"),"",INDEX(B$2:B255,-1+SUMPRODUCT(MAX(ROW(E$2:E255)*(E256=E$2:E255)))))</f>
        <v/>
      </c>
      <c r="J256" s="25" t="str">
        <f ca="1">IF(OR(E256="",E256="!!!",F256="NEW"),"",COUNTBLANK(OFFSET(A$1,,,SUMPRODUCT(MAX(ROW(E$2:E256)*(E256=E$2:E256)))))-COUNTBLANK(OFFSET(A$1,,,SUMPRODUCT(MAX(ROW(E$1:E255)*(E2=E$1:E255))))))</f>
        <v/>
      </c>
      <c r="K256" s="25" t="str">
        <f>IF(OR(E256="",E256="!!!",F256="NEW"),"",INDEX(J$1:J255,SUMPRODUCT(MAX(ROW(E$1:E255)*(E256=E$1:E255)))))</f>
        <v/>
      </c>
      <c r="L256" s="26"/>
    </row>
    <row r="257" spans="1:12" x14ac:dyDescent="0.3">
      <c r="A257" t="s">
        <v>254</v>
      </c>
      <c r="E257" s="21" t="str">
        <f t="shared" si="20"/>
        <v/>
      </c>
      <c r="F257" s="22" t="str">
        <f>IF(OR(E257="",E257="!!!"),"",IF(NOT(ISNA(VLOOKUP(E257,E$1:E256,1,FALSE()))),"OLD",IF(AND(E257&lt;&gt;"",E257&lt;&gt;"!!!"),"NEW","")))</f>
        <v/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4" t="str">
        <f t="shared" ca="1" si="21"/>
        <v/>
      </c>
      <c r="I257" s="25" t="str">
        <f>IF(OR(E257="",E257="!!!",F257="NEW"),"",INDEX(B$2:B256,-1+SUMPRODUCT(MAX(ROW(E$2:E256)*(E257=E$2:E256)))))</f>
        <v/>
      </c>
      <c r="J257" s="25" t="str">
        <f ca="1">IF(OR(E257="",E257="!!!",F257="NEW"),"",COUNTBLANK(OFFSET(A$1,,,SUMPRODUCT(MAX(ROW(E$2:E257)*(E257=E$2:E257)))))-COUNTBLANK(OFFSET(A$1,,,SUMPRODUCT(MAX(ROW(E$1:E256)*(E2=E$1:E256))))))</f>
        <v/>
      </c>
      <c r="K257" s="25" t="str">
        <f>IF(OR(E257="",E257="!!!",F257="NEW"),"",INDEX(J$1:J256,SUMPRODUCT(MAX(ROW(E$1:E256)*(E257=E$1:E256)))))</f>
        <v/>
      </c>
      <c r="L257" s="26"/>
    </row>
    <row r="258" spans="1:12" x14ac:dyDescent="0.3">
      <c r="A258" t="s">
        <v>197</v>
      </c>
      <c r="E258" s="21" t="str">
        <f t="shared" si="20"/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ca="1" si="21"/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224</v>
      </c>
      <c r="B259" s="20" t="s">
        <v>128</v>
      </c>
      <c r="C259" s="20" t="s">
        <v>117</v>
      </c>
      <c r="D259" s="20" t="s">
        <v>104</v>
      </c>
      <c r="E259" s="21" t="s">
        <v>362</v>
      </c>
      <c r="F259" s="22" t="str">
        <f>IF(OR(E259="",E259="!!!"),"",IF(NOT(ISNA(VLOOKUP(E259,E$1:E258,1,FALSE()))),"OLD",IF(AND(E259&lt;&gt;"",E259&lt;&gt;"!!!"),"NEW","")))</f>
        <v>OLD</v>
      </c>
      <c r="G259" s="23" t="s">
        <v>396</v>
      </c>
      <c r="H259" s="24" t="str">
        <f t="shared" ca="1" si="21"/>
        <v/>
      </c>
      <c r="I259" s="25" t="str">
        <f>IF(OR(E259="",E259="!!!",F259="NEW"),"",INDEX(B$2:B258,-1+SUMPRODUCT(MAX(ROW(E$2:E258)*(E259=E$2:E258)))))</f>
        <v>SBJ</v>
      </c>
      <c r="J259" s="25">
        <f ca="1">IF(OR(E259="",E259="!!!",F259="NEW"),"",COUNTBLANK(OFFSET(A$1,,,SUMPRODUCT(MAX(ROW(E$2:E259)*(E259=E$2:E259)))))-COUNTBLANK(OFFSET(A$1,,,SUMPRODUCT(MAX(ROW(E$1:E258)*(E2=E$1:E258))))))</f>
        <v>0</v>
      </c>
      <c r="K259" s="25" t="str">
        <f ca="1">IF(OR(E259="",E259="!!!",F259="NEW"),"",INDEX(J$1:J258,SUMPRODUCT(MAX(ROW(E$1:E258)*(E259=E$1:E258)))))</f>
        <v/>
      </c>
      <c r="L259" s="26"/>
    </row>
    <row r="260" spans="1:12" x14ac:dyDescent="0.3">
      <c r="A260" t="s">
        <v>131</v>
      </c>
      <c r="E260" s="21" t="str">
        <f t="shared" si="20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21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260</v>
      </c>
      <c r="B261" s="20" t="s">
        <v>102</v>
      </c>
      <c r="C261" s="20" t="s">
        <v>117</v>
      </c>
      <c r="D261" s="20" t="s">
        <v>104</v>
      </c>
      <c r="E261" s="21" t="s">
        <v>363</v>
      </c>
      <c r="F261" s="22" t="str">
        <f>IF(OR(E261="",E261="!!!"),"",IF(NOT(ISNA(VLOOKUP(E261,E$1:E260,1,FALSE()))),"OLD",IF(AND(E261&lt;&gt;"",E261&lt;&gt;"!!!"),"NEW","")))</f>
        <v>NEW</v>
      </c>
      <c r="G261" s="23" t="s">
        <v>398</v>
      </c>
      <c r="H261" s="24" t="str">
        <f t="shared" ca="1" si="21"/>
        <v/>
      </c>
      <c r="I261" s="25" t="str">
        <f>IF(OR(E261="",E261="!!!",F261="NEW"),"",INDEX(B$2:B260,-1+SUMPRODUCT(MAX(ROW(E$2:E260)*(E261=E$2:E260)))))</f>
        <v/>
      </c>
      <c r="J261" s="25" t="str">
        <f ca="1">IF(OR(E261="",E261="!!!",F261="NEW"),"",COUNTBLANK(OFFSET(A$1,,,SUMPRODUCT(MAX(ROW(E$2:E261)*(E261=E$2:E261)))))-COUNTBLANK(OFFSET(A$1,,,SUMPRODUCT(MAX(ROW(E$1:E260)*(E2=E$1:E260))))))</f>
        <v/>
      </c>
      <c r="K261" s="25" t="str">
        <f>IF(OR(E261="",E261="!!!",F261="NEW"),"",INDEX(J$1:J260,SUMPRODUCT(MAX(ROW(E$1:E260)*(E261=E$1:E260)))))</f>
        <v/>
      </c>
      <c r="L261" s="26"/>
    </row>
    <row r="262" spans="1:12" x14ac:dyDescent="0.3">
      <c r="A262" t="s">
        <v>112</v>
      </c>
      <c r="E262" s="21" t="str">
        <f t="shared" si="20"/>
        <v/>
      </c>
      <c r="F262" s="22" t="str">
        <f>IF(OR(E262="",E262="!!!"),"",IF(NOT(ISNA(VLOOKUP(E262,E$1:E261,1,FALSE()))),"OLD",IF(AND(E262&lt;&gt;"",E262&lt;&gt;"!!!"),"NEW","")))</f>
        <v/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4" t="str">
        <f t="shared" ca="1" si="21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165</v>
      </c>
      <c r="E263" s="21" t="str">
        <f t="shared" si="20"/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21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261</v>
      </c>
      <c r="B264" s="20" t="s">
        <v>106</v>
      </c>
      <c r="C264" s="20" t="s">
        <v>127</v>
      </c>
      <c r="E264" s="21" t="str">
        <f t="shared" si="20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21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137</v>
      </c>
      <c r="E265" s="21" t="str">
        <f t="shared" si="20"/>
        <v/>
      </c>
      <c r="F265" s="22" t="str">
        <f>IF(OR(E265="",E265="!!!"),"",IF(NOT(ISNA(VLOOKUP(E265,E$1:E264,1,FALSE()))),"OLD",IF(AND(E265&lt;&gt;"",E265&lt;&gt;"!!!"),"NEW","")))</f>
        <v/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t="shared" ca="1" si="21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262</v>
      </c>
      <c r="B266" s="20" t="s">
        <v>263</v>
      </c>
      <c r="C266" s="20" t="s">
        <v>117</v>
      </c>
      <c r="D266" s="20" t="s">
        <v>104</v>
      </c>
      <c r="E266" s="21" t="s">
        <v>364</v>
      </c>
      <c r="F266" s="22" t="str">
        <f>IF(OR(E266="",E266="!!!"),"",IF(NOT(ISNA(VLOOKUP(E266,E$1:E265,1,FALSE()))),"OLD",IF(AND(E266&lt;&gt;"",E266&lt;&gt;"!!!"),"NEW","")))</f>
        <v>NEW</v>
      </c>
      <c r="G266" s="23" t="s">
        <v>398</v>
      </c>
      <c r="H266" s="24" t="str">
        <f t="shared" ca="1" si="21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112</v>
      </c>
      <c r="E267" s="21" t="str">
        <f t="shared" si="20"/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t="shared" ca="1" si="21"/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/>
    </row>
    <row r="268" spans="1:12" x14ac:dyDescent="0.3">
      <c r="A268" t="s">
        <v>264</v>
      </c>
      <c r="B268" s="20" t="s">
        <v>106</v>
      </c>
      <c r="C268" s="20" t="s">
        <v>91</v>
      </c>
      <c r="E268" s="21" t="str">
        <f t="shared" si="20"/>
        <v/>
      </c>
      <c r="F268" s="22" t="str">
        <f>IF(OR(E268="",E268="!!!"),"",IF(NOT(ISNA(VLOOKUP(E268,E$1:E267,1,FALSE()))),"OLD",IF(AND(E268&lt;&gt;"",E268&lt;&gt;"!!!"),"NEW","")))</f>
        <v/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4" t="str">
        <f t="shared" ca="1" si="21"/>
        <v/>
      </c>
      <c r="I268" s="25" t="str">
        <f>IF(OR(E268="",E268="!!!",F268="NEW"),"",INDEX(B$2:B267,-1+SUMPRODUCT(MAX(ROW(E$2:E267)*(E268=E$2:E267)))))</f>
        <v/>
      </c>
      <c r="J268" s="25" t="str">
        <f ca="1">IF(OR(E268="",E268="!!!",F268="NEW"),"",COUNTBLANK(OFFSET(A$1,,,SUMPRODUCT(MAX(ROW(E$2:E268)*(E268=E$2:E268)))))-COUNTBLANK(OFFSET(A$1,,,SUMPRODUCT(MAX(ROW(E$1:E267)*(E2=E$1:E267))))))</f>
        <v/>
      </c>
      <c r="K268" s="25" t="str">
        <f>IF(OR(E268="",E268="!!!",F268="NEW"),"",INDEX(J$1:J267,SUMPRODUCT(MAX(ROW(E$1:E267)*(E268=E$1:E267)))))</f>
        <v/>
      </c>
      <c r="L268" s="26"/>
    </row>
    <row r="269" spans="1:12" x14ac:dyDescent="0.3">
      <c r="A269" t="s">
        <v>183</v>
      </c>
      <c r="E269" s="21" t="str">
        <f t="shared" si="20"/>
        <v/>
      </c>
      <c r="F269" s="22" t="str">
        <f>IF(OR(E269="",E269="!!!"),"",IF(NOT(ISNA(VLOOKUP(E269,E$1:E268,1,FALSE()))),"OLD",IF(AND(E269&lt;&gt;"",E269&lt;&gt;"!!!"),"NEW","")))</f>
        <v/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4" t="str">
        <f t="shared" ca="1" si="21"/>
        <v/>
      </c>
      <c r="I269" s="25" t="str">
        <f>IF(OR(E269="",E269="!!!",F269="NEW"),"",INDEX(B$2:B268,-1+SUMPRODUCT(MAX(ROW(E$2:E268)*(E269=E$2:E268)))))</f>
        <v/>
      </c>
      <c r="J269" s="25" t="str">
        <f ca="1">IF(OR(E269="",E269="!!!",F269="NEW"),"",COUNTBLANK(OFFSET(A$1,,,SUMPRODUCT(MAX(ROW(E$2:E269)*(E269=E$2:E269)))))-COUNTBLANK(OFFSET(A$1,,,SUMPRODUCT(MAX(ROW(E$1:E268)*(E2=E$1:E268))))))</f>
        <v/>
      </c>
      <c r="K269" s="25" t="str">
        <f>IF(OR(E269="",E269="!!!",F269="NEW"),"",INDEX(J$1:J268,SUMPRODUCT(MAX(ROW(E$1:E268)*(E269=E$1:E268)))))</f>
        <v/>
      </c>
      <c r="L269" s="26"/>
    </row>
    <row r="270" spans="1:12" x14ac:dyDescent="0.3">
      <c r="A270" t="s">
        <v>265</v>
      </c>
      <c r="B270" s="20" t="s">
        <v>263</v>
      </c>
      <c r="C270" s="20" t="s">
        <v>103</v>
      </c>
      <c r="D270" s="20" t="s">
        <v>104</v>
      </c>
      <c r="E270" s="21" t="s">
        <v>384</v>
      </c>
      <c r="F270" s="22" t="s">
        <v>348</v>
      </c>
      <c r="G270" s="23"/>
      <c r="H270" s="24" t="str">
        <f t="shared" ca="1" si="21"/>
        <v/>
      </c>
      <c r="I270" s="25" t="e">
        <f>IF(OR(E270="",E270="!!!",F270="NEW"),"",INDEX(B$2:B269,-1+SUMPRODUCT(MAX(ROW(E$2:E269)*(E270=E$2:E269)))))</f>
        <v>#VALUE!</v>
      </c>
      <c r="J270" s="25">
        <f ca="1">IF(OR(E270="",E270="!!!",F270="NEW"),"",COUNTBLANK(OFFSET(A$1,,,SUMPRODUCT(MAX(ROW(E$2:E270)*(E270=E$2:E270)))))-COUNTBLANK(OFFSET(A$1,,,SUMPRODUCT(MAX(ROW(E$1:E269)*(E2=E$1:E269))))))</f>
        <v>0</v>
      </c>
      <c r="K270" s="25" t="e">
        <f>IF(OR(E270="",E270="!!!",F270="NEW"),"",INDEX(J$1:J269,SUMPRODUCT(MAX(ROW(E$1:E269)*(E270=E$1:E269)))))</f>
        <v>#VALUE!</v>
      </c>
      <c r="L270" s="26"/>
    </row>
    <row r="271" spans="1:12" x14ac:dyDescent="0.3">
      <c r="A271" t="s">
        <v>188</v>
      </c>
      <c r="E271" s="21" t="str">
        <f t="shared" si="20"/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t="shared" ca="1" si="21"/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150</v>
      </c>
      <c r="E272" s="21" t="str">
        <f t="shared" si="20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21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4" spans="1:12" x14ac:dyDescent="0.3">
      <c r="A274" t="s">
        <v>266</v>
      </c>
    </row>
    <row r="275" spans="1:12" x14ac:dyDescent="0.3">
      <c r="A275" t="s">
        <v>255</v>
      </c>
      <c r="E275" s="21" t="str">
        <f t="shared" ref="E275:E309" si="22">IF(D275="?OLD","!!!","")</f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ref="H275:H309" ca="1" si="23">IF(J275&lt;&gt;1,"",IF(I275="SBJ","CB","?"))</f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267</v>
      </c>
      <c r="E276" s="21" t="str">
        <f t="shared" si="22"/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ca="1" si="23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268</v>
      </c>
      <c r="E277" s="21" t="str">
        <f t="shared" si="22"/>
        <v/>
      </c>
      <c r="F277" s="22" t="str">
        <f>IF(OR(E277="",E277="!!!"),"",IF(NOT(ISNA(VLOOKUP(E277,E$1:E276,1,FALSE()))),"OLD",IF(AND(E277&lt;&gt;"",E277&lt;&gt;"!!!"),"NEW","")))</f>
        <v/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t="shared" ca="1" si="23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8" spans="1:12" x14ac:dyDescent="0.3">
      <c r="A278" t="s">
        <v>112</v>
      </c>
      <c r="E278" s="21" t="str">
        <f t="shared" si="22"/>
        <v/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t="shared" ca="1" si="23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198</v>
      </c>
      <c r="E279" s="21" t="str">
        <f t="shared" si="22"/>
        <v/>
      </c>
      <c r="F279" s="22" t="str">
        <f>IF(OR(E279="",E279="!!!"),"",IF(NOT(ISNA(VLOOKUP(E279,E$1:E278,1,FALSE()))),"OLD",IF(AND(E279&lt;&gt;"",E279&lt;&gt;"!!!"),"NEW","")))</f>
        <v/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4" t="str">
        <f t="shared" ca="1" si="23"/>
        <v/>
      </c>
      <c r="I279" s="25" t="str">
        <f>IF(OR(E279="",E279="!!!",F279="NEW"),"",INDEX(B$2:B278,-1+SUMPRODUCT(MAX(ROW(E$2:E278)*(E279=E$2:E278)))))</f>
        <v/>
      </c>
      <c r="J279" s="25" t="str">
        <f ca="1">IF(OR(E279="",E279="!!!",F279="NEW"),"",COUNTBLANK(OFFSET(A$1,,,SUMPRODUCT(MAX(ROW(E$2:E279)*(E279=E$2:E279)))))-COUNTBLANK(OFFSET(A$1,,,SUMPRODUCT(MAX(ROW(E$1:E278)*(E2=E$1:E278))))))</f>
        <v/>
      </c>
      <c r="K279" s="25" t="str">
        <f>IF(OR(E279="",E279="!!!",F279="NEW"),"",INDEX(J$1:J278,SUMPRODUCT(MAX(ROW(E$1:E278)*(E279=E$1:E278)))))</f>
        <v/>
      </c>
      <c r="L279" s="26"/>
    </row>
    <row r="280" spans="1:12" x14ac:dyDescent="0.3">
      <c r="A280" t="s">
        <v>131</v>
      </c>
      <c r="E280" s="21" t="str">
        <f t="shared" si="22"/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ca="1" si="23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269</v>
      </c>
      <c r="B281" s="20" t="s">
        <v>128</v>
      </c>
      <c r="C281" s="20" t="s">
        <v>103</v>
      </c>
      <c r="D281" s="20" t="s">
        <v>104</v>
      </c>
      <c r="E281" s="21" t="s">
        <v>359</v>
      </c>
      <c r="F281" s="22" t="str">
        <f>IF(OR(E281="",E281="!!!"),"",IF(NOT(ISNA(VLOOKUP(E281,E$1:E280,1,FALSE()))),"OLD",IF(AND(E281&lt;&gt;"",E281&lt;&gt;"!!!"),"NEW","")))</f>
        <v>OLD</v>
      </c>
      <c r="G281" s="23" t="s">
        <v>393</v>
      </c>
      <c r="H281" s="24" t="str">
        <f t="shared" ca="1" si="23"/>
        <v/>
      </c>
      <c r="I281" s="25" t="str">
        <f>IF(OR(E281="",E281="!!!",F281="NEW"),"",INDEX(B$2:B280,-1+SUMPRODUCT(MAX(ROW(E$2:E280)*(E281=E$2:E280)))))</f>
        <v>SBJ_3</v>
      </c>
      <c r="J281" s="25">
        <f ca="1">IF(OR(E281="",E281="!!!",F281="NEW"),"",COUNTBLANK(OFFSET(A$1,,,SUMPRODUCT(MAX(ROW(E$2:E281)*(E281=E$2:E281)))))-COUNTBLANK(OFFSET(A$1,,,SUMPRODUCT(MAX(ROW(E$1:E280)*(E2=E$1:E280))))))</f>
        <v>0</v>
      </c>
      <c r="K281" s="25">
        <f ca="1">IF(OR(E281="",E281="!!!",F281="NEW"),"",INDEX(J$1:J280,SUMPRODUCT(MAX(ROW(E$1:E280)*(E281=E$1:E280)))))</f>
        <v>0</v>
      </c>
      <c r="L281" s="26"/>
    </row>
    <row r="282" spans="1:12" x14ac:dyDescent="0.3">
      <c r="A282" t="s">
        <v>270</v>
      </c>
      <c r="B282" s="20" t="s">
        <v>102</v>
      </c>
      <c r="C282" s="20" t="s">
        <v>130</v>
      </c>
      <c r="E282" s="21" t="str">
        <f t="shared" si="22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23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271</v>
      </c>
      <c r="B283" s="20" t="s">
        <v>218</v>
      </c>
      <c r="C283" s="20" t="s">
        <v>91</v>
      </c>
      <c r="E283" s="21" t="str">
        <f t="shared" si="22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23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272</v>
      </c>
      <c r="E284" s="21" t="str">
        <f t="shared" si="22"/>
        <v/>
      </c>
      <c r="F284" s="22" t="str">
        <f>IF(OR(E284="",E284="!!!"),"",IF(NOT(ISNA(VLOOKUP(E284,E$1:E283,1,FALSE()))),"OLD",IF(AND(E284&lt;&gt;"",E284&lt;&gt;"!!!"),"NEW","")))</f>
        <v/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t="shared" ca="1" si="23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273</v>
      </c>
      <c r="E285" s="21" t="str">
        <f t="shared" si="22"/>
        <v/>
      </c>
      <c r="F285" s="22" t="str">
        <f>IF(OR(E285="",E285="!!!"),"",IF(NOT(ISNA(VLOOKUP(E285,E$1:E284,1,FALSE()))),"OLD",IF(AND(E285&lt;&gt;"",E285&lt;&gt;"!!!"),"NEW","")))</f>
        <v/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t="shared" ca="1" si="23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112</v>
      </c>
      <c r="E286" s="21" t="str">
        <f t="shared" si="22"/>
        <v/>
      </c>
      <c r="F286" s="22" t="str">
        <f>IF(OR(E286="",E286="!!!"),"",IF(NOT(ISNA(VLOOKUP(E286,E$1:E285,1,FALSE()))),"OLD",IF(AND(E286&lt;&gt;"",E286&lt;&gt;"!!!"),"NEW","")))</f>
        <v/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ca="1" si="23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274</v>
      </c>
      <c r="E287" s="21" t="str">
        <f t="shared" si="22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23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203</v>
      </c>
      <c r="E288" s="21" t="str">
        <f t="shared" si="22"/>
        <v/>
      </c>
      <c r="F288" s="22" t="str">
        <f>IF(OR(E288="",E288="!!!"),"",IF(NOT(ISNA(VLOOKUP(E288,E$1:E287,1,FALSE()))),"OLD",IF(AND(E288&lt;&gt;"",E288&lt;&gt;"!!!"),"NEW","")))</f>
        <v/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t="shared" ca="1" si="23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x14ac:dyDescent="0.3">
      <c r="A289" t="s">
        <v>275</v>
      </c>
      <c r="E289" s="21" t="str">
        <f t="shared" si="22"/>
        <v/>
      </c>
      <c r="F289" s="22" t="str">
        <f>IF(OR(E289="",E289="!!!"),"",IF(NOT(ISNA(VLOOKUP(E289,E$1:E288,1,FALSE()))),"OLD",IF(AND(E289&lt;&gt;"",E289&lt;&gt;"!!!"),"NEW","")))</f>
        <v/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4" t="str">
        <f t="shared" ca="1" si="23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/>
    </row>
    <row r="290" spans="1:12" x14ac:dyDescent="0.3">
      <c r="A290" t="s">
        <v>276</v>
      </c>
      <c r="B290" s="20" t="s">
        <v>98</v>
      </c>
      <c r="C290" s="20" t="s">
        <v>127</v>
      </c>
      <c r="E290" s="21" t="str">
        <f t="shared" si="22"/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ca="1" si="23"/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177</v>
      </c>
      <c r="E291" s="21" t="str">
        <f t="shared" si="22"/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23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277</v>
      </c>
      <c r="E292" s="21" t="str">
        <f t="shared" si="22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23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278</v>
      </c>
      <c r="E293" s="21" t="str">
        <f t="shared" si="22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23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279</v>
      </c>
      <c r="B294" s="20" t="s">
        <v>102</v>
      </c>
      <c r="C294" s="20" t="s">
        <v>103</v>
      </c>
      <c r="D294" s="20" t="s">
        <v>104</v>
      </c>
      <c r="E294" s="21" t="s">
        <v>385</v>
      </c>
      <c r="F294" s="22" t="str">
        <f>IF(OR(E294="",E294="!!!"),"",IF(NOT(ISNA(VLOOKUP(E294,E$1:E293,1,FALSE()))),"OLD",IF(AND(E294&lt;&gt;"",E294&lt;&gt;"!!!"),"NEW","")))</f>
        <v>NEW</v>
      </c>
      <c r="G294" s="23" t="s">
        <v>394</v>
      </c>
      <c r="H294" s="24" t="str">
        <f t="shared" ca="1" si="23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112</v>
      </c>
      <c r="E295" s="21" t="str">
        <f t="shared" si="22"/>
        <v/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23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129</v>
      </c>
      <c r="E296" s="21" t="str">
        <f t="shared" si="22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23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280</v>
      </c>
      <c r="E297" s="21" t="str">
        <f t="shared" si="22"/>
        <v/>
      </c>
      <c r="F297" s="22" t="str">
        <f>IF(OR(E297="",E297="!!!"),"",IF(NOT(ISNA(VLOOKUP(E297,E$1:E296,1,FALSE()))),"OLD",IF(AND(E297&lt;&gt;"",E297&lt;&gt;"!!!"),"NEW","")))</f>
        <v/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4" t="str">
        <f t="shared" ca="1" si="23"/>
        <v/>
      </c>
      <c r="I297" s="25" t="str">
        <f>IF(OR(E297="",E297="!!!",F297="NEW"),"",INDEX(B$2:B296,-1+SUMPRODUCT(MAX(ROW(E$2:E296)*(E297=E$2:E296)))))</f>
        <v/>
      </c>
      <c r="J297" s="25" t="str">
        <f ca="1">IF(OR(E297="",E297="!!!",F297="NEW"),"",COUNTBLANK(OFFSET(A$1,,,SUMPRODUCT(MAX(ROW(E$2:E297)*(E297=E$2:E297)))))-COUNTBLANK(OFFSET(A$1,,,SUMPRODUCT(MAX(ROW(E$1:E296)*(E2=E$1:E296))))))</f>
        <v/>
      </c>
      <c r="K297" s="25" t="str">
        <f>IF(OR(E297="",E297="!!!",F297="NEW"),"",INDEX(J$1:J296,SUMPRODUCT(MAX(ROW(E$1:E296)*(E297=E$1:E296)))))</f>
        <v/>
      </c>
      <c r="L297" s="26"/>
    </row>
    <row r="298" spans="1:12" x14ac:dyDescent="0.3">
      <c r="A298" t="s">
        <v>281</v>
      </c>
      <c r="B298" s="20" t="s">
        <v>106</v>
      </c>
      <c r="C298" s="20" t="s">
        <v>127</v>
      </c>
      <c r="E298" s="21" t="str">
        <f t="shared" si="22"/>
        <v/>
      </c>
      <c r="F298" s="22" t="str">
        <f>IF(OR(E298="",E298="!!!"),"",IF(NOT(ISNA(VLOOKUP(E298,E$1:E297,1,FALSE()))),"OLD",IF(AND(E298&lt;&gt;"",E298&lt;&gt;"!!!"),"NEW","")))</f>
        <v/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t="shared" ca="1" si="23"/>
        <v/>
      </c>
      <c r="I298" s="25" t="str">
        <f>IF(OR(E298="",E298="!!!",F298="NEW"),"",INDEX(B$2:B297,-1+SUMPRODUCT(MAX(ROW(E$2:E297)*(E298=E$2:E297)))))</f>
        <v/>
      </c>
      <c r="J298" s="25" t="str">
        <f ca="1">IF(OR(E298="",E298="!!!",F298="NEW"),"",COUNTBLANK(OFFSET(A$1,,,SUMPRODUCT(MAX(ROW(E$2:E298)*(E298=E$2:E298)))))-COUNTBLANK(OFFSET(A$1,,,SUMPRODUCT(MAX(ROW(E$1:E297)*(E2=E$1:E297))))))</f>
        <v/>
      </c>
      <c r="K298" s="25" t="str">
        <f>IF(OR(E298="",E298="!!!",F298="NEW"),"",INDEX(J$1:J297,SUMPRODUCT(MAX(ROW(E$1:E297)*(E298=E$1:E297)))))</f>
        <v/>
      </c>
      <c r="L298" s="26"/>
    </row>
    <row r="299" spans="1:12" x14ac:dyDescent="0.3">
      <c r="A299" t="s">
        <v>177</v>
      </c>
      <c r="E299" s="21" t="str">
        <f t="shared" si="22"/>
        <v/>
      </c>
      <c r="F299" s="22" t="str">
        <f>IF(OR(E299="",E299="!!!"),"",IF(NOT(ISNA(VLOOKUP(E299,E$1:E298,1,FALSE()))),"OLD",IF(AND(E299&lt;&gt;"",E299&lt;&gt;"!!!"),"NEW","")))</f>
        <v/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t="shared" ca="1" si="23"/>
        <v/>
      </c>
      <c r="I299" s="25" t="str">
        <f>IF(OR(E299="",E299="!!!",F299="NEW"),"",INDEX(B$2:B298,-1+SUMPRODUCT(MAX(ROW(E$2:E298)*(E299=E$2:E298)))))</f>
        <v/>
      </c>
      <c r="J299" s="25" t="str">
        <f ca="1">IF(OR(E299="",E299="!!!",F299="NEW"),"",COUNTBLANK(OFFSET(A$1,,,SUMPRODUCT(MAX(ROW(E$2:E299)*(E299=E$2:E299)))))-COUNTBLANK(OFFSET(A$1,,,SUMPRODUCT(MAX(ROW(E$1:E298)*(E2=E$1:E298))))))</f>
        <v/>
      </c>
      <c r="K299" s="25" t="str">
        <f>IF(OR(E299="",E299="!!!",F299="NEW"),"",INDEX(J$1:J298,SUMPRODUCT(MAX(ROW(E$1:E298)*(E299=E$1:E298)))))</f>
        <v/>
      </c>
      <c r="L299" s="26"/>
    </row>
    <row r="300" spans="1:12" x14ac:dyDescent="0.3">
      <c r="A300" t="s">
        <v>277</v>
      </c>
      <c r="E300" s="21" t="str">
        <f t="shared" si="22"/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23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278</v>
      </c>
      <c r="E301" s="21" t="str">
        <f t="shared" si="22"/>
        <v/>
      </c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ca="1" si="23"/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279</v>
      </c>
      <c r="B302" s="20" t="s">
        <v>263</v>
      </c>
      <c r="C302" s="20" t="s">
        <v>103</v>
      </c>
      <c r="D302" s="20" t="s">
        <v>104</v>
      </c>
      <c r="E302" s="21" t="s">
        <v>385</v>
      </c>
      <c r="F302" s="22" t="str">
        <f>IF(OR(E302="",E302="!!!"),"",IF(NOT(ISNA(VLOOKUP(E302,E$1:E301,1,FALSE()))),"OLD",IF(AND(E302&lt;&gt;"",E302&lt;&gt;"!!!"),"NEW","")))</f>
        <v>OLD</v>
      </c>
      <c r="G302" s="23" t="s">
        <v>395</v>
      </c>
      <c r="H302" s="24" t="str">
        <f t="shared" ca="1" si="23"/>
        <v/>
      </c>
      <c r="I302" s="25" t="str">
        <f>IF(OR(E302="",E302="!!!",F302="NEW"),"",INDEX(B$2:B301,-1+SUMPRODUCT(MAX(ROW(E$2:E301)*(E302=E$2:E301)))))</f>
        <v>other_3</v>
      </c>
      <c r="J302" s="25">
        <f ca="1">IF(OR(E302="",E302="!!!",F302="NEW"),"",COUNTBLANK(OFFSET(A$1,,,SUMPRODUCT(MAX(ROW(E$2:E302)*(E302=E$2:E302)))))-COUNTBLANK(OFFSET(A$1,,,SUMPRODUCT(MAX(ROW(E$1:E301)*(E2=E$1:E301))))))</f>
        <v>0</v>
      </c>
      <c r="K302" s="25" t="str">
        <f ca="1">IF(OR(E302="",E302="!!!",F302="NEW"),"",INDEX(J$1:J301,SUMPRODUCT(MAX(ROW(E$1:E301)*(E302=E$1:E301)))))</f>
        <v/>
      </c>
      <c r="L302" s="26"/>
    </row>
    <row r="303" spans="1:12" x14ac:dyDescent="0.3">
      <c r="A303" t="s">
        <v>122</v>
      </c>
      <c r="E303" s="21" t="str">
        <f t="shared" si="22"/>
        <v/>
      </c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23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129</v>
      </c>
      <c r="E304" s="21" t="str">
        <f t="shared" si="22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23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282</v>
      </c>
      <c r="E305" s="21" t="str">
        <f t="shared" si="22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23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283</v>
      </c>
      <c r="B306" s="20" t="s">
        <v>284</v>
      </c>
      <c r="C306" s="20" t="s">
        <v>127</v>
      </c>
      <c r="E306" s="21" t="str">
        <f t="shared" si="22"/>
        <v/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23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211</v>
      </c>
      <c r="E307" s="21" t="str">
        <f t="shared" si="22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23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8" spans="1:12" x14ac:dyDescent="0.3">
      <c r="A308" t="s">
        <v>285</v>
      </c>
      <c r="B308" s="20" t="s">
        <v>286</v>
      </c>
      <c r="C308" s="20" t="s">
        <v>91</v>
      </c>
      <c r="E308" s="21" t="str">
        <f t="shared" si="22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23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09" spans="1:12" x14ac:dyDescent="0.3">
      <c r="A309" t="s">
        <v>150</v>
      </c>
      <c r="E309" s="21" t="str">
        <f t="shared" si="22"/>
        <v/>
      </c>
      <c r="F309" s="22" t="str">
        <f>IF(OR(E309="",E309="!!!"),"",IF(NOT(ISNA(VLOOKUP(E309,E$1:E308,1,FALSE()))),"OLD",IF(AND(E309&lt;&gt;"",E309&lt;&gt;"!!!"),"NEW","")))</f>
        <v/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4" t="str">
        <f t="shared" ca="1" si="23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1" spans="1:12" x14ac:dyDescent="0.3">
      <c r="A311" t="s">
        <v>287</v>
      </c>
    </row>
    <row r="312" spans="1:12" x14ac:dyDescent="0.3">
      <c r="A312" t="s">
        <v>196</v>
      </c>
      <c r="E312" s="21" t="str">
        <f t="shared" ref="E312:E341" si="24">IF(D312="?OLD","!!!","")</f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ref="H312:H341" ca="1" si="25">IF(J312&lt;&gt;1,"",IF(I312="SBJ","CB","?"))</f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227</v>
      </c>
      <c r="B313" s="20" t="s">
        <v>90</v>
      </c>
      <c r="C313" s="20" t="s">
        <v>103</v>
      </c>
      <c r="D313" s="20" t="s">
        <v>104</v>
      </c>
      <c r="E313" s="21" t="s">
        <v>365</v>
      </c>
      <c r="F313" s="22" t="str">
        <f>IF(OR(E313="",E313="!!!"),"",IF(NOT(ISNA(VLOOKUP(E313,E$1:E312,1,FALSE()))),"OLD",IF(AND(E313&lt;&gt;"",E313&lt;&gt;"!!!"),"NEW","")))</f>
        <v>OLD</v>
      </c>
      <c r="G313" s="23" t="s">
        <v>393</v>
      </c>
      <c r="H313" s="24" t="str">
        <f t="shared" ca="1" si="25"/>
        <v/>
      </c>
      <c r="I313" s="25" t="str">
        <f>IF(OR(E313="",E313="!!!",F313="NEW"),"",INDEX(B$2:B312,-1+SUMPRODUCT(MAX(ROW(E$2:E312)*(E313=E$2:E312)))))</f>
        <v>OBJ_2</v>
      </c>
      <c r="J313" s="25">
        <f ca="1">IF(OR(E313="",E313="!!!",F313="NEW"),"",COUNTBLANK(OFFSET(A$1,,,SUMPRODUCT(MAX(ROW(E$2:E313)*(E313=E$2:E313)))))-COUNTBLANK(OFFSET(A$1,,,SUMPRODUCT(MAX(ROW(E$1:E312)*(E2=E$1:E312))))))</f>
        <v>0</v>
      </c>
      <c r="K313" s="25" t="str">
        <f ca="1">IF(OR(E313="",E313="!!!",F313="NEW"),"",INDEX(J$1:J312,SUMPRODUCT(MAX(ROW(E$1:E312)*(E313=E$1:E312)))))</f>
        <v/>
      </c>
      <c r="L313" s="26"/>
    </row>
    <row r="314" spans="1:12" x14ac:dyDescent="0.3">
      <c r="A314" t="s">
        <v>288</v>
      </c>
      <c r="E314" s="21" t="str">
        <f t="shared" si="24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25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144</v>
      </c>
      <c r="B315" s="20" t="s">
        <v>94</v>
      </c>
      <c r="E315" s="21" t="str">
        <f t="shared" si="24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25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112</v>
      </c>
      <c r="E316" s="21" t="str">
        <f t="shared" si="24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25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113</v>
      </c>
      <c r="E317" s="21" t="str">
        <f t="shared" si="24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25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289</v>
      </c>
      <c r="B318" s="20" t="s">
        <v>128</v>
      </c>
      <c r="C318" s="20" t="s">
        <v>103</v>
      </c>
      <c r="D318" s="20" t="s">
        <v>104</v>
      </c>
      <c r="E318" s="21" t="s">
        <v>386</v>
      </c>
      <c r="F318" s="22" t="str">
        <f>IF(OR(E318="",E318="!!!"),"",IF(NOT(ISNA(VLOOKUP(E318,E$1:E317,1,FALSE()))),"OLD",IF(AND(E318&lt;&gt;"",E318&lt;&gt;"!!!"),"NEW","")))</f>
        <v>NEW</v>
      </c>
      <c r="G318" s="23" t="s">
        <v>393</v>
      </c>
      <c r="H318" s="24" t="str">
        <f t="shared" ca="1" si="25"/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19" spans="1:12" x14ac:dyDescent="0.3">
      <c r="A319" t="s">
        <v>290</v>
      </c>
      <c r="E319" s="21" t="str">
        <f t="shared" si="24"/>
        <v/>
      </c>
      <c r="F319" s="22" t="str">
        <f>IF(OR(E319="",E319="!!!"),"",IF(NOT(ISNA(VLOOKUP(E319,E$1:E318,1,FALSE()))),"OLD",IF(AND(E319&lt;&gt;"",E319&lt;&gt;"!!!"),"NEW","")))</f>
        <v/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4" t="str">
        <f t="shared" ca="1" si="25"/>
        <v/>
      </c>
      <c r="I319" s="25" t="str">
        <f>IF(OR(E319="",E319="!!!",F319="NEW"),"",INDEX(B$2:B318,-1+SUMPRODUCT(MAX(ROW(E$2:E318)*(E319=E$2:E318)))))</f>
        <v/>
      </c>
      <c r="J319" s="25" t="str">
        <f ca="1">IF(OR(E319="",E319="!!!",F319="NEW"),"",COUNTBLANK(OFFSET(A$1,,,SUMPRODUCT(MAX(ROW(E$2:E319)*(E319=E$2:E319)))))-COUNTBLANK(OFFSET(A$1,,,SUMPRODUCT(MAX(ROW(E$1:E318)*(E2=E$1:E318))))))</f>
        <v/>
      </c>
      <c r="K319" s="25" t="str">
        <f>IF(OR(E319="",E319="!!!",F319="NEW"),"",INDEX(J$1:J318,SUMPRODUCT(MAX(ROW(E$1:E318)*(E319=E$1:E318)))))</f>
        <v/>
      </c>
      <c r="L319" s="26"/>
    </row>
    <row r="320" spans="1:12" x14ac:dyDescent="0.3">
      <c r="A320" t="s">
        <v>112</v>
      </c>
      <c r="E320" s="21" t="str">
        <f t="shared" si="24"/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t="shared" ca="1" si="25"/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113</v>
      </c>
      <c r="B321" s="20" t="s">
        <v>98</v>
      </c>
      <c r="C321" s="20" t="s">
        <v>143</v>
      </c>
      <c r="D321" s="20" t="s">
        <v>104</v>
      </c>
      <c r="E321" s="21"/>
      <c r="F321" s="22" t="s">
        <v>366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25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142</v>
      </c>
      <c r="B322" s="20" t="s">
        <v>128</v>
      </c>
      <c r="C322" s="20" t="s">
        <v>143</v>
      </c>
      <c r="D322" s="20" t="s">
        <v>104</v>
      </c>
      <c r="E322" s="21" t="s">
        <v>365</v>
      </c>
      <c r="F322" s="22" t="str">
        <f>IF(OR(E322="",E322="!!!"),"",IF(NOT(ISNA(VLOOKUP(E322,E$1:E321,1,FALSE()))),"OLD",IF(AND(E322&lt;&gt;"",E322&lt;&gt;"!!!"),"NEW","")))</f>
        <v>OLD</v>
      </c>
      <c r="G322" s="23" t="s">
        <v>395</v>
      </c>
      <c r="H322" s="24" t="str">
        <f t="shared" ca="1" si="25"/>
        <v/>
      </c>
      <c r="I322" s="25" t="str">
        <f>IF(OR(E322="",E322="!!!",F322="NEW"),"",INDEX(B$2:B321,-1+SUMPRODUCT(MAX(ROW(E$2:E321)*(E322=E$2:E321)))))</f>
        <v>SBJ</v>
      </c>
      <c r="J322" s="25">
        <f ca="1">IF(OR(E322="",E322="!!!",F322="NEW"),"",COUNTBLANK(OFFSET(A$1,,,SUMPRODUCT(MAX(ROW(E$2:E322)*(E322=E$2:E322)))))-COUNTBLANK(OFFSET(A$1,,,SUMPRODUCT(MAX(ROW(E$1:E321)*(E2=E$1:E321))))))</f>
        <v>0</v>
      </c>
      <c r="K322" s="25">
        <f ca="1">IF(OR(E322="",E322="!!!",F322="NEW"),"",INDEX(J$1:J321,SUMPRODUCT(MAX(ROW(E$1:E321)*(E322=E$1:E321)))))</f>
        <v>0</v>
      </c>
      <c r="L322" s="26"/>
    </row>
    <row r="323" spans="1:12" x14ac:dyDescent="0.3">
      <c r="A323" t="s">
        <v>193</v>
      </c>
      <c r="E323" s="21" t="str">
        <f t="shared" si="24"/>
        <v/>
      </c>
      <c r="F323" s="22" t="str">
        <f>IF(OR(E323="",E323="!!!"),"",IF(NOT(ISNA(VLOOKUP(E323,E$1:E322,1,FALSE()))),"OLD",IF(AND(E323&lt;&gt;"",E323&lt;&gt;"!!!"),"NEW","")))</f>
        <v/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ca="1" si="25"/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131</v>
      </c>
      <c r="E324" s="21" t="str">
        <f t="shared" si="24"/>
        <v/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25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291</v>
      </c>
      <c r="B325" s="20" t="s">
        <v>98</v>
      </c>
      <c r="C325" s="20" t="s">
        <v>103</v>
      </c>
      <c r="D325" s="20" t="s">
        <v>104</v>
      </c>
      <c r="E325" s="21"/>
      <c r="F325" s="22" t="s">
        <v>370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ca="1" si="25"/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292</v>
      </c>
      <c r="E326" s="21" t="str">
        <f t="shared" si="24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25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293</v>
      </c>
      <c r="E327" s="21" t="str">
        <f t="shared" si="24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25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112</v>
      </c>
      <c r="E328" s="21" t="str">
        <f t="shared" si="24"/>
        <v/>
      </c>
      <c r="F328" s="22" t="str">
        <f>IF(OR(E328="",E328="!!!"),"",IF(NOT(ISNA(VLOOKUP(E328,E$1:E327,1,FALSE()))),"OLD",IF(AND(E328&lt;&gt;"",E328&lt;&gt;"!!!"),"NEW","")))</f>
        <v/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4" t="str">
        <f t="shared" ca="1" si="25"/>
        <v/>
      </c>
      <c r="I328" s="25" t="str">
        <f>IF(OR(E328="",E328="!!!",F328="NEW"),"",INDEX(B$2:B327,-1+SUMPRODUCT(MAX(ROW(E$2:E327)*(E328=E$2:E327)))))</f>
        <v/>
      </c>
      <c r="J328" s="25" t="str">
        <f ca="1">IF(OR(E328="",E328="!!!",F328="NEW"),"",COUNTBLANK(OFFSET(A$1,,,SUMPRODUCT(MAX(ROW(E$2:E328)*(E328=E$2:E328)))))-COUNTBLANK(OFFSET(A$1,,,SUMPRODUCT(MAX(ROW(E$1:E327)*(E2=E$1:E327))))))</f>
        <v/>
      </c>
      <c r="K328" s="25" t="str">
        <f>IF(OR(E328="",E328="!!!",F328="NEW"),"",INDEX(J$1:J327,SUMPRODUCT(MAX(ROW(E$1:E327)*(E328=E$1:E327)))))</f>
        <v/>
      </c>
      <c r="L328" s="26"/>
    </row>
    <row r="329" spans="1:12" x14ac:dyDescent="0.3">
      <c r="A329" t="s">
        <v>198</v>
      </c>
      <c r="E329" s="21" t="str">
        <f t="shared" si="24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25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113</v>
      </c>
      <c r="E330" s="21" t="str">
        <f t="shared" si="24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25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133</v>
      </c>
      <c r="B331" s="20" t="s">
        <v>114</v>
      </c>
      <c r="C331" s="20" t="s">
        <v>103</v>
      </c>
      <c r="D331" s="20" t="s">
        <v>104</v>
      </c>
      <c r="E331" s="21" t="s">
        <v>391</v>
      </c>
      <c r="F331" s="22" t="s">
        <v>380</v>
      </c>
      <c r="G331" s="23" t="s">
        <v>396</v>
      </c>
      <c r="H331" s="24" t="str">
        <f t="shared" ca="1" si="25"/>
        <v/>
      </c>
      <c r="I331" s="25" t="e">
        <f>IF(OR(E331="",E331="!!!",F331="NEW"),"",INDEX(B$2:B330,-1+SUMPRODUCT(MAX(ROW(E$2:E330)*(E331=E$2:E330)))))</f>
        <v>#VALUE!</v>
      </c>
      <c r="J331" s="25">
        <f ca="1">IF(OR(E331="",E331="!!!",F331="NEW"),"",COUNTBLANK(OFFSET(A$1,,,SUMPRODUCT(MAX(ROW(E$2:E331)*(E331=E$2:E331)))))-COUNTBLANK(OFFSET(A$1,,,SUMPRODUCT(MAX(ROW(E$1:E330)*(E2=E$1:E330))))))</f>
        <v>0</v>
      </c>
      <c r="K331" s="25" t="e">
        <f>IF(OR(E331="",E331="!!!",F331="NEW"),"",INDEX(J$1:J330,SUMPRODUCT(MAX(ROW(E$1:E330)*(E331=E$1:E330)))))</f>
        <v>#VALUE!</v>
      </c>
      <c r="L331" s="26"/>
    </row>
    <row r="332" spans="1:12" x14ac:dyDescent="0.3">
      <c r="A332" t="s">
        <v>294</v>
      </c>
      <c r="E332" s="21" t="str">
        <f t="shared" si="24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25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140</v>
      </c>
      <c r="E333" s="21" t="str">
        <f t="shared" si="24"/>
        <v/>
      </c>
      <c r="F333" s="22" t="str">
        <f>IF(OR(E333="",E333="!!!"),"",IF(NOT(ISNA(VLOOKUP(E333,E$1:E332,1,FALSE()))),"OLD",IF(AND(E333&lt;&gt;"",E333&lt;&gt;"!!!"),"NEW","")))</f>
        <v/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t="shared" ca="1" si="25"/>
        <v/>
      </c>
      <c r="I333" s="25" t="str">
        <f>IF(OR(E333="",E333="!!!",F333="NEW"),"",INDEX(B$2:B332,-1+SUMPRODUCT(MAX(ROW(E$2:E332)*(E333=E$2:E332)))))</f>
        <v/>
      </c>
      <c r="J333" s="25" t="str">
        <f ca="1">IF(OR(E333="",E333="!!!",F333="NEW"),"",COUNTBLANK(OFFSET(A$1,,,SUMPRODUCT(MAX(ROW(E$2:E333)*(E333=E$2:E333)))))-COUNTBLANK(OFFSET(A$1,,,SUMPRODUCT(MAX(ROW(E$1:E332)*(E2=E$1:E332))))))</f>
        <v/>
      </c>
      <c r="K333" s="25" t="str">
        <f>IF(OR(E333="",E333="!!!",F333="NEW"),"",INDEX(J$1:J332,SUMPRODUCT(MAX(ROW(E$1:E332)*(E333=E$1:E332)))))</f>
        <v/>
      </c>
      <c r="L333" s="26"/>
    </row>
    <row r="334" spans="1:12" x14ac:dyDescent="0.3">
      <c r="A334" t="s">
        <v>122</v>
      </c>
      <c r="E334" s="21" t="str">
        <f t="shared" si="24"/>
        <v/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ca="1" si="25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137</v>
      </c>
      <c r="E335" s="21" t="str">
        <f t="shared" si="24"/>
        <v/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25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100</v>
      </c>
      <c r="E336" s="21" t="str">
        <f t="shared" si="24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25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295</v>
      </c>
      <c r="E337" s="21" t="str">
        <f t="shared" si="24"/>
        <v/>
      </c>
      <c r="F337" s="22" t="str">
        <f>IF(OR(E337="",E337="!!!"),"",IF(NOT(ISNA(VLOOKUP(E337,E$1:E336,1,FALSE()))),"OLD",IF(AND(E337&lt;&gt;"",E337&lt;&gt;"!!!"),"NEW","")))</f>
        <v/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t="shared" ca="1" si="25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8" spans="1:12" x14ac:dyDescent="0.3">
      <c r="A338" t="s">
        <v>296</v>
      </c>
      <c r="B338" s="20" t="s">
        <v>106</v>
      </c>
      <c r="C338" s="20" t="s">
        <v>103</v>
      </c>
      <c r="D338" s="20" t="s">
        <v>104</v>
      </c>
      <c r="E338" s="21" t="s">
        <v>359</v>
      </c>
      <c r="F338" s="22" t="str">
        <f>IF(OR(E338="",E338="!!!"),"",IF(NOT(ISNA(VLOOKUP(E338,E$1:E337,1,FALSE()))),"OLD",IF(AND(E338&lt;&gt;"",E338&lt;&gt;"!!!"),"NEW","")))</f>
        <v>OLD</v>
      </c>
      <c r="G338" s="23" t="s">
        <v>395</v>
      </c>
      <c r="H338" s="24" t="s">
        <v>84</v>
      </c>
      <c r="I338" s="25" t="str">
        <f>IF(OR(E338="",E338="!!!",F338="NEW"),"",INDEX(B$2:B337,-1+SUMPRODUCT(MAX(ROW(E$2:E337)*(E338=E$2:E337)))))</f>
        <v>SBJ_2</v>
      </c>
      <c r="J338" s="25">
        <f ca="1">IF(OR(E338="",E338="!!!",F338="NEW"),"",COUNTBLANK(OFFSET(A$1,,,SUMPRODUCT(MAX(ROW(E$2:E338)*(E338=E$2:E338)))))-COUNTBLANK(OFFSET(A$1,,,SUMPRODUCT(MAX(ROW(E$1:E337)*(E2=E$1:E337))))))</f>
        <v>0</v>
      </c>
      <c r="K338" s="25">
        <f ca="1">IF(OR(E338="",E338="!!!",F338="NEW"),"",INDEX(J$1:J337,SUMPRODUCT(MAX(ROW(E$1:E337)*(E338=E$1:E337)))))</f>
        <v>0</v>
      </c>
      <c r="L338" s="26"/>
    </row>
    <row r="339" spans="1:12" x14ac:dyDescent="0.3">
      <c r="A339" t="s">
        <v>297</v>
      </c>
      <c r="E339" s="21" t="str">
        <f t="shared" si="24"/>
        <v/>
      </c>
      <c r="F339" s="22" t="str">
        <f>IF(OR(E339="",E339="!!!"),"",IF(NOT(ISNA(VLOOKUP(E339,E$1:E338,1,FALSE()))),"OLD",IF(AND(E339&lt;&gt;"",E339&lt;&gt;"!!!"),"NEW","")))</f>
        <v/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4" t="str">
        <f t="shared" ca="1" si="25"/>
        <v/>
      </c>
      <c r="I339" s="25" t="str">
        <f>IF(OR(E339="",E339="!!!",F339="NEW"),"",INDEX(B$2:B338,-1+SUMPRODUCT(MAX(ROW(E$2:E338)*(E339=E$2:E338)))))</f>
        <v/>
      </c>
      <c r="J339" s="25" t="str">
        <f ca="1">IF(OR(E339="",E339="!!!",F339="NEW"),"",COUNTBLANK(OFFSET(A$1,,,SUMPRODUCT(MAX(ROW(E$2:E339)*(E339=E$2:E339)))))-COUNTBLANK(OFFSET(A$1,,,SUMPRODUCT(MAX(ROW(E$1:E338)*(E2=E$1:E338))))))</f>
        <v/>
      </c>
      <c r="K339" s="25" t="str">
        <f>IF(OR(E339="",E339="!!!",F339="NEW"),"",INDEX(J$1:J338,SUMPRODUCT(MAX(ROW(E$1:E338)*(E339=E$1:E338)))))</f>
        <v/>
      </c>
      <c r="L339" s="26"/>
    </row>
    <row r="340" spans="1:12" x14ac:dyDescent="0.3">
      <c r="A340" t="s">
        <v>119</v>
      </c>
      <c r="E340" s="21" t="str">
        <f t="shared" si="24"/>
        <v/>
      </c>
      <c r="F340" s="22" t="str">
        <f>IF(OR(E340="",E340="!!!"),"",IF(NOT(ISNA(VLOOKUP(E340,E$1:E339,1,FALSE()))),"OLD",IF(AND(E340&lt;&gt;"",E340&lt;&gt;"!!!"),"NEW","")))</f>
        <v/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t="shared" ca="1" si="25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150</v>
      </c>
      <c r="E341" s="21" t="str">
        <f t="shared" si="24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25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3" spans="1:12" x14ac:dyDescent="0.3">
      <c r="A343" t="s">
        <v>298</v>
      </c>
    </row>
    <row r="344" spans="1:12" x14ac:dyDescent="0.3">
      <c r="A344" t="s">
        <v>157</v>
      </c>
      <c r="B344" s="20" t="s">
        <v>90</v>
      </c>
      <c r="C344" s="20" t="s">
        <v>117</v>
      </c>
      <c r="D344" s="20" t="s">
        <v>104</v>
      </c>
      <c r="E344" s="21" t="s">
        <v>355</v>
      </c>
      <c r="F344" s="22" t="str">
        <f>IF(OR(E344="",E344="!!!"),"",IF(NOT(ISNA(VLOOKUP(E344,E$1:E343,1,FALSE()))),"OLD",IF(AND(E344&lt;&gt;"",E344&lt;&gt;"!!!"),"NEW","")))</f>
        <v>OLD</v>
      </c>
      <c r="G344" s="23" t="s">
        <v>393</v>
      </c>
      <c r="H344" s="24" t="str">
        <f t="shared" ref="H344:H356" ca="1" si="26">IF(J344&lt;&gt;1,"",IF(I344="SBJ","CB","?"))</f>
        <v/>
      </c>
      <c r="I344" s="25" t="str">
        <f>IF(OR(E344="",E344="!!!",F344="NEW"),"",INDEX(B$2:B343,-1+SUMPRODUCT(MAX(ROW(E$2:E343)*(E344=E$2:E343)))))</f>
        <v>other_2</v>
      </c>
      <c r="J344" s="25">
        <f ca="1">IF(OR(E344="",E344="!!!",F344="NEW"),"",COUNTBLANK(OFFSET(A$1,,,SUMPRODUCT(MAX(ROW(E$2:E344)*(E344=E$2:E344)))))-COUNTBLANK(OFFSET(A$1,,,SUMPRODUCT(MAX(ROW(E$1:E343)*(E2=E$1:E343))))))</f>
        <v>0</v>
      </c>
      <c r="K344" s="25">
        <f ca="1">IF(OR(E344="",E344="!!!",F344="NEW"),"",INDEX(J$1:J343,SUMPRODUCT(MAX(ROW(E$1:E343)*(E344=E$1:E343)))))</f>
        <v>0</v>
      </c>
      <c r="L344" s="26"/>
    </row>
    <row r="345" spans="1:12" x14ac:dyDescent="0.3">
      <c r="A345" t="s">
        <v>112</v>
      </c>
      <c r="E345" s="21" t="str">
        <f t="shared" ref="E345:E356" si="27">IF(D345="?OLD","!!!","")</f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26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299</v>
      </c>
      <c r="E346" s="21" t="str">
        <f t="shared" si="27"/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26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7" spans="1:12" x14ac:dyDescent="0.3">
      <c r="A347" t="s">
        <v>112</v>
      </c>
      <c r="E347" s="21" t="str">
        <f t="shared" si="27"/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t="shared" ca="1" si="26"/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300</v>
      </c>
      <c r="E348" s="21" t="str">
        <f t="shared" si="27"/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t="shared" ca="1" si="26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301</v>
      </c>
      <c r="E349" s="21" t="str">
        <f t="shared" si="27"/>
        <v/>
      </c>
      <c r="F349" s="22" t="str">
        <f>IF(OR(E349="",E349="!!!"),"",IF(NOT(ISNA(VLOOKUP(E349,E$1:E348,1,FALSE()))),"OLD",IF(AND(E349&lt;&gt;"",E349&lt;&gt;"!!!"),"NEW","")))</f>
        <v/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t="shared" ca="1" si="26"/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302</v>
      </c>
      <c r="E350" s="21" t="s">
        <v>355</v>
      </c>
      <c r="F350" s="22" t="str">
        <f>IF(OR(E350="",E350="!!!"),"",IF(NOT(ISNA(VLOOKUP(E350,E$1:E349,1,FALSE()))),"OLD",IF(AND(E350&lt;&gt;"",E350&lt;&gt;"!!!"),"NEW","")))</f>
        <v>OLD</v>
      </c>
      <c r="G350" s="23" t="s">
        <v>395</v>
      </c>
      <c r="H350" s="24" t="str">
        <f t="shared" ca="1" si="26"/>
        <v/>
      </c>
      <c r="I350" s="25" t="str">
        <f>IF(OR(E350="",E350="!!!",F350="NEW"),"",INDEX(B$2:B349,-1+SUMPRODUCT(MAX(ROW(E$2:E349)*(E350=E$2:E349)))))</f>
        <v>SBJ</v>
      </c>
      <c r="J350" s="25">
        <f ca="1">IF(OR(E350="",E350="!!!",F350="NEW"),"",COUNTBLANK(OFFSET(A$1,,,SUMPRODUCT(MAX(ROW(E$2:E350)*(E350=E$2:E350)))))-COUNTBLANK(OFFSET(A$1,,,SUMPRODUCT(MAX(ROW(E$1:E349)*(E2=E$1:E349))))))</f>
        <v>0</v>
      </c>
      <c r="K350" s="25">
        <f ca="1">IF(OR(E350="",E350="!!!",F350="NEW"),"",INDEX(J$1:J349,SUMPRODUCT(MAX(ROW(E$1:E349)*(E350=E$1:E349)))))</f>
        <v>0</v>
      </c>
      <c r="L350" s="26" t="s">
        <v>367</v>
      </c>
    </row>
    <row r="351" spans="1:12" x14ac:dyDescent="0.3">
      <c r="A351" t="s">
        <v>303</v>
      </c>
      <c r="B351" s="20" t="s">
        <v>111</v>
      </c>
      <c r="C351" s="20" t="s">
        <v>304</v>
      </c>
      <c r="E351" s="21" t="s">
        <v>368</v>
      </c>
      <c r="F351" s="22" t="str">
        <f>IF(OR(E351="",E351="!!!"),"",IF(NOT(ISNA(VLOOKUP(E351,E$1:E350,1,FALSE()))),"OLD",IF(AND(E351&lt;&gt;"",E351&lt;&gt;"!!!"),"NEW","")))</f>
        <v>NEW</v>
      </c>
      <c r="G351" s="23" t="s">
        <v>394</v>
      </c>
      <c r="H351" s="24" t="str">
        <f t="shared" ca="1" si="26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305</v>
      </c>
      <c r="E352" s="21" t="str">
        <f t="shared" si="27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26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122</v>
      </c>
      <c r="E353" s="21" t="str">
        <f t="shared" si="27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26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306</v>
      </c>
      <c r="E354" s="21" t="str">
        <f t="shared" si="27"/>
        <v/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26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5" spans="1:12" x14ac:dyDescent="0.3">
      <c r="A355" t="s">
        <v>307</v>
      </c>
      <c r="E355" s="21" t="str">
        <f t="shared" si="27"/>
        <v/>
      </c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26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/>
    </row>
    <row r="356" spans="1:12" x14ac:dyDescent="0.3">
      <c r="A356" t="s">
        <v>150</v>
      </c>
      <c r="E356" s="21" t="str">
        <f t="shared" si="27"/>
        <v/>
      </c>
      <c r="F356" s="22" t="str">
        <f>IF(OR(E356="",E356="!!!"),"",IF(NOT(ISNA(VLOOKUP(E356,E$1:E355,1,FALSE()))),"OLD",IF(AND(E356&lt;&gt;"",E356&lt;&gt;"!!!"),"NEW","")))</f>
        <v/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4" t="str">
        <f t="shared" ca="1" si="26"/>
        <v/>
      </c>
      <c r="I356" s="25" t="str">
        <f>IF(OR(E356="",E356="!!!",F356="NEW"),"",INDEX(B$2:B355,-1+SUMPRODUCT(MAX(ROW(E$2:E355)*(E356=E$2:E355)))))</f>
        <v/>
      </c>
      <c r="J356" s="25" t="str">
        <f ca="1">IF(OR(E356="",E356="!!!",F356="NEW"),"",COUNTBLANK(OFFSET(A$1,,,SUMPRODUCT(MAX(ROW(E$2:E356)*(E356=E$2:E356)))))-COUNTBLANK(OFFSET(A$1,,,SUMPRODUCT(MAX(ROW(E$1:E355)*(E2=E$1:E355))))))</f>
        <v/>
      </c>
      <c r="K356" s="25" t="str">
        <f>IF(OR(E356="",E356="!!!",F356="NEW"),"",INDEX(J$1:J355,SUMPRODUCT(MAX(ROW(E$1:E355)*(E356=E$1:E355)))))</f>
        <v/>
      </c>
      <c r="L356" s="26"/>
    </row>
    <row r="358" spans="1:12" x14ac:dyDescent="0.3">
      <c r="A358" t="s">
        <v>308</v>
      </c>
    </row>
    <row r="359" spans="1:12" x14ac:dyDescent="0.3">
      <c r="A359" t="s">
        <v>154</v>
      </c>
      <c r="B359" s="20" t="s">
        <v>90</v>
      </c>
      <c r="E359" s="21" t="s">
        <v>354</v>
      </c>
      <c r="F359" s="22" t="str">
        <f>IF(OR(E359="",E359="!!!"),"",IF(NOT(ISNA(VLOOKUP(E359,E$1:E358,1,FALSE()))),"OLD",IF(AND(E359&lt;&gt;"",E359&lt;&gt;"!!!"),"NEW","")))</f>
        <v>OLD</v>
      </c>
      <c r="G359" s="23" t="s">
        <v>393</v>
      </c>
      <c r="H359" s="24" t="str">
        <f t="shared" ref="H359:H371" ca="1" si="28">IF(J359&lt;&gt;1,"",IF(I359="SBJ","CB","?"))</f>
        <v/>
      </c>
      <c r="I359" s="25" t="str">
        <f>IF(OR(E359="",E359="!!!",F359="NEW"),"",INDEX(B$2:B358,-1+SUMPRODUCT(MAX(ROW(E$2:E358)*(E359=E$2:E358)))))</f>
        <v>SBJ</v>
      </c>
      <c r="J359" s="25">
        <f ca="1">IF(OR(E359="",E359="!!!",F359="NEW"),"",COUNTBLANK(OFFSET(A$1,,,SUMPRODUCT(MAX(ROW(E$2:E359)*(E359=E$2:E359)))))-COUNTBLANK(OFFSET(A$1,,,SUMPRODUCT(MAX(ROW(E$1:E358)*(E2=E$1:E358))))))</f>
        <v>0</v>
      </c>
      <c r="K359" s="25" t="str">
        <f ca="1">IF(OR(E359="",E359="!!!",F359="NEW"),"",INDEX(J$1:J358,SUMPRODUCT(MAX(ROW(E$1:E358)*(E359=E$1:E358)))))</f>
        <v/>
      </c>
      <c r="L359" s="26"/>
    </row>
    <row r="360" spans="1:12" x14ac:dyDescent="0.3">
      <c r="A360" t="s">
        <v>112</v>
      </c>
      <c r="E360" s="21" t="str">
        <f t="shared" ref="E360:E371" si="29">IF(D360="?OLD","!!!","")</f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28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309</v>
      </c>
      <c r="E361" s="21" t="str">
        <f t="shared" si="29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28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112</v>
      </c>
      <c r="E362" s="21" t="str">
        <f t="shared" si="29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28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122</v>
      </c>
      <c r="E363" s="21" t="str">
        <f t="shared" si="29"/>
        <v/>
      </c>
      <c r="F363" s="22" t="str">
        <f>IF(OR(E363="",E363="!!!"),"",IF(NOT(ISNA(VLOOKUP(E363,E$1:E362,1,FALSE()))),"OLD",IF(AND(E363&lt;&gt;"",E363&lt;&gt;"!!!"),"NEW","")))</f>
        <v/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t="shared" ca="1" si="28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/>
    </row>
    <row r="364" spans="1:12" x14ac:dyDescent="0.3">
      <c r="A364" t="s">
        <v>157</v>
      </c>
      <c r="B364" s="20" t="s">
        <v>98</v>
      </c>
      <c r="C364" s="20" t="s">
        <v>117</v>
      </c>
      <c r="D364" s="20" t="s">
        <v>104</v>
      </c>
      <c r="E364" s="21" t="s">
        <v>355</v>
      </c>
      <c r="F364" s="22" t="str">
        <f>IF(OR(E364="",E364="!!!"),"",IF(NOT(ISNA(VLOOKUP(E364,E$1:E363,1,FALSE()))),"OLD",IF(AND(E364&lt;&gt;"",E364&lt;&gt;"!!!"),"NEW","")))</f>
        <v>OLD</v>
      </c>
      <c r="G364" s="23" t="s">
        <v>395</v>
      </c>
      <c r="H364" s="24" t="s">
        <v>84</v>
      </c>
      <c r="I364" s="25">
        <f>IF(OR(E364="",E364="!!!",F364="NEW"),"",INDEX(B$2:B363,-1+SUMPRODUCT(MAX(ROW(E$2:E363)*(E364=E$2:E363)))))</f>
        <v>0</v>
      </c>
      <c r="J364" s="25">
        <f ca="1">IF(OR(E364="",E364="!!!",F364="NEW"),"",COUNTBLANK(OFFSET(A$1,,,SUMPRODUCT(MAX(ROW(E$2:E364)*(E364=E$2:E364)))))-COUNTBLANK(OFFSET(A$1,,,SUMPRODUCT(MAX(ROW(E$1:E363)*(E2=E$1:E363))))))</f>
        <v>0</v>
      </c>
      <c r="K364" s="25">
        <f ca="1">IF(OR(E364="",E364="!!!",F364="NEW"),"",INDEX(J$1:J363,SUMPRODUCT(MAX(ROW(E$1:E363)*(E364=E$1:E363)))))</f>
        <v>0</v>
      </c>
      <c r="L364" s="26"/>
    </row>
    <row r="365" spans="1:12" x14ac:dyDescent="0.3">
      <c r="A365" t="s">
        <v>159</v>
      </c>
      <c r="B365" s="20" t="s">
        <v>102</v>
      </c>
      <c r="C365" s="20" t="s">
        <v>117</v>
      </c>
      <c r="D365" s="20" t="s">
        <v>104</v>
      </c>
      <c r="E365" s="21"/>
      <c r="F365" s="22" t="s">
        <v>357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28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160</v>
      </c>
      <c r="E366" s="21" t="s">
        <v>356</v>
      </c>
      <c r="F366" s="22" t="str">
        <f>IF(OR(E366="",E366="!!!"),"",IF(NOT(ISNA(VLOOKUP(E366,E$1:E365,1,FALSE()))),"OLD",IF(AND(E366&lt;&gt;"",E366&lt;&gt;"!!!"),"NEW","")))</f>
        <v>OLD</v>
      </c>
      <c r="G366" s="23" t="s">
        <v>393</v>
      </c>
      <c r="H366" s="24" t="str">
        <f t="shared" ca="1" si="28"/>
        <v/>
      </c>
      <c r="I366" s="25">
        <f>IF(OR(E366="",E366="!!!",F366="NEW"),"",INDEX(B$2:B365,-1+SUMPRODUCT(MAX(ROW(E$2:E365)*(E366=E$2:E365)))))</f>
        <v>0</v>
      </c>
      <c r="J366" s="25">
        <f ca="1">IF(OR(E366="",E366="!!!",F366="NEW"),"",COUNTBLANK(OFFSET(A$1,,,SUMPRODUCT(MAX(ROW(E$2:E366)*(E366=E$2:E366)))))-COUNTBLANK(OFFSET(A$1,,,SUMPRODUCT(MAX(ROW(E$1:E365)*(E2=E$1:E365))))))</f>
        <v>0</v>
      </c>
      <c r="K366" s="25">
        <f ca="1">IF(OR(E366="",E366="!!!",F366="NEW"),"",INDEX(J$1:J365,SUMPRODUCT(MAX(ROW(E$1:E365)*(E366=E$1:E365)))))</f>
        <v>0</v>
      </c>
      <c r="L366" s="26"/>
    </row>
    <row r="367" spans="1:12" x14ac:dyDescent="0.3">
      <c r="A367" t="s">
        <v>64</v>
      </c>
      <c r="E367" s="21" t="str">
        <f t="shared" si="29"/>
        <v/>
      </c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28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310</v>
      </c>
      <c r="E368" s="21" t="str">
        <f t="shared" si="29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28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258</v>
      </c>
      <c r="E369" s="21" t="str">
        <f t="shared" si="29"/>
        <v/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28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311</v>
      </c>
      <c r="B370" s="20" t="s">
        <v>111</v>
      </c>
      <c r="C370" s="20" t="s">
        <v>91</v>
      </c>
      <c r="E370" s="21" t="str">
        <f t="shared" si="29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28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150</v>
      </c>
      <c r="E371" s="21" t="str">
        <f t="shared" si="29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28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3" spans="1:12" x14ac:dyDescent="0.3">
      <c r="A373" t="s">
        <v>312</v>
      </c>
    </row>
    <row r="374" spans="1:12" x14ac:dyDescent="0.3">
      <c r="A374" t="s">
        <v>313</v>
      </c>
      <c r="E374" s="21" t="str">
        <f t="shared" ref="E374:E399" si="30">IF(D374="?OLD","!!!","")</f>
        <v/>
      </c>
      <c r="F374" s="22" t="str">
        <f>IF(OR(E374="",E374="!!!"),"",IF(NOT(ISNA(VLOOKUP(E374,E$1:E373,1,FALSE()))),"OLD",IF(AND(E374&lt;&gt;"",E374&lt;&gt;"!!!"),"NEW","")))</f>
        <v/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4" t="str">
        <f t="shared" ref="H374:H399" ca="1" si="31">IF(J374&lt;&gt;1,"",IF(I374="SBJ","CB","?"))</f>
        <v/>
      </c>
      <c r="I374" s="25" t="str">
        <f>IF(OR(E374="",E374="!!!",F374="NEW"),"",INDEX(B$2:B373,-1+SUMPRODUCT(MAX(ROW(E$2:E373)*(E374=E$2:E373)))))</f>
        <v/>
      </c>
      <c r="J374" s="25" t="str">
        <f ca="1">IF(OR(E374="",E374="!!!",F374="NEW"),"",COUNTBLANK(OFFSET(A$1,,,SUMPRODUCT(MAX(ROW(E$2:E374)*(E374=E$2:E374)))))-COUNTBLANK(OFFSET(A$1,,,SUMPRODUCT(MAX(ROW(E$1:E373)*(E2=E$1:E373))))))</f>
        <v/>
      </c>
      <c r="K374" s="25" t="str">
        <f>IF(OR(E374="",E374="!!!",F374="NEW"),"",INDEX(J$1:J373,SUMPRODUCT(MAX(ROW(E$1:E373)*(E374=E$1:E373)))))</f>
        <v/>
      </c>
      <c r="L374" s="26"/>
    </row>
    <row r="375" spans="1:12" x14ac:dyDescent="0.3">
      <c r="A375" t="s">
        <v>314</v>
      </c>
      <c r="B375" s="20" t="s">
        <v>90</v>
      </c>
      <c r="C375" s="20" t="s">
        <v>127</v>
      </c>
      <c r="E375" s="21" t="str">
        <f t="shared" si="30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31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197</v>
      </c>
      <c r="E376" s="21" t="str">
        <f t="shared" si="30"/>
        <v/>
      </c>
      <c r="F376" s="22" t="str">
        <f>IF(OR(E376="",E376="!!!"),"",IF(NOT(ISNA(VLOOKUP(E376,E$1:E375,1,FALSE()))),"OLD",IF(AND(E376&lt;&gt;"",E376&lt;&gt;"!!!"),"NEW","")))</f>
        <v/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t="shared" ca="1" si="31"/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7" spans="1:12" x14ac:dyDescent="0.3">
      <c r="A377" t="s">
        <v>131</v>
      </c>
      <c r="E377" s="21" t="str">
        <f t="shared" si="30"/>
        <v/>
      </c>
      <c r="F377" s="22" t="str">
        <f>IF(OR(E377="",E377="!!!"),"",IF(NOT(ISNA(VLOOKUP(E377,E$1:E376,1,FALSE()))),"OLD",IF(AND(E377&lt;&gt;"",E377&lt;&gt;"!!!"),"NEW","")))</f>
        <v/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4" t="str">
        <f t="shared" ca="1" si="31"/>
        <v/>
      </c>
      <c r="I377" s="25" t="str">
        <f>IF(OR(E377="",E377="!!!",F377="NEW"),"",INDEX(B$2:B376,-1+SUMPRODUCT(MAX(ROW(E$2:E376)*(E377=E$2:E376)))))</f>
        <v/>
      </c>
      <c r="J377" s="25" t="str">
        <f ca="1">IF(OR(E377="",E377="!!!",F377="NEW"),"",COUNTBLANK(OFFSET(A$1,,,SUMPRODUCT(MAX(ROW(E$2:E377)*(E377=E$2:E377)))))-COUNTBLANK(OFFSET(A$1,,,SUMPRODUCT(MAX(ROW(E$1:E376)*(E2=E$1:E376))))))</f>
        <v/>
      </c>
      <c r="K377" s="25" t="str">
        <f>IF(OR(E377="",E377="!!!",F377="NEW"),"",INDEX(J$1:J376,SUMPRODUCT(MAX(ROW(E$1:E376)*(E377=E$1:E376)))))</f>
        <v/>
      </c>
      <c r="L377" s="26"/>
    </row>
    <row r="378" spans="1:12" x14ac:dyDescent="0.3">
      <c r="A378" t="s">
        <v>89</v>
      </c>
      <c r="B378" s="20" t="s">
        <v>94</v>
      </c>
      <c r="C378" s="20" t="s">
        <v>103</v>
      </c>
      <c r="D378" s="20" t="s">
        <v>104</v>
      </c>
      <c r="E378" s="21" t="s">
        <v>360</v>
      </c>
      <c r="F378" s="22" t="str">
        <f>IF(OR(E378="",E378="!!!"),"",IF(NOT(ISNA(VLOOKUP(E378,E$1:E377,1,FALSE()))),"OLD",IF(AND(E378&lt;&gt;"",E378&lt;&gt;"!!!"),"NEW","")))</f>
        <v>OLD</v>
      </c>
      <c r="G378" s="23" t="s">
        <v>393</v>
      </c>
      <c r="H378" s="24" t="str">
        <f t="shared" ca="1" si="31"/>
        <v/>
      </c>
      <c r="I378" s="25" t="str">
        <f>IF(OR(E378="",E378="!!!",F378="NEW"),"",INDEX(B$2:B377,-1+SUMPRODUCT(MAX(ROW(E$2:E377)*(E378=E$2:E377)))))</f>
        <v>SBJ</v>
      </c>
      <c r="J378" s="25">
        <f ca="1">IF(OR(E378="",E378="!!!",F378="NEW"),"",COUNTBLANK(OFFSET(A$1,,,SUMPRODUCT(MAX(ROW(E$2:E378)*(E378=E$2:E378)))))-COUNTBLANK(OFFSET(A$1,,,SUMPRODUCT(MAX(ROW(E$1:E377)*(E2=E$1:E377))))))</f>
        <v>0</v>
      </c>
      <c r="K378" s="25">
        <f ca="1">IF(OR(E378="",E378="!!!",F378="NEW"),"",INDEX(J$1:J377,SUMPRODUCT(MAX(ROW(E$1:E377)*(E378=E$1:E377)))))</f>
        <v>0</v>
      </c>
      <c r="L378" s="26"/>
    </row>
    <row r="379" spans="1:12" x14ac:dyDescent="0.3">
      <c r="A379" t="s">
        <v>188</v>
      </c>
      <c r="E379" s="21" t="str">
        <f t="shared" si="30"/>
        <v/>
      </c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31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112</v>
      </c>
      <c r="E380" s="21" t="str">
        <f t="shared" si="30"/>
        <v/>
      </c>
      <c r="F380" s="22" t="str">
        <f>IF(OR(E380="",E380="!!!"),"",IF(NOT(ISNA(VLOOKUP(E380,E$1:E379,1,FALSE()))),"OLD",IF(AND(E380&lt;&gt;"",E380&lt;&gt;"!!!"),"NEW","")))</f>
        <v/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31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198</v>
      </c>
      <c r="E381" s="21" t="str">
        <f t="shared" si="30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31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315</v>
      </c>
      <c r="B382" s="20" t="s">
        <v>128</v>
      </c>
      <c r="C382" s="20" t="s">
        <v>180</v>
      </c>
      <c r="D382" s="20" t="s">
        <v>104</v>
      </c>
      <c r="E382" s="21"/>
      <c r="F382" s="22" t="s">
        <v>369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31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316</v>
      </c>
      <c r="E383" s="21" t="str">
        <f t="shared" si="30"/>
        <v/>
      </c>
      <c r="F383" s="22" t="str">
        <f>IF(OR(E383="",E383="!!!"),"",IF(NOT(ISNA(VLOOKUP(E383,E$1:E382,1,FALSE()))),"OLD",IF(AND(E383&lt;&gt;"",E383&lt;&gt;"!!!"),"NEW","")))</f>
        <v/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t="shared" ca="1" si="31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/>
    </row>
    <row r="384" spans="1:12" x14ac:dyDescent="0.3">
      <c r="A384" t="s">
        <v>142</v>
      </c>
      <c r="B384" s="20" t="s">
        <v>98</v>
      </c>
      <c r="C384" s="20" t="s">
        <v>143</v>
      </c>
      <c r="D384" s="20" t="s">
        <v>104</v>
      </c>
      <c r="E384" s="21" t="s">
        <v>350</v>
      </c>
      <c r="F384" s="22" t="str">
        <f>IF(OR(E384="",E384="!!!"),"",IF(NOT(ISNA(VLOOKUP(E384,E$1:E383,1,FALSE()))),"OLD",IF(AND(E384&lt;&gt;"",E384&lt;&gt;"!!!"),"NEW","")))</f>
        <v>OLD</v>
      </c>
      <c r="G384" s="23" t="s">
        <v>396</v>
      </c>
      <c r="H384" s="24" t="s">
        <v>84</v>
      </c>
      <c r="I384" s="25" t="str">
        <f>IF(OR(E384="",E384="!!!",F384="NEW"),"",INDEX(B$2:B383,-1+SUMPRODUCT(MAX(ROW(E$2:E383)*(E384=E$2:E383)))))</f>
        <v>OBJ_2</v>
      </c>
      <c r="J384" s="25">
        <f ca="1">IF(OR(E384="",E384="!!!",F384="NEW"),"",COUNTBLANK(OFFSET(A$1,,,SUMPRODUCT(MAX(ROW(E$2:E384)*(E384=E$2:E384)))))-COUNTBLANK(OFFSET(A$1,,,SUMPRODUCT(MAX(ROW(E$1:E383)*(E2=E$1:E383))))))</f>
        <v>0</v>
      </c>
      <c r="K384" s="25">
        <f ca="1">IF(OR(E384="",E384="!!!",F384="NEW"),"",INDEX(J$1:J383,SUMPRODUCT(MAX(ROW(E$1:E383)*(E384=E$1:E383)))))</f>
        <v>0</v>
      </c>
      <c r="L384" s="26"/>
    </row>
    <row r="385" spans="1:12" x14ac:dyDescent="0.3">
      <c r="A385" t="s">
        <v>201</v>
      </c>
      <c r="E385" s="21" t="str">
        <f t="shared" si="30"/>
        <v/>
      </c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31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6" spans="1:12" x14ac:dyDescent="0.3">
      <c r="A386" t="s">
        <v>317</v>
      </c>
      <c r="E386" s="21" t="str">
        <f t="shared" si="30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31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168</v>
      </c>
      <c r="E387" s="21" t="str">
        <f t="shared" si="30"/>
        <v/>
      </c>
      <c r="F387" s="22" t="str">
        <f>IF(OR(E387="",E387="!!!"),"",IF(NOT(ISNA(VLOOKUP(E387,E$1:E386,1,FALSE()))),"OLD",IF(AND(E387&lt;&gt;"",E387&lt;&gt;"!!!"),"NEW","")))</f>
        <v/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4" t="str">
        <f t="shared" ca="1" si="31"/>
        <v/>
      </c>
      <c r="I387" s="25" t="str">
        <f>IF(OR(E387="",E387="!!!",F387="NEW"),"",INDEX(B$2:B386,-1+SUMPRODUCT(MAX(ROW(E$2:E386)*(E387=E$2:E386)))))</f>
        <v/>
      </c>
      <c r="J387" s="25" t="str">
        <f ca="1">IF(OR(E387="",E387="!!!",F387="NEW"),"",COUNTBLANK(OFFSET(A$1,,,SUMPRODUCT(MAX(ROW(E$2:E387)*(E387=E$2:E387)))))-COUNTBLANK(OFFSET(A$1,,,SUMPRODUCT(MAX(ROW(E$1:E386)*(E2=E$1:E386))))))</f>
        <v/>
      </c>
      <c r="K387" s="25" t="str">
        <f>IF(OR(E387="",E387="!!!",F387="NEW"),"",INDEX(J$1:J386,SUMPRODUCT(MAX(ROW(E$1:E386)*(E387=E$1:E386)))))</f>
        <v/>
      </c>
      <c r="L387" s="26"/>
    </row>
    <row r="388" spans="1:12" x14ac:dyDescent="0.3">
      <c r="A388" t="s">
        <v>112</v>
      </c>
      <c r="E388" s="21" t="str">
        <f t="shared" si="30"/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ca="1" si="31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96</v>
      </c>
      <c r="E389" s="21" t="str">
        <f t="shared" si="30"/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t="shared" ca="1" si="31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129</v>
      </c>
      <c r="E390" s="21" t="str">
        <f t="shared" si="30"/>
        <v/>
      </c>
      <c r="F390" s="22" t="str">
        <f>IF(OR(E390="",E390="!!!"),"",IF(NOT(ISNA(VLOOKUP(E390,E$1:E389,1,FALSE()))),"OLD",IF(AND(E390&lt;&gt;"",E390&lt;&gt;"!!!"),"NEW","")))</f>
        <v/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t="shared" ca="1" si="31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318</v>
      </c>
      <c r="E391" s="21" t="str">
        <f t="shared" si="30"/>
        <v/>
      </c>
      <c r="F391" s="22" t="str">
        <f>IF(OR(E391="",E391="!!!"),"",IF(NOT(ISNA(VLOOKUP(E391,E$1:E390,1,FALSE()))),"OLD",IF(AND(E391&lt;&gt;"",E391&lt;&gt;"!!!"),"NEW","")))</f>
        <v/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ca="1" si="31"/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105</v>
      </c>
      <c r="B392" s="20" t="s">
        <v>98</v>
      </c>
      <c r="C392" s="20" t="s">
        <v>127</v>
      </c>
      <c r="E392" s="21" t="str">
        <f t="shared" si="30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31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193</v>
      </c>
      <c r="E393" s="21" t="str">
        <f t="shared" si="30"/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31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319</v>
      </c>
      <c r="E394" s="21" t="str">
        <f t="shared" si="30"/>
        <v/>
      </c>
      <c r="F394" s="22" t="str">
        <f>IF(OR(E394="",E394="!!!"),"",IF(NOT(ISNA(VLOOKUP(E394,E$1:E393,1,FALSE()))),"OLD",IF(AND(E394&lt;&gt;"",E394&lt;&gt;"!!!"),"NEW","")))</f>
        <v/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t="shared" ca="1" si="31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122</v>
      </c>
      <c r="E395" s="21" t="str">
        <f t="shared" si="30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31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147</v>
      </c>
      <c r="B396" s="20" t="s">
        <v>145</v>
      </c>
      <c r="C396" s="20" t="s">
        <v>91</v>
      </c>
      <c r="E396" s="21" t="str">
        <f t="shared" si="30"/>
        <v/>
      </c>
      <c r="F396" s="22" t="str">
        <f>IF(OR(E396="",E396="!!!"),"",IF(NOT(ISNA(VLOOKUP(E396,E$1:E395,1,FALSE()))),"OLD",IF(AND(E396&lt;&gt;"",E396&lt;&gt;"!!!"),"NEW","")))</f>
        <v/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4" t="str">
        <f t="shared" ca="1" si="31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/>
    </row>
    <row r="397" spans="1:12" x14ac:dyDescent="0.3">
      <c r="A397" t="s">
        <v>193</v>
      </c>
      <c r="E397" s="21" t="str">
        <f t="shared" si="30"/>
        <v/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t="shared" ca="1" si="31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320</v>
      </c>
      <c r="E398" s="21" t="str">
        <f t="shared" si="30"/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ca="1" si="31"/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150</v>
      </c>
      <c r="E399" s="21" t="str">
        <f t="shared" si="30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31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1" spans="1:12" x14ac:dyDescent="0.3">
      <c r="A401" t="s">
        <v>321</v>
      </c>
    </row>
    <row r="402" spans="1:12" x14ac:dyDescent="0.3">
      <c r="A402" t="s">
        <v>196</v>
      </c>
      <c r="E402" s="21" t="str">
        <f t="shared" ref="E402:E440" si="32">IF(D402="?OLD","!!!","")</f>
        <v/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ref="H402:H440" ca="1" si="33">IF(J402&lt;&gt;1,"",IF(I402="SBJ","CB","?"))</f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170</v>
      </c>
      <c r="B403" s="20" t="s">
        <v>90</v>
      </c>
      <c r="C403" s="20" t="s">
        <v>103</v>
      </c>
      <c r="D403" s="20" t="s">
        <v>104</v>
      </c>
      <c r="E403" s="21" t="s">
        <v>374</v>
      </c>
      <c r="F403" s="22" t="str">
        <f>IF(OR(E403="",E403="!!!"),"",IF(NOT(ISNA(VLOOKUP(E403,E$1:E402,1,FALSE()))),"OLD",IF(AND(E403&lt;&gt;"",E403&lt;&gt;"!!!"),"NEW","")))</f>
        <v>OLD</v>
      </c>
      <c r="G403" s="23" t="s">
        <v>393</v>
      </c>
      <c r="H403" s="24" t="str">
        <f t="shared" ca="1" si="33"/>
        <v/>
      </c>
      <c r="I403" s="25" t="str">
        <f>IF(OR(E403="",E403="!!!",F403="NEW"),"",INDEX(B$2:B402,-1+SUMPRODUCT(MAX(ROW(E$2:E402)*(E403=E$2:E402)))))</f>
        <v>SBJ</v>
      </c>
      <c r="J403" s="25">
        <f ca="1">IF(OR(E403="",E403="!!!",F403="NEW"),"",COUNTBLANK(OFFSET(A$1,,,SUMPRODUCT(MAX(ROW(E$2:E403)*(E403=E$2:E403)))))-COUNTBLANK(OFFSET(A$1,,,SUMPRODUCT(MAX(ROW(E$1:E402)*(E2=E$1:E402))))))</f>
        <v>0</v>
      </c>
      <c r="K403" s="25">
        <f ca="1">IF(OR(E403="",E403="!!!",F403="NEW"),"",INDEX(J$1:J402,SUMPRODUCT(MAX(ROW(E$1:E402)*(E403=E$1:E402)))))</f>
        <v>0</v>
      </c>
      <c r="L403" s="26"/>
    </row>
    <row r="404" spans="1:12" x14ac:dyDescent="0.3">
      <c r="A404" t="s">
        <v>322</v>
      </c>
      <c r="E404" s="21" t="str">
        <f t="shared" si="32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33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323</v>
      </c>
      <c r="E405" s="21" t="str">
        <f t="shared" si="32"/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33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6" spans="1:12" x14ac:dyDescent="0.3">
      <c r="A406" t="s">
        <v>230</v>
      </c>
      <c r="E406" s="21" t="str">
        <f t="shared" si="32"/>
        <v/>
      </c>
      <c r="F406" s="22" t="str">
        <f>IF(OR(E406="",E406="!!!"),"",IF(NOT(ISNA(VLOOKUP(E406,E$1:E405,1,FALSE()))),"OLD",IF(AND(E406&lt;&gt;"",E406&lt;&gt;"!!!"),"NEW","")))</f>
        <v/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33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324</v>
      </c>
      <c r="B407" s="20" t="s">
        <v>94</v>
      </c>
      <c r="C407" s="20" t="s">
        <v>127</v>
      </c>
      <c r="E407" s="21" t="str">
        <f t="shared" si="32"/>
        <v/>
      </c>
      <c r="F407" s="22" t="str">
        <f>IF(OR(E407="",E407="!!!"),"",IF(NOT(ISNA(VLOOKUP(E407,E$1:E406,1,FALSE()))),"OLD",IF(AND(E407&lt;&gt;"",E407&lt;&gt;"!!!"),"NEW","")))</f>
        <v/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4" t="str">
        <f t="shared" ca="1" si="33"/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/>
    </row>
    <row r="408" spans="1:12" x14ac:dyDescent="0.3">
      <c r="A408" t="s">
        <v>325</v>
      </c>
      <c r="E408" s="21" t="str">
        <f t="shared" si="32"/>
        <v/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33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113</v>
      </c>
      <c r="E409" s="21" t="str">
        <f t="shared" si="32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33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226</v>
      </c>
      <c r="B410" s="20" t="s">
        <v>98</v>
      </c>
      <c r="C410" s="20" t="s">
        <v>103</v>
      </c>
      <c r="D410" s="20" t="s">
        <v>104</v>
      </c>
      <c r="E410" s="21" t="s">
        <v>387</v>
      </c>
      <c r="F410" s="22" t="str">
        <f>IF(OR(E410="",E410="!!!"),"",IF(NOT(ISNA(VLOOKUP(E410,E$1:E409,1,FALSE()))),"OLD",IF(AND(E410&lt;&gt;"",E410&lt;&gt;"!!!"),"NEW","")))</f>
        <v>NEW</v>
      </c>
      <c r="G410" s="23" t="s">
        <v>82</v>
      </c>
      <c r="H410" s="24" t="str">
        <f t="shared" ca="1" si="33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112</v>
      </c>
      <c r="E411" s="21" t="str">
        <f t="shared" si="32"/>
        <v/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t="shared" ca="1" si="33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113</v>
      </c>
      <c r="B412" s="20" t="s">
        <v>164</v>
      </c>
      <c r="E412" s="21" t="str">
        <f t="shared" si="32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33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181</v>
      </c>
      <c r="E413" s="21" t="str">
        <f t="shared" si="32"/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33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230</v>
      </c>
      <c r="E414" s="21" t="str">
        <f t="shared" si="32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33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326</v>
      </c>
      <c r="E415" s="21" t="str">
        <f t="shared" si="32"/>
        <v/>
      </c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33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327</v>
      </c>
      <c r="E416" s="21" t="str">
        <f t="shared" si="32"/>
        <v/>
      </c>
      <c r="F416" s="22" t="str">
        <f>IF(OR(E416="",E416="!!!"),"",IF(NOT(ISNA(VLOOKUP(E416,E$1:E415,1,FALSE()))),"OLD",IF(AND(E416&lt;&gt;"",E416&lt;&gt;"!!!"),"NEW","")))</f>
        <v/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4" t="str">
        <f t="shared" ca="1" si="33"/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7" spans="1:12" x14ac:dyDescent="0.3">
      <c r="A417" t="s">
        <v>12</v>
      </c>
      <c r="E417" s="21" t="str">
        <f t="shared" si="32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33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328</v>
      </c>
      <c r="B418" s="20" t="s">
        <v>106</v>
      </c>
      <c r="C418" s="20" t="s">
        <v>127</v>
      </c>
      <c r="E418" s="21" t="str">
        <f t="shared" si="32"/>
        <v/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33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329</v>
      </c>
      <c r="E419" s="21" t="str">
        <f t="shared" si="32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33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330</v>
      </c>
      <c r="E420" s="21" t="str">
        <f t="shared" si="32"/>
        <v/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33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1" spans="1:12" x14ac:dyDescent="0.3">
      <c r="A421" t="s">
        <v>331</v>
      </c>
      <c r="B421" s="20" t="s">
        <v>148</v>
      </c>
      <c r="C421" s="20" t="s">
        <v>127</v>
      </c>
      <c r="E421" s="21" t="str">
        <f t="shared" si="32"/>
        <v/>
      </c>
      <c r="F421" s="22" t="str">
        <f>IF(OR(E421="",E421="!!!"),"",IF(NOT(ISNA(VLOOKUP(E421,E$1:E420,1,FALSE()))),"OLD",IF(AND(E421&lt;&gt;"",E421&lt;&gt;"!!!"),"NEW","")))</f>
        <v/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4" t="str">
        <f t="shared" ca="1" si="33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/>
    </row>
    <row r="422" spans="1:12" x14ac:dyDescent="0.3">
      <c r="A422" t="s">
        <v>258</v>
      </c>
      <c r="E422" s="21" t="str">
        <f t="shared" si="32"/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ca="1" si="33"/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100</v>
      </c>
      <c r="E423" s="21" t="str">
        <f t="shared" si="32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33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332</v>
      </c>
      <c r="E424" s="21" t="str">
        <f t="shared" si="32"/>
        <v/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33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200</v>
      </c>
      <c r="B425" s="20" t="s">
        <v>106</v>
      </c>
      <c r="C425" s="20" t="s">
        <v>103</v>
      </c>
      <c r="D425" s="20" t="s">
        <v>104</v>
      </c>
      <c r="E425" s="21" t="s">
        <v>371</v>
      </c>
      <c r="F425" s="22" t="str">
        <f>IF(OR(E425="",E425="!!!"),"",IF(NOT(ISNA(VLOOKUP(E425,E$1:E424,1,FALSE()))),"OLD",IF(AND(E425&lt;&gt;"",E425&lt;&gt;"!!!"),"NEW","")))</f>
        <v>OLD</v>
      </c>
      <c r="G425" s="23" t="s">
        <v>393</v>
      </c>
      <c r="H425" s="24" t="str">
        <f t="shared" ca="1" si="33"/>
        <v/>
      </c>
      <c r="I425" s="25" t="str">
        <f>IF(OR(E425="",E425="!!!",F425="NEW"),"",INDEX(B$2:B424,-1+SUMPRODUCT(MAX(ROW(E$2:E424)*(E425=E$2:E424)))))</f>
        <v>SBJ_3</v>
      </c>
      <c r="J425" s="25">
        <f ca="1">IF(OR(E425="",E425="!!!",F425="NEW"),"",COUNTBLANK(OFFSET(A$1,,,SUMPRODUCT(MAX(ROW(E$2:E425)*(E425=E$2:E425)))))-COUNTBLANK(OFFSET(A$1,,,SUMPRODUCT(MAX(ROW(E$1:E424)*(E2=E$1:E424))))))</f>
        <v>0</v>
      </c>
      <c r="K425" s="25" t="str">
        <f ca="1">IF(OR(E425="",E425="!!!",F425="NEW"),"",INDEX(J$1:J424,SUMPRODUCT(MAX(ROW(E$1:E424)*(E425=E$1:E424)))))</f>
        <v/>
      </c>
      <c r="L425" s="26"/>
    </row>
    <row r="426" spans="1:12" x14ac:dyDescent="0.3">
      <c r="A426" t="s">
        <v>333</v>
      </c>
      <c r="E426" s="21" t="str">
        <f t="shared" si="32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33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122</v>
      </c>
      <c r="E427" s="21" t="str">
        <f t="shared" si="32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33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137</v>
      </c>
      <c r="E428" s="21" t="str">
        <f t="shared" si="32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33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100</v>
      </c>
      <c r="B429" s="20" t="s">
        <v>263</v>
      </c>
      <c r="C429" s="20" t="s">
        <v>143</v>
      </c>
      <c r="D429" s="20" t="s">
        <v>104</v>
      </c>
      <c r="E429" s="21" t="s">
        <v>387</v>
      </c>
      <c r="F429" s="22" t="str">
        <f>IF(OR(E429="",E429="!!!"),"",IF(NOT(ISNA(VLOOKUP(E429,E$1:E428,1,FALSE()))),"OLD",IF(AND(E429&lt;&gt;"",E429&lt;&gt;"!!!"),"NEW","")))</f>
        <v>OLD</v>
      </c>
      <c r="G429" s="23" t="s">
        <v>395</v>
      </c>
      <c r="H429" s="24" t="str">
        <f t="shared" ca="1" si="33"/>
        <v/>
      </c>
      <c r="I429" s="25" t="str">
        <f>IF(OR(E429="",E429="!!!",F429="NEW"),"",INDEX(B$2:B428,-1+SUMPRODUCT(MAX(ROW(E$2:E428)*(E429=E$2:E428)))))</f>
        <v>other_2</v>
      </c>
      <c r="J429" s="25">
        <f ca="1">IF(OR(E429="",E429="!!!",F429="NEW"),"",COUNTBLANK(OFFSET(A$1,,,SUMPRODUCT(MAX(ROW(E$2:E429)*(E429=E$2:E429)))))-COUNTBLANK(OFFSET(A$1,,,SUMPRODUCT(MAX(ROW(E$1:E428)*(E2=E$1:E428))))))</f>
        <v>0</v>
      </c>
      <c r="K429" s="25" t="str">
        <f ca="1">IF(OR(E429="",E429="!!!",F429="NEW"),"",INDEX(J$1:J428,SUMPRODUCT(MAX(ROW(E$1:E428)*(E429=E$1:E428)))))</f>
        <v/>
      </c>
      <c r="L429" s="26"/>
    </row>
    <row r="430" spans="1:12" x14ac:dyDescent="0.3">
      <c r="A430" t="s">
        <v>334</v>
      </c>
      <c r="E430" s="21" t="str">
        <f t="shared" si="32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33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267</v>
      </c>
      <c r="E431" s="21" t="str">
        <f t="shared" si="32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33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112</v>
      </c>
      <c r="E432" s="21" t="str">
        <f t="shared" si="32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33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198</v>
      </c>
      <c r="E433" s="21" t="str">
        <f t="shared" si="32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33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315</v>
      </c>
      <c r="B434" s="20" t="s">
        <v>335</v>
      </c>
      <c r="C434" s="20" t="s">
        <v>180</v>
      </c>
      <c r="D434" s="20" t="s">
        <v>104</v>
      </c>
      <c r="E434" s="21"/>
      <c r="F434" s="22" t="s">
        <v>369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33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5" spans="1:12" x14ac:dyDescent="0.3">
      <c r="A435" t="s">
        <v>163</v>
      </c>
      <c r="E435" s="21" t="str">
        <f t="shared" si="32"/>
        <v/>
      </c>
      <c r="F435" s="22" t="str">
        <f>IF(OR(E435="",E435="!!!"),"",IF(NOT(ISNA(VLOOKUP(E435,E$1:E434,1,FALSE()))),"OLD",IF(AND(E435&lt;&gt;"",E435&lt;&gt;"!!!"),"NEW","")))</f>
        <v/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4" t="str">
        <f t="shared" ca="1" si="33"/>
        <v/>
      </c>
      <c r="I435" s="25" t="str">
        <f>IF(OR(E435="",E435="!!!",F435="NEW"),"",INDEX(B$2:B434,-1+SUMPRODUCT(MAX(ROW(E$2:E434)*(E435=E$2:E434)))))</f>
        <v/>
      </c>
      <c r="J435" s="25" t="str">
        <f ca="1">IF(OR(E435="",E435="!!!",F435="NEW"),"",COUNTBLANK(OFFSET(A$1,,,SUMPRODUCT(MAX(ROW(E$2:E435)*(E435=E$2:E435)))))-COUNTBLANK(OFFSET(A$1,,,SUMPRODUCT(MAX(ROW(E$1:E434)*(E2=E$1:E434))))))</f>
        <v/>
      </c>
      <c r="K435" s="25" t="str">
        <f>IF(OR(E435="",E435="!!!",F435="NEW"),"",INDEX(J$1:J434,SUMPRODUCT(MAX(ROW(E$1:E434)*(E435=E$1:E434)))))</f>
        <v/>
      </c>
      <c r="L435" s="26"/>
    </row>
    <row r="436" spans="1:12" x14ac:dyDescent="0.3">
      <c r="A436" t="s">
        <v>336</v>
      </c>
      <c r="B436" s="20" t="s">
        <v>263</v>
      </c>
      <c r="C436" s="20" t="s">
        <v>103</v>
      </c>
      <c r="D436" s="20" t="s">
        <v>104</v>
      </c>
      <c r="E436" s="21"/>
      <c r="F436" s="22" t="s">
        <v>382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4" t="str">
        <f t="shared" ca="1" si="33"/>
        <v/>
      </c>
      <c r="I436" s="25" t="str">
        <f>IF(OR(E436="",E436="!!!",F436="NEW"),"",INDEX(B$2:B435,-1+SUMPRODUCT(MAX(ROW(E$2:E435)*(E436=E$2:E435)))))</f>
        <v/>
      </c>
      <c r="J436" s="25" t="str">
        <f ca="1">IF(OR(E436="",E436="!!!",F436="NEW"),"",COUNTBLANK(OFFSET(A$1,,,SUMPRODUCT(MAX(ROW(E$2:E436)*(E436=E$2:E436)))))-COUNTBLANK(OFFSET(A$1,,,SUMPRODUCT(MAX(ROW(E$1:E435)*(E2=E$1:E435))))))</f>
        <v/>
      </c>
      <c r="K436" s="25" t="str">
        <f>IF(OR(E436="",E436="!!!",F436="NEW"),"",INDEX(J$1:J435,SUMPRODUCT(MAX(ROW(E$1:E435)*(E436=E$1:E435)))))</f>
        <v/>
      </c>
      <c r="L436" s="26"/>
    </row>
    <row r="437" spans="1:12" x14ac:dyDescent="0.3">
      <c r="A437" t="s">
        <v>183</v>
      </c>
      <c r="E437" s="21" t="str">
        <f t="shared" si="32"/>
        <v/>
      </c>
      <c r="F437" s="22" t="str">
        <f>IF(OR(E437="",E437="!!!"),"",IF(NOT(ISNA(VLOOKUP(E437,E$1:E436,1,FALSE()))),"OLD",IF(AND(E437&lt;&gt;"",E437&lt;&gt;"!!!"),"NEW","")))</f>
        <v/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t="shared" ca="1" si="33"/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/>
    </row>
    <row r="438" spans="1:12" x14ac:dyDescent="0.3">
      <c r="A438" t="s">
        <v>337</v>
      </c>
      <c r="B438" s="20" t="s">
        <v>284</v>
      </c>
      <c r="C438" s="20" t="s">
        <v>103</v>
      </c>
      <c r="D438" s="20" t="s">
        <v>104</v>
      </c>
      <c r="E438" s="21" t="s">
        <v>359</v>
      </c>
      <c r="F438" s="22" t="str">
        <f>IF(OR(E438="",E438="!!!"),"",IF(NOT(ISNA(VLOOKUP(E438,E$1:E437,1,FALSE()))),"OLD",IF(AND(E438&lt;&gt;"",E438&lt;&gt;"!!!"),"NEW","")))</f>
        <v>OLD</v>
      </c>
      <c r="G438" s="23" t="s">
        <v>393</v>
      </c>
      <c r="H438" s="24" t="str">
        <f t="shared" ca="1" si="33"/>
        <v/>
      </c>
      <c r="I438" s="25" t="str">
        <f>IF(OR(E438="",E438="!!!",F438="NEW"),"",INDEX(B$2:B437,-1+SUMPRODUCT(MAX(ROW(E$2:E437)*(E438=E$2:E437)))))</f>
        <v>other_4</v>
      </c>
      <c r="J438" s="25">
        <f ca="1">IF(OR(E438="",E438="!!!",F438="NEW"),"",COUNTBLANK(OFFSET(A$1,,,SUMPRODUCT(MAX(ROW(E$2:E438)*(E438=E$2:E438)))))-COUNTBLANK(OFFSET(A$1,,,SUMPRODUCT(MAX(ROW(E$1:E437)*(E2=E$1:E437))))))</f>
        <v>0</v>
      </c>
      <c r="K438" s="25">
        <f ca="1">IF(OR(E438="",E438="!!!",F438="NEW"),"",INDEX(J$1:J437,SUMPRODUCT(MAX(ROW(E$1:E437)*(E438=E$1:E437)))))</f>
        <v>0</v>
      </c>
      <c r="L438" s="26"/>
    </row>
    <row r="439" spans="1:12" x14ac:dyDescent="0.3">
      <c r="A439" t="s">
        <v>168</v>
      </c>
      <c r="E439" s="21" t="str">
        <f t="shared" si="32"/>
        <v/>
      </c>
      <c r="F439" s="22" t="str">
        <f>IF(OR(E439="",E439="!!!"),"",IF(NOT(ISNA(VLOOKUP(E439,E$1:E438,1,FALSE()))),"OLD",IF(AND(E439&lt;&gt;"",E439&lt;&gt;"!!!"),"NEW","")))</f>
        <v/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t="shared" ca="1" si="33"/>
        <v/>
      </c>
      <c r="I439" s="25" t="str">
        <f>IF(OR(E439="",E439="!!!",F439="NEW"),"",INDEX(B$2:B438,-1+SUMPRODUCT(MAX(ROW(E$2:E438)*(E439=E$2:E438)))))</f>
        <v/>
      </c>
      <c r="J439" s="25" t="str">
        <f ca="1">IF(OR(E439="",E439="!!!",F439="NEW"),"",COUNTBLANK(OFFSET(A$1,,,SUMPRODUCT(MAX(ROW(E$2:E439)*(E439=E$2:E439)))))-COUNTBLANK(OFFSET(A$1,,,SUMPRODUCT(MAX(ROW(E$1:E438)*(E2=E$1:E438))))))</f>
        <v/>
      </c>
      <c r="K439" s="25" t="str">
        <f>IF(OR(E439="",E439="!!!",F439="NEW"),"",INDEX(J$1:J438,SUMPRODUCT(MAX(ROW(E$1:E438)*(E439=E$1:E438)))))</f>
        <v/>
      </c>
      <c r="L439" s="26"/>
    </row>
    <row r="440" spans="1:12" x14ac:dyDescent="0.3">
      <c r="A440" t="s">
        <v>150</v>
      </c>
      <c r="E440" s="21" t="str">
        <f t="shared" si="32"/>
        <v/>
      </c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ca="1" si="33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2" spans="1:12" x14ac:dyDescent="0.3">
      <c r="A442" t="s">
        <v>338</v>
      </c>
    </row>
    <row r="443" spans="1:12" x14ac:dyDescent="0.3">
      <c r="A443" t="s">
        <v>227</v>
      </c>
      <c r="B443" s="20" t="s">
        <v>90</v>
      </c>
      <c r="C443" s="20" t="s">
        <v>91</v>
      </c>
      <c r="E443" s="21"/>
      <c r="F443" s="22" t="str">
        <f>IF(OR(E443="",E443="!!!"),"",IF(NOT(ISNA(VLOOKUP(E443,E$1:E442,1,FALSE()))),"OLD",IF(AND(E443&lt;&gt;"",E443&lt;&gt;"!!!"),"NEW","")))</f>
        <v/>
      </c>
      <c r="G443" s="23"/>
      <c r="H443" s="24" t="str">
        <f t="shared" ref="H443:H458" ca="1" si="34">IF(J443&lt;&gt;1,"",IF(I443="SBJ","CB","?"))</f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339</v>
      </c>
      <c r="E444" s="21" t="str">
        <f t="shared" ref="E444:E458" si="35">IF(D444="?OLD","!!!","")</f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34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340</v>
      </c>
      <c r="B445" s="20" t="s">
        <v>94</v>
      </c>
      <c r="C445" s="20" t="s">
        <v>91</v>
      </c>
      <c r="E445" s="21" t="str">
        <f t="shared" si="35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34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6" spans="1:12" x14ac:dyDescent="0.3">
      <c r="A446" t="s">
        <v>122</v>
      </c>
      <c r="E446" s="21" t="str">
        <f t="shared" si="35"/>
        <v/>
      </c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34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341</v>
      </c>
      <c r="E447" s="21" t="str">
        <f t="shared" si="35"/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ca="1" si="34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329</v>
      </c>
      <c r="E448" s="21" t="str">
        <f t="shared" si="35"/>
        <v/>
      </c>
      <c r="F448" s="22" t="str">
        <f>IF(OR(E448="",E448="!!!"),"",IF(NOT(ISNA(VLOOKUP(E448,E$1:E447,1,FALSE()))),"OLD",IF(AND(E448&lt;&gt;"",E448&lt;&gt;"!!!"),"NEW","")))</f>
        <v/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4" t="str">
        <f t="shared" ca="1" si="34"/>
        <v/>
      </c>
      <c r="I448" s="25" t="str">
        <f>IF(OR(E448="",E448="!!!",F448="NEW"),"",INDEX(B$2:B447,-1+SUMPRODUCT(MAX(ROW(E$2:E447)*(E448=E$2:E447)))))</f>
        <v/>
      </c>
      <c r="J448" s="25" t="str">
        <f ca="1">IF(OR(E448="",E448="!!!",F448="NEW"),"",COUNTBLANK(OFFSET(A$1,,,SUMPRODUCT(MAX(ROW(E$2:E448)*(E448=E$2:E448)))))-COUNTBLANK(OFFSET(A$1,,,SUMPRODUCT(MAX(ROW(E$1:E447)*(E2=E$1:E447))))))</f>
        <v/>
      </c>
      <c r="K448" s="25" t="str">
        <f>IF(OR(E448="",E448="!!!",F448="NEW"),"",INDEX(J$1:J447,SUMPRODUCT(MAX(ROW(E$1:E447)*(E448=E$1:E447)))))</f>
        <v/>
      </c>
      <c r="L448" s="26"/>
    </row>
    <row r="449" spans="1:12" x14ac:dyDescent="0.3">
      <c r="A449" t="s">
        <v>342</v>
      </c>
      <c r="B449" s="20" t="s">
        <v>218</v>
      </c>
      <c r="C449" s="20" t="s">
        <v>127</v>
      </c>
      <c r="E449" s="21" t="str">
        <f t="shared" si="35"/>
        <v/>
      </c>
      <c r="F449" s="22" t="str">
        <f>IF(OR(E449="",E449="!!!"),"",IF(NOT(ISNA(VLOOKUP(E449,E$1:E448,1,FALSE()))),"OLD",IF(AND(E449&lt;&gt;"",E449&lt;&gt;"!!!"),"NEW","")))</f>
        <v/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t="shared" ca="1" si="34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177</v>
      </c>
      <c r="E450" s="21" t="str">
        <f t="shared" si="35"/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ca="1" si="34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100</v>
      </c>
      <c r="E451" s="21" t="str">
        <f t="shared" si="35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34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2" spans="1:12" x14ac:dyDescent="0.3">
      <c r="A452" t="s">
        <v>343</v>
      </c>
      <c r="B452" s="20" t="s">
        <v>102</v>
      </c>
      <c r="C452" s="20" t="s">
        <v>103</v>
      </c>
      <c r="D452" s="20" t="s">
        <v>104</v>
      </c>
      <c r="E452" s="21" t="s">
        <v>388</v>
      </c>
      <c r="F452" s="22" t="str">
        <f>IF(OR(E452="",E452="!!!"),"",IF(NOT(ISNA(VLOOKUP(E452,E$1:E451,1,FALSE()))),"OLD",IF(AND(E452&lt;&gt;"",E452&lt;&gt;"!!!"),"NEW","")))</f>
        <v>NEW</v>
      </c>
      <c r="G452" s="23" t="s">
        <v>394</v>
      </c>
      <c r="H452" s="24" t="str">
        <f t="shared" ca="1" si="34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344</v>
      </c>
      <c r="E453" s="21" t="str">
        <f t="shared" si="35"/>
        <v/>
      </c>
      <c r="F453" s="22" t="str">
        <f>IF(OR(E453="",E453="!!!"),"",IF(NOT(ISNA(VLOOKUP(E453,E$1:E452,1,FALSE()))),"OLD",IF(AND(E453&lt;&gt;"",E453&lt;&gt;"!!!"),"NEW","")))</f>
        <v/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4" t="str">
        <f t="shared" ca="1" si="34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4" spans="1:12" x14ac:dyDescent="0.3">
      <c r="A454" t="s">
        <v>345</v>
      </c>
      <c r="B454" s="20" t="s">
        <v>102</v>
      </c>
      <c r="C454" s="20" t="s">
        <v>91</v>
      </c>
      <c r="E454" s="21" t="str">
        <f t="shared" si="35"/>
        <v/>
      </c>
      <c r="F454" s="22" t="str">
        <f>IF(OR(E454="",E454="!!!"),"",IF(NOT(ISNA(VLOOKUP(E454,E$1:E453,1,FALSE()))),"OLD",IF(AND(E454&lt;&gt;"",E454&lt;&gt;"!!!"),"NEW","")))</f>
        <v/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t="shared" ca="1" si="34"/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5" spans="1:12" x14ac:dyDescent="0.3">
      <c r="A455" t="s">
        <v>177</v>
      </c>
      <c r="E455" s="21" t="str">
        <f t="shared" si="35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34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100</v>
      </c>
      <c r="E456" s="21" t="str">
        <f t="shared" si="35"/>
        <v/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ca="1" si="34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346</v>
      </c>
      <c r="B457" s="20" t="s">
        <v>106</v>
      </c>
      <c r="C457" s="20" t="s">
        <v>103</v>
      </c>
      <c r="D457" s="20" t="s">
        <v>104</v>
      </c>
      <c r="E457" s="21" t="s">
        <v>389</v>
      </c>
      <c r="F457" s="22" t="str">
        <f>IF(OR(E457="",E457="!!!"),"",IF(NOT(ISNA(VLOOKUP(E457,E$1:E456,1,FALSE()))),"OLD",IF(AND(E457&lt;&gt;"",E457&lt;&gt;"!!!"),"NEW","")))</f>
        <v>NEW</v>
      </c>
      <c r="G457" s="23" t="s">
        <v>394</v>
      </c>
      <c r="H457" s="24" t="str">
        <f t="shared" ca="1" si="34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150</v>
      </c>
      <c r="E458" s="21" t="str">
        <f t="shared" si="35"/>
        <v/>
      </c>
      <c r="F458" s="22" t="str">
        <f>IF(OR(E458="",E458="!!!"),"",IF(NOT(ISNA(VLOOKUP(E458,E$1:E457,1,FALSE()))),"OLD",IF(AND(E458&lt;&gt;"",E458&lt;&gt;"!!!"),"NEW","")))</f>
        <v/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t="shared" ca="1" si="34"/>
        <v/>
      </c>
      <c r="I458" s="25" t="str">
        <f>IF(OR(E458="",E458="!!!",F458="NEW"),"",INDEX(B$2:B457,-1+SUMPRODUCT(MAX(ROW(E$2:E457)*(E458=E$2:E457)))))</f>
        <v/>
      </c>
      <c r="J458" s="25" t="str">
        <f ca="1">IF(OR(E458="",E458="!!!",F458="NEW"),"",COUNTBLANK(OFFSET(A$1,,,SUMPRODUCT(MAX(ROW(E$2:E458)*(E458=E$2:E458)))))-COUNTBLANK(OFFSET(A$1,,,SUMPRODUCT(MAX(ROW(E$1:E457)*(E2=E$1:E457))))))</f>
        <v/>
      </c>
      <c r="K458" s="25" t="str">
        <f>IF(OR(E458="",E458="!!!",F458="NEW"),"",INDEX(J$1:J457,SUMPRODUCT(MAX(ROW(E$1:E457)*(E458=E$1:E457)))))</f>
        <v/>
      </c>
      <c r="L458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2024-12-05T17:54:41Z</dcterms:created>
  <dcterms:modified xsi:type="dcterms:W3CDTF">2025-05-20T10:59:03Z</dcterms:modified>
</cp:coreProperties>
</file>