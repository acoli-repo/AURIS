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8426F333-07E5-4064-A209-9195F3E2E8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E693" i="2" l="1"/>
  <c r="E692" i="2"/>
  <c r="G689" i="2"/>
  <c r="E689" i="2"/>
  <c r="F688" i="2"/>
  <c r="K688" i="2" s="1"/>
  <c r="E688" i="2"/>
  <c r="G688" i="2" s="1"/>
  <c r="E687" i="2"/>
  <c r="G687" i="2" s="1"/>
  <c r="K686" i="2"/>
  <c r="J686" i="2"/>
  <c r="H686" i="2" s="1"/>
  <c r="I686" i="2"/>
  <c r="G686" i="2"/>
  <c r="F686" i="2"/>
  <c r="E686" i="2"/>
  <c r="G685" i="2"/>
  <c r="E685" i="2"/>
  <c r="F685" i="2" s="1"/>
  <c r="J684" i="2"/>
  <c r="H684" i="2" s="1"/>
  <c r="G684" i="2"/>
  <c r="F684" i="2"/>
  <c r="I684" i="2" s="1"/>
  <c r="E684" i="2"/>
  <c r="K684" i="2" s="1"/>
  <c r="I683" i="2"/>
  <c r="G683" i="2"/>
  <c r="F683" i="2"/>
  <c r="E683" i="2"/>
  <c r="K683" i="2" s="1"/>
  <c r="F682" i="2"/>
  <c r="E682" i="2"/>
  <c r="J682" i="2" s="1"/>
  <c r="H682" i="2" s="1"/>
  <c r="E681" i="2"/>
  <c r="F680" i="2"/>
  <c r="E680" i="2"/>
  <c r="G680" i="2" s="1"/>
  <c r="E679" i="2"/>
  <c r="K678" i="2"/>
  <c r="J678" i="2"/>
  <c r="H678" i="2" s="1"/>
  <c r="I678" i="2"/>
  <c r="G678" i="2"/>
  <c r="F678" i="2"/>
  <c r="E678" i="2"/>
  <c r="G677" i="2"/>
  <c r="E677" i="2"/>
  <c r="F677" i="2" s="1"/>
  <c r="J677" i="2" s="1"/>
  <c r="H677" i="2" s="1"/>
  <c r="J676" i="2"/>
  <c r="H676" i="2" s="1"/>
  <c r="G676" i="2"/>
  <c r="F676" i="2"/>
  <c r="I676" i="2" s="1"/>
  <c r="E676" i="2"/>
  <c r="K676" i="2" s="1"/>
  <c r="I675" i="2"/>
  <c r="G675" i="2"/>
  <c r="F675" i="2"/>
  <c r="E675" i="2"/>
  <c r="K675" i="2" s="1"/>
  <c r="F674" i="2"/>
  <c r="E674" i="2"/>
  <c r="E673" i="2"/>
  <c r="F672" i="2"/>
  <c r="E672" i="2"/>
  <c r="G672" i="2" s="1"/>
  <c r="E671" i="2"/>
  <c r="K670" i="2"/>
  <c r="J670" i="2"/>
  <c r="H670" i="2" s="1"/>
  <c r="I670" i="2"/>
  <c r="G670" i="2"/>
  <c r="F670" i="2"/>
  <c r="E670" i="2"/>
  <c r="G669" i="2"/>
  <c r="E669" i="2"/>
  <c r="F669" i="2" s="1"/>
  <c r="J669" i="2" s="1"/>
  <c r="H669" i="2" s="1"/>
  <c r="J668" i="2"/>
  <c r="H668" i="2" s="1"/>
  <c r="G668" i="2"/>
  <c r="F668" i="2"/>
  <c r="I668" i="2" s="1"/>
  <c r="E668" i="2"/>
  <c r="K668" i="2" s="1"/>
  <c r="I667" i="2"/>
  <c r="G667" i="2"/>
  <c r="F667" i="2"/>
  <c r="E667" i="2"/>
  <c r="K667" i="2" s="1"/>
  <c r="F666" i="2"/>
  <c r="E666" i="2"/>
  <c r="J666" i="2" s="1"/>
  <c r="H666" i="2" s="1"/>
  <c r="E665" i="2"/>
  <c r="F662" i="2"/>
  <c r="E662" i="2"/>
  <c r="G662" i="2" s="1"/>
  <c r="E661" i="2"/>
  <c r="K660" i="2"/>
  <c r="J660" i="2"/>
  <c r="H660" i="2" s="1"/>
  <c r="I660" i="2"/>
  <c r="G660" i="2"/>
  <c r="F660" i="2"/>
  <c r="E660" i="2"/>
  <c r="G659" i="2"/>
  <c r="E659" i="2"/>
  <c r="F659" i="2" s="1"/>
  <c r="J659" i="2" s="1"/>
  <c r="H659" i="2" s="1"/>
  <c r="J658" i="2"/>
  <c r="H658" i="2" s="1"/>
  <c r="G658" i="2"/>
  <c r="F658" i="2"/>
  <c r="I658" i="2" s="1"/>
  <c r="E658" i="2"/>
  <c r="K658" i="2" s="1"/>
  <c r="I657" i="2"/>
  <c r="G657" i="2"/>
  <c r="F657" i="2"/>
  <c r="E657" i="2"/>
  <c r="K657" i="2" s="1"/>
  <c r="F656" i="2"/>
  <c r="E656" i="2"/>
  <c r="J656" i="2" s="1"/>
  <c r="H656" i="2" s="1"/>
  <c r="G655" i="2"/>
  <c r="E655" i="2"/>
  <c r="F654" i="2"/>
  <c r="E654" i="2"/>
  <c r="G654" i="2" s="1"/>
  <c r="E653" i="2"/>
  <c r="K652" i="2"/>
  <c r="J652" i="2"/>
  <c r="H652" i="2" s="1"/>
  <c r="I652" i="2"/>
  <c r="G652" i="2"/>
  <c r="F652" i="2"/>
  <c r="E652" i="2"/>
  <c r="G651" i="2"/>
  <c r="E651" i="2"/>
  <c r="F651" i="2" s="1"/>
  <c r="J651" i="2" s="1"/>
  <c r="H651" i="2" s="1"/>
  <c r="J650" i="2"/>
  <c r="H650" i="2" s="1"/>
  <c r="G650" i="2"/>
  <c r="F650" i="2"/>
  <c r="I650" i="2" s="1"/>
  <c r="E650" i="2"/>
  <c r="K650" i="2" s="1"/>
  <c r="I649" i="2"/>
  <c r="G649" i="2"/>
  <c r="F649" i="2"/>
  <c r="E649" i="2"/>
  <c r="K649" i="2" s="1"/>
  <c r="F648" i="2"/>
  <c r="E648" i="2"/>
  <c r="J648" i="2" s="1"/>
  <c r="H648" i="2" s="1"/>
  <c r="E647" i="2"/>
  <c r="F646" i="2"/>
  <c r="E646" i="2"/>
  <c r="G646" i="2" s="1"/>
  <c r="E645" i="2"/>
  <c r="K644" i="2"/>
  <c r="J644" i="2"/>
  <c r="H644" i="2" s="1"/>
  <c r="I644" i="2"/>
  <c r="G644" i="2"/>
  <c r="F644" i="2"/>
  <c r="E644" i="2"/>
  <c r="G643" i="2"/>
  <c r="E643" i="2"/>
  <c r="F643" i="2" s="1"/>
  <c r="J643" i="2" s="1"/>
  <c r="H643" i="2" s="1"/>
  <c r="J642" i="2"/>
  <c r="H642" i="2" s="1"/>
  <c r="G642" i="2"/>
  <c r="F642" i="2"/>
  <c r="I642" i="2" s="1"/>
  <c r="E642" i="2"/>
  <c r="K642" i="2" s="1"/>
  <c r="I641" i="2"/>
  <c r="G641" i="2"/>
  <c r="F641" i="2"/>
  <c r="E641" i="2"/>
  <c r="K641" i="2" s="1"/>
  <c r="F640" i="2"/>
  <c r="E640" i="2"/>
  <c r="J640" i="2" s="1"/>
  <c r="H640" i="2" s="1"/>
  <c r="G639" i="2"/>
  <c r="E639" i="2"/>
  <c r="F638" i="2"/>
  <c r="E638" i="2"/>
  <c r="G638" i="2" s="1"/>
  <c r="E637" i="2"/>
  <c r="K636" i="2"/>
  <c r="J636" i="2"/>
  <c r="H636" i="2" s="1"/>
  <c r="I636" i="2"/>
  <c r="G636" i="2"/>
  <c r="F636" i="2"/>
  <c r="E636" i="2"/>
  <c r="G635" i="2"/>
  <c r="E635" i="2"/>
  <c r="F635" i="2" s="1"/>
  <c r="J635" i="2" s="1"/>
  <c r="H635" i="2" s="1"/>
  <c r="J634" i="2"/>
  <c r="H634" i="2" s="1"/>
  <c r="G634" i="2"/>
  <c r="F634" i="2"/>
  <c r="I634" i="2" s="1"/>
  <c r="E634" i="2"/>
  <c r="K634" i="2" s="1"/>
  <c r="I633" i="2"/>
  <c r="G633" i="2"/>
  <c r="F633" i="2"/>
  <c r="E633" i="2"/>
  <c r="K633" i="2" s="1"/>
  <c r="F632" i="2"/>
  <c r="E632" i="2"/>
  <c r="J632" i="2" s="1"/>
  <c r="H632" i="2" s="1"/>
  <c r="E631" i="2"/>
  <c r="F630" i="2"/>
  <c r="E630" i="2"/>
  <c r="G630" i="2" s="1"/>
  <c r="E629" i="2"/>
  <c r="K628" i="2"/>
  <c r="J628" i="2"/>
  <c r="H628" i="2" s="1"/>
  <c r="I628" i="2"/>
  <c r="G628" i="2"/>
  <c r="F628" i="2"/>
  <c r="E628" i="2"/>
  <c r="G625" i="2"/>
  <c r="E625" i="2"/>
  <c r="F625" i="2" s="1"/>
  <c r="J625" i="2" s="1"/>
  <c r="H625" i="2" s="1"/>
  <c r="J624" i="2"/>
  <c r="H624" i="2" s="1"/>
  <c r="G624" i="2"/>
  <c r="F624" i="2"/>
  <c r="I624" i="2" s="1"/>
  <c r="E624" i="2"/>
  <c r="K624" i="2" s="1"/>
  <c r="I623" i="2"/>
  <c r="G623" i="2"/>
  <c r="F623" i="2"/>
  <c r="E623" i="2"/>
  <c r="K623" i="2" s="1"/>
  <c r="F622" i="2"/>
  <c r="E622" i="2"/>
  <c r="J622" i="2" s="1"/>
  <c r="H622" i="2" s="1"/>
  <c r="G621" i="2"/>
  <c r="E621" i="2"/>
  <c r="F620" i="2"/>
  <c r="E620" i="2"/>
  <c r="G620" i="2" s="1"/>
  <c r="E619" i="2"/>
  <c r="K618" i="2"/>
  <c r="J618" i="2"/>
  <c r="H618" i="2" s="1"/>
  <c r="I618" i="2"/>
  <c r="G618" i="2"/>
  <c r="F618" i="2"/>
  <c r="E618" i="2"/>
  <c r="G617" i="2"/>
  <c r="E617" i="2"/>
  <c r="F617" i="2" s="1"/>
  <c r="J617" i="2" s="1"/>
  <c r="H617" i="2" s="1"/>
  <c r="J616" i="2"/>
  <c r="H616" i="2" s="1"/>
  <c r="G616" i="2"/>
  <c r="F616" i="2"/>
  <c r="I616" i="2" s="1"/>
  <c r="E616" i="2"/>
  <c r="K616" i="2" s="1"/>
  <c r="I615" i="2"/>
  <c r="G615" i="2"/>
  <c r="F615" i="2"/>
  <c r="E615" i="2"/>
  <c r="K615" i="2" s="1"/>
  <c r="F614" i="2"/>
  <c r="E614" i="2"/>
  <c r="J614" i="2" s="1"/>
  <c r="H614" i="2" s="1"/>
  <c r="E613" i="2"/>
  <c r="F612" i="2"/>
  <c r="E612" i="2"/>
  <c r="G612" i="2" s="1"/>
  <c r="E611" i="2"/>
  <c r="K610" i="2"/>
  <c r="J610" i="2"/>
  <c r="H610" i="2" s="1"/>
  <c r="I610" i="2"/>
  <c r="G610" i="2"/>
  <c r="F610" i="2"/>
  <c r="E610" i="2"/>
  <c r="G609" i="2"/>
  <c r="E609" i="2"/>
  <c r="F609" i="2" s="1"/>
  <c r="J609" i="2" s="1"/>
  <c r="H609" i="2" s="1"/>
  <c r="J608" i="2"/>
  <c r="H608" i="2" s="1"/>
  <c r="G608" i="2"/>
  <c r="F608" i="2"/>
  <c r="I608" i="2" s="1"/>
  <c r="E608" i="2"/>
  <c r="K608" i="2" s="1"/>
  <c r="I607" i="2"/>
  <c r="G607" i="2"/>
  <c r="F607" i="2"/>
  <c r="E607" i="2"/>
  <c r="K607" i="2" s="1"/>
  <c r="F606" i="2"/>
  <c r="E606" i="2"/>
  <c r="J606" i="2" s="1"/>
  <c r="H606" i="2" s="1"/>
  <c r="G605" i="2"/>
  <c r="E605" i="2"/>
  <c r="F604" i="2"/>
  <c r="E604" i="2"/>
  <c r="G604" i="2" s="1"/>
  <c r="E603" i="2"/>
  <c r="K602" i="2"/>
  <c r="J602" i="2"/>
  <c r="H602" i="2" s="1"/>
  <c r="I602" i="2"/>
  <c r="G602" i="2"/>
  <c r="F602" i="2"/>
  <c r="E602" i="2"/>
  <c r="G601" i="2"/>
  <c r="E601" i="2"/>
  <c r="F601" i="2" s="1"/>
  <c r="J601" i="2" s="1"/>
  <c r="H601" i="2" s="1"/>
  <c r="J600" i="2"/>
  <c r="H600" i="2" s="1"/>
  <c r="G600" i="2"/>
  <c r="F600" i="2"/>
  <c r="I600" i="2" s="1"/>
  <c r="E600" i="2"/>
  <c r="K600" i="2" s="1"/>
  <c r="I599" i="2"/>
  <c r="G599" i="2"/>
  <c r="F599" i="2"/>
  <c r="E599" i="2"/>
  <c r="K599" i="2" s="1"/>
  <c r="F598" i="2"/>
  <c r="E598" i="2"/>
  <c r="J598" i="2" s="1"/>
  <c r="H598" i="2" s="1"/>
  <c r="E597" i="2"/>
  <c r="F596" i="2"/>
  <c r="E596" i="2"/>
  <c r="G596" i="2" s="1"/>
  <c r="E595" i="2"/>
  <c r="K594" i="2"/>
  <c r="J594" i="2"/>
  <c r="H594" i="2" s="1"/>
  <c r="I594" i="2"/>
  <c r="G594" i="2"/>
  <c r="F594" i="2"/>
  <c r="E594" i="2"/>
  <c r="G593" i="2"/>
  <c r="E593" i="2"/>
  <c r="F593" i="2" s="1"/>
  <c r="J593" i="2" s="1"/>
  <c r="H593" i="2" s="1"/>
  <c r="J592" i="2"/>
  <c r="H592" i="2" s="1"/>
  <c r="G592" i="2"/>
  <c r="F592" i="2"/>
  <c r="I592" i="2" s="1"/>
  <c r="E592" i="2"/>
  <c r="K592" i="2" s="1"/>
  <c r="I591" i="2"/>
  <c r="G591" i="2"/>
  <c r="F591" i="2"/>
  <c r="E591" i="2"/>
  <c r="K591" i="2" s="1"/>
  <c r="F590" i="2"/>
  <c r="E590" i="2"/>
  <c r="J590" i="2" s="1"/>
  <c r="H590" i="2" s="1"/>
  <c r="G589" i="2"/>
  <c r="E589" i="2"/>
  <c r="F586" i="2"/>
  <c r="E586" i="2"/>
  <c r="G586" i="2" s="1"/>
  <c r="E585" i="2"/>
  <c r="K584" i="2"/>
  <c r="J584" i="2"/>
  <c r="H584" i="2" s="1"/>
  <c r="I584" i="2"/>
  <c r="G584" i="2"/>
  <c r="F584" i="2"/>
  <c r="E584" i="2"/>
  <c r="G583" i="2"/>
  <c r="E583" i="2"/>
  <c r="F583" i="2" s="1"/>
  <c r="J583" i="2" s="1"/>
  <c r="H583" i="2" s="1"/>
  <c r="J582" i="2"/>
  <c r="H582" i="2" s="1"/>
  <c r="G582" i="2"/>
  <c r="F582" i="2"/>
  <c r="I582" i="2" s="1"/>
  <c r="E582" i="2"/>
  <c r="K582" i="2" s="1"/>
  <c r="I581" i="2"/>
  <c r="G581" i="2"/>
  <c r="F581" i="2"/>
  <c r="E581" i="2"/>
  <c r="K581" i="2" s="1"/>
  <c r="F580" i="2"/>
  <c r="E580" i="2"/>
  <c r="J580" i="2" s="1"/>
  <c r="H580" i="2" s="1"/>
  <c r="G579" i="2"/>
  <c r="E579" i="2"/>
  <c r="F578" i="2"/>
  <c r="E578" i="2"/>
  <c r="G578" i="2" s="1"/>
  <c r="E577" i="2"/>
  <c r="K576" i="2"/>
  <c r="J576" i="2"/>
  <c r="H576" i="2" s="1"/>
  <c r="I576" i="2"/>
  <c r="G576" i="2"/>
  <c r="F576" i="2"/>
  <c r="E576" i="2"/>
  <c r="G575" i="2"/>
  <c r="E575" i="2"/>
  <c r="F575" i="2" s="1"/>
  <c r="J575" i="2" s="1"/>
  <c r="H575" i="2" s="1"/>
  <c r="J574" i="2"/>
  <c r="H574" i="2" s="1"/>
  <c r="G574" i="2"/>
  <c r="F574" i="2"/>
  <c r="I574" i="2" s="1"/>
  <c r="E574" i="2"/>
  <c r="K574" i="2" s="1"/>
  <c r="I573" i="2"/>
  <c r="G573" i="2"/>
  <c r="F573" i="2"/>
  <c r="E573" i="2"/>
  <c r="K573" i="2" s="1"/>
  <c r="F572" i="2"/>
  <c r="I572" i="2" s="1"/>
  <c r="E572" i="2"/>
  <c r="E571" i="2"/>
  <c r="G570" i="2"/>
  <c r="F570" i="2"/>
  <c r="E570" i="2"/>
  <c r="K567" i="2"/>
  <c r="F567" i="2"/>
  <c r="E567" i="2"/>
  <c r="E566" i="2"/>
  <c r="G565" i="2"/>
  <c r="E565" i="2"/>
  <c r="F565" i="2" s="1"/>
  <c r="J565" i="2" s="1"/>
  <c r="H565" i="2" s="1"/>
  <c r="K564" i="2"/>
  <c r="J564" i="2"/>
  <c r="H564" i="2" s="1"/>
  <c r="G564" i="2"/>
  <c r="F564" i="2"/>
  <c r="I564" i="2" s="1"/>
  <c r="E564" i="2"/>
  <c r="J563" i="2"/>
  <c r="H563" i="2" s="1"/>
  <c r="I563" i="2"/>
  <c r="G563" i="2"/>
  <c r="F563" i="2"/>
  <c r="E563" i="2"/>
  <c r="K563" i="2" s="1"/>
  <c r="I562" i="2"/>
  <c r="F562" i="2"/>
  <c r="E562" i="2"/>
  <c r="G561" i="2"/>
  <c r="E561" i="2"/>
  <c r="G560" i="2"/>
  <c r="F560" i="2"/>
  <c r="K560" i="2" s="1"/>
  <c r="E560" i="2"/>
  <c r="E559" i="2"/>
  <c r="E558" i="2"/>
  <c r="I557" i="2"/>
  <c r="G557" i="2"/>
  <c r="E557" i="2"/>
  <c r="F557" i="2" s="1"/>
  <c r="J557" i="2" s="1"/>
  <c r="H557" i="2" s="1"/>
  <c r="K556" i="2"/>
  <c r="J556" i="2"/>
  <c r="H556" i="2" s="1"/>
  <c r="I556" i="2"/>
  <c r="G556" i="2"/>
  <c r="F556" i="2"/>
  <c r="E556" i="2"/>
  <c r="J555" i="2"/>
  <c r="H555" i="2" s="1"/>
  <c r="I555" i="2"/>
  <c r="G555" i="2"/>
  <c r="F555" i="2"/>
  <c r="E555" i="2"/>
  <c r="K555" i="2" s="1"/>
  <c r="F554" i="2"/>
  <c r="I554" i="2" s="1"/>
  <c r="E554" i="2"/>
  <c r="J554" i="2" s="1"/>
  <c r="H554" i="2" s="1"/>
  <c r="G553" i="2"/>
  <c r="E553" i="2"/>
  <c r="G552" i="2"/>
  <c r="F552" i="2"/>
  <c r="K552" i="2" s="1"/>
  <c r="E552" i="2"/>
  <c r="K551" i="2"/>
  <c r="G551" i="2"/>
  <c r="F551" i="2"/>
  <c r="E551" i="2"/>
  <c r="G550" i="2"/>
  <c r="E550" i="2"/>
  <c r="E549" i="2"/>
  <c r="G549" i="2" s="1"/>
  <c r="E548" i="2"/>
  <c r="K547" i="2"/>
  <c r="J547" i="2"/>
  <c r="H547" i="2" s="1"/>
  <c r="I547" i="2"/>
  <c r="G547" i="2"/>
  <c r="F547" i="2"/>
  <c r="E547" i="2"/>
  <c r="K546" i="2"/>
  <c r="G546" i="2"/>
  <c r="F546" i="2"/>
  <c r="J546" i="2" s="1"/>
  <c r="H546" i="2" s="1"/>
  <c r="E546" i="2"/>
  <c r="E545" i="2"/>
  <c r="G544" i="2"/>
  <c r="F544" i="2"/>
  <c r="I544" i="2" s="1"/>
  <c r="E544" i="2"/>
  <c r="G543" i="2"/>
  <c r="E543" i="2"/>
  <c r="E542" i="2"/>
  <c r="G542" i="2" s="1"/>
  <c r="E541" i="2"/>
  <c r="G541" i="2" s="1"/>
  <c r="E540" i="2"/>
  <c r="K539" i="2"/>
  <c r="J539" i="2"/>
  <c r="H539" i="2" s="1"/>
  <c r="I539" i="2"/>
  <c r="G539" i="2"/>
  <c r="F539" i="2"/>
  <c r="E539" i="2"/>
  <c r="K538" i="2"/>
  <c r="J538" i="2"/>
  <c r="H538" i="2" s="1"/>
  <c r="I538" i="2"/>
  <c r="G538" i="2"/>
  <c r="F538" i="2"/>
  <c r="E538" i="2"/>
  <c r="G537" i="2"/>
  <c r="F537" i="2"/>
  <c r="J537" i="2" s="1"/>
  <c r="H537" i="2" s="1"/>
  <c r="E537" i="2"/>
  <c r="G536" i="2"/>
  <c r="E536" i="2"/>
  <c r="G535" i="2"/>
  <c r="E535" i="2"/>
  <c r="F535" i="2" s="1"/>
  <c r="K535" i="2" s="1"/>
  <c r="E534" i="2"/>
  <c r="F533" i="2"/>
  <c r="E533" i="2"/>
  <c r="G533" i="2" s="1"/>
  <c r="E532" i="2"/>
  <c r="K531" i="2"/>
  <c r="J531" i="2"/>
  <c r="H531" i="2" s="1"/>
  <c r="I531" i="2"/>
  <c r="G531" i="2"/>
  <c r="F531" i="2"/>
  <c r="E531" i="2"/>
  <c r="I530" i="2"/>
  <c r="G530" i="2"/>
  <c r="F530" i="2"/>
  <c r="J530" i="2" s="1"/>
  <c r="H530" i="2" s="1"/>
  <c r="E530" i="2"/>
  <c r="G529" i="2"/>
  <c r="E529" i="2"/>
  <c r="E528" i="2"/>
  <c r="G528" i="2" s="1"/>
  <c r="E527" i="2"/>
  <c r="G526" i="2"/>
  <c r="E526" i="2"/>
  <c r="E525" i="2"/>
  <c r="E524" i="2"/>
  <c r="G524" i="2" s="1"/>
  <c r="E523" i="2"/>
  <c r="G522" i="2"/>
  <c r="F522" i="2"/>
  <c r="I522" i="2" s="1"/>
  <c r="E522" i="2"/>
  <c r="G521" i="2"/>
  <c r="E521" i="2"/>
  <c r="F521" i="2" s="1"/>
  <c r="K521" i="2" s="1"/>
  <c r="E520" i="2"/>
  <c r="G519" i="2"/>
  <c r="E519" i="2"/>
  <c r="E518" i="2"/>
  <c r="G517" i="2"/>
  <c r="E517" i="2"/>
  <c r="E516" i="2"/>
  <c r="E515" i="2"/>
  <c r="F515" i="2" s="1"/>
  <c r="J514" i="2"/>
  <c r="H514" i="2" s="1"/>
  <c r="G514" i="2"/>
  <c r="F514" i="2"/>
  <c r="E514" i="2"/>
  <c r="E513" i="2"/>
  <c r="G512" i="2"/>
  <c r="E512" i="2"/>
  <c r="E511" i="2"/>
  <c r="G510" i="2"/>
  <c r="E510" i="2"/>
  <c r="E509" i="2"/>
  <c r="E508" i="2"/>
  <c r="G508" i="2" s="1"/>
  <c r="E507" i="2"/>
  <c r="G506" i="2"/>
  <c r="F506" i="2"/>
  <c r="K506" i="2" s="1"/>
  <c r="E506" i="2"/>
  <c r="G505" i="2"/>
  <c r="E505" i="2"/>
  <c r="E503" i="2"/>
  <c r="J501" i="2"/>
  <c r="H501" i="2" s="1"/>
  <c r="G501" i="2"/>
  <c r="F501" i="2"/>
  <c r="E501" i="2"/>
  <c r="I501" i="2" s="1"/>
  <c r="K500" i="2"/>
  <c r="G500" i="2"/>
  <c r="E500" i="2"/>
  <c r="F500" i="2" s="1"/>
  <c r="I500" i="2" s="1"/>
  <c r="F499" i="2"/>
  <c r="J499" i="2" s="1"/>
  <c r="H499" i="2" s="1"/>
  <c r="E499" i="2"/>
  <c r="G499" i="2" s="1"/>
  <c r="E498" i="2"/>
  <c r="F497" i="2"/>
  <c r="K497" i="2" s="1"/>
  <c r="E497" i="2"/>
  <c r="G497" i="2" s="1"/>
  <c r="G496" i="2"/>
  <c r="E496" i="2"/>
  <c r="G495" i="2"/>
  <c r="F495" i="2"/>
  <c r="I495" i="2" s="1"/>
  <c r="E495" i="2"/>
  <c r="E494" i="2"/>
  <c r="J493" i="2"/>
  <c r="H493" i="2" s="1"/>
  <c r="G493" i="2"/>
  <c r="F493" i="2"/>
  <c r="E493" i="2"/>
  <c r="I493" i="2" s="1"/>
  <c r="G492" i="2"/>
  <c r="E492" i="2"/>
  <c r="F492" i="2" s="1"/>
  <c r="I492" i="2" s="1"/>
  <c r="J491" i="2"/>
  <c r="H491" i="2" s="1"/>
  <c r="F491" i="2"/>
  <c r="E491" i="2"/>
  <c r="G491" i="2" s="1"/>
  <c r="G490" i="2"/>
  <c r="E490" i="2"/>
  <c r="F489" i="2"/>
  <c r="E489" i="2"/>
  <c r="G489" i="2" s="1"/>
  <c r="G488" i="2"/>
  <c r="E488" i="2"/>
  <c r="J487" i="2"/>
  <c r="H487" i="2" s="1"/>
  <c r="G487" i="2"/>
  <c r="F487" i="2"/>
  <c r="I487" i="2" s="1"/>
  <c r="E487" i="2"/>
  <c r="K487" i="2" s="1"/>
  <c r="E484" i="2"/>
  <c r="J483" i="2"/>
  <c r="H483" i="2" s="1"/>
  <c r="G483" i="2"/>
  <c r="F483" i="2"/>
  <c r="E483" i="2"/>
  <c r="I483" i="2" s="1"/>
  <c r="I482" i="2"/>
  <c r="G482" i="2"/>
  <c r="E482" i="2"/>
  <c r="F482" i="2" s="1"/>
  <c r="K482" i="2" s="1"/>
  <c r="F481" i="2"/>
  <c r="J481" i="2" s="1"/>
  <c r="H481" i="2" s="1"/>
  <c r="E481" i="2"/>
  <c r="G481" i="2" s="1"/>
  <c r="E480" i="2"/>
  <c r="F479" i="2"/>
  <c r="E479" i="2"/>
  <c r="G479" i="2" s="1"/>
  <c r="G478" i="2"/>
  <c r="E478" i="2"/>
  <c r="J477" i="2"/>
  <c r="H477" i="2" s="1"/>
  <c r="G477" i="2"/>
  <c r="F477" i="2"/>
  <c r="I477" i="2" s="1"/>
  <c r="E477" i="2"/>
  <c r="K477" i="2" s="1"/>
  <c r="E476" i="2"/>
  <c r="J475" i="2"/>
  <c r="H475" i="2" s="1"/>
  <c r="G475" i="2"/>
  <c r="F475" i="2"/>
  <c r="E475" i="2"/>
  <c r="I475" i="2" s="1"/>
  <c r="K474" i="2"/>
  <c r="I474" i="2"/>
  <c r="G474" i="2"/>
  <c r="E474" i="2"/>
  <c r="F474" i="2" s="1"/>
  <c r="J473" i="2"/>
  <c r="H473" i="2" s="1"/>
  <c r="F473" i="2"/>
  <c r="E473" i="2"/>
  <c r="G473" i="2" s="1"/>
  <c r="E472" i="2"/>
  <c r="F471" i="2"/>
  <c r="E471" i="2"/>
  <c r="G471" i="2" s="1"/>
  <c r="G470" i="2"/>
  <c r="E470" i="2"/>
  <c r="J469" i="2"/>
  <c r="H469" i="2" s="1"/>
  <c r="G469" i="2"/>
  <c r="F469" i="2"/>
  <c r="I469" i="2" s="1"/>
  <c r="E469" i="2"/>
  <c r="K469" i="2" s="1"/>
  <c r="E468" i="2"/>
  <c r="J467" i="2"/>
  <c r="H467" i="2" s="1"/>
  <c r="G467" i="2"/>
  <c r="F467" i="2"/>
  <c r="E467" i="2"/>
  <c r="I467" i="2" s="1"/>
  <c r="K466" i="2"/>
  <c r="G466" i="2"/>
  <c r="E466" i="2"/>
  <c r="F466" i="2" s="1"/>
  <c r="I466" i="2" s="1"/>
  <c r="J465" i="2"/>
  <c r="H465" i="2" s="1"/>
  <c r="F465" i="2"/>
  <c r="E465" i="2"/>
  <c r="G465" i="2" s="1"/>
  <c r="E464" i="2"/>
  <c r="G463" i="2"/>
  <c r="F463" i="2"/>
  <c r="E463" i="2"/>
  <c r="G462" i="2"/>
  <c r="E462" i="2"/>
  <c r="J461" i="2"/>
  <c r="H461" i="2" s="1"/>
  <c r="G461" i="2"/>
  <c r="F461" i="2"/>
  <c r="I461" i="2" s="1"/>
  <c r="E461" i="2"/>
  <c r="K461" i="2" s="1"/>
  <c r="E460" i="2"/>
  <c r="J459" i="2"/>
  <c r="H459" i="2" s="1"/>
  <c r="G459" i="2"/>
  <c r="F459" i="2"/>
  <c r="E459" i="2"/>
  <c r="I459" i="2" s="1"/>
  <c r="I458" i="2"/>
  <c r="G458" i="2"/>
  <c r="E458" i="2"/>
  <c r="F458" i="2" s="1"/>
  <c r="K458" i="2" s="1"/>
  <c r="J457" i="2"/>
  <c r="H457" i="2" s="1"/>
  <c r="F457" i="2"/>
  <c r="E457" i="2"/>
  <c r="G457" i="2" s="1"/>
  <c r="E454" i="2"/>
  <c r="G453" i="2"/>
  <c r="F453" i="2"/>
  <c r="E453" i="2"/>
  <c r="E452" i="2"/>
  <c r="G451" i="2"/>
  <c r="F451" i="2"/>
  <c r="E451" i="2"/>
  <c r="E450" i="2"/>
  <c r="J449" i="2"/>
  <c r="H449" i="2" s="1"/>
  <c r="G449" i="2"/>
  <c r="F449" i="2"/>
  <c r="E449" i="2"/>
  <c r="I449" i="2" s="1"/>
  <c r="K448" i="2"/>
  <c r="I448" i="2"/>
  <c r="G448" i="2"/>
  <c r="E448" i="2"/>
  <c r="F448" i="2" s="1"/>
  <c r="J447" i="2"/>
  <c r="H447" i="2" s="1"/>
  <c r="F447" i="2"/>
  <c r="E447" i="2"/>
  <c r="G447" i="2" s="1"/>
  <c r="E446" i="2"/>
  <c r="J445" i="2"/>
  <c r="H445" i="2" s="1"/>
  <c r="G445" i="2"/>
  <c r="F445" i="2"/>
  <c r="E445" i="2"/>
  <c r="E444" i="2"/>
  <c r="G443" i="2"/>
  <c r="F443" i="2"/>
  <c r="E443" i="2"/>
  <c r="G442" i="2"/>
  <c r="E442" i="2"/>
  <c r="G441" i="2"/>
  <c r="F441" i="2"/>
  <c r="J441" i="2" s="1"/>
  <c r="H441" i="2" s="1"/>
  <c r="E441" i="2"/>
  <c r="I440" i="2"/>
  <c r="F440" i="2"/>
  <c r="E440" i="2"/>
  <c r="K440" i="2" s="1"/>
  <c r="E439" i="2"/>
  <c r="G438" i="2"/>
  <c r="E438" i="2"/>
  <c r="J437" i="2"/>
  <c r="H437" i="2" s="1"/>
  <c r="G437" i="2"/>
  <c r="F437" i="2"/>
  <c r="I437" i="2" s="1"/>
  <c r="E437" i="2"/>
  <c r="K436" i="2"/>
  <c r="J436" i="2"/>
  <c r="H436" i="2" s="1"/>
  <c r="I436" i="2"/>
  <c r="G436" i="2"/>
  <c r="E436" i="2"/>
  <c r="F436" i="2" s="1"/>
  <c r="I435" i="2"/>
  <c r="G435" i="2"/>
  <c r="F435" i="2"/>
  <c r="J435" i="2" s="1"/>
  <c r="H435" i="2" s="1"/>
  <c r="E435" i="2"/>
  <c r="K435" i="2" s="1"/>
  <c r="G434" i="2"/>
  <c r="E434" i="2"/>
  <c r="J433" i="2"/>
  <c r="H433" i="2" s="1"/>
  <c r="G433" i="2"/>
  <c r="F433" i="2"/>
  <c r="E433" i="2"/>
  <c r="F432" i="2"/>
  <c r="I432" i="2" s="1"/>
  <c r="E432" i="2"/>
  <c r="E431" i="2"/>
  <c r="G430" i="2"/>
  <c r="E430" i="2"/>
  <c r="K429" i="2"/>
  <c r="G429" i="2"/>
  <c r="F429" i="2"/>
  <c r="I429" i="2" s="1"/>
  <c r="E429" i="2"/>
  <c r="K428" i="2"/>
  <c r="J428" i="2"/>
  <c r="H428" i="2" s="1"/>
  <c r="I428" i="2"/>
  <c r="G428" i="2"/>
  <c r="E428" i="2"/>
  <c r="F428" i="2" s="1"/>
  <c r="I427" i="2"/>
  <c r="G427" i="2"/>
  <c r="F427" i="2"/>
  <c r="J427" i="2" s="1"/>
  <c r="H427" i="2" s="1"/>
  <c r="E427" i="2"/>
  <c r="K427" i="2" s="1"/>
  <c r="G426" i="2"/>
  <c r="E426" i="2"/>
  <c r="J425" i="2"/>
  <c r="H425" i="2" s="1"/>
  <c r="G425" i="2"/>
  <c r="F425" i="2"/>
  <c r="E425" i="2"/>
  <c r="E424" i="2"/>
  <c r="E423" i="2"/>
  <c r="E422" i="2"/>
  <c r="G421" i="2"/>
  <c r="F421" i="2"/>
  <c r="K421" i="2" s="1"/>
  <c r="E421" i="2"/>
  <c r="E420" i="2"/>
  <c r="G419" i="2"/>
  <c r="F419" i="2"/>
  <c r="I419" i="2" s="1"/>
  <c r="E419" i="2"/>
  <c r="I418" i="2"/>
  <c r="G418" i="2"/>
  <c r="F418" i="2"/>
  <c r="K418" i="2" s="1"/>
  <c r="E418" i="2"/>
  <c r="E417" i="2"/>
  <c r="G416" i="2"/>
  <c r="E416" i="2"/>
  <c r="K413" i="2"/>
  <c r="F413" i="2"/>
  <c r="I413" i="2" s="1"/>
  <c r="E413" i="2"/>
  <c r="G413" i="2" s="1"/>
  <c r="J412" i="2"/>
  <c r="H412" i="2" s="1"/>
  <c r="I412" i="2"/>
  <c r="G412" i="2"/>
  <c r="E412" i="2"/>
  <c r="F412" i="2" s="1"/>
  <c r="K412" i="2" s="1"/>
  <c r="G411" i="2"/>
  <c r="F411" i="2"/>
  <c r="I411" i="2" s="1"/>
  <c r="E411" i="2"/>
  <c r="J410" i="2"/>
  <c r="H410" i="2" s="1"/>
  <c r="G410" i="2"/>
  <c r="F410" i="2"/>
  <c r="E410" i="2"/>
  <c r="E409" i="2"/>
  <c r="E408" i="2"/>
  <c r="J407" i="2"/>
  <c r="H407" i="2" s="1"/>
  <c r="G407" i="2"/>
  <c r="F407" i="2"/>
  <c r="E407" i="2"/>
  <c r="K407" i="2" s="1"/>
  <c r="G406" i="2"/>
  <c r="F406" i="2"/>
  <c r="K406" i="2" s="1"/>
  <c r="E406" i="2"/>
  <c r="J406" i="2" s="1"/>
  <c r="H406" i="2" s="1"/>
  <c r="E405" i="2"/>
  <c r="E404" i="2"/>
  <c r="F404" i="2" s="1"/>
  <c r="J403" i="2"/>
  <c r="H403" i="2" s="1"/>
  <c r="I403" i="2"/>
  <c r="G403" i="2"/>
  <c r="F403" i="2"/>
  <c r="K403" i="2" s="1"/>
  <c r="E403" i="2"/>
  <c r="I402" i="2"/>
  <c r="G402" i="2"/>
  <c r="F402" i="2"/>
  <c r="K402" i="2" s="1"/>
  <c r="E402" i="2"/>
  <c r="G401" i="2"/>
  <c r="F401" i="2"/>
  <c r="J401" i="2" s="1"/>
  <c r="H401" i="2" s="1"/>
  <c r="E401" i="2"/>
  <c r="E400" i="2"/>
  <c r="G400" i="2" s="1"/>
  <c r="E399" i="2"/>
  <c r="G398" i="2"/>
  <c r="F398" i="2"/>
  <c r="J398" i="2" s="1"/>
  <c r="H398" i="2" s="1"/>
  <c r="E398" i="2"/>
  <c r="K397" i="2"/>
  <c r="F397" i="2"/>
  <c r="E397" i="2"/>
  <c r="E396" i="2"/>
  <c r="I395" i="2"/>
  <c r="G395" i="2"/>
  <c r="F395" i="2"/>
  <c r="K395" i="2" s="1"/>
  <c r="E395" i="2"/>
  <c r="J394" i="2"/>
  <c r="H394" i="2" s="1"/>
  <c r="F394" i="2"/>
  <c r="K394" i="2" s="1"/>
  <c r="E394" i="2"/>
  <c r="G394" i="2" s="1"/>
  <c r="G393" i="2"/>
  <c r="E393" i="2"/>
  <c r="G392" i="2"/>
  <c r="F392" i="2"/>
  <c r="K392" i="2" s="1"/>
  <c r="E392" i="2"/>
  <c r="G391" i="2"/>
  <c r="E391" i="2"/>
  <c r="G390" i="2"/>
  <c r="E390" i="2"/>
  <c r="F389" i="2"/>
  <c r="K389" i="2" s="1"/>
  <c r="E389" i="2"/>
  <c r="I389" i="2" s="1"/>
  <c r="G388" i="2"/>
  <c r="E388" i="2"/>
  <c r="K385" i="2"/>
  <c r="J385" i="2"/>
  <c r="H385" i="2" s="1"/>
  <c r="I385" i="2"/>
  <c r="G385" i="2"/>
  <c r="F385" i="2"/>
  <c r="E385" i="2"/>
  <c r="E384" i="2"/>
  <c r="G384" i="2" s="1"/>
  <c r="E383" i="2"/>
  <c r="K382" i="2"/>
  <c r="G382" i="2"/>
  <c r="F382" i="2"/>
  <c r="I382" i="2" s="1"/>
  <c r="E382" i="2"/>
  <c r="J382" i="2" s="1"/>
  <c r="H382" i="2" s="1"/>
  <c r="G381" i="2"/>
  <c r="F381" i="2"/>
  <c r="J381" i="2" s="1"/>
  <c r="H381" i="2" s="1"/>
  <c r="E381" i="2"/>
  <c r="E380" i="2"/>
  <c r="E379" i="2"/>
  <c r="E378" i="2"/>
  <c r="I377" i="2"/>
  <c r="G377" i="2"/>
  <c r="F377" i="2"/>
  <c r="K377" i="2" s="1"/>
  <c r="E377" i="2"/>
  <c r="J376" i="2"/>
  <c r="H376" i="2" s="1"/>
  <c r="F376" i="2"/>
  <c r="K376" i="2" s="1"/>
  <c r="E376" i="2"/>
  <c r="G376" i="2" s="1"/>
  <c r="G375" i="2"/>
  <c r="E375" i="2"/>
  <c r="G374" i="2"/>
  <c r="F374" i="2"/>
  <c r="K374" i="2" s="1"/>
  <c r="E374" i="2"/>
  <c r="G373" i="2"/>
  <c r="E373" i="2"/>
  <c r="G372" i="2"/>
  <c r="E372" i="2"/>
  <c r="F371" i="2"/>
  <c r="K371" i="2" s="1"/>
  <c r="E371" i="2"/>
  <c r="I371" i="2" s="1"/>
  <c r="G370" i="2"/>
  <c r="E370" i="2"/>
  <c r="K369" i="2"/>
  <c r="J369" i="2"/>
  <c r="H369" i="2" s="1"/>
  <c r="I369" i="2"/>
  <c r="G369" i="2"/>
  <c r="F369" i="2"/>
  <c r="E369" i="2"/>
  <c r="E368" i="2"/>
  <c r="G368" i="2" s="1"/>
  <c r="E367" i="2"/>
  <c r="K366" i="2"/>
  <c r="G366" i="2"/>
  <c r="F366" i="2"/>
  <c r="I366" i="2" s="1"/>
  <c r="E366" i="2"/>
  <c r="J366" i="2" s="1"/>
  <c r="H366" i="2" s="1"/>
  <c r="G365" i="2"/>
  <c r="F365" i="2"/>
  <c r="J365" i="2" s="1"/>
  <c r="H365" i="2" s="1"/>
  <c r="E365" i="2"/>
  <c r="E364" i="2"/>
  <c r="E363" i="2"/>
  <c r="E362" i="2"/>
  <c r="I361" i="2"/>
  <c r="G361" i="2"/>
  <c r="F361" i="2"/>
  <c r="K361" i="2" s="1"/>
  <c r="E361" i="2"/>
  <c r="J360" i="2"/>
  <c r="H360" i="2" s="1"/>
  <c r="F360" i="2"/>
  <c r="K360" i="2" s="1"/>
  <c r="E360" i="2"/>
  <c r="G360" i="2" s="1"/>
  <c r="G359" i="2"/>
  <c r="E359" i="2"/>
  <c r="G358" i="2"/>
  <c r="F358" i="2"/>
  <c r="K358" i="2" s="1"/>
  <c r="E358" i="2"/>
  <c r="G357" i="2"/>
  <c r="E357" i="2"/>
  <c r="G356" i="2"/>
  <c r="E356" i="2"/>
  <c r="F355" i="2"/>
  <c r="K355" i="2" s="1"/>
  <c r="E355" i="2"/>
  <c r="I355" i="2" s="1"/>
  <c r="G354" i="2"/>
  <c r="E354" i="2"/>
  <c r="K353" i="2"/>
  <c r="J353" i="2"/>
  <c r="H353" i="2" s="1"/>
  <c r="I353" i="2"/>
  <c r="G353" i="2"/>
  <c r="F353" i="2"/>
  <c r="E353" i="2"/>
  <c r="E352" i="2"/>
  <c r="G352" i="2" s="1"/>
  <c r="E351" i="2"/>
  <c r="K350" i="2"/>
  <c r="G350" i="2"/>
  <c r="F350" i="2"/>
  <c r="I350" i="2" s="1"/>
  <c r="E350" i="2"/>
  <c r="J350" i="2" s="1"/>
  <c r="H350" i="2" s="1"/>
  <c r="G349" i="2"/>
  <c r="F349" i="2"/>
  <c r="J349" i="2" s="1"/>
  <c r="H349" i="2" s="1"/>
  <c r="E349" i="2"/>
  <c r="E348" i="2"/>
  <c r="E347" i="2"/>
  <c r="E346" i="2"/>
  <c r="I345" i="2"/>
  <c r="G345" i="2"/>
  <c r="F345" i="2"/>
  <c r="K345" i="2" s="1"/>
  <c r="E345" i="2"/>
  <c r="J344" i="2"/>
  <c r="H344" i="2" s="1"/>
  <c r="F344" i="2"/>
  <c r="K344" i="2" s="1"/>
  <c r="E344" i="2"/>
  <c r="G344" i="2" s="1"/>
  <c r="G343" i="2"/>
  <c r="E343" i="2"/>
  <c r="G342" i="2"/>
  <c r="F342" i="2"/>
  <c r="K342" i="2" s="1"/>
  <c r="E342" i="2"/>
  <c r="G340" i="2"/>
  <c r="E340" i="2"/>
  <c r="G338" i="2"/>
  <c r="E338" i="2"/>
  <c r="F337" i="2"/>
  <c r="K337" i="2" s="1"/>
  <c r="E337" i="2"/>
  <c r="I337" i="2" s="1"/>
  <c r="G336" i="2"/>
  <c r="E336" i="2"/>
  <c r="K335" i="2"/>
  <c r="J335" i="2"/>
  <c r="H335" i="2" s="1"/>
  <c r="G335" i="2"/>
  <c r="F335" i="2"/>
  <c r="I335" i="2" s="1"/>
  <c r="E335" i="2"/>
  <c r="G334" i="2"/>
  <c r="E334" i="2"/>
  <c r="F334" i="2" s="1"/>
  <c r="G333" i="2"/>
  <c r="F333" i="2"/>
  <c r="E333" i="2"/>
  <c r="E332" i="2"/>
  <c r="G331" i="2"/>
  <c r="F331" i="2"/>
  <c r="J331" i="2" s="1"/>
  <c r="H331" i="2" s="1"/>
  <c r="E331" i="2"/>
  <c r="K331" i="2" s="1"/>
  <c r="K330" i="2"/>
  <c r="E330" i="2"/>
  <c r="F330" i="2" s="1"/>
  <c r="G329" i="2"/>
  <c r="E329" i="2"/>
  <c r="K328" i="2"/>
  <c r="I328" i="2"/>
  <c r="G328" i="2"/>
  <c r="F328" i="2"/>
  <c r="J328" i="2" s="1"/>
  <c r="H328" i="2" s="1"/>
  <c r="E328" i="2"/>
  <c r="E327" i="2"/>
  <c r="G326" i="2"/>
  <c r="E326" i="2"/>
  <c r="F326" i="2" s="1"/>
  <c r="G325" i="2"/>
  <c r="F325" i="2"/>
  <c r="E325" i="2"/>
  <c r="E324" i="2"/>
  <c r="G323" i="2"/>
  <c r="F323" i="2"/>
  <c r="J323" i="2" s="1"/>
  <c r="H323" i="2" s="1"/>
  <c r="E323" i="2"/>
  <c r="K323" i="2" s="1"/>
  <c r="E322" i="2"/>
  <c r="F322" i="2" s="1"/>
  <c r="K322" i="2" s="1"/>
  <c r="G321" i="2"/>
  <c r="E321" i="2"/>
  <c r="K320" i="2"/>
  <c r="I320" i="2"/>
  <c r="G320" i="2"/>
  <c r="F320" i="2"/>
  <c r="J320" i="2" s="1"/>
  <c r="H320" i="2" s="1"/>
  <c r="E320" i="2"/>
  <c r="E319" i="2"/>
  <c r="G318" i="2"/>
  <c r="E318" i="2"/>
  <c r="F318" i="2" s="1"/>
  <c r="G317" i="2"/>
  <c r="F317" i="2"/>
  <c r="E317" i="2"/>
  <c r="E316" i="2"/>
  <c r="G315" i="2"/>
  <c r="F315" i="2"/>
  <c r="J315" i="2" s="1"/>
  <c r="H315" i="2" s="1"/>
  <c r="E315" i="2"/>
  <c r="K315" i="2" s="1"/>
  <c r="E314" i="2"/>
  <c r="G313" i="2"/>
  <c r="E313" i="2"/>
  <c r="K312" i="2"/>
  <c r="I312" i="2"/>
  <c r="G312" i="2"/>
  <c r="F312" i="2"/>
  <c r="J312" i="2" s="1"/>
  <c r="H312" i="2" s="1"/>
  <c r="E312" i="2"/>
  <c r="E311" i="2"/>
  <c r="G310" i="2"/>
  <c r="E310" i="2"/>
  <c r="F310" i="2" s="1"/>
  <c r="J310" i="2" s="1"/>
  <c r="H310" i="2" s="1"/>
  <c r="G307" i="2"/>
  <c r="F307" i="2"/>
  <c r="E307" i="2"/>
  <c r="G306" i="2"/>
  <c r="E306" i="2"/>
  <c r="G305" i="2"/>
  <c r="F305" i="2"/>
  <c r="I305" i="2" s="1"/>
  <c r="E305" i="2"/>
  <c r="E304" i="2"/>
  <c r="G303" i="2"/>
  <c r="E303" i="2"/>
  <c r="G302" i="2"/>
  <c r="F302" i="2"/>
  <c r="J302" i="2" s="1"/>
  <c r="H302" i="2" s="1"/>
  <c r="E302" i="2"/>
  <c r="E301" i="2"/>
  <c r="G300" i="2"/>
  <c r="E300" i="2"/>
  <c r="F300" i="2" s="1"/>
  <c r="J300" i="2" s="1"/>
  <c r="H300" i="2" s="1"/>
  <c r="K299" i="2"/>
  <c r="G299" i="2"/>
  <c r="F299" i="2"/>
  <c r="E299" i="2"/>
  <c r="E298" i="2"/>
  <c r="G297" i="2"/>
  <c r="F297" i="2"/>
  <c r="I297" i="2" s="1"/>
  <c r="E297" i="2"/>
  <c r="E296" i="2"/>
  <c r="G295" i="2"/>
  <c r="E295" i="2"/>
  <c r="K294" i="2"/>
  <c r="G294" i="2"/>
  <c r="F294" i="2"/>
  <c r="J294" i="2" s="1"/>
  <c r="H294" i="2" s="1"/>
  <c r="E294" i="2"/>
  <c r="E293" i="2"/>
  <c r="I292" i="2"/>
  <c r="G292" i="2"/>
  <c r="E292" i="2"/>
  <c r="F292" i="2" s="1"/>
  <c r="J292" i="2" s="1"/>
  <c r="H292" i="2" s="1"/>
  <c r="G291" i="2"/>
  <c r="F291" i="2"/>
  <c r="K291" i="2" s="1"/>
  <c r="E291" i="2"/>
  <c r="E290" i="2"/>
  <c r="G287" i="2"/>
  <c r="F287" i="2"/>
  <c r="I287" i="2" s="1"/>
  <c r="E287" i="2"/>
  <c r="E286" i="2"/>
  <c r="G285" i="2"/>
  <c r="E285" i="2"/>
  <c r="G284" i="2"/>
  <c r="F284" i="2"/>
  <c r="J284" i="2" s="1"/>
  <c r="H284" i="2" s="1"/>
  <c r="E284" i="2"/>
  <c r="E283" i="2"/>
  <c r="G282" i="2"/>
  <c r="E282" i="2"/>
  <c r="F282" i="2" s="1"/>
  <c r="J282" i="2" s="1"/>
  <c r="H282" i="2" s="1"/>
  <c r="K281" i="2"/>
  <c r="G281" i="2"/>
  <c r="F281" i="2"/>
  <c r="E281" i="2"/>
  <c r="E280" i="2"/>
  <c r="I279" i="2"/>
  <c r="G279" i="2"/>
  <c r="F279" i="2"/>
  <c r="E279" i="2"/>
  <c r="K279" i="2" s="1"/>
  <c r="E278" i="2"/>
  <c r="G277" i="2"/>
  <c r="E277" i="2"/>
  <c r="G276" i="2"/>
  <c r="F276" i="2"/>
  <c r="J276" i="2" s="1"/>
  <c r="H276" i="2" s="1"/>
  <c r="E276" i="2"/>
  <c r="E275" i="2"/>
  <c r="I274" i="2"/>
  <c r="G274" i="2"/>
  <c r="E274" i="2"/>
  <c r="F274" i="2" s="1"/>
  <c r="J274" i="2" s="1"/>
  <c r="H274" i="2" s="1"/>
  <c r="G273" i="2"/>
  <c r="F273" i="2"/>
  <c r="E273" i="2"/>
  <c r="E272" i="2"/>
  <c r="G271" i="2"/>
  <c r="F271" i="2"/>
  <c r="J271" i="2" s="1"/>
  <c r="H271" i="2" s="1"/>
  <c r="E271" i="2"/>
  <c r="E270" i="2"/>
  <c r="E267" i="2"/>
  <c r="I266" i="2"/>
  <c r="G266" i="2"/>
  <c r="F266" i="2"/>
  <c r="J266" i="2" s="1"/>
  <c r="H266" i="2" s="1"/>
  <c r="E266" i="2"/>
  <c r="E265" i="2"/>
  <c r="G264" i="2"/>
  <c r="E264" i="2"/>
  <c r="K263" i="2"/>
  <c r="I263" i="2"/>
  <c r="G263" i="2"/>
  <c r="F263" i="2"/>
  <c r="J263" i="2" s="1"/>
  <c r="H263" i="2" s="1"/>
  <c r="E263" i="2"/>
  <c r="G262" i="2"/>
  <c r="E262" i="2"/>
  <c r="E261" i="2"/>
  <c r="K260" i="2"/>
  <c r="F260" i="2"/>
  <c r="E260" i="2"/>
  <c r="G259" i="2"/>
  <c r="E259" i="2"/>
  <c r="G258" i="2"/>
  <c r="F258" i="2"/>
  <c r="K258" i="2" s="1"/>
  <c r="E258" i="2"/>
  <c r="E257" i="2"/>
  <c r="G257" i="2" s="1"/>
  <c r="E256" i="2"/>
  <c r="G255" i="2"/>
  <c r="F255" i="2"/>
  <c r="J255" i="2" s="1"/>
  <c r="H255" i="2" s="1"/>
  <c r="E255" i="2"/>
  <c r="E254" i="2"/>
  <c r="E253" i="2"/>
  <c r="E252" i="2"/>
  <c r="E251" i="2"/>
  <c r="K250" i="2"/>
  <c r="J250" i="2"/>
  <c r="H250" i="2" s="1"/>
  <c r="I250" i="2"/>
  <c r="G250" i="2"/>
  <c r="F250" i="2"/>
  <c r="E250" i="2"/>
  <c r="F249" i="2"/>
  <c r="J249" i="2" s="1"/>
  <c r="H249" i="2" s="1"/>
  <c r="E249" i="2"/>
  <c r="G249" i="2" s="1"/>
  <c r="E248" i="2"/>
  <c r="K247" i="2"/>
  <c r="I247" i="2"/>
  <c r="G247" i="2"/>
  <c r="F247" i="2"/>
  <c r="J247" i="2" s="1"/>
  <c r="H247" i="2" s="1"/>
  <c r="E247" i="2"/>
  <c r="G246" i="2"/>
  <c r="E246" i="2"/>
  <c r="E245" i="2"/>
  <c r="K244" i="2"/>
  <c r="F244" i="2"/>
  <c r="E244" i="2"/>
  <c r="G243" i="2"/>
  <c r="E243" i="2"/>
  <c r="G240" i="2"/>
  <c r="F240" i="2"/>
  <c r="K240" i="2" s="1"/>
  <c r="E240" i="2"/>
  <c r="E239" i="2"/>
  <c r="G239" i="2" s="1"/>
  <c r="E238" i="2"/>
  <c r="G237" i="2"/>
  <c r="F237" i="2"/>
  <c r="K237" i="2" s="1"/>
  <c r="E237" i="2"/>
  <c r="J237" i="2" s="1"/>
  <c r="H237" i="2" s="1"/>
  <c r="E236" i="2"/>
  <c r="E235" i="2"/>
  <c r="E234" i="2"/>
  <c r="E233" i="2"/>
  <c r="K232" i="2"/>
  <c r="J232" i="2"/>
  <c r="H232" i="2" s="1"/>
  <c r="I232" i="2"/>
  <c r="G232" i="2"/>
  <c r="F232" i="2"/>
  <c r="E232" i="2"/>
  <c r="F231" i="2"/>
  <c r="E231" i="2"/>
  <c r="G231" i="2" s="1"/>
  <c r="E230" i="2"/>
  <c r="K229" i="2"/>
  <c r="I229" i="2"/>
  <c r="G229" i="2"/>
  <c r="F229" i="2"/>
  <c r="J229" i="2" s="1"/>
  <c r="H229" i="2" s="1"/>
  <c r="E229" i="2"/>
  <c r="G228" i="2"/>
  <c r="E228" i="2"/>
  <c r="E227" i="2"/>
  <c r="K226" i="2"/>
  <c r="F226" i="2"/>
  <c r="E226" i="2"/>
  <c r="G225" i="2"/>
  <c r="E225" i="2"/>
  <c r="G224" i="2"/>
  <c r="F224" i="2"/>
  <c r="K224" i="2" s="1"/>
  <c r="E224" i="2"/>
  <c r="E223" i="2"/>
  <c r="G223" i="2" s="1"/>
  <c r="E222" i="2"/>
  <c r="G221" i="2"/>
  <c r="F221" i="2"/>
  <c r="K221" i="2" s="1"/>
  <c r="E221" i="2"/>
  <c r="J221" i="2" s="1"/>
  <c r="H221" i="2" s="1"/>
  <c r="E220" i="2"/>
  <c r="E219" i="2"/>
  <c r="E216" i="2"/>
  <c r="E215" i="2"/>
  <c r="K214" i="2"/>
  <c r="J214" i="2"/>
  <c r="H214" i="2" s="1"/>
  <c r="I214" i="2"/>
  <c r="G214" i="2"/>
  <c r="F214" i="2"/>
  <c r="E214" i="2"/>
  <c r="F213" i="2"/>
  <c r="E213" i="2"/>
  <c r="G213" i="2" s="1"/>
  <c r="E212" i="2"/>
  <c r="K211" i="2"/>
  <c r="I211" i="2"/>
  <c r="G211" i="2"/>
  <c r="F211" i="2"/>
  <c r="E211" i="2"/>
  <c r="G210" i="2"/>
  <c r="E210" i="2"/>
  <c r="E209" i="2"/>
  <c r="K208" i="2"/>
  <c r="F208" i="2"/>
  <c r="E208" i="2"/>
  <c r="G207" i="2"/>
  <c r="E207" i="2"/>
  <c r="G206" i="2"/>
  <c r="F206" i="2"/>
  <c r="K206" i="2" s="1"/>
  <c r="E206" i="2"/>
  <c r="E205" i="2"/>
  <c r="G205" i="2" s="1"/>
  <c r="E204" i="2"/>
  <c r="G203" i="2"/>
  <c r="F203" i="2"/>
  <c r="E203" i="2"/>
  <c r="J203" i="2" s="1"/>
  <c r="H203" i="2" s="1"/>
  <c r="E202" i="2"/>
  <c r="E201" i="2"/>
  <c r="F200" i="2"/>
  <c r="E200" i="2"/>
  <c r="E199" i="2"/>
  <c r="K198" i="2"/>
  <c r="J198" i="2"/>
  <c r="H198" i="2" s="1"/>
  <c r="I198" i="2"/>
  <c r="G198" i="2"/>
  <c r="F198" i="2"/>
  <c r="E198" i="2"/>
  <c r="F197" i="2"/>
  <c r="E197" i="2"/>
  <c r="G197" i="2" s="1"/>
  <c r="E196" i="2"/>
  <c r="K195" i="2"/>
  <c r="I195" i="2"/>
  <c r="G195" i="2"/>
  <c r="F195" i="2"/>
  <c r="E195" i="2"/>
  <c r="G192" i="2"/>
  <c r="E192" i="2"/>
  <c r="E191" i="2"/>
  <c r="K190" i="2"/>
  <c r="F190" i="2"/>
  <c r="I190" i="2" s="1"/>
  <c r="E190" i="2"/>
  <c r="G189" i="2"/>
  <c r="E189" i="2"/>
  <c r="G188" i="2"/>
  <c r="F188" i="2"/>
  <c r="E188" i="2"/>
  <c r="E187" i="2"/>
  <c r="G187" i="2" s="1"/>
  <c r="E186" i="2"/>
  <c r="G185" i="2"/>
  <c r="F185" i="2"/>
  <c r="E185" i="2"/>
  <c r="J185" i="2" s="1"/>
  <c r="H185" i="2" s="1"/>
  <c r="E184" i="2"/>
  <c r="E183" i="2"/>
  <c r="F182" i="2"/>
  <c r="E182" i="2"/>
  <c r="E181" i="2"/>
  <c r="K180" i="2"/>
  <c r="J180" i="2"/>
  <c r="H180" i="2" s="1"/>
  <c r="I180" i="2"/>
  <c r="G180" i="2"/>
  <c r="F180" i="2"/>
  <c r="E180" i="2"/>
  <c r="F179" i="2"/>
  <c r="J179" i="2" s="1"/>
  <c r="H179" i="2" s="1"/>
  <c r="E179" i="2"/>
  <c r="G179" i="2" s="1"/>
  <c r="E178" i="2"/>
  <c r="G177" i="2"/>
  <c r="F177" i="2"/>
  <c r="K177" i="2" s="1"/>
  <c r="E177" i="2"/>
  <c r="G176" i="2"/>
  <c r="E176" i="2"/>
  <c r="E175" i="2"/>
  <c r="K174" i="2"/>
  <c r="F174" i="2"/>
  <c r="I174" i="2" s="1"/>
  <c r="E174" i="2"/>
  <c r="G173" i="2"/>
  <c r="E173" i="2"/>
  <c r="J172" i="2"/>
  <c r="H172" i="2" s="1"/>
  <c r="G172" i="2"/>
  <c r="F172" i="2"/>
  <c r="E172" i="2"/>
  <c r="E171" i="2"/>
  <c r="G171" i="2" s="1"/>
  <c r="E170" i="2"/>
  <c r="G169" i="2"/>
  <c r="F169" i="2"/>
  <c r="I169" i="2" s="1"/>
  <c r="E169" i="2"/>
  <c r="E168" i="2"/>
  <c r="E167" i="2"/>
  <c r="E166" i="2"/>
  <c r="E165" i="2"/>
  <c r="K164" i="2"/>
  <c r="J164" i="2"/>
  <c r="H164" i="2" s="1"/>
  <c r="I164" i="2"/>
  <c r="G164" i="2"/>
  <c r="F164" i="2"/>
  <c r="E164" i="2"/>
  <c r="J163" i="2"/>
  <c r="H163" i="2" s="1"/>
  <c r="I163" i="2"/>
  <c r="F163" i="2"/>
  <c r="E163" i="2"/>
  <c r="G163" i="2" s="1"/>
  <c r="E162" i="2"/>
  <c r="G162" i="2" s="1"/>
  <c r="K161" i="2"/>
  <c r="I161" i="2"/>
  <c r="G161" i="2"/>
  <c r="F161" i="2"/>
  <c r="E161" i="2"/>
  <c r="G160" i="2"/>
  <c r="E160" i="2"/>
  <c r="E159" i="2"/>
  <c r="E158" i="2"/>
  <c r="G157" i="2"/>
  <c r="F157" i="2"/>
  <c r="K157" i="2" s="1"/>
  <c r="E157" i="2"/>
  <c r="E156" i="2"/>
  <c r="G156" i="2" s="1"/>
  <c r="G155" i="2"/>
  <c r="E155" i="2"/>
  <c r="K154" i="2"/>
  <c r="I154" i="2"/>
  <c r="G154" i="2"/>
  <c r="F154" i="2"/>
  <c r="E154" i="2"/>
  <c r="J154" i="2" s="1"/>
  <c r="H154" i="2" s="1"/>
  <c r="E153" i="2"/>
  <c r="G150" i="2"/>
  <c r="E150" i="2"/>
  <c r="E149" i="2"/>
  <c r="E148" i="2"/>
  <c r="K147" i="2"/>
  <c r="G147" i="2"/>
  <c r="F147" i="2"/>
  <c r="I147" i="2" s="1"/>
  <c r="E147" i="2"/>
  <c r="E146" i="2"/>
  <c r="G146" i="2" s="1"/>
  <c r="E145" i="2"/>
  <c r="G144" i="2"/>
  <c r="F144" i="2"/>
  <c r="I144" i="2" s="1"/>
  <c r="E144" i="2"/>
  <c r="F143" i="2"/>
  <c r="J143" i="2" s="1"/>
  <c r="H143" i="2" s="1"/>
  <c r="E143" i="2"/>
  <c r="K143" i="2" s="1"/>
  <c r="G142" i="2"/>
  <c r="F142" i="2"/>
  <c r="J142" i="2" s="1"/>
  <c r="H142" i="2" s="1"/>
  <c r="E142" i="2"/>
  <c r="I141" i="2"/>
  <c r="F141" i="2"/>
  <c r="K141" i="2" s="1"/>
  <c r="E141" i="2"/>
  <c r="E140" i="2"/>
  <c r="G139" i="2"/>
  <c r="F139" i="2"/>
  <c r="K139" i="2" s="1"/>
  <c r="E139" i="2"/>
  <c r="E138" i="2"/>
  <c r="G138" i="2" s="1"/>
  <c r="G137" i="2"/>
  <c r="E137" i="2"/>
  <c r="K136" i="2"/>
  <c r="I136" i="2"/>
  <c r="G136" i="2"/>
  <c r="F136" i="2"/>
  <c r="E136" i="2"/>
  <c r="J136" i="2" s="1"/>
  <c r="H136" i="2" s="1"/>
  <c r="E135" i="2"/>
  <c r="G134" i="2"/>
  <c r="F134" i="2"/>
  <c r="E134" i="2"/>
  <c r="J134" i="2" s="1"/>
  <c r="H134" i="2" s="1"/>
  <c r="E133" i="2"/>
  <c r="E132" i="2"/>
  <c r="K131" i="2"/>
  <c r="G131" i="2"/>
  <c r="F131" i="2"/>
  <c r="I131" i="2" s="1"/>
  <c r="E131" i="2"/>
  <c r="E130" i="2"/>
  <c r="G130" i="2" s="1"/>
  <c r="E129" i="2"/>
  <c r="G128" i="2"/>
  <c r="F128" i="2"/>
  <c r="I128" i="2" s="1"/>
  <c r="E128" i="2"/>
  <c r="F127" i="2"/>
  <c r="J127" i="2" s="1"/>
  <c r="H127" i="2" s="1"/>
  <c r="E127" i="2"/>
  <c r="K127" i="2" s="1"/>
  <c r="G124" i="2"/>
  <c r="F124" i="2"/>
  <c r="J124" i="2" s="1"/>
  <c r="H124" i="2" s="1"/>
  <c r="E124" i="2"/>
  <c r="I123" i="2"/>
  <c r="F123" i="2"/>
  <c r="K123" i="2" s="1"/>
  <c r="E123" i="2"/>
  <c r="E122" i="2"/>
  <c r="G121" i="2"/>
  <c r="F121" i="2"/>
  <c r="K121" i="2" s="1"/>
  <c r="E121" i="2"/>
  <c r="E120" i="2"/>
  <c r="G120" i="2" s="1"/>
  <c r="G119" i="2"/>
  <c r="E119" i="2"/>
  <c r="K118" i="2"/>
  <c r="I118" i="2"/>
  <c r="G118" i="2"/>
  <c r="F118" i="2"/>
  <c r="E118" i="2"/>
  <c r="J118" i="2" s="1"/>
  <c r="H118" i="2" s="1"/>
  <c r="E117" i="2"/>
  <c r="G116" i="2"/>
  <c r="F116" i="2"/>
  <c r="E116" i="2"/>
  <c r="J116" i="2" s="1"/>
  <c r="H116" i="2" s="1"/>
  <c r="E115" i="2"/>
  <c r="E114" i="2"/>
  <c r="K113" i="2"/>
  <c r="G113" i="2"/>
  <c r="F113" i="2"/>
  <c r="I113" i="2" s="1"/>
  <c r="E113" i="2"/>
  <c r="E112" i="2"/>
  <c r="G112" i="2" s="1"/>
  <c r="E111" i="2"/>
  <c r="G110" i="2"/>
  <c r="F110" i="2"/>
  <c r="I110" i="2" s="1"/>
  <c r="E110" i="2"/>
  <c r="F109" i="2"/>
  <c r="J109" i="2" s="1"/>
  <c r="H109" i="2" s="1"/>
  <c r="E109" i="2"/>
  <c r="K109" i="2" s="1"/>
  <c r="G108" i="2"/>
  <c r="F108" i="2"/>
  <c r="J108" i="2" s="1"/>
  <c r="H108" i="2" s="1"/>
  <c r="E108" i="2"/>
  <c r="I107" i="2"/>
  <c r="F107" i="2"/>
  <c r="K107" i="2" s="1"/>
  <c r="E107" i="2"/>
  <c r="E106" i="2"/>
  <c r="G105" i="2"/>
  <c r="F105" i="2"/>
  <c r="K105" i="2" s="1"/>
  <c r="E105" i="2"/>
  <c r="E104" i="2"/>
  <c r="G104" i="2" s="1"/>
  <c r="G103" i="2"/>
  <c r="E103" i="2"/>
  <c r="K102" i="2"/>
  <c r="I102" i="2"/>
  <c r="G102" i="2"/>
  <c r="F102" i="2"/>
  <c r="E102" i="2"/>
  <c r="J102" i="2" s="1"/>
  <c r="H102" i="2" s="1"/>
  <c r="E101" i="2"/>
  <c r="G100" i="2"/>
  <c r="E100" i="2"/>
  <c r="E99" i="2"/>
  <c r="E98" i="2"/>
  <c r="K97" i="2"/>
  <c r="G97" i="2"/>
  <c r="F97" i="2"/>
  <c r="I97" i="2" s="1"/>
  <c r="E97" i="2"/>
  <c r="E96" i="2"/>
  <c r="G96" i="2" s="1"/>
  <c r="E93" i="2"/>
  <c r="G92" i="2"/>
  <c r="F92" i="2"/>
  <c r="I92" i="2" s="1"/>
  <c r="E92" i="2"/>
  <c r="F91" i="2"/>
  <c r="J91" i="2" s="1"/>
  <c r="H91" i="2" s="1"/>
  <c r="E91" i="2"/>
  <c r="K91" i="2" s="1"/>
  <c r="G90" i="2"/>
  <c r="F90" i="2"/>
  <c r="J90" i="2" s="1"/>
  <c r="H90" i="2" s="1"/>
  <c r="E90" i="2"/>
  <c r="I89" i="2"/>
  <c r="F89" i="2"/>
  <c r="K89" i="2" s="1"/>
  <c r="E89" i="2"/>
  <c r="E88" i="2"/>
  <c r="G87" i="2"/>
  <c r="F87" i="2"/>
  <c r="K87" i="2" s="1"/>
  <c r="E87" i="2"/>
  <c r="E86" i="2"/>
  <c r="G86" i="2" s="1"/>
  <c r="G85" i="2"/>
  <c r="E85" i="2"/>
  <c r="K84" i="2"/>
  <c r="I84" i="2"/>
  <c r="G84" i="2"/>
  <c r="F84" i="2"/>
  <c r="E84" i="2"/>
  <c r="J84" i="2" s="1"/>
  <c r="H84" i="2" s="1"/>
  <c r="E83" i="2"/>
  <c r="G82" i="2"/>
  <c r="E82" i="2"/>
  <c r="E81" i="2"/>
  <c r="E80" i="2"/>
  <c r="K79" i="2"/>
  <c r="G79" i="2"/>
  <c r="F79" i="2"/>
  <c r="I79" i="2" s="1"/>
  <c r="E79" i="2"/>
  <c r="E78" i="2"/>
  <c r="G78" i="2" s="1"/>
  <c r="E77" i="2"/>
  <c r="G76" i="2"/>
  <c r="F76" i="2"/>
  <c r="I76" i="2" s="1"/>
  <c r="E76" i="2"/>
  <c r="J73" i="2"/>
  <c r="H73" i="2" s="1"/>
  <c r="F73" i="2"/>
  <c r="E73" i="2"/>
  <c r="K73" i="2" s="1"/>
  <c r="G72" i="2"/>
  <c r="F72" i="2"/>
  <c r="J72" i="2" s="1"/>
  <c r="H72" i="2" s="1"/>
  <c r="E72" i="2"/>
  <c r="I71" i="2"/>
  <c r="F71" i="2"/>
  <c r="K71" i="2" s="1"/>
  <c r="E71" i="2"/>
  <c r="E70" i="2"/>
  <c r="G69" i="2"/>
  <c r="F69" i="2"/>
  <c r="K69" i="2" s="1"/>
  <c r="E69" i="2"/>
  <c r="E68" i="2"/>
  <c r="G68" i="2" s="1"/>
  <c r="G67" i="2"/>
  <c r="E67" i="2"/>
  <c r="K66" i="2"/>
  <c r="I66" i="2"/>
  <c r="G66" i="2"/>
  <c r="F66" i="2"/>
  <c r="E66" i="2"/>
  <c r="J66" i="2" s="1"/>
  <c r="H66" i="2" s="1"/>
  <c r="E65" i="2"/>
  <c r="G64" i="2"/>
  <c r="E64" i="2"/>
  <c r="E63" i="2"/>
  <c r="E62" i="2"/>
  <c r="K61" i="2"/>
  <c r="G61" i="2"/>
  <c r="F61" i="2"/>
  <c r="I61" i="2" s="1"/>
  <c r="E61" i="2"/>
  <c r="E60" i="2"/>
  <c r="G60" i="2" s="1"/>
  <c r="E59" i="2"/>
  <c r="G58" i="2"/>
  <c r="F58" i="2"/>
  <c r="K58" i="2" s="1"/>
  <c r="E58" i="2"/>
  <c r="J57" i="2"/>
  <c r="H57" i="2" s="1"/>
  <c r="F57" i="2"/>
  <c r="E57" i="2"/>
  <c r="K57" i="2" s="1"/>
  <c r="G54" i="2"/>
  <c r="F54" i="2"/>
  <c r="J54" i="2" s="1"/>
  <c r="H54" i="2" s="1"/>
  <c r="E54" i="2"/>
  <c r="I53" i="2"/>
  <c r="F53" i="2"/>
  <c r="K53" i="2" s="1"/>
  <c r="E53" i="2"/>
  <c r="E52" i="2"/>
  <c r="G51" i="2"/>
  <c r="F51" i="2"/>
  <c r="K51" i="2" s="1"/>
  <c r="E51" i="2"/>
  <c r="E50" i="2"/>
  <c r="G50" i="2" s="1"/>
  <c r="G49" i="2"/>
  <c r="E49" i="2"/>
  <c r="K48" i="2"/>
  <c r="I48" i="2"/>
  <c r="G48" i="2"/>
  <c r="F48" i="2"/>
  <c r="E48" i="2"/>
  <c r="J48" i="2" s="1"/>
  <c r="H48" i="2" s="1"/>
  <c r="E47" i="2"/>
  <c r="F47" i="2" s="1"/>
  <c r="G46" i="2"/>
  <c r="E46" i="2"/>
  <c r="E45" i="2"/>
  <c r="E44" i="2"/>
  <c r="K43" i="2"/>
  <c r="G43" i="2"/>
  <c r="F43" i="2"/>
  <c r="J43" i="2" s="1"/>
  <c r="H43" i="2" s="1"/>
  <c r="E43" i="2"/>
  <c r="E42" i="2"/>
  <c r="G42" i="2" s="1"/>
  <c r="E41" i="2"/>
  <c r="G40" i="2"/>
  <c r="F40" i="2"/>
  <c r="K40" i="2" s="1"/>
  <c r="E40" i="2"/>
  <c r="J39" i="2"/>
  <c r="H39" i="2" s="1"/>
  <c r="F39" i="2"/>
  <c r="E39" i="2"/>
  <c r="K39" i="2" s="1"/>
  <c r="G38" i="2"/>
  <c r="F38" i="2"/>
  <c r="J38" i="2" s="1"/>
  <c r="H38" i="2" s="1"/>
  <c r="E38" i="2"/>
  <c r="I37" i="2"/>
  <c r="F37" i="2"/>
  <c r="K37" i="2" s="1"/>
  <c r="E37" i="2"/>
  <c r="E36" i="2"/>
  <c r="G35" i="2"/>
  <c r="F35" i="2"/>
  <c r="K35" i="2" s="1"/>
  <c r="E35" i="2"/>
  <c r="E32" i="2"/>
  <c r="G32" i="2" s="1"/>
  <c r="G31" i="2"/>
  <c r="E31" i="2"/>
  <c r="K30" i="2"/>
  <c r="I30" i="2"/>
  <c r="G30" i="2"/>
  <c r="F30" i="2"/>
  <c r="E30" i="2"/>
  <c r="J30" i="2" s="1"/>
  <c r="H30" i="2" s="1"/>
  <c r="E29" i="2"/>
  <c r="G28" i="2"/>
  <c r="E28" i="2"/>
  <c r="E27" i="2"/>
  <c r="E26" i="2"/>
  <c r="K25" i="2"/>
  <c r="G25" i="2"/>
  <c r="F25" i="2"/>
  <c r="J25" i="2" s="1"/>
  <c r="H25" i="2" s="1"/>
  <c r="E25" i="2"/>
  <c r="E24" i="2"/>
  <c r="G24" i="2" s="1"/>
  <c r="E23" i="2"/>
  <c r="G22" i="2"/>
  <c r="F22" i="2"/>
  <c r="K22" i="2" s="1"/>
  <c r="E22" i="2"/>
  <c r="J21" i="2"/>
  <c r="H21" i="2" s="1"/>
  <c r="F21" i="2"/>
  <c r="E21" i="2"/>
  <c r="K21" i="2" s="1"/>
  <c r="G20" i="2"/>
  <c r="F20" i="2"/>
  <c r="J20" i="2" s="1"/>
  <c r="H20" i="2" s="1"/>
  <c r="E20" i="2"/>
  <c r="I19" i="2"/>
  <c r="F19" i="2"/>
  <c r="K19" i="2" s="1"/>
  <c r="E19" i="2"/>
  <c r="E18" i="2"/>
  <c r="G17" i="2"/>
  <c r="F17" i="2"/>
  <c r="K17" i="2" s="1"/>
  <c r="E17" i="2"/>
  <c r="E16" i="2"/>
  <c r="G15" i="2"/>
  <c r="E15" i="2"/>
  <c r="F15" i="2" s="1"/>
  <c r="I15" i="2" s="1"/>
  <c r="K14" i="2"/>
  <c r="G14" i="2"/>
  <c r="F14" i="2"/>
  <c r="I14" i="2" s="1"/>
  <c r="E14" i="2"/>
  <c r="J14" i="2" s="1"/>
  <c r="H14" i="2" s="1"/>
  <c r="G13" i="2"/>
  <c r="E13" i="2"/>
  <c r="F13" i="2" s="1"/>
  <c r="J13" i="2" s="1"/>
  <c r="H13" i="2" s="1"/>
  <c r="I12" i="2"/>
  <c r="F12" i="2"/>
  <c r="E12" i="2"/>
  <c r="K12" i="2" s="1"/>
  <c r="E11" i="2"/>
  <c r="F11" i="2" s="1"/>
  <c r="G10" i="2"/>
  <c r="E10" i="2"/>
  <c r="G9" i="2"/>
  <c r="F9" i="2"/>
  <c r="K9" i="2" s="1"/>
  <c r="E9" i="2"/>
  <c r="E8" i="2"/>
  <c r="G7" i="2"/>
  <c r="E7" i="2"/>
  <c r="K6" i="2"/>
  <c r="G6" i="2"/>
  <c r="F6" i="2"/>
  <c r="I6" i="2" s="1"/>
  <c r="E6" i="2"/>
  <c r="J6" i="2" s="1"/>
  <c r="H6" i="2" s="1"/>
  <c r="E5" i="2"/>
  <c r="F5" i="2" s="1"/>
  <c r="J5" i="2" s="1"/>
  <c r="H5" i="2" s="1"/>
  <c r="E4" i="2"/>
  <c r="G4" i="2" s="1"/>
  <c r="E3" i="2"/>
  <c r="K45" i="2" l="1"/>
  <c r="K133" i="2"/>
  <c r="K99" i="2"/>
  <c r="I166" i="2"/>
  <c r="G5" i="2"/>
  <c r="I36" i="2"/>
  <c r="F36" i="2"/>
  <c r="J36" i="2" s="1"/>
  <c r="H36" i="2" s="1"/>
  <c r="K47" i="2"/>
  <c r="F3" i="2"/>
  <c r="K3" i="2" s="1"/>
  <c r="G12" i="2"/>
  <c r="J15" i="2"/>
  <c r="H15" i="2" s="1"/>
  <c r="G18" i="2"/>
  <c r="I22" i="2"/>
  <c r="F24" i="2"/>
  <c r="I24" i="2" s="1"/>
  <c r="I25" i="2"/>
  <c r="G27" i="2"/>
  <c r="I40" i="2"/>
  <c r="I43" i="2"/>
  <c r="G52" i="2"/>
  <c r="I58" i="2"/>
  <c r="J63" i="2"/>
  <c r="H63" i="2" s="1"/>
  <c r="G63" i="2"/>
  <c r="G3" i="2"/>
  <c r="I5" i="2"/>
  <c r="F10" i="2"/>
  <c r="G11" i="2"/>
  <c r="I13" i="2"/>
  <c r="K15" i="2"/>
  <c r="K20" i="2"/>
  <c r="F27" i="2"/>
  <c r="I27" i="2" s="1"/>
  <c r="K38" i="2"/>
  <c r="F45" i="2"/>
  <c r="I45" i="2" s="1"/>
  <c r="K54" i="2"/>
  <c r="J61" i="2"/>
  <c r="H61" i="2" s="1"/>
  <c r="F63" i="2"/>
  <c r="I63" i="2" s="1"/>
  <c r="K72" i="2"/>
  <c r="K76" i="2"/>
  <c r="J79" i="2"/>
  <c r="H79" i="2" s="1"/>
  <c r="F81" i="2"/>
  <c r="I81" i="2" s="1"/>
  <c r="K90" i="2"/>
  <c r="K92" i="2"/>
  <c r="J97" i="2"/>
  <c r="H97" i="2" s="1"/>
  <c r="F99" i="2"/>
  <c r="I99" i="2" s="1"/>
  <c r="K108" i="2"/>
  <c r="K110" i="2"/>
  <c r="J113" i="2"/>
  <c r="H113" i="2" s="1"/>
  <c r="F115" i="2"/>
  <c r="I115" i="2" s="1"/>
  <c r="K124" i="2"/>
  <c r="K128" i="2"/>
  <c r="J131" i="2"/>
  <c r="H131" i="2" s="1"/>
  <c r="F133" i="2"/>
  <c r="I133" i="2" s="1"/>
  <c r="K142" i="2"/>
  <c r="K144" i="2"/>
  <c r="J147" i="2"/>
  <c r="H147" i="2" s="1"/>
  <c r="F149" i="2"/>
  <c r="I149" i="2" s="1"/>
  <c r="F166" i="2"/>
  <c r="J169" i="2"/>
  <c r="H169" i="2" s="1"/>
  <c r="I177" i="2"/>
  <c r="J182" i="2"/>
  <c r="H182" i="2" s="1"/>
  <c r="G182" i="2"/>
  <c r="I182" i="2"/>
  <c r="K182" i="2"/>
  <c r="K185" i="2"/>
  <c r="I185" i="2"/>
  <c r="J200" i="2"/>
  <c r="H200" i="2" s="1"/>
  <c r="G200" i="2"/>
  <c r="I200" i="2"/>
  <c r="K200" i="2"/>
  <c r="F23" i="2"/>
  <c r="K23" i="2" s="1"/>
  <c r="F41" i="2"/>
  <c r="K41" i="2" s="1"/>
  <c r="F93" i="2"/>
  <c r="K93" i="2" s="1"/>
  <c r="F111" i="2"/>
  <c r="K111" i="2"/>
  <c r="F129" i="2"/>
  <c r="K129" i="2"/>
  <c r="F145" i="2"/>
  <c r="K145" i="2"/>
  <c r="I159" i="2"/>
  <c r="K188" i="2"/>
  <c r="J188" i="2"/>
  <c r="H188" i="2" s="1"/>
  <c r="I188" i="2"/>
  <c r="F59" i="2"/>
  <c r="K59" i="2"/>
  <c r="I65" i="2"/>
  <c r="F77" i="2"/>
  <c r="K77" i="2" s="1"/>
  <c r="I3" i="2"/>
  <c r="K5" i="2"/>
  <c r="J12" i="2"/>
  <c r="H12" i="2" s="1"/>
  <c r="G23" i="2"/>
  <c r="J24" i="2"/>
  <c r="H24" i="2" s="1"/>
  <c r="F29" i="2"/>
  <c r="I29" i="2" s="1"/>
  <c r="K36" i="2"/>
  <c r="F44" i="2"/>
  <c r="I62" i="2"/>
  <c r="F62" i="2"/>
  <c r="G77" i="2"/>
  <c r="I98" i="2"/>
  <c r="F98" i="2"/>
  <c r="F101" i="2"/>
  <c r="K101" i="2" s="1"/>
  <c r="G111" i="2"/>
  <c r="F114" i="2"/>
  <c r="F117" i="2"/>
  <c r="K117" i="2" s="1"/>
  <c r="G129" i="2"/>
  <c r="F132" i="2"/>
  <c r="F135" i="2"/>
  <c r="K135" i="2" s="1"/>
  <c r="G145" i="2"/>
  <c r="F148" i="2"/>
  <c r="F153" i="2"/>
  <c r="K153" i="2" s="1"/>
  <c r="F159" i="2"/>
  <c r="K159" i="2" s="1"/>
  <c r="F178" i="2"/>
  <c r="J178" i="2" s="1"/>
  <c r="H178" i="2" s="1"/>
  <c r="G178" i="2"/>
  <c r="G191" i="2"/>
  <c r="J213" i="2"/>
  <c r="H213" i="2" s="1"/>
  <c r="I213" i="2"/>
  <c r="K213" i="2"/>
  <c r="J216" i="2"/>
  <c r="H216" i="2" s="1"/>
  <c r="G216" i="2"/>
  <c r="I216" i="2"/>
  <c r="F216" i="2"/>
  <c r="K216" i="2"/>
  <c r="I47" i="2"/>
  <c r="F8" i="2"/>
  <c r="J8" i="2" s="1"/>
  <c r="H8" i="2" s="1"/>
  <c r="I11" i="2"/>
  <c r="K13" i="2"/>
  <c r="F16" i="2"/>
  <c r="J16" i="2" s="1"/>
  <c r="H16" i="2" s="1"/>
  <c r="F26" i="2"/>
  <c r="I26" i="2" s="1"/>
  <c r="G41" i="2"/>
  <c r="G59" i="2"/>
  <c r="F65" i="2"/>
  <c r="I80" i="2"/>
  <c r="F80" i="2"/>
  <c r="F83" i="2"/>
  <c r="I83" i="2" s="1"/>
  <c r="G93" i="2"/>
  <c r="F7" i="2"/>
  <c r="I7" i="2" s="1"/>
  <c r="G8" i="2"/>
  <c r="J11" i="2"/>
  <c r="H11" i="2" s="1"/>
  <c r="G16" i="2"/>
  <c r="I17" i="2"/>
  <c r="J19" i="2"/>
  <c r="H19" i="2" s="1"/>
  <c r="G19" i="2"/>
  <c r="I20" i="2"/>
  <c r="J22" i="2"/>
  <c r="H22" i="2" s="1"/>
  <c r="K24" i="2"/>
  <c r="G26" i="2"/>
  <c r="K27" i="2"/>
  <c r="G29" i="2"/>
  <c r="F32" i="2"/>
  <c r="K32" i="2" s="1"/>
  <c r="I35" i="2"/>
  <c r="J37" i="2"/>
  <c r="H37" i="2" s="1"/>
  <c r="G37" i="2"/>
  <c r="I38" i="2"/>
  <c r="J40" i="2"/>
  <c r="H40" i="2" s="1"/>
  <c r="G44" i="2"/>
  <c r="G47" i="2"/>
  <c r="F50" i="2"/>
  <c r="I51" i="2"/>
  <c r="J53" i="2"/>
  <c r="H53" i="2" s="1"/>
  <c r="G53" i="2"/>
  <c r="I54" i="2"/>
  <c r="J58" i="2"/>
  <c r="H58" i="2" s="1"/>
  <c r="G62" i="2"/>
  <c r="K63" i="2"/>
  <c r="G65" i="2"/>
  <c r="F68" i="2"/>
  <c r="I69" i="2"/>
  <c r="J71" i="2"/>
  <c r="H71" i="2" s="1"/>
  <c r="G71" i="2"/>
  <c r="I72" i="2"/>
  <c r="J76" i="2"/>
  <c r="H76" i="2" s="1"/>
  <c r="G80" i="2"/>
  <c r="G83" i="2"/>
  <c r="F86" i="2"/>
  <c r="I87" i="2"/>
  <c r="J89" i="2"/>
  <c r="H89" i="2" s="1"/>
  <c r="G89" i="2"/>
  <c r="I90" i="2"/>
  <c r="J92" i="2"/>
  <c r="H92" i="2" s="1"/>
  <c r="G98" i="2"/>
  <c r="G101" i="2"/>
  <c r="F104" i="2"/>
  <c r="I105" i="2"/>
  <c r="J107" i="2"/>
  <c r="H107" i="2" s="1"/>
  <c r="G107" i="2"/>
  <c r="I108" i="2"/>
  <c r="J110" i="2"/>
  <c r="H110" i="2" s="1"/>
  <c r="G114" i="2"/>
  <c r="G117" i="2"/>
  <c r="F120" i="2"/>
  <c r="I121" i="2"/>
  <c r="J123" i="2"/>
  <c r="H123" i="2" s="1"/>
  <c r="G123" i="2"/>
  <c r="I124" i="2"/>
  <c r="J128" i="2"/>
  <c r="H128" i="2" s="1"/>
  <c r="G132" i="2"/>
  <c r="G135" i="2"/>
  <c r="F138" i="2"/>
  <c r="I139" i="2"/>
  <c r="J141" i="2"/>
  <c r="H141" i="2" s="1"/>
  <c r="G141" i="2"/>
  <c r="I142" i="2"/>
  <c r="J144" i="2"/>
  <c r="H144" i="2" s="1"/>
  <c r="G148" i="2"/>
  <c r="G153" i="2"/>
  <c r="F156" i="2"/>
  <c r="I157" i="2"/>
  <c r="G159" i="2"/>
  <c r="K167" i="2"/>
  <c r="G167" i="2"/>
  <c r="F167" i="2"/>
  <c r="K169" i="2"/>
  <c r="F191" i="2"/>
  <c r="K191" i="2" s="1"/>
  <c r="I9" i="2"/>
  <c r="K11" i="2"/>
  <c r="J17" i="2"/>
  <c r="H17" i="2" s="1"/>
  <c r="I23" i="2"/>
  <c r="J35" i="2"/>
  <c r="H35" i="2" s="1"/>
  <c r="I41" i="2"/>
  <c r="K46" i="2"/>
  <c r="J51" i="2"/>
  <c r="H51" i="2" s="1"/>
  <c r="I59" i="2"/>
  <c r="J69" i="2"/>
  <c r="H69" i="2" s="1"/>
  <c r="I77" i="2"/>
  <c r="J87" i="2"/>
  <c r="H87" i="2" s="1"/>
  <c r="I93" i="2"/>
  <c r="K100" i="2"/>
  <c r="J105" i="2"/>
  <c r="H105" i="2" s="1"/>
  <c r="I111" i="2"/>
  <c r="K116" i="2"/>
  <c r="J121" i="2"/>
  <c r="H121" i="2" s="1"/>
  <c r="I129" i="2"/>
  <c r="K134" i="2"/>
  <c r="J139" i="2"/>
  <c r="H139" i="2" s="1"/>
  <c r="I145" i="2"/>
  <c r="J157" i="2"/>
  <c r="H157" i="2" s="1"/>
  <c r="J159" i="2"/>
  <c r="H159" i="2" s="1"/>
  <c r="K172" i="2"/>
  <c r="I172" i="2"/>
  <c r="I8" i="2"/>
  <c r="J9" i="2"/>
  <c r="H9" i="2" s="1"/>
  <c r="I16" i="2"/>
  <c r="I21" i="2"/>
  <c r="J23" i="2"/>
  <c r="H23" i="2" s="1"/>
  <c r="F28" i="2"/>
  <c r="J28" i="2" s="1"/>
  <c r="H28" i="2" s="1"/>
  <c r="J29" i="2"/>
  <c r="H29" i="2" s="1"/>
  <c r="F31" i="2"/>
  <c r="J31" i="2" s="1"/>
  <c r="H31" i="2" s="1"/>
  <c r="K31" i="2"/>
  <c r="I39" i="2"/>
  <c r="J41" i="2"/>
  <c r="H41" i="2" s="1"/>
  <c r="F46" i="2"/>
  <c r="J46" i="2" s="1"/>
  <c r="H46" i="2" s="1"/>
  <c r="J47" i="2"/>
  <c r="H47" i="2" s="1"/>
  <c r="F49" i="2"/>
  <c r="J49" i="2" s="1"/>
  <c r="H49" i="2" s="1"/>
  <c r="I57" i="2"/>
  <c r="J59" i="2"/>
  <c r="H59" i="2" s="1"/>
  <c r="F64" i="2"/>
  <c r="J64" i="2" s="1"/>
  <c r="H64" i="2" s="1"/>
  <c r="J65" i="2"/>
  <c r="H65" i="2" s="1"/>
  <c r="F67" i="2"/>
  <c r="J67" i="2" s="1"/>
  <c r="H67" i="2" s="1"/>
  <c r="K67" i="2"/>
  <c r="I73" i="2"/>
  <c r="J77" i="2"/>
  <c r="H77" i="2" s="1"/>
  <c r="F82" i="2"/>
  <c r="K82" i="2" s="1"/>
  <c r="J83" i="2"/>
  <c r="H83" i="2" s="1"/>
  <c r="F85" i="2"/>
  <c r="J85" i="2" s="1"/>
  <c r="H85" i="2" s="1"/>
  <c r="K85" i="2"/>
  <c r="I91" i="2"/>
  <c r="J93" i="2"/>
  <c r="H93" i="2" s="1"/>
  <c r="F100" i="2"/>
  <c r="J100" i="2" s="1"/>
  <c r="H100" i="2" s="1"/>
  <c r="J101" i="2"/>
  <c r="H101" i="2" s="1"/>
  <c r="F103" i="2"/>
  <c r="J103" i="2" s="1"/>
  <c r="H103" i="2" s="1"/>
  <c r="K103" i="2"/>
  <c r="I109" i="2"/>
  <c r="J111" i="2"/>
  <c r="H111" i="2" s="1"/>
  <c r="J117" i="2"/>
  <c r="H117" i="2" s="1"/>
  <c r="F119" i="2"/>
  <c r="J119" i="2" s="1"/>
  <c r="H119" i="2" s="1"/>
  <c r="K119" i="2"/>
  <c r="I127" i="2"/>
  <c r="J129" i="2"/>
  <c r="H129" i="2" s="1"/>
  <c r="J135" i="2"/>
  <c r="H135" i="2" s="1"/>
  <c r="F137" i="2"/>
  <c r="J137" i="2" s="1"/>
  <c r="H137" i="2" s="1"/>
  <c r="K137" i="2"/>
  <c r="I143" i="2"/>
  <c r="J145" i="2"/>
  <c r="H145" i="2" s="1"/>
  <c r="F150" i="2"/>
  <c r="J150" i="2" s="1"/>
  <c r="H150" i="2" s="1"/>
  <c r="J153" i="2"/>
  <c r="H153" i="2" s="1"/>
  <c r="F155" i="2"/>
  <c r="J155" i="2" s="1"/>
  <c r="H155" i="2" s="1"/>
  <c r="K155" i="2"/>
  <c r="F165" i="2"/>
  <c r="I165" i="2" s="1"/>
  <c r="G165" i="2"/>
  <c r="F4" i="2"/>
  <c r="I4" i="2" s="1"/>
  <c r="I18" i="2"/>
  <c r="F18" i="2"/>
  <c r="J18" i="2" s="1"/>
  <c r="H18" i="2" s="1"/>
  <c r="K65" i="2"/>
  <c r="K83" i="2"/>
  <c r="F88" i="2"/>
  <c r="J88" i="2" s="1"/>
  <c r="H88" i="2" s="1"/>
  <c r="F106" i="2"/>
  <c r="K106" i="2" s="1"/>
  <c r="I122" i="2"/>
  <c r="F122" i="2"/>
  <c r="K122" i="2" s="1"/>
  <c r="F140" i="2"/>
  <c r="J140" i="2" s="1"/>
  <c r="H140" i="2" s="1"/>
  <c r="G158" i="2"/>
  <c r="J158" i="2"/>
  <c r="H158" i="2" s="1"/>
  <c r="F158" i="2"/>
  <c r="I158" i="2" s="1"/>
  <c r="I168" i="2"/>
  <c r="F168" i="2"/>
  <c r="K168" i="2"/>
  <c r="J168" i="2"/>
  <c r="H168" i="2" s="1"/>
  <c r="G168" i="2"/>
  <c r="K175" i="2"/>
  <c r="G175" i="2"/>
  <c r="I175" i="2"/>
  <c r="F184" i="2"/>
  <c r="I184" i="2" s="1"/>
  <c r="K184" i="2"/>
  <c r="J184" i="2"/>
  <c r="H184" i="2" s="1"/>
  <c r="G184" i="2"/>
  <c r="K29" i="2"/>
  <c r="I52" i="2"/>
  <c r="F52" i="2"/>
  <c r="J52" i="2" s="1"/>
  <c r="H52" i="2" s="1"/>
  <c r="F70" i="2"/>
  <c r="J70" i="2" s="1"/>
  <c r="H70" i="2" s="1"/>
  <c r="G21" i="2"/>
  <c r="G36" i="2"/>
  <c r="G39" i="2"/>
  <c r="F42" i="2"/>
  <c r="I42" i="2" s="1"/>
  <c r="J45" i="2"/>
  <c r="H45" i="2" s="1"/>
  <c r="G45" i="2"/>
  <c r="I46" i="2"/>
  <c r="K50" i="2"/>
  <c r="G57" i="2"/>
  <c r="F60" i="2"/>
  <c r="I60" i="2" s="1"/>
  <c r="K68" i="2"/>
  <c r="G70" i="2"/>
  <c r="G73" i="2"/>
  <c r="F78" i="2"/>
  <c r="I78" i="2" s="1"/>
  <c r="J81" i="2"/>
  <c r="H81" i="2" s="1"/>
  <c r="G81" i="2"/>
  <c r="I82" i="2"/>
  <c r="K86" i="2"/>
  <c r="G88" i="2"/>
  <c r="G91" i="2"/>
  <c r="F96" i="2"/>
  <c r="J96" i="2" s="1"/>
  <c r="H96" i="2" s="1"/>
  <c r="J99" i="2"/>
  <c r="H99" i="2" s="1"/>
  <c r="G99" i="2"/>
  <c r="I100" i="2"/>
  <c r="K104" i="2"/>
  <c r="G106" i="2"/>
  <c r="G109" i="2"/>
  <c r="F112" i="2"/>
  <c r="I112" i="2" s="1"/>
  <c r="J115" i="2"/>
  <c r="H115" i="2" s="1"/>
  <c r="G115" i="2"/>
  <c r="I116" i="2"/>
  <c r="K120" i="2"/>
  <c r="G122" i="2"/>
  <c r="G127" i="2"/>
  <c r="F130" i="2"/>
  <c r="J130" i="2" s="1"/>
  <c r="H130" i="2" s="1"/>
  <c r="J133" i="2"/>
  <c r="H133" i="2" s="1"/>
  <c r="G133" i="2"/>
  <c r="I134" i="2"/>
  <c r="K138" i="2"/>
  <c r="G140" i="2"/>
  <c r="G143" i="2"/>
  <c r="F146" i="2"/>
  <c r="J146" i="2" s="1"/>
  <c r="H146" i="2" s="1"/>
  <c r="J149" i="2"/>
  <c r="H149" i="2" s="1"/>
  <c r="G149" i="2"/>
  <c r="K156" i="2"/>
  <c r="F162" i="2"/>
  <c r="I162" i="2" s="1"/>
  <c r="J162" i="2"/>
  <c r="H162" i="2" s="1"/>
  <c r="J166" i="2"/>
  <c r="H166" i="2" s="1"/>
  <c r="G166" i="2"/>
  <c r="K166" i="2"/>
  <c r="F175" i="2"/>
  <c r="J175" i="2" s="1"/>
  <c r="H175" i="2" s="1"/>
  <c r="I179" i="2"/>
  <c r="J197" i="2"/>
  <c r="H197" i="2" s="1"/>
  <c r="I197" i="2"/>
  <c r="K199" i="2"/>
  <c r="K203" i="2"/>
  <c r="I203" i="2"/>
  <c r="K209" i="2"/>
  <c r="G209" i="2"/>
  <c r="F209" i="2"/>
  <c r="J209" i="2"/>
  <c r="H209" i="2" s="1"/>
  <c r="I209" i="2"/>
  <c r="J231" i="2"/>
  <c r="H231" i="2" s="1"/>
  <c r="I231" i="2"/>
  <c r="K231" i="2"/>
  <c r="J161" i="2"/>
  <c r="H161" i="2" s="1"/>
  <c r="K163" i="2"/>
  <c r="F171" i="2"/>
  <c r="K171" i="2" s="1"/>
  <c r="J174" i="2"/>
  <c r="H174" i="2" s="1"/>
  <c r="G174" i="2"/>
  <c r="J177" i="2"/>
  <c r="H177" i="2" s="1"/>
  <c r="K179" i="2"/>
  <c r="G181" i="2"/>
  <c r="F187" i="2"/>
  <c r="K187" i="2" s="1"/>
  <c r="J190" i="2"/>
  <c r="H190" i="2" s="1"/>
  <c r="G190" i="2"/>
  <c r="J195" i="2"/>
  <c r="H195" i="2" s="1"/>
  <c r="K197" i="2"/>
  <c r="G199" i="2"/>
  <c r="G202" i="2"/>
  <c r="F205" i="2"/>
  <c r="K205" i="2" s="1"/>
  <c r="I206" i="2"/>
  <c r="J208" i="2"/>
  <c r="H208" i="2" s="1"/>
  <c r="G208" i="2"/>
  <c r="J211" i="2"/>
  <c r="H211" i="2" s="1"/>
  <c r="G215" i="2"/>
  <c r="G220" i="2"/>
  <c r="I221" i="2"/>
  <c r="F223" i="2"/>
  <c r="K223" i="2" s="1"/>
  <c r="I224" i="2"/>
  <c r="J226" i="2"/>
  <c r="H226" i="2" s="1"/>
  <c r="G226" i="2"/>
  <c r="G233" i="2"/>
  <c r="G236" i="2"/>
  <c r="I237" i="2"/>
  <c r="F239" i="2"/>
  <c r="K239" i="2" s="1"/>
  <c r="I240" i="2"/>
  <c r="J244" i="2"/>
  <c r="H244" i="2" s="1"/>
  <c r="G244" i="2"/>
  <c r="K249" i="2"/>
  <c r="G251" i="2"/>
  <c r="G254" i="2"/>
  <c r="I255" i="2"/>
  <c r="F257" i="2"/>
  <c r="K257" i="2" s="1"/>
  <c r="I258" i="2"/>
  <c r="J260" i="2"/>
  <c r="H260" i="2" s="1"/>
  <c r="G260" i="2"/>
  <c r="F270" i="2"/>
  <c r="K270" i="2" s="1"/>
  <c r="G272" i="2"/>
  <c r="K283" i="2"/>
  <c r="I283" i="2"/>
  <c r="G283" i="2"/>
  <c r="F283" i="2"/>
  <c r="J283" i="2" s="1"/>
  <c r="H283" i="2" s="1"/>
  <c r="F296" i="2"/>
  <c r="K296" i="2" s="1"/>
  <c r="G296" i="2"/>
  <c r="G298" i="2"/>
  <c r="I302" i="2"/>
  <c r="K305" i="2"/>
  <c r="I307" i="2"/>
  <c r="J307" i="2"/>
  <c r="H307" i="2" s="1"/>
  <c r="J326" i="2"/>
  <c r="H326" i="2" s="1"/>
  <c r="I326" i="2"/>
  <c r="I196" i="2"/>
  <c r="J206" i="2"/>
  <c r="H206" i="2" s="1"/>
  <c r="J224" i="2"/>
  <c r="H224" i="2" s="1"/>
  <c r="K235" i="2"/>
  <c r="J240" i="2"/>
  <c r="H240" i="2" s="1"/>
  <c r="K253" i="2"/>
  <c r="K255" i="2"/>
  <c r="J258" i="2"/>
  <c r="H258" i="2" s="1"/>
  <c r="I276" i="2"/>
  <c r="I281" i="2"/>
  <c r="J281" i="2"/>
  <c r="H281" i="2" s="1"/>
  <c r="I300" i="2"/>
  <c r="K302" i="2"/>
  <c r="I317" i="2"/>
  <c r="K317" i="2"/>
  <c r="J317" i="2"/>
  <c r="H317" i="2" s="1"/>
  <c r="G332" i="2"/>
  <c r="F332" i="2"/>
  <c r="K332" i="2"/>
  <c r="J332" i="2"/>
  <c r="H332" i="2" s="1"/>
  <c r="I332" i="2"/>
  <c r="F170" i="2"/>
  <c r="K170" i="2" s="1"/>
  <c r="F183" i="2"/>
  <c r="F186" i="2"/>
  <c r="K186" i="2" s="1"/>
  <c r="I187" i="2"/>
  <c r="F201" i="2"/>
  <c r="K201" i="2" s="1"/>
  <c r="F204" i="2"/>
  <c r="K204" i="2" s="1"/>
  <c r="I205" i="2"/>
  <c r="I210" i="2"/>
  <c r="F219" i="2"/>
  <c r="K219" i="2" s="1"/>
  <c r="F222" i="2"/>
  <c r="K222" i="2"/>
  <c r="I223" i="2"/>
  <c r="I228" i="2"/>
  <c r="F235" i="2"/>
  <c r="F238" i="2"/>
  <c r="K238" i="2" s="1"/>
  <c r="I239" i="2"/>
  <c r="F253" i="2"/>
  <c r="F256" i="2"/>
  <c r="K256" i="2"/>
  <c r="I257" i="2"/>
  <c r="I262" i="2"/>
  <c r="G265" i="2"/>
  <c r="K276" i="2"/>
  <c r="F290" i="2"/>
  <c r="J290" i="2" s="1"/>
  <c r="H290" i="2" s="1"/>
  <c r="K290" i="2"/>
  <c r="I290" i="2"/>
  <c r="K301" i="2"/>
  <c r="I301" i="2"/>
  <c r="G301" i="2"/>
  <c r="F301" i="2"/>
  <c r="J301" i="2" s="1"/>
  <c r="H301" i="2" s="1"/>
  <c r="F314" i="2"/>
  <c r="J314" i="2"/>
  <c r="H314" i="2" s="1"/>
  <c r="I314" i="2"/>
  <c r="G314" i="2"/>
  <c r="F160" i="2"/>
  <c r="G170" i="2"/>
  <c r="I173" i="2"/>
  <c r="F173" i="2"/>
  <c r="F176" i="2"/>
  <c r="G183" i="2"/>
  <c r="G186" i="2"/>
  <c r="J187" i="2"/>
  <c r="H187" i="2" s="1"/>
  <c r="F189" i="2"/>
  <c r="I189" i="2" s="1"/>
  <c r="F192" i="2"/>
  <c r="I192" i="2" s="1"/>
  <c r="G201" i="2"/>
  <c r="G204" i="2"/>
  <c r="J205" i="2"/>
  <c r="H205" i="2" s="1"/>
  <c r="F207" i="2"/>
  <c r="I208" i="2"/>
  <c r="F210" i="2"/>
  <c r="G219" i="2"/>
  <c r="G222" i="2"/>
  <c r="J223" i="2"/>
  <c r="H223" i="2" s="1"/>
  <c r="I225" i="2"/>
  <c r="F225" i="2"/>
  <c r="I226" i="2"/>
  <c r="F228" i="2"/>
  <c r="G235" i="2"/>
  <c r="G238" i="2"/>
  <c r="J239" i="2"/>
  <c r="H239" i="2" s="1"/>
  <c r="I243" i="2"/>
  <c r="F243" i="2"/>
  <c r="I244" i="2"/>
  <c r="F246" i="2"/>
  <c r="G253" i="2"/>
  <c r="G256" i="2"/>
  <c r="J257" i="2"/>
  <c r="H257" i="2" s="1"/>
  <c r="F259" i="2"/>
  <c r="I260" i="2"/>
  <c r="F262" i="2"/>
  <c r="F265" i="2"/>
  <c r="K266" i="2"/>
  <c r="K271" i="2"/>
  <c r="K275" i="2"/>
  <c r="I275" i="2"/>
  <c r="G275" i="2"/>
  <c r="F275" i="2"/>
  <c r="J275" i="2" s="1"/>
  <c r="H275" i="2" s="1"/>
  <c r="F286" i="2"/>
  <c r="K286" i="2" s="1"/>
  <c r="G286" i="2"/>
  <c r="G290" i="2"/>
  <c r="I294" i="2"/>
  <c r="K297" i="2"/>
  <c r="I299" i="2"/>
  <c r="J299" i="2"/>
  <c r="H299" i="2" s="1"/>
  <c r="K307" i="2"/>
  <c r="K314" i="2"/>
  <c r="J318" i="2"/>
  <c r="H318" i="2" s="1"/>
  <c r="I318" i="2"/>
  <c r="I333" i="2"/>
  <c r="K333" i="2"/>
  <c r="J333" i="2"/>
  <c r="H333" i="2" s="1"/>
  <c r="G234" i="2"/>
  <c r="G252" i="2"/>
  <c r="K267" i="2"/>
  <c r="F267" i="2"/>
  <c r="I267" i="2" s="1"/>
  <c r="I273" i="2"/>
  <c r="J273" i="2"/>
  <c r="H273" i="2" s="1"/>
  <c r="F306" i="2"/>
  <c r="K306" i="2" s="1"/>
  <c r="G324" i="2"/>
  <c r="F324" i="2"/>
  <c r="K324" i="2"/>
  <c r="J324" i="2"/>
  <c r="H324" i="2" s="1"/>
  <c r="I324" i="2"/>
  <c r="J357" i="2"/>
  <c r="H357" i="2" s="1"/>
  <c r="F234" i="2"/>
  <c r="J234" i="2" s="1"/>
  <c r="H234" i="2" s="1"/>
  <c r="F252" i="2"/>
  <c r="K252" i="2" s="1"/>
  <c r="G267" i="2"/>
  <c r="F280" i="2"/>
  <c r="I280" i="2" s="1"/>
  <c r="K293" i="2"/>
  <c r="I293" i="2"/>
  <c r="G293" i="2"/>
  <c r="F293" i="2"/>
  <c r="F304" i="2"/>
  <c r="I304" i="2" s="1"/>
  <c r="G304" i="2"/>
  <c r="J334" i="2"/>
  <c r="H334" i="2" s="1"/>
  <c r="I334" i="2"/>
  <c r="F196" i="2"/>
  <c r="J196" i="2" s="1"/>
  <c r="H196" i="2" s="1"/>
  <c r="K196" i="2"/>
  <c r="I202" i="2"/>
  <c r="F212" i="2"/>
  <c r="J212" i="2" s="1"/>
  <c r="H212" i="2" s="1"/>
  <c r="K212" i="2"/>
  <c r="F227" i="2"/>
  <c r="K227" i="2" s="1"/>
  <c r="F230" i="2"/>
  <c r="J230" i="2" s="1"/>
  <c r="H230" i="2" s="1"/>
  <c r="F245" i="2"/>
  <c r="K245" i="2" s="1"/>
  <c r="F248" i="2"/>
  <c r="J248" i="2" s="1"/>
  <c r="H248" i="2" s="1"/>
  <c r="K248" i="2"/>
  <c r="I249" i="2"/>
  <c r="I254" i="2"/>
  <c r="F261" i="2"/>
  <c r="K261" i="2" s="1"/>
  <c r="F264" i="2"/>
  <c r="J264" i="2" s="1"/>
  <c r="H264" i="2" s="1"/>
  <c r="K264" i="2"/>
  <c r="J267" i="2"/>
  <c r="H267" i="2" s="1"/>
  <c r="I271" i="2"/>
  <c r="F278" i="2"/>
  <c r="J278" i="2" s="1"/>
  <c r="H278" i="2" s="1"/>
  <c r="G278" i="2"/>
  <c r="G280" i="2"/>
  <c r="I284" i="2"/>
  <c r="K287" i="2"/>
  <c r="I291" i="2"/>
  <c r="J291" i="2"/>
  <c r="H291" i="2" s="1"/>
  <c r="I310" i="2"/>
  <c r="I325" i="2"/>
  <c r="K325" i="2"/>
  <c r="J325" i="2"/>
  <c r="H325" i="2" s="1"/>
  <c r="I181" i="2"/>
  <c r="F181" i="2"/>
  <c r="J181" i="2" s="1"/>
  <c r="H181" i="2" s="1"/>
  <c r="G196" i="2"/>
  <c r="I199" i="2"/>
  <c r="F199" i="2"/>
  <c r="J199" i="2" s="1"/>
  <c r="H199" i="2" s="1"/>
  <c r="F202" i="2"/>
  <c r="K202" i="2" s="1"/>
  <c r="G212" i="2"/>
  <c r="F215" i="2"/>
  <c r="K215" i="2" s="1"/>
  <c r="F220" i="2"/>
  <c r="K220" i="2" s="1"/>
  <c r="G227" i="2"/>
  <c r="G230" i="2"/>
  <c r="F233" i="2"/>
  <c r="K233" i="2" s="1"/>
  <c r="I234" i="2"/>
  <c r="F236" i="2"/>
  <c r="J236" i="2" s="1"/>
  <c r="H236" i="2" s="1"/>
  <c r="G245" i="2"/>
  <c r="G248" i="2"/>
  <c r="I251" i="2"/>
  <c r="F251" i="2"/>
  <c r="K251" i="2" s="1"/>
  <c r="F254" i="2"/>
  <c r="K254" i="2" s="1"/>
  <c r="G261" i="2"/>
  <c r="J270" i="2"/>
  <c r="H270" i="2" s="1"/>
  <c r="I270" i="2"/>
  <c r="G270" i="2"/>
  <c r="F272" i="2"/>
  <c r="J272" i="2" s="1"/>
  <c r="H272" i="2" s="1"/>
  <c r="K273" i="2"/>
  <c r="J280" i="2"/>
  <c r="H280" i="2" s="1"/>
  <c r="I282" i="2"/>
  <c r="K284" i="2"/>
  <c r="J293" i="2"/>
  <c r="H293" i="2" s="1"/>
  <c r="F298" i="2"/>
  <c r="K298" i="2" s="1"/>
  <c r="K311" i="2"/>
  <c r="I311" i="2"/>
  <c r="G311" i="2"/>
  <c r="F311" i="2"/>
  <c r="J311" i="2" s="1"/>
  <c r="H311" i="2" s="1"/>
  <c r="K313" i="2"/>
  <c r="G316" i="2"/>
  <c r="F316" i="2"/>
  <c r="K316" i="2"/>
  <c r="J316" i="2"/>
  <c r="H316" i="2" s="1"/>
  <c r="I316" i="2"/>
  <c r="K274" i="2"/>
  <c r="F277" i="2"/>
  <c r="J277" i="2" s="1"/>
  <c r="H277" i="2" s="1"/>
  <c r="K282" i="2"/>
  <c r="F285" i="2"/>
  <c r="J285" i="2" s="1"/>
  <c r="H285" i="2" s="1"/>
  <c r="K292" i="2"/>
  <c r="F295" i="2"/>
  <c r="J295" i="2" s="1"/>
  <c r="H295" i="2" s="1"/>
  <c r="K300" i="2"/>
  <c r="F303" i="2"/>
  <c r="J303" i="2" s="1"/>
  <c r="H303" i="2" s="1"/>
  <c r="K310" i="2"/>
  <c r="F313" i="2"/>
  <c r="J313" i="2" s="1"/>
  <c r="H313" i="2" s="1"/>
  <c r="K318" i="2"/>
  <c r="F321" i="2"/>
  <c r="J321" i="2" s="1"/>
  <c r="H321" i="2" s="1"/>
  <c r="G322" i="2"/>
  <c r="K326" i="2"/>
  <c r="F329" i="2"/>
  <c r="J329" i="2" s="1"/>
  <c r="H329" i="2" s="1"/>
  <c r="G330" i="2"/>
  <c r="K334" i="2"/>
  <c r="I336" i="2"/>
  <c r="F336" i="2"/>
  <c r="K336" i="2" s="1"/>
  <c r="F340" i="2"/>
  <c r="K340" i="2" s="1"/>
  <c r="G348" i="2"/>
  <c r="K349" i="2"/>
  <c r="G351" i="2"/>
  <c r="I354" i="2"/>
  <c r="F354" i="2"/>
  <c r="K354" i="2" s="1"/>
  <c r="F357" i="2"/>
  <c r="K357" i="2" s="1"/>
  <c r="G364" i="2"/>
  <c r="K365" i="2"/>
  <c r="G367" i="2"/>
  <c r="J368" i="2"/>
  <c r="H368" i="2" s="1"/>
  <c r="F370" i="2"/>
  <c r="K370" i="2" s="1"/>
  <c r="F373" i="2"/>
  <c r="K373" i="2" s="1"/>
  <c r="G380" i="2"/>
  <c r="K381" i="2"/>
  <c r="G383" i="2"/>
  <c r="I388" i="2"/>
  <c r="F388" i="2"/>
  <c r="K388" i="2" s="1"/>
  <c r="F391" i="2"/>
  <c r="K391" i="2" s="1"/>
  <c r="G397" i="2"/>
  <c r="I397" i="2"/>
  <c r="I398" i="2"/>
  <c r="J402" i="2"/>
  <c r="H402" i="2" s="1"/>
  <c r="K404" i="2"/>
  <c r="F408" i="2"/>
  <c r="I408" i="2" s="1"/>
  <c r="K410" i="2"/>
  <c r="J419" i="2"/>
  <c r="H419" i="2" s="1"/>
  <c r="I421" i="2"/>
  <c r="I315" i="2"/>
  <c r="I323" i="2"/>
  <c r="I331" i="2"/>
  <c r="I342" i="2"/>
  <c r="J347" i="2"/>
  <c r="H347" i="2" s="1"/>
  <c r="G347" i="2"/>
  <c r="I358" i="2"/>
  <c r="G363" i="2"/>
  <c r="K368" i="2"/>
  <c r="I374" i="2"/>
  <c r="G379" i="2"/>
  <c r="I392" i="2"/>
  <c r="G405" i="2"/>
  <c r="J405" i="2"/>
  <c r="H405" i="2" s="1"/>
  <c r="F405" i="2"/>
  <c r="K405" i="2" s="1"/>
  <c r="J411" i="2"/>
  <c r="H411" i="2" s="1"/>
  <c r="F420" i="2"/>
  <c r="K420" i="2" s="1"/>
  <c r="G420" i="2"/>
  <c r="J421" i="2"/>
  <c r="H421" i="2" s="1"/>
  <c r="J279" i="2"/>
  <c r="H279" i="2" s="1"/>
  <c r="J287" i="2"/>
  <c r="H287" i="2" s="1"/>
  <c r="J297" i="2"/>
  <c r="H297" i="2" s="1"/>
  <c r="J305" i="2"/>
  <c r="H305" i="2" s="1"/>
  <c r="F319" i="2"/>
  <c r="J319" i="2" s="1"/>
  <c r="H319" i="2" s="1"/>
  <c r="I322" i="2"/>
  <c r="F327" i="2"/>
  <c r="J327" i="2" s="1"/>
  <c r="H327" i="2" s="1"/>
  <c r="I330" i="2"/>
  <c r="K338" i="2"/>
  <c r="J345" i="2"/>
  <c r="H345" i="2" s="1"/>
  <c r="F347" i="2"/>
  <c r="I347" i="2" s="1"/>
  <c r="J361" i="2"/>
  <c r="H361" i="2" s="1"/>
  <c r="F363" i="2"/>
  <c r="I363" i="2" s="1"/>
  <c r="J377" i="2"/>
  <c r="H377" i="2" s="1"/>
  <c r="F379" i="2"/>
  <c r="I379" i="2" s="1"/>
  <c r="J395" i="2"/>
  <c r="H395" i="2" s="1"/>
  <c r="I399" i="2"/>
  <c r="G399" i="2"/>
  <c r="K411" i="2"/>
  <c r="F417" i="2"/>
  <c r="J417" i="2" s="1"/>
  <c r="H417" i="2" s="1"/>
  <c r="F422" i="2"/>
  <c r="I422" i="2" s="1"/>
  <c r="K422" i="2"/>
  <c r="J424" i="2"/>
  <c r="H424" i="2" s="1"/>
  <c r="G424" i="2"/>
  <c r="I277" i="2"/>
  <c r="I285" i="2"/>
  <c r="I295" i="2"/>
  <c r="I303" i="2"/>
  <c r="G319" i="2"/>
  <c r="I321" i="2"/>
  <c r="J322" i="2"/>
  <c r="H322" i="2" s="1"/>
  <c r="G327" i="2"/>
  <c r="J330" i="2"/>
  <c r="H330" i="2" s="1"/>
  <c r="J336" i="2"/>
  <c r="H336" i="2" s="1"/>
  <c r="F338" i="2"/>
  <c r="J338" i="2" s="1"/>
  <c r="H338" i="2" s="1"/>
  <c r="F343" i="2"/>
  <c r="K343" i="2"/>
  <c r="I344" i="2"/>
  <c r="I349" i="2"/>
  <c r="J354" i="2"/>
  <c r="H354" i="2" s="1"/>
  <c r="F356" i="2"/>
  <c r="J356" i="2" s="1"/>
  <c r="H356" i="2" s="1"/>
  <c r="F359" i="2"/>
  <c r="K359" i="2" s="1"/>
  <c r="I360" i="2"/>
  <c r="I365" i="2"/>
  <c r="J370" i="2"/>
  <c r="H370" i="2" s="1"/>
  <c r="F372" i="2"/>
  <c r="J372" i="2" s="1"/>
  <c r="H372" i="2" s="1"/>
  <c r="F375" i="2"/>
  <c r="K375" i="2"/>
  <c r="I376" i="2"/>
  <c r="I381" i="2"/>
  <c r="J388" i="2"/>
  <c r="H388" i="2" s="1"/>
  <c r="F390" i="2"/>
  <c r="J390" i="2" s="1"/>
  <c r="H390" i="2" s="1"/>
  <c r="F393" i="2"/>
  <c r="K393" i="2"/>
  <c r="I394" i="2"/>
  <c r="J397" i="2"/>
  <c r="H397" i="2" s="1"/>
  <c r="F399" i="2"/>
  <c r="K399" i="2" s="1"/>
  <c r="K401" i="2"/>
  <c r="I410" i="2"/>
  <c r="J413" i="2"/>
  <c r="H413" i="2" s="1"/>
  <c r="G417" i="2"/>
  <c r="K419" i="2"/>
  <c r="I420" i="2"/>
  <c r="G422" i="2"/>
  <c r="F424" i="2"/>
  <c r="I424" i="2" s="1"/>
  <c r="J429" i="2"/>
  <c r="H429" i="2" s="1"/>
  <c r="J432" i="2"/>
  <c r="H432" i="2" s="1"/>
  <c r="K432" i="2"/>
  <c r="G432" i="2"/>
  <c r="K437" i="2"/>
  <c r="K443" i="2"/>
  <c r="I464" i="2"/>
  <c r="F346" i="2"/>
  <c r="I346" i="2" s="1"/>
  <c r="F362" i="2"/>
  <c r="I362" i="2" s="1"/>
  <c r="F378" i="2"/>
  <c r="J378" i="2" s="1"/>
  <c r="H378" i="2" s="1"/>
  <c r="F396" i="2"/>
  <c r="I396" i="2" s="1"/>
  <c r="G396" i="2"/>
  <c r="F409" i="2"/>
  <c r="K409" i="2" s="1"/>
  <c r="I443" i="2"/>
  <c r="J443" i="2"/>
  <c r="H443" i="2" s="1"/>
  <c r="I327" i="2"/>
  <c r="J337" i="2"/>
  <c r="H337" i="2" s="1"/>
  <c r="G337" i="2"/>
  <c r="I338" i="2"/>
  <c r="J342" i="2"/>
  <c r="H342" i="2" s="1"/>
  <c r="G346" i="2"/>
  <c r="K347" i="2"/>
  <c r="F352" i="2"/>
  <c r="K352" i="2" s="1"/>
  <c r="J355" i="2"/>
  <c r="H355" i="2" s="1"/>
  <c r="G355" i="2"/>
  <c r="I356" i="2"/>
  <c r="J358" i="2"/>
  <c r="H358" i="2" s="1"/>
  <c r="G362" i="2"/>
  <c r="K363" i="2"/>
  <c r="F368" i="2"/>
  <c r="J371" i="2"/>
  <c r="H371" i="2" s="1"/>
  <c r="G371" i="2"/>
  <c r="J374" i="2"/>
  <c r="H374" i="2" s="1"/>
  <c r="G378" i="2"/>
  <c r="K379" i="2"/>
  <c r="F384" i="2"/>
  <c r="J384" i="2" s="1"/>
  <c r="H384" i="2" s="1"/>
  <c r="J389" i="2"/>
  <c r="H389" i="2" s="1"/>
  <c r="G389" i="2"/>
  <c r="I390" i="2"/>
  <c r="J392" i="2"/>
  <c r="H392" i="2" s="1"/>
  <c r="K398" i="2"/>
  <c r="G404" i="2"/>
  <c r="I406" i="2"/>
  <c r="G409" i="2"/>
  <c r="F416" i="2"/>
  <c r="J416" i="2" s="1"/>
  <c r="H416" i="2" s="1"/>
  <c r="K417" i="2"/>
  <c r="J422" i="2"/>
  <c r="H422" i="2" s="1"/>
  <c r="K424" i="2"/>
  <c r="F430" i="2"/>
  <c r="K430" i="2" s="1"/>
  <c r="K380" i="2"/>
  <c r="I401" i="2"/>
  <c r="I404" i="2"/>
  <c r="G423" i="2"/>
  <c r="I423" i="2"/>
  <c r="I451" i="2"/>
  <c r="J451" i="2"/>
  <c r="H451" i="2" s="1"/>
  <c r="I340" i="2"/>
  <c r="F348" i="2"/>
  <c r="K348" i="2" s="1"/>
  <c r="F351" i="2"/>
  <c r="I351" i="2" s="1"/>
  <c r="I352" i="2"/>
  <c r="I357" i="2"/>
  <c r="F364" i="2"/>
  <c r="K364" i="2" s="1"/>
  <c r="F367" i="2"/>
  <c r="I367" i="2" s="1"/>
  <c r="K367" i="2"/>
  <c r="I368" i="2"/>
  <c r="F380" i="2"/>
  <c r="J380" i="2" s="1"/>
  <c r="H380" i="2" s="1"/>
  <c r="F383" i="2"/>
  <c r="I383" i="2" s="1"/>
  <c r="K383" i="2"/>
  <c r="I391" i="2"/>
  <c r="K396" i="2"/>
  <c r="F400" i="2"/>
  <c r="K400" i="2" s="1"/>
  <c r="J404" i="2"/>
  <c r="H404" i="2" s="1"/>
  <c r="J408" i="2"/>
  <c r="H408" i="2" s="1"/>
  <c r="G408" i="2"/>
  <c r="J409" i="2"/>
  <c r="H409" i="2" s="1"/>
  <c r="I416" i="2"/>
  <c r="F423" i="2"/>
  <c r="K423" i="2" s="1"/>
  <c r="J444" i="2"/>
  <c r="H444" i="2" s="1"/>
  <c r="F444" i="2"/>
  <c r="K444" i="2" s="1"/>
  <c r="I444" i="2"/>
  <c r="G444" i="2"/>
  <c r="J426" i="2"/>
  <c r="H426" i="2" s="1"/>
  <c r="F426" i="2"/>
  <c r="K426" i="2" s="1"/>
  <c r="F434" i="2"/>
  <c r="K434" i="2" s="1"/>
  <c r="G440" i="2"/>
  <c r="F442" i="2"/>
  <c r="I442" i="2" s="1"/>
  <c r="I462" i="2"/>
  <c r="F462" i="2"/>
  <c r="K462" i="2" s="1"/>
  <c r="G464" i="2"/>
  <c r="F488" i="2"/>
  <c r="K488" i="2" s="1"/>
  <c r="K492" i="2"/>
  <c r="K495" i="2"/>
  <c r="F507" i="2"/>
  <c r="J507" i="2" s="1"/>
  <c r="H507" i="2" s="1"/>
  <c r="G507" i="2"/>
  <c r="F511" i="2"/>
  <c r="I511" i="2" s="1"/>
  <c r="G511" i="2"/>
  <c r="I518" i="2"/>
  <c r="G518" i="2"/>
  <c r="F518" i="2"/>
  <c r="J518" i="2" s="1"/>
  <c r="H518" i="2" s="1"/>
  <c r="F454" i="2"/>
  <c r="J454" i="2" s="1"/>
  <c r="H454" i="2" s="1"/>
  <c r="K454" i="2"/>
  <c r="J460" i="2"/>
  <c r="H460" i="2" s="1"/>
  <c r="G460" i="2"/>
  <c r="F460" i="2"/>
  <c r="F480" i="2"/>
  <c r="K480" i="2"/>
  <c r="J480" i="2"/>
  <c r="H480" i="2" s="1"/>
  <c r="J484" i="2"/>
  <c r="H484" i="2" s="1"/>
  <c r="G484" i="2"/>
  <c r="F484" i="2"/>
  <c r="K484" i="2" s="1"/>
  <c r="J505" i="2"/>
  <c r="H505" i="2" s="1"/>
  <c r="F525" i="2"/>
  <c r="K525" i="2"/>
  <c r="I525" i="2"/>
  <c r="G525" i="2"/>
  <c r="K534" i="2"/>
  <c r="J534" i="2"/>
  <c r="H534" i="2" s="1"/>
  <c r="G534" i="2"/>
  <c r="F534" i="2"/>
  <c r="I534" i="2" s="1"/>
  <c r="G431" i="2"/>
  <c r="K431" i="2"/>
  <c r="G439" i="2"/>
  <c r="F446" i="2"/>
  <c r="J446" i="2"/>
  <c r="H446" i="2" s="1"/>
  <c r="J452" i="2"/>
  <c r="H452" i="2" s="1"/>
  <c r="I452" i="2"/>
  <c r="F452" i="2"/>
  <c r="K452" i="2" s="1"/>
  <c r="G454" i="2"/>
  <c r="I460" i="2"/>
  <c r="K471" i="2"/>
  <c r="J471" i="2"/>
  <c r="H471" i="2" s="1"/>
  <c r="I471" i="2"/>
  <c r="G480" i="2"/>
  <c r="I484" i="2"/>
  <c r="F498" i="2"/>
  <c r="K498" i="2"/>
  <c r="J498" i="2"/>
  <c r="H498" i="2" s="1"/>
  <c r="G498" i="2"/>
  <c r="J525" i="2"/>
  <c r="H525" i="2" s="1"/>
  <c r="I407" i="2"/>
  <c r="J418" i="2"/>
  <c r="H418" i="2" s="1"/>
  <c r="I425" i="2"/>
  <c r="I426" i="2"/>
  <c r="F431" i="2"/>
  <c r="J431" i="2" s="1"/>
  <c r="H431" i="2" s="1"/>
  <c r="I433" i="2"/>
  <c r="I434" i="2"/>
  <c r="F439" i="2"/>
  <c r="J439" i="2" s="1"/>
  <c r="H439" i="2" s="1"/>
  <c r="I441" i="2"/>
  <c r="K442" i="2"/>
  <c r="G446" i="2"/>
  <c r="J450" i="2"/>
  <c r="H450" i="2" s="1"/>
  <c r="G450" i="2"/>
  <c r="F450" i="2"/>
  <c r="G452" i="2"/>
  <c r="I454" i="2"/>
  <c r="K460" i="2"/>
  <c r="J478" i="2"/>
  <c r="H478" i="2" s="1"/>
  <c r="F478" i="2"/>
  <c r="K478" i="2" s="1"/>
  <c r="I480" i="2"/>
  <c r="J495" i="2"/>
  <c r="H495" i="2" s="1"/>
  <c r="I498" i="2"/>
  <c r="K463" i="2"/>
  <c r="J463" i="2"/>
  <c r="H463" i="2" s="1"/>
  <c r="I463" i="2"/>
  <c r="F472" i="2"/>
  <c r="J472" i="2" s="1"/>
  <c r="H472" i="2" s="1"/>
  <c r="G476" i="2"/>
  <c r="F476" i="2"/>
  <c r="J476" i="2" s="1"/>
  <c r="H476" i="2" s="1"/>
  <c r="K489" i="2"/>
  <c r="J489" i="2"/>
  <c r="H489" i="2" s="1"/>
  <c r="I489" i="2"/>
  <c r="G509" i="2"/>
  <c r="F509" i="2"/>
  <c r="K509" i="2" s="1"/>
  <c r="G513" i="2"/>
  <c r="F513" i="2"/>
  <c r="J513" i="2" s="1"/>
  <c r="H513" i="2" s="1"/>
  <c r="G516" i="2"/>
  <c r="F516" i="2"/>
  <c r="K516" i="2" s="1"/>
  <c r="I516" i="2"/>
  <c r="F520" i="2"/>
  <c r="K520" i="2" s="1"/>
  <c r="G520" i="2"/>
  <c r="I536" i="2"/>
  <c r="G472" i="2"/>
  <c r="J509" i="2"/>
  <c r="H509" i="2" s="1"/>
  <c r="J516" i="2"/>
  <c r="H516" i="2" s="1"/>
  <c r="F523" i="2"/>
  <c r="J523" i="2" s="1"/>
  <c r="H523" i="2" s="1"/>
  <c r="K523" i="2"/>
  <c r="I523" i="2"/>
  <c r="G523" i="2"/>
  <c r="J527" i="2"/>
  <c r="H527" i="2" s="1"/>
  <c r="G527" i="2"/>
  <c r="F527" i="2"/>
  <c r="K527" i="2" s="1"/>
  <c r="F438" i="2"/>
  <c r="K438" i="2" s="1"/>
  <c r="J438" i="2"/>
  <c r="H438" i="2" s="1"/>
  <c r="J440" i="2"/>
  <c r="H440" i="2" s="1"/>
  <c r="K445" i="2"/>
  <c r="I445" i="2"/>
  <c r="K451" i="2"/>
  <c r="K453" i="2"/>
  <c r="J453" i="2"/>
  <c r="H453" i="2" s="1"/>
  <c r="I453" i="2"/>
  <c r="I470" i="2"/>
  <c r="F470" i="2"/>
  <c r="K470" i="2" s="1"/>
  <c r="I472" i="2"/>
  <c r="F490" i="2"/>
  <c r="K490" i="2" s="1"/>
  <c r="G494" i="2"/>
  <c r="F494" i="2"/>
  <c r="I494" i="2" s="1"/>
  <c r="K494" i="2"/>
  <c r="J545" i="2"/>
  <c r="H545" i="2" s="1"/>
  <c r="F464" i="2"/>
  <c r="K464" i="2"/>
  <c r="J464" i="2"/>
  <c r="H464" i="2" s="1"/>
  <c r="J468" i="2"/>
  <c r="H468" i="2" s="1"/>
  <c r="G468" i="2"/>
  <c r="F468" i="2"/>
  <c r="K468" i="2" s="1"/>
  <c r="K479" i="2"/>
  <c r="J479" i="2"/>
  <c r="H479" i="2" s="1"/>
  <c r="I479" i="2"/>
  <c r="G503" i="2"/>
  <c r="F503" i="2"/>
  <c r="K503" i="2" s="1"/>
  <c r="K514" i="2"/>
  <c r="I514" i="2"/>
  <c r="I521" i="2"/>
  <c r="J522" i="2"/>
  <c r="H522" i="2" s="1"/>
  <c r="F528" i="2"/>
  <c r="I528" i="2" s="1"/>
  <c r="K530" i="2"/>
  <c r="G532" i="2"/>
  <c r="F532" i="2"/>
  <c r="J533" i="2"/>
  <c r="H533" i="2" s="1"/>
  <c r="F542" i="2"/>
  <c r="G545" i="2"/>
  <c r="I546" i="2"/>
  <c r="F549" i="2"/>
  <c r="J551" i="2"/>
  <c r="H551" i="2" s="1"/>
  <c r="I551" i="2"/>
  <c r="F558" i="2"/>
  <c r="J558" i="2" s="1"/>
  <c r="H558" i="2" s="1"/>
  <c r="K558" i="2"/>
  <c r="I558" i="2"/>
  <c r="G558" i="2"/>
  <c r="F561" i="2"/>
  <c r="I561" i="2" s="1"/>
  <c r="G567" i="2"/>
  <c r="J567" i="2"/>
  <c r="H567" i="2" s="1"/>
  <c r="I567" i="2"/>
  <c r="I575" i="2"/>
  <c r="G577" i="2"/>
  <c r="F577" i="2"/>
  <c r="K577" i="2" s="1"/>
  <c r="F589" i="2"/>
  <c r="I589" i="2" s="1"/>
  <c r="J589" i="2"/>
  <c r="H589" i="2" s="1"/>
  <c r="I593" i="2"/>
  <c r="G595" i="2"/>
  <c r="F595" i="2"/>
  <c r="K595" i="2" s="1"/>
  <c r="I605" i="2"/>
  <c r="F605" i="2"/>
  <c r="J605" i="2" s="1"/>
  <c r="H605" i="2" s="1"/>
  <c r="K605" i="2"/>
  <c r="I609" i="2"/>
  <c r="G611" i="2"/>
  <c r="F611" i="2"/>
  <c r="K611" i="2" s="1"/>
  <c r="J611" i="2"/>
  <c r="H611" i="2" s="1"/>
  <c r="I611" i="2"/>
  <c r="F621" i="2"/>
  <c r="I621" i="2" s="1"/>
  <c r="I625" i="2"/>
  <c r="G629" i="2"/>
  <c r="F629" i="2"/>
  <c r="K629" i="2" s="1"/>
  <c r="J629" i="2"/>
  <c r="H629" i="2" s="1"/>
  <c r="I629" i="2"/>
  <c r="I639" i="2"/>
  <c r="F639" i="2"/>
  <c r="K639" i="2"/>
  <c r="J639" i="2"/>
  <c r="H639" i="2" s="1"/>
  <c r="I643" i="2"/>
  <c r="G645" i="2"/>
  <c r="F645" i="2"/>
  <c r="K645" i="2" s="1"/>
  <c r="I645" i="2"/>
  <c r="F655" i="2"/>
  <c r="I655" i="2" s="1"/>
  <c r="I659" i="2"/>
  <c r="G661" i="2"/>
  <c r="F661" i="2"/>
  <c r="K661" i="2" s="1"/>
  <c r="J661" i="2"/>
  <c r="H661" i="2" s="1"/>
  <c r="I673" i="2"/>
  <c r="F673" i="2"/>
  <c r="J673" i="2" s="1"/>
  <c r="H673" i="2" s="1"/>
  <c r="I677" i="2"/>
  <c r="G679" i="2"/>
  <c r="F679" i="2"/>
  <c r="K679" i="2" s="1"/>
  <c r="K425" i="2"/>
  <c r="K433" i="2"/>
  <c r="K441" i="2"/>
  <c r="I447" i="2"/>
  <c r="J448" i="2"/>
  <c r="H448" i="2" s="1"/>
  <c r="K449" i="2"/>
  <c r="I457" i="2"/>
  <c r="J458" i="2"/>
  <c r="H458" i="2" s="1"/>
  <c r="K459" i="2"/>
  <c r="I465" i="2"/>
  <c r="J466" i="2"/>
  <c r="H466" i="2" s="1"/>
  <c r="K467" i="2"/>
  <c r="I473" i="2"/>
  <c r="J474" i="2"/>
  <c r="H474" i="2" s="1"/>
  <c r="K475" i="2"/>
  <c r="I481" i="2"/>
  <c r="J482" i="2"/>
  <c r="H482" i="2" s="1"/>
  <c r="K483" i="2"/>
  <c r="I491" i="2"/>
  <c r="J492" i="2"/>
  <c r="H492" i="2" s="1"/>
  <c r="K493" i="2"/>
  <c r="F496" i="2"/>
  <c r="K496" i="2" s="1"/>
  <c r="I499" i="2"/>
  <c r="J500" i="2"/>
  <c r="H500" i="2" s="1"/>
  <c r="K501" i="2"/>
  <c r="F505" i="2"/>
  <c r="K505" i="2" s="1"/>
  <c r="K508" i="2"/>
  <c r="F510" i="2"/>
  <c r="I510" i="2" s="1"/>
  <c r="G515" i="2"/>
  <c r="F519" i="2"/>
  <c r="J519" i="2" s="1"/>
  <c r="H519" i="2" s="1"/>
  <c r="J521" i="2"/>
  <c r="H521" i="2" s="1"/>
  <c r="K522" i="2"/>
  <c r="F524" i="2"/>
  <c r="K533" i="2"/>
  <c r="K537" i="2"/>
  <c r="K544" i="2"/>
  <c r="J544" i="2"/>
  <c r="H544" i="2" s="1"/>
  <c r="F553" i="2"/>
  <c r="I553" i="2" s="1"/>
  <c r="J572" i="2"/>
  <c r="H572" i="2" s="1"/>
  <c r="K575" i="2"/>
  <c r="K593" i="2"/>
  <c r="K609" i="2"/>
  <c r="K625" i="2"/>
  <c r="K643" i="2"/>
  <c r="K659" i="2"/>
  <c r="G673" i="2"/>
  <c r="K677" i="2"/>
  <c r="K685" i="2"/>
  <c r="J685" i="2"/>
  <c r="H685" i="2" s="1"/>
  <c r="I685" i="2"/>
  <c r="G548" i="2"/>
  <c r="F548" i="2"/>
  <c r="G559" i="2"/>
  <c r="J674" i="2"/>
  <c r="H674" i="2" s="1"/>
  <c r="K447" i="2"/>
  <c r="K457" i="2"/>
  <c r="K465" i="2"/>
  <c r="K473" i="2"/>
  <c r="K481" i="2"/>
  <c r="K491" i="2"/>
  <c r="I497" i="2"/>
  <c r="K499" i="2"/>
  <c r="I506" i="2"/>
  <c r="I515" i="2"/>
  <c r="F541" i="2"/>
  <c r="F559" i="2"/>
  <c r="I559" i="2" s="1"/>
  <c r="J562" i="2"/>
  <c r="H562" i="2" s="1"/>
  <c r="I570" i="2"/>
  <c r="K578" i="2"/>
  <c r="J578" i="2"/>
  <c r="H578" i="2" s="1"/>
  <c r="K596" i="2"/>
  <c r="J596" i="2"/>
  <c r="H596" i="2" s="1"/>
  <c r="K612" i="2"/>
  <c r="J612" i="2"/>
  <c r="H612" i="2" s="1"/>
  <c r="K630" i="2"/>
  <c r="J630" i="2"/>
  <c r="H630" i="2" s="1"/>
  <c r="K646" i="2"/>
  <c r="J646" i="2"/>
  <c r="H646" i="2" s="1"/>
  <c r="K662" i="2"/>
  <c r="J662" i="2"/>
  <c r="H662" i="2" s="1"/>
  <c r="K680" i="2"/>
  <c r="J680" i="2"/>
  <c r="H680" i="2" s="1"/>
  <c r="J497" i="2"/>
  <c r="H497" i="2" s="1"/>
  <c r="I505" i="2"/>
  <c r="J506" i="2"/>
  <c r="H506" i="2" s="1"/>
  <c r="J510" i="2"/>
  <c r="H510" i="2" s="1"/>
  <c r="K512" i="2"/>
  <c r="J515" i="2"/>
  <c r="H515" i="2" s="1"/>
  <c r="I519" i="2"/>
  <c r="K536" i="2"/>
  <c r="J536" i="2"/>
  <c r="H536" i="2" s="1"/>
  <c r="I541" i="2"/>
  <c r="J543" i="2"/>
  <c r="H543" i="2" s="1"/>
  <c r="I548" i="2"/>
  <c r="I565" i="2"/>
  <c r="K570" i="2"/>
  <c r="J570" i="2"/>
  <c r="H570" i="2" s="1"/>
  <c r="F579" i="2"/>
  <c r="I579" i="2" s="1"/>
  <c r="I583" i="2"/>
  <c r="G585" i="2"/>
  <c r="F585" i="2"/>
  <c r="K585" i="2" s="1"/>
  <c r="J585" i="2"/>
  <c r="H585" i="2" s="1"/>
  <c r="I597" i="2"/>
  <c r="F597" i="2"/>
  <c r="J597" i="2" s="1"/>
  <c r="H597" i="2" s="1"/>
  <c r="I601" i="2"/>
  <c r="G603" i="2"/>
  <c r="F603" i="2"/>
  <c r="J603" i="2" s="1"/>
  <c r="H603" i="2" s="1"/>
  <c r="I613" i="2"/>
  <c r="F613" i="2"/>
  <c r="K613" i="2"/>
  <c r="J613" i="2"/>
  <c r="H613" i="2" s="1"/>
  <c r="I617" i="2"/>
  <c r="G619" i="2"/>
  <c r="F619" i="2"/>
  <c r="J619" i="2"/>
  <c r="H619" i="2" s="1"/>
  <c r="I619" i="2"/>
  <c r="F631" i="2"/>
  <c r="I631" i="2" s="1"/>
  <c r="K631" i="2"/>
  <c r="J631" i="2"/>
  <c r="H631" i="2" s="1"/>
  <c r="I635" i="2"/>
  <c r="G637" i="2"/>
  <c r="F637" i="2"/>
  <c r="J637" i="2" s="1"/>
  <c r="H637" i="2" s="1"/>
  <c r="F647" i="2"/>
  <c r="I647" i="2" s="1"/>
  <c r="K647" i="2"/>
  <c r="J647" i="2"/>
  <c r="H647" i="2" s="1"/>
  <c r="I651" i="2"/>
  <c r="G653" i="2"/>
  <c r="F653" i="2"/>
  <c r="I653" i="2" s="1"/>
  <c r="F665" i="2"/>
  <c r="I665" i="2" s="1"/>
  <c r="K665" i="2"/>
  <c r="I669" i="2"/>
  <c r="G671" i="2"/>
  <c r="F671" i="2"/>
  <c r="J671" i="2"/>
  <c r="H671" i="2" s="1"/>
  <c r="I671" i="2"/>
  <c r="F681" i="2"/>
  <c r="K681" i="2" s="1"/>
  <c r="F508" i="2"/>
  <c r="J508" i="2" s="1"/>
  <c r="H508" i="2" s="1"/>
  <c r="K510" i="2"/>
  <c r="F512" i="2"/>
  <c r="I512" i="2" s="1"/>
  <c r="K515" i="2"/>
  <c r="F517" i="2"/>
  <c r="J517" i="2" s="1"/>
  <c r="H517" i="2" s="1"/>
  <c r="K519" i="2"/>
  <c r="F526" i="2"/>
  <c r="K526" i="2" s="1"/>
  <c r="F529" i="2"/>
  <c r="J529" i="2" s="1"/>
  <c r="H529" i="2" s="1"/>
  <c r="F536" i="2"/>
  <c r="I537" i="2"/>
  <c r="G540" i="2"/>
  <c r="F540" i="2"/>
  <c r="J540" i="2" s="1"/>
  <c r="H540" i="2" s="1"/>
  <c r="J541" i="2"/>
  <c r="H541" i="2" s="1"/>
  <c r="F543" i="2"/>
  <c r="K543" i="2" s="1"/>
  <c r="J548" i="2"/>
  <c r="H548" i="2" s="1"/>
  <c r="F550" i="2"/>
  <c r="K550" i="2" s="1"/>
  <c r="J552" i="2"/>
  <c r="H552" i="2" s="1"/>
  <c r="J560" i="2"/>
  <c r="H560" i="2" s="1"/>
  <c r="K565" i="2"/>
  <c r="K583" i="2"/>
  <c r="G597" i="2"/>
  <c r="K601" i="2"/>
  <c r="G613" i="2"/>
  <c r="K617" i="2"/>
  <c r="K619" i="2"/>
  <c r="G631" i="2"/>
  <c r="K635" i="2"/>
  <c r="K637" i="2"/>
  <c r="G647" i="2"/>
  <c r="K651" i="2"/>
  <c r="K653" i="2"/>
  <c r="G665" i="2"/>
  <c r="K669" i="2"/>
  <c r="K671" i="2"/>
  <c r="G681" i="2"/>
  <c r="K541" i="2"/>
  <c r="K545" i="2"/>
  <c r="K548" i="2"/>
  <c r="F566" i="2"/>
  <c r="K566" i="2" s="1"/>
  <c r="I566" i="2"/>
  <c r="G566" i="2"/>
  <c r="F571" i="2"/>
  <c r="K571" i="2" s="1"/>
  <c r="I508" i="2"/>
  <c r="I533" i="2"/>
  <c r="J535" i="2"/>
  <c r="H535" i="2" s="1"/>
  <c r="I535" i="2"/>
  <c r="I542" i="2"/>
  <c r="F545" i="2"/>
  <c r="I545" i="2" s="1"/>
  <c r="J550" i="2"/>
  <c r="H550" i="2" s="1"/>
  <c r="K557" i="2"/>
  <c r="J566" i="2"/>
  <c r="H566" i="2" s="1"/>
  <c r="G571" i="2"/>
  <c r="K586" i="2"/>
  <c r="J586" i="2"/>
  <c r="H586" i="2" s="1"/>
  <c r="K604" i="2"/>
  <c r="J604" i="2"/>
  <c r="H604" i="2" s="1"/>
  <c r="K620" i="2"/>
  <c r="J620" i="2"/>
  <c r="H620" i="2" s="1"/>
  <c r="K638" i="2"/>
  <c r="J638" i="2"/>
  <c r="H638" i="2" s="1"/>
  <c r="K654" i="2"/>
  <c r="J654" i="2"/>
  <c r="H654" i="2" s="1"/>
  <c r="K672" i="2"/>
  <c r="J672" i="2"/>
  <c r="H672" i="2" s="1"/>
  <c r="K693" i="2"/>
  <c r="I552" i="2"/>
  <c r="K554" i="2"/>
  <c r="I560" i="2"/>
  <c r="K562" i="2"/>
  <c r="K572" i="2"/>
  <c r="I578" i="2"/>
  <c r="K580" i="2"/>
  <c r="I586" i="2"/>
  <c r="K590" i="2"/>
  <c r="I596" i="2"/>
  <c r="K598" i="2"/>
  <c r="I604" i="2"/>
  <c r="K606" i="2"/>
  <c r="I612" i="2"/>
  <c r="K614" i="2"/>
  <c r="I620" i="2"/>
  <c r="K622" i="2"/>
  <c r="I630" i="2"/>
  <c r="K632" i="2"/>
  <c r="I638" i="2"/>
  <c r="K640" i="2"/>
  <c r="I646" i="2"/>
  <c r="K648" i="2"/>
  <c r="I654" i="2"/>
  <c r="K656" i="2"/>
  <c r="I662" i="2"/>
  <c r="K666" i="2"/>
  <c r="I672" i="2"/>
  <c r="K674" i="2"/>
  <c r="I680" i="2"/>
  <c r="K682" i="2"/>
  <c r="I688" i="2"/>
  <c r="K692" i="2"/>
  <c r="I687" i="2"/>
  <c r="J688" i="2"/>
  <c r="H688" i="2" s="1"/>
  <c r="F693" i="2"/>
  <c r="F692" i="2"/>
  <c r="J692" i="2" s="1"/>
  <c r="H692" i="2" s="1"/>
  <c r="G693" i="2"/>
  <c r="G554" i="2"/>
  <c r="G562" i="2"/>
  <c r="G572" i="2"/>
  <c r="G580" i="2"/>
  <c r="G590" i="2"/>
  <c r="G598" i="2"/>
  <c r="G606" i="2"/>
  <c r="G614" i="2"/>
  <c r="G622" i="2"/>
  <c r="G632" i="2"/>
  <c r="G640" i="2"/>
  <c r="G648" i="2"/>
  <c r="G656" i="2"/>
  <c r="G666" i="2"/>
  <c r="G674" i="2"/>
  <c r="G682" i="2"/>
  <c r="F689" i="2"/>
  <c r="J689" i="2" s="1"/>
  <c r="H689" i="2" s="1"/>
  <c r="G692" i="2"/>
  <c r="I693" i="2"/>
  <c r="J573" i="2"/>
  <c r="H573" i="2" s="1"/>
  <c r="I580" i="2"/>
  <c r="J581" i="2"/>
  <c r="H581" i="2" s="1"/>
  <c r="I590" i="2"/>
  <c r="J591" i="2"/>
  <c r="H591" i="2" s="1"/>
  <c r="I598" i="2"/>
  <c r="J599" i="2"/>
  <c r="H599" i="2" s="1"/>
  <c r="I606" i="2"/>
  <c r="J607" i="2"/>
  <c r="H607" i="2" s="1"/>
  <c r="I614" i="2"/>
  <c r="J615" i="2"/>
  <c r="H615" i="2" s="1"/>
  <c r="I622" i="2"/>
  <c r="J623" i="2"/>
  <c r="H623" i="2" s="1"/>
  <c r="I632" i="2"/>
  <c r="J633" i="2"/>
  <c r="H633" i="2" s="1"/>
  <c r="I640" i="2"/>
  <c r="J641" i="2"/>
  <c r="H641" i="2" s="1"/>
  <c r="I648" i="2"/>
  <c r="J649" i="2"/>
  <c r="H649" i="2" s="1"/>
  <c r="I656" i="2"/>
  <c r="J657" i="2"/>
  <c r="H657" i="2" s="1"/>
  <c r="I666" i="2"/>
  <c r="J667" i="2"/>
  <c r="H667" i="2" s="1"/>
  <c r="I674" i="2"/>
  <c r="J675" i="2"/>
  <c r="H675" i="2" s="1"/>
  <c r="I682" i="2"/>
  <c r="J683" i="2"/>
  <c r="H683" i="2" s="1"/>
  <c r="F687" i="2"/>
  <c r="J687" i="2" s="1"/>
  <c r="H687" i="2" s="1"/>
  <c r="I692" i="2"/>
  <c r="J693" i="2"/>
  <c r="H693" i="2" s="1"/>
  <c r="K517" i="2" l="1"/>
  <c r="K528" i="2"/>
  <c r="J653" i="2"/>
  <c r="H653" i="2" s="1"/>
  <c r="I637" i="2"/>
  <c r="K597" i="2"/>
  <c r="J579" i="2"/>
  <c r="H579" i="2" s="1"/>
  <c r="I550" i="2"/>
  <c r="K529" i="2"/>
  <c r="J559" i="2"/>
  <c r="H559" i="2" s="1"/>
  <c r="J553" i="2"/>
  <c r="H553" i="2" s="1"/>
  <c r="K524" i="2"/>
  <c r="J524" i="2"/>
  <c r="H524" i="2" s="1"/>
  <c r="I524" i="2"/>
  <c r="K673" i="2"/>
  <c r="J655" i="2"/>
  <c r="H655" i="2" s="1"/>
  <c r="J595" i="2"/>
  <c r="H595" i="2" s="1"/>
  <c r="I577" i="2"/>
  <c r="J561" i="2"/>
  <c r="H561" i="2" s="1"/>
  <c r="K532" i="2"/>
  <c r="J532" i="2"/>
  <c r="H532" i="2" s="1"/>
  <c r="I532" i="2"/>
  <c r="J490" i="2"/>
  <c r="H490" i="2" s="1"/>
  <c r="K513" i="2"/>
  <c r="J496" i="2"/>
  <c r="H496" i="2" s="1"/>
  <c r="K472" i="2"/>
  <c r="K450" i="2"/>
  <c r="I450" i="2"/>
  <c r="I439" i="2"/>
  <c r="K518" i="2"/>
  <c r="J434" i="2"/>
  <c r="H434" i="2" s="1"/>
  <c r="J400" i="2"/>
  <c r="H400" i="2" s="1"/>
  <c r="I373" i="2"/>
  <c r="K351" i="2"/>
  <c r="I430" i="2"/>
  <c r="I490" i="2"/>
  <c r="J396" i="2"/>
  <c r="H396" i="2" s="1"/>
  <c r="I503" i="2"/>
  <c r="I313" i="2"/>
  <c r="J379" i="2"/>
  <c r="H379" i="2" s="1"/>
  <c r="I348" i="2"/>
  <c r="J423" i="2"/>
  <c r="H423" i="2" s="1"/>
  <c r="I298" i="2"/>
  <c r="I272" i="2"/>
  <c r="I252" i="2"/>
  <c r="I233" i="2"/>
  <c r="K230" i="2"/>
  <c r="J304" i="2"/>
  <c r="H304" i="2" s="1"/>
  <c r="K280" i="2"/>
  <c r="J383" i="2"/>
  <c r="H383" i="2" s="1"/>
  <c r="J373" i="2"/>
  <c r="H373" i="2" s="1"/>
  <c r="J286" i="2"/>
  <c r="H286" i="2" s="1"/>
  <c r="K228" i="2"/>
  <c r="J228" i="2"/>
  <c r="H228" i="2" s="1"/>
  <c r="J254" i="2"/>
  <c r="H254" i="2" s="1"/>
  <c r="J235" i="2"/>
  <c r="H235" i="2" s="1"/>
  <c r="I235" i="2"/>
  <c r="J215" i="2"/>
  <c r="H215" i="2" s="1"/>
  <c r="I230" i="2"/>
  <c r="J296" i="2"/>
  <c r="H296" i="2" s="1"/>
  <c r="J245" i="2"/>
  <c r="H245" i="2" s="1"/>
  <c r="I150" i="2"/>
  <c r="K49" i="2"/>
  <c r="K28" i="2"/>
  <c r="I178" i="2"/>
  <c r="J138" i="2"/>
  <c r="H138" i="2" s="1"/>
  <c r="I138" i="2"/>
  <c r="K60" i="2"/>
  <c r="K80" i="2"/>
  <c r="J80" i="2"/>
  <c r="H80" i="2" s="1"/>
  <c r="J298" i="2"/>
  <c r="H298" i="2" s="1"/>
  <c r="K178" i="2"/>
  <c r="J112" i="2"/>
  <c r="H112" i="2" s="1"/>
  <c r="K62" i="2"/>
  <c r="J62" i="2"/>
  <c r="H62" i="2" s="1"/>
  <c r="I135" i="2"/>
  <c r="K16" i="2"/>
  <c r="I49" i="2"/>
  <c r="K88" i="2"/>
  <c r="K158" i="2"/>
  <c r="I689" i="2"/>
  <c r="K579" i="2"/>
  <c r="I526" i="2"/>
  <c r="I496" i="2"/>
  <c r="K553" i="2"/>
  <c r="K655" i="2"/>
  <c r="J577" i="2"/>
  <c r="H577" i="2" s="1"/>
  <c r="K561" i="2"/>
  <c r="I520" i="2"/>
  <c r="J520" i="2"/>
  <c r="H520" i="2" s="1"/>
  <c r="K439" i="2"/>
  <c r="J430" i="2"/>
  <c r="H430" i="2" s="1"/>
  <c r="J359" i="2"/>
  <c r="H359" i="2" s="1"/>
  <c r="I359" i="2"/>
  <c r="K272" i="2"/>
  <c r="J367" i="2"/>
  <c r="H367" i="2" s="1"/>
  <c r="J364" i="2"/>
  <c r="H364" i="2" s="1"/>
  <c r="K321" i="2"/>
  <c r="K346" i="2"/>
  <c r="K265" i="2"/>
  <c r="J265" i="2"/>
  <c r="H265" i="2" s="1"/>
  <c r="K246" i="2"/>
  <c r="J246" i="2"/>
  <c r="H246" i="2" s="1"/>
  <c r="K207" i="2"/>
  <c r="J207" i="2"/>
  <c r="H207" i="2" s="1"/>
  <c r="K160" i="2"/>
  <c r="J160" i="2"/>
  <c r="H160" i="2" s="1"/>
  <c r="K303" i="2"/>
  <c r="J253" i="2"/>
  <c r="H253" i="2" s="1"/>
  <c r="I253" i="2"/>
  <c r="J233" i="2"/>
  <c r="H233" i="2" s="1"/>
  <c r="J170" i="2"/>
  <c r="H170" i="2" s="1"/>
  <c r="I170" i="2"/>
  <c r="K329" i="2"/>
  <c r="I264" i="2"/>
  <c r="K234" i="2"/>
  <c r="K181" i="2"/>
  <c r="J120" i="2"/>
  <c r="H120" i="2" s="1"/>
  <c r="I120" i="2"/>
  <c r="K42" i="2"/>
  <c r="K278" i="2"/>
  <c r="K132" i="2"/>
  <c r="J132" i="2"/>
  <c r="H132" i="2" s="1"/>
  <c r="I130" i="2"/>
  <c r="J106" i="2"/>
  <c r="H106" i="2" s="1"/>
  <c r="K8" i="2"/>
  <c r="I119" i="2"/>
  <c r="K81" i="2"/>
  <c r="K149" i="2"/>
  <c r="I681" i="2"/>
  <c r="K687" i="2"/>
  <c r="K689" i="2"/>
  <c r="I540" i="2"/>
  <c r="J681" i="2"/>
  <c r="H681" i="2" s="1"/>
  <c r="I603" i="2"/>
  <c r="I679" i="2"/>
  <c r="J621" i="2"/>
  <c r="H621" i="2" s="1"/>
  <c r="K549" i="2"/>
  <c r="J549" i="2"/>
  <c r="H549" i="2" s="1"/>
  <c r="I549" i="2"/>
  <c r="K540" i="2"/>
  <c r="K372" i="2"/>
  <c r="I278" i="2"/>
  <c r="J348" i="2"/>
  <c r="H348" i="2" s="1"/>
  <c r="K295" i="2"/>
  <c r="I306" i="2"/>
  <c r="K277" i="2"/>
  <c r="K262" i="2"/>
  <c r="J262" i="2"/>
  <c r="H262" i="2" s="1"/>
  <c r="K225" i="2"/>
  <c r="J225" i="2"/>
  <c r="H225" i="2" s="1"/>
  <c r="I207" i="2"/>
  <c r="J391" i="2"/>
  <c r="H391" i="2" s="1"/>
  <c r="J251" i="2"/>
  <c r="H251" i="2" s="1"/>
  <c r="I160" i="2"/>
  <c r="K285" i="2"/>
  <c r="I261" i="2"/>
  <c r="J165" i="2"/>
  <c r="H165" i="2" s="1"/>
  <c r="K64" i="2"/>
  <c r="J167" i="2"/>
  <c r="H167" i="2" s="1"/>
  <c r="I167" i="2"/>
  <c r="K146" i="2"/>
  <c r="J104" i="2"/>
  <c r="H104" i="2" s="1"/>
  <c r="I104" i="2"/>
  <c r="I191" i="2"/>
  <c r="I132" i="2"/>
  <c r="J44" i="2"/>
  <c r="H44" i="2" s="1"/>
  <c r="K44" i="2"/>
  <c r="J261" i="2"/>
  <c r="H261" i="2" s="1"/>
  <c r="I101" i="2"/>
  <c r="K10" i="2"/>
  <c r="J10" i="2"/>
  <c r="H10" i="2" s="1"/>
  <c r="J82" i="2"/>
  <c r="H82" i="2" s="1"/>
  <c r="K115" i="2"/>
  <c r="I571" i="2"/>
  <c r="J571" i="2"/>
  <c r="H571" i="2" s="1"/>
  <c r="K603" i="2"/>
  <c r="J665" i="2"/>
  <c r="H665" i="2" s="1"/>
  <c r="I585" i="2"/>
  <c r="I543" i="2"/>
  <c r="J679" i="2"/>
  <c r="H679" i="2" s="1"/>
  <c r="I661" i="2"/>
  <c r="K621" i="2"/>
  <c r="I529" i="2"/>
  <c r="I517" i="2"/>
  <c r="K476" i="2"/>
  <c r="I527" i="2"/>
  <c r="I513" i="2"/>
  <c r="I478" i="2"/>
  <c r="I431" i="2"/>
  <c r="K511" i="2"/>
  <c r="J462" i="2"/>
  <c r="H462" i="2" s="1"/>
  <c r="I384" i="2"/>
  <c r="J346" i="2"/>
  <c r="H346" i="2" s="1"/>
  <c r="J399" i="2"/>
  <c r="H399" i="2" s="1"/>
  <c r="I438" i="2"/>
  <c r="I378" i="2"/>
  <c r="J375" i="2"/>
  <c r="H375" i="2" s="1"/>
  <c r="I375" i="2"/>
  <c r="I329" i="2"/>
  <c r="I364" i="2"/>
  <c r="I370" i="2"/>
  <c r="J352" i="2"/>
  <c r="H352" i="2" s="1"/>
  <c r="K416" i="2"/>
  <c r="J306" i="2"/>
  <c r="H306" i="2" s="1"/>
  <c r="I220" i="2"/>
  <c r="J340" i="2"/>
  <c r="H340" i="2" s="1"/>
  <c r="J252" i="2"/>
  <c r="H252" i="2" s="1"/>
  <c r="K243" i="2"/>
  <c r="J243" i="2"/>
  <c r="H243" i="2" s="1"/>
  <c r="K362" i="2"/>
  <c r="I265" i="2"/>
  <c r="I246" i="2"/>
  <c r="J186" i="2"/>
  <c r="H186" i="2" s="1"/>
  <c r="I186" i="2"/>
  <c r="K378" i="2"/>
  <c r="I212" i="2"/>
  <c r="I245" i="2"/>
  <c r="I227" i="2"/>
  <c r="I64" i="2"/>
  <c r="I106" i="2"/>
  <c r="K165" i="2"/>
  <c r="K150" i="2"/>
  <c r="K130" i="2"/>
  <c r="J86" i="2"/>
  <c r="H86" i="2" s="1"/>
  <c r="I86" i="2"/>
  <c r="J60" i="2"/>
  <c r="H60" i="2" s="1"/>
  <c r="J191" i="2"/>
  <c r="H191" i="2" s="1"/>
  <c r="K98" i="2"/>
  <c r="J98" i="2"/>
  <c r="H98" i="2" s="1"/>
  <c r="I44" i="2"/>
  <c r="I153" i="2"/>
  <c r="I96" i="2"/>
  <c r="K7" i="2"/>
  <c r="K140" i="2"/>
  <c r="K18" i="2"/>
  <c r="I67" i="2"/>
  <c r="K408" i="2"/>
  <c r="K259" i="2"/>
  <c r="J259" i="2"/>
  <c r="H259" i="2" s="1"/>
  <c r="K176" i="2"/>
  <c r="J176" i="2"/>
  <c r="H176" i="2" s="1"/>
  <c r="K327" i="2"/>
  <c r="J204" i="2"/>
  <c r="H204" i="2" s="1"/>
  <c r="I204" i="2"/>
  <c r="J183" i="2"/>
  <c r="H183" i="2" s="1"/>
  <c r="I183" i="2"/>
  <c r="K112" i="2"/>
  <c r="J68" i="2"/>
  <c r="H68" i="2" s="1"/>
  <c r="I68" i="2"/>
  <c r="K148" i="2"/>
  <c r="J148" i="2"/>
  <c r="H148" i="2" s="1"/>
  <c r="K236" i="2"/>
  <c r="I146" i="2"/>
  <c r="J122" i="2"/>
  <c r="H122" i="2" s="1"/>
  <c r="J3" i="2"/>
  <c r="H3" i="2" s="1"/>
  <c r="I31" i="2"/>
  <c r="J645" i="2"/>
  <c r="H645" i="2" s="1"/>
  <c r="K589" i="2"/>
  <c r="K542" i="2"/>
  <c r="J542" i="2"/>
  <c r="H542" i="2" s="1"/>
  <c r="J526" i="2"/>
  <c r="H526" i="2" s="1"/>
  <c r="I476" i="2"/>
  <c r="J511" i="2"/>
  <c r="H511" i="2" s="1"/>
  <c r="I488" i="2"/>
  <c r="J442" i="2"/>
  <c r="H442" i="2" s="1"/>
  <c r="J362" i="2"/>
  <c r="H362" i="2" s="1"/>
  <c r="I372" i="2"/>
  <c r="I409" i="2"/>
  <c r="J393" i="2"/>
  <c r="H393" i="2" s="1"/>
  <c r="I393" i="2"/>
  <c r="J420" i="2"/>
  <c r="H420" i="2" s="1"/>
  <c r="K384" i="2"/>
  <c r="J363" i="2"/>
  <c r="H363" i="2" s="1"/>
  <c r="I215" i="2"/>
  <c r="K319" i="2"/>
  <c r="I259" i="2"/>
  <c r="K173" i="2"/>
  <c r="J173" i="2"/>
  <c r="H173" i="2" s="1"/>
  <c r="J222" i="2"/>
  <c r="H222" i="2" s="1"/>
  <c r="I222" i="2"/>
  <c r="J202" i="2"/>
  <c r="H202" i="2" s="1"/>
  <c r="I248" i="2"/>
  <c r="K162" i="2"/>
  <c r="I88" i="2"/>
  <c r="J227" i="2"/>
  <c r="H227" i="2" s="1"/>
  <c r="K96" i="2"/>
  <c r="K4" i="2"/>
  <c r="J42" i="2"/>
  <c r="H42" i="2" s="1"/>
  <c r="J4" i="2"/>
  <c r="H4" i="2" s="1"/>
  <c r="I148" i="2"/>
  <c r="I117" i="2"/>
  <c r="I28" i="2"/>
  <c r="I137" i="2"/>
  <c r="K52" i="2"/>
  <c r="I10" i="2"/>
  <c r="J528" i="2"/>
  <c r="H528" i="2" s="1"/>
  <c r="J503" i="2"/>
  <c r="H503" i="2" s="1"/>
  <c r="I509" i="2"/>
  <c r="I507" i="2"/>
  <c r="J488" i="2"/>
  <c r="H488" i="2" s="1"/>
  <c r="K390" i="2"/>
  <c r="K356" i="2"/>
  <c r="I380" i="2"/>
  <c r="J351" i="2"/>
  <c r="H351" i="2" s="1"/>
  <c r="K192" i="2"/>
  <c r="J192" i="2"/>
  <c r="H192" i="2" s="1"/>
  <c r="J238" i="2"/>
  <c r="H238" i="2" s="1"/>
  <c r="I238" i="2"/>
  <c r="J220" i="2"/>
  <c r="H220" i="2" s="1"/>
  <c r="J201" i="2"/>
  <c r="H201" i="2" s="1"/>
  <c r="I201" i="2"/>
  <c r="I176" i="2"/>
  <c r="K78" i="2"/>
  <c r="J50" i="2"/>
  <c r="H50" i="2" s="1"/>
  <c r="I50" i="2"/>
  <c r="K114" i="2"/>
  <c r="J114" i="2"/>
  <c r="H114" i="2" s="1"/>
  <c r="J78" i="2"/>
  <c r="H78" i="2" s="1"/>
  <c r="J7" i="2"/>
  <c r="H7" i="2" s="1"/>
  <c r="I103" i="2"/>
  <c r="K559" i="2"/>
  <c r="I595" i="2"/>
  <c r="J494" i="2"/>
  <c r="H494" i="2" s="1"/>
  <c r="J470" i="2"/>
  <c r="H470" i="2" s="1"/>
  <c r="J512" i="2"/>
  <c r="H512" i="2" s="1"/>
  <c r="K446" i="2"/>
  <c r="I446" i="2"/>
  <c r="K507" i="2"/>
  <c r="I468" i="2"/>
  <c r="I400" i="2"/>
  <c r="I319" i="2"/>
  <c r="I405" i="2"/>
  <c r="J343" i="2"/>
  <c r="H343" i="2" s="1"/>
  <c r="I343" i="2"/>
  <c r="I417" i="2"/>
  <c r="K304" i="2"/>
  <c r="I236" i="2"/>
  <c r="I286" i="2"/>
  <c r="K210" i="2"/>
  <c r="J210" i="2"/>
  <c r="H210" i="2" s="1"/>
  <c r="K189" i="2"/>
  <c r="J189" i="2"/>
  <c r="H189" i="2" s="1"/>
  <c r="J171" i="2"/>
  <c r="H171" i="2" s="1"/>
  <c r="J256" i="2"/>
  <c r="H256" i="2" s="1"/>
  <c r="I256" i="2"/>
  <c r="J219" i="2"/>
  <c r="H219" i="2" s="1"/>
  <c r="I219" i="2"/>
  <c r="I171" i="2"/>
  <c r="I296" i="2"/>
  <c r="I70" i="2"/>
  <c r="I140" i="2"/>
  <c r="K183" i="2"/>
  <c r="J156" i="2"/>
  <c r="H156" i="2" s="1"/>
  <c r="I156" i="2"/>
  <c r="J32" i="2"/>
  <c r="H32" i="2" s="1"/>
  <c r="I32" i="2"/>
  <c r="K26" i="2"/>
  <c r="J26" i="2"/>
  <c r="H26" i="2" s="1"/>
  <c r="I114" i="2"/>
  <c r="J27" i="2"/>
  <c r="H27" i="2" s="1"/>
  <c r="I85" i="2"/>
  <c r="I155" i="2"/>
  <c r="K70" i="2"/>
</calcChain>
</file>

<file path=xl/sharedStrings.xml><?xml version="1.0" encoding="utf-8"?>
<sst xmlns="http://schemas.openxmlformats.org/spreadsheetml/2006/main" count="1399" uniqueCount="501">
  <si>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</si>
  <si>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</si>
  <si>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</si>
  <si>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</si>
  <si>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</si>
  <si>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</si>
  <si>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</si>
  <si>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</si>
  <si>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</si>
  <si>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</si>
  <si>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</si>
  <si>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</si>
  <si>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Ich bin in Sierra Leone geboren und aufgewachsen , einem kleinen und sehr schönen Land in Westafrika , einem Land reich sowohl an Bodenschätzen als auch an kreativen Talenten .</t>
  </si>
  <si>
    <t>2</t>
  </si>
  <si>
    <t>Allerdings ist Sierra Leone berüchtigt für einen jahrzehntelangen Rebellenkrieg in den 90ern , in dem ganze Dörfer niedergebrannt wurden .</t>
  </si>
  <si>
    <t>contra-expectation</t>
  </si>
  <si>
    <t>(orig: Comparison.Concession.Arg2-as-denier)</t>
  </si>
  <si>
    <t>3</t>
  </si>
  <si>
    <t>Schätzungsweise 8 000 Männern , Frauen und Kindern wurden in dieser Zeit Arme und Beine amputiert .</t>
  </si>
  <si>
    <t>Synchrony</t>
  </si>
  <si>
    <t>(orig: Temporal.Synchronous)</t>
  </si>
  <si>
    <t>4</t>
  </si>
  <si>
    <t>(and)</t>
  </si>
  <si>
    <t>Meine Familie und ich brachten uns vor einem dieser Angriffe in Sicherheit , als ich 12 war .</t>
  </si>
  <si>
    <t>(orig: Expansion.Conjunction)</t>
  </si>
  <si>
    <t>5</t>
  </si>
  <si>
    <t>In diesem Moment nahm ich mir vor , alles zu tun , um sicherzustellen , dass meine eigenen Kinder nicht dasselbe erleben müssen , was wir erlebt haben .</t>
  </si>
  <si>
    <t>6</t>
  </si>
  <si>
    <t>Vielmehr sollten sie Teil von einem Sierra Leone sein , in dem Krieg und Amputationen nicht als Strategie zur Machtgewinnung genutzt werden .</t>
  </si>
  <si>
    <t>specific</t>
  </si>
  <si>
    <t>(orig: Expansion.Level-of-detail.Arg2-as-detail)</t>
  </si>
  <si>
    <t>7</t>
  </si>
  <si>
    <t>Ich beobachtete Menschen , die ich kannte , liebte , wie sie sich von dieser Verwüstung erholten , aber eine Sache quälte mich zutiefst , und zwar , dass viele der Amputierten in diesem Land nicht ihre Prothesen benutzten .</t>
  </si>
  <si>
    <t>8</t>
  </si>
  <si>
    <t>Der Grund , wie ich später herausfand , waren die Prothesenschäfte , die Schmerzen verursachten , weil sie nicht gut passten .</t>
  </si>
  <si>
    <t>reason</t>
  </si>
  <si>
    <t>(orig: Contingency.Cause.Reason)</t>
  </si>
  <si>
    <t>9</t>
  </si>
  <si>
    <t>Der Prothesenschaft ist der Teil , in welchen der Amputierte seinen Stumpf steckt , der mit der eigentlichen Prothese verbunden ist .</t>
  </si>
  <si>
    <t>10</t>
  </si>
  <si>
    <t>Selbst in den Industrieländern dauert es drei Wochen bis hin zu Jahren , bis sich ein Patient an den Schaft gewöhnt , wenn überhaupt .</t>
  </si>
  <si>
    <t>11</t>
  </si>
  <si>
    <t>(because)</t>
  </si>
  <si>
    <t>Prothesenbauer benutzen immer noch konventionelle Methoden , wie Pressen und Gießen , um Unibody-Prothesenschäfte herzustellen .</t>
  </si>
  <si>
    <t>12</t>
  </si>
  <si>
    <t>Solche Schäfte üben oft unerträglichen Druck auf die Glieder der Patienten aus und verursachen Druckwunden und Blasen .</t>
  </si>
  <si>
    <t>13</t>
  </si>
  <si>
    <t>Ganz gleich , wie leistungsfähig die Knöchelprothese ist , wenn der Prothesenschaft unbequem ist , werden Sie die Prothese nicht nutzen , und das ist heutzutage einfach inakzeptabel .</t>
  </si>
  <si>
    <t>14</t>
  </si>
  <si>
    <t>Damals , als ich Professor Hugh Herr vor zweieinhalb Jahren traf , und er mich fragte , ob ich eine Lösung für dieses Problem hätte , sagte ich : " Nein , noch nicht , aber ich würde sie liebend gerne finden . "</t>
  </si>
  <si>
    <t>15</t>
  </si>
  <si>
    <t>Also habe ich für meine Doktorarbeit am MIT Media Lab maßgefertige Prothesenschäfte entworfen , schnell und günstig , mit mehr Tragekomfort als herkömmliche Prothesen .</t>
  </si>
  <si>
    <t>result</t>
  </si>
  <si>
    <t>(orig: Contingency.Cause.Result)</t>
  </si>
  <si>
    <t>16</t>
  </si>
  <si>
    <t>(after that)</t>
  </si>
  <si>
    <t>Mittels Magnetresonanztomografie ( MRT ) erfasste ich die genaue Form der Anatomie des Patienten , benutzte die Berechnungstechnologie FEM , um besser vorherzusehen , welche inneren Belastungen bei normaler Nutzung entstehen , und lies danach einen Prothesenschaft herstellen .</t>
  </si>
  <si>
    <t>(orig: Temporal.Asynchronous.Precedence)</t>
  </si>
  <si>
    <t>17</t>
  </si>
  <si>
    <t>(specifically)</t>
  </si>
  <si>
    <t>Wir benutzen 3D-Drucker , um Prothesenschäfte aus mehreren Materialen herzustellen , die den Druck dort verringern , wo es die Anatomie des Patienten nötig macht .</t>
  </si>
  <si>
    <t>18</t>
  </si>
  <si>
    <t>Kurz gesagt , wir benutzen Daten , um neuartige Schäfte schnell und günstig herzustellen .</t>
  </si>
  <si>
    <t>broad</t>
  </si>
  <si>
    <t>(orig: Expansion.Level-of-detail.Arg1-as-detail)</t>
  </si>
  <si>
    <t>19</t>
  </si>
  <si>
    <t>(for instance)</t>
  </si>
  <si>
    <t>In einem Versuch , den wir vor kurzem am Media Lab durchführten , hat einer unserer Patienten , ein US-Veteran , der seit über 20 Jahren amputiert ist und schon dutzende Prothesen getragen hat , Folgendes über unsere ausgedruckten Prothesen gesagt : " Sie ist so weich , als würde man auf Kissen laufen , und verdammt sexy . "</t>
  </si>
  <si>
    <t>instance</t>
  </si>
  <si>
    <t>(orig: Expansion.Instantiation)</t>
  </si>
  <si>
    <t>20</t>
  </si>
  <si>
    <t>( Lachen ) Heutzutage sollten Behinderungen niemanden mehr daran hindern , ein sinnsvolles Leben zu führen .</t>
  </si>
  <si>
    <t>21</t>
  </si>
  <si>
    <t>Meine Hoffnung und mein Wunsch ist es , dass die Werkzeuge und Prozesse , die wir in unserer Forschungsgruppe entwickeln , genutzt werden können , um hochfunktionale Prothesen herzustellen , für die , die sie brauchen .</t>
  </si>
  <si>
    <t>22</t>
  </si>
  <si>
    <t>Für mich ist es ein Anfang , um die Seelen derer zu heilen , die vom Krieg und Krankheiten betroffen sind , ist für mich komfortable und erschwingliche Schnittstellen für ihre Körper herzustellen .</t>
  </si>
  <si>
    <t>23</t>
  </si>
  <si>
    <t>Ob in Sierra Leone oder in Boston , ich hoffe , dass dies nicht nur ihren Sinn für menschliches Können wiederherstellt , sondern verändert .</t>
  </si>
  <si>
    <t>24</t>
  </si>
  <si>
    <t>Vielen Dank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</si>
  <si>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</si>
  <si>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</si>
  <si>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</si>
  <si>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</si>
  <si>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</si>
  <si>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</si>
  <si>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</si>
  <si>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</si>
  <si>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</si>
  <si>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</si>
  <si>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</si>
  <si>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Ich bin in Sierra Leone geboren und aufgewachsen , einem kleinen und sehr schönen Land in Westafrika , einem Land reich sowohl an Bodenschätzen als auch an kreativen Talenten .</t>
  </si>
  <si>
    <t>Ich</t>
  </si>
  <si>
    <t>SBJ_2</t>
  </si>
  <si>
    <t>pron.pper</t>
  </si>
  <si>
    <t>?OLD</t>
  </si>
  <si>
    <t>bin</t>
  </si>
  <si>
    <t>in</t>
  </si>
  <si>
    <t>Sierra</t>
  </si>
  <si>
    <t>other</t>
  </si>
  <si>
    <t>ne</t>
  </si>
  <si>
    <t>Leone</t>
  </si>
  <si>
    <t>geboren</t>
  </si>
  <si>
    <t>und</t>
  </si>
  <si>
    <t>aufgewachsen</t>
  </si>
  <si>
    <t>,</t>
  </si>
  <si>
    <t>einem</t>
  </si>
  <si>
    <t>kleinen</t>
  </si>
  <si>
    <t>sehr</t>
  </si>
  <si>
    <t>schönen</t>
  </si>
  <si>
    <t>Land</t>
  </si>
  <si>
    <t>indef-np.a</t>
  </si>
  <si>
    <t>Westafrika</t>
  </si>
  <si>
    <t>other_2</t>
  </si>
  <si>
    <t>other_3</t>
  </si>
  <si>
    <t>reich</t>
  </si>
  <si>
    <t>sowohl</t>
  </si>
  <si>
    <t>an</t>
  </si>
  <si>
    <t>Bodenschätzen</t>
  </si>
  <si>
    <t>indef-np.bare</t>
  </si>
  <si>
    <t>als</t>
  </si>
  <si>
    <t>auch</t>
  </si>
  <si>
    <t>kreativen</t>
  </si>
  <si>
    <t>Talenten</t>
  </si>
  <si>
    <t>.</t>
  </si>
  <si>
    <t># text = Allerdings ist Sierra Leone berüchtigt für einen jahrzehntelangen Rebellenkrieg in den 90ern , in dem ganze Dörfer niedergebrannt wurden .</t>
  </si>
  <si>
    <t>Allerdings</t>
  </si>
  <si>
    <t>ist</t>
  </si>
  <si>
    <t>SBJ</t>
  </si>
  <si>
    <t>berüchtigt</t>
  </si>
  <si>
    <t>für</t>
  </si>
  <si>
    <t>einen</t>
  </si>
  <si>
    <t>jahrzehntelangen</t>
  </si>
  <si>
    <t>Rebellenkrieg</t>
  </si>
  <si>
    <t>den</t>
  </si>
  <si>
    <t>90ern</t>
  </si>
  <si>
    <t>def-np.the</t>
  </si>
  <si>
    <t>dem</t>
  </si>
  <si>
    <t>ganze</t>
  </si>
  <si>
    <t>Dörfer</t>
  </si>
  <si>
    <t>niedergebrannt</t>
  </si>
  <si>
    <t>wurden</t>
  </si>
  <si>
    <t># text = Schätzungsweise 8 000 Männern , Frauen und Kindern wurden in dieser Zeit Arme und Beine amputiert .</t>
  </si>
  <si>
    <t>Schätzungsweise</t>
  </si>
  <si>
    <t>000</t>
  </si>
  <si>
    <t>Männern</t>
  </si>
  <si>
    <t>OBJ</t>
  </si>
  <si>
    <t>indef-np.quant</t>
  </si>
  <si>
    <t>Frauen</t>
  </si>
  <si>
    <t>Kindern</t>
  </si>
  <si>
    <t>dieser</t>
  </si>
  <si>
    <t>pron.pds</t>
  </si>
  <si>
    <t>Zeit</t>
  </si>
  <si>
    <t>def-np.dem</t>
  </si>
  <si>
    <t>Arme</t>
  </si>
  <si>
    <t>Beine</t>
  </si>
  <si>
    <t>amputiert</t>
  </si>
  <si>
    <t># text = Meine Familie und ich brachten uns vor einem dieser Angriffe in Sicherheit , als ich 12 war .</t>
  </si>
  <si>
    <t>Meine</t>
  </si>
  <si>
    <t>pron.ppos</t>
  </si>
  <si>
    <t>Familie</t>
  </si>
  <si>
    <t>ich</t>
  </si>
  <si>
    <t>brachten</t>
  </si>
  <si>
    <t>uns</t>
  </si>
  <si>
    <t>pron</t>
  </si>
  <si>
    <t>vor</t>
  </si>
  <si>
    <t>Angriffe</t>
  </si>
  <si>
    <t>Sicherheit</t>
  </si>
  <si>
    <t>war</t>
  </si>
  <si>
    <t># text = In diesem Moment nahm ich mir vor , alles zu tun , um sicherzustellen , dass meine eigenen Kinder nicht dasselbe erleben müssen , was wir erlebt haben .</t>
  </si>
  <si>
    <t>In</t>
  </si>
  <si>
    <t>diesem</t>
  </si>
  <si>
    <t>Moment</t>
  </si>
  <si>
    <t>nahm</t>
  </si>
  <si>
    <t>mir</t>
  </si>
  <si>
    <t>alles</t>
  </si>
  <si>
    <t>OBJ_2</t>
  </si>
  <si>
    <t>pron.pind</t>
  </si>
  <si>
    <t>zu</t>
  </si>
  <si>
    <t>tun</t>
  </si>
  <si>
    <t>um</t>
  </si>
  <si>
    <t>sicherzustellen</t>
  </si>
  <si>
    <t>dass</t>
  </si>
  <si>
    <t>meine</t>
  </si>
  <si>
    <t>other_4</t>
  </si>
  <si>
    <t>eigenen</t>
  </si>
  <si>
    <t>Kinder</t>
  </si>
  <si>
    <t>SBJ_3</t>
  </si>
  <si>
    <t>nicht</t>
  </si>
  <si>
    <t>dasselbe</t>
  </si>
  <si>
    <t>erleben</t>
  </si>
  <si>
    <t>müssen</t>
  </si>
  <si>
    <t>was</t>
  </si>
  <si>
    <t>wir</t>
  </si>
  <si>
    <t>erlebt</t>
  </si>
  <si>
    <t>haben</t>
  </si>
  <si>
    <t># text = Vielmehr sollten sie Teil von einem Sierra Leone sein , in dem Krieg und Amputationen nicht als Strategie zur Machtgewinnung genutzt werden .</t>
  </si>
  <si>
    <t>Vielmehr</t>
  </si>
  <si>
    <t>sollten</t>
  </si>
  <si>
    <t>sie</t>
  </si>
  <si>
    <t>Teil</t>
  </si>
  <si>
    <t>von</t>
  </si>
  <si>
    <t>sein</t>
  </si>
  <si>
    <t>Krieg</t>
  </si>
  <si>
    <t>Amputationen</t>
  </si>
  <si>
    <t>Strategie</t>
  </si>
  <si>
    <t>der</t>
  </si>
  <si>
    <t>Machtgewinnung</t>
  </si>
  <si>
    <t>genutzt</t>
  </si>
  <si>
    <t>werden</t>
  </si>
  <si>
    <t># text = Ich beobachtete Menschen , die ich kannte , liebte , wie sie sich von dieser Verwüstung erholten , aber eine Sache quälte mich zutiefst , und zwar , dass viele der Amputierten in diesem Land nicht ihre Prothesen benutzten .</t>
  </si>
  <si>
    <t>beobachtete</t>
  </si>
  <si>
    <t>Menschen</t>
  </si>
  <si>
    <t>die</t>
  </si>
  <si>
    <t>OBJ_3</t>
  </si>
  <si>
    <t>kannte</t>
  </si>
  <si>
    <t>liebte</t>
  </si>
  <si>
    <t>wie</t>
  </si>
  <si>
    <t>sich</t>
  </si>
  <si>
    <t>Verwüstung</t>
  </si>
  <si>
    <t>erholten</t>
  </si>
  <si>
    <t>aber</t>
  </si>
  <si>
    <t>eine</t>
  </si>
  <si>
    <t>Sache</t>
  </si>
  <si>
    <t>SBJ_4</t>
  </si>
  <si>
    <t>quälte</t>
  </si>
  <si>
    <t>mich</t>
  </si>
  <si>
    <t>OBJ_4</t>
  </si>
  <si>
    <t>zutiefst</t>
  </si>
  <si>
    <t>zwar</t>
  </si>
  <si>
    <t>viele</t>
  </si>
  <si>
    <t>Amputierten</t>
  </si>
  <si>
    <t>ihre</t>
  </si>
  <si>
    <t>Prothesen</t>
  </si>
  <si>
    <t>indef-np</t>
  </si>
  <si>
    <t>benutzten</t>
  </si>
  <si>
    <t># text = Der Grund , wie ich später herausfand , waren die Prothesenschäfte , die Schmerzen verursachten , weil sie nicht gut passten .</t>
  </si>
  <si>
    <t>Der</t>
  </si>
  <si>
    <t>Grund</t>
  </si>
  <si>
    <t>später</t>
  </si>
  <si>
    <t>herausfand</t>
  </si>
  <si>
    <t>waren</t>
  </si>
  <si>
    <t>Prothesenschäfte</t>
  </si>
  <si>
    <t>Schmerzen</t>
  </si>
  <si>
    <t>verursachten</t>
  </si>
  <si>
    <t>weil</t>
  </si>
  <si>
    <t>gut</t>
  </si>
  <si>
    <t>passten</t>
  </si>
  <si>
    <t># text = Der Prothesenschaft ist der Teil , in welchen der Amputierte seinen Stumpf steckt , der mit der eigentlichen Prothese verbunden ist .</t>
  </si>
  <si>
    <t>Prothesenschaft</t>
  </si>
  <si>
    <t>welchen</t>
  </si>
  <si>
    <t>pron.pint</t>
  </si>
  <si>
    <t>Amputierte</t>
  </si>
  <si>
    <t>seinen</t>
  </si>
  <si>
    <t>Stumpf</t>
  </si>
  <si>
    <t>steckt</t>
  </si>
  <si>
    <t>mit</t>
  </si>
  <si>
    <t>eigentlichen</t>
  </si>
  <si>
    <t>Prothese</t>
  </si>
  <si>
    <t>verbunden</t>
  </si>
  <si>
    <t># text = Selbst in den Industrieländern dauert es drei Wochen bis hin zu Jahren , bis sich ein Patient an den Schaft gewöhnt , wenn überhaupt .</t>
  </si>
  <si>
    <t>Selbst</t>
  </si>
  <si>
    <t>Industrieländern</t>
  </si>
  <si>
    <t>dauert</t>
  </si>
  <si>
    <t>es</t>
  </si>
  <si>
    <t>drei</t>
  </si>
  <si>
    <t>Wochen</t>
  </si>
  <si>
    <t>bis</t>
  </si>
  <si>
    <t>hin</t>
  </si>
  <si>
    <t>Jahren</t>
  </si>
  <si>
    <t>ein</t>
  </si>
  <si>
    <t>Patient</t>
  </si>
  <si>
    <t>Schaft</t>
  </si>
  <si>
    <t>gewöhnt</t>
  </si>
  <si>
    <t>wenn</t>
  </si>
  <si>
    <t>überhaupt</t>
  </si>
  <si>
    <t># text = Prothesenbauer benutzen immer noch konventionelle Methoden , wie Pressen und Gießen , um Unibody-Prothesenschäfte herzustellen .</t>
  </si>
  <si>
    <t>Prothesenbauer</t>
  </si>
  <si>
    <t>benutzen</t>
  </si>
  <si>
    <t>immer</t>
  </si>
  <si>
    <t>noch</t>
  </si>
  <si>
    <t>konventionelle</t>
  </si>
  <si>
    <t>Methoden</t>
  </si>
  <si>
    <t>Pressen</t>
  </si>
  <si>
    <t>Gießen</t>
  </si>
  <si>
    <t>Unibody</t>
  </si>
  <si>
    <t>herzustellen</t>
  </si>
  <si>
    <t># text = Solche Schäfte üben oft unerträglichen Druck auf die Glieder der Patienten aus und verursachen Druckwunden und Blasen .</t>
  </si>
  <si>
    <t>Solche</t>
  </si>
  <si>
    <t>Schäfte</t>
  </si>
  <si>
    <t>üben</t>
  </si>
  <si>
    <t>oft</t>
  </si>
  <si>
    <t>unerträglichen</t>
  </si>
  <si>
    <t>Druck</t>
  </si>
  <si>
    <t>auf</t>
  </si>
  <si>
    <t>Glieder</t>
  </si>
  <si>
    <t>Patienten</t>
  </si>
  <si>
    <t>aus</t>
  </si>
  <si>
    <t>verursachen</t>
  </si>
  <si>
    <t>Druckwunden</t>
  </si>
  <si>
    <t>Blasen</t>
  </si>
  <si>
    <t># text = Ganz gleich , wie leistungsfähig die Knöchelprothese ist , wenn der Prothesenschaft unbequem ist , werden Sie die Prothese nicht nutzen , und das ist heutzutage einfach inakzeptabel .</t>
  </si>
  <si>
    <t>Ganz</t>
  </si>
  <si>
    <t>gleich</t>
  </si>
  <si>
    <t>leistungsfähig</t>
  </si>
  <si>
    <t>Knöchelprothese</t>
  </si>
  <si>
    <t>unbequem</t>
  </si>
  <si>
    <t>Sie</t>
  </si>
  <si>
    <t>nutzen</t>
  </si>
  <si>
    <t>das</t>
  </si>
  <si>
    <t>heutzutage</t>
  </si>
  <si>
    <t>einfach</t>
  </si>
  <si>
    <t>inakzeptabel</t>
  </si>
  <si>
    <t>--</t>
  </si>
  <si>
    <t># text = Damals , als ich Professor Hugh Herr vor zweieinhalb Jahren traf , und er mich fragte , ob ich eine Lösung für dieses Problem hätte , sagte ich : " Nein , noch nicht , aber ich würde sie liebend gerne finden . "</t>
  </si>
  <si>
    <t>Damals</t>
  </si>
  <si>
    <t>Professor</t>
  </si>
  <si>
    <t>Hugh</t>
  </si>
  <si>
    <t>Herr</t>
  </si>
  <si>
    <t>zweieinhalb</t>
  </si>
  <si>
    <t>traf</t>
  </si>
  <si>
    <t>er</t>
  </si>
  <si>
    <t>fragte</t>
  </si>
  <si>
    <t>ob</t>
  </si>
  <si>
    <t>Lösung</t>
  </si>
  <si>
    <t>dieses</t>
  </si>
  <si>
    <t>other_5</t>
  </si>
  <si>
    <t>Problem</t>
  </si>
  <si>
    <t>hätte</t>
  </si>
  <si>
    <t>sagte</t>
  </si>
  <si>
    <t>:</t>
  </si>
  <si>
    <t>&amp;quot;</t>
  </si>
  <si>
    <t>Nein</t>
  </si>
  <si>
    <t>würde</t>
  </si>
  <si>
    <t>liebend</t>
  </si>
  <si>
    <t>gerne</t>
  </si>
  <si>
    <t>finden</t>
  </si>
  <si>
    <t># text = Also habe ich für meine Doktorarbeit am MIT Media Lab maßgefertige Prothesenschäfte entworfen , schnell und günstig , mit mehr Tragekomfort als herkömmliche Prothesen .</t>
  </si>
  <si>
    <t>Also</t>
  </si>
  <si>
    <t>habe</t>
  </si>
  <si>
    <t>Doktorarbeit</t>
  </si>
  <si>
    <t>MIT</t>
  </si>
  <si>
    <t>Media</t>
  </si>
  <si>
    <t>Lab</t>
  </si>
  <si>
    <t>maßgefertige</t>
  </si>
  <si>
    <t>entworfen</t>
  </si>
  <si>
    <t>schnell</t>
  </si>
  <si>
    <t>günstig</t>
  </si>
  <si>
    <t>mehr</t>
  </si>
  <si>
    <t>Tragekomfort</t>
  </si>
  <si>
    <t>herkömmliche</t>
  </si>
  <si>
    <t># text = Mittels Magnetresonanztomografie ( MRT ) erfasste ich die genaue Form der Anatomie des Patienten , benutzte die Berechnungstechnologie FEM , um besser vorherzusehen , welche inneren Belastungen bei normaler Nutzung entstehen , und lies danach einen Prothesenschaft herstellen .</t>
  </si>
  <si>
    <t>Mittels</t>
  </si>
  <si>
    <t>Magnetresonanztomografie</t>
  </si>
  <si>
    <t>(</t>
  </si>
  <si>
    <t>MRT</t>
  </si>
  <si>
    <t>)</t>
  </si>
  <si>
    <t>erfasste</t>
  </si>
  <si>
    <t>genaue</t>
  </si>
  <si>
    <t>Form</t>
  </si>
  <si>
    <t>Anatomie</t>
  </si>
  <si>
    <t>des</t>
  </si>
  <si>
    <t>benutzte</t>
  </si>
  <si>
    <t>Berechnungstechnologie</t>
  </si>
  <si>
    <t>FEM</t>
  </si>
  <si>
    <t>besser</t>
  </si>
  <si>
    <t>vorherzusehen</t>
  </si>
  <si>
    <t>welche</t>
  </si>
  <si>
    <t>inneren</t>
  </si>
  <si>
    <t>Belastungen</t>
  </si>
  <si>
    <t>bei</t>
  </si>
  <si>
    <t>normaler</t>
  </si>
  <si>
    <t>Nutzung</t>
  </si>
  <si>
    <t>entstehen</t>
  </si>
  <si>
    <t>lies</t>
  </si>
  <si>
    <t>danach</t>
  </si>
  <si>
    <t>herstellen</t>
  </si>
  <si>
    <t># text = Wir benutzen 3D-Drucker , um Prothesenschäfte aus mehreren Materialen herzustellen , die den Druck dort verringern , wo es die Anatomie des Patienten nötig macht .</t>
  </si>
  <si>
    <t>Wir</t>
  </si>
  <si>
    <t>3D</t>
  </si>
  <si>
    <t>Drucker</t>
  </si>
  <si>
    <t>mehreren</t>
  </si>
  <si>
    <t>Materialen</t>
  </si>
  <si>
    <t>dort</t>
  </si>
  <si>
    <t>verringern</t>
  </si>
  <si>
    <t>wo</t>
  </si>
  <si>
    <t>nötig</t>
  </si>
  <si>
    <t>macht</t>
  </si>
  <si>
    <t># text = Kurz gesagt , wir benutzen Daten , um neuartige Schäfte schnell und günstig herzustellen .</t>
  </si>
  <si>
    <t>Kurz</t>
  </si>
  <si>
    <t>gesagt</t>
  </si>
  <si>
    <t>Daten</t>
  </si>
  <si>
    <t>neuartige</t>
  </si>
  <si>
    <t># text = In einem Versuch , den wir vor kurzem am Media Lab durchführten , hat einer unserer Patienten , ein US-Veteran , der seit über 20 Jahren amputiert ist und schon dutzende Prothesen getragen hat , Folgendes über unsere ausgedruckten Prothesen gesagt : \" Sie ist so weich , als würde man auf Kissen laufen , und verdammt sexy . \"</t>
  </si>
  <si>
    <t>Versuch</t>
  </si>
  <si>
    <t>OBJ_5</t>
  </si>
  <si>
    <t>SBJ_5</t>
  </si>
  <si>
    <t>kurzem</t>
  </si>
  <si>
    <t>durchführten</t>
  </si>
  <si>
    <t>hat</t>
  </si>
  <si>
    <t>einer</t>
  </si>
  <si>
    <t>unserer</t>
  </si>
  <si>
    <t>US</t>
  </si>
  <si>
    <t>Veteran</t>
  </si>
  <si>
    <t>seit</t>
  </si>
  <si>
    <t>über</t>
  </si>
  <si>
    <t>schon</t>
  </si>
  <si>
    <t>dutzende</t>
  </si>
  <si>
    <t>getragen</t>
  </si>
  <si>
    <t>Folgendes</t>
  </si>
  <si>
    <t>unsere</t>
  </si>
  <si>
    <t>ausgedruckten</t>
  </si>
  <si>
    <t>so</t>
  </si>
  <si>
    <t>weich</t>
  </si>
  <si>
    <t>man</t>
  </si>
  <si>
    <t>Kissen</t>
  </si>
  <si>
    <t>laufen</t>
  </si>
  <si>
    <t>verdammt</t>
  </si>
  <si>
    <t>sexy</t>
  </si>
  <si>
    <t># text = ( Lachen ) Heutzutage sollten Behinderungen niemanden mehr daran hindern , ein sinnsvolles Leben zu führen .</t>
  </si>
  <si>
    <t>Lachen</t>
  </si>
  <si>
    <t>Heutzutage</t>
  </si>
  <si>
    <t>Behinderungen</t>
  </si>
  <si>
    <t>niemanden</t>
  </si>
  <si>
    <t>daran</t>
  </si>
  <si>
    <t>pron.padv</t>
  </si>
  <si>
    <t>hindern</t>
  </si>
  <si>
    <t>sinnsvolles</t>
  </si>
  <si>
    <t>Leben</t>
  </si>
  <si>
    <t>führen</t>
  </si>
  <si>
    <t># text = Meine Hoffnung und mein Wunsch ist es , dass die Werkzeuge und Prozesse , die wir in unserer Forschungsgruppe entwickeln , genutzt werden können , um hochfunktionale Prothesen herzustellen , für die , die sie brauchen .</t>
  </si>
  <si>
    <t>Hoffnung</t>
  </si>
  <si>
    <t>mein</t>
  </si>
  <si>
    <t>Wunsch</t>
  </si>
  <si>
    <t>Werkzeuge</t>
  </si>
  <si>
    <t>Prozesse</t>
  </si>
  <si>
    <t>Forschungsgruppe</t>
  </si>
  <si>
    <t>entwickeln</t>
  </si>
  <si>
    <t>können</t>
  </si>
  <si>
    <t>hochfunktionale</t>
  </si>
  <si>
    <t>brauchen</t>
  </si>
  <si>
    <t># text = Für mich ist es ein Anfang , um die Seelen derer zu heilen , die vom Krieg und Krankheiten betroffen sind , ist für mich komfortable und erschwingliche Schnittstellen für ihre Körper herzustellen .</t>
  </si>
  <si>
    <t>Für</t>
  </si>
  <si>
    <t>Anfang</t>
  </si>
  <si>
    <t>Seelen</t>
  </si>
  <si>
    <t>derer</t>
  </si>
  <si>
    <t>heilen</t>
  </si>
  <si>
    <t>Krankheiten</t>
  </si>
  <si>
    <t>betroffen</t>
  </si>
  <si>
    <t>sind</t>
  </si>
  <si>
    <t>komfortable</t>
  </si>
  <si>
    <t>erschwingliche</t>
  </si>
  <si>
    <t>Schnittstellen</t>
  </si>
  <si>
    <t>Körper</t>
  </si>
  <si>
    <t># text = Ob in Sierra Leone oder in Boston , ich hoffe , dass dies nicht nur ihren Sinn für menschliches Können wiederherstellt , sondern verändert .</t>
  </si>
  <si>
    <t>Ob</t>
  </si>
  <si>
    <t>oder</t>
  </si>
  <si>
    <t>Boston</t>
  </si>
  <si>
    <t>hoffe</t>
  </si>
  <si>
    <t>dies</t>
  </si>
  <si>
    <t>nur</t>
  </si>
  <si>
    <t>ihren</t>
  </si>
  <si>
    <t>Sinn</t>
  </si>
  <si>
    <t>menschliches</t>
  </si>
  <si>
    <t>Können</t>
  </si>
  <si>
    <t>wiederherstellt</t>
  </si>
  <si>
    <t>sondern</t>
  </si>
  <si>
    <t>verändert</t>
  </si>
  <si>
    <t># text = Vielen Dank</t>
  </si>
  <si>
    <t>Vielen</t>
  </si>
  <si>
    <t>Dank</t>
  </si>
  <si>
    <t>allerdings</t>
  </si>
  <si>
    <t>in dieser Zeit</t>
  </si>
  <si>
    <t>(daher)</t>
  </si>
  <si>
    <t>in diesem Moment</t>
  </si>
  <si>
    <t>(in den 90ern)</t>
  </si>
  <si>
    <t>favoured-alternative</t>
  </si>
  <si>
    <t>vielmehr</t>
  </si>
  <si>
    <t>after</t>
  </si>
  <si>
    <t>(später)</t>
  </si>
  <si>
    <t>der Grund</t>
  </si>
  <si>
    <t>(konkret)</t>
  </si>
  <si>
    <t>similarity</t>
  </si>
  <si>
    <t>(ebenso)</t>
  </si>
  <si>
    <t>(aus dem Grund)</t>
  </si>
  <si>
    <t>(folglich)</t>
  </si>
  <si>
    <t>also</t>
  </si>
  <si>
    <t>enablement</t>
  </si>
  <si>
    <t>(zu diesem Zweck)</t>
  </si>
  <si>
    <t>kurz gesagt</t>
  </si>
  <si>
    <t>(anschließend)</t>
  </si>
  <si>
    <t>(als Beispiel)</t>
  </si>
  <si>
    <t>set</t>
  </si>
  <si>
    <t>(generell)</t>
  </si>
  <si>
    <t>(indem)</t>
  </si>
  <si>
    <t>means</t>
  </si>
  <si>
    <t>NoRel</t>
  </si>
  <si>
    <t>(hierdurch)</t>
  </si>
  <si>
    <t>achievement</t>
  </si>
  <si>
    <t>main predicate: würde (gerne Lösung) finden als kausale Folge der Nichtnutzung. Alternativ: purpose-Bezug (goal: mit dem Ziel) oder temporal (davor) zu Anchor 15?</t>
  </si>
  <si>
    <t>NoRel, weil kein einzelner Satz (deiktisch) zuzuordnen?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</si>
</sst>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="102" zoomScaleNormal="102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J4" sqref="J4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475</v>
      </c>
      <c r="H2" s="10">
        <v>2</v>
      </c>
      <c r="I2" s="11" t="s">
        <v>19</v>
      </c>
      <c r="J2" s="12"/>
    </row>
    <row r="3" spans="1:10" ht="60" customHeight="1" x14ac:dyDescent="0.3">
      <c r="A3" s="6" t="s">
        <v>13</v>
      </c>
      <c r="B3" s="6" t="s">
        <v>11</v>
      </c>
      <c r="C3" s="6" t="s">
        <v>11</v>
      </c>
      <c r="D3" s="7" t="s">
        <v>11</v>
      </c>
      <c r="E3" s="8" t="s">
        <v>14</v>
      </c>
      <c r="F3" s="6" t="s">
        <v>11</v>
      </c>
      <c r="G3" s="9" t="s">
        <v>471</v>
      </c>
      <c r="H3" s="10" t="s">
        <v>10</v>
      </c>
      <c r="I3" s="11" t="s">
        <v>15</v>
      </c>
      <c r="J3" s="12" t="s">
        <v>16</v>
      </c>
    </row>
    <row r="4" spans="1:10" ht="60" customHeight="1" x14ac:dyDescent="0.3">
      <c r="A4" s="6" t="s">
        <v>17</v>
      </c>
      <c r="B4" s="6" t="s">
        <v>11</v>
      </c>
      <c r="C4" s="6" t="s">
        <v>11</v>
      </c>
      <c r="D4" s="7" t="s">
        <v>11</v>
      </c>
      <c r="E4" s="8" t="s">
        <v>18</v>
      </c>
      <c r="F4" s="6" t="s">
        <v>11</v>
      </c>
      <c r="G4" s="9" t="s">
        <v>472</v>
      </c>
      <c r="H4" s="10" t="s">
        <v>13</v>
      </c>
      <c r="I4" s="11" t="s">
        <v>19</v>
      </c>
      <c r="J4" s="12" t="s">
        <v>20</v>
      </c>
    </row>
    <row r="5" spans="1:10" ht="60" customHeight="1" x14ac:dyDescent="0.3">
      <c r="A5" s="6" t="s">
        <v>21</v>
      </c>
      <c r="B5" s="6" t="s">
        <v>11</v>
      </c>
      <c r="C5" s="6" t="s">
        <v>22</v>
      </c>
      <c r="D5" s="7" t="s">
        <v>11</v>
      </c>
      <c r="E5" s="8" t="s">
        <v>23</v>
      </c>
      <c r="F5" s="6" t="s">
        <v>11</v>
      </c>
      <c r="G5" s="9" t="s">
        <v>473</v>
      </c>
      <c r="H5" s="10">
        <v>2</v>
      </c>
      <c r="I5" s="11" t="s">
        <v>52</v>
      </c>
      <c r="J5" s="12" t="s">
        <v>24</v>
      </c>
    </row>
    <row r="6" spans="1:10" ht="60" customHeight="1" x14ac:dyDescent="0.3">
      <c r="A6" s="6" t="s">
        <v>25</v>
      </c>
      <c r="B6" s="6" t="s">
        <v>11</v>
      </c>
      <c r="C6" s="6" t="s">
        <v>11</v>
      </c>
      <c r="D6" s="7" t="s">
        <v>11</v>
      </c>
      <c r="E6" s="8" t="s">
        <v>26</v>
      </c>
      <c r="F6" s="6" t="s">
        <v>11</v>
      </c>
      <c r="G6" s="9" t="s">
        <v>474</v>
      </c>
      <c r="H6" s="10" t="s">
        <v>21</v>
      </c>
      <c r="I6" s="11" t="s">
        <v>19</v>
      </c>
      <c r="J6" s="12" t="s">
        <v>20</v>
      </c>
    </row>
    <row r="7" spans="1:10" ht="60" customHeight="1" x14ac:dyDescent="0.3">
      <c r="A7" s="6" t="s">
        <v>27</v>
      </c>
      <c r="B7" s="6" t="s">
        <v>11</v>
      </c>
      <c r="C7" s="6" t="s">
        <v>11</v>
      </c>
      <c r="D7" s="7" t="s">
        <v>11</v>
      </c>
      <c r="E7" s="8" t="s">
        <v>28</v>
      </c>
      <c r="F7" s="6" t="s">
        <v>11</v>
      </c>
      <c r="G7" s="9" t="s">
        <v>477</v>
      </c>
      <c r="H7" s="10" t="s">
        <v>25</v>
      </c>
      <c r="I7" s="11" t="s">
        <v>476</v>
      </c>
      <c r="J7" s="12" t="s">
        <v>30</v>
      </c>
    </row>
    <row r="8" spans="1:10" ht="60" customHeight="1" x14ac:dyDescent="0.3">
      <c r="A8" s="6" t="s">
        <v>31</v>
      </c>
      <c r="B8" s="6" t="s">
        <v>11</v>
      </c>
      <c r="C8" s="6" t="s">
        <v>11</v>
      </c>
      <c r="D8" s="7" t="s">
        <v>11</v>
      </c>
      <c r="E8" s="8" t="s">
        <v>32</v>
      </c>
      <c r="F8" s="6" t="s">
        <v>11</v>
      </c>
      <c r="G8" s="9" t="s">
        <v>479</v>
      </c>
      <c r="H8" s="10">
        <v>4</v>
      </c>
      <c r="I8" s="11" t="s">
        <v>478</v>
      </c>
      <c r="J8" s="12"/>
    </row>
    <row r="9" spans="1:10" ht="60" customHeight="1" x14ac:dyDescent="0.3">
      <c r="A9" s="6" t="s">
        <v>33</v>
      </c>
      <c r="B9" s="6" t="s">
        <v>11</v>
      </c>
      <c r="C9" s="6" t="s">
        <v>11</v>
      </c>
      <c r="D9" s="7" t="s">
        <v>11</v>
      </c>
      <c r="E9" s="8" t="s">
        <v>34</v>
      </c>
      <c r="F9" s="6" t="s">
        <v>11</v>
      </c>
      <c r="G9" s="9" t="s">
        <v>480</v>
      </c>
      <c r="H9" s="10" t="s">
        <v>31</v>
      </c>
      <c r="I9" s="11" t="s">
        <v>35</v>
      </c>
      <c r="J9" s="12" t="s">
        <v>36</v>
      </c>
    </row>
    <row r="10" spans="1:10" ht="60" customHeight="1" x14ac:dyDescent="0.3">
      <c r="A10" s="6" t="s">
        <v>37</v>
      </c>
      <c r="B10" s="6" t="s">
        <v>11</v>
      </c>
      <c r="C10" s="6" t="s">
        <v>11</v>
      </c>
      <c r="D10" s="7" t="s">
        <v>11</v>
      </c>
      <c r="E10" s="8" t="s">
        <v>38</v>
      </c>
      <c r="F10" s="6" t="s">
        <v>11</v>
      </c>
      <c r="G10" s="9" t="s">
        <v>481</v>
      </c>
      <c r="H10" s="10">
        <v>8</v>
      </c>
      <c r="I10" s="11" t="s">
        <v>29</v>
      </c>
      <c r="J10" s="12"/>
    </row>
    <row r="11" spans="1:10" ht="60" customHeight="1" x14ac:dyDescent="0.3">
      <c r="A11" s="6" t="s">
        <v>39</v>
      </c>
      <c r="B11" s="6" t="s">
        <v>11</v>
      </c>
      <c r="C11" s="6" t="s">
        <v>11</v>
      </c>
      <c r="D11" s="7" t="s">
        <v>11</v>
      </c>
      <c r="E11" s="8" t="s">
        <v>40</v>
      </c>
      <c r="F11" s="6" t="s">
        <v>11</v>
      </c>
      <c r="G11" s="9" t="s">
        <v>483</v>
      </c>
      <c r="H11" s="10">
        <v>8</v>
      </c>
      <c r="I11" s="11" t="s">
        <v>482</v>
      </c>
      <c r="J11" s="12"/>
    </row>
    <row r="12" spans="1:10" ht="60" customHeight="1" x14ac:dyDescent="0.3">
      <c r="A12" s="6" t="s">
        <v>41</v>
      </c>
      <c r="B12" s="6" t="s">
        <v>11</v>
      </c>
      <c r="C12" s="6" t="s">
        <v>42</v>
      </c>
      <c r="D12" s="7" t="s">
        <v>11</v>
      </c>
      <c r="E12" s="8" t="s">
        <v>43</v>
      </c>
      <c r="F12" s="6" t="s">
        <v>11</v>
      </c>
      <c r="G12" s="9" t="s">
        <v>484</v>
      </c>
      <c r="H12" s="10" t="s">
        <v>39</v>
      </c>
      <c r="I12" s="11" t="s">
        <v>35</v>
      </c>
      <c r="J12" s="12" t="s">
        <v>36</v>
      </c>
    </row>
    <row r="13" spans="1:10" ht="60" customHeight="1" x14ac:dyDescent="0.3">
      <c r="A13" s="6" t="s">
        <v>44</v>
      </c>
      <c r="B13" s="6" t="s">
        <v>11</v>
      </c>
      <c r="C13" s="6" t="s">
        <v>22</v>
      </c>
      <c r="D13" s="7" t="s">
        <v>11</v>
      </c>
      <c r="E13" s="8" t="s">
        <v>45</v>
      </c>
      <c r="F13" s="6" t="s">
        <v>11</v>
      </c>
      <c r="G13" s="9" t="s">
        <v>481</v>
      </c>
      <c r="H13" s="10" t="s">
        <v>41</v>
      </c>
      <c r="I13" s="11" t="s">
        <v>29</v>
      </c>
      <c r="J13" s="12" t="s">
        <v>30</v>
      </c>
    </row>
    <row r="14" spans="1:10" ht="60" customHeight="1" x14ac:dyDescent="0.3">
      <c r="A14" s="6" t="s">
        <v>46</v>
      </c>
      <c r="B14" s="6" t="s">
        <v>11</v>
      </c>
      <c r="C14" s="6" t="s">
        <v>42</v>
      </c>
      <c r="D14" s="7" t="s">
        <v>11</v>
      </c>
      <c r="E14" s="8" t="s">
        <v>47</v>
      </c>
      <c r="F14" s="6" t="s">
        <v>11</v>
      </c>
      <c r="G14" s="9" t="s">
        <v>485</v>
      </c>
      <c r="H14" s="10" t="s">
        <v>44</v>
      </c>
      <c r="I14" s="11" t="s">
        <v>52</v>
      </c>
      <c r="J14" s="12" t="s">
        <v>30</v>
      </c>
    </row>
    <row r="15" spans="1:10" ht="60" customHeight="1" x14ac:dyDescent="0.3">
      <c r="A15" s="6" t="s">
        <v>48</v>
      </c>
      <c r="B15" s="6" t="s">
        <v>11</v>
      </c>
      <c r="C15" s="6" t="s">
        <v>11</v>
      </c>
      <c r="D15" s="7" t="s">
        <v>11</v>
      </c>
      <c r="E15" s="8" t="s">
        <v>49</v>
      </c>
      <c r="F15" s="6" t="s">
        <v>11</v>
      </c>
      <c r="G15" s="9" t="s">
        <v>473</v>
      </c>
      <c r="H15" s="10">
        <v>13</v>
      </c>
      <c r="I15" s="11" t="s">
        <v>52</v>
      </c>
      <c r="J15" s="12" t="s">
        <v>499</v>
      </c>
    </row>
    <row r="16" spans="1:10" ht="60" customHeight="1" x14ac:dyDescent="0.3">
      <c r="A16" s="6" t="s">
        <v>50</v>
      </c>
      <c r="B16" s="6" t="s">
        <v>11</v>
      </c>
      <c r="C16" s="6" t="s">
        <v>11</v>
      </c>
      <c r="D16" s="7" t="s">
        <v>11</v>
      </c>
      <c r="E16" s="8" t="s">
        <v>51</v>
      </c>
      <c r="F16" s="6" t="s">
        <v>11</v>
      </c>
      <c r="G16" s="9" t="s">
        <v>486</v>
      </c>
      <c r="H16" s="10" t="s">
        <v>48</v>
      </c>
      <c r="I16" s="11" t="s">
        <v>487</v>
      </c>
      <c r="J16" s="12" t="s">
        <v>53</v>
      </c>
    </row>
    <row r="17" spans="1:10" ht="60" customHeight="1" x14ac:dyDescent="0.3">
      <c r="A17" s="6" t="s">
        <v>54</v>
      </c>
      <c r="B17" s="6" t="s">
        <v>11</v>
      </c>
      <c r="C17" s="6" t="s">
        <v>55</v>
      </c>
      <c r="D17" s="7" t="s">
        <v>11</v>
      </c>
      <c r="E17" s="8" t="s">
        <v>56</v>
      </c>
      <c r="F17" s="6" t="s">
        <v>11</v>
      </c>
      <c r="G17" s="9" t="s">
        <v>488</v>
      </c>
      <c r="H17" s="10" t="s">
        <v>50</v>
      </c>
      <c r="I17" s="11" t="s">
        <v>487</v>
      </c>
      <c r="J17" s="12" t="s">
        <v>57</v>
      </c>
    </row>
    <row r="18" spans="1:10" ht="60" customHeight="1" x14ac:dyDescent="0.3">
      <c r="A18" s="6" t="s">
        <v>58</v>
      </c>
      <c r="B18" s="6" t="s">
        <v>11</v>
      </c>
      <c r="C18" s="6" t="s">
        <v>59</v>
      </c>
      <c r="D18" s="7" t="s">
        <v>11</v>
      </c>
      <c r="E18" s="8" t="s">
        <v>60</v>
      </c>
      <c r="F18" s="6" t="s">
        <v>11</v>
      </c>
      <c r="G18" s="9" t="s">
        <v>490</v>
      </c>
      <c r="H18" s="10" t="s">
        <v>54</v>
      </c>
      <c r="I18" s="11" t="s">
        <v>478</v>
      </c>
      <c r="J18" s="12" t="s">
        <v>30</v>
      </c>
    </row>
    <row r="19" spans="1:10" ht="60" customHeight="1" x14ac:dyDescent="0.3">
      <c r="A19" s="6" t="s">
        <v>61</v>
      </c>
      <c r="B19" s="6" t="s">
        <v>11</v>
      </c>
      <c r="C19" s="6" t="s">
        <v>11</v>
      </c>
      <c r="D19" s="7" t="s">
        <v>11</v>
      </c>
      <c r="E19" s="8" t="s">
        <v>62</v>
      </c>
      <c r="F19" s="6" t="s">
        <v>11</v>
      </c>
      <c r="G19" s="9" t="s">
        <v>489</v>
      </c>
      <c r="H19" s="10" t="s">
        <v>58</v>
      </c>
      <c r="I19" s="11" t="s">
        <v>63</v>
      </c>
      <c r="J19" s="12" t="s">
        <v>64</v>
      </c>
    </row>
    <row r="20" spans="1:10" ht="60" customHeight="1" x14ac:dyDescent="0.3">
      <c r="A20" s="6" t="s">
        <v>65</v>
      </c>
      <c r="B20" s="6" t="s">
        <v>11</v>
      </c>
      <c r="C20" s="6" t="s">
        <v>66</v>
      </c>
      <c r="D20" s="7" t="s">
        <v>11</v>
      </c>
      <c r="E20" s="8" t="s">
        <v>67</v>
      </c>
      <c r="F20" s="6" t="s">
        <v>11</v>
      </c>
      <c r="G20" s="9" t="s">
        <v>491</v>
      </c>
      <c r="H20" s="10">
        <v>18</v>
      </c>
      <c r="I20" s="11" t="s">
        <v>68</v>
      </c>
      <c r="J20" s="12" t="s">
        <v>69</v>
      </c>
    </row>
    <row r="21" spans="1:10" ht="60" customHeight="1" x14ac:dyDescent="0.3">
      <c r="A21" s="6" t="s">
        <v>70</v>
      </c>
      <c r="B21" s="6" t="s">
        <v>11</v>
      </c>
      <c r="C21" s="6" t="s">
        <v>11</v>
      </c>
      <c r="D21" s="7" t="s">
        <v>11</v>
      </c>
      <c r="E21" s="8" t="s">
        <v>71</v>
      </c>
      <c r="F21" s="6" t="s">
        <v>11</v>
      </c>
      <c r="G21" s="9" t="s">
        <v>493</v>
      </c>
      <c r="H21" s="10">
        <v>19</v>
      </c>
      <c r="I21" s="11" t="s">
        <v>492</v>
      </c>
      <c r="J21" s="12"/>
    </row>
    <row r="22" spans="1:10" ht="60" customHeight="1" x14ac:dyDescent="0.3">
      <c r="A22" s="6" t="s">
        <v>72</v>
      </c>
      <c r="B22" s="6" t="s">
        <v>11</v>
      </c>
      <c r="C22" s="6" t="s">
        <v>22</v>
      </c>
      <c r="D22" s="7" t="s">
        <v>11</v>
      </c>
      <c r="E22" s="8" t="s">
        <v>73</v>
      </c>
      <c r="F22" s="6" t="s">
        <v>11</v>
      </c>
      <c r="G22" s="9" t="s">
        <v>473</v>
      </c>
      <c r="H22" s="10" t="s">
        <v>70</v>
      </c>
      <c r="I22" s="11" t="s">
        <v>52</v>
      </c>
      <c r="J22" s="12" t="s">
        <v>24</v>
      </c>
    </row>
    <row r="23" spans="1:10" ht="60" customHeight="1" x14ac:dyDescent="0.3">
      <c r="A23" s="6" t="s">
        <v>74</v>
      </c>
      <c r="B23" s="6" t="s">
        <v>11</v>
      </c>
      <c r="C23" s="6" t="s">
        <v>22</v>
      </c>
      <c r="D23" s="7" t="s">
        <v>11</v>
      </c>
      <c r="E23" s="8" t="s">
        <v>75</v>
      </c>
      <c r="F23" s="6" t="s">
        <v>11</v>
      </c>
      <c r="G23" s="9" t="s">
        <v>494</v>
      </c>
      <c r="H23" s="10" t="s">
        <v>72</v>
      </c>
      <c r="I23" s="11" t="s">
        <v>495</v>
      </c>
      <c r="J23" s="12" t="s">
        <v>24</v>
      </c>
    </row>
    <row r="24" spans="1:10" ht="60" customHeight="1" x14ac:dyDescent="0.3">
      <c r="A24" s="6" t="s">
        <v>76</v>
      </c>
      <c r="B24" s="6" t="s">
        <v>11</v>
      </c>
      <c r="C24" s="6" t="s">
        <v>22</v>
      </c>
      <c r="D24" s="7" t="s">
        <v>11</v>
      </c>
      <c r="E24" s="8" t="s">
        <v>77</v>
      </c>
      <c r="F24" s="6" t="s">
        <v>11</v>
      </c>
      <c r="G24" s="9" t="s">
        <v>497</v>
      </c>
      <c r="H24" s="10">
        <v>21</v>
      </c>
      <c r="I24" s="11" t="s">
        <v>498</v>
      </c>
      <c r="J24" s="12" t="s">
        <v>24</v>
      </c>
    </row>
    <row r="25" spans="1:10" ht="60" customHeight="1" x14ac:dyDescent="0.3">
      <c r="A25" s="6" t="s">
        <v>78</v>
      </c>
      <c r="B25" s="6" t="s">
        <v>11</v>
      </c>
      <c r="C25" s="6" t="s">
        <v>11</v>
      </c>
      <c r="D25" s="7" t="s">
        <v>11</v>
      </c>
      <c r="E25" s="8" t="s">
        <v>79</v>
      </c>
      <c r="F25" s="6" t="s">
        <v>11</v>
      </c>
      <c r="G25" s="9" t="s">
        <v>11</v>
      </c>
      <c r="H25" s="10" t="s">
        <v>11</v>
      </c>
      <c r="I25" s="11" t="s">
        <v>496</v>
      </c>
      <c r="J25" s="12" t="s">
        <v>500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80</v>
      </c>
      <c r="B1" s="13" t="s">
        <v>81</v>
      </c>
      <c r="C1" s="13" t="s">
        <v>82</v>
      </c>
      <c r="D1" s="13" t="s">
        <v>83</v>
      </c>
      <c r="E1" s="14" t="s">
        <v>84</v>
      </c>
      <c r="F1" s="15" t="s">
        <v>85</v>
      </c>
      <c r="G1" s="16" t="s">
        <v>86</v>
      </c>
      <c r="H1" s="17" t="s">
        <v>87</v>
      </c>
      <c r="I1" s="18" t="s">
        <v>88</v>
      </c>
      <c r="J1" s="18" t="s">
        <v>89</v>
      </c>
      <c r="K1" s="18" t="s">
        <v>90</v>
      </c>
      <c r="L1" s="19" t="s">
        <v>9</v>
      </c>
    </row>
    <row r="2" spans="1:12" x14ac:dyDescent="0.3">
      <c r="A2" t="s">
        <v>91</v>
      </c>
    </row>
    <row r="3" spans="1:12" x14ac:dyDescent="0.3">
      <c r="A3" t="s">
        <v>92</v>
      </c>
      <c r="B3" s="20" t="s">
        <v>93</v>
      </c>
      <c r="C3" s="20" t="s">
        <v>94</v>
      </c>
      <c r="D3" s="20" t="s">
        <v>95</v>
      </c>
      <c r="E3" s="21" t="str">
        <f t="shared" ref="E3:E32" si="0">IF(D3="?OLD","!!!","")</f>
        <v>!!!</v>
      </c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t="shared" ref="H3:H32" ca="1" si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96</v>
      </c>
      <c r="E4" s="21" t="str">
        <f t="shared" si="0"/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1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97</v>
      </c>
      <c r="E5" s="21" t="str">
        <f t="shared" si="0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1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98</v>
      </c>
      <c r="B6" s="20" t="s">
        <v>99</v>
      </c>
      <c r="C6" s="20" t="s">
        <v>100</v>
      </c>
      <c r="D6" s="20" t="s">
        <v>95</v>
      </c>
      <c r="E6" s="21" t="str">
        <f t="shared" si="0"/>
        <v>!!!</v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1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101</v>
      </c>
      <c r="E7" s="21" t="str">
        <f t="shared" si="0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1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102</v>
      </c>
      <c r="E8" s="21" t="str">
        <f t="shared" si="0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1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103</v>
      </c>
      <c r="E9" s="21" t="str">
        <f t="shared" si="0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1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104</v>
      </c>
      <c r="E10" s="21" t="str">
        <f t="shared" si="0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1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105</v>
      </c>
      <c r="E11" s="21" t="str">
        <f t="shared" si="0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1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106</v>
      </c>
      <c r="E12" s="21" t="str">
        <f t="shared" si="0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1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107</v>
      </c>
      <c r="E13" s="21" t="str">
        <f t="shared" si="0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1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103</v>
      </c>
      <c r="E14" s="21" t="str">
        <f t="shared" si="0"/>
        <v/>
      </c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1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108</v>
      </c>
      <c r="E15" s="21" t="str">
        <f t="shared" si="0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1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6" spans="1:12" x14ac:dyDescent="0.3">
      <c r="A16" t="s">
        <v>109</v>
      </c>
      <c r="E16" s="21" t="str">
        <f t="shared" si="0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1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110</v>
      </c>
      <c r="B17" s="20" t="s">
        <v>99</v>
      </c>
      <c r="C17" s="20" t="s">
        <v>111</v>
      </c>
      <c r="E17" s="21" t="str">
        <f t="shared" si="0"/>
        <v/>
      </c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ca="1" si="1"/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8" spans="1:12" x14ac:dyDescent="0.3">
      <c r="A18" t="s">
        <v>97</v>
      </c>
      <c r="E18" s="21" t="str">
        <f t="shared" si="0"/>
        <v/>
      </c>
      <c r="F18" s="22" t="str">
        <f>IF(OR(E18="",E18="!!!"),"",IF(NOT(ISNA(VLOOKUP(E18,E$1:E17,1,FALSE()))),"OLD",IF(AND(E18&lt;&gt;"",E18&lt;&gt;"!!!"),"NEW","")))</f>
        <v/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t="shared" ca="1" si="1"/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112</v>
      </c>
      <c r="B19" s="20" t="s">
        <v>113</v>
      </c>
      <c r="C19" s="20" t="s">
        <v>100</v>
      </c>
      <c r="D19" s="20" t="s">
        <v>95</v>
      </c>
      <c r="E19" s="21" t="str">
        <f t="shared" si="0"/>
        <v>!!!</v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1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105</v>
      </c>
      <c r="E20" s="21" t="str">
        <f t="shared" si="0"/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1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106</v>
      </c>
      <c r="E21" s="21" t="str">
        <f t="shared" si="0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1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110</v>
      </c>
      <c r="B22" s="20" t="s">
        <v>114</v>
      </c>
      <c r="C22" s="20" t="s">
        <v>111</v>
      </c>
      <c r="E22" s="21" t="str">
        <f t="shared" si="0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1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115</v>
      </c>
      <c r="E23" s="21" t="str">
        <f t="shared" si="0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1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116</v>
      </c>
      <c r="E24" s="21" t="str">
        <f t="shared" si="0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1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117</v>
      </c>
      <c r="E25" s="21" t="str">
        <f t="shared" si="0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1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118</v>
      </c>
      <c r="B26" s="20" t="s">
        <v>99</v>
      </c>
      <c r="C26" s="20" t="s">
        <v>119</v>
      </c>
      <c r="E26" s="21" t="str">
        <f t="shared" si="0"/>
        <v/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1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120</v>
      </c>
      <c r="E27" s="21" t="str">
        <f t="shared" si="0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1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121</v>
      </c>
      <c r="E28" s="21" t="str">
        <f t="shared" si="0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1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117</v>
      </c>
      <c r="E29" s="21" t="str">
        <f t="shared" si="0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1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122</v>
      </c>
      <c r="E30" s="21" t="str">
        <f t="shared" si="0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1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123</v>
      </c>
      <c r="B31" s="20" t="s">
        <v>99</v>
      </c>
      <c r="C31" s="20" t="s">
        <v>119</v>
      </c>
      <c r="E31" s="21" t="str">
        <f t="shared" si="0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1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124</v>
      </c>
      <c r="E32" s="21" t="str">
        <f t="shared" si="0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1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4" spans="1:12" x14ac:dyDescent="0.3">
      <c r="A34" t="s">
        <v>125</v>
      </c>
    </row>
    <row r="35" spans="1:12" x14ac:dyDescent="0.3">
      <c r="A35" t="s">
        <v>126</v>
      </c>
      <c r="E35" s="21" t="str">
        <f t="shared" ref="E35:E54" si="2">IF(D35="?OLD","!!!","")</f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ref="H35:H54" ca="1" si="3">IF(J35&lt;&gt;1,"",IF(I35="SBJ","CB","?"))</f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127</v>
      </c>
      <c r="E36" s="21" t="str">
        <f t="shared" si="2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98</v>
      </c>
      <c r="B37" s="20" t="s">
        <v>128</v>
      </c>
      <c r="C37" s="20" t="s">
        <v>100</v>
      </c>
      <c r="D37" s="20" t="s">
        <v>95</v>
      </c>
      <c r="E37" s="21" t="str">
        <f t="shared" si="2"/>
        <v>!!!</v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3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101</v>
      </c>
      <c r="E38" s="21" t="str">
        <f t="shared" si="2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129</v>
      </c>
      <c r="E39" s="21" t="str">
        <f t="shared" si="2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130</v>
      </c>
      <c r="E40" s="21" t="str">
        <f t="shared" si="2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3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131</v>
      </c>
      <c r="E41" s="21" t="str">
        <f t="shared" si="2"/>
        <v/>
      </c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3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132</v>
      </c>
      <c r="E42" s="21" t="str">
        <f t="shared" si="2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133</v>
      </c>
      <c r="B43" s="20" t="s">
        <v>99</v>
      </c>
      <c r="C43" s="20" t="s">
        <v>111</v>
      </c>
      <c r="E43" s="21" t="str">
        <f t="shared" si="2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3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97</v>
      </c>
      <c r="E44" s="21" t="str">
        <f t="shared" si="2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3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134</v>
      </c>
      <c r="E45" s="21" t="str">
        <f t="shared" si="2"/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3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135</v>
      </c>
      <c r="B46" s="20" t="s">
        <v>99</v>
      </c>
      <c r="C46" s="20" t="s">
        <v>136</v>
      </c>
      <c r="D46" s="20" t="s">
        <v>95</v>
      </c>
      <c r="E46" s="21" t="str">
        <f t="shared" si="2"/>
        <v>!!!</v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3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105</v>
      </c>
      <c r="E47" s="21" t="str">
        <f t="shared" si="2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3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97</v>
      </c>
      <c r="E48" s="21" t="str">
        <f t="shared" si="2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3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137</v>
      </c>
      <c r="E49" s="21" t="str">
        <f t="shared" si="2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3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138</v>
      </c>
      <c r="E50" s="21" t="str">
        <f t="shared" si="2"/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3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139</v>
      </c>
      <c r="B51" s="20" t="s">
        <v>114</v>
      </c>
      <c r="C51" s="20" t="s">
        <v>136</v>
      </c>
      <c r="D51" s="20" t="s">
        <v>95</v>
      </c>
      <c r="E51" s="21" t="str">
        <f t="shared" si="2"/>
        <v>!!!</v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3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140</v>
      </c>
      <c r="E52" s="21" t="str">
        <f t="shared" si="2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3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141</v>
      </c>
      <c r="E53" s="21" t="str">
        <f t="shared" si="2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3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124</v>
      </c>
      <c r="E54" s="21" t="str">
        <f t="shared" si="2"/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3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6" spans="1:12" x14ac:dyDescent="0.3">
      <c r="A56" t="s">
        <v>142</v>
      </c>
    </row>
    <row r="57" spans="1:12" x14ac:dyDescent="0.3">
      <c r="A57" t="s">
        <v>143</v>
      </c>
      <c r="E57" s="21" t="str">
        <f t="shared" ref="E57:E73" si="4">IF(D57="?OLD","!!!","")</f>
        <v/>
      </c>
      <c r="F57" s="22" t="str">
        <f>IF(OR(E57="",E57="!!!"),"",IF(NOT(ISNA(VLOOKUP(E57,E$1:E56,1,FALSE()))),"OLD",IF(AND(E57&lt;&gt;"",E57&lt;&gt;"!!!"),"NEW","")))</f>
        <v/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t="shared" ref="H57:H73" ca="1" si="5">IF(J57&lt;&gt;1,"",IF(I57="SBJ","CB","?"))</f>
        <v/>
      </c>
      <c r="I57" s="25" t="str">
        <f>IF(OR(E57="",E57="!!!",F57="NEW"),"",INDEX(B$2:B56,-1+SUMPRODUCT(MAX(ROW(E$2:E56)*(E57=E$2:E56)))))</f>
        <v/>
      </c>
      <c r="J57" s="25" t="str">
        <f ca="1">IF(OR(E57="",E57="!!!",F57="NEW"),"",COUNTBLANK(OFFSET(A$1,,,SUMPRODUCT(MAX(ROW(E$2:E57)*(E57=E$2:E57)))))-COUNTBLANK(OFFSET(A$1,,,SUMPRODUCT(MAX(ROW(E$1:E56)*(E2=E$1:E56))))))</f>
        <v/>
      </c>
      <c r="K57" s="25" t="str">
        <f>IF(OR(E57="",E57="!!!",F57="NEW"),"",INDEX(J$1:J56,SUMPRODUCT(MAX(ROW(E$1:E56)*(E57=E$1:E56)))))</f>
        <v/>
      </c>
      <c r="L57" s="26"/>
    </row>
    <row r="58" spans="1:12" x14ac:dyDescent="0.3">
      <c r="A58" t="s">
        <v>33</v>
      </c>
      <c r="E58" s="21" t="str">
        <f t="shared" si="4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5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144</v>
      </c>
      <c r="E59" s="21" t="str">
        <f t="shared" si="4"/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5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145</v>
      </c>
      <c r="B60" s="20" t="s">
        <v>146</v>
      </c>
      <c r="C60" s="20" t="s">
        <v>147</v>
      </c>
      <c r="E60" s="21" t="str">
        <f t="shared" si="4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5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105</v>
      </c>
      <c r="E61" s="21" t="str">
        <f t="shared" si="4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5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148</v>
      </c>
      <c r="B62" s="20" t="s">
        <v>113</v>
      </c>
      <c r="C62" s="20" t="s">
        <v>119</v>
      </c>
      <c r="E62" s="21" t="str">
        <f t="shared" si="4"/>
        <v/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5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103</v>
      </c>
      <c r="E63" s="21" t="str">
        <f t="shared" si="4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5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149</v>
      </c>
      <c r="B64" s="20" t="s">
        <v>113</v>
      </c>
      <c r="C64" s="20" t="s">
        <v>119</v>
      </c>
      <c r="E64" s="21" t="str">
        <f t="shared" si="4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5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141</v>
      </c>
      <c r="E65" s="21" t="str">
        <f t="shared" si="4"/>
        <v/>
      </c>
      <c r="F65" s="22" t="str">
        <f>IF(OR(E65="",E65="!!!"),"",IF(NOT(ISNA(VLOOKUP(E65,E$1:E64,1,FALSE()))),"OLD",IF(AND(E65&lt;&gt;"",E65&lt;&gt;"!!!"),"NEW","")))</f>
        <v/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t="shared" ca="1" si="5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/>
    </row>
    <row r="66" spans="1:12" x14ac:dyDescent="0.3">
      <c r="A66" t="s">
        <v>97</v>
      </c>
      <c r="E66" s="21" t="str">
        <f t="shared" si="4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5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150</v>
      </c>
      <c r="B67" s="20" t="s">
        <v>113</v>
      </c>
      <c r="C67" s="20" t="s">
        <v>151</v>
      </c>
      <c r="D67" s="20" t="s">
        <v>95</v>
      </c>
      <c r="E67" s="21" t="str">
        <f t="shared" si="4"/>
        <v>!!!</v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5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152</v>
      </c>
      <c r="B68" s="20" t="s">
        <v>99</v>
      </c>
      <c r="C68" s="20" t="s">
        <v>153</v>
      </c>
      <c r="D68" s="20" t="s">
        <v>95</v>
      </c>
      <c r="E68" s="21" t="str">
        <f t="shared" si="4"/>
        <v>!!!</v>
      </c>
      <c r="F68" s="22" t="str">
        <f>IF(OR(E68="",E68="!!!"),"",IF(NOT(ISNA(VLOOKUP(E68,E$1:E67,1,FALSE()))),"OLD",IF(AND(E68&lt;&gt;"",E68&lt;&gt;"!!!"),"NEW","")))</f>
        <v/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5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/>
    </row>
    <row r="69" spans="1:12" x14ac:dyDescent="0.3">
      <c r="A69" t="s">
        <v>154</v>
      </c>
      <c r="B69" s="20" t="s">
        <v>146</v>
      </c>
      <c r="C69" s="20" t="s">
        <v>119</v>
      </c>
      <c r="E69" s="21" t="str">
        <f t="shared" si="4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5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103</v>
      </c>
      <c r="E70" s="21" t="str">
        <f t="shared" si="4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5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155</v>
      </c>
      <c r="B71" s="20" t="s">
        <v>113</v>
      </c>
      <c r="C71" s="20" t="s">
        <v>119</v>
      </c>
      <c r="E71" s="21" t="str">
        <f t="shared" si="4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5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156</v>
      </c>
      <c r="E72" s="21" t="str">
        <f t="shared" si="4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5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124</v>
      </c>
      <c r="E73" s="21" t="str">
        <f t="shared" si="4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5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5" spans="1:12" x14ac:dyDescent="0.3">
      <c r="A75" t="s">
        <v>157</v>
      </c>
    </row>
    <row r="76" spans="1:12" x14ac:dyDescent="0.3">
      <c r="A76" t="s">
        <v>158</v>
      </c>
      <c r="B76" s="20" t="s">
        <v>113</v>
      </c>
      <c r="C76" s="20" t="s">
        <v>159</v>
      </c>
      <c r="D76" s="20" t="s">
        <v>95</v>
      </c>
      <c r="E76" s="21" t="str">
        <f t="shared" ref="E76:E93" si="6">IF(D76="?OLD","!!!","")</f>
        <v>!!!</v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ref="H76:H93" ca="1" si="7">IF(J76&lt;&gt;1,"",IF(I76="SBJ","CB","?"))</f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160</v>
      </c>
      <c r="B77" s="20" t="s">
        <v>128</v>
      </c>
      <c r="C77" s="20" t="s">
        <v>119</v>
      </c>
      <c r="E77" s="21" t="str">
        <f t="shared" si="6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7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103</v>
      </c>
      <c r="E78" s="21" t="str">
        <f t="shared" si="6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7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161</v>
      </c>
      <c r="B79" s="20" t="s">
        <v>113</v>
      </c>
      <c r="C79" s="20" t="s">
        <v>94</v>
      </c>
      <c r="D79" s="20" t="s">
        <v>95</v>
      </c>
      <c r="E79" s="21" t="str">
        <f t="shared" si="6"/>
        <v>!!!</v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ca="1" si="7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162</v>
      </c>
      <c r="E80" s="21" t="str">
        <f t="shared" si="6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7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163</v>
      </c>
      <c r="B81" s="20" t="s">
        <v>146</v>
      </c>
      <c r="C81" s="20" t="s">
        <v>164</v>
      </c>
      <c r="D81" s="20" t="s">
        <v>95</v>
      </c>
      <c r="E81" s="21" t="str">
        <f t="shared" si="6"/>
        <v>!!!</v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7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165</v>
      </c>
      <c r="E82" s="21" t="str">
        <f t="shared" si="6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7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106</v>
      </c>
      <c r="E83" s="21" t="str">
        <f t="shared" si="6"/>
        <v/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7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150</v>
      </c>
      <c r="B84" s="20" t="s">
        <v>113</v>
      </c>
      <c r="C84" s="20" t="s">
        <v>151</v>
      </c>
      <c r="D84" s="20" t="s">
        <v>95</v>
      </c>
      <c r="E84" s="21" t="str">
        <f t="shared" si="6"/>
        <v>!!!</v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7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166</v>
      </c>
      <c r="B85" s="20" t="s">
        <v>99</v>
      </c>
      <c r="C85" s="20" t="s">
        <v>153</v>
      </c>
      <c r="D85" s="20" t="s">
        <v>95</v>
      </c>
      <c r="E85" s="21" t="str">
        <f t="shared" si="6"/>
        <v>!!!</v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7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97</v>
      </c>
      <c r="E86" s="21" t="str">
        <f t="shared" si="6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7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167</v>
      </c>
      <c r="B87" s="20" t="s">
        <v>99</v>
      </c>
      <c r="C87" s="20" t="s">
        <v>119</v>
      </c>
      <c r="E87" s="21" t="str">
        <f t="shared" si="6"/>
        <v/>
      </c>
      <c r="F87" s="22" t="str">
        <f>IF(OR(E87="",E87="!!!"),"",IF(NOT(ISNA(VLOOKUP(E87,E$1:E86,1,FALSE()))),"OLD",IF(AND(E87&lt;&gt;"",E87&lt;&gt;"!!!"),"NEW","")))</f>
        <v/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7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105</v>
      </c>
      <c r="E88" s="21" t="str">
        <f t="shared" si="6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7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120</v>
      </c>
      <c r="E89" s="21" t="str">
        <f t="shared" si="6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7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161</v>
      </c>
      <c r="B90" s="20" t="s">
        <v>93</v>
      </c>
      <c r="C90" s="20" t="s">
        <v>94</v>
      </c>
      <c r="D90" s="20" t="s">
        <v>95</v>
      </c>
      <c r="E90" s="21" t="str">
        <f t="shared" si="6"/>
        <v>!!!</v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7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44</v>
      </c>
      <c r="E91" s="21" t="str">
        <f t="shared" si="6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7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168</v>
      </c>
      <c r="E92" s="21" t="str">
        <f t="shared" si="6"/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7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3" spans="1:12" x14ac:dyDescent="0.3">
      <c r="A93" t="s">
        <v>124</v>
      </c>
      <c r="E93" s="21" t="str">
        <f t="shared" si="6"/>
        <v/>
      </c>
      <c r="F93" s="22" t="str">
        <f>IF(OR(E93="",E93="!!!"),"",IF(NOT(ISNA(VLOOKUP(E93,E$1:E92,1,FALSE()))),"OLD",IF(AND(E93&lt;&gt;"",E93&lt;&gt;"!!!"),"NEW","")))</f>
        <v/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t="shared" ca="1" si="7"/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5" spans="1:12" x14ac:dyDescent="0.3">
      <c r="A95" t="s">
        <v>169</v>
      </c>
    </row>
    <row r="96" spans="1:12" x14ac:dyDescent="0.3">
      <c r="A96" t="s">
        <v>170</v>
      </c>
      <c r="E96" s="21" t="str">
        <f t="shared" ref="E96:E124" si="8">IF(D96="?OLD","!!!","")</f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ref="H96:H124" ca="1" si="9">IF(J96&lt;&gt;1,"",IF(I96="SBJ","CB","?"))</f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171</v>
      </c>
      <c r="B97" s="20" t="s">
        <v>113</v>
      </c>
      <c r="C97" s="20" t="s">
        <v>151</v>
      </c>
      <c r="D97" s="20" t="s">
        <v>95</v>
      </c>
      <c r="E97" s="21" t="str">
        <f t="shared" si="8"/>
        <v>!!!</v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9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172</v>
      </c>
      <c r="B98" s="20" t="s">
        <v>99</v>
      </c>
      <c r="C98" s="20" t="s">
        <v>153</v>
      </c>
      <c r="D98" s="20" t="s">
        <v>95</v>
      </c>
      <c r="E98" s="21" t="str">
        <f t="shared" si="8"/>
        <v>!!!</v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9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173</v>
      </c>
      <c r="E99" s="21" t="str">
        <f t="shared" si="8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9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161</v>
      </c>
      <c r="B100" s="20" t="s">
        <v>128</v>
      </c>
      <c r="C100" s="20" t="s">
        <v>94</v>
      </c>
      <c r="D100" s="20" t="s">
        <v>95</v>
      </c>
      <c r="E100" s="21" t="str">
        <f t="shared" si="8"/>
        <v>!!!</v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9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174</v>
      </c>
      <c r="B101" s="20" t="s">
        <v>146</v>
      </c>
      <c r="E101" s="21" t="str">
        <f t="shared" si="8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9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165</v>
      </c>
      <c r="E102" s="21" t="str">
        <f t="shared" si="8"/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9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105</v>
      </c>
      <c r="E103" s="21" t="str">
        <f t="shared" si="8"/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9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175</v>
      </c>
      <c r="B104" s="20" t="s">
        <v>176</v>
      </c>
      <c r="C104" s="20" t="s">
        <v>177</v>
      </c>
      <c r="E104" s="21" t="str">
        <f t="shared" si="8"/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ca="1" si="9"/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5" spans="1:12" x14ac:dyDescent="0.3">
      <c r="A105" t="s">
        <v>178</v>
      </c>
      <c r="E105" s="21" t="str">
        <f t="shared" si="8"/>
        <v/>
      </c>
      <c r="F105" s="22" t="str">
        <f>IF(OR(E105="",E105="!!!"),"",IF(NOT(ISNA(VLOOKUP(E105,E$1:E104,1,FALSE()))),"OLD",IF(AND(E105&lt;&gt;"",E105&lt;&gt;"!!!"),"NEW","")))</f>
        <v/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t="shared" ca="1" si="9"/>
        <v/>
      </c>
      <c r="I105" s="25" t="str">
        <f>IF(OR(E105="",E105="!!!",F105="NEW"),"",INDEX(B$2:B104,-1+SUMPRODUCT(MAX(ROW(E$2:E104)*(E105=E$2:E104)))))</f>
        <v/>
      </c>
      <c r="J105" s="25" t="str">
        <f ca="1">IF(OR(E105="",E105="!!!",F105="NEW"),"",COUNTBLANK(OFFSET(A$1,,,SUMPRODUCT(MAX(ROW(E$2:E105)*(E105=E$2:E105)))))-COUNTBLANK(OFFSET(A$1,,,SUMPRODUCT(MAX(ROW(E$1:E104)*(E2=E$1:E104))))))</f>
        <v/>
      </c>
      <c r="K105" s="25" t="str">
        <f>IF(OR(E105="",E105="!!!",F105="NEW"),"",INDEX(J$1:J104,SUMPRODUCT(MAX(ROW(E$1:E104)*(E105=E$1:E104)))))</f>
        <v/>
      </c>
      <c r="L105" s="26"/>
    </row>
    <row r="106" spans="1:12" x14ac:dyDescent="0.3">
      <c r="A106" t="s">
        <v>179</v>
      </c>
      <c r="E106" s="21" t="str">
        <f t="shared" si="8"/>
        <v/>
      </c>
      <c r="F106" s="22" t="str">
        <f>IF(OR(E106="",E106="!!!"),"",IF(NOT(ISNA(VLOOKUP(E106,E$1:E105,1,FALSE()))),"OLD",IF(AND(E106&lt;&gt;"",E106&lt;&gt;"!!!"),"NEW","")))</f>
        <v/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4" t="str">
        <f t="shared" ca="1" si="9"/>
        <v/>
      </c>
      <c r="I106" s="25" t="str">
        <f>IF(OR(E106="",E106="!!!",F106="NEW"),"",INDEX(B$2:B105,-1+SUMPRODUCT(MAX(ROW(E$2:E105)*(E106=E$2:E105)))))</f>
        <v/>
      </c>
      <c r="J106" s="25" t="str">
        <f ca="1">IF(OR(E106="",E106="!!!",F106="NEW"),"",COUNTBLANK(OFFSET(A$1,,,SUMPRODUCT(MAX(ROW(E$2:E106)*(E106=E$2:E106)))))-COUNTBLANK(OFFSET(A$1,,,SUMPRODUCT(MAX(ROW(E$1:E105)*(E2=E$1:E105))))))</f>
        <v/>
      </c>
      <c r="K106" s="25" t="str">
        <f>IF(OR(E106="",E106="!!!",F106="NEW"),"",INDEX(J$1:J105,SUMPRODUCT(MAX(ROW(E$1:E105)*(E106=E$1:E105)))))</f>
        <v/>
      </c>
      <c r="L106" s="26"/>
    </row>
    <row r="107" spans="1:12" x14ac:dyDescent="0.3">
      <c r="A107" t="s">
        <v>105</v>
      </c>
      <c r="E107" s="21" t="str">
        <f t="shared" si="8"/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9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180</v>
      </c>
      <c r="E108" s="21" t="str">
        <f t="shared" si="8"/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ca="1" si="9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181</v>
      </c>
      <c r="E109" s="21" t="str">
        <f t="shared" si="8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9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105</v>
      </c>
      <c r="E110" s="21" t="str">
        <f t="shared" si="8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9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182</v>
      </c>
      <c r="E111" s="21" t="str">
        <f t="shared" si="8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9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183</v>
      </c>
      <c r="B112" s="20" t="s">
        <v>184</v>
      </c>
      <c r="C112" s="20" t="s">
        <v>159</v>
      </c>
      <c r="D112" s="20" t="s">
        <v>95</v>
      </c>
      <c r="E112" s="21" t="str">
        <f t="shared" si="8"/>
        <v>!!!</v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9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185</v>
      </c>
      <c r="E113" s="21" t="str">
        <f t="shared" si="8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9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186</v>
      </c>
      <c r="B114" s="20" t="s">
        <v>187</v>
      </c>
      <c r="C114" s="20" t="s">
        <v>119</v>
      </c>
      <c r="E114" s="21" t="str">
        <f t="shared" si="8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9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188</v>
      </c>
      <c r="E115" s="21" t="str">
        <f t="shared" si="8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9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189</v>
      </c>
      <c r="B116" s="20" t="s">
        <v>187</v>
      </c>
      <c r="E116" s="21" t="str">
        <f t="shared" si="8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9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190</v>
      </c>
      <c r="E117" s="21" t="str">
        <f t="shared" si="8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9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191</v>
      </c>
      <c r="E118" s="21" t="str">
        <f t="shared" si="8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9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105</v>
      </c>
      <c r="E119" s="21" t="str">
        <f t="shared" si="8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9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192</v>
      </c>
      <c r="B120" s="20" t="s">
        <v>176</v>
      </c>
      <c r="C120" s="20" t="s">
        <v>164</v>
      </c>
      <c r="D120" s="20" t="s">
        <v>95</v>
      </c>
      <c r="E120" s="21" t="str">
        <f t="shared" si="8"/>
        <v>!!!</v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9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193</v>
      </c>
      <c r="B121" s="20" t="s">
        <v>93</v>
      </c>
      <c r="C121" s="20" t="s">
        <v>164</v>
      </c>
      <c r="D121" s="20" t="s">
        <v>95</v>
      </c>
      <c r="E121" s="21" t="str">
        <f t="shared" si="8"/>
        <v>!!!</v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9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194</v>
      </c>
      <c r="E122" s="21" t="str">
        <f t="shared" si="8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9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195</v>
      </c>
      <c r="E123" s="21" t="str">
        <f t="shared" si="8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9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124</v>
      </c>
      <c r="E124" s="21" t="str">
        <f t="shared" si="8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9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6" spans="1:12" x14ac:dyDescent="0.3">
      <c r="A126" t="s">
        <v>196</v>
      </c>
    </row>
    <row r="127" spans="1:12" x14ac:dyDescent="0.3">
      <c r="A127" t="s">
        <v>197</v>
      </c>
      <c r="E127" s="21" t="str">
        <f t="shared" ref="E127:E150" si="10">IF(D127="?OLD","!!!","")</f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ref="H127:H150" ca="1" si="11">IF(J127&lt;&gt;1,"",IF(I127="SBJ","CB","?"))</f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198</v>
      </c>
      <c r="E128" s="21" t="str">
        <f t="shared" si="10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1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199</v>
      </c>
      <c r="B129" s="20" t="s">
        <v>93</v>
      </c>
      <c r="C129" s="20" t="s">
        <v>164</v>
      </c>
      <c r="D129" s="20" t="s">
        <v>95</v>
      </c>
      <c r="E129" s="21" t="str">
        <f t="shared" si="10"/>
        <v>!!!</v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1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200</v>
      </c>
      <c r="B130" s="20" t="s">
        <v>128</v>
      </c>
      <c r="C130" s="20" t="s">
        <v>119</v>
      </c>
      <c r="E130" s="21" t="str">
        <f t="shared" si="10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1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201</v>
      </c>
      <c r="E131" s="21" t="str">
        <f t="shared" si="10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1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106</v>
      </c>
      <c r="E132" s="21" t="str">
        <f t="shared" si="10"/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11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98</v>
      </c>
      <c r="B133" s="20" t="s">
        <v>113</v>
      </c>
      <c r="C133" s="20" t="s">
        <v>100</v>
      </c>
      <c r="D133" s="20" t="s">
        <v>95</v>
      </c>
      <c r="E133" s="21" t="str">
        <f t="shared" si="10"/>
        <v>!!!</v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ca="1" si="11"/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101</v>
      </c>
      <c r="E134" s="21" t="str">
        <f t="shared" si="10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1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202</v>
      </c>
      <c r="E135" s="21" t="str">
        <f t="shared" si="10"/>
        <v/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11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105</v>
      </c>
      <c r="E136" s="21" t="str">
        <f t="shared" si="10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1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97</v>
      </c>
      <c r="E137" s="21" t="str">
        <f t="shared" si="10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11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137</v>
      </c>
      <c r="E138" s="21" t="str">
        <f t="shared" si="10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1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203</v>
      </c>
      <c r="B139" s="20" t="s">
        <v>113</v>
      </c>
      <c r="C139" s="20" t="s">
        <v>136</v>
      </c>
      <c r="D139" s="20" t="s">
        <v>95</v>
      </c>
      <c r="E139" s="21" t="str">
        <f t="shared" si="10"/>
        <v>!!!</v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11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0" spans="1:12" x14ac:dyDescent="0.3">
      <c r="A140" t="s">
        <v>103</v>
      </c>
      <c r="E140" s="21" t="str">
        <f t="shared" si="10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11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204</v>
      </c>
      <c r="B141" s="20" t="s">
        <v>114</v>
      </c>
      <c r="C141" s="20" t="s">
        <v>119</v>
      </c>
      <c r="E141" s="21" t="str">
        <f t="shared" si="10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11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188</v>
      </c>
      <c r="E142" s="21" t="str">
        <f t="shared" si="10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11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120</v>
      </c>
      <c r="E143" s="21" t="str">
        <f t="shared" si="10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1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205</v>
      </c>
      <c r="B144" s="20" t="s">
        <v>99</v>
      </c>
      <c r="C144" s="20" t="s">
        <v>119</v>
      </c>
      <c r="E144" s="21" t="str">
        <f t="shared" si="10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11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178</v>
      </c>
      <c r="B145" s="20" t="s">
        <v>113</v>
      </c>
      <c r="C145" s="20" t="s">
        <v>177</v>
      </c>
      <c r="E145" s="21" t="str">
        <f t="shared" si="10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1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206</v>
      </c>
      <c r="E146" s="21" t="str">
        <f t="shared" si="10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1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207</v>
      </c>
      <c r="B147" s="20" t="s">
        <v>99</v>
      </c>
      <c r="C147" s="20" t="s">
        <v>136</v>
      </c>
      <c r="D147" s="20" t="s">
        <v>95</v>
      </c>
      <c r="E147" s="21" t="str">
        <f t="shared" si="10"/>
        <v>!!!</v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1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208</v>
      </c>
      <c r="E148" s="21" t="str">
        <f t="shared" si="10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1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209</v>
      </c>
      <c r="E149" s="21" t="str">
        <f t="shared" si="10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1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124</v>
      </c>
      <c r="E150" s="21" t="str">
        <f t="shared" si="10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1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2" spans="1:12" x14ac:dyDescent="0.3">
      <c r="A152" t="s">
        <v>210</v>
      </c>
    </row>
    <row r="153" spans="1:12" x14ac:dyDescent="0.3">
      <c r="A153" t="s">
        <v>92</v>
      </c>
      <c r="B153" s="20" t="s">
        <v>128</v>
      </c>
      <c r="C153" s="20" t="s">
        <v>94</v>
      </c>
      <c r="D153" s="20" t="s">
        <v>95</v>
      </c>
      <c r="E153" s="21" t="str">
        <f t="shared" ref="E153:E192" si="12">IF(D153="?OLD","!!!","")</f>
        <v>!!!</v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ref="H153:H192" ca="1" si="13">IF(J153&lt;&gt;1,"",IF(I153="SBJ","CB","?"))</f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211</v>
      </c>
      <c r="E154" s="21" t="str">
        <f t="shared" si="12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13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212</v>
      </c>
      <c r="B155" s="20" t="s">
        <v>146</v>
      </c>
      <c r="C155" s="20" t="s">
        <v>119</v>
      </c>
      <c r="E155" s="21" t="str">
        <f t="shared" si="12"/>
        <v/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13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105</v>
      </c>
      <c r="E156" s="21" t="str">
        <f t="shared" si="12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3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213</v>
      </c>
      <c r="B157" s="20" t="s">
        <v>214</v>
      </c>
      <c r="E157" s="21" t="str">
        <f t="shared" si="12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3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161</v>
      </c>
      <c r="B158" s="20" t="s">
        <v>187</v>
      </c>
      <c r="C158" s="20" t="s">
        <v>94</v>
      </c>
      <c r="D158" s="20" t="s">
        <v>95</v>
      </c>
      <c r="E158" s="21" t="str">
        <f t="shared" si="12"/>
        <v>!!!</v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3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215</v>
      </c>
      <c r="E159" s="21" t="str">
        <f t="shared" si="12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3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105</v>
      </c>
      <c r="E160" s="21" t="str">
        <f t="shared" si="12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3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216</v>
      </c>
      <c r="E161" s="21" t="str">
        <f t="shared" si="12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13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105</v>
      </c>
      <c r="E162" s="21" t="str">
        <f t="shared" si="12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13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217</v>
      </c>
      <c r="E163" s="21" t="str">
        <f t="shared" si="12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13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199</v>
      </c>
      <c r="B164" s="20" t="s">
        <v>187</v>
      </c>
      <c r="C164" s="20" t="s">
        <v>164</v>
      </c>
      <c r="D164" s="20" t="s">
        <v>95</v>
      </c>
      <c r="E164" s="21" t="str">
        <f t="shared" si="12"/>
        <v>!!!</v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3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218</v>
      </c>
      <c r="B165" s="20" t="s">
        <v>214</v>
      </c>
      <c r="E165" s="21" t="str">
        <f t="shared" si="12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13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201</v>
      </c>
      <c r="E166" s="21" t="str">
        <f t="shared" si="12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3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150</v>
      </c>
      <c r="B167" s="20" t="s">
        <v>184</v>
      </c>
      <c r="C167" s="20" t="s">
        <v>151</v>
      </c>
      <c r="D167" s="20" t="s">
        <v>95</v>
      </c>
      <c r="E167" s="21" t="str">
        <f t="shared" si="12"/>
        <v>!!!</v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3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219</v>
      </c>
      <c r="B168" s="20" t="s">
        <v>114</v>
      </c>
      <c r="C168" s="20" t="s">
        <v>153</v>
      </c>
      <c r="D168" s="20" t="s">
        <v>95</v>
      </c>
      <c r="E168" s="21" t="str">
        <f t="shared" si="12"/>
        <v>!!!</v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3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220</v>
      </c>
      <c r="E169" s="21" t="str">
        <f t="shared" si="12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3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105</v>
      </c>
      <c r="E170" s="21" t="str">
        <f t="shared" si="12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3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221</v>
      </c>
      <c r="E171" s="21" t="str">
        <f t="shared" si="12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3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222</v>
      </c>
      <c r="E172" s="21" t="str">
        <f t="shared" si="12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13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223</v>
      </c>
      <c r="B173" s="20" t="s">
        <v>224</v>
      </c>
      <c r="C173" s="20" t="s">
        <v>111</v>
      </c>
      <c r="E173" s="21" t="str">
        <f t="shared" si="12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13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225</v>
      </c>
      <c r="E174" s="21" t="str">
        <f t="shared" si="12"/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13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226</v>
      </c>
      <c r="B175" s="20" t="s">
        <v>227</v>
      </c>
      <c r="C175" s="20" t="s">
        <v>94</v>
      </c>
      <c r="D175" s="20" t="s">
        <v>95</v>
      </c>
      <c r="E175" s="21" t="str">
        <f t="shared" si="12"/>
        <v>!!!</v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3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228</v>
      </c>
      <c r="E176" s="21" t="str">
        <f t="shared" si="12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3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105</v>
      </c>
      <c r="E177" s="21" t="str">
        <f t="shared" si="12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3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103</v>
      </c>
      <c r="E178" s="21" t="str">
        <f t="shared" si="12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3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229</v>
      </c>
      <c r="E179" s="21" t="str">
        <f t="shared" si="12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13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105</v>
      </c>
      <c r="E180" s="21" t="str">
        <f t="shared" si="12"/>
        <v/>
      </c>
      <c r="F180" s="22" t="str">
        <f>IF(OR(E180="",E180="!!!"),"",IF(NOT(ISNA(VLOOKUP(E180,E$1:E179,1,FALSE()))),"OLD",IF(AND(E180&lt;&gt;"",E180&lt;&gt;"!!!"),"NEW","")))</f>
        <v/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t="shared" ca="1" si="13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1" spans="1:12" x14ac:dyDescent="0.3">
      <c r="A181" t="s">
        <v>182</v>
      </c>
      <c r="E181" s="21" t="str">
        <f t="shared" si="12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13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230</v>
      </c>
      <c r="B182" s="20" t="s">
        <v>93</v>
      </c>
      <c r="C182" s="20" t="s">
        <v>164</v>
      </c>
      <c r="D182" s="20" t="s">
        <v>95</v>
      </c>
      <c r="E182" s="21" t="str">
        <f t="shared" si="12"/>
        <v>!!!</v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13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206</v>
      </c>
      <c r="E183" s="21" t="str">
        <f t="shared" si="12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13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231</v>
      </c>
      <c r="B184" s="20" t="s">
        <v>93</v>
      </c>
      <c r="C184" s="20" t="s">
        <v>136</v>
      </c>
      <c r="D184" s="20" t="s">
        <v>95</v>
      </c>
      <c r="E184" s="21" t="str">
        <f t="shared" si="12"/>
        <v>!!!</v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13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97</v>
      </c>
      <c r="E185" s="21" t="str">
        <f t="shared" si="12"/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13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171</v>
      </c>
      <c r="B186" s="20" t="s">
        <v>184</v>
      </c>
      <c r="C186" s="20" t="s">
        <v>151</v>
      </c>
      <c r="D186" s="20" t="s">
        <v>95</v>
      </c>
      <c r="E186" s="21" t="str">
        <f t="shared" si="12"/>
        <v>!!!</v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13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110</v>
      </c>
      <c r="B187" s="20" t="s">
        <v>114</v>
      </c>
      <c r="C187" s="20" t="s">
        <v>153</v>
      </c>
      <c r="D187" s="20" t="s">
        <v>95</v>
      </c>
      <c r="E187" s="21" t="str">
        <f t="shared" si="12"/>
        <v>!!!</v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13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188</v>
      </c>
      <c r="E188" s="21" t="str">
        <f t="shared" si="12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13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232</v>
      </c>
      <c r="E189" s="21" t="str">
        <f t="shared" si="12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3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233</v>
      </c>
      <c r="B190" s="20" t="s">
        <v>176</v>
      </c>
      <c r="C190" s="20" t="s">
        <v>234</v>
      </c>
      <c r="E190" s="21" t="str">
        <f t="shared" si="12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3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235</v>
      </c>
      <c r="E191" s="21" t="str">
        <f t="shared" si="12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3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124</v>
      </c>
      <c r="E192" s="21" t="str">
        <f t="shared" si="12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13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4" spans="1:12" x14ac:dyDescent="0.3">
      <c r="A194" t="s">
        <v>236</v>
      </c>
    </row>
    <row r="195" spans="1:12" x14ac:dyDescent="0.3">
      <c r="A195" t="s">
        <v>237</v>
      </c>
      <c r="E195" s="21" t="str">
        <f t="shared" ref="E195:E216" si="14">IF(D195="?OLD","!!!","")</f>
        <v/>
      </c>
      <c r="F195" s="22" t="str">
        <f>IF(OR(E195="",E195="!!!"),"",IF(NOT(ISNA(VLOOKUP(E195,E$1:E194,1,FALSE()))),"OLD",IF(AND(E195&lt;&gt;"",E195&lt;&gt;"!!!"),"NEW","")))</f>
        <v/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4" t="str">
        <f t="shared" ref="H195:H216" ca="1" si="15">IF(J195&lt;&gt;1,"",IF(I195="SBJ","CB","?"))</f>
        <v/>
      </c>
      <c r="I195" s="25" t="str">
        <f>IF(OR(E195="",E195="!!!",F195="NEW"),"",INDEX(B$2:B194,-1+SUMPRODUCT(MAX(ROW(E$2:E194)*(E195=E$2:E194)))))</f>
        <v/>
      </c>
      <c r="J195" s="25" t="str">
        <f ca="1">IF(OR(E195="",E195="!!!",F195="NEW"),"",COUNTBLANK(OFFSET(A$1,,,SUMPRODUCT(MAX(ROW(E$2:E195)*(E195=E$2:E195)))))-COUNTBLANK(OFFSET(A$1,,,SUMPRODUCT(MAX(ROW(E$1:E194)*(E2=E$1:E194))))))</f>
        <v/>
      </c>
      <c r="K195" s="25" t="str">
        <f>IF(OR(E195="",E195="!!!",F195="NEW"),"",INDEX(J$1:J194,SUMPRODUCT(MAX(ROW(E$1:E194)*(E195=E$1:E194)))))</f>
        <v/>
      </c>
      <c r="L195" s="26"/>
    </row>
    <row r="196" spans="1:12" x14ac:dyDescent="0.3">
      <c r="A196" t="s">
        <v>238</v>
      </c>
      <c r="B196" s="20" t="s">
        <v>128</v>
      </c>
      <c r="C196" s="20" t="s">
        <v>136</v>
      </c>
      <c r="D196" s="20" t="s">
        <v>95</v>
      </c>
      <c r="E196" s="21" t="str">
        <f t="shared" si="14"/>
        <v>!!!</v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15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105</v>
      </c>
      <c r="E197" s="21" t="str">
        <f t="shared" si="14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5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217</v>
      </c>
      <c r="E198" s="21" t="str">
        <f t="shared" si="14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15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161</v>
      </c>
      <c r="B199" s="20" t="s">
        <v>187</v>
      </c>
      <c r="C199" s="20" t="s">
        <v>94</v>
      </c>
      <c r="D199" s="20" t="s">
        <v>95</v>
      </c>
      <c r="E199" s="21" t="str">
        <f t="shared" si="14"/>
        <v>!!!</v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15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239</v>
      </c>
      <c r="E200" s="21" t="str">
        <f t="shared" si="14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15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240</v>
      </c>
      <c r="E201" s="21" t="str">
        <f t="shared" si="14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15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105</v>
      </c>
      <c r="E202" s="21" t="str">
        <f t="shared" si="14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15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241</v>
      </c>
      <c r="E203" s="21" t="str">
        <f t="shared" si="14"/>
        <v/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ca="1" si="15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213</v>
      </c>
      <c r="E204" s="21" t="str">
        <f t="shared" si="14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15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242</v>
      </c>
      <c r="B205" s="20" t="s">
        <v>99</v>
      </c>
      <c r="C205" s="20" t="s">
        <v>136</v>
      </c>
      <c r="D205" s="20" t="s">
        <v>95</v>
      </c>
      <c r="E205" s="21" t="str">
        <f t="shared" si="14"/>
        <v>!!!</v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15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105</v>
      </c>
      <c r="E206" s="21" t="str">
        <f t="shared" si="14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15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213</v>
      </c>
      <c r="B207" s="20" t="s">
        <v>93</v>
      </c>
      <c r="E207" s="21" t="str">
        <f t="shared" si="14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15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243</v>
      </c>
      <c r="B208" s="20" t="s">
        <v>176</v>
      </c>
      <c r="C208" s="20" t="s">
        <v>119</v>
      </c>
      <c r="E208" s="21" t="str">
        <f t="shared" si="14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15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244</v>
      </c>
      <c r="E209" s="21" t="str">
        <f t="shared" si="14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15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105</v>
      </c>
      <c r="E210" s="21" t="str">
        <f t="shared" si="14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15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245</v>
      </c>
      <c r="E211" s="21" t="str">
        <f t="shared" si="14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15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199</v>
      </c>
      <c r="B212" s="20" t="s">
        <v>187</v>
      </c>
      <c r="C212" s="20" t="s">
        <v>164</v>
      </c>
      <c r="D212" s="20" t="s">
        <v>95</v>
      </c>
      <c r="E212" s="21" t="str">
        <f t="shared" si="14"/>
        <v>!!!</v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15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188</v>
      </c>
      <c r="E213" s="21" t="str">
        <f t="shared" si="14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15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246</v>
      </c>
      <c r="E214" s="21" t="str">
        <f t="shared" si="14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15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247</v>
      </c>
      <c r="E215" s="21" t="str">
        <f t="shared" si="14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15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124</v>
      </c>
      <c r="E216" s="21" t="str">
        <f t="shared" si="14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15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8" spans="1:12" x14ac:dyDescent="0.3">
      <c r="A218" t="s">
        <v>248</v>
      </c>
    </row>
    <row r="219" spans="1:12" x14ac:dyDescent="0.3">
      <c r="A219" t="s">
        <v>237</v>
      </c>
      <c r="E219" s="21" t="str">
        <f t="shared" ref="E219:E240" si="16">IF(D219="?OLD","!!!","")</f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ref="H219:H240" ca="1" si="17">IF(J219&lt;&gt;1,"",IF(I219="SBJ","CB","?"))</f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249</v>
      </c>
      <c r="B220" s="20" t="s">
        <v>128</v>
      </c>
      <c r="C220" s="20" t="s">
        <v>136</v>
      </c>
      <c r="D220" s="20" t="s">
        <v>95</v>
      </c>
      <c r="E220" s="21" t="str">
        <f t="shared" si="16"/>
        <v>!!!</v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17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127</v>
      </c>
      <c r="E221" s="21" t="str">
        <f t="shared" si="16"/>
        <v/>
      </c>
      <c r="F221" s="22" t="str">
        <f>IF(OR(E221="",E221="!!!"),"",IF(NOT(ISNA(VLOOKUP(E221,E$1:E220,1,FALSE()))),"OLD",IF(AND(E221&lt;&gt;"",E221&lt;&gt;"!!!"),"NEW","")))</f>
        <v/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t="shared" ca="1" si="17"/>
        <v/>
      </c>
      <c r="I221" s="25" t="str">
        <f>IF(OR(E221="",E221="!!!",F221="NEW"),"",INDEX(B$2:B220,-1+SUMPRODUCT(MAX(ROW(E$2:E220)*(E221=E$2:E220)))))</f>
        <v/>
      </c>
      <c r="J221" s="25" t="str">
        <f ca="1">IF(OR(E221="",E221="!!!",F221="NEW"),"",COUNTBLANK(OFFSET(A$1,,,SUMPRODUCT(MAX(ROW(E$2:E221)*(E221=E$2:E221)))))-COUNTBLANK(OFFSET(A$1,,,SUMPRODUCT(MAX(ROW(E$1:E220)*(E2=E$1:E220))))))</f>
        <v/>
      </c>
      <c r="K221" s="25" t="str">
        <f>IF(OR(E221="",E221="!!!",F221="NEW"),"",INDEX(J$1:J220,SUMPRODUCT(MAX(ROW(E$1:E220)*(E221=E$1:E220)))))</f>
        <v/>
      </c>
      <c r="L221" s="26"/>
    </row>
    <row r="222" spans="1:12" x14ac:dyDescent="0.3">
      <c r="A222" t="s">
        <v>206</v>
      </c>
      <c r="E222" s="21" t="str">
        <f t="shared" si="16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17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200</v>
      </c>
      <c r="B223" s="20" t="s">
        <v>99</v>
      </c>
      <c r="C223" s="20" t="s">
        <v>136</v>
      </c>
      <c r="D223" s="20" t="s">
        <v>95</v>
      </c>
      <c r="E223" s="21" t="str">
        <f t="shared" si="16"/>
        <v>!!!</v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17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105</v>
      </c>
      <c r="E224" s="21" t="str">
        <f t="shared" si="16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17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97</v>
      </c>
      <c r="E225" s="21" t="str">
        <f t="shared" si="16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17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250</v>
      </c>
      <c r="B226" s="20" t="s">
        <v>113</v>
      </c>
      <c r="C226" s="20" t="s">
        <v>251</v>
      </c>
      <c r="E226" s="21" t="str">
        <f t="shared" si="16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17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206</v>
      </c>
      <c r="E227" s="21" t="str">
        <f t="shared" si="16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17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252</v>
      </c>
      <c r="B228" s="20" t="s">
        <v>93</v>
      </c>
      <c r="C228" s="20" t="s">
        <v>136</v>
      </c>
      <c r="D228" s="20" t="s">
        <v>95</v>
      </c>
      <c r="E228" s="21" t="str">
        <f t="shared" si="16"/>
        <v>!!!</v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17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253</v>
      </c>
      <c r="E229" s="21" t="str">
        <f t="shared" si="16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17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254</v>
      </c>
      <c r="B230" s="20" t="s">
        <v>176</v>
      </c>
      <c r="C230" s="20" t="s">
        <v>234</v>
      </c>
      <c r="E230" s="21" t="str">
        <f t="shared" si="16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17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255</v>
      </c>
      <c r="E231" s="21" t="str">
        <f t="shared" si="16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17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105</v>
      </c>
      <c r="E232" s="21" t="str">
        <f t="shared" si="16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17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206</v>
      </c>
      <c r="B233" s="20" t="s">
        <v>93</v>
      </c>
      <c r="E233" s="21" t="str">
        <f t="shared" si="16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17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256</v>
      </c>
      <c r="E234" s="21" t="str">
        <f t="shared" si="16"/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ca="1" si="17"/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5" spans="1:12" x14ac:dyDescent="0.3">
      <c r="A235" t="s">
        <v>206</v>
      </c>
      <c r="E235" s="21" t="str">
        <f t="shared" si="16"/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ca="1" si="17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257</v>
      </c>
      <c r="E236" s="21" t="str">
        <f t="shared" si="16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17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258</v>
      </c>
      <c r="B237" s="20" t="s">
        <v>113</v>
      </c>
      <c r="C237" s="20" t="s">
        <v>136</v>
      </c>
      <c r="D237" s="20" t="s">
        <v>95</v>
      </c>
      <c r="E237" s="21" t="str">
        <f t="shared" si="16"/>
        <v>!!!</v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17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259</v>
      </c>
      <c r="E238" s="21" t="str">
        <f t="shared" si="16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17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127</v>
      </c>
      <c r="E239" s="21" t="str">
        <f t="shared" si="16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17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124</v>
      </c>
      <c r="E240" s="21" t="str">
        <f t="shared" si="16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17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2" spans="1:12" x14ac:dyDescent="0.3">
      <c r="A242" t="s">
        <v>260</v>
      </c>
    </row>
    <row r="243" spans="1:12" x14ac:dyDescent="0.3">
      <c r="A243" t="s">
        <v>261</v>
      </c>
      <c r="E243" s="21" t="str">
        <f t="shared" ref="E243:E267" si="18">IF(D243="?OLD","!!!","")</f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ref="H243:H267" ca="1" si="19">IF(J243&lt;&gt;1,"",IF(I243="SBJ","CB","?"))</f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97</v>
      </c>
      <c r="E244" s="21" t="str">
        <f t="shared" si="18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19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134</v>
      </c>
      <c r="E245" s="21" t="str">
        <f t="shared" si="18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19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262</v>
      </c>
      <c r="B246" s="20" t="s">
        <v>99</v>
      </c>
      <c r="C246" s="20" t="s">
        <v>136</v>
      </c>
      <c r="D246" s="20" t="s">
        <v>95</v>
      </c>
      <c r="E246" s="21" t="str">
        <f t="shared" si="18"/>
        <v>!!!</v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19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263</v>
      </c>
      <c r="E247" s="21" t="str">
        <f t="shared" si="18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19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264</v>
      </c>
      <c r="B248" s="20" t="s">
        <v>128</v>
      </c>
      <c r="C248" s="20" t="s">
        <v>94</v>
      </c>
      <c r="D248" s="20" t="s">
        <v>95</v>
      </c>
      <c r="E248" s="21" t="str">
        <f t="shared" si="18"/>
        <v>!!!</v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19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265</v>
      </c>
      <c r="E249" s="21" t="str">
        <f t="shared" si="18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19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266</v>
      </c>
      <c r="B250" s="20" t="s">
        <v>128</v>
      </c>
      <c r="C250" s="20" t="s">
        <v>147</v>
      </c>
      <c r="E250" s="21" t="str">
        <f t="shared" si="18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19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267</v>
      </c>
      <c r="E251" s="21" t="str">
        <f t="shared" si="18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19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268</v>
      </c>
      <c r="E252" s="21" t="str">
        <f t="shared" si="18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19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178</v>
      </c>
      <c r="B253" s="20" t="s">
        <v>113</v>
      </c>
      <c r="C253" s="20" t="s">
        <v>177</v>
      </c>
      <c r="E253" s="21" t="str">
        <f t="shared" si="18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19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269</v>
      </c>
      <c r="B254" s="20" t="s">
        <v>99</v>
      </c>
      <c r="C254" s="20" t="s">
        <v>119</v>
      </c>
      <c r="E254" s="21" t="str">
        <f t="shared" si="18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19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105</v>
      </c>
      <c r="E255" s="21" t="str">
        <f t="shared" si="18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19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267</v>
      </c>
      <c r="E256" s="21" t="str">
        <f t="shared" si="18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19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218</v>
      </c>
      <c r="B257" s="20" t="s">
        <v>176</v>
      </c>
      <c r="E257" s="21" t="str">
        <f t="shared" si="18"/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19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270</v>
      </c>
      <c r="E258" s="21" t="str">
        <f t="shared" si="18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19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271</v>
      </c>
      <c r="B259" s="20" t="s">
        <v>93</v>
      </c>
      <c r="C259" s="20" t="s">
        <v>111</v>
      </c>
      <c r="E259" s="21" t="str">
        <f t="shared" si="18"/>
        <v/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19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117</v>
      </c>
      <c r="E260" s="21" t="str">
        <f t="shared" si="18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19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134</v>
      </c>
      <c r="E261" s="21" t="str">
        <f t="shared" si="18"/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19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272</v>
      </c>
      <c r="B262" s="20" t="s">
        <v>113</v>
      </c>
      <c r="C262" s="20" t="s">
        <v>136</v>
      </c>
      <c r="D262" s="20" t="s">
        <v>95</v>
      </c>
      <c r="E262" s="21" t="str">
        <f t="shared" si="18"/>
        <v>!!!</v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19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273</v>
      </c>
      <c r="E263" s="21" t="str">
        <f t="shared" si="18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19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105</v>
      </c>
      <c r="E264" s="21" t="str">
        <f t="shared" si="18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19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274</v>
      </c>
      <c r="E265" s="21" t="str">
        <f t="shared" si="18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19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275</v>
      </c>
      <c r="E266" s="21" t="str">
        <f t="shared" si="18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19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124</v>
      </c>
      <c r="E267" s="21" t="str">
        <f t="shared" si="18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19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9" spans="1:12" x14ac:dyDescent="0.3">
      <c r="A269" t="s">
        <v>276</v>
      </c>
    </row>
    <row r="270" spans="1:12" x14ac:dyDescent="0.3">
      <c r="A270" t="s">
        <v>277</v>
      </c>
      <c r="B270" s="20" t="s">
        <v>128</v>
      </c>
      <c r="C270" s="20" t="s">
        <v>119</v>
      </c>
      <c r="E270" s="21" t="str">
        <f t="shared" ref="E270:E287" si="20">IF(D270="?OLD","!!!","")</f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ref="H270:H287" ca="1" si="21">IF(J270&lt;&gt;1,"",IF(I270="SBJ","CB","?"))</f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278</v>
      </c>
      <c r="E271" s="21" t="str">
        <f t="shared" si="20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21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279</v>
      </c>
      <c r="E272" s="21" t="str">
        <f t="shared" si="20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1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280</v>
      </c>
      <c r="E273" s="21" t="str">
        <f t="shared" si="20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21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281</v>
      </c>
      <c r="E274" s="21" t="str">
        <f t="shared" si="20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21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282</v>
      </c>
      <c r="B275" s="20" t="s">
        <v>146</v>
      </c>
      <c r="C275" s="20" t="s">
        <v>119</v>
      </c>
      <c r="E275" s="21" t="str">
        <f t="shared" si="20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21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105</v>
      </c>
      <c r="E276" s="21" t="str">
        <f t="shared" si="20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21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217</v>
      </c>
      <c r="E277" s="21" t="str">
        <f t="shared" si="20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1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283</v>
      </c>
      <c r="B278" s="20" t="s">
        <v>113</v>
      </c>
      <c r="C278" s="20" t="s">
        <v>119</v>
      </c>
      <c r="E278" s="21" t="str">
        <f t="shared" si="20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21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103</v>
      </c>
      <c r="E279" s="21" t="str">
        <f t="shared" si="20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21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284</v>
      </c>
      <c r="B280" s="20" t="s">
        <v>114</v>
      </c>
      <c r="C280" s="20" t="s">
        <v>119</v>
      </c>
      <c r="E280" s="21" t="str">
        <f t="shared" si="20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21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105</v>
      </c>
      <c r="E281" s="21" t="str">
        <f t="shared" si="20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21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180</v>
      </c>
      <c r="E282" s="21" t="str">
        <f t="shared" si="20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21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285</v>
      </c>
      <c r="B283" s="20" t="s">
        <v>176</v>
      </c>
      <c r="C283" s="20" t="s">
        <v>100</v>
      </c>
      <c r="D283" s="20" t="s">
        <v>95</v>
      </c>
      <c r="E283" s="21" t="str">
        <f t="shared" si="20"/>
        <v>!!!</v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21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11</v>
      </c>
      <c r="E284" s="21" t="str">
        <f t="shared" si="20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21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242</v>
      </c>
      <c r="E285" s="21" t="str">
        <f t="shared" si="20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21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286</v>
      </c>
      <c r="E286" s="21" t="str">
        <f t="shared" si="20"/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21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124</v>
      </c>
      <c r="E287" s="21" t="str">
        <f t="shared" si="20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21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9" spans="1:12" x14ac:dyDescent="0.3">
      <c r="A289" t="s">
        <v>287</v>
      </c>
    </row>
    <row r="290" spans="1:12" x14ac:dyDescent="0.3">
      <c r="A290" t="s">
        <v>288</v>
      </c>
      <c r="B290" s="20" t="s">
        <v>113</v>
      </c>
      <c r="C290" s="20" t="s">
        <v>177</v>
      </c>
      <c r="E290" s="21" t="str">
        <f t="shared" ref="E290:E307" si="22">IF(D290="?OLD","!!!","")</f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ref="H290:H307" ca="1" si="23">IF(J290&lt;&gt;1,"",IF(I290="SBJ","CB","?"))</f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289</v>
      </c>
      <c r="B291" s="20" t="s">
        <v>128</v>
      </c>
      <c r="C291" s="20" t="s">
        <v>151</v>
      </c>
      <c r="E291" s="21" t="str">
        <f t="shared" si="22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23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290</v>
      </c>
      <c r="E292" s="21" t="str">
        <f t="shared" si="22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23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291</v>
      </c>
      <c r="E293" s="21" t="str">
        <f t="shared" si="22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23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292</v>
      </c>
      <c r="E294" s="21" t="str">
        <f t="shared" si="22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23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293</v>
      </c>
      <c r="B295" s="20" t="s">
        <v>146</v>
      </c>
      <c r="C295" s="20" t="s">
        <v>119</v>
      </c>
      <c r="E295" s="21" t="str">
        <f t="shared" si="22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23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294</v>
      </c>
      <c r="E296" s="21" t="str">
        <f t="shared" si="22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23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213</v>
      </c>
      <c r="E297" s="21" t="str">
        <f t="shared" si="22"/>
        <v/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ca="1" si="23"/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295</v>
      </c>
      <c r="B298" s="20" t="s">
        <v>113</v>
      </c>
      <c r="C298" s="20" t="s">
        <v>136</v>
      </c>
      <c r="D298" s="20" t="s">
        <v>95</v>
      </c>
      <c r="E298" s="21" t="str">
        <f t="shared" si="22"/>
        <v>!!!</v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23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206</v>
      </c>
      <c r="E299" s="21" t="str">
        <f t="shared" si="22"/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23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296</v>
      </c>
      <c r="B300" s="20" t="s">
        <v>114</v>
      </c>
      <c r="C300" s="20" t="s">
        <v>136</v>
      </c>
      <c r="D300" s="20" t="s">
        <v>95</v>
      </c>
      <c r="E300" s="21" t="str">
        <f t="shared" si="22"/>
        <v>!!!</v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23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297</v>
      </c>
      <c r="E301" s="21" t="str">
        <f t="shared" si="22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23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103</v>
      </c>
      <c r="E302" s="21" t="str">
        <f t="shared" si="22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23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298</v>
      </c>
      <c r="E303" s="21" t="str">
        <f t="shared" si="22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23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299</v>
      </c>
      <c r="B304" s="20" t="s">
        <v>176</v>
      </c>
      <c r="C304" s="20" t="s">
        <v>119</v>
      </c>
      <c r="E304" s="21" t="str">
        <f t="shared" si="22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23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103</v>
      </c>
      <c r="E305" s="21" t="str">
        <f t="shared" si="22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23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300</v>
      </c>
      <c r="B306" s="20" t="s">
        <v>114</v>
      </c>
      <c r="C306" s="20" t="s">
        <v>119</v>
      </c>
      <c r="E306" s="21" t="str">
        <f t="shared" si="22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23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124</v>
      </c>
      <c r="E307" s="21" t="str">
        <f t="shared" si="22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23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9" spans="1:12" x14ac:dyDescent="0.3">
      <c r="A309" t="s">
        <v>301</v>
      </c>
    </row>
    <row r="310" spans="1:12" x14ac:dyDescent="0.3">
      <c r="A310" t="s">
        <v>302</v>
      </c>
      <c r="E310" s="21" t="str">
        <f t="shared" ref="E310:E338" si="24">IF(D310="?OLD","!!!","")</f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ref="H310:H338" ca="1" si="25">IF(J310&lt;&gt;1,"",IF(I310="SBJ","CB","?"))</f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303</v>
      </c>
      <c r="E311" s="21" t="str">
        <f t="shared" si="24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25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105</v>
      </c>
      <c r="E312" s="21" t="str">
        <f t="shared" si="24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25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217</v>
      </c>
      <c r="E313" s="21" t="str">
        <f t="shared" si="24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25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304</v>
      </c>
      <c r="E314" s="21" t="str">
        <f t="shared" si="24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25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213</v>
      </c>
      <c r="E315" s="21" t="str">
        <f t="shared" si="24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25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305</v>
      </c>
      <c r="B316" s="20" t="s">
        <v>146</v>
      </c>
      <c r="C316" s="20" t="s">
        <v>136</v>
      </c>
      <c r="D316" s="20" t="s">
        <v>95</v>
      </c>
      <c r="E316" s="21" t="str">
        <f t="shared" si="24"/>
        <v>!!!</v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25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127</v>
      </c>
      <c r="E317" s="21" t="str">
        <f t="shared" si="24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25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105</v>
      </c>
      <c r="E318" s="21" t="str">
        <f t="shared" si="24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25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274</v>
      </c>
      <c r="E319" s="21" t="str">
        <f t="shared" si="24"/>
        <v/>
      </c>
      <c r="F319" s="22" t="str">
        <f>IF(OR(E319="",E319="!!!"),"",IF(NOT(ISNA(VLOOKUP(E319,E$1:E318,1,FALSE()))),"OLD",IF(AND(E319&lt;&gt;"",E319&lt;&gt;"!!!"),"NEW","")))</f>
        <v/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t="shared" ca="1" si="25"/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206</v>
      </c>
      <c r="E320" s="21" t="str">
        <f t="shared" si="24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25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249</v>
      </c>
      <c r="B321" s="20" t="s">
        <v>187</v>
      </c>
      <c r="C321" s="20" t="s">
        <v>136</v>
      </c>
      <c r="D321" s="20" t="s">
        <v>95</v>
      </c>
      <c r="E321" s="21" t="str">
        <f t="shared" si="24"/>
        <v>!!!</v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25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306</v>
      </c>
      <c r="E322" s="21" t="str">
        <f t="shared" si="24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25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3" spans="1:12" x14ac:dyDescent="0.3">
      <c r="A323" t="s">
        <v>127</v>
      </c>
      <c r="E323" s="21" t="str">
        <f t="shared" si="24"/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25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105</v>
      </c>
      <c r="E324" s="21" t="str">
        <f t="shared" si="24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25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209</v>
      </c>
      <c r="E325" s="21" t="str">
        <f t="shared" si="24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25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307</v>
      </c>
      <c r="B326" s="20" t="s">
        <v>128</v>
      </c>
      <c r="C326" s="20" t="s">
        <v>94</v>
      </c>
      <c r="D326" s="20" t="s">
        <v>95</v>
      </c>
      <c r="E326" s="21" t="str">
        <f t="shared" si="24"/>
        <v>!!!</v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25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213</v>
      </c>
      <c r="E327" s="21" t="str">
        <f t="shared" si="24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25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258</v>
      </c>
      <c r="B328" s="20" t="s">
        <v>146</v>
      </c>
      <c r="C328" s="20" t="s">
        <v>136</v>
      </c>
      <c r="D328" s="20" t="s">
        <v>95</v>
      </c>
      <c r="E328" s="21" t="str">
        <f t="shared" si="24"/>
        <v>!!!</v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25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188</v>
      </c>
      <c r="E329" s="21" t="str">
        <f t="shared" si="24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25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308</v>
      </c>
      <c r="E330" s="21" t="str">
        <f t="shared" si="24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25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105</v>
      </c>
      <c r="E331" s="21" t="str">
        <f t="shared" si="24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25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103</v>
      </c>
      <c r="E332" s="21" t="str">
        <f t="shared" si="24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25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309</v>
      </c>
      <c r="B333" s="20" t="s">
        <v>93</v>
      </c>
      <c r="C333" s="20" t="s">
        <v>151</v>
      </c>
      <c r="D333" s="20" t="s">
        <v>95</v>
      </c>
      <c r="E333" s="21" t="str">
        <f t="shared" si="24"/>
        <v>!!!</v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25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127</v>
      </c>
      <c r="E334" s="21" t="str">
        <f t="shared" si="24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25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310</v>
      </c>
      <c r="E335" s="21" t="str">
        <f t="shared" si="24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25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311</v>
      </c>
      <c r="E336" s="21" t="str">
        <f t="shared" si="24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25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312</v>
      </c>
      <c r="E337" s="21" t="str">
        <f t="shared" si="24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25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124</v>
      </c>
      <c r="E338" s="21" t="str">
        <f t="shared" si="24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25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40" spans="1:12" x14ac:dyDescent="0.3">
      <c r="A340" t="s">
        <v>313</v>
      </c>
      <c r="E340" s="21" t="str">
        <f>IF(D340="?OLD","!!!","")</f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ca="1">IF(J340&lt;&gt;1,"",IF(I340="SBJ","CB","?"))</f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314</v>
      </c>
    </row>
    <row r="342" spans="1:12" x14ac:dyDescent="0.3">
      <c r="A342" t="s">
        <v>315</v>
      </c>
      <c r="E342" s="21" t="str">
        <f t="shared" ref="E342:E385" si="26">IF(D342="?OLD","!!!","")</f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ref="H342:H385" ca="1" si="27">IF(J342&lt;&gt;1,"",IF(I342="SBJ","CB","?"))</f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105</v>
      </c>
      <c r="E343" s="21" t="str">
        <f t="shared" si="26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27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120</v>
      </c>
      <c r="E344" s="21" t="str">
        <f t="shared" si="26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27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161</v>
      </c>
      <c r="B345" s="20" t="s">
        <v>187</v>
      </c>
      <c r="C345" s="20" t="s">
        <v>94</v>
      </c>
      <c r="D345" s="20" t="s">
        <v>95</v>
      </c>
      <c r="E345" s="21" t="str">
        <f t="shared" si="26"/>
        <v>!!!</v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27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316</v>
      </c>
      <c r="B346" s="20" t="s">
        <v>214</v>
      </c>
      <c r="C346" s="20" t="s">
        <v>119</v>
      </c>
      <c r="E346" s="21" t="str">
        <f t="shared" si="26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27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317</v>
      </c>
      <c r="B347" s="20" t="s">
        <v>184</v>
      </c>
      <c r="C347" s="20" t="s">
        <v>100</v>
      </c>
      <c r="D347" s="20" t="s">
        <v>95</v>
      </c>
      <c r="E347" s="21" t="str">
        <f t="shared" si="26"/>
        <v>!!!</v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27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318</v>
      </c>
      <c r="E348" s="21" t="str">
        <f t="shared" si="26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27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165</v>
      </c>
      <c r="E349" s="21" t="str">
        <f t="shared" si="26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27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319</v>
      </c>
      <c r="E350" s="21" t="str">
        <f t="shared" si="26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27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269</v>
      </c>
      <c r="B351" s="20" t="s">
        <v>114</v>
      </c>
      <c r="C351" s="20" t="s">
        <v>147</v>
      </c>
      <c r="E351" s="21" t="str">
        <f t="shared" si="26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27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320</v>
      </c>
      <c r="E352" s="21" t="str">
        <f t="shared" si="26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27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105</v>
      </c>
      <c r="E353" s="21" t="str">
        <f t="shared" si="26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27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103</v>
      </c>
      <c r="E354" s="21" t="str">
        <f t="shared" si="26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27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321</v>
      </c>
      <c r="B355" s="20" t="s">
        <v>93</v>
      </c>
      <c r="C355" s="20" t="s">
        <v>94</v>
      </c>
      <c r="D355" s="20" t="s">
        <v>95</v>
      </c>
      <c r="E355" s="21" t="str">
        <f t="shared" si="26"/>
        <v>!!!</v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27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226</v>
      </c>
      <c r="B356" s="20" t="s">
        <v>176</v>
      </c>
      <c r="C356" s="20" t="s">
        <v>94</v>
      </c>
      <c r="D356" s="20" t="s">
        <v>95</v>
      </c>
      <c r="E356" s="21" t="str">
        <f t="shared" si="26"/>
        <v>!!!</v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27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7" spans="1:12" x14ac:dyDescent="0.3">
      <c r="A357" t="s">
        <v>322</v>
      </c>
      <c r="E357" s="21" t="str">
        <f t="shared" si="26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27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105</v>
      </c>
      <c r="E358" s="21" t="str">
        <f t="shared" si="26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27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323</v>
      </c>
      <c r="E359" s="21" t="str">
        <f t="shared" si="26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27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161</v>
      </c>
      <c r="B360" s="20" t="s">
        <v>187</v>
      </c>
      <c r="C360" s="20" t="s">
        <v>94</v>
      </c>
      <c r="D360" s="20" t="s">
        <v>95</v>
      </c>
      <c r="E360" s="21" t="str">
        <f t="shared" si="26"/>
        <v>!!!</v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27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222</v>
      </c>
      <c r="E361" s="21" t="str">
        <f t="shared" si="26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27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324</v>
      </c>
      <c r="B362" s="20" t="s">
        <v>214</v>
      </c>
      <c r="C362" s="20" t="s">
        <v>111</v>
      </c>
      <c r="E362" s="21" t="str">
        <f t="shared" si="26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27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130</v>
      </c>
      <c r="E363" s="21" t="str">
        <f t="shared" si="26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27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325</v>
      </c>
      <c r="B364" s="20" t="s">
        <v>326</v>
      </c>
      <c r="C364" s="20" t="s">
        <v>151</v>
      </c>
      <c r="D364" s="20" t="s">
        <v>95</v>
      </c>
      <c r="E364" s="21" t="str">
        <f t="shared" si="26"/>
        <v>!!!</v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27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327</v>
      </c>
      <c r="B365" s="20" t="s">
        <v>184</v>
      </c>
      <c r="C365" s="20" t="s">
        <v>153</v>
      </c>
      <c r="D365" s="20" t="s">
        <v>95</v>
      </c>
      <c r="E365" s="21" t="str">
        <f t="shared" si="26"/>
        <v>!!!</v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27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328</v>
      </c>
      <c r="E366" s="21" t="str">
        <f t="shared" si="26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27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105</v>
      </c>
      <c r="E367" s="21" t="str">
        <f t="shared" si="26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27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329</v>
      </c>
      <c r="E368" s="21" t="str">
        <f t="shared" si="26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27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161</v>
      </c>
      <c r="B369" s="20" t="s">
        <v>128</v>
      </c>
      <c r="C369" s="20" t="s">
        <v>94</v>
      </c>
      <c r="D369" s="20" t="s">
        <v>95</v>
      </c>
      <c r="E369" s="21" t="str">
        <f t="shared" si="26"/>
        <v>!!!</v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27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330</v>
      </c>
      <c r="E370" s="21" t="str">
        <f t="shared" si="26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27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331</v>
      </c>
      <c r="E371" s="21" t="str">
        <f t="shared" si="26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27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332</v>
      </c>
      <c r="E372" s="21" t="str">
        <f t="shared" si="26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27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105</v>
      </c>
      <c r="E373" s="21" t="str">
        <f t="shared" si="26"/>
        <v/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27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280</v>
      </c>
      <c r="E374" s="21" t="str">
        <f t="shared" si="26"/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ca="1" si="27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188</v>
      </c>
      <c r="E375" s="21" t="str">
        <f t="shared" si="26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27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105</v>
      </c>
      <c r="E376" s="21" t="str">
        <f t="shared" si="26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27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221</v>
      </c>
      <c r="E377" s="21" t="str">
        <f t="shared" si="26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27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161</v>
      </c>
      <c r="B378" s="20" t="s">
        <v>93</v>
      </c>
      <c r="C378" s="20" t="s">
        <v>94</v>
      </c>
      <c r="D378" s="20" t="s">
        <v>95</v>
      </c>
      <c r="E378" s="21" t="str">
        <f t="shared" si="26"/>
        <v>!!!</v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ca="1" si="27"/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333</v>
      </c>
      <c r="E379" s="21" t="str">
        <f t="shared" si="26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27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199</v>
      </c>
      <c r="B380" s="20" t="s">
        <v>93</v>
      </c>
      <c r="C380" s="20" t="s">
        <v>164</v>
      </c>
      <c r="D380" s="20" t="s">
        <v>95</v>
      </c>
      <c r="E380" s="21" t="str">
        <f t="shared" si="26"/>
        <v>!!!</v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27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334</v>
      </c>
      <c r="E381" s="21" t="str">
        <f t="shared" si="26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27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335</v>
      </c>
      <c r="E382" s="21" t="str">
        <f t="shared" si="26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27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336</v>
      </c>
      <c r="E383" s="21" t="str">
        <f t="shared" si="26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27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4" spans="1:12" x14ac:dyDescent="0.3">
      <c r="A384" t="s">
        <v>124</v>
      </c>
      <c r="E384" s="21" t="str">
        <f t="shared" si="26"/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ca="1" si="27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331</v>
      </c>
      <c r="E385" s="21" t="str">
        <f t="shared" si="26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27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7" spans="1:12" x14ac:dyDescent="0.3">
      <c r="A387" t="s">
        <v>337</v>
      </c>
    </row>
    <row r="388" spans="1:12" x14ac:dyDescent="0.3">
      <c r="A388" t="s">
        <v>338</v>
      </c>
      <c r="E388" s="21" t="str">
        <f t="shared" ref="E388:E413" si="28">IF(D388="?OLD","!!!","")</f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ref="H388:H413" ca="1" si="29">IF(J388&lt;&gt;1,"",IF(I388="SBJ","CB","?"))</f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339</v>
      </c>
      <c r="E389" s="21" t="str">
        <f t="shared" si="28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29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161</v>
      </c>
      <c r="B390" s="20" t="s">
        <v>128</v>
      </c>
      <c r="C390" s="20" t="s">
        <v>94</v>
      </c>
      <c r="D390" s="20" t="s">
        <v>95</v>
      </c>
      <c r="E390" s="21" t="str">
        <f t="shared" si="28"/>
        <v>!!!</v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29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130</v>
      </c>
      <c r="E391" s="21" t="str">
        <f t="shared" si="28"/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29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183</v>
      </c>
      <c r="B392" s="20" t="s">
        <v>113</v>
      </c>
      <c r="C392" s="20" t="s">
        <v>159</v>
      </c>
      <c r="D392" s="20" t="s">
        <v>95</v>
      </c>
      <c r="E392" s="21" t="str">
        <f t="shared" si="28"/>
        <v>!!!</v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29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340</v>
      </c>
      <c r="B393" s="20" t="s">
        <v>99</v>
      </c>
      <c r="C393" s="20" t="s">
        <v>119</v>
      </c>
      <c r="E393" s="21" t="str">
        <f t="shared" si="28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29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117</v>
      </c>
      <c r="E394" s="21" t="str">
        <f t="shared" si="28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29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137</v>
      </c>
      <c r="E395" s="21" t="str">
        <f t="shared" si="28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29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341</v>
      </c>
      <c r="E396" s="21" t="str">
        <f t="shared" si="28"/>
        <v/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29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342</v>
      </c>
      <c r="B397" s="20" t="s">
        <v>114</v>
      </c>
      <c r="C397" s="20" t="s">
        <v>100</v>
      </c>
      <c r="D397" s="20" t="s">
        <v>95</v>
      </c>
      <c r="E397" s="21" t="str">
        <f t="shared" si="28"/>
        <v>!!!</v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29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343</v>
      </c>
      <c r="E398" s="21" t="str">
        <f t="shared" si="28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29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344</v>
      </c>
      <c r="E399" s="21" t="str">
        <f t="shared" si="28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29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242</v>
      </c>
      <c r="B400" s="20" t="s">
        <v>128</v>
      </c>
      <c r="C400" s="20" t="s">
        <v>119</v>
      </c>
      <c r="E400" s="21" t="str">
        <f t="shared" si="28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29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345</v>
      </c>
      <c r="E401" s="21" t="str">
        <f t="shared" si="28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29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105</v>
      </c>
      <c r="E402" s="21" t="str">
        <f t="shared" si="28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29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346</v>
      </c>
      <c r="E403" s="21" t="str">
        <f t="shared" si="28"/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ca="1" si="29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103</v>
      </c>
      <c r="E404" s="21" t="str">
        <f t="shared" si="28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29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347</v>
      </c>
      <c r="E405" s="21" t="str">
        <f t="shared" si="28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29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105</v>
      </c>
      <c r="E406" s="21" t="str">
        <f t="shared" si="28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29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256</v>
      </c>
      <c r="E407" s="21" t="str">
        <f t="shared" si="28"/>
        <v/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29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348</v>
      </c>
      <c r="B408" s="20" t="s">
        <v>114</v>
      </c>
      <c r="C408" s="20" t="s">
        <v>164</v>
      </c>
      <c r="D408" s="20" t="s">
        <v>95</v>
      </c>
      <c r="E408" s="21" t="str">
        <f t="shared" si="28"/>
        <v>!!!</v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29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349</v>
      </c>
      <c r="B409" s="20" t="s">
        <v>113</v>
      </c>
      <c r="C409" s="20" t="s">
        <v>119</v>
      </c>
      <c r="E409" s="21" t="str">
        <f t="shared" si="28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29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120</v>
      </c>
      <c r="E410" s="21" t="str">
        <f t="shared" si="28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29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350</v>
      </c>
      <c r="E411" s="21" t="str">
        <f t="shared" si="28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29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233</v>
      </c>
      <c r="B412" s="20" t="s">
        <v>99</v>
      </c>
      <c r="C412" s="20" t="s">
        <v>119</v>
      </c>
      <c r="E412" s="21" t="str">
        <f t="shared" si="28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29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124</v>
      </c>
      <c r="E413" s="21" t="str">
        <f t="shared" si="28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29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5" spans="1:12" x14ac:dyDescent="0.3">
      <c r="A415" t="s">
        <v>351</v>
      </c>
    </row>
    <row r="416" spans="1:12" x14ac:dyDescent="0.3">
      <c r="A416" t="s">
        <v>352</v>
      </c>
      <c r="E416" s="21" t="str">
        <f t="shared" ref="E416:E454" si="30">IF(D416="?OLD","!!!","")</f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ref="H416:H454" ca="1" si="31">IF(J416&lt;&gt;1,"",IF(I416="SBJ","CB","?"))</f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353</v>
      </c>
      <c r="B417" s="20" t="s">
        <v>113</v>
      </c>
      <c r="C417" s="20" t="s">
        <v>119</v>
      </c>
      <c r="E417" s="21" t="str">
        <f t="shared" si="30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31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354</v>
      </c>
      <c r="E418" s="21" t="str">
        <f t="shared" si="30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31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355</v>
      </c>
      <c r="B419" s="20" t="s">
        <v>114</v>
      </c>
      <c r="C419" s="20" t="s">
        <v>100</v>
      </c>
      <c r="D419" s="20" t="s">
        <v>95</v>
      </c>
      <c r="E419" s="21" t="str">
        <f t="shared" si="30"/>
        <v>!!!</v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31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356</v>
      </c>
      <c r="E420" s="21" t="str">
        <f t="shared" si="30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31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357</v>
      </c>
      <c r="E421" s="21" t="str">
        <f t="shared" si="30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31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161</v>
      </c>
      <c r="B422" s="20" t="s">
        <v>93</v>
      </c>
      <c r="C422" s="20" t="s">
        <v>94</v>
      </c>
      <c r="D422" s="20" t="s">
        <v>95</v>
      </c>
      <c r="E422" s="21" t="str">
        <f t="shared" si="30"/>
        <v>!!!</v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31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213</v>
      </c>
      <c r="E423" s="21" t="str">
        <f t="shared" si="30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31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358</v>
      </c>
      <c r="E424" s="21" t="str">
        <f t="shared" si="30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31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359</v>
      </c>
      <c r="B425" s="20" t="s">
        <v>176</v>
      </c>
      <c r="C425" s="20" t="s">
        <v>136</v>
      </c>
      <c r="D425" s="20" t="s">
        <v>95</v>
      </c>
      <c r="E425" s="21" t="str">
        <f t="shared" si="30"/>
        <v>!!!</v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31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206</v>
      </c>
      <c r="E426" s="21" t="str">
        <f t="shared" si="30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31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360</v>
      </c>
      <c r="B427" s="20" t="s">
        <v>114</v>
      </c>
      <c r="C427" s="20" t="s">
        <v>136</v>
      </c>
      <c r="D427" s="20" t="s">
        <v>95</v>
      </c>
      <c r="E427" s="21" t="str">
        <f t="shared" si="30"/>
        <v>!!!</v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31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361</v>
      </c>
      <c r="E428" s="21" t="str">
        <f t="shared" si="30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31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296</v>
      </c>
      <c r="B429" s="20" t="s">
        <v>184</v>
      </c>
      <c r="C429" s="20" t="s">
        <v>136</v>
      </c>
      <c r="D429" s="20" t="s">
        <v>95</v>
      </c>
      <c r="E429" s="21" t="str">
        <f t="shared" si="30"/>
        <v>!!!</v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31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105</v>
      </c>
      <c r="E430" s="21" t="str">
        <f t="shared" si="30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31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362</v>
      </c>
      <c r="E431" s="21" t="str">
        <f t="shared" si="30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31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213</v>
      </c>
      <c r="E432" s="21" t="str">
        <f t="shared" si="30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31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363</v>
      </c>
      <c r="B433" s="20" t="s">
        <v>146</v>
      </c>
      <c r="C433" s="20" t="s">
        <v>136</v>
      </c>
      <c r="D433" s="20" t="s">
        <v>95</v>
      </c>
      <c r="E433" s="21" t="str">
        <f t="shared" si="30"/>
        <v>!!!</v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31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364</v>
      </c>
      <c r="B434" s="20" t="s">
        <v>113</v>
      </c>
      <c r="C434" s="20" t="s">
        <v>100</v>
      </c>
      <c r="D434" s="20" t="s">
        <v>95</v>
      </c>
      <c r="E434" s="21" t="str">
        <f t="shared" si="30"/>
        <v>!!!</v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31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5" spans="1:12" x14ac:dyDescent="0.3">
      <c r="A435" t="s">
        <v>105</v>
      </c>
      <c r="E435" s="21" t="str">
        <f t="shared" si="30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31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180</v>
      </c>
      <c r="E436" s="21" t="str">
        <f t="shared" si="30"/>
        <v/>
      </c>
      <c r="F436" s="22" t="str">
        <f>IF(OR(E436="",E436="!!!"),"",IF(NOT(ISNA(VLOOKUP(E436,E$1:E435,1,FALSE()))),"OLD",IF(AND(E436&lt;&gt;"",E436&lt;&gt;"!!!"),"NEW","")))</f>
        <v/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31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7" spans="1:12" x14ac:dyDescent="0.3">
      <c r="A437" t="s">
        <v>365</v>
      </c>
      <c r="E437" s="21" t="str">
        <f t="shared" si="30"/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ca="1" si="31"/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366</v>
      </c>
      <c r="E438" s="21" t="str">
        <f t="shared" si="30"/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31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105</v>
      </c>
      <c r="E439" s="21" t="str">
        <f t="shared" si="30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31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367</v>
      </c>
      <c r="B440" s="20" t="s">
        <v>187</v>
      </c>
      <c r="C440" s="20" t="s">
        <v>164</v>
      </c>
      <c r="D440" s="20" t="s">
        <v>95</v>
      </c>
      <c r="E440" s="21" t="str">
        <f t="shared" si="30"/>
        <v>!!!</v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31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368</v>
      </c>
      <c r="E441" s="21" t="str">
        <f t="shared" si="30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31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369</v>
      </c>
      <c r="B442" s="20" t="s">
        <v>214</v>
      </c>
      <c r="C442" s="20" t="s">
        <v>119</v>
      </c>
      <c r="E442" s="21" t="str">
        <f t="shared" si="30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31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370</v>
      </c>
      <c r="E443" s="21" t="str">
        <f t="shared" si="30"/>
        <v/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31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371</v>
      </c>
      <c r="E444" s="21" t="str">
        <f t="shared" si="30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31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372</v>
      </c>
      <c r="B445" s="20" t="s">
        <v>114</v>
      </c>
      <c r="C445" s="20" t="s">
        <v>119</v>
      </c>
      <c r="E445" s="21" t="str">
        <f t="shared" si="30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31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373</v>
      </c>
      <c r="E446" s="21" t="str">
        <f t="shared" si="30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31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105</v>
      </c>
      <c r="E447" s="21" t="str">
        <f t="shared" si="30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31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103</v>
      </c>
      <c r="E448" s="21" t="str">
        <f t="shared" si="30"/>
        <v/>
      </c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ca="1" si="31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374</v>
      </c>
      <c r="E449" s="21" t="str">
        <f t="shared" si="30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31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375</v>
      </c>
      <c r="E450" s="21" t="str">
        <f t="shared" si="30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31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131</v>
      </c>
      <c r="E451" s="21" t="str">
        <f t="shared" si="30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31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249</v>
      </c>
      <c r="B452" s="20" t="s">
        <v>214</v>
      </c>
      <c r="C452" s="20" t="s">
        <v>111</v>
      </c>
      <c r="E452" s="21" t="str">
        <f t="shared" si="30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31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376</v>
      </c>
      <c r="E453" s="21" t="str">
        <f t="shared" si="30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31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124</v>
      </c>
      <c r="E454" s="21" t="str">
        <f t="shared" si="30"/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ca="1" si="31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6" spans="1:12" x14ac:dyDescent="0.3">
      <c r="A456" t="s">
        <v>377</v>
      </c>
    </row>
    <row r="457" spans="1:12" x14ac:dyDescent="0.3">
      <c r="A457" t="s">
        <v>378</v>
      </c>
      <c r="B457" s="20" t="s">
        <v>128</v>
      </c>
      <c r="C457" s="20" t="s">
        <v>164</v>
      </c>
      <c r="D457" s="20" t="s">
        <v>95</v>
      </c>
      <c r="E457" s="21" t="str">
        <f t="shared" ref="E457:E484" si="32">IF(D457="?OLD","!!!","")</f>
        <v>!!!</v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ref="H457:H484" ca="1" si="33">IF(J457&lt;&gt;1,"",IF(I457="SBJ","CB","?"))</f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278</v>
      </c>
      <c r="E458" s="21" t="str">
        <f t="shared" si="32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33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379</v>
      </c>
      <c r="E459" s="21" t="str">
        <f t="shared" si="32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33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11</v>
      </c>
      <c r="E460" s="21" t="str">
        <f t="shared" si="32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33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380</v>
      </c>
      <c r="B461" s="20" t="s">
        <v>146</v>
      </c>
      <c r="C461" s="20" t="s">
        <v>119</v>
      </c>
      <c r="E461" s="21" t="str">
        <f t="shared" si="32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33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105</v>
      </c>
      <c r="E462" s="21" t="str">
        <f t="shared" si="32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33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180</v>
      </c>
      <c r="E463" s="21" t="str">
        <f t="shared" si="32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33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242</v>
      </c>
      <c r="B464" s="20" t="s">
        <v>176</v>
      </c>
      <c r="C464" s="20" t="s">
        <v>119</v>
      </c>
      <c r="E464" s="21" t="str">
        <f t="shared" si="32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33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297</v>
      </c>
      <c r="E465" s="21" t="str">
        <f t="shared" si="32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33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381</v>
      </c>
      <c r="B466" s="20" t="s">
        <v>114</v>
      </c>
      <c r="C466" s="20" t="s">
        <v>164</v>
      </c>
      <c r="D466" s="20" t="s">
        <v>95</v>
      </c>
      <c r="E466" s="21" t="str">
        <f t="shared" si="32"/>
        <v>!!!</v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33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382</v>
      </c>
      <c r="B467" s="20" t="s">
        <v>113</v>
      </c>
      <c r="C467" s="20" t="s">
        <v>119</v>
      </c>
      <c r="E467" s="21" t="str">
        <f t="shared" si="32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33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286</v>
      </c>
      <c r="E468" s="21" t="str">
        <f t="shared" si="32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33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105</v>
      </c>
      <c r="E469" s="21" t="str">
        <f t="shared" si="32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33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213</v>
      </c>
      <c r="B470" s="20" t="s">
        <v>93</v>
      </c>
      <c r="E470" s="21" t="str">
        <f t="shared" si="32"/>
        <v/>
      </c>
      <c r="F470" s="22" t="str">
        <f>IF(OR(E470="",E470="!!!"),"",IF(NOT(ISNA(VLOOKUP(E470,E$1:E469,1,FALSE()))),"OLD",IF(AND(E470&lt;&gt;"",E470&lt;&gt;"!!!"),"NEW","")))</f>
        <v/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t="shared" ca="1" si="33"/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134</v>
      </c>
      <c r="E471" s="21" t="str">
        <f t="shared" si="32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33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2" spans="1:12" x14ac:dyDescent="0.3">
      <c r="A472" t="s">
        <v>293</v>
      </c>
      <c r="B472" s="20" t="s">
        <v>176</v>
      </c>
      <c r="C472" s="20" t="s">
        <v>136</v>
      </c>
      <c r="D472" s="20" t="s">
        <v>95</v>
      </c>
      <c r="E472" s="21" t="str">
        <f t="shared" si="32"/>
        <v>!!!</v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ca="1" si="33"/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383</v>
      </c>
      <c r="E473" s="21" t="str">
        <f t="shared" si="32"/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33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384</v>
      </c>
      <c r="E474" s="21" t="str">
        <f t="shared" si="32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33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105</v>
      </c>
      <c r="E475" s="21" t="str">
        <f t="shared" si="32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33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385</v>
      </c>
      <c r="E476" s="21" t="str">
        <f t="shared" si="32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33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264</v>
      </c>
      <c r="B477" s="20" t="s">
        <v>187</v>
      </c>
      <c r="C477" s="20" t="s">
        <v>94</v>
      </c>
      <c r="D477" s="20" t="s">
        <v>95</v>
      </c>
      <c r="E477" s="21" t="str">
        <f t="shared" si="32"/>
        <v>!!!</v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33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213</v>
      </c>
      <c r="E478" s="21" t="str">
        <f t="shared" si="32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33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360</v>
      </c>
      <c r="B479" s="20" t="s">
        <v>214</v>
      </c>
      <c r="C479" s="20" t="s">
        <v>136</v>
      </c>
      <c r="D479" s="20" t="s">
        <v>95</v>
      </c>
      <c r="E479" s="21" t="str">
        <f t="shared" si="32"/>
        <v>!!!</v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33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361</v>
      </c>
      <c r="E480" s="21" t="str">
        <f t="shared" si="32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33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296</v>
      </c>
      <c r="B481" s="20" t="s">
        <v>184</v>
      </c>
      <c r="C481" s="20" t="s">
        <v>136</v>
      </c>
      <c r="D481" s="20" t="s">
        <v>95</v>
      </c>
      <c r="E481" s="21" t="str">
        <f t="shared" si="32"/>
        <v>!!!</v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33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386</v>
      </c>
      <c r="E482" s="21" t="str">
        <f t="shared" si="32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33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387</v>
      </c>
      <c r="E483" s="21" t="str">
        <f t="shared" si="32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33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124</v>
      </c>
      <c r="E484" s="21" t="str">
        <f t="shared" si="32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33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6" spans="1:12" x14ac:dyDescent="0.3">
      <c r="A486" t="s">
        <v>388</v>
      </c>
    </row>
    <row r="487" spans="1:12" x14ac:dyDescent="0.3">
      <c r="A487" t="s">
        <v>389</v>
      </c>
      <c r="E487" s="21" t="str">
        <f t="shared" ref="E487:E501" si="34">IF(D487="?OLD","!!!","")</f>
        <v/>
      </c>
      <c r="F487" s="22" t="str">
        <f>IF(OR(E487="",E487="!!!"),"",IF(NOT(ISNA(VLOOKUP(E487,E$1:E486,1,FALSE()))),"OLD",IF(AND(E487&lt;&gt;"",E487&lt;&gt;"!!!"),"NEW","")))</f>
        <v/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4" t="str">
        <f t="shared" ref="H487:H501" ca="1" si="35">IF(J487&lt;&gt;1,"",IF(I487="SBJ","CB","?"))</f>
        <v/>
      </c>
      <c r="I487" s="25" t="str">
        <f>IF(OR(E487="",E487="!!!",F487="NEW"),"",INDEX(B$2:B486,-1+SUMPRODUCT(MAX(ROW(E$2:E486)*(E487=E$2:E486)))))</f>
        <v/>
      </c>
      <c r="J487" s="25" t="str">
        <f ca="1">IF(OR(E487="",E487="!!!",F487="NEW"),"",COUNTBLANK(OFFSET(A$1,,,SUMPRODUCT(MAX(ROW(E$2:E487)*(E487=E$2:E487)))))-COUNTBLANK(OFFSET(A$1,,,SUMPRODUCT(MAX(ROW(E$1:E486)*(E2=E$1:E486))))))</f>
        <v/>
      </c>
      <c r="K487" s="25" t="str">
        <f>IF(OR(E487="",E487="!!!",F487="NEW"),"",INDEX(J$1:J486,SUMPRODUCT(MAX(ROW(E$1:E486)*(E487=E$1:E486)))))</f>
        <v/>
      </c>
      <c r="L487" s="26"/>
    </row>
    <row r="488" spans="1:12" x14ac:dyDescent="0.3">
      <c r="A488" t="s">
        <v>390</v>
      </c>
      <c r="E488" s="21" t="str">
        <f t="shared" si="34"/>
        <v/>
      </c>
      <c r="F488" s="22" t="str">
        <f>IF(OR(E488="",E488="!!!"),"",IF(NOT(ISNA(VLOOKUP(E488,E$1:E487,1,FALSE()))),"OLD",IF(AND(E488&lt;&gt;"",E488&lt;&gt;"!!!"),"NEW","")))</f>
        <v/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t="shared" ca="1" si="35"/>
        <v/>
      </c>
      <c r="I488" s="25" t="str">
        <f>IF(OR(E488="",E488="!!!",F488="NEW"),"",INDEX(B$2:B487,-1+SUMPRODUCT(MAX(ROW(E$2:E487)*(E488=E$2:E487)))))</f>
        <v/>
      </c>
      <c r="J488" s="25" t="str">
        <f ca="1">IF(OR(E488="",E488="!!!",F488="NEW"),"",COUNTBLANK(OFFSET(A$1,,,SUMPRODUCT(MAX(ROW(E$2:E488)*(E488=E$2:E488)))))-COUNTBLANK(OFFSET(A$1,,,SUMPRODUCT(MAX(ROW(E$1:E487)*(E2=E$1:E487))))))</f>
        <v/>
      </c>
      <c r="K488" s="25" t="str">
        <f>IF(OR(E488="",E488="!!!",F488="NEW"),"",INDEX(J$1:J487,SUMPRODUCT(MAX(ROW(E$1:E487)*(E488=E$1:E487)))))</f>
        <v/>
      </c>
      <c r="L488" s="26"/>
    </row>
    <row r="489" spans="1:12" x14ac:dyDescent="0.3">
      <c r="A489" t="s">
        <v>105</v>
      </c>
      <c r="E489" s="21" t="str">
        <f t="shared" si="34"/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ca="1" si="35"/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193</v>
      </c>
      <c r="B490" s="20" t="s">
        <v>93</v>
      </c>
      <c r="C490" s="20" t="s">
        <v>164</v>
      </c>
      <c r="D490" s="20" t="s">
        <v>95</v>
      </c>
      <c r="E490" s="21" t="str">
        <f t="shared" si="34"/>
        <v>!!!</v>
      </c>
      <c r="F490" s="22" t="str">
        <f>IF(OR(E490="",E490="!!!"),"",IF(NOT(ISNA(VLOOKUP(E490,E$1:E489,1,FALSE()))),"OLD",IF(AND(E490&lt;&gt;"",E490&lt;&gt;"!!!"),"NEW","")))</f>
        <v/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4" t="str">
        <f t="shared" ca="1" si="35"/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/>
    </row>
    <row r="491" spans="1:12" x14ac:dyDescent="0.3">
      <c r="A491" t="s">
        <v>278</v>
      </c>
      <c r="E491" s="21" t="str">
        <f t="shared" si="34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35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391</v>
      </c>
      <c r="B492" s="20" t="s">
        <v>176</v>
      </c>
      <c r="C492" s="20" t="s">
        <v>119</v>
      </c>
      <c r="E492" s="21" t="str">
        <f t="shared" si="34"/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35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105</v>
      </c>
      <c r="E493" s="21" t="str">
        <f t="shared" si="34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35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180</v>
      </c>
      <c r="E494" s="21" t="str">
        <f t="shared" si="34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35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392</v>
      </c>
      <c r="E495" s="21" t="str">
        <f t="shared" si="34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35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289</v>
      </c>
      <c r="B496" s="20" t="s">
        <v>214</v>
      </c>
      <c r="C496" s="20" t="s">
        <v>119</v>
      </c>
      <c r="E496" s="21" t="str">
        <f t="shared" si="34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35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346</v>
      </c>
      <c r="E497" s="21" t="str">
        <f t="shared" si="34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35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103</v>
      </c>
      <c r="E498" s="21" t="str">
        <f t="shared" si="34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35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347</v>
      </c>
      <c r="E499" s="21" t="str">
        <f t="shared" si="34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35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  <row r="500" spans="1:12" x14ac:dyDescent="0.3">
      <c r="A500" t="s">
        <v>286</v>
      </c>
      <c r="E500" s="21" t="str">
        <f t="shared" si="34"/>
        <v/>
      </c>
      <c r="F500" s="22" t="str">
        <f>IF(OR(E500="",E500="!!!"),"",IF(NOT(ISNA(VLOOKUP(E500,E$1:E499,1,FALSE()))),"OLD",IF(AND(E500&lt;&gt;"",E500&lt;&gt;"!!!"),"NEW","")))</f>
        <v/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4" t="str">
        <f t="shared" ca="1" si="35"/>
        <v/>
      </c>
      <c r="I500" s="25" t="str">
        <f>IF(OR(E500="",E500="!!!",F500="NEW"),"",INDEX(B$2:B499,-1+SUMPRODUCT(MAX(ROW(E$2:E499)*(E500=E$2:E499)))))</f>
        <v/>
      </c>
      <c r="J500" s="25" t="str">
        <f ca="1">IF(OR(E500="",E500="!!!",F500="NEW"),"",COUNTBLANK(OFFSET(A$1,,,SUMPRODUCT(MAX(ROW(E$2:E500)*(E500=E$2:E500)))))-COUNTBLANK(OFFSET(A$1,,,SUMPRODUCT(MAX(ROW(E$1:E499)*(E2=E$1:E499))))))</f>
        <v/>
      </c>
      <c r="K500" s="25" t="str">
        <f>IF(OR(E500="",E500="!!!",F500="NEW"),"",INDEX(J$1:J499,SUMPRODUCT(MAX(ROW(E$1:E499)*(E500=E$1:E499)))))</f>
        <v/>
      </c>
      <c r="L500" s="26"/>
    </row>
    <row r="501" spans="1:12" x14ac:dyDescent="0.3">
      <c r="A501" t="s">
        <v>124</v>
      </c>
      <c r="E501" s="21" t="str">
        <f t="shared" si="34"/>
        <v/>
      </c>
      <c r="F501" s="22" t="str">
        <f>IF(OR(E501="",E501="!!!"),"",IF(NOT(ISNA(VLOOKUP(E501,E$1:E500,1,FALSE()))),"OLD",IF(AND(E501&lt;&gt;"",E501&lt;&gt;"!!!"),"NEW","")))</f>
        <v/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t="shared" ca="1" si="35"/>
        <v/>
      </c>
      <c r="I501" s="25" t="str">
        <f>IF(OR(E501="",E501="!!!",F501="NEW"),"",INDEX(B$2:B500,-1+SUMPRODUCT(MAX(ROW(E$2:E500)*(E501=E$2:E500)))))</f>
        <v/>
      </c>
      <c r="J501" s="25" t="str">
        <f ca="1">IF(OR(E501="",E501="!!!",F501="NEW"),"",COUNTBLANK(OFFSET(A$1,,,SUMPRODUCT(MAX(ROW(E$2:E501)*(E501=E$2:E501)))))-COUNTBLANK(OFFSET(A$1,,,SUMPRODUCT(MAX(ROW(E$1:E500)*(E2=E$1:E500))))))</f>
        <v/>
      </c>
      <c r="K501" s="25" t="str">
        <f>IF(OR(E501="",E501="!!!",F501="NEW"),"",INDEX(J$1:J500,SUMPRODUCT(MAX(ROW(E$1:E500)*(E501=E$1:E500)))))</f>
        <v/>
      </c>
      <c r="L501" s="26"/>
    </row>
    <row r="503" spans="1:12" x14ac:dyDescent="0.3">
      <c r="A503" t="s">
        <v>313</v>
      </c>
      <c r="E503" s="21" t="str">
        <f>IF(D503="?OLD","!!!","")</f>
        <v/>
      </c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ca="1">IF(J503&lt;&gt;1,"",IF(I503="SBJ","CB","?"))</f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/>
    </row>
    <row r="504" spans="1:12" x14ac:dyDescent="0.3">
      <c r="A504" t="s">
        <v>393</v>
      </c>
    </row>
    <row r="505" spans="1:12" x14ac:dyDescent="0.3">
      <c r="A505" t="s">
        <v>170</v>
      </c>
      <c r="E505" s="21" t="str">
        <f t="shared" ref="E505:E536" si="36">IF(D505="?OLD","!!!","")</f>
        <v/>
      </c>
      <c r="F505" s="22" t="str">
        <f>IF(OR(E505="",E505="!!!"),"",IF(NOT(ISNA(VLOOKUP(E505,E$1:E504,1,FALSE()))),"OLD",IF(AND(E505&lt;&gt;"",E505&lt;&gt;"!!!"),"NEW","")))</f>
        <v/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ref="H505:H536" ca="1" si="37">IF(J505&lt;&gt;1,"",IF(I505="SBJ","CB","?"))</f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106</v>
      </c>
      <c r="E506" s="21" t="str">
        <f t="shared" si="36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37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394</v>
      </c>
      <c r="B507" s="20" t="s">
        <v>114</v>
      </c>
      <c r="C507" s="20" t="s">
        <v>111</v>
      </c>
      <c r="E507" s="21" t="str">
        <f t="shared" si="36"/>
        <v/>
      </c>
      <c r="F507" s="22" t="str">
        <f>IF(OR(E507="",E507="!!!"),"",IF(NOT(ISNA(VLOOKUP(E507,E$1:E506,1,FALSE()))),"OLD",IF(AND(E507&lt;&gt;"",E507&lt;&gt;"!!!"),"NEW","")))</f>
        <v/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4" t="str">
        <f t="shared" ca="1" si="37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105</v>
      </c>
      <c r="E508" s="21" t="str">
        <f t="shared" si="36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37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09" spans="1:12" x14ac:dyDescent="0.3">
      <c r="A509" t="s">
        <v>134</v>
      </c>
      <c r="B509" s="20" t="s">
        <v>395</v>
      </c>
      <c r="E509" s="21" t="str">
        <f t="shared" si="36"/>
        <v/>
      </c>
      <c r="F509" s="22" t="str">
        <f>IF(OR(E509="",E509="!!!"),"",IF(NOT(ISNA(VLOOKUP(E509,E$1:E508,1,FALSE()))),"OLD",IF(AND(E509&lt;&gt;"",E509&lt;&gt;"!!!"),"NEW","")))</f>
        <v/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t="shared" ca="1" si="37"/>
        <v/>
      </c>
      <c r="I509" s="25" t="str">
        <f>IF(OR(E509="",E509="!!!",F509="NEW"),"",INDEX(B$2:B508,-1+SUMPRODUCT(MAX(ROW(E$2:E508)*(E509=E$2:E508)))))</f>
        <v/>
      </c>
      <c r="J509" s="25" t="str">
        <f ca="1">IF(OR(E509="",E509="!!!",F509="NEW"),"",COUNTBLANK(OFFSET(A$1,,,SUMPRODUCT(MAX(ROW(E$2:E509)*(E509=E$2:E509)))))-COUNTBLANK(OFFSET(A$1,,,SUMPRODUCT(MAX(ROW(E$1:E508)*(E2=E$1:E508))))))</f>
        <v/>
      </c>
      <c r="K509" s="25" t="str">
        <f>IF(OR(E509="",E509="!!!",F509="NEW"),"",INDEX(J$1:J508,SUMPRODUCT(MAX(ROW(E$1:E508)*(E509=E$1:E508)))))</f>
        <v/>
      </c>
      <c r="L509" s="26"/>
    </row>
    <row r="510" spans="1:12" x14ac:dyDescent="0.3">
      <c r="A510" t="s">
        <v>193</v>
      </c>
      <c r="B510" s="20" t="s">
        <v>396</v>
      </c>
      <c r="C510" s="20" t="s">
        <v>164</v>
      </c>
      <c r="D510" s="20" t="s">
        <v>95</v>
      </c>
      <c r="E510" s="21" t="str">
        <f t="shared" si="36"/>
        <v>!!!</v>
      </c>
      <c r="F510" s="22" t="str">
        <f>IF(OR(E510="",E510="!!!"),"",IF(NOT(ISNA(VLOOKUP(E510,E$1:E509,1,FALSE()))),"OLD",IF(AND(E510&lt;&gt;"",E510&lt;&gt;"!!!"),"NEW","")))</f>
        <v/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t="shared" ca="1" si="37"/>
        <v/>
      </c>
      <c r="I510" s="25" t="str">
        <f>IF(OR(E510="",E510="!!!",F510="NEW"),"",INDEX(B$2:B509,-1+SUMPRODUCT(MAX(ROW(E$2:E509)*(E510=E$2:E509)))))</f>
        <v/>
      </c>
      <c r="J510" s="25" t="str">
        <f ca="1">IF(OR(E510="",E510="!!!",F510="NEW"),"",COUNTBLANK(OFFSET(A$1,,,SUMPRODUCT(MAX(ROW(E$2:E510)*(E510=E$2:E510)))))-COUNTBLANK(OFFSET(A$1,,,SUMPRODUCT(MAX(ROW(E$1:E509)*(E2=E$1:E509))))))</f>
        <v/>
      </c>
      <c r="K510" s="25" t="str">
        <f>IF(OR(E510="",E510="!!!",F510="NEW"),"",INDEX(J$1:J509,SUMPRODUCT(MAX(ROW(E$1:E509)*(E510=E$1:E509)))))</f>
        <v/>
      </c>
      <c r="L510" s="26"/>
    </row>
    <row r="511" spans="1:12" x14ac:dyDescent="0.3">
      <c r="A511" t="s">
        <v>165</v>
      </c>
      <c r="E511" s="21" t="str">
        <f t="shared" si="36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37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397</v>
      </c>
      <c r="B512" s="20" t="s">
        <v>326</v>
      </c>
      <c r="C512" s="20" t="s">
        <v>119</v>
      </c>
      <c r="E512" s="21" t="str">
        <f t="shared" si="36"/>
        <v/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ca="1" si="37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117</v>
      </c>
      <c r="E513" s="21" t="str">
        <f t="shared" si="36"/>
        <v/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ca="1" si="37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137</v>
      </c>
      <c r="E514" s="21" t="str">
        <f t="shared" si="36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37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342</v>
      </c>
      <c r="B515" s="20" t="s">
        <v>326</v>
      </c>
      <c r="C515" s="20" t="s">
        <v>100</v>
      </c>
      <c r="D515" s="20" t="s">
        <v>95</v>
      </c>
      <c r="E515" s="21" t="str">
        <f t="shared" si="36"/>
        <v>!!!</v>
      </c>
      <c r="F515" s="22" t="str">
        <f>IF(OR(E515="",E515="!!!"),"",IF(NOT(ISNA(VLOOKUP(E515,E$1:E514,1,FALSE()))),"OLD",IF(AND(E515&lt;&gt;"",E515&lt;&gt;"!!!"),"NEW","")))</f>
        <v/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4" t="str">
        <f t="shared" ca="1" si="37"/>
        <v/>
      </c>
      <c r="I515" s="25" t="str">
        <f>IF(OR(E515="",E515="!!!",F515="NEW"),"",INDEX(B$2:B514,-1+SUMPRODUCT(MAX(ROW(E$2:E514)*(E515=E$2:E514)))))</f>
        <v/>
      </c>
      <c r="J515" s="25" t="str">
        <f ca="1">IF(OR(E515="",E515="!!!",F515="NEW"),"",COUNTBLANK(OFFSET(A$1,,,SUMPRODUCT(MAX(ROW(E$2:E515)*(E515=E$2:E515)))))-COUNTBLANK(OFFSET(A$1,,,SUMPRODUCT(MAX(ROW(E$1:E514)*(E2=E$1:E514))))))</f>
        <v/>
      </c>
      <c r="K515" s="25" t="str">
        <f>IF(OR(E515="",E515="!!!",F515="NEW"),"",INDEX(J$1:J514,SUMPRODUCT(MAX(ROW(E$1:E514)*(E515=E$1:E514)))))</f>
        <v/>
      </c>
      <c r="L515" s="26"/>
    </row>
    <row r="516" spans="1:12" x14ac:dyDescent="0.3">
      <c r="A516" t="s">
        <v>343</v>
      </c>
      <c r="E516" s="21" t="str">
        <f t="shared" si="36"/>
        <v/>
      </c>
      <c r="F516" s="22" t="str">
        <f>IF(OR(E516="",E516="!!!"),"",IF(NOT(ISNA(VLOOKUP(E516,E$1:E515,1,FALSE()))),"OLD",IF(AND(E516&lt;&gt;"",E516&lt;&gt;"!!!"),"NEW","")))</f>
        <v/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4" t="str">
        <f t="shared" ca="1" si="37"/>
        <v/>
      </c>
      <c r="I516" s="25" t="str">
        <f>IF(OR(E516="",E516="!!!",F516="NEW"),"",INDEX(B$2:B515,-1+SUMPRODUCT(MAX(ROW(E$2:E515)*(E516=E$2:E515)))))</f>
        <v/>
      </c>
      <c r="J516" s="25" t="str">
        <f ca="1">IF(OR(E516="",E516="!!!",F516="NEW"),"",COUNTBLANK(OFFSET(A$1,,,SUMPRODUCT(MAX(ROW(E$2:E516)*(E516=E$2:E516)))))-COUNTBLANK(OFFSET(A$1,,,SUMPRODUCT(MAX(ROW(E$1:E515)*(E2=E$1:E515))))))</f>
        <v/>
      </c>
      <c r="K516" s="25" t="str">
        <f>IF(OR(E516="",E516="!!!",F516="NEW"),"",INDEX(J$1:J515,SUMPRODUCT(MAX(ROW(E$1:E515)*(E516=E$1:E515)))))</f>
        <v/>
      </c>
      <c r="L516" s="26"/>
    </row>
    <row r="517" spans="1:12" x14ac:dyDescent="0.3">
      <c r="A517" t="s">
        <v>398</v>
      </c>
      <c r="E517" s="21" t="str">
        <f t="shared" si="36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37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8" spans="1:12" x14ac:dyDescent="0.3">
      <c r="A518" t="s">
        <v>105</v>
      </c>
      <c r="E518" s="21" t="str">
        <f t="shared" si="36"/>
        <v/>
      </c>
      <c r="F518" s="22" t="str">
        <f>IF(OR(E518="",E518="!!!"),"",IF(NOT(ISNA(VLOOKUP(E518,E$1:E517,1,FALSE()))),"OLD",IF(AND(E518&lt;&gt;"",E518&lt;&gt;"!!!"),"NEW","")))</f>
        <v/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4" t="str">
        <f t="shared" ca="1" si="37"/>
        <v/>
      </c>
      <c r="I518" s="25" t="str">
        <f>IF(OR(E518="",E518="!!!",F518="NEW"),"",INDEX(B$2:B517,-1+SUMPRODUCT(MAX(ROW(E$2:E517)*(E518=E$2:E517)))))</f>
        <v/>
      </c>
      <c r="J518" s="25" t="str">
        <f ca="1">IF(OR(E518="",E518="!!!",F518="NEW"),"",COUNTBLANK(OFFSET(A$1,,,SUMPRODUCT(MAX(ROW(E$2:E518)*(E518=E$2:E518)))))-COUNTBLANK(OFFSET(A$1,,,SUMPRODUCT(MAX(ROW(E$1:E517)*(E2=E$1:E517))))))</f>
        <v/>
      </c>
      <c r="K518" s="25" t="str">
        <f>IF(OR(E518="",E518="!!!",F518="NEW"),"",INDEX(J$1:J517,SUMPRODUCT(MAX(ROW(E$1:E517)*(E518=E$1:E517)))))</f>
        <v/>
      </c>
      <c r="L518" s="26"/>
    </row>
    <row r="519" spans="1:12" x14ac:dyDescent="0.3">
      <c r="A519" t="s">
        <v>399</v>
      </c>
      <c r="E519" s="21" t="str">
        <f t="shared" si="36"/>
        <v/>
      </c>
      <c r="F519" s="22" t="str">
        <f>IF(OR(E519="",E519="!!!"),"",IF(NOT(ISNA(VLOOKUP(E519,E$1:E518,1,FALSE()))),"OLD",IF(AND(E519&lt;&gt;"",E519&lt;&gt;"!!!"),"NEW","")))</f>
        <v/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t="shared" ca="1" si="37"/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400</v>
      </c>
      <c r="E520" s="21" t="str">
        <f t="shared" si="36"/>
        <v/>
      </c>
      <c r="F520" s="22" t="str">
        <f>IF(OR(E520="",E520="!!!"),"",IF(NOT(ISNA(VLOOKUP(E520,E$1:E519,1,FALSE()))),"OLD",IF(AND(E520&lt;&gt;"",E520&lt;&gt;"!!!"),"NEW","")))</f>
        <v/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t="shared" ca="1" si="37"/>
        <v/>
      </c>
      <c r="I520" s="25" t="str">
        <f>IF(OR(E520="",E520="!!!",F520="NEW"),"",INDEX(B$2:B519,-1+SUMPRODUCT(MAX(ROW(E$2:E519)*(E520=E$2:E519)))))</f>
        <v/>
      </c>
      <c r="J520" s="25" t="str">
        <f ca="1">IF(OR(E520="",E520="!!!",F520="NEW"),"",COUNTBLANK(OFFSET(A$1,,,SUMPRODUCT(MAX(ROW(E$2:E520)*(E520=E$2:E520)))))-COUNTBLANK(OFFSET(A$1,,,SUMPRODUCT(MAX(ROW(E$1:E519)*(E2=E$1:E519))))))</f>
        <v/>
      </c>
      <c r="K520" s="25" t="str">
        <f>IF(OR(E520="",E520="!!!",F520="NEW"),"",INDEX(J$1:J519,SUMPRODUCT(MAX(ROW(E$1:E519)*(E520=E$1:E519)))))</f>
        <v/>
      </c>
      <c r="L520" s="26"/>
    </row>
    <row r="521" spans="1:12" x14ac:dyDescent="0.3">
      <c r="A521" t="s">
        <v>401</v>
      </c>
      <c r="E521" s="21" t="str">
        <f t="shared" si="36"/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ca="1" si="37"/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296</v>
      </c>
      <c r="B522" s="20" t="s">
        <v>176</v>
      </c>
      <c r="C522" s="20" t="s">
        <v>111</v>
      </c>
      <c r="E522" s="21" t="str">
        <f t="shared" si="36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37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105</v>
      </c>
      <c r="E523" s="21" t="str">
        <f t="shared" si="36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37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270</v>
      </c>
      <c r="E524" s="21" t="str">
        <f t="shared" si="36"/>
        <v/>
      </c>
      <c r="F524" s="22" t="str">
        <f>IF(OR(E524="",E524="!!!"),"",IF(NOT(ISNA(VLOOKUP(E524,E$1:E523,1,FALSE()))),"OLD",IF(AND(E524&lt;&gt;"",E524&lt;&gt;"!!!"),"NEW","")))</f>
        <v/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4" t="str">
        <f t="shared" ca="1" si="37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5" spans="1:12" x14ac:dyDescent="0.3">
      <c r="A525" t="s">
        <v>402</v>
      </c>
      <c r="B525" s="20" t="s">
        <v>114</v>
      </c>
      <c r="C525" s="20" t="s">
        <v>100</v>
      </c>
      <c r="D525" s="20" t="s">
        <v>95</v>
      </c>
      <c r="E525" s="21" t="str">
        <f t="shared" si="36"/>
        <v>!!!</v>
      </c>
      <c r="F525" s="22" t="str">
        <f>IF(OR(E525="",E525="!!!"),"",IF(NOT(ISNA(VLOOKUP(E525,E$1:E524,1,FALSE()))),"OLD",IF(AND(E525&lt;&gt;"",E525&lt;&gt;"!!!"),"NEW","")))</f>
        <v/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37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/>
    </row>
    <row r="526" spans="1:12" x14ac:dyDescent="0.3">
      <c r="A526" t="s">
        <v>11</v>
      </c>
      <c r="E526" s="21" t="str">
        <f t="shared" si="36"/>
        <v/>
      </c>
      <c r="F526" s="22" t="str">
        <f>IF(OR(E526="",E526="!!!"),"",IF(NOT(ISNA(VLOOKUP(E526,E$1:E525,1,FALSE()))),"OLD",IF(AND(E526&lt;&gt;"",E526&lt;&gt;"!!!"),"NEW","")))</f>
        <v/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4" t="str">
        <f t="shared" ca="1" si="37"/>
        <v/>
      </c>
      <c r="I526" s="25" t="str">
        <f>IF(OR(E526="",E526="!!!",F526="NEW"),"",INDEX(B$2:B525,-1+SUMPRODUCT(MAX(ROW(E$2:E525)*(E526=E$2:E525)))))</f>
        <v/>
      </c>
      <c r="J526" s="25" t="str">
        <f ca="1">IF(OR(E526="",E526="!!!",F526="NEW"),"",COUNTBLANK(OFFSET(A$1,,,SUMPRODUCT(MAX(ROW(E$2:E526)*(E526=E$2:E526)))))-COUNTBLANK(OFFSET(A$1,,,SUMPRODUCT(MAX(ROW(E$1:E525)*(E2=E$1:E525))))))</f>
        <v/>
      </c>
      <c r="K526" s="25" t="str">
        <f>IF(OR(E526="",E526="!!!",F526="NEW"),"",INDEX(J$1:J525,SUMPRODUCT(MAX(ROW(E$1:E525)*(E526=E$1:E525)))))</f>
        <v/>
      </c>
      <c r="L526" s="26"/>
    </row>
    <row r="527" spans="1:12" x14ac:dyDescent="0.3">
      <c r="A527" t="s">
        <v>403</v>
      </c>
      <c r="E527" s="21" t="str">
        <f t="shared" si="36"/>
        <v/>
      </c>
      <c r="F527" s="22" t="str">
        <f>IF(OR(E527="",E527="!!!"),"",IF(NOT(ISNA(VLOOKUP(E527,E$1:E526,1,FALSE()))),"OLD",IF(AND(E527&lt;&gt;"",E527&lt;&gt;"!!!"),"NEW","")))</f>
        <v/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t="shared" ca="1" si="37"/>
        <v/>
      </c>
      <c r="I527" s="25" t="str">
        <f>IF(OR(E527="",E527="!!!",F527="NEW"),"",INDEX(B$2:B526,-1+SUMPRODUCT(MAX(ROW(E$2:E526)*(E527=E$2:E526)))))</f>
        <v/>
      </c>
      <c r="J527" s="25" t="str">
        <f ca="1">IF(OR(E527="",E527="!!!",F527="NEW"),"",COUNTBLANK(OFFSET(A$1,,,SUMPRODUCT(MAX(ROW(E$2:E527)*(E527=E$2:E527)))))-COUNTBLANK(OFFSET(A$1,,,SUMPRODUCT(MAX(ROW(E$1:E526)*(E2=E$1:E526))))))</f>
        <v/>
      </c>
      <c r="K527" s="25" t="str">
        <f>IF(OR(E527="",E527="!!!",F527="NEW"),"",INDEX(J$1:J526,SUMPRODUCT(MAX(ROW(E$1:E526)*(E527=E$1:E526)))))</f>
        <v/>
      </c>
      <c r="L527" s="26"/>
    </row>
    <row r="528" spans="1:12" x14ac:dyDescent="0.3">
      <c r="A528" t="s">
        <v>105</v>
      </c>
      <c r="E528" s="21" t="str">
        <f t="shared" si="36"/>
        <v/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ca="1" si="37"/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206</v>
      </c>
      <c r="B529" s="20" t="s">
        <v>396</v>
      </c>
      <c r="C529" s="20" t="s">
        <v>164</v>
      </c>
      <c r="D529" s="20" t="s">
        <v>95</v>
      </c>
      <c r="E529" s="21" t="str">
        <f t="shared" si="36"/>
        <v>!!!</v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ca="1" si="37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404</v>
      </c>
      <c r="E530" s="21" t="str">
        <f t="shared" si="36"/>
        <v/>
      </c>
      <c r="F530" s="22" t="str">
        <f>IF(OR(E530="",E530="!!!"),"",IF(NOT(ISNA(VLOOKUP(E530,E$1:E529,1,FALSE()))),"OLD",IF(AND(E530&lt;&gt;"",E530&lt;&gt;"!!!"),"NEW","")))</f>
        <v/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t="shared" ca="1" si="37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/>
    </row>
    <row r="531" spans="1:12" x14ac:dyDescent="0.3">
      <c r="A531" t="s">
        <v>405</v>
      </c>
      <c r="E531" s="21" t="str">
        <f t="shared" si="36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37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2" spans="1:12" x14ac:dyDescent="0.3">
      <c r="A532" t="s">
        <v>70</v>
      </c>
      <c r="E532" s="21" t="str">
        <f t="shared" si="36"/>
        <v/>
      </c>
      <c r="F532" s="22" t="str">
        <f>IF(OR(E532="",E532="!!!"),"",IF(NOT(ISNA(VLOOKUP(E532,E$1:E531,1,FALSE()))),"OLD",IF(AND(E532&lt;&gt;"",E532&lt;&gt;"!!!"),"NEW","")))</f>
        <v/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4" t="str">
        <f t="shared" ca="1" si="37"/>
        <v/>
      </c>
      <c r="I532" s="25" t="str">
        <f>IF(OR(E532="",E532="!!!",F532="NEW"),"",INDEX(B$2:B531,-1+SUMPRODUCT(MAX(ROW(E$2:E531)*(E532=E$2:E531)))))</f>
        <v/>
      </c>
      <c r="J532" s="25" t="str">
        <f ca="1">IF(OR(E532="",E532="!!!",F532="NEW"),"",COUNTBLANK(OFFSET(A$1,,,SUMPRODUCT(MAX(ROW(E$2:E532)*(E532=E$2:E532)))))-COUNTBLANK(OFFSET(A$1,,,SUMPRODUCT(MAX(ROW(E$1:E531)*(E2=E$1:E531))))))</f>
        <v/>
      </c>
      <c r="K532" s="25" t="str">
        <f>IF(OR(E532="",E532="!!!",F532="NEW"),"",INDEX(J$1:J531,SUMPRODUCT(MAX(ROW(E$1:E531)*(E532=E$1:E531)))))</f>
        <v/>
      </c>
      <c r="L532" s="26"/>
    </row>
    <row r="533" spans="1:12" x14ac:dyDescent="0.3">
      <c r="A533" t="s">
        <v>269</v>
      </c>
      <c r="B533" s="20" t="s">
        <v>326</v>
      </c>
      <c r="C533" s="20" t="s">
        <v>147</v>
      </c>
      <c r="E533" s="21" t="str">
        <f t="shared" si="36"/>
        <v/>
      </c>
      <c r="F533" s="22" t="str">
        <f>IF(OR(E533="",E533="!!!"),"",IF(NOT(ISNA(VLOOKUP(E533,E$1:E532,1,FALSE()))),"OLD",IF(AND(E533&lt;&gt;"",E533&lt;&gt;"!!!"),"NEW","")))</f>
        <v/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4" t="str">
        <f t="shared" ca="1" si="37"/>
        <v/>
      </c>
      <c r="I533" s="25" t="str">
        <f>IF(OR(E533="",E533="!!!",F533="NEW"),"",INDEX(B$2:B532,-1+SUMPRODUCT(MAX(ROW(E$2:E532)*(E533=E$2:E532)))))</f>
        <v/>
      </c>
      <c r="J533" s="25" t="str">
        <f ca="1">IF(OR(E533="",E533="!!!",F533="NEW"),"",COUNTBLANK(OFFSET(A$1,,,SUMPRODUCT(MAX(ROW(E$2:E533)*(E533=E$2:E533)))))-COUNTBLANK(OFFSET(A$1,,,SUMPRODUCT(MAX(ROW(E$1:E532)*(E2=E$1:E532))))))</f>
        <v/>
      </c>
      <c r="K533" s="25" t="str">
        <f>IF(OR(E533="",E533="!!!",F533="NEW"),"",INDEX(J$1:J532,SUMPRODUCT(MAX(ROW(E$1:E532)*(E533=E$1:E532)))))</f>
        <v/>
      </c>
      <c r="L533" s="26"/>
    </row>
    <row r="534" spans="1:12" x14ac:dyDescent="0.3">
      <c r="A534" t="s">
        <v>156</v>
      </c>
      <c r="E534" s="21" t="str">
        <f t="shared" si="36"/>
        <v/>
      </c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ca="1" si="37"/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127</v>
      </c>
      <c r="E535" s="21" t="str">
        <f t="shared" si="36"/>
        <v/>
      </c>
      <c r="F535" s="22" t="str">
        <f>IF(OR(E535="",E535="!!!"),"",IF(NOT(ISNA(VLOOKUP(E535,E$1:E534,1,FALSE()))),"OLD",IF(AND(E535&lt;&gt;"",E535&lt;&gt;"!!!"),"NEW","")))</f>
        <v/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t="shared" ca="1" si="37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/>
    </row>
    <row r="536" spans="1:12" x14ac:dyDescent="0.3">
      <c r="A536" t="s">
        <v>103</v>
      </c>
      <c r="E536" s="21" t="str">
        <f t="shared" si="36"/>
        <v/>
      </c>
      <c r="F536" s="22" t="str">
        <f>IF(OR(E536="",E536="!!!"),"",IF(NOT(ISNA(VLOOKUP(E536,E$1:E535,1,FALSE()))),"OLD",IF(AND(E536&lt;&gt;"",E536&lt;&gt;"!!!"),"NEW","")))</f>
        <v/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37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406</v>
      </c>
      <c r="E537" s="21" t="str">
        <f t="shared" ref="E537:E567" si="38">IF(D537="?OLD","!!!","")</f>
        <v/>
      </c>
      <c r="F537" s="22" t="str">
        <f>IF(OR(E537="",E537="!!!"),"",IF(NOT(ISNA(VLOOKUP(E537,E$1:E536,1,FALSE()))),"OLD",IF(AND(E537&lt;&gt;"",E537&lt;&gt;"!!!"),"NEW","")))</f>
        <v/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4" t="str">
        <f t="shared" ref="H537:H567" ca="1" si="39">IF(J537&lt;&gt;1,"",IF(I537="SBJ","CB","?"))</f>
        <v/>
      </c>
      <c r="I537" s="25" t="str">
        <f>IF(OR(E537="",E537="!!!",F537="NEW"),"",INDEX(B$2:B536,-1+SUMPRODUCT(MAX(ROW(E$2:E536)*(E537=E$2:E536)))))</f>
        <v/>
      </c>
      <c r="J537" s="25" t="str">
        <f ca="1">IF(OR(E537="",E537="!!!",F537="NEW"),"",COUNTBLANK(OFFSET(A$1,,,SUMPRODUCT(MAX(ROW(E$2:E537)*(E537=E$2:E537)))))-COUNTBLANK(OFFSET(A$1,,,SUMPRODUCT(MAX(ROW(E$1:E536)*(E2=E$1:E536))))))</f>
        <v/>
      </c>
      <c r="K537" s="25" t="str">
        <f>IF(OR(E537="",E537="!!!",F537="NEW"),"",INDEX(J$1:J536,SUMPRODUCT(MAX(ROW(E$1:E536)*(E537=E$1:E536)))))</f>
        <v/>
      </c>
      <c r="L537" s="26"/>
    </row>
    <row r="538" spans="1:12" x14ac:dyDescent="0.3">
      <c r="A538" t="s">
        <v>407</v>
      </c>
      <c r="E538" s="21" t="str">
        <f t="shared" si="38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39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233</v>
      </c>
      <c r="B539" s="20" t="s">
        <v>176</v>
      </c>
      <c r="C539" s="20" t="s">
        <v>119</v>
      </c>
      <c r="E539" s="21" t="str">
        <f t="shared" si="38"/>
        <v/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39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408</v>
      </c>
      <c r="E540" s="21" t="str">
        <f t="shared" si="38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39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1" spans="1:12" x14ac:dyDescent="0.3">
      <c r="A541" t="s">
        <v>399</v>
      </c>
      <c r="E541" s="21" t="str">
        <f t="shared" si="38"/>
        <v/>
      </c>
      <c r="F541" s="22" t="str">
        <f>IF(OR(E541="",E541="!!!"),"",IF(NOT(ISNA(VLOOKUP(E541,E$1:E540,1,FALSE()))),"OLD",IF(AND(E541&lt;&gt;"",E541&lt;&gt;"!!!"),"NEW","")))</f>
        <v/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4" t="str">
        <f t="shared" ca="1" si="39"/>
        <v/>
      </c>
      <c r="I541" s="25" t="str">
        <f>IF(OR(E541="",E541="!!!",F541="NEW"),"",INDEX(B$2:B540,-1+SUMPRODUCT(MAX(ROW(E$2:E540)*(E541=E$2:E540)))))</f>
        <v/>
      </c>
      <c r="J541" s="25" t="str">
        <f ca="1">IF(OR(E541="",E541="!!!",F541="NEW"),"",COUNTBLANK(OFFSET(A$1,,,SUMPRODUCT(MAX(ROW(E$2:E541)*(E541=E$2:E541)))))-COUNTBLANK(OFFSET(A$1,,,SUMPRODUCT(MAX(ROW(E$1:E540)*(E2=E$1:E540))))))</f>
        <v/>
      </c>
      <c r="K541" s="25" t="str">
        <f>IF(OR(E541="",E541="!!!",F541="NEW"),"",INDEX(J$1:J540,SUMPRODUCT(MAX(ROW(E$1:E540)*(E541=E$1:E540)))))</f>
        <v/>
      </c>
      <c r="L541" s="26"/>
    </row>
    <row r="542" spans="1:12" x14ac:dyDescent="0.3">
      <c r="A542" t="s">
        <v>105</v>
      </c>
      <c r="E542" s="21" t="str">
        <f t="shared" si="38"/>
        <v/>
      </c>
      <c r="F542" s="22" t="str">
        <f>IF(OR(E542="",E542="!!!"),"",IF(NOT(ISNA(VLOOKUP(E542,E$1:E541,1,FALSE()))),"OLD",IF(AND(E542&lt;&gt;"",E542&lt;&gt;"!!!"),"NEW","")))</f>
        <v/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4" t="str">
        <f t="shared" ca="1" si="39"/>
        <v/>
      </c>
      <c r="I542" s="25" t="str">
        <f>IF(OR(E542="",E542="!!!",F542="NEW"),"",INDEX(B$2:B541,-1+SUMPRODUCT(MAX(ROW(E$2:E541)*(E542=E$2:E541)))))</f>
        <v/>
      </c>
      <c r="J542" s="25" t="str">
        <f ca="1">IF(OR(E542="",E542="!!!",F542="NEW"),"",COUNTBLANK(OFFSET(A$1,,,SUMPRODUCT(MAX(ROW(E$2:E542)*(E542=E$2:E542)))))-COUNTBLANK(OFFSET(A$1,,,SUMPRODUCT(MAX(ROW(E$1:E541)*(E2=E$1:E541))))))</f>
        <v/>
      </c>
      <c r="K542" s="25" t="str">
        <f>IF(OR(E542="",E542="!!!",F542="NEW"),"",INDEX(J$1:J541,SUMPRODUCT(MAX(ROW(E$1:E541)*(E542=E$1:E541)))))</f>
        <v/>
      </c>
      <c r="L542" s="26"/>
    </row>
    <row r="543" spans="1:12" x14ac:dyDescent="0.3">
      <c r="A543" t="s">
        <v>409</v>
      </c>
      <c r="B543" s="20" t="s">
        <v>128</v>
      </c>
      <c r="C543" s="20" t="s">
        <v>119</v>
      </c>
      <c r="E543" s="21" t="str">
        <f t="shared" si="38"/>
        <v/>
      </c>
      <c r="F543" s="22" t="str">
        <f>IF(OR(E543="",E543="!!!"),"",IF(NOT(ISNA(VLOOKUP(E543,E$1:E542,1,FALSE()))),"OLD",IF(AND(E543&lt;&gt;"",E543&lt;&gt;"!!!"),"NEW","")))</f>
        <v/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ca="1" si="39"/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405</v>
      </c>
      <c r="E544" s="21" t="str">
        <f t="shared" si="38"/>
        <v/>
      </c>
      <c r="F544" s="22" t="str">
        <f>IF(OR(E544="",E544="!!!"),"",IF(NOT(ISNA(VLOOKUP(E544,E$1:E543,1,FALSE()))),"OLD",IF(AND(E544&lt;&gt;"",E544&lt;&gt;"!!!"),"NEW","")))</f>
        <v/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4" t="str">
        <f t="shared" ca="1" si="39"/>
        <v/>
      </c>
      <c r="I544" s="25" t="str">
        <f>IF(OR(E544="",E544="!!!",F544="NEW"),"",INDEX(B$2:B543,-1+SUMPRODUCT(MAX(ROW(E$2:E543)*(E544=E$2:E543)))))</f>
        <v/>
      </c>
      <c r="J544" s="25" t="str">
        <f ca="1">IF(OR(E544="",E544="!!!",F544="NEW"),"",COUNTBLANK(OFFSET(A$1,,,SUMPRODUCT(MAX(ROW(E$2:E544)*(E544=E$2:E544)))))-COUNTBLANK(OFFSET(A$1,,,SUMPRODUCT(MAX(ROW(E$1:E543)*(E2=E$1:E543))))))</f>
        <v/>
      </c>
      <c r="K544" s="25" t="str">
        <f>IF(OR(E544="",E544="!!!",F544="NEW"),"",INDEX(J$1:J543,SUMPRODUCT(MAX(ROW(E$1:E543)*(E544=E$1:E543)))))</f>
        <v/>
      </c>
      <c r="L544" s="26"/>
    </row>
    <row r="545" spans="1:12" x14ac:dyDescent="0.3">
      <c r="A545" t="s">
        <v>410</v>
      </c>
      <c r="E545" s="21" t="str">
        <f t="shared" si="38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39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6" spans="1:12" x14ac:dyDescent="0.3">
      <c r="A546" t="s">
        <v>411</v>
      </c>
      <c r="E546" s="21" t="str">
        <f t="shared" si="38"/>
        <v/>
      </c>
      <c r="F546" s="22" t="str">
        <f>IF(OR(E546="",E546="!!!"),"",IF(NOT(ISNA(VLOOKUP(E546,E$1:E545,1,FALSE()))),"OLD",IF(AND(E546&lt;&gt;"",E546&lt;&gt;"!!!"),"NEW","")))</f>
        <v/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4" t="str">
        <f t="shared" ca="1" si="39"/>
        <v/>
      </c>
      <c r="I546" s="25" t="str">
        <f>IF(OR(E546="",E546="!!!",F546="NEW"),"",INDEX(B$2:B545,-1+SUMPRODUCT(MAX(ROW(E$2:E545)*(E546=E$2:E545)))))</f>
        <v/>
      </c>
      <c r="J546" s="25" t="str">
        <f ca="1">IF(OR(E546="",E546="!!!",F546="NEW"),"",COUNTBLANK(OFFSET(A$1,,,SUMPRODUCT(MAX(ROW(E$2:E546)*(E546=E$2:E546)))))-COUNTBLANK(OFFSET(A$1,,,SUMPRODUCT(MAX(ROW(E$1:E545)*(E2=E$1:E545))))))</f>
        <v/>
      </c>
      <c r="K546" s="25" t="str">
        <f>IF(OR(E546="",E546="!!!",F546="NEW"),"",INDEX(J$1:J545,SUMPRODUCT(MAX(ROW(E$1:E545)*(E546=E$1:E545)))))</f>
        <v/>
      </c>
      <c r="L546" s="26"/>
    </row>
    <row r="547" spans="1:12" x14ac:dyDescent="0.3">
      <c r="A547" t="s">
        <v>233</v>
      </c>
      <c r="B547" s="20" t="s">
        <v>99</v>
      </c>
      <c r="C547" s="20" t="s">
        <v>234</v>
      </c>
      <c r="E547" s="21" t="str">
        <f t="shared" si="38"/>
        <v/>
      </c>
      <c r="F547" s="22" t="str">
        <f>IF(OR(E547="",E547="!!!"),"",IF(NOT(ISNA(VLOOKUP(E547,E$1:E546,1,FALSE()))),"OLD",IF(AND(E547&lt;&gt;"",E547&lt;&gt;"!!!"),"NEW","")))</f>
        <v/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4" t="str">
        <f t="shared" ca="1" si="39"/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8" spans="1:12" x14ac:dyDescent="0.3">
      <c r="A548" t="s">
        <v>390</v>
      </c>
      <c r="E548" s="21" t="str">
        <f t="shared" si="38"/>
        <v/>
      </c>
      <c r="F548" s="22" t="str">
        <f>IF(OR(E548="",E548="!!!"),"",IF(NOT(ISNA(VLOOKUP(E548,E$1:E547,1,FALSE()))),"OLD",IF(AND(E548&lt;&gt;"",E548&lt;&gt;"!!!"),"NEW","")))</f>
        <v/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4" t="str">
        <f t="shared" ca="1" si="39"/>
        <v/>
      </c>
      <c r="I548" s="25" t="str">
        <f>IF(OR(E548="",E548="!!!",F548="NEW"),"",INDEX(B$2:B547,-1+SUMPRODUCT(MAX(ROW(E$2:E547)*(E548=E$2:E547)))))</f>
        <v/>
      </c>
      <c r="J548" s="25" t="str">
        <f ca="1">IF(OR(E548="",E548="!!!",F548="NEW"),"",COUNTBLANK(OFFSET(A$1,,,SUMPRODUCT(MAX(ROW(E$2:E548)*(E548=E$2:E548)))))-COUNTBLANK(OFFSET(A$1,,,SUMPRODUCT(MAX(ROW(E$1:E547)*(E2=E$1:E547))))))</f>
        <v/>
      </c>
      <c r="K548" s="25" t="str">
        <f>IF(OR(E548="",E548="!!!",F548="NEW"),"",INDEX(J$1:J547,SUMPRODUCT(MAX(ROW(E$1:E547)*(E548=E$1:E547)))))</f>
        <v/>
      </c>
      <c r="L548" s="26"/>
    </row>
    <row r="549" spans="1:12" x14ac:dyDescent="0.3">
      <c r="A549" t="s">
        <v>330</v>
      </c>
      <c r="E549" s="21" t="str">
        <f t="shared" si="38"/>
        <v/>
      </c>
      <c r="F549" s="22" t="str">
        <f>IF(OR(E549="",E549="!!!"),"",IF(NOT(ISNA(VLOOKUP(E549,E$1:E548,1,FALSE()))),"OLD",IF(AND(E549&lt;&gt;"",E549&lt;&gt;"!!!"),"NEW","")))</f>
        <v/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ca="1" si="39"/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331</v>
      </c>
      <c r="E550" s="21" t="str">
        <f t="shared" si="38"/>
        <v/>
      </c>
      <c r="F550" s="22" t="str">
        <f>IF(OR(E550="",E550="!!!"),"",IF(NOT(ISNA(VLOOKUP(E550,E$1:E549,1,FALSE()))),"OLD",IF(AND(E550&lt;&gt;"",E550&lt;&gt;"!!!"),"NEW","")))</f>
        <v/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4" t="str">
        <f t="shared" ca="1" si="39"/>
        <v/>
      </c>
      <c r="I550" s="25" t="str">
        <f>IF(OR(E550="",E550="!!!",F550="NEW"),"",INDEX(B$2:B549,-1+SUMPRODUCT(MAX(ROW(E$2:E549)*(E550=E$2:E549)))))</f>
        <v/>
      </c>
      <c r="J550" s="25" t="str">
        <f ca="1">IF(OR(E550="",E550="!!!",F550="NEW"),"",COUNTBLANK(OFFSET(A$1,,,SUMPRODUCT(MAX(ROW(E$2:E550)*(E550=E$2:E550)))))-COUNTBLANK(OFFSET(A$1,,,SUMPRODUCT(MAX(ROW(E$1:E549)*(E2=E$1:E549))))))</f>
        <v/>
      </c>
      <c r="K550" s="25" t="str">
        <f>IF(OR(E550="",E550="!!!",F550="NEW"),"",INDEX(J$1:J549,SUMPRODUCT(MAX(ROW(E$1:E549)*(E550=E$1:E549)))))</f>
        <v/>
      </c>
      <c r="L550" s="26"/>
    </row>
    <row r="551" spans="1:12" x14ac:dyDescent="0.3">
      <c r="A551" t="s">
        <v>307</v>
      </c>
      <c r="B551" s="20" t="s">
        <v>93</v>
      </c>
      <c r="C551" s="20" t="s">
        <v>94</v>
      </c>
      <c r="D551" s="20" t="s">
        <v>95</v>
      </c>
      <c r="E551" s="21" t="str">
        <f t="shared" si="38"/>
        <v>!!!</v>
      </c>
      <c r="F551" s="22" t="str">
        <f>IF(OR(E551="",E551="!!!"),"",IF(NOT(ISNA(VLOOKUP(E551,E$1:E550,1,FALSE()))),"OLD",IF(AND(E551&lt;&gt;"",E551&lt;&gt;"!!!"),"NEW","")))</f>
        <v/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4" t="str">
        <f t="shared" ca="1" si="39"/>
        <v/>
      </c>
      <c r="I551" s="25" t="str">
        <f>IF(OR(E551="",E551="!!!",F551="NEW"),"",INDEX(B$2:B550,-1+SUMPRODUCT(MAX(ROW(E$2:E550)*(E551=E$2:E550)))))</f>
        <v/>
      </c>
      <c r="J551" s="25" t="str">
        <f ca="1">IF(OR(E551="",E551="!!!",F551="NEW"),"",COUNTBLANK(OFFSET(A$1,,,SUMPRODUCT(MAX(ROW(E$2:E551)*(E551=E$2:E551)))))-COUNTBLANK(OFFSET(A$1,,,SUMPRODUCT(MAX(ROW(E$1:E550)*(E2=E$1:E550))))))</f>
        <v/>
      </c>
      <c r="K551" s="25" t="str">
        <f>IF(OR(E551="",E551="!!!",F551="NEW"),"",INDEX(J$1:J550,SUMPRODUCT(MAX(ROW(E$1:E550)*(E551=E$1:E550)))))</f>
        <v/>
      </c>
      <c r="L551" s="26"/>
    </row>
    <row r="552" spans="1:12" x14ac:dyDescent="0.3">
      <c r="A552" t="s">
        <v>127</v>
      </c>
      <c r="E552" s="21" t="str">
        <f t="shared" si="38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39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412</v>
      </c>
      <c r="E553" s="21" t="str">
        <f t="shared" si="38"/>
        <v/>
      </c>
      <c r="F553" s="22" t="str">
        <f>IF(OR(E553="",E553="!!!"),"",IF(NOT(ISNA(VLOOKUP(E553,E$1:E552,1,FALSE()))),"OLD",IF(AND(E553&lt;&gt;"",E553&lt;&gt;"!!!"),"NEW","")))</f>
        <v/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4" t="str">
        <f t="shared" ca="1" si="39"/>
        <v/>
      </c>
      <c r="I553" s="25" t="str">
        <f>IF(OR(E553="",E553="!!!",F553="NEW"),"",INDEX(B$2:B552,-1+SUMPRODUCT(MAX(ROW(E$2:E552)*(E553=E$2:E552)))))</f>
        <v/>
      </c>
      <c r="J553" s="25" t="str">
        <f ca="1">IF(OR(E553="",E553="!!!",F553="NEW"),"",COUNTBLANK(OFFSET(A$1,,,SUMPRODUCT(MAX(ROW(E$2:E553)*(E553=E$2:E553)))))-COUNTBLANK(OFFSET(A$1,,,SUMPRODUCT(MAX(ROW(E$1:E552)*(E2=E$1:E552))))))</f>
        <v/>
      </c>
      <c r="K553" s="25" t="str">
        <f>IF(OR(E553="",E553="!!!",F553="NEW"),"",INDEX(J$1:J552,SUMPRODUCT(MAX(ROW(E$1:E552)*(E553=E$1:E552)))))</f>
        <v/>
      </c>
      <c r="L553" s="26"/>
    </row>
    <row r="554" spans="1:12" x14ac:dyDescent="0.3">
      <c r="A554" t="s">
        <v>413</v>
      </c>
      <c r="E554" s="21" t="str">
        <f t="shared" si="38"/>
        <v/>
      </c>
      <c r="F554" s="22" t="str">
        <f>IF(OR(E554="",E554="!!!"),"",IF(NOT(ISNA(VLOOKUP(E554,E$1:E553,1,FALSE()))),"OLD",IF(AND(E554&lt;&gt;"",E554&lt;&gt;"!!!"),"NEW","")))</f>
        <v/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4" t="str">
        <f t="shared" ca="1" si="39"/>
        <v/>
      </c>
      <c r="I554" s="25" t="str">
        <f>IF(OR(E554="",E554="!!!",F554="NEW"),"",INDEX(B$2:B553,-1+SUMPRODUCT(MAX(ROW(E$2:E553)*(E554=E$2:E553)))))</f>
        <v/>
      </c>
      <c r="J554" s="25" t="str">
        <f ca="1">IF(OR(E554="",E554="!!!",F554="NEW"),"",COUNTBLANK(OFFSET(A$1,,,SUMPRODUCT(MAX(ROW(E$2:E554)*(E554=E$2:E554)))))-COUNTBLANK(OFFSET(A$1,,,SUMPRODUCT(MAX(ROW(E$1:E553)*(E2=E$1:E553))))))</f>
        <v/>
      </c>
      <c r="K554" s="25" t="str">
        <f>IF(OR(E554="",E554="!!!",F554="NEW"),"",INDEX(J$1:J553,SUMPRODUCT(MAX(ROW(E$1:E553)*(E554=E$1:E553)))))</f>
        <v/>
      </c>
      <c r="L554" s="26"/>
    </row>
    <row r="555" spans="1:12" x14ac:dyDescent="0.3">
      <c r="A555" t="s">
        <v>105</v>
      </c>
      <c r="E555" s="21" t="str">
        <f t="shared" si="38"/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39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120</v>
      </c>
      <c r="E556" s="21" t="str">
        <f t="shared" si="38"/>
        <v/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39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333</v>
      </c>
      <c r="E557" s="21" t="str">
        <f t="shared" si="38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39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8" spans="1:12" x14ac:dyDescent="0.3">
      <c r="A558" t="s">
        <v>414</v>
      </c>
      <c r="B558" s="20" t="s">
        <v>187</v>
      </c>
      <c r="C558" s="20" t="s">
        <v>177</v>
      </c>
      <c r="E558" s="21" t="str">
        <f t="shared" si="38"/>
        <v/>
      </c>
      <c r="F558" s="22" t="str">
        <f>IF(OR(E558="",E558="!!!"),"",IF(NOT(ISNA(VLOOKUP(E558,E$1:E557,1,FALSE()))),"OLD",IF(AND(E558&lt;&gt;"",E558&lt;&gt;"!!!"),"NEW","")))</f>
        <v/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t="shared" ca="1" si="39"/>
        <v/>
      </c>
      <c r="I558" s="25" t="str">
        <f>IF(OR(E558="",E558="!!!",F558="NEW"),"",INDEX(B$2:B557,-1+SUMPRODUCT(MAX(ROW(E$2:E557)*(E558=E$2:E557)))))</f>
        <v/>
      </c>
      <c r="J558" s="25" t="str">
        <f ca="1">IF(OR(E558="",E558="!!!",F558="NEW"),"",COUNTBLANK(OFFSET(A$1,,,SUMPRODUCT(MAX(ROW(E$2:E558)*(E558=E$2:E558)))))-COUNTBLANK(OFFSET(A$1,,,SUMPRODUCT(MAX(ROW(E$1:E557)*(E2=E$1:E557))))))</f>
        <v/>
      </c>
      <c r="K558" s="25" t="str">
        <f>IF(OR(E558="",E558="!!!",F558="NEW"),"",INDEX(J$1:J557,SUMPRODUCT(MAX(ROW(E$1:E557)*(E558=E$1:E557)))))</f>
        <v/>
      </c>
      <c r="L558" s="26"/>
    </row>
    <row r="559" spans="1:12" x14ac:dyDescent="0.3">
      <c r="A559" t="s">
        <v>294</v>
      </c>
      <c r="E559" s="21" t="str">
        <f t="shared" si="38"/>
        <v/>
      </c>
      <c r="F559" s="22" t="str">
        <f>IF(OR(E559="",E559="!!!"),"",IF(NOT(ISNA(VLOOKUP(E559,E$1:E558,1,FALSE()))),"OLD",IF(AND(E559&lt;&gt;"",E559&lt;&gt;"!!!"),"NEW","")))</f>
        <v/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t="shared" ca="1" si="39"/>
        <v/>
      </c>
      <c r="I559" s="25" t="str">
        <f>IF(OR(E559="",E559="!!!",F559="NEW"),"",INDEX(B$2:B558,-1+SUMPRODUCT(MAX(ROW(E$2:E558)*(E559=E$2:E558)))))</f>
        <v/>
      </c>
      <c r="J559" s="25" t="str">
        <f ca="1">IF(OR(E559="",E559="!!!",F559="NEW"),"",COUNTBLANK(OFFSET(A$1,,,SUMPRODUCT(MAX(ROW(E$2:E559)*(E559=E$2:E559)))))-COUNTBLANK(OFFSET(A$1,,,SUMPRODUCT(MAX(ROW(E$1:E558)*(E2=E$1:E558))))))</f>
        <v/>
      </c>
      <c r="K559" s="25" t="str">
        <f>IF(OR(E559="",E559="!!!",F559="NEW"),"",INDEX(J$1:J558,SUMPRODUCT(MAX(ROW(E$1:E558)*(E559=E$1:E558)))))</f>
        <v/>
      </c>
      <c r="L559" s="26"/>
    </row>
    <row r="560" spans="1:12" x14ac:dyDescent="0.3">
      <c r="A560" t="s">
        <v>415</v>
      </c>
      <c r="B560" s="20" t="s">
        <v>114</v>
      </c>
      <c r="C560" s="20" t="s">
        <v>119</v>
      </c>
      <c r="E560" s="21" t="str">
        <f t="shared" si="38"/>
        <v/>
      </c>
      <c r="F560" s="22" t="str">
        <f>IF(OR(E560="",E560="!!!"),"",IF(NOT(ISNA(VLOOKUP(E560,E$1:E559,1,FALSE()))),"OLD",IF(AND(E560&lt;&gt;"",E560&lt;&gt;"!!!"),"NEW","")))</f>
        <v/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4" t="str">
        <f t="shared" ca="1" si="39"/>
        <v/>
      </c>
      <c r="I560" s="25" t="str">
        <f>IF(OR(E560="",E560="!!!",F560="NEW"),"",INDEX(B$2:B559,-1+SUMPRODUCT(MAX(ROW(E$2:E559)*(E560=E$2:E559)))))</f>
        <v/>
      </c>
      <c r="J560" s="25" t="str">
        <f ca="1">IF(OR(E560="",E560="!!!",F560="NEW"),"",COUNTBLANK(OFFSET(A$1,,,SUMPRODUCT(MAX(ROW(E$2:E560)*(E560=E$2:E560)))))-COUNTBLANK(OFFSET(A$1,,,SUMPRODUCT(MAX(ROW(E$1:E559)*(E2=E$1:E559))))))</f>
        <v/>
      </c>
      <c r="K560" s="25" t="str">
        <f>IF(OR(E560="",E560="!!!",F560="NEW"),"",INDEX(J$1:J559,SUMPRODUCT(MAX(ROW(E$1:E559)*(E560=E$1:E559)))))</f>
        <v/>
      </c>
      <c r="L560" s="26"/>
    </row>
    <row r="561" spans="1:12" x14ac:dyDescent="0.3">
      <c r="A561" t="s">
        <v>416</v>
      </c>
      <c r="E561" s="21" t="str">
        <f t="shared" si="38"/>
        <v/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ca="1" si="39"/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105</v>
      </c>
      <c r="E562" s="21" t="str">
        <f t="shared" si="38"/>
        <v/>
      </c>
      <c r="F562" s="22" t="str">
        <f>IF(OR(E562="",E562="!!!"),"",IF(NOT(ISNA(VLOOKUP(E562,E$1:E561,1,FALSE()))),"OLD",IF(AND(E562&lt;&gt;"",E562&lt;&gt;"!!!"),"NEW","")))</f>
        <v/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4" t="str">
        <f t="shared" ca="1" si="39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/>
    </row>
    <row r="563" spans="1:12" x14ac:dyDescent="0.3">
      <c r="A563" t="s">
        <v>103</v>
      </c>
      <c r="E563" s="21" t="str">
        <f t="shared" si="38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39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417</v>
      </c>
      <c r="E564" s="21" t="str">
        <f t="shared" si="38"/>
        <v/>
      </c>
      <c r="F564" s="22" t="str">
        <f>IF(OR(E564="",E564="!!!"),"",IF(NOT(ISNA(VLOOKUP(E564,E$1:E563,1,FALSE()))),"OLD",IF(AND(E564&lt;&gt;"",E564&lt;&gt;"!!!"),"NEW","")))</f>
        <v/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t="shared" ca="1" si="39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418</v>
      </c>
      <c r="E565" s="21" t="str">
        <f t="shared" si="38"/>
        <v/>
      </c>
      <c r="F565" s="22" t="str">
        <f>IF(OR(E565="",E565="!!!"),"",IF(NOT(ISNA(VLOOKUP(E565,E$1:E564,1,FALSE()))),"OLD",IF(AND(E565&lt;&gt;"",E565&lt;&gt;"!!!"),"NEW","")))</f>
        <v/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39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124</v>
      </c>
      <c r="E566" s="21" t="str">
        <f t="shared" si="38"/>
        <v/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39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331</v>
      </c>
      <c r="E567" s="21" t="str">
        <f t="shared" si="38"/>
        <v/>
      </c>
      <c r="F567" s="22" t="str">
        <f>IF(OR(E567="",E567="!!!"),"",IF(NOT(ISNA(VLOOKUP(E567,E$1:E566,1,FALSE()))),"OLD",IF(AND(E567&lt;&gt;"",E567&lt;&gt;"!!!"),"NEW","")))</f>
        <v/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4" t="str">
        <f t="shared" ca="1" si="39"/>
        <v/>
      </c>
      <c r="I567" s="25" t="str">
        <f>IF(OR(E567="",E567="!!!",F567="NEW"),"",INDEX(B$2:B566,-1+SUMPRODUCT(MAX(ROW(E$2:E566)*(E567=E$2:E566)))))</f>
        <v/>
      </c>
      <c r="J567" s="25" t="str">
        <f ca="1">IF(OR(E567="",E567="!!!",F567="NEW"),"",COUNTBLANK(OFFSET(A$1,,,SUMPRODUCT(MAX(ROW(E$2:E567)*(E567=E$2:E567)))))-COUNTBLANK(OFFSET(A$1,,,SUMPRODUCT(MAX(ROW(E$1:E566)*(E2=E$1:E566))))))</f>
        <v/>
      </c>
      <c r="K567" s="25" t="str">
        <f>IF(OR(E567="",E567="!!!",F567="NEW"),"",INDEX(J$1:J566,SUMPRODUCT(MAX(ROW(E$1:E566)*(E567=E$1:E566)))))</f>
        <v/>
      </c>
      <c r="L567" s="26"/>
    </row>
    <row r="569" spans="1:12" x14ac:dyDescent="0.3">
      <c r="A569" t="s">
        <v>419</v>
      </c>
    </row>
    <row r="570" spans="1:12" x14ac:dyDescent="0.3">
      <c r="A570" t="s">
        <v>354</v>
      </c>
      <c r="E570" s="21" t="str">
        <f t="shared" ref="E570:E586" si="40">IF(D570="?OLD","!!!","")</f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ref="H570:H586" ca="1" si="41">IF(J570&lt;&gt;1,"",IF(I570="SBJ","CB","?"))</f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1" spans="1:12" x14ac:dyDescent="0.3">
      <c r="A571" t="s">
        <v>420</v>
      </c>
      <c r="B571" s="20" t="s">
        <v>113</v>
      </c>
      <c r="C571" s="20" t="s">
        <v>119</v>
      </c>
      <c r="E571" s="21" t="str">
        <f t="shared" si="40"/>
        <v/>
      </c>
      <c r="F571" s="22" t="str">
        <f>IF(OR(E571="",E571="!!!"),"",IF(NOT(ISNA(VLOOKUP(E571,E$1:E570,1,FALSE()))),"OLD",IF(AND(E571&lt;&gt;"",E571&lt;&gt;"!!!"),"NEW","")))</f>
        <v/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4" t="str">
        <f t="shared" ca="1" si="41"/>
        <v/>
      </c>
      <c r="I571" s="25" t="str">
        <f>IF(OR(E571="",E571="!!!",F571="NEW"),"",INDEX(B$2:B570,-1+SUMPRODUCT(MAX(ROW(E$2:E570)*(E571=E$2:E570)))))</f>
        <v/>
      </c>
      <c r="J571" s="25" t="str">
        <f ca="1">IF(OR(E571="",E571="!!!",F571="NEW"),"",COUNTBLANK(OFFSET(A$1,,,SUMPRODUCT(MAX(ROW(E$2:E571)*(E571=E$2:E571)))))-COUNTBLANK(OFFSET(A$1,,,SUMPRODUCT(MAX(ROW(E$1:E570)*(E2=E$1:E570))))))</f>
        <v/>
      </c>
      <c r="K571" s="25" t="str">
        <f>IF(OR(E571="",E571="!!!",F571="NEW"),"",INDEX(J$1:J570,SUMPRODUCT(MAX(ROW(E$1:E570)*(E571=E$1:E570)))))</f>
        <v/>
      </c>
      <c r="L571" s="26"/>
    </row>
    <row r="572" spans="1:12" x14ac:dyDescent="0.3">
      <c r="A572" t="s">
        <v>356</v>
      </c>
      <c r="E572" s="21" t="str">
        <f t="shared" si="40"/>
        <v/>
      </c>
      <c r="F572" s="22" t="str">
        <f>IF(OR(E572="",E572="!!!"),"",IF(NOT(ISNA(VLOOKUP(E572,E$1:E571,1,FALSE()))),"OLD",IF(AND(E572&lt;&gt;"",E572&lt;&gt;"!!!"),"NEW","")))</f>
        <v/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4" t="str">
        <f t="shared" ca="1" si="41"/>
        <v/>
      </c>
      <c r="I572" s="25" t="str">
        <f>IF(OR(E572="",E572="!!!",F572="NEW"),"",INDEX(B$2:B571,-1+SUMPRODUCT(MAX(ROW(E$2:E571)*(E572=E$2:E571)))))</f>
        <v/>
      </c>
      <c r="J572" s="25" t="str">
        <f ca="1">IF(OR(E572="",E572="!!!",F572="NEW"),"",COUNTBLANK(OFFSET(A$1,,,SUMPRODUCT(MAX(ROW(E$2:E572)*(E572=E$2:E572)))))-COUNTBLANK(OFFSET(A$1,,,SUMPRODUCT(MAX(ROW(E$1:E571)*(E2=E$1:E571))))))</f>
        <v/>
      </c>
      <c r="K572" s="25" t="str">
        <f>IF(OR(E572="",E572="!!!",F572="NEW"),"",INDEX(J$1:J571,SUMPRODUCT(MAX(ROW(E$1:E571)*(E572=E$1:E571)))))</f>
        <v/>
      </c>
      <c r="L572" s="26"/>
    </row>
    <row r="573" spans="1:12" x14ac:dyDescent="0.3">
      <c r="A573" t="s">
        <v>421</v>
      </c>
      <c r="B573" s="20" t="s">
        <v>128</v>
      </c>
      <c r="C573" s="20" t="s">
        <v>119</v>
      </c>
      <c r="E573" s="21" t="str">
        <f t="shared" si="40"/>
        <v/>
      </c>
      <c r="F573" s="22" t="str">
        <f>IF(OR(E573="",E573="!!!"),"",IF(NOT(ISNA(VLOOKUP(E573,E$1:E572,1,FALSE()))),"OLD",IF(AND(E573&lt;&gt;"",E573&lt;&gt;"!!!"),"NEW","")))</f>
        <v/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4" t="str">
        <f t="shared" ca="1" si="41"/>
        <v/>
      </c>
      <c r="I573" s="25" t="str">
        <f>IF(OR(E573="",E573="!!!",F573="NEW"),"",INDEX(B$2:B572,-1+SUMPRODUCT(MAX(ROW(E$2:E572)*(E573=E$2:E572)))))</f>
        <v/>
      </c>
      <c r="J573" s="25" t="str">
        <f ca="1">IF(OR(E573="",E573="!!!",F573="NEW"),"",COUNTBLANK(OFFSET(A$1,,,SUMPRODUCT(MAX(ROW(E$2:E573)*(E573=E$2:E573)))))-COUNTBLANK(OFFSET(A$1,,,SUMPRODUCT(MAX(ROW(E$1:E572)*(E2=E$1:E572))))))</f>
        <v/>
      </c>
      <c r="K573" s="25" t="str">
        <f>IF(OR(E573="",E573="!!!",F573="NEW"),"",INDEX(J$1:J572,SUMPRODUCT(MAX(ROW(E$1:E572)*(E573=E$1:E572)))))</f>
        <v/>
      </c>
      <c r="L573" s="26"/>
    </row>
    <row r="574" spans="1:12" x14ac:dyDescent="0.3">
      <c r="A574" t="s">
        <v>198</v>
      </c>
      <c r="E574" s="21" t="str">
        <f t="shared" si="40"/>
        <v/>
      </c>
      <c r="F574" s="22" t="str">
        <f>IF(OR(E574="",E574="!!!"),"",IF(NOT(ISNA(VLOOKUP(E574,E$1:E573,1,FALSE()))),"OLD",IF(AND(E574&lt;&gt;"",E574&lt;&gt;"!!!"),"NEW","")))</f>
        <v/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4" t="str">
        <f t="shared" ca="1" si="41"/>
        <v/>
      </c>
      <c r="I574" s="25" t="str">
        <f>IF(OR(E574="",E574="!!!",F574="NEW"),"",INDEX(B$2:B573,-1+SUMPRODUCT(MAX(ROW(E$2:E573)*(E574=E$2:E573)))))</f>
        <v/>
      </c>
      <c r="J574" s="25" t="str">
        <f ca="1">IF(OR(E574="",E574="!!!",F574="NEW"),"",COUNTBLANK(OFFSET(A$1,,,SUMPRODUCT(MAX(ROW(E$2:E574)*(E574=E$2:E574)))))-COUNTBLANK(OFFSET(A$1,,,SUMPRODUCT(MAX(ROW(E$1:E573)*(E2=E$1:E573))))))</f>
        <v/>
      </c>
      <c r="K574" s="25" t="str">
        <f>IF(OR(E574="",E574="!!!",F574="NEW"),"",INDEX(J$1:J573,SUMPRODUCT(MAX(ROW(E$1:E573)*(E574=E$1:E573)))))</f>
        <v/>
      </c>
      <c r="L574" s="26"/>
    </row>
    <row r="575" spans="1:12" x14ac:dyDescent="0.3">
      <c r="A575" t="s">
        <v>422</v>
      </c>
      <c r="B575" s="20" t="s">
        <v>128</v>
      </c>
      <c r="C575" s="20" t="s">
        <v>119</v>
      </c>
      <c r="E575" s="21" t="str">
        <f t="shared" si="40"/>
        <v/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ca="1" si="41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423</v>
      </c>
      <c r="B576" s="20" t="s">
        <v>146</v>
      </c>
      <c r="C576" s="20" t="s">
        <v>177</v>
      </c>
      <c r="E576" s="21" t="str">
        <f t="shared" si="40"/>
        <v/>
      </c>
      <c r="F576" s="22" t="str">
        <f>IF(OR(E576="",E576="!!!"),"",IF(NOT(ISNA(VLOOKUP(E576,E$1:E575,1,FALSE()))),"OLD",IF(AND(E576&lt;&gt;"",E576&lt;&gt;"!!!"),"NEW","")))</f>
        <v/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t="shared" ca="1" si="41"/>
        <v/>
      </c>
      <c r="I576" s="25" t="str">
        <f>IF(OR(E576="",E576="!!!",F576="NEW"),"",INDEX(B$2:B575,-1+SUMPRODUCT(MAX(ROW(E$2:E575)*(E576=E$2:E575)))))</f>
        <v/>
      </c>
      <c r="J576" s="25" t="str">
        <f ca="1">IF(OR(E576="",E576="!!!",F576="NEW"),"",COUNTBLANK(OFFSET(A$1,,,SUMPRODUCT(MAX(ROW(E$2:E576)*(E576=E$2:E576)))))-COUNTBLANK(OFFSET(A$1,,,SUMPRODUCT(MAX(ROW(E$1:E575)*(E2=E$1:E575))))))</f>
        <v/>
      </c>
      <c r="K576" s="25" t="str">
        <f>IF(OR(E576="",E576="!!!",F576="NEW"),"",INDEX(J$1:J575,SUMPRODUCT(MAX(ROW(E$1:E575)*(E576=E$1:E575)))))</f>
        <v/>
      </c>
      <c r="L576" s="26"/>
    </row>
    <row r="577" spans="1:12" x14ac:dyDescent="0.3">
      <c r="A577" t="s">
        <v>348</v>
      </c>
      <c r="B577" s="20" t="s">
        <v>113</v>
      </c>
      <c r="C577" s="20" t="s">
        <v>164</v>
      </c>
      <c r="D577" s="20" t="s">
        <v>95</v>
      </c>
      <c r="E577" s="21" t="str">
        <f t="shared" si="40"/>
        <v>!!!</v>
      </c>
      <c r="F577" s="22" t="str">
        <f>IF(OR(E577="",E577="!!!"),"",IF(NOT(ISNA(VLOOKUP(E577,E$1:E576,1,FALSE()))),"OLD",IF(AND(E577&lt;&gt;"",E577&lt;&gt;"!!!"),"NEW","")))</f>
        <v/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4" t="str">
        <f t="shared" ca="1" si="41"/>
        <v/>
      </c>
      <c r="I577" s="25" t="str">
        <f>IF(OR(E577="",E577="!!!",F577="NEW"),"",INDEX(B$2:B576,-1+SUMPRODUCT(MAX(ROW(E$2:E576)*(E577=E$2:E576)))))</f>
        <v/>
      </c>
      <c r="J577" s="25" t="str">
        <f ca="1">IF(OR(E577="",E577="!!!",F577="NEW"),"",COUNTBLANK(OFFSET(A$1,,,SUMPRODUCT(MAX(ROW(E$2:E577)*(E577=E$2:E577)))))-COUNTBLANK(OFFSET(A$1,,,SUMPRODUCT(MAX(ROW(E$1:E576)*(E2=E$1:E576))))))</f>
        <v/>
      </c>
      <c r="K577" s="25" t="str">
        <f>IF(OR(E577="",E577="!!!",F577="NEW"),"",INDEX(J$1:J576,SUMPRODUCT(MAX(ROW(E$1:E576)*(E577=E$1:E576)))))</f>
        <v/>
      </c>
      <c r="L577" s="26"/>
    </row>
    <row r="578" spans="1:12" x14ac:dyDescent="0.3">
      <c r="A578" t="s">
        <v>424</v>
      </c>
      <c r="B578" s="20" t="s">
        <v>128</v>
      </c>
      <c r="C578" s="20" t="s">
        <v>425</v>
      </c>
      <c r="D578" s="20" t="s">
        <v>95</v>
      </c>
      <c r="E578" s="21" t="str">
        <f t="shared" si="40"/>
        <v>!!!</v>
      </c>
      <c r="F578" s="22" t="str">
        <f>IF(OR(E578="",E578="!!!"),"",IF(NOT(ISNA(VLOOKUP(E578,E$1:E577,1,FALSE()))),"OLD",IF(AND(E578&lt;&gt;"",E578&lt;&gt;"!!!"),"NEW","")))</f>
        <v/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t="shared" ca="1" si="41"/>
        <v/>
      </c>
      <c r="I578" s="25" t="str">
        <f>IF(OR(E578="",E578="!!!",F578="NEW"),"",INDEX(B$2:B577,-1+SUMPRODUCT(MAX(ROW(E$2:E577)*(E578=E$2:E577)))))</f>
        <v/>
      </c>
      <c r="J578" s="25" t="str">
        <f ca="1">IF(OR(E578="",E578="!!!",F578="NEW"),"",COUNTBLANK(OFFSET(A$1,,,SUMPRODUCT(MAX(ROW(E$2:E578)*(E578=E$2:E578)))))-COUNTBLANK(OFFSET(A$1,,,SUMPRODUCT(MAX(ROW(E$1:E577)*(E2=E$1:E577))))))</f>
        <v/>
      </c>
      <c r="K578" s="25" t="str">
        <f>IF(OR(E578="",E578="!!!",F578="NEW"),"",INDEX(J$1:J577,SUMPRODUCT(MAX(ROW(E$1:E577)*(E578=E$1:E577)))))</f>
        <v/>
      </c>
      <c r="L578" s="26"/>
    </row>
    <row r="579" spans="1:12" x14ac:dyDescent="0.3">
      <c r="A579" t="s">
        <v>426</v>
      </c>
      <c r="E579" s="21" t="str">
        <f t="shared" si="40"/>
        <v/>
      </c>
      <c r="F579" s="22" t="str">
        <f>IF(OR(E579="",E579="!!!"),"",IF(NOT(ISNA(VLOOKUP(E579,E$1:E578,1,FALSE()))),"OLD",IF(AND(E579&lt;&gt;"",E579&lt;&gt;"!!!"),"NEW","")))</f>
        <v/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4" t="str">
        <f t="shared" ca="1" si="41"/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0" spans="1:12" x14ac:dyDescent="0.3">
      <c r="A580" t="s">
        <v>105</v>
      </c>
      <c r="E580" s="21" t="str">
        <f t="shared" si="40"/>
        <v/>
      </c>
      <c r="F580" s="22" t="str">
        <f>IF(OR(E580="",E580="!!!"),"",IF(NOT(ISNA(VLOOKUP(E580,E$1:E579,1,FALSE()))),"OLD",IF(AND(E580&lt;&gt;"",E580&lt;&gt;"!!!"),"NEW","")))</f>
        <v/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t="shared" ca="1" si="41"/>
        <v/>
      </c>
      <c r="I580" s="25" t="str">
        <f>IF(OR(E580="",E580="!!!",F580="NEW"),"",INDEX(B$2:B579,-1+SUMPRODUCT(MAX(ROW(E$2:E579)*(E580=E$2:E579)))))</f>
        <v/>
      </c>
      <c r="J580" s="25" t="str">
        <f ca="1">IF(OR(E580="",E580="!!!",F580="NEW"),"",COUNTBLANK(OFFSET(A$1,,,SUMPRODUCT(MAX(ROW(E$2:E580)*(E580=E$2:E580)))))-COUNTBLANK(OFFSET(A$1,,,SUMPRODUCT(MAX(ROW(E$1:E579)*(E2=E$1:E579))))))</f>
        <v/>
      </c>
      <c r="K580" s="25" t="str">
        <f>IF(OR(E580="",E580="!!!",F580="NEW"),"",INDEX(J$1:J579,SUMPRODUCT(MAX(ROW(E$1:E579)*(E580=E$1:E579)))))</f>
        <v/>
      </c>
      <c r="L580" s="26"/>
    </row>
    <row r="581" spans="1:12" x14ac:dyDescent="0.3">
      <c r="A581" t="s">
        <v>270</v>
      </c>
      <c r="E581" s="21" t="str">
        <f t="shared" si="40"/>
        <v/>
      </c>
      <c r="F581" s="22" t="str">
        <f>IF(OR(E581="",E581="!!!"),"",IF(NOT(ISNA(VLOOKUP(E581,E$1:E580,1,FALSE()))),"OLD",IF(AND(E581&lt;&gt;"",E581&lt;&gt;"!!!"),"NEW","")))</f>
        <v/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4" t="str">
        <f t="shared" ca="1" si="41"/>
        <v/>
      </c>
      <c r="I581" s="25" t="str">
        <f>IF(OR(E581="",E581="!!!",F581="NEW"),"",INDEX(B$2:B580,-1+SUMPRODUCT(MAX(ROW(E$2:E580)*(E581=E$2:E580)))))</f>
        <v/>
      </c>
      <c r="J581" s="25" t="str">
        <f ca="1">IF(OR(E581="",E581="!!!",F581="NEW"),"",COUNTBLANK(OFFSET(A$1,,,SUMPRODUCT(MAX(ROW(E$2:E581)*(E581=E$2:E581)))))-COUNTBLANK(OFFSET(A$1,,,SUMPRODUCT(MAX(ROW(E$1:E580)*(E2=E$1:E580))))))</f>
        <v/>
      </c>
      <c r="K581" s="25" t="str">
        <f>IF(OR(E581="",E581="!!!",F581="NEW"),"",INDEX(J$1:J580,SUMPRODUCT(MAX(ROW(E$1:E580)*(E581=E$1:E580)))))</f>
        <v/>
      </c>
      <c r="L581" s="26"/>
    </row>
    <row r="582" spans="1:12" x14ac:dyDescent="0.3">
      <c r="A582" t="s">
        <v>427</v>
      </c>
      <c r="E582" s="21" t="str">
        <f t="shared" si="40"/>
        <v/>
      </c>
      <c r="F582" s="22" t="str">
        <f>IF(OR(E582="",E582="!!!"),"",IF(NOT(ISNA(VLOOKUP(E582,E$1:E581,1,FALSE()))),"OLD",IF(AND(E582&lt;&gt;"",E582&lt;&gt;"!!!"),"NEW","")))</f>
        <v/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4" t="str">
        <f t="shared" ca="1" si="41"/>
        <v/>
      </c>
      <c r="I582" s="25" t="str">
        <f>IF(OR(E582="",E582="!!!",F582="NEW"),"",INDEX(B$2:B581,-1+SUMPRODUCT(MAX(ROW(E$2:E581)*(E582=E$2:E581)))))</f>
        <v/>
      </c>
      <c r="J582" s="25" t="str">
        <f ca="1">IF(OR(E582="",E582="!!!",F582="NEW"),"",COUNTBLANK(OFFSET(A$1,,,SUMPRODUCT(MAX(ROW(E$2:E582)*(E582=E$2:E582)))))-COUNTBLANK(OFFSET(A$1,,,SUMPRODUCT(MAX(ROW(E$1:E581)*(E2=E$1:E581))))))</f>
        <v/>
      </c>
      <c r="K582" s="25" t="str">
        <f>IF(OR(E582="",E582="!!!",F582="NEW"),"",INDEX(J$1:J581,SUMPRODUCT(MAX(ROW(E$1:E581)*(E582=E$1:E581)))))</f>
        <v/>
      </c>
      <c r="L582" s="26"/>
    </row>
    <row r="583" spans="1:12" x14ac:dyDescent="0.3">
      <c r="A583" t="s">
        <v>428</v>
      </c>
      <c r="B583" s="20" t="s">
        <v>176</v>
      </c>
      <c r="C583" s="20" t="s">
        <v>111</v>
      </c>
      <c r="E583" s="21" t="str">
        <f t="shared" si="40"/>
        <v/>
      </c>
      <c r="F583" s="22" t="str">
        <f>IF(OR(E583="",E583="!!!"),"",IF(NOT(ISNA(VLOOKUP(E583,E$1:E582,1,FALSE()))),"OLD",IF(AND(E583&lt;&gt;"",E583&lt;&gt;"!!!"),"NEW","")))</f>
        <v/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ca="1" si="41"/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178</v>
      </c>
      <c r="E584" s="21" t="str">
        <f t="shared" si="40"/>
        <v/>
      </c>
      <c r="F584" s="22" t="str">
        <f>IF(OR(E584="",E584="!!!"),"",IF(NOT(ISNA(VLOOKUP(E584,E$1:E583,1,FALSE()))),"OLD",IF(AND(E584&lt;&gt;"",E584&lt;&gt;"!!!"),"NEW","")))</f>
        <v/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4" t="str">
        <f t="shared" ca="1" si="41"/>
        <v/>
      </c>
      <c r="I584" s="25" t="str">
        <f>IF(OR(E584="",E584="!!!",F584="NEW"),"",INDEX(B$2:B583,-1+SUMPRODUCT(MAX(ROW(E$2:E583)*(E584=E$2:E583)))))</f>
        <v/>
      </c>
      <c r="J584" s="25" t="str">
        <f ca="1">IF(OR(E584="",E584="!!!",F584="NEW"),"",COUNTBLANK(OFFSET(A$1,,,SUMPRODUCT(MAX(ROW(E$2:E584)*(E584=E$2:E584)))))-COUNTBLANK(OFFSET(A$1,,,SUMPRODUCT(MAX(ROW(E$1:E583)*(E2=E$1:E583))))))</f>
        <v/>
      </c>
      <c r="K584" s="25" t="str">
        <f>IF(OR(E584="",E584="!!!",F584="NEW"),"",INDEX(J$1:J583,SUMPRODUCT(MAX(ROW(E$1:E583)*(E584=E$1:E583)))))</f>
        <v/>
      </c>
      <c r="L584" s="26"/>
    </row>
    <row r="585" spans="1:12" x14ac:dyDescent="0.3">
      <c r="A585" t="s">
        <v>429</v>
      </c>
      <c r="E585" s="21" t="str">
        <f t="shared" si="40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41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124</v>
      </c>
      <c r="E586" s="21" t="str">
        <f t="shared" si="40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41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8" spans="1:12" x14ac:dyDescent="0.3">
      <c r="A588" t="s">
        <v>430</v>
      </c>
    </row>
    <row r="589" spans="1:12" x14ac:dyDescent="0.3">
      <c r="A589" t="s">
        <v>158</v>
      </c>
      <c r="B589" s="20" t="s">
        <v>99</v>
      </c>
      <c r="C589" s="20" t="s">
        <v>159</v>
      </c>
      <c r="D589" s="20" t="s">
        <v>95</v>
      </c>
      <c r="E589" s="21" t="str">
        <f t="shared" ref="E589:E625" si="42">IF(D589="?OLD","!!!","")</f>
        <v>!!!</v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ref="H589:H625" ca="1" si="43">IF(J589&lt;&gt;1,"",IF(I589="SBJ","CB","?"))</f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431</v>
      </c>
      <c r="B590" s="20" t="s">
        <v>99</v>
      </c>
      <c r="C590" s="20" t="s">
        <v>119</v>
      </c>
      <c r="E590" s="21" t="str">
        <f t="shared" si="42"/>
        <v/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43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103</v>
      </c>
      <c r="E591" s="21" t="str">
        <f t="shared" si="42"/>
        <v/>
      </c>
      <c r="F591" s="22" t="str">
        <f>IF(OR(E591="",E591="!!!"),"",IF(NOT(ISNA(VLOOKUP(E591,E$1:E590,1,FALSE()))),"OLD",IF(AND(E591&lt;&gt;"",E591&lt;&gt;"!!!"),"NEW","")))</f>
        <v/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4" t="str">
        <f t="shared" ca="1" si="43"/>
        <v/>
      </c>
      <c r="I591" s="25" t="str">
        <f>IF(OR(E591="",E591="!!!",F591="NEW"),"",INDEX(B$2:B590,-1+SUMPRODUCT(MAX(ROW(E$2:E590)*(E591=E$2:E590)))))</f>
        <v/>
      </c>
      <c r="J591" s="25" t="str">
        <f ca="1">IF(OR(E591="",E591="!!!",F591="NEW"),"",COUNTBLANK(OFFSET(A$1,,,SUMPRODUCT(MAX(ROW(E$2:E591)*(E591=E$2:E591)))))-COUNTBLANK(OFFSET(A$1,,,SUMPRODUCT(MAX(ROW(E$1:E590)*(E2=E$1:E590))))))</f>
        <v/>
      </c>
      <c r="K591" s="25" t="str">
        <f>IF(OR(E591="",E591="!!!",F591="NEW"),"",INDEX(J$1:J590,SUMPRODUCT(MAX(ROW(E$1:E590)*(E591=E$1:E590)))))</f>
        <v/>
      </c>
      <c r="L591" s="26"/>
    </row>
    <row r="592" spans="1:12" x14ac:dyDescent="0.3">
      <c r="A592" t="s">
        <v>432</v>
      </c>
      <c r="B592" s="20" t="s">
        <v>113</v>
      </c>
      <c r="C592" s="20" t="s">
        <v>159</v>
      </c>
      <c r="D592" s="20" t="s">
        <v>95</v>
      </c>
      <c r="E592" s="21" t="str">
        <f t="shared" si="42"/>
        <v>!!!</v>
      </c>
      <c r="F592" s="22" t="str">
        <f>IF(OR(E592="",E592="!!!"),"",IF(NOT(ISNA(VLOOKUP(E592,E$1:E591,1,FALSE()))),"OLD",IF(AND(E592&lt;&gt;"",E592&lt;&gt;"!!!"),"NEW","")))</f>
        <v/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4" t="str">
        <f t="shared" ca="1" si="43"/>
        <v/>
      </c>
      <c r="I592" s="25" t="str">
        <f>IF(OR(E592="",E592="!!!",F592="NEW"),"",INDEX(B$2:B591,-1+SUMPRODUCT(MAX(ROW(E$2:E591)*(E592=E$2:E591)))))</f>
        <v/>
      </c>
      <c r="J592" s="25" t="str">
        <f ca="1">IF(OR(E592="",E592="!!!",F592="NEW"),"",COUNTBLANK(OFFSET(A$1,,,SUMPRODUCT(MAX(ROW(E$2:E592)*(E592=E$2:E592)))))-COUNTBLANK(OFFSET(A$1,,,SUMPRODUCT(MAX(ROW(E$1:E591)*(E2=E$1:E591))))))</f>
        <v/>
      </c>
      <c r="K592" s="25" t="str">
        <f>IF(OR(E592="",E592="!!!",F592="NEW"),"",INDEX(J$1:J591,SUMPRODUCT(MAX(ROW(E$1:E591)*(E592=E$1:E591)))))</f>
        <v/>
      </c>
      <c r="L592" s="26"/>
    </row>
    <row r="593" spans="1:12" x14ac:dyDescent="0.3">
      <c r="A593" t="s">
        <v>433</v>
      </c>
      <c r="B593" s="20" t="s">
        <v>99</v>
      </c>
      <c r="C593" s="20" t="s">
        <v>119</v>
      </c>
      <c r="E593" s="21" t="str">
        <f t="shared" si="42"/>
        <v/>
      </c>
      <c r="F593" s="22" t="str">
        <f>IF(OR(E593="",E593="!!!"),"",IF(NOT(ISNA(VLOOKUP(E593,E$1:E592,1,FALSE()))),"OLD",IF(AND(E593&lt;&gt;"",E593&lt;&gt;"!!!"),"NEW","")))</f>
        <v/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4" t="str">
        <f t="shared" ca="1" si="43"/>
        <v/>
      </c>
      <c r="I593" s="25" t="str">
        <f>IF(OR(E593="",E593="!!!",F593="NEW"),"",INDEX(B$2:B592,-1+SUMPRODUCT(MAX(ROW(E$2:E592)*(E593=E$2:E592)))))</f>
        <v/>
      </c>
      <c r="J593" s="25" t="str">
        <f ca="1">IF(OR(E593="",E593="!!!",F593="NEW"),"",COUNTBLANK(OFFSET(A$1,,,SUMPRODUCT(MAX(ROW(E$2:E593)*(E593=E$2:E593)))))-COUNTBLANK(OFFSET(A$1,,,SUMPRODUCT(MAX(ROW(E$1:E592)*(E2=E$1:E592))))))</f>
        <v/>
      </c>
      <c r="K593" s="25" t="str">
        <f>IF(OR(E593="",E593="!!!",F593="NEW"),"",INDEX(J$1:J592,SUMPRODUCT(MAX(ROW(E$1:E592)*(E593=E$1:E592)))))</f>
        <v/>
      </c>
      <c r="L593" s="26"/>
    </row>
    <row r="594" spans="1:12" x14ac:dyDescent="0.3">
      <c r="A594" t="s">
        <v>127</v>
      </c>
      <c r="E594" s="21" t="str">
        <f t="shared" si="42"/>
        <v/>
      </c>
      <c r="F594" s="22" t="str">
        <f>IF(OR(E594="",E594="!!!"),"",IF(NOT(ISNA(VLOOKUP(E594,E$1:E593,1,FALSE()))),"OLD",IF(AND(E594&lt;&gt;"",E594&lt;&gt;"!!!"),"NEW","")))</f>
        <v/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4" t="str">
        <f t="shared" ca="1" si="43"/>
        <v/>
      </c>
      <c r="I594" s="25" t="str">
        <f>IF(OR(E594="",E594="!!!",F594="NEW"),"",INDEX(B$2:B593,-1+SUMPRODUCT(MAX(ROW(E$2:E593)*(E594=E$2:E593)))))</f>
        <v/>
      </c>
      <c r="J594" s="25" t="str">
        <f ca="1">IF(OR(E594="",E594="!!!",F594="NEW"),"",COUNTBLANK(OFFSET(A$1,,,SUMPRODUCT(MAX(ROW(E$2:E594)*(E594=E$2:E594)))))-COUNTBLANK(OFFSET(A$1,,,SUMPRODUCT(MAX(ROW(E$1:E593)*(E2=E$1:E593))))))</f>
        <v/>
      </c>
      <c r="K594" s="25" t="str">
        <f>IF(OR(E594="",E594="!!!",F594="NEW"),"",INDEX(J$1:J593,SUMPRODUCT(MAX(ROW(E$1:E593)*(E594=E$1:E593)))))</f>
        <v/>
      </c>
      <c r="L594" s="26"/>
    </row>
    <row r="595" spans="1:12" x14ac:dyDescent="0.3">
      <c r="A595" t="s">
        <v>264</v>
      </c>
      <c r="E595" s="21" t="str">
        <f t="shared" si="42"/>
        <v/>
      </c>
      <c r="F595" s="22" t="str">
        <f>IF(OR(E595="",E595="!!!"),"",IF(NOT(ISNA(VLOOKUP(E595,E$1:E594,1,FALSE()))),"OLD",IF(AND(E595&lt;&gt;"",E595&lt;&gt;"!!!"),"NEW","")))</f>
        <v/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t="shared" ca="1" si="43"/>
        <v/>
      </c>
      <c r="I595" s="25" t="str">
        <f>IF(OR(E595="",E595="!!!",F595="NEW"),"",INDEX(B$2:B594,-1+SUMPRODUCT(MAX(ROW(E$2:E594)*(E595=E$2:E594)))))</f>
        <v/>
      </c>
      <c r="J595" s="25" t="str">
        <f ca="1">IF(OR(E595="",E595="!!!",F595="NEW"),"",COUNTBLANK(OFFSET(A$1,,,SUMPRODUCT(MAX(ROW(E$2:E595)*(E595=E$2:E595)))))-COUNTBLANK(OFFSET(A$1,,,SUMPRODUCT(MAX(ROW(E$1:E594)*(E2=E$1:E594))))))</f>
        <v/>
      </c>
      <c r="K595" s="25" t="str">
        <f>IF(OR(E595="",E595="!!!",F595="NEW"),"",INDEX(J$1:J594,SUMPRODUCT(MAX(ROW(E$1:E594)*(E595=E$1:E594)))))</f>
        <v/>
      </c>
      <c r="L595" s="26"/>
    </row>
    <row r="596" spans="1:12" x14ac:dyDescent="0.3">
      <c r="A596" t="s">
        <v>105</v>
      </c>
      <c r="E596" s="21" t="str">
        <f t="shared" si="42"/>
        <v/>
      </c>
      <c r="F596" s="22" t="str">
        <f>IF(OR(E596="",E596="!!!"),"",IF(NOT(ISNA(VLOOKUP(E596,E$1:E595,1,FALSE()))),"OLD",IF(AND(E596&lt;&gt;"",E596&lt;&gt;"!!!"),"NEW","")))</f>
        <v/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4" t="str">
        <f t="shared" ca="1" si="43"/>
        <v/>
      </c>
      <c r="I596" s="25" t="str">
        <f>IF(OR(E596="",E596="!!!",F596="NEW"),"",INDEX(B$2:B595,-1+SUMPRODUCT(MAX(ROW(E$2:E595)*(E596=E$2:E595)))))</f>
        <v/>
      </c>
      <c r="J596" s="25" t="str">
        <f ca="1">IF(OR(E596="",E596="!!!",F596="NEW"),"",COUNTBLANK(OFFSET(A$1,,,SUMPRODUCT(MAX(ROW(E$2:E596)*(E596=E$2:E596)))))-COUNTBLANK(OFFSET(A$1,,,SUMPRODUCT(MAX(ROW(E$1:E595)*(E2=E$1:E595))))))</f>
        <v/>
      </c>
      <c r="K596" s="25" t="str">
        <f>IF(OR(E596="",E596="!!!",F596="NEW"),"",INDEX(J$1:J595,SUMPRODUCT(MAX(ROW(E$1:E595)*(E596=E$1:E595)))))</f>
        <v/>
      </c>
      <c r="L596" s="26"/>
    </row>
    <row r="597" spans="1:12" x14ac:dyDescent="0.3">
      <c r="A597" t="s">
        <v>182</v>
      </c>
      <c r="E597" s="21" t="str">
        <f t="shared" si="42"/>
        <v/>
      </c>
      <c r="F597" s="22" t="str">
        <f>IF(OR(E597="",E597="!!!"),"",IF(NOT(ISNA(VLOOKUP(E597,E$1:E596,1,FALSE()))),"OLD",IF(AND(E597&lt;&gt;"",E597&lt;&gt;"!!!"),"NEW","")))</f>
        <v/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t="shared" ca="1" si="43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213</v>
      </c>
      <c r="E598" s="21" t="str">
        <f t="shared" si="42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43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434</v>
      </c>
      <c r="B599" s="20" t="s">
        <v>93</v>
      </c>
      <c r="C599" s="20" t="s">
        <v>136</v>
      </c>
      <c r="D599" s="20" t="s">
        <v>95</v>
      </c>
      <c r="E599" s="21" t="str">
        <f t="shared" si="42"/>
        <v>!!!</v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43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103</v>
      </c>
      <c r="E600" s="21" t="str">
        <f t="shared" si="42"/>
        <v/>
      </c>
      <c r="F600" s="22" t="str">
        <f>IF(OR(E600="",E600="!!!"),"",IF(NOT(ISNA(VLOOKUP(E600,E$1:E599,1,FALSE()))),"OLD",IF(AND(E600&lt;&gt;"",E600&lt;&gt;"!!!"),"NEW","")))</f>
        <v/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4" t="str">
        <f t="shared" ca="1" si="43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435</v>
      </c>
      <c r="B601" s="20" t="s">
        <v>114</v>
      </c>
      <c r="C601" s="20" t="s">
        <v>119</v>
      </c>
      <c r="E601" s="21" t="str">
        <f t="shared" si="42"/>
        <v/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43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105</v>
      </c>
      <c r="E602" s="21" t="str">
        <f t="shared" si="42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43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213</v>
      </c>
      <c r="B603" s="20" t="s">
        <v>227</v>
      </c>
      <c r="E603" s="21" t="str">
        <f t="shared" si="42"/>
        <v/>
      </c>
      <c r="F603" s="22" t="str">
        <f>IF(OR(E603="",E603="!!!"),"",IF(NOT(ISNA(VLOOKUP(E603,E$1:E602,1,FALSE()))),"OLD",IF(AND(E603&lt;&gt;"",E603&lt;&gt;"!!!"),"NEW","")))</f>
        <v/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4" t="str">
        <f t="shared" ca="1" si="43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/>
    </row>
    <row r="604" spans="1:12" x14ac:dyDescent="0.3">
      <c r="A604" t="s">
        <v>193</v>
      </c>
      <c r="B604" s="20" t="s">
        <v>224</v>
      </c>
      <c r="C604" s="20" t="s">
        <v>164</v>
      </c>
      <c r="D604" s="20" t="s">
        <v>95</v>
      </c>
      <c r="E604" s="21" t="str">
        <f t="shared" si="42"/>
        <v>!!!</v>
      </c>
      <c r="F604" s="22" t="str">
        <f>IF(OR(E604="",E604="!!!"),"",IF(NOT(ISNA(VLOOKUP(E604,E$1:E603,1,FALSE()))),"OLD",IF(AND(E604&lt;&gt;"",E604&lt;&gt;"!!!"),"NEW","")))</f>
        <v/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4" t="str">
        <f t="shared" ca="1" si="43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97</v>
      </c>
      <c r="E605" s="21" t="str">
        <f t="shared" si="42"/>
        <v/>
      </c>
      <c r="F605" s="22" t="str">
        <f>IF(OR(E605="",E605="!!!"),"",IF(NOT(ISNA(VLOOKUP(E605,E$1:E604,1,FALSE()))),"OLD",IF(AND(E605&lt;&gt;"",E605&lt;&gt;"!!!"),"NEW","")))</f>
        <v/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4" t="str">
        <f t="shared" ca="1" si="43"/>
        <v/>
      </c>
      <c r="I605" s="25" t="str">
        <f>IF(OR(E605="",E605="!!!",F605="NEW"),"",INDEX(B$2:B604,-1+SUMPRODUCT(MAX(ROW(E$2:E604)*(E605=E$2:E604)))))</f>
        <v/>
      </c>
      <c r="J605" s="25" t="str">
        <f ca="1">IF(OR(E605="",E605="!!!",F605="NEW"),"",COUNTBLANK(OFFSET(A$1,,,SUMPRODUCT(MAX(ROW(E$2:E605)*(E605=E$2:E605)))))-COUNTBLANK(OFFSET(A$1,,,SUMPRODUCT(MAX(ROW(E$1:E604)*(E2=E$1:E604))))))</f>
        <v/>
      </c>
      <c r="K605" s="25" t="str">
        <f>IF(OR(E605="",E605="!!!",F605="NEW"),"",INDEX(J$1:J604,SUMPRODUCT(MAX(ROW(E$1:E604)*(E605=E$1:E604)))))</f>
        <v/>
      </c>
      <c r="L605" s="26"/>
    </row>
    <row r="606" spans="1:12" x14ac:dyDescent="0.3">
      <c r="A606" t="s">
        <v>401</v>
      </c>
      <c r="B606" s="20" t="s">
        <v>326</v>
      </c>
      <c r="C606" s="20" t="s">
        <v>159</v>
      </c>
      <c r="D606" s="20" t="s">
        <v>95</v>
      </c>
      <c r="E606" s="21" t="str">
        <f t="shared" si="42"/>
        <v>!!!</v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43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436</v>
      </c>
      <c r="B607" s="20" t="s">
        <v>184</v>
      </c>
      <c r="C607" s="20" t="s">
        <v>119</v>
      </c>
      <c r="E607" s="21" t="str">
        <f t="shared" si="42"/>
        <v/>
      </c>
      <c r="F607" s="22" t="str">
        <f>IF(OR(E607="",E607="!!!"),"",IF(NOT(ISNA(VLOOKUP(E607,E$1:E606,1,FALSE()))),"OLD",IF(AND(E607&lt;&gt;"",E607&lt;&gt;"!!!"),"NEW","")))</f>
        <v/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4" t="str">
        <f t="shared" ca="1" si="43"/>
        <v/>
      </c>
      <c r="I607" s="25" t="str">
        <f>IF(OR(E607="",E607="!!!",F607="NEW"),"",INDEX(B$2:B606,-1+SUMPRODUCT(MAX(ROW(E$2:E606)*(E607=E$2:E606)))))</f>
        <v/>
      </c>
      <c r="J607" s="25" t="str">
        <f ca="1">IF(OR(E607="",E607="!!!",F607="NEW"),"",COUNTBLANK(OFFSET(A$1,,,SUMPRODUCT(MAX(ROW(E$2:E607)*(E607=E$2:E607)))))-COUNTBLANK(OFFSET(A$1,,,SUMPRODUCT(MAX(ROW(E$1:E606)*(E2=E$1:E606))))))</f>
        <v/>
      </c>
      <c r="K607" s="25" t="str">
        <f>IF(OR(E607="",E607="!!!",F607="NEW"),"",INDEX(J$1:J606,SUMPRODUCT(MAX(ROW(E$1:E606)*(E607=E$1:E606)))))</f>
        <v/>
      </c>
      <c r="L607" s="26"/>
    </row>
    <row r="608" spans="1:12" x14ac:dyDescent="0.3">
      <c r="A608" t="s">
        <v>437</v>
      </c>
      <c r="E608" s="21" t="str">
        <f t="shared" si="42"/>
        <v/>
      </c>
      <c r="F608" s="22" t="str">
        <f>IF(OR(E608="",E608="!!!"),"",IF(NOT(ISNA(VLOOKUP(E608,E$1:E607,1,FALSE()))),"OLD",IF(AND(E608&lt;&gt;"",E608&lt;&gt;"!!!"),"NEW","")))</f>
        <v/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t="shared" ca="1" si="43"/>
        <v/>
      </c>
      <c r="I608" s="25" t="str">
        <f>IF(OR(E608="",E608="!!!",F608="NEW"),"",INDEX(B$2:B607,-1+SUMPRODUCT(MAX(ROW(E$2:E607)*(E608=E$2:E607)))))</f>
        <v/>
      </c>
      <c r="J608" s="25" t="str">
        <f ca="1">IF(OR(E608="",E608="!!!",F608="NEW"),"",COUNTBLANK(OFFSET(A$1,,,SUMPRODUCT(MAX(ROW(E$2:E608)*(E608=E$2:E608)))))-COUNTBLANK(OFFSET(A$1,,,SUMPRODUCT(MAX(ROW(E$1:E607)*(E2=E$1:E607))))))</f>
        <v/>
      </c>
      <c r="K608" s="25" t="str">
        <f>IF(OR(E608="",E608="!!!",F608="NEW"),"",INDEX(J$1:J607,SUMPRODUCT(MAX(ROW(E$1:E607)*(E608=E$1:E607)))))</f>
        <v/>
      </c>
      <c r="L608" s="26"/>
    </row>
    <row r="609" spans="1:12" x14ac:dyDescent="0.3">
      <c r="A609" t="s">
        <v>105</v>
      </c>
      <c r="E609" s="21" t="str">
        <f t="shared" si="42"/>
        <v/>
      </c>
      <c r="F609" s="22" t="str">
        <f>IF(OR(E609="",E609="!!!"),"",IF(NOT(ISNA(VLOOKUP(E609,E$1:E608,1,FALSE()))),"OLD",IF(AND(E609&lt;&gt;"",E609&lt;&gt;"!!!"),"NEW","")))</f>
        <v/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t="shared" ca="1" si="43"/>
        <v/>
      </c>
      <c r="I609" s="25" t="str">
        <f>IF(OR(E609="",E609="!!!",F609="NEW"),"",INDEX(B$2:B608,-1+SUMPRODUCT(MAX(ROW(E$2:E608)*(E609=E$2:E608)))))</f>
        <v/>
      </c>
      <c r="J609" s="25" t="str">
        <f ca="1">IF(OR(E609="",E609="!!!",F609="NEW"),"",COUNTBLANK(OFFSET(A$1,,,SUMPRODUCT(MAX(ROW(E$2:E609)*(E609=E$2:E609)))))-COUNTBLANK(OFFSET(A$1,,,SUMPRODUCT(MAX(ROW(E$1:E608)*(E2=E$1:E608))))))</f>
        <v/>
      </c>
      <c r="K609" s="25" t="str">
        <f>IF(OR(E609="",E609="!!!",F609="NEW"),"",INDEX(J$1:J608,SUMPRODUCT(MAX(ROW(E$1:E608)*(E609=E$1:E608)))))</f>
        <v/>
      </c>
      <c r="L609" s="26"/>
    </row>
    <row r="610" spans="1:12" x14ac:dyDescent="0.3">
      <c r="A610" t="s">
        <v>208</v>
      </c>
      <c r="E610" s="21" t="str">
        <f t="shared" si="42"/>
        <v/>
      </c>
      <c r="F610" s="22" t="str">
        <f>IF(OR(E610="",E610="!!!"),"",IF(NOT(ISNA(VLOOKUP(E610,E$1:E609,1,FALSE()))),"OLD",IF(AND(E610&lt;&gt;"",E610&lt;&gt;"!!!"),"NEW","")))</f>
        <v/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4" t="str">
        <f t="shared" ca="1" si="43"/>
        <v/>
      </c>
      <c r="I610" s="25" t="str">
        <f>IF(OR(E610="",E610="!!!",F610="NEW"),"",INDEX(B$2:B609,-1+SUMPRODUCT(MAX(ROW(E$2:E609)*(E610=E$2:E609)))))</f>
        <v/>
      </c>
      <c r="J610" s="25" t="str">
        <f ca="1">IF(OR(E610="",E610="!!!",F610="NEW"),"",COUNTBLANK(OFFSET(A$1,,,SUMPRODUCT(MAX(ROW(E$2:E610)*(E610=E$2:E610)))))-COUNTBLANK(OFFSET(A$1,,,SUMPRODUCT(MAX(ROW(E$1:E609)*(E2=E$1:E609))))))</f>
        <v/>
      </c>
      <c r="K610" s="25" t="str">
        <f>IF(OR(E610="",E610="!!!",F610="NEW"),"",INDEX(J$1:J609,SUMPRODUCT(MAX(ROW(E$1:E609)*(E610=E$1:E609)))))</f>
        <v/>
      </c>
      <c r="L610" s="26"/>
    </row>
    <row r="611" spans="1:12" x14ac:dyDescent="0.3">
      <c r="A611" t="s">
        <v>209</v>
      </c>
      <c r="E611" s="21" t="str">
        <f t="shared" si="42"/>
        <v/>
      </c>
      <c r="F611" s="22" t="str">
        <f>IF(OR(E611="",E611="!!!"),"",IF(NOT(ISNA(VLOOKUP(E611,E$1:E610,1,FALSE()))),"OLD",IF(AND(E611&lt;&gt;"",E611&lt;&gt;"!!!"),"NEW","")))</f>
        <v/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4" t="str">
        <f t="shared" ca="1" si="43"/>
        <v/>
      </c>
      <c r="I611" s="25" t="str">
        <f>IF(OR(E611="",E611="!!!",F611="NEW"),"",INDEX(B$2:B610,-1+SUMPRODUCT(MAX(ROW(E$2:E610)*(E611=E$2:E610)))))</f>
        <v/>
      </c>
      <c r="J611" s="25" t="str">
        <f ca="1">IF(OR(E611="",E611="!!!",F611="NEW"),"",COUNTBLANK(OFFSET(A$1,,,SUMPRODUCT(MAX(ROW(E$2:E611)*(E611=E$2:E611)))))-COUNTBLANK(OFFSET(A$1,,,SUMPRODUCT(MAX(ROW(E$1:E610)*(E2=E$1:E610))))))</f>
        <v/>
      </c>
      <c r="K611" s="25" t="str">
        <f>IF(OR(E611="",E611="!!!",F611="NEW"),"",INDEX(J$1:J610,SUMPRODUCT(MAX(ROW(E$1:E610)*(E611=E$1:E610)))))</f>
        <v/>
      </c>
      <c r="L611" s="26"/>
    </row>
    <row r="612" spans="1:12" x14ac:dyDescent="0.3">
      <c r="A612" t="s">
        <v>438</v>
      </c>
      <c r="E612" s="21" t="str">
        <f t="shared" si="42"/>
        <v/>
      </c>
      <c r="F612" s="22" t="str">
        <f>IF(OR(E612="",E612="!!!"),"",IF(NOT(ISNA(VLOOKUP(E612,E$1:E611,1,FALSE()))),"OLD",IF(AND(E612&lt;&gt;"",E612&lt;&gt;"!!!"),"NEW","")))</f>
        <v/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4" t="str">
        <f t="shared" ca="1" si="43"/>
        <v/>
      </c>
      <c r="I612" s="25" t="str">
        <f>IF(OR(E612="",E612="!!!",F612="NEW"),"",INDEX(B$2:B611,-1+SUMPRODUCT(MAX(ROW(E$2:E611)*(E612=E$2:E611)))))</f>
        <v/>
      </c>
      <c r="J612" s="25" t="str">
        <f ca="1">IF(OR(E612="",E612="!!!",F612="NEW"),"",COUNTBLANK(OFFSET(A$1,,,SUMPRODUCT(MAX(ROW(E$2:E612)*(E612=E$2:E612)))))-COUNTBLANK(OFFSET(A$1,,,SUMPRODUCT(MAX(ROW(E$1:E611)*(E2=E$1:E611))))))</f>
        <v/>
      </c>
      <c r="K612" s="25" t="str">
        <f>IF(OR(E612="",E612="!!!",F612="NEW"),"",INDEX(J$1:J611,SUMPRODUCT(MAX(ROW(E$1:E611)*(E612=E$1:E611)))))</f>
        <v/>
      </c>
      <c r="L612" s="26"/>
    </row>
    <row r="613" spans="1:12" x14ac:dyDescent="0.3">
      <c r="A613" t="s">
        <v>105</v>
      </c>
      <c r="E613" s="21" t="str">
        <f t="shared" si="42"/>
        <v/>
      </c>
      <c r="F613" s="22" t="str">
        <f>IF(OR(E613="",E613="!!!"),"",IF(NOT(ISNA(VLOOKUP(E613,E$1:E612,1,FALSE()))),"OLD",IF(AND(E613&lt;&gt;"",E613&lt;&gt;"!!!"),"NEW","")))</f>
        <v/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t="shared" ca="1" si="43"/>
        <v/>
      </c>
      <c r="I613" s="25" t="str">
        <f>IF(OR(E613="",E613="!!!",F613="NEW"),"",INDEX(B$2:B612,-1+SUMPRODUCT(MAX(ROW(E$2:E612)*(E613=E$2:E612)))))</f>
        <v/>
      </c>
      <c r="J613" s="25" t="str">
        <f ca="1">IF(OR(E613="",E613="!!!",F613="NEW"),"",COUNTBLANK(OFFSET(A$1,,,SUMPRODUCT(MAX(ROW(E$2:E613)*(E613=E$2:E613)))))-COUNTBLANK(OFFSET(A$1,,,SUMPRODUCT(MAX(ROW(E$1:E612)*(E2=E$1:E612))))))</f>
        <v/>
      </c>
      <c r="K613" s="25" t="str">
        <f>IF(OR(E613="",E613="!!!",F613="NEW"),"",INDEX(J$1:J612,SUMPRODUCT(MAX(ROW(E$1:E612)*(E613=E$1:E612)))))</f>
        <v/>
      </c>
      <c r="L613" s="26"/>
    </row>
    <row r="614" spans="1:12" x14ac:dyDescent="0.3">
      <c r="A614" t="s">
        <v>180</v>
      </c>
      <c r="E614" s="21" t="str">
        <f t="shared" si="42"/>
        <v/>
      </c>
      <c r="F614" s="22" t="str">
        <f>IF(OR(E614="",E614="!!!"),"",IF(NOT(ISNA(VLOOKUP(E614,E$1:E613,1,FALSE()))),"OLD",IF(AND(E614&lt;&gt;"",E614&lt;&gt;"!!!"),"NEW","")))</f>
        <v/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4" t="str">
        <f t="shared" ca="1" si="43"/>
        <v/>
      </c>
      <c r="I614" s="25" t="str">
        <f>IF(OR(E614="",E614="!!!",F614="NEW"),"",INDEX(B$2:B613,-1+SUMPRODUCT(MAX(ROW(E$2:E613)*(E614=E$2:E613)))))</f>
        <v/>
      </c>
      <c r="J614" s="25" t="str">
        <f ca="1">IF(OR(E614="",E614="!!!",F614="NEW"),"",COUNTBLANK(OFFSET(A$1,,,SUMPRODUCT(MAX(ROW(E$2:E614)*(E614=E$2:E614)))))-COUNTBLANK(OFFSET(A$1,,,SUMPRODUCT(MAX(ROW(E$1:E613)*(E2=E$1:E613))))))</f>
        <v/>
      </c>
      <c r="K614" s="25" t="str">
        <f>IF(OR(E614="",E614="!!!",F614="NEW"),"",INDEX(J$1:J613,SUMPRODUCT(MAX(ROW(E$1:E613)*(E614=E$1:E613)))))</f>
        <v/>
      </c>
      <c r="L614" s="26"/>
    </row>
    <row r="615" spans="1:12" x14ac:dyDescent="0.3">
      <c r="A615" t="s">
        <v>439</v>
      </c>
      <c r="E615" s="21" t="str">
        <f t="shared" si="42"/>
        <v/>
      </c>
      <c r="F615" s="22" t="str">
        <f>IF(OR(E615="",E615="!!!"),"",IF(NOT(ISNA(VLOOKUP(E615,E$1:E614,1,FALSE()))),"OLD",IF(AND(E615&lt;&gt;"",E615&lt;&gt;"!!!"),"NEW","")))</f>
        <v/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4" t="str">
        <f t="shared" ca="1" si="43"/>
        <v/>
      </c>
      <c r="I615" s="25" t="str">
        <f>IF(OR(E615="",E615="!!!",F615="NEW"),"",INDEX(B$2:B614,-1+SUMPRODUCT(MAX(ROW(E$2:E614)*(E615=E$2:E614)))))</f>
        <v/>
      </c>
      <c r="J615" s="25" t="str">
        <f ca="1">IF(OR(E615="",E615="!!!",F615="NEW"),"",COUNTBLANK(OFFSET(A$1,,,SUMPRODUCT(MAX(ROW(E$2:E615)*(E615=E$2:E615)))))-COUNTBLANK(OFFSET(A$1,,,SUMPRODUCT(MAX(ROW(E$1:E614)*(E2=E$1:E614))))))</f>
        <v/>
      </c>
      <c r="K615" s="25" t="str">
        <f>IF(OR(E615="",E615="!!!",F615="NEW"),"",INDEX(J$1:J614,SUMPRODUCT(MAX(ROW(E$1:E614)*(E615=E$1:E614)))))</f>
        <v/>
      </c>
      <c r="L615" s="26"/>
    </row>
    <row r="616" spans="1:12" x14ac:dyDescent="0.3">
      <c r="A616" t="s">
        <v>233</v>
      </c>
      <c r="B616" s="20" t="s">
        <v>214</v>
      </c>
      <c r="C616" s="20" t="s">
        <v>119</v>
      </c>
      <c r="E616" s="21" t="str">
        <f t="shared" si="42"/>
        <v/>
      </c>
      <c r="F616" s="22" t="str">
        <f>IF(OR(E616="",E616="!!!"),"",IF(NOT(ISNA(VLOOKUP(E616,E$1:E615,1,FALSE()))),"OLD",IF(AND(E616&lt;&gt;"",E616&lt;&gt;"!!!"),"NEW","")))</f>
        <v/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4" t="str">
        <f t="shared" ca="1" si="43"/>
        <v/>
      </c>
      <c r="I616" s="25" t="str">
        <f>IF(OR(E616="",E616="!!!",F616="NEW"),"",INDEX(B$2:B615,-1+SUMPRODUCT(MAX(ROW(E$2:E615)*(E616=E$2:E615)))))</f>
        <v/>
      </c>
      <c r="J616" s="25" t="str">
        <f ca="1">IF(OR(E616="",E616="!!!",F616="NEW"),"",COUNTBLANK(OFFSET(A$1,,,SUMPRODUCT(MAX(ROW(E$2:E616)*(E616=E$2:E616)))))-COUNTBLANK(OFFSET(A$1,,,SUMPRODUCT(MAX(ROW(E$1:E615)*(E2=E$1:E615))))))</f>
        <v/>
      </c>
      <c r="K616" s="25" t="str">
        <f>IF(OR(E616="",E616="!!!",F616="NEW"),"",INDEX(J$1:J615,SUMPRODUCT(MAX(ROW(E$1:E615)*(E616=E$1:E615)))))</f>
        <v/>
      </c>
      <c r="L616" s="26"/>
    </row>
    <row r="617" spans="1:12" x14ac:dyDescent="0.3">
      <c r="A617" t="s">
        <v>286</v>
      </c>
      <c r="E617" s="21" t="str">
        <f t="shared" si="42"/>
        <v/>
      </c>
      <c r="F617" s="22" t="str">
        <f>IF(OR(E617="",E617="!!!"),"",IF(NOT(ISNA(VLOOKUP(E617,E$1:E616,1,FALSE()))),"OLD",IF(AND(E617&lt;&gt;"",E617&lt;&gt;"!!!"),"NEW","")))</f>
        <v/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4" t="str">
        <f t="shared" ca="1" si="43"/>
        <v/>
      </c>
      <c r="I617" s="25" t="str">
        <f>IF(OR(E617="",E617="!!!",F617="NEW"),"",INDEX(B$2:B616,-1+SUMPRODUCT(MAX(ROW(E$2:E616)*(E617=E$2:E616)))))</f>
        <v/>
      </c>
      <c r="J617" s="25" t="str">
        <f ca="1">IF(OR(E617="",E617="!!!",F617="NEW"),"",COUNTBLANK(OFFSET(A$1,,,SUMPRODUCT(MAX(ROW(E$2:E617)*(E617=E$2:E617)))))-COUNTBLANK(OFFSET(A$1,,,SUMPRODUCT(MAX(ROW(E$1:E616)*(E2=E$1:E616))))))</f>
        <v/>
      </c>
      <c r="K617" s="25" t="str">
        <f>IF(OR(E617="",E617="!!!",F617="NEW"),"",INDEX(J$1:J616,SUMPRODUCT(MAX(ROW(E$1:E616)*(E617=E$1:E616)))))</f>
        <v/>
      </c>
      <c r="L617" s="26"/>
    </row>
    <row r="618" spans="1:12" x14ac:dyDescent="0.3">
      <c r="A618" t="s">
        <v>105</v>
      </c>
      <c r="E618" s="21" t="str">
        <f t="shared" si="42"/>
        <v/>
      </c>
      <c r="F618" s="22" t="str">
        <f>IF(OR(E618="",E618="!!!"),"",IF(NOT(ISNA(VLOOKUP(E618,E$1:E617,1,FALSE()))),"OLD",IF(AND(E618&lt;&gt;"",E618&lt;&gt;"!!!"),"NEW","")))</f>
        <v/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t="shared" ca="1" si="43"/>
        <v/>
      </c>
      <c r="I618" s="25" t="str">
        <f>IF(OR(E618="",E618="!!!",F618="NEW"),"",INDEX(B$2:B617,-1+SUMPRODUCT(MAX(ROW(E$2:E617)*(E618=E$2:E617)))))</f>
        <v/>
      </c>
      <c r="J618" s="25" t="str">
        <f ca="1">IF(OR(E618="",E618="!!!",F618="NEW"),"",COUNTBLANK(OFFSET(A$1,,,SUMPRODUCT(MAX(ROW(E$2:E618)*(E618=E$2:E618)))))-COUNTBLANK(OFFSET(A$1,,,SUMPRODUCT(MAX(ROW(E$1:E617)*(E2=E$1:E617))))))</f>
        <v/>
      </c>
      <c r="K618" s="25" t="str">
        <f>IF(OR(E618="",E618="!!!",F618="NEW"),"",INDEX(J$1:J617,SUMPRODUCT(MAX(ROW(E$1:E617)*(E618=E$1:E617)))))</f>
        <v/>
      </c>
      <c r="L618" s="26"/>
    </row>
    <row r="619" spans="1:12" x14ac:dyDescent="0.3">
      <c r="A619" t="s">
        <v>130</v>
      </c>
      <c r="E619" s="21" t="str">
        <f t="shared" si="42"/>
        <v/>
      </c>
      <c r="F619" s="22" t="str">
        <f>IF(OR(E619="",E619="!!!"),"",IF(NOT(ISNA(VLOOKUP(E619,E$1:E618,1,FALSE()))),"OLD",IF(AND(E619&lt;&gt;"",E619&lt;&gt;"!!!"),"NEW","")))</f>
        <v/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t="shared" ca="1" si="43"/>
        <v/>
      </c>
      <c r="I619" s="25" t="str">
        <f>IF(OR(E619="",E619="!!!",F619="NEW"),"",INDEX(B$2:B618,-1+SUMPRODUCT(MAX(ROW(E$2:E618)*(E619=E$2:E618)))))</f>
        <v/>
      </c>
      <c r="J619" s="25" t="str">
        <f ca="1">IF(OR(E619="",E619="!!!",F619="NEW"),"",COUNTBLANK(OFFSET(A$1,,,SUMPRODUCT(MAX(ROW(E$2:E619)*(E619=E$2:E619)))))-COUNTBLANK(OFFSET(A$1,,,SUMPRODUCT(MAX(ROW(E$1:E618)*(E2=E$1:E618))))))</f>
        <v/>
      </c>
      <c r="K619" s="25" t="str">
        <f>IF(OR(E619="",E619="!!!",F619="NEW"),"",INDEX(J$1:J618,SUMPRODUCT(MAX(ROW(E$1:E618)*(E619=E$1:E618)))))</f>
        <v/>
      </c>
      <c r="L619" s="26"/>
    </row>
    <row r="620" spans="1:12" x14ac:dyDescent="0.3">
      <c r="A620" t="s">
        <v>213</v>
      </c>
      <c r="E620" s="21" t="str">
        <f t="shared" si="42"/>
        <v/>
      </c>
      <c r="F620" s="22" t="str">
        <f>IF(OR(E620="",E620="!!!"),"",IF(NOT(ISNA(VLOOKUP(E620,E$1:E619,1,FALSE()))),"OLD",IF(AND(E620&lt;&gt;"",E620&lt;&gt;"!!!"),"NEW","")))</f>
        <v/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4" t="str">
        <f t="shared" ca="1" si="43"/>
        <v/>
      </c>
      <c r="I620" s="25" t="str">
        <f>IF(OR(E620="",E620="!!!",F620="NEW"),"",INDEX(B$2:B619,-1+SUMPRODUCT(MAX(ROW(E$2:E619)*(E620=E$2:E619)))))</f>
        <v/>
      </c>
      <c r="J620" s="25" t="str">
        <f ca="1">IF(OR(E620="",E620="!!!",F620="NEW"),"",COUNTBLANK(OFFSET(A$1,,,SUMPRODUCT(MAX(ROW(E$2:E620)*(E620=E$2:E620)))))-COUNTBLANK(OFFSET(A$1,,,SUMPRODUCT(MAX(ROW(E$1:E619)*(E2=E$1:E619))))))</f>
        <v/>
      </c>
      <c r="K620" s="25" t="str">
        <f>IF(OR(E620="",E620="!!!",F620="NEW"),"",INDEX(J$1:J619,SUMPRODUCT(MAX(ROW(E$1:E619)*(E620=E$1:E619)))))</f>
        <v/>
      </c>
      <c r="L620" s="26"/>
    </row>
    <row r="621" spans="1:12" x14ac:dyDescent="0.3">
      <c r="A621" t="s">
        <v>105</v>
      </c>
      <c r="E621" s="21" t="str">
        <f t="shared" si="42"/>
        <v/>
      </c>
      <c r="F621" s="22" t="str">
        <f>IF(OR(E621="",E621="!!!"),"",IF(NOT(ISNA(VLOOKUP(E621,E$1:E620,1,FALSE()))),"OLD",IF(AND(E621&lt;&gt;"",E621&lt;&gt;"!!!"),"NEW","")))</f>
        <v/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4" t="str">
        <f t="shared" ca="1" si="43"/>
        <v/>
      </c>
      <c r="I621" s="25" t="str">
        <f>IF(OR(E621="",E621="!!!",F621="NEW"),"",INDEX(B$2:B620,-1+SUMPRODUCT(MAX(ROW(E$2:E620)*(E621=E$2:E620)))))</f>
        <v/>
      </c>
      <c r="J621" s="25" t="str">
        <f ca="1">IF(OR(E621="",E621="!!!",F621="NEW"),"",COUNTBLANK(OFFSET(A$1,,,SUMPRODUCT(MAX(ROW(E$2:E621)*(E621=E$2:E621)))))-COUNTBLANK(OFFSET(A$1,,,SUMPRODUCT(MAX(ROW(E$1:E620)*(E2=E$1:E620))))))</f>
        <v/>
      </c>
      <c r="K621" s="25" t="str">
        <f>IF(OR(E621="",E621="!!!",F621="NEW"),"",INDEX(J$1:J620,SUMPRODUCT(MAX(ROW(E$1:E620)*(E621=E$1:E620)))))</f>
        <v/>
      </c>
      <c r="L621" s="26"/>
    </row>
    <row r="622" spans="1:12" x14ac:dyDescent="0.3">
      <c r="A622" t="s">
        <v>213</v>
      </c>
      <c r="B622" s="20" t="s">
        <v>395</v>
      </c>
      <c r="E622" s="21" t="str">
        <f t="shared" si="42"/>
        <v/>
      </c>
      <c r="F622" s="22" t="str">
        <f>IF(OR(E622="",E622="!!!"),"",IF(NOT(ISNA(VLOOKUP(E622,E$1:E621,1,FALSE()))),"OLD",IF(AND(E622&lt;&gt;"",E622&lt;&gt;"!!!"),"NEW","")))</f>
        <v/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4" t="str">
        <f t="shared" ca="1" si="43"/>
        <v/>
      </c>
      <c r="I622" s="25" t="str">
        <f>IF(OR(E622="",E622="!!!",F622="NEW"),"",INDEX(B$2:B621,-1+SUMPRODUCT(MAX(ROW(E$2:E621)*(E622=E$2:E621)))))</f>
        <v/>
      </c>
      <c r="J622" s="25" t="str">
        <f ca="1">IF(OR(E622="",E622="!!!",F622="NEW"),"",COUNTBLANK(OFFSET(A$1,,,SUMPRODUCT(MAX(ROW(E$2:E622)*(E622=E$2:E622)))))-COUNTBLANK(OFFSET(A$1,,,SUMPRODUCT(MAX(ROW(E$1:E621)*(E2=E$1:E621))))))</f>
        <v/>
      </c>
      <c r="K622" s="25" t="str">
        <f>IF(OR(E622="",E622="!!!",F622="NEW"),"",INDEX(J$1:J621,SUMPRODUCT(MAX(ROW(E$1:E621)*(E622=E$1:E621)))))</f>
        <v/>
      </c>
      <c r="L622" s="26"/>
    </row>
    <row r="623" spans="1:12" x14ac:dyDescent="0.3">
      <c r="A623" t="s">
        <v>199</v>
      </c>
      <c r="B623" s="20" t="s">
        <v>396</v>
      </c>
      <c r="C623" s="20" t="s">
        <v>164</v>
      </c>
      <c r="D623" s="20" t="s">
        <v>95</v>
      </c>
      <c r="E623" s="21" t="str">
        <f t="shared" si="42"/>
        <v>!!!</v>
      </c>
      <c r="F623" s="22" t="str">
        <f>IF(OR(E623="",E623="!!!"),"",IF(NOT(ISNA(VLOOKUP(E623,E$1:E622,1,FALSE()))),"OLD",IF(AND(E623&lt;&gt;"",E623&lt;&gt;"!!!"),"NEW","")))</f>
        <v/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t="shared" ca="1" si="43"/>
        <v/>
      </c>
      <c r="I623" s="25" t="str">
        <f>IF(OR(E623="",E623="!!!",F623="NEW"),"",INDEX(B$2:B622,-1+SUMPRODUCT(MAX(ROW(E$2:E622)*(E623=E$2:E622)))))</f>
        <v/>
      </c>
      <c r="J623" s="25" t="str">
        <f ca="1">IF(OR(E623="",E623="!!!",F623="NEW"),"",COUNTBLANK(OFFSET(A$1,,,SUMPRODUCT(MAX(ROW(E$2:E623)*(E623=E$2:E623)))))-COUNTBLANK(OFFSET(A$1,,,SUMPRODUCT(MAX(ROW(E$1:E622)*(E2=E$1:E622))))))</f>
        <v/>
      </c>
      <c r="K623" s="25" t="str">
        <f>IF(OR(E623="",E623="!!!",F623="NEW"),"",INDEX(J$1:J622,SUMPRODUCT(MAX(ROW(E$1:E622)*(E623=E$1:E622)))))</f>
        <v/>
      </c>
      <c r="L623" s="26"/>
    </row>
    <row r="624" spans="1:12" x14ac:dyDescent="0.3">
      <c r="A624" t="s">
        <v>440</v>
      </c>
      <c r="E624" s="21" t="str">
        <f t="shared" si="42"/>
        <v/>
      </c>
      <c r="F624" s="22" t="str">
        <f>IF(OR(E624="",E624="!!!"),"",IF(NOT(ISNA(VLOOKUP(E624,E$1:E623,1,FALSE()))),"OLD",IF(AND(E624&lt;&gt;"",E624&lt;&gt;"!!!"),"NEW","")))</f>
        <v/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4" t="str">
        <f t="shared" ca="1" si="43"/>
        <v/>
      </c>
      <c r="I624" s="25" t="str">
        <f>IF(OR(E624="",E624="!!!",F624="NEW"),"",INDEX(B$2:B623,-1+SUMPRODUCT(MAX(ROW(E$2:E623)*(E624=E$2:E623)))))</f>
        <v/>
      </c>
      <c r="J624" s="25" t="str">
        <f ca="1">IF(OR(E624="",E624="!!!",F624="NEW"),"",COUNTBLANK(OFFSET(A$1,,,SUMPRODUCT(MAX(ROW(E$2:E624)*(E624=E$2:E624)))))-COUNTBLANK(OFFSET(A$1,,,SUMPRODUCT(MAX(ROW(E$1:E623)*(E2=E$1:E623))))))</f>
        <v/>
      </c>
      <c r="K624" s="25" t="str">
        <f>IF(OR(E624="",E624="!!!",F624="NEW"),"",INDEX(J$1:J623,SUMPRODUCT(MAX(ROW(E$1:E623)*(E624=E$1:E623)))))</f>
        <v/>
      </c>
      <c r="L624" s="26"/>
    </row>
    <row r="625" spans="1:12" x14ac:dyDescent="0.3">
      <c r="A625" t="s">
        <v>124</v>
      </c>
      <c r="E625" s="21" t="str">
        <f t="shared" si="42"/>
        <v/>
      </c>
      <c r="F625" s="22" t="str">
        <f>IF(OR(E625="",E625="!!!"),"",IF(NOT(ISNA(VLOOKUP(E625,E$1:E624,1,FALSE()))),"OLD",IF(AND(E625&lt;&gt;"",E625&lt;&gt;"!!!"),"NEW","")))</f>
        <v/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4" t="str">
        <f t="shared" ca="1" si="43"/>
        <v/>
      </c>
      <c r="I625" s="25" t="str">
        <f>IF(OR(E625="",E625="!!!",F625="NEW"),"",INDEX(B$2:B624,-1+SUMPRODUCT(MAX(ROW(E$2:E624)*(E625=E$2:E624)))))</f>
        <v/>
      </c>
      <c r="J625" s="25" t="str">
        <f ca="1">IF(OR(E625="",E625="!!!",F625="NEW"),"",COUNTBLANK(OFFSET(A$1,,,SUMPRODUCT(MAX(ROW(E$2:E625)*(E625=E$2:E625)))))-COUNTBLANK(OFFSET(A$1,,,SUMPRODUCT(MAX(ROW(E$1:E624)*(E2=E$1:E624))))))</f>
        <v/>
      </c>
      <c r="K625" s="25" t="str">
        <f>IF(OR(E625="",E625="!!!",F625="NEW"),"",INDEX(J$1:J624,SUMPRODUCT(MAX(ROW(E$1:E624)*(E625=E$1:E624)))))</f>
        <v/>
      </c>
      <c r="L625" s="26"/>
    </row>
    <row r="627" spans="1:12" x14ac:dyDescent="0.3">
      <c r="A627" t="s">
        <v>441</v>
      </c>
    </row>
    <row r="628" spans="1:12" x14ac:dyDescent="0.3">
      <c r="A628" t="s">
        <v>442</v>
      </c>
      <c r="E628" s="21" t="str">
        <f t="shared" ref="E628:E662" si="44">IF(D628="?OLD","!!!","")</f>
        <v/>
      </c>
      <c r="F628" s="22" t="str">
        <f>IF(OR(E628="",E628="!!!"),"",IF(NOT(ISNA(VLOOKUP(E628,E$1:E627,1,FALSE()))),"OLD",IF(AND(E628&lt;&gt;"",E628&lt;&gt;"!!!"),"NEW","")))</f>
        <v/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4" t="str">
        <f t="shared" ref="H628:H662" ca="1" si="45">IF(J628&lt;&gt;1,"",IF(I628="SBJ","CB","?"))</f>
        <v/>
      </c>
      <c r="I628" s="25" t="str">
        <f>IF(OR(E628="",E628="!!!",F628="NEW"),"",INDEX(B$2:B627,-1+SUMPRODUCT(MAX(ROW(E$2:E627)*(E628=E$2:E627)))))</f>
        <v/>
      </c>
      <c r="J628" s="25" t="str">
        <f ca="1">IF(OR(E628="",E628="!!!",F628="NEW"),"",COUNTBLANK(OFFSET(A$1,,,SUMPRODUCT(MAX(ROW(E$2:E628)*(E628=E$2:E628)))))-COUNTBLANK(OFFSET(A$1,,,SUMPRODUCT(MAX(ROW(E$1:E627)*(E2=E$1:E627))))))</f>
        <v/>
      </c>
      <c r="K628" s="25" t="str">
        <f>IF(OR(E628="",E628="!!!",F628="NEW"),"",INDEX(J$1:J627,SUMPRODUCT(MAX(ROW(E$1:E627)*(E628=E$1:E627)))))</f>
        <v/>
      </c>
      <c r="L628" s="26"/>
    </row>
    <row r="629" spans="1:12" x14ac:dyDescent="0.3">
      <c r="A629" t="s">
        <v>226</v>
      </c>
      <c r="B629" s="20" t="s">
        <v>113</v>
      </c>
      <c r="C629" s="20" t="s">
        <v>94</v>
      </c>
      <c r="D629" s="20" t="s">
        <v>95</v>
      </c>
      <c r="E629" s="21" t="str">
        <f t="shared" si="44"/>
        <v>!!!</v>
      </c>
      <c r="F629" s="22" t="str">
        <f>IF(OR(E629="",E629="!!!"),"",IF(NOT(ISNA(VLOOKUP(E629,E$1:E628,1,FALSE()))),"OLD",IF(AND(E629&lt;&gt;"",E629&lt;&gt;"!!!"),"NEW","")))</f>
        <v/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4" t="str">
        <f t="shared" ca="1" si="45"/>
        <v/>
      </c>
      <c r="I629" s="25" t="str">
        <f>IF(OR(E629="",E629="!!!",F629="NEW"),"",INDEX(B$2:B628,-1+SUMPRODUCT(MAX(ROW(E$2:E628)*(E629=E$2:E628)))))</f>
        <v/>
      </c>
      <c r="J629" s="25" t="str">
        <f ca="1">IF(OR(E629="",E629="!!!",F629="NEW"),"",COUNTBLANK(OFFSET(A$1,,,SUMPRODUCT(MAX(ROW(E$2:E629)*(E629=E$2:E629)))))-COUNTBLANK(OFFSET(A$1,,,SUMPRODUCT(MAX(ROW(E$1:E628)*(E2=E$1:E628))))))</f>
        <v/>
      </c>
      <c r="K629" s="25" t="str">
        <f>IF(OR(E629="",E629="!!!",F629="NEW"),"",INDEX(J$1:J628,SUMPRODUCT(MAX(ROW(E$1:E628)*(E629=E$1:E628)))))</f>
        <v/>
      </c>
      <c r="L629" s="26"/>
    </row>
    <row r="630" spans="1:12" x14ac:dyDescent="0.3">
      <c r="A630" t="s">
        <v>127</v>
      </c>
      <c r="E630" s="21" t="str">
        <f t="shared" si="44"/>
        <v/>
      </c>
      <c r="F630" s="22" t="str">
        <f>IF(OR(E630="",E630="!!!"),"",IF(NOT(ISNA(VLOOKUP(E630,E$1:E629,1,FALSE()))),"OLD",IF(AND(E630&lt;&gt;"",E630&lt;&gt;"!!!"),"NEW","")))</f>
        <v/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4" t="str">
        <f t="shared" ca="1" si="45"/>
        <v/>
      </c>
      <c r="I630" s="25" t="str">
        <f>IF(OR(E630="",E630="!!!",F630="NEW"),"",INDEX(B$2:B629,-1+SUMPRODUCT(MAX(ROW(E$2:E629)*(E630=E$2:E629)))))</f>
        <v/>
      </c>
      <c r="J630" s="25" t="str">
        <f ca="1">IF(OR(E630="",E630="!!!",F630="NEW"),"",COUNTBLANK(OFFSET(A$1,,,SUMPRODUCT(MAX(ROW(E$2:E630)*(E630=E$2:E630)))))-COUNTBLANK(OFFSET(A$1,,,SUMPRODUCT(MAX(ROW(E$1:E629)*(E2=E$1:E629))))))</f>
        <v/>
      </c>
      <c r="K630" s="25" t="str">
        <f>IF(OR(E630="",E630="!!!",F630="NEW"),"",INDEX(J$1:J629,SUMPRODUCT(MAX(ROW(E$1:E629)*(E630=E$1:E629)))))</f>
        <v/>
      </c>
      <c r="L630" s="26"/>
    </row>
    <row r="631" spans="1:12" x14ac:dyDescent="0.3">
      <c r="A631" t="s">
        <v>264</v>
      </c>
      <c r="B631" s="20" t="s">
        <v>93</v>
      </c>
      <c r="C631" s="20" t="s">
        <v>94</v>
      </c>
      <c r="D631" s="20" t="s">
        <v>95</v>
      </c>
      <c r="E631" s="21" t="str">
        <f t="shared" si="44"/>
        <v>!!!</v>
      </c>
      <c r="F631" s="22" t="str">
        <f>IF(OR(E631="",E631="!!!"),"",IF(NOT(ISNA(VLOOKUP(E631,E$1:E630,1,FALSE()))),"OLD",IF(AND(E631&lt;&gt;"",E631&lt;&gt;"!!!"),"NEW","")))</f>
        <v/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4" t="str">
        <f t="shared" ca="1" si="45"/>
        <v/>
      </c>
      <c r="I631" s="25" t="str">
        <f>IF(OR(E631="",E631="!!!",F631="NEW"),"",INDEX(B$2:B630,-1+SUMPRODUCT(MAX(ROW(E$2:E630)*(E631=E$2:E630)))))</f>
        <v/>
      </c>
      <c r="J631" s="25" t="str">
        <f ca="1">IF(OR(E631="",E631="!!!",F631="NEW"),"",COUNTBLANK(OFFSET(A$1,,,SUMPRODUCT(MAX(ROW(E$2:E631)*(E631=E$2:E631)))))-COUNTBLANK(OFFSET(A$1,,,SUMPRODUCT(MAX(ROW(E$1:E630)*(E2=E$1:E630))))))</f>
        <v/>
      </c>
      <c r="K631" s="25" t="str">
        <f>IF(OR(E631="",E631="!!!",F631="NEW"),"",INDEX(J$1:J630,SUMPRODUCT(MAX(ROW(E$1:E630)*(E631=E$1:E630)))))</f>
        <v/>
      </c>
      <c r="L631" s="26"/>
    </row>
    <row r="632" spans="1:12" x14ac:dyDescent="0.3">
      <c r="A632" t="s">
        <v>270</v>
      </c>
      <c r="E632" s="21" t="str">
        <f t="shared" si="44"/>
        <v/>
      </c>
      <c r="F632" s="22" t="str">
        <f>IF(OR(E632="",E632="!!!"),"",IF(NOT(ISNA(VLOOKUP(E632,E$1:E631,1,FALSE()))),"OLD",IF(AND(E632&lt;&gt;"",E632&lt;&gt;"!!!"),"NEW","")))</f>
        <v/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4" t="str">
        <f t="shared" ca="1" si="45"/>
        <v/>
      </c>
      <c r="I632" s="25" t="str">
        <f>IF(OR(E632="",E632="!!!",F632="NEW"),"",INDEX(B$2:B631,-1+SUMPRODUCT(MAX(ROW(E$2:E631)*(E632=E$2:E631)))))</f>
        <v/>
      </c>
      <c r="J632" s="25" t="str">
        <f ca="1">IF(OR(E632="",E632="!!!",F632="NEW"),"",COUNTBLANK(OFFSET(A$1,,,SUMPRODUCT(MAX(ROW(E$2:E632)*(E632=E$2:E632)))))-COUNTBLANK(OFFSET(A$1,,,SUMPRODUCT(MAX(ROW(E$1:E631)*(E2=E$1:E631))))))</f>
        <v/>
      </c>
      <c r="K632" s="25" t="str">
        <f>IF(OR(E632="",E632="!!!",F632="NEW"),"",INDEX(J$1:J631,SUMPRODUCT(MAX(ROW(E$1:E631)*(E632=E$1:E631)))))</f>
        <v/>
      </c>
      <c r="L632" s="26"/>
    </row>
    <row r="633" spans="1:12" x14ac:dyDescent="0.3">
      <c r="A633" t="s">
        <v>443</v>
      </c>
      <c r="B633" s="20" t="s">
        <v>99</v>
      </c>
      <c r="C633" s="20" t="s">
        <v>111</v>
      </c>
      <c r="E633" s="21" t="str">
        <f t="shared" si="44"/>
        <v/>
      </c>
      <c r="F633" s="22" t="str">
        <f>IF(OR(E633="",E633="!!!"),"",IF(NOT(ISNA(VLOOKUP(E633,E$1:E632,1,FALSE()))),"OLD",IF(AND(E633&lt;&gt;"",E633&lt;&gt;"!!!"),"NEW","")))</f>
        <v/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4" t="str">
        <f t="shared" ca="1" si="45"/>
        <v/>
      </c>
      <c r="I633" s="25" t="str">
        <f>IF(OR(E633="",E633="!!!",F633="NEW"),"",INDEX(B$2:B632,-1+SUMPRODUCT(MAX(ROW(E$2:E632)*(E633=E$2:E632)))))</f>
        <v/>
      </c>
      <c r="J633" s="25" t="str">
        <f ca="1">IF(OR(E633="",E633="!!!",F633="NEW"),"",COUNTBLANK(OFFSET(A$1,,,SUMPRODUCT(MAX(ROW(E$2:E633)*(E633=E$2:E633)))))-COUNTBLANK(OFFSET(A$1,,,SUMPRODUCT(MAX(ROW(E$1:E632)*(E2=E$1:E632))))))</f>
        <v/>
      </c>
      <c r="K633" s="25" t="str">
        <f>IF(OR(E633="",E633="!!!",F633="NEW"),"",INDEX(J$1:J632,SUMPRODUCT(MAX(ROW(E$1:E632)*(E633=E$1:E632)))))</f>
        <v/>
      </c>
      <c r="L633" s="26"/>
    </row>
    <row r="634" spans="1:12" x14ac:dyDescent="0.3">
      <c r="A634" t="s">
        <v>105</v>
      </c>
      <c r="E634" s="21" t="str">
        <f t="shared" si="44"/>
        <v/>
      </c>
      <c r="F634" s="22" t="str">
        <f>IF(OR(E634="",E634="!!!"),"",IF(NOT(ISNA(VLOOKUP(E634,E$1:E633,1,FALSE()))),"OLD",IF(AND(E634&lt;&gt;"",E634&lt;&gt;"!!!"),"NEW","")))</f>
        <v/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4" t="str">
        <f t="shared" ca="1" si="45"/>
        <v/>
      </c>
      <c r="I634" s="25" t="str">
        <f>IF(OR(E634="",E634="!!!",F634="NEW"),"",INDEX(B$2:B633,-1+SUMPRODUCT(MAX(ROW(E$2:E633)*(E634=E$2:E633)))))</f>
        <v/>
      </c>
      <c r="J634" s="25" t="str">
        <f ca="1">IF(OR(E634="",E634="!!!",F634="NEW"),"",COUNTBLANK(OFFSET(A$1,,,SUMPRODUCT(MAX(ROW(E$2:E634)*(E634=E$2:E634)))))-COUNTBLANK(OFFSET(A$1,,,SUMPRODUCT(MAX(ROW(E$1:E633)*(E2=E$1:E633))))))</f>
        <v/>
      </c>
      <c r="K634" s="25" t="str">
        <f>IF(OR(E634="",E634="!!!",F634="NEW"),"",INDEX(J$1:J633,SUMPRODUCT(MAX(ROW(E$1:E633)*(E634=E$1:E633)))))</f>
        <v/>
      </c>
      <c r="L634" s="26"/>
    </row>
    <row r="635" spans="1:12" x14ac:dyDescent="0.3">
      <c r="A635" t="s">
        <v>180</v>
      </c>
      <c r="E635" s="21" t="str">
        <f t="shared" si="44"/>
        <v/>
      </c>
      <c r="F635" s="22" t="str">
        <f>IF(OR(E635="",E635="!!!"),"",IF(NOT(ISNA(VLOOKUP(E635,E$1:E634,1,FALSE()))),"OLD",IF(AND(E635&lt;&gt;"",E635&lt;&gt;"!!!"),"NEW","")))</f>
        <v/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4" t="str">
        <f t="shared" ca="1" si="45"/>
        <v/>
      </c>
      <c r="I635" s="25" t="str">
        <f>IF(OR(E635="",E635="!!!",F635="NEW"),"",INDEX(B$2:B634,-1+SUMPRODUCT(MAX(ROW(E$2:E634)*(E635=E$2:E634)))))</f>
        <v/>
      </c>
      <c r="J635" s="25" t="str">
        <f ca="1">IF(OR(E635="",E635="!!!",F635="NEW"),"",COUNTBLANK(OFFSET(A$1,,,SUMPRODUCT(MAX(ROW(E$2:E635)*(E635=E$2:E635)))))-COUNTBLANK(OFFSET(A$1,,,SUMPRODUCT(MAX(ROW(E$1:E634)*(E2=E$1:E634))))))</f>
        <v/>
      </c>
      <c r="K635" s="25" t="str">
        <f>IF(OR(E635="",E635="!!!",F635="NEW"),"",INDEX(J$1:J634,SUMPRODUCT(MAX(ROW(E$1:E634)*(E635=E$1:E634)))))</f>
        <v/>
      </c>
      <c r="L635" s="26"/>
    </row>
    <row r="636" spans="1:12" x14ac:dyDescent="0.3">
      <c r="A636" t="s">
        <v>213</v>
      </c>
      <c r="E636" s="21" t="str">
        <f t="shared" si="44"/>
        <v/>
      </c>
      <c r="F636" s="22" t="str">
        <f>IF(OR(E636="",E636="!!!"),"",IF(NOT(ISNA(VLOOKUP(E636,E$1:E635,1,FALSE()))),"OLD",IF(AND(E636&lt;&gt;"",E636&lt;&gt;"!!!"),"NEW","")))</f>
        <v/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4" t="str">
        <f t="shared" ca="1" si="45"/>
        <v/>
      </c>
      <c r="I636" s="25" t="str">
        <f>IF(OR(E636="",E636="!!!",F636="NEW"),"",INDEX(B$2:B635,-1+SUMPRODUCT(MAX(ROW(E$2:E635)*(E636=E$2:E635)))))</f>
        <v/>
      </c>
      <c r="J636" s="25" t="str">
        <f ca="1">IF(OR(E636="",E636="!!!",F636="NEW"),"",COUNTBLANK(OFFSET(A$1,,,SUMPRODUCT(MAX(ROW(E$2:E636)*(E636=E$2:E636)))))-COUNTBLANK(OFFSET(A$1,,,SUMPRODUCT(MAX(ROW(E$1:E635)*(E2=E$1:E635))))))</f>
        <v/>
      </c>
      <c r="K636" s="25" t="str">
        <f>IF(OR(E636="",E636="!!!",F636="NEW"),"",INDEX(J$1:J635,SUMPRODUCT(MAX(ROW(E$1:E635)*(E636=E$1:E635)))))</f>
        <v/>
      </c>
      <c r="L636" s="26"/>
    </row>
    <row r="637" spans="1:12" x14ac:dyDescent="0.3">
      <c r="A637" t="s">
        <v>444</v>
      </c>
      <c r="B637" s="20" t="s">
        <v>214</v>
      </c>
      <c r="C637" s="20" t="s">
        <v>136</v>
      </c>
      <c r="D637" s="20" t="s">
        <v>95</v>
      </c>
      <c r="E637" s="21" t="str">
        <f t="shared" si="44"/>
        <v>!!!</v>
      </c>
      <c r="F637" s="22" t="str">
        <f>IF(OR(E637="",E637="!!!"),"",IF(NOT(ISNA(VLOOKUP(E637,E$1:E636,1,FALSE()))),"OLD",IF(AND(E637&lt;&gt;"",E637&lt;&gt;"!!!"),"NEW","")))</f>
        <v/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4" t="str">
        <f t="shared" ca="1" si="45"/>
        <v/>
      </c>
      <c r="I637" s="25" t="str">
        <f>IF(OR(E637="",E637="!!!",F637="NEW"),"",INDEX(B$2:B636,-1+SUMPRODUCT(MAX(ROW(E$2:E636)*(E637=E$2:E636)))))</f>
        <v/>
      </c>
      <c r="J637" s="25" t="str">
        <f ca="1">IF(OR(E637="",E637="!!!",F637="NEW"),"",COUNTBLANK(OFFSET(A$1,,,SUMPRODUCT(MAX(ROW(E$2:E637)*(E637=E$2:E637)))))-COUNTBLANK(OFFSET(A$1,,,SUMPRODUCT(MAX(ROW(E$1:E636)*(E2=E$1:E636))))))</f>
        <v/>
      </c>
      <c r="K637" s="25" t="str">
        <f>IF(OR(E637="",E637="!!!",F637="NEW"),"",INDEX(J$1:J636,SUMPRODUCT(MAX(ROW(E$1:E636)*(E637=E$1:E636)))))</f>
        <v/>
      </c>
      <c r="L637" s="26"/>
    </row>
    <row r="638" spans="1:12" x14ac:dyDescent="0.3">
      <c r="A638" t="s">
        <v>445</v>
      </c>
      <c r="E638" s="21" t="str">
        <f t="shared" si="44"/>
        <v/>
      </c>
      <c r="F638" s="22" t="str">
        <f>IF(OR(E638="",E638="!!!"),"",IF(NOT(ISNA(VLOOKUP(E638,E$1:E637,1,FALSE()))),"OLD",IF(AND(E638&lt;&gt;"",E638&lt;&gt;"!!!"),"NEW","")))</f>
        <v/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4" t="str">
        <f t="shared" ca="1" si="45"/>
        <v/>
      </c>
      <c r="I638" s="25" t="str">
        <f>IF(OR(E638="",E638="!!!",F638="NEW"),"",INDEX(B$2:B637,-1+SUMPRODUCT(MAX(ROW(E$2:E637)*(E638=E$2:E637)))))</f>
        <v/>
      </c>
      <c r="J638" s="25" t="str">
        <f ca="1">IF(OR(E638="",E638="!!!",F638="NEW"),"",COUNTBLANK(OFFSET(A$1,,,SUMPRODUCT(MAX(ROW(E$2:E638)*(E638=E$2:E638)))))-COUNTBLANK(OFFSET(A$1,,,SUMPRODUCT(MAX(ROW(E$1:E637)*(E2=E$1:E637))))))</f>
        <v/>
      </c>
      <c r="K638" s="25" t="str">
        <f>IF(OR(E638="",E638="!!!",F638="NEW"),"",INDEX(J$1:J637,SUMPRODUCT(MAX(ROW(E$1:E637)*(E638=E$1:E637)))))</f>
        <v/>
      </c>
      <c r="L638" s="26"/>
    </row>
    <row r="639" spans="1:12" x14ac:dyDescent="0.3">
      <c r="A639" t="s">
        <v>178</v>
      </c>
      <c r="E639" s="21" t="str">
        <f t="shared" si="44"/>
        <v/>
      </c>
      <c r="F639" s="22" t="str">
        <f>IF(OR(E639="",E639="!!!"),"",IF(NOT(ISNA(VLOOKUP(E639,E$1:E638,1,FALSE()))),"OLD",IF(AND(E639&lt;&gt;"",E639&lt;&gt;"!!!"),"NEW","")))</f>
        <v/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4" t="str">
        <f t="shared" ca="1" si="45"/>
        <v/>
      </c>
      <c r="I639" s="25" t="str">
        <f>IF(OR(E639="",E639="!!!",F639="NEW"),"",INDEX(B$2:B638,-1+SUMPRODUCT(MAX(ROW(E$2:E638)*(E639=E$2:E638)))))</f>
        <v/>
      </c>
      <c r="J639" s="25" t="str">
        <f ca="1">IF(OR(E639="",E639="!!!",F639="NEW"),"",COUNTBLANK(OFFSET(A$1,,,SUMPRODUCT(MAX(ROW(E$2:E639)*(E639=E$2:E639)))))-COUNTBLANK(OFFSET(A$1,,,SUMPRODUCT(MAX(ROW(E$1:E638)*(E2=E$1:E638))))))</f>
        <v/>
      </c>
      <c r="K639" s="25" t="str">
        <f>IF(OR(E639="",E639="!!!",F639="NEW"),"",INDEX(J$1:J638,SUMPRODUCT(MAX(ROW(E$1:E638)*(E639=E$1:E638)))))</f>
        <v/>
      </c>
      <c r="L639" s="26"/>
    </row>
    <row r="640" spans="1:12" x14ac:dyDescent="0.3">
      <c r="A640" t="s">
        <v>446</v>
      </c>
      <c r="E640" s="21" t="str">
        <f t="shared" si="44"/>
        <v/>
      </c>
      <c r="F640" s="22" t="str">
        <f>IF(OR(E640="",E640="!!!"),"",IF(NOT(ISNA(VLOOKUP(E640,E$1:E639,1,FALSE()))),"OLD",IF(AND(E640&lt;&gt;"",E640&lt;&gt;"!!!"),"NEW","")))</f>
        <v/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4" t="str">
        <f t="shared" ca="1" si="45"/>
        <v/>
      </c>
      <c r="I640" s="25" t="str">
        <f>IF(OR(E640="",E640="!!!",F640="NEW"),"",INDEX(B$2:B639,-1+SUMPRODUCT(MAX(ROW(E$2:E639)*(E640=E$2:E639)))))</f>
        <v/>
      </c>
      <c r="J640" s="25" t="str">
        <f ca="1">IF(OR(E640="",E640="!!!",F640="NEW"),"",COUNTBLANK(OFFSET(A$1,,,SUMPRODUCT(MAX(ROW(E$2:E640)*(E640=E$2:E640)))))-COUNTBLANK(OFFSET(A$1,,,SUMPRODUCT(MAX(ROW(E$1:E639)*(E2=E$1:E639))))))</f>
        <v/>
      </c>
      <c r="K640" s="25" t="str">
        <f>IF(OR(E640="",E640="!!!",F640="NEW"),"",INDEX(J$1:J639,SUMPRODUCT(MAX(ROW(E$1:E639)*(E640=E$1:E639)))))</f>
        <v/>
      </c>
      <c r="L640" s="26"/>
    </row>
    <row r="641" spans="1:12" x14ac:dyDescent="0.3">
      <c r="A641" t="s">
        <v>105</v>
      </c>
      <c r="E641" s="21" t="str">
        <f t="shared" si="44"/>
        <v/>
      </c>
      <c r="F641" s="22" t="str">
        <f>IF(OR(E641="",E641="!!!"),"",IF(NOT(ISNA(VLOOKUP(E641,E$1:E640,1,FALSE()))),"OLD",IF(AND(E641&lt;&gt;"",E641&lt;&gt;"!!!"),"NEW","")))</f>
        <v/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4" t="str">
        <f t="shared" ca="1" si="45"/>
        <v/>
      </c>
      <c r="I641" s="25" t="str">
        <f>IF(OR(E641="",E641="!!!",F641="NEW"),"",INDEX(B$2:B640,-1+SUMPRODUCT(MAX(ROW(E$2:E640)*(E641=E$2:E640)))))</f>
        <v/>
      </c>
      <c r="J641" s="25" t="str">
        <f ca="1">IF(OR(E641="",E641="!!!",F641="NEW"),"",COUNTBLANK(OFFSET(A$1,,,SUMPRODUCT(MAX(ROW(E$2:E641)*(E641=E$2:E641)))))-COUNTBLANK(OFFSET(A$1,,,SUMPRODUCT(MAX(ROW(E$1:E640)*(E2=E$1:E640))))))</f>
        <v/>
      </c>
      <c r="K641" s="25" t="str">
        <f>IF(OR(E641="",E641="!!!",F641="NEW"),"",INDEX(J$1:J640,SUMPRODUCT(MAX(ROW(E$1:E640)*(E641=E$1:E640)))))</f>
        <v/>
      </c>
      <c r="L641" s="26"/>
    </row>
    <row r="642" spans="1:12" x14ac:dyDescent="0.3">
      <c r="A642" t="s">
        <v>213</v>
      </c>
      <c r="B642" s="20" t="s">
        <v>187</v>
      </c>
      <c r="E642" s="21" t="str">
        <f t="shared" si="44"/>
        <v/>
      </c>
      <c r="F642" s="22" t="str">
        <f>IF(OR(E642="",E642="!!!"),"",IF(NOT(ISNA(VLOOKUP(E642,E$1:E641,1,FALSE()))),"OLD",IF(AND(E642&lt;&gt;"",E642&lt;&gt;"!!!"),"NEW","")))</f>
        <v/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4" t="str">
        <f t="shared" ca="1" si="45"/>
        <v/>
      </c>
      <c r="I642" s="25" t="str">
        <f>IF(OR(E642="",E642="!!!",F642="NEW"),"",INDEX(B$2:B641,-1+SUMPRODUCT(MAX(ROW(E$2:E641)*(E642=E$2:E641)))))</f>
        <v/>
      </c>
      <c r="J642" s="25" t="str">
        <f ca="1">IF(OR(E642="",E642="!!!",F642="NEW"),"",COUNTBLANK(OFFSET(A$1,,,SUMPRODUCT(MAX(ROW(E$2:E642)*(E642=E$2:E642)))))-COUNTBLANK(OFFSET(A$1,,,SUMPRODUCT(MAX(ROW(E$1:E641)*(E2=E$1:E641))))))</f>
        <v/>
      </c>
      <c r="K642" s="25" t="str">
        <f>IF(OR(E642="",E642="!!!",F642="NEW"),"",INDEX(J$1:J641,SUMPRODUCT(MAX(ROW(E$1:E641)*(E642=E$1:E641)))))</f>
        <v/>
      </c>
      <c r="L642" s="26"/>
    </row>
    <row r="643" spans="1:12" x14ac:dyDescent="0.3">
      <c r="A643" t="s">
        <v>201</v>
      </c>
      <c r="E643" s="21" t="str">
        <f t="shared" si="44"/>
        <v/>
      </c>
      <c r="F643" s="22" t="str">
        <f>IF(OR(E643="",E643="!!!"),"",IF(NOT(ISNA(VLOOKUP(E643,E$1:E642,1,FALSE()))),"OLD",IF(AND(E643&lt;&gt;"",E643&lt;&gt;"!!!"),"NEW","")))</f>
        <v/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4" t="str">
        <f t="shared" ca="1" si="45"/>
        <v/>
      </c>
      <c r="I643" s="25" t="str">
        <f>IF(OR(E643="",E643="!!!",F643="NEW"),"",INDEX(B$2:B642,-1+SUMPRODUCT(MAX(ROW(E$2:E642)*(E643=E$2:E642)))))</f>
        <v/>
      </c>
      <c r="J643" s="25" t="str">
        <f ca="1">IF(OR(E643="",E643="!!!",F643="NEW"),"",COUNTBLANK(OFFSET(A$1,,,SUMPRODUCT(MAX(ROW(E$2:E643)*(E643=E$2:E643)))))-COUNTBLANK(OFFSET(A$1,,,SUMPRODUCT(MAX(ROW(E$1:E642)*(E2=E$1:E642))))))</f>
        <v/>
      </c>
      <c r="K643" s="25" t="str">
        <f>IF(OR(E643="",E643="!!!",F643="NEW"),"",INDEX(J$1:J642,SUMPRODUCT(MAX(ROW(E$1:E642)*(E643=E$1:E642)))))</f>
        <v/>
      </c>
      <c r="L643" s="26"/>
    </row>
    <row r="644" spans="1:12" x14ac:dyDescent="0.3">
      <c r="A644" t="s">
        <v>137</v>
      </c>
      <c r="E644" s="21" t="str">
        <f t="shared" si="44"/>
        <v/>
      </c>
      <c r="F644" s="22" t="str">
        <f>IF(OR(E644="",E644="!!!"),"",IF(NOT(ISNA(VLOOKUP(E644,E$1:E643,1,FALSE()))),"OLD",IF(AND(E644&lt;&gt;"",E644&lt;&gt;"!!!"),"NEW","")))</f>
        <v/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4" t="str">
        <f t="shared" ca="1" si="45"/>
        <v/>
      </c>
      <c r="I644" s="25" t="str">
        <f>IF(OR(E644="",E644="!!!",F644="NEW"),"",INDEX(B$2:B643,-1+SUMPRODUCT(MAX(ROW(E$2:E643)*(E644=E$2:E643)))))</f>
        <v/>
      </c>
      <c r="J644" s="25" t="str">
        <f ca="1">IF(OR(E644="",E644="!!!",F644="NEW"),"",COUNTBLANK(OFFSET(A$1,,,SUMPRODUCT(MAX(ROW(E$2:E644)*(E644=E$2:E644)))))-COUNTBLANK(OFFSET(A$1,,,SUMPRODUCT(MAX(ROW(E$1:E643)*(E2=E$1:E643))))))</f>
        <v/>
      </c>
      <c r="K644" s="25" t="str">
        <f>IF(OR(E644="",E644="!!!",F644="NEW"),"",INDEX(J$1:J643,SUMPRODUCT(MAX(ROW(E$1:E643)*(E644=E$1:E643)))))</f>
        <v/>
      </c>
      <c r="L644" s="26"/>
    </row>
    <row r="645" spans="1:12" x14ac:dyDescent="0.3">
      <c r="A645" t="s">
        <v>203</v>
      </c>
      <c r="B645" s="20" t="s">
        <v>114</v>
      </c>
      <c r="C645" s="20" t="s">
        <v>136</v>
      </c>
      <c r="D645" s="20" t="s">
        <v>95</v>
      </c>
      <c r="E645" s="21" t="str">
        <f t="shared" si="44"/>
        <v>!!!</v>
      </c>
      <c r="F645" s="22" t="str">
        <f>IF(OR(E645="",E645="!!!"),"",IF(NOT(ISNA(VLOOKUP(E645,E$1:E644,1,FALSE()))),"OLD",IF(AND(E645&lt;&gt;"",E645&lt;&gt;"!!!"),"NEW","")))</f>
        <v/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4" t="str">
        <f t="shared" ca="1" si="45"/>
        <v/>
      </c>
      <c r="I645" s="25" t="str">
        <f>IF(OR(E645="",E645="!!!",F645="NEW"),"",INDEX(B$2:B644,-1+SUMPRODUCT(MAX(ROW(E$2:E644)*(E645=E$2:E644)))))</f>
        <v/>
      </c>
      <c r="J645" s="25" t="str">
        <f ca="1">IF(OR(E645="",E645="!!!",F645="NEW"),"",COUNTBLANK(OFFSET(A$1,,,SUMPRODUCT(MAX(ROW(E$2:E645)*(E645=E$2:E645)))))-COUNTBLANK(OFFSET(A$1,,,SUMPRODUCT(MAX(ROW(E$1:E644)*(E2=E$1:E644))))))</f>
        <v/>
      </c>
      <c r="K645" s="25" t="str">
        <f>IF(OR(E645="",E645="!!!",F645="NEW"),"",INDEX(J$1:J644,SUMPRODUCT(MAX(ROW(E$1:E644)*(E645=E$1:E644)))))</f>
        <v/>
      </c>
      <c r="L645" s="26"/>
    </row>
    <row r="646" spans="1:12" x14ac:dyDescent="0.3">
      <c r="A646" t="s">
        <v>103</v>
      </c>
      <c r="E646" s="21" t="str">
        <f t="shared" si="44"/>
        <v/>
      </c>
      <c r="F646" s="22" t="str">
        <f>IF(OR(E646="",E646="!!!"),"",IF(NOT(ISNA(VLOOKUP(E646,E$1:E645,1,FALSE()))),"OLD",IF(AND(E646&lt;&gt;"",E646&lt;&gt;"!!!"),"NEW","")))</f>
        <v/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4" t="str">
        <f t="shared" ca="1" si="45"/>
        <v/>
      </c>
      <c r="I646" s="25" t="str">
        <f>IF(OR(E646="",E646="!!!",F646="NEW"),"",INDEX(B$2:B645,-1+SUMPRODUCT(MAX(ROW(E$2:E645)*(E646=E$2:E645)))))</f>
        <v/>
      </c>
      <c r="J646" s="25" t="str">
        <f ca="1">IF(OR(E646="",E646="!!!",F646="NEW"),"",COUNTBLANK(OFFSET(A$1,,,SUMPRODUCT(MAX(ROW(E$2:E646)*(E646=E$2:E646)))))-COUNTBLANK(OFFSET(A$1,,,SUMPRODUCT(MAX(ROW(E$1:E645)*(E2=E$1:E645))))))</f>
        <v/>
      </c>
      <c r="K646" s="25" t="str">
        <f>IF(OR(E646="",E646="!!!",F646="NEW"),"",INDEX(J$1:J645,SUMPRODUCT(MAX(ROW(E$1:E645)*(E646=E$1:E645)))))</f>
        <v/>
      </c>
      <c r="L646" s="26"/>
    </row>
    <row r="647" spans="1:12" x14ac:dyDescent="0.3">
      <c r="A647" t="s">
        <v>447</v>
      </c>
      <c r="B647" s="20" t="s">
        <v>184</v>
      </c>
      <c r="C647" s="20" t="s">
        <v>119</v>
      </c>
      <c r="E647" s="21" t="str">
        <f t="shared" si="44"/>
        <v/>
      </c>
      <c r="F647" s="22" t="str">
        <f>IF(OR(E647="",E647="!!!"),"",IF(NOT(ISNA(VLOOKUP(E647,E$1:E646,1,FALSE()))),"OLD",IF(AND(E647&lt;&gt;"",E647&lt;&gt;"!!!"),"NEW","")))</f>
        <v/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4" t="str">
        <f t="shared" ca="1" si="45"/>
        <v/>
      </c>
      <c r="I647" s="25" t="str">
        <f>IF(OR(E647="",E647="!!!",F647="NEW"),"",INDEX(B$2:B646,-1+SUMPRODUCT(MAX(ROW(E$2:E646)*(E647=E$2:E646)))))</f>
        <v/>
      </c>
      <c r="J647" s="25" t="str">
        <f ca="1">IF(OR(E647="",E647="!!!",F647="NEW"),"",COUNTBLANK(OFFSET(A$1,,,SUMPRODUCT(MAX(ROW(E$2:E647)*(E647=E$2:E647)))))-COUNTBLANK(OFFSET(A$1,,,SUMPRODUCT(MAX(ROW(E$1:E646)*(E2=E$1:E646))))))</f>
        <v/>
      </c>
      <c r="K647" s="25" t="str">
        <f>IF(OR(E647="",E647="!!!",F647="NEW"),"",INDEX(J$1:J646,SUMPRODUCT(MAX(ROW(E$1:E646)*(E647=E$1:E646)))))</f>
        <v/>
      </c>
      <c r="L647" s="26"/>
    </row>
    <row r="648" spans="1:12" x14ac:dyDescent="0.3">
      <c r="A648" t="s">
        <v>448</v>
      </c>
      <c r="E648" s="21" t="str">
        <f t="shared" si="44"/>
        <v/>
      </c>
      <c r="F648" s="22" t="str">
        <f>IF(OR(E648="",E648="!!!"),"",IF(NOT(ISNA(VLOOKUP(E648,E$1:E647,1,FALSE()))),"OLD",IF(AND(E648&lt;&gt;"",E648&lt;&gt;"!!!"),"NEW","")))</f>
        <v/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4" t="str">
        <f t="shared" ca="1" si="45"/>
        <v/>
      </c>
      <c r="I648" s="25" t="str">
        <f>IF(OR(E648="",E648="!!!",F648="NEW"),"",INDEX(B$2:B647,-1+SUMPRODUCT(MAX(ROW(E$2:E647)*(E648=E$2:E647)))))</f>
        <v/>
      </c>
      <c r="J648" s="25" t="str">
        <f ca="1">IF(OR(E648="",E648="!!!",F648="NEW"),"",COUNTBLANK(OFFSET(A$1,,,SUMPRODUCT(MAX(ROW(E$2:E648)*(E648=E$2:E648)))))-COUNTBLANK(OFFSET(A$1,,,SUMPRODUCT(MAX(ROW(E$1:E647)*(E2=E$1:E647))))))</f>
        <v/>
      </c>
      <c r="K648" s="25" t="str">
        <f>IF(OR(E648="",E648="!!!",F648="NEW"),"",INDEX(J$1:J647,SUMPRODUCT(MAX(ROW(E$1:E647)*(E648=E$1:E647)))))</f>
        <v/>
      </c>
      <c r="L648" s="26"/>
    </row>
    <row r="649" spans="1:12" x14ac:dyDescent="0.3">
      <c r="A649" t="s">
        <v>449</v>
      </c>
      <c r="E649" s="21" t="str">
        <f t="shared" si="44"/>
        <v/>
      </c>
      <c r="F649" s="22" t="str">
        <f>IF(OR(E649="",E649="!!!"),"",IF(NOT(ISNA(VLOOKUP(E649,E$1:E648,1,FALSE()))),"OLD",IF(AND(E649&lt;&gt;"",E649&lt;&gt;"!!!"),"NEW","")))</f>
        <v/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4" t="str">
        <f t="shared" ca="1" si="45"/>
        <v/>
      </c>
      <c r="I649" s="25" t="str">
        <f>IF(OR(E649="",E649="!!!",F649="NEW"),"",INDEX(B$2:B648,-1+SUMPRODUCT(MAX(ROW(E$2:E648)*(E649=E$2:E648)))))</f>
        <v/>
      </c>
      <c r="J649" s="25" t="str">
        <f ca="1">IF(OR(E649="",E649="!!!",F649="NEW"),"",COUNTBLANK(OFFSET(A$1,,,SUMPRODUCT(MAX(ROW(E$2:E649)*(E649=E$2:E649)))))-COUNTBLANK(OFFSET(A$1,,,SUMPRODUCT(MAX(ROW(E$1:E648)*(E2=E$1:E648))))))</f>
        <v/>
      </c>
      <c r="K649" s="25" t="str">
        <f>IF(OR(E649="",E649="!!!",F649="NEW"),"",INDEX(J$1:J648,SUMPRODUCT(MAX(ROW(E$1:E648)*(E649=E$1:E648)))))</f>
        <v/>
      </c>
      <c r="L649" s="26"/>
    </row>
    <row r="650" spans="1:12" x14ac:dyDescent="0.3">
      <c r="A650" t="s">
        <v>105</v>
      </c>
      <c r="E650" s="21" t="str">
        <f t="shared" si="44"/>
        <v/>
      </c>
      <c r="F650" s="22" t="str">
        <f>IF(OR(E650="",E650="!!!"),"",IF(NOT(ISNA(VLOOKUP(E650,E$1:E649,1,FALSE()))),"OLD",IF(AND(E650&lt;&gt;"",E650&lt;&gt;"!!!"),"NEW","")))</f>
        <v/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4" t="str">
        <f t="shared" ca="1" si="45"/>
        <v/>
      </c>
      <c r="I650" s="25" t="str">
        <f>IF(OR(E650="",E650="!!!",F650="NEW"),"",INDEX(B$2:B649,-1+SUMPRODUCT(MAX(ROW(E$2:E649)*(E650=E$2:E649)))))</f>
        <v/>
      </c>
      <c r="J650" s="25" t="str">
        <f ca="1">IF(OR(E650="",E650="!!!",F650="NEW"),"",COUNTBLANK(OFFSET(A$1,,,SUMPRODUCT(MAX(ROW(E$2:E650)*(E650=E$2:E650)))))-COUNTBLANK(OFFSET(A$1,,,SUMPRODUCT(MAX(ROW(E$1:E649)*(E2=E$1:E649))))))</f>
        <v/>
      </c>
      <c r="K650" s="25" t="str">
        <f>IF(OR(E650="",E650="!!!",F650="NEW"),"",INDEX(J$1:J649,SUMPRODUCT(MAX(ROW(E$1:E649)*(E650=E$1:E649)))))</f>
        <v/>
      </c>
      <c r="L650" s="26"/>
    </row>
    <row r="651" spans="1:12" x14ac:dyDescent="0.3">
      <c r="A651" t="s">
        <v>127</v>
      </c>
      <c r="E651" s="21" t="str">
        <f t="shared" si="44"/>
        <v/>
      </c>
      <c r="F651" s="22" t="str">
        <f>IF(OR(E651="",E651="!!!"),"",IF(NOT(ISNA(VLOOKUP(E651,E$1:E650,1,FALSE()))),"OLD",IF(AND(E651&lt;&gt;"",E651&lt;&gt;"!!!"),"NEW","")))</f>
        <v/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4" t="str">
        <f t="shared" ca="1" si="45"/>
        <v/>
      </c>
      <c r="I651" s="25" t="str">
        <f>IF(OR(E651="",E651="!!!",F651="NEW"),"",INDEX(B$2:B650,-1+SUMPRODUCT(MAX(ROW(E$2:E650)*(E651=E$2:E650)))))</f>
        <v/>
      </c>
      <c r="J651" s="25" t="str">
        <f ca="1">IF(OR(E651="",E651="!!!",F651="NEW"),"",COUNTBLANK(OFFSET(A$1,,,SUMPRODUCT(MAX(ROW(E$2:E651)*(E651=E$2:E651)))))-COUNTBLANK(OFFSET(A$1,,,SUMPRODUCT(MAX(ROW(E$1:E650)*(E2=E$1:E650))))))</f>
        <v/>
      </c>
      <c r="K651" s="25" t="str">
        <f>IF(OR(E651="",E651="!!!",F651="NEW"),"",INDEX(J$1:J650,SUMPRODUCT(MAX(ROW(E$1:E650)*(E651=E$1:E650)))))</f>
        <v/>
      </c>
      <c r="L651" s="26"/>
    </row>
    <row r="652" spans="1:12" x14ac:dyDescent="0.3">
      <c r="A652" t="s">
        <v>130</v>
      </c>
      <c r="E652" s="21" t="str">
        <f t="shared" si="44"/>
        <v/>
      </c>
      <c r="F652" s="22" t="str">
        <f>IF(OR(E652="",E652="!!!"),"",IF(NOT(ISNA(VLOOKUP(E652,E$1:E651,1,FALSE()))),"OLD",IF(AND(E652&lt;&gt;"",E652&lt;&gt;"!!!"),"NEW","")))</f>
        <v/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24" t="str">
        <f t="shared" ca="1" si="45"/>
        <v/>
      </c>
      <c r="I652" s="25" t="str">
        <f>IF(OR(E652="",E652="!!!",F652="NEW"),"",INDEX(B$2:B651,-1+SUMPRODUCT(MAX(ROW(E$2:E651)*(E652=E$2:E651)))))</f>
        <v/>
      </c>
      <c r="J652" s="25" t="str">
        <f ca="1">IF(OR(E652="",E652="!!!",F652="NEW"),"",COUNTBLANK(OFFSET(A$1,,,SUMPRODUCT(MAX(ROW(E$2:E652)*(E652=E$2:E652)))))-COUNTBLANK(OFFSET(A$1,,,SUMPRODUCT(MAX(ROW(E$1:E651)*(E2=E$1:E651))))))</f>
        <v/>
      </c>
      <c r="K652" s="25" t="str">
        <f>IF(OR(E652="",E652="!!!",F652="NEW"),"",INDEX(J$1:J651,SUMPRODUCT(MAX(ROW(E$1:E651)*(E652=E$1:E651)))))</f>
        <v/>
      </c>
      <c r="L652" s="26"/>
    </row>
    <row r="653" spans="1:12" x14ac:dyDescent="0.3">
      <c r="A653" t="s">
        <v>226</v>
      </c>
      <c r="B653" s="20" t="s">
        <v>99</v>
      </c>
      <c r="C653" s="20" t="s">
        <v>94</v>
      </c>
      <c r="D653" s="20" t="s">
        <v>95</v>
      </c>
      <c r="E653" s="21" t="str">
        <f t="shared" si="44"/>
        <v>!!!</v>
      </c>
      <c r="F653" s="22" t="str">
        <f>IF(OR(E653="",E653="!!!"),"",IF(NOT(ISNA(VLOOKUP(E653,E$1:E652,1,FALSE()))),"OLD",IF(AND(E653&lt;&gt;"",E653&lt;&gt;"!!!"),"NEW","")))</f>
        <v/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4" t="str">
        <f t="shared" ca="1" si="45"/>
        <v/>
      </c>
      <c r="I653" s="25" t="str">
        <f>IF(OR(E653="",E653="!!!",F653="NEW"),"",INDEX(B$2:B652,-1+SUMPRODUCT(MAX(ROW(E$2:E652)*(E653=E$2:E652)))))</f>
        <v/>
      </c>
      <c r="J653" s="25" t="str">
        <f ca="1">IF(OR(E653="",E653="!!!",F653="NEW"),"",COUNTBLANK(OFFSET(A$1,,,SUMPRODUCT(MAX(ROW(E$2:E653)*(E653=E$2:E653)))))-COUNTBLANK(OFFSET(A$1,,,SUMPRODUCT(MAX(ROW(E$1:E652)*(E2=E$1:E652))))))</f>
        <v/>
      </c>
      <c r="K653" s="25" t="str">
        <f>IF(OR(E653="",E653="!!!",F653="NEW"),"",INDEX(J$1:J652,SUMPRODUCT(MAX(ROW(E$1:E652)*(E653=E$1:E652)))))</f>
        <v/>
      </c>
      <c r="L653" s="26"/>
    </row>
    <row r="654" spans="1:12" x14ac:dyDescent="0.3">
      <c r="A654" t="s">
        <v>450</v>
      </c>
      <c r="E654" s="21" t="str">
        <f t="shared" si="44"/>
        <v/>
      </c>
      <c r="F654" s="22" t="str">
        <f>IF(OR(E654="",E654="!!!"),"",IF(NOT(ISNA(VLOOKUP(E654,E$1:E653,1,FALSE()))),"OLD",IF(AND(E654&lt;&gt;"",E654&lt;&gt;"!!!"),"NEW","")))</f>
        <v/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4" t="str">
        <f t="shared" ca="1" si="45"/>
        <v/>
      </c>
      <c r="I654" s="25" t="str">
        <f>IF(OR(E654="",E654="!!!",F654="NEW"),"",INDEX(B$2:B653,-1+SUMPRODUCT(MAX(ROW(E$2:E653)*(E654=E$2:E653)))))</f>
        <v/>
      </c>
      <c r="J654" s="25" t="str">
        <f ca="1">IF(OR(E654="",E654="!!!",F654="NEW"),"",COUNTBLANK(OFFSET(A$1,,,SUMPRODUCT(MAX(ROW(E$2:E654)*(E654=E$2:E654)))))-COUNTBLANK(OFFSET(A$1,,,SUMPRODUCT(MAX(ROW(E$1:E653)*(E2=E$1:E653))))))</f>
        <v/>
      </c>
      <c r="K654" s="25" t="str">
        <f>IF(OR(E654="",E654="!!!",F654="NEW"),"",INDEX(J$1:J653,SUMPRODUCT(MAX(ROW(E$1:E653)*(E654=E$1:E653)))))</f>
        <v/>
      </c>
      <c r="L654" s="26"/>
    </row>
    <row r="655" spans="1:12" x14ac:dyDescent="0.3">
      <c r="A655" t="s">
        <v>103</v>
      </c>
      <c r="E655" s="21" t="str">
        <f t="shared" si="44"/>
        <v/>
      </c>
      <c r="F655" s="22" t="str">
        <f>IF(OR(E655="",E655="!!!"),"",IF(NOT(ISNA(VLOOKUP(E655,E$1:E654,1,FALSE()))),"OLD",IF(AND(E655&lt;&gt;"",E655&lt;&gt;"!!!"),"NEW","")))</f>
        <v/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4" t="str">
        <f t="shared" ca="1" si="45"/>
        <v/>
      </c>
      <c r="I655" s="25" t="str">
        <f>IF(OR(E655="",E655="!!!",F655="NEW"),"",INDEX(B$2:B654,-1+SUMPRODUCT(MAX(ROW(E$2:E654)*(E655=E$2:E654)))))</f>
        <v/>
      </c>
      <c r="J655" s="25" t="str">
        <f ca="1">IF(OR(E655="",E655="!!!",F655="NEW"),"",COUNTBLANK(OFFSET(A$1,,,SUMPRODUCT(MAX(ROW(E$2:E655)*(E655=E$2:E655)))))-COUNTBLANK(OFFSET(A$1,,,SUMPRODUCT(MAX(ROW(E$1:E654)*(E2=E$1:E654))))))</f>
        <v/>
      </c>
      <c r="K655" s="25" t="str">
        <f>IF(OR(E655="",E655="!!!",F655="NEW"),"",INDEX(J$1:J654,SUMPRODUCT(MAX(ROW(E$1:E654)*(E655=E$1:E654)))))</f>
        <v/>
      </c>
      <c r="L655" s="26"/>
    </row>
    <row r="656" spans="1:12" x14ac:dyDescent="0.3">
      <c r="A656" t="s">
        <v>451</v>
      </c>
      <c r="E656" s="21" t="str">
        <f t="shared" si="44"/>
        <v/>
      </c>
      <c r="F656" s="22" t="str">
        <f>IF(OR(E656="",E656="!!!"),"",IF(NOT(ISNA(VLOOKUP(E656,E$1:E655,1,FALSE()))),"OLD",IF(AND(E656&lt;&gt;"",E656&lt;&gt;"!!!"),"NEW","")))</f>
        <v/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4" t="str">
        <f t="shared" ca="1" si="45"/>
        <v/>
      </c>
      <c r="I656" s="25" t="str">
        <f>IF(OR(E656="",E656="!!!",F656="NEW"),"",INDEX(B$2:B655,-1+SUMPRODUCT(MAX(ROW(E$2:E655)*(E656=E$2:E655)))))</f>
        <v/>
      </c>
      <c r="J656" s="25" t="str">
        <f ca="1">IF(OR(E656="",E656="!!!",F656="NEW"),"",COUNTBLANK(OFFSET(A$1,,,SUMPRODUCT(MAX(ROW(E$2:E656)*(E656=E$2:E656)))))-COUNTBLANK(OFFSET(A$1,,,SUMPRODUCT(MAX(ROW(E$1:E655)*(E2=E$1:E655))))))</f>
        <v/>
      </c>
      <c r="K656" s="25" t="str">
        <f>IF(OR(E656="",E656="!!!",F656="NEW"),"",INDEX(J$1:J655,SUMPRODUCT(MAX(ROW(E$1:E655)*(E656=E$1:E655)))))</f>
        <v/>
      </c>
      <c r="L656" s="26"/>
    </row>
    <row r="657" spans="1:12" x14ac:dyDescent="0.3">
      <c r="A657" t="s">
        <v>452</v>
      </c>
      <c r="B657" s="20" t="s">
        <v>176</v>
      </c>
      <c r="C657" s="20" t="s">
        <v>119</v>
      </c>
      <c r="E657" s="21" t="str">
        <f t="shared" si="44"/>
        <v/>
      </c>
      <c r="F657" s="22" t="str">
        <f>IF(OR(E657="",E657="!!!"),"",IF(NOT(ISNA(VLOOKUP(E657,E$1:E656,1,FALSE()))),"OLD",IF(AND(E657&lt;&gt;"",E657&lt;&gt;"!!!"),"NEW","")))</f>
        <v/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4" t="str">
        <f t="shared" ca="1" si="45"/>
        <v/>
      </c>
      <c r="I657" s="25" t="str">
        <f>IF(OR(E657="",E657="!!!",F657="NEW"),"",INDEX(B$2:B656,-1+SUMPRODUCT(MAX(ROW(E$2:E656)*(E657=E$2:E656)))))</f>
        <v/>
      </c>
      <c r="J657" s="25" t="str">
        <f ca="1">IF(OR(E657="",E657="!!!",F657="NEW"),"",COUNTBLANK(OFFSET(A$1,,,SUMPRODUCT(MAX(ROW(E$2:E657)*(E657=E$2:E657)))))-COUNTBLANK(OFFSET(A$1,,,SUMPRODUCT(MAX(ROW(E$1:E656)*(E2=E$1:E656))))))</f>
        <v/>
      </c>
      <c r="K657" s="25" t="str">
        <f>IF(OR(E657="",E657="!!!",F657="NEW"),"",INDEX(J$1:J656,SUMPRODUCT(MAX(ROW(E$1:E656)*(E657=E$1:E656)))))</f>
        <v/>
      </c>
      <c r="L657" s="26"/>
    </row>
    <row r="658" spans="1:12" x14ac:dyDescent="0.3">
      <c r="A658" t="s">
        <v>130</v>
      </c>
      <c r="E658" s="21" t="str">
        <f t="shared" si="44"/>
        <v/>
      </c>
      <c r="F658" s="22" t="str">
        <f>IF(OR(E658="",E658="!!!"),"",IF(NOT(ISNA(VLOOKUP(E658,E$1:E657,1,FALSE()))),"OLD",IF(AND(E658&lt;&gt;"",E658&lt;&gt;"!!!"),"NEW","")))</f>
        <v/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4" t="str">
        <f t="shared" ca="1" si="45"/>
        <v/>
      </c>
      <c r="I658" s="25" t="str">
        <f>IF(OR(E658="",E658="!!!",F658="NEW"),"",INDEX(B$2:B657,-1+SUMPRODUCT(MAX(ROW(E$2:E657)*(E658=E$2:E657)))))</f>
        <v/>
      </c>
      <c r="J658" s="25" t="str">
        <f ca="1">IF(OR(E658="",E658="!!!",F658="NEW"),"",COUNTBLANK(OFFSET(A$1,,,SUMPRODUCT(MAX(ROW(E$2:E658)*(E658=E$2:E658)))))-COUNTBLANK(OFFSET(A$1,,,SUMPRODUCT(MAX(ROW(E$1:E657)*(E2=E$1:E657))))))</f>
        <v/>
      </c>
      <c r="K658" s="25" t="str">
        <f>IF(OR(E658="",E658="!!!",F658="NEW"),"",INDEX(J$1:J657,SUMPRODUCT(MAX(ROW(E$1:E657)*(E658=E$1:E657)))))</f>
        <v/>
      </c>
      <c r="L658" s="26"/>
    </row>
    <row r="659" spans="1:12" x14ac:dyDescent="0.3">
      <c r="A659" t="s">
        <v>232</v>
      </c>
      <c r="E659" s="21" t="str">
        <f t="shared" si="44"/>
        <v/>
      </c>
      <c r="F659" s="22" t="str">
        <f>IF(OR(E659="",E659="!!!"),"",IF(NOT(ISNA(VLOOKUP(E659,E$1:E658,1,FALSE()))),"OLD",IF(AND(E659&lt;&gt;"",E659&lt;&gt;"!!!"),"NEW","")))</f>
        <v/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4" t="str">
        <f t="shared" ca="1" si="45"/>
        <v/>
      </c>
      <c r="I659" s="25" t="str">
        <f>IF(OR(E659="",E659="!!!",F659="NEW"),"",INDEX(B$2:B658,-1+SUMPRODUCT(MAX(ROW(E$2:E658)*(E659=E$2:E658)))))</f>
        <v/>
      </c>
      <c r="J659" s="25" t="str">
        <f ca="1">IF(OR(E659="",E659="!!!",F659="NEW"),"",COUNTBLANK(OFFSET(A$1,,,SUMPRODUCT(MAX(ROW(E$2:E659)*(E659=E$2:E659)))))-COUNTBLANK(OFFSET(A$1,,,SUMPRODUCT(MAX(ROW(E$1:E658)*(E2=E$1:E658))))))</f>
        <v/>
      </c>
      <c r="K659" s="25" t="str">
        <f>IF(OR(E659="",E659="!!!",F659="NEW"),"",INDEX(J$1:J658,SUMPRODUCT(MAX(ROW(E$1:E658)*(E659=E$1:E658)))))</f>
        <v/>
      </c>
      <c r="L659" s="26"/>
    </row>
    <row r="660" spans="1:12" x14ac:dyDescent="0.3">
      <c r="A660" t="s">
        <v>453</v>
      </c>
      <c r="B660" s="20" t="s">
        <v>114</v>
      </c>
      <c r="C660" s="20" t="s">
        <v>234</v>
      </c>
      <c r="E660" s="21" t="str">
        <f t="shared" si="44"/>
        <v/>
      </c>
      <c r="F660" s="22" t="str">
        <f>IF(OR(E660="",E660="!!!"),"",IF(NOT(ISNA(VLOOKUP(E660,E$1:E659,1,FALSE()))),"OLD",IF(AND(E660&lt;&gt;"",E660&lt;&gt;"!!!"),"NEW","")))</f>
        <v/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4" t="str">
        <f t="shared" ca="1" si="45"/>
        <v/>
      </c>
      <c r="I660" s="25" t="str">
        <f>IF(OR(E660="",E660="!!!",F660="NEW"),"",INDEX(B$2:B659,-1+SUMPRODUCT(MAX(ROW(E$2:E659)*(E660=E$2:E659)))))</f>
        <v/>
      </c>
      <c r="J660" s="25" t="str">
        <f ca="1">IF(OR(E660="",E660="!!!",F660="NEW"),"",COUNTBLANK(OFFSET(A$1,,,SUMPRODUCT(MAX(ROW(E$2:E660)*(E660=E$2:E660)))))-COUNTBLANK(OFFSET(A$1,,,SUMPRODUCT(MAX(ROW(E$1:E659)*(E2=E$1:E659))))))</f>
        <v/>
      </c>
      <c r="K660" s="25" t="str">
        <f>IF(OR(E660="",E660="!!!",F660="NEW"),"",INDEX(J$1:J659,SUMPRODUCT(MAX(ROW(E$1:E659)*(E660=E$1:E659)))))</f>
        <v/>
      </c>
      <c r="L660" s="26"/>
    </row>
    <row r="661" spans="1:12" x14ac:dyDescent="0.3">
      <c r="A661" t="s">
        <v>286</v>
      </c>
      <c r="E661" s="21" t="str">
        <f t="shared" si="44"/>
        <v/>
      </c>
      <c r="F661" s="22" t="str">
        <f>IF(OR(E661="",E661="!!!"),"",IF(NOT(ISNA(VLOOKUP(E661,E$1:E660,1,FALSE()))),"OLD",IF(AND(E661&lt;&gt;"",E661&lt;&gt;"!!!"),"NEW","")))</f>
        <v/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4" t="str">
        <f t="shared" ca="1" si="45"/>
        <v/>
      </c>
      <c r="I661" s="25" t="str">
        <f>IF(OR(E661="",E661="!!!",F661="NEW"),"",INDEX(B$2:B660,-1+SUMPRODUCT(MAX(ROW(E$2:E660)*(E661=E$2:E660)))))</f>
        <v/>
      </c>
      <c r="J661" s="25" t="str">
        <f ca="1">IF(OR(E661="",E661="!!!",F661="NEW"),"",COUNTBLANK(OFFSET(A$1,,,SUMPRODUCT(MAX(ROW(E$2:E661)*(E661=E$2:E661)))))-COUNTBLANK(OFFSET(A$1,,,SUMPRODUCT(MAX(ROW(E$1:E660)*(E2=E$1:E660))))))</f>
        <v/>
      </c>
      <c r="K661" s="25" t="str">
        <f>IF(OR(E661="",E661="!!!",F661="NEW"),"",INDEX(J$1:J660,SUMPRODUCT(MAX(ROW(E$1:E660)*(E661=E$1:E660)))))</f>
        <v/>
      </c>
      <c r="L661" s="26"/>
    </row>
    <row r="662" spans="1:12" x14ac:dyDescent="0.3">
      <c r="A662" t="s">
        <v>124</v>
      </c>
      <c r="E662" s="21" t="str">
        <f t="shared" si="44"/>
        <v/>
      </c>
      <c r="F662" s="22" t="str">
        <f>IF(OR(E662="",E662="!!!"),"",IF(NOT(ISNA(VLOOKUP(E662,E$1:E661,1,FALSE()))),"OLD",IF(AND(E662&lt;&gt;"",E662&lt;&gt;"!!!"),"NEW","")))</f>
        <v/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4" t="str">
        <f t="shared" ca="1" si="45"/>
        <v/>
      </c>
      <c r="I662" s="25" t="str">
        <f>IF(OR(E662="",E662="!!!",F662="NEW"),"",INDEX(B$2:B661,-1+SUMPRODUCT(MAX(ROW(E$2:E661)*(E662=E$2:E661)))))</f>
        <v/>
      </c>
      <c r="J662" s="25" t="str">
        <f ca="1">IF(OR(E662="",E662="!!!",F662="NEW"),"",COUNTBLANK(OFFSET(A$1,,,SUMPRODUCT(MAX(ROW(E$2:E662)*(E662=E$2:E662)))))-COUNTBLANK(OFFSET(A$1,,,SUMPRODUCT(MAX(ROW(E$1:E661)*(E2=E$1:E661))))))</f>
        <v/>
      </c>
      <c r="K662" s="25" t="str">
        <f>IF(OR(E662="",E662="!!!",F662="NEW"),"",INDEX(J$1:J661,SUMPRODUCT(MAX(ROW(E$1:E661)*(E662=E$1:E661)))))</f>
        <v/>
      </c>
      <c r="L662" s="26"/>
    </row>
    <row r="664" spans="1:12" x14ac:dyDescent="0.3">
      <c r="A664" t="s">
        <v>454</v>
      </c>
    </row>
    <row r="665" spans="1:12" x14ac:dyDescent="0.3">
      <c r="A665" t="s">
        <v>455</v>
      </c>
      <c r="E665" s="21" t="str">
        <f t="shared" ref="E665:E689" si="46">IF(D665="?OLD","!!!","")</f>
        <v/>
      </c>
      <c r="F665" s="22" t="str">
        <f>IF(OR(E665="",E665="!!!"),"",IF(NOT(ISNA(VLOOKUP(E665,E$1:E664,1,FALSE()))),"OLD",IF(AND(E665&lt;&gt;"",E665&lt;&gt;"!!!"),"NEW","")))</f>
        <v/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4" t="str">
        <f t="shared" ref="H665:H689" ca="1" si="47">IF(J665&lt;&gt;1,"",IF(I665="SBJ","CB","?"))</f>
        <v/>
      </c>
      <c r="I665" s="25" t="str">
        <f>IF(OR(E665="",E665="!!!",F665="NEW"),"",INDEX(B$2:B664,-1+SUMPRODUCT(MAX(ROW(E$2:E664)*(E665=E$2:E664)))))</f>
        <v/>
      </c>
      <c r="J665" s="25" t="str">
        <f ca="1">IF(OR(E665="",E665="!!!",F665="NEW"),"",COUNTBLANK(OFFSET(A$1,,,SUMPRODUCT(MAX(ROW(E$2:E665)*(E665=E$2:E665)))))-COUNTBLANK(OFFSET(A$1,,,SUMPRODUCT(MAX(ROW(E$1:E664)*(E2=E$1:E664))))))</f>
        <v/>
      </c>
      <c r="K665" s="25" t="str">
        <f>IF(OR(E665="",E665="!!!",F665="NEW"),"",INDEX(J$1:J664,SUMPRODUCT(MAX(ROW(E$1:E664)*(E665=E$1:E664)))))</f>
        <v/>
      </c>
      <c r="L665" s="26"/>
    </row>
    <row r="666" spans="1:12" x14ac:dyDescent="0.3">
      <c r="A666" t="s">
        <v>97</v>
      </c>
      <c r="E666" s="21" t="str">
        <f t="shared" si="46"/>
        <v/>
      </c>
      <c r="F666" s="22" t="str">
        <f>IF(OR(E666="",E666="!!!"),"",IF(NOT(ISNA(VLOOKUP(E666,E$1:E665,1,FALSE()))),"OLD",IF(AND(E666&lt;&gt;"",E666&lt;&gt;"!!!"),"NEW","")))</f>
        <v/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4" t="str">
        <f t="shared" ca="1" si="47"/>
        <v/>
      </c>
      <c r="I666" s="25" t="str">
        <f>IF(OR(E666="",E666="!!!",F666="NEW"),"",INDEX(B$2:B665,-1+SUMPRODUCT(MAX(ROW(E$2:E665)*(E666=E$2:E665)))))</f>
        <v/>
      </c>
      <c r="J666" s="25" t="str">
        <f ca="1">IF(OR(E666="",E666="!!!",F666="NEW"),"",COUNTBLANK(OFFSET(A$1,,,SUMPRODUCT(MAX(ROW(E$2:E666)*(E666=E$2:E666)))))-COUNTBLANK(OFFSET(A$1,,,SUMPRODUCT(MAX(ROW(E$1:E665)*(E2=E$1:E665))))))</f>
        <v/>
      </c>
      <c r="K666" s="25" t="str">
        <f>IF(OR(E666="",E666="!!!",F666="NEW"),"",INDEX(J$1:J665,SUMPRODUCT(MAX(ROW(E$1:E665)*(E666=E$1:E665)))))</f>
        <v/>
      </c>
      <c r="L666" s="26"/>
    </row>
    <row r="667" spans="1:12" x14ac:dyDescent="0.3">
      <c r="A667" t="s">
        <v>98</v>
      </c>
      <c r="B667" s="20" t="s">
        <v>99</v>
      </c>
      <c r="C667" s="20" t="s">
        <v>100</v>
      </c>
      <c r="D667" s="20" t="s">
        <v>95</v>
      </c>
      <c r="E667" s="21" t="str">
        <f t="shared" si="46"/>
        <v>!!!</v>
      </c>
      <c r="F667" s="22" t="str">
        <f>IF(OR(E667="",E667="!!!"),"",IF(NOT(ISNA(VLOOKUP(E667,E$1:E666,1,FALSE()))),"OLD",IF(AND(E667&lt;&gt;"",E667&lt;&gt;"!!!"),"NEW","")))</f>
        <v/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4" t="str">
        <f t="shared" ca="1" si="47"/>
        <v/>
      </c>
      <c r="I667" s="25" t="str">
        <f>IF(OR(E667="",E667="!!!",F667="NEW"),"",INDEX(B$2:B666,-1+SUMPRODUCT(MAX(ROW(E$2:E666)*(E667=E$2:E666)))))</f>
        <v/>
      </c>
      <c r="J667" s="25" t="str">
        <f ca="1">IF(OR(E667="",E667="!!!",F667="NEW"),"",COUNTBLANK(OFFSET(A$1,,,SUMPRODUCT(MAX(ROW(E$2:E667)*(E667=E$2:E667)))))-COUNTBLANK(OFFSET(A$1,,,SUMPRODUCT(MAX(ROW(E$1:E666)*(E2=E$1:E666))))))</f>
        <v/>
      </c>
      <c r="K667" s="25" t="str">
        <f>IF(OR(E667="",E667="!!!",F667="NEW"),"",INDEX(J$1:J666,SUMPRODUCT(MAX(ROW(E$1:E666)*(E667=E$1:E666)))))</f>
        <v/>
      </c>
      <c r="L667" s="26"/>
    </row>
    <row r="668" spans="1:12" x14ac:dyDescent="0.3">
      <c r="A668" t="s">
        <v>101</v>
      </c>
      <c r="E668" s="21" t="str">
        <f t="shared" si="46"/>
        <v/>
      </c>
      <c r="F668" s="22" t="str">
        <f>IF(OR(E668="",E668="!!!"),"",IF(NOT(ISNA(VLOOKUP(E668,E$1:E667,1,FALSE()))),"OLD",IF(AND(E668&lt;&gt;"",E668&lt;&gt;"!!!"),"NEW","")))</f>
        <v/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4" t="str">
        <f t="shared" ca="1" si="47"/>
        <v/>
      </c>
      <c r="I668" s="25" t="str">
        <f>IF(OR(E668="",E668="!!!",F668="NEW"),"",INDEX(B$2:B667,-1+SUMPRODUCT(MAX(ROW(E$2:E667)*(E668=E$2:E667)))))</f>
        <v/>
      </c>
      <c r="J668" s="25" t="str">
        <f ca="1">IF(OR(E668="",E668="!!!",F668="NEW"),"",COUNTBLANK(OFFSET(A$1,,,SUMPRODUCT(MAX(ROW(E$2:E668)*(E668=E$2:E668)))))-COUNTBLANK(OFFSET(A$1,,,SUMPRODUCT(MAX(ROW(E$1:E667)*(E2=E$1:E667))))))</f>
        <v/>
      </c>
      <c r="K668" s="25" t="str">
        <f>IF(OR(E668="",E668="!!!",F668="NEW"),"",INDEX(J$1:J667,SUMPRODUCT(MAX(ROW(E$1:E667)*(E668=E$1:E667)))))</f>
        <v/>
      </c>
      <c r="L668" s="26"/>
    </row>
    <row r="669" spans="1:12" x14ac:dyDescent="0.3">
      <c r="A669" t="s">
        <v>456</v>
      </c>
      <c r="E669" s="21" t="str">
        <f t="shared" si="46"/>
        <v/>
      </c>
      <c r="F669" s="22" t="str">
        <f>IF(OR(E669="",E669="!!!"),"",IF(NOT(ISNA(VLOOKUP(E669,E$1:E668,1,FALSE()))),"OLD",IF(AND(E669&lt;&gt;"",E669&lt;&gt;"!!!"),"NEW","")))</f>
        <v/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4" t="str">
        <f t="shared" ca="1" si="47"/>
        <v/>
      </c>
      <c r="I669" s="25" t="str">
        <f>IF(OR(E669="",E669="!!!",F669="NEW"),"",INDEX(B$2:B668,-1+SUMPRODUCT(MAX(ROW(E$2:E668)*(E669=E$2:E668)))))</f>
        <v/>
      </c>
      <c r="J669" s="25" t="str">
        <f ca="1">IF(OR(E669="",E669="!!!",F669="NEW"),"",COUNTBLANK(OFFSET(A$1,,,SUMPRODUCT(MAX(ROW(E$2:E669)*(E669=E$2:E669)))))-COUNTBLANK(OFFSET(A$1,,,SUMPRODUCT(MAX(ROW(E$1:E668)*(E2=E$1:E668))))))</f>
        <v/>
      </c>
      <c r="K669" s="25" t="str">
        <f>IF(OR(E669="",E669="!!!",F669="NEW"),"",INDEX(J$1:J668,SUMPRODUCT(MAX(ROW(E$1:E668)*(E669=E$1:E668)))))</f>
        <v/>
      </c>
      <c r="L669" s="26"/>
    </row>
    <row r="670" spans="1:12" x14ac:dyDescent="0.3">
      <c r="A670" t="s">
        <v>97</v>
      </c>
      <c r="E670" s="21" t="str">
        <f t="shared" si="46"/>
        <v/>
      </c>
      <c r="F670" s="22" t="str">
        <f>IF(OR(E670="",E670="!!!"),"",IF(NOT(ISNA(VLOOKUP(E670,E$1:E669,1,FALSE()))),"OLD",IF(AND(E670&lt;&gt;"",E670&lt;&gt;"!!!"),"NEW","")))</f>
        <v/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4" t="str">
        <f t="shared" ca="1" si="47"/>
        <v/>
      </c>
      <c r="I670" s="25" t="str">
        <f>IF(OR(E670="",E670="!!!",F670="NEW"),"",INDEX(B$2:B669,-1+SUMPRODUCT(MAX(ROW(E$2:E669)*(E670=E$2:E669)))))</f>
        <v/>
      </c>
      <c r="J670" s="25" t="str">
        <f ca="1">IF(OR(E670="",E670="!!!",F670="NEW"),"",COUNTBLANK(OFFSET(A$1,,,SUMPRODUCT(MAX(ROW(E$2:E670)*(E670=E$2:E670)))))-COUNTBLANK(OFFSET(A$1,,,SUMPRODUCT(MAX(ROW(E$1:E669)*(E2=E$1:E669))))))</f>
        <v/>
      </c>
      <c r="K670" s="25" t="str">
        <f>IF(OR(E670="",E670="!!!",F670="NEW"),"",INDEX(J$1:J669,SUMPRODUCT(MAX(ROW(E$1:E669)*(E670=E$1:E669)))))</f>
        <v/>
      </c>
      <c r="L670" s="26"/>
    </row>
    <row r="671" spans="1:12" x14ac:dyDescent="0.3">
      <c r="A671" t="s">
        <v>457</v>
      </c>
      <c r="B671" s="20" t="s">
        <v>113</v>
      </c>
      <c r="C671" s="20" t="s">
        <v>100</v>
      </c>
      <c r="D671" s="20" t="s">
        <v>95</v>
      </c>
      <c r="E671" s="21" t="str">
        <f t="shared" si="46"/>
        <v>!!!</v>
      </c>
      <c r="F671" s="22" t="str">
        <f>IF(OR(E671="",E671="!!!"),"",IF(NOT(ISNA(VLOOKUP(E671,E$1:E670,1,FALSE()))),"OLD",IF(AND(E671&lt;&gt;"",E671&lt;&gt;"!!!"),"NEW","")))</f>
        <v/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4" t="str">
        <f t="shared" ca="1" si="47"/>
        <v/>
      </c>
      <c r="I671" s="25" t="str">
        <f>IF(OR(E671="",E671="!!!",F671="NEW"),"",INDEX(B$2:B670,-1+SUMPRODUCT(MAX(ROW(E$2:E670)*(E671=E$2:E670)))))</f>
        <v/>
      </c>
      <c r="J671" s="25" t="str">
        <f ca="1">IF(OR(E671="",E671="!!!",F671="NEW"),"",COUNTBLANK(OFFSET(A$1,,,SUMPRODUCT(MAX(ROW(E$2:E671)*(E671=E$2:E671)))))-COUNTBLANK(OFFSET(A$1,,,SUMPRODUCT(MAX(ROW(E$1:E670)*(E2=E$1:E670))))))</f>
        <v/>
      </c>
      <c r="K671" s="25" t="str">
        <f>IF(OR(E671="",E671="!!!",F671="NEW"),"",INDEX(J$1:J670,SUMPRODUCT(MAX(ROW(E$1:E670)*(E671=E$1:E670)))))</f>
        <v/>
      </c>
      <c r="L671" s="26"/>
    </row>
    <row r="672" spans="1:12" x14ac:dyDescent="0.3">
      <c r="A672" t="s">
        <v>105</v>
      </c>
      <c r="E672" s="21" t="str">
        <f t="shared" si="46"/>
        <v/>
      </c>
      <c r="F672" s="22" t="str">
        <f>IF(OR(E672="",E672="!!!"),"",IF(NOT(ISNA(VLOOKUP(E672,E$1:E671,1,FALSE()))),"OLD",IF(AND(E672&lt;&gt;"",E672&lt;&gt;"!!!"),"NEW","")))</f>
        <v/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4" t="str">
        <f t="shared" ca="1" si="47"/>
        <v/>
      </c>
      <c r="I672" s="25" t="str">
        <f>IF(OR(E672="",E672="!!!",F672="NEW"),"",INDEX(B$2:B671,-1+SUMPRODUCT(MAX(ROW(E$2:E671)*(E672=E$2:E671)))))</f>
        <v/>
      </c>
      <c r="J672" s="25" t="str">
        <f ca="1">IF(OR(E672="",E672="!!!",F672="NEW"),"",COUNTBLANK(OFFSET(A$1,,,SUMPRODUCT(MAX(ROW(E$2:E672)*(E672=E$2:E672)))))-COUNTBLANK(OFFSET(A$1,,,SUMPRODUCT(MAX(ROW(E$1:E671)*(E2=E$1:E671))))))</f>
        <v/>
      </c>
      <c r="K672" s="25" t="str">
        <f>IF(OR(E672="",E672="!!!",F672="NEW"),"",INDEX(J$1:J671,SUMPRODUCT(MAX(ROW(E$1:E671)*(E672=E$1:E671)))))</f>
        <v/>
      </c>
      <c r="L672" s="26"/>
    </row>
    <row r="673" spans="1:12" x14ac:dyDescent="0.3">
      <c r="A673" t="s">
        <v>161</v>
      </c>
      <c r="B673" s="20" t="s">
        <v>128</v>
      </c>
      <c r="C673" s="20" t="s">
        <v>94</v>
      </c>
      <c r="D673" s="20" t="s">
        <v>95</v>
      </c>
      <c r="E673" s="21" t="str">
        <f t="shared" si="46"/>
        <v>!!!</v>
      </c>
      <c r="F673" s="22" t="str">
        <f>IF(OR(E673="",E673="!!!"),"",IF(NOT(ISNA(VLOOKUP(E673,E$1:E672,1,FALSE()))),"OLD",IF(AND(E673&lt;&gt;"",E673&lt;&gt;"!!!"),"NEW","")))</f>
        <v/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4" t="str">
        <f t="shared" ca="1" si="47"/>
        <v/>
      </c>
      <c r="I673" s="25" t="str">
        <f>IF(OR(E673="",E673="!!!",F673="NEW"),"",INDEX(B$2:B672,-1+SUMPRODUCT(MAX(ROW(E$2:E672)*(E673=E$2:E672)))))</f>
        <v/>
      </c>
      <c r="J673" s="25" t="str">
        <f ca="1">IF(OR(E673="",E673="!!!",F673="NEW"),"",COUNTBLANK(OFFSET(A$1,,,SUMPRODUCT(MAX(ROW(E$2:E673)*(E673=E$2:E673)))))-COUNTBLANK(OFFSET(A$1,,,SUMPRODUCT(MAX(ROW(E$1:E672)*(E2=E$1:E672))))))</f>
        <v/>
      </c>
      <c r="K673" s="25" t="str">
        <f>IF(OR(E673="",E673="!!!",F673="NEW"),"",INDEX(J$1:J672,SUMPRODUCT(MAX(ROW(E$1:E672)*(E673=E$1:E672)))))</f>
        <v/>
      </c>
      <c r="L673" s="26"/>
    </row>
    <row r="674" spans="1:12" x14ac:dyDescent="0.3">
      <c r="A674" t="s">
        <v>458</v>
      </c>
      <c r="E674" s="21" t="str">
        <f t="shared" si="46"/>
        <v/>
      </c>
      <c r="F674" s="22" t="str">
        <f>IF(OR(E674="",E674="!!!"),"",IF(NOT(ISNA(VLOOKUP(E674,E$1:E673,1,FALSE()))),"OLD",IF(AND(E674&lt;&gt;"",E674&lt;&gt;"!!!"),"NEW","")))</f>
        <v/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4" t="str">
        <f t="shared" ca="1" si="47"/>
        <v/>
      </c>
      <c r="I674" s="25" t="str">
        <f>IF(OR(E674="",E674="!!!",F674="NEW"),"",INDEX(B$2:B673,-1+SUMPRODUCT(MAX(ROW(E$2:E673)*(E674=E$2:E673)))))</f>
        <v/>
      </c>
      <c r="J674" s="25" t="str">
        <f ca="1">IF(OR(E674="",E674="!!!",F674="NEW"),"",COUNTBLANK(OFFSET(A$1,,,SUMPRODUCT(MAX(ROW(E$2:E674)*(E674=E$2:E674)))))-COUNTBLANK(OFFSET(A$1,,,SUMPRODUCT(MAX(ROW(E$1:E673)*(E2=E$1:E673))))))</f>
        <v/>
      </c>
      <c r="K674" s="25" t="str">
        <f>IF(OR(E674="",E674="!!!",F674="NEW"),"",INDEX(J$1:J673,SUMPRODUCT(MAX(ROW(E$1:E673)*(E674=E$1:E673)))))</f>
        <v/>
      </c>
      <c r="L674" s="26"/>
    </row>
    <row r="675" spans="1:12" x14ac:dyDescent="0.3">
      <c r="A675" t="s">
        <v>105</v>
      </c>
      <c r="E675" s="21" t="str">
        <f t="shared" si="46"/>
        <v/>
      </c>
      <c r="F675" s="22" t="str">
        <f>IF(OR(E675="",E675="!!!"),"",IF(NOT(ISNA(VLOOKUP(E675,E$1:E674,1,FALSE()))),"OLD",IF(AND(E675&lt;&gt;"",E675&lt;&gt;"!!!"),"NEW","")))</f>
        <v/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4" t="str">
        <f t="shared" ca="1" si="47"/>
        <v/>
      </c>
      <c r="I675" s="25" t="str">
        <f>IF(OR(E675="",E675="!!!",F675="NEW"),"",INDEX(B$2:B674,-1+SUMPRODUCT(MAX(ROW(E$2:E674)*(E675=E$2:E674)))))</f>
        <v/>
      </c>
      <c r="J675" s="25" t="str">
        <f ca="1">IF(OR(E675="",E675="!!!",F675="NEW"),"",COUNTBLANK(OFFSET(A$1,,,SUMPRODUCT(MAX(ROW(E$2:E675)*(E675=E$2:E675)))))-COUNTBLANK(OFFSET(A$1,,,SUMPRODUCT(MAX(ROW(E$1:E674)*(E2=E$1:E674))))))</f>
        <v/>
      </c>
      <c r="K675" s="25" t="str">
        <f>IF(OR(E675="",E675="!!!",F675="NEW"),"",INDEX(J$1:J674,SUMPRODUCT(MAX(ROW(E$1:E674)*(E675=E$1:E674)))))</f>
        <v/>
      </c>
      <c r="L675" s="26"/>
    </row>
    <row r="676" spans="1:12" x14ac:dyDescent="0.3">
      <c r="A676" t="s">
        <v>182</v>
      </c>
      <c r="E676" s="21" t="str">
        <f t="shared" si="46"/>
        <v/>
      </c>
      <c r="F676" s="22" t="str">
        <f>IF(OR(E676="",E676="!!!"),"",IF(NOT(ISNA(VLOOKUP(E676,E$1:E675,1,FALSE()))),"OLD",IF(AND(E676&lt;&gt;"",E676&lt;&gt;"!!!"),"NEW","")))</f>
        <v/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4" t="str">
        <f t="shared" ca="1" si="47"/>
        <v/>
      </c>
      <c r="I676" s="25" t="str">
        <f>IF(OR(E676="",E676="!!!",F676="NEW"),"",INDEX(B$2:B675,-1+SUMPRODUCT(MAX(ROW(E$2:E675)*(E676=E$2:E675)))))</f>
        <v/>
      </c>
      <c r="J676" s="25" t="str">
        <f ca="1">IF(OR(E676="",E676="!!!",F676="NEW"),"",COUNTBLANK(OFFSET(A$1,,,SUMPRODUCT(MAX(ROW(E$2:E676)*(E676=E$2:E676)))))-COUNTBLANK(OFFSET(A$1,,,SUMPRODUCT(MAX(ROW(E$1:E675)*(E2=E$1:E675))))))</f>
        <v/>
      </c>
      <c r="K676" s="25" t="str">
        <f>IF(OR(E676="",E676="!!!",F676="NEW"),"",INDEX(J$1:J675,SUMPRODUCT(MAX(ROW(E$1:E675)*(E676=E$1:E675)))))</f>
        <v/>
      </c>
      <c r="L676" s="26"/>
    </row>
    <row r="677" spans="1:12" x14ac:dyDescent="0.3">
      <c r="A677" t="s">
        <v>459</v>
      </c>
      <c r="B677" s="20" t="s">
        <v>93</v>
      </c>
      <c r="C677" s="20" t="s">
        <v>151</v>
      </c>
      <c r="D677" s="20" t="s">
        <v>95</v>
      </c>
      <c r="E677" s="21" t="str">
        <f t="shared" si="46"/>
        <v>!!!</v>
      </c>
      <c r="F677" s="22" t="str">
        <f>IF(OR(E677="",E677="!!!"),"",IF(NOT(ISNA(VLOOKUP(E677,E$1:E676,1,FALSE()))),"OLD",IF(AND(E677&lt;&gt;"",E677&lt;&gt;"!!!"),"NEW","")))</f>
        <v/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4" t="str">
        <f t="shared" ca="1" si="47"/>
        <v/>
      </c>
      <c r="I677" s="25" t="str">
        <f>IF(OR(E677="",E677="!!!",F677="NEW"),"",INDEX(B$2:B676,-1+SUMPRODUCT(MAX(ROW(E$2:E676)*(E677=E$2:E676)))))</f>
        <v/>
      </c>
      <c r="J677" s="25" t="str">
        <f ca="1">IF(OR(E677="",E677="!!!",F677="NEW"),"",COUNTBLANK(OFFSET(A$1,,,SUMPRODUCT(MAX(ROW(E$2:E677)*(E677=E$2:E677)))))-COUNTBLANK(OFFSET(A$1,,,SUMPRODUCT(MAX(ROW(E$1:E676)*(E2=E$1:E676))))))</f>
        <v/>
      </c>
      <c r="K677" s="25" t="str">
        <f>IF(OR(E677="",E677="!!!",F677="NEW"),"",INDEX(J$1:J676,SUMPRODUCT(MAX(ROW(E$1:E676)*(E677=E$1:E676)))))</f>
        <v/>
      </c>
      <c r="L677" s="26"/>
    </row>
    <row r="678" spans="1:12" x14ac:dyDescent="0.3">
      <c r="A678" t="s">
        <v>188</v>
      </c>
      <c r="E678" s="21" t="str">
        <f t="shared" si="46"/>
        <v/>
      </c>
      <c r="F678" s="22" t="str">
        <f>IF(OR(E678="",E678="!!!"),"",IF(NOT(ISNA(VLOOKUP(E678,E$1:E677,1,FALSE()))),"OLD",IF(AND(E678&lt;&gt;"",E678&lt;&gt;"!!!"),"NEW","")))</f>
        <v/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4" t="str">
        <f t="shared" ca="1" si="47"/>
        <v/>
      </c>
      <c r="I678" s="25" t="str">
        <f>IF(OR(E678="",E678="!!!",F678="NEW"),"",INDEX(B$2:B677,-1+SUMPRODUCT(MAX(ROW(E$2:E677)*(E678=E$2:E677)))))</f>
        <v/>
      </c>
      <c r="J678" s="25" t="str">
        <f ca="1">IF(OR(E678="",E678="!!!",F678="NEW"),"",COUNTBLANK(OFFSET(A$1,,,SUMPRODUCT(MAX(ROW(E$2:E678)*(E678=E$2:E678)))))-COUNTBLANK(OFFSET(A$1,,,SUMPRODUCT(MAX(ROW(E$1:E677)*(E2=E$1:E677))))))</f>
        <v/>
      </c>
      <c r="K678" s="25" t="str">
        <f>IF(OR(E678="",E678="!!!",F678="NEW"),"",INDEX(J$1:J677,SUMPRODUCT(MAX(ROW(E$1:E677)*(E678=E$1:E677)))))</f>
        <v/>
      </c>
      <c r="L678" s="26"/>
    </row>
    <row r="679" spans="1:12" x14ac:dyDescent="0.3">
      <c r="A679" t="s">
        <v>460</v>
      </c>
      <c r="E679" s="21" t="str">
        <f t="shared" si="46"/>
        <v/>
      </c>
      <c r="F679" s="22" t="str">
        <f>IF(OR(E679="",E679="!!!"),"",IF(NOT(ISNA(VLOOKUP(E679,E$1:E678,1,FALSE()))),"OLD",IF(AND(E679&lt;&gt;"",E679&lt;&gt;"!!!"),"NEW","")))</f>
        <v/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4" t="str">
        <f t="shared" ca="1" si="47"/>
        <v/>
      </c>
      <c r="I679" s="25" t="str">
        <f>IF(OR(E679="",E679="!!!",F679="NEW"),"",INDEX(B$2:B678,-1+SUMPRODUCT(MAX(ROW(E$2:E678)*(E679=E$2:E678)))))</f>
        <v/>
      </c>
      <c r="J679" s="25" t="str">
        <f ca="1">IF(OR(E679="",E679="!!!",F679="NEW"),"",COUNTBLANK(OFFSET(A$1,,,SUMPRODUCT(MAX(ROW(E$2:E679)*(E679=E$2:E679)))))-COUNTBLANK(OFFSET(A$1,,,SUMPRODUCT(MAX(ROW(E$1:E678)*(E2=E$1:E678))))))</f>
        <v/>
      </c>
      <c r="K679" s="25" t="str">
        <f>IF(OR(E679="",E679="!!!",F679="NEW"),"",INDEX(J$1:J678,SUMPRODUCT(MAX(ROW(E$1:E678)*(E679=E$1:E678)))))</f>
        <v/>
      </c>
      <c r="L679" s="26"/>
    </row>
    <row r="680" spans="1:12" x14ac:dyDescent="0.3">
      <c r="A680" t="s">
        <v>461</v>
      </c>
      <c r="E680" s="21" t="str">
        <f t="shared" si="46"/>
        <v/>
      </c>
      <c r="F680" s="22" t="str">
        <f>IF(OR(E680="",E680="!!!"),"",IF(NOT(ISNA(VLOOKUP(E680,E$1:E679,1,FALSE()))),"OLD",IF(AND(E680&lt;&gt;"",E680&lt;&gt;"!!!"),"NEW","")))</f>
        <v/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4" t="str">
        <f t="shared" ca="1" si="47"/>
        <v/>
      </c>
      <c r="I680" s="25" t="str">
        <f>IF(OR(E680="",E680="!!!",F680="NEW"),"",INDEX(B$2:B679,-1+SUMPRODUCT(MAX(ROW(E$2:E679)*(E680=E$2:E679)))))</f>
        <v/>
      </c>
      <c r="J680" s="25" t="str">
        <f ca="1">IF(OR(E680="",E680="!!!",F680="NEW"),"",COUNTBLANK(OFFSET(A$1,,,SUMPRODUCT(MAX(ROW(E$2:E680)*(E680=E$2:E680)))))-COUNTBLANK(OFFSET(A$1,,,SUMPRODUCT(MAX(ROW(E$1:E679)*(E2=E$1:E679))))))</f>
        <v/>
      </c>
      <c r="K680" s="25" t="str">
        <f>IF(OR(E680="",E680="!!!",F680="NEW"),"",INDEX(J$1:J679,SUMPRODUCT(MAX(ROW(E$1:E679)*(E680=E$1:E679)))))</f>
        <v/>
      </c>
      <c r="L680" s="26"/>
    </row>
    <row r="681" spans="1:12" x14ac:dyDescent="0.3">
      <c r="A681" t="s">
        <v>462</v>
      </c>
      <c r="B681" s="20" t="s">
        <v>176</v>
      </c>
      <c r="C681" s="20" t="s">
        <v>234</v>
      </c>
      <c r="E681" s="21" t="str">
        <f t="shared" si="46"/>
        <v/>
      </c>
      <c r="F681" s="22" t="str">
        <f>IF(OR(E681="",E681="!!!"),"",IF(NOT(ISNA(VLOOKUP(E681,E$1:E680,1,FALSE()))),"OLD",IF(AND(E681&lt;&gt;"",E681&lt;&gt;"!!!"),"NEW","")))</f>
        <v/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4" t="str">
        <f t="shared" ca="1" si="47"/>
        <v/>
      </c>
      <c r="I681" s="25" t="str">
        <f>IF(OR(E681="",E681="!!!",F681="NEW"),"",INDEX(B$2:B680,-1+SUMPRODUCT(MAX(ROW(E$2:E680)*(E681=E$2:E680)))))</f>
        <v/>
      </c>
      <c r="J681" s="25" t="str">
        <f ca="1">IF(OR(E681="",E681="!!!",F681="NEW"),"",COUNTBLANK(OFFSET(A$1,,,SUMPRODUCT(MAX(ROW(E$2:E681)*(E681=E$2:E681)))))-COUNTBLANK(OFFSET(A$1,,,SUMPRODUCT(MAX(ROW(E$1:E680)*(E2=E$1:E680))))))</f>
        <v/>
      </c>
      <c r="K681" s="25" t="str">
        <f>IF(OR(E681="",E681="!!!",F681="NEW"),"",INDEX(J$1:J680,SUMPRODUCT(MAX(ROW(E$1:E680)*(E681=E$1:E680)))))</f>
        <v/>
      </c>
      <c r="L681" s="26"/>
    </row>
    <row r="682" spans="1:12" x14ac:dyDescent="0.3">
      <c r="A682" t="s">
        <v>130</v>
      </c>
      <c r="E682" s="21" t="str">
        <f t="shared" si="46"/>
        <v/>
      </c>
      <c r="F682" s="22" t="str">
        <f>IF(OR(E682="",E682="!!!"),"",IF(NOT(ISNA(VLOOKUP(E682,E$1:E681,1,FALSE()))),"OLD",IF(AND(E682&lt;&gt;"",E682&lt;&gt;"!!!"),"NEW","")))</f>
        <v/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4" t="str">
        <f t="shared" ca="1" si="47"/>
        <v/>
      </c>
      <c r="I682" s="25" t="str">
        <f>IF(OR(E682="",E682="!!!",F682="NEW"),"",INDEX(B$2:B681,-1+SUMPRODUCT(MAX(ROW(E$2:E681)*(E682=E$2:E681)))))</f>
        <v/>
      </c>
      <c r="J682" s="25" t="str">
        <f ca="1">IF(OR(E682="",E682="!!!",F682="NEW"),"",COUNTBLANK(OFFSET(A$1,,,SUMPRODUCT(MAX(ROW(E$2:E682)*(E682=E$2:E682)))))-COUNTBLANK(OFFSET(A$1,,,SUMPRODUCT(MAX(ROW(E$1:E681)*(E2=E$1:E681))))))</f>
        <v/>
      </c>
      <c r="K682" s="25" t="str">
        <f>IF(OR(E682="",E682="!!!",F682="NEW"),"",INDEX(J$1:J681,SUMPRODUCT(MAX(ROW(E$1:E681)*(E682=E$1:E681)))))</f>
        <v/>
      </c>
      <c r="L682" s="26"/>
    </row>
    <row r="683" spans="1:12" x14ac:dyDescent="0.3">
      <c r="A683" t="s">
        <v>463</v>
      </c>
      <c r="E683" s="21" t="str">
        <f t="shared" si="46"/>
        <v/>
      </c>
      <c r="F683" s="22" t="str">
        <f>IF(OR(E683="",E683="!!!"),"",IF(NOT(ISNA(VLOOKUP(E683,E$1:E682,1,FALSE()))),"OLD",IF(AND(E683&lt;&gt;"",E683&lt;&gt;"!!!"),"NEW","")))</f>
        <v/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4" t="str">
        <f t="shared" ca="1" si="47"/>
        <v/>
      </c>
      <c r="I683" s="25" t="str">
        <f>IF(OR(E683="",E683="!!!",F683="NEW"),"",INDEX(B$2:B682,-1+SUMPRODUCT(MAX(ROW(E$2:E682)*(E683=E$2:E682)))))</f>
        <v/>
      </c>
      <c r="J683" s="25" t="str">
        <f ca="1">IF(OR(E683="",E683="!!!",F683="NEW"),"",COUNTBLANK(OFFSET(A$1,,,SUMPRODUCT(MAX(ROW(E$2:E683)*(E683=E$2:E683)))))-COUNTBLANK(OFFSET(A$1,,,SUMPRODUCT(MAX(ROW(E$1:E682)*(E2=E$1:E682))))))</f>
        <v/>
      </c>
      <c r="K683" s="25" t="str">
        <f>IF(OR(E683="",E683="!!!",F683="NEW"),"",INDEX(J$1:J682,SUMPRODUCT(MAX(ROW(E$1:E682)*(E683=E$1:E682)))))</f>
        <v/>
      </c>
      <c r="L683" s="26"/>
    </row>
    <row r="684" spans="1:12" x14ac:dyDescent="0.3">
      <c r="A684" t="s">
        <v>464</v>
      </c>
      <c r="B684" s="20" t="s">
        <v>113</v>
      </c>
      <c r="C684" s="20" t="s">
        <v>119</v>
      </c>
      <c r="E684" s="21" t="str">
        <f t="shared" si="46"/>
        <v/>
      </c>
      <c r="F684" s="22" t="str">
        <f>IF(OR(E684="",E684="!!!"),"",IF(NOT(ISNA(VLOOKUP(E684,E$1:E683,1,FALSE()))),"OLD",IF(AND(E684&lt;&gt;"",E684&lt;&gt;"!!!"),"NEW","")))</f>
        <v/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4" t="str">
        <f t="shared" ca="1" si="47"/>
        <v/>
      </c>
      <c r="I684" s="25" t="str">
        <f>IF(OR(E684="",E684="!!!",F684="NEW"),"",INDEX(B$2:B683,-1+SUMPRODUCT(MAX(ROW(E$2:E683)*(E684=E$2:E683)))))</f>
        <v/>
      </c>
      <c r="J684" s="25" t="str">
        <f ca="1">IF(OR(E684="",E684="!!!",F684="NEW"),"",COUNTBLANK(OFFSET(A$1,,,SUMPRODUCT(MAX(ROW(E$2:E684)*(E684=E$2:E684)))))-COUNTBLANK(OFFSET(A$1,,,SUMPRODUCT(MAX(ROW(E$1:E683)*(E2=E$1:E683))))))</f>
        <v/>
      </c>
      <c r="K684" s="25" t="str">
        <f>IF(OR(E684="",E684="!!!",F684="NEW"),"",INDEX(J$1:J683,SUMPRODUCT(MAX(ROW(E$1:E683)*(E684=E$1:E683)))))</f>
        <v/>
      </c>
      <c r="L684" s="26"/>
    </row>
    <row r="685" spans="1:12" x14ac:dyDescent="0.3">
      <c r="A685" t="s">
        <v>465</v>
      </c>
      <c r="E685" s="21" t="str">
        <f t="shared" si="46"/>
        <v/>
      </c>
      <c r="F685" s="22" t="str">
        <f>IF(OR(E685="",E685="!!!"),"",IF(NOT(ISNA(VLOOKUP(E685,E$1:E684,1,FALSE()))),"OLD",IF(AND(E685&lt;&gt;"",E685&lt;&gt;"!!!"),"NEW","")))</f>
        <v/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4" t="str">
        <f t="shared" ca="1" si="47"/>
        <v/>
      </c>
      <c r="I685" s="25" t="str">
        <f>IF(OR(E685="",E685="!!!",F685="NEW"),"",INDEX(B$2:B684,-1+SUMPRODUCT(MAX(ROW(E$2:E684)*(E685=E$2:E684)))))</f>
        <v/>
      </c>
      <c r="J685" s="25" t="str">
        <f ca="1">IF(OR(E685="",E685="!!!",F685="NEW"),"",COUNTBLANK(OFFSET(A$1,,,SUMPRODUCT(MAX(ROW(E$2:E685)*(E685=E$2:E685)))))-COUNTBLANK(OFFSET(A$1,,,SUMPRODUCT(MAX(ROW(E$1:E684)*(E2=E$1:E684))))))</f>
        <v/>
      </c>
      <c r="K685" s="25" t="str">
        <f>IF(OR(E685="",E685="!!!",F685="NEW"),"",INDEX(J$1:J684,SUMPRODUCT(MAX(ROW(E$1:E684)*(E685=E$1:E684)))))</f>
        <v/>
      </c>
      <c r="L685" s="26"/>
    </row>
    <row r="686" spans="1:12" x14ac:dyDescent="0.3">
      <c r="A686" t="s">
        <v>105</v>
      </c>
      <c r="E686" s="21" t="str">
        <f t="shared" si="46"/>
        <v/>
      </c>
      <c r="F686" s="22" t="str">
        <f>IF(OR(E686="",E686="!!!"),"",IF(NOT(ISNA(VLOOKUP(E686,E$1:E685,1,FALSE()))),"OLD",IF(AND(E686&lt;&gt;"",E686&lt;&gt;"!!!"),"NEW","")))</f>
        <v/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4" t="str">
        <f t="shared" ca="1" si="47"/>
        <v/>
      </c>
      <c r="I686" s="25" t="str">
        <f>IF(OR(E686="",E686="!!!",F686="NEW"),"",INDEX(B$2:B685,-1+SUMPRODUCT(MAX(ROW(E$2:E685)*(E686=E$2:E685)))))</f>
        <v/>
      </c>
      <c r="J686" s="25" t="str">
        <f ca="1">IF(OR(E686="",E686="!!!",F686="NEW"),"",COUNTBLANK(OFFSET(A$1,,,SUMPRODUCT(MAX(ROW(E$2:E686)*(E686=E$2:E686)))))-COUNTBLANK(OFFSET(A$1,,,SUMPRODUCT(MAX(ROW(E$1:E685)*(E2=E$1:E685))))))</f>
        <v/>
      </c>
      <c r="K686" s="25" t="str">
        <f>IF(OR(E686="",E686="!!!",F686="NEW"),"",INDEX(J$1:J685,SUMPRODUCT(MAX(ROW(E$1:E685)*(E686=E$1:E685)))))</f>
        <v/>
      </c>
      <c r="L686" s="26"/>
    </row>
    <row r="687" spans="1:12" x14ac:dyDescent="0.3">
      <c r="A687" t="s">
        <v>466</v>
      </c>
      <c r="E687" s="21" t="str">
        <f t="shared" si="46"/>
        <v/>
      </c>
      <c r="F687" s="22" t="str">
        <f>IF(OR(E687="",E687="!!!"),"",IF(NOT(ISNA(VLOOKUP(E687,E$1:E686,1,FALSE()))),"OLD",IF(AND(E687&lt;&gt;"",E687&lt;&gt;"!!!"),"NEW","")))</f>
        <v/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4" t="str">
        <f t="shared" ca="1" si="47"/>
        <v/>
      </c>
      <c r="I687" s="25" t="str">
        <f>IF(OR(E687="",E687="!!!",F687="NEW"),"",INDEX(B$2:B686,-1+SUMPRODUCT(MAX(ROW(E$2:E686)*(E687=E$2:E686)))))</f>
        <v/>
      </c>
      <c r="J687" s="25" t="str">
        <f ca="1">IF(OR(E687="",E687="!!!",F687="NEW"),"",COUNTBLANK(OFFSET(A$1,,,SUMPRODUCT(MAX(ROW(E$2:E687)*(E687=E$2:E687)))))-COUNTBLANK(OFFSET(A$1,,,SUMPRODUCT(MAX(ROW(E$1:E686)*(E2=E$1:E686))))))</f>
        <v/>
      </c>
      <c r="K687" s="25" t="str">
        <f>IF(OR(E687="",E687="!!!",F687="NEW"),"",INDEX(J$1:J686,SUMPRODUCT(MAX(ROW(E$1:E686)*(E687=E$1:E686)))))</f>
        <v/>
      </c>
      <c r="L687" s="26"/>
    </row>
    <row r="688" spans="1:12" x14ac:dyDescent="0.3">
      <c r="A688" t="s">
        <v>467</v>
      </c>
      <c r="E688" s="21" t="str">
        <f t="shared" si="46"/>
        <v/>
      </c>
      <c r="F688" s="22" t="str">
        <f>IF(OR(E688="",E688="!!!"),"",IF(NOT(ISNA(VLOOKUP(E688,E$1:E687,1,FALSE()))),"OLD",IF(AND(E688&lt;&gt;"",E688&lt;&gt;"!!!"),"NEW","")))</f>
        <v/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4" t="str">
        <f t="shared" ca="1" si="47"/>
        <v/>
      </c>
      <c r="I688" s="25" t="str">
        <f>IF(OR(E688="",E688="!!!",F688="NEW"),"",INDEX(B$2:B687,-1+SUMPRODUCT(MAX(ROW(E$2:E687)*(E688=E$2:E687)))))</f>
        <v/>
      </c>
      <c r="J688" s="25" t="str">
        <f ca="1">IF(OR(E688="",E688="!!!",F688="NEW"),"",COUNTBLANK(OFFSET(A$1,,,SUMPRODUCT(MAX(ROW(E$2:E688)*(E688=E$2:E688)))))-COUNTBLANK(OFFSET(A$1,,,SUMPRODUCT(MAX(ROW(E$1:E687)*(E2=E$1:E687))))))</f>
        <v/>
      </c>
      <c r="K688" s="25" t="str">
        <f>IF(OR(E688="",E688="!!!",F688="NEW"),"",INDEX(J$1:J687,SUMPRODUCT(MAX(ROW(E$1:E687)*(E688=E$1:E687)))))</f>
        <v/>
      </c>
      <c r="L688" s="26"/>
    </row>
    <row r="689" spans="1:12" x14ac:dyDescent="0.3">
      <c r="A689" t="s">
        <v>124</v>
      </c>
      <c r="E689" s="21" t="str">
        <f t="shared" si="46"/>
        <v/>
      </c>
      <c r="F689" s="22" t="str">
        <f>IF(OR(E689="",E689="!!!"),"",IF(NOT(ISNA(VLOOKUP(E689,E$1:E688,1,FALSE()))),"OLD",IF(AND(E689&lt;&gt;"",E689&lt;&gt;"!!!"),"NEW","")))</f>
        <v/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4" t="str">
        <f t="shared" ca="1" si="47"/>
        <v/>
      </c>
      <c r="I689" s="25" t="str">
        <f>IF(OR(E689="",E689="!!!",F689="NEW"),"",INDEX(B$2:B688,-1+SUMPRODUCT(MAX(ROW(E$2:E688)*(E689=E$2:E688)))))</f>
        <v/>
      </c>
      <c r="J689" s="25" t="str">
        <f ca="1">IF(OR(E689="",E689="!!!",F689="NEW"),"",COUNTBLANK(OFFSET(A$1,,,SUMPRODUCT(MAX(ROW(E$2:E689)*(E689=E$2:E689)))))-COUNTBLANK(OFFSET(A$1,,,SUMPRODUCT(MAX(ROW(E$1:E688)*(E2=E$1:E688))))))</f>
        <v/>
      </c>
      <c r="K689" s="25" t="str">
        <f>IF(OR(E689="",E689="!!!",F689="NEW"),"",INDEX(J$1:J688,SUMPRODUCT(MAX(ROW(E$1:E688)*(E689=E$1:E688)))))</f>
        <v/>
      </c>
      <c r="L689" s="26"/>
    </row>
    <row r="691" spans="1:12" x14ac:dyDescent="0.3">
      <c r="A691" t="s">
        <v>468</v>
      </c>
    </row>
    <row r="692" spans="1:12" x14ac:dyDescent="0.3">
      <c r="A692" t="s">
        <v>469</v>
      </c>
      <c r="E692" s="21" t="str">
        <f>IF(D692="?OLD","!!!","")</f>
        <v/>
      </c>
      <c r="F692" s="22" t="str">
        <f>IF(OR(E692="",E692="!!!"),"",IF(NOT(ISNA(VLOOKUP(E692,E$1:E691,1,FALSE()))),"OLD",IF(AND(E692&lt;&gt;"",E692&lt;&gt;"!!!"),"NEW","")))</f>
        <v/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4" t="str">
        <f ca="1">IF(J692&lt;&gt;1,"",IF(I692="SBJ","CB","?"))</f>
        <v/>
      </c>
      <c r="I692" s="25" t="str">
        <f>IF(OR(E692="",E692="!!!",F692="NEW"),"",INDEX(B$2:B691,-1+SUMPRODUCT(MAX(ROW(E$2:E691)*(E692=E$2:E691)))))</f>
        <v/>
      </c>
      <c r="J692" s="25" t="str">
        <f ca="1">IF(OR(E692="",E692="!!!",F692="NEW"),"",COUNTBLANK(OFFSET(A$1,,,SUMPRODUCT(MAX(ROW(E$2:E692)*(E692=E$2:E692)))))-COUNTBLANK(OFFSET(A$1,,,SUMPRODUCT(MAX(ROW(E$1:E691)*(E2=E$1:E691))))))</f>
        <v/>
      </c>
      <c r="K692" s="25" t="str">
        <f>IF(OR(E692="",E692="!!!",F692="NEW"),"",INDEX(J$1:J691,SUMPRODUCT(MAX(ROW(E$1:E691)*(E692=E$1:E691)))))</f>
        <v/>
      </c>
      <c r="L692" s="26"/>
    </row>
    <row r="693" spans="1:12" x14ac:dyDescent="0.3">
      <c r="A693" t="s">
        <v>470</v>
      </c>
      <c r="B693" s="20" t="s">
        <v>99</v>
      </c>
      <c r="C693" s="20" t="s">
        <v>147</v>
      </c>
      <c r="E693" s="21" t="str">
        <f>IF(D693="?OLD","!!!","")</f>
        <v/>
      </c>
      <c r="F693" s="22" t="str">
        <f>IF(OR(E693="",E693="!!!"),"",IF(NOT(ISNA(VLOOKUP(E693,E$1:E692,1,FALSE()))),"OLD",IF(AND(E693&lt;&gt;"",E693&lt;&gt;"!!!"),"NEW","")))</f>
        <v/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4" t="str">
        <f ca="1">IF(J693&lt;&gt;1,"",IF(I693="SBJ","CB","?"))</f>
        <v/>
      </c>
      <c r="I693" s="25" t="str">
        <f>IF(OR(E693="",E693="!!!",F693="NEW"),"",INDEX(B$2:B692,-1+SUMPRODUCT(MAX(ROW(E$2:E692)*(E693=E$2:E692)))))</f>
        <v/>
      </c>
      <c r="J693" s="25" t="str">
        <f ca="1">IF(OR(E693="",E693="!!!",F693="NEW"),"",COUNTBLANK(OFFSET(A$1,,,SUMPRODUCT(MAX(ROW(E$2:E693)*(E693=E$2:E693)))))-COUNTBLANK(OFFSET(A$1,,,SUMPRODUCT(MAX(ROW(E$1:E692)*(E2=E$1:E692))))))</f>
        <v/>
      </c>
      <c r="K693" s="25" t="str">
        <f>IF(OR(E693="",E693="!!!",F693="NEW"),"",INDEX(J$1:J692,SUMPRODUCT(MAX(ROW(E$1:E692)*(E693=E$1:E692)))))</f>
        <v/>
      </c>
      <c r="L693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2025-07-15T17:44:51Z</dcterms:created>
  <dcterms:modified xsi:type="dcterms:W3CDTF">2025-08-07T17:37:04Z</dcterms:modified>
</cp:coreProperties>
</file>