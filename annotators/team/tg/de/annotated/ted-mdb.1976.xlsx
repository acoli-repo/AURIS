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abea\Desktop\Git\AURIS\annotators\team\tg\de\in-progress\"/>
    </mc:Choice>
  </mc:AlternateContent>
  <xr:revisionPtr revIDLastSave="0" documentId="13_ncr:1_{544E435D-98FE-4C7A-B00E-D7AB5D5113E8}" xr6:coauthVersionLast="47" xr6:coauthVersionMax="47" xr10:uidLastSave="{00000000-0000-0000-0000-000000000000}"/>
  <bookViews>
    <workbookView xWindow="-96" yWindow="0" windowWidth="15924" windowHeight="12336" xr2:uid="{00000000-000D-0000-FFFF-FFFF00000000}"/>
  </bookViews>
  <sheets>
    <sheet name="sentence-level annotation" sheetId="1" r:id="rId1"/>
    <sheet name="word-level annotation" sheetId="2" r:id="rId2"/>
  </sheets>
  <calcPr calcId="191029"/>
</workbook>
</file>

<file path=xl/calcChain.xml><?xml version="1.0" encoding="utf-8"?>
<calcChain xmlns="http://schemas.openxmlformats.org/spreadsheetml/2006/main">
  <c r="K1550" i="2" l="1"/>
  <c r="J1550" i="2"/>
  <c r="H1550" i="2" s="1"/>
  <c r="I1550" i="2"/>
  <c r="G1550" i="2"/>
  <c r="F1550" i="2"/>
  <c r="E1550" i="2"/>
  <c r="I1549" i="2"/>
  <c r="G1549" i="2"/>
  <c r="E1549" i="2"/>
  <c r="F1549" i="2" s="1"/>
  <c r="J1549" i="2" s="1"/>
  <c r="H1549" i="2" s="1"/>
  <c r="I1548" i="2"/>
  <c r="G1548" i="2"/>
  <c r="F1548" i="2"/>
  <c r="E1548" i="2"/>
  <c r="K1548" i="2" s="1"/>
  <c r="G1545" i="2"/>
  <c r="F1545" i="2"/>
  <c r="E1545" i="2"/>
  <c r="G1544" i="2"/>
  <c r="E1544" i="2"/>
  <c r="F1543" i="2"/>
  <c r="E1543" i="2"/>
  <c r="E1542" i="2"/>
  <c r="J1541" i="2"/>
  <c r="H1541" i="2" s="1"/>
  <c r="G1541" i="2"/>
  <c r="E1541" i="2"/>
  <c r="F1541" i="2" s="1"/>
  <c r="I1541" i="2" s="1"/>
  <c r="K1540" i="2"/>
  <c r="J1540" i="2"/>
  <c r="H1540" i="2" s="1"/>
  <c r="I1540" i="2"/>
  <c r="G1540" i="2"/>
  <c r="F1540" i="2"/>
  <c r="E1540" i="2"/>
  <c r="G1539" i="2"/>
  <c r="F1539" i="2"/>
  <c r="J1539" i="2" s="1"/>
  <c r="H1539" i="2" s="1"/>
  <c r="E1539" i="2"/>
  <c r="E1538" i="2"/>
  <c r="G1537" i="2"/>
  <c r="F1537" i="2"/>
  <c r="E1537" i="2"/>
  <c r="G1536" i="2"/>
  <c r="E1536" i="2"/>
  <c r="F1533" i="2"/>
  <c r="E1533" i="2"/>
  <c r="E1532" i="2"/>
  <c r="G1531" i="2"/>
  <c r="E1531" i="2"/>
  <c r="F1531" i="2" s="1"/>
  <c r="I1530" i="2"/>
  <c r="G1530" i="2"/>
  <c r="F1530" i="2"/>
  <c r="K1530" i="2" s="1"/>
  <c r="E1530" i="2"/>
  <c r="E1529" i="2"/>
  <c r="G1528" i="2"/>
  <c r="E1528" i="2"/>
  <c r="K1527" i="2"/>
  <c r="G1527" i="2"/>
  <c r="F1527" i="2"/>
  <c r="E1527" i="2"/>
  <c r="K1526" i="2"/>
  <c r="F1526" i="2"/>
  <c r="E1526" i="2"/>
  <c r="J1526" i="2" s="1"/>
  <c r="H1526" i="2" s="1"/>
  <c r="K1525" i="2"/>
  <c r="F1525" i="2"/>
  <c r="E1525" i="2"/>
  <c r="G1525" i="2" s="1"/>
  <c r="E1524" i="2"/>
  <c r="J1523" i="2"/>
  <c r="H1523" i="2" s="1"/>
  <c r="G1523" i="2"/>
  <c r="E1523" i="2"/>
  <c r="F1523" i="2" s="1"/>
  <c r="K1523" i="2" s="1"/>
  <c r="K1522" i="2"/>
  <c r="J1522" i="2"/>
  <c r="H1522" i="2" s="1"/>
  <c r="G1522" i="2"/>
  <c r="F1522" i="2"/>
  <c r="I1522" i="2" s="1"/>
  <c r="E1522" i="2"/>
  <c r="F1521" i="2"/>
  <c r="J1521" i="2" s="1"/>
  <c r="H1521" i="2" s="1"/>
  <c r="E1521" i="2"/>
  <c r="G1520" i="2"/>
  <c r="F1520" i="2"/>
  <c r="E1520" i="2"/>
  <c r="E1519" i="2"/>
  <c r="E1518" i="2"/>
  <c r="E1517" i="2"/>
  <c r="E1514" i="2"/>
  <c r="G1513" i="2"/>
  <c r="E1513" i="2"/>
  <c r="F1513" i="2" s="1"/>
  <c r="I1512" i="2"/>
  <c r="G1512" i="2"/>
  <c r="F1512" i="2"/>
  <c r="K1512" i="2" s="1"/>
  <c r="E1512" i="2"/>
  <c r="E1511" i="2"/>
  <c r="G1510" i="2"/>
  <c r="E1510" i="2"/>
  <c r="K1509" i="2"/>
  <c r="G1509" i="2"/>
  <c r="F1509" i="2"/>
  <c r="E1509" i="2"/>
  <c r="K1508" i="2"/>
  <c r="F1508" i="2"/>
  <c r="E1508" i="2"/>
  <c r="J1508" i="2" s="1"/>
  <c r="H1508" i="2" s="1"/>
  <c r="K1507" i="2"/>
  <c r="F1507" i="2"/>
  <c r="J1507" i="2" s="1"/>
  <c r="H1507" i="2" s="1"/>
  <c r="E1507" i="2"/>
  <c r="G1507" i="2" s="1"/>
  <c r="E1504" i="2"/>
  <c r="G1503" i="2"/>
  <c r="E1503" i="2"/>
  <c r="F1503" i="2" s="1"/>
  <c r="K1502" i="2"/>
  <c r="J1502" i="2"/>
  <c r="H1502" i="2" s="1"/>
  <c r="G1502" i="2"/>
  <c r="F1502" i="2"/>
  <c r="I1502" i="2" s="1"/>
  <c r="E1502" i="2"/>
  <c r="J1501" i="2"/>
  <c r="H1501" i="2" s="1"/>
  <c r="I1501" i="2"/>
  <c r="F1501" i="2"/>
  <c r="E1501" i="2"/>
  <c r="G1500" i="2"/>
  <c r="F1500" i="2"/>
  <c r="E1500" i="2"/>
  <c r="E1499" i="2"/>
  <c r="E1498" i="2"/>
  <c r="I1497" i="2"/>
  <c r="F1497" i="2"/>
  <c r="E1497" i="2"/>
  <c r="E1496" i="2"/>
  <c r="I1495" i="2"/>
  <c r="G1495" i="2"/>
  <c r="E1495" i="2"/>
  <c r="F1495" i="2" s="1"/>
  <c r="K1495" i="2" s="1"/>
  <c r="I1494" i="2"/>
  <c r="G1494" i="2"/>
  <c r="F1494" i="2"/>
  <c r="K1494" i="2" s="1"/>
  <c r="E1494" i="2"/>
  <c r="J1493" i="2"/>
  <c r="H1493" i="2" s="1"/>
  <c r="G1493" i="2"/>
  <c r="F1493" i="2"/>
  <c r="E1493" i="2"/>
  <c r="G1492" i="2"/>
  <c r="E1492" i="2"/>
  <c r="K1491" i="2"/>
  <c r="G1491" i="2"/>
  <c r="F1491" i="2"/>
  <c r="E1491" i="2"/>
  <c r="E1490" i="2"/>
  <c r="F1489" i="2"/>
  <c r="E1489" i="2"/>
  <c r="G1489" i="2" s="1"/>
  <c r="E1488" i="2"/>
  <c r="G1487" i="2"/>
  <c r="E1487" i="2"/>
  <c r="F1487" i="2" s="1"/>
  <c r="K1486" i="2"/>
  <c r="J1486" i="2"/>
  <c r="H1486" i="2" s="1"/>
  <c r="G1486" i="2"/>
  <c r="F1486" i="2"/>
  <c r="I1486" i="2" s="1"/>
  <c r="E1486" i="2"/>
  <c r="F1485" i="2"/>
  <c r="J1485" i="2" s="1"/>
  <c r="H1485" i="2" s="1"/>
  <c r="E1485" i="2"/>
  <c r="G1484" i="2"/>
  <c r="E1484" i="2"/>
  <c r="E1483" i="2"/>
  <c r="E1482" i="2"/>
  <c r="E1481" i="2"/>
  <c r="E1480" i="2"/>
  <c r="J1479" i="2"/>
  <c r="H1479" i="2" s="1"/>
  <c r="G1479" i="2"/>
  <c r="E1479" i="2"/>
  <c r="F1479" i="2" s="1"/>
  <c r="K1479" i="2" s="1"/>
  <c r="I1478" i="2"/>
  <c r="G1478" i="2"/>
  <c r="F1478" i="2"/>
  <c r="E1478" i="2"/>
  <c r="G1477" i="2"/>
  <c r="E1477" i="2"/>
  <c r="I1476" i="2"/>
  <c r="G1476" i="2"/>
  <c r="F1476" i="2"/>
  <c r="E1476" i="2"/>
  <c r="G1473" i="2"/>
  <c r="F1473" i="2"/>
  <c r="K1473" i="2" s="1"/>
  <c r="E1473" i="2"/>
  <c r="F1472" i="2"/>
  <c r="K1472" i="2" s="1"/>
  <c r="E1472" i="2"/>
  <c r="J1471" i="2"/>
  <c r="H1471" i="2" s="1"/>
  <c r="F1471" i="2"/>
  <c r="K1471" i="2" s="1"/>
  <c r="E1471" i="2"/>
  <c r="G1471" i="2" s="1"/>
  <c r="E1470" i="2"/>
  <c r="G1469" i="2"/>
  <c r="E1469" i="2"/>
  <c r="F1469" i="2" s="1"/>
  <c r="J1469" i="2" s="1"/>
  <c r="H1469" i="2" s="1"/>
  <c r="K1466" i="2"/>
  <c r="J1466" i="2"/>
  <c r="H1466" i="2" s="1"/>
  <c r="G1466" i="2"/>
  <c r="F1466" i="2"/>
  <c r="I1466" i="2" s="1"/>
  <c r="E1466" i="2"/>
  <c r="J1465" i="2"/>
  <c r="H1465" i="2" s="1"/>
  <c r="I1465" i="2"/>
  <c r="F1465" i="2"/>
  <c r="E1465" i="2"/>
  <c r="E1464" i="2"/>
  <c r="E1463" i="2"/>
  <c r="G1462" i="2"/>
  <c r="E1462" i="2"/>
  <c r="F1461" i="2"/>
  <c r="E1461" i="2"/>
  <c r="I1461" i="2" s="1"/>
  <c r="E1460" i="2"/>
  <c r="G1459" i="2"/>
  <c r="E1459" i="2"/>
  <c r="F1459" i="2" s="1"/>
  <c r="G1458" i="2"/>
  <c r="F1458" i="2"/>
  <c r="E1458" i="2"/>
  <c r="J1457" i="2"/>
  <c r="H1457" i="2" s="1"/>
  <c r="G1457" i="2"/>
  <c r="F1457" i="2"/>
  <c r="E1457" i="2"/>
  <c r="I1456" i="2"/>
  <c r="G1456" i="2"/>
  <c r="F1456" i="2"/>
  <c r="E1456" i="2"/>
  <c r="K1455" i="2"/>
  <c r="G1455" i="2"/>
  <c r="F1455" i="2"/>
  <c r="E1455" i="2"/>
  <c r="E1454" i="2"/>
  <c r="F1453" i="2"/>
  <c r="E1453" i="2"/>
  <c r="G1453" i="2" s="1"/>
  <c r="E1452" i="2"/>
  <c r="J1451" i="2"/>
  <c r="H1451" i="2" s="1"/>
  <c r="G1451" i="2"/>
  <c r="E1451" i="2"/>
  <c r="F1451" i="2" s="1"/>
  <c r="K1450" i="2"/>
  <c r="J1450" i="2"/>
  <c r="H1450" i="2" s="1"/>
  <c r="I1450" i="2"/>
  <c r="G1450" i="2"/>
  <c r="F1450" i="2"/>
  <c r="E1450" i="2"/>
  <c r="J1449" i="2"/>
  <c r="H1449" i="2" s="1"/>
  <c r="F1449" i="2"/>
  <c r="I1449" i="2" s="1"/>
  <c r="E1449" i="2"/>
  <c r="E1448" i="2"/>
  <c r="E1447" i="2"/>
  <c r="E1446" i="2"/>
  <c r="F1445" i="2"/>
  <c r="I1445" i="2" s="1"/>
  <c r="E1445" i="2"/>
  <c r="E1444" i="2"/>
  <c r="J1443" i="2"/>
  <c r="H1443" i="2" s="1"/>
  <c r="I1443" i="2"/>
  <c r="G1443" i="2"/>
  <c r="E1443" i="2"/>
  <c r="F1443" i="2" s="1"/>
  <c r="K1443" i="2" s="1"/>
  <c r="G1442" i="2"/>
  <c r="F1442" i="2"/>
  <c r="E1442" i="2"/>
  <c r="E1441" i="2"/>
  <c r="I1440" i="2"/>
  <c r="G1440" i="2"/>
  <c r="F1440" i="2"/>
  <c r="E1440" i="2"/>
  <c r="K1439" i="2"/>
  <c r="G1439" i="2"/>
  <c r="F1439" i="2"/>
  <c r="E1439" i="2"/>
  <c r="F1438" i="2"/>
  <c r="E1438" i="2"/>
  <c r="K1435" i="2"/>
  <c r="F1435" i="2"/>
  <c r="J1435" i="2" s="1"/>
  <c r="H1435" i="2" s="1"/>
  <c r="E1435" i="2"/>
  <c r="G1435" i="2" s="1"/>
  <c r="E1434" i="2"/>
  <c r="J1433" i="2"/>
  <c r="H1433" i="2" s="1"/>
  <c r="G1433" i="2"/>
  <c r="E1433" i="2"/>
  <c r="F1433" i="2" s="1"/>
  <c r="K1432" i="2"/>
  <c r="J1432" i="2"/>
  <c r="H1432" i="2" s="1"/>
  <c r="I1432" i="2"/>
  <c r="G1432" i="2"/>
  <c r="F1432" i="2"/>
  <c r="E1432" i="2"/>
  <c r="J1431" i="2"/>
  <c r="H1431" i="2" s="1"/>
  <c r="I1431" i="2"/>
  <c r="F1431" i="2"/>
  <c r="E1431" i="2"/>
  <c r="G1430" i="2"/>
  <c r="E1430" i="2"/>
  <c r="E1429" i="2"/>
  <c r="E1428" i="2"/>
  <c r="E1427" i="2"/>
  <c r="E1426" i="2"/>
  <c r="K1425" i="2"/>
  <c r="J1425" i="2"/>
  <c r="H1425" i="2" s="1"/>
  <c r="G1425" i="2"/>
  <c r="E1425" i="2"/>
  <c r="F1425" i="2" s="1"/>
  <c r="I1425" i="2" s="1"/>
  <c r="G1424" i="2"/>
  <c r="F1424" i="2"/>
  <c r="E1424" i="2"/>
  <c r="G1423" i="2"/>
  <c r="E1423" i="2"/>
  <c r="E1422" i="2"/>
  <c r="K1421" i="2"/>
  <c r="J1421" i="2"/>
  <c r="H1421" i="2" s="1"/>
  <c r="I1421" i="2"/>
  <c r="G1421" i="2"/>
  <c r="F1421" i="2"/>
  <c r="E1421" i="2"/>
  <c r="K1420" i="2"/>
  <c r="J1420" i="2"/>
  <c r="H1420" i="2" s="1"/>
  <c r="F1420" i="2"/>
  <c r="I1420" i="2" s="1"/>
  <c r="E1420" i="2"/>
  <c r="G1420" i="2" s="1"/>
  <c r="G1419" i="2"/>
  <c r="E1419" i="2"/>
  <c r="I1418" i="2"/>
  <c r="G1418" i="2"/>
  <c r="F1418" i="2"/>
  <c r="K1418" i="2" s="1"/>
  <c r="E1418" i="2"/>
  <c r="J1418" i="2" s="1"/>
  <c r="H1418" i="2" s="1"/>
  <c r="E1417" i="2"/>
  <c r="E1416" i="2"/>
  <c r="E1415" i="2"/>
  <c r="E1414" i="2"/>
  <c r="K1413" i="2"/>
  <c r="J1413" i="2"/>
  <c r="H1413" i="2" s="1"/>
  <c r="I1413" i="2"/>
  <c r="G1413" i="2"/>
  <c r="F1413" i="2"/>
  <c r="E1413" i="2"/>
  <c r="K1412" i="2"/>
  <c r="J1412" i="2"/>
  <c r="H1412" i="2" s="1"/>
  <c r="I1412" i="2"/>
  <c r="F1412" i="2"/>
  <c r="E1412" i="2"/>
  <c r="G1412" i="2" s="1"/>
  <c r="G1411" i="2"/>
  <c r="E1411" i="2"/>
  <c r="G1410" i="2"/>
  <c r="F1410" i="2"/>
  <c r="K1410" i="2" s="1"/>
  <c r="E1410" i="2"/>
  <c r="J1410" i="2" s="1"/>
  <c r="H1410" i="2" s="1"/>
  <c r="G1409" i="2"/>
  <c r="E1409" i="2"/>
  <c r="E1408" i="2"/>
  <c r="E1407" i="2"/>
  <c r="E1404" i="2"/>
  <c r="J1403" i="2"/>
  <c r="H1403" i="2" s="1"/>
  <c r="G1403" i="2"/>
  <c r="F1403" i="2"/>
  <c r="I1403" i="2" s="1"/>
  <c r="E1403" i="2"/>
  <c r="E1402" i="2"/>
  <c r="G1402" i="2" s="1"/>
  <c r="G1401" i="2"/>
  <c r="E1401" i="2"/>
  <c r="K1400" i="2"/>
  <c r="G1400" i="2"/>
  <c r="F1400" i="2"/>
  <c r="I1400" i="2" s="1"/>
  <c r="E1400" i="2"/>
  <c r="J1400" i="2" s="1"/>
  <c r="H1400" i="2" s="1"/>
  <c r="E1399" i="2"/>
  <c r="G1398" i="2"/>
  <c r="F1398" i="2"/>
  <c r="E1398" i="2"/>
  <c r="E1397" i="2"/>
  <c r="E1396" i="2"/>
  <c r="K1395" i="2"/>
  <c r="G1395" i="2"/>
  <c r="F1395" i="2"/>
  <c r="E1395" i="2"/>
  <c r="E1394" i="2"/>
  <c r="E1393" i="2"/>
  <c r="G1392" i="2"/>
  <c r="F1392" i="2"/>
  <c r="E1392" i="2"/>
  <c r="E1391" i="2"/>
  <c r="J1390" i="2"/>
  <c r="H1390" i="2" s="1"/>
  <c r="G1390" i="2"/>
  <c r="F1390" i="2"/>
  <c r="E1390" i="2"/>
  <c r="I1389" i="2"/>
  <c r="F1389" i="2"/>
  <c r="K1389" i="2" s="1"/>
  <c r="E1389" i="2"/>
  <c r="E1388" i="2"/>
  <c r="J1387" i="2"/>
  <c r="H1387" i="2" s="1"/>
  <c r="G1387" i="2"/>
  <c r="F1387" i="2"/>
  <c r="I1387" i="2" s="1"/>
  <c r="E1387" i="2"/>
  <c r="E1386" i="2"/>
  <c r="G1386" i="2" s="1"/>
  <c r="G1385" i="2"/>
  <c r="E1385" i="2"/>
  <c r="K1384" i="2"/>
  <c r="G1384" i="2"/>
  <c r="F1384" i="2"/>
  <c r="I1384" i="2" s="1"/>
  <c r="E1384" i="2"/>
  <c r="J1384" i="2" s="1"/>
  <c r="H1384" i="2" s="1"/>
  <c r="E1383" i="2"/>
  <c r="G1382" i="2"/>
  <c r="F1382" i="2"/>
  <c r="E1382" i="2"/>
  <c r="E1381" i="2"/>
  <c r="E1380" i="2"/>
  <c r="K1377" i="2"/>
  <c r="G1377" i="2"/>
  <c r="F1377" i="2"/>
  <c r="E1377" i="2"/>
  <c r="E1376" i="2"/>
  <c r="F1376" i="2" s="1"/>
  <c r="I1376" i="2" s="1"/>
  <c r="G1375" i="2"/>
  <c r="E1375" i="2"/>
  <c r="E1374" i="2"/>
  <c r="G1373" i="2"/>
  <c r="F1373" i="2"/>
  <c r="E1373" i="2"/>
  <c r="E1372" i="2"/>
  <c r="E1371" i="2"/>
  <c r="G1371" i="2" s="1"/>
  <c r="E1370" i="2"/>
  <c r="J1369" i="2"/>
  <c r="H1369" i="2" s="1"/>
  <c r="I1369" i="2"/>
  <c r="G1369" i="2"/>
  <c r="F1369" i="2"/>
  <c r="K1369" i="2" s="1"/>
  <c r="E1369" i="2"/>
  <c r="G1368" i="2"/>
  <c r="F1368" i="2"/>
  <c r="I1368" i="2" s="1"/>
  <c r="E1368" i="2"/>
  <c r="J1368" i="2" s="1"/>
  <c r="H1368" i="2" s="1"/>
  <c r="F1367" i="2"/>
  <c r="I1367" i="2" s="1"/>
  <c r="E1367" i="2"/>
  <c r="G1366" i="2"/>
  <c r="E1366" i="2"/>
  <c r="J1365" i="2"/>
  <c r="H1365" i="2" s="1"/>
  <c r="F1365" i="2"/>
  <c r="K1365" i="2" s="1"/>
  <c r="E1365" i="2"/>
  <c r="I1364" i="2"/>
  <c r="G1364" i="2"/>
  <c r="F1364" i="2"/>
  <c r="J1364" i="2" s="1"/>
  <c r="H1364" i="2" s="1"/>
  <c r="E1364" i="2"/>
  <c r="K1364" i="2" s="1"/>
  <c r="K1363" i="2"/>
  <c r="J1363" i="2"/>
  <c r="H1363" i="2" s="1"/>
  <c r="F1363" i="2"/>
  <c r="E1363" i="2"/>
  <c r="K1362" i="2"/>
  <c r="I1362" i="2"/>
  <c r="E1362" i="2"/>
  <c r="F1362" i="2" s="1"/>
  <c r="G1361" i="2"/>
  <c r="F1361" i="2"/>
  <c r="E1361" i="2"/>
  <c r="I1360" i="2"/>
  <c r="F1360" i="2"/>
  <c r="J1360" i="2" s="1"/>
  <c r="H1360" i="2" s="1"/>
  <c r="E1360" i="2"/>
  <c r="G1360" i="2" s="1"/>
  <c r="I1359" i="2"/>
  <c r="G1359" i="2"/>
  <c r="F1359" i="2"/>
  <c r="E1359" i="2"/>
  <c r="J1359" i="2" s="1"/>
  <c r="H1359" i="2" s="1"/>
  <c r="F1358" i="2"/>
  <c r="E1358" i="2"/>
  <c r="E1357" i="2"/>
  <c r="F1356" i="2"/>
  <c r="K1356" i="2" s="1"/>
  <c r="E1356" i="2"/>
  <c r="G1356" i="2" s="1"/>
  <c r="I1355" i="2"/>
  <c r="F1355" i="2"/>
  <c r="J1355" i="2" s="1"/>
  <c r="H1355" i="2" s="1"/>
  <c r="E1355" i="2"/>
  <c r="G1355" i="2" s="1"/>
  <c r="E1354" i="2"/>
  <c r="G1353" i="2"/>
  <c r="F1353" i="2"/>
  <c r="E1353" i="2"/>
  <c r="G1352" i="2"/>
  <c r="E1352" i="2"/>
  <c r="E1351" i="2"/>
  <c r="G1350" i="2"/>
  <c r="F1350" i="2"/>
  <c r="I1350" i="2" s="1"/>
  <c r="E1350" i="2"/>
  <c r="G1349" i="2"/>
  <c r="F1349" i="2"/>
  <c r="E1349" i="2"/>
  <c r="K1349" i="2" s="1"/>
  <c r="G1348" i="2"/>
  <c r="E1348" i="2"/>
  <c r="J1347" i="2"/>
  <c r="H1347" i="2" s="1"/>
  <c r="I1347" i="2"/>
  <c r="F1347" i="2"/>
  <c r="K1347" i="2" s="1"/>
  <c r="E1347" i="2"/>
  <c r="G1347" i="2" s="1"/>
  <c r="J1346" i="2"/>
  <c r="H1346" i="2" s="1"/>
  <c r="I1346" i="2"/>
  <c r="G1346" i="2"/>
  <c r="E1346" i="2"/>
  <c r="F1346" i="2" s="1"/>
  <c r="G1345" i="2"/>
  <c r="F1345" i="2"/>
  <c r="E1345" i="2"/>
  <c r="I1344" i="2"/>
  <c r="G1344" i="2"/>
  <c r="F1344" i="2"/>
  <c r="J1344" i="2" s="1"/>
  <c r="H1344" i="2" s="1"/>
  <c r="E1344" i="2"/>
  <c r="E1343" i="2"/>
  <c r="E1342" i="2"/>
  <c r="I1341" i="2"/>
  <c r="G1341" i="2"/>
  <c r="F1341" i="2"/>
  <c r="J1341" i="2" s="1"/>
  <c r="H1341" i="2" s="1"/>
  <c r="E1341" i="2"/>
  <c r="E1340" i="2"/>
  <c r="G1340" i="2" s="1"/>
  <c r="G1339" i="2"/>
  <c r="E1339" i="2"/>
  <c r="K1338" i="2"/>
  <c r="I1338" i="2"/>
  <c r="G1338" i="2"/>
  <c r="F1338" i="2"/>
  <c r="E1338" i="2"/>
  <c r="J1338" i="2" s="1"/>
  <c r="H1338" i="2" s="1"/>
  <c r="K1337" i="2"/>
  <c r="G1337" i="2"/>
  <c r="F1337" i="2"/>
  <c r="E1337" i="2"/>
  <c r="G1336" i="2"/>
  <c r="E1336" i="2"/>
  <c r="E1335" i="2"/>
  <c r="E1332" i="2"/>
  <c r="K1331" i="2"/>
  <c r="I1331" i="2"/>
  <c r="G1331" i="2"/>
  <c r="F1331" i="2"/>
  <c r="J1331" i="2" s="1"/>
  <c r="H1331" i="2" s="1"/>
  <c r="E1331" i="2"/>
  <c r="F1330" i="2"/>
  <c r="K1330" i="2" s="1"/>
  <c r="E1330" i="2"/>
  <c r="G1329" i="2"/>
  <c r="E1329" i="2"/>
  <c r="I1328" i="2"/>
  <c r="G1328" i="2"/>
  <c r="F1328" i="2"/>
  <c r="K1328" i="2" s="1"/>
  <c r="E1328" i="2"/>
  <c r="J1328" i="2" s="1"/>
  <c r="H1328" i="2" s="1"/>
  <c r="G1327" i="2"/>
  <c r="F1327" i="2"/>
  <c r="E1327" i="2"/>
  <c r="I1326" i="2"/>
  <c r="G1326" i="2"/>
  <c r="F1326" i="2"/>
  <c r="J1326" i="2" s="1"/>
  <c r="H1326" i="2" s="1"/>
  <c r="E1326" i="2"/>
  <c r="E1325" i="2"/>
  <c r="G1324" i="2"/>
  <c r="E1324" i="2"/>
  <c r="I1323" i="2"/>
  <c r="G1323" i="2"/>
  <c r="F1323" i="2"/>
  <c r="J1323" i="2" s="1"/>
  <c r="H1323" i="2" s="1"/>
  <c r="E1323" i="2"/>
  <c r="K1322" i="2"/>
  <c r="J1322" i="2"/>
  <c r="H1322" i="2" s="1"/>
  <c r="G1322" i="2"/>
  <c r="F1322" i="2"/>
  <c r="E1322" i="2"/>
  <c r="I1322" i="2" s="1"/>
  <c r="E1321" i="2"/>
  <c r="K1320" i="2"/>
  <c r="G1320" i="2"/>
  <c r="F1320" i="2"/>
  <c r="I1320" i="2" s="1"/>
  <c r="E1320" i="2"/>
  <c r="E1319" i="2"/>
  <c r="K1318" i="2"/>
  <c r="G1318" i="2"/>
  <c r="F1318" i="2"/>
  <c r="E1318" i="2"/>
  <c r="I1318" i="2" s="1"/>
  <c r="E1317" i="2"/>
  <c r="K1316" i="2"/>
  <c r="J1316" i="2"/>
  <c r="H1316" i="2" s="1"/>
  <c r="G1316" i="2"/>
  <c r="E1316" i="2"/>
  <c r="F1316" i="2" s="1"/>
  <c r="E1315" i="2"/>
  <c r="G1314" i="2"/>
  <c r="E1314" i="2"/>
  <c r="G1313" i="2"/>
  <c r="F1313" i="2"/>
  <c r="E1313" i="2"/>
  <c r="F1312" i="2"/>
  <c r="K1312" i="2" s="1"/>
  <c r="E1312" i="2"/>
  <c r="I1311" i="2"/>
  <c r="F1311" i="2"/>
  <c r="E1311" i="2"/>
  <c r="E1310" i="2"/>
  <c r="G1307" i="2"/>
  <c r="E1307" i="2"/>
  <c r="G1306" i="2"/>
  <c r="F1306" i="2"/>
  <c r="E1306" i="2"/>
  <c r="K1305" i="2"/>
  <c r="J1305" i="2"/>
  <c r="H1305" i="2" s="1"/>
  <c r="F1305" i="2"/>
  <c r="E1305" i="2"/>
  <c r="G1305" i="2" s="1"/>
  <c r="G1304" i="2"/>
  <c r="E1304" i="2"/>
  <c r="G1303" i="2"/>
  <c r="F1303" i="2"/>
  <c r="E1303" i="2"/>
  <c r="E1302" i="2"/>
  <c r="G1301" i="2"/>
  <c r="E1301" i="2"/>
  <c r="F1300" i="2"/>
  <c r="E1300" i="2"/>
  <c r="G1299" i="2"/>
  <c r="E1299" i="2"/>
  <c r="K1298" i="2"/>
  <c r="J1298" i="2"/>
  <c r="H1298" i="2" s="1"/>
  <c r="I1298" i="2"/>
  <c r="G1298" i="2"/>
  <c r="F1298" i="2"/>
  <c r="E1298" i="2"/>
  <c r="E1297" i="2"/>
  <c r="G1297" i="2" s="1"/>
  <c r="E1296" i="2"/>
  <c r="K1295" i="2"/>
  <c r="G1295" i="2"/>
  <c r="F1295" i="2"/>
  <c r="J1295" i="2" s="1"/>
  <c r="H1295" i="2" s="1"/>
  <c r="E1295" i="2"/>
  <c r="J1294" i="2"/>
  <c r="H1294" i="2" s="1"/>
  <c r="G1294" i="2"/>
  <c r="F1294" i="2"/>
  <c r="K1294" i="2" s="1"/>
  <c r="E1294" i="2"/>
  <c r="F1293" i="2"/>
  <c r="E1293" i="2"/>
  <c r="I1292" i="2"/>
  <c r="F1292" i="2"/>
  <c r="K1292" i="2" s="1"/>
  <c r="E1292" i="2"/>
  <c r="E1291" i="2"/>
  <c r="G1290" i="2"/>
  <c r="F1290" i="2"/>
  <c r="E1290" i="2"/>
  <c r="K1289" i="2"/>
  <c r="J1289" i="2"/>
  <c r="H1289" i="2" s="1"/>
  <c r="F1289" i="2"/>
  <c r="E1289" i="2"/>
  <c r="G1289" i="2" s="1"/>
  <c r="G1288" i="2"/>
  <c r="E1288" i="2"/>
  <c r="G1285" i="2"/>
  <c r="F1285" i="2"/>
  <c r="E1285" i="2"/>
  <c r="E1284" i="2"/>
  <c r="G1283" i="2"/>
  <c r="E1283" i="2"/>
  <c r="F1282" i="2"/>
  <c r="E1282" i="2"/>
  <c r="G1281" i="2"/>
  <c r="E1281" i="2"/>
  <c r="K1280" i="2"/>
  <c r="J1280" i="2"/>
  <c r="H1280" i="2" s="1"/>
  <c r="I1280" i="2"/>
  <c r="G1280" i="2"/>
  <c r="F1280" i="2"/>
  <c r="E1280" i="2"/>
  <c r="E1279" i="2"/>
  <c r="G1279" i="2" s="1"/>
  <c r="E1276" i="2"/>
  <c r="K1275" i="2"/>
  <c r="G1275" i="2"/>
  <c r="F1275" i="2"/>
  <c r="J1275" i="2" s="1"/>
  <c r="H1275" i="2" s="1"/>
  <c r="E1275" i="2"/>
  <c r="J1274" i="2"/>
  <c r="H1274" i="2" s="1"/>
  <c r="G1274" i="2"/>
  <c r="F1274" i="2"/>
  <c r="K1274" i="2" s="1"/>
  <c r="E1274" i="2"/>
  <c r="F1273" i="2"/>
  <c r="E1273" i="2"/>
  <c r="I1272" i="2"/>
  <c r="F1272" i="2"/>
  <c r="K1272" i="2" s="1"/>
  <c r="E1272" i="2"/>
  <c r="E1271" i="2"/>
  <c r="G1270" i="2"/>
  <c r="F1270" i="2"/>
  <c r="E1270" i="2"/>
  <c r="K1267" i="2"/>
  <c r="J1267" i="2"/>
  <c r="H1267" i="2" s="1"/>
  <c r="F1267" i="2"/>
  <c r="E1267" i="2"/>
  <c r="G1267" i="2" s="1"/>
  <c r="G1266" i="2"/>
  <c r="E1266" i="2"/>
  <c r="G1265" i="2"/>
  <c r="F1265" i="2"/>
  <c r="E1265" i="2"/>
  <c r="E1264" i="2"/>
  <c r="G1263" i="2"/>
  <c r="E1263" i="2"/>
  <c r="F1262" i="2"/>
  <c r="E1262" i="2"/>
  <c r="K1262" i="2" s="1"/>
  <c r="G1261" i="2"/>
  <c r="E1261" i="2"/>
  <c r="K1260" i="2"/>
  <c r="J1260" i="2"/>
  <c r="H1260" i="2" s="1"/>
  <c r="I1260" i="2"/>
  <c r="G1260" i="2"/>
  <c r="F1260" i="2"/>
  <c r="E1260" i="2"/>
  <c r="E1259" i="2"/>
  <c r="E1258" i="2"/>
  <c r="K1257" i="2"/>
  <c r="G1257" i="2"/>
  <c r="F1257" i="2"/>
  <c r="E1257" i="2"/>
  <c r="J1256" i="2"/>
  <c r="H1256" i="2" s="1"/>
  <c r="G1256" i="2"/>
  <c r="F1256" i="2"/>
  <c r="K1256" i="2" s="1"/>
  <c r="E1256" i="2"/>
  <c r="J1255" i="2"/>
  <c r="H1255" i="2" s="1"/>
  <c r="F1255" i="2"/>
  <c r="E1255" i="2"/>
  <c r="I1252" i="2"/>
  <c r="F1252" i="2"/>
  <c r="K1252" i="2" s="1"/>
  <c r="E1252" i="2"/>
  <c r="E1251" i="2"/>
  <c r="G1250" i="2"/>
  <c r="F1250" i="2"/>
  <c r="E1250" i="2"/>
  <c r="K1249" i="2"/>
  <c r="J1249" i="2"/>
  <c r="H1249" i="2" s="1"/>
  <c r="F1249" i="2"/>
  <c r="E1249" i="2"/>
  <c r="G1249" i="2" s="1"/>
  <c r="G1248" i="2"/>
  <c r="E1248" i="2"/>
  <c r="G1247" i="2"/>
  <c r="F1247" i="2"/>
  <c r="E1247" i="2"/>
  <c r="E1244" i="2"/>
  <c r="G1243" i="2"/>
  <c r="E1243" i="2"/>
  <c r="F1242" i="2"/>
  <c r="E1242" i="2"/>
  <c r="G1241" i="2"/>
  <c r="E1241" i="2"/>
  <c r="K1240" i="2"/>
  <c r="J1240" i="2"/>
  <c r="H1240" i="2" s="1"/>
  <c r="I1240" i="2"/>
  <c r="G1240" i="2"/>
  <c r="F1240" i="2"/>
  <c r="E1240" i="2"/>
  <c r="F1239" i="2"/>
  <c r="E1239" i="2"/>
  <c r="G1238" i="2"/>
  <c r="E1238" i="2"/>
  <c r="E1237" i="2"/>
  <c r="K1236" i="2"/>
  <c r="J1236" i="2"/>
  <c r="H1236" i="2" s="1"/>
  <c r="I1236" i="2"/>
  <c r="G1236" i="2"/>
  <c r="F1236" i="2"/>
  <c r="E1236" i="2"/>
  <c r="F1235" i="2"/>
  <c r="E1235" i="2"/>
  <c r="G1235" i="2" s="1"/>
  <c r="G1234" i="2"/>
  <c r="E1234" i="2"/>
  <c r="K1233" i="2"/>
  <c r="I1233" i="2"/>
  <c r="G1233" i="2"/>
  <c r="F1233" i="2"/>
  <c r="J1233" i="2" s="1"/>
  <c r="H1233" i="2" s="1"/>
  <c r="E1233" i="2"/>
  <c r="G1232" i="2"/>
  <c r="E1232" i="2"/>
  <c r="E1231" i="2"/>
  <c r="E1230" i="2"/>
  <c r="G1227" i="2"/>
  <c r="E1227" i="2"/>
  <c r="K1226" i="2"/>
  <c r="I1226" i="2"/>
  <c r="G1226" i="2"/>
  <c r="F1226" i="2"/>
  <c r="J1226" i="2" s="1"/>
  <c r="H1226" i="2" s="1"/>
  <c r="E1226" i="2"/>
  <c r="K1225" i="2"/>
  <c r="I1225" i="2"/>
  <c r="F1225" i="2"/>
  <c r="E1225" i="2"/>
  <c r="G1225" i="2" s="1"/>
  <c r="E1224" i="2"/>
  <c r="G1223" i="2"/>
  <c r="F1223" i="2"/>
  <c r="E1223" i="2"/>
  <c r="J1222" i="2"/>
  <c r="H1222" i="2" s="1"/>
  <c r="G1222" i="2"/>
  <c r="F1222" i="2"/>
  <c r="K1222" i="2" s="1"/>
  <c r="E1222" i="2"/>
  <c r="J1221" i="2"/>
  <c r="H1221" i="2" s="1"/>
  <c r="I1221" i="2"/>
  <c r="G1221" i="2"/>
  <c r="F1221" i="2"/>
  <c r="E1221" i="2"/>
  <c r="E1220" i="2"/>
  <c r="G1219" i="2"/>
  <c r="E1219" i="2"/>
  <c r="J1218" i="2"/>
  <c r="H1218" i="2" s="1"/>
  <c r="I1218" i="2"/>
  <c r="G1218" i="2"/>
  <c r="F1218" i="2"/>
  <c r="K1218" i="2" s="1"/>
  <c r="E1218" i="2"/>
  <c r="F1217" i="2"/>
  <c r="E1217" i="2"/>
  <c r="G1217" i="2" s="1"/>
  <c r="G1214" i="2"/>
  <c r="E1214" i="2"/>
  <c r="K1213" i="2"/>
  <c r="I1213" i="2"/>
  <c r="G1213" i="2"/>
  <c r="F1213" i="2"/>
  <c r="J1213" i="2" s="1"/>
  <c r="H1213" i="2" s="1"/>
  <c r="E1213" i="2"/>
  <c r="G1212" i="2"/>
  <c r="E1212" i="2"/>
  <c r="E1211" i="2"/>
  <c r="E1210" i="2"/>
  <c r="G1209" i="2"/>
  <c r="E1209" i="2"/>
  <c r="K1208" i="2"/>
  <c r="I1208" i="2"/>
  <c r="G1208" i="2"/>
  <c r="F1208" i="2"/>
  <c r="J1208" i="2" s="1"/>
  <c r="H1208" i="2" s="1"/>
  <c r="E1208" i="2"/>
  <c r="K1207" i="2"/>
  <c r="F1207" i="2"/>
  <c r="I1207" i="2" s="1"/>
  <c r="E1207" i="2"/>
  <c r="G1207" i="2" s="1"/>
  <c r="E1206" i="2"/>
  <c r="G1205" i="2"/>
  <c r="F1205" i="2"/>
  <c r="E1205" i="2"/>
  <c r="J1204" i="2"/>
  <c r="H1204" i="2" s="1"/>
  <c r="G1204" i="2"/>
  <c r="F1204" i="2"/>
  <c r="K1204" i="2" s="1"/>
  <c r="E1204" i="2"/>
  <c r="J1203" i="2"/>
  <c r="H1203" i="2" s="1"/>
  <c r="I1203" i="2"/>
  <c r="G1203" i="2"/>
  <c r="F1203" i="2"/>
  <c r="E1203" i="2"/>
  <c r="F1202" i="2"/>
  <c r="E1202" i="2"/>
  <c r="G1201" i="2"/>
  <c r="E1201" i="2"/>
  <c r="J1200" i="2"/>
  <c r="H1200" i="2" s="1"/>
  <c r="I1200" i="2"/>
  <c r="G1200" i="2"/>
  <c r="F1200" i="2"/>
  <c r="K1200" i="2" s="1"/>
  <c r="E1200" i="2"/>
  <c r="F1197" i="2"/>
  <c r="E1197" i="2"/>
  <c r="G1197" i="2" s="1"/>
  <c r="G1196" i="2"/>
  <c r="E1196" i="2"/>
  <c r="K1195" i="2"/>
  <c r="I1195" i="2"/>
  <c r="G1195" i="2"/>
  <c r="F1195" i="2"/>
  <c r="J1195" i="2" s="1"/>
  <c r="H1195" i="2" s="1"/>
  <c r="E1195" i="2"/>
  <c r="G1194" i="2"/>
  <c r="E1194" i="2"/>
  <c r="E1193" i="2"/>
  <c r="E1192" i="2"/>
  <c r="G1191" i="2"/>
  <c r="E1191" i="2"/>
  <c r="K1190" i="2"/>
  <c r="I1190" i="2"/>
  <c r="G1190" i="2"/>
  <c r="F1190" i="2"/>
  <c r="J1190" i="2" s="1"/>
  <c r="H1190" i="2" s="1"/>
  <c r="E1190" i="2"/>
  <c r="F1189" i="2"/>
  <c r="I1189" i="2" s="1"/>
  <c r="E1189" i="2"/>
  <c r="G1189" i="2" s="1"/>
  <c r="E1186" i="2"/>
  <c r="I1185" i="2"/>
  <c r="G1185" i="2"/>
  <c r="F1185" i="2"/>
  <c r="E1185" i="2"/>
  <c r="J1184" i="2"/>
  <c r="H1184" i="2" s="1"/>
  <c r="G1184" i="2"/>
  <c r="F1184" i="2"/>
  <c r="K1184" i="2" s="1"/>
  <c r="E1184" i="2"/>
  <c r="J1183" i="2"/>
  <c r="H1183" i="2" s="1"/>
  <c r="I1183" i="2"/>
  <c r="G1183" i="2"/>
  <c r="F1183" i="2"/>
  <c r="E1183" i="2"/>
  <c r="E1182" i="2"/>
  <c r="G1181" i="2"/>
  <c r="E1181" i="2"/>
  <c r="J1180" i="2"/>
  <c r="H1180" i="2" s="1"/>
  <c r="I1180" i="2"/>
  <c r="G1180" i="2"/>
  <c r="F1180" i="2"/>
  <c r="K1180" i="2" s="1"/>
  <c r="E1180" i="2"/>
  <c r="K1177" i="2"/>
  <c r="F1177" i="2"/>
  <c r="J1177" i="2" s="1"/>
  <c r="H1177" i="2" s="1"/>
  <c r="E1177" i="2"/>
  <c r="G1177" i="2" s="1"/>
  <c r="G1176" i="2"/>
  <c r="E1176" i="2"/>
  <c r="K1175" i="2"/>
  <c r="I1175" i="2"/>
  <c r="G1175" i="2"/>
  <c r="F1175" i="2"/>
  <c r="J1175" i="2" s="1"/>
  <c r="H1175" i="2" s="1"/>
  <c r="E1175" i="2"/>
  <c r="G1174" i="2"/>
  <c r="E1174" i="2"/>
  <c r="E1173" i="2"/>
  <c r="F1172" i="2"/>
  <c r="K1172" i="2" s="1"/>
  <c r="E1172" i="2"/>
  <c r="J1169" i="2"/>
  <c r="H1169" i="2" s="1"/>
  <c r="G1169" i="2"/>
  <c r="F1169" i="2"/>
  <c r="K1169" i="2" s="1"/>
  <c r="E1169" i="2"/>
  <c r="G1168" i="2"/>
  <c r="F1168" i="2"/>
  <c r="K1168" i="2" s="1"/>
  <c r="E1168" i="2"/>
  <c r="J1168" i="2" s="1"/>
  <c r="H1168" i="2" s="1"/>
  <c r="E1167" i="2"/>
  <c r="K1166" i="2"/>
  <c r="I1166" i="2"/>
  <c r="G1166" i="2"/>
  <c r="E1166" i="2"/>
  <c r="F1166" i="2" s="1"/>
  <c r="K1165" i="2"/>
  <c r="J1165" i="2"/>
  <c r="H1165" i="2" s="1"/>
  <c r="I1165" i="2"/>
  <c r="G1165" i="2"/>
  <c r="F1165" i="2"/>
  <c r="E1165" i="2"/>
  <c r="I1164" i="2"/>
  <c r="G1164" i="2"/>
  <c r="F1164" i="2"/>
  <c r="K1164" i="2" s="1"/>
  <c r="E1164" i="2"/>
  <c r="G1163" i="2"/>
  <c r="F1163" i="2"/>
  <c r="J1163" i="2" s="1"/>
  <c r="H1163" i="2" s="1"/>
  <c r="E1163" i="2"/>
  <c r="E1162" i="2"/>
  <c r="F1161" i="2"/>
  <c r="K1161" i="2" s="1"/>
  <c r="E1161" i="2"/>
  <c r="E1160" i="2"/>
  <c r="I1157" i="2"/>
  <c r="G1157" i="2"/>
  <c r="F1157" i="2"/>
  <c r="K1157" i="2" s="1"/>
  <c r="E1157" i="2"/>
  <c r="K1156" i="2"/>
  <c r="G1156" i="2"/>
  <c r="E1156" i="2"/>
  <c r="F1156" i="2" s="1"/>
  <c r="G1155" i="2"/>
  <c r="F1155" i="2"/>
  <c r="J1155" i="2" s="1"/>
  <c r="H1155" i="2" s="1"/>
  <c r="E1155" i="2"/>
  <c r="I1154" i="2"/>
  <c r="F1154" i="2"/>
  <c r="E1154" i="2"/>
  <c r="E1153" i="2"/>
  <c r="K1152" i="2"/>
  <c r="I1152" i="2"/>
  <c r="G1152" i="2"/>
  <c r="F1152" i="2"/>
  <c r="J1152" i="2" s="1"/>
  <c r="H1152" i="2" s="1"/>
  <c r="E1152" i="2"/>
  <c r="F1151" i="2"/>
  <c r="K1151" i="2" s="1"/>
  <c r="E1151" i="2"/>
  <c r="I1151" i="2" s="1"/>
  <c r="E1150" i="2"/>
  <c r="I1149" i="2"/>
  <c r="G1149" i="2"/>
  <c r="F1149" i="2"/>
  <c r="K1149" i="2" s="1"/>
  <c r="E1149" i="2"/>
  <c r="G1148" i="2"/>
  <c r="E1148" i="2"/>
  <c r="F1148" i="2" s="1"/>
  <c r="K1148" i="2" s="1"/>
  <c r="G1147" i="2"/>
  <c r="F1147" i="2"/>
  <c r="J1147" i="2" s="1"/>
  <c r="H1147" i="2" s="1"/>
  <c r="E1147" i="2"/>
  <c r="K1147" i="2" s="1"/>
  <c r="E1146" i="2"/>
  <c r="E1145" i="2"/>
  <c r="K1144" i="2"/>
  <c r="I1144" i="2"/>
  <c r="G1144" i="2"/>
  <c r="F1144" i="2"/>
  <c r="J1144" i="2" s="1"/>
  <c r="H1144" i="2" s="1"/>
  <c r="E1144" i="2"/>
  <c r="K1143" i="2"/>
  <c r="J1143" i="2"/>
  <c r="H1143" i="2" s="1"/>
  <c r="F1143" i="2"/>
  <c r="E1143" i="2"/>
  <c r="I1143" i="2" s="1"/>
  <c r="E1142" i="2"/>
  <c r="I1141" i="2"/>
  <c r="G1141" i="2"/>
  <c r="F1141" i="2"/>
  <c r="K1141" i="2" s="1"/>
  <c r="E1141" i="2"/>
  <c r="K1138" i="2"/>
  <c r="G1138" i="2"/>
  <c r="E1138" i="2"/>
  <c r="F1138" i="2" s="1"/>
  <c r="J1137" i="2"/>
  <c r="H1137" i="2" s="1"/>
  <c r="G1137" i="2"/>
  <c r="F1137" i="2"/>
  <c r="E1137" i="2"/>
  <c r="E1136" i="2"/>
  <c r="E1135" i="2"/>
  <c r="K1134" i="2"/>
  <c r="I1134" i="2"/>
  <c r="G1134" i="2"/>
  <c r="F1134" i="2"/>
  <c r="J1134" i="2" s="1"/>
  <c r="H1134" i="2" s="1"/>
  <c r="E1134" i="2"/>
  <c r="F1133" i="2"/>
  <c r="E1133" i="2"/>
  <c r="I1133" i="2" s="1"/>
  <c r="E1132" i="2"/>
  <c r="I1131" i="2"/>
  <c r="G1131" i="2"/>
  <c r="F1131" i="2"/>
  <c r="K1131" i="2" s="1"/>
  <c r="E1131" i="2"/>
  <c r="G1130" i="2"/>
  <c r="E1130" i="2"/>
  <c r="F1130" i="2" s="1"/>
  <c r="K1130" i="2" s="1"/>
  <c r="G1129" i="2"/>
  <c r="F1129" i="2"/>
  <c r="J1129" i="2" s="1"/>
  <c r="H1129" i="2" s="1"/>
  <c r="E1129" i="2"/>
  <c r="E1128" i="2"/>
  <c r="E1127" i="2"/>
  <c r="K1126" i="2"/>
  <c r="I1126" i="2"/>
  <c r="G1126" i="2"/>
  <c r="F1126" i="2"/>
  <c r="J1126" i="2" s="1"/>
  <c r="H1126" i="2" s="1"/>
  <c r="E1126" i="2"/>
  <c r="F1125" i="2"/>
  <c r="K1125" i="2" s="1"/>
  <c r="E1125" i="2"/>
  <c r="E1124" i="2"/>
  <c r="I1121" i="2"/>
  <c r="G1121" i="2"/>
  <c r="F1121" i="2"/>
  <c r="K1121" i="2" s="1"/>
  <c r="E1121" i="2"/>
  <c r="K1120" i="2"/>
  <c r="G1120" i="2"/>
  <c r="E1120" i="2"/>
  <c r="F1120" i="2" s="1"/>
  <c r="G1119" i="2"/>
  <c r="F1119" i="2"/>
  <c r="J1119" i="2" s="1"/>
  <c r="H1119" i="2" s="1"/>
  <c r="E1119" i="2"/>
  <c r="I1118" i="2"/>
  <c r="F1118" i="2"/>
  <c r="E1118" i="2"/>
  <c r="E1117" i="2"/>
  <c r="K1116" i="2"/>
  <c r="I1116" i="2"/>
  <c r="G1116" i="2"/>
  <c r="F1116" i="2"/>
  <c r="J1116" i="2" s="1"/>
  <c r="H1116" i="2" s="1"/>
  <c r="E1116" i="2"/>
  <c r="F1113" i="2"/>
  <c r="K1113" i="2" s="1"/>
  <c r="E1113" i="2"/>
  <c r="G1112" i="2"/>
  <c r="E1112" i="2"/>
  <c r="I1111" i="2"/>
  <c r="G1111" i="2"/>
  <c r="F1111" i="2"/>
  <c r="E1111" i="2"/>
  <c r="E1110" i="2"/>
  <c r="J1109" i="2"/>
  <c r="H1109" i="2" s="1"/>
  <c r="G1109" i="2"/>
  <c r="F1109" i="2"/>
  <c r="E1109" i="2"/>
  <c r="K1109" i="2" s="1"/>
  <c r="E1108" i="2"/>
  <c r="E1107" i="2"/>
  <c r="K1106" i="2"/>
  <c r="I1106" i="2"/>
  <c r="G1106" i="2"/>
  <c r="F1106" i="2"/>
  <c r="J1106" i="2" s="1"/>
  <c r="H1106" i="2" s="1"/>
  <c r="E1106" i="2"/>
  <c r="F1103" i="2"/>
  <c r="E1103" i="2"/>
  <c r="I1103" i="2" s="1"/>
  <c r="E1102" i="2"/>
  <c r="G1101" i="2"/>
  <c r="F1101" i="2"/>
  <c r="E1101" i="2"/>
  <c r="E1100" i="2"/>
  <c r="G1099" i="2"/>
  <c r="F1099" i="2"/>
  <c r="J1099" i="2" s="1"/>
  <c r="H1099" i="2" s="1"/>
  <c r="E1099" i="2"/>
  <c r="E1098" i="2"/>
  <c r="E1097" i="2"/>
  <c r="K1094" i="2"/>
  <c r="I1094" i="2"/>
  <c r="G1094" i="2"/>
  <c r="F1094" i="2"/>
  <c r="J1094" i="2" s="1"/>
  <c r="H1094" i="2" s="1"/>
  <c r="E1094" i="2"/>
  <c r="K1093" i="2"/>
  <c r="J1093" i="2"/>
  <c r="H1093" i="2" s="1"/>
  <c r="F1093" i="2"/>
  <c r="E1093" i="2"/>
  <c r="G1092" i="2"/>
  <c r="E1092" i="2"/>
  <c r="I1091" i="2"/>
  <c r="G1091" i="2"/>
  <c r="F1091" i="2"/>
  <c r="E1091" i="2"/>
  <c r="E1090" i="2"/>
  <c r="J1089" i="2"/>
  <c r="H1089" i="2" s="1"/>
  <c r="G1089" i="2"/>
  <c r="F1089" i="2"/>
  <c r="E1089" i="2"/>
  <c r="K1089" i="2" s="1"/>
  <c r="E1088" i="2"/>
  <c r="E1087" i="2"/>
  <c r="K1084" i="2"/>
  <c r="I1084" i="2"/>
  <c r="G1084" i="2"/>
  <c r="F1084" i="2"/>
  <c r="J1084" i="2" s="1"/>
  <c r="H1084" i="2" s="1"/>
  <c r="E1084" i="2"/>
  <c r="K1083" i="2"/>
  <c r="F1083" i="2"/>
  <c r="J1083" i="2" s="1"/>
  <c r="H1083" i="2" s="1"/>
  <c r="E1083" i="2"/>
  <c r="G1082" i="2"/>
  <c r="E1082" i="2"/>
  <c r="G1081" i="2"/>
  <c r="F1081" i="2"/>
  <c r="E1081" i="2"/>
  <c r="G1080" i="2"/>
  <c r="E1080" i="2"/>
  <c r="G1079" i="2"/>
  <c r="F1079" i="2"/>
  <c r="J1079" i="2" s="1"/>
  <c r="H1079" i="2" s="1"/>
  <c r="E1079" i="2"/>
  <c r="K1079" i="2" s="1"/>
  <c r="F1078" i="2"/>
  <c r="K1078" i="2" s="1"/>
  <c r="E1078" i="2"/>
  <c r="E1077" i="2"/>
  <c r="K1076" i="2"/>
  <c r="I1076" i="2"/>
  <c r="G1076" i="2"/>
  <c r="F1076" i="2"/>
  <c r="J1076" i="2" s="1"/>
  <c r="H1076" i="2" s="1"/>
  <c r="E1076" i="2"/>
  <c r="F1075" i="2"/>
  <c r="K1075" i="2" s="1"/>
  <c r="E1075" i="2"/>
  <c r="E1074" i="2"/>
  <c r="I1073" i="2"/>
  <c r="G1073" i="2"/>
  <c r="F1073" i="2"/>
  <c r="E1073" i="2"/>
  <c r="E1072" i="2"/>
  <c r="J1071" i="2"/>
  <c r="H1071" i="2" s="1"/>
  <c r="G1071" i="2"/>
  <c r="F1071" i="2"/>
  <c r="E1071" i="2"/>
  <c r="K1071" i="2" s="1"/>
  <c r="E1070" i="2"/>
  <c r="E1069" i="2"/>
  <c r="K1068" i="2"/>
  <c r="I1068" i="2"/>
  <c r="G1068" i="2"/>
  <c r="F1068" i="2"/>
  <c r="J1068" i="2" s="1"/>
  <c r="H1068" i="2" s="1"/>
  <c r="E1068" i="2"/>
  <c r="E1067" i="2"/>
  <c r="E1066" i="2"/>
  <c r="K1065" i="2"/>
  <c r="I1065" i="2"/>
  <c r="G1065" i="2"/>
  <c r="F1065" i="2"/>
  <c r="J1065" i="2" s="1"/>
  <c r="H1065" i="2" s="1"/>
  <c r="E1065" i="2"/>
  <c r="G1064" i="2"/>
  <c r="F1064" i="2"/>
  <c r="E1064" i="2"/>
  <c r="G1063" i="2"/>
  <c r="F1063" i="2"/>
  <c r="I1063" i="2" s="1"/>
  <c r="E1063" i="2"/>
  <c r="E1062" i="2"/>
  <c r="G1061" i="2"/>
  <c r="E1061" i="2"/>
  <c r="G1060" i="2"/>
  <c r="F1060" i="2"/>
  <c r="K1060" i="2" s="1"/>
  <c r="E1060" i="2"/>
  <c r="K1057" i="2"/>
  <c r="J1057" i="2"/>
  <c r="H1057" i="2" s="1"/>
  <c r="F1057" i="2"/>
  <c r="E1057" i="2"/>
  <c r="G1057" i="2" s="1"/>
  <c r="G1056" i="2"/>
  <c r="E1056" i="2"/>
  <c r="I1055" i="2"/>
  <c r="G1055" i="2"/>
  <c r="F1055" i="2"/>
  <c r="J1055" i="2" s="1"/>
  <c r="H1055" i="2" s="1"/>
  <c r="E1055" i="2"/>
  <c r="E1054" i="2"/>
  <c r="G1053" i="2"/>
  <c r="E1053" i="2"/>
  <c r="E1052" i="2"/>
  <c r="G1051" i="2"/>
  <c r="E1051" i="2"/>
  <c r="K1050" i="2"/>
  <c r="J1050" i="2"/>
  <c r="H1050" i="2" s="1"/>
  <c r="I1050" i="2"/>
  <c r="G1050" i="2"/>
  <c r="F1050" i="2"/>
  <c r="E1050" i="2"/>
  <c r="F1049" i="2"/>
  <c r="E1049" i="2"/>
  <c r="E1048" i="2"/>
  <c r="K1047" i="2"/>
  <c r="I1047" i="2"/>
  <c r="G1047" i="2"/>
  <c r="F1047" i="2"/>
  <c r="J1047" i="2" s="1"/>
  <c r="H1047" i="2" s="1"/>
  <c r="E1047" i="2"/>
  <c r="G1046" i="2"/>
  <c r="F1046" i="2"/>
  <c r="E1046" i="2"/>
  <c r="G1045" i="2"/>
  <c r="F1045" i="2"/>
  <c r="I1045" i="2" s="1"/>
  <c r="E1045" i="2"/>
  <c r="E1044" i="2"/>
  <c r="G1043" i="2"/>
  <c r="E1043" i="2"/>
  <c r="G1042" i="2"/>
  <c r="F1042" i="2"/>
  <c r="E1042" i="2"/>
  <c r="K1041" i="2"/>
  <c r="J1041" i="2"/>
  <c r="H1041" i="2" s="1"/>
  <c r="F1041" i="2"/>
  <c r="E1041" i="2"/>
  <c r="G1041" i="2" s="1"/>
  <c r="G1040" i="2"/>
  <c r="E1040" i="2"/>
  <c r="I1039" i="2"/>
  <c r="G1039" i="2"/>
  <c r="F1039" i="2"/>
  <c r="J1039" i="2" s="1"/>
  <c r="H1039" i="2" s="1"/>
  <c r="E1039" i="2"/>
  <c r="E1038" i="2"/>
  <c r="G1037" i="2"/>
  <c r="E1037" i="2"/>
  <c r="E1036" i="2"/>
  <c r="G1035" i="2"/>
  <c r="E1035" i="2"/>
  <c r="K1034" i="2"/>
  <c r="J1034" i="2"/>
  <c r="H1034" i="2" s="1"/>
  <c r="I1034" i="2"/>
  <c r="G1034" i="2"/>
  <c r="F1034" i="2"/>
  <c r="E1034" i="2"/>
  <c r="E1033" i="2"/>
  <c r="E1032" i="2"/>
  <c r="I1029" i="2"/>
  <c r="G1029" i="2"/>
  <c r="F1029" i="2"/>
  <c r="J1029" i="2" s="1"/>
  <c r="H1029" i="2" s="1"/>
  <c r="E1029" i="2"/>
  <c r="J1028" i="2"/>
  <c r="H1028" i="2" s="1"/>
  <c r="G1028" i="2"/>
  <c r="F1028" i="2"/>
  <c r="K1028" i="2" s="1"/>
  <c r="E1028" i="2"/>
  <c r="J1027" i="2"/>
  <c r="H1027" i="2" s="1"/>
  <c r="G1027" i="2"/>
  <c r="F1027" i="2"/>
  <c r="I1027" i="2" s="1"/>
  <c r="E1027" i="2"/>
  <c r="K1026" i="2"/>
  <c r="I1026" i="2"/>
  <c r="F1026" i="2"/>
  <c r="E1026" i="2"/>
  <c r="G1025" i="2"/>
  <c r="E1025" i="2"/>
  <c r="G1024" i="2"/>
  <c r="F1024" i="2"/>
  <c r="E1024" i="2"/>
  <c r="K1023" i="2"/>
  <c r="J1023" i="2"/>
  <c r="H1023" i="2" s="1"/>
  <c r="F1023" i="2"/>
  <c r="E1023" i="2"/>
  <c r="G1023" i="2" s="1"/>
  <c r="G1022" i="2"/>
  <c r="E1022" i="2"/>
  <c r="K1021" i="2"/>
  <c r="I1021" i="2"/>
  <c r="G1021" i="2"/>
  <c r="F1021" i="2"/>
  <c r="J1021" i="2" s="1"/>
  <c r="H1021" i="2" s="1"/>
  <c r="E1021" i="2"/>
  <c r="E1018" i="2"/>
  <c r="E1017" i="2"/>
  <c r="E1016" i="2"/>
  <c r="G1015" i="2"/>
  <c r="E1015" i="2"/>
  <c r="K1014" i="2"/>
  <c r="J1014" i="2"/>
  <c r="H1014" i="2" s="1"/>
  <c r="I1014" i="2"/>
  <c r="G1014" i="2"/>
  <c r="F1014" i="2"/>
  <c r="E1014" i="2"/>
  <c r="I1013" i="2"/>
  <c r="F1013" i="2"/>
  <c r="E1013" i="2"/>
  <c r="E1012" i="2"/>
  <c r="G1011" i="2"/>
  <c r="F1011" i="2"/>
  <c r="E1011" i="2"/>
  <c r="G1010" i="2"/>
  <c r="F1010" i="2"/>
  <c r="K1010" i="2" s="1"/>
  <c r="E1010" i="2"/>
  <c r="G1007" i="2"/>
  <c r="F1007" i="2"/>
  <c r="E1007" i="2"/>
  <c r="F1006" i="2"/>
  <c r="K1006" i="2" s="1"/>
  <c r="E1006" i="2"/>
  <c r="E1005" i="2"/>
  <c r="J1004" i="2"/>
  <c r="H1004" i="2" s="1"/>
  <c r="G1004" i="2"/>
  <c r="F1004" i="2"/>
  <c r="E1004" i="2"/>
  <c r="K1003" i="2"/>
  <c r="J1003" i="2"/>
  <c r="H1003" i="2" s="1"/>
  <c r="F1003" i="2"/>
  <c r="E1003" i="2"/>
  <c r="G1003" i="2" s="1"/>
  <c r="G1002" i="2"/>
  <c r="E1002" i="2"/>
  <c r="K1001" i="2"/>
  <c r="I1001" i="2"/>
  <c r="G1001" i="2"/>
  <c r="F1001" i="2"/>
  <c r="J1001" i="2" s="1"/>
  <c r="H1001" i="2" s="1"/>
  <c r="E1001" i="2"/>
  <c r="E1000" i="2"/>
  <c r="G999" i="2"/>
  <c r="E999" i="2"/>
  <c r="E998" i="2"/>
  <c r="G997" i="2"/>
  <c r="E997" i="2"/>
  <c r="E996" i="2"/>
  <c r="I995" i="2"/>
  <c r="F995" i="2"/>
  <c r="E995" i="2"/>
  <c r="J994" i="2"/>
  <c r="H994" i="2" s="1"/>
  <c r="I994" i="2"/>
  <c r="G994" i="2"/>
  <c r="E994" i="2"/>
  <c r="F994" i="2" s="1"/>
  <c r="K993" i="2"/>
  <c r="J993" i="2"/>
  <c r="H993" i="2" s="1"/>
  <c r="G993" i="2"/>
  <c r="F993" i="2"/>
  <c r="I993" i="2" s="1"/>
  <c r="E993" i="2"/>
  <c r="J992" i="2"/>
  <c r="H992" i="2" s="1"/>
  <c r="I992" i="2"/>
  <c r="G992" i="2"/>
  <c r="F992" i="2"/>
  <c r="E992" i="2"/>
  <c r="K992" i="2" s="1"/>
  <c r="G991" i="2"/>
  <c r="E991" i="2"/>
  <c r="E990" i="2"/>
  <c r="G989" i="2"/>
  <c r="F989" i="2"/>
  <c r="J989" i="2" s="1"/>
  <c r="H989" i="2" s="1"/>
  <c r="E989" i="2"/>
  <c r="K988" i="2"/>
  <c r="J988" i="2"/>
  <c r="H988" i="2" s="1"/>
  <c r="G988" i="2"/>
  <c r="F988" i="2"/>
  <c r="E988" i="2"/>
  <c r="I988" i="2" s="1"/>
  <c r="E985" i="2"/>
  <c r="E984" i="2"/>
  <c r="J983" i="2"/>
  <c r="H983" i="2" s="1"/>
  <c r="I983" i="2"/>
  <c r="G983" i="2"/>
  <c r="F983" i="2"/>
  <c r="K983" i="2" s="1"/>
  <c r="E983" i="2"/>
  <c r="G982" i="2"/>
  <c r="F982" i="2"/>
  <c r="K982" i="2" s="1"/>
  <c r="E982" i="2"/>
  <c r="J981" i="2"/>
  <c r="H981" i="2" s="1"/>
  <c r="I981" i="2"/>
  <c r="G981" i="2"/>
  <c r="F981" i="2"/>
  <c r="E981" i="2"/>
  <c r="E980" i="2"/>
  <c r="F979" i="2"/>
  <c r="E979" i="2"/>
  <c r="E976" i="2"/>
  <c r="G975" i="2"/>
  <c r="F975" i="2"/>
  <c r="K975" i="2" s="1"/>
  <c r="E975" i="2"/>
  <c r="E974" i="2"/>
  <c r="J973" i="2"/>
  <c r="H973" i="2" s="1"/>
  <c r="I973" i="2"/>
  <c r="G973" i="2"/>
  <c r="F973" i="2"/>
  <c r="E973" i="2"/>
  <c r="K973" i="2" s="1"/>
  <c r="F972" i="2"/>
  <c r="E972" i="2"/>
  <c r="G972" i="2" s="1"/>
  <c r="E971" i="2"/>
  <c r="G970" i="2"/>
  <c r="F970" i="2"/>
  <c r="E970" i="2"/>
  <c r="E969" i="2"/>
  <c r="E968" i="2"/>
  <c r="K967" i="2"/>
  <c r="I967" i="2"/>
  <c r="G967" i="2"/>
  <c r="F967" i="2"/>
  <c r="E967" i="2"/>
  <c r="J967" i="2" s="1"/>
  <c r="H967" i="2" s="1"/>
  <c r="E966" i="2"/>
  <c r="J965" i="2"/>
  <c r="H965" i="2" s="1"/>
  <c r="G965" i="2"/>
  <c r="F965" i="2"/>
  <c r="I965" i="2" s="1"/>
  <c r="E965" i="2"/>
  <c r="I964" i="2"/>
  <c r="F964" i="2"/>
  <c r="E964" i="2"/>
  <c r="K964" i="2" s="1"/>
  <c r="G963" i="2"/>
  <c r="E963" i="2"/>
  <c r="K962" i="2"/>
  <c r="I962" i="2"/>
  <c r="G962" i="2"/>
  <c r="F962" i="2"/>
  <c r="J962" i="2" s="1"/>
  <c r="H962" i="2" s="1"/>
  <c r="E962" i="2"/>
  <c r="F961" i="2"/>
  <c r="E961" i="2"/>
  <c r="E960" i="2"/>
  <c r="G959" i="2"/>
  <c r="F959" i="2"/>
  <c r="E959" i="2"/>
  <c r="F958" i="2"/>
  <c r="E958" i="2"/>
  <c r="J957" i="2"/>
  <c r="H957" i="2" s="1"/>
  <c r="F957" i="2"/>
  <c r="E957" i="2"/>
  <c r="I956" i="2"/>
  <c r="F956" i="2"/>
  <c r="E956" i="2"/>
  <c r="K956" i="2" s="1"/>
  <c r="E955" i="2"/>
  <c r="K952" i="2"/>
  <c r="J952" i="2"/>
  <c r="H952" i="2" s="1"/>
  <c r="G952" i="2"/>
  <c r="F952" i="2"/>
  <c r="I952" i="2" s="1"/>
  <c r="E952" i="2"/>
  <c r="J951" i="2"/>
  <c r="H951" i="2" s="1"/>
  <c r="I951" i="2"/>
  <c r="F951" i="2"/>
  <c r="E951" i="2"/>
  <c r="G951" i="2" s="1"/>
  <c r="E950" i="2"/>
  <c r="K949" i="2"/>
  <c r="G949" i="2"/>
  <c r="F949" i="2"/>
  <c r="I949" i="2" s="1"/>
  <c r="E949" i="2"/>
  <c r="E948" i="2"/>
  <c r="E947" i="2"/>
  <c r="F946" i="2"/>
  <c r="K946" i="2" s="1"/>
  <c r="E946" i="2"/>
  <c r="G945" i="2"/>
  <c r="E945" i="2"/>
  <c r="G944" i="2"/>
  <c r="F944" i="2"/>
  <c r="E944" i="2"/>
  <c r="E943" i="2"/>
  <c r="E942" i="2"/>
  <c r="G941" i="2"/>
  <c r="F941" i="2"/>
  <c r="E941" i="2"/>
  <c r="E940" i="2"/>
  <c r="J939" i="2"/>
  <c r="H939" i="2" s="1"/>
  <c r="F939" i="2"/>
  <c r="E939" i="2"/>
  <c r="I938" i="2"/>
  <c r="F938" i="2"/>
  <c r="E938" i="2"/>
  <c r="K938" i="2" s="1"/>
  <c r="E937" i="2"/>
  <c r="K936" i="2"/>
  <c r="J936" i="2"/>
  <c r="H936" i="2" s="1"/>
  <c r="G936" i="2"/>
  <c r="F936" i="2"/>
  <c r="I936" i="2" s="1"/>
  <c r="E936" i="2"/>
  <c r="J935" i="2"/>
  <c r="H935" i="2" s="1"/>
  <c r="I935" i="2"/>
  <c r="F935" i="2"/>
  <c r="E935" i="2"/>
  <c r="G935" i="2" s="1"/>
  <c r="E933" i="2"/>
  <c r="K931" i="2"/>
  <c r="G931" i="2"/>
  <c r="F931" i="2"/>
  <c r="I931" i="2" s="1"/>
  <c r="E931" i="2"/>
  <c r="E930" i="2"/>
  <c r="G929" i="2"/>
  <c r="E929" i="2"/>
  <c r="F928" i="2"/>
  <c r="K928" i="2" s="1"/>
  <c r="E928" i="2"/>
  <c r="G927" i="2"/>
  <c r="E927" i="2"/>
  <c r="G926" i="2"/>
  <c r="F926" i="2"/>
  <c r="E926" i="2"/>
  <c r="E925" i="2"/>
  <c r="E924" i="2"/>
  <c r="G923" i="2"/>
  <c r="F923" i="2"/>
  <c r="E923" i="2"/>
  <c r="F922" i="2"/>
  <c r="E922" i="2"/>
  <c r="J921" i="2"/>
  <c r="H921" i="2" s="1"/>
  <c r="F921" i="2"/>
  <c r="E921" i="2"/>
  <c r="F920" i="2"/>
  <c r="I920" i="2" s="1"/>
  <c r="E920" i="2"/>
  <c r="E919" i="2"/>
  <c r="K918" i="2"/>
  <c r="J918" i="2"/>
  <c r="H918" i="2" s="1"/>
  <c r="G918" i="2"/>
  <c r="F918" i="2"/>
  <c r="I918" i="2" s="1"/>
  <c r="E918" i="2"/>
  <c r="J917" i="2"/>
  <c r="H917" i="2" s="1"/>
  <c r="I917" i="2"/>
  <c r="F917" i="2"/>
  <c r="E917" i="2"/>
  <c r="G917" i="2" s="1"/>
  <c r="E914" i="2"/>
  <c r="K913" i="2"/>
  <c r="G913" i="2"/>
  <c r="F913" i="2"/>
  <c r="I913" i="2" s="1"/>
  <c r="E913" i="2"/>
  <c r="E912" i="2"/>
  <c r="G911" i="2"/>
  <c r="F911" i="2"/>
  <c r="E911" i="2"/>
  <c r="F910" i="2"/>
  <c r="K910" i="2" s="1"/>
  <c r="E910" i="2"/>
  <c r="G909" i="2"/>
  <c r="E909" i="2"/>
  <c r="G908" i="2"/>
  <c r="F908" i="2"/>
  <c r="E908" i="2"/>
  <c r="E907" i="2"/>
  <c r="E906" i="2"/>
  <c r="G905" i="2"/>
  <c r="F905" i="2"/>
  <c r="E905" i="2"/>
  <c r="F904" i="2"/>
  <c r="E904" i="2"/>
  <c r="J903" i="2"/>
  <c r="H903" i="2" s="1"/>
  <c r="F903" i="2"/>
  <c r="E903" i="2"/>
  <c r="F902" i="2"/>
  <c r="I902" i="2" s="1"/>
  <c r="E902" i="2"/>
  <c r="E901" i="2"/>
  <c r="K900" i="2"/>
  <c r="J900" i="2"/>
  <c r="H900" i="2" s="1"/>
  <c r="G900" i="2"/>
  <c r="F900" i="2"/>
  <c r="I900" i="2" s="1"/>
  <c r="E900" i="2"/>
  <c r="J899" i="2"/>
  <c r="H899" i="2" s="1"/>
  <c r="I899" i="2"/>
  <c r="F899" i="2"/>
  <c r="E899" i="2"/>
  <c r="G899" i="2" s="1"/>
  <c r="G898" i="2"/>
  <c r="E898" i="2"/>
  <c r="K897" i="2"/>
  <c r="G897" i="2"/>
  <c r="F897" i="2"/>
  <c r="I897" i="2" s="1"/>
  <c r="E897" i="2"/>
  <c r="E896" i="2"/>
  <c r="F895" i="2"/>
  <c r="E895" i="2"/>
  <c r="F894" i="2"/>
  <c r="K894" i="2" s="1"/>
  <c r="E894" i="2"/>
  <c r="G893" i="2"/>
  <c r="E893" i="2"/>
  <c r="G892" i="2"/>
  <c r="F892" i="2"/>
  <c r="E892" i="2"/>
  <c r="E891" i="2"/>
  <c r="E888" i="2"/>
  <c r="G887" i="2"/>
  <c r="F887" i="2"/>
  <c r="E887" i="2"/>
  <c r="E886" i="2"/>
  <c r="J885" i="2"/>
  <c r="H885" i="2" s="1"/>
  <c r="F885" i="2"/>
  <c r="E885" i="2"/>
  <c r="I884" i="2"/>
  <c r="F884" i="2"/>
  <c r="E884" i="2"/>
  <c r="K884" i="2" s="1"/>
  <c r="E883" i="2"/>
  <c r="K880" i="2"/>
  <c r="J880" i="2"/>
  <c r="H880" i="2" s="1"/>
  <c r="G880" i="2"/>
  <c r="F880" i="2"/>
  <c r="I880" i="2" s="1"/>
  <c r="E880" i="2"/>
  <c r="J879" i="2"/>
  <c r="H879" i="2" s="1"/>
  <c r="I879" i="2"/>
  <c r="F879" i="2"/>
  <c r="E879" i="2"/>
  <c r="G879" i="2" s="1"/>
  <c r="E878" i="2"/>
  <c r="K877" i="2"/>
  <c r="G877" i="2"/>
  <c r="F877" i="2"/>
  <c r="J877" i="2" s="1"/>
  <c r="H877" i="2" s="1"/>
  <c r="E877" i="2"/>
  <c r="E876" i="2"/>
  <c r="E875" i="2"/>
  <c r="F874" i="2"/>
  <c r="K874" i="2" s="1"/>
  <c r="E874" i="2"/>
  <c r="G873" i="2"/>
  <c r="E873" i="2"/>
  <c r="G872" i="2"/>
  <c r="F872" i="2"/>
  <c r="E872" i="2"/>
  <c r="E871" i="2"/>
  <c r="E870" i="2"/>
  <c r="G867" i="2"/>
  <c r="F867" i="2"/>
  <c r="E867" i="2"/>
  <c r="E866" i="2"/>
  <c r="J865" i="2"/>
  <c r="H865" i="2" s="1"/>
  <c r="F865" i="2"/>
  <c r="E865" i="2"/>
  <c r="I864" i="2"/>
  <c r="F864" i="2"/>
  <c r="E864" i="2"/>
  <c r="E863" i="2"/>
  <c r="K862" i="2"/>
  <c r="G862" i="2"/>
  <c r="F862" i="2"/>
  <c r="J862" i="2" s="1"/>
  <c r="H862" i="2" s="1"/>
  <c r="E862" i="2"/>
  <c r="E861" i="2"/>
  <c r="G861" i="2" s="1"/>
  <c r="K860" i="2"/>
  <c r="I860" i="2"/>
  <c r="G860" i="2"/>
  <c r="E860" i="2"/>
  <c r="F860" i="2" s="1"/>
  <c r="G859" i="2"/>
  <c r="F859" i="2"/>
  <c r="E859" i="2"/>
  <c r="E858" i="2"/>
  <c r="J857" i="2"/>
  <c r="H857" i="2" s="1"/>
  <c r="G857" i="2"/>
  <c r="F857" i="2"/>
  <c r="I857" i="2" s="1"/>
  <c r="E857" i="2"/>
  <c r="E856" i="2"/>
  <c r="G855" i="2"/>
  <c r="F855" i="2"/>
  <c r="K855" i="2" s="1"/>
  <c r="E855" i="2"/>
  <c r="F854" i="2"/>
  <c r="J854" i="2" s="1"/>
  <c r="H854" i="2" s="1"/>
  <c r="E854" i="2"/>
  <c r="K853" i="2"/>
  <c r="F853" i="2"/>
  <c r="J853" i="2" s="1"/>
  <c r="H853" i="2" s="1"/>
  <c r="E853" i="2"/>
  <c r="G853" i="2" s="1"/>
  <c r="E852" i="2"/>
  <c r="K851" i="2"/>
  <c r="I851" i="2"/>
  <c r="G851" i="2"/>
  <c r="F851" i="2"/>
  <c r="J851" i="2" s="1"/>
  <c r="H851" i="2" s="1"/>
  <c r="E851" i="2"/>
  <c r="G850" i="2"/>
  <c r="F850" i="2"/>
  <c r="J850" i="2" s="1"/>
  <c r="H850" i="2" s="1"/>
  <c r="E850" i="2"/>
  <c r="I850" i="2" s="1"/>
  <c r="E849" i="2"/>
  <c r="K848" i="2"/>
  <c r="G848" i="2"/>
  <c r="F848" i="2"/>
  <c r="I848" i="2" s="1"/>
  <c r="E848" i="2"/>
  <c r="E847" i="2"/>
  <c r="I846" i="2"/>
  <c r="G846" i="2"/>
  <c r="F846" i="2"/>
  <c r="K846" i="2" s="1"/>
  <c r="E846" i="2"/>
  <c r="J846" i="2" s="1"/>
  <c r="H846" i="2" s="1"/>
  <c r="E843" i="2"/>
  <c r="K842" i="2"/>
  <c r="J842" i="2"/>
  <c r="H842" i="2" s="1"/>
  <c r="I842" i="2"/>
  <c r="G842" i="2"/>
  <c r="E842" i="2"/>
  <c r="F842" i="2" s="1"/>
  <c r="J841" i="2"/>
  <c r="H841" i="2" s="1"/>
  <c r="I841" i="2"/>
  <c r="G841" i="2"/>
  <c r="F841" i="2"/>
  <c r="K841" i="2" s="1"/>
  <c r="E841" i="2"/>
  <c r="E840" i="2"/>
  <c r="G839" i="2"/>
  <c r="F839" i="2"/>
  <c r="J839" i="2" s="1"/>
  <c r="H839" i="2" s="1"/>
  <c r="E839" i="2"/>
  <c r="I839" i="2" s="1"/>
  <c r="E838" i="2"/>
  <c r="G837" i="2"/>
  <c r="F837" i="2"/>
  <c r="J837" i="2" s="1"/>
  <c r="H837" i="2" s="1"/>
  <c r="E837" i="2"/>
  <c r="E836" i="2"/>
  <c r="F835" i="2"/>
  <c r="E835" i="2"/>
  <c r="G835" i="2" s="1"/>
  <c r="G834" i="2"/>
  <c r="E834" i="2"/>
  <c r="K833" i="2"/>
  <c r="J833" i="2"/>
  <c r="H833" i="2" s="1"/>
  <c r="I833" i="2"/>
  <c r="G833" i="2"/>
  <c r="F833" i="2"/>
  <c r="E833" i="2"/>
  <c r="G832" i="2"/>
  <c r="F832" i="2"/>
  <c r="E832" i="2"/>
  <c r="E831" i="2"/>
  <c r="K830" i="2"/>
  <c r="G830" i="2"/>
  <c r="F830" i="2"/>
  <c r="E830" i="2"/>
  <c r="E829" i="2"/>
  <c r="E828" i="2"/>
  <c r="E827" i="2"/>
  <c r="K826" i="2"/>
  <c r="G826" i="2"/>
  <c r="F826" i="2"/>
  <c r="I826" i="2" s="1"/>
  <c r="E826" i="2"/>
  <c r="J825" i="2"/>
  <c r="H825" i="2" s="1"/>
  <c r="I825" i="2"/>
  <c r="F825" i="2"/>
  <c r="E825" i="2"/>
  <c r="G825" i="2" s="1"/>
  <c r="E824" i="2"/>
  <c r="K823" i="2"/>
  <c r="G823" i="2"/>
  <c r="F823" i="2"/>
  <c r="I823" i="2" s="1"/>
  <c r="E823" i="2"/>
  <c r="E822" i="2"/>
  <c r="E821" i="2"/>
  <c r="F820" i="2"/>
  <c r="K820" i="2" s="1"/>
  <c r="E820" i="2"/>
  <c r="G819" i="2"/>
  <c r="E819" i="2"/>
  <c r="G818" i="2"/>
  <c r="F818" i="2"/>
  <c r="K818" i="2" s="1"/>
  <c r="E818" i="2"/>
  <c r="E817" i="2"/>
  <c r="G817" i="2" s="1"/>
  <c r="E816" i="2"/>
  <c r="G815" i="2"/>
  <c r="F815" i="2"/>
  <c r="E815" i="2"/>
  <c r="E814" i="2"/>
  <c r="J813" i="2"/>
  <c r="H813" i="2" s="1"/>
  <c r="F813" i="2"/>
  <c r="E813" i="2"/>
  <c r="F810" i="2"/>
  <c r="I810" i="2" s="1"/>
  <c r="E810" i="2"/>
  <c r="K810" i="2" s="1"/>
  <c r="E809" i="2"/>
  <c r="K808" i="2"/>
  <c r="J808" i="2"/>
  <c r="H808" i="2" s="1"/>
  <c r="G808" i="2"/>
  <c r="F808" i="2"/>
  <c r="I808" i="2" s="1"/>
  <c r="E808" i="2"/>
  <c r="J807" i="2"/>
  <c r="H807" i="2" s="1"/>
  <c r="I807" i="2"/>
  <c r="F807" i="2"/>
  <c r="E807" i="2"/>
  <c r="G807" i="2" s="1"/>
  <c r="E806" i="2"/>
  <c r="K805" i="2"/>
  <c r="G805" i="2"/>
  <c r="F805" i="2"/>
  <c r="I805" i="2" s="1"/>
  <c r="E805" i="2"/>
  <c r="E804" i="2"/>
  <c r="E803" i="2"/>
  <c r="F802" i="2"/>
  <c r="K802" i="2" s="1"/>
  <c r="E802" i="2"/>
  <c r="G801" i="2"/>
  <c r="E801" i="2"/>
  <c r="G800" i="2"/>
  <c r="F800" i="2"/>
  <c r="K800" i="2" s="1"/>
  <c r="E800" i="2"/>
  <c r="E799" i="2"/>
  <c r="G799" i="2" s="1"/>
  <c r="E798" i="2"/>
  <c r="G797" i="2"/>
  <c r="F797" i="2"/>
  <c r="E797" i="2"/>
  <c r="E796" i="2"/>
  <c r="J795" i="2"/>
  <c r="H795" i="2" s="1"/>
  <c r="F795" i="2"/>
  <c r="E795" i="2"/>
  <c r="F794" i="2"/>
  <c r="I794" i="2" s="1"/>
  <c r="E794" i="2"/>
  <c r="E793" i="2"/>
  <c r="K790" i="2"/>
  <c r="J790" i="2"/>
  <c r="H790" i="2" s="1"/>
  <c r="G790" i="2"/>
  <c r="F790" i="2"/>
  <c r="I790" i="2" s="1"/>
  <c r="E790" i="2"/>
  <c r="J789" i="2"/>
  <c r="H789" i="2" s="1"/>
  <c r="I789" i="2"/>
  <c r="F789" i="2"/>
  <c r="E789" i="2"/>
  <c r="G789" i="2" s="1"/>
  <c r="E788" i="2"/>
  <c r="K787" i="2"/>
  <c r="G787" i="2"/>
  <c r="F787" i="2"/>
  <c r="I787" i="2" s="1"/>
  <c r="E787" i="2"/>
  <c r="E786" i="2"/>
  <c r="E785" i="2"/>
  <c r="F784" i="2"/>
  <c r="K784" i="2" s="1"/>
  <c r="E784" i="2"/>
  <c r="G783" i="2"/>
  <c r="E783" i="2"/>
  <c r="G782" i="2"/>
  <c r="F782" i="2"/>
  <c r="K782" i="2" s="1"/>
  <c r="E782" i="2"/>
  <c r="E781" i="2"/>
  <c r="G781" i="2" s="1"/>
  <c r="E780" i="2"/>
  <c r="G779" i="2"/>
  <c r="F779" i="2"/>
  <c r="E779" i="2"/>
  <c r="E778" i="2"/>
  <c r="K777" i="2"/>
  <c r="G777" i="2"/>
  <c r="F777" i="2"/>
  <c r="J777" i="2" s="1"/>
  <c r="H777" i="2" s="1"/>
  <c r="E777" i="2"/>
  <c r="E776" i="2"/>
  <c r="G776" i="2" s="1"/>
  <c r="K775" i="2"/>
  <c r="I775" i="2"/>
  <c r="G775" i="2"/>
  <c r="E775" i="2"/>
  <c r="F775" i="2" s="1"/>
  <c r="G774" i="2"/>
  <c r="F774" i="2"/>
  <c r="K774" i="2" s="1"/>
  <c r="E774" i="2"/>
  <c r="E773" i="2"/>
  <c r="J772" i="2"/>
  <c r="H772" i="2" s="1"/>
  <c r="G772" i="2"/>
  <c r="F772" i="2"/>
  <c r="I772" i="2" s="1"/>
  <c r="E772" i="2"/>
  <c r="E771" i="2"/>
  <c r="G770" i="2"/>
  <c r="F770" i="2"/>
  <c r="K770" i="2" s="1"/>
  <c r="E770" i="2"/>
  <c r="J770" i="2" s="1"/>
  <c r="H770" i="2" s="1"/>
  <c r="E769" i="2"/>
  <c r="K768" i="2"/>
  <c r="F768" i="2"/>
  <c r="J768" i="2" s="1"/>
  <c r="H768" i="2" s="1"/>
  <c r="E768" i="2"/>
  <c r="G768" i="2" s="1"/>
  <c r="J767" i="2"/>
  <c r="H767" i="2" s="1"/>
  <c r="I767" i="2"/>
  <c r="E767" i="2"/>
  <c r="F767" i="2" s="1"/>
  <c r="K766" i="2"/>
  <c r="I766" i="2"/>
  <c r="G766" i="2"/>
  <c r="F766" i="2"/>
  <c r="J766" i="2" s="1"/>
  <c r="H766" i="2" s="1"/>
  <c r="E766" i="2"/>
  <c r="G765" i="2"/>
  <c r="F765" i="2"/>
  <c r="E765" i="2"/>
  <c r="I765" i="2" s="1"/>
  <c r="E764" i="2"/>
  <c r="K763" i="2"/>
  <c r="G763" i="2"/>
  <c r="F763" i="2"/>
  <c r="I763" i="2" s="1"/>
  <c r="E763" i="2"/>
  <c r="E762" i="2"/>
  <c r="G761" i="2"/>
  <c r="F761" i="2"/>
  <c r="E761" i="2"/>
  <c r="E760" i="2"/>
  <c r="K759" i="2"/>
  <c r="J759" i="2"/>
  <c r="H759" i="2" s="1"/>
  <c r="I759" i="2"/>
  <c r="G759" i="2"/>
  <c r="E759" i="2"/>
  <c r="F759" i="2" s="1"/>
  <c r="J758" i="2"/>
  <c r="H758" i="2" s="1"/>
  <c r="I758" i="2"/>
  <c r="G758" i="2"/>
  <c r="F758" i="2"/>
  <c r="K758" i="2" s="1"/>
  <c r="E758" i="2"/>
  <c r="E757" i="2"/>
  <c r="G757" i="2" s="1"/>
  <c r="G756" i="2"/>
  <c r="F756" i="2"/>
  <c r="J756" i="2" s="1"/>
  <c r="H756" i="2" s="1"/>
  <c r="E756" i="2"/>
  <c r="I756" i="2" s="1"/>
  <c r="E755" i="2"/>
  <c r="K754" i="2"/>
  <c r="G754" i="2"/>
  <c r="F754" i="2"/>
  <c r="J754" i="2" s="1"/>
  <c r="H754" i="2" s="1"/>
  <c r="E754" i="2"/>
  <c r="E753" i="2"/>
  <c r="G753" i="2" s="1"/>
  <c r="F752" i="2"/>
  <c r="E752" i="2"/>
  <c r="G752" i="2" s="1"/>
  <c r="E751" i="2"/>
  <c r="K750" i="2"/>
  <c r="J750" i="2"/>
  <c r="H750" i="2" s="1"/>
  <c r="I750" i="2"/>
  <c r="G750" i="2"/>
  <c r="F750" i="2"/>
  <c r="E750" i="2"/>
  <c r="K749" i="2"/>
  <c r="J749" i="2"/>
  <c r="H749" i="2" s="1"/>
  <c r="G749" i="2"/>
  <c r="F749" i="2"/>
  <c r="I749" i="2" s="1"/>
  <c r="E749" i="2"/>
  <c r="E747" i="2"/>
  <c r="G745" i="2"/>
  <c r="F745" i="2"/>
  <c r="K745" i="2" s="1"/>
  <c r="E745" i="2"/>
  <c r="E744" i="2"/>
  <c r="K743" i="2"/>
  <c r="G743" i="2"/>
  <c r="F743" i="2"/>
  <c r="J743" i="2" s="1"/>
  <c r="H743" i="2" s="1"/>
  <c r="E743" i="2"/>
  <c r="E742" i="2"/>
  <c r="G742" i="2" s="1"/>
  <c r="K741" i="2"/>
  <c r="G741" i="2"/>
  <c r="E741" i="2"/>
  <c r="F741" i="2" s="1"/>
  <c r="G740" i="2"/>
  <c r="F740" i="2"/>
  <c r="E740" i="2"/>
  <c r="E739" i="2"/>
  <c r="J738" i="2"/>
  <c r="H738" i="2" s="1"/>
  <c r="G738" i="2"/>
  <c r="F738" i="2"/>
  <c r="I738" i="2" s="1"/>
  <c r="E738" i="2"/>
  <c r="E737" i="2"/>
  <c r="G736" i="2"/>
  <c r="F736" i="2"/>
  <c r="K736" i="2" s="1"/>
  <c r="E736" i="2"/>
  <c r="E733" i="2"/>
  <c r="K732" i="2"/>
  <c r="F732" i="2"/>
  <c r="J732" i="2" s="1"/>
  <c r="H732" i="2" s="1"/>
  <c r="E732" i="2"/>
  <c r="G732" i="2" s="1"/>
  <c r="E731" i="2"/>
  <c r="K730" i="2"/>
  <c r="G730" i="2"/>
  <c r="F730" i="2"/>
  <c r="J730" i="2" s="1"/>
  <c r="H730" i="2" s="1"/>
  <c r="E730" i="2"/>
  <c r="K729" i="2"/>
  <c r="G729" i="2"/>
  <c r="F729" i="2"/>
  <c r="J729" i="2" s="1"/>
  <c r="H729" i="2" s="1"/>
  <c r="E729" i="2"/>
  <c r="E728" i="2"/>
  <c r="E727" i="2"/>
  <c r="G726" i="2"/>
  <c r="E726" i="2"/>
  <c r="K725" i="2"/>
  <c r="J725" i="2"/>
  <c r="H725" i="2" s="1"/>
  <c r="G725" i="2"/>
  <c r="F725" i="2"/>
  <c r="I725" i="2" s="1"/>
  <c r="E725" i="2"/>
  <c r="J724" i="2"/>
  <c r="H724" i="2" s="1"/>
  <c r="F724" i="2"/>
  <c r="I724" i="2" s="1"/>
  <c r="E724" i="2"/>
  <c r="G724" i="2" s="1"/>
  <c r="E723" i="2"/>
  <c r="K722" i="2"/>
  <c r="G722" i="2"/>
  <c r="F722" i="2"/>
  <c r="I722" i="2" s="1"/>
  <c r="E722" i="2"/>
  <c r="J722" i="2" s="1"/>
  <c r="H722" i="2" s="1"/>
  <c r="K721" i="2"/>
  <c r="J721" i="2"/>
  <c r="H721" i="2" s="1"/>
  <c r="G721" i="2"/>
  <c r="F721" i="2"/>
  <c r="E721" i="2"/>
  <c r="I721" i="2" s="1"/>
  <c r="E720" i="2"/>
  <c r="E719" i="2"/>
  <c r="G718" i="2"/>
  <c r="E718" i="2"/>
  <c r="K717" i="2"/>
  <c r="J717" i="2"/>
  <c r="H717" i="2" s="1"/>
  <c r="G717" i="2"/>
  <c r="F717" i="2"/>
  <c r="I717" i="2" s="1"/>
  <c r="E717" i="2"/>
  <c r="E716" i="2"/>
  <c r="E715" i="2"/>
  <c r="K714" i="2"/>
  <c r="G714" i="2"/>
  <c r="F714" i="2"/>
  <c r="I714" i="2" s="1"/>
  <c r="E714" i="2"/>
  <c r="J714" i="2" s="1"/>
  <c r="H714" i="2" s="1"/>
  <c r="K713" i="2"/>
  <c r="G713" i="2"/>
  <c r="F713" i="2"/>
  <c r="J713" i="2" s="1"/>
  <c r="H713" i="2" s="1"/>
  <c r="E713" i="2"/>
  <c r="F712" i="2"/>
  <c r="I712" i="2" s="1"/>
  <c r="E712" i="2"/>
  <c r="E711" i="2"/>
  <c r="G710" i="2"/>
  <c r="E710" i="2"/>
  <c r="K709" i="2"/>
  <c r="G709" i="2"/>
  <c r="F709" i="2"/>
  <c r="I709" i="2" s="1"/>
  <c r="E709" i="2"/>
  <c r="F708" i="2"/>
  <c r="I708" i="2" s="1"/>
  <c r="E708" i="2"/>
  <c r="E707" i="2"/>
  <c r="K706" i="2"/>
  <c r="G706" i="2"/>
  <c r="F706" i="2"/>
  <c r="I706" i="2" s="1"/>
  <c r="E706" i="2"/>
  <c r="J706" i="2" s="1"/>
  <c r="H706" i="2" s="1"/>
  <c r="K705" i="2"/>
  <c r="J705" i="2"/>
  <c r="H705" i="2" s="1"/>
  <c r="G705" i="2"/>
  <c r="F705" i="2"/>
  <c r="E705" i="2"/>
  <c r="I705" i="2" s="1"/>
  <c r="J704" i="2"/>
  <c r="H704" i="2" s="1"/>
  <c r="I704" i="2"/>
  <c r="F704" i="2"/>
  <c r="E704" i="2"/>
  <c r="E703" i="2"/>
  <c r="G702" i="2"/>
  <c r="E702" i="2"/>
  <c r="G701" i="2"/>
  <c r="F701" i="2"/>
  <c r="E701" i="2"/>
  <c r="E700" i="2"/>
  <c r="G699" i="2"/>
  <c r="E699" i="2"/>
  <c r="K698" i="2"/>
  <c r="G698" i="2"/>
  <c r="F698" i="2"/>
  <c r="I698" i="2" s="1"/>
  <c r="E698" i="2"/>
  <c r="J698" i="2" s="1"/>
  <c r="H698" i="2" s="1"/>
  <c r="E697" i="2"/>
  <c r="G697" i="2" s="1"/>
  <c r="E694" i="2"/>
  <c r="E693" i="2"/>
  <c r="G692" i="2"/>
  <c r="E692" i="2"/>
  <c r="K691" i="2"/>
  <c r="J691" i="2"/>
  <c r="H691" i="2" s="1"/>
  <c r="I691" i="2"/>
  <c r="G691" i="2"/>
  <c r="F691" i="2"/>
  <c r="E691" i="2"/>
  <c r="E690" i="2"/>
  <c r="E689" i="2"/>
  <c r="K688" i="2"/>
  <c r="G688" i="2"/>
  <c r="F688" i="2"/>
  <c r="I688" i="2" s="1"/>
  <c r="E688" i="2"/>
  <c r="J687" i="2"/>
  <c r="H687" i="2" s="1"/>
  <c r="G687" i="2"/>
  <c r="F687" i="2"/>
  <c r="E687" i="2"/>
  <c r="E686" i="2"/>
  <c r="E685" i="2"/>
  <c r="G684" i="2"/>
  <c r="E684" i="2"/>
  <c r="K681" i="2"/>
  <c r="J681" i="2"/>
  <c r="H681" i="2" s="1"/>
  <c r="G681" i="2"/>
  <c r="F681" i="2"/>
  <c r="I681" i="2" s="1"/>
  <c r="E681" i="2"/>
  <c r="I680" i="2"/>
  <c r="F680" i="2"/>
  <c r="E680" i="2"/>
  <c r="E679" i="2"/>
  <c r="K678" i="2"/>
  <c r="G678" i="2"/>
  <c r="F678" i="2"/>
  <c r="E678" i="2"/>
  <c r="J678" i="2" s="1"/>
  <c r="H678" i="2" s="1"/>
  <c r="E677" i="2"/>
  <c r="K676" i="2"/>
  <c r="I676" i="2"/>
  <c r="F676" i="2"/>
  <c r="J676" i="2" s="1"/>
  <c r="H676" i="2" s="1"/>
  <c r="E676" i="2"/>
  <c r="G676" i="2" s="1"/>
  <c r="E673" i="2"/>
  <c r="G672" i="2"/>
  <c r="E672" i="2"/>
  <c r="F672" i="2" s="1"/>
  <c r="K671" i="2"/>
  <c r="J671" i="2"/>
  <c r="H671" i="2" s="1"/>
  <c r="I671" i="2"/>
  <c r="G671" i="2"/>
  <c r="F671" i="2"/>
  <c r="E671" i="2"/>
  <c r="J670" i="2"/>
  <c r="H670" i="2" s="1"/>
  <c r="I670" i="2"/>
  <c r="G670" i="2"/>
  <c r="F670" i="2"/>
  <c r="E670" i="2"/>
  <c r="G669" i="2"/>
  <c r="F669" i="2"/>
  <c r="E669" i="2"/>
  <c r="E668" i="2"/>
  <c r="K667" i="2"/>
  <c r="F667" i="2"/>
  <c r="J667" i="2" s="1"/>
  <c r="H667" i="2" s="1"/>
  <c r="E667" i="2"/>
  <c r="G667" i="2" s="1"/>
  <c r="F666" i="2"/>
  <c r="I666" i="2" s="1"/>
  <c r="E666" i="2"/>
  <c r="G666" i="2" s="1"/>
  <c r="E665" i="2"/>
  <c r="K664" i="2"/>
  <c r="J664" i="2"/>
  <c r="H664" i="2" s="1"/>
  <c r="I664" i="2"/>
  <c r="G664" i="2"/>
  <c r="E664" i="2"/>
  <c r="F664" i="2" s="1"/>
  <c r="I663" i="2"/>
  <c r="G663" i="2"/>
  <c r="F663" i="2"/>
  <c r="K663" i="2" s="1"/>
  <c r="E663" i="2"/>
  <c r="G662" i="2"/>
  <c r="F662" i="2"/>
  <c r="E662" i="2"/>
  <c r="G661" i="2"/>
  <c r="E661" i="2"/>
  <c r="K660" i="2"/>
  <c r="F660" i="2"/>
  <c r="E660" i="2"/>
  <c r="G660" i="2" s="1"/>
  <c r="E659" i="2"/>
  <c r="K658" i="2"/>
  <c r="J658" i="2"/>
  <c r="H658" i="2" s="1"/>
  <c r="I658" i="2"/>
  <c r="F658" i="2"/>
  <c r="E658" i="2"/>
  <c r="G658" i="2" s="1"/>
  <c r="E657" i="2"/>
  <c r="G656" i="2"/>
  <c r="E656" i="2"/>
  <c r="F656" i="2" s="1"/>
  <c r="K655" i="2"/>
  <c r="J655" i="2"/>
  <c r="H655" i="2" s="1"/>
  <c r="I655" i="2"/>
  <c r="G655" i="2"/>
  <c r="F655" i="2"/>
  <c r="E655" i="2"/>
  <c r="J654" i="2"/>
  <c r="H654" i="2" s="1"/>
  <c r="I654" i="2"/>
  <c r="G654" i="2"/>
  <c r="F654" i="2"/>
  <c r="E654" i="2"/>
  <c r="G653" i="2"/>
  <c r="E653" i="2"/>
  <c r="E652" i="2"/>
  <c r="K651" i="2"/>
  <c r="G651" i="2"/>
  <c r="F651" i="2"/>
  <c r="J651" i="2" s="1"/>
  <c r="H651" i="2" s="1"/>
  <c r="E651" i="2"/>
  <c r="G650" i="2"/>
  <c r="E650" i="2"/>
  <c r="E649" i="2"/>
  <c r="K648" i="2"/>
  <c r="J648" i="2"/>
  <c r="H648" i="2" s="1"/>
  <c r="I648" i="2"/>
  <c r="E648" i="2"/>
  <c r="F648" i="2" s="1"/>
  <c r="K645" i="2"/>
  <c r="J645" i="2"/>
  <c r="H645" i="2" s="1"/>
  <c r="I645" i="2"/>
  <c r="G645" i="2"/>
  <c r="F645" i="2"/>
  <c r="E645" i="2"/>
  <c r="J644" i="2"/>
  <c r="H644" i="2" s="1"/>
  <c r="I644" i="2"/>
  <c r="G644" i="2"/>
  <c r="F644" i="2"/>
  <c r="E644" i="2"/>
  <c r="K644" i="2" s="1"/>
  <c r="G643" i="2"/>
  <c r="E643" i="2"/>
  <c r="E642" i="2"/>
  <c r="G641" i="2"/>
  <c r="E641" i="2"/>
  <c r="K640" i="2"/>
  <c r="J640" i="2"/>
  <c r="H640" i="2" s="1"/>
  <c r="G640" i="2"/>
  <c r="F640" i="2"/>
  <c r="I640" i="2" s="1"/>
  <c r="E640" i="2"/>
  <c r="E639" i="2"/>
  <c r="G639" i="2" s="1"/>
  <c r="E638" i="2"/>
  <c r="K637" i="2"/>
  <c r="J637" i="2"/>
  <c r="H637" i="2" s="1"/>
  <c r="I637" i="2"/>
  <c r="G637" i="2"/>
  <c r="F637" i="2"/>
  <c r="E637" i="2"/>
  <c r="G636" i="2"/>
  <c r="E636" i="2"/>
  <c r="F636" i="2" s="1"/>
  <c r="I635" i="2"/>
  <c r="G635" i="2"/>
  <c r="F635" i="2"/>
  <c r="J635" i="2" s="1"/>
  <c r="H635" i="2" s="1"/>
  <c r="E635" i="2"/>
  <c r="G634" i="2"/>
  <c r="E634" i="2"/>
  <c r="E633" i="2"/>
  <c r="I632" i="2"/>
  <c r="G632" i="2"/>
  <c r="E632" i="2"/>
  <c r="F632" i="2" s="1"/>
  <c r="F631" i="2"/>
  <c r="E631" i="2"/>
  <c r="G631" i="2" s="1"/>
  <c r="I630" i="2"/>
  <c r="E630" i="2"/>
  <c r="F630" i="2" s="1"/>
  <c r="G629" i="2"/>
  <c r="F629" i="2"/>
  <c r="K629" i="2" s="1"/>
  <c r="E629" i="2"/>
  <c r="E626" i="2"/>
  <c r="G625" i="2"/>
  <c r="E625" i="2"/>
  <c r="I624" i="2"/>
  <c r="G624" i="2"/>
  <c r="F624" i="2"/>
  <c r="K624" i="2" s="1"/>
  <c r="E624" i="2"/>
  <c r="G623" i="2"/>
  <c r="E623" i="2"/>
  <c r="E622" i="2"/>
  <c r="E621" i="2"/>
  <c r="G621" i="2" s="1"/>
  <c r="K620" i="2"/>
  <c r="J620" i="2"/>
  <c r="H620" i="2" s="1"/>
  <c r="I620" i="2"/>
  <c r="G620" i="2"/>
  <c r="E620" i="2"/>
  <c r="F620" i="2" s="1"/>
  <c r="G619" i="2"/>
  <c r="F619" i="2"/>
  <c r="I619" i="2" s="1"/>
  <c r="E619" i="2"/>
  <c r="G618" i="2"/>
  <c r="E618" i="2"/>
  <c r="F615" i="2"/>
  <c r="E615" i="2"/>
  <c r="J615" i="2" s="1"/>
  <c r="H615" i="2" s="1"/>
  <c r="G614" i="2"/>
  <c r="E614" i="2"/>
  <c r="K613" i="2"/>
  <c r="G613" i="2"/>
  <c r="F613" i="2"/>
  <c r="J613" i="2" s="1"/>
  <c r="H613" i="2" s="1"/>
  <c r="E613" i="2"/>
  <c r="E612" i="2"/>
  <c r="E611" i="2"/>
  <c r="F611" i="2" s="1"/>
  <c r="K611" i="2" s="1"/>
  <c r="K610" i="2"/>
  <c r="J610" i="2"/>
  <c r="H610" i="2" s="1"/>
  <c r="I610" i="2"/>
  <c r="E610" i="2"/>
  <c r="F610" i="2" s="1"/>
  <c r="K609" i="2"/>
  <c r="J609" i="2"/>
  <c r="H609" i="2" s="1"/>
  <c r="I609" i="2"/>
  <c r="G609" i="2"/>
  <c r="F609" i="2"/>
  <c r="E609" i="2"/>
  <c r="J608" i="2"/>
  <c r="H608" i="2" s="1"/>
  <c r="I608" i="2"/>
  <c r="G608" i="2"/>
  <c r="F608" i="2"/>
  <c r="E608" i="2"/>
  <c r="K608" i="2" s="1"/>
  <c r="E605" i="2"/>
  <c r="E604" i="2"/>
  <c r="G603" i="2"/>
  <c r="E603" i="2"/>
  <c r="G602" i="2"/>
  <c r="F602" i="2"/>
  <c r="E602" i="2"/>
  <c r="E601" i="2"/>
  <c r="E600" i="2"/>
  <c r="E599" i="2"/>
  <c r="G596" i="2"/>
  <c r="E596" i="2"/>
  <c r="F596" i="2" s="1"/>
  <c r="K595" i="2"/>
  <c r="J595" i="2"/>
  <c r="H595" i="2" s="1"/>
  <c r="I595" i="2"/>
  <c r="G595" i="2"/>
  <c r="F595" i="2"/>
  <c r="E595" i="2"/>
  <c r="J594" i="2"/>
  <c r="H594" i="2" s="1"/>
  <c r="I594" i="2"/>
  <c r="G594" i="2"/>
  <c r="F594" i="2"/>
  <c r="E594" i="2"/>
  <c r="E593" i="2"/>
  <c r="E592" i="2"/>
  <c r="G592" i="2" s="1"/>
  <c r="G591" i="2"/>
  <c r="F591" i="2"/>
  <c r="K591" i="2" s="1"/>
  <c r="E591" i="2"/>
  <c r="E590" i="2"/>
  <c r="F590" i="2" s="1"/>
  <c r="K590" i="2" s="1"/>
  <c r="E589" i="2"/>
  <c r="I588" i="2"/>
  <c r="G588" i="2"/>
  <c r="E588" i="2"/>
  <c r="F588" i="2" s="1"/>
  <c r="J588" i="2" s="1"/>
  <c r="H588" i="2" s="1"/>
  <c r="K587" i="2"/>
  <c r="J587" i="2"/>
  <c r="H587" i="2" s="1"/>
  <c r="I587" i="2"/>
  <c r="G587" i="2"/>
  <c r="F587" i="2"/>
  <c r="E587" i="2"/>
  <c r="J586" i="2"/>
  <c r="H586" i="2" s="1"/>
  <c r="G586" i="2"/>
  <c r="F586" i="2"/>
  <c r="I586" i="2" s="1"/>
  <c r="E586" i="2"/>
  <c r="E585" i="2"/>
  <c r="F585" i="2" s="1"/>
  <c r="I585" i="2" s="1"/>
  <c r="G584" i="2"/>
  <c r="F584" i="2"/>
  <c r="E584" i="2"/>
  <c r="G583" i="2"/>
  <c r="E583" i="2"/>
  <c r="F583" i="2" s="1"/>
  <c r="K583" i="2" s="1"/>
  <c r="J580" i="2"/>
  <c r="H580" i="2" s="1"/>
  <c r="F580" i="2"/>
  <c r="E580" i="2"/>
  <c r="E579" i="2"/>
  <c r="G578" i="2"/>
  <c r="E578" i="2"/>
  <c r="F578" i="2" s="1"/>
  <c r="J577" i="2"/>
  <c r="H577" i="2" s="1"/>
  <c r="G577" i="2"/>
  <c r="F577" i="2"/>
  <c r="I577" i="2" s="1"/>
  <c r="E577" i="2"/>
  <c r="J576" i="2"/>
  <c r="H576" i="2" s="1"/>
  <c r="F576" i="2"/>
  <c r="E576" i="2"/>
  <c r="I576" i="2" s="1"/>
  <c r="G575" i="2"/>
  <c r="E575" i="2"/>
  <c r="E574" i="2"/>
  <c r="G573" i="2"/>
  <c r="E573" i="2"/>
  <c r="F572" i="2"/>
  <c r="E572" i="2"/>
  <c r="G572" i="2" s="1"/>
  <c r="E571" i="2"/>
  <c r="K570" i="2"/>
  <c r="J570" i="2"/>
  <c r="H570" i="2" s="1"/>
  <c r="G570" i="2"/>
  <c r="E570" i="2"/>
  <c r="F570" i="2" s="1"/>
  <c r="I570" i="2" s="1"/>
  <c r="I569" i="2"/>
  <c r="G569" i="2"/>
  <c r="F569" i="2"/>
  <c r="K569" i="2" s="1"/>
  <c r="E569" i="2"/>
  <c r="G568" i="2"/>
  <c r="F568" i="2"/>
  <c r="E568" i="2"/>
  <c r="I567" i="2"/>
  <c r="G567" i="2"/>
  <c r="F567" i="2"/>
  <c r="E567" i="2"/>
  <c r="K566" i="2"/>
  <c r="F566" i="2"/>
  <c r="E566" i="2"/>
  <c r="G566" i="2" s="1"/>
  <c r="E565" i="2"/>
  <c r="J564" i="2"/>
  <c r="H564" i="2" s="1"/>
  <c r="F564" i="2"/>
  <c r="E564" i="2"/>
  <c r="G564" i="2" s="1"/>
  <c r="E563" i="2"/>
  <c r="G562" i="2"/>
  <c r="E562" i="2"/>
  <c r="F562" i="2" s="1"/>
  <c r="J561" i="2"/>
  <c r="H561" i="2" s="1"/>
  <c r="G561" i="2"/>
  <c r="F561" i="2"/>
  <c r="I561" i="2" s="1"/>
  <c r="E561" i="2"/>
  <c r="J560" i="2"/>
  <c r="H560" i="2" s="1"/>
  <c r="F560" i="2"/>
  <c r="E560" i="2"/>
  <c r="I560" i="2" s="1"/>
  <c r="G559" i="2"/>
  <c r="E559" i="2"/>
  <c r="E558" i="2"/>
  <c r="G557" i="2"/>
  <c r="E557" i="2"/>
  <c r="F556" i="2"/>
  <c r="E556" i="2"/>
  <c r="G556" i="2" s="1"/>
  <c r="E555" i="2"/>
  <c r="K554" i="2"/>
  <c r="J554" i="2"/>
  <c r="H554" i="2" s="1"/>
  <c r="G554" i="2"/>
  <c r="E554" i="2"/>
  <c r="F554" i="2" s="1"/>
  <c r="I554" i="2" s="1"/>
  <c r="I553" i="2"/>
  <c r="G553" i="2"/>
  <c r="F553" i="2"/>
  <c r="K553" i="2" s="1"/>
  <c r="E553" i="2"/>
  <c r="G552" i="2"/>
  <c r="F552" i="2"/>
  <c r="E552" i="2"/>
  <c r="I551" i="2"/>
  <c r="G551" i="2"/>
  <c r="F551" i="2"/>
  <c r="E551" i="2"/>
  <c r="K550" i="2"/>
  <c r="F550" i="2"/>
  <c r="E550" i="2"/>
  <c r="G550" i="2" s="1"/>
  <c r="E549" i="2"/>
  <c r="J548" i="2"/>
  <c r="H548" i="2" s="1"/>
  <c r="F548" i="2"/>
  <c r="E548" i="2"/>
  <c r="G548" i="2" s="1"/>
  <c r="E547" i="2"/>
  <c r="G546" i="2"/>
  <c r="E546" i="2"/>
  <c r="F546" i="2" s="1"/>
  <c r="J545" i="2"/>
  <c r="H545" i="2" s="1"/>
  <c r="G545" i="2"/>
  <c r="F545" i="2"/>
  <c r="I545" i="2" s="1"/>
  <c r="E545" i="2"/>
  <c r="J544" i="2"/>
  <c r="H544" i="2" s="1"/>
  <c r="F544" i="2"/>
  <c r="E544" i="2"/>
  <c r="I544" i="2" s="1"/>
  <c r="G543" i="2"/>
  <c r="E543" i="2"/>
  <c r="E542" i="2"/>
  <c r="G539" i="2"/>
  <c r="E539" i="2"/>
  <c r="F538" i="2"/>
  <c r="E538" i="2"/>
  <c r="G538" i="2" s="1"/>
  <c r="E537" i="2"/>
  <c r="K536" i="2"/>
  <c r="J536" i="2"/>
  <c r="H536" i="2" s="1"/>
  <c r="G536" i="2"/>
  <c r="E536" i="2"/>
  <c r="F536" i="2" s="1"/>
  <c r="I536" i="2" s="1"/>
  <c r="I535" i="2"/>
  <c r="G535" i="2"/>
  <c r="F535" i="2"/>
  <c r="K535" i="2" s="1"/>
  <c r="E535" i="2"/>
  <c r="G532" i="2"/>
  <c r="F532" i="2"/>
  <c r="E532" i="2"/>
  <c r="I531" i="2"/>
  <c r="G531" i="2"/>
  <c r="F531" i="2"/>
  <c r="E531" i="2"/>
  <c r="K530" i="2"/>
  <c r="F530" i="2"/>
  <c r="E530" i="2"/>
  <c r="G530" i="2" s="1"/>
  <c r="E529" i="2"/>
  <c r="J528" i="2"/>
  <c r="H528" i="2" s="1"/>
  <c r="F528" i="2"/>
  <c r="E528" i="2"/>
  <c r="G528" i="2" s="1"/>
  <c r="E527" i="2"/>
  <c r="G526" i="2"/>
  <c r="E526" i="2"/>
  <c r="F526" i="2" s="1"/>
  <c r="J525" i="2"/>
  <c r="H525" i="2" s="1"/>
  <c r="G525" i="2"/>
  <c r="F525" i="2"/>
  <c r="I525" i="2" s="1"/>
  <c r="E525" i="2"/>
  <c r="J524" i="2"/>
  <c r="H524" i="2" s="1"/>
  <c r="F524" i="2"/>
  <c r="E524" i="2"/>
  <c r="I524" i="2" s="1"/>
  <c r="G523" i="2"/>
  <c r="E523" i="2"/>
  <c r="E522" i="2"/>
  <c r="G521" i="2"/>
  <c r="E521" i="2"/>
  <c r="F520" i="2"/>
  <c r="E520" i="2"/>
  <c r="G520" i="2" s="1"/>
  <c r="E519" i="2"/>
  <c r="K518" i="2"/>
  <c r="J518" i="2"/>
  <c r="H518" i="2" s="1"/>
  <c r="G518" i="2"/>
  <c r="E518" i="2"/>
  <c r="F518" i="2" s="1"/>
  <c r="I518" i="2" s="1"/>
  <c r="I517" i="2"/>
  <c r="G517" i="2"/>
  <c r="F517" i="2"/>
  <c r="K517" i="2" s="1"/>
  <c r="E517" i="2"/>
  <c r="G514" i="2"/>
  <c r="F514" i="2"/>
  <c r="E514" i="2"/>
  <c r="I513" i="2"/>
  <c r="G513" i="2"/>
  <c r="F513" i="2"/>
  <c r="E513" i="2"/>
  <c r="K512" i="2"/>
  <c r="F512" i="2"/>
  <c r="E512" i="2"/>
  <c r="G512" i="2" s="1"/>
  <c r="E511" i="2"/>
  <c r="J510" i="2"/>
  <c r="H510" i="2" s="1"/>
  <c r="F510" i="2"/>
  <c r="E510" i="2"/>
  <c r="G510" i="2" s="1"/>
  <c r="E509" i="2"/>
  <c r="G508" i="2"/>
  <c r="E508" i="2"/>
  <c r="F508" i="2" s="1"/>
  <c r="J507" i="2"/>
  <c r="H507" i="2" s="1"/>
  <c r="G507" i="2"/>
  <c r="F507" i="2"/>
  <c r="I507" i="2" s="1"/>
  <c r="E507" i="2"/>
  <c r="J506" i="2"/>
  <c r="H506" i="2" s="1"/>
  <c r="F506" i="2"/>
  <c r="E506" i="2"/>
  <c r="I506" i="2" s="1"/>
  <c r="G505" i="2"/>
  <c r="E505" i="2"/>
  <c r="E504" i="2"/>
  <c r="G503" i="2"/>
  <c r="E503" i="2"/>
  <c r="F502" i="2"/>
  <c r="E502" i="2"/>
  <c r="G502" i="2" s="1"/>
  <c r="E501" i="2"/>
  <c r="K500" i="2"/>
  <c r="J500" i="2"/>
  <c r="H500" i="2" s="1"/>
  <c r="G500" i="2"/>
  <c r="E500" i="2"/>
  <c r="F500" i="2" s="1"/>
  <c r="I500" i="2" s="1"/>
  <c r="I499" i="2"/>
  <c r="G499" i="2"/>
  <c r="F499" i="2"/>
  <c r="K499" i="2" s="1"/>
  <c r="E499" i="2"/>
  <c r="G498" i="2"/>
  <c r="F498" i="2"/>
  <c r="E498" i="2"/>
  <c r="I497" i="2"/>
  <c r="G497" i="2"/>
  <c r="F497" i="2"/>
  <c r="E497" i="2"/>
  <c r="K496" i="2"/>
  <c r="G496" i="2"/>
  <c r="F496" i="2"/>
  <c r="E496" i="2"/>
  <c r="E495" i="2"/>
  <c r="J494" i="2"/>
  <c r="H494" i="2" s="1"/>
  <c r="F494" i="2"/>
  <c r="E494" i="2"/>
  <c r="G494" i="2" s="1"/>
  <c r="E493" i="2"/>
  <c r="G492" i="2"/>
  <c r="E492" i="2"/>
  <c r="F492" i="2" s="1"/>
  <c r="J491" i="2"/>
  <c r="H491" i="2" s="1"/>
  <c r="G491" i="2"/>
  <c r="F491" i="2"/>
  <c r="I491" i="2" s="1"/>
  <c r="E491" i="2"/>
  <c r="J490" i="2"/>
  <c r="H490" i="2" s="1"/>
  <c r="F490" i="2"/>
  <c r="E490" i="2"/>
  <c r="I490" i="2" s="1"/>
  <c r="G489" i="2"/>
  <c r="E489" i="2"/>
  <c r="E488" i="2"/>
  <c r="G487" i="2"/>
  <c r="E487" i="2"/>
  <c r="F484" i="2"/>
  <c r="E484" i="2"/>
  <c r="G484" i="2" s="1"/>
  <c r="E483" i="2"/>
  <c r="K482" i="2"/>
  <c r="J482" i="2"/>
  <c r="H482" i="2" s="1"/>
  <c r="E482" i="2"/>
  <c r="F482" i="2" s="1"/>
  <c r="I481" i="2"/>
  <c r="G481" i="2"/>
  <c r="F481" i="2"/>
  <c r="E481" i="2"/>
  <c r="E480" i="2"/>
  <c r="F479" i="2"/>
  <c r="E479" i="2"/>
  <c r="I476" i="2"/>
  <c r="G476" i="2"/>
  <c r="F476" i="2"/>
  <c r="E476" i="2"/>
  <c r="K476" i="2" s="1"/>
  <c r="G475" i="2"/>
  <c r="E475" i="2"/>
  <c r="E474" i="2"/>
  <c r="E473" i="2"/>
  <c r="J472" i="2"/>
  <c r="H472" i="2" s="1"/>
  <c r="G472" i="2"/>
  <c r="E472" i="2"/>
  <c r="F472" i="2" s="1"/>
  <c r="K469" i="2"/>
  <c r="J469" i="2"/>
  <c r="H469" i="2" s="1"/>
  <c r="G469" i="2"/>
  <c r="F469" i="2"/>
  <c r="I469" i="2" s="1"/>
  <c r="E469" i="2"/>
  <c r="J468" i="2"/>
  <c r="H468" i="2" s="1"/>
  <c r="I468" i="2"/>
  <c r="G468" i="2"/>
  <c r="E468" i="2"/>
  <c r="F468" i="2" s="1"/>
  <c r="E467" i="2"/>
  <c r="E466" i="2"/>
  <c r="J465" i="2"/>
  <c r="H465" i="2" s="1"/>
  <c r="G465" i="2"/>
  <c r="F465" i="2"/>
  <c r="E465" i="2"/>
  <c r="K465" i="2" s="1"/>
  <c r="G464" i="2"/>
  <c r="E464" i="2"/>
  <c r="F464" i="2" s="1"/>
  <c r="K464" i="2" s="1"/>
  <c r="E463" i="2"/>
  <c r="G462" i="2"/>
  <c r="E462" i="2"/>
  <c r="J461" i="2"/>
  <c r="H461" i="2" s="1"/>
  <c r="G461" i="2"/>
  <c r="F461" i="2"/>
  <c r="I461" i="2" s="1"/>
  <c r="E461" i="2"/>
  <c r="K460" i="2"/>
  <c r="I460" i="2"/>
  <c r="G460" i="2"/>
  <c r="F460" i="2"/>
  <c r="E460" i="2"/>
  <c r="J460" i="2" s="1"/>
  <c r="H460" i="2" s="1"/>
  <c r="G459" i="2"/>
  <c r="E459" i="2"/>
  <c r="G458" i="2"/>
  <c r="E458" i="2"/>
  <c r="F457" i="2"/>
  <c r="E457" i="2"/>
  <c r="J456" i="2"/>
  <c r="H456" i="2" s="1"/>
  <c r="G456" i="2"/>
  <c r="F456" i="2"/>
  <c r="E456" i="2"/>
  <c r="I456" i="2" s="1"/>
  <c r="E455" i="2"/>
  <c r="G455" i="2" s="1"/>
  <c r="E454" i="2"/>
  <c r="G453" i="2"/>
  <c r="F453" i="2"/>
  <c r="E453" i="2"/>
  <c r="E452" i="2"/>
  <c r="I451" i="2"/>
  <c r="G451" i="2"/>
  <c r="F451" i="2"/>
  <c r="E451" i="2"/>
  <c r="J451" i="2" s="1"/>
  <c r="H451" i="2" s="1"/>
  <c r="E450" i="2"/>
  <c r="G449" i="2"/>
  <c r="E449" i="2"/>
  <c r="G448" i="2"/>
  <c r="F448" i="2"/>
  <c r="I448" i="2" s="1"/>
  <c r="E448" i="2"/>
  <c r="K447" i="2"/>
  <c r="I447" i="2"/>
  <c r="F447" i="2"/>
  <c r="E447" i="2"/>
  <c r="E446" i="2"/>
  <c r="K445" i="2"/>
  <c r="I445" i="2"/>
  <c r="G445" i="2"/>
  <c r="F445" i="2"/>
  <c r="E445" i="2"/>
  <c r="J445" i="2" s="1"/>
  <c r="H445" i="2" s="1"/>
  <c r="F444" i="2"/>
  <c r="K444" i="2" s="1"/>
  <c r="E444" i="2"/>
  <c r="G444" i="2" s="1"/>
  <c r="E443" i="2"/>
  <c r="G442" i="2"/>
  <c r="F442" i="2"/>
  <c r="E442" i="2"/>
  <c r="G441" i="2"/>
  <c r="E441" i="2"/>
  <c r="G440" i="2"/>
  <c r="F440" i="2"/>
  <c r="I440" i="2" s="1"/>
  <c r="E440" i="2"/>
  <c r="K439" i="2"/>
  <c r="F439" i="2"/>
  <c r="E439" i="2"/>
  <c r="E438" i="2"/>
  <c r="K437" i="2"/>
  <c r="I437" i="2"/>
  <c r="G437" i="2"/>
  <c r="F437" i="2"/>
  <c r="E437" i="2"/>
  <c r="J437" i="2" s="1"/>
  <c r="H437" i="2" s="1"/>
  <c r="F434" i="2"/>
  <c r="K434" i="2" s="1"/>
  <c r="E434" i="2"/>
  <c r="G434" i="2" s="1"/>
  <c r="E433" i="2"/>
  <c r="I432" i="2"/>
  <c r="G432" i="2"/>
  <c r="F432" i="2"/>
  <c r="E432" i="2"/>
  <c r="E431" i="2"/>
  <c r="J430" i="2"/>
  <c r="H430" i="2" s="1"/>
  <c r="G430" i="2"/>
  <c r="F430" i="2"/>
  <c r="I430" i="2" s="1"/>
  <c r="E430" i="2"/>
  <c r="E429" i="2"/>
  <c r="E428" i="2"/>
  <c r="K427" i="2"/>
  <c r="I427" i="2"/>
  <c r="G427" i="2"/>
  <c r="F427" i="2"/>
  <c r="E427" i="2"/>
  <c r="J427" i="2" s="1"/>
  <c r="H427" i="2" s="1"/>
  <c r="K426" i="2"/>
  <c r="J426" i="2"/>
  <c r="H426" i="2" s="1"/>
  <c r="F426" i="2"/>
  <c r="E426" i="2"/>
  <c r="G426" i="2" s="1"/>
  <c r="E425" i="2"/>
  <c r="K424" i="2"/>
  <c r="I424" i="2"/>
  <c r="G424" i="2"/>
  <c r="F424" i="2"/>
  <c r="J424" i="2" s="1"/>
  <c r="H424" i="2" s="1"/>
  <c r="E424" i="2"/>
  <c r="G423" i="2"/>
  <c r="E423" i="2"/>
  <c r="G422" i="2"/>
  <c r="F422" i="2"/>
  <c r="J422" i="2" s="1"/>
  <c r="H422" i="2" s="1"/>
  <c r="E422" i="2"/>
  <c r="K422" i="2" s="1"/>
  <c r="K421" i="2"/>
  <c r="I421" i="2"/>
  <c r="F421" i="2"/>
  <c r="E421" i="2"/>
  <c r="G420" i="2"/>
  <c r="E420" i="2"/>
  <c r="K419" i="2"/>
  <c r="G419" i="2"/>
  <c r="F419" i="2"/>
  <c r="I419" i="2" s="1"/>
  <c r="E419" i="2"/>
  <c r="J419" i="2" s="1"/>
  <c r="H419" i="2" s="1"/>
  <c r="K418" i="2"/>
  <c r="J418" i="2"/>
  <c r="H418" i="2" s="1"/>
  <c r="F418" i="2"/>
  <c r="E418" i="2"/>
  <c r="E415" i="2"/>
  <c r="K414" i="2"/>
  <c r="I414" i="2"/>
  <c r="G414" i="2"/>
  <c r="F414" i="2"/>
  <c r="J414" i="2" s="1"/>
  <c r="H414" i="2" s="1"/>
  <c r="E414" i="2"/>
  <c r="G413" i="2"/>
  <c r="E413" i="2"/>
  <c r="G412" i="2"/>
  <c r="F412" i="2"/>
  <c r="J412" i="2" s="1"/>
  <c r="H412" i="2" s="1"/>
  <c r="E412" i="2"/>
  <c r="K412" i="2" s="1"/>
  <c r="E411" i="2"/>
  <c r="E410" i="2"/>
  <c r="K407" i="2"/>
  <c r="I407" i="2"/>
  <c r="G407" i="2"/>
  <c r="F407" i="2"/>
  <c r="J407" i="2" s="1"/>
  <c r="H407" i="2" s="1"/>
  <c r="E407" i="2"/>
  <c r="F406" i="2"/>
  <c r="K406" i="2" s="1"/>
  <c r="E406" i="2"/>
  <c r="E405" i="2"/>
  <c r="K404" i="2"/>
  <c r="I404" i="2"/>
  <c r="G404" i="2"/>
  <c r="F404" i="2"/>
  <c r="J404" i="2" s="1"/>
  <c r="H404" i="2" s="1"/>
  <c r="E404" i="2"/>
  <c r="G403" i="2"/>
  <c r="E403" i="2"/>
  <c r="J402" i="2"/>
  <c r="H402" i="2" s="1"/>
  <c r="G402" i="2"/>
  <c r="F402" i="2"/>
  <c r="I402" i="2" s="1"/>
  <c r="E402" i="2"/>
  <c r="K402" i="2" s="1"/>
  <c r="K401" i="2"/>
  <c r="I401" i="2"/>
  <c r="F401" i="2"/>
  <c r="E401" i="2"/>
  <c r="E400" i="2"/>
  <c r="K399" i="2"/>
  <c r="I399" i="2"/>
  <c r="G399" i="2"/>
  <c r="F399" i="2"/>
  <c r="J399" i="2" s="1"/>
  <c r="H399" i="2" s="1"/>
  <c r="E399" i="2"/>
  <c r="F398" i="2"/>
  <c r="E398" i="2"/>
  <c r="G397" i="2"/>
  <c r="E397" i="2"/>
  <c r="K396" i="2"/>
  <c r="I396" i="2"/>
  <c r="G396" i="2"/>
  <c r="F396" i="2"/>
  <c r="J396" i="2" s="1"/>
  <c r="H396" i="2" s="1"/>
  <c r="E396" i="2"/>
  <c r="E395" i="2"/>
  <c r="J394" i="2"/>
  <c r="H394" i="2" s="1"/>
  <c r="I394" i="2"/>
  <c r="G394" i="2"/>
  <c r="F394" i="2"/>
  <c r="E394" i="2"/>
  <c r="F393" i="2"/>
  <c r="K393" i="2" s="1"/>
  <c r="E393" i="2"/>
  <c r="E392" i="2"/>
  <c r="K391" i="2"/>
  <c r="I391" i="2"/>
  <c r="G391" i="2"/>
  <c r="F391" i="2"/>
  <c r="J391" i="2" s="1"/>
  <c r="H391" i="2" s="1"/>
  <c r="E391" i="2"/>
  <c r="E390" i="2"/>
  <c r="E389" i="2"/>
  <c r="G388" i="2"/>
  <c r="F388" i="2"/>
  <c r="J388" i="2" s="1"/>
  <c r="H388" i="2" s="1"/>
  <c r="E388" i="2"/>
  <c r="E387" i="2"/>
  <c r="J386" i="2"/>
  <c r="H386" i="2" s="1"/>
  <c r="I386" i="2"/>
  <c r="G386" i="2"/>
  <c r="F386" i="2"/>
  <c r="E386" i="2"/>
  <c r="K386" i="2" s="1"/>
  <c r="F385" i="2"/>
  <c r="E385" i="2"/>
  <c r="G384" i="2"/>
  <c r="E384" i="2"/>
  <c r="G383" i="2"/>
  <c r="F383" i="2"/>
  <c r="J383" i="2" s="1"/>
  <c r="H383" i="2" s="1"/>
  <c r="E383" i="2"/>
  <c r="E382" i="2"/>
  <c r="G381" i="2"/>
  <c r="E381" i="2"/>
  <c r="G380" i="2"/>
  <c r="F380" i="2"/>
  <c r="J380" i="2" s="1"/>
  <c r="H380" i="2" s="1"/>
  <c r="E380" i="2"/>
  <c r="E379" i="2"/>
  <c r="J378" i="2"/>
  <c r="H378" i="2" s="1"/>
  <c r="I378" i="2"/>
  <c r="G378" i="2"/>
  <c r="F378" i="2"/>
  <c r="E378" i="2"/>
  <c r="E377" i="2"/>
  <c r="E376" i="2"/>
  <c r="G373" i="2"/>
  <c r="F373" i="2"/>
  <c r="J373" i="2" s="1"/>
  <c r="H373" i="2" s="1"/>
  <c r="E373" i="2"/>
  <c r="E372" i="2"/>
  <c r="G371" i="2"/>
  <c r="E371" i="2"/>
  <c r="G370" i="2"/>
  <c r="F370" i="2"/>
  <c r="J370" i="2" s="1"/>
  <c r="H370" i="2" s="1"/>
  <c r="E370" i="2"/>
  <c r="G369" i="2"/>
  <c r="E369" i="2"/>
  <c r="G368" i="2"/>
  <c r="F368" i="2"/>
  <c r="J368" i="2" s="1"/>
  <c r="H368" i="2" s="1"/>
  <c r="E368" i="2"/>
  <c r="E367" i="2"/>
  <c r="E366" i="2"/>
  <c r="G365" i="2"/>
  <c r="F365" i="2"/>
  <c r="K365" i="2" s="1"/>
  <c r="E365" i="2"/>
  <c r="E364" i="2"/>
  <c r="G364" i="2" s="1"/>
  <c r="G361" i="2"/>
  <c r="E361" i="2"/>
  <c r="I360" i="2"/>
  <c r="G360" i="2"/>
  <c r="F360" i="2"/>
  <c r="J360" i="2" s="1"/>
  <c r="H360" i="2" s="1"/>
  <c r="E360" i="2"/>
  <c r="F359" i="2"/>
  <c r="E359" i="2"/>
  <c r="G358" i="2"/>
  <c r="E358" i="2"/>
  <c r="K357" i="2"/>
  <c r="I357" i="2"/>
  <c r="F357" i="2"/>
  <c r="E357" i="2"/>
  <c r="E356" i="2"/>
  <c r="K355" i="2"/>
  <c r="J355" i="2"/>
  <c r="H355" i="2" s="1"/>
  <c r="G355" i="2"/>
  <c r="F355" i="2"/>
  <c r="I355" i="2" s="1"/>
  <c r="E355" i="2"/>
  <c r="E354" i="2"/>
  <c r="G354" i="2" s="1"/>
  <c r="G353" i="2"/>
  <c r="E353" i="2"/>
  <c r="K352" i="2"/>
  <c r="G352" i="2"/>
  <c r="F352" i="2"/>
  <c r="J352" i="2" s="1"/>
  <c r="H352" i="2" s="1"/>
  <c r="E352" i="2"/>
  <c r="K349" i="2"/>
  <c r="J349" i="2"/>
  <c r="H349" i="2" s="1"/>
  <c r="F349" i="2"/>
  <c r="E349" i="2"/>
  <c r="G348" i="2"/>
  <c r="F348" i="2"/>
  <c r="I348" i="2" s="1"/>
  <c r="E348" i="2"/>
  <c r="J348" i="2" s="1"/>
  <c r="H348" i="2" s="1"/>
  <c r="E347" i="2"/>
  <c r="E346" i="2"/>
  <c r="G345" i="2"/>
  <c r="F345" i="2"/>
  <c r="K345" i="2" s="1"/>
  <c r="E345" i="2"/>
  <c r="E344" i="2"/>
  <c r="G344" i="2" s="1"/>
  <c r="G343" i="2"/>
  <c r="E343" i="2"/>
  <c r="K340" i="2"/>
  <c r="J340" i="2"/>
  <c r="H340" i="2" s="1"/>
  <c r="I340" i="2"/>
  <c r="G340" i="2"/>
  <c r="F340" i="2"/>
  <c r="E340" i="2"/>
  <c r="I339" i="2"/>
  <c r="G339" i="2"/>
  <c r="F339" i="2"/>
  <c r="K339" i="2" s="1"/>
  <c r="E339" i="2"/>
  <c r="F338" i="2"/>
  <c r="E338" i="2"/>
  <c r="E337" i="2"/>
  <c r="K336" i="2"/>
  <c r="J336" i="2"/>
  <c r="H336" i="2" s="1"/>
  <c r="F336" i="2"/>
  <c r="E336" i="2"/>
  <c r="J335" i="2"/>
  <c r="H335" i="2" s="1"/>
  <c r="I335" i="2"/>
  <c r="G335" i="2"/>
  <c r="F335" i="2"/>
  <c r="K335" i="2" s="1"/>
  <c r="E335" i="2"/>
  <c r="F334" i="2"/>
  <c r="E334" i="2"/>
  <c r="G334" i="2" s="1"/>
  <c r="E333" i="2"/>
  <c r="F333" i="2" s="1"/>
  <c r="K332" i="2"/>
  <c r="J332" i="2"/>
  <c r="H332" i="2" s="1"/>
  <c r="I332" i="2"/>
  <c r="G332" i="2"/>
  <c r="F332" i="2"/>
  <c r="E332" i="2"/>
  <c r="K331" i="2"/>
  <c r="J331" i="2"/>
  <c r="H331" i="2" s="1"/>
  <c r="I331" i="2"/>
  <c r="F331" i="2"/>
  <c r="E331" i="2"/>
  <c r="G331" i="2" s="1"/>
  <c r="I330" i="2"/>
  <c r="G330" i="2"/>
  <c r="F330" i="2"/>
  <c r="J330" i="2" s="1"/>
  <c r="H330" i="2" s="1"/>
  <c r="E330" i="2"/>
  <c r="F329" i="2"/>
  <c r="E329" i="2"/>
  <c r="E328" i="2"/>
  <c r="K325" i="2"/>
  <c r="J325" i="2"/>
  <c r="H325" i="2" s="1"/>
  <c r="F325" i="2"/>
  <c r="I325" i="2" s="1"/>
  <c r="E325" i="2"/>
  <c r="G325" i="2" s="1"/>
  <c r="J324" i="2"/>
  <c r="H324" i="2" s="1"/>
  <c r="I324" i="2"/>
  <c r="F324" i="2"/>
  <c r="K324" i="2" s="1"/>
  <c r="E324" i="2"/>
  <c r="G324" i="2" s="1"/>
  <c r="G323" i="2"/>
  <c r="E323" i="2"/>
  <c r="F323" i="2" s="1"/>
  <c r="G322" i="2"/>
  <c r="F322" i="2"/>
  <c r="K322" i="2" s="1"/>
  <c r="E322" i="2"/>
  <c r="E321" i="2"/>
  <c r="J320" i="2"/>
  <c r="H320" i="2" s="1"/>
  <c r="I320" i="2"/>
  <c r="F320" i="2"/>
  <c r="E320" i="2"/>
  <c r="I319" i="2"/>
  <c r="G319" i="2"/>
  <c r="F319" i="2"/>
  <c r="K319" i="2" s="1"/>
  <c r="E319" i="2"/>
  <c r="F318" i="2"/>
  <c r="E318" i="2"/>
  <c r="E315" i="2"/>
  <c r="K314" i="2"/>
  <c r="G314" i="2"/>
  <c r="E314" i="2"/>
  <c r="F314" i="2" s="1"/>
  <c r="K313" i="2"/>
  <c r="J313" i="2"/>
  <c r="H313" i="2" s="1"/>
  <c r="I313" i="2"/>
  <c r="F313" i="2"/>
  <c r="E313" i="2"/>
  <c r="G313" i="2" s="1"/>
  <c r="E312" i="2"/>
  <c r="G312" i="2" s="1"/>
  <c r="I311" i="2"/>
  <c r="G311" i="2"/>
  <c r="F311" i="2"/>
  <c r="K311" i="2" s="1"/>
  <c r="E311" i="2"/>
  <c r="G310" i="2"/>
  <c r="F310" i="2"/>
  <c r="K310" i="2" s="1"/>
  <c r="E310" i="2"/>
  <c r="J310" i="2" s="1"/>
  <c r="H310" i="2" s="1"/>
  <c r="F309" i="2"/>
  <c r="E309" i="2"/>
  <c r="E306" i="2"/>
  <c r="E305" i="2"/>
  <c r="G304" i="2"/>
  <c r="E304" i="2"/>
  <c r="F304" i="2" s="1"/>
  <c r="K303" i="2"/>
  <c r="J303" i="2"/>
  <c r="H303" i="2" s="1"/>
  <c r="I303" i="2"/>
  <c r="F303" i="2"/>
  <c r="E303" i="2"/>
  <c r="G303" i="2" s="1"/>
  <c r="E302" i="2"/>
  <c r="G302" i="2" s="1"/>
  <c r="I301" i="2"/>
  <c r="G301" i="2"/>
  <c r="F301" i="2"/>
  <c r="K301" i="2" s="1"/>
  <c r="E301" i="2"/>
  <c r="G300" i="2"/>
  <c r="F300" i="2"/>
  <c r="K300" i="2" s="1"/>
  <c r="E300" i="2"/>
  <c r="J300" i="2" s="1"/>
  <c r="H300" i="2" s="1"/>
  <c r="F299" i="2"/>
  <c r="E299" i="2"/>
  <c r="E298" i="2"/>
  <c r="E297" i="2"/>
  <c r="K294" i="2"/>
  <c r="J294" i="2"/>
  <c r="H294" i="2" s="1"/>
  <c r="G294" i="2"/>
  <c r="E294" i="2"/>
  <c r="F294" i="2" s="1"/>
  <c r="I294" i="2" s="1"/>
  <c r="K293" i="2"/>
  <c r="J293" i="2"/>
  <c r="H293" i="2" s="1"/>
  <c r="I293" i="2"/>
  <c r="F293" i="2"/>
  <c r="E293" i="2"/>
  <c r="G293" i="2" s="1"/>
  <c r="E292" i="2"/>
  <c r="G292" i="2" s="1"/>
  <c r="I291" i="2"/>
  <c r="G291" i="2"/>
  <c r="F291" i="2"/>
  <c r="K291" i="2" s="1"/>
  <c r="E291" i="2"/>
  <c r="G290" i="2"/>
  <c r="F290" i="2"/>
  <c r="K290" i="2" s="1"/>
  <c r="E290" i="2"/>
  <c r="E289" i="2"/>
  <c r="E288" i="2"/>
  <c r="E287" i="2"/>
  <c r="K286" i="2"/>
  <c r="J286" i="2"/>
  <c r="H286" i="2" s="1"/>
  <c r="G286" i="2"/>
  <c r="E286" i="2"/>
  <c r="F286" i="2" s="1"/>
  <c r="I286" i="2" s="1"/>
  <c r="K283" i="2"/>
  <c r="J283" i="2"/>
  <c r="H283" i="2" s="1"/>
  <c r="I283" i="2"/>
  <c r="F283" i="2"/>
  <c r="E283" i="2"/>
  <c r="G283" i="2" s="1"/>
  <c r="E282" i="2"/>
  <c r="G282" i="2" s="1"/>
  <c r="I281" i="2"/>
  <c r="G281" i="2"/>
  <c r="F281" i="2"/>
  <c r="K281" i="2" s="1"/>
  <c r="E281" i="2"/>
  <c r="G280" i="2"/>
  <c r="F280" i="2"/>
  <c r="K280" i="2" s="1"/>
  <c r="E280" i="2"/>
  <c r="E279" i="2"/>
  <c r="E278" i="2"/>
  <c r="E277" i="2"/>
  <c r="K276" i="2"/>
  <c r="J276" i="2"/>
  <c r="H276" i="2" s="1"/>
  <c r="G276" i="2"/>
  <c r="E276" i="2"/>
  <c r="F276" i="2" s="1"/>
  <c r="I276" i="2" s="1"/>
  <c r="K275" i="2"/>
  <c r="J275" i="2"/>
  <c r="H275" i="2" s="1"/>
  <c r="I275" i="2"/>
  <c r="F275" i="2"/>
  <c r="E275" i="2"/>
  <c r="G275" i="2" s="1"/>
  <c r="E272" i="2"/>
  <c r="G272" i="2" s="1"/>
  <c r="I271" i="2"/>
  <c r="G271" i="2"/>
  <c r="F271" i="2"/>
  <c r="K271" i="2" s="1"/>
  <c r="E271" i="2"/>
  <c r="G270" i="2"/>
  <c r="F270" i="2"/>
  <c r="K270" i="2" s="1"/>
  <c r="E270" i="2"/>
  <c r="E269" i="2"/>
  <c r="F269" i="2" s="1"/>
  <c r="F268" i="2"/>
  <c r="E268" i="2"/>
  <c r="E267" i="2"/>
  <c r="G266" i="2"/>
  <c r="E266" i="2"/>
  <c r="F266" i="2" s="1"/>
  <c r="I266" i="2" s="1"/>
  <c r="K265" i="2"/>
  <c r="J265" i="2"/>
  <c r="H265" i="2" s="1"/>
  <c r="I265" i="2"/>
  <c r="F265" i="2"/>
  <c r="E265" i="2"/>
  <c r="G265" i="2" s="1"/>
  <c r="E264" i="2"/>
  <c r="G264" i="2" s="1"/>
  <c r="I263" i="2"/>
  <c r="G263" i="2"/>
  <c r="F263" i="2"/>
  <c r="K263" i="2" s="1"/>
  <c r="E263" i="2"/>
  <c r="G262" i="2"/>
  <c r="F262" i="2"/>
  <c r="K262" i="2" s="1"/>
  <c r="E262" i="2"/>
  <c r="J262" i="2" s="1"/>
  <c r="H262" i="2" s="1"/>
  <c r="G261" i="2"/>
  <c r="F261" i="2"/>
  <c r="E261" i="2"/>
  <c r="E260" i="2"/>
  <c r="E259" i="2"/>
  <c r="K258" i="2"/>
  <c r="J258" i="2"/>
  <c r="H258" i="2" s="1"/>
  <c r="G258" i="2"/>
  <c r="E258" i="2"/>
  <c r="F258" i="2" s="1"/>
  <c r="I258" i="2" s="1"/>
  <c r="K257" i="2"/>
  <c r="J257" i="2"/>
  <c r="H257" i="2" s="1"/>
  <c r="I257" i="2"/>
  <c r="F257" i="2"/>
  <c r="E257" i="2"/>
  <c r="G257" i="2" s="1"/>
  <c r="E256" i="2"/>
  <c r="G256" i="2" s="1"/>
  <c r="I255" i="2"/>
  <c r="G255" i="2"/>
  <c r="F255" i="2"/>
  <c r="K255" i="2" s="1"/>
  <c r="E255" i="2"/>
  <c r="G254" i="2"/>
  <c r="F254" i="2"/>
  <c r="K254" i="2" s="1"/>
  <c r="E254" i="2"/>
  <c r="J254" i="2" s="1"/>
  <c r="H254" i="2" s="1"/>
  <c r="G253" i="2"/>
  <c r="E253" i="2"/>
  <c r="F252" i="2"/>
  <c r="I252" i="2" s="1"/>
  <c r="E252" i="2"/>
  <c r="E251" i="2"/>
  <c r="J250" i="2"/>
  <c r="H250" i="2" s="1"/>
  <c r="G250" i="2"/>
  <c r="E250" i="2"/>
  <c r="F250" i="2" s="1"/>
  <c r="I250" i="2" s="1"/>
  <c r="F249" i="2"/>
  <c r="K249" i="2" s="1"/>
  <c r="E249" i="2"/>
  <c r="G249" i="2" s="1"/>
  <c r="E246" i="2"/>
  <c r="I245" i="2"/>
  <c r="G245" i="2"/>
  <c r="F245" i="2"/>
  <c r="K245" i="2" s="1"/>
  <c r="E245" i="2"/>
  <c r="G244" i="2"/>
  <c r="F244" i="2"/>
  <c r="K244" i="2" s="1"/>
  <c r="E244" i="2"/>
  <c r="J244" i="2" s="1"/>
  <c r="H244" i="2" s="1"/>
  <c r="J243" i="2"/>
  <c r="H243" i="2" s="1"/>
  <c r="G243" i="2"/>
  <c r="F243" i="2"/>
  <c r="E243" i="2"/>
  <c r="E242" i="2"/>
  <c r="E241" i="2"/>
  <c r="K240" i="2"/>
  <c r="J240" i="2"/>
  <c r="H240" i="2" s="1"/>
  <c r="G240" i="2"/>
  <c r="E240" i="2"/>
  <c r="F240" i="2" s="1"/>
  <c r="I240" i="2" s="1"/>
  <c r="J239" i="2"/>
  <c r="H239" i="2" s="1"/>
  <c r="I239" i="2"/>
  <c r="F239" i="2"/>
  <c r="K239" i="2" s="1"/>
  <c r="E239" i="2"/>
  <c r="G239" i="2" s="1"/>
  <c r="E238" i="2"/>
  <c r="I237" i="2"/>
  <c r="G237" i="2"/>
  <c r="F237" i="2"/>
  <c r="E237" i="2"/>
  <c r="E236" i="2"/>
  <c r="G236" i="2" s="1"/>
  <c r="G235" i="2"/>
  <c r="E235" i="2"/>
  <c r="E234" i="2"/>
  <c r="E233" i="2"/>
  <c r="I232" i="2"/>
  <c r="G232" i="2"/>
  <c r="E232" i="2"/>
  <c r="F232" i="2" s="1"/>
  <c r="K232" i="2" s="1"/>
  <c r="K231" i="2"/>
  <c r="F231" i="2"/>
  <c r="J231" i="2" s="1"/>
  <c r="H231" i="2" s="1"/>
  <c r="E231" i="2"/>
  <c r="G231" i="2" s="1"/>
  <c r="E230" i="2"/>
  <c r="G229" i="2"/>
  <c r="F229" i="2"/>
  <c r="I229" i="2" s="1"/>
  <c r="E229" i="2"/>
  <c r="E228" i="2"/>
  <c r="G227" i="2"/>
  <c r="E227" i="2"/>
  <c r="E226" i="2"/>
  <c r="E225" i="2"/>
  <c r="G224" i="2"/>
  <c r="E224" i="2"/>
  <c r="F224" i="2" s="1"/>
  <c r="K224" i="2" s="1"/>
  <c r="K223" i="2"/>
  <c r="J223" i="2"/>
  <c r="H223" i="2" s="1"/>
  <c r="I223" i="2"/>
  <c r="F223" i="2"/>
  <c r="E223" i="2"/>
  <c r="G223" i="2" s="1"/>
  <c r="E220" i="2"/>
  <c r="G219" i="2"/>
  <c r="F219" i="2"/>
  <c r="E219" i="2"/>
  <c r="G218" i="2"/>
  <c r="E218" i="2"/>
  <c r="E217" i="2"/>
  <c r="G217" i="2" s="1"/>
  <c r="E216" i="2"/>
  <c r="E213" i="2"/>
  <c r="K212" i="2"/>
  <c r="J212" i="2"/>
  <c r="H212" i="2" s="1"/>
  <c r="G212" i="2"/>
  <c r="E212" i="2"/>
  <c r="F212" i="2" s="1"/>
  <c r="I212" i="2" s="1"/>
  <c r="J211" i="2"/>
  <c r="H211" i="2" s="1"/>
  <c r="I211" i="2"/>
  <c r="F211" i="2"/>
  <c r="K211" i="2" s="1"/>
  <c r="E211" i="2"/>
  <c r="G211" i="2" s="1"/>
  <c r="E210" i="2"/>
  <c r="I209" i="2"/>
  <c r="G209" i="2"/>
  <c r="F209" i="2"/>
  <c r="E209" i="2"/>
  <c r="G208" i="2"/>
  <c r="E208" i="2"/>
  <c r="E207" i="2"/>
  <c r="E204" i="2"/>
  <c r="E203" i="2"/>
  <c r="K202" i="2"/>
  <c r="J202" i="2"/>
  <c r="H202" i="2" s="1"/>
  <c r="I202" i="2"/>
  <c r="G202" i="2"/>
  <c r="E202" i="2"/>
  <c r="F202" i="2" s="1"/>
  <c r="F201" i="2"/>
  <c r="K201" i="2" s="1"/>
  <c r="E201" i="2"/>
  <c r="G201" i="2" s="1"/>
  <c r="E200" i="2"/>
  <c r="I199" i="2"/>
  <c r="G199" i="2"/>
  <c r="F199" i="2"/>
  <c r="E199" i="2"/>
  <c r="E198" i="2"/>
  <c r="G197" i="2"/>
  <c r="E197" i="2"/>
  <c r="E196" i="2"/>
  <c r="F196" i="2" s="1"/>
  <c r="E195" i="2"/>
  <c r="I194" i="2"/>
  <c r="G194" i="2"/>
  <c r="E194" i="2"/>
  <c r="F194" i="2" s="1"/>
  <c r="K194" i="2" s="1"/>
  <c r="K193" i="2"/>
  <c r="F193" i="2"/>
  <c r="J193" i="2" s="1"/>
  <c r="H193" i="2" s="1"/>
  <c r="E193" i="2"/>
  <c r="G193" i="2" s="1"/>
  <c r="E192" i="2"/>
  <c r="G191" i="2"/>
  <c r="F191" i="2"/>
  <c r="E191" i="2"/>
  <c r="E188" i="2"/>
  <c r="G187" i="2"/>
  <c r="E187" i="2"/>
  <c r="G186" i="2"/>
  <c r="F186" i="2"/>
  <c r="E186" i="2"/>
  <c r="K186" i="2" s="1"/>
  <c r="E185" i="2"/>
  <c r="K184" i="2"/>
  <c r="J184" i="2"/>
  <c r="H184" i="2" s="1"/>
  <c r="I184" i="2"/>
  <c r="G184" i="2"/>
  <c r="E184" i="2"/>
  <c r="F184" i="2" s="1"/>
  <c r="F183" i="2"/>
  <c r="K183" i="2" s="1"/>
  <c r="E183" i="2"/>
  <c r="G183" i="2" s="1"/>
  <c r="E182" i="2"/>
  <c r="F182" i="2" s="1"/>
  <c r="J181" i="2"/>
  <c r="H181" i="2" s="1"/>
  <c r="I181" i="2"/>
  <c r="G181" i="2"/>
  <c r="F181" i="2"/>
  <c r="K181" i="2" s="1"/>
  <c r="E181" i="2"/>
  <c r="I180" i="2"/>
  <c r="G180" i="2"/>
  <c r="F180" i="2"/>
  <c r="K180" i="2" s="1"/>
  <c r="E180" i="2"/>
  <c r="E177" i="2"/>
  <c r="G177" i="2" s="1"/>
  <c r="K176" i="2"/>
  <c r="I176" i="2"/>
  <c r="G176" i="2"/>
  <c r="F176" i="2"/>
  <c r="E176" i="2"/>
  <c r="E175" i="2"/>
  <c r="E174" i="2"/>
  <c r="F174" i="2" s="1"/>
  <c r="K173" i="2"/>
  <c r="J173" i="2"/>
  <c r="H173" i="2" s="1"/>
  <c r="I173" i="2"/>
  <c r="F173" i="2"/>
  <c r="E173" i="2"/>
  <c r="G173" i="2" s="1"/>
  <c r="K172" i="2"/>
  <c r="J172" i="2"/>
  <c r="H172" i="2" s="1"/>
  <c r="I172" i="2"/>
  <c r="G172" i="2"/>
  <c r="E172" i="2"/>
  <c r="F172" i="2" s="1"/>
  <c r="G171" i="2"/>
  <c r="F171" i="2"/>
  <c r="K171" i="2" s="1"/>
  <c r="E171" i="2"/>
  <c r="E170" i="2"/>
  <c r="G169" i="2"/>
  <c r="E169" i="2"/>
  <c r="G168" i="2"/>
  <c r="E168" i="2"/>
  <c r="E167" i="2"/>
  <c r="F167" i="2" s="1"/>
  <c r="G166" i="2"/>
  <c r="E166" i="2"/>
  <c r="E165" i="2"/>
  <c r="G165" i="2" s="1"/>
  <c r="I164" i="2"/>
  <c r="E164" i="2"/>
  <c r="F164" i="2" s="1"/>
  <c r="G163" i="2"/>
  <c r="F163" i="2"/>
  <c r="K163" i="2" s="1"/>
  <c r="E163" i="2"/>
  <c r="E162" i="2"/>
  <c r="G161" i="2"/>
  <c r="E161" i="2"/>
  <c r="G160" i="2"/>
  <c r="E160" i="2"/>
  <c r="G159" i="2"/>
  <c r="E159" i="2"/>
  <c r="E158" i="2"/>
  <c r="E157" i="2"/>
  <c r="G157" i="2" s="1"/>
  <c r="K156" i="2"/>
  <c r="J156" i="2"/>
  <c r="H156" i="2" s="1"/>
  <c r="I156" i="2"/>
  <c r="E156" i="2"/>
  <c r="F156" i="2" s="1"/>
  <c r="I155" i="2"/>
  <c r="G155" i="2"/>
  <c r="F155" i="2"/>
  <c r="K155" i="2" s="1"/>
  <c r="E155" i="2"/>
  <c r="G154" i="2"/>
  <c r="E154" i="2"/>
  <c r="F154" i="2" s="1"/>
  <c r="E153" i="2"/>
  <c r="G152" i="2"/>
  <c r="E152" i="2"/>
  <c r="G151" i="2"/>
  <c r="E151" i="2"/>
  <c r="G148" i="2"/>
  <c r="E148" i="2"/>
  <c r="F148" i="2" s="1"/>
  <c r="I148" i="2" s="1"/>
  <c r="E147" i="2"/>
  <c r="G147" i="2" s="1"/>
  <c r="K146" i="2"/>
  <c r="J146" i="2"/>
  <c r="H146" i="2" s="1"/>
  <c r="E146" i="2"/>
  <c r="F146" i="2" s="1"/>
  <c r="K145" i="2"/>
  <c r="J145" i="2"/>
  <c r="H145" i="2" s="1"/>
  <c r="I145" i="2"/>
  <c r="G145" i="2"/>
  <c r="F145" i="2"/>
  <c r="E145" i="2"/>
  <c r="G144" i="2"/>
  <c r="E144" i="2"/>
  <c r="F144" i="2" s="1"/>
  <c r="G143" i="2"/>
  <c r="E143" i="2"/>
  <c r="E142" i="2"/>
  <c r="F142" i="2" s="1"/>
  <c r="G141" i="2"/>
  <c r="E141" i="2"/>
  <c r="G140" i="2"/>
  <c r="E140" i="2"/>
  <c r="F140" i="2" s="1"/>
  <c r="E139" i="2"/>
  <c r="G139" i="2" s="1"/>
  <c r="E138" i="2"/>
  <c r="F138" i="2" s="1"/>
  <c r="K137" i="2"/>
  <c r="J137" i="2"/>
  <c r="H137" i="2" s="1"/>
  <c r="G137" i="2"/>
  <c r="F137" i="2"/>
  <c r="I137" i="2" s="1"/>
  <c r="E137" i="2"/>
  <c r="G136" i="2"/>
  <c r="E136" i="2"/>
  <c r="F136" i="2" s="1"/>
  <c r="G133" i="2"/>
  <c r="E133" i="2"/>
  <c r="G132" i="2"/>
  <c r="E132" i="2"/>
  <c r="E131" i="2"/>
  <c r="G131" i="2" s="1"/>
  <c r="G130" i="2"/>
  <c r="E130" i="2"/>
  <c r="E129" i="2"/>
  <c r="G129" i="2" s="1"/>
  <c r="I128" i="2"/>
  <c r="E128" i="2"/>
  <c r="F128" i="2" s="1"/>
  <c r="G127" i="2"/>
  <c r="F127" i="2"/>
  <c r="K127" i="2" s="1"/>
  <c r="E127" i="2"/>
  <c r="E126" i="2"/>
  <c r="G125" i="2"/>
  <c r="E125" i="2"/>
  <c r="G124" i="2"/>
  <c r="E124" i="2"/>
  <c r="G123" i="2"/>
  <c r="E123" i="2"/>
  <c r="E122" i="2"/>
  <c r="E121" i="2"/>
  <c r="G121" i="2" s="1"/>
  <c r="K120" i="2"/>
  <c r="J120" i="2"/>
  <c r="H120" i="2" s="1"/>
  <c r="E120" i="2"/>
  <c r="F120" i="2" s="1"/>
  <c r="I117" i="2"/>
  <c r="G117" i="2"/>
  <c r="F117" i="2"/>
  <c r="K117" i="2" s="1"/>
  <c r="E117" i="2"/>
  <c r="G116" i="2"/>
  <c r="E116" i="2"/>
  <c r="F116" i="2" s="1"/>
  <c r="E115" i="2"/>
  <c r="G114" i="2"/>
  <c r="E114" i="2"/>
  <c r="G113" i="2"/>
  <c r="E113" i="2"/>
  <c r="G112" i="2"/>
  <c r="E112" i="2"/>
  <c r="F112" i="2" s="1"/>
  <c r="I112" i="2" s="1"/>
  <c r="E111" i="2"/>
  <c r="G111" i="2" s="1"/>
  <c r="K110" i="2"/>
  <c r="J110" i="2"/>
  <c r="H110" i="2" s="1"/>
  <c r="E110" i="2"/>
  <c r="F110" i="2" s="1"/>
  <c r="K109" i="2"/>
  <c r="J109" i="2"/>
  <c r="H109" i="2" s="1"/>
  <c r="G109" i="2"/>
  <c r="F109" i="2"/>
  <c r="I109" i="2" s="1"/>
  <c r="E109" i="2"/>
  <c r="G108" i="2"/>
  <c r="E108" i="2"/>
  <c r="F108" i="2" s="1"/>
  <c r="G107" i="2"/>
  <c r="E107" i="2"/>
  <c r="E106" i="2"/>
  <c r="G106" i="2" s="1"/>
  <c r="G105" i="2"/>
  <c r="E105" i="2"/>
  <c r="G104" i="2"/>
  <c r="E104" i="2"/>
  <c r="E103" i="2"/>
  <c r="G103" i="2" s="1"/>
  <c r="E102" i="2"/>
  <c r="F102" i="2" s="1"/>
  <c r="K101" i="2"/>
  <c r="J101" i="2"/>
  <c r="H101" i="2" s="1"/>
  <c r="G101" i="2"/>
  <c r="F101" i="2"/>
  <c r="I101" i="2" s="1"/>
  <c r="E101" i="2"/>
  <c r="G100" i="2"/>
  <c r="E100" i="2"/>
  <c r="F100" i="2" s="1"/>
  <c r="G99" i="2"/>
  <c r="E99" i="2"/>
  <c r="G98" i="2"/>
  <c r="E98" i="2"/>
  <c r="E95" i="2"/>
  <c r="G94" i="2"/>
  <c r="E94" i="2"/>
  <c r="E93" i="2"/>
  <c r="G93" i="2" s="1"/>
  <c r="E92" i="2"/>
  <c r="F92" i="2" s="1"/>
  <c r="G91" i="2"/>
  <c r="F91" i="2"/>
  <c r="K91" i="2" s="1"/>
  <c r="E91" i="2"/>
  <c r="E90" i="2"/>
  <c r="G89" i="2"/>
  <c r="E89" i="2"/>
  <c r="G88" i="2"/>
  <c r="E88" i="2"/>
  <c r="G87" i="2"/>
  <c r="E87" i="2"/>
  <c r="G86" i="2"/>
  <c r="F86" i="2"/>
  <c r="J86" i="2" s="1"/>
  <c r="H86" i="2" s="1"/>
  <c r="E86" i="2"/>
  <c r="K86" i="2" s="1"/>
  <c r="E85" i="2"/>
  <c r="E84" i="2"/>
  <c r="G83" i="2"/>
  <c r="E83" i="2"/>
  <c r="F83" i="2" s="1"/>
  <c r="K82" i="2"/>
  <c r="J82" i="2"/>
  <c r="H82" i="2" s="1"/>
  <c r="G82" i="2"/>
  <c r="F82" i="2"/>
  <c r="I82" i="2" s="1"/>
  <c r="E82" i="2"/>
  <c r="G79" i="2"/>
  <c r="E79" i="2"/>
  <c r="F79" i="2" s="1"/>
  <c r="G78" i="2"/>
  <c r="F78" i="2"/>
  <c r="I78" i="2" s="1"/>
  <c r="E78" i="2"/>
  <c r="K78" i="2" s="1"/>
  <c r="G77" i="2"/>
  <c r="E77" i="2"/>
  <c r="F77" i="2" s="1"/>
  <c r="G76" i="2"/>
  <c r="F76" i="2"/>
  <c r="J76" i="2" s="1"/>
  <c r="H76" i="2" s="1"/>
  <c r="E76" i="2"/>
  <c r="K76" i="2" s="1"/>
  <c r="E75" i="2"/>
  <c r="E74" i="2"/>
  <c r="G73" i="2"/>
  <c r="E73" i="2"/>
  <c r="F73" i="2" s="1"/>
  <c r="K72" i="2"/>
  <c r="J72" i="2"/>
  <c r="H72" i="2" s="1"/>
  <c r="G72" i="2"/>
  <c r="F72" i="2"/>
  <c r="I72" i="2" s="1"/>
  <c r="E72" i="2"/>
  <c r="G71" i="2"/>
  <c r="E71" i="2"/>
  <c r="F71" i="2" s="1"/>
  <c r="G70" i="2"/>
  <c r="F70" i="2"/>
  <c r="I70" i="2" s="1"/>
  <c r="E70" i="2"/>
  <c r="K70" i="2" s="1"/>
  <c r="G69" i="2"/>
  <c r="E69" i="2"/>
  <c r="F69" i="2" s="1"/>
  <c r="G68" i="2"/>
  <c r="F68" i="2"/>
  <c r="J68" i="2" s="1"/>
  <c r="H68" i="2" s="1"/>
  <c r="E68" i="2"/>
  <c r="K68" i="2" s="1"/>
  <c r="E67" i="2"/>
  <c r="E66" i="2"/>
  <c r="G65" i="2"/>
  <c r="E65" i="2"/>
  <c r="F65" i="2" s="1"/>
  <c r="K64" i="2"/>
  <c r="J64" i="2"/>
  <c r="H64" i="2" s="1"/>
  <c r="G64" i="2"/>
  <c r="F64" i="2"/>
  <c r="I64" i="2" s="1"/>
  <c r="E64" i="2"/>
  <c r="G63" i="2"/>
  <c r="E63" i="2"/>
  <c r="F63" i="2" s="1"/>
  <c r="G62" i="2"/>
  <c r="F62" i="2"/>
  <c r="I62" i="2" s="1"/>
  <c r="E62" i="2"/>
  <c r="K62" i="2" s="1"/>
  <c r="G61" i="2"/>
  <c r="E61" i="2"/>
  <c r="F61" i="2" s="1"/>
  <c r="G60" i="2"/>
  <c r="F60" i="2"/>
  <c r="J60" i="2" s="1"/>
  <c r="H60" i="2" s="1"/>
  <c r="E60" i="2"/>
  <c r="K60" i="2" s="1"/>
  <c r="E59" i="2"/>
  <c r="E58" i="2"/>
  <c r="G57" i="2"/>
  <c r="E57" i="2"/>
  <c r="F57" i="2" s="1"/>
  <c r="K56" i="2"/>
  <c r="J56" i="2"/>
  <c r="H56" i="2" s="1"/>
  <c r="G56" i="2"/>
  <c r="F56" i="2"/>
  <c r="I56" i="2" s="1"/>
  <c r="E56" i="2"/>
  <c r="G55" i="2"/>
  <c r="E55" i="2"/>
  <c r="F55" i="2" s="1"/>
  <c r="G54" i="2"/>
  <c r="F54" i="2"/>
  <c r="I54" i="2" s="1"/>
  <c r="E54" i="2"/>
  <c r="K54" i="2" s="1"/>
  <c r="G53" i="2"/>
  <c r="E53" i="2"/>
  <c r="F53" i="2" s="1"/>
  <c r="G52" i="2"/>
  <c r="F52" i="2"/>
  <c r="J52" i="2" s="1"/>
  <c r="H52" i="2" s="1"/>
  <c r="E52" i="2"/>
  <c r="K52" i="2" s="1"/>
  <c r="E51" i="2"/>
  <c r="E48" i="2"/>
  <c r="G47" i="2"/>
  <c r="E47" i="2"/>
  <c r="F47" i="2" s="1"/>
  <c r="K46" i="2"/>
  <c r="J46" i="2"/>
  <c r="H46" i="2" s="1"/>
  <c r="G46" i="2"/>
  <c r="F46" i="2"/>
  <c r="I46" i="2" s="1"/>
  <c r="E46" i="2"/>
  <c r="G45" i="2"/>
  <c r="E45" i="2"/>
  <c r="F45" i="2" s="1"/>
  <c r="G44" i="2"/>
  <c r="F44" i="2"/>
  <c r="I44" i="2" s="1"/>
  <c r="E44" i="2"/>
  <c r="K44" i="2" s="1"/>
  <c r="G43" i="2"/>
  <c r="E43" i="2"/>
  <c r="F43" i="2" s="1"/>
  <c r="G42" i="2"/>
  <c r="F42" i="2"/>
  <c r="J42" i="2" s="1"/>
  <c r="H42" i="2" s="1"/>
  <c r="E42" i="2"/>
  <c r="K42" i="2" s="1"/>
  <c r="E41" i="2"/>
  <c r="E40" i="2"/>
  <c r="G39" i="2"/>
  <c r="E39" i="2"/>
  <c r="F39" i="2" s="1"/>
  <c r="K38" i="2"/>
  <c r="J38" i="2"/>
  <c r="H38" i="2" s="1"/>
  <c r="G38" i="2"/>
  <c r="F38" i="2"/>
  <c r="I38" i="2" s="1"/>
  <c r="E38" i="2"/>
  <c r="G37" i="2"/>
  <c r="E37" i="2"/>
  <c r="F37" i="2" s="1"/>
  <c r="G36" i="2"/>
  <c r="F36" i="2"/>
  <c r="I36" i="2" s="1"/>
  <c r="E36" i="2"/>
  <c r="K36" i="2" s="1"/>
  <c r="G35" i="2"/>
  <c r="E35" i="2"/>
  <c r="F35" i="2" s="1"/>
  <c r="G34" i="2"/>
  <c r="F34" i="2"/>
  <c r="J34" i="2" s="1"/>
  <c r="H34" i="2" s="1"/>
  <c r="E34" i="2"/>
  <c r="K34" i="2" s="1"/>
  <c r="E33" i="2"/>
  <c r="E32" i="2"/>
  <c r="G31" i="2"/>
  <c r="E31" i="2"/>
  <c r="F31" i="2" s="1"/>
  <c r="K30" i="2"/>
  <c r="J30" i="2"/>
  <c r="H30" i="2" s="1"/>
  <c r="G30" i="2"/>
  <c r="F30" i="2"/>
  <c r="I30" i="2" s="1"/>
  <c r="E30" i="2"/>
  <c r="G29" i="2"/>
  <c r="E29" i="2"/>
  <c r="F29" i="2" s="1"/>
  <c r="G28" i="2"/>
  <c r="F28" i="2"/>
  <c r="I28" i="2" s="1"/>
  <c r="E28" i="2"/>
  <c r="K28" i="2" s="1"/>
  <c r="G27" i="2"/>
  <c r="E27" i="2"/>
  <c r="F27" i="2" s="1"/>
  <c r="G26" i="2"/>
  <c r="F26" i="2"/>
  <c r="J26" i="2" s="1"/>
  <c r="H26" i="2" s="1"/>
  <c r="E26" i="2"/>
  <c r="K26" i="2" s="1"/>
  <c r="E25" i="2"/>
  <c r="E24" i="2"/>
  <c r="G23" i="2"/>
  <c r="E23" i="2"/>
  <c r="F23" i="2" s="1"/>
  <c r="K22" i="2"/>
  <c r="J22" i="2"/>
  <c r="H22" i="2" s="1"/>
  <c r="G22" i="2"/>
  <c r="F22" i="2"/>
  <c r="I22" i="2" s="1"/>
  <c r="E22" i="2"/>
  <c r="G21" i="2"/>
  <c r="E21" i="2"/>
  <c r="F21" i="2" s="1"/>
  <c r="G20" i="2"/>
  <c r="F20" i="2"/>
  <c r="I20" i="2" s="1"/>
  <c r="E20" i="2"/>
  <c r="K20" i="2" s="1"/>
  <c r="G19" i="2"/>
  <c r="E19" i="2"/>
  <c r="F19" i="2" s="1"/>
  <c r="G18" i="2"/>
  <c r="F18" i="2"/>
  <c r="J18" i="2" s="1"/>
  <c r="H18" i="2" s="1"/>
  <c r="E18" i="2"/>
  <c r="K18" i="2" s="1"/>
  <c r="E17" i="2"/>
  <c r="E16" i="2"/>
  <c r="G15" i="2"/>
  <c r="E15" i="2"/>
  <c r="F15" i="2" s="1"/>
  <c r="K14" i="2"/>
  <c r="J14" i="2"/>
  <c r="H14" i="2" s="1"/>
  <c r="G14" i="2"/>
  <c r="F14" i="2"/>
  <c r="I14" i="2" s="1"/>
  <c r="E14" i="2"/>
  <c r="G13" i="2"/>
  <c r="E13" i="2"/>
  <c r="F13" i="2" s="1"/>
  <c r="G10" i="2"/>
  <c r="F10" i="2"/>
  <c r="I10" i="2" s="1"/>
  <c r="E10" i="2"/>
  <c r="K10" i="2" s="1"/>
  <c r="G9" i="2"/>
  <c r="E9" i="2"/>
  <c r="F9" i="2" s="1"/>
  <c r="G8" i="2"/>
  <c r="F8" i="2"/>
  <c r="J8" i="2" s="1"/>
  <c r="H8" i="2" s="1"/>
  <c r="E8" i="2"/>
  <c r="K8" i="2" s="1"/>
  <c r="E7" i="2"/>
  <c r="E6" i="2"/>
  <c r="G5" i="2"/>
  <c r="E5" i="2"/>
  <c r="F5" i="2" s="1"/>
  <c r="K4" i="2"/>
  <c r="J4" i="2"/>
  <c r="H4" i="2" s="1"/>
  <c r="G4" i="2"/>
  <c r="F4" i="2"/>
  <c r="I4" i="2" s="1"/>
  <c r="E4" i="2"/>
  <c r="G3" i="2"/>
  <c r="E3" i="2"/>
  <c r="F3" i="2" s="1"/>
  <c r="I37" i="2" l="1"/>
  <c r="J37" i="2"/>
  <c r="H37" i="2" s="1"/>
  <c r="J65" i="2"/>
  <c r="H65" i="2" s="1"/>
  <c r="I65" i="2"/>
  <c r="K65" i="2"/>
  <c r="J100" i="2"/>
  <c r="H100" i="2" s="1"/>
  <c r="I100" i="2"/>
  <c r="K100" i="2"/>
  <c r="J108" i="2"/>
  <c r="H108" i="2" s="1"/>
  <c r="I108" i="2"/>
  <c r="K159" i="2"/>
  <c r="J39" i="2"/>
  <c r="H39" i="2" s="1"/>
  <c r="I39" i="2"/>
  <c r="K39" i="2"/>
  <c r="I79" i="2"/>
  <c r="J79" i="2"/>
  <c r="H79" i="2" s="1"/>
  <c r="J23" i="2"/>
  <c r="H23" i="2" s="1"/>
  <c r="I23" i="2"/>
  <c r="K23" i="2"/>
  <c r="J63" i="2"/>
  <c r="H63" i="2" s="1"/>
  <c r="I63" i="2"/>
  <c r="J136" i="2"/>
  <c r="H136" i="2" s="1"/>
  <c r="I136" i="2"/>
  <c r="K136" i="2"/>
  <c r="I144" i="2"/>
  <c r="J144" i="2"/>
  <c r="H144" i="2" s="1"/>
  <c r="I13" i="2"/>
  <c r="J13" i="2"/>
  <c r="H13" i="2" s="1"/>
  <c r="I21" i="2"/>
  <c r="J21" i="2"/>
  <c r="H21" i="2" s="1"/>
  <c r="K41" i="2"/>
  <c r="J5" i="2"/>
  <c r="H5" i="2" s="1"/>
  <c r="K5" i="2"/>
  <c r="I5" i="2"/>
  <c r="I45" i="2"/>
  <c r="J45" i="2"/>
  <c r="H45" i="2" s="1"/>
  <c r="J47" i="2"/>
  <c r="H47" i="2" s="1"/>
  <c r="I47" i="2"/>
  <c r="K47" i="2"/>
  <c r="K67" i="2"/>
  <c r="J73" i="2"/>
  <c r="H73" i="2" s="1"/>
  <c r="I73" i="2"/>
  <c r="K73" i="2"/>
  <c r="J95" i="2"/>
  <c r="H95" i="2" s="1"/>
  <c r="J3" i="2"/>
  <c r="H3" i="2" s="1"/>
  <c r="I3" i="2"/>
  <c r="J31" i="2"/>
  <c r="H31" i="2" s="1"/>
  <c r="I31" i="2"/>
  <c r="K31" i="2"/>
  <c r="I71" i="2"/>
  <c r="J71" i="2"/>
  <c r="H71" i="2" s="1"/>
  <c r="I234" i="2"/>
  <c r="K66" i="2"/>
  <c r="K24" i="2"/>
  <c r="K6" i="2"/>
  <c r="I140" i="2"/>
  <c r="J140" i="2"/>
  <c r="H140" i="2" s="1"/>
  <c r="K140" i="2"/>
  <c r="I29" i="2"/>
  <c r="J29" i="2"/>
  <c r="H29" i="2" s="1"/>
  <c r="K51" i="2"/>
  <c r="J57" i="2"/>
  <c r="H57" i="2" s="1"/>
  <c r="I57" i="2"/>
  <c r="K57" i="2"/>
  <c r="J15" i="2"/>
  <c r="H15" i="2" s="1"/>
  <c r="K15" i="2"/>
  <c r="I15" i="2"/>
  <c r="J55" i="2"/>
  <c r="H55" i="2" s="1"/>
  <c r="I55" i="2"/>
  <c r="J83" i="2"/>
  <c r="H83" i="2" s="1"/>
  <c r="I83" i="2"/>
  <c r="K83" i="2"/>
  <c r="F210" i="2"/>
  <c r="K210" i="2"/>
  <c r="F25" i="2"/>
  <c r="K25" i="2" s="1"/>
  <c r="F33" i="2"/>
  <c r="K33" i="2" s="1"/>
  <c r="F41" i="2"/>
  <c r="F95" i="2"/>
  <c r="G102" i="2"/>
  <c r="F111" i="2"/>
  <c r="F131" i="2"/>
  <c r="G138" i="2"/>
  <c r="F147" i="2"/>
  <c r="J147" i="2" s="1"/>
  <c r="H147" i="2" s="1"/>
  <c r="F153" i="2"/>
  <c r="J153" i="2" s="1"/>
  <c r="H153" i="2" s="1"/>
  <c r="F158" i="2"/>
  <c r="K158" i="2" s="1"/>
  <c r="F162" i="2"/>
  <c r="K162" i="2" s="1"/>
  <c r="F177" i="2"/>
  <c r="F198" i="2"/>
  <c r="K198" i="2" s="1"/>
  <c r="G210" i="2"/>
  <c r="F217" i="2"/>
  <c r="I217" i="2" s="1"/>
  <c r="F234" i="2"/>
  <c r="F236" i="2"/>
  <c r="J236" i="2" s="1"/>
  <c r="H236" i="2" s="1"/>
  <c r="I249" i="2"/>
  <c r="G260" i="2"/>
  <c r="J277" i="2"/>
  <c r="H277" i="2" s="1"/>
  <c r="K115" i="2"/>
  <c r="J142" i="2"/>
  <c r="H142" i="2" s="1"/>
  <c r="I167" i="2"/>
  <c r="J196" i="2"/>
  <c r="H196" i="2" s="1"/>
  <c r="G196" i="2"/>
  <c r="I213" i="2"/>
  <c r="G213" i="2"/>
  <c r="F213" i="2"/>
  <c r="J251" i="2"/>
  <c r="H251" i="2" s="1"/>
  <c r="I251" i="2"/>
  <c r="G251" i="2"/>
  <c r="F251" i="2"/>
  <c r="K269" i="2"/>
  <c r="J269" i="2"/>
  <c r="H269" i="2" s="1"/>
  <c r="I269" i="2"/>
  <c r="I304" i="2"/>
  <c r="J304" i="2"/>
  <c r="H304" i="2" s="1"/>
  <c r="F17" i="2"/>
  <c r="K17" i="2" s="1"/>
  <c r="F51" i="2"/>
  <c r="F67" i="2"/>
  <c r="F75" i="2"/>
  <c r="K75" i="2" s="1"/>
  <c r="F85" i="2"/>
  <c r="J85" i="2" s="1"/>
  <c r="H85" i="2" s="1"/>
  <c r="F90" i="2"/>
  <c r="I90" i="2" s="1"/>
  <c r="F115" i="2"/>
  <c r="F122" i="2"/>
  <c r="K122" i="2" s="1"/>
  <c r="G7" i="2"/>
  <c r="I9" i="2"/>
  <c r="G17" i="2"/>
  <c r="I19" i="2"/>
  <c r="J20" i="2"/>
  <c r="H20" i="2" s="1"/>
  <c r="K21" i="2"/>
  <c r="F24" i="2"/>
  <c r="J24" i="2" s="1"/>
  <c r="H24" i="2" s="1"/>
  <c r="G25" i="2"/>
  <c r="I27" i="2"/>
  <c r="J28" i="2"/>
  <c r="H28" i="2" s="1"/>
  <c r="F32" i="2"/>
  <c r="J32" i="2" s="1"/>
  <c r="H32" i="2" s="1"/>
  <c r="G33" i="2"/>
  <c r="I35" i="2"/>
  <c r="J36" i="2"/>
  <c r="H36" i="2" s="1"/>
  <c r="K37" i="2"/>
  <c r="F40" i="2"/>
  <c r="J40" i="2" s="1"/>
  <c r="H40" i="2" s="1"/>
  <c r="G41" i="2"/>
  <c r="I43" i="2"/>
  <c r="J44" i="2"/>
  <c r="H44" i="2" s="1"/>
  <c r="K45" i="2"/>
  <c r="F48" i="2"/>
  <c r="J48" i="2" s="1"/>
  <c r="H48" i="2" s="1"/>
  <c r="G51" i="2"/>
  <c r="I53" i="2"/>
  <c r="J54" i="2"/>
  <c r="H54" i="2" s="1"/>
  <c r="K55" i="2"/>
  <c r="F58" i="2"/>
  <c r="J58" i="2" s="1"/>
  <c r="H58" i="2" s="1"/>
  <c r="G59" i="2"/>
  <c r="I61" i="2"/>
  <c r="J62" i="2"/>
  <c r="H62" i="2" s="1"/>
  <c r="K63" i="2"/>
  <c r="F66" i="2"/>
  <c r="J66" i="2" s="1"/>
  <c r="H66" i="2" s="1"/>
  <c r="G67" i="2"/>
  <c r="I69" i="2"/>
  <c r="J70" i="2"/>
  <c r="H70" i="2" s="1"/>
  <c r="K71" i="2"/>
  <c r="F74" i="2"/>
  <c r="J74" i="2" s="1"/>
  <c r="H74" i="2" s="1"/>
  <c r="G75" i="2"/>
  <c r="I77" i="2"/>
  <c r="J78" i="2"/>
  <c r="H78" i="2" s="1"/>
  <c r="K79" i="2"/>
  <c r="F84" i="2"/>
  <c r="J84" i="2" s="1"/>
  <c r="H84" i="2" s="1"/>
  <c r="G85" i="2"/>
  <c r="G90" i="2"/>
  <c r="J92" i="2"/>
  <c r="H92" i="2" s="1"/>
  <c r="G95" i="2"/>
  <c r="K108" i="2"/>
  <c r="J112" i="2"/>
  <c r="H112" i="2" s="1"/>
  <c r="J114" i="2"/>
  <c r="H114" i="2" s="1"/>
  <c r="G115" i="2"/>
  <c r="I116" i="2"/>
  <c r="J117" i="2"/>
  <c r="H117" i="2" s="1"/>
  <c r="G122" i="2"/>
  <c r="G126" i="2"/>
  <c r="J128" i="2"/>
  <c r="H128" i="2" s="1"/>
  <c r="J139" i="2"/>
  <c r="H139" i="2" s="1"/>
  <c r="G142" i="2"/>
  <c r="K144" i="2"/>
  <c r="J148" i="2"/>
  <c r="H148" i="2" s="1"/>
  <c r="J152" i="2"/>
  <c r="H152" i="2" s="1"/>
  <c r="G153" i="2"/>
  <c r="I154" i="2"/>
  <c r="J155" i="2"/>
  <c r="H155" i="2" s="1"/>
  <c r="G158" i="2"/>
  <c r="G162" i="2"/>
  <c r="J164" i="2"/>
  <c r="H164" i="2" s="1"/>
  <c r="G167" i="2"/>
  <c r="F170" i="2"/>
  <c r="J170" i="2" s="1"/>
  <c r="H170" i="2" s="1"/>
  <c r="G174" i="2"/>
  <c r="G182" i="2"/>
  <c r="I183" i="2"/>
  <c r="I185" i="2"/>
  <c r="G185" i="2"/>
  <c r="I186" i="2"/>
  <c r="F188" i="2"/>
  <c r="J188" i="2" s="1"/>
  <c r="H188" i="2" s="1"/>
  <c r="J194" i="2"/>
  <c r="H194" i="2" s="1"/>
  <c r="I196" i="2"/>
  <c r="G198" i="2"/>
  <c r="F200" i="2"/>
  <c r="J200" i="2" s="1"/>
  <c r="H200" i="2" s="1"/>
  <c r="K200" i="2"/>
  <c r="I201" i="2"/>
  <c r="G203" i="2"/>
  <c r="F203" i="2"/>
  <c r="I203" i="2" s="1"/>
  <c r="J213" i="2"/>
  <c r="H213" i="2" s="1"/>
  <c r="K219" i="2"/>
  <c r="J219" i="2"/>
  <c r="H219" i="2" s="1"/>
  <c r="G226" i="2"/>
  <c r="J232" i="2"/>
  <c r="H232" i="2" s="1"/>
  <c r="G238" i="2"/>
  <c r="F238" i="2"/>
  <c r="I238" i="2" s="1"/>
  <c r="K238" i="2"/>
  <c r="G242" i="2"/>
  <c r="J249" i="2"/>
  <c r="H249" i="2" s="1"/>
  <c r="K251" i="2"/>
  <c r="F260" i="2"/>
  <c r="K260" i="2" s="1"/>
  <c r="J266" i="2"/>
  <c r="H266" i="2" s="1"/>
  <c r="G269" i="2"/>
  <c r="K304" i="2"/>
  <c r="I131" i="2"/>
  <c r="K177" i="2"/>
  <c r="I177" i="2"/>
  <c r="K191" i="2"/>
  <c r="J191" i="2"/>
  <c r="H191" i="2" s="1"/>
  <c r="J234" i="2"/>
  <c r="H234" i="2" s="1"/>
  <c r="G234" i="2"/>
  <c r="F7" i="2"/>
  <c r="K7" i="2" s="1"/>
  <c r="F59" i="2"/>
  <c r="I59" i="2" s="1"/>
  <c r="I92" i="2"/>
  <c r="F106" i="2"/>
  <c r="J106" i="2" s="1"/>
  <c r="H106" i="2" s="1"/>
  <c r="F126" i="2"/>
  <c r="K126" i="2" s="1"/>
  <c r="K3" i="2"/>
  <c r="F6" i="2"/>
  <c r="J6" i="2" s="1"/>
  <c r="H6" i="2" s="1"/>
  <c r="J10" i="2"/>
  <c r="H10" i="2" s="1"/>
  <c r="K13" i="2"/>
  <c r="F16" i="2"/>
  <c r="J16" i="2" s="1"/>
  <c r="H16" i="2" s="1"/>
  <c r="K29" i="2"/>
  <c r="G6" i="2"/>
  <c r="I8" i="2"/>
  <c r="J9" i="2"/>
  <c r="H9" i="2" s="1"/>
  <c r="G16" i="2"/>
  <c r="I18" i="2"/>
  <c r="J19" i="2"/>
  <c r="H19" i="2" s="1"/>
  <c r="G24" i="2"/>
  <c r="I26" i="2"/>
  <c r="J27" i="2"/>
  <c r="H27" i="2" s="1"/>
  <c r="G32" i="2"/>
  <c r="I34" i="2"/>
  <c r="J35" i="2"/>
  <c r="H35" i="2" s="1"/>
  <c r="G40" i="2"/>
  <c r="I42" i="2"/>
  <c r="J43" i="2"/>
  <c r="H43" i="2" s="1"/>
  <c r="G48" i="2"/>
  <c r="I52" i="2"/>
  <c r="J53" i="2"/>
  <c r="H53" i="2" s="1"/>
  <c r="G58" i="2"/>
  <c r="I60" i="2"/>
  <c r="J61" i="2"/>
  <c r="H61" i="2" s="1"/>
  <c r="G66" i="2"/>
  <c r="I68" i="2"/>
  <c r="J69" i="2"/>
  <c r="H69" i="2" s="1"/>
  <c r="G74" i="2"/>
  <c r="I76" i="2"/>
  <c r="J77" i="2"/>
  <c r="H77" i="2" s="1"/>
  <c r="G84" i="2"/>
  <c r="I86" i="2"/>
  <c r="F89" i="2"/>
  <c r="I91" i="2"/>
  <c r="K92" i="2"/>
  <c r="F94" i="2"/>
  <c r="I102" i="2"/>
  <c r="F105" i="2"/>
  <c r="G110" i="2"/>
  <c r="I111" i="2"/>
  <c r="K112" i="2"/>
  <c r="F114" i="2"/>
  <c r="J116" i="2"/>
  <c r="H116" i="2" s="1"/>
  <c r="F121" i="2"/>
  <c r="F125" i="2"/>
  <c r="K125" i="2" s="1"/>
  <c r="I127" i="2"/>
  <c r="K128" i="2"/>
  <c r="F130" i="2"/>
  <c r="I130" i="2" s="1"/>
  <c r="I138" i="2"/>
  <c r="K139" i="2"/>
  <c r="F141" i="2"/>
  <c r="G146" i="2"/>
  <c r="K148" i="2"/>
  <c r="F152" i="2"/>
  <c r="J154" i="2"/>
  <c r="H154" i="2" s="1"/>
  <c r="F157" i="2"/>
  <c r="I158" i="2"/>
  <c r="F161" i="2"/>
  <c r="K161" i="2" s="1"/>
  <c r="I163" i="2"/>
  <c r="K164" i="2"/>
  <c r="F166" i="2"/>
  <c r="G170" i="2"/>
  <c r="I171" i="2"/>
  <c r="I174" i="2"/>
  <c r="J176" i="2"/>
  <c r="H176" i="2" s="1"/>
  <c r="J183" i="2"/>
  <c r="H183" i="2" s="1"/>
  <c r="F185" i="2"/>
  <c r="K185" i="2" s="1"/>
  <c r="G188" i="2"/>
  <c r="I191" i="2"/>
  <c r="K196" i="2"/>
  <c r="G200" i="2"/>
  <c r="J201" i="2"/>
  <c r="H201" i="2" s="1"/>
  <c r="F207" i="2"/>
  <c r="K207" i="2" s="1"/>
  <c r="I210" i="2"/>
  <c r="K213" i="2"/>
  <c r="I224" i="2"/>
  <c r="F226" i="2"/>
  <c r="K226" i="2" s="1"/>
  <c r="F228" i="2"/>
  <c r="K228" i="2" s="1"/>
  <c r="K234" i="2"/>
  <c r="F242" i="2"/>
  <c r="J242" i="2" s="1"/>
  <c r="H242" i="2" s="1"/>
  <c r="G246" i="2"/>
  <c r="F246" i="2"/>
  <c r="K246" i="2"/>
  <c r="K252" i="2"/>
  <c r="J252" i="2"/>
  <c r="H252" i="2" s="1"/>
  <c r="G252" i="2"/>
  <c r="K261" i="2"/>
  <c r="J261" i="2"/>
  <c r="H261" i="2" s="1"/>
  <c r="I261" i="2"/>
  <c r="K266" i="2"/>
  <c r="J270" i="2"/>
  <c r="H270" i="2" s="1"/>
  <c r="J278" i="2"/>
  <c r="H278" i="2" s="1"/>
  <c r="I278" i="2"/>
  <c r="G278" i="2"/>
  <c r="F278" i="2"/>
  <c r="K278" i="2" s="1"/>
  <c r="K229" i="2"/>
  <c r="J229" i="2"/>
  <c r="H229" i="2" s="1"/>
  <c r="I7" i="2"/>
  <c r="K9" i="2"/>
  <c r="I17" i="2"/>
  <c r="K19" i="2"/>
  <c r="K27" i="2"/>
  <c r="K35" i="2"/>
  <c r="I41" i="2"/>
  <c r="K43" i="2"/>
  <c r="I51" i="2"/>
  <c r="K53" i="2"/>
  <c r="K61" i="2"/>
  <c r="I67" i="2"/>
  <c r="K69" i="2"/>
  <c r="I75" i="2"/>
  <c r="K77" i="2"/>
  <c r="J88" i="2"/>
  <c r="H88" i="2" s="1"/>
  <c r="J91" i="2"/>
  <c r="H91" i="2" s="1"/>
  <c r="J102" i="2"/>
  <c r="H102" i="2" s="1"/>
  <c r="I106" i="2"/>
  <c r="J111" i="2"/>
  <c r="H111" i="2" s="1"/>
  <c r="I115" i="2"/>
  <c r="K116" i="2"/>
  <c r="I126" i="2"/>
  <c r="J127" i="2"/>
  <c r="H127" i="2" s="1"/>
  <c r="J131" i="2"/>
  <c r="H131" i="2" s="1"/>
  <c r="J138" i="2"/>
  <c r="H138" i="2" s="1"/>
  <c r="I142" i="2"/>
  <c r="K154" i="2"/>
  <c r="J158" i="2"/>
  <c r="H158" i="2" s="1"/>
  <c r="I162" i="2"/>
  <c r="J163" i="2"/>
  <c r="H163" i="2" s="1"/>
  <c r="J167" i="2"/>
  <c r="H167" i="2" s="1"/>
  <c r="J171" i="2"/>
  <c r="H171" i="2" s="1"/>
  <c r="J174" i="2"/>
  <c r="H174" i="2" s="1"/>
  <c r="J177" i="2"/>
  <c r="H177" i="2" s="1"/>
  <c r="I182" i="2"/>
  <c r="F192" i="2"/>
  <c r="K192" i="2"/>
  <c r="I193" i="2"/>
  <c r="I195" i="2"/>
  <c r="G195" i="2"/>
  <c r="F195" i="2"/>
  <c r="J203" i="2"/>
  <c r="H203" i="2" s="1"/>
  <c r="G207" i="2"/>
  <c r="K209" i="2"/>
  <c r="J209" i="2"/>
  <c r="H209" i="2" s="1"/>
  <c r="J210" i="2"/>
  <c r="H210" i="2" s="1"/>
  <c r="G216" i="2"/>
  <c r="J224" i="2"/>
  <c r="H224" i="2" s="1"/>
  <c r="I226" i="2"/>
  <c r="G228" i="2"/>
  <c r="F230" i="2"/>
  <c r="K230" i="2"/>
  <c r="I231" i="2"/>
  <c r="G233" i="2"/>
  <c r="F233" i="2"/>
  <c r="K235" i="2"/>
  <c r="I235" i="2"/>
  <c r="G267" i="2"/>
  <c r="F267" i="2"/>
  <c r="J267" i="2" s="1"/>
  <c r="H267" i="2" s="1"/>
  <c r="K279" i="2"/>
  <c r="I279" i="2"/>
  <c r="G279" i="2"/>
  <c r="G288" i="2"/>
  <c r="F288" i="2"/>
  <c r="K288" i="2" s="1"/>
  <c r="J306" i="2"/>
  <c r="H306" i="2" s="1"/>
  <c r="I306" i="2"/>
  <c r="G306" i="2"/>
  <c r="F306" i="2"/>
  <c r="K306" i="2" s="1"/>
  <c r="I95" i="2"/>
  <c r="I6" i="2"/>
  <c r="J7" i="2"/>
  <c r="H7" i="2" s="1"/>
  <c r="J17" i="2"/>
  <c r="H17" i="2" s="1"/>
  <c r="I24" i="2"/>
  <c r="I32" i="2"/>
  <c r="I40" i="2"/>
  <c r="J41" i="2"/>
  <c r="H41" i="2" s="1"/>
  <c r="J51" i="2"/>
  <c r="H51" i="2" s="1"/>
  <c r="I58" i="2"/>
  <c r="I66" i="2"/>
  <c r="J67" i="2"/>
  <c r="H67" i="2" s="1"/>
  <c r="I74" i="2"/>
  <c r="J75" i="2"/>
  <c r="H75" i="2" s="1"/>
  <c r="I84" i="2"/>
  <c r="F88" i="2"/>
  <c r="F93" i="2"/>
  <c r="K95" i="2"/>
  <c r="F99" i="2"/>
  <c r="K102" i="2"/>
  <c r="F104" i="2"/>
  <c r="K106" i="2"/>
  <c r="I110" i="2"/>
  <c r="K111" i="2"/>
  <c r="F113" i="2"/>
  <c r="I113" i="2" s="1"/>
  <c r="J115" i="2"/>
  <c r="H115" i="2" s="1"/>
  <c r="G120" i="2"/>
  <c r="I121" i="2"/>
  <c r="F124" i="2"/>
  <c r="J126" i="2"/>
  <c r="H126" i="2" s="1"/>
  <c r="F129" i="2"/>
  <c r="K131" i="2"/>
  <c r="F133" i="2"/>
  <c r="K133" i="2" s="1"/>
  <c r="K138" i="2"/>
  <c r="K142" i="2"/>
  <c r="I146" i="2"/>
  <c r="F151" i="2"/>
  <c r="I151" i="2" s="1"/>
  <c r="G156" i="2"/>
  <c r="I157" i="2"/>
  <c r="F160" i="2"/>
  <c r="J160" i="2" s="1"/>
  <c r="H160" i="2" s="1"/>
  <c r="J162" i="2"/>
  <c r="H162" i="2" s="1"/>
  <c r="F165" i="2"/>
  <c r="K167" i="2"/>
  <c r="F169" i="2"/>
  <c r="J169" i="2" s="1"/>
  <c r="H169" i="2" s="1"/>
  <c r="I170" i="2"/>
  <c r="K174" i="2"/>
  <c r="J180" i="2"/>
  <c r="H180" i="2" s="1"/>
  <c r="J182" i="2"/>
  <c r="H182" i="2" s="1"/>
  <c r="J185" i="2"/>
  <c r="H185" i="2" s="1"/>
  <c r="F187" i="2"/>
  <c r="J187" i="2" s="1"/>
  <c r="H187" i="2" s="1"/>
  <c r="G192" i="2"/>
  <c r="F197" i="2"/>
  <c r="J197" i="2" s="1"/>
  <c r="H197" i="2" s="1"/>
  <c r="I200" i="2"/>
  <c r="K203" i="2"/>
  <c r="F216" i="2"/>
  <c r="F218" i="2"/>
  <c r="K218" i="2" s="1"/>
  <c r="I219" i="2"/>
  <c r="G230" i="2"/>
  <c r="F235" i="2"/>
  <c r="J235" i="2" s="1"/>
  <c r="H235" i="2" s="1"/>
  <c r="K243" i="2"/>
  <c r="I243" i="2"/>
  <c r="K267" i="2"/>
  <c r="F279" i="2"/>
  <c r="J279" i="2" s="1"/>
  <c r="H279" i="2" s="1"/>
  <c r="K289" i="2"/>
  <c r="G289" i="2"/>
  <c r="J298" i="2"/>
  <c r="H298" i="2" s="1"/>
  <c r="I298" i="2"/>
  <c r="G298" i="2"/>
  <c r="F298" i="2"/>
  <c r="K298" i="2" s="1"/>
  <c r="K309" i="2"/>
  <c r="J198" i="2"/>
  <c r="H198" i="2" s="1"/>
  <c r="I198" i="2"/>
  <c r="I87" i="2"/>
  <c r="J98" i="2"/>
  <c r="H98" i="2" s="1"/>
  <c r="I123" i="2"/>
  <c r="K170" i="2"/>
  <c r="I175" i="2"/>
  <c r="G175" i="2"/>
  <c r="K182" i="2"/>
  <c r="K188" i="2"/>
  <c r="K199" i="2"/>
  <c r="J199" i="2"/>
  <c r="H199" i="2" s="1"/>
  <c r="G204" i="2"/>
  <c r="J208" i="2"/>
  <c r="H208" i="2" s="1"/>
  <c r="I208" i="2"/>
  <c r="F220" i="2"/>
  <c r="I220" i="2" s="1"/>
  <c r="G225" i="2"/>
  <c r="F225" i="2"/>
  <c r="K227" i="2"/>
  <c r="I227" i="2"/>
  <c r="K237" i="2"/>
  <c r="J237" i="2"/>
  <c r="H237" i="2" s="1"/>
  <c r="K253" i="2"/>
  <c r="I253" i="2"/>
  <c r="K268" i="2"/>
  <c r="J268" i="2"/>
  <c r="H268" i="2" s="1"/>
  <c r="I268" i="2"/>
  <c r="G268" i="2"/>
  <c r="J280" i="2"/>
  <c r="H280" i="2" s="1"/>
  <c r="F289" i="2"/>
  <c r="J289" i="2" s="1"/>
  <c r="H289" i="2" s="1"/>
  <c r="K299" i="2"/>
  <c r="J299" i="2"/>
  <c r="H299" i="2" s="1"/>
  <c r="I299" i="2"/>
  <c r="G299" i="2"/>
  <c r="I314" i="2"/>
  <c r="J314" i="2"/>
  <c r="H314" i="2" s="1"/>
  <c r="F87" i="2"/>
  <c r="K87" i="2" s="1"/>
  <c r="G92" i="2"/>
  <c r="F98" i="2"/>
  <c r="I98" i="2" s="1"/>
  <c r="F103" i="2"/>
  <c r="I103" i="2" s="1"/>
  <c r="F107" i="2"/>
  <c r="J107" i="2" s="1"/>
  <c r="H107" i="2" s="1"/>
  <c r="I120" i="2"/>
  <c r="F123" i="2"/>
  <c r="K123" i="2" s="1"/>
  <c r="G128" i="2"/>
  <c r="F132" i="2"/>
  <c r="J132" i="2" s="1"/>
  <c r="H132" i="2" s="1"/>
  <c r="F139" i="2"/>
  <c r="I139" i="2" s="1"/>
  <c r="F143" i="2"/>
  <c r="J143" i="2" s="1"/>
  <c r="H143" i="2" s="1"/>
  <c r="F159" i="2"/>
  <c r="J159" i="2" s="1"/>
  <c r="H159" i="2" s="1"/>
  <c r="G164" i="2"/>
  <c r="F168" i="2"/>
  <c r="I168" i="2" s="1"/>
  <c r="F175" i="2"/>
  <c r="J175" i="2" s="1"/>
  <c r="H175" i="2" s="1"/>
  <c r="J186" i="2"/>
  <c r="H186" i="2" s="1"/>
  <c r="F204" i="2"/>
  <c r="J204" i="2" s="1"/>
  <c r="H204" i="2" s="1"/>
  <c r="F208" i="2"/>
  <c r="K208" i="2" s="1"/>
  <c r="G220" i="2"/>
  <c r="F227" i="2"/>
  <c r="J227" i="2" s="1"/>
  <c r="H227" i="2" s="1"/>
  <c r="J241" i="2"/>
  <c r="H241" i="2" s="1"/>
  <c r="I241" i="2"/>
  <c r="G241" i="2"/>
  <c r="F241" i="2"/>
  <c r="K241" i="2" s="1"/>
  <c r="K250" i="2"/>
  <c r="F253" i="2"/>
  <c r="J253" i="2" s="1"/>
  <c r="H253" i="2" s="1"/>
  <c r="G259" i="2"/>
  <c r="F259" i="2"/>
  <c r="K259" i="2" s="1"/>
  <c r="J290" i="2"/>
  <c r="H290" i="2" s="1"/>
  <c r="I318" i="2"/>
  <c r="J329" i="2"/>
  <c r="H329" i="2" s="1"/>
  <c r="K338" i="2"/>
  <c r="F353" i="2"/>
  <c r="K353" i="2"/>
  <c r="I359" i="2"/>
  <c r="J385" i="2"/>
  <c r="H385" i="2" s="1"/>
  <c r="G385" i="2"/>
  <c r="G398" i="2"/>
  <c r="I398" i="2"/>
  <c r="F403" i="2"/>
  <c r="I403" i="2" s="1"/>
  <c r="F420" i="2"/>
  <c r="I420" i="2" s="1"/>
  <c r="K420" i="2"/>
  <c r="K440" i="2"/>
  <c r="K479" i="2"/>
  <c r="J479" i="2"/>
  <c r="H479" i="2" s="1"/>
  <c r="I479" i="2"/>
  <c r="G479" i="2"/>
  <c r="I504" i="2"/>
  <c r="K504" i="2"/>
  <c r="G504" i="2"/>
  <c r="F504" i="2"/>
  <c r="J504" i="2" s="1"/>
  <c r="H504" i="2" s="1"/>
  <c r="G522" i="2"/>
  <c r="F522" i="2"/>
  <c r="J522" i="2" s="1"/>
  <c r="H522" i="2" s="1"/>
  <c r="J542" i="2"/>
  <c r="H542" i="2" s="1"/>
  <c r="I542" i="2"/>
  <c r="K542" i="2"/>
  <c r="G542" i="2"/>
  <c r="F542" i="2"/>
  <c r="J558" i="2"/>
  <c r="H558" i="2" s="1"/>
  <c r="I558" i="2"/>
  <c r="K558" i="2"/>
  <c r="G558" i="2"/>
  <c r="F558" i="2"/>
  <c r="J574" i="2"/>
  <c r="H574" i="2" s="1"/>
  <c r="I574" i="2"/>
  <c r="G574" i="2"/>
  <c r="F574" i="2"/>
  <c r="K574" i="2" s="1"/>
  <c r="J596" i="2"/>
  <c r="H596" i="2" s="1"/>
  <c r="K596" i="2"/>
  <c r="I596" i="2"/>
  <c r="K618" i="2"/>
  <c r="F618" i="2"/>
  <c r="J618" i="2" s="1"/>
  <c r="H618" i="2" s="1"/>
  <c r="F356" i="2"/>
  <c r="I356" i="2" s="1"/>
  <c r="J377" i="2"/>
  <c r="H377" i="2" s="1"/>
  <c r="G377" i="2"/>
  <c r="G390" i="2"/>
  <c r="F395" i="2"/>
  <c r="I395" i="2" s="1"/>
  <c r="F410" i="2"/>
  <c r="J410" i="2" s="1"/>
  <c r="H410" i="2" s="1"/>
  <c r="K410" i="2"/>
  <c r="F425" i="2"/>
  <c r="K425" i="2"/>
  <c r="G438" i="2"/>
  <c r="F438" i="2"/>
  <c r="I438" i="2" s="1"/>
  <c r="K442" i="2"/>
  <c r="J442" i="2"/>
  <c r="H442" i="2" s="1"/>
  <c r="F450" i="2"/>
  <c r="I450" i="2" s="1"/>
  <c r="G452" i="2"/>
  <c r="G466" i="2"/>
  <c r="K484" i="2"/>
  <c r="J484" i="2"/>
  <c r="H484" i="2" s="1"/>
  <c r="I559" i="2"/>
  <c r="I575" i="2"/>
  <c r="G309" i="2"/>
  <c r="G318" i="2"/>
  <c r="I328" i="2"/>
  <c r="G329" i="2"/>
  <c r="J337" i="2"/>
  <c r="H337" i="2" s="1"/>
  <c r="G338" i="2"/>
  <c r="F344" i="2"/>
  <c r="J344" i="2" s="1"/>
  <c r="H344" i="2" s="1"/>
  <c r="I345" i="2"/>
  <c r="G347" i="2"/>
  <c r="G356" i="2"/>
  <c r="G359" i="2"/>
  <c r="F364" i="2"/>
  <c r="I365" i="2"/>
  <c r="J367" i="2"/>
  <c r="H367" i="2" s="1"/>
  <c r="G367" i="2"/>
  <c r="I368" i="2"/>
  <c r="F377" i="2"/>
  <c r="G382" i="2"/>
  <c r="I383" i="2"/>
  <c r="F387" i="2"/>
  <c r="J387" i="2" s="1"/>
  <c r="H387" i="2" s="1"/>
  <c r="F390" i="2"/>
  <c r="I390" i="2" s="1"/>
  <c r="I393" i="2"/>
  <c r="G395" i="2"/>
  <c r="I400" i="2"/>
  <c r="F400" i="2"/>
  <c r="K400" i="2"/>
  <c r="J406" i="2"/>
  <c r="H406" i="2" s="1"/>
  <c r="G410" i="2"/>
  <c r="F415" i="2"/>
  <c r="I415" i="2" s="1"/>
  <c r="G425" i="2"/>
  <c r="G429" i="2"/>
  <c r="F431" i="2"/>
  <c r="J431" i="2" s="1"/>
  <c r="H431" i="2" s="1"/>
  <c r="J434" i="2"/>
  <c r="H434" i="2" s="1"/>
  <c r="K448" i="2"/>
  <c r="G450" i="2"/>
  <c r="F452" i="2"/>
  <c r="J452" i="2" s="1"/>
  <c r="H452" i="2" s="1"/>
  <c r="I457" i="2"/>
  <c r="K457" i="2"/>
  <c r="J457" i="2"/>
  <c r="H457" i="2" s="1"/>
  <c r="G457" i="2"/>
  <c r="F466" i="2"/>
  <c r="J466" i="2" s="1"/>
  <c r="H466" i="2" s="1"/>
  <c r="K480" i="2"/>
  <c r="J480" i="2"/>
  <c r="H480" i="2" s="1"/>
  <c r="I480" i="2"/>
  <c r="F480" i="2"/>
  <c r="I484" i="2"/>
  <c r="K492" i="2"/>
  <c r="J492" i="2"/>
  <c r="H492" i="2" s="1"/>
  <c r="I492" i="2"/>
  <c r="K495" i="2"/>
  <c r="J495" i="2"/>
  <c r="H495" i="2" s="1"/>
  <c r="G495" i="2"/>
  <c r="I633" i="2"/>
  <c r="J633" i="2"/>
  <c r="H633" i="2" s="1"/>
  <c r="G633" i="2"/>
  <c r="F633" i="2"/>
  <c r="K633" i="2"/>
  <c r="I244" i="2"/>
  <c r="J245" i="2"/>
  <c r="H245" i="2" s="1"/>
  <c r="I254" i="2"/>
  <c r="J255" i="2"/>
  <c r="H255" i="2" s="1"/>
  <c r="K256" i="2"/>
  <c r="I262" i="2"/>
  <c r="J263" i="2"/>
  <c r="H263" i="2" s="1"/>
  <c r="I270" i="2"/>
  <c r="J271" i="2"/>
  <c r="H271" i="2" s="1"/>
  <c r="F277" i="2"/>
  <c r="K277" i="2" s="1"/>
  <c r="I280" i="2"/>
  <c r="J281" i="2"/>
  <c r="H281" i="2" s="1"/>
  <c r="F287" i="2"/>
  <c r="K287" i="2" s="1"/>
  <c r="I290" i="2"/>
  <c r="J291" i="2"/>
  <c r="H291" i="2" s="1"/>
  <c r="F297" i="2"/>
  <c r="K297" i="2" s="1"/>
  <c r="I300" i="2"/>
  <c r="J301" i="2"/>
  <c r="H301" i="2" s="1"/>
  <c r="F305" i="2"/>
  <c r="K305" i="2" s="1"/>
  <c r="I310" i="2"/>
  <c r="J311" i="2"/>
  <c r="H311" i="2" s="1"/>
  <c r="F315" i="2"/>
  <c r="K315" i="2" s="1"/>
  <c r="F321" i="2"/>
  <c r="K321" i="2" s="1"/>
  <c r="I323" i="2"/>
  <c r="F328" i="2"/>
  <c r="G333" i="2"/>
  <c r="I334" i="2"/>
  <c r="F337" i="2"/>
  <c r="J339" i="2"/>
  <c r="H339" i="2" s="1"/>
  <c r="J345" i="2"/>
  <c r="H345" i="2" s="1"/>
  <c r="F347" i="2"/>
  <c r="I347" i="2" s="1"/>
  <c r="I353" i="2"/>
  <c r="K360" i="2"/>
  <c r="J365" i="2"/>
  <c r="H365" i="2" s="1"/>
  <c r="F367" i="2"/>
  <c r="G372" i="2"/>
  <c r="I373" i="2"/>
  <c r="I379" i="2"/>
  <c r="F379" i="2"/>
  <c r="F382" i="2"/>
  <c r="I382" i="2" s="1"/>
  <c r="K383" i="2"/>
  <c r="I385" i="2"/>
  <c r="G387" i="2"/>
  <c r="I388" i="2"/>
  <c r="F392" i="2"/>
  <c r="I392" i="2" s="1"/>
  <c r="J398" i="2"/>
  <c r="H398" i="2" s="1"/>
  <c r="G400" i="2"/>
  <c r="F405" i="2"/>
  <c r="K405" i="2" s="1"/>
  <c r="G415" i="2"/>
  <c r="J420" i="2"/>
  <c r="H420" i="2" s="1"/>
  <c r="I425" i="2"/>
  <c r="F429" i="2"/>
  <c r="J429" i="2" s="1"/>
  <c r="H429" i="2" s="1"/>
  <c r="G431" i="2"/>
  <c r="F433" i="2"/>
  <c r="K433" i="2"/>
  <c r="J438" i="2"/>
  <c r="H438" i="2" s="1"/>
  <c r="J440" i="2"/>
  <c r="H440" i="2" s="1"/>
  <c r="I446" i="2"/>
  <c r="G446" i="2"/>
  <c r="F446" i="2"/>
  <c r="K446" i="2" s="1"/>
  <c r="K452" i="2"/>
  <c r="J464" i="2"/>
  <c r="H464" i="2" s="1"/>
  <c r="K467" i="2"/>
  <c r="J467" i="2"/>
  <c r="H467" i="2" s="1"/>
  <c r="F467" i="2"/>
  <c r="I467" i="2" s="1"/>
  <c r="G473" i="2"/>
  <c r="G480" i="2"/>
  <c r="J487" i="2"/>
  <c r="H487" i="2" s="1"/>
  <c r="F495" i="2"/>
  <c r="I495" i="2" s="1"/>
  <c r="K502" i="2"/>
  <c r="J502" i="2"/>
  <c r="H502" i="2" s="1"/>
  <c r="K508" i="2"/>
  <c r="J508" i="2"/>
  <c r="H508" i="2" s="1"/>
  <c r="I508" i="2"/>
  <c r="I511" i="2"/>
  <c r="K511" i="2"/>
  <c r="G511" i="2"/>
  <c r="K520" i="2"/>
  <c r="J520" i="2"/>
  <c r="H520" i="2" s="1"/>
  <c r="K526" i="2"/>
  <c r="J526" i="2"/>
  <c r="H526" i="2" s="1"/>
  <c r="I526" i="2"/>
  <c r="I529" i="2"/>
  <c r="K529" i="2"/>
  <c r="J529" i="2"/>
  <c r="H529" i="2" s="1"/>
  <c r="G529" i="2"/>
  <c r="K538" i="2"/>
  <c r="J538" i="2"/>
  <c r="H538" i="2" s="1"/>
  <c r="K546" i="2"/>
  <c r="J546" i="2"/>
  <c r="H546" i="2" s="1"/>
  <c r="I546" i="2"/>
  <c r="K549" i="2"/>
  <c r="J549" i="2"/>
  <c r="H549" i="2" s="1"/>
  <c r="G549" i="2"/>
  <c r="K556" i="2"/>
  <c r="J556" i="2"/>
  <c r="H556" i="2" s="1"/>
  <c r="K562" i="2"/>
  <c r="J562" i="2"/>
  <c r="H562" i="2" s="1"/>
  <c r="I562" i="2"/>
  <c r="G565" i="2"/>
  <c r="K572" i="2"/>
  <c r="J572" i="2"/>
  <c r="H572" i="2" s="1"/>
  <c r="K578" i="2"/>
  <c r="J578" i="2"/>
  <c r="H578" i="2" s="1"/>
  <c r="I578" i="2"/>
  <c r="G593" i="2"/>
  <c r="F593" i="2"/>
  <c r="K593" i="2" s="1"/>
  <c r="G604" i="2"/>
  <c r="G277" i="2"/>
  <c r="G287" i="2"/>
  <c r="G297" i="2"/>
  <c r="G305" i="2"/>
  <c r="I309" i="2"/>
  <c r="G315" i="2"/>
  <c r="J318" i="2"/>
  <c r="H318" i="2" s="1"/>
  <c r="K320" i="2"/>
  <c r="G321" i="2"/>
  <c r="J323" i="2"/>
  <c r="H323" i="2" s="1"/>
  <c r="G328" i="2"/>
  <c r="I329" i="2"/>
  <c r="J334" i="2"/>
  <c r="H334" i="2" s="1"/>
  <c r="I336" i="2"/>
  <c r="G337" i="2"/>
  <c r="I338" i="2"/>
  <c r="F343" i="2"/>
  <c r="K343" i="2"/>
  <c r="I349" i="2"/>
  <c r="J353" i="2"/>
  <c r="H353" i="2" s="1"/>
  <c r="F358" i="2"/>
  <c r="J358" i="2" s="1"/>
  <c r="H358" i="2" s="1"/>
  <c r="J359" i="2"/>
  <c r="H359" i="2" s="1"/>
  <c r="F361" i="2"/>
  <c r="K361" i="2"/>
  <c r="I364" i="2"/>
  <c r="F369" i="2"/>
  <c r="F372" i="2"/>
  <c r="I372" i="2" s="1"/>
  <c r="K373" i="2"/>
  <c r="I377" i="2"/>
  <c r="G379" i="2"/>
  <c r="I380" i="2"/>
  <c r="F384" i="2"/>
  <c r="J384" i="2" s="1"/>
  <c r="H384" i="2" s="1"/>
  <c r="K384" i="2"/>
  <c r="K385" i="2"/>
  <c r="K388" i="2"/>
  <c r="G392" i="2"/>
  <c r="K394" i="2"/>
  <c r="J395" i="2"/>
  <c r="H395" i="2" s="1"/>
  <c r="F397" i="2"/>
  <c r="J397" i="2" s="1"/>
  <c r="H397" i="2" s="1"/>
  <c r="K397" i="2"/>
  <c r="K398" i="2"/>
  <c r="K403" i="2"/>
  <c r="G405" i="2"/>
  <c r="J421" i="2"/>
  <c r="H421" i="2" s="1"/>
  <c r="G421" i="2"/>
  <c r="I422" i="2"/>
  <c r="J425" i="2"/>
  <c r="H425" i="2" s="1"/>
  <c r="I429" i="2"/>
  <c r="G433" i="2"/>
  <c r="J439" i="2"/>
  <c r="H439" i="2" s="1"/>
  <c r="G439" i="2"/>
  <c r="F441" i="2"/>
  <c r="K441" i="2" s="1"/>
  <c r="I442" i="2"/>
  <c r="J444" i="2"/>
  <c r="H444" i="2" s="1"/>
  <c r="K450" i="2"/>
  <c r="F458" i="2"/>
  <c r="J458" i="2" s="1"/>
  <c r="H458" i="2" s="1"/>
  <c r="F462" i="2"/>
  <c r="J462" i="2" s="1"/>
  <c r="H462" i="2" s="1"/>
  <c r="G467" i="2"/>
  <c r="F473" i="2"/>
  <c r="K473" i="2" s="1"/>
  <c r="G493" i="2"/>
  <c r="F493" i="2"/>
  <c r="I493" i="2" s="1"/>
  <c r="K493" i="2"/>
  <c r="I502" i="2"/>
  <c r="F511" i="2"/>
  <c r="J511" i="2" s="1"/>
  <c r="H511" i="2" s="1"/>
  <c r="I520" i="2"/>
  <c r="F529" i="2"/>
  <c r="I538" i="2"/>
  <c r="F549" i="2"/>
  <c r="I549" i="2" s="1"/>
  <c r="I556" i="2"/>
  <c r="F565" i="2"/>
  <c r="I565" i="2" s="1"/>
  <c r="I572" i="2"/>
  <c r="J590" i="2"/>
  <c r="H590" i="2" s="1"/>
  <c r="F600" i="2"/>
  <c r="J600" i="2" s="1"/>
  <c r="H600" i="2" s="1"/>
  <c r="I600" i="2"/>
  <c r="G600" i="2"/>
  <c r="F604" i="2"/>
  <c r="K604" i="2" s="1"/>
  <c r="J309" i="2"/>
  <c r="H309" i="2" s="1"/>
  <c r="I315" i="2"/>
  <c r="K318" i="2"/>
  <c r="I322" i="2"/>
  <c r="K323" i="2"/>
  <c r="K329" i="2"/>
  <c r="I333" i="2"/>
  <c r="K334" i="2"/>
  <c r="J338" i="2"/>
  <c r="H338" i="2" s="1"/>
  <c r="I346" i="2"/>
  <c r="F346" i="2"/>
  <c r="K359" i="2"/>
  <c r="J364" i="2"/>
  <c r="H364" i="2" s="1"/>
  <c r="F366" i="2"/>
  <c r="I366" i="2" s="1"/>
  <c r="I367" i="2"/>
  <c r="I370" i="2"/>
  <c r="I376" i="2"/>
  <c r="F376" i="2"/>
  <c r="J376" i="2" s="1"/>
  <c r="H376" i="2" s="1"/>
  <c r="K376" i="2"/>
  <c r="K377" i="2"/>
  <c r="K380" i="2"/>
  <c r="J382" i="2"/>
  <c r="H382" i="2" s="1"/>
  <c r="F389" i="2"/>
  <c r="J389" i="2" s="1"/>
  <c r="H389" i="2" s="1"/>
  <c r="K389" i="2"/>
  <c r="K395" i="2"/>
  <c r="J400" i="2"/>
  <c r="H400" i="2" s="1"/>
  <c r="J411" i="2"/>
  <c r="H411" i="2" s="1"/>
  <c r="G411" i="2"/>
  <c r="I412" i="2"/>
  <c r="K431" i="2"/>
  <c r="I433" i="2"/>
  <c r="F443" i="2"/>
  <c r="K443" i="2"/>
  <c r="J448" i="2"/>
  <c r="H448" i="2" s="1"/>
  <c r="K453" i="2"/>
  <c r="J453" i="2"/>
  <c r="H453" i="2" s="1"/>
  <c r="I453" i="2"/>
  <c r="K474" i="2"/>
  <c r="F474" i="2"/>
  <c r="I474" i="2" s="1"/>
  <c r="K527" i="2"/>
  <c r="J539" i="2"/>
  <c r="H539" i="2" s="1"/>
  <c r="F256" i="2"/>
  <c r="F264" i="2"/>
  <c r="F272" i="2"/>
  <c r="K272" i="2" s="1"/>
  <c r="I277" i="2"/>
  <c r="F282" i="2"/>
  <c r="K282" i="2" s="1"/>
  <c r="I287" i="2"/>
  <c r="F292" i="2"/>
  <c r="K292" i="2" s="1"/>
  <c r="I297" i="2"/>
  <c r="F302" i="2"/>
  <c r="K302" i="2" s="1"/>
  <c r="I305" i="2"/>
  <c r="F312" i="2"/>
  <c r="J315" i="2"/>
  <c r="H315" i="2" s="1"/>
  <c r="J319" i="2"/>
  <c r="H319" i="2" s="1"/>
  <c r="G320" i="2"/>
  <c r="J322" i="2"/>
  <c r="H322" i="2" s="1"/>
  <c r="J328" i="2"/>
  <c r="H328" i="2" s="1"/>
  <c r="K330" i="2"/>
  <c r="J333" i="2"/>
  <c r="H333" i="2" s="1"/>
  <c r="G336" i="2"/>
  <c r="I337" i="2"/>
  <c r="G346" i="2"/>
  <c r="G349" i="2"/>
  <c r="I352" i="2"/>
  <c r="F354" i="2"/>
  <c r="J357" i="2"/>
  <c r="H357" i="2" s="1"/>
  <c r="G357" i="2"/>
  <c r="K364" i="2"/>
  <c r="G366" i="2"/>
  <c r="K367" i="2"/>
  <c r="K370" i="2"/>
  <c r="J372" i="2"/>
  <c r="H372" i="2" s="1"/>
  <c r="G376" i="2"/>
  <c r="K378" i="2"/>
  <c r="J379" i="2"/>
  <c r="H379" i="2" s="1"/>
  <c r="F381" i="2"/>
  <c r="K381" i="2"/>
  <c r="K387" i="2"/>
  <c r="G389" i="2"/>
  <c r="J401" i="2"/>
  <c r="H401" i="2" s="1"/>
  <c r="G401" i="2"/>
  <c r="J405" i="2"/>
  <c r="H405" i="2" s="1"/>
  <c r="F411" i="2"/>
  <c r="G418" i="2"/>
  <c r="I418" i="2"/>
  <c r="F423" i="2"/>
  <c r="I423" i="2" s="1"/>
  <c r="K430" i="2"/>
  <c r="J433" i="2"/>
  <c r="H433" i="2" s="1"/>
  <c r="I439" i="2"/>
  <c r="G443" i="2"/>
  <c r="J447" i="2"/>
  <c r="H447" i="2" s="1"/>
  <c r="G447" i="2"/>
  <c r="I449" i="2"/>
  <c r="K449" i="2"/>
  <c r="J449" i="2"/>
  <c r="H449" i="2" s="1"/>
  <c r="F449" i="2"/>
  <c r="G463" i="2"/>
  <c r="F463" i="2"/>
  <c r="I463" i="2" s="1"/>
  <c r="G474" i="2"/>
  <c r="K481" i="2"/>
  <c r="J481" i="2"/>
  <c r="H481" i="2" s="1"/>
  <c r="G488" i="2"/>
  <c r="F488" i="2"/>
  <c r="J488" i="2" s="1"/>
  <c r="H488" i="2" s="1"/>
  <c r="J498" i="2"/>
  <c r="H498" i="2" s="1"/>
  <c r="I498" i="2"/>
  <c r="J514" i="2"/>
  <c r="H514" i="2" s="1"/>
  <c r="I514" i="2"/>
  <c r="J532" i="2"/>
  <c r="H532" i="2" s="1"/>
  <c r="I532" i="2"/>
  <c r="J552" i="2"/>
  <c r="H552" i="2" s="1"/>
  <c r="I552" i="2"/>
  <c r="J568" i="2"/>
  <c r="H568" i="2" s="1"/>
  <c r="I568" i="2"/>
  <c r="K328" i="2"/>
  <c r="K333" i="2"/>
  <c r="K337" i="2"/>
  <c r="K348" i="2"/>
  <c r="K368" i="2"/>
  <c r="F371" i="2"/>
  <c r="K371" i="2"/>
  <c r="K372" i="2"/>
  <c r="K379" i="2"/>
  <c r="I389" i="2"/>
  <c r="J393" i="2"/>
  <c r="H393" i="2" s="1"/>
  <c r="G393" i="2"/>
  <c r="G406" i="2"/>
  <c r="I406" i="2"/>
  <c r="I413" i="2"/>
  <c r="F413" i="2"/>
  <c r="G428" i="2"/>
  <c r="F428" i="2"/>
  <c r="J428" i="2" s="1"/>
  <c r="H428" i="2" s="1"/>
  <c r="K428" i="2"/>
  <c r="K432" i="2"/>
  <c r="J432" i="2"/>
  <c r="H432" i="2" s="1"/>
  <c r="F454" i="2"/>
  <c r="I454" i="2" s="1"/>
  <c r="G454" i="2"/>
  <c r="K489" i="2"/>
  <c r="J489" i="2"/>
  <c r="H489" i="2" s="1"/>
  <c r="I489" i="2"/>
  <c r="F489" i="2"/>
  <c r="I602" i="2"/>
  <c r="K602" i="2"/>
  <c r="J602" i="2"/>
  <c r="H602" i="2" s="1"/>
  <c r="F612" i="2"/>
  <c r="K612" i="2" s="1"/>
  <c r="I612" i="2"/>
  <c r="G612" i="2"/>
  <c r="I426" i="2"/>
  <c r="I434" i="2"/>
  <c r="I444" i="2"/>
  <c r="K456" i="2"/>
  <c r="K461" i="2"/>
  <c r="I464" i="2"/>
  <c r="K472" i="2"/>
  <c r="I482" i="2"/>
  <c r="K491" i="2"/>
  <c r="K494" i="2"/>
  <c r="K498" i="2"/>
  <c r="F505" i="2"/>
  <c r="I505" i="2" s="1"/>
  <c r="K507" i="2"/>
  <c r="K510" i="2"/>
  <c r="K514" i="2"/>
  <c r="F523" i="2"/>
  <c r="I523" i="2" s="1"/>
  <c r="K525" i="2"/>
  <c r="K528" i="2"/>
  <c r="K532" i="2"/>
  <c r="F543" i="2"/>
  <c r="I543" i="2" s="1"/>
  <c r="K545" i="2"/>
  <c r="K548" i="2"/>
  <c r="K552" i="2"/>
  <c r="F559" i="2"/>
  <c r="K559" i="2" s="1"/>
  <c r="K561" i="2"/>
  <c r="K564" i="2"/>
  <c r="K568" i="2"/>
  <c r="F575" i="2"/>
  <c r="K577" i="2"/>
  <c r="J622" i="2"/>
  <c r="H622" i="2" s="1"/>
  <c r="G622" i="2"/>
  <c r="F622" i="2"/>
  <c r="K622" i="2" s="1"/>
  <c r="K694" i="2"/>
  <c r="G694" i="2"/>
  <c r="J694" i="2"/>
  <c r="H694" i="2" s="1"/>
  <c r="I694" i="2"/>
  <c r="F694" i="2"/>
  <c r="J636" i="2"/>
  <c r="H636" i="2" s="1"/>
  <c r="I636" i="2"/>
  <c r="K761" i="2"/>
  <c r="I761" i="2"/>
  <c r="K451" i="2"/>
  <c r="I465" i="2"/>
  <c r="K468" i="2"/>
  <c r="J476" i="2"/>
  <c r="H476" i="2" s="1"/>
  <c r="G483" i="2"/>
  <c r="F483" i="2"/>
  <c r="K497" i="2"/>
  <c r="J497" i="2"/>
  <c r="H497" i="2" s="1"/>
  <c r="J499" i="2"/>
  <c r="H499" i="2" s="1"/>
  <c r="G501" i="2"/>
  <c r="F501" i="2"/>
  <c r="K513" i="2"/>
  <c r="J513" i="2"/>
  <c r="H513" i="2" s="1"/>
  <c r="J517" i="2"/>
  <c r="H517" i="2" s="1"/>
  <c r="G519" i="2"/>
  <c r="F519" i="2"/>
  <c r="K531" i="2"/>
  <c r="J531" i="2"/>
  <c r="H531" i="2" s="1"/>
  <c r="J535" i="2"/>
  <c r="H535" i="2" s="1"/>
  <c r="G537" i="2"/>
  <c r="F537" i="2"/>
  <c r="K551" i="2"/>
  <c r="J551" i="2"/>
  <c r="H551" i="2" s="1"/>
  <c r="J553" i="2"/>
  <c r="H553" i="2" s="1"/>
  <c r="G555" i="2"/>
  <c r="F555" i="2"/>
  <c r="K567" i="2"/>
  <c r="J567" i="2"/>
  <c r="H567" i="2" s="1"/>
  <c r="J569" i="2"/>
  <c r="H569" i="2" s="1"/>
  <c r="G571" i="2"/>
  <c r="F571" i="2"/>
  <c r="I580" i="2"/>
  <c r="G580" i="2"/>
  <c r="K584" i="2"/>
  <c r="J584" i="2"/>
  <c r="H584" i="2" s="1"/>
  <c r="I584" i="2"/>
  <c r="K586" i="2"/>
  <c r="K588" i="2"/>
  <c r="J591" i="2"/>
  <c r="H591" i="2" s="1"/>
  <c r="I626" i="2"/>
  <c r="G626" i="2"/>
  <c r="F626" i="2"/>
  <c r="J626" i="2" s="1"/>
  <c r="H626" i="2" s="1"/>
  <c r="K626" i="2"/>
  <c r="F638" i="2"/>
  <c r="K638" i="2" s="1"/>
  <c r="G638" i="2"/>
  <c r="K490" i="2"/>
  <c r="K506" i="2"/>
  <c r="K524" i="2"/>
  <c r="K544" i="2"/>
  <c r="K560" i="2"/>
  <c r="K576" i="2"/>
  <c r="G589" i="2"/>
  <c r="F589" i="2"/>
  <c r="I589" i="2" s="1"/>
  <c r="K589" i="2"/>
  <c r="K605" i="2"/>
  <c r="J605" i="2"/>
  <c r="H605" i="2" s="1"/>
  <c r="I605" i="2"/>
  <c r="F605" i="2"/>
  <c r="K636" i="2"/>
  <c r="K656" i="2"/>
  <c r="J656" i="2"/>
  <c r="H656" i="2" s="1"/>
  <c r="I656" i="2"/>
  <c r="F689" i="2"/>
  <c r="I689" i="2" s="1"/>
  <c r="K689" i="2"/>
  <c r="J689" i="2"/>
  <c r="H689" i="2" s="1"/>
  <c r="G689" i="2"/>
  <c r="K701" i="2"/>
  <c r="J701" i="2"/>
  <c r="H701" i="2" s="1"/>
  <c r="I701" i="2"/>
  <c r="G716" i="2"/>
  <c r="K716" i="2"/>
  <c r="J716" i="2"/>
  <c r="H716" i="2" s="1"/>
  <c r="F716" i="2"/>
  <c r="I716" i="2" s="1"/>
  <c r="I728" i="2"/>
  <c r="G728" i="2"/>
  <c r="F728" i="2"/>
  <c r="K728" i="2" s="1"/>
  <c r="G785" i="2"/>
  <c r="F785" i="2"/>
  <c r="K785" i="2" s="1"/>
  <c r="K459" i="2"/>
  <c r="I487" i="2"/>
  <c r="I503" i="2"/>
  <c r="I573" i="2"/>
  <c r="G601" i="2"/>
  <c r="J601" i="2"/>
  <c r="H601" i="2" s="1"/>
  <c r="F601" i="2"/>
  <c r="I601" i="2" s="1"/>
  <c r="G605" i="2"/>
  <c r="K619" i="2"/>
  <c r="J619" i="2"/>
  <c r="H619" i="2" s="1"/>
  <c r="K631" i="2"/>
  <c r="I631" i="2"/>
  <c r="K642" i="2"/>
  <c r="I642" i="2"/>
  <c r="G642" i="2"/>
  <c r="F642" i="2"/>
  <c r="J642" i="2" s="1"/>
  <c r="H642" i="2" s="1"/>
  <c r="K659" i="2"/>
  <c r="J659" i="2"/>
  <c r="H659" i="2" s="1"/>
  <c r="G659" i="2"/>
  <c r="F659" i="2"/>
  <c r="I659" i="2" s="1"/>
  <c r="G720" i="2"/>
  <c r="F720" i="2"/>
  <c r="K720" i="2" s="1"/>
  <c r="J737" i="2"/>
  <c r="H737" i="2" s="1"/>
  <c r="G737" i="2"/>
  <c r="F737" i="2"/>
  <c r="K737" i="2" s="1"/>
  <c r="F455" i="2"/>
  <c r="F459" i="2"/>
  <c r="I472" i="2"/>
  <c r="F475" i="2"/>
  <c r="I475" i="2" s="1"/>
  <c r="G482" i="2"/>
  <c r="J483" i="2"/>
  <c r="H483" i="2" s="1"/>
  <c r="F487" i="2"/>
  <c r="K487" i="2" s="1"/>
  <c r="G490" i="2"/>
  <c r="I494" i="2"/>
  <c r="J496" i="2"/>
  <c r="H496" i="2" s="1"/>
  <c r="I496" i="2"/>
  <c r="J501" i="2"/>
  <c r="H501" i="2" s="1"/>
  <c r="F503" i="2"/>
  <c r="K503" i="2" s="1"/>
  <c r="G506" i="2"/>
  <c r="I510" i="2"/>
  <c r="J512" i="2"/>
  <c r="H512" i="2" s="1"/>
  <c r="I512" i="2"/>
  <c r="F521" i="2"/>
  <c r="K521" i="2" s="1"/>
  <c r="G524" i="2"/>
  <c r="I528" i="2"/>
  <c r="J530" i="2"/>
  <c r="H530" i="2" s="1"/>
  <c r="I530" i="2"/>
  <c r="J537" i="2"/>
  <c r="H537" i="2" s="1"/>
  <c r="F539" i="2"/>
  <c r="K539" i="2" s="1"/>
  <c r="G544" i="2"/>
  <c r="I548" i="2"/>
  <c r="J550" i="2"/>
  <c r="H550" i="2" s="1"/>
  <c r="I550" i="2"/>
  <c r="J555" i="2"/>
  <c r="H555" i="2" s="1"/>
  <c r="F557" i="2"/>
  <c r="K557" i="2" s="1"/>
  <c r="G560" i="2"/>
  <c r="I564" i="2"/>
  <c r="J566" i="2"/>
  <c r="H566" i="2" s="1"/>
  <c r="I566" i="2"/>
  <c r="J571" i="2"/>
  <c r="H571" i="2" s="1"/>
  <c r="F573" i="2"/>
  <c r="K573" i="2" s="1"/>
  <c r="G576" i="2"/>
  <c r="K580" i="2"/>
  <c r="K594" i="2"/>
  <c r="K615" i="2"/>
  <c r="I615" i="2"/>
  <c r="G615" i="2"/>
  <c r="J629" i="2"/>
  <c r="H629" i="2" s="1"/>
  <c r="I629" i="2"/>
  <c r="J631" i="2"/>
  <c r="H631" i="2" s="1"/>
  <c r="K505" i="2"/>
  <c r="J505" i="2"/>
  <c r="H505" i="2" s="1"/>
  <c r="G509" i="2"/>
  <c r="F509" i="2"/>
  <c r="K509" i="2" s="1"/>
  <c r="J523" i="2"/>
  <c r="H523" i="2" s="1"/>
  <c r="G527" i="2"/>
  <c r="F527" i="2"/>
  <c r="K543" i="2"/>
  <c r="J543" i="2"/>
  <c r="H543" i="2" s="1"/>
  <c r="G547" i="2"/>
  <c r="F547" i="2"/>
  <c r="K547" i="2" s="1"/>
  <c r="J559" i="2"/>
  <c r="H559" i="2" s="1"/>
  <c r="G563" i="2"/>
  <c r="F563" i="2"/>
  <c r="K575" i="2"/>
  <c r="J575" i="2"/>
  <c r="H575" i="2" s="1"/>
  <c r="G579" i="2"/>
  <c r="F579" i="2"/>
  <c r="J583" i="2"/>
  <c r="H583" i="2" s="1"/>
  <c r="I583" i="2"/>
  <c r="K585" i="2"/>
  <c r="J585" i="2"/>
  <c r="H585" i="2" s="1"/>
  <c r="G585" i="2"/>
  <c r="I590" i="2"/>
  <c r="G590" i="2"/>
  <c r="K592" i="2"/>
  <c r="F592" i="2"/>
  <c r="I592" i="2" s="1"/>
  <c r="G599" i="2"/>
  <c r="F599" i="2"/>
  <c r="J599" i="2" s="1"/>
  <c r="H599" i="2" s="1"/>
  <c r="G611" i="2"/>
  <c r="J611" i="2"/>
  <c r="H611" i="2" s="1"/>
  <c r="I611" i="2"/>
  <c r="K632" i="2"/>
  <c r="J632" i="2"/>
  <c r="H632" i="2" s="1"/>
  <c r="G649" i="2"/>
  <c r="F649" i="2"/>
  <c r="K649" i="2" s="1"/>
  <c r="K672" i="2"/>
  <c r="J672" i="2"/>
  <c r="H672" i="2" s="1"/>
  <c r="I672" i="2"/>
  <c r="G677" i="2"/>
  <c r="F677" i="2"/>
  <c r="I677" i="2" s="1"/>
  <c r="I707" i="2"/>
  <c r="J653" i="2"/>
  <c r="H653" i="2" s="1"/>
  <c r="G657" i="2"/>
  <c r="F657" i="2"/>
  <c r="K669" i="2"/>
  <c r="J669" i="2"/>
  <c r="H669" i="2" s="1"/>
  <c r="G673" i="2"/>
  <c r="F673" i="2"/>
  <c r="G680" i="2"/>
  <c r="K680" i="2"/>
  <c r="J685" i="2"/>
  <c r="H685" i="2" s="1"/>
  <c r="G685" i="2"/>
  <c r="F685" i="2"/>
  <c r="I687" i="2"/>
  <c r="F699" i="2"/>
  <c r="I699" i="2" s="1"/>
  <c r="K699" i="2"/>
  <c r="J699" i="2"/>
  <c r="H699" i="2" s="1"/>
  <c r="K704" i="2"/>
  <c r="G704" i="2"/>
  <c r="J709" i="2"/>
  <c r="H709" i="2" s="1"/>
  <c r="G723" i="2"/>
  <c r="F723" i="2"/>
  <c r="I723" i="2" s="1"/>
  <c r="K727" i="2"/>
  <c r="J727" i="2"/>
  <c r="H727" i="2" s="1"/>
  <c r="G727" i="2"/>
  <c r="F727" i="2"/>
  <c r="I727" i="2" s="1"/>
  <c r="I744" i="2"/>
  <c r="K744" i="2"/>
  <c r="G744" i="2"/>
  <c r="F744" i="2"/>
  <c r="J744" i="2" s="1"/>
  <c r="H744" i="2" s="1"/>
  <c r="G760" i="2"/>
  <c r="K760" i="2"/>
  <c r="F760" i="2"/>
  <c r="I760" i="2" s="1"/>
  <c r="G821" i="2"/>
  <c r="F821" i="2"/>
  <c r="K821" i="2" s="1"/>
  <c r="J867" i="2"/>
  <c r="H867" i="2" s="1"/>
  <c r="K867" i="2"/>
  <c r="I867" i="2"/>
  <c r="K970" i="2"/>
  <c r="J970" i="2"/>
  <c r="H970" i="2" s="1"/>
  <c r="I970" i="2"/>
  <c r="F623" i="2"/>
  <c r="J623" i="2" s="1"/>
  <c r="H623" i="2" s="1"/>
  <c r="G630" i="2"/>
  <c r="F634" i="2"/>
  <c r="J634" i="2" s="1"/>
  <c r="H634" i="2" s="1"/>
  <c r="F639" i="2"/>
  <c r="I639" i="2" s="1"/>
  <c r="F643" i="2"/>
  <c r="K643" i="2" s="1"/>
  <c r="F650" i="2"/>
  <c r="I650" i="2" s="1"/>
  <c r="F653" i="2"/>
  <c r="K653" i="2" s="1"/>
  <c r="K662" i="2"/>
  <c r="I692" i="2"/>
  <c r="G708" i="2"/>
  <c r="K708" i="2"/>
  <c r="K712" i="2"/>
  <c r="G712" i="2"/>
  <c r="G739" i="2"/>
  <c r="F739" i="2"/>
  <c r="K739" i="2" s="1"/>
  <c r="I745" i="2"/>
  <c r="J761" i="2"/>
  <c r="H761" i="2" s="1"/>
  <c r="G803" i="2"/>
  <c r="F803" i="2"/>
  <c r="K803" i="2" s="1"/>
  <c r="K740" i="2"/>
  <c r="J740" i="2"/>
  <c r="H740" i="2" s="1"/>
  <c r="I740" i="2"/>
  <c r="F751" i="2"/>
  <c r="J751" i="2" s="1"/>
  <c r="H751" i="2" s="1"/>
  <c r="K751" i="2"/>
  <c r="G751" i="2"/>
  <c r="K764" i="2"/>
  <c r="J764" i="2"/>
  <c r="H764" i="2" s="1"/>
  <c r="G764" i="2"/>
  <c r="F764" i="2"/>
  <c r="I764" i="2" s="1"/>
  <c r="K815" i="2"/>
  <c r="I815" i="2"/>
  <c r="I832" i="2"/>
  <c r="K832" i="2"/>
  <c r="J832" i="2"/>
  <c r="H832" i="2" s="1"/>
  <c r="G886" i="2"/>
  <c r="F886" i="2"/>
  <c r="I886" i="2" s="1"/>
  <c r="I603" i="2"/>
  <c r="K625" i="2"/>
  <c r="J630" i="2"/>
  <c r="H630" i="2" s="1"/>
  <c r="I634" i="2"/>
  <c r="I643" i="2"/>
  <c r="J650" i="2"/>
  <c r="H650" i="2" s="1"/>
  <c r="F652" i="2"/>
  <c r="I652" i="2" s="1"/>
  <c r="I653" i="2"/>
  <c r="J663" i="2"/>
  <c r="H663" i="2" s="1"/>
  <c r="G665" i="2"/>
  <c r="F665" i="2"/>
  <c r="J666" i="2"/>
  <c r="H666" i="2" s="1"/>
  <c r="F668" i="2"/>
  <c r="J668" i="2" s="1"/>
  <c r="H668" i="2" s="1"/>
  <c r="I669" i="2"/>
  <c r="K673" i="2"/>
  <c r="F679" i="2"/>
  <c r="I679" i="2" s="1"/>
  <c r="K679" i="2"/>
  <c r="J679" i="2"/>
  <c r="H679" i="2" s="1"/>
  <c r="J680" i="2"/>
  <c r="H680" i="2" s="1"/>
  <c r="G686" i="2"/>
  <c r="K687" i="2"/>
  <c r="G700" i="2"/>
  <c r="J703" i="2"/>
  <c r="H703" i="2" s="1"/>
  <c r="G703" i="2"/>
  <c r="F703" i="2"/>
  <c r="J708" i="2"/>
  <c r="H708" i="2" s="1"/>
  <c r="J712" i="2"/>
  <c r="H712" i="2" s="1"/>
  <c r="K797" i="2"/>
  <c r="I797" i="2"/>
  <c r="F883" i="2"/>
  <c r="J883" i="2" s="1"/>
  <c r="H883" i="2" s="1"/>
  <c r="I883" i="2"/>
  <c r="K883" i="2"/>
  <c r="G883" i="2"/>
  <c r="I591" i="2"/>
  <c r="F603" i="2"/>
  <c r="G610" i="2"/>
  <c r="F614" i="2"/>
  <c r="F621" i="2"/>
  <c r="F625" i="2"/>
  <c r="K630" i="2"/>
  <c r="K634" i="2"/>
  <c r="K639" i="2"/>
  <c r="F641" i="2"/>
  <c r="G648" i="2"/>
  <c r="G652" i="2"/>
  <c r="K654" i="2"/>
  <c r="F661" i="2"/>
  <c r="I661" i="2" s="1"/>
  <c r="I662" i="2"/>
  <c r="K666" i="2"/>
  <c r="G668" i="2"/>
  <c r="K670" i="2"/>
  <c r="G679" i="2"/>
  <c r="F686" i="2"/>
  <c r="J688" i="2"/>
  <c r="H688" i="2" s="1"/>
  <c r="F700" i="2"/>
  <c r="K700" i="2" s="1"/>
  <c r="I713" i="2"/>
  <c r="I729" i="2"/>
  <c r="K733" i="2"/>
  <c r="G733" i="2"/>
  <c r="F733" i="2"/>
  <c r="J733" i="2" s="1"/>
  <c r="H733" i="2" s="1"/>
  <c r="K752" i="2"/>
  <c r="I752" i="2"/>
  <c r="K765" i="2"/>
  <c r="J765" i="2"/>
  <c r="H765" i="2" s="1"/>
  <c r="K779" i="2"/>
  <c r="I779" i="2"/>
  <c r="K794" i="2"/>
  <c r="K872" i="2"/>
  <c r="J872" i="2"/>
  <c r="H872" i="2" s="1"/>
  <c r="I872" i="2"/>
  <c r="I613" i="2"/>
  <c r="J624" i="2"/>
  <c r="H624" i="2" s="1"/>
  <c r="K635" i="2"/>
  <c r="I651" i="2"/>
  <c r="J662" i="2"/>
  <c r="H662" i="2" s="1"/>
  <c r="I667" i="2"/>
  <c r="G690" i="2"/>
  <c r="J693" i="2"/>
  <c r="H693" i="2" s="1"/>
  <c r="G693" i="2"/>
  <c r="F693" i="2"/>
  <c r="K693" i="2" s="1"/>
  <c r="G707" i="2"/>
  <c r="F707" i="2"/>
  <c r="K707" i="2"/>
  <c r="J707" i="2"/>
  <c r="H707" i="2" s="1"/>
  <c r="K711" i="2"/>
  <c r="J711" i="2"/>
  <c r="H711" i="2" s="1"/>
  <c r="G711" i="2"/>
  <c r="F711" i="2"/>
  <c r="I711" i="2" s="1"/>
  <c r="F731" i="2"/>
  <c r="J731" i="2" s="1"/>
  <c r="H731" i="2" s="1"/>
  <c r="G731" i="2"/>
  <c r="K755" i="2"/>
  <c r="I755" i="2"/>
  <c r="G755" i="2"/>
  <c r="F755" i="2"/>
  <c r="J755" i="2" s="1"/>
  <c r="H755" i="2" s="1"/>
  <c r="K652" i="2"/>
  <c r="J660" i="2"/>
  <c r="H660" i="2" s="1"/>
  <c r="I660" i="2"/>
  <c r="F690" i="2"/>
  <c r="F697" i="2"/>
  <c r="I702" i="2"/>
  <c r="G715" i="2"/>
  <c r="F715" i="2"/>
  <c r="I715" i="2" s="1"/>
  <c r="J719" i="2"/>
  <c r="H719" i="2" s="1"/>
  <c r="G719" i="2"/>
  <c r="F719" i="2"/>
  <c r="I719" i="2" s="1"/>
  <c r="J736" i="2"/>
  <c r="H736" i="2" s="1"/>
  <c r="K835" i="2"/>
  <c r="I835" i="2"/>
  <c r="F950" i="2"/>
  <c r="I950" i="2" s="1"/>
  <c r="G950" i="2"/>
  <c r="J1011" i="2"/>
  <c r="H1011" i="2" s="1"/>
  <c r="K1011" i="2"/>
  <c r="I1011" i="2"/>
  <c r="I778" i="2"/>
  <c r="F788" i="2"/>
  <c r="J788" i="2" s="1"/>
  <c r="H788" i="2" s="1"/>
  <c r="I796" i="2"/>
  <c r="F806" i="2"/>
  <c r="K806" i="2" s="1"/>
  <c r="F824" i="2"/>
  <c r="K824" i="2"/>
  <c r="J827" i="2"/>
  <c r="H827" i="2" s="1"/>
  <c r="F827" i="2"/>
  <c r="I827" i="2" s="1"/>
  <c r="K829" i="2"/>
  <c r="G891" i="2"/>
  <c r="K891" i="2"/>
  <c r="F891" i="2"/>
  <c r="I891" i="2" s="1"/>
  <c r="K923" i="2"/>
  <c r="I923" i="2"/>
  <c r="K926" i="2"/>
  <c r="J926" i="2"/>
  <c r="H926" i="2" s="1"/>
  <c r="I926" i="2"/>
  <c r="F937" i="2"/>
  <c r="J937" i="2" s="1"/>
  <c r="H937" i="2" s="1"/>
  <c r="I937" i="2"/>
  <c r="K937" i="2"/>
  <c r="G937" i="2"/>
  <c r="K940" i="2"/>
  <c r="J940" i="2"/>
  <c r="H940" i="2" s="1"/>
  <c r="G940" i="2"/>
  <c r="I1018" i="2"/>
  <c r="J1018" i="2"/>
  <c r="H1018" i="2" s="1"/>
  <c r="G1018" i="2"/>
  <c r="F1018" i="2"/>
  <c r="K1018" i="2" s="1"/>
  <c r="I678" i="2"/>
  <c r="K724" i="2"/>
  <c r="I730" i="2"/>
  <c r="I741" i="2"/>
  <c r="K742" i="2"/>
  <c r="K767" i="2"/>
  <c r="F769" i="2"/>
  <c r="K769" i="2" s="1"/>
  <c r="F773" i="2"/>
  <c r="K773" i="2" s="1"/>
  <c r="K776" i="2"/>
  <c r="F778" i="2"/>
  <c r="G788" i="2"/>
  <c r="F793" i="2"/>
  <c r="J793" i="2" s="1"/>
  <c r="H793" i="2" s="1"/>
  <c r="F796" i="2"/>
  <c r="G806" i="2"/>
  <c r="I809" i="2"/>
  <c r="F809" i="2"/>
  <c r="J809" i="2" s="1"/>
  <c r="H809" i="2" s="1"/>
  <c r="F814" i="2"/>
  <c r="I814" i="2" s="1"/>
  <c r="G824" i="2"/>
  <c r="G827" i="2"/>
  <c r="F829" i="2"/>
  <c r="J858" i="2"/>
  <c r="H858" i="2" s="1"/>
  <c r="I858" i="2"/>
  <c r="G858" i="2"/>
  <c r="F875" i="2"/>
  <c r="K875" i="2" s="1"/>
  <c r="K914" i="2"/>
  <c r="F914" i="2"/>
  <c r="J914" i="2"/>
  <c r="H914" i="2" s="1"/>
  <c r="I914" i="2"/>
  <c r="J929" i="2"/>
  <c r="H929" i="2" s="1"/>
  <c r="F940" i="2"/>
  <c r="I940" i="2" s="1"/>
  <c r="G943" i="2"/>
  <c r="F943" i="2"/>
  <c r="K943" i="2" s="1"/>
  <c r="I1007" i="2"/>
  <c r="J1007" i="2"/>
  <c r="H1007" i="2" s="1"/>
  <c r="F684" i="2"/>
  <c r="I684" i="2" s="1"/>
  <c r="F692" i="2"/>
  <c r="F702" i="2"/>
  <c r="F710" i="2"/>
  <c r="F718" i="2"/>
  <c r="F726" i="2"/>
  <c r="K738" i="2"/>
  <c r="J741" i="2"/>
  <c r="H741" i="2" s="1"/>
  <c r="J752" i="2"/>
  <c r="H752" i="2" s="1"/>
  <c r="I754" i="2"/>
  <c r="J763" i="2"/>
  <c r="H763" i="2" s="1"/>
  <c r="G769" i="2"/>
  <c r="K772" i="2"/>
  <c r="G773" i="2"/>
  <c r="J775" i="2"/>
  <c r="H775" i="2" s="1"/>
  <c r="G778" i="2"/>
  <c r="F781" i="2"/>
  <c r="I781" i="2" s="1"/>
  <c r="I782" i="2"/>
  <c r="J784" i="2"/>
  <c r="H784" i="2" s="1"/>
  <c r="G784" i="2"/>
  <c r="J787" i="2"/>
  <c r="H787" i="2" s="1"/>
  <c r="K789" i="2"/>
  <c r="G793" i="2"/>
  <c r="G796" i="2"/>
  <c r="F799" i="2"/>
  <c r="I799" i="2" s="1"/>
  <c r="I800" i="2"/>
  <c r="J802" i="2"/>
  <c r="H802" i="2" s="1"/>
  <c r="G802" i="2"/>
  <c r="J805" i="2"/>
  <c r="H805" i="2" s="1"/>
  <c r="K807" i="2"/>
  <c r="G809" i="2"/>
  <c r="G814" i="2"/>
  <c r="F817" i="2"/>
  <c r="I817" i="2" s="1"/>
  <c r="I818" i="2"/>
  <c r="J820" i="2"/>
  <c r="H820" i="2" s="1"/>
  <c r="G820" i="2"/>
  <c r="J823" i="2"/>
  <c r="H823" i="2" s="1"/>
  <c r="K825" i="2"/>
  <c r="G829" i="2"/>
  <c r="K831" i="2"/>
  <c r="G831" i="2"/>
  <c r="F831" i="2"/>
  <c r="F834" i="2"/>
  <c r="K834" i="2" s="1"/>
  <c r="K837" i="2"/>
  <c r="F852" i="2"/>
  <c r="G852" i="2"/>
  <c r="K854" i="2"/>
  <c r="I854" i="2"/>
  <c r="G854" i="2"/>
  <c r="F858" i="2"/>
  <c r="K858" i="2" s="1"/>
  <c r="G875" i="2"/>
  <c r="J887" i="2"/>
  <c r="H887" i="2" s="1"/>
  <c r="K887" i="2"/>
  <c r="I887" i="2"/>
  <c r="K892" i="2"/>
  <c r="J892" i="2"/>
  <c r="H892" i="2" s="1"/>
  <c r="I892" i="2"/>
  <c r="F901" i="2"/>
  <c r="I901" i="2" s="1"/>
  <c r="K901" i="2"/>
  <c r="J901" i="2"/>
  <c r="H901" i="2" s="1"/>
  <c r="G901" i="2"/>
  <c r="I904" i="2"/>
  <c r="K904" i="2"/>
  <c r="J904" i="2"/>
  <c r="H904" i="2" s="1"/>
  <c r="G904" i="2"/>
  <c r="G914" i="2"/>
  <c r="F929" i="2"/>
  <c r="K929" i="2" s="1"/>
  <c r="G985" i="2"/>
  <c r="F985" i="2"/>
  <c r="I985" i="2" s="1"/>
  <c r="J985" i="2"/>
  <c r="H985" i="2" s="1"/>
  <c r="K985" i="2"/>
  <c r="K1046" i="2"/>
  <c r="J1046" i="2"/>
  <c r="H1046" i="2" s="1"/>
  <c r="I774" i="2"/>
  <c r="J782" i="2"/>
  <c r="H782" i="2" s="1"/>
  <c r="K795" i="2"/>
  <c r="J800" i="2"/>
  <c r="H800" i="2" s="1"/>
  <c r="K813" i="2"/>
  <c r="J818" i="2"/>
  <c r="H818" i="2" s="1"/>
  <c r="I824" i="2"/>
  <c r="K827" i="2"/>
  <c r="I829" i="2"/>
  <c r="G836" i="2"/>
  <c r="F836" i="2"/>
  <c r="K836" i="2" s="1"/>
  <c r="K838" i="2"/>
  <c r="G838" i="2"/>
  <c r="K850" i="2"/>
  <c r="I863" i="2"/>
  <c r="G863" i="2"/>
  <c r="F878" i="2"/>
  <c r="K878" i="2" s="1"/>
  <c r="I878" i="2"/>
  <c r="K895" i="2"/>
  <c r="J895" i="2"/>
  <c r="H895" i="2" s="1"/>
  <c r="I895" i="2"/>
  <c r="K902" i="2"/>
  <c r="G907" i="2"/>
  <c r="F907" i="2"/>
  <c r="I907" i="2" s="1"/>
  <c r="K941" i="2"/>
  <c r="I941" i="2"/>
  <c r="K944" i="2"/>
  <c r="J944" i="2"/>
  <c r="H944" i="2" s="1"/>
  <c r="I944" i="2"/>
  <c r="F955" i="2"/>
  <c r="I955" i="2"/>
  <c r="K955" i="2"/>
  <c r="J955" i="2"/>
  <c r="H955" i="2" s="1"/>
  <c r="G955" i="2"/>
  <c r="I958" i="2"/>
  <c r="K958" i="2"/>
  <c r="J958" i="2"/>
  <c r="H958" i="2" s="1"/>
  <c r="G958" i="2"/>
  <c r="I961" i="2"/>
  <c r="G961" i="2"/>
  <c r="K961" i="2"/>
  <c r="J961" i="2"/>
  <c r="H961" i="2" s="1"/>
  <c r="K968" i="2"/>
  <c r="F968" i="2"/>
  <c r="I968" i="2" s="1"/>
  <c r="G968" i="2"/>
  <c r="J980" i="2"/>
  <c r="H980" i="2" s="1"/>
  <c r="F980" i="2"/>
  <c r="I980" i="2"/>
  <c r="K980" i="2"/>
  <c r="G980" i="2"/>
  <c r="I1135" i="2"/>
  <c r="G1135" i="2"/>
  <c r="F1135" i="2"/>
  <c r="K1135" i="2" s="1"/>
  <c r="K747" i="2"/>
  <c r="I762" i="2"/>
  <c r="J771" i="2"/>
  <c r="H771" i="2" s="1"/>
  <c r="J774" i="2"/>
  <c r="H774" i="2" s="1"/>
  <c r="J778" i="2"/>
  <c r="H778" i="2" s="1"/>
  <c r="F780" i="2"/>
  <c r="K780" i="2"/>
  <c r="I786" i="2"/>
  <c r="J796" i="2"/>
  <c r="H796" i="2" s="1"/>
  <c r="F798" i="2"/>
  <c r="K798" i="2"/>
  <c r="I804" i="2"/>
  <c r="J814" i="2"/>
  <c r="H814" i="2" s="1"/>
  <c r="F816" i="2"/>
  <c r="K816" i="2" s="1"/>
  <c r="J824" i="2"/>
  <c r="H824" i="2" s="1"/>
  <c r="K828" i="2"/>
  <c r="J828" i="2"/>
  <c r="H828" i="2" s="1"/>
  <c r="G828" i="2"/>
  <c r="J829" i="2"/>
  <c r="H829" i="2" s="1"/>
  <c r="I836" i="2"/>
  <c r="F838" i="2"/>
  <c r="J838" i="2" s="1"/>
  <c r="H838" i="2" s="1"/>
  <c r="G840" i="2"/>
  <c r="F840" i="2"/>
  <c r="J840" i="2" s="1"/>
  <c r="H840" i="2" s="1"/>
  <c r="K840" i="2"/>
  <c r="G843" i="2"/>
  <c r="K843" i="2"/>
  <c r="I847" i="2"/>
  <c r="G847" i="2"/>
  <c r="F847" i="2"/>
  <c r="K847" i="2" s="1"/>
  <c r="G849" i="2"/>
  <c r="K859" i="2"/>
  <c r="J859" i="2"/>
  <c r="H859" i="2" s="1"/>
  <c r="I859" i="2"/>
  <c r="F863" i="2"/>
  <c r="J863" i="2" s="1"/>
  <c r="H863" i="2" s="1"/>
  <c r="G866" i="2"/>
  <c r="G878" i="2"/>
  <c r="F933" i="2"/>
  <c r="I933" i="2" s="1"/>
  <c r="J933" i="2"/>
  <c r="H933" i="2" s="1"/>
  <c r="K947" i="2"/>
  <c r="I947" i="2"/>
  <c r="I966" i="2"/>
  <c r="G966" i="2"/>
  <c r="F966" i="2"/>
  <c r="J966" i="2" s="1"/>
  <c r="H966" i="2" s="1"/>
  <c r="K966" i="2"/>
  <c r="K972" i="2"/>
  <c r="I972" i="2"/>
  <c r="F1005" i="2"/>
  <c r="J1005" i="2" s="1"/>
  <c r="H1005" i="2" s="1"/>
  <c r="I732" i="2"/>
  <c r="F742" i="2"/>
  <c r="I743" i="2"/>
  <c r="F747" i="2"/>
  <c r="I747" i="2" s="1"/>
  <c r="F753" i="2"/>
  <c r="F757" i="2"/>
  <c r="I757" i="2" s="1"/>
  <c r="F762" i="2"/>
  <c r="J762" i="2" s="1"/>
  <c r="H762" i="2" s="1"/>
  <c r="G767" i="2"/>
  <c r="I768" i="2"/>
  <c r="F771" i="2"/>
  <c r="I771" i="2" s="1"/>
  <c r="F776" i="2"/>
  <c r="I777" i="2"/>
  <c r="K778" i="2"/>
  <c r="G780" i="2"/>
  <c r="I783" i="2"/>
  <c r="F783" i="2"/>
  <c r="I784" i="2"/>
  <c r="F786" i="2"/>
  <c r="J786" i="2" s="1"/>
  <c r="H786" i="2" s="1"/>
  <c r="K793" i="2"/>
  <c r="G795" i="2"/>
  <c r="K796" i="2"/>
  <c r="G798" i="2"/>
  <c r="J799" i="2"/>
  <c r="H799" i="2" s="1"/>
  <c r="F801" i="2"/>
  <c r="I802" i="2"/>
  <c r="F804" i="2"/>
  <c r="J804" i="2" s="1"/>
  <c r="H804" i="2" s="1"/>
  <c r="K809" i="2"/>
  <c r="G813" i="2"/>
  <c r="K814" i="2"/>
  <c r="G816" i="2"/>
  <c r="I819" i="2"/>
  <c r="F819" i="2"/>
  <c r="I820" i="2"/>
  <c r="F822" i="2"/>
  <c r="J822" i="2" s="1"/>
  <c r="H822" i="2" s="1"/>
  <c r="F828" i="2"/>
  <c r="I828" i="2" s="1"/>
  <c r="I830" i="2"/>
  <c r="J836" i="2"/>
  <c r="H836" i="2" s="1"/>
  <c r="F843" i="2"/>
  <c r="J843" i="2" s="1"/>
  <c r="H843" i="2" s="1"/>
  <c r="F849" i="2"/>
  <c r="K849" i="2" s="1"/>
  <c r="J855" i="2"/>
  <c r="H855" i="2" s="1"/>
  <c r="K864" i="2"/>
  <c r="F866" i="2"/>
  <c r="I866" i="2" s="1"/>
  <c r="G871" i="2"/>
  <c r="K871" i="2"/>
  <c r="J871" i="2"/>
  <c r="H871" i="2" s="1"/>
  <c r="F871" i="2"/>
  <c r="I871" i="2" s="1"/>
  <c r="G895" i="2"/>
  <c r="K905" i="2"/>
  <c r="I905" i="2"/>
  <c r="K908" i="2"/>
  <c r="J908" i="2"/>
  <c r="H908" i="2" s="1"/>
  <c r="I908" i="2"/>
  <c r="F919" i="2"/>
  <c r="I919" i="2"/>
  <c r="K919" i="2"/>
  <c r="J919" i="2"/>
  <c r="H919" i="2" s="1"/>
  <c r="G919" i="2"/>
  <c r="I922" i="2"/>
  <c r="K922" i="2"/>
  <c r="J922" i="2"/>
  <c r="H922" i="2" s="1"/>
  <c r="G922" i="2"/>
  <c r="G933" i="2"/>
  <c r="F947" i="2"/>
  <c r="J947" i="2" s="1"/>
  <c r="H947" i="2" s="1"/>
  <c r="G1005" i="2"/>
  <c r="F1090" i="2"/>
  <c r="I1090" i="2" s="1"/>
  <c r="G1090" i="2"/>
  <c r="I736" i="2"/>
  <c r="J745" i="2"/>
  <c r="H745" i="2" s="1"/>
  <c r="G747" i="2"/>
  <c r="K756" i="2"/>
  <c r="G762" i="2"/>
  <c r="I770" i="2"/>
  <c r="G771" i="2"/>
  <c r="J779" i="2"/>
  <c r="H779" i="2" s="1"/>
  <c r="G786" i="2"/>
  <c r="J794" i="2"/>
  <c r="H794" i="2" s="1"/>
  <c r="G794" i="2"/>
  <c r="I795" i="2"/>
  <c r="J797" i="2"/>
  <c r="H797" i="2" s="1"/>
  <c r="K799" i="2"/>
  <c r="G804" i="2"/>
  <c r="J810" i="2"/>
  <c r="H810" i="2" s="1"/>
  <c r="G810" i="2"/>
  <c r="I813" i="2"/>
  <c r="J815" i="2"/>
  <c r="H815" i="2" s="1"/>
  <c r="G822" i="2"/>
  <c r="J826" i="2"/>
  <c r="H826" i="2" s="1"/>
  <c r="I838" i="2"/>
  <c r="I840" i="2"/>
  <c r="I843" i="2"/>
  <c r="J847" i="2"/>
  <c r="H847" i="2" s="1"/>
  <c r="I849" i="2"/>
  <c r="F898" i="2"/>
  <c r="K898" i="2" s="1"/>
  <c r="K911" i="2"/>
  <c r="J911" i="2"/>
  <c r="H911" i="2" s="1"/>
  <c r="I911" i="2"/>
  <c r="K920" i="2"/>
  <c r="G925" i="2"/>
  <c r="K925" i="2"/>
  <c r="I925" i="2"/>
  <c r="F925" i="2"/>
  <c r="J925" i="2" s="1"/>
  <c r="H925" i="2" s="1"/>
  <c r="G947" i="2"/>
  <c r="K959" i="2"/>
  <c r="I959" i="2"/>
  <c r="I975" i="2"/>
  <c r="G1517" i="2"/>
  <c r="F1517" i="2"/>
  <c r="I1517" i="2" s="1"/>
  <c r="K1517" i="2"/>
  <c r="J835" i="2"/>
  <c r="H835" i="2" s="1"/>
  <c r="I837" i="2"/>
  <c r="J848" i="2"/>
  <c r="H848" i="2" s="1"/>
  <c r="K857" i="2"/>
  <c r="J860" i="2"/>
  <c r="H860" i="2" s="1"/>
  <c r="G874" i="2"/>
  <c r="J874" i="2"/>
  <c r="H874" i="2" s="1"/>
  <c r="K879" i="2"/>
  <c r="G894" i="2"/>
  <c r="J894" i="2"/>
  <c r="H894" i="2" s="1"/>
  <c r="J897" i="2"/>
  <c r="H897" i="2" s="1"/>
  <c r="K899" i="2"/>
  <c r="G910" i="2"/>
  <c r="J910" i="2"/>
  <c r="H910" i="2" s="1"/>
  <c r="J913" i="2"/>
  <c r="H913" i="2" s="1"/>
  <c r="K917" i="2"/>
  <c r="G928" i="2"/>
  <c r="J928" i="2"/>
  <c r="H928" i="2" s="1"/>
  <c r="J931" i="2"/>
  <c r="H931" i="2" s="1"/>
  <c r="K935" i="2"/>
  <c r="G946" i="2"/>
  <c r="J946" i="2"/>
  <c r="H946" i="2" s="1"/>
  <c r="J949" i="2"/>
  <c r="H949" i="2" s="1"/>
  <c r="K951" i="2"/>
  <c r="F963" i="2"/>
  <c r="J963" i="2" s="1"/>
  <c r="H963" i="2" s="1"/>
  <c r="G974" i="2"/>
  <c r="F974" i="2"/>
  <c r="I974" i="2" s="1"/>
  <c r="J982" i="2"/>
  <c r="H982" i="2" s="1"/>
  <c r="G995" i="2"/>
  <c r="K995" i="2"/>
  <c r="J995" i="2"/>
  <c r="H995" i="2" s="1"/>
  <c r="G1000" i="2"/>
  <c r="F1000" i="2"/>
  <c r="K1000" i="2" s="1"/>
  <c r="F1032" i="2"/>
  <c r="I1032" i="2" s="1"/>
  <c r="K1032" i="2"/>
  <c r="J1032" i="2"/>
  <c r="H1032" i="2" s="1"/>
  <c r="G1032" i="2"/>
  <c r="G1049" i="2"/>
  <c r="K1049" i="2"/>
  <c r="J1049" i="2"/>
  <c r="H1049" i="2" s="1"/>
  <c r="I1049" i="2"/>
  <c r="F1061" i="2"/>
  <c r="I1061" i="2" s="1"/>
  <c r="I1097" i="2"/>
  <c r="G1097" i="2"/>
  <c r="F1097" i="2"/>
  <c r="K1097" i="2" s="1"/>
  <c r="J1097" i="2"/>
  <c r="H1097" i="2" s="1"/>
  <c r="K1101" i="2"/>
  <c r="J1101" i="2"/>
  <c r="H1101" i="2" s="1"/>
  <c r="I1101" i="2"/>
  <c r="K1133" i="2"/>
  <c r="J1133" i="2"/>
  <c r="H1133" i="2" s="1"/>
  <c r="K1146" i="2"/>
  <c r="J1146" i="2"/>
  <c r="H1146" i="2" s="1"/>
  <c r="G1146" i="2"/>
  <c r="I1146" i="2"/>
  <c r="F1146" i="2"/>
  <c r="J1197" i="2"/>
  <c r="H1197" i="2" s="1"/>
  <c r="K1197" i="2"/>
  <c r="K865" i="2"/>
  <c r="K885" i="2"/>
  <c r="K903" i="2"/>
  <c r="K921" i="2"/>
  <c r="K939" i="2"/>
  <c r="K957" i="2"/>
  <c r="K965" i="2"/>
  <c r="K976" i="2"/>
  <c r="I976" i="2"/>
  <c r="F976" i="2"/>
  <c r="J976" i="2" s="1"/>
  <c r="H976" i="2" s="1"/>
  <c r="J1016" i="2"/>
  <c r="H1016" i="2" s="1"/>
  <c r="G1016" i="2"/>
  <c r="I1016" i="2"/>
  <c r="F1016" i="2"/>
  <c r="K1016" i="2" s="1"/>
  <c r="K1024" i="2"/>
  <c r="I1024" i="2"/>
  <c r="G1033" i="2"/>
  <c r="J1033" i="2"/>
  <c r="H1033" i="2" s="1"/>
  <c r="K1064" i="2"/>
  <c r="J1064" i="2"/>
  <c r="H1064" i="2" s="1"/>
  <c r="G1088" i="2"/>
  <c r="K1088" i="2"/>
  <c r="F1088" i="2"/>
  <c r="J1088" i="2" s="1"/>
  <c r="H1088" i="2" s="1"/>
  <c r="K1306" i="2"/>
  <c r="J1306" i="2"/>
  <c r="H1306" i="2" s="1"/>
  <c r="I1306" i="2"/>
  <c r="F870" i="2"/>
  <c r="F888" i="2"/>
  <c r="K906" i="2"/>
  <c r="F906" i="2"/>
  <c r="I912" i="2"/>
  <c r="K924" i="2"/>
  <c r="F924" i="2"/>
  <c r="K942" i="2"/>
  <c r="F942" i="2"/>
  <c r="F960" i="2"/>
  <c r="J960" i="2" s="1"/>
  <c r="H960" i="2" s="1"/>
  <c r="J969" i="2"/>
  <c r="H969" i="2" s="1"/>
  <c r="I969" i="2"/>
  <c r="G969" i="2"/>
  <c r="F971" i="2"/>
  <c r="J971" i="2" s="1"/>
  <c r="H971" i="2" s="1"/>
  <c r="G976" i="2"/>
  <c r="F984" i="2"/>
  <c r="J984" i="2" s="1"/>
  <c r="H984" i="2" s="1"/>
  <c r="K984" i="2"/>
  <c r="J990" i="2"/>
  <c r="H990" i="2" s="1"/>
  <c r="K990" i="2"/>
  <c r="G990" i="2"/>
  <c r="F1012" i="2"/>
  <c r="I1012" i="2" s="1"/>
  <c r="K1012" i="2"/>
  <c r="J1012" i="2"/>
  <c r="H1012" i="2" s="1"/>
  <c r="G1012" i="2"/>
  <c r="F1033" i="2"/>
  <c r="K1033" i="2" s="1"/>
  <c r="I1038" i="2"/>
  <c r="G1038" i="2"/>
  <c r="F1038" i="2"/>
  <c r="J1038" i="2" s="1"/>
  <c r="H1038" i="2" s="1"/>
  <c r="K1042" i="2"/>
  <c r="J1042" i="2"/>
  <c r="H1042" i="2" s="1"/>
  <c r="I1042" i="2"/>
  <c r="G1067" i="2"/>
  <c r="G1150" i="2"/>
  <c r="F1150" i="2"/>
  <c r="I1150" i="2" s="1"/>
  <c r="K1150" i="2"/>
  <c r="G1182" i="2"/>
  <c r="F1182" i="2"/>
  <c r="J1182" i="2" s="1"/>
  <c r="H1182" i="2" s="1"/>
  <c r="I853" i="2"/>
  <c r="F856" i="2"/>
  <c r="F861" i="2"/>
  <c r="I862" i="2"/>
  <c r="G865" i="2"/>
  <c r="G870" i="2"/>
  <c r="F873" i="2"/>
  <c r="I873" i="2"/>
  <c r="I874" i="2"/>
  <c r="F876" i="2"/>
  <c r="G885" i="2"/>
  <c r="G888" i="2"/>
  <c r="F893" i="2"/>
  <c r="I893" i="2"/>
  <c r="I894" i="2"/>
  <c r="F896" i="2"/>
  <c r="G903" i="2"/>
  <c r="G906" i="2"/>
  <c r="F909" i="2"/>
  <c r="I909" i="2"/>
  <c r="I910" i="2"/>
  <c r="F912" i="2"/>
  <c r="G921" i="2"/>
  <c r="G924" i="2"/>
  <c r="F927" i="2"/>
  <c r="I928" i="2"/>
  <c r="F930" i="2"/>
  <c r="G939" i="2"/>
  <c r="G942" i="2"/>
  <c r="F945" i="2"/>
  <c r="I945" i="2"/>
  <c r="I946" i="2"/>
  <c r="F948" i="2"/>
  <c r="G957" i="2"/>
  <c r="G960" i="2"/>
  <c r="F969" i="2"/>
  <c r="K969" i="2" s="1"/>
  <c r="G971" i="2"/>
  <c r="I982" i="2"/>
  <c r="G984" i="2"/>
  <c r="F990" i="2"/>
  <c r="I990" i="2" s="1"/>
  <c r="F996" i="2"/>
  <c r="J996" i="2"/>
  <c r="H996" i="2" s="1"/>
  <c r="G998" i="2"/>
  <c r="F998" i="2"/>
  <c r="J998" i="2" s="1"/>
  <c r="H998" i="2" s="1"/>
  <c r="K1004" i="2"/>
  <c r="I1004" i="2"/>
  <c r="I1006" i="2"/>
  <c r="K1017" i="2"/>
  <c r="F1017" i="2"/>
  <c r="I1017" i="2" s="1"/>
  <c r="J1017" i="2"/>
  <c r="H1017" i="2" s="1"/>
  <c r="J1024" i="2"/>
  <c r="H1024" i="2" s="1"/>
  <c r="K1038" i="2"/>
  <c r="G1052" i="2"/>
  <c r="F1052" i="2"/>
  <c r="J1052" i="2" s="1"/>
  <c r="H1052" i="2" s="1"/>
  <c r="F1067" i="2"/>
  <c r="I1067" i="2" s="1"/>
  <c r="I1078" i="2"/>
  <c r="K1173" i="2"/>
  <c r="J1173" i="2"/>
  <c r="H1173" i="2" s="1"/>
  <c r="G1173" i="2"/>
  <c r="F1173" i="2"/>
  <c r="I1173" i="2" s="1"/>
  <c r="J1242" i="2"/>
  <c r="H1242" i="2" s="1"/>
  <c r="G1242" i="2"/>
  <c r="K1242" i="2"/>
  <c r="I1242" i="2"/>
  <c r="I1284" i="2"/>
  <c r="K1284" i="2"/>
  <c r="G1284" i="2"/>
  <c r="F1284" i="2"/>
  <c r="J1284" i="2" s="1"/>
  <c r="H1284" i="2" s="1"/>
  <c r="J830" i="2"/>
  <c r="H830" i="2" s="1"/>
  <c r="K839" i="2"/>
  <c r="I855" i="2"/>
  <c r="G856" i="2"/>
  <c r="G864" i="2"/>
  <c r="J864" i="2"/>
  <c r="H864" i="2" s="1"/>
  <c r="I865" i="2"/>
  <c r="G876" i="2"/>
  <c r="I877" i="2"/>
  <c r="G884" i="2"/>
  <c r="J884" i="2"/>
  <c r="H884" i="2" s="1"/>
  <c r="I885" i="2"/>
  <c r="G896" i="2"/>
  <c r="G902" i="2"/>
  <c r="J902" i="2"/>
  <c r="H902" i="2" s="1"/>
  <c r="I903" i="2"/>
  <c r="J905" i="2"/>
  <c r="H905" i="2" s="1"/>
  <c r="G912" i="2"/>
  <c r="G920" i="2"/>
  <c r="J920" i="2"/>
  <c r="H920" i="2" s="1"/>
  <c r="I921" i="2"/>
  <c r="J923" i="2"/>
  <c r="H923" i="2" s="1"/>
  <c r="G930" i="2"/>
  <c r="G938" i="2"/>
  <c r="J938" i="2"/>
  <c r="H938" i="2" s="1"/>
  <c r="I939" i="2"/>
  <c r="J941" i="2"/>
  <c r="H941" i="2" s="1"/>
  <c r="G948" i="2"/>
  <c r="G956" i="2"/>
  <c r="J956" i="2"/>
  <c r="H956" i="2" s="1"/>
  <c r="I957" i="2"/>
  <c r="J959" i="2"/>
  <c r="H959" i="2" s="1"/>
  <c r="G964" i="2"/>
  <c r="J964" i="2"/>
  <c r="H964" i="2" s="1"/>
  <c r="J975" i="2"/>
  <c r="H975" i="2" s="1"/>
  <c r="I979" i="2"/>
  <c r="K979" i="2"/>
  <c r="J979" i="2"/>
  <c r="H979" i="2" s="1"/>
  <c r="G979" i="2"/>
  <c r="I984" i="2"/>
  <c r="G996" i="2"/>
  <c r="J1010" i="2"/>
  <c r="H1010" i="2" s="1"/>
  <c r="G1013" i="2"/>
  <c r="K1013" i="2"/>
  <c r="J1013" i="2"/>
  <c r="H1013" i="2" s="1"/>
  <c r="G1017" i="2"/>
  <c r="F1025" i="2"/>
  <c r="J1025" i="2" s="1"/>
  <c r="H1025" i="2" s="1"/>
  <c r="K1025" i="2"/>
  <c r="F1043" i="2"/>
  <c r="J1043" i="2" s="1"/>
  <c r="H1043" i="2" s="1"/>
  <c r="K1043" i="2"/>
  <c r="K1103" i="2"/>
  <c r="J1103" i="2"/>
  <c r="H1103" i="2" s="1"/>
  <c r="K1193" i="2"/>
  <c r="J1193" i="2"/>
  <c r="H1193" i="2" s="1"/>
  <c r="G1193" i="2"/>
  <c r="F1193" i="2"/>
  <c r="I1193" i="2"/>
  <c r="G1211" i="2"/>
  <c r="F1211" i="2"/>
  <c r="K1211" i="2" s="1"/>
  <c r="F991" i="2"/>
  <c r="J991" i="2" s="1"/>
  <c r="H991" i="2" s="1"/>
  <c r="I991" i="2"/>
  <c r="F999" i="2"/>
  <c r="I999" i="2" s="1"/>
  <c r="J1036" i="2"/>
  <c r="H1036" i="2" s="1"/>
  <c r="G1036" i="2"/>
  <c r="F1036" i="2"/>
  <c r="I1036" i="2" s="1"/>
  <c r="F1082" i="2"/>
  <c r="K1082" i="2"/>
  <c r="J1082" i="2"/>
  <c r="H1082" i="2" s="1"/>
  <c r="I1082" i="2"/>
  <c r="K1129" i="2"/>
  <c r="J972" i="2"/>
  <c r="H972" i="2" s="1"/>
  <c r="I989" i="2"/>
  <c r="K1007" i="2"/>
  <c r="K1027" i="2"/>
  <c r="K1029" i="2"/>
  <c r="K1045" i="2"/>
  <c r="K1063" i="2"/>
  <c r="K1069" i="2"/>
  <c r="I1069" i="2"/>
  <c r="G1069" i="2"/>
  <c r="F1069" i="2"/>
  <c r="J1069" i="2" s="1"/>
  <c r="H1069" i="2" s="1"/>
  <c r="K1073" i="2"/>
  <c r="J1073" i="2"/>
  <c r="H1073" i="2" s="1"/>
  <c r="I1075" i="2"/>
  <c r="F1092" i="2"/>
  <c r="I1092" i="2" s="1"/>
  <c r="K1107" i="2"/>
  <c r="I1107" i="2"/>
  <c r="G1107" i="2"/>
  <c r="F1107" i="2"/>
  <c r="J1107" i="2" s="1"/>
  <c r="H1107" i="2" s="1"/>
  <c r="K1111" i="2"/>
  <c r="J1111" i="2"/>
  <c r="H1111" i="2" s="1"/>
  <c r="I1113" i="2"/>
  <c r="K1119" i="2"/>
  <c r="I1125" i="2"/>
  <c r="K1155" i="2"/>
  <c r="G1167" i="2"/>
  <c r="F1167" i="2"/>
  <c r="I1167" i="2" s="1"/>
  <c r="K1174" i="2"/>
  <c r="J1202" i="2"/>
  <c r="H1202" i="2" s="1"/>
  <c r="G1202" i="2"/>
  <c r="K1202" i="2"/>
  <c r="I1202" i="2"/>
  <c r="J1223" i="2"/>
  <c r="H1223" i="2" s="1"/>
  <c r="K1223" i="2"/>
  <c r="I1223" i="2"/>
  <c r="K1235" i="2"/>
  <c r="J1235" i="2"/>
  <c r="H1235" i="2" s="1"/>
  <c r="F1048" i="2"/>
  <c r="K1048" i="2"/>
  <c r="F1066" i="2"/>
  <c r="K1066" i="2" s="1"/>
  <c r="G1098" i="2"/>
  <c r="F1100" i="2"/>
  <c r="J1100" i="2"/>
  <c r="H1100" i="2" s="1"/>
  <c r="I1100" i="2"/>
  <c r="G1127" i="2"/>
  <c r="F1127" i="2"/>
  <c r="K1127" i="2" s="1"/>
  <c r="J1136" i="2"/>
  <c r="H1136" i="2" s="1"/>
  <c r="G1136" i="2"/>
  <c r="G1142" i="2"/>
  <c r="F1142" i="2"/>
  <c r="K1142" i="2" s="1"/>
  <c r="K1209" i="2"/>
  <c r="K1250" i="2"/>
  <c r="I1250" i="2"/>
  <c r="J1250" i="2"/>
  <c r="H1250" i="2" s="1"/>
  <c r="K981" i="2"/>
  <c r="F997" i="2"/>
  <c r="K997" i="2" s="1"/>
  <c r="I1015" i="2"/>
  <c r="F1015" i="2"/>
  <c r="K1015" i="2" s="1"/>
  <c r="F1035" i="2"/>
  <c r="K1035" i="2" s="1"/>
  <c r="G1048" i="2"/>
  <c r="I1051" i="2"/>
  <c r="F1051" i="2"/>
  <c r="K1051" i="2" s="1"/>
  <c r="F1054" i="2"/>
  <c r="K1054" i="2" s="1"/>
  <c r="G1066" i="2"/>
  <c r="K1077" i="2"/>
  <c r="I1077" i="2"/>
  <c r="G1077" i="2"/>
  <c r="F1077" i="2"/>
  <c r="K1081" i="2"/>
  <c r="J1081" i="2"/>
  <c r="H1081" i="2" s="1"/>
  <c r="I1083" i="2"/>
  <c r="F1098" i="2"/>
  <c r="I1098" i="2" s="1"/>
  <c r="G1100" i="2"/>
  <c r="F1102" i="2"/>
  <c r="K1102" i="2"/>
  <c r="G1117" i="2"/>
  <c r="F1117" i="2"/>
  <c r="K1117" i="2" s="1"/>
  <c r="J1125" i="2"/>
  <c r="H1125" i="2" s="1"/>
  <c r="F1136" i="2"/>
  <c r="I1136" i="2" s="1"/>
  <c r="I1142" i="2"/>
  <c r="J1006" i="2"/>
  <c r="H1006" i="2" s="1"/>
  <c r="G1006" i="2"/>
  <c r="J1026" i="2"/>
  <c r="H1026" i="2" s="1"/>
  <c r="G1026" i="2"/>
  <c r="G1044" i="2"/>
  <c r="G1054" i="2"/>
  <c r="I1060" i="2"/>
  <c r="G1062" i="2"/>
  <c r="J1070" i="2"/>
  <c r="H1070" i="2" s="1"/>
  <c r="G1070" i="2"/>
  <c r="F1072" i="2"/>
  <c r="K1072" i="2" s="1"/>
  <c r="J1072" i="2"/>
  <c r="H1072" i="2" s="1"/>
  <c r="I1072" i="2"/>
  <c r="J1075" i="2"/>
  <c r="H1075" i="2" s="1"/>
  <c r="G1102" i="2"/>
  <c r="J1108" i="2"/>
  <c r="H1108" i="2" s="1"/>
  <c r="G1108" i="2"/>
  <c r="F1110" i="2"/>
  <c r="K1110" i="2" s="1"/>
  <c r="J1110" i="2"/>
  <c r="H1110" i="2" s="1"/>
  <c r="J1113" i="2"/>
  <c r="H1113" i="2" s="1"/>
  <c r="J1128" i="2"/>
  <c r="H1128" i="2" s="1"/>
  <c r="G1128" i="2"/>
  <c r="G1132" i="2"/>
  <c r="F1132" i="2"/>
  <c r="K1132" i="2"/>
  <c r="J1142" i="2"/>
  <c r="H1142" i="2" s="1"/>
  <c r="J1153" i="2"/>
  <c r="H1153" i="2" s="1"/>
  <c r="I1153" i="2"/>
  <c r="G1153" i="2"/>
  <c r="F1153" i="2"/>
  <c r="K1153" i="2" s="1"/>
  <c r="G1162" i="2"/>
  <c r="F1162" i="2"/>
  <c r="J1162" i="2" s="1"/>
  <c r="H1162" i="2" s="1"/>
  <c r="K1217" i="2"/>
  <c r="J1217" i="2"/>
  <c r="H1217" i="2" s="1"/>
  <c r="K1231" i="2"/>
  <c r="J1231" i="2"/>
  <c r="H1231" i="2" s="1"/>
  <c r="G1231" i="2"/>
  <c r="F1231" i="2"/>
  <c r="I1231" i="2" s="1"/>
  <c r="K1037" i="2"/>
  <c r="K1039" i="2"/>
  <c r="F1044" i="2"/>
  <c r="J1045" i="2"/>
  <c r="H1045" i="2" s="1"/>
  <c r="I1048" i="2"/>
  <c r="K1055" i="2"/>
  <c r="J1060" i="2"/>
  <c r="H1060" i="2" s="1"/>
  <c r="F1062" i="2"/>
  <c r="J1063" i="2"/>
  <c r="H1063" i="2" s="1"/>
  <c r="I1066" i="2"/>
  <c r="F1070" i="2"/>
  <c r="K1070" i="2" s="1"/>
  <c r="G1072" i="2"/>
  <c r="F1074" i="2"/>
  <c r="K1074" i="2"/>
  <c r="J1077" i="2"/>
  <c r="H1077" i="2" s="1"/>
  <c r="K1087" i="2"/>
  <c r="I1087" i="2"/>
  <c r="G1087" i="2"/>
  <c r="F1087" i="2"/>
  <c r="J1087" i="2" s="1"/>
  <c r="H1087" i="2" s="1"/>
  <c r="K1091" i="2"/>
  <c r="J1091" i="2"/>
  <c r="H1091" i="2" s="1"/>
  <c r="I1093" i="2"/>
  <c r="K1100" i="2"/>
  <c r="I1102" i="2"/>
  <c r="F1108" i="2"/>
  <c r="K1108" i="2" s="1"/>
  <c r="G1110" i="2"/>
  <c r="F1112" i="2"/>
  <c r="K1112" i="2" s="1"/>
  <c r="F1128" i="2"/>
  <c r="K1128" i="2" s="1"/>
  <c r="I1132" i="2"/>
  <c r="K1137" i="2"/>
  <c r="J1151" i="2"/>
  <c r="H1151" i="2" s="1"/>
  <c r="J1185" i="2"/>
  <c r="H1185" i="2" s="1"/>
  <c r="K1185" i="2"/>
  <c r="K1189" i="2"/>
  <c r="J1205" i="2"/>
  <c r="H1205" i="2" s="1"/>
  <c r="K1205" i="2"/>
  <c r="I1205" i="2"/>
  <c r="J1220" i="2"/>
  <c r="H1220" i="2" s="1"/>
  <c r="G1220" i="2"/>
  <c r="K989" i="2"/>
  <c r="K994" i="2"/>
  <c r="J997" i="2"/>
  <c r="H997" i="2" s="1"/>
  <c r="F1002" i="2"/>
  <c r="K1002" i="2" s="1"/>
  <c r="I1003" i="2"/>
  <c r="I1010" i="2"/>
  <c r="F1022" i="2"/>
  <c r="K1022" i="2" s="1"/>
  <c r="I1023" i="2"/>
  <c r="I1028" i="2"/>
  <c r="F1037" i="2"/>
  <c r="F1040" i="2"/>
  <c r="K1040" i="2" s="1"/>
  <c r="I1041" i="2"/>
  <c r="I1046" i="2"/>
  <c r="J1048" i="2"/>
  <c r="H1048" i="2" s="1"/>
  <c r="J1051" i="2"/>
  <c r="H1051" i="2" s="1"/>
  <c r="F1053" i="2"/>
  <c r="F1056" i="2"/>
  <c r="K1056" i="2" s="1"/>
  <c r="I1057" i="2"/>
  <c r="I1064" i="2"/>
  <c r="J1066" i="2"/>
  <c r="H1066" i="2" s="1"/>
  <c r="I1070" i="2"/>
  <c r="G1074" i="2"/>
  <c r="J1078" i="2"/>
  <c r="H1078" i="2" s="1"/>
  <c r="G1078" i="2"/>
  <c r="F1080" i="2"/>
  <c r="K1080" i="2" s="1"/>
  <c r="J1080" i="2"/>
  <c r="H1080" i="2" s="1"/>
  <c r="I1080" i="2"/>
  <c r="I1081" i="2"/>
  <c r="K1099" i="2"/>
  <c r="J1102" i="2"/>
  <c r="H1102" i="2" s="1"/>
  <c r="I1108" i="2"/>
  <c r="K1118" i="2"/>
  <c r="J1118" i="2"/>
  <c r="H1118" i="2" s="1"/>
  <c r="G1118" i="2"/>
  <c r="G1124" i="2"/>
  <c r="F1124" i="2"/>
  <c r="K1124" i="2"/>
  <c r="I1128" i="2"/>
  <c r="J1132" i="2"/>
  <c r="H1132" i="2" s="1"/>
  <c r="G1145" i="2"/>
  <c r="F1145" i="2"/>
  <c r="K1145" i="2" s="1"/>
  <c r="K1154" i="2"/>
  <c r="J1154" i="2"/>
  <c r="H1154" i="2" s="1"/>
  <c r="G1154" i="2"/>
  <c r="G1160" i="2"/>
  <c r="F1160" i="2"/>
  <c r="K1160" i="2"/>
  <c r="I1163" i="2"/>
  <c r="J1192" i="2"/>
  <c r="H1192" i="2" s="1"/>
  <c r="G1192" i="2"/>
  <c r="F1192" i="2"/>
  <c r="K1192" i="2" s="1"/>
  <c r="F1220" i="2"/>
  <c r="K1220" i="2" s="1"/>
  <c r="G1259" i="2"/>
  <c r="F1259" i="2"/>
  <c r="K1259" i="2" s="1"/>
  <c r="J1259" i="2"/>
  <c r="H1259" i="2" s="1"/>
  <c r="I1259" i="2"/>
  <c r="F1296" i="2"/>
  <c r="I1296" i="2" s="1"/>
  <c r="K1296" i="2"/>
  <c r="J1296" i="2"/>
  <c r="H1296" i="2" s="1"/>
  <c r="G1296" i="2"/>
  <c r="I1120" i="2"/>
  <c r="J1121" i="2"/>
  <c r="H1121" i="2" s="1"/>
  <c r="I1130" i="2"/>
  <c r="J1131" i="2"/>
  <c r="H1131" i="2" s="1"/>
  <c r="I1138" i="2"/>
  <c r="J1141" i="2"/>
  <c r="H1141" i="2" s="1"/>
  <c r="I1148" i="2"/>
  <c r="J1149" i="2"/>
  <c r="H1149" i="2" s="1"/>
  <c r="I1156" i="2"/>
  <c r="J1157" i="2"/>
  <c r="H1157" i="2" s="1"/>
  <c r="J1164" i="2"/>
  <c r="H1164" i="2" s="1"/>
  <c r="I1168" i="2"/>
  <c r="F1176" i="2"/>
  <c r="J1176" i="2" s="1"/>
  <c r="H1176" i="2" s="1"/>
  <c r="I1177" i="2"/>
  <c r="I1184" i="2"/>
  <c r="F1196" i="2"/>
  <c r="J1196" i="2" s="1"/>
  <c r="H1196" i="2" s="1"/>
  <c r="K1196" i="2"/>
  <c r="I1197" i="2"/>
  <c r="I1204" i="2"/>
  <c r="F1214" i="2"/>
  <c r="J1214" i="2" s="1"/>
  <c r="H1214" i="2" s="1"/>
  <c r="K1214" i="2"/>
  <c r="I1217" i="2"/>
  <c r="I1222" i="2"/>
  <c r="J1227" i="2"/>
  <c r="H1227" i="2" s="1"/>
  <c r="F1234" i="2"/>
  <c r="J1234" i="2" s="1"/>
  <c r="H1234" i="2" s="1"/>
  <c r="I1235" i="2"/>
  <c r="G1239" i="2"/>
  <c r="K1239" i="2"/>
  <c r="J1239" i="2"/>
  <c r="H1239" i="2" s="1"/>
  <c r="K1255" i="2"/>
  <c r="I1255" i="2"/>
  <c r="G1255" i="2"/>
  <c r="K1270" i="2"/>
  <c r="J1270" i="2"/>
  <c r="H1270" i="2" s="1"/>
  <c r="I1270" i="2"/>
  <c r="K1273" i="2"/>
  <c r="J1273" i="2"/>
  <c r="H1273" i="2" s="1"/>
  <c r="I1273" i="2"/>
  <c r="G1273" i="2"/>
  <c r="K1282" i="2"/>
  <c r="J1285" i="2"/>
  <c r="H1285" i="2" s="1"/>
  <c r="K1285" i="2"/>
  <c r="I1285" i="2"/>
  <c r="K1315" i="2"/>
  <c r="G1315" i="2"/>
  <c r="J1315" i="2"/>
  <c r="H1315" i="2" s="1"/>
  <c r="F1315" i="2"/>
  <c r="I1315" i="2" s="1"/>
  <c r="F1321" i="2"/>
  <c r="I1321" i="2" s="1"/>
  <c r="J1321" i="2"/>
  <c r="H1321" i="2" s="1"/>
  <c r="G1321" i="2"/>
  <c r="I1071" i="2"/>
  <c r="I1079" i="2"/>
  <c r="I1089" i="2"/>
  <c r="I1099" i="2"/>
  <c r="I1109" i="2"/>
  <c r="I1119" i="2"/>
  <c r="J1120" i="2"/>
  <c r="H1120" i="2" s="1"/>
  <c r="I1129" i="2"/>
  <c r="J1130" i="2"/>
  <c r="H1130" i="2" s="1"/>
  <c r="I1137" i="2"/>
  <c r="J1138" i="2"/>
  <c r="H1138" i="2" s="1"/>
  <c r="I1147" i="2"/>
  <c r="J1148" i="2"/>
  <c r="H1148" i="2" s="1"/>
  <c r="I1155" i="2"/>
  <c r="J1156" i="2"/>
  <c r="H1156" i="2" s="1"/>
  <c r="I1161" i="2"/>
  <c r="J1172" i="2"/>
  <c r="H1172" i="2" s="1"/>
  <c r="F1181" i="2"/>
  <c r="J1181" i="2" s="1"/>
  <c r="H1181" i="2" s="1"/>
  <c r="F1201" i="2"/>
  <c r="J1201" i="2" s="1"/>
  <c r="H1201" i="2" s="1"/>
  <c r="I1219" i="2"/>
  <c r="F1219" i="2"/>
  <c r="J1219" i="2" s="1"/>
  <c r="H1219" i="2" s="1"/>
  <c r="I1237" i="2"/>
  <c r="G1237" i="2"/>
  <c r="F1237" i="2"/>
  <c r="K1237" i="2" s="1"/>
  <c r="K1243" i="2"/>
  <c r="F1243" i="2"/>
  <c r="J1243" i="2" s="1"/>
  <c r="H1243" i="2" s="1"/>
  <c r="J1247" i="2"/>
  <c r="H1247" i="2" s="1"/>
  <c r="I1247" i="2"/>
  <c r="J1257" i="2"/>
  <c r="H1257" i="2" s="1"/>
  <c r="I1257" i="2"/>
  <c r="G1302" i="2"/>
  <c r="F1302" i="2"/>
  <c r="I1302" i="2" s="1"/>
  <c r="K1442" i="2"/>
  <c r="J1442" i="2"/>
  <c r="H1442" i="2" s="1"/>
  <c r="I1442" i="2"/>
  <c r="G1210" i="2"/>
  <c r="G1230" i="2"/>
  <c r="F1251" i="2"/>
  <c r="J1251" i="2" s="1"/>
  <c r="H1251" i="2" s="1"/>
  <c r="G1251" i="2"/>
  <c r="I1264" i="2"/>
  <c r="G1264" i="2"/>
  <c r="F1264" i="2"/>
  <c r="J1264" i="2" s="1"/>
  <c r="H1264" i="2" s="1"/>
  <c r="F1271" i="2"/>
  <c r="J1271" i="2" s="1"/>
  <c r="H1271" i="2" s="1"/>
  <c r="G1271" i="2"/>
  <c r="F1342" i="2"/>
  <c r="I1342" i="2" s="1"/>
  <c r="J1342" i="2"/>
  <c r="H1342" i="2" s="1"/>
  <c r="G1075" i="2"/>
  <c r="G1083" i="2"/>
  <c r="G1093" i="2"/>
  <c r="G1103" i="2"/>
  <c r="G1113" i="2"/>
  <c r="G1125" i="2"/>
  <c r="G1133" i="2"/>
  <c r="G1143" i="2"/>
  <c r="G1151" i="2"/>
  <c r="G1161" i="2"/>
  <c r="I1169" i="2"/>
  <c r="G1172" i="2"/>
  <c r="K1183" i="2"/>
  <c r="K1203" i="2"/>
  <c r="F1210" i="2"/>
  <c r="K1210" i="2" s="1"/>
  <c r="K1221" i="2"/>
  <c r="F1230" i="2"/>
  <c r="K1230" i="2" s="1"/>
  <c r="J1237" i="2"/>
  <c r="H1237" i="2" s="1"/>
  <c r="I1239" i="2"/>
  <c r="I1243" i="2"/>
  <c r="K1247" i="2"/>
  <c r="K1264" i="2"/>
  <c r="K1290" i="2"/>
  <c r="J1290" i="2"/>
  <c r="H1290" i="2" s="1"/>
  <c r="I1290" i="2"/>
  <c r="K1293" i="2"/>
  <c r="J1293" i="2"/>
  <c r="H1293" i="2" s="1"/>
  <c r="I1293" i="2"/>
  <c r="G1293" i="2"/>
  <c r="K1300" i="2"/>
  <c r="J1303" i="2"/>
  <c r="H1303" i="2" s="1"/>
  <c r="K1303" i="2"/>
  <c r="I1303" i="2"/>
  <c r="I1313" i="2"/>
  <c r="J1313" i="2"/>
  <c r="H1313" i="2" s="1"/>
  <c r="K1313" i="2"/>
  <c r="J1327" i="2"/>
  <c r="H1327" i="2" s="1"/>
  <c r="K1327" i="2"/>
  <c r="G1342" i="2"/>
  <c r="I1174" i="2"/>
  <c r="F1186" i="2"/>
  <c r="I1186" i="2" s="1"/>
  <c r="K1186" i="2"/>
  <c r="F1206" i="2"/>
  <c r="I1206" i="2" s="1"/>
  <c r="K1206" i="2"/>
  <c r="F1224" i="2"/>
  <c r="I1224" i="2" s="1"/>
  <c r="K1224" i="2"/>
  <c r="F1276" i="2"/>
  <c r="K1276" i="2" s="1"/>
  <c r="J1276" i="2"/>
  <c r="H1276" i="2" s="1"/>
  <c r="I1276" i="2"/>
  <c r="G1276" i="2"/>
  <c r="J1325" i="2"/>
  <c r="H1325" i="2" s="1"/>
  <c r="G1325" i="2"/>
  <c r="F1325" i="2"/>
  <c r="K1325" i="2"/>
  <c r="J1161" i="2"/>
  <c r="H1161" i="2" s="1"/>
  <c r="K1163" i="2"/>
  <c r="J1166" i="2"/>
  <c r="H1166" i="2" s="1"/>
  <c r="I1172" i="2"/>
  <c r="F1174" i="2"/>
  <c r="J1174" i="2" s="1"/>
  <c r="H1174" i="2" s="1"/>
  <c r="K1181" i="2"/>
  <c r="G1186" i="2"/>
  <c r="J1189" i="2"/>
  <c r="H1189" i="2" s="1"/>
  <c r="F1191" i="2"/>
  <c r="K1191" i="2" s="1"/>
  <c r="F1194" i="2"/>
  <c r="I1194" i="2" s="1"/>
  <c r="G1206" i="2"/>
  <c r="J1207" i="2"/>
  <c r="H1207" i="2" s="1"/>
  <c r="F1209" i="2"/>
  <c r="I1209" i="2" s="1"/>
  <c r="F1212" i="2"/>
  <c r="J1212" i="2" s="1"/>
  <c r="H1212" i="2" s="1"/>
  <c r="K1219" i="2"/>
  <c r="G1224" i="2"/>
  <c r="J1225" i="2"/>
  <c r="H1225" i="2" s="1"/>
  <c r="I1227" i="2"/>
  <c r="F1227" i="2"/>
  <c r="K1227" i="2" s="1"/>
  <c r="F1232" i="2"/>
  <c r="K1232" i="2" s="1"/>
  <c r="F1238" i="2"/>
  <c r="J1238" i="2" s="1"/>
  <c r="H1238" i="2" s="1"/>
  <c r="K1238" i="2"/>
  <c r="I1244" i="2"/>
  <c r="J1244" i="2"/>
  <c r="H1244" i="2" s="1"/>
  <c r="G1244" i="2"/>
  <c r="F1244" i="2"/>
  <c r="K1244" i="2" s="1"/>
  <c r="F1258" i="2"/>
  <c r="I1258" i="2" s="1"/>
  <c r="K1258" i="2"/>
  <c r="J1258" i="2"/>
  <c r="H1258" i="2" s="1"/>
  <c r="G1258" i="2"/>
  <c r="J1265" i="2"/>
  <c r="H1265" i="2" s="1"/>
  <c r="K1265" i="2"/>
  <c r="I1265" i="2"/>
  <c r="J1311" i="2"/>
  <c r="H1311" i="2" s="1"/>
  <c r="I1325" i="2"/>
  <c r="I1241" i="2"/>
  <c r="F1241" i="2"/>
  <c r="K1241" i="2" s="1"/>
  <c r="F1261" i="2"/>
  <c r="K1261" i="2" s="1"/>
  <c r="I1262" i="2"/>
  <c r="F1281" i="2"/>
  <c r="K1281" i="2" s="1"/>
  <c r="I1282" i="2"/>
  <c r="F1299" i="2"/>
  <c r="K1299" i="2" s="1"/>
  <c r="I1300" i="2"/>
  <c r="G1319" i="2"/>
  <c r="F1319" i="2"/>
  <c r="J1319" i="2" s="1"/>
  <c r="H1319" i="2" s="1"/>
  <c r="J1336" i="2"/>
  <c r="H1336" i="2" s="1"/>
  <c r="I1345" i="2"/>
  <c r="K1345" i="2"/>
  <c r="J1345" i="2"/>
  <c r="H1345" i="2" s="1"/>
  <c r="K1350" i="2"/>
  <c r="K1361" i="2"/>
  <c r="J1361" i="2"/>
  <c r="H1361" i="2" s="1"/>
  <c r="I1361" i="2"/>
  <c r="F1370" i="2"/>
  <c r="J1370" i="2" s="1"/>
  <c r="H1370" i="2" s="1"/>
  <c r="G1370" i="2"/>
  <c r="K1370" i="2"/>
  <c r="I1414" i="2"/>
  <c r="G1414" i="2"/>
  <c r="F1414" i="2"/>
  <c r="K1414" i="2"/>
  <c r="J1414" i="2"/>
  <c r="H1414" i="2" s="1"/>
  <c r="J1252" i="2"/>
  <c r="H1252" i="2" s="1"/>
  <c r="G1252" i="2"/>
  <c r="J1272" i="2"/>
  <c r="H1272" i="2" s="1"/>
  <c r="G1272" i="2"/>
  <c r="K1279" i="2"/>
  <c r="J1292" i="2"/>
  <c r="H1292" i="2" s="1"/>
  <c r="G1292" i="2"/>
  <c r="K1297" i="2"/>
  <c r="F1310" i="2"/>
  <c r="K1310" i="2" s="1"/>
  <c r="J1310" i="2"/>
  <c r="H1310" i="2" s="1"/>
  <c r="G1310" i="2"/>
  <c r="I1312" i="2"/>
  <c r="G1317" i="2"/>
  <c r="F1317" i="2"/>
  <c r="I1317" i="2" s="1"/>
  <c r="K1317" i="2"/>
  <c r="G1330" i="2"/>
  <c r="I1330" i="2"/>
  <c r="J1353" i="2"/>
  <c r="H1353" i="2" s="1"/>
  <c r="K1353" i="2"/>
  <c r="I1353" i="2"/>
  <c r="I1498" i="2"/>
  <c r="G1498" i="2"/>
  <c r="F1498" i="2"/>
  <c r="J1498" i="2" s="1"/>
  <c r="H1498" i="2" s="1"/>
  <c r="K1498" i="2"/>
  <c r="K1283" i="2"/>
  <c r="F1332" i="2"/>
  <c r="I1332" i="2" s="1"/>
  <c r="G1372" i="2"/>
  <c r="K1392" i="2"/>
  <c r="I1392" i="2"/>
  <c r="K1448" i="2"/>
  <c r="F1448" i="2"/>
  <c r="I1448" i="2" s="1"/>
  <c r="J1453" i="2"/>
  <c r="H1453" i="2" s="1"/>
  <c r="K1453" i="2"/>
  <c r="K1489" i="2"/>
  <c r="J1489" i="2"/>
  <c r="H1489" i="2" s="1"/>
  <c r="J1241" i="2"/>
  <c r="H1241" i="2" s="1"/>
  <c r="F1248" i="2"/>
  <c r="K1248" i="2"/>
  <c r="I1249" i="2"/>
  <c r="I1256" i="2"/>
  <c r="F1263" i="2"/>
  <c r="J1263" i="2" s="1"/>
  <c r="H1263" i="2" s="1"/>
  <c r="F1266" i="2"/>
  <c r="K1266" i="2"/>
  <c r="I1267" i="2"/>
  <c r="I1274" i="2"/>
  <c r="F1283" i="2"/>
  <c r="J1283" i="2" s="1"/>
  <c r="H1283" i="2" s="1"/>
  <c r="F1288" i="2"/>
  <c r="K1288" i="2" s="1"/>
  <c r="I1289" i="2"/>
  <c r="I1294" i="2"/>
  <c r="F1301" i="2"/>
  <c r="J1301" i="2" s="1"/>
  <c r="H1301" i="2" s="1"/>
  <c r="F1304" i="2"/>
  <c r="K1304" i="2" s="1"/>
  <c r="I1305" i="2"/>
  <c r="I1310" i="2"/>
  <c r="G1312" i="2"/>
  <c r="J1314" i="2"/>
  <c r="H1314" i="2" s="1"/>
  <c r="F1314" i="2"/>
  <c r="I1314" i="2" s="1"/>
  <c r="K1314" i="2"/>
  <c r="J1317" i="2"/>
  <c r="H1317" i="2" s="1"/>
  <c r="F1324" i="2"/>
  <c r="K1324" i="2" s="1"/>
  <c r="J1330" i="2"/>
  <c r="H1330" i="2" s="1"/>
  <c r="G1332" i="2"/>
  <c r="J1337" i="2"/>
  <c r="H1337" i="2" s="1"/>
  <c r="I1356" i="2"/>
  <c r="F1372" i="2"/>
  <c r="K1372" i="2" s="1"/>
  <c r="G1408" i="2"/>
  <c r="F1408" i="2"/>
  <c r="J1408" i="2" s="1"/>
  <c r="H1408" i="2" s="1"/>
  <c r="G1448" i="2"/>
  <c r="F1291" i="2"/>
  <c r="J1291" i="2" s="1"/>
  <c r="H1291" i="2" s="1"/>
  <c r="J1312" i="2"/>
  <c r="H1312" i="2" s="1"/>
  <c r="J1262" i="2"/>
  <c r="H1262" i="2" s="1"/>
  <c r="G1262" i="2"/>
  <c r="I1263" i="2"/>
  <c r="I1275" i="2"/>
  <c r="F1279" i="2"/>
  <c r="I1279" i="2" s="1"/>
  <c r="J1282" i="2"/>
  <c r="H1282" i="2" s="1"/>
  <c r="G1282" i="2"/>
  <c r="I1283" i="2"/>
  <c r="G1291" i="2"/>
  <c r="I1295" i="2"/>
  <c r="F1297" i="2"/>
  <c r="I1297" i="2" s="1"/>
  <c r="J1300" i="2"/>
  <c r="H1300" i="2" s="1"/>
  <c r="G1300" i="2"/>
  <c r="G1311" i="2"/>
  <c r="K1311" i="2"/>
  <c r="J1335" i="2"/>
  <c r="H1335" i="2" s="1"/>
  <c r="G1335" i="2"/>
  <c r="F1335" i="2"/>
  <c r="J1358" i="2"/>
  <c r="H1358" i="2" s="1"/>
  <c r="K1358" i="2"/>
  <c r="I1358" i="2"/>
  <c r="G1358" i="2"/>
  <c r="F1307" i="2"/>
  <c r="J1318" i="2"/>
  <c r="H1318" i="2" s="1"/>
  <c r="J1320" i="2"/>
  <c r="H1320" i="2" s="1"/>
  <c r="K1323" i="2"/>
  <c r="I1327" i="2"/>
  <c r="F1336" i="2"/>
  <c r="I1336" i="2" s="1"/>
  <c r="F1339" i="2"/>
  <c r="J1339" i="2" s="1"/>
  <c r="H1339" i="2" s="1"/>
  <c r="K1341" i="2"/>
  <c r="F1348" i="2"/>
  <c r="I1348" i="2" s="1"/>
  <c r="K1360" i="2"/>
  <c r="G1374" i="2"/>
  <c r="F1374" i="2"/>
  <c r="I1374" i="2" s="1"/>
  <c r="F1385" i="2"/>
  <c r="J1385" i="2" s="1"/>
  <c r="H1385" i="2" s="1"/>
  <c r="K1385" i="2"/>
  <c r="G1394" i="2"/>
  <c r="K1394" i="2"/>
  <c r="F1394" i="2"/>
  <c r="I1394" i="2" s="1"/>
  <c r="F1401" i="2"/>
  <c r="J1401" i="2" s="1"/>
  <c r="H1401" i="2" s="1"/>
  <c r="K1401" i="2"/>
  <c r="I1401" i="2"/>
  <c r="I1316" i="2"/>
  <c r="K1326" i="2"/>
  <c r="K1344" i="2"/>
  <c r="F1352" i="2"/>
  <c r="J1356" i="2"/>
  <c r="H1356" i="2" s="1"/>
  <c r="G1363" i="2"/>
  <c r="I1363" i="2"/>
  <c r="I1365" i="2"/>
  <c r="G1365" i="2"/>
  <c r="K1368" i="2"/>
  <c r="K1374" i="2"/>
  <c r="J1377" i="2"/>
  <c r="H1377" i="2" s="1"/>
  <c r="I1377" i="2"/>
  <c r="K1387" i="2"/>
  <c r="J1395" i="2"/>
  <c r="H1395" i="2" s="1"/>
  <c r="I1395" i="2"/>
  <c r="K1403" i="2"/>
  <c r="F1411" i="2"/>
  <c r="K1411" i="2"/>
  <c r="J1411" i="2"/>
  <c r="H1411" i="2" s="1"/>
  <c r="I1411" i="2"/>
  <c r="J1415" i="2"/>
  <c r="H1415" i="2" s="1"/>
  <c r="G1415" i="2"/>
  <c r="F1415" i="2"/>
  <c r="K1415" i="2" s="1"/>
  <c r="K1424" i="2"/>
  <c r="J1424" i="2"/>
  <c r="H1424" i="2" s="1"/>
  <c r="I1424" i="2"/>
  <c r="G1427" i="2"/>
  <c r="K1427" i="2"/>
  <c r="J1427" i="2"/>
  <c r="H1427" i="2" s="1"/>
  <c r="F1427" i="2"/>
  <c r="I1427" i="2" s="1"/>
  <c r="F1477" i="2"/>
  <c r="I1477" i="2" s="1"/>
  <c r="F1329" i="2"/>
  <c r="J1329" i="2" s="1"/>
  <c r="H1329" i="2" s="1"/>
  <c r="K1329" i="2"/>
  <c r="I1337" i="2"/>
  <c r="I1349" i="2"/>
  <c r="K1367" i="2"/>
  <c r="J1367" i="2"/>
  <c r="H1367" i="2" s="1"/>
  <c r="G1367" i="2"/>
  <c r="K1382" i="2"/>
  <c r="J1382" i="2"/>
  <c r="H1382" i="2" s="1"/>
  <c r="I1382" i="2"/>
  <c r="F1388" i="2"/>
  <c r="J1388" i="2" s="1"/>
  <c r="H1388" i="2" s="1"/>
  <c r="G1388" i="2"/>
  <c r="K1398" i="2"/>
  <c r="J1398" i="2"/>
  <c r="H1398" i="2" s="1"/>
  <c r="I1398" i="2"/>
  <c r="I1404" i="2"/>
  <c r="G1404" i="2"/>
  <c r="F1404" i="2"/>
  <c r="K1404" i="2" s="1"/>
  <c r="F1428" i="2"/>
  <c r="J1428" i="2" s="1"/>
  <c r="H1428" i="2" s="1"/>
  <c r="G1428" i="2"/>
  <c r="K1451" i="2"/>
  <c r="I1451" i="2"/>
  <c r="J1531" i="2"/>
  <c r="H1531" i="2" s="1"/>
  <c r="K1531" i="2"/>
  <c r="I1531" i="2"/>
  <c r="I1357" i="2"/>
  <c r="F1357" i="2"/>
  <c r="K1357" i="2" s="1"/>
  <c r="K1373" i="2"/>
  <c r="J1373" i="2"/>
  <c r="H1373" i="2" s="1"/>
  <c r="F1393" i="2"/>
  <c r="K1393" i="2" s="1"/>
  <c r="G1393" i="2"/>
  <c r="K1416" i="2"/>
  <c r="G1416" i="2"/>
  <c r="G1422" i="2"/>
  <c r="F1422" i="2"/>
  <c r="K1422" i="2" s="1"/>
  <c r="K1438" i="2"/>
  <c r="K1459" i="2"/>
  <c r="J1459" i="2"/>
  <c r="H1459" i="2" s="1"/>
  <c r="I1459" i="2"/>
  <c r="K1487" i="2"/>
  <c r="I1487" i="2"/>
  <c r="J1487" i="2"/>
  <c r="H1487" i="2" s="1"/>
  <c r="F1340" i="2"/>
  <c r="J1343" i="2"/>
  <c r="H1343" i="2" s="1"/>
  <c r="G1343" i="2"/>
  <c r="K1351" i="2"/>
  <c r="G1351" i="2"/>
  <c r="F1354" i="2"/>
  <c r="I1354" i="2"/>
  <c r="G1357" i="2"/>
  <c r="I1391" i="2"/>
  <c r="K1391" i="2"/>
  <c r="G1391" i="2"/>
  <c r="I1393" i="2"/>
  <c r="F1416" i="2"/>
  <c r="J1416" i="2" s="1"/>
  <c r="H1416" i="2" s="1"/>
  <c r="F1446" i="2"/>
  <c r="I1446" i="2" s="1"/>
  <c r="G1446" i="2"/>
  <c r="J1463" i="2"/>
  <c r="H1463" i="2" s="1"/>
  <c r="I1463" i="2"/>
  <c r="K1463" i="2"/>
  <c r="G1463" i="2"/>
  <c r="F1463" i="2"/>
  <c r="G1481" i="2"/>
  <c r="J1481" i="2"/>
  <c r="H1481" i="2" s="1"/>
  <c r="I1481" i="2"/>
  <c r="F1481" i="2"/>
  <c r="K1481" i="2" s="1"/>
  <c r="I1329" i="2"/>
  <c r="K1336" i="2"/>
  <c r="F1343" i="2"/>
  <c r="J1349" i="2"/>
  <c r="H1349" i="2" s="1"/>
  <c r="F1351" i="2"/>
  <c r="G1354" i="2"/>
  <c r="K1376" i="2"/>
  <c r="J1376" i="2"/>
  <c r="H1376" i="2" s="1"/>
  <c r="G1376" i="2"/>
  <c r="I1383" i="2"/>
  <c r="G1383" i="2"/>
  <c r="F1383" i="2"/>
  <c r="F1391" i="2"/>
  <c r="J1391" i="2" s="1"/>
  <c r="H1391" i="2" s="1"/>
  <c r="J1393" i="2"/>
  <c r="H1393" i="2" s="1"/>
  <c r="I1399" i="2"/>
  <c r="G1399" i="2"/>
  <c r="F1399" i="2"/>
  <c r="J1417" i="2"/>
  <c r="H1417" i="2" s="1"/>
  <c r="G1417" i="2"/>
  <c r="F1417" i="2"/>
  <c r="K1417" i="2" s="1"/>
  <c r="J1422" i="2"/>
  <c r="H1422" i="2" s="1"/>
  <c r="K1441" i="2"/>
  <c r="G1441" i="2"/>
  <c r="F1441" i="2"/>
  <c r="J1441" i="2" s="1"/>
  <c r="H1441" i="2" s="1"/>
  <c r="I1464" i="2"/>
  <c r="G1464" i="2"/>
  <c r="F1464" i="2"/>
  <c r="K1464" i="2" s="1"/>
  <c r="I1485" i="2"/>
  <c r="G1381" i="2"/>
  <c r="J1397" i="2"/>
  <c r="H1397" i="2" s="1"/>
  <c r="G1397" i="2"/>
  <c r="K1423" i="2"/>
  <c r="G1452" i="2"/>
  <c r="F1452" i="2"/>
  <c r="I1452" i="2" s="1"/>
  <c r="K1452" i="2"/>
  <c r="G1454" i="2"/>
  <c r="J1495" i="2"/>
  <c r="H1495" i="2" s="1"/>
  <c r="I1518" i="2"/>
  <c r="G1518" i="2"/>
  <c r="F1518" i="2"/>
  <c r="K1518" i="2" s="1"/>
  <c r="K1346" i="2"/>
  <c r="K1355" i="2"/>
  <c r="G1362" i="2"/>
  <c r="F1366" i="2"/>
  <c r="K1366" i="2" s="1"/>
  <c r="F1371" i="2"/>
  <c r="F1375" i="2"/>
  <c r="J1375" i="2" s="1"/>
  <c r="H1375" i="2" s="1"/>
  <c r="F1381" i="2"/>
  <c r="I1381" i="2" s="1"/>
  <c r="K1390" i="2"/>
  <c r="F1397" i="2"/>
  <c r="I1397" i="2" s="1"/>
  <c r="F1423" i="2"/>
  <c r="J1423" i="2" s="1"/>
  <c r="H1423" i="2" s="1"/>
  <c r="I1429" i="2"/>
  <c r="K1429" i="2"/>
  <c r="G1429" i="2"/>
  <c r="F1429" i="2"/>
  <c r="J1429" i="2" s="1"/>
  <c r="H1429" i="2" s="1"/>
  <c r="F1454" i="2"/>
  <c r="K1454" i="2" s="1"/>
  <c r="K1458" i="2"/>
  <c r="J1458" i="2"/>
  <c r="H1458" i="2" s="1"/>
  <c r="F1462" i="2"/>
  <c r="J1462" i="2" s="1"/>
  <c r="H1462" i="2" s="1"/>
  <c r="G1470" i="2"/>
  <c r="F1470" i="2"/>
  <c r="I1470" i="2" s="1"/>
  <c r="K1470" i="2"/>
  <c r="I1472" i="2"/>
  <c r="J1472" i="2"/>
  <c r="H1472" i="2" s="1"/>
  <c r="G1472" i="2"/>
  <c r="I1479" i="2"/>
  <c r="F1484" i="2"/>
  <c r="K1484" i="2" s="1"/>
  <c r="J1518" i="2"/>
  <c r="H1518" i="2" s="1"/>
  <c r="I1521" i="2"/>
  <c r="F1529" i="2"/>
  <c r="J1529" i="2" s="1"/>
  <c r="H1529" i="2" s="1"/>
  <c r="G1529" i="2"/>
  <c r="K1478" i="2"/>
  <c r="J1478" i="2"/>
  <c r="H1478" i="2" s="1"/>
  <c r="I1482" i="2"/>
  <c r="F1482" i="2"/>
  <c r="K1482" i="2" s="1"/>
  <c r="G1488" i="2"/>
  <c r="F1488" i="2"/>
  <c r="J1488" i="2" s="1"/>
  <c r="H1488" i="2" s="1"/>
  <c r="G1490" i="2"/>
  <c r="J1499" i="2"/>
  <c r="H1499" i="2" s="1"/>
  <c r="I1499" i="2"/>
  <c r="K1499" i="2"/>
  <c r="G1499" i="2"/>
  <c r="F1499" i="2"/>
  <c r="K1503" i="2"/>
  <c r="I1503" i="2"/>
  <c r="J1513" i="2"/>
  <c r="H1513" i="2" s="1"/>
  <c r="K1513" i="2"/>
  <c r="F1380" i="2"/>
  <c r="I1380" i="2" s="1"/>
  <c r="I1396" i="2"/>
  <c r="F1396" i="2"/>
  <c r="G1407" i="2"/>
  <c r="J1409" i="2"/>
  <c r="H1409" i="2" s="1"/>
  <c r="I1409" i="2"/>
  <c r="K1430" i="2"/>
  <c r="J1430" i="2"/>
  <c r="H1430" i="2" s="1"/>
  <c r="I1430" i="2"/>
  <c r="K1433" i="2"/>
  <c r="I1433" i="2"/>
  <c r="I1447" i="2"/>
  <c r="K1447" i="2"/>
  <c r="G1447" i="2"/>
  <c r="F1447" i="2"/>
  <c r="J1447" i="2" s="1"/>
  <c r="H1447" i="2" s="1"/>
  <c r="G1482" i="2"/>
  <c r="F1490" i="2"/>
  <c r="I1490" i="2" s="1"/>
  <c r="J1350" i="2"/>
  <c r="H1350" i="2" s="1"/>
  <c r="K1359" i="2"/>
  <c r="J1362" i="2"/>
  <c r="H1362" i="2" s="1"/>
  <c r="I1373" i="2"/>
  <c r="G1380" i="2"/>
  <c r="K1381" i="2"/>
  <c r="F1386" i="2"/>
  <c r="J1389" i="2"/>
  <c r="H1389" i="2" s="1"/>
  <c r="G1389" i="2"/>
  <c r="I1390" i="2"/>
  <c r="J1392" i="2"/>
  <c r="H1392" i="2" s="1"/>
  <c r="G1396" i="2"/>
  <c r="K1397" i="2"/>
  <c r="F1402" i="2"/>
  <c r="F1407" i="2"/>
  <c r="J1407" i="2" s="1"/>
  <c r="H1407" i="2" s="1"/>
  <c r="F1409" i="2"/>
  <c r="K1409" i="2" s="1"/>
  <c r="I1410" i="2"/>
  <c r="F1419" i="2"/>
  <c r="F1430" i="2"/>
  <c r="G1445" i="2"/>
  <c r="K1445" i="2"/>
  <c r="J1445" i="2"/>
  <c r="H1445" i="2" s="1"/>
  <c r="K1457" i="2"/>
  <c r="I1457" i="2"/>
  <c r="I1458" i="2"/>
  <c r="I1488" i="2"/>
  <c r="K1490" i="2"/>
  <c r="K1493" i="2"/>
  <c r="I1493" i="2"/>
  <c r="G1497" i="2"/>
  <c r="K1497" i="2"/>
  <c r="J1497" i="2"/>
  <c r="H1497" i="2" s="1"/>
  <c r="I1500" i="2"/>
  <c r="J1503" i="2"/>
  <c r="H1503" i="2" s="1"/>
  <c r="K1511" i="2"/>
  <c r="F1511" i="2"/>
  <c r="J1511" i="2" s="1"/>
  <c r="H1511" i="2" s="1"/>
  <c r="I1511" i="2"/>
  <c r="G1511" i="2"/>
  <c r="I1513" i="2"/>
  <c r="I1520" i="2"/>
  <c r="J1533" i="2"/>
  <c r="H1533" i="2" s="1"/>
  <c r="K1533" i="2"/>
  <c r="G1434" i="2"/>
  <c r="F1434" i="2"/>
  <c r="I1434" i="2" s="1"/>
  <c r="K1434" i="2"/>
  <c r="I1438" i="2"/>
  <c r="J1438" i="2"/>
  <c r="H1438" i="2" s="1"/>
  <c r="G1438" i="2"/>
  <c r="G1461" i="2"/>
  <c r="K1461" i="2"/>
  <c r="J1461" i="2"/>
  <c r="H1461" i="2" s="1"/>
  <c r="K1469" i="2"/>
  <c r="I1469" i="2"/>
  <c r="G1483" i="2"/>
  <c r="F1483" i="2"/>
  <c r="J1483" i="2" s="1"/>
  <c r="H1483" i="2" s="1"/>
  <c r="J1525" i="2"/>
  <c r="H1525" i="2" s="1"/>
  <c r="I1525" i="2"/>
  <c r="J1519" i="2"/>
  <c r="H1519" i="2" s="1"/>
  <c r="G1426" i="2"/>
  <c r="F1426" i="2"/>
  <c r="K1440" i="2"/>
  <c r="J1440" i="2"/>
  <c r="H1440" i="2" s="1"/>
  <c r="G1444" i="2"/>
  <c r="F1444" i="2"/>
  <c r="K1456" i="2"/>
  <c r="J1456" i="2"/>
  <c r="H1456" i="2" s="1"/>
  <c r="G1460" i="2"/>
  <c r="F1460" i="2"/>
  <c r="K1476" i="2"/>
  <c r="J1476" i="2"/>
  <c r="H1476" i="2" s="1"/>
  <c r="G1480" i="2"/>
  <c r="F1480" i="2"/>
  <c r="K1492" i="2"/>
  <c r="J1494" i="2"/>
  <c r="H1494" i="2" s="1"/>
  <c r="G1496" i="2"/>
  <c r="F1496" i="2"/>
  <c r="G1508" i="2"/>
  <c r="K1510" i="2"/>
  <c r="J1510" i="2"/>
  <c r="H1510" i="2" s="1"/>
  <c r="J1512" i="2"/>
  <c r="H1512" i="2" s="1"/>
  <c r="G1514" i="2"/>
  <c r="F1514" i="2"/>
  <c r="F1519" i="2"/>
  <c r="I1519" i="2" s="1"/>
  <c r="G1526" i="2"/>
  <c r="J1530" i="2"/>
  <c r="H1530" i="2" s="1"/>
  <c r="G1532" i="2"/>
  <c r="F1532" i="2"/>
  <c r="J1532" i="2" s="1"/>
  <c r="H1532" i="2" s="1"/>
  <c r="F1538" i="2"/>
  <c r="I1538" i="2" s="1"/>
  <c r="K1538" i="2"/>
  <c r="I1539" i="2"/>
  <c r="K1544" i="2"/>
  <c r="I1544" i="2"/>
  <c r="K1431" i="2"/>
  <c r="K1449" i="2"/>
  <c r="K1465" i="2"/>
  <c r="K1485" i="2"/>
  <c r="F1492" i="2"/>
  <c r="I1492" i="2" s="1"/>
  <c r="K1501" i="2"/>
  <c r="F1510" i="2"/>
  <c r="I1510" i="2" s="1"/>
  <c r="G1519" i="2"/>
  <c r="K1521" i="2"/>
  <c r="I1523" i="2"/>
  <c r="F1528" i="2"/>
  <c r="I1528" i="2" s="1"/>
  <c r="I1532" i="2"/>
  <c r="F1536" i="2"/>
  <c r="J1536" i="2" s="1"/>
  <c r="H1536" i="2" s="1"/>
  <c r="G1538" i="2"/>
  <c r="F1544" i="2"/>
  <c r="J1544" i="2" s="1"/>
  <c r="H1544" i="2" s="1"/>
  <c r="G1431" i="2"/>
  <c r="I1435" i="2"/>
  <c r="J1439" i="2"/>
  <c r="H1439" i="2" s="1"/>
  <c r="I1439" i="2"/>
  <c r="G1449" i="2"/>
  <c r="I1453" i="2"/>
  <c r="J1455" i="2"/>
  <c r="H1455" i="2" s="1"/>
  <c r="I1455" i="2"/>
  <c r="J1460" i="2"/>
  <c r="H1460" i="2" s="1"/>
  <c r="G1465" i="2"/>
  <c r="I1471" i="2"/>
  <c r="J1473" i="2"/>
  <c r="H1473" i="2" s="1"/>
  <c r="I1473" i="2"/>
  <c r="J1480" i="2"/>
  <c r="H1480" i="2" s="1"/>
  <c r="G1485" i="2"/>
  <c r="I1489" i="2"/>
  <c r="J1491" i="2"/>
  <c r="H1491" i="2" s="1"/>
  <c r="I1491" i="2"/>
  <c r="J1496" i="2"/>
  <c r="H1496" i="2" s="1"/>
  <c r="G1501" i="2"/>
  <c r="I1507" i="2"/>
  <c r="J1509" i="2"/>
  <c r="H1509" i="2" s="1"/>
  <c r="I1509" i="2"/>
  <c r="K1519" i="2"/>
  <c r="G1521" i="2"/>
  <c r="J1527" i="2"/>
  <c r="H1527" i="2" s="1"/>
  <c r="I1527" i="2"/>
  <c r="K1532" i="2"/>
  <c r="K1536" i="2"/>
  <c r="K1541" i="2"/>
  <c r="K1545" i="2"/>
  <c r="K1500" i="2"/>
  <c r="J1500" i="2"/>
  <c r="H1500" i="2" s="1"/>
  <c r="G1504" i="2"/>
  <c r="F1504" i="2"/>
  <c r="K1520" i="2"/>
  <c r="J1520" i="2"/>
  <c r="H1520" i="2" s="1"/>
  <c r="G1524" i="2"/>
  <c r="F1524" i="2"/>
  <c r="K1524" i="2" s="1"/>
  <c r="I1533" i="2"/>
  <c r="G1533" i="2"/>
  <c r="K1537" i="2"/>
  <c r="K1539" i="2"/>
  <c r="J1542" i="2"/>
  <c r="H1542" i="2" s="1"/>
  <c r="I1542" i="2"/>
  <c r="G1542" i="2"/>
  <c r="F1542" i="2"/>
  <c r="K1542" i="2" s="1"/>
  <c r="I1508" i="2"/>
  <c r="I1526" i="2"/>
  <c r="K1543" i="2"/>
  <c r="J1543" i="2"/>
  <c r="H1543" i="2" s="1"/>
  <c r="I1543" i="2"/>
  <c r="G1543" i="2"/>
  <c r="I1537" i="2"/>
  <c r="I1545" i="2"/>
  <c r="J1548" i="2"/>
  <c r="H1548" i="2" s="1"/>
  <c r="K1549" i="2"/>
  <c r="J1537" i="2"/>
  <c r="H1537" i="2" s="1"/>
  <c r="J1545" i="2"/>
  <c r="H1545" i="2" s="1"/>
  <c r="I1371" i="2" l="1"/>
  <c r="K1371" i="2"/>
  <c r="K927" i="2"/>
  <c r="J927" i="2"/>
  <c r="H927" i="2" s="1"/>
  <c r="K1340" i="2"/>
  <c r="J1340" i="2"/>
  <c r="H1340" i="2" s="1"/>
  <c r="J1266" i="2"/>
  <c r="H1266" i="2" s="1"/>
  <c r="I1266" i="2"/>
  <c r="I1271" i="2"/>
  <c r="K1062" i="2"/>
  <c r="I1062" i="2"/>
  <c r="K1194" i="2"/>
  <c r="J1419" i="2"/>
  <c r="H1419" i="2" s="1"/>
  <c r="I1419" i="2"/>
  <c r="J1452" i="2"/>
  <c r="H1452" i="2" s="1"/>
  <c r="I1504" i="2"/>
  <c r="J1504" i="2"/>
  <c r="H1504" i="2" s="1"/>
  <c r="J1538" i="2"/>
  <c r="H1538" i="2" s="1"/>
  <c r="J1528" i="2"/>
  <c r="H1528" i="2" s="1"/>
  <c r="I1454" i="2"/>
  <c r="I1441" i="2"/>
  <c r="I1416" i="2"/>
  <c r="J1357" i="2"/>
  <c r="H1357" i="2" s="1"/>
  <c r="J1477" i="2"/>
  <c r="H1477" i="2" s="1"/>
  <c r="J1434" i="2"/>
  <c r="H1434" i="2" s="1"/>
  <c r="I1385" i="2"/>
  <c r="J1348" i="2"/>
  <c r="H1348" i="2" s="1"/>
  <c r="I1335" i="2"/>
  <c r="K1335" i="2"/>
  <c r="I1291" i="2"/>
  <c r="J1299" i="2"/>
  <c r="H1299" i="2" s="1"/>
  <c r="J1248" i="2"/>
  <c r="H1248" i="2" s="1"/>
  <c r="I1248" i="2"/>
  <c r="J1448" i="2"/>
  <c r="H1448" i="2" s="1"/>
  <c r="J1332" i="2"/>
  <c r="H1332" i="2" s="1"/>
  <c r="J1297" i="2"/>
  <c r="H1297" i="2" s="1"/>
  <c r="I1238" i="2"/>
  <c r="K1201" i="2"/>
  <c r="I1212" i="2"/>
  <c r="I1214" i="2"/>
  <c r="I1192" i="2"/>
  <c r="J1053" i="2"/>
  <c r="H1053" i="2" s="1"/>
  <c r="I1053" i="2"/>
  <c r="J1035" i="2"/>
  <c r="H1035" i="2" s="1"/>
  <c r="K1044" i="2"/>
  <c r="I1044" i="2"/>
  <c r="J1044" i="2"/>
  <c r="H1044" i="2" s="1"/>
  <c r="K1136" i="2"/>
  <c r="K1092" i="2"/>
  <c r="K1212" i="2"/>
  <c r="K1036" i="2"/>
  <c r="K991" i="2"/>
  <c r="I1043" i="2"/>
  <c r="I1033" i="2"/>
  <c r="K948" i="2"/>
  <c r="J948" i="2"/>
  <c r="H948" i="2" s="1"/>
  <c r="I927" i="2"/>
  <c r="K876" i="2"/>
  <c r="J876" i="2"/>
  <c r="H876" i="2" s="1"/>
  <c r="K856" i="2"/>
  <c r="I856" i="2"/>
  <c r="J1150" i="2"/>
  <c r="H1150" i="2" s="1"/>
  <c r="J924" i="2"/>
  <c r="H924" i="2" s="1"/>
  <c r="I924" i="2"/>
  <c r="I876" i="2"/>
  <c r="I1088" i="2"/>
  <c r="J1517" i="2"/>
  <c r="H1517" i="2" s="1"/>
  <c r="K817" i="2"/>
  <c r="J1090" i="2"/>
  <c r="H1090" i="2" s="1"/>
  <c r="K1005" i="2"/>
  <c r="K933" i="2"/>
  <c r="J806" i="2"/>
  <c r="H806" i="2" s="1"/>
  <c r="J780" i="2"/>
  <c r="H780" i="2" s="1"/>
  <c r="I780" i="2"/>
  <c r="K863" i="2"/>
  <c r="I788" i="2"/>
  <c r="I929" i="2"/>
  <c r="J891" i="2"/>
  <c r="H891" i="2" s="1"/>
  <c r="K788" i="2"/>
  <c r="J950" i="2"/>
  <c r="H950" i="2" s="1"/>
  <c r="I733" i="2"/>
  <c r="J643" i="2"/>
  <c r="H643" i="2" s="1"/>
  <c r="K614" i="2"/>
  <c r="I614" i="2"/>
  <c r="K703" i="2"/>
  <c r="I703" i="2"/>
  <c r="J665" i="2"/>
  <c r="H665" i="2" s="1"/>
  <c r="I665" i="2"/>
  <c r="K665" i="2"/>
  <c r="J614" i="2"/>
  <c r="H614" i="2" s="1"/>
  <c r="J652" i="2"/>
  <c r="H652" i="2" s="1"/>
  <c r="J760" i="2"/>
  <c r="H760" i="2" s="1"/>
  <c r="J657" i="2"/>
  <c r="H657" i="2" s="1"/>
  <c r="I657" i="2"/>
  <c r="I693" i="2"/>
  <c r="J592" i="2"/>
  <c r="H592" i="2" s="1"/>
  <c r="K523" i="2"/>
  <c r="K601" i="2"/>
  <c r="J728" i="2"/>
  <c r="H728" i="2" s="1"/>
  <c r="K555" i="2"/>
  <c r="I555" i="2"/>
  <c r="I622" i="2"/>
  <c r="J371" i="2"/>
  <c r="H371" i="2" s="1"/>
  <c r="I371" i="2"/>
  <c r="J493" i="2"/>
  <c r="H493" i="2" s="1"/>
  <c r="J392" i="2"/>
  <c r="H392" i="2" s="1"/>
  <c r="J474" i="2"/>
  <c r="H474" i="2" s="1"/>
  <c r="I443" i="2"/>
  <c r="J443" i="2"/>
  <c r="H443" i="2" s="1"/>
  <c r="I405" i="2"/>
  <c r="K462" i="2"/>
  <c r="J356" i="2"/>
  <c r="H356" i="2" s="1"/>
  <c r="I604" i="2"/>
  <c r="K392" i="2"/>
  <c r="K358" i="2"/>
  <c r="K415" i="2"/>
  <c r="J347" i="2"/>
  <c r="H347" i="2" s="1"/>
  <c r="J450" i="2"/>
  <c r="H450" i="2" s="1"/>
  <c r="K107" i="2"/>
  <c r="I188" i="2"/>
  <c r="K147" i="2"/>
  <c r="K124" i="2"/>
  <c r="I124" i="2"/>
  <c r="J104" i="2"/>
  <c r="H104" i="2" s="1"/>
  <c r="K104" i="2"/>
  <c r="I48" i="2"/>
  <c r="I16" i="2"/>
  <c r="K236" i="2"/>
  <c r="I230" i="2"/>
  <c r="J230" i="2"/>
  <c r="H230" i="2" s="1"/>
  <c r="I85" i="2"/>
  <c r="K157" i="2"/>
  <c r="J157" i="2"/>
  <c r="H157" i="2" s="1"/>
  <c r="K114" i="2"/>
  <c r="I114" i="2"/>
  <c r="K217" i="2"/>
  <c r="J287" i="2"/>
  <c r="H287" i="2" s="1"/>
  <c r="K242" i="2"/>
  <c r="J226" i="2"/>
  <c r="H226" i="2" s="1"/>
  <c r="I132" i="2"/>
  <c r="K74" i="2"/>
  <c r="K98" i="2"/>
  <c r="K85" i="2"/>
  <c r="K84" i="2"/>
  <c r="J1194" i="2"/>
  <c r="H1194" i="2" s="1"/>
  <c r="J697" i="2"/>
  <c r="H697" i="2" s="1"/>
  <c r="K697" i="2"/>
  <c r="J369" i="2"/>
  <c r="H369" i="2" s="1"/>
  <c r="K369" i="2"/>
  <c r="J604" i="2"/>
  <c r="H604" i="2" s="1"/>
  <c r="I466" i="2"/>
  <c r="K1496" i="2"/>
  <c r="I1496" i="2"/>
  <c r="K1307" i="2"/>
  <c r="J1307" i="2"/>
  <c r="H1307" i="2" s="1"/>
  <c r="I1251" i="2"/>
  <c r="J1124" i="2"/>
  <c r="H1124" i="2" s="1"/>
  <c r="I1124" i="2"/>
  <c r="I998" i="2"/>
  <c r="K896" i="2"/>
  <c r="J896" i="2"/>
  <c r="H896" i="2" s="1"/>
  <c r="J753" i="2"/>
  <c r="H753" i="2" s="1"/>
  <c r="I753" i="2"/>
  <c r="I441" i="2"/>
  <c r="K466" i="2"/>
  <c r="K216" i="2"/>
  <c r="I216" i="2"/>
  <c r="I99" i="2"/>
  <c r="J99" i="2"/>
  <c r="H99" i="2" s="1"/>
  <c r="K152" i="2"/>
  <c r="I152" i="2"/>
  <c r="J89" i="2"/>
  <c r="H89" i="2" s="1"/>
  <c r="I89" i="2"/>
  <c r="J1386" i="2"/>
  <c r="H1386" i="2" s="1"/>
  <c r="I1386" i="2"/>
  <c r="J870" i="2"/>
  <c r="H870" i="2" s="1"/>
  <c r="I870" i="2"/>
  <c r="K852" i="2"/>
  <c r="J852" i="2"/>
  <c r="H852" i="2" s="1"/>
  <c r="I852" i="2"/>
  <c r="K822" i="2"/>
  <c r="K579" i="2"/>
  <c r="J579" i="2"/>
  <c r="H579" i="2" s="1"/>
  <c r="J312" i="2"/>
  <c r="H312" i="2" s="1"/>
  <c r="I312" i="2"/>
  <c r="I165" i="2"/>
  <c r="J165" i="2"/>
  <c r="H165" i="2" s="1"/>
  <c r="K165" i="2"/>
  <c r="J1098" i="2"/>
  <c r="H1098" i="2" s="1"/>
  <c r="I1005" i="2"/>
  <c r="K950" i="2"/>
  <c r="I690" i="2"/>
  <c r="J690" i="2"/>
  <c r="H690" i="2" s="1"/>
  <c r="K519" i="2"/>
  <c r="I519" i="2"/>
  <c r="J463" i="2"/>
  <c r="H463" i="2" s="1"/>
  <c r="I1536" i="2"/>
  <c r="I1460" i="2"/>
  <c r="K1460" i="2"/>
  <c r="J1426" i="2"/>
  <c r="H1426" i="2" s="1"/>
  <c r="K1426" i="2"/>
  <c r="I1426" i="2"/>
  <c r="K1483" i="2"/>
  <c r="K1504" i="2"/>
  <c r="J1482" i="2"/>
  <c r="H1482" i="2" s="1"/>
  <c r="J1490" i="2"/>
  <c r="H1490" i="2" s="1"/>
  <c r="I1462" i="2"/>
  <c r="I1484" i="2"/>
  <c r="J1464" i="2"/>
  <c r="H1464" i="2" s="1"/>
  <c r="J1351" i="2"/>
  <c r="H1351" i="2" s="1"/>
  <c r="I1351" i="2"/>
  <c r="J1446" i="2"/>
  <c r="H1446" i="2" s="1"/>
  <c r="J1404" i="2"/>
  <c r="H1404" i="2" s="1"/>
  <c r="K1388" i="2"/>
  <c r="K1477" i="2"/>
  <c r="K1348" i="2"/>
  <c r="K1339" i="2"/>
  <c r="J1324" i="2"/>
  <c r="H1324" i="2" s="1"/>
  <c r="K1301" i="2"/>
  <c r="K1319" i="2"/>
  <c r="I1281" i="2"/>
  <c r="I1210" i="2"/>
  <c r="I1191" i="2"/>
  <c r="I1196" i="2"/>
  <c r="K1342" i="2"/>
  <c r="I1201" i="2"/>
  <c r="K1321" i="2"/>
  <c r="K1234" i="2"/>
  <c r="K1098" i="2"/>
  <c r="I997" i="2"/>
  <c r="I1127" i="2"/>
  <c r="J1167" i="2"/>
  <c r="H1167" i="2" s="1"/>
  <c r="J999" i="2"/>
  <c r="H999" i="2" s="1"/>
  <c r="I1211" i="2"/>
  <c r="I1025" i="2"/>
  <c r="I1052" i="2"/>
  <c r="K998" i="2"/>
  <c r="K945" i="2"/>
  <c r="J945" i="2"/>
  <c r="H945" i="2" s="1"/>
  <c r="K873" i="2"/>
  <c r="J873" i="2"/>
  <c r="H873" i="2" s="1"/>
  <c r="K1182" i="2"/>
  <c r="K960" i="2"/>
  <c r="J906" i="2"/>
  <c r="H906" i="2" s="1"/>
  <c r="I906" i="2"/>
  <c r="J856" i="2"/>
  <c r="H856" i="2" s="1"/>
  <c r="J1000" i="2"/>
  <c r="H1000" i="2" s="1"/>
  <c r="K819" i="2"/>
  <c r="J819" i="2"/>
  <c r="H819" i="2" s="1"/>
  <c r="J776" i="2"/>
  <c r="H776" i="2" s="1"/>
  <c r="I776" i="2"/>
  <c r="J866" i="2"/>
  <c r="H866" i="2" s="1"/>
  <c r="J849" i="2"/>
  <c r="H849" i="2" s="1"/>
  <c r="J798" i="2"/>
  <c r="H798" i="2" s="1"/>
  <c r="I798" i="2"/>
  <c r="I773" i="2"/>
  <c r="J1135" i="2"/>
  <c r="H1135" i="2" s="1"/>
  <c r="J968" i="2"/>
  <c r="H968" i="2" s="1"/>
  <c r="J907" i="2"/>
  <c r="H907" i="2" s="1"/>
  <c r="J878" i="2"/>
  <c r="H878" i="2" s="1"/>
  <c r="I769" i="2"/>
  <c r="J718" i="2"/>
  <c r="H718" i="2" s="1"/>
  <c r="K718" i="2"/>
  <c r="I943" i="2"/>
  <c r="I875" i="2"/>
  <c r="K719" i="2"/>
  <c r="K668" i="2"/>
  <c r="K690" i="2"/>
  <c r="K762" i="2"/>
  <c r="J661" i="2"/>
  <c r="H661" i="2" s="1"/>
  <c r="J639" i="2"/>
  <c r="H639" i="2" s="1"/>
  <c r="I718" i="2"/>
  <c r="I739" i="2"/>
  <c r="I821" i="2"/>
  <c r="J677" i="2"/>
  <c r="H677" i="2" s="1"/>
  <c r="J649" i="2"/>
  <c r="H649" i="2" s="1"/>
  <c r="K599" i="2"/>
  <c r="J519" i="2"/>
  <c r="H519" i="2" s="1"/>
  <c r="J459" i="2"/>
  <c r="H459" i="2" s="1"/>
  <c r="I459" i="2"/>
  <c r="I720" i="2"/>
  <c r="I557" i="2"/>
  <c r="I638" i="2"/>
  <c r="K571" i="2"/>
  <c r="I571" i="2"/>
  <c r="J612" i="2"/>
  <c r="H612" i="2" s="1"/>
  <c r="K488" i="2"/>
  <c r="K463" i="2"/>
  <c r="K411" i="2"/>
  <c r="I411" i="2"/>
  <c r="K382" i="2"/>
  <c r="J302" i="2"/>
  <c r="H302" i="2" s="1"/>
  <c r="I302" i="2"/>
  <c r="J256" i="2"/>
  <c r="H256" i="2" s="1"/>
  <c r="I256" i="2"/>
  <c r="J521" i="2"/>
  <c r="H521" i="2" s="1"/>
  <c r="K429" i="2"/>
  <c r="K390" i="2"/>
  <c r="K356" i="2"/>
  <c r="K600" i="2"/>
  <c r="I458" i="2"/>
  <c r="J441" i="2"/>
  <c r="H441" i="2" s="1"/>
  <c r="I384" i="2"/>
  <c r="I344" i="2"/>
  <c r="I593" i="2"/>
  <c r="I473" i="2"/>
  <c r="I431" i="2"/>
  <c r="I387" i="2"/>
  <c r="K438" i="2"/>
  <c r="I410" i="2"/>
  <c r="I259" i="2"/>
  <c r="J225" i="2"/>
  <c r="H225" i="2" s="1"/>
  <c r="K225" i="2"/>
  <c r="J168" i="2"/>
  <c r="H168" i="2" s="1"/>
  <c r="J207" i="2"/>
  <c r="H207" i="2" s="1"/>
  <c r="K160" i="2"/>
  <c r="I160" i="2"/>
  <c r="J33" i="2"/>
  <c r="H33" i="2" s="1"/>
  <c r="I288" i="2"/>
  <c r="K233" i="2"/>
  <c r="J233" i="2"/>
  <c r="H233" i="2" s="1"/>
  <c r="I169" i="2"/>
  <c r="I153" i="2"/>
  <c r="K166" i="2"/>
  <c r="J166" i="2"/>
  <c r="H166" i="2" s="1"/>
  <c r="I236" i="2"/>
  <c r="K89" i="2"/>
  <c r="I260" i="2"/>
  <c r="K48" i="2"/>
  <c r="K90" i="2"/>
  <c r="K40" i="2"/>
  <c r="K58" i="2"/>
  <c r="K1352" i="2"/>
  <c r="J1352" i="2"/>
  <c r="H1352" i="2" s="1"/>
  <c r="K641" i="2"/>
  <c r="J641" i="2"/>
  <c r="H641" i="2" s="1"/>
  <c r="J547" i="2"/>
  <c r="H547" i="2" s="1"/>
  <c r="I547" i="2"/>
  <c r="K870" i="2"/>
  <c r="I649" i="2"/>
  <c r="J264" i="2"/>
  <c r="H264" i="2" s="1"/>
  <c r="I264" i="2"/>
  <c r="I369" i="2"/>
  <c r="I1483" i="2"/>
  <c r="I1375" i="2"/>
  <c r="J1484" i="2"/>
  <c r="H1484" i="2" s="1"/>
  <c r="J1381" i="2"/>
  <c r="H1381" i="2" s="1"/>
  <c r="K1383" i="2"/>
  <c r="J1383" i="2"/>
  <c r="H1383" i="2" s="1"/>
  <c r="I1422" i="2"/>
  <c r="K1332" i="2"/>
  <c r="I1408" i="2"/>
  <c r="J1288" i="2"/>
  <c r="H1288" i="2" s="1"/>
  <c r="I1288" i="2"/>
  <c r="J1372" i="2"/>
  <c r="H1372" i="2" s="1"/>
  <c r="I1370" i="2"/>
  <c r="I1319" i="2"/>
  <c r="J1279" i="2"/>
  <c r="H1279" i="2" s="1"/>
  <c r="K1291" i="2"/>
  <c r="I1230" i="2"/>
  <c r="J1230" i="2"/>
  <c r="H1230" i="2" s="1"/>
  <c r="J1302" i="2"/>
  <c r="H1302" i="2" s="1"/>
  <c r="J1209" i="2"/>
  <c r="H1209" i="2" s="1"/>
  <c r="I1145" i="2"/>
  <c r="I1022" i="2"/>
  <c r="J1022" i="2"/>
  <c r="H1022" i="2" s="1"/>
  <c r="J1117" i="2"/>
  <c r="H1117" i="2" s="1"/>
  <c r="I1162" i="2"/>
  <c r="J1092" i="2"/>
  <c r="H1092" i="2" s="1"/>
  <c r="J1062" i="2"/>
  <c r="H1062" i="2" s="1"/>
  <c r="I1117" i="2"/>
  <c r="J1127" i="2"/>
  <c r="H1127" i="2" s="1"/>
  <c r="K1167" i="2"/>
  <c r="J1211" i="2"/>
  <c r="H1211" i="2" s="1"/>
  <c r="K1052" i="2"/>
  <c r="K912" i="2"/>
  <c r="J912" i="2"/>
  <c r="H912" i="2" s="1"/>
  <c r="I1182" i="2"/>
  <c r="J1067" i="2"/>
  <c r="H1067" i="2" s="1"/>
  <c r="I971" i="2"/>
  <c r="I948" i="2"/>
  <c r="J1186" i="2"/>
  <c r="H1186" i="2" s="1"/>
  <c r="J1061" i="2"/>
  <c r="H1061" i="2" s="1"/>
  <c r="I1000" i="2"/>
  <c r="I963" i="2"/>
  <c r="I898" i="2"/>
  <c r="K781" i="2"/>
  <c r="K801" i="2"/>
  <c r="J801" i="2"/>
  <c r="H801" i="2" s="1"/>
  <c r="J773" i="2"/>
  <c r="H773" i="2" s="1"/>
  <c r="K866" i="2"/>
  <c r="I822" i="2"/>
  <c r="K907" i="2"/>
  <c r="J834" i="2"/>
  <c r="H834" i="2" s="1"/>
  <c r="I834" i="2"/>
  <c r="J710" i="2"/>
  <c r="H710" i="2" s="1"/>
  <c r="K710" i="2"/>
  <c r="J943" i="2"/>
  <c r="H943" i="2" s="1"/>
  <c r="J757" i="2"/>
  <c r="H757" i="2" s="1"/>
  <c r="J875" i="2"/>
  <c r="H875" i="2" s="1"/>
  <c r="J715" i="2"/>
  <c r="H715" i="2" s="1"/>
  <c r="K731" i="2"/>
  <c r="I700" i="2"/>
  <c r="J700" i="2"/>
  <c r="H700" i="2" s="1"/>
  <c r="J747" i="2"/>
  <c r="H747" i="2" s="1"/>
  <c r="K661" i="2"/>
  <c r="J886" i="2"/>
  <c r="H886" i="2" s="1"/>
  <c r="K786" i="2"/>
  <c r="I751" i="2"/>
  <c r="I803" i="2"/>
  <c r="J739" i="2"/>
  <c r="H739" i="2" s="1"/>
  <c r="J821" i="2"/>
  <c r="H821" i="2" s="1"/>
  <c r="J723" i="2"/>
  <c r="H723" i="2" s="1"/>
  <c r="J673" i="2"/>
  <c r="H673" i="2" s="1"/>
  <c r="I673" i="2"/>
  <c r="K677" i="2"/>
  <c r="K455" i="2"/>
  <c r="J455" i="2"/>
  <c r="H455" i="2" s="1"/>
  <c r="J720" i="2"/>
  <c r="H720" i="2" s="1"/>
  <c r="I539" i="2"/>
  <c r="I785" i="2"/>
  <c r="J638" i="2"/>
  <c r="H638" i="2" s="1"/>
  <c r="I483" i="2"/>
  <c r="K483" i="2"/>
  <c r="I455" i="2"/>
  <c r="I488" i="2"/>
  <c r="K347" i="2"/>
  <c r="I579" i="2"/>
  <c r="J415" i="2"/>
  <c r="H415" i="2" s="1"/>
  <c r="K458" i="2"/>
  <c r="J473" i="2"/>
  <c r="H473" i="2" s="1"/>
  <c r="K312" i="2"/>
  <c r="I599" i="2"/>
  <c r="K522" i="2"/>
  <c r="J259" i="2"/>
  <c r="H259" i="2" s="1"/>
  <c r="I159" i="2"/>
  <c r="J238" i="2"/>
  <c r="H238" i="2" s="1"/>
  <c r="J133" i="2"/>
  <c r="H133" i="2" s="1"/>
  <c r="I133" i="2"/>
  <c r="J113" i="2"/>
  <c r="H113" i="2" s="1"/>
  <c r="K113" i="2"/>
  <c r="J93" i="2"/>
  <c r="H93" i="2" s="1"/>
  <c r="K93" i="2"/>
  <c r="J288" i="2"/>
  <c r="H288" i="2" s="1"/>
  <c r="I267" i="2"/>
  <c r="I218" i="2"/>
  <c r="I192" i="2"/>
  <c r="J192" i="2"/>
  <c r="H192" i="2" s="1"/>
  <c r="K169" i="2"/>
  <c r="J124" i="2"/>
  <c r="H124" i="2" s="1"/>
  <c r="K99" i="2"/>
  <c r="I33" i="2"/>
  <c r="J217" i="2"/>
  <c r="H217" i="2" s="1"/>
  <c r="I147" i="2"/>
  <c r="J125" i="2"/>
  <c r="H125" i="2" s="1"/>
  <c r="I125" i="2"/>
  <c r="K105" i="2"/>
  <c r="J105" i="2"/>
  <c r="H105" i="2" s="1"/>
  <c r="I207" i="2"/>
  <c r="I143" i="2"/>
  <c r="J123" i="2"/>
  <c r="H123" i="2" s="1"/>
  <c r="I107" i="2"/>
  <c r="J87" i="2"/>
  <c r="H87" i="2" s="1"/>
  <c r="J260" i="2"/>
  <c r="H260" i="2" s="1"/>
  <c r="I166" i="2"/>
  <c r="K175" i="2"/>
  <c r="K59" i="2"/>
  <c r="K1528" i="2"/>
  <c r="I1407" i="2"/>
  <c r="K1407" i="2"/>
  <c r="K974" i="2"/>
  <c r="J974" i="2"/>
  <c r="H974" i="2" s="1"/>
  <c r="J509" i="2"/>
  <c r="H509" i="2" s="1"/>
  <c r="I509" i="2"/>
  <c r="K354" i="2"/>
  <c r="J354" i="2"/>
  <c r="H354" i="2" s="1"/>
  <c r="I354" i="2"/>
  <c r="K168" i="2"/>
  <c r="K1386" i="2"/>
  <c r="I1352" i="2"/>
  <c r="J726" i="2"/>
  <c r="H726" i="2" s="1"/>
  <c r="K726" i="2"/>
  <c r="K603" i="2"/>
  <c r="J603" i="2"/>
  <c r="H603" i="2" s="1"/>
  <c r="I641" i="2"/>
  <c r="I1524" i="2"/>
  <c r="J1524" i="2"/>
  <c r="H1524" i="2" s="1"/>
  <c r="K1514" i="2"/>
  <c r="I1514" i="2"/>
  <c r="J1470" i="2"/>
  <c r="H1470" i="2" s="1"/>
  <c r="J1261" i="2"/>
  <c r="H1261" i="2" s="1"/>
  <c r="J1514" i="2"/>
  <c r="H1514" i="2" s="1"/>
  <c r="J1492" i="2"/>
  <c r="H1492" i="2" s="1"/>
  <c r="K1462" i="2"/>
  <c r="K1419" i="2"/>
  <c r="J1396" i="2"/>
  <c r="H1396" i="2" s="1"/>
  <c r="K1396" i="2"/>
  <c r="K1488" i="2"/>
  <c r="I1529" i="2"/>
  <c r="I1423" i="2"/>
  <c r="K1375" i="2"/>
  <c r="K1446" i="2"/>
  <c r="I1417" i="2"/>
  <c r="K1343" i="2"/>
  <c r="I1343" i="2"/>
  <c r="K1354" i="2"/>
  <c r="J1354" i="2"/>
  <c r="H1354" i="2" s="1"/>
  <c r="I1388" i="2"/>
  <c r="I1415" i="2"/>
  <c r="I1339" i="2"/>
  <c r="J1394" i="2"/>
  <c r="H1394" i="2" s="1"/>
  <c r="J1374" i="2"/>
  <c r="H1374" i="2" s="1"/>
  <c r="I1301" i="2"/>
  <c r="K1408" i="2"/>
  <c r="I1324" i="2"/>
  <c r="I1232" i="2"/>
  <c r="I1234" i="2"/>
  <c r="I1176" i="2"/>
  <c r="K1302" i="2"/>
  <c r="I1181" i="2"/>
  <c r="J1232" i="2"/>
  <c r="H1232" i="2" s="1"/>
  <c r="K1176" i="2"/>
  <c r="J1160" i="2"/>
  <c r="H1160" i="2" s="1"/>
  <c r="I1160" i="2"/>
  <c r="J1145" i="2"/>
  <c r="H1145" i="2" s="1"/>
  <c r="J1015" i="2"/>
  <c r="H1015" i="2" s="1"/>
  <c r="J1074" i="2"/>
  <c r="H1074" i="2" s="1"/>
  <c r="I1074" i="2"/>
  <c r="K1053" i="2"/>
  <c r="K1162" i="2"/>
  <c r="I1110" i="2"/>
  <c r="J1224" i="2"/>
  <c r="H1224" i="2" s="1"/>
  <c r="K1263" i="2"/>
  <c r="I1054" i="2"/>
  <c r="K999" i="2"/>
  <c r="K893" i="2"/>
  <c r="J893" i="2"/>
  <c r="H893" i="2" s="1"/>
  <c r="K1067" i="2"/>
  <c r="K971" i="2"/>
  <c r="J942" i="2"/>
  <c r="H942" i="2" s="1"/>
  <c r="I942" i="2"/>
  <c r="I896" i="2"/>
  <c r="K1061" i="2"/>
  <c r="K963" i="2"/>
  <c r="J1206" i="2"/>
  <c r="H1206" i="2" s="1"/>
  <c r="J898" i="2"/>
  <c r="H898" i="2" s="1"/>
  <c r="J817" i="2"/>
  <c r="H817" i="2" s="1"/>
  <c r="I801" i="2"/>
  <c r="K783" i="2"/>
  <c r="J783" i="2"/>
  <c r="H783" i="2" s="1"/>
  <c r="J742" i="2"/>
  <c r="H742" i="2" s="1"/>
  <c r="I742" i="2"/>
  <c r="J769" i="2"/>
  <c r="H769" i="2" s="1"/>
  <c r="I806" i="2"/>
  <c r="J831" i="2"/>
  <c r="H831" i="2" s="1"/>
  <c r="I831" i="2"/>
  <c r="K757" i="2"/>
  <c r="K702" i="2"/>
  <c r="J702" i="2"/>
  <c r="H702" i="2" s="1"/>
  <c r="I793" i="2"/>
  <c r="K753" i="2"/>
  <c r="K771" i="2"/>
  <c r="K715" i="2"/>
  <c r="J625" i="2"/>
  <c r="H625" i="2" s="1"/>
  <c r="I625" i="2"/>
  <c r="I726" i="2"/>
  <c r="K657" i="2"/>
  <c r="K886" i="2"/>
  <c r="I668" i="2"/>
  <c r="J803" i="2"/>
  <c r="H803" i="2" s="1"/>
  <c r="K723" i="2"/>
  <c r="J563" i="2"/>
  <c r="H563" i="2" s="1"/>
  <c r="I563" i="2"/>
  <c r="J527" i="2"/>
  <c r="H527" i="2" s="1"/>
  <c r="I527" i="2"/>
  <c r="I710" i="2"/>
  <c r="J589" i="2"/>
  <c r="H589" i="2" s="1"/>
  <c r="I737" i="2"/>
  <c r="I521" i="2"/>
  <c r="J785" i="2"/>
  <c r="H785" i="2" s="1"/>
  <c r="K537" i="2"/>
  <c r="I537" i="2"/>
  <c r="K650" i="2"/>
  <c r="J454" i="2"/>
  <c r="H454" i="2" s="1"/>
  <c r="I428" i="2"/>
  <c r="J381" i="2"/>
  <c r="H381" i="2" s="1"/>
  <c r="I381" i="2"/>
  <c r="I321" i="2"/>
  <c r="J292" i="2"/>
  <c r="H292" i="2" s="1"/>
  <c r="I292" i="2"/>
  <c r="J573" i="2"/>
  <c r="H573" i="2" s="1"/>
  <c r="J503" i="2"/>
  <c r="H503" i="2" s="1"/>
  <c r="K346" i="2"/>
  <c r="J346" i="2"/>
  <c r="H346" i="2" s="1"/>
  <c r="I361" i="2"/>
  <c r="J361" i="2"/>
  <c r="H361" i="2" s="1"/>
  <c r="I343" i="2"/>
  <c r="J343" i="2"/>
  <c r="H343" i="2" s="1"/>
  <c r="J593" i="2"/>
  <c r="H593" i="2" s="1"/>
  <c r="J565" i="2"/>
  <c r="H565" i="2" s="1"/>
  <c r="J403" i="2"/>
  <c r="H403" i="2" s="1"/>
  <c r="I452" i="2"/>
  <c r="I618" i="2"/>
  <c r="I522" i="2"/>
  <c r="I93" i="2"/>
  <c r="I225" i="2"/>
  <c r="K143" i="2"/>
  <c r="J321" i="2"/>
  <c r="H321" i="2" s="1"/>
  <c r="I289" i="2"/>
  <c r="J90" i="2"/>
  <c r="H90" i="2" s="1"/>
  <c r="J59" i="2"/>
  <c r="H59" i="2" s="1"/>
  <c r="J25" i="2"/>
  <c r="H25" i="2" s="1"/>
  <c r="I233" i="2"/>
  <c r="J218" i="2"/>
  <c r="H218" i="2" s="1"/>
  <c r="I197" i="2"/>
  <c r="I187" i="2"/>
  <c r="J122" i="2"/>
  <c r="H122" i="2" s="1"/>
  <c r="J305" i="2"/>
  <c r="H305" i="2" s="1"/>
  <c r="J246" i="2"/>
  <c r="H246" i="2" s="1"/>
  <c r="I246" i="2"/>
  <c r="I122" i="2"/>
  <c r="K103" i="2"/>
  <c r="I228" i="2"/>
  <c r="I105" i="2"/>
  <c r="K153" i="2"/>
  <c r="K132" i="2"/>
  <c r="J220" i="2"/>
  <c r="H220" i="2" s="1"/>
  <c r="J272" i="2"/>
  <c r="H272" i="2" s="1"/>
  <c r="I272" i="2"/>
  <c r="K130" i="2"/>
  <c r="J130" i="2"/>
  <c r="H130" i="2" s="1"/>
  <c r="J1402" i="2"/>
  <c r="H1402" i="2" s="1"/>
  <c r="I1402" i="2"/>
  <c r="J1191" i="2"/>
  <c r="H1191" i="2" s="1"/>
  <c r="J1371" i="2"/>
  <c r="H1371" i="2" s="1"/>
  <c r="I1307" i="2"/>
  <c r="J1304" i="2"/>
  <c r="H1304" i="2" s="1"/>
  <c r="I1304" i="2"/>
  <c r="J1281" i="2"/>
  <c r="H1281" i="2" s="1"/>
  <c r="I1372" i="2"/>
  <c r="J1210" i="2"/>
  <c r="H1210" i="2" s="1"/>
  <c r="J1056" i="2"/>
  <c r="H1056" i="2" s="1"/>
  <c r="I1056" i="2"/>
  <c r="I1040" i="2"/>
  <c r="J1040" i="2"/>
  <c r="H1040" i="2" s="1"/>
  <c r="I1220" i="2"/>
  <c r="J1112" i="2"/>
  <c r="H1112" i="2" s="1"/>
  <c r="I1112" i="2"/>
  <c r="J930" i="2"/>
  <c r="H930" i="2" s="1"/>
  <c r="K930" i="2"/>
  <c r="I888" i="2"/>
  <c r="J888" i="2"/>
  <c r="H888" i="2" s="1"/>
  <c r="K1090" i="2"/>
  <c r="J816" i="2"/>
  <c r="H816" i="2" s="1"/>
  <c r="I816" i="2"/>
  <c r="K692" i="2"/>
  <c r="J692" i="2"/>
  <c r="H692" i="2" s="1"/>
  <c r="J686" i="2"/>
  <c r="H686" i="2" s="1"/>
  <c r="I686" i="2"/>
  <c r="K623" i="2"/>
  <c r="I623" i="2"/>
  <c r="K804" i="2"/>
  <c r="K454" i="2"/>
  <c r="K413" i="2"/>
  <c r="J413" i="2"/>
  <c r="H413" i="2" s="1"/>
  <c r="I358" i="2"/>
  <c r="K344" i="2"/>
  <c r="K563" i="2"/>
  <c r="J446" i="2"/>
  <c r="H446" i="2" s="1"/>
  <c r="I462" i="2"/>
  <c r="J390" i="2"/>
  <c r="H390" i="2" s="1"/>
  <c r="K565" i="2"/>
  <c r="I204" i="2"/>
  <c r="K204" i="2"/>
  <c r="K220" i="2"/>
  <c r="I129" i="2"/>
  <c r="J129" i="2"/>
  <c r="H129" i="2" s="1"/>
  <c r="K129" i="2"/>
  <c r="I88" i="2"/>
  <c r="K88" i="2"/>
  <c r="I242" i="2"/>
  <c r="K197" i="2"/>
  <c r="K187" i="2"/>
  <c r="I25" i="2"/>
  <c r="J297" i="2"/>
  <c r="H297" i="2" s="1"/>
  <c r="J161" i="2"/>
  <c r="H161" i="2" s="1"/>
  <c r="I161" i="2"/>
  <c r="K141" i="2"/>
  <c r="J141" i="2"/>
  <c r="H141" i="2" s="1"/>
  <c r="K121" i="2"/>
  <c r="J121" i="2"/>
  <c r="H121" i="2" s="1"/>
  <c r="J228" i="2"/>
  <c r="H228" i="2" s="1"/>
  <c r="I141" i="2"/>
  <c r="J103" i="2"/>
  <c r="H103" i="2" s="1"/>
  <c r="K32" i="2"/>
  <c r="I104" i="2"/>
  <c r="I1002" i="2"/>
  <c r="J1002" i="2"/>
  <c r="H1002" i="2" s="1"/>
  <c r="K475" i="2"/>
  <c r="J475" i="2"/>
  <c r="H475" i="2" s="1"/>
  <c r="I1428" i="2"/>
  <c r="I1340" i="2"/>
  <c r="I960" i="2"/>
  <c r="J1366" i="2"/>
  <c r="H1366" i="2" s="1"/>
  <c r="K1480" i="2"/>
  <c r="I1480" i="2"/>
  <c r="J1444" i="2"/>
  <c r="H1444" i="2" s="1"/>
  <c r="K1444" i="2"/>
  <c r="I1444" i="2"/>
  <c r="I1366" i="2"/>
  <c r="J1380" i="2"/>
  <c r="H1380" i="2" s="1"/>
  <c r="K1380" i="2"/>
  <c r="K1529" i="2"/>
  <c r="J1454" i="2"/>
  <c r="H1454" i="2" s="1"/>
  <c r="K1402" i="2"/>
  <c r="K1399" i="2"/>
  <c r="J1399" i="2"/>
  <c r="H1399" i="2" s="1"/>
  <c r="K1428" i="2"/>
  <c r="I1299" i="2"/>
  <c r="I1261" i="2"/>
  <c r="K1271" i="2"/>
  <c r="K1251" i="2"/>
  <c r="J1054" i="2"/>
  <c r="H1054" i="2" s="1"/>
  <c r="J1037" i="2"/>
  <c r="H1037" i="2" s="1"/>
  <c r="I1037" i="2"/>
  <c r="I1035" i="2"/>
  <c r="I996" i="2"/>
  <c r="K996" i="2"/>
  <c r="K909" i="2"/>
  <c r="J909" i="2"/>
  <c r="H909" i="2" s="1"/>
  <c r="K861" i="2"/>
  <c r="J861" i="2"/>
  <c r="H861" i="2" s="1"/>
  <c r="I861" i="2"/>
  <c r="I930" i="2"/>
  <c r="K888" i="2"/>
  <c r="J781" i="2"/>
  <c r="H781" i="2" s="1"/>
  <c r="K684" i="2"/>
  <c r="J684" i="2"/>
  <c r="H684" i="2" s="1"/>
  <c r="I731" i="2"/>
  <c r="I697" i="2"/>
  <c r="K621" i="2"/>
  <c r="J621" i="2"/>
  <c r="H621" i="2" s="1"/>
  <c r="I621" i="2"/>
  <c r="K686" i="2"/>
  <c r="K685" i="2"/>
  <c r="I685" i="2"/>
  <c r="K501" i="2"/>
  <c r="I501" i="2"/>
  <c r="K423" i="2"/>
  <c r="J423" i="2"/>
  <c r="H423" i="2" s="1"/>
  <c r="I397" i="2"/>
  <c r="J282" i="2"/>
  <c r="H282" i="2" s="1"/>
  <c r="I282" i="2"/>
  <c r="J557" i="2"/>
  <c r="H557" i="2" s="1"/>
  <c r="K366" i="2"/>
  <c r="J366" i="2"/>
  <c r="H366" i="2" s="1"/>
  <c r="K264" i="2"/>
  <c r="J151" i="2"/>
  <c r="H151" i="2" s="1"/>
  <c r="K151" i="2"/>
  <c r="J216" i="2"/>
  <c r="H216" i="2" s="1"/>
  <c r="K195" i="2"/>
  <c r="J195" i="2"/>
  <c r="H195" i="2" s="1"/>
  <c r="K94" i="2"/>
  <c r="J94" i="2"/>
  <c r="H94" i="2" s="1"/>
  <c r="I94" i="2"/>
  <c r="K16" i="2"/>
</calcChain>
</file>

<file path=xl/sharedStrings.xml><?xml version="1.0" encoding="utf-8"?>
<sst xmlns="http://schemas.openxmlformats.org/spreadsheetml/2006/main" count="3362" uniqueCount="893">
  <si>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</si>
  <si>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</si>
  <si>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</si>
  <si>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</si>
  <si>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</si>
  <si>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</si>
  <si>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</si>
  <si>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</si>
  <si>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</si>
  <si>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</si>
  <si>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</si>
  <si>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_</t>
  </si>
  <si>
    <t>Im All wimmelt es von Planeten .</t>
  </si>
  <si>
    <t>2</t>
  </si>
  <si>
    <t>(and)</t>
  </si>
  <si>
    <t>Ich will , dass wir in nur einem Jahrzehnt ein Weltraumteleskop bauen , das das Bild einer Erde im Orbit eines anderen Sterns erfassen und herausfinden kann , ob es dort Leben geben könnte .</t>
  </si>
  <si>
    <t>Conjunction</t>
  </si>
  <si>
    <t>(orig: Expansion.Conjunction)</t>
  </si>
  <si>
    <t>3</t>
  </si>
  <si>
    <t>(that is why)</t>
  </si>
  <si>
    <t>Meine Kollegen im NASA Jet Propulsion Laboratory in Princeton und ich arbeiten an einer Technologie , die in einigen Jahren genau dazu in der Lage sein wird .</t>
  </si>
  <si>
    <t>result</t>
  </si>
  <si>
    <t>(orig: Contingency.Cause.Result)</t>
  </si>
  <si>
    <t>4</t>
  </si>
  <si>
    <t>Astronomen glauben heute , dass jeder Stern in der Galaxis einen Planeten hat .</t>
  </si>
  <si>
    <t>5</t>
  </si>
  <si>
    <t>(specifically)</t>
  </si>
  <si>
    <t>Sie schätzen , dass bis zu ein Fünftel davon einen erdähnlichen Planeten hat , auf dem Leben möglich wäre .</t>
  </si>
  <si>
    <t>specific</t>
  </si>
  <si>
    <t>(orig: Expansion.Level-of-detail.Arg2-as-detail)</t>
  </si>
  <si>
    <t>6</t>
  </si>
  <si>
    <t>Gesehen aber haben wir noch keinen ; wir haben sie nur indirekt erfasst .</t>
  </si>
  <si>
    <t>contra-expectation</t>
  </si>
  <si>
    <t>(orig: Comparison.Concession.Arg2-as-denier)</t>
  </si>
  <si>
    <t>7</t>
  </si>
  <si>
    <t>Dies ist das berühmte NASA-Foto vom blass-blauen Punkt .</t>
  </si>
  <si>
    <t>8</t>
  </si>
  <si>
    <t>Aufgenommen wurde es 1990 von der Raumsonde Voyager , als man sie beim Verlassen des Sonnensystems drehte , um aus einer Entfernung von 6 Mrd.</t>
  </si>
  <si>
    <t>9</t>
  </si>
  <si>
    <t>km eine Foto von der Erde zu machen .</t>
  </si>
  <si>
    <t>10</t>
  </si>
  <si>
    <t>So ein Bild möchte ich von einem erdähnlichen Planeten eines anderen Sterns machen .</t>
  </si>
  <si>
    <t>11</t>
  </si>
  <si>
    <t>(but)</t>
  </si>
  <si>
    <t>Warum gibt es das noch nicht ?</t>
  </si>
  <si>
    <t>12</t>
  </si>
  <si>
    <t>Warum ist das schwer ?</t>
  </si>
  <si>
    <t>13</t>
  </si>
  <si>
    <t>Stellen Sie sich vor , wir nähmen das Hubble Weltraumteleskop , drehten es um und setzten es in eine Umlaufbahn um den Mars .</t>
  </si>
  <si>
    <t>14</t>
  </si>
  <si>
    <t>(as a result)</t>
  </si>
  <si>
    <t>Wir würden vermutlich ein leicht unscharfes Bild der Erde sehen , weil wir ein recht kleines Teleskop in der Umlaufbahn des Mars sind .</t>
  </si>
  <si>
    <t>15</t>
  </si>
  <si>
    <t>(then)</t>
  </si>
  <si>
    <t>Nun gehen wir auf die 10-fache Distanz .</t>
  </si>
  <si>
    <t>before</t>
  </si>
  <si>
    <t>(orig: Temporal.Asynchronous.Precedence)</t>
  </si>
  <si>
    <t>16</t>
  </si>
  <si>
    <t>Hier sind wir in der Umlaufbahn des Uranus .</t>
  </si>
  <si>
    <t>17</t>
  </si>
  <si>
    <t>Das Bild ist kleiner , weniger detailliert , gröber .</t>
  </si>
  <si>
    <t>18</t>
  </si>
  <si>
    <t>(nevertheless)</t>
  </si>
  <si>
    <t>Man sieht den kleinen Mond noch .</t>
  </si>
  <si>
    <t>19</t>
  </si>
  <si>
    <t>(after that)</t>
  </si>
  <si>
    <t>Gehen wir wieder 10-mal so weit weg !</t>
  </si>
  <si>
    <t>20</t>
  </si>
  <si>
    <t>Hier sind wir am Rand des Sonnensystems , im Kuipergürtel .</t>
  </si>
  <si>
    <t>21</t>
  </si>
  <si>
    <t>(in fact)</t>
  </si>
  <si>
    <t>Es gibt gar keine Auflösung mehr .</t>
  </si>
  <si>
    <t>22</t>
  </si>
  <si>
    <t>(in other words)</t>
  </si>
  <si>
    <t>Die Erde ist nun Carl Sagans blass-blauer Punkt .</t>
  </si>
  <si>
    <t>Similarity</t>
  </si>
  <si>
    <t>(orig: Comparison.Similarity)</t>
  </si>
  <si>
    <t>23</t>
  </si>
  <si>
    <t>Wir entfernen uns wieder um das 10-Fache .</t>
  </si>
  <si>
    <t>24</t>
  </si>
  <si>
    <t>Nun sind wir in der Oort ' schen Wolke außerhalb des Sonnensystems , und wir sehen , wie die Sonne langsam in unser Sichtfeld rückt , wo sich der Planet befindet .</t>
  </si>
  <si>
    <t>25</t>
  </si>
  <si>
    <t>Und wieder 10-mal weiter weg .</t>
  </si>
  <si>
    <t>26</t>
  </si>
  <si>
    <t>Nun sind wir bei Alpha Centauri , unserem nächsten Nachbarstern , und der Planet ist weg .</t>
  </si>
  <si>
    <t>27</t>
  </si>
  <si>
    <t>Alles , was wir sehen , ist das große strahlende Bild des Sterns , der 10-Mrd.-mal heller leuchtet als der Planet , der in dem kleinen roten Kreis sein sollte .</t>
  </si>
  <si>
    <t>28</t>
  </si>
  <si>
    <t>Das wollen wir sehen .</t>
  </si>
  <si>
    <t>29</t>
  </si>
  <si>
    <t>Deshalb ist es so schwer !</t>
  </si>
  <si>
    <t>30</t>
  </si>
  <si>
    <t>Das Licht vom Stern wird gebeugt , im Inneren des Teleskops gestreut , und erzeugt das sehr helle Bild , das den Planeten verblassen lässt .</t>
  </si>
  <si>
    <t>31</t>
  </si>
  <si>
    <t>(so)</t>
  </si>
  <si>
    <t>Um den Planeten sichtbar zu machen , müssen wir etwas gegen all das Licht tun .</t>
  </si>
  <si>
    <t>32</t>
  </si>
  <si>
    <t>Wir müssen es loswerden .</t>
  </si>
  <si>
    <t>Restatement</t>
  </si>
  <si>
    <t>(orig: Expansion.Equivalence)</t>
  </si>
  <si>
    <t>33</t>
  </si>
  <si>
    <t>Viele meiner Kollegen arbeiten an tollen Technologien zu dem Zweck , aber ich möchte Ihnen heute die vorstellen , die ich am coolsten finde und die uns am ehesten innerhalb des nächsten Jahrzehnts eine Erde liefert .</t>
  </si>
  <si>
    <t>34</t>
  </si>
  <si>
    <t>(in particular)</t>
  </si>
  <si>
    <t>Vorgestellt wurde die Idee 1962 vom Vater des Weltraumteleskops , Lyman Spitzer .</t>
  </si>
  <si>
    <t>35</t>
  </si>
  <si>
    <t>(because)</t>
  </si>
  <si>
    <t>Dazu angeregt hatte ihn eine Eklipse .</t>
  </si>
  <si>
    <t>reason</t>
  </si>
  <si>
    <t>(orig: Contingency.Cause.Reason)</t>
  </si>
  <si>
    <t>36</t>
  </si>
  <si>
    <t>Sie kennen das alle : eine Sonnenfinsternis .</t>
  </si>
  <si>
    <t>37</t>
  </si>
  <si>
    <t>(namely)</t>
  </si>
  <si>
    <t>Der Mond hat sich vor die Sonne geschoben .</t>
  </si>
  <si>
    <t>38</t>
  </si>
  <si>
    <t>Er deckt den Großteils des Lichts ab und wir sehen um ihn herum eine matte Korona .</t>
  </si>
  <si>
    <t>39</t>
  </si>
  <si>
    <t>Es ist wie wenn ich den Daumen hochhalte und den Strahler abblocke , der mich blendet : Ich kann Sie in der hinteren Reihe sehen .</t>
  </si>
  <si>
    <t>40</t>
  </si>
  <si>
    <t>Also , was passiert hier ?</t>
  </si>
  <si>
    <t>41</t>
  </si>
  <si>
    <t>Nun , der Mond wirft einen Schatten auf die Erde .</t>
  </si>
  <si>
    <t>42</t>
  </si>
  <si>
    <t>Wir platzieren ein Teleskop oder eine Kamera in diesen Schatten , blicken zurück auf die Sonne , der Großteil des Lichts ist weg , und wir können die matte , feine Struktur in der Korona erkennen .</t>
  </si>
  <si>
    <t>43</t>
  </si>
  <si>
    <t>Spitzer schlug vor , das im Weltraum nachzustellen .</t>
  </si>
  <si>
    <t>44</t>
  </si>
  <si>
    <t>Wir bauen eine große Lichtblende , fliegen sie ins All , platzieren sie vor dem Stern , verdecken den Großteil des Lichts , fliegen ein Weltraumteleskop in den so erzeugten Schatten und " Zack ! " -- wir sehen Planeten .</t>
  </si>
  <si>
    <t>45</t>
  </si>
  <si>
    <t>Aussehen würde das ungefähr so : Da ist die große Lichtblende -- und es gibt keine Planeten .</t>
  </si>
  <si>
    <t>46</t>
  </si>
  <si>
    <t>Denn leider funktioniert das so nicht sehr gut , weil die Lichtwellen des Lichts und die Wellen um die Lichtblende gebeugt werden , auf dieselbe Weise wie im Teleskop .</t>
  </si>
  <si>
    <t>47</t>
  </si>
  <si>
    <t>Es ist wie Wasser , das einen Stein im Bach umfließt , und all das Licht zerstört den Schatten einfach .</t>
  </si>
  <si>
    <t>48</t>
  </si>
  <si>
    <t>Es ist ein schlechter Schatten : Wir sehen keine Planeten .</t>
  </si>
  <si>
    <t>(orig: Contingency.Cause+SpeechAct.Result+SpeechAct)</t>
  </si>
  <si>
    <t>49</t>
  </si>
  <si>
    <t>Aber Spitzer kannte die Lösung .</t>
  </si>
  <si>
    <t>50</t>
  </si>
  <si>
    <t>Wenn wir die Kanten aufbrechen , sie weicher machen könnten , um die Beugung zu reduzieren , dann können wir einen Planeten sehen .</t>
  </si>
  <si>
    <t>51</t>
  </si>
  <si>
    <t>In den letzten , rund zehn Jahren haben wir genau dafür optimale Lösungen gefunden .</t>
  </si>
  <si>
    <t>52</t>
  </si>
  <si>
    <t>(for instace)</t>
  </si>
  <si>
    <t>Eine davon sieht ungefähr so aus : Wir nennen sie blütenförmige Sternenblende ( " Starshade " ) .</t>
  </si>
  <si>
    <t>instance</t>
  </si>
  <si>
    <t>(orig: Expansion.Instantiation)</t>
  </si>
  <si>
    <t>53</t>
  </si>
  <si>
    <t>Wenn wir die Kanten der Blütenblätter genau richtig hinbekommen , regulieren wir ihre Form so , dass wir die Beugung reduzieren .</t>
  </si>
  <si>
    <t>54</t>
  </si>
  <si>
    <t>Nun ist es ein toller Schatten .</t>
  </si>
  <si>
    <t>55</t>
  </si>
  <si>
    <t>Er ist etwa 10-Mrd.-mal dunkler als zuvor , und wir erkennen die angestrahlten Planeten -- einfach so .</t>
  </si>
  <si>
    <t>56</t>
  </si>
  <si>
    <t>Sie muss natürlich größer sein als mein Daumen .</t>
  </si>
  <si>
    <t>57</t>
  </si>
  <si>
    <t>Starshade ist halb so groß wie ein Fußballfeld .</t>
  </si>
  <si>
    <t>58</t>
  </si>
  <si>
    <t>Sie muss 50 000 Kilometer vom Teleskop wegfliegen , das exakt in ihrem Schatten bleiben muss , und dann können wir diese Planeten sehen .</t>
  </si>
  <si>
    <t>59</t>
  </si>
  <si>
    <t>Das klingt schwierig , aber brillante Ingenieure , meine Kollegen bei JPL , haben ein fabelhaftes Design entwickelt , und das sieht so aus .</t>
  </si>
  <si>
    <t>60</t>
  </si>
  <si>
    <t>Sie ist anfangs um eine Nabe gewickelt .</t>
  </si>
  <si>
    <t>61</t>
  </si>
  <si>
    <t>Sie trennt sich vom Teleskop .</t>
  </si>
  <si>
    <t>62</t>
  </si>
  <si>
    <t>Die Blütenblätter entfalten sich -- öffnen sich .</t>
  </si>
  <si>
    <t>63</t>
  </si>
  <si>
    <t>Das Teleskop dreht sich herum .</t>
  </si>
  <si>
    <t>64</t>
  </si>
  <si>
    <t>Sie sehen , wie Starshade wendet und 50 000 Kilometer vom Teleskop wegfliegt .</t>
  </si>
  <si>
    <t>65</t>
  </si>
  <si>
    <t>Sie wird sich vor den Stern platzieren und , einfach so , einen wunderbaren Schatten erzeugen .</t>
  </si>
  <si>
    <t>66</t>
  </si>
  <si>
    <t>Zack , wir kriegen die Planeten in seiner Umlaufbahn .</t>
  </si>
  <si>
    <t>67</t>
  </si>
  <si>
    <t>( Applaus ) Vielen Dank .</t>
  </si>
  <si>
    <t>68</t>
  </si>
  <si>
    <t>Das ist kein Science-Fiction .</t>
  </si>
  <si>
    <t>69</t>
  </si>
  <si>
    <t>Wir arbeiten seit 5 oder 6 Jahren daran .</t>
  </si>
  <si>
    <t>70</t>
  </si>
  <si>
    <t>(for instance)</t>
  </si>
  <si>
    <t>Letzten Sommer haben wir einen coolen Test durchgeführt , in Kalifornien bei Northrop Grumman .</t>
  </si>
  <si>
    <t>71</t>
  </si>
  <si>
    <t>Dies sind vier Blütenblätter einer Starshade im kleinen Maßstab .</t>
  </si>
  <si>
    <t>72</t>
  </si>
  <si>
    <t>Sie ist ca. halb so groß wie die , die Sie eben sahen .</t>
  </si>
  <si>
    <t>73</t>
  </si>
  <si>
    <t>Hier entfalten sich die Blätter .</t>
  </si>
  <si>
    <t>74</t>
  </si>
  <si>
    <t>Vier Studenten haben diese vier Blätter im Sommerpraktikum bei JPL gebaut .</t>
  </si>
  <si>
    <t>75</t>
  </si>
  <si>
    <t>Sie sehen , wie sie ausfahren .</t>
  </si>
  <si>
    <t>76</t>
  </si>
  <si>
    <t>Die Blätter müssen sich richtig drehen .</t>
  </si>
  <si>
    <t>77</t>
  </si>
  <si>
    <t>Das Gerüst der Blätter muss jedes Mal exakt zur selben Stelle ausfahren , auf ein Zehntel Millimeter genau .</t>
  </si>
  <si>
    <t>78</t>
  </si>
  <si>
    <t>Wir haben den Test 16-mal ausgeführt , und 16-mal blieb es exakt an derselben Stelle stehen , auf ein Zehntel Millimeter genau .</t>
  </si>
  <si>
    <t>79</t>
  </si>
  <si>
    <t>Dies muss mit absoluter Präzision erfolgen , aber wenn es gelingt , diese Technologie zu bauen und ins All zu bringen , dann könnte man so etwas erblicken : Dies ist ein Bild eines unserer Nachbarsterne vom Hubble-Weltraumteleskop .</t>
  </si>
  <si>
    <t>80</t>
  </si>
  <si>
    <t>Wenn wir ein ähnliches Weltraumteleskop , ein etwas größeres , dort hinausbringen und eine Blende davorfliegen könnten , dann sähen wir vielleicht so etwas ...</t>
  </si>
  <si>
    <t>81</t>
  </si>
  <si>
    <t>Das ist ein Familienporträt des Sonnensystems -- aber nicht unseres ; wir hoffen auf ein anderes Sonnensystem -- , durch eine Blende gesehen , eine Starshade wie diese .</t>
  </si>
  <si>
    <t>82</t>
  </si>
  <si>
    <t>Sie sehen Jupiter , Saturn , Uranus , Neptun und , direkt dort in der Mitte , neben dem Rest an Licht , ist der blass-blaue Punkt .</t>
  </si>
  <si>
    <t>83</t>
  </si>
  <si>
    <t>Das ist die Erde .</t>
  </si>
  <si>
    <t>84</t>
  </si>
  <si>
    <t>Das wollen wir sehen -- sehen , ob es Wasser gibt , Sauerstoff , Ozon , Dinge , die uns verraten , ob es dort Leben geben könnte .</t>
  </si>
  <si>
    <t>85</t>
  </si>
  <si>
    <t>(that's why)</t>
  </si>
  <si>
    <t>Für mich ist dies die coolste Wissenschaft .</t>
  </si>
  <si>
    <t>86</t>
  </si>
  <si>
    <t>Darum arbeite ich in diesem Feld , weil ich denke , das wird die Welt verändern .</t>
  </si>
  <si>
    <t>87</t>
  </si>
  <si>
    <t>Wenn wir das sehen , wird das alles verändern .</t>
  </si>
  <si>
    <t>88</t>
  </si>
  <si>
    <t>Vielen Dank .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</si>
  <si>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</si>
  <si>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</si>
  <si>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</si>
  <si>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</si>
  <si>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</si>
  <si>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</si>
  <si>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</si>
  <si>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</si>
  <si>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</si>
  <si>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</si>
  <si>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</si>
  <si>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Im All wimmelt es von Planeten .</t>
  </si>
  <si>
    <t>In</t>
  </si>
  <si>
    <t>dem</t>
  </si>
  <si>
    <t>All</t>
  </si>
  <si>
    <t>other</t>
  </si>
  <si>
    <t>def-np.the</t>
  </si>
  <si>
    <t>?OLD</t>
  </si>
  <si>
    <t>wimmelt</t>
  </si>
  <si>
    <t>es</t>
  </si>
  <si>
    <t>SBJ</t>
  </si>
  <si>
    <t>pron.pper</t>
  </si>
  <si>
    <t>von</t>
  </si>
  <si>
    <t>Planeten</t>
  </si>
  <si>
    <t>indef-np.bare</t>
  </si>
  <si>
    <t>.</t>
  </si>
  <si>
    <t># text = Ich will , dass wir in nur einem Jahrzehnt ein Weltraumteleskop bauen , das das Bild einer Erde im Orbit eines anderen Sterns erfassen und herausfinden kann , ob es dort Leben geben könnte .</t>
  </si>
  <si>
    <t>Ich</t>
  </si>
  <si>
    <t>will</t>
  </si>
  <si>
    <t>,</t>
  </si>
  <si>
    <t>dass</t>
  </si>
  <si>
    <t>wir</t>
  </si>
  <si>
    <t>SBJ_2</t>
  </si>
  <si>
    <t>pron</t>
  </si>
  <si>
    <t>in</t>
  </si>
  <si>
    <t>nur</t>
  </si>
  <si>
    <t>einem</t>
  </si>
  <si>
    <t>Jahrzehnt</t>
  </si>
  <si>
    <t>other_2</t>
  </si>
  <si>
    <t>indef-np.a</t>
  </si>
  <si>
    <t>ein</t>
  </si>
  <si>
    <t>Weltraumteleskop</t>
  </si>
  <si>
    <t>OBJ_2</t>
  </si>
  <si>
    <t>bauen</t>
  </si>
  <si>
    <t>das</t>
  </si>
  <si>
    <t>Bild</t>
  </si>
  <si>
    <t>einer</t>
  </si>
  <si>
    <t>Erde</t>
  </si>
  <si>
    <t>Orbit</t>
  </si>
  <si>
    <t>other_3</t>
  </si>
  <si>
    <t>eines</t>
  </si>
  <si>
    <t>anderen</t>
  </si>
  <si>
    <t>Sterns</t>
  </si>
  <si>
    <t>other_4</t>
  </si>
  <si>
    <t>erfassen</t>
  </si>
  <si>
    <t>und</t>
  </si>
  <si>
    <t>herausfinden</t>
  </si>
  <si>
    <t>kann</t>
  </si>
  <si>
    <t>ob</t>
  </si>
  <si>
    <t>SBJ_3</t>
  </si>
  <si>
    <t>dort</t>
  </si>
  <si>
    <t>Leben</t>
  </si>
  <si>
    <t>OBJ_3</t>
  </si>
  <si>
    <t>geben</t>
  </si>
  <si>
    <t>könnte</t>
  </si>
  <si>
    <t># text = Meine Kollegen im NASA Jet Propulsion Laboratory in Princeton und ich arbeiten an einer Technologie , die in einigen Jahren genau dazu in der Lage sein wird .</t>
  </si>
  <si>
    <t>Meine</t>
  </si>
  <si>
    <t>pron.ppos</t>
  </si>
  <si>
    <t>Kollegen</t>
  </si>
  <si>
    <t>OBJ</t>
  </si>
  <si>
    <t>NASA</t>
  </si>
  <si>
    <t>ne</t>
  </si>
  <si>
    <t>Jet</t>
  </si>
  <si>
    <t>Propulsion</t>
  </si>
  <si>
    <t>Laboratory</t>
  </si>
  <si>
    <t>Princeton</t>
  </si>
  <si>
    <t>ich</t>
  </si>
  <si>
    <t>arbeiten</t>
  </si>
  <si>
    <t>an</t>
  </si>
  <si>
    <t>Technologie</t>
  </si>
  <si>
    <t>die</t>
  </si>
  <si>
    <t>einigen</t>
  </si>
  <si>
    <t>pron.pind</t>
  </si>
  <si>
    <t>Jahren</t>
  </si>
  <si>
    <t>indef-np.quant</t>
  </si>
  <si>
    <t>genau</t>
  </si>
  <si>
    <t>dazu</t>
  </si>
  <si>
    <t>der</t>
  </si>
  <si>
    <t>Lage</t>
  </si>
  <si>
    <t>sein</t>
  </si>
  <si>
    <t>wird</t>
  </si>
  <si>
    <t># text = Astronomen glauben heute , dass jeder Stern in der Galaxis einen Planeten hat .</t>
  </si>
  <si>
    <t>Astronomen</t>
  </si>
  <si>
    <t>glauben</t>
  </si>
  <si>
    <t>heute</t>
  </si>
  <si>
    <t>jeder</t>
  </si>
  <si>
    <t>Stern</t>
  </si>
  <si>
    <t>Galaxis</t>
  </si>
  <si>
    <t>einen</t>
  </si>
  <si>
    <t>hat</t>
  </si>
  <si>
    <t># text = Sie schätzen , dass bis zu ein Fünftel davon einen erdähnlichen Planeten hat , auf dem Leben möglich wäre .</t>
  </si>
  <si>
    <t>Sie</t>
  </si>
  <si>
    <t>schätzen</t>
  </si>
  <si>
    <t>bis</t>
  </si>
  <si>
    <t>zu</t>
  </si>
  <si>
    <t>Fünftel</t>
  </si>
  <si>
    <t>davon</t>
  </si>
  <si>
    <t>erdähnlichen</t>
  </si>
  <si>
    <t>auf</t>
  </si>
  <si>
    <t>möglich</t>
  </si>
  <si>
    <t>wäre</t>
  </si>
  <si>
    <t># text = Gesehen aber haben wir noch keinen ; wir haben sie nur indirekt erfasst .</t>
  </si>
  <si>
    <t>Gesehen</t>
  </si>
  <si>
    <t>aber</t>
  </si>
  <si>
    <t>haben</t>
  </si>
  <si>
    <t>noch</t>
  </si>
  <si>
    <t>keinen</t>
  </si>
  <si>
    <t>;</t>
  </si>
  <si>
    <t>sie</t>
  </si>
  <si>
    <t>indirekt</t>
  </si>
  <si>
    <t>erfasst</t>
  </si>
  <si>
    <t># text = Dies ist das berühmte NASA-Foto vom blass-blauen Punkt .</t>
  </si>
  <si>
    <t>Dies</t>
  </si>
  <si>
    <t>pron.pds</t>
  </si>
  <si>
    <t>ist</t>
  </si>
  <si>
    <t>berühmte</t>
  </si>
  <si>
    <t>Foto</t>
  </si>
  <si>
    <t>blass-</t>
  </si>
  <si>
    <t>blauen</t>
  </si>
  <si>
    <t>Punkt</t>
  </si>
  <si>
    <t># text = Aufgenommen wurde es 1990 von der Raumsonde Voyager , als man sie beim Verlassen des Sonnensystems drehte , um aus einer Entfernung von 6 Mrd.</t>
  </si>
  <si>
    <t>Aufgenommen</t>
  </si>
  <si>
    <t>wurde</t>
  </si>
  <si>
    <t>1990</t>
  </si>
  <si>
    <t>Raumsonde</t>
  </si>
  <si>
    <t>Voyager</t>
  </si>
  <si>
    <t>als</t>
  </si>
  <si>
    <t>man</t>
  </si>
  <si>
    <t>bei</t>
  </si>
  <si>
    <t>Verlassen</t>
  </si>
  <si>
    <t>des</t>
  </si>
  <si>
    <t>Sonnensystems</t>
  </si>
  <si>
    <t>drehte</t>
  </si>
  <si>
    <t>um</t>
  </si>
  <si>
    <t>aus</t>
  </si>
  <si>
    <t>Entfernung</t>
  </si>
  <si>
    <t>Mrd</t>
  </si>
  <si>
    <t># text = km eine Foto von der Erde zu machen .</t>
  </si>
  <si>
    <t>km</t>
  </si>
  <si>
    <t>eine</t>
  </si>
  <si>
    <t>machen</t>
  </si>
  <si>
    <t># text = So ein Bild möchte ich von einem erdähnlichen Planeten eines anderen Sterns machen .</t>
  </si>
  <si>
    <t>So</t>
  </si>
  <si>
    <t>möchte</t>
  </si>
  <si>
    <t># text = Warum gibt es das noch nicht ?</t>
  </si>
  <si>
    <t>Warum</t>
  </si>
  <si>
    <t>gibt</t>
  </si>
  <si>
    <t>nicht</t>
  </si>
  <si>
    <t>?</t>
  </si>
  <si>
    <t># text = Warum ist das schwer ?</t>
  </si>
  <si>
    <t>schwer</t>
  </si>
  <si>
    <t># text = Stellen Sie sich vor , wir nähmen das Hubble Weltraumteleskop , drehten es um und setzten es in eine Umlaufbahn um den Mars .</t>
  </si>
  <si>
    <t>Stellen</t>
  </si>
  <si>
    <t>sich</t>
  </si>
  <si>
    <t>vor</t>
  </si>
  <si>
    <t>nähmen</t>
  </si>
  <si>
    <t>Hubble</t>
  </si>
  <si>
    <t>drehten</t>
  </si>
  <si>
    <t>setzten</t>
  </si>
  <si>
    <t>Umlaufbahn</t>
  </si>
  <si>
    <t>den</t>
  </si>
  <si>
    <t>Mars</t>
  </si>
  <si>
    <t># text = Wir würden vermutlich ein leicht unscharfes Bild der Erde sehen , weil wir ein recht kleines Teleskop in der Umlaufbahn des Mars sind .</t>
  </si>
  <si>
    <t>Wir</t>
  </si>
  <si>
    <t>würden</t>
  </si>
  <si>
    <t>vermutlich</t>
  </si>
  <si>
    <t>leicht</t>
  </si>
  <si>
    <t>unscharfes</t>
  </si>
  <si>
    <t>sehen</t>
  </si>
  <si>
    <t>weil</t>
  </si>
  <si>
    <t>recht</t>
  </si>
  <si>
    <t>kleines</t>
  </si>
  <si>
    <t>Teleskop</t>
  </si>
  <si>
    <t>sind</t>
  </si>
  <si>
    <t># text = Nun gehen wir auf die 10-fache Distanz .</t>
  </si>
  <si>
    <t>Nun</t>
  </si>
  <si>
    <t>gehen</t>
  </si>
  <si>
    <t>10-</t>
  </si>
  <si>
    <t>fache</t>
  </si>
  <si>
    <t>Distanz</t>
  </si>
  <si>
    <t># text = Hier sind wir in der Umlaufbahn des Uranus .</t>
  </si>
  <si>
    <t>Hier</t>
  </si>
  <si>
    <t>Uranus</t>
  </si>
  <si>
    <t># text = Das Bild ist kleiner , weniger detailliert , gröber .</t>
  </si>
  <si>
    <t>Das</t>
  </si>
  <si>
    <t>kleiner</t>
  </si>
  <si>
    <t>weniger</t>
  </si>
  <si>
    <t>detailliert</t>
  </si>
  <si>
    <t>gröber</t>
  </si>
  <si>
    <t># text = Man sieht den kleinen Mond noch .</t>
  </si>
  <si>
    <t>Man</t>
  </si>
  <si>
    <t>sieht</t>
  </si>
  <si>
    <t>kleinen</t>
  </si>
  <si>
    <t>Mond</t>
  </si>
  <si>
    <t># text = Gehen wir wieder 10-mal so weit weg !</t>
  </si>
  <si>
    <t>Gehen</t>
  </si>
  <si>
    <t>wieder</t>
  </si>
  <si>
    <t>10-mal</t>
  </si>
  <si>
    <t>so</t>
  </si>
  <si>
    <t>weit</t>
  </si>
  <si>
    <t>weg</t>
  </si>
  <si>
    <t>!</t>
  </si>
  <si>
    <t># text = Hier sind wir am Rand des Sonnensystems , im Kuipergürtel .</t>
  </si>
  <si>
    <t>Rand</t>
  </si>
  <si>
    <t>Kuipergürtel</t>
  </si>
  <si>
    <t># text = Es gibt gar keine Auflösung mehr .</t>
  </si>
  <si>
    <t>Es</t>
  </si>
  <si>
    <t>gar</t>
  </si>
  <si>
    <t>keine</t>
  </si>
  <si>
    <t>Auflösung</t>
  </si>
  <si>
    <t>mehr</t>
  </si>
  <si>
    <t># text = Die Erde ist nun Carl Sagans blass-blauer Punkt .</t>
  </si>
  <si>
    <t>Die</t>
  </si>
  <si>
    <t>nun</t>
  </si>
  <si>
    <t>Carl</t>
  </si>
  <si>
    <t>Sagans</t>
  </si>
  <si>
    <t>blauer</t>
  </si>
  <si>
    <t># text = Wir entfernen uns wieder um das 10-Fache .</t>
  </si>
  <si>
    <t>entfernen</t>
  </si>
  <si>
    <t>uns</t>
  </si>
  <si>
    <t>Fache</t>
  </si>
  <si>
    <t>def-np.quant</t>
  </si>
  <si>
    <t># text = Nun sind wir in der Oort ' schen Wolke außerhalb des Sonnensystems , und wir sehen , wie die Sonne langsam in unser Sichtfeld rückt , wo sich der Planet befindet .</t>
  </si>
  <si>
    <t>Oort</t>
  </si>
  <si>
    <t>'</t>
  </si>
  <si>
    <t>schen</t>
  </si>
  <si>
    <t>Wolke</t>
  </si>
  <si>
    <t>außerhalb</t>
  </si>
  <si>
    <t>wie</t>
  </si>
  <si>
    <t>Sonne</t>
  </si>
  <si>
    <t>langsam</t>
  </si>
  <si>
    <t>unser</t>
  </si>
  <si>
    <t>Sichtfeld</t>
  </si>
  <si>
    <t>rückt</t>
  </si>
  <si>
    <t>wo</t>
  </si>
  <si>
    <t>Planet</t>
  </si>
  <si>
    <t>SBJ_4</t>
  </si>
  <si>
    <t>befindet</t>
  </si>
  <si>
    <t># text = Und wieder 10-mal weiter weg .</t>
  </si>
  <si>
    <t>Und</t>
  </si>
  <si>
    <t>weiter</t>
  </si>
  <si>
    <t># text = Nun sind wir bei Alpha Centauri , unserem nächsten Nachbarstern , und der Planet ist weg .</t>
  </si>
  <si>
    <t>Alpha</t>
  </si>
  <si>
    <t>Centauri</t>
  </si>
  <si>
    <t>unserem</t>
  </si>
  <si>
    <t>nächsten</t>
  </si>
  <si>
    <t>Nachbarstern</t>
  </si>
  <si>
    <t>indef-np</t>
  </si>
  <si>
    <t># text = Alles , was wir sehen , ist das große strahlende Bild des Sterns , der 10-Mrd.-mal heller leuchtet als der Planet , der in dem kleinen roten Kreis sein sollte .</t>
  </si>
  <si>
    <t>Alles</t>
  </si>
  <si>
    <t>was</t>
  </si>
  <si>
    <t>große</t>
  </si>
  <si>
    <t>strahlende</t>
  </si>
  <si>
    <t>Mrd.-mal</t>
  </si>
  <si>
    <t>heller</t>
  </si>
  <si>
    <t>leuchtet</t>
  </si>
  <si>
    <t>roten</t>
  </si>
  <si>
    <t>Kreis</t>
  </si>
  <si>
    <t>sollte</t>
  </si>
  <si>
    <t># text = Das wollen wir sehen .</t>
  </si>
  <si>
    <t>wollen</t>
  </si>
  <si>
    <t># text = Deshalb ist es so schwer !</t>
  </si>
  <si>
    <t>Deshalb</t>
  </si>
  <si>
    <t># text = Das Licht vom Stern wird gebeugt , im Inneren des Teleskops gestreut , und erzeugt das sehr helle Bild , das den Planeten verblassen lässt .</t>
  </si>
  <si>
    <t>Licht</t>
  </si>
  <si>
    <t>gebeugt</t>
  </si>
  <si>
    <t>Inneren</t>
  </si>
  <si>
    <t>Teleskops</t>
  </si>
  <si>
    <t>gestreut</t>
  </si>
  <si>
    <t>erzeugt</t>
  </si>
  <si>
    <t>sehr</t>
  </si>
  <si>
    <t>helle</t>
  </si>
  <si>
    <t>OBJ_4</t>
  </si>
  <si>
    <t>verblassen</t>
  </si>
  <si>
    <t>lässt</t>
  </si>
  <si>
    <t># text = Um den Planeten sichtbar zu machen , müssen wir etwas gegen all das Licht tun .</t>
  </si>
  <si>
    <t>Um</t>
  </si>
  <si>
    <t>sichtbar</t>
  </si>
  <si>
    <t>müssen</t>
  </si>
  <si>
    <t>etwas</t>
  </si>
  <si>
    <t>gegen</t>
  </si>
  <si>
    <t>all</t>
  </si>
  <si>
    <t>tun</t>
  </si>
  <si>
    <t># text = Wir müssen es loswerden .</t>
  </si>
  <si>
    <t>loswerden</t>
  </si>
  <si>
    <t># text = Viele meiner Kollegen arbeiten an tollen Technologien zu dem Zweck , aber ich möchte Ihnen heute die vorstellen , die ich am coolsten finde und die uns am ehesten innerhalb des nächsten Jahrzehnts eine Erde liefert .</t>
  </si>
  <si>
    <t>Viele</t>
  </si>
  <si>
    <t>meiner</t>
  </si>
  <si>
    <t>tollen</t>
  </si>
  <si>
    <t>Technologien</t>
  </si>
  <si>
    <t>Zweck</t>
  </si>
  <si>
    <t>Ihnen</t>
  </si>
  <si>
    <t>vorstellen</t>
  </si>
  <si>
    <t>coolsten</t>
  </si>
  <si>
    <t>finde</t>
  </si>
  <si>
    <t>OBJ_5</t>
  </si>
  <si>
    <t>ehesten</t>
  </si>
  <si>
    <t>innerhalb</t>
  </si>
  <si>
    <t>Jahrzehnts</t>
  </si>
  <si>
    <t>other_5</t>
  </si>
  <si>
    <t>liefert</t>
  </si>
  <si>
    <t># text = Vorgestellt wurde die Idee 1962 vom Vater des Weltraumteleskops , Lyman Spitzer .</t>
  </si>
  <si>
    <t>Vorgestellt</t>
  </si>
  <si>
    <t>Idee</t>
  </si>
  <si>
    <t>1962</t>
  </si>
  <si>
    <t>Vater</t>
  </si>
  <si>
    <t>Weltraumteleskops</t>
  </si>
  <si>
    <t>Lyman</t>
  </si>
  <si>
    <t>Spitzer</t>
  </si>
  <si>
    <t># text = Dazu angeregt hatte ihn eine Eklipse .</t>
  </si>
  <si>
    <t>Dazu</t>
  </si>
  <si>
    <t>angeregt</t>
  </si>
  <si>
    <t>hatte</t>
  </si>
  <si>
    <t>ihn</t>
  </si>
  <si>
    <t>Eklipse</t>
  </si>
  <si>
    <t># text = Sie kennen das alle : eine Sonnenfinsternis .</t>
  </si>
  <si>
    <t>kennen</t>
  </si>
  <si>
    <t>alle</t>
  </si>
  <si>
    <t>:</t>
  </si>
  <si>
    <t>Sonnenfinsternis</t>
  </si>
  <si>
    <t># text = Der Mond hat sich vor die Sonne geschoben .</t>
  </si>
  <si>
    <t>Der</t>
  </si>
  <si>
    <t>geschoben</t>
  </si>
  <si>
    <t># text = Er deckt den Großteils des Lichts ab und wir sehen um ihn herum eine matte Korona .</t>
  </si>
  <si>
    <t>Er</t>
  </si>
  <si>
    <t>deckt</t>
  </si>
  <si>
    <t>Großteils</t>
  </si>
  <si>
    <t>Lichts</t>
  </si>
  <si>
    <t>ab</t>
  </si>
  <si>
    <t>herum</t>
  </si>
  <si>
    <t>matte</t>
  </si>
  <si>
    <t>Korona</t>
  </si>
  <si>
    <t># text = Es ist wie wenn ich den Daumen hochhalte und den Strahler abblocke , der mich blendet : Ich kann Sie in der hinteren Reihe sehen .</t>
  </si>
  <si>
    <t>wenn</t>
  </si>
  <si>
    <t>Daumen</t>
  </si>
  <si>
    <t>hochhalte</t>
  </si>
  <si>
    <t>Strahler</t>
  </si>
  <si>
    <t>abblocke</t>
  </si>
  <si>
    <t>mich</t>
  </si>
  <si>
    <t>blendet</t>
  </si>
  <si>
    <t>hinteren</t>
  </si>
  <si>
    <t>Reihe</t>
  </si>
  <si>
    <t># text = Also , was passiert hier ?</t>
  </si>
  <si>
    <t>Also</t>
  </si>
  <si>
    <t>passiert</t>
  </si>
  <si>
    <t>hier</t>
  </si>
  <si>
    <t># text = Nun , der Mond wirft einen Schatten auf die Erde .</t>
  </si>
  <si>
    <t>wirft</t>
  </si>
  <si>
    <t>Schatten</t>
  </si>
  <si>
    <t># text = Wir platzieren ein Teleskop oder eine Kamera in diesen Schatten , blicken zurück auf die Sonne , der Großteil des Lichts ist weg , und wir können die matte , feine Struktur in der Korona erkennen .</t>
  </si>
  <si>
    <t>platzieren</t>
  </si>
  <si>
    <t>oder</t>
  </si>
  <si>
    <t>Kamera</t>
  </si>
  <si>
    <t>diesen</t>
  </si>
  <si>
    <t>def-np.dem</t>
  </si>
  <si>
    <t>blicken</t>
  </si>
  <si>
    <t>zurück</t>
  </si>
  <si>
    <t>Großteil</t>
  </si>
  <si>
    <t>können</t>
  </si>
  <si>
    <t>feine</t>
  </si>
  <si>
    <t>Struktur</t>
  </si>
  <si>
    <t>erkennen</t>
  </si>
  <si>
    <t># text = Spitzer schlug vor , das im Weltraum nachzustellen .</t>
  </si>
  <si>
    <t>schlug</t>
  </si>
  <si>
    <t>Weltraum</t>
  </si>
  <si>
    <t>nachzustellen</t>
  </si>
  <si>
    <t>--</t>
  </si>
  <si>
    <t># text = Wir bauen eine große Lichtblende , fliegen sie ins All , platzieren sie vor dem Stern , verdecken den Großteil des Lichts , fliegen ein Weltraumteleskop in den so erzeugten Schatten und \" Zack ! \" -- wir sehen Planeten .</t>
  </si>
  <si>
    <t>Lichtblende</t>
  </si>
  <si>
    <t>fliegen</t>
  </si>
  <si>
    <t>verdecken</t>
  </si>
  <si>
    <t>erzeugten</t>
  </si>
  <si>
    <t>&amp;quot;</t>
  </si>
  <si>
    <t>Zack</t>
  </si>
  <si>
    <t># text = Aussehen würde das ungefähr so : Da ist die große Lichtblende -- und es gibt keine Planeten .</t>
  </si>
  <si>
    <t>Aussehen</t>
  </si>
  <si>
    <t>würde</t>
  </si>
  <si>
    <t>ungefähr</t>
  </si>
  <si>
    <t>Da</t>
  </si>
  <si>
    <t># text = Denn leider funktioniert das so nicht sehr gut , weil die Lichtwellen des Lichts und die Wellen um die Lichtblende gebeugt werden , auf dieselbe Weise wie im Teleskop .</t>
  </si>
  <si>
    <t>Denn</t>
  </si>
  <si>
    <t>leider</t>
  </si>
  <si>
    <t>funktioniert</t>
  </si>
  <si>
    <t>gut</t>
  </si>
  <si>
    <t>Lichtwellen</t>
  </si>
  <si>
    <t>Wellen</t>
  </si>
  <si>
    <t>werden</t>
  </si>
  <si>
    <t>dieselbe</t>
  </si>
  <si>
    <t>Weise</t>
  </si>
  <si>
    <t># text = Es ist wie Wasser , das einen Stein im Bach umfließt , und all das Licht zerstört den Schatten einfach .</t>
  </si>
  <si>
    <t>Wasser</t>
  </si>
  <si>
    <t>Stein</t>
  </si>
  <si>
    <t>Bach</t>
  </si>
  <si>
    <t>umfließt</t>
  </si>
  <si>
    <t>zerstört</t>
  </si>
  <si>
    <t>einfach</t>
  </si>
  <si>
    <t># text = Es ist ein schlechter Schatten : Wir sehen keine Planeten .</t>
  </si>
  <si>
    <t>schlechter</t>
  </si>
  <si>
    <t># text = Aber Spitzer kannte die Lösung .</t>
  </si>
  <si>
    <t>Aber</t>
  </si>
  <si>
    <t>kannte</t>
  </si>
  <si>
    <t>Lösung</t>
  </si>
  <si>
    <t># text = Wenn wir die Kanten aufbrechen , sie weicher machen könnten , um die Beugung zu reduzieren , dann können wir einen Planeten sehen .</t>
  </si>
  <si>
    <t>Wenn</t>
  </si>
  <si>
    <t>Kanten</t>
  </si>
  <si>
    <t>aufbrechen</t>
  </si>
  <si>
    <t>weicher</t>
  </si>
  <si>
    <t>könnten</t>
  </si>
  <si>
    <t>Beugung</t>
  </si>
  <si>
    <t>reduzieren</t>
  </si>
  <si>
    <t>dann</t>
  </si>
  <si>
    <t># text = In den letzten , rund zehn Jahren haben wir genau dafür optimale Lösungen gefunden .</t>
  </si>
  <si>
    <t>letzten</t>
  </si>
  <si>
    <t>rund</t>
  </si>
  <si>
    <t>zehn</t>
  </si>
  <si>
    <t>dafür</t>
  </si>
  <si>
    <t>optimale</t>
  </si>
  <si>
    <t>Lösungen</t>
  </si>
  <si>
    <t>gefunden</t>
  </si>
  <si>
    <t># text = Eine davon sieht ungefähr so aus : Wir nennen sie blütenförmige Sternenblende ( " Starshade " ) .</t>
  </si>
  <si>
    <t>Eine</t>
  </si>
  <si>
    <t>nennen</t>
  </si>
  <si>
    <t>blütenförmige</t>
  </si>
  <si>
    <t>Sternenblende</t>
  </si>
  <si>
    <t>(</t>
  </si>
  <si>
    <t>Starshade</t>
  </si>
  <si>
    <t>)</t>
  </si>
  <si>
    <t># text = Wenn wir die Kanten der Blütenblätter genau richtig hinbekommen , regulieren wir ihre Form so , dass wir die Beugung reduzieren .</t>
  </si>
  <si>
    <t>Blütenblätter</t>
  </si>
  <si>
    <t>richtig</t>
  </si>
  <si>
    <t>hinbekommen</t>
  </si>
  <si>
    <t>regulieren</t>
  </si>
  <si>
    <t>ihre</t>
  </si>
  <si>
    <t>Form</t>
  </si>
  <si>
    <t># text = Nun ist es ein toller Schatten .</t>
  </si>
  <si>
    <t>toller</t>
  </si>
  <si>
    <t># text = Er ist etwa 10-Mrd.-mal dunkler als zuvor , und wir erkennen die angestrahlten Planeten -- einfach so .</t>
  </si>
  <si>
    <t>etwa</t>
  </si>
  <si>
    <t>dunkler</t>
  </si>
  <si>
    <t>zuvor</t>
  </si>
  <si>
    <t>angestrahlten</t>
  </si>
  <si>
    <t># text = Sie muss natürlich größer sein als mein Daumen .</t>
  </si>
  <si>
    <t>muss</t>
  </si>
  <si>
    <t>natürlich</t>
  </si>
  <si>
    <t>größer</t>
  </si>
  <si>
    <t>mein</t>
  </si>
  <si>
    <t># text = Starshade ist halb so groß wie ein Fußballfeld .</t>
  </si>
  <si>
    <t>halb</t>
  </si>
  <si>
    <t>groß</t>
  </si>
  <si>
    <t>Fußballfeld</t>
  </si>
  <si>
    <t># text = Sie muss 50 000 Kilometer vom Teleskop wegfliegen , das exakt in ihrem Schatten bleiben muss , und dann können wir diese Planeten sehen .</t>
  </si>
  <si>
    <t>000</t>
  </si>
  <si>
    <t>Kilometer</t>
  </si>
  <si>
    <t>wegfliegen</t>
  </si>
  <si>
    <t>exakt</t>
  </si>
  <si>
    <t>ihrem</t>
  </si>
  <si>
    <t>bleiben</t>
  </si>
  <si>
    <t>diese</t>
  </si>
  <si>
    <t># text = Das klingt schwierig , aber brillante Ingenieure , meine Kollegen bei JPL , haben ein fabelhaftes Design entwickelt , und das sieht so aus .</t>
  </si>
  <si>
    <t>klingt</t>
  </si>
  <si>
    <t>schwierig</t>
  </si>
  <si>
    <t>brillante</t>
  </si>
  <si>
    <t>Ingenieure</t>
  </si>
  <si>
    <t>meine</t>
  </si>
  <si>
    <t>JPL</t>
  </si>
  <si>
    <t>fabelhaftes</t>
  </si>
  <si>
    <t>Design</t>
  </si>
  <si>
    <t>entwickelt</t>
  </si>
  <si>
    <t># text = Sie ist anfangs um eine Nabe gewickelt .</t>
  </si>
  <si>
    <t>anfangs</t>
  </si>
  <si>
    <t>Nabe</t>
  </si>
  <si>
    <t>gewickelt</t>
  </si>
  <si>
    <t># text = Sie trennt sich vom Teleskop .</t>
  </si>
  <si>
    <t>trennt</t>
  </si>
  <si>
    <t># text = Die Blütenblätter entfalten sich -- öffnen sich .</t>
  </si>
  <si>
    <t>entfalten</t>
  </si>
  <si>
    <t>öffnen</t>
  </si>
  <si>
    <t># text = Das Teleskop dreht sich herum .</t>
  </si>
  <si>
    <t>dreht</t>
  </si>
  <si>
    <t># text = Sie sehen , wie Starshade wendet und 50 000 Kilometer vom Teleskop wegfliegt .</t>
  </si>
  <si>
    <t>wendet</t>
  </si>
  <si>
    <t>wegfliegt</t>
  </si>
  <si>
    <t># text = Sie wird sich vor den Stern platzieren und , einfach so , einen wunderbaren Schatten erzeugen .</t>
  </si>
  <si>
    <t>wunderbaren</t>
  </si>
  <si>
    <t>erzeugen</t>
  </si>
  <si>
    <t># text = Zack , wir kriegen die Planeten in seiner Umlaufbahn .</t>
  </si>
  <si>
    <t>kriegen</t>
  </si>
  <si>
    <t>seiner</t>
  </si>
  <si>
    <t># text = ( Applaus ) Vielen Dank .</t>
  </si>
  <si>
    <t>Applaus</t>
  </si>
  <si>
    <t>Vielen</t>
  </si>
  <si>
    <t>Dank</t>
  </si>
  <si>
    <t># text = Das ist kein Science-Fiction .</t>
  </si>
  <si>
    <t>kein</t>
  </si>
  <si>
    <t>Science</t>
  </si>
  <si>
    <t>Fiction</t>
  </si>
  <si>
    <t># text = Wir arbeiten seit 5 oder 6 Jahren daran .</t>
  </si>
  <si>
    <t>seit</t>
  </si>
  <si>
    <t>daran</t>
  </si>
  <si>
    <t># text = Letzten Sommer haben wir einen coolen Test durchgeführt , in Kalifornien bei Northrop Grumman .</t>
  </si>
  <si>
    <t>Letzten</t>
  </si>
  <si>
    <t>Sommer</t>
  </si>
  <si>
    <t>coolen</t>
  </si>
  <si>
    <t>Test</t>
  </si>
  <si>
    <t>durchgeführt</t>
  </si>
  <si>
    <t>Kalifornien</t>
  </si>
  <si>
    <t>Northrop</t>
  </si>
  <si>
    <t>Grumman</t>
  </si>
  <si>
    <t># text = Dies sind vier Blütenblätter einer Starshade im kleinen Maßstab .</t>
  </si>
  <si>
    <t>vier</t>
  </si>
  <si>
    <t>Maßstab</t>
  </si>
  <si>
    <t># text = Sie ist ca. halb so groß wie die , die Sie eben sahen .</t>
  </si>
  <si>
    <t>ca</t>
  </si>
  <si>
    <t>eben</t>
  </si>
  <si>
    <t>sahen</t>
  </si>
  <si>
    <t># text = Hier entfalten sich die Blätter .</t>
  </si>
  <si>
    <t>Blätter</t>
  </si>
  <si>
    <t># text = Vier Studenten haben diese vier Blätter im Sommerpraktikum bei JPL gebaut .</t>
  </si>
  <si>
    <t>Vier</t>
  </si>
  <si>
    <t>Studenten</t>
  </si>
  <si>
    <t>Sommerpraktikum</t>
  </si>
  <si>
    <t>gebaut</t>
  </si>
  <si>
    <t># text = Sie sehen , wie sie ausfahren .</t>
  </si>
  <si>
    <t>ausfahren</t>
  </si>
  <si>
    <t># text = Die Blätter müssen sich richtig drehen .</t>
  </si>
  <si>
    <t>drehen</t>
  </si>
  <si>
    <t># text = Das Gerüst der Blätter muss jedes Mal exakt zur selben Stelle ausfahren , auf ein Zehntel Millimeter genau .</t>
  </si>
  <si>
    <t>Gerüst</t>
  </si>
  <si>
    <t>jedes</t>
  </si>
  <si>
    <t>Mal</t>
  </si>
  <si>
    <t>selben</t>
  </si>
  <si>
    <t>Stelle</t>
  </si>
  <si>
    <t>Zehntel</t>
  </si>
  <si>
    <t>Millimeter</t>
  </si>
  <si>
    <t># text = Wir haben den Test 16-mal ausgeführt , und 16-mal blieb es exakt an derselben Stelle stehen , auf ein Zehntel Millimeter genau .</t>
  </si>
  <si>
    <t>16-mal</t>
  </si>
  <si>
    <t>ausgeführt</t>
  </si>
  <si>
    <t>blieb</t>
  </si>
  <si>
    <t>derselben</t>
  </si>
  <si>
    <t>stehen</t>
  </si>
  <si>
    <t># text = Dies muss mit absoluter Präzision erfolgen , aber wenn es gelingt , diese Technologie zu bauen und ins All zu bringen , dann könnte man so etwas erblicken : Dies ist ein Bild eines unserer Nachbarsterne vom Hubble-Weltraumteleskop .</t>
  </si>
  <si>
    <t>mit</t>
  </si>
  <si>
    <t>absoluter</t>
  </si>
  <si>
    <t>Präzision</t>
  </si>
  <si>
    <t>erfolgen</t>
  </si>
  <si>
    <t>gelingt</t>
  </si>
  <si>
    <t>bringen</t>
  </si>
  <si>
    <t>erblicken</t>
  </si>
  <si>
    <t>unserer</t>
  </si>
  <si>
    <t>Nachbarsterne</t>
  </si>
  <si>
    <t># text = Wenn wir ein ähnliches Weltraumteleskop , ein etwas größeres , dort hinausbringen und eine Blende davorfliegen könnten , dann sähen wir vielleicht so etwas ...</t>
  </si>
  <si>
    <t>ähnliches</t>
  </si>
  <si>
    <t>größeres</t>
  </si>
  <si>
    <t>hinausbringen</t>
  </si>
  <si>
    <t>Blende</t>
  </si>
  <si>
    <t>davorfliegen</t>
  </si>
  <si>
    <t>sähen</t>
  </si>
  <si>
    <t>vielleicht</t>
  </si>
  <si>
    <t>...</t>
  </si>
  <si>
    <t># text = Das ist ein Familienporträt des Sonnensystems -- aber nicht unseres ; wir hoffen auf ein anderes Sonnensystem -- , durch eine Blende gesehen , eine Starshade wie diese .</t>
  </si>
  <si>
    <t>Familienporträt</t>
  </si>
  <si>
    <t>unseres</t>
  </si>
  <si>
    <t>hoffen</t>
  </si>
  <si>
    <t>anderes</t>
  </si>
  <si>
    <t>Sonnensystem</t>
  </si>
  <si>
    <t>durch</t>
  </si>
  <si>
    <t>gesehen</t>
  </si>
  <si>
    <t># text = Sie sehen Jupiter , Saturn , Uranus , Neptun und , direkt dort in der Mitte , neben dem Rest an Licht , ist der blass-blaue Punkt .</t>
  </si>
  <si>
    <t>Jupiter</t>
  </si>
  <si>
    <t>Saturn</t>
  </si>
  <si>
    <t>Neptun</t>
  </si>
  <si>
    <t>direkt</t>
  </si>
  <si>
    <t>Mitte</t>
  </si>
  <si>
    <t>neben</t>
  </si>
  <si>
    <t>Rest</t>
  </si>
  <si>
    <t>blaue</t>
  </si>
  <si>
    <t># text = Das ist die Erde .</t>
  </si>
  <si>
    <t># text = Das wollen wir sehen -- sehen , ob es Wasser gibt , Sauerstoff , Ozon , Dinge , die uns verraten , ob es dort Leben geben könnte .</t>
  </si>
  <si>
    <t>Sauerstoff</t>
  </si>
  <si>
    <t>Ozon</t>
  </si>
  <si>
    <t>Dinge</t>
  </si>
  <si>
    <t>SBJ_5</t>
  </si>
  <si>
    <t>verraten</t>
  </si>
  <si>
    <t># text = Für mich ist dies die coolste Wissenschaft .</t>
  </si>
  <si>
    <t>Für</t>
  </si>
  <si>
    <t>dies</t>
  </si>
  <si>
    <t>coolste</t>
  </si>
  <si>
    <t>Wissenschaft</t>
  </si>
  <si>
    <t># text = Darum arbeite ich in diesem Feld , weil ich denke , das wird die Welt verändern .</t>
  </si>
  <si>
    <t>Darum</t>
  </si>
  <si>
    <t>arbeite</t>
  </si>
  <si>
    <t>diesem</t>
  </si>
  <si>
    <t>Feld</t>
  </si>
  <si>
    <t>denke</t>
  </si>
  <si>
    <t>Welt</t>
  </si>
  <si>
    <t>verändern</t>
  </si>
  <si>
    <t># text = Wenn wir das sehen , wird das alles verändern .</t>
  </si>
  <si>
    <t>alles</t>
  </si>
  <si>
    <t># text = Vielen Dank .</t>
  </si>
  <si>
    <t>synchrony</t>
  </si>
  <si>
    <t>(und)</t>
  </si>
  <si>
    <t>(aus diesem Grund)</t>
  </si>
  <si>
    <t>(aktuell)</t>
  </si>
  <si>
    <t>(zudem)</t>
  </si>
  <si>
    <t>attribution</t>
  </si>
  <si>
    <t>deiktische Attibution oder Koreferenz?</t>
  </si>
  <si>
    <t>(konkret)</t>
  </si>
  <si>
    <t>error sentence break</t>
  </si>
  <si>
    <t>error: gehört noch zu 8</t>
  </si>
  <si>
    <t>Hypophora</t>
  </si>
  <si>
    <t>warum</t>
  </si>
  <si>
    <t>restatement</t>
  </si>
  <si>
    <t>(anders gefragt)</t>
  </si>
  <si>
    <t>enablement</t>
  </si>
  <si>
    <t>(zu diesem Zweck)</t>
  </si>
  <si>
    <t>(in dem Fall)</t>
  </si>
  <si>
    <t>consequence</t>
  </si>
  <si>
    <t>after</t>
  </si>
  <si>
    <t>(infolgedessen)</t>
  </si>
  <si>
    <t>conjunction</t>
  </si>
  <si>
    <t>(danach)</t>
  </si>
  <si>
    <t>danach (nun)</t>
  </si>
  <si>
    <t>nun (infolgedessen)</t>
  </si>
  <si>
    <t>(aber)</t>
  </si>
  <si>
    <t>contrast</t>
  </si>
  <si>
    <t>deshalb</t>
  </si>
  <si>
    <t>(weil)</t>
  </si>
  <si>
    <t>(dafür)</t>
  </si>
  <si>
    <t>(anders gesagt)</t>
  </si>
  <si>
    <t>zu dem Zweck</t>
  </si>
  <si>
    <t>(zuvor)</t>
  </si>
  <si>
    <t>dazu (wegen)</t>
  </si>
  <si>
    <t>(dadurch)</t>
  </si>
  <si>
    <t>wie wenn</t>
  </si>
  <si>
    <t>broad</t>
  </si>
  <si>
    <t>(kurz gesagt)</t>
  </si>
  <si>
    <t>(anschließend)</t>
  </si>
  <si>
    <t>(genauso)</t>
  </si>
  <si>
    <t>(dann)</t>
  </si>
  <si>
    <t>denn</t>
  </si>
  <si>
    <t>cause</t>
  </si>
  <si>
    <t>(denn)</t>
  </si>
  <si>
    <t>eine davon</t>
  </si>
  <si>
    <t>(indem)</t>
  </si>
  <si>
    <t>means</t>
  </si>
  <si>
    <t>auch specific denkbar</t>
  </si>
  <si>
    <t>nun (dadurch)</t>
  </si>
  <si>
    <t>concession</t>
  </si>
  <si>
    <t>(auch wenn)</t>
  </si>
  <si>
    <t>(außerdem)</t>
  </si>
  <si>
    <t>achievement</t>
  </si>
  <si>
    <t>NoRel</t>
  </si>
  <si>
    <t>(jedoch)</t>
  </si>
  <si>
    <t>(etwa)</t>
  </si>
  <si>
    <t>EntRel</t>
  </si>
  <si>
    <t>deiktisch</t>
  </si>
  <si>
    <t>entfalten = ausfahren?</t>
  </si>
  <si>
    <t>koreferent: auf dem  Porträt</t>
  </si>
  <si>
    <t>(deshalb)</t>
  </si>
  <si>
    <t>darum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</si>
</sst>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9"/>
  <sheetViews>
    <sheetView tabSelected="1" workbookViewId="0">
      <pane xSplit="5" ySplit="1" topLeftCell="G78" activePane="bottomRight" state="frozen"/>
      <selection pane="topRight" activeCell="F1" sqref="F1"/>
      <selection pane="bottomLeft" activeCell="A2" sqref="A2"/>
      <selection pane="bottomRight" activeCell="G80" sqref="G80"/>
    </sheetView>
  </sheetViews>
  <sheetFormatPr baseColWidth="10" defaultColWidth="8.88671875" defaultRowHeight="60" customHeight="1" x14ac:dyDescent="0.3"/>
  <cols>
    <col min="2" max="3" width="0" hidden="1" customWidth="1"/>
    <col min="4" max="4" width="10.6640625" customWidth="1"/>
    <col min="5" max="5" width="80.6640625" customWidth="1"/>
    <col min="6" max="6" width="0" hidden="1" customWidth="1"/>
    <col min="7" max="7" width="10.6640625" customWidth="1"/>
    <col min="9" max="9" width="10.6640625" customWidth="1"/>
    <col min="10" max="10" width="40.6640625" customWidth="1"/>
  </cols>
  <sheetData>
    <row r="1" spans="1:10" ht="6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 x14ac:dyDescent="0.3">
      <c r="A2" s="6" t="s">
        <v>10</v>
      </c>
      <c r="B2" s="6" t="s">
        <v>11</v>
      </c>
      <c r="C2" s="6" t="s">
        <v>11</v>
      </c>
      <c r="D2" s="7" t="s">
        <v>11</v>
      </c>
      <c r="E2" s="8" t="s">
        <v>12</v>
      </c>
      <c r="F2" s="6" t="s">
        <v>11</v>
      </c>
      <c r="G2" s="9" t="s">
        <v>835</v>
      </c>
      <c r="H2" s="10">
        <v>2</v>
      </c>
      <c r="I2" s="11" t="s">
        <v>832</v>
      </c>
      <c r="J2" s="12"/>
    </row>
    <row r="3" spans="1:10" ht="60" customHeight="1" x14ac:dyDescent="0.3">
      <c r="A3" s="6" t="s">
        <v>13</v>
      </c>
      <c r="B3" s="6" t="s">
        <v>11</v>
      </c>
      <c r="C3" s="6" t="s">
        <v>14</v>
      </c>
      <c r="D3" s="7" t="s">
        <v>11</v>
      </c>
      <c r="E3" s="8" t="s">
        <v>15</v>
      </c>
      <c r="F3" s="6" t="s">
        <v>11</v>
      </c>
      <c r="G3" s="9" t="s">
        <v>833</v>
      </c>
      <c r="H3" s="10" t="s">
        <v>10</v>
      </c>
      <c r="I3" s="11" t="s">
        <v>16</v>
      </c>
      <c r="J3" s="12" t="s">
        <v>17</v>
      </c>
    </row>
    <row r="4" spans="1:10" ht="60" customHeight="1" x14ac:dyDescent="0.3">
      <c r="A4" s="6" t="s">
        <v>18</v>
      </c>
      <c r="B4" s="6" t="s">
        <v>11</v>
      </c>
      <c r="C4" s="6" t="s">
        <v>19</v>
      </c>
      <c r="D4" s="7" t="s">
        <v>11</v>
      </c>
      <c r="E4" s="8" t="s">
        <v>20</v>
      </c>
      <c r="F4" s="6" t="s">
        <v>11</v>
      </c>
      <c r="G4" s="9" t="s">
        <v>834</v>
      </c>
      <c r="H4" s="10" t="s">
        <v>13</v>
      </c>
      <c r="I4" s="11" t="s">
        <v>21</v>
      </c>
      <c r="J4" s="12" t="s">
        <v>22</v>
      </c>
    </row>
    <row r="5" spans="1:10" ht="60" customHeight="1" x14ac:dyDescent="0.3">
      <c r="A5" s="6" t="s">
        <v>23</v>
      </c>
      <c r="B5" s="6" t="s">
        <v>11</v>
      </c>
      <c r="C5" s="6" t="s">
        <v>11</v>
      </c>
      <c r="D5" s="7" t="s">
        <v>11</v>
      </c>
      <c r="E5" s="8" t="s">
        <v>24</v>
      </c>
      <c r="F5" s="6" t="s">
        <v>11</v>
      </c>
      <c r="G5" s="9" t="s">
        <v>317</v>
      </c>
      <c r="H5" s="10">
        <v>1</v>
      </c>
      <c r="I5" s="11" t="s">
        <v>832</v>
      </c>
      <c r="J5" s="12"/>
    </row>
    <row r="6" spans="1:10" ht="60" customHeight="1" x14ac:dyDescent="0.3">
      <c r="A6" s="6" t="s">
        <v>25</v>
      </c>
      <c r="B6" s="6" t="s">
        <v>11</v>
      </c>
      <c r="C6" s="6" t="s">
        <v>26</v>
      </c>
      <c r="D6" s="7" t="s">
        <v>11</v>
      </c>
      <c r="E6" s="8" t="s">
        <v>27</v>
      </c>
      <c r="F6" s="6" t="s">
        <v>11</v>
      </c>
      <c r="G6" s="9" t="s">
        <v>836</v>
      </c>
      <c r="H6" s="10" t="s">
        <v>23</v>
      </c>
      <c r="I6" s="11" t="s">
        <v>16</v>
      </c>
      <c r="J6" s="12" t="s">
        <v>29</v>
      </c>
    </row>
    <row r="7" spans="1:10" ht="60" customHeight="1" x14ac:dyDescent="0.3">
      <c r="A7" s="6" t="s">
        <v>30</v>
      </c>
      <c r="B7" s="6" t="s">
        <v>11</v>
      </c>
      <c r="C7" s="6" t="s">
        <v>11</v>
      </c>
      <c r="D7" s="7" t="s">
        <v>11</v>
      </c>
      <c r="E7" s="8" t="s">
        <v>31</v>
      </c>
      <c r="F7" s="6" t="s">
        <v>11</v>
      </c>
      <c r="G7" s="9" t="s">
        <v>336</v>
      </c>
      <c r="H7" s="10" t="s">
        <v>25</v>
      </c>
      <c r="I7" s="11" t="s">
        <v>32</v>
      </c>
      <c r="J7" s="12" t="s">
        <v>33</v>
      </c>
    </row>
    <row r="8" spans="1:10" ht="60" customHeight="1" x14ac:dyDescent="0.3">
      <c r="A8" s="6" t="s">
        <v>34</v>
      </c>
      <c r="B8" s="6" t="s">
        <v>11</v>
      </c>
      <c r="C8" s="6" t="s">
        <v>11</v>
      </c>
      <c r="D8" s="7" t="s">
        <v>11</v>
      </c>
      <c r="E8" s="8" t="s">
        <v>35</v>
      </c>
      <c r="F8" s="6" t="s">
        <v>11</v>
      </c>
      <c r="G8" s="9" t="s">
        <v>11</v>
      </c>
      <c r="H8" s="10">
        <v>8</v>
      </c>
      <c r="I8" s="11" t="s">
        <v>837</v>
      </c>
      <c r="J8" s="12" t="s">
        <v>838</v>
      </c>
    </row>
    <row r="9" spans="1:10" ht="60" customHeight="1" x14ac:dyDescent="0.3">
      <c r="A9" s="6" t="s">
        <v>36</v>
      </c>
      <c r="B9" s="6" t="s">
        <v>11</v>
      </c>
      <c r="C9" s="6" t="s">
        <v>11</v>
      </c>
      <c r="D9" s="7" t="s">
        <v>11</v>
      </c>
      <c r="E9" s="8" t="s">
        <v>37</v>
      </c>
      <c r="F9" s="6" t="s">
        <v>11</v>
      </c>
      <c r="G9" s="9" t="s">
        <v>839</v>
      </c>
      <c r="H9" s="10">
        <v>7</v>
      </c>
      <c r="I9" s="11" t="s">
        <v>28</v>
      </c>
      <c r="J9" s="12" t="s">
        <v>840</v>
      </c>
    </row>
    <row r="10" spans="1:10" ht="60" customHeight="1" x14ac:dyDescent="0.3">
      <c r="A10" s="6" t="s">
        <v>38</v>
      </c>
      <c r="B10" s="6" t="s">
        <v>11</v>
      </c>
      <c r="C10" s="6" t="s">
        <v>11</v>
      </c>
      <c r="D10" s="7" t="s">
        <v>11</v>
      </c>
      <c r="E10" s="8" t="s">
        <v>39</v>
      </c>
      <c r="F10" s="6" t="s">
        <v>11</v>
      </c>
      <c r="G10" s="9"/>
      <c r="H10" s="10"/>
      <c r="I10" s="11"/>
      <c r="J10" s="12" t="s">
        <v>841</v>
      </c>
    </row>
    <row r="11" spans="1:10" ht="60" customHeight="1" x14ac:dyDescent="0.3">
      <c r="A11" s="6" t="s">
        <v>40</v>
      </c>
      <c r="B11" s="6" t="s">
        <v>11</v>
      </c>
      <c r="C11" s="6" t="s">
        <v>11</v>
      </c>
      <c r="D11" s="7" t="s">
        <v>11</v>
      </c>
      <c r="E11" s="8" t="s">
        <v>41</v>
      </c>
      <c r="F11" s="6" t="s">
        <v>11</v>
      </c>
      <c r="G11" s="9" t="s">
        <v>431</v>
      </c>
      <c r="H11" s="10">
        <v>7</v>
      </c>
      <c r="I11" s="11" t="s">
        <v>75</v>
      </c>
      <c r="J11" s="12"/>
    </row>
    <row r="12" spans="1:10" ht="60" customHeight="1" x14ac:dyDescent="0.3">
      <c r="A12" s="6" t="s">
        <v>42</v>
      </c>
      <c r="B12" s="6" t="s">
        <v>11</v>
      </c>
      <c r="C12" s="6" t="s">
        <v>43</v>
      </c>
      <c r="D12" s="7" t="s">
        <v>11</v>
      </c>
      <c r="E12" s="8" t="s">
        <v>44</v>
      </c>
      <c r="F12" s="6" t="s">
        <v>11</v>
      </c>
      <c r="G12" s="9" t="s">
        <v>843</v>
      </c>
      <c r="H12" s="10">
        <v>30</v>
      </c>
      <c r="I12" s="11" t="s">
        <v>842</v>
      </c>
      <c r="J12" s="12" t="s">
        <v>33</v>
      </c>
    </row>
    <row r="13" spans="1:10" ht="60" customHeight="1" x14ac:dyDescent="0.3">
      <c r="A13" s="6" t="s">
        <v>45</v>
      </c>
      <c r="B13" s="6" t="s">
        <v>11</v>
      </c>
      <c r="C13" s="6" t="s">
        <v>14</v>
      </c>
      <c r="D13" s="7" t="s">
        <v>11</v>
      </c>
      <c r="E13" s="8" t="s">
        <v>46</v>
      </c>
      <c r="F13" s="6" t="s">
        <v>11</v>
      </c>
      <c r="G13" s="9" t="s">
        <v>845</v>
      </c>
      <c r="H13" s="10">
        <v>11</v>
      </c>
      <c r="I13" s="11" t="s">
        <v>844</v>
      </c>
      <c r="J13" s="12" t="s">
        <v>17</v>
      </c>
    </row>
    <row r="14" spans="1:10" ht="60" customHeight="1" x14ac:dyDescent="0.3">
      <c r="A14" s="6" t="s">
        <v>47</v>
      </c>
      <c r="B14" s="6" t="s">
        <v>11</v>
      </c>
      <c r="C14" s="6" t="s">
        <v>11</v>
      </c>
      <c r="D14" s="7" t="s">
        <v>11</v>
      </c>
      <c r="E14" s="8" t="s">
        <v>48</v>
      </c>
      <c r="F14" s="6" t="s">
        <v>11</v>
      </c>
      <c r="G14" s="9" t="s">
        <v>847</v>
      </c>
      <c r="H14" s="10">
        <v>10</v>
      </c>
      <c r="I14" s="11" t="s">
        <v>846</v>
      </c>
      <c r="J14" s="12"/>
    </row>
    <row r="15" spans="1:10" ht="60" customHeight="1" x14ac:dyDescent="0.3">
      <c r="A15" s="6" t="s">
        <v>49</v>
      </c>
      <c r="B15" s="6" t="s">
        <v>11</v>
      </c>
      <c r="C15" s="6" t="s">
        <v>50</v>
      </c>
      <c r="D15" s="7" t="s">
        <v>11</v>
      </c>
      <c r="E15" s="8" t="s">
        <v>51</v>
      </c>
      <c r="F15" s="6" t="s">
        <v>11</v>
      </c>
      <c r="G15" s="9" t="s">
        <v>848</v>
      </c>
      <c r="H15" s="10" t="s">
        <v>47</v>
      </c>
      <c r="I15" s="11" t="s">
        <v>849</v>
      </c>
      <c r="J15" s="12" t="s">
        <v>22</v>
      </c>
    </row>
    <row r="16" spans="1:10" ht="60" customHeight="1" x14ac:dyDescent="0.3">
      <c r="A16" s="6" t="s">
        <v>52</v>
      </c>
      <c r="B16" s="6" t="s">
        <v>11</v>
      </c>
      <c r="C16" s="6" t="s">
        <v>53</v>
      </c>
      <c r="D16" s="7" t="s">
        <v>11</v>
      </c>
      <c r="E16" s="8" t="s">
        <v>54</v>
      </c>
      <c r="F16" s="6" t="s">
        <v>11</v>
      </c>
      <c r="G16" s="9" t="s">
        <v>854</v>
      </c>
      <c r="H16" s="10" t="s">
        <v>49</v>
      </c>
      <c r="I16" s="11" t="s">
        <v>850</v>
      </c>
      <c r="J16" s="12" t="s">
        <v>56</v>
      </c>
    </row>
    <row r="17" spans="1:10" ht="60" customHeight="1" x14ac:dyDescent="0.3">
      <c r="A17" s="6" t="s">
        <v>57</v>
      </c>
      <c r="B17" s="6" t="s">
        <v>11</v>
      </c>
      <c r="C17" s="6" t="s">
        <v>50</v>
      </c>
      <c r="D17" s="7" t="s">
        <v>11</v>
      </c>
      <c r="E17" s="8" t="s">
        <v>58</v>
      </c>
      <c r="F17" s="6" t="s">
        <v>11</v>
      </c>
      <c r="G17" s="9" t="s">
        <v>851</v>
      </c>
      <c r="H17" s="10" t="s">
        <v>52</v>
      </c>
      <c r="I17" s="11" t="s">
        <v>21</v>
      </c>
      <c r="J17" s="12" t="s">
        <v>22</v>
      </c>
    </row>
    <row r="18" spans="1:10" ht="60" customHeight="1" x14ac:dyDescent="0.3">
      <c r="A18" s="6" t="s">
        <v>59</v>
      </c>
      <c r="B18" s="6" t="s">
        <v>11</v>
      </c>
      <c r="C18" s="6" t="s">
        <v>11</v>
      </c>
      <c r="D18" s="7" t="s">
        <v>11</v>
      </c>
      <c r="E18" s="8" t="s">
        <v>60</v>
      </c>
      <c r="F18" s="6" t="s">
        <v>11</v>
      </c>
      <c r="G18" s="9" t="s">
        <v>848</v>
      </c>
      <c r="H18" s="10">
        <v>15</v>
      </c>
      <c r="I18" s="11" t="s">
        <v>849</v>
      </c>
      <c r="J18" s="12"/>
    </row>
    <row r="19" spans="1:10" ht="60" customHeight="1" x14ac:dyDescent="0.3">
      <c r="A19" s="6" t="s">
        <v>61</v>
      </c>
      <c r="B19" s="6" t="s">
        <v>11</v>
      </c>
      <c r="C19" s="6" t="s">
        <v>62</v>
      </c>
      <c r="D19" s="7" t="s">
        <v>11</v>
      </c>
      <c r="E19" s="8" t="s">
        <v>63</v>
      </c>
      <c r="F19" s="6" t="s">
        <v>11</v>
      </c>
      <c r="G19" s="9" t="s">
        <v>833</v>
      </c>
      <c r="H19" s="10">
        <v>17</v>
      </c>
      <c r="I19" s="11" t="s">
        <v>852</v>
      </c>
      <c r="J19" s="12" t="s">
        <v>33</v>
      </c>
    </row>
    <row r="20" spans="1:10" ht="60" customHeight="1" x14ac:dyDescent="0.3">
      <c r="A20" s="6" t="s">
        <v>64</v>
      </c>
      <c r="B20" s="6" t="s">
        <v>11</v>
      </c>
      <c r="C20" s="6" t="s">
        <v>65</v>
      </c>
      <c r="D20" s="7" t="s">
        <v>11</v>
      </c>
      <c r="E20" s="8" t="s">
        <v>66</v>
      </c>
      <c r="F20" s="6" t="s">
        <v>11</v>
      </c>
      <c r="G20" s="9" t="s">
        <v>853</v>
      </c>
      <c r="H20" s="10">
        <v>15</v>
      </c>
      <c r="I20" s="11" t="s">
        <v>850</v>
      </c>
      <c r="J20" s="12" t="s">
        <v>56</v>
      </c>
    </row>
    <row r="21" spans="1:10" ht="60" customHeight="1" x14ac:dyDescent="0.3">
      <c r="A21" s="6" t="s">
        <v>67</v>
      </c>
      <c r="B21" s="6" t="s">
        <v>11</v>
      </c>
      <c r="C21" s="6" t="s">
        <v>50</v>
      </c>
      <c r="D21" s="7" t="s">
        <v>11</v>
      </c>
      <c r="E21" s="8" t="s">
        <v>68</v>
      </c>
      <c r="F21" s="6" t="s">
        <v>11</v>
      </c>
      <c r="G21" s="9" t="s">
        <v>851</v>
      </c>
      <c r="H21" s="10" t="s">
        <v>64</v>
      </c>
      <c r="I21" s="11" t="s">
        <v>21</v>
      </c>
      <c r="J21" s="12" t="s">
        <v>22</v>
      </c>
    </row>
    <row r="22" spans="1:10" ht="60" customHeight="1" x14ac:dyDescent="0.3">
      <c r="A22" s="6" t="s">
        <v>69</v>
      </c>
      <c r="B22" s="6" t="s">
        <v>11</v>
      </c>
      <c r="C22" s="6" t="s">
        <v>70</v>
      </c>
      <c r="D22" s="7" t="s">
        <v>11</v>
      </c>
      <c r="E22" s="8" t="s">
        <v>71</v>
      </c>
      <c r="F22" s="6" t="s">
        <v>11</v>
      </c>
      <c r="G22" s="9" t="s">
        <v>848</v>
      </c>
      <c r="H22" s="10">
        <v>19</v>
      </c>
      <c r="I22" s="11" t="s">
        <v>849</v>
      </c>
      <c r="J22" s="12" t="s">
        <v>29</v>
      </c>
    </row>
    <row r="23" spans="1:10" ht="60" customHeight="1" x14ac:dyDescent="0.3">
      <c r="A23" s="6" t="s">
        <v>72</v>
      </c>
      <c r="B23" s="6" t="s">
        <v>11</v>
      </c>
      <c r="C23" s="6" t="s">
        <v>73</v>
      </c>
      <c r="D23" s="7" t="s">
        <v>11</v>
      </c>
      <c r="E23" s="8" t="s">
        <v>74</v>
      </c>
      <c r="F23" s="6" t="s">
        <v>11</v>
      </c>
      <c r="G23" s="9" t="s">
        <v>833</v>
      </c>
      <c r="H23" s="10" t="s">
        <v>69</v>
      </c>
      <c r="I23" s="11" t="s">
        <v>16</v>
      </c>
      <c r="J23" s="12" t="s">
        <v>76</v>
      </c>
    </row>
    <row r="24" spans="1:10" ht="60" customHeight="1" x14ac:dyDescent="0.3">
      <c r="A24" s="6" t="s">
        <v>77</v>
      </c>
      <c r="B24" s="6" t="s">
        <v>11</v>
      </c>
      <c r="C24" s="6" t="s">
        <v>14</v>
      </c>
      <c r="D24" s="7" t="s">
        <v>11</v>
      </c>
      <c r="E24" s="8" t="s">
        <v>78</v>
      </c>
      <c r="F24" s="6" t="s">
        <v>11</v>
      </c>
      <c r="G24" s="9" t="s">
        <v>853</v>
      </c>
      <c r="H24" s="10">
        <v>19</v>
      </c>
      <c r="I24" s="11" t="s">
        <v>850</v>
      </c>
      <c r="J24" s="12" t="s">
        <v>17</v>
      </c>
    </row>
    <row r="25" spans="1:10" ht="60" customHeight="1" x14ac:dyDescent="0.3">
      <c r="A25" s="6" t="s">
        <v>79</v>
      </c>
      <c r="B25" s="6" t="s">
        <v>11</v>
      </c>
      <c r="C25" s="6" t="s">
        <v>50</v>
      </c>
      <c r="D25" s="7" t="s">
        <v>11</v>
      </c>
      <c r="E25" s="8" t="s">
        <v>80</v>
      </c>
      <c r="F25" s="6" t="s">
        <v>11</v>
      </c>
      <c r="G25" s="9" t="s">
        <v>855</v>
      </c>
      <c r="H25" s="10" t="s">
        <v>77</v>
      </c>
      <c r="I25" s="11" t="s">
        <v>21</v>
      </c>
      <c r="J25" s="12" t="s">
        <v>22</v>
      </c>
    </row>
    <row r="26" spans="1:10" ht="60" customHeight="1" x14ac:dyDescent="0.3">
      <c r="A26" s="6" t="s">
        <v>81</v>
      </c>
      <c r="B26" s="6" t="s">
        <v>11</v>
      </c>
      <c r="C26" s="6" t="s">
        <v>11</v>
      </c>
      <c r="D26" s="7" t="s">
        <v>11</v>
      </c>
      <c r="E26" s="8" t="s">
        <v>82</v>
      </c>
      <c r="F26" s="6" t="s">
        <v>11</v>
      </c>
      <c r="G26" s="9" t="s">
        <v>853</v>
      </c>
      <c r="H26" s="10">
        <v>23</v>
      </c>
      <c r="I26" s="11" t="s">
        <v>850</v>
      </c>
      <c r="J26" s="12" t="s">
        <v>17</v>
      </c>
    </row>
    <row r="27" spans="1:10" ht="60" customHeight="1" x14ac:dyDescent="0.3">
      <c r="A27" s="6" t="s">
        <v>83</v>
      </c>
      <c r="B27" s="6" t="s">
        <v>11</v>
      </c>
      <c r="C27" s="6" t="s">
        <v>50</v>
      </c>
      <c r="D27" s="7" t="s">
        <v>11</v>
      </c>
      <c r="E27" s="8" t="s">
        <v>84</v>
      </c>
      <c r="F27" s="6" t="s">
        <v>11</v>
      </c>
      <c r="G27" s="9" t="s">
        <v>855</v>
      </c>
      <c r="H27" s="10" t="s">
        <v>81</v>
      </c>
      <c r="I27" s="11" t="s">
        <v>21</v>
      </c>
      <c r="J27" s="12" t="s">
        <v>22</v>
      </c>
    </row>
    <row r="28" spans="1:10" ht="60" customHeight="1" x14ac:dyDescent="0.3">
      <c r="A28" s="6" t="s">
        <v>85</v>
      </c>
      <c r="B28" s="6" t="s">
        <v>11</v>
      </c>
      <c r="C28" s="6" t="s">
        <v>14</v>
      </c>
      <c r="D28" s="7" t="s">
        <v>11</v>
      </c>
      <c r="E28" s="8" t="s">
        <v>86</v>
      </c>
      <c r="F28" s="6" t="s">
        <v>11</v>
      </c>
      <c r="G28" s="9" t="s">
        <v>848</v>
      </c>
      <c r="H28" s="10">
        <v>25</v>
      </c>
      <c r="I28" s="11" t="s">
        <v>849</v>
      </c>
      <c r="J28" s="12" t="s">
        <v>17</v>
      </c>
    </row>
    <row r="29" spans="1:10" ht="60" customHeight="1" x14ac:dyDescent="0.3">
      <c r="A29" s="6" t="s">
        <v>87</v>
      </c>
      <c r="B29" s="6" t="s">
        <v>11</v>
      </c>
      <c r="C29" s="6" t="s">
        <v>11</v>
      </c>
      <c r="D29" s="7" t="s">
        <v>11</v>
      </c>
      <c r="E29" s="8" t="s">
        <v>88</v>
      </c>
      <c r="F29" s="6" t="s">
        <v>11</v>
      </c>
      <c r="G29" s="9" t="s">
        <v>856</v>
      </c>
      <c r="H29" s="10">
        <v>27</v>
      </c>
      <c r="I29" s="11" t="s">
        <v>857</v>
      </c>
      <c r="J29" s="12"/>
    </row>
    <row r="30" spans="1:10" ht="60" customHeight="1" x14ac:dyDescent="0.3">
      <c r="A30" s="6" t="s">
        <v>89</v>
      </c>
      <c r="B30" s="6" t="s">
        <v>11</v>
      </c>
      <c r="C30" s="6" t="s">
        <v>11</v>
      </c>
      <c r="D30" s="7" t="s">
        <v>11</v>
      </c>
      <c r="E30" s="8" t="s">
        <v>90</v>
      </c>
      <c r="F30" s="6" t="s">
        <v>11</v>
      </c>
      <c r="G30" s="9" t="s">
        <v>858</v>
      </c>
      <c r="H30" s="10" t="s">
        <v>85</v>
      </c>
      <c r="I30" s="11" t="s">
        <v>21</v>
      </c>
      <c r="J30" s="12" t="s">
        <v>22</v>
      </c>
    </row>
    <row r="31" spans="1:10" ht="60" customHeight="1" x14ac:dyDescent="0.3">
      <c r="A31" s="6" t="s">
        <v>91</v>
      </c>
      <c r="B31" s="6" t="s">
        <v>11</v>
      </c>
      <c r="C31" s="6" t="s">
        <v>70</v>
      </c>
      <c r="D31" s="7" t="s">
        <v>11</v>
      </c>
      <c r="E31" s="8" t="s">
        <v>92</v>
      </c>
      <c r="F31" s="6" t="s">
        <v>11</v>
      </c>
      <c r="G31" s="9" t="s">
        <v>859</v>
      </c>
      <c r="H31" s="10" t="s">
        <v>89</v>
      </c>
      <c r="I31" s="11" t="s">
        <v>108</v>
      </c>
      <c r="J31" s="12" t="s">
        <v>29</v>
      </c>
    </row>
    <row r="32" spans="1:10" ht="60" customHeight="1" x14ac:dyDescent="0.3">
      <c r="A32" s="6" t="s">
        <v>93</v>
      </c>
      <c r="B32" s="6" t="s">
        <v>11</v>
      </c>
      <c r="C32" s="6" t="s">
        <v>94</v>
      </c>
      <c r="D32" s="7" t="s">
        <v>11</v>
      </c>
      <c r="E32" s="8" t="s">
        <v>95</v>
      </c>
      <c r="F32" s="6" t="s">
        <v>11</v>
      </c>
      <c r="G32" s="9" t="s">
        <v>860</v>
      </c>
      <c r="H32" s="10">
        <v>28</v>
      </c>
      <c r="I32" s="11" t="s">
        <v>846</v>
      </c>
      <c r="J32" s="12" t="s">
        <v>22</v>
      </c>
    </row>
    <row r="33" spans="1:10" ht="60" customHeight="1" x14ac:dyDescent="0.3">
      <c r="A33" s="6" t="s">
        <v>96</v>
      </c>
      <c r="B33" s="6" t="s">
        <v>11</v>
      </c>
      <c r="C33" s="6" t="s">
        <v>73</v>
      </c>
      <c r="D33" s="7" t="s">
        <v>11</v>
      </c>
      <c r="E33" s="8" t="s">
        <v>97</v>
      </c>
      <c r="F33" s="6" t="s">
        <v>11</v>
      </c>
      <c r="G33" s="9" t="s">
        <v>861</v>
      </c>
      <c r="H33" s="10" t="s">
        <v>93</v>
      </c>
      <c r="I33" s="11" t="s">
        <v>98</v>
      </c>
      <c r="J33" s="12" t="s">
        <v>99</v>
      </c>
    </row>
    <row r="34" spans="1:10" ht="60" customHeight="1" x14ac:dyDescent="0.3">
      <c r="A34" s="6" t="s">
        <v>100</v>
      </c>
      <c r="B34" s="6" t="s">
        <v>11</v>
      </c>
      <c r="C34" s="6" t="s">
        <v>11</v>
      </c>
      <c r="D34" s="7" t="s">
        <v>11</v>
      </c>
      <c r="E34" s="8" t="s">
        <v>101</v>
      </c>
      <c r="F34" s="6" t="s">
        <v>11</v>
      </c>
      <c r="G34" s="9" t="s">
        <v>862</v>
      </c>
      <c r="H34" s="10">
        <v>31</v>
      </c>
      <c r="I34" s="11" t="s">
        <v>846</v>
      </c>
      <c r="J34" s="12"/>
    </row>
    <row r="35" spans="1:10" ht="60" customHeight="1" x14ac:dyDescent="0.3">
      <c r="A35" s="6" t="s">
        <v>102</v>
      </c>
      <c r="B35" s="6" t="s">
        <v>11</v>
      </c>
      <c r="C35" s="6" t="s">
        <v>103</v>
      </c>
      <c r="D35" s="7" t="s">
        <v>11</v>
      </c>
      <c r="E35" s="8" t="s">
        <v>104</v>
      </c>
      <c r="F35" s="6" t="s">
        <v>11</v>
      </c>
      <c r="G35" s="9" t="s">
        <v>863</v>
      </c>
      <c r="H35" s="10" t="s">
        <v>100</v>
      </c>
      <c r="I35" s="11" t="s">
        <v>55</v>
      </c>
      <c r="J35" s="12" t="s">
        <v>29</v>
      </c>
    </row>
    <row r="36" spans="1:10" ht="60" customHeight="1" x14ac:dyDescent="0.3">
      <c r="A36" s="6" t="s">
        <v>105</v>
      </c>
      <c r="B36" s="6" t="s">
        <v>11</v>
      </c>
      <c r="C36" s="6" t="s">
        <v>106</v>
      </c>
      <c r="D36" s="7" t="s">
        <v>11</v>
      </c>
      <c r="E36" s="8" t="s">
        <v>107</v>
      </c>
      <c r="F36" s="6" t="s">
        <v>11</v>
      </c>
      <c r="G36" s="9" t="s">
        <v>864</v>
      </c>
      <c r="H36" s="10" t="s">
        <v>102</v>
      </c>
      <c r="I36" s="11" t="s">
        <v>108</v>
      </c>
      <c r="J36" s="12" t="s">
        <v>109</v>
      </c>
    </row>
    <row r="37" spans="1:10" ht="60" customHeight="1" x14ac:dyDescent="0.3">
      <c r="A37" s="6" t="s">
        <v>110</v>
      </c>
      <c r="B37" s="6" t="s">
        <v>11</v>
      </c>
      <c r="C37" s="6" t="s">
        <v>11</v>
      </c>
      <c r="D37" s="7" t="s">
        <v>11</v>
      </c>
      <c r="E37" s="8" t="s">
        <v>111</v>
      </c>
      <c r="F37" s="6" t="s">
        <v>11</v>
      </c>
      <c r="G37" s="9" t="s">
        <v>861</v>
      </c>
      <c r="H37" s="10" t="s">
        <v>105</v>
      </c>
      <c r="I37" s="11" t="s">
        <v>98</v>
      </c>
      <c r="J37" s="12" t="s">
        <v>99</v>
      </c>
    </row>
    <row r="38" spans="1:10" ht="60" customHeight="1" x14ac:dyDescent="0.3">
      <c r="A38" s="6" t="s">
        <v>112</v>
      </c>
      <c r="B38" s="6" t="s">
        <v>11</v>
      </c>
      <c r="C38" s="6" t="s">
        <v>113</v>
      </c>
      <c r="D38" s="7" t="s">
        <v>11</v>
      </c>
      <c r="E38" s="8" t="s">
        <v>114</v>
      </c>
      <c r="F38" s="6" t="s">
        <v>11</v>
      </c>
      <c r="G38" s="9" t="s">
        <v>859</v>
      </c>
      <c r="H38" s="10" t="s">
        <v>110</v>
      </c>
      <c r="I38" s="11" t="s">
        <v>108</v>
      </c>
      <c r="J38" s="12" t="s">
        <v>99</v>
      </c>
    </row>
    <row r="39" spans="1:10" ht="60" customHeight="1" x14ac:dyDescent="0.3">
      <c r="A39" s="6" t="s">
        <v>115</v>
      </c>
      <c r="B39" s="6" t="s">
        <v>11</v>
      </c>
      <c r="C39" s="6" t="s">
        <v>50</v>
      </c>
      <c r="D39" s="7" t="s">
        <v>11</v>
      </c>
      <c r="E39" s="8" t="s">
        <v>116</v>
      </c>
      <c r="F39" s="6" t="s">
        <v>11</v>
      </c>
      <c r="G39" s="9" t="s">
        <v>865</v>
      </c>
      <c r="H39" s="10" t="s">
        <v>112</v>
      </c>
      <c r="I39" s="11" t="s">
        <v>21</v>
      </c>
      <c r="J39" s="12" t="s">
        <v>22</v>
      </c>
    </row>
    <row r="40" spans="1:10" ht="60" customHeight="1" x14ac:dyDescent="0.3">
      <c r="A40" s="6" t="s">
        <v>117</v>
      </c>
      <c r="B40" s="6" t="s">
        <v>11</v>
      </c>
      <c r="C40" s="6" t="s">
        <v>11</v>
      </c>
      <c r="D40" s="7" t="s">
        <v>11</v>
      </c>
      <c r="E40" s="8" t="s">
        <v>118</v>
      </c>
      <c r="F40" s="6" t="s">
        <v>11</v>
      </c>
      <c r="G40" s="9" t="s">
        <v>866</v>
      </c>
      <c r="H40" s="10" t="s">
        <v>115</v>
      </c>
      <c r="I40" s="11" t="s">
        <v>75</v>
      </c>
      <c r="J40" s="12" t="s">
        <v>76</v>
      </c>
    </row>
    <row r="41" spans="1:10" ht="60" customHeight="1" x14ac:dyDescent="0.3">
      <c r="A41" s="6" t="s">
        <v>119</v>
      </c>
      <c r="B41" s="6" t="s">
        <v>11</v>
      </c>
      <c r="C41" s="6" t="s">
        <v>11</v>
      </c>
      <c r="D41" s="7" t="s">
        <v>11</v>
      </c>
      <c r="E41" s="8" t="s">
        <v>120</v>
      </c>
      <c r="F41" s="6" t="s">
        <v>11</v>
      </c>
      <c r="G41" s="9" t="s">
        <v>483</v>
      </c>
      <c r="H41" s="10">
        <v>41</v>
      </c>
      <c r="I41" s="11" t="s">
        <v>842</v>
      </c>
      <c r="J41" s="12"/>
    </row>
    <row r="42" spans="1:10" ht="60" customHeight="1" x14ac:dyDescent="0.3">
      <c r="A42" s="6" t="s">
        <v>121</v>
      </c>
      <c r="B42" s="6" t="s">
        <v>11</v>
      </c>
      <c r="C42" s="6" t="s">
        <v>11</v>
      </c>
      <c r="D42" s="7" t="s">
        <v>11</v>
      </c>
      <c r="E42" s="8" t="s">
        <v>122</v>
      </c>
      <c r="F42" s="6" t="s">
        <v>11</v>
      </c>
      <c r="G42" s="9" t="s">
        <v>868</v>
      </c>
      <c r="H42" s="10">
        <v>40</v>
      </c>
      <c r="I42" s="11" t="s">
        <v>867</v>
      </c>
      <c r="J42" s="12" t="s">
        <v>109</v>
      </c>
    </row>
    <row r="43" spans="1:10" ht="60" customHeight="1" x14ac:dyDescent="0.3">
      <c r="A43" s="6" t="s">
        <v>123</v>
      </c>
      <c r="B43" s="6" t="s">
        <v>11</v>
      </c>
      <c r="C43" s="6" t="s">
        <v>53</v>
      </c>
      <c r="D43" s="7" t="s">
        <v>11</v>
      </c>
      <c r="E43" s="8" t="s">
        <v>124</v>
      </c>
      <c r="F43" s="6" t="s">
        <v>11</v>
      </c>
      <c r="G43" s="9" t="s">
        <v>869</v>
      </c>
      <c r="H43" s="10" t="s">
        <v>121</v>
      </c>
      <c r="I43" s="11" t="s">
        <v>850</v>
      </c>
      <c r="J43" s="12" t="s">
        <v>56</v>
      </c>
    </row>
    <row r="44" spans="1:10" ht="60" customHeight="1" x14ac:dyDescent="0.3">
      <c r="A44" s="6" t="s">
        <v>125</v>
      </c>
      <c r="B44" s="6" t="s">
        <v>11</v>
      </c>
      <c r="C44" s="6" t="s">
        <v>11</v>
      </c>
      <c r="D44" s="7" t="s">
        <v>11</v>
      </c>
      <c r="E44" s="8" t="s">
        <v>126</v>
      </c>
      <c r="F44" s="6" t="s">
        <v>11</v>
      </c>
      <c r="G44" s="9" t="s">
        <v>870</v>
      </c>
      <c r="H44" s="10">
        <v>42</v>
      </c>
      <c r="I44" s="11" t="s">
        <v>75</v>
      </c>
      <c r="J44" s="12"/>
    </row>
    <row r="45" spans="1:10" ht="60" customHeight="1" x14ac:dyDescent="0.3">
      <c r="A45" s="6" t="s">
        <v>127</v>
      </c>
      <c r="B45" s="6" t="s">
        <v>11</v>
      </c>
      <c r="C45" s="6" t="s">
        <v>26</v>
      </c>
      <c r="D45" s="7" t="s">
        <v>11</v>
      </c>
      <c r="E45" s="8" t="s">
        <v>128</v>
      </c>
      <c r="F45" s="6" t="s">
        <v>11</v>
      </c>
      <c r="G45" s="9" t="s">
        <v>839</v>
      </c>
      <c r="H45" s="10" t="s">
        <v>125</v>
      </c>
      <c r="I45" s="11" t="s">
        <v>28</v>
      </c>
      <c r="J45" s="12" t="s">
        <v>29</v>
      </c>
    </row>
    <row r="46" spans="1:10" ht="60" customHeight="1" x14ac:dyDescent="0.3">
      <c r="A46" s="6" t="s">
        <v>129</v>
      </c>
      <c r="B46" s="6" t="s">
        <v>11</v>
      </c>
      <c r="C46" s="6" t="s">
        <v>103</v>
      </c>
      <c r="D46" s="7" t="s">
        <v>11</v>
      </c>
      <c r="E46" s="8" t="s">
        <v>130</v>
      </c>
      <c r="F46" s="6" t="s">
        <v>11</v>
      </c>
      <c r="G46" s="9" t="s">
        <v>871</v>
      </c>
      <c r="H46" s="10">
        <v>44</v>
      </c>
      <c r="I46" s="11" t="s">
        <v>849</v>
      </c>
      <c r="J46" s="12" t="s">
        <v>29</v>
      </c>
    </row>
    <row r="47" spans="1:10" ht="60" customHeight="1" x14ac:dyDescent="0.3">
      <c r="A47" s="6" t="s">
        <v>131</v>
      </c>
      <c r="B47" s="6" t="s">
        <v>11</v>
      </c>
      <c r="C47" s="6" t="s">
        <v>11</v>
      </c>
      <c r="D47" s="7" t="s">
        <v>11</v>
      </c>
      <c r="E47" s="8" t="s">
        <v>132</v>
      </c>
      <c r="F47" s="6" t="s">
        <v>11</v>
      </c>
      <c r="G47" s="9" t="s">
        <v>872</v>
      </c>
      <c r="H47" s="10" t="s">
        <v>129</v>
      </c>
      <c r="I47" s="11" t="s">
        <v>108</v>
      </c>
      <c r="J47" s="12" t="s">
        <v>109</v>
      </c>
    </row>
    <row r="48" spans="1:10" ht="60" customHeight="1" x14ac:dyDescent="0.3">
      <c r="A48" s="6" t="s">
        <v>133</v>
      </c>
      <c r="B48" s="6" t="s">
        <v>11</v>
      </c>
      <c r="C48" s="6" t="s">
        <v>11</v>
      </c>
      <c r="D48" s="7" t="s">
        <v>11</v>
      </c>
      <c r="E48" s="8" t="s">
        <v>134</v>
      </c>
      <c r="F48" s="6" t="s">
        <v>11</v>
      </c>
      <c r="G48" s="9" t="s">
        <v>461</v>
      </c>
      <c r="H48" s="10">
        <v>46</v>
      </c>
      <c r="I48" s="11" t="s">
        <v>75</v>
      </c>
      <c r="J48" s="12"/>
    </row>
    <row r="49" spans="1:10" ht="60" customHeight="1" x14ac:dyDescent="0.3">
      <c r="A49" s="6" t="s">
        <v>135</v>
      </c>
      <c r="B49" s="6" t="s">
        <v>11</v>
      </c>
      <c r="C49" s="6" t="s">
        <v>50</v>
      </c>
      <c r="D49" s="7" t="s">
        <v>11</v>
      </c>
      <c r="E49" s="8" t="s">
        <v>136</v>
      </c>
      <c r="F49" s="6" t="s">
        <v>11</v>
      </c>
      <c r="G49" s="9" t="s">
        <v>874</v>
      </c>
      <c r="H49" s="10">
        <v>45</v>
      </c>
      <c r="I49" s="11" t="s">
        <v>873</v>
      </c>
      <c r="J49" s="12" t="s">
        <v>137</v>
      </c>
    </row>
    <row r="50" spans="1:10" ht="60" customHeight="1" x14ac:dyDescent="0.3">
      <c r="A50" s="6" t="s">
        <v>138</v>
      </c>
      <c r="B50" s="6" t="s">
        <v>11</v>
      </c>
      <c r="C50" s="6" t="s">
        <v>11</v>
      </c>
      <c r="D50" s="7" t="s">
        <v>11</v>
      </c>
      <c r="E50" s="8" t="s">
        <v>139</v>
      </c>
      <c r="F50" s="6" t="s">
        <v>11</v>
      </c>
      <c r="G50" s="9" t="s">
        <v>336</v>
      </c>
      <c r="H50" s="10" t="s">
        <v>135</v>
      </c>
      <c r="I50" s="11" t="s">
        <v>32</v>
      </c>
      <c r="J50" s="12" t="s">
        <v>33</v>
      </c>
    </row>
    <row r="51" spans="1:10" ht="60" customHeight="1" x14ac:dyDescent="0.3">
      <c r="A51" s="6" t="s">
        <v>140</v>
      </c>
      <c r="B51" s="6" t="s">
        <v>11</v>
      </c>
      <c r="C51" s="6" t="s">
        <v>103</v>
      </c>
      <c r="D51" s="7" t="s">
        <v>11</v>
      </c>
      <c r="E51" s="8" t="s">
        <v>141</v>
      </c>
      <c r="F51" s="6" t="s">
        <v>11</v>
      </c>
      <c r="G51" s="9" t="s">
        <v>876</v>
      </c>
      <c r="H51" s="10" t="s">
        <v>138</v>
      </c>
      <c r="I51" s="11" t="s">
        <v>877</v>
      </c>
      <c r="J51" s="12" t="s">
        <v>878</v>
      </c>
    </row>
    <row r="52" spans="1:10" ht="60" customHeight="1" x14ac:dyDescent="0.3">
      <c r="A52" s="6" t="s">
        <v>142</v>
      </c>
      <c r="B52" s="6" t="s">
        <v>11</v>
      </c>
      <c r="C52" s="6" t="s">
        <v>14</v>
      </c>
      <c r="D52" s="7" t="s">
        <v>11</v>
      </c>
      <c r="E52" s="8" t="s">
        <v>143</v>
      </c>
      <c r="F52" s="6" t="s">
        <v>11</v>
      </c>
      <c r="G52" s="9" t="s">
        <v>648</v>
      </c>
      <c r="H52" s="10" t="s">
        <v>140</v>
      </c>
      <c r="I52" s="11" t="s">
        <v>846</v>
      </c>
      <c r="J52" s="12" t="s">
        <v>17</v>
      </c>
    </row>
    <row r="53" spans="1:10" ht="60" customHeight="1" x14ac:dyDescent="0.3">
      <c r="A53" s="6" t="s">
        <v>144</v>
      </c>
      <c r="B53" s="6" t="s">
        <v>11</v>
      </c>
      <c r="C53" s="6" t="s">
        <v>145</v>
      </c>
      <c r="D53" s="7" t="s">
        <v>11</v>
      </c>
      <c r="E53" s="8" t="s">
        <v>146</v>
      </c>
      <c r="F53" s="6" t="s">
        <v>11</v>
      </c>
      <c r="G53" s="9" t="s">
        <v>875</v>
      </c>
      <c r="H53" s="10" t="s">
        <v>142</v>
      </c>
      <c r="I53" s="11" t="s">
        <v>147</v>
      </c>
      <c r="J53" s="12" t="s">
        <v>148</v>
      </c>
    </row>
    <row r="54" spans="1:10" ht="60" customHeight="1" x14ac:dyDescent="0.3">
      <c r="A54" s="6" t="s">
        <v>149</v>
      </c>
      <c r="B54" s="6" t="s">
        <v>11</v>
      </c>
      <c r="C54" s="6" t="s">
        <v>11</v>
      </c>
      <c r="D54" s="7" t="s">
        <v>11</v>
      </c>
      <c r="E54" s="8" t="s">
        <v>150</v>
      </c>
      <c r="F54" s="6" t="s">
        <v>11</v>
      </c>
      <c r="G54" s="9" t="s">
        <v>876</v>
      </c>
      <c r="H54" s="10">
        <v>52</v>
      </c>
      <c r="I54" s="11" t="s">
        <v>877</v>
      </c>
      <c r="J54" s="12" t="s">
        <v>878</v>
      </c>
    </row>
    <row r="55" spans="1:10" ht="60" customHeight="1" x14ac:dyDescent="0.3">
      <c r="A55" s="6" t="s">
        <v>151</v>
      </c>
      <c r="B55" s="6" t="s">
        <v>11</v>
      </c>
      <c r="C55" s="6" t="s">
        <v>94</v>
      </c>
      <c r="D55" s="7" t="s">
        <v>11</v>
      </c>
      <c r="E55" s="8" t="s">
        <v>152</v>
      </c>
      <c r="F55" s="6" t="s">
        <v>11</v>
      </c>
      <c r="G55" s="9" t="s">
        <v>879</v>
      </c>
      <c r="H55" s="10" t="s">
        <v>149</v>
      </c>
      <c r="I55" s="11" t="s">
        <v>21</v>
      </c>
      <c r="J55" s="12" t="s">
        <v>22</v>
      </c>
    </row>
    <row r="56" spans="1:10" ht="60" customHeight="1" x14ac:dyDescent="0.3">
      <c r="A56" s="6" t="s">
        <v>153</v>
      </c>
      <c r="B56" s="6" t="s">
        <v>11</v>
      </c>
      <c r="C56" s="6" t="s">
        <v>26</v>
      </c>
      <c r="D56" s="7" t="s">
        <v>11</v>
      </c>
      <c r="E56" s="8" t="s">
        <v>154</v>
      </c>
      <c r="F56" s="6" t="s">
        <v>11</v>
      </c>
      <c r="G56" s="9" t="s">
        <v>839</v>
      </c>
      <c r="H56" s="10" t="s">
        <v>151</v>
      </c>
      <c r="I56" s="11" t="s">
        <v>28</v>
      </c>
      <c r="J56" s="12" t="s">
        <v>29</v>
      </c>
    </row>
    <row r="57" spans="1:10" ht="60" customHeight="1" x14ac:dyDescent="0.3">
      <c r="A57" s="6" t="s">
        <v>155</v>
      </c>
      <c r="B57" s="6" t="s">
        <v>11</v>
      </c>
      <c r="C57" s="6" t="s">
        <v>14</v>
      </c>
      <c r="D57" s="7" t="s">
        <v>11</v>
      </c>
      <c r="E57" s="8" t="s">
        <v>156</v>
      </c>
      <c r="F57" s="6" t="s">
        <v>11</v>
      </c>
      <c r="G57" s="9" t="s">
        <v>847</v>
      </c>
      <c r="H57" s="10">
        <v>54</v>
      </c>
      <c r="I57" s="11" t="s">
        <v>846</v>
      </c>
      <c r="J57" s="12" t="s">
        <v>17</v>
      </c>
    </row>
    <row r="58" spans="1:10" ht="60" customHeight="1" x14ac:dyDescent="0.3">
      <c r="A58" s="6" t="s">
        <v>157</v>
      </c>
      <c r="B58" s="6" t="s">
        <v>11</v>
      </c>
      <c r="C58" s="6" t="s">
        <v>103</v>
      </c>
      <c r="D58" s="7" t="s">
        <v>11</v>
      </c>
      <c r="E58" s="8" t="s">
        <v>158</v>
      </c>
      <c r="F58" s="6" t="s">
        <v>11</v>
      </c>
      <c r="G58" s="9" t="s">
        <v>839</v>
      </c>
      <c r="H58" s="10" t="s">
        <v>155</v>
      </c>
      <c r="I58" s="11" t="s">
        <v>28</v>
      </c>
      <c r="J58" s="12" t="s">
        <v>29</v>
      </c>
    </row>
    <row r="59" spans="1:10" ht="60" customHeight="1" x14ac:dyDescent="0.3">
      <c r="A59" s="6" t="s">
        <v>159</v>
      </c>
      <c r="B59" s="6" t="s">
        <v>11</v>
      </c>
      <c r="C59" s="6" t="s">
        <v>14</v>
      </c>
      <c r="D59" s="7" t="s">
        <v>11</v>
      </c>
      <c r="E59" s="8" t="s">
        <v>160</v>
      </c>
      <c r="F59" s="6" t="s">
        <v>11</v>
      </c>
      <c r="G59" s="9" t="s">
        <v>833</v>
      </c>
      <c r="H59" s="10">
        <v>56</v>
      </c>
      <c r="I59" s="11" t="s">
        <v>16</v>
      </c>
      <c r="J59" s="12" t="s">
        <v>17</v>
      </c>
    </row>
    <row r="60" spans="1:10" ht="60" customHeight="1" x14ac:dyDescent="0.3">
      <c r="A60" s="6" t="s">
        <v>161</v>
      </c>
      <c r="B60" s="6" t="s">
        <v>11</v>
      </c>
      <c r="C60" s="6" t="s">
        <v>50</v>
      </c>
      <c r="D60" s="7" t="s">
        <v>11</v>
      </c>
      <c r="E60" s="8" t="s">
        <v>162</v>
      </c>
      <c r="F60" s="6" t="s">
        <v>11</v>
      </c>
      <c r="G60" s="9" t="s">
        <v>881</v>
      </c>
      <c r="H60" s="10" t="s">
        <v>159</v>
      </c>
      <c r="I60" s="11" t="s">
        <v>880</v>
      </c>
      <c r="J60" s="12" t="s">
        <v>137</v>
      </c>
    </row>
    <row r="61" spans="1:10" ht="60" customHeight="1" x14ac:dyDescent="0.3">
      <c r="A61" s="6" t="s">
        <v>163</v>
      </c>
      <c r="B61" s="6" t="s">
        <v>11</v>
      </c>
      <c r="C61" s="6" t="s">
        <v>11</v>
      </c>
      <c r="D61" s="7" t="s">
        <v>11</v>
      </c>
      <c r="E61" s="8" t="s">
        <v>164</v>
      </c>
      <c r="F61" s="6" t="s">
        <v>11</v>
      </c>
      <c r="G61" s="9" t="s">
        <v>882</v>
      </c>
      <c r="H61" s="10">
        <v>57</v>
      </c>
      <c r="I61" s="11" t="s">
        <v>16</v>
      </c>
      <c r="J61" s="12"/>
    </row>
    <row r="62" spans="1:10" ht="60" customHeight="1" x14ac:dyDescent="0.3">
      <c r="A62" s="6" t="s">
        <v>165</v>
      </c>
      <c r="B62" s="6" t="s">
        <v>11</v>
      </c>
      <c r="C62" s="6" t="s">
        <v>53</v>
      </c>
      <c r="D62" s="7" t="s">
        <v>11</v>
      </c>
      <c r="E62" s="8" t="s">
        <v>166</v>
      </c>
      <c r="F62" s="6" t="s">
        <v>11</v>
      </c>
      <c r="G62" s="9" t="s">
        <v>871</v>
      </c>
      <c r="H62" s="10" t="s">
        <v>163</v>
      </c>
      <c r="I62" s="11" t="s">
        <v>850</v>
      </c>
      <c r="J62" s="12" t="s">
        <v>56</v>
      </c>
    </row>
    <row r="63" spans="1:10" ht="60" customHeight="1" x14ac:dyDescent="0.3">
      <c r="A63" s="6" t="s">
        <v>167</v>
      </c>
      <c r="B63" s="6" t="s">
        <v>11</v>
      </c>
      <c r="C63" s="6" t="s">
        <v>53</v>
      </c>
      <c r="D63" s="7" t="s">
        <v>11</v>
      </c>
      <c r="E63" s="8" t="s">
        <v>168</v>
      </c>
      <c r="F63" s="6" t="s">
        <v>11</v>
      </c>
      <c r="G63" s="9" t="s">
        <v>871</v>
      </c>
      <c r="H63" s="10" t="s">
        <v>165</v>
      </c>
      <c r="I63" s="11" t="s">
        <v>850</v>
      </c>
      <c r="J63" s="12" t="s">
        <v>56</v>
      </c>
    </row>
    <row r="64" spans="1:10" ht="60" customHeight="1" x14ac:dyDescent="0.3">
      <c r="A64" s="6" t="s">
        <v>169</v>
      </c>
      <c r="B64" s="6" t="s">
        <v>11</v>
      </c>
      <c r="C64" s="6" t="s">
        <v>53</v>
      </c>
      <c r="D64" s="7" t="s">
        <v>11</v>
      </c>
      <c r="E64" s="8" t="s">
        <v>170</v>
      </c>
      <c r="F64" s="6" t="s">
        <v>11</v>
      </c>
      <c r="G64" s="9" t="s">
        <v>871</v>
      </c>
      <c r="H64" s="10" t="s">
        <v>167</v>
      </c>
      <c r="I64" s="11" t="s">
        <v>850</v>
      </c>
      <c r="J64" s="12" t="s">
        <v>56</v>
      </c>
    </row>
    <row r="65" spans="1:10" ht="60" customHeight="1" x14ac:dyDescent="0.3">
      <c r="A65" s="6" t="s">
        <v>171</v>
      </c>
      <c r="B65" s="6" t="s">
        <v>11</v>
      </c>
      <c r="C65" s="6" t="s">
        <v>94</v>
      </c>
      <c r="D65" s="7" t="s">
        <v>11</v>
      </c>
      <c r="E65" s="8" t="s">
        <v>172</v>
      </c>
      <c r="F65" s="6" t="s">
        <v>11</v>
      </c>
      <c r="G65" s="9" t="s">
        <v>871</v>
      </c>
      <c r="H65" s="10" t="s">
        <v>169</v>
      </c>
      <c r="I65" s="11" t="s">
        <v>850</v>
      </c>
      <c r="J65" s="12" t="s">
        <v>22</v>
      </c>
    </row>
    <row r="66" spans="1:10" ht="60" customHeight="1" x14ac:dyDescent="0.3">
      <c r="A66" s="6" t="s">
        <v>173</v>
      </c>
      <c r="B66" s="6" t="s">
        <v>11</v>
      </c>
      <c r="C66" s="6" t="s">
        <v>65</v>
      </c>
      <c r="D66" s="7" t="s">
        <v>11</v>
      </c>
      <c r="E66" s="8" t="s">
        <v>174</v>
      </c>
      <c r="F66" s="6" t="s">
        <v>11</v>
      </c>
      <c r="G66" s="9" t="s">
        <v>869</v>
      </c>
      <c r="H66" s="10" t="s">
        <v>171</v>
      </c>
      <c r="I66" s="11" t="s">
        <v>850</v>
      </c>
      <c r="J66" s="12" t="s">
        <v>56</v>
      </c>
    </row>
    <row r="67" spans="1:10" ht="60" customHeight="1" x14ac:dyDescent="0.3">
      <c r="A67" s="6" t="s">
        <v>175</v>
      </c>
      <c r="B67" s="6" t="s">
        <v>11</v>
      </c>
      <c r="C67" s="6" t="s">
        <v>11</v>
      </c>
      <c r="D67" s="7" t="s">
        <v>11</v>
      </c>
      <c r="E67" s="8" t="s">
        <v>176</v>
      </c>
      <c r="F67" s="6" t="s">
        <v>11</v>
      </c>
      <c r="G67" s="9" t="s">
        <v>865</v>
      </c>
      <c r="H67" s="10" t="s">
        <v>173</v>
      </c>
      <c r="I67" s="11" t="s">
        <v>883</v>
      </c>
      <c r="J67" s="12" t="s">
        <v>22</v>
      </c>
    </row>
    <row r="68" spans="1:10" ht="60" customHeight="1" x14ac:dyDescent="0.3">
      <c r="A68" s="6" t="s">
        <v>177</v>
      </c>
      <c r="B68" s="6" t="s">
        <v>11</v>
      </c>
      <c r="C68" s="6" t="s">
        <v>11</v>
      </c>
      <c r="D68" s="7" t="s">
        <v>11</v>
      </c>
      <c r="E68" s="8" t="s">
        <v>178</v>
      </c>
      <c r="F68" s="6" t="s">
        <v>11</v>
      </c>
      <c r="G68" s="9" t="s">
        <v>11</v>
      </c>
      <c r="H68" s="10" t="s">
        <v>11</v>
      </c>
      <c r="I68" s="11" t="s">
        <v>884</v>
      </c>
      <c r="J68" s="12"/>
    </row>
    <row r="69" spans="1:10" ht="60" customHeight="1" x14ac:dyDescent="0.3">
      <c r="A69" s="6" t="s">
        <v>179</v>
      </c>
      <c r="B69" s="6" t="s">
        <v>11</v>
      </c>
      <c r="C69" s="6" t="s">
        <v>11</v>
      </c>
      <c r="D69" s="7" t="s">
        <v>11</v>
      </c>
      <c r="E69" s="8" t="s">
        <v>180</v>
      </c>
      <c r="F69" s="6" t="s">
        <v>11</v>
      </c>
      <c r="G69" s="9" t="s">
        <v>885</v>
      </c>
      <c r="H69" s="10">
        <v>52</v>
      </c>
      <c r="I69" s="11" t="s">
        <v>32</v>
      </c>
      <c r="J69" s="12"/>
    </row>
    <row r="70" spans="1:10" ht="60" customHeight="1" x14ac:dyDescent="0.3">
      <c r="A70" s="6" t="s">
        <v>181</v>
      </c>
      <c r="B70" s="6" t="s">
        <v>11</v>
      </c>
      <c r="C70" s="6" t="s">
        <v>70</v>
      </c>
      <c r="D70" s="7" t="s">
        <v>11</v>
      </c>
      <c r="E70" s="8" t="s">
        <v>182</v>
      </c>
      <c r="F70" s="6" t="s">
        <v>11</v>
      </c>
      <c r="G70" s="9" t="s">
        <v>860</v>
      </c>
      <c r="H70" s="10">
        <v>52</v>
      </c>
      <c r="I70" s="11" t="s">
        <v>846</v>
      </c>
      <c r="J70" s="12" t="s">
        <v>29</v>
      </c>
    </row>
    <row r="71" spans="1:10" ht="60" customHeight="1" x14ac:dyDescent="0.3">
      <c r="A71" s="6" t="s">
        <v>183</v>
      </c>
      <c r="B71" s="6" t="s">
        <v>11</v>
      </c>
      <c r="C71" s="6" t="s">
        <v>184</v>
      </c>
      <c r="D71" s="7" t="s">
        <v>11</v>
      </c>
      <c r="E71" s="8" t="s">
        <v>185</v>
      </c>
      <c r="F71" s="6" t="s">
        <v>11</v>
      </c>
      <c r="G71" s="9" t="s">
        <v>886</v>
      </c>
      <c r="H71" s="10">
        <v>69</v>
      </c>
      <c r="I71" s="11" t="s">
        <v>147</v>
      </c>
      <c r="J71" s="12" t="s">
        <v>148</v>
      </c>
    </row>
    <row r="72" spans="1:10" ht="60" customHeight="1" x14ac:dyDescent="0.3">
      <c r="A72" s="6" t="s">
        <v>186</v>
      </c>
      <c r="B72" s="6" t="s">
        <v>11</v>
      </c>
      <c r="C72" s="6" t="s">
        <v>11</v>
      </c>
      <c r="D72" s="7" t="s">
        <v>11</v>
      </c>
      <c r="E72" s="8" t="s">
        <v>187</v>
      </c>
      <c r="F72" s="6" t="s">
        <v>11</v>
      </c>
      <c r="G72" s="9" t="s">
        <v>11</v>
      </c>
      <c r="H72" s="10" t="s">
        <v>11</v>
      </c>
      <c r="I72" s="11" t="s">
        <v>884</v>
      </c>
      <c r="J72" s="12" t="s">
        <v>888</v>
      </c>
    </row>
    <row r="73" spans="1:10" ht="60" customHeight="1" x14ac:dyDescent="0.3">
      <c r="A73" s="6" t="s">
        <v>188</v>
      </c>
      <c r="B73" s="6" t="s">
        <v>11</v>
      </c>
      <c r="C73" s="6" t="s">
        <v>11</v>
      </c>
      <c r="D73" s="7" t="s">
        <v>11</v>
      </c>
      <c r="E73" s="8" t="s">
        <v>189</v>
      </c>
      <c r="F73" s="6" t="s">
        <v>11</v>
      </c>
      <c r="G73" s="9" t="s">
        <v>833</v>
      </c>
      <c r="H73" s="10">
        <v>71</v>
      </c>
      <c r="I73" s="11" t="s">
        <v>852</v>
      </c>
      <c r="J73" s="12"/>
    </row>
    <row r="74" spans="1:10" ht="60" customHeight="1" x14ac:dyDescent="0.3">
      <c r="A74" s="6" t="s">
        <v>190</v>
      </c>
      <c r="B74" s="6" t="s">
        <v>11</v>
      </c>
      <c r="C74" s="6" t="s">
        <v>11</v>
      </c>
      <c r="D74" s="7" t="s">
        <v>11</v>
      </c>
      <c r="E74" s="8" t="s">
        <v>191</v>
      </c>
      <c r="F74" s="6" t="s">
        <v>11</v>
      </c>
      <c r="G74" s="9" t="s">
        <v>833</v>
      </c>
      <c r="H74" s="10">
        <v>71</v>
      </c>
      <c r="I74" s="11" t="s">
        <v>16</v>
      </c>
      <c r="J74" s="12" t="s">
        <v>888</v>
      </c>
    </row>
    <row r="75" spans="1:10" ht="60" customHeight="1" x14ac:dyDescent="0.3">
      <c r="A75" s="6" t="s">
        <v>192</v>
      </c>
      <c r="B75" s="6" t="s">
        <v>11</v>
      </c>
      <c r="C75" s="6" t="s">
        <v>70</v>
      </c>
      <c r="D75" s="7" t="s">
        <v>11</v>
      </c>
      <c r="E75" s="8" t="s">
        <v>193</v>
      </c>
      <c r="F75" s="6" t="s">
        <v>11</v>
      </c>
      <c r="G75" s="9" t="s">
        <v>863</v>
      </c>
      <c r="H75" s="10">
        <v>71</v>
      </c>
      <c r="I75" s="11" t="s">
        <v>55</v>
      </c>
      <c r="J75" s="12" t="s">
        <v>29</v>
      </c>
    </row>
    <row r="76" spans="1:10" ht="60" customHeight="1" x14ac:dyDescent="0.3">
      <c r="A76" s="6" t="s">
        <v>194</v>
      </c>
      <c r="B76" s="6" t="s">
        <v>11</v>
      </c>
      <c r="C76" s="6" t="s">
        <v>11</v>
      </c>
      <c r="D76" s="7" t="s">
        <v>11</v>
      </c>
      <c r="E76" s="8" t="s">
        <v>195</v>
      </c>
      <c r="F76" s="6" t="s">
        <v>11</v>
      </c>
      <c r="G76" s="9" t="s">
        <v>861</v>
      </c>
      <c r="H76" s="10">
        <v>73</v>
      </c>
      <c r="I76" s="11" t="s">
        <v>844</v>
      </c>
      <c r="J76" s="12" t="s">
        <v>889</v>
      </c>
    </row>
    <row r="77" spans="1:10" ht="60" customHeight="1" x14ac:dyDescent="0.3">
      <c r="A77" s="6" t="s">
        <v>196</v>
      </c>
      <c r="B77" s="6" t="s">
        <v>11</v>
      </c>
      <c r="C77" s="6" t="s">
        <v>53</v>
      </c>
      <c r="D77" s="7" t="s">
        <v>11</v>
      </c>
      <c r="E77" s="8" t="s">
        <v>197</v>
      </c>
      <c r="F77" s="6" t="s">
        <v>11</v>
      </c>
      <c r="G77" s="9" t="s">
        <v>860</v>
      </c>
      <c r="H77" s="10" t="s">
        <v>194</v>
      </c>
      <c r="I77" s="11" t="s">
        <v>846</v>
      </c>
      <c r="J77" s="12" t="s">
        <v>56</v>
      </c>
    </row>
    <row r="78" spans="1:10" ht="60" customHeight="1" x14ac:dyDescent="0.3">
      <c r="A78" s="6" t="s">
        <v>198</v>
      </c>
      <c r="B78" s="6" t="s">
        <v>11</v>
      </c>
      <c r="C78" s="6" t="s">
        <v>14</v>
      </c>
      <c r="D78" s="7" t="s">
        <v>11</v>
      </c>
      <c r="E78" s="8" t="s">
        <v>199</v>
      </c>
      <c r="F78" s="6" t="s">
        <v>11</v>
      </c>
      <c r="G78" s="9" t="s">
        <v>839</v>
      </c>
      <c r="H78" s="10">
        <v>75</v>
      </c>
      <c r="I78" s="11" t="s">
        <v>28</v>
      </c>
      <c r="J78" s="12" t="s">
        <v>17</v>
      </c>
    </row>
    <row r="79" spans="1:10" ht="60" customHeight="1" x14ac:dyDescent="0.3">
      <c r="A79" s="6" t="s">
        <v>200</v>
      </c>
      <c r="B79" s="6" t="s">
        <v>11</v>
      </c>
      <c r="C79" s="6" t="s">
        <v>70</v>
      </c>
      <c r="D79" s="7" t="s">
        <v>11</v>
      </c>
      <c r="E79" s="8" t="s">
        <v>201</v>
      </c>
      <c r="F79" s="6" t="s">
        <v>11</v>
      </c>
      <c r="G79" s="9" t="s">
        <v>839</v>
      </c>
      <c r="H79" s="10">
        <v>70</v>
      </c>
      <c r="I79" s="11" t="s">
        <v>28</v>
      </c>
      <c r="J79" s="12" t="s">
        <v>29</v>
      </c>
    </row>
    <row r="80" spans="1:10" ht="60" customHeight="1" x14ac:dyDescent="0.3">
      <c r="A80" s="6" t="s">
        <v>202</v>
      </c>
      <c r="B80" s="6" t="s">
        <v>11</v>
      </c>
      <c r="C80" s="6" t="s">
        <v>14</v>
      </c>
      <c r="D80" s="7" t="s">
        <v>11</v>
      </c>
      <c r="E80" s="8" t="s">
        <v>203</v>
      </c>
      <c r="F80" s="6" t="s">
        <v>11</v>
      </c>
      <c r="G80" s="9" t="s">
        <v>860</v>
      </c>
      <c r="H80" s="10" t="s">
        <v>200</v>
      </c>
      <c r="I80" s="11" t="s">
        <v>846</v>
      </c>
      <c r="J80" s="12" t="s">
        <v>17</v>
      </c>
    </row>
    <row r="81" spans="1:10" ht="60" customHeight="1" x14ac:dyDescent="0.3">
      <c r="A81" s="6" t="s">
        <v>204</v>
      </c>
      <c r="B81" s="6" t="s">
        <v>11</v>
      </c>
      <c r="C81" s="6" t="s">
        <v>14</v>
      </c>
      <c r="D81" s="7" t="s">
        <v>11</v>
      </c>
      <c r="E81" s="8" t="s">
        <v>205</v>
      </c>
      <c r="F81" s="6" t="s">
        <v>11</v>
      </c>
      <c r="G81" s="9" t="s">
        <v>784</v>
      </c>
      <c r="H81" s="10">
        <v>71</v>
      </c>
      <c r="I81" s="11" t="s">
        <v>75</v>
      </c>
      <c r="J81" s="12" t="s">
        <v>17</v>
      </c>
    </row>
    <row r="82" spans="1:10" ht="60" customHeight="1" x14ac:dyDescent="0.3">
      <c r="A82" s="6" t="s">
        <v>206</v>
      </c>
      <c r="B82" s="6" t="s">
        <v>11</v>
      </c>
      <c r="C82" s="6" t="s">
        <v>11</v>
      </c>
      <c r="D82" s="7" t="s">
        <v>11</v>
      </c>
      <c r="E82" s="8" t="s">
        <v>207</v>
      </c>
      <c r="F82" s="6" t="s">
        <v>11</v>
      </c>
      <c r="G82" s="9" t="s">
        <v>11</v>
      </c>
      <c r="H82" s="10" t="s">
        <v>11</v>
      </c>
      <c r="I82" s="11" t="s">
        <v>884</v>
      </c>
      <c r="J82" s="12" t="s">
        <v>888</v>
      </c>
    </row>
    <row r="83" spans="1:10" ht="60" customHeight="1" x14ac:dyDescent="0.3">
      <c r="A83" s="6" t="s">
        <v>208</v>
      </c>
      <c r="B83" s="6" t="s">
        <v>11</v>
      </c>
      <c r="C83" s="6" t="s">
        <v>11</v>
      </c>
      <c r="D83" s="7" t="s">
        <v>11</v>
      </c>
      <c r="E83" s="8" t="s">
        <v>209</v>
      </c>
      <c r="F83" s="6" t="s">
        <v>11</v>
      </c>
      <c r="G83" s="9" t="s">
        <v>283</v>
      </c>
      <c r="H83" s="10">
        <v>81</v>
      </c>
      <c r="I83" s="11" t="s">
        <v>887</v>
      </c>
      <c r="J83" s="12" t="s">
        <v>890</v>
      </c>
    </row>
    <row r="84" spans="1:10" ht="60" customHeight="1" x14ac:dyDescent="0.3">
      <c r="A84" s="6" t="s">
        <v>210</v>
      </c>
      <c r="B84" s="6" t="s">
        <v>11</v>
      </c>
      <c r="C84" s="6" t="s">
        <v>11</v>
      </c>
      <c r="D84" s="7" t="s">
        <v>11</v>
      </c>
      <c r="E84" s="8" t="s">
        <v>211</v>
      </c>
      <c r="F84" s="6" t="s">
        <v>11</v>
      </c>
      <c r="G84" s="9" t="s">
        <v>267</v>
      </c>
      <c r="H84" s="10">
        <v>81</v>
      </c>
      <c r="I84" s="11" t="s">
        <v>887</v>
      </c>
      <c r="J84" s="12" t="s">
        <v>890</v>
      </c>
    </row>
    <row r="85" spans="1:10" ht="60" customHeight="1" x14ac:dyDescent="0.3">
      <c r="A85" s="6" t="s">
        <v>212</v>
      </c>
      <c r="B85" s="6" t="s">
        <v>11</v>
      </c>
      <c r="C85" s="6" t="s">
        <v>11</v>
      </c>
      <c r="D85" s="7" t="s">
        <v>11</v>
      </c>
      <c r="E85" s="8" t="s">
        <v>213</v>
      </c>
      <c r="F85" s="6" t="s">
        <v>11</v>
      </c>
      <c r="G85" s="9" t="s">
        <v>833</v>
      </c>
      <c r="H85" s="10">
        <v>83</v>
      </c>
      <c r="I85" s="11" t="s">
        <v>852</v>
      </c>
      <c r="J85" s="12"/>
    </row>
    <row r="86" spans="1:10" ht="60" customHeight="1" x14ac:dyDescent="0.3">
      <c r="A86" s="6" t="s">
        <v>214</v>
      </c>
      <c r="B86" s="6" t="s">
        <v>11</v>
      </c>
      <c r="C86" s="6" t="s">
        <v>215</v>
      </c>
      <c r="D86" s="7" t="s">
        <v>11</v>
      </c>
      <c r="E86" s="8" t="s">
        <v>216</v>
      </c>
      <c r="F86" s="6" t="s">
        <v>11</v>
      </c>
      <c r="G86" s="9" t="s">
        <v>891</v>
      </c>
      <c r="H86" s="10" t="s">
        <v>212</v>
      </c>
      <c r="I86" s="11" t="s">
        <v>873</v>
      </c>
      <c r="J86" s="12" t="s">
        <v>137</v>
      </c>
    </row>
    <row r="87" spans="1:10" ht="60" customHeight="1" x14ac:dyDescent="0.3">
      <c r="A87" s="6" t="s">
        <v>217</v>
      </c>
      <c r="B87" s="6" t="s">
        <v>11</v>
      </c>
      <c r="C87" s="6" t="s">
        <v>11</v>
      </c>
      <c r="D87" s="7" t="s">
        <v>11</v>
      </c>
      <c r="E87" s="8" t="s">
        <v>218</v>
      </c>
      <c r="F87" s="6" t="s">
        <v>11</v>
      </c>
      <c r="G87" s="9" t="s">
        <v>892</v>
      </c>
      <c r="H87" s="10">
        <v>85</v>
      </c>
      <c r="I87" s="11" t="s">
        <v>21</v>
      </c>
      <c r="J87" s="12"/>
    </row>
    <row r="88" spans="1:10" ht="60" customHeight="1" x14ac:dyDescent="0.3">
      <c r="A88" s="6" t="s">
        <v>219</v>
      </c>
      <c r="B88" s="6" t="s">
        <v>11</v>
      </c>
      <c r="C88" s="6" t="s">
        <v>26</v>
      </c>
      <c r="D88" s="7" t="s">
        <v>11</v>
      </c>
      <c r="E88" s="8" t="s">
        <v>220</v>
      </c>
      <c r="F88" s="6" t="s">
        <v>11</v>
      </c>
      <c r="G88" s="9" t="s">
        <v>833</v>
      </c>
      <c r="H88" s="10">
        <v>84</v>
      </c>
      <c r="I88" s="11" t="s">
        <v>852</v>
      </c>
      <c r="J88" s="12" t="s">
        <v>29</v>
      </c>
    </row>
    <row r="89" spans="1:10" ht="60" customHeight="1" x14ac:dyDescent="0.3">
      <c r="A89" s="6" t="s">
        <v>221</v>
      </c>
      <c r="B89" s="6" t="s">
        <v>11</v>
      </c>
      <c r="C89" s="6" t="s">
        <v>11</v>
      </c>
      <c r="D89" s="7" t="s">
        <v>11</v>
      </c>
      <c r="E89" s="8" t="s">
        <v>222</v>
      </c>
      <c r="F89" s="6" t="s">
        <v>11</v>
      </c>
      <c r="G89" s="9" t="s">
        <v>11</v>
      </c>
      <c r="H89" s="10" t="s">
        <v>11</v>
      </c>
      <c r="I89" s="11" t="s">
        <v>884</v>
      </c>
      <c r="J89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55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8.88671875" defaultRowHeight="14.4" x14ac:dyDescent="0.3"/>
  <cols>
    <col min="1" max="1" width="20.6640625" customWidth="1"/>
    <col min="3" max="3" width="15.6640625" customWidth="1"/>
    <col min="4" max="4" width="10.6640625" customWidth="1"/>
    <col min="9" max="11" width="0" hidden="1" customWidth="1"/>
    <col min="12" max="12" width="40.6640625" customWidth="1"/>
  </cols>
  <sheetData>
    <row r="1" spans="1:12" x14ac:dyDescent="0.3">
      <c r="A1" s="13" t="s">
        <v>223</v>
      </c>
      <c r="B1" s="13" t="s">
        <v>224</v>
      </c>
      <c r="C1" s="13" t="s">
        <v>225</v>
      </c>
      <c r="D1" s="13" t="s">
        <v>226</v>
      </c>
      <c r="E1" s="14" t="s">
        <v>227</v>
      </c>
      <c r="F1" s="15" t="s">
        <v>228</v>
      </c>
      <c r="G1" s="16" t="s">
        <v>229</v>
      </c>
      <c r="H1" s="17" t="s">
        <v>230</v>
      </c>
      <c r="I1" s="18" t="s">
        <v>231</v>
      </c>
      <c r="J1" s="18" t="s">
        <v>232</v>
      </c>
      <c r="K1" s="18" t="s">
        <v>233</v>
      </c>
      <c r="L1" s="19" t="s">
        <v>9</v>
      </c>
    </row>
    <row r="2" spans="1:12" x14ac:dyDescent="0.3">
      <c r="A2" t="s">
        <v>234</v>
      </c>
    </row>
    <row r="3" spans="1:12" x14ac:dyDescent="0.3">
      <c r="A3" t="s">
        <v>235</v>
      </c>
      <c r="E3" s="20" t="str">
        <f t="shared" ref="E3:E10" si="0">IF(D3="?OLD","!!!","")</f>
        <v/>
      </c>
      <c r="F3" s="21" t="str">
        <f>IF(OR(E3="",E3="!!!"),"",IF(NOT(ISNA(VLOOKUP(E3,E$1:E2,1,FALSE()))),"OLD",IF(AND(E3&lt;&gt;"",E3&lt;&gt;"!!!"),"NEW","")))</f>
        <v/>
      </c>
      <c r="G3" s="22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/>
      </c>
      <c r="H3" s="23" t="str">
        <f t="shared" ref="H3:H10" ca="1" si="1">IF(J3&lt;&gt;1,"",IF(I3="SBJ","CB","?"))</f>
        <v/>
      </c>
      <c r="I3" s="24" t="str">
        <f>IF(OR(E3="",E3="!!!",F3="NEW"),"",INDEX(B2:B$2,-1+SUMPRODUCT(MAX(ROW(E2:E$2)*(E3=E2:E$2)))))</f>
        <v/>
      </c>
      <c r="J3" s="24" t="str">
        <f ca="1">IF(OR(E3="",E3="!!!",F3="NEW"),"",COUNTBLANK(OFFSET(A$1,,,SUMPRODUCT(MAX(ROW(E$2:E3)*(E3=E$2:E3)))))-COUNTBLANK(OFFSET(A$1,,,SUMPRODUCT(MAX(ROW(E$1:E2)*(E2=E$1:E2))))))</f>
        <v/>
      </c>
      <c r="K3" s="24" t="str">
        <f>IF(OR(E3="",E3="!!!",F3="NEW"),"",INDEX(J$1:J2,SUMPRODUCT(MAX(ROW(E$1:E2)*(E3=E$1:E2)))))</f>
        <v/>
      </c>
      <c r="L3" s="25"/>
    </row>
    <row r="4" spans="1:12" x14ac:dyDescent="0.3">
      <c r="A4" t="s">
        <v>236</v>
      </c>
      <c r="E4" s="20" t="str">
        <f t="shared" si="0"/>
        <v/>
      </c>
      <c r="F4" s="21" t="str">
        <f>IF(OR(E4="",E4="!!!"),"",IF(NOT(ISNA(VLOOKUP(E4,E$1:E3,1,FALSE()))),"OLD",IF(AND(E4&lt;&gt;"",E4&lt;&gt;"!!!"),"NEW","")))</f>
        <v/>
      </c>
      <c r="G4" s="22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/>
      </c>
      <c r="H4" s="23" t="str">
        <f t="shared" ca="1" si="1"/>
        <v/>
      </c>
      <c r="I4" s="24" t="str">
        <f>IF(OR(E4="",E4="!!!",F4="NEW"),"",INDEX(B$2:B3,-1+SUMPRODUCT(MAX(ROW(E$2:E3)*(E4=E$2:E3)))))</f>
        <v/>
      </c>
      <c r="J4" s="24" t="str">
        <f ca="1">IF(OR(E4="",E4="!!!",F4="NEW"),"",COUNTBLANK(OFFSET(A$1,,,SUMPRODUCT(MAX(ROW(E$2:E4)*(E4=E$2:E4)))))-COUNTBLANK(OFFSET(A$1,,,SUMPRODUCT(MAX(ROW(E$1:E3)*(E2=E$1:E3))))))</f>
        <v/>
      </c>
      <c r="K4" s="24" t="str">
        <f>IF(OR(E4="",E4="!!!",F4="NEW"),"",INDEX(J$1:J3,SUMPRODUCT(MAX(ROW(E$1:E3)*(E4=E$1:E3)))))</f>
        <v/>
      </c>
      <c r="L4" s="25"/>
    </row>
    <row r="5" spans="1:12" x14ac:dyDescent="0.3">
      <c r="A5" t="s">
        <v>237</v>
      </c>
      <c r="B5" s="26" t="s">
        <v>238</v>
      </c>
      <c r="C5" s="26" t="s">
        <v>239</v>
      </c>
      <c r="D5" s="26" t="s">
        <v>240</v>
      </c>
      <c r="E5" s="20" t="str">
        <f t="shared" si="0"/>
        <v>!!!</v>
      </c>
      <c r="F5" s="21" t="str">
        <f>IF(OR(E5="",E5="!!!"),"",IF(NOT(ISNA(VLOOKUP(E5,E$1:E4,1,FALSE()))),"OLD",IF(AND(E5&lt;&gt;"",E5&lt;&gt;"!!!"),"NEW","")))</f>
        <v/>
      </c>
      <c r="G5" s="22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/>
      </c>
      <c r="H5" s="23" t="str">
        <f t="shared" ca="1" si="1"/>
        <v/>
      </c>
      <c r="I5" s="24" t="str">
        <f>IF(OR(E5="",E5="!!!",F5="NEW"),"",INDEX(B$2:B4,-1+SUMPRODUCT(MAX(ROW(E$2:E4)*(E5=E$2:E4)))))</f>
        <v/>
      </c>
      <c r="J5" s="24" t="str">
        <f ca="1">IF(OR(E5="",E5="!!!",F5="NEW"),"",COUNTBLANK(OFFSET(A$1,,,SUMPRODUCT(MAX(ROW(E$2:E5)*(E5=E$2:E5)))))-COUNTBLANK(OFFSET(A$1,,,SUMPRODUCT(MAX(ROW(E$1:E4)*(E2=E$1:E4))))))</f>
        <v/>
      </c>
      <c r="K5" s="24" t="str">
        <f>IF(OR(E5="",E5="!!!",F5="NEW"),"",INDEX(J$1:J4,SUMPRODUCT(MAX(ROW(E$1:E4)*(E5=E$1:E4)))))</f>
        <v/>
      </c>
      <c r="L5" s="25"/>
    </row>
    <row r="6" spans="1:12" x14ac:dyDescent="0.3">
      <c r="A6" t="s">
        <v>241</v>
      </c>
      <c r="E6" s="20" t="str">
        <f t="shared" si="0"/>
        <v/>
      </c>
      <c r="F6" s="21" t="str">
        <f>IF(OR(E6="",E6="!!!"),"",IF(NOT(ISNA(VLOOKUP(E6,E$1:E5,1,FALSE()))),"OLD",IF(AND(E6&lt;&gt;"",E6&lt;&gt;"!!!"),"NEW","")))</f>
        <v/>
      </c>
      <c r="G6" s="22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/>
      </c>
      <c r="H6" s="23" t="str">
        <f t="shared" ca="1" si="1"/>
        <v/>
      </c>
      <c r="I6" s="24" t="str">
        <f>IF(OR(E6="",E6="!!!",F6="NEW"),"",INDEX(B$2:B5,-1+SUMPRODUCT(MAX(ROW(E$2:E5)*(E6=E$2:E5)))))</f>
        <v/>
      </c>
      <c r="J6" s="24" t="str">
        <f ca="1">IF(OR(E6="",E6="!!!",F6="NEW"),"",COUNTBLANK(OFFSET(A$1,,,SUMPRODUCT(MAX(ROW(E$2:E6)*(E6=E$2:E6)))))-COUNTBLANK(OFFSET(A$1,,,SUMPRODUCT(MAX(ROW(E$1:E5)*(E2=E$1:E5))))))</f>
        <v/>
      </c>
      <c r="K6" s="24" t="str">
        <f>IF(OR(E6="",E6="!!!",F6="NEW"),"",INDEX(J$1:J5,SUMPRODUCT(MAX(ROW(E$1:E5)*(E6=E$1:E5)))))</f>
        <v/>
      </c>
      <c r="L6" s="25"/>
    </row>
    <row r="7" spans="1:12" x14ac:dyDescent="0.3">
      <c r="A7" t="s">
        <v>242</v>
      </c>
      <c r="B7" s="26" t="s">
        <v>243</v>
      </c>
      <c r="C7" s="26" t="s">
        <v>244</v>
      </c>
      <c r="D7" s="26" t="s">
        <v>240</v>
      </c>
      <c r="E7" s="20" t="str">
        <f t="shared" si="0"/>
        <v>!!!</v>
      </c>
      <c r="F7" s="21" t="str">
        <f>IF(OR(E7="",E7="!!!"),"",IF(NOT(ISNA(VLOOKUP(E7,E$1:E6,1,FALSE()))),"OLD",IF(AND(E7&lt;&gt;"",E7&lt;&gt;"!!!"),"NEW","")))</f>
        <v/>
      </c>
      <c r="G7" s="22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/>
      </c>
      <c r="H7" s="23" t="str">
        <f t="shared" ca="1" si="1"/>
        <v/>
      </c>
      <c r="I7" s="24" t="str">
        <f>IF(OR(E7="",E7="!!!",F7="NEW"),"",INDEX(B$2:B6,-1+SUMPRODUCT(MAX(ROW(E$2:E6)*(E7=E$2:E6)))))</f>
        <v/>
      </c>
      <c r="J7" s="24" t="str">
        <f ca="1">IF(OR(E7="",E7="!!!",F7="NEW"),"",COUNTBLANK(OFFSET(A$1,,,SUMPRODUCT(MAX(ROW(E$2:E7)*(E7=E$2:E7)))))-COUNTBLANK(OFFSET(A$1,,,SUMPRODUCT(MAX(ROW(E$1:E6)*(E2=E$1:E6))))))</f>
        <v/>
      </c>
      <c r="K7" s="24" t="str">
        <f>IF(OR(E7="",E7="!!!",F7="NEW"),"",INDEX(J$1:J6,SUMPRODUCT(MAX(ROW(E$1:E6)*(E7=E$1:E6)))))</f>
        <v/>
      </c>
      <c r="L7" s="25"/>
    </row>
    <row r="8" spans="1:12" x14ac:dyDescent="0.3">
      <c r="A8" t="s">
        <v>245</v>
      </c>
      <c r="E8" s="20" t="str">
        <f t="shared" si="0"/>
        <v/>
      </c>
      <c r="F8" s="21" t="str">
        <f>IF(OR(E8="",E8="!!!"),"",IF(NOT(ISNA(VLOOKUP(E8,E$1:E7,1,FALSE()))),"OLD",IF(AND(E8&lt;&gt;"",E8&lt;&gt;"!!!"),"NEW","")))</f>
        <v/>
      </c>
      <c r="G8" s="22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/>
      </c>
      <c r="H8" s="23" t="str">
        <f t="shared" ca="1" si="1"/>
        <v/>
      </c>
      <c r="I8" s="24" t="str">
        <f>IF(OR(E8="",E8="!!!",F8="NEW"),"",INDEX(B$2:B7,-1+SUMPRODUCT(MAX(ROW(E$2:E7)*(E8=E$2:E7)))))</f>
        <v/>
      </c>
      <c r="J8" s="24" t="str">
        <f ca="1">IF(OR(E8="",E8="!!!",F8="NEW"),"",COUNTBLANK(OFFSET(A$1,,,SUMPRODUCT(MAX(ROW(E$2:E8)*(E8=E$2:E8)))))-COUNTBLANK(OFFSET(A$1,,,SUMPRODUCT(MAX(ROW(E$1:E7)*(E2=E$1:E7))))))</f>
        <v/>
      </c>
      <c r="K8" s="24" t="str">
        <f>IF(OR(E8="",E8="!!!",F8="NEW"),"",INDEX(J$1:J7,SUMPRODUCT(MAX(ROW(E$1:E7)*(E8=E$1:E7)))))</f>
        <v/>
      </c>
      <c r="L8" s="25"/>
    </row>
    <row r="9" spans="1:12" x14ac:dyDescent="0.3">
      <c r="A9" t="s">
        <v>246</v>
      </c>
      <c r="B9" s="26" t="s">
        <v>238</v>
      </c>
      <c r="C9" s="26" t="s">
        <v>247</v>
      </c>
      <c r="E9" s="20" t="str">
        <f t="shared" si="0"/>
        <v/>
      </c>
      <c r="F9" s="21" t="str">
        <f>IF(OR(E9="",E9="!!!"),"",IF(NOT(ISNA(VLOOKUP(E9,E$1:E8,1,FALSE()))),"OLD",IF(AND(E9&lt;&gt;"",E9&lt;&gt;"!!!"),"NEW","")))</f>
        <v/>
      </c>
      <c r="G9" s="22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/>
      </c>
      <c r="H9" s="23" t="str">
        <f t="shared" ca="1" si="1"/>
        <v/>
      </c>
      <c r="I9" s="24" t="str">
        <f>IF(OR(E9="",E9="!!!",F9="NEW"),"",INDEX(B$2:B8,-1+SUMPRODUCT(MAX(ROW(E$2:E8)*(E9=E$2:E8)))))</f>
        <v/>
      </c>
      <c r="J9" s="24" t="str">
        <f ca="1">IF(OR(E9="",E9="!!!",F9="NEW"),"",COUNTBLANK(OFFSET(A$1,,,SUMPRODUCT(MAX(ROW(E$2:E9)*(E9=E$2:E9)))))-COUNTBLANK(OFFSET(A$1,,,SUMPRODUCT(MAX(ROW(E$1:E8)*(E2=E$1:E8))))))</f>
        <v/>
      </c>
      <c r="K9" s="24" t="str">
        <f>IF(OR(E9="",E9="!!!",F9="NEW"),"",INDEX(J$1:J8,SUMPRODUCT(MAX(ROW(E$1:E8)*(E9=E$1:E8)))))</f>
        <v/>
      </c>
      <c r="L9" s="25"/>
    </row>
    <row r="10" spans="1:12" x14ac:dyDescent="0.3">
      <c r="A10" t="s">
        <v>248</v>
      </c>
      <c r="E10" s="20" t="str">
        <f t="shared" si="0"/>
        <v/>
      </c>
      <c r="F10" s="21" t="str">
        <f>IF(OR(E10="",E10="!!!"),"",IF(NOT(ISNA(VLOOKUP(E10,E$1:E9,1,FALSE()))),"OLD",IF(AND(E10&lt;&gt;"",E10&lt;&gt;"!!!"),"NEW","")))</f>
        <v/>
      </c>
      <c r="G10" s="22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/>
      </c>
      <c r="H10" s="23" t="str">
        <f t="shared" ca="1" si="1"/>
        <v/>
      </c>
      <c r="I10" s="24" t="str">
        <f>IF(OR(E10="",E10="!!!",F10="NEW"),"",INDEX(B$2:B9,-1+SUMPRODUCT(MAX(ROW(E$2:E9)*(E10=E$2:E9)))))</f>
        <v/>
      </c>
      <c r="J10" s="24" t="str">
        <f ca="1">IF(OR(E10="",E10="!!!",F10="NEW"),"",COUNTBLANK(OFFSET(A$1,,,SUMPRODUCT(MAX(ROW(E$2:E10)*(E10=E$2:E10)))))-COUNTBLANK(OFFSET(A$1,,,SUMPRODUCT(MAX(ROW(E$1:E9)*(E2=E$1:E9))))))</f>
        <v/>
      </c>
      <c r="K10" s="24" t="str">
        <f>IF(OR(E10="",E10="!!!",F10="NEW"),"",INDEX(J$1:J9,SUMPRODUCT(MAX(ROW(E$1:E9)*(E10=E$1:E9)))))</f>
        <v/>
      </c>
      <c r="L10" s="25"/>
    </row>
    <row r="12" spans="1:12" x14ac:dyDescent="0.3">
      <c r="A12" t="s">
        <v>249</v>
      </c>
    </row>
    <row r="13" spans="1:12" x14ac:dyDescent="0.3">
      <c r="A13" t="s">
        <v>250</v>
      </c>
      <c r="B13" s="26" t="s">
        <v>243</v>
      </c>
      <c r="C13" s="26" t="s">
        <v>244</v>
      </c>
      <c r="D13" s="26" t="s">
        <v>240</v>
      </c>
      <c r="E13" s="20" t="str">
        <f t="shared" ref="E13:E48" si="2">IF(D13="?OLD","!!!","")</f>
        <v>!!!</v>
      </c>
      <c r="F13" s="21" t="str">
        <f>IF(OR(E13="",E13="!!!"),"",IF(NOT(ISNA(VLOOKUP(E13,E$1:E12,1,FALSE()))),"OLD",IF(AND(E13&lt;&gt;"",E13&lt;&gt;"!!!"),"NEW","")))</f>
        <v/>
      </c>
      <c r="G13" s="22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/>
      </c>
      <c r="H13" s="23" t="str">
        <f t="shared" ref="H13:H48" ca="1" si="3">IF(J13&lt;&gt;1,"",IF(I13="SBJ","CB","?"))</f>
        <v/>
      </c>
      <c r="I13" s="24" t="str">
        <f>IF(OR(E13="",E13="!!!",F13="NEW"),"",INDEX(B$2:B12,-1+SUMPRODUCT(MAX(ROW(E$2:E12)*(E13=E$2:E12)))))</f>
        <v/>
      </c>
      <c r="J13" s="24" t="str">
        <f ca="1">IF(OR(E13="",E13="!!!",F13="NEW"),"",COUNTBLANK(OFFSET(A$1,,,SUMPRODUCT(MAX(ROW(E$2:E13)*(E13=E$2:E13)))))-COUNTBLANK(OFFSET(A$1,,,SUMPRODUCT(MAX(ROW(E$1:E12)*(E2=E$1:E12))))))</f>
        <v/>
      </c>
      <c r="K13" s="24" t="str">
        <f>IF(OR(E13="",E13="!!!",F13="NEW"),"",INDEX(J$1:J12,SUMPRODUCT(MAX(ROW(E$1:E12)*(E13=E$1:E12)))))</f>
        <v/>
      </c>
      <c r="L13" s="25"/>
    </row>
    <row r="14" spans="1:12" x14ac:dyDescent="0.3">
      <c r="A14" t="s">
        <v>251</v>
      </c>
      <c r="E14" s="20" t="str">
        <f t="shared" si="2"/>
        <v/>
      </c>
      <c r="F14" s="21" t="str">
        <f>IF(OR(E14="",E14="!!!"),"",IF(NOT(ISNA(VLOOKUP(E14,E$1:E13,1,FALSE()))),"OLD",IF(AND(E14&lt;&gt;"",E14&lt;&gt;"!!!"),"NEW","")))</f>
        <v/>
      </c>
      <c r="G14" s="22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/>
      </c>
      <c r="H14" s="23" t="str">
        <f t="shared" ca="1" si="3"/>
        <v/>
      </c>
      <c r="I14" s="24" t="str">
        <f>IF(OR(E14="",E14="!!!",F14="NEW"),"",INDEX(B$2:B13,-1+SUMPRODUCT(MAX(ROW(E$2:E13)*(E14=E$2:E13)))))</f>
        <v/>
      </c>
      <c r="J14" s="24" t="str">
        <f ca="1">IF(OR(E14="",E14="!!!",F14="NEW"),"",COUNTBLANK(OFFSET(A$1,,,SUMPRODUCT(MAX(ROW(E$2:E14)*(E14=E$2:E14)))))-COUNTBLANK(OFFSET(A$1,,,SUMPRODUCT(MAX(ROW(E$1:E13)*(E2=E$1:E13))))))</f>
        <v/>
      </c>
      <c r="K14" s="24" t="str">
        <f>IF(OR(E14="",E14="!!!",F14="NEW"),"",INDEX(J$1:J13,SUMPRODUCT(MAX(ROW(E$1:E13)*(E14=E$1:E13)))))</f>
        <v/>
      </c>
      <c r="L14" s="25"/>
    </row>
    <row r="15" spans="1:12" x14ac:dyDescent="0.3">
      <c r="A15" t="s">
        <v>252</v>
      </c>
      <c r="E15" s="20" t="str">
        <f t="shared" si="2"/>
        <v/>
      </c>
      <c r="F15" s="21" t="str">
        <f>IF(OR(E15="",E15="!!!"),"",IF(NOT(ISNA(VLOOKUP(E15,E$1:E14,1,FALSE()))),"OLD",IF(AND(E15&lt;&gt;"",E15&lt;&gt;"!!!"),"NEW","")))</f>
        <v/>
      </c>
      <c r="G15" s="22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/>
      </c>
      <c r="H15" s="23" t="str">
        <f t="shared" ca="1" si="3"/>
        <v/>
      </c>
      <c r="I15" s="24" t="str">
        <f>IF(OR(E15="",E15="!!!",F15="NEW"),"",INDEX(B$2:B14,-1+SUMPRODUCT(MAX(ROW(E$2:E14)*(E15=E$2:E14)))))</f>
        <v/>
      </c>
      <c r="J15" s="24" t="str">
        <f ca="1">IF(OR(E15="",E15="!!!",F15="NEW"),"",COUNTBLANK(OFFSET(A$1,,,SUMPRODUCT(MAX(ROW(E$2:E15)*(E15=E$2:E15)))))-COUNTBLANK(OFFSET(A$1,,,SUMPRODUCT(MAX(ROW(E$1:E14)*(E2=E$1:E14))))))</f>
        <v/>
      </c>
      <c r="K15" s="24" t="str">
        <f>IF(OR(E15="",E15="!!!",F15="NEW"),"",INDEX(J$1:J14,SUMPRODUCT(MAX(ROW(E$1:E14)*(E15=E$1:E14)))))</f>
        <v/>
      </c>
      <c r="L15" s="25"/>
    </row>
    <row r="16" spans="1:12" x14ac:dyDescent="0.3">
      <c r="A16" t="s">
        <v>253</v>
      </c>
      <c r="E16" s="20" t="str">
        <f t="shared" si="2"/>
        <v/>
      </c>
      <c r="F16" s="21" t="str">
        <f>IF(OR(E16="",E16="!!!"),"",IF(NOT(ISNA(VLOOKUP(E16,E$1:E15,1,FALSE()))),"OLD",IF(AND(E16&lt;&gt;"",E16&lt;&gt;"!!!"),"NEW","")))</f>
        <v/>
      </c>
      <c r="G16" s="22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/>
      </c>
      <c r="H16" s="23" t="str">
        <f t="shared" ca="1" si="3"/>
        <v/>
      </c>
      <c r="I16" s="24" t="str">
        <f>IF(OR(E16="",E16="!!!",F16="NEW"),"",INDEX(B$2:B15,-1+SUMPRODUCT(MAX(ROW(E$2:E15)*(E16=E$2:E15)))))</f>
        <v/>
      </c>
      <c r="J16" s="24" t="str">
        <f ca="1">IF(OR(E16="",E16="!!!",F16="NEW"),"",COUNTBLANK(OFFSET(A$1,,,SUMPRODUCT(MAX(ROW(E$2:E16)*(E16=E$2:E16)))))-COUNTBLANK(OFFSET(A$1,,,SUMPRODUCT(MAX(ROW(E$1:E15)*(E2=E$1:E15))))))</f>
        <v/>
      </c>
      <c r="K16" s="24" t="str">
        <f>IF(OR(E16="",E16="!!!",F16="NEW"),"",INDEX(J$1:J15,SUMPRODUCT(MAX(ROW(E$1:E15)*(E16=E$1:E15)))))</f>
        <v/>
      </c>
      <c r="L16" s="25"/>
    </row>
    <row r="17" spans="1:12" x14ac:dyDescent="0.3">
      <c r="A17" t="s">
        <v>254</v>
      </c>
      <c r="B17" s="26" t="s">
        <v>255</v>
      </c>
      <c r="C17" s="26" t="s">
        <v>256</v>
      </c>
      <c r="D17" s="26" t="s">
        <v>240</v>
      </c>
      <c r="E17" s="20" t="str">
        <f t="shared" si="2"/>
        <v>!!!</v>
      </c>
      <c r="F17" s="21" t="str">
        <f>IF(OR(E17="",E17="!!!"),"",IF(NOT(ISNA(VLOOKUP(E17,E$1:E16,1,FALSE()))),"OLD",IF(AND(E17&lt;&gt;"",E17&lt;&gt;"!!!"),"NEW","")))</f>
        <v/>
      </c>
      <c r="G17" s="22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/>
      </c>
      <c r="H17" s="23" t="str">
        <f t="shared" ca="1" si="3"/>
        <v/>
      </c>
      <c r="I17" s="24" t="str">
        <f>IF(OR(E17="",E17="!!!",F17="NEW"),"",INDEX(B$2:B16,-1+SUMPRODUCT(MAX(ROW(E$2:E16)*(E17=E$2:E16)))))</f>
        <v/>
      </c>
      <c r="J17" s="24" t="str">
        <f ca="1">IF(OR(E17="",E17="!!!",F17="NEW"),"",COUNTBLANK(OFFSET(A$1,,,SUMPRODUCT(MAX(ROW(E$2:E17)*(E17=E$2:E17)))))-COUNTBLANK(OFFSET(A$1,,,SUMPRODUCT(MAX(ROW(E$1:E16)*(E2=E$1:E16))))))</f>
        <v/>
      </c>
      <c r="K17" s="24" t="str">
        <f>IF(OR(E17="",E17="!!!",F17="NEW"),"",INDEX(J$1:J16,SUMPRODUCT(MAX(ROW(E$1:E16)*(E17=E$1:E16)))))</f>
        <v/>
      </c>
      <c r="L17" s="25"/>
    </row>
    <row r="18" spans="1:12" x14ac:dyDescent="0.3">
      <c r="A18" t="s">
        <v>257</v>
      </c>
      <c r="E18" s="20" t="str">
        <f t="shared" si="2"/>
        <v/>
      </c>
      <c r="F18" s="21" t="str">
        <f>IF(OR(E18="",E18="!!!"),"",IF(NOT(ISNA(VLOOKUP(E18,E$1:E17,1,FALSE()))),"OLD",IF(AND(E18&lt;&gt;"",E18&lt;&gt;"!!!"),"NEW","")))</f>
        <v/>
      </c>
      <c r="G18" s="22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/>
      </c>
      <c r="H18" s="23" t="str">
        <f t="shared" ca="1" si="3"/>
        <v/>
      </c>
      <c r="I18" s="24" t="str">
        <f>IF(OR(E18="",E18="!!!",F18="NEW"),"",INDEX(B$2:B17,-1+SUMPRODUCT(MAX(ROW(E$2:E17)*(E18=E$2:E17)))))</f>
        <v/>
      </c>
      <c r="J18" s="24" t="str">
        <f ca="1">IF(OR(E18="",E18="!!!",F18="NEW"),"",COUNTBLANK(OFFSET(A$1,,,SUMPRODUCT(MAX(ROW(E$2:E18)*(E18=E$2:E18)))))-COUNTBLANK(OFFSET(A$1,,,SUMPRODUCT(MAX(ROW(E$1:E17)*(E2=E$1:E17))))))</f>
        <v/>
      </c>
      <c r="K18" s="24" t="str">
        <f>IF(OR(E18="",E18="!!!",F18="NEW"),"",INDEX(J$1:J17,SUMPRODUCT(MAX(ROW(E$1:E17)*(E18=E$1:E17)))))</f>
        <v/>
      </c>
      <c r="L18" s="25"/>
    </row>
    <row r="19" spans="1:12" x14ac:dyDescent="0.3">
      <c r="A19" t="s">
        <v>258</v>
      </c>
      <c r="E19" s="20" t="str">
        <f t="shared" si="2"/>
        <v/>
      </c>
      <c r="F19" s="21" t="str">
        <f>IF(OR(E19="",E19="!!!"),"",IF(NOT(ISNA(VLOOKUP(E19,E$1:E18,1,FALSE()))),"OLD",IF(AND(E19&lt;&gt;"",E19&lt;&gt;"!!!"),"NEW","")))</f>
        <v/>
      </c>
      <c r="G19" s="22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/>
      </c>
      <c r="H19" s="23" t="str">
        <f t="shared" ca="1" si="3"/>
        <v/>
      </c>
      <c r="I19" s="24" t="str">
        <f>IF(OR(E19="",E19="!!!",F19="NEW"),"",INDEX(B$2:B18,-1+SUMPRODUCT(MAX(ROW(E$2:E18)*(E19=E$2:E18)))))</f>
        <v/>
      </c>
      <c r="J19" s="24" t="str">
        <f ca="1">IF(OR(E19="",E19="!!!",F19="NEW"),"",COUNTBLANK(OFFSET(A$1,,,SUMPRODUCT(MAX(ROW(E$2:E19)*(E19=E$2:E19)))))-COUNTBLANK(OFFSET(A$1,,,SUMPRODUCT(MAX(ROW(E$1:E18)*(E2=E$1:E18))))))</f>
        <v/>
      </c>
      <c r="K19" s="24" t="str">
        <f>IF(OR(E19="",E19="!!!",F19="NEW"),"",INDEX(J$1:J18,SUMPRODUCT(MAX(ROW(E$1:E18)*(E19=E$1:E18)))))</f>
        <v/>
      </c>
      <c r="L19" s="25"/>
    </row>
    <row r="20" spans="1:12" x14ac:dyDescent="0.3">
      <c r="A20" t="s">
        <v>259</v>
      </c>
      <c r="E20" s="20" t="str">
        <f t="shared" si="2"/>
        <v/>
      </c>
      <c r="F20" s="21" t="str">
        <f>IF(OR(E20="",E20="!!!"),"",IF(NOT(ISNA(VLOOKUP(E20,E$1:E19,1,FALSE()))),"OLD",IF(AND(E20&lt;&gt;"",E20&lt;&gt;"!!!"),"NEW","")))</f>
        <v/>
      </c>
      <c r="G20" s="22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/>
      </c>
      <c r="H20" s="23" t="str">
        <f t="shared" ca="1" si="3"/>
        <v/>
      </c>
      <c r="I20" s="24" t="str">
        <f>IF(OR(E20="",E20="!!!",F20="NEW"),"",INDEX(B$2:B19,-1+SUMPRODUCT(MAX(ROW(E$2:E19)*(E20=E$2:E19)))))</f>
        <v/>
      </c>
      <c r="J20" s="24" t="str">
        <f ca="1">IF(OR(E20="",E20="!!!",F20="NEW"),"",COUNTBLANK(OFFSET(A$1,,,SUMPRODUCT(MAX(ROW(E$2:E20)*(E20=E$2:E20)))))-COUNTBLANK(OFFSET(A$1,,,SUMPRODUCT(MAX(ROW(E$1:E19)*(E2=E$1:E19))))))</f>
        <v/>
      </c>
      <c r="K20" s="24" t="str">
        <f>IF(OR(E20="",E20="!!!",F20="NEW"),"",INDEX(J$1:J19,SUMPRODUCT(MAX(ROW(E$1:E19)*(E20=E$1:E19)))))</f>
        <v/>
      </c>
      <c r="L20" s="25"/>
    </row>
    <row r="21" spans="1:12" x14ac:dyDescent="0.3">
      <c r="A21" t="s">
        <v>260</v>
      </c>
      <c r="B21" s="26" t="s">
        <v>261</v>
      </c>
      <c r="C21" s="26" t="s">
        <v>262</v>
      </c>
      <c r="E21" s="20" t="str">
        <f t="shared" si="2"/>
        <v/>
      </c>
      <c r="F21" s="21" t="str">
        <f>IF(OR(E21="",E21="!!!"),"",IF(NOT(ISNA(VLOOKUP(E21,E$1:E20,1,FALSE()))),"OLD",IF(AND(E21&lt;&gt;"",E21&lt;&gt;"!!!"),"NEW","")))</f>
        <v/>
      </c>
      <c r="G21" s="22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/>
      </c>
      <c r="H21" s="23" t="str">
        <f t="shared" ca="1" si="3"/>
        <v/>
      </c>
      <c r="I21" s="24" t="str">
        <f>IF(OR(E21="",E21="!!!",F21="NEW"),"",INDEX(B$2:B20,-1+SUMPRODUCT(MAX(ROW(E$2:E20)*(E21=E$2:E20)))))</f>
        <v/>
      </c>
      <c r="J21" s="24" t="str">
        <f ca="1">IF(OR(E21="",E21="!!!",F21="NEW"),"",COUNTBLANK(OFFSET(A$1,,,SUMPRODUCT(MAX(ROW(E$2:E21)*(E21=E$2:E21)))))-COUNTBLANK(OFFSET(A$1,,,SUMPRODUCT(MAX(ROW(E$1:E20)*(E2=E$1:E20))))))</f>
        <v/>
      </c>
      <c r="K21" s="24" t="str">
        <f>IF(OR(E21="",E21="!!!",F21="NEW"),"",INDEX(J$1:J20,SUMPRODUCT(MAX(ROW(E$1:E20)*(E21=E$1:E20)))))</f>
        <v/>
      </c>
      <c r="L21" s="25"/>
    </row>
    <row r="22" spans="1:12" x14ac:dyDescent="0.3">
      <c r="A22" t="s">
        <v>263</v>
      </c>
      <c r="E22" s="20" t="str">
        <f t="shared" si="2"/>
        <v/>
      </c>
      <c r="F22" s="21" t="str">
        <f>IF(OR(E22="",E22="!!!"),"",IF(NOT(ISNA(VLOOKUP(E22,E$1:E21,1,FALSE()))),"OLD",IF(AND(E22&lt;&gt;"",E22&lt;&gt;"!!!"),"NEW","")))</f>
        <v/>
      </c>
      <c r="G22" s="22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/>
      </c>
      <c r="H22" s="23" t="str">
        <f t="shared" ca="1" si="3"/>
        <v/>
      </c>
      <c r="I22" s="24" t="str">
        <f>IF(OR(E22="",E22="!!!",F22="NEW"),"",INDEX(B$2:B21,-1+SUMPRODUCT(MAX(ROW(E$2:E21)*(E22=E$2:E21)))))</f>
        <v/>
      </c>
      <c r="J22" s="24" t="str">
        <f ca="1">IF(OR(E22="",E22="!!!",F22="NEW"),"",COUNTBLANK(OFFSET(A$1,,,SUMPRODUCT(MAX(ROW(E$2:E22)*(E22=E$2:E22)))))-COUNTBLANK(OFFSET(A$1,,,SUMPRODUCT(MAX(ROW(E$1:E21)*(E2=E$1:E21))))))</f>
        <v/>
      </c>
      <c r="K22" s="24" t="str">
        <f>IF(OR(E22="",E22="!!!",F22="NEW"),"",INDEX(J$1:J21,SUMPRODUCT(MAX(ROW(E$1:E21)*(E22=E$1:E21)))))</f>
        <v/>
      </c>
      <c r="L22" s="25"/>
    </row>
    <row r="23" spans="1:12" x14ac:dyDescent="0.3">
      <c r="A23" t="s">
        <v>264</v>
      </c>
      <c r="B23" s="26" t="s">
        <v>265</v>
      </c>
      <c r="C23" s="26" t="s">
        <v>262</v>
      </c>
      <c r="E23" s="20" t="str">
        <f t="shared" si="2"/>
        <v/>
      </c>
      <c r="F23" s="21" t="str">
        <f>IF(OR(E23="",E23="!!!"),"",IF(NOT(ISNA(VLOOKUP(E23,E$1:E22,1,FALSE()))),"OLD",IF(AND(E23&lt;&gt;"",E23&lt;&gt;"!!!"),"NEW","")))</f>
        <v/>
      </c>
      <c r="G23" s="22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/>
      </c>
      <c r="H23" s="23" t="str">
        <f t="shared" ca="1" si="3"/>
        <v/>
      </c>
      <c r="I23" s="24" t="str">
        <f>IF(OR(E23="",E23="!!!",F23="NEW"),"",INDEX(B$2:B22,-1+SUMPRODUCT(MAX(ROW(E$2:E22)*(E23=E$2:E22)))))</f>
        <v/>
      </c>
      <c r="J23" s="24" t="str">
        <f ca="1">IF(OR(E23="",E23="!!!",F23="NEW"),"",COUNTBLANK(OFFSET(A$1,,,SUMPRODUCT(MAX(ROW(E$2:E23)*(E23=E$2:E23)))))-COUNTBLANK(OFFSET(A$1,,,SUMPRODUCT(MAX(ROW(E$1:E22)*(E2=E$1:E22))))))</f>
        <v/>
      </c>
      <c r="K23" s="24" t="str">
        <f>IF(OR(E23="",E23="!!!",F23="NEW"),"",INDEX(J$1:J22,SUMPRODUCT(MAX(ROW(E$1:E22)*(E23=E$1:E22)))))</f>
        <v/>
      </c>
      <c r="L23" s="25"/>
    </row>
    <row r="24" spans="1:12" x14ac:dyDescent="0.3">
      <c r="A24" t="s">
        <v>266</v>
      </c>
      <c r="E24" s="20" t="str">
        <f t="shared" si="2"/>
        <v/>
      </c>
      <c r="F24" s="21" t="str">
        <f>IF(OR(E24="",E24="!!!"),"",IF(NOT(ISNA(VLOOKUP(E24,E$1:E23,1,FALSE()))),"OLD",IF(AND(E24&lt;&gt;"",E24&lt;&gt;"!!!"),"NEW","")))</f>
        <v/>
      </c>
      <c r="G24" s="22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/>
      </c>
      <c r="H24" s="23" t="str">
        <f t="shared" ca="1" si="3"/>
        <v/>
      </c>
      <c r="I24" s="24" t="str">
        <f>IF(OR(E24="",E24="!!!",F24="NEW"),"",INDEX(B$2:B23,-1+SUMPRODUCT(MAX(ROW(E$2:E23)*(E24=E$2:E23)))))</f>
        <v/>
      </c>
      <c r="J24" s="24" t="str">
        <f ca="1">IF(OR(E24="",E24="!!!",F24="NEW"),"",COUNTBLANK(OFFSET(A$1,,,SUMPRODUCT(MAX(ROW(E$2:E24)*(E24=E$2:E24)))))-COUNTBLANK(OFFSET(A$1,,,SUMPRODUCT(MAX(ROW(E$1:E23)*(E2=E$1:E23))))))</f>
        <v/>
      </c>
      <c r="K24" s="24" t="str">
        <f>IF(OR(E24="",E24="!!!",F24="NEW"),"",INDEX(J$1:J23,SUMPRODUCT(MAX(ROW(E$1:E23)*(E24=E$1:E23)))))</f>
        <v/>
      </c>
      <c r="L24" s="25"/>
    </row>
    <row r="25" spans="1:12" x14ac:dyDescent="0.3">
      <c r="A25" t="s">
        <v>252</v>
      </c>
      <c r="E25" s="20" t="str">
        <f t="shared" si="2"/>
        <v/>
      </c>
      <c r="F25" s="21" t="str">
        <f>IF(OR(E25="",E25="!!!"),"",IF(NOT(ISNA(VLOOKUP(E25,E$1:E24,1,FALSE()))),"OLD",IF(AND(E25&lt;&gt;"",E25&lt;&gt;"!!!"),"NEW","")))</f>
        <v/>
      </c>
      <c r="G25" s="22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/>
      </c>
      <c r="H25" s="23" t="str">
        <f t="shared" ca="1" si="3"/>
        <v/>
      </c>
      <c r="I25" s="24" t="str">
        <f>IF(OR(E25="",E25="!!!",F25="NEW"),"",INDEX(B$2:B24,-1+SUMPRODUCT(MAX(ROW(E$2:E24)*(E25=E$2:E24)))))</f>
        <v/>
      </c>
      <c r="J25" s="24" t="str">
        <f ca="1">IF(OR(E25="",E25="!!!",F25="NEW"),"",COUNTBLANK(OFFSET(A$1,,,SUMPRODUCT(MAX(ROW(E$2:E25)*(E25=E$2:E25)))))-COUNTBLANK(OFFSET(A$1,,,SUMPRODUCT(MAX(ROW(E$1:E24)*(E2=E$1:E24))))))</f>
        <v/>
      </c>
      <c r="K25" s="24" t="str">
        <f>IF(OR(E25="",E25="!!!",F25="NEW"),"",INDEX(J$1:J24,SUMPRODUCT(MAX(ROW(E$1:E24)*(E25=E$1:E24)))))</f>
        <v/>
      </c>
      <c r="L25" s="25"/>
    </row>
    <row r="26" spans="1:12" x14ac:dyDescent="0.3">
      <c r="A26" t="s">
        <v>267</v>
      </c>
      <c r="B26" s="26" t="s">
        <v>255</v>
      </c>
      <c r="E26" s="20" t="str">
        <f t="shared" si="2"/>
        <v/>
      </c>
      <c r="F26" s="21" t="str">
        <f>IF(OR(E26="",E26="!!!"),"",IF(NOT(ISNA(VLOOKUP(E26,E$1:E25,1,FALSE()))),"OLD",IF(AND(E26&lt;&gt;"",E26&lt;&gt;"!!!"),"NEW","")))</f>
        <v/>
      </c>
      <c r="G26" s="22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/>
      </c>
      <c r="H26" s="23" t="str">
        <f t="shared" ca="1" si="3"/>
        <v/>
      </c>
      <c r="I26" s="24" t="str">
        <f>IF(OR(E26="",E26="!!!",F26="NEW"),"",INDEX(B$2:B25,-1+SUMPRODUCT(MAX(ROW(E$2:E25)*(E26=E$2:E25)))))</f>
        <v/>
      </c>
      <c r="J26" s="24" t="str">
        <f ca="1">IF(OR(E26="",E26="!!!",F26="NEW"),"",COUNTBLANK(OFFSET(A$1,,,SUMPRODUCT(MAX(ROW(E$2:E26)*(E26=E$2:E26)))))-COUNTBLANK(OFFSET(A$1,,,SUMPRODUCT(MAX(ROW(E$1:E25)*(E2=E$1:E25))))))</f>
        <v/>
      </c>
      <c r="K26" s="24" t="str">
        <f>IF(OR(E26="",E26="!!!",F26="NEW"),"",INDEX(J$1:J25,SUMPRODUCT(MAX(ROW(E$1:E25)*(E26=E$1:E25)))))</f>
        <v/>
      </c>
      <c r="L26" s="25"/>
    </row>
    <row r="27" spans="1:12" x14ac:dyDescent="0.3">
      <c r="A27" t="s">
        <v>267</v>
      </c>
      <c r="E27" s="20" t="str">
        <f t="shared" si="2"/>
        <v/>
      </c>
      <c r="F27" s="21" t="str">
        <f>IF(OR(E27="",E27="!!!"),"",IF(NOT(ISNA(VLOOKUP(E27,E$1:E26,1,FALSE()))),"OLD",IF(AND(E27&lt;&gt;"",E27&lt;&gt;"!!!"),"NEW","")))</f>
        <v/>
      </c>
      <c r="G27" s="22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/>
      </c>
      <c r="H27" s="23" t="str">
        <f t="shared" ca="1" si="3"/>
        <v/>
      </c>
      <c r="I27" s="24" t="str">
        <f>IF(OR(E27="",E27="!!!",F27="NEW"),"",INDEX(B$2:B26,-1+SUMPRODUCT(MAX(ROW(E$2:E26)*(E27=E$2:E26)))))</f>
        <v/>
      </c>
      <c r="J27" s="24" t="str">
        <f ca="1">IF(OR(E27="",E27="!!!",F27="NEW"),"",COUNTBLANK(OFFSET(A$1,,,SUMPRODUCT(MAX(ROW(E$2:E27)*(E27=E$2:E27)))))-COUNTBLANK(OFFSET(A$1,,,SUMPRODUCT(MAX(ROW(E$1:E26)*(E2=E$1:E26))))))</f>
        <v/>
      </c>
      <c r="K27" s="24" t="str">
        <f>IF(OR(E27="",E27="!!!",F27="NEW"),"",INDEX(J$1:J26,SUMPRODUCT(MAX(ROW(E$1:E26)*(E27=E$1:E26)))))</f>
        <v/>
      </c>
      <c r="L27" s="25"/>
    </row>
    <row r="28" spans="1:12" x14ac:dyDescent="0.3">
      <c r="A28" t="s">
        <v>268</v>
      </c>
      <c r="B28" s="26" t="s">
        <v>265</v>
      </c>
      <c r="C28" s="26" t="s">
        <v>239</v>
      </c>
      <c r="D28" s="26" t="s">
        <v>240</v>
      </c>
      <c r="E28" s="20" t="str">
        <f t="shared" si="2"/>
        <v>!!!</v>
      </c>
      <c r="F28" s="21" t="str">
        <f>IF(OR(E28="",E28="!!!"),"",IF(NOT(ISNA(VLOOKUP(E28,E$1:E27,1,FALSE()))),"OLD",IF(AND(E28&lt;&gt;"",E28&lt;&gt;"!!!"),"NEW","")))</f>
        <v/>
      </c>
      <c r="G28" s="22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/>
      </c>
      <c r="H28" s="23" t="str">
        <f t="shared" ca="1" si="3"/>
        <v/>
      </c>
      <c r="I28" s="24" t="str">
        <f>IF(OR(E28="",E28="!!!",F28="NEW"),"",INDEX(B$2:B27,-1+SUMPRODUCT(MAX(ROW(E$2:E27)*(E28=E$2:E27)))))</f>
        <v/>
      </c>
      <c r="J28" s="24" t="str">
        <f ca="1">IF(OR(E28="",E28="!!!",F28="NEW"),"",COUNTBLANK(OFFSET(A$1,,,SUMPRODUCT(MAX(ROW(E$2:E28)*(E28=E$2:E28)))))-COUNTBLANK(OFFSET(A$1,,,SUMPRODUCT(MAX(ROW(E$1:E27)*(E2=E$1:E27))))))</f>
        <v/>
      </c>
      <c r="K28" s="24" t="str">
        <f>IF(OR(E28="",E28="!!!",F28="NEW"),"",INDEX(J$1:J27,SUMPRODUCT(MAX(ROW(E$1:E27)*(E28=E$1:E27)))))</f>
        <v/>
      </c>
      <c r="L28" s="25"/>
    </row>
    <row r="29" spans="1:12" x14ac:dyDescent="0.3">
      <c r="A29" t="s">
        <v>269</v>
      </c>
      <c r="E29" s="20" t="str">
        <f t="shared" si="2"/>
        <v/>
      </c>
      <c r="F29" s="21" t="str">
        <f>IF(OR(E29="",E29="!!!"),"",IF(NOT(ISNA(VLOOKUP(E29,E$1:E28,1,FALSE()))),"OLD",IF(AND(E29&lt;&gt;"",E29&lt;&gt;"!!!"),"NEW","")))</f>
        <v/>
      </c>
      <c r="G29" s="22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/>
      </c>
      <c r="H29" s="23" t="str">
        <f t="shared" ca="1" si="3"/>
        <v/>
      </c>
      <c r="I29" s="24" t="str">
        <f>IF(OR(E29="",E29="!!!",F29="NEW"),"",INDEX(B$2:B28,-1+SUMPRODUCT(MAX(ROW(E$2:E28)*(E29=E$2:E28)))))</f>
        <v/>
      </c>
      <c r="J29" s="24" t="str">
        <f ca="1">IF(OR(E29="",E29="!!!",F29="NEW"),"",COUNTBLANK(OFFSET(A$1,,,SUMPRODUCT(MAX(ROW(E$2:E29)*(E29=E$2:E29)))))-COUNTBLANK(OFFSET(A$1,,,SUMPRODUCT(MAX(ROW(E$1:E28)*(E2=E$1:E28))))))</f>
        <v/>
      </c>
      <c r="K29" s="24" t="str">
        <f>IF(OR(E29="",E29="!!!",F29="NEW"),"",INDEX(J$1:J28,SUMPRODUCT(MAX(ROW(E$1:E28)*(E29=E$1:E28)))))</f>
        <v/>
      </c>
      <c r="L29" s="25"/>
    </row>
    <row r="30" spans="1:12" x14ac:dyDescent="0.3">
      <c r="A30" t="s">
        <v>270</v>
      </c>
      <c r="B30" s="26" t="s">
        <v>265</v>
      </c>
      <c r="C30" s="26" t="s">
        <v>262</v>
      </c>
      <c r="E30" s="20" t="str">
        <f t="shared" si="2"/>
        <v/>
      </c>
      <c r="F30" s="21" t="str">
        <f>IF(OR(E30="",E30="!!!"),"",IF(NOT(ISNA(VLOOKUP(E30,E$1:E29,1,FALSE()))),"OLD",IF(AND(E30&lt;&gt;"",E30&lt;&gt;"!!!"),"NEW","")))</f>
        <v/>
      </c>
      <c r="G30" s="22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/>
      </c>
      <c r="H30" s="23" t="str">
        <f t="shared" ca="1" si="3"/>
        <v/>
      </c>
      <c r="I30" s="24" t="str">
        <f>IF(OR(E30="",E30="!!!",F30="NEW"),"",INDEX(B$2:B29,-1+SUMPRODUCT(MAX(ROW(E$2:E29)*(E30=E$2:E29)))))</f>
        <v/>
      </c>
      <c r="J30" s="24" t="str">
        <f ca="1">IF(OR(E30="",E30="!!!",F30="NEW"),"",COUNTBLANK(OFFSET(A$1,,,SUMPRODUCT(MAX(ROW(E$2:E30)*(E30=E$2:E30)))))-COUNTBLANK(OFFSET(A$1,,,SUMPRODUCT(MAX(ROW(E$1:E29)*(E2=E$1:E29))))))</f>
        <v/>
      </c>
      <c r="K30" s="24" t="str">
        <f>IF(OR(E30="",E30="!!!",F30="NEW"),"",INDEX(J$1:J29,SUMPRODUCT(MAX(ROW(E$1:E29)*(E30=E$1:E29)))))</f>
        <v/>
      </c>
      <c r="L30" s="25"/>
    </row>
    <row r="31" spans="1:12" x14ac:dyDescent="0.3">
      <c r="A31" t="s">
        <v>257</v>
      </c>
      <c r="E31" s="20" t="str">
        <f t="shared" si="2"/>
        <v/>
      </c>
      <c r="F31" s="21" t="str">
        <f>IF(OR(E31="",E31="!!!"),"",IF(NOT(ISNA(VLOOKUP(E31,E$1:E30,1,FALSE()))),"OLD",IF(AND(E31&lt;&gt;"",E31&lt;&gt;"!!!"),"NEW","")))</f>
        <v/>
      </c>
      <c r="G31" s="22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/>
      </c>
      <c r="H31" s="23" t="str">
        <f t="shared" ca="1" si="3"/>
        <v/>
      </c>
      <c r="I31" s="24" t="str">
        <f>IF(OR(E31="",E31="!!!",F31="NEW"),"",INDEX(B$2:B30,-1+SUMPRODUCT(MAX(ROW(E$2:E30)*(E31=E$2:E30)))))</f>
        <v/>
      </c>
      <c r="J31" s="24" t="str">
        <f ca="1">IF(OR(E31="",E31="!!!",F31="NEW"),"",COUNTBLANK(OFFSET(A$1,,,SUMPRODUCT(MAX(ROW(E$2:E31)*(E31=E$2:E31)))))-COUNTBLANK(OFFSET(A$1,,,SUMPRODUCT(MAX(ROW(E$1:E30)*(E2=E$1:E30))))))</f>
        <v/>
      </c>
      <c r="K31" s="24" t="str">
        <f>IF(OR(E31="",E31="!!!",F31="NEW"),"",INDEX(J$1:J30,SUMPRODUCT(MAX(ROW(E$1:E30)*(E31=E$1:E30)))))</f>
        <v/>
      </c>
      <c r="L31" s="25"/>
    </row>
    <row r="32" spans="1:12" x14ac:dyDescent="0.3">
      <c r="A32" t="s">
        <v>236</v>
      </c>
      <c r="E32" s="20" t="str">
        <f t="shared" si="2"/>
        <v/>
      </c>
      <c r="F32" s="21" t="str">
        <f>IF(OR(E32="",E32="!!!"),"",IF(NOT(ISNA(VLOOKUP(E32,E$1:E31,1,FALSE()))),"OLD",IF(AND(E32&lt;&gt;"",E32&lt;&gt;"!!!"),"NEW","")))</f>
        <v/>
      </c>
      <c r="G32" s="22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/>
      </c>
      <c r="H32" s="23" t="str">
        <f t="shared" ca="1" si="3"/>
        <v/>
      </c>
      <c r="I32" s="24" t="str">
        <f>IF(OR(E32="",E32="!!!",F32="NEW"),"",INDEX(B$2:B31,-1+SUMPRODUCT(MAX(ROW(E$2:E31)*(E32=E$2:E31)))))</f>
        <v/>
      </c>
      <c r="J32" s="24" t="str">
        <f ca="1">IF(OR(E32="",E32="!!!",F32="NEW"),"",COUNTBLANK(OFFSET(A$1,,,SUMPRODUCT(MAX(ROW(E$2:E32)*(E32=E$2:E32)))))-COUNTBLANK(OFFSET(A$1,,,SUMPRODUCT(MAX(ROW(E$1:E31)*(E2=E$1:E31))))))</f>
        <v/>
      </c>
      <c r="K32" s="24" t="str">
        <f>IF(OR(E32="",E32="!!!",F32="NEW"),"",INDEX(J$1:J31,SUMPRODUCT(MAX(ROW(E$1:E31)*(E32=E$1:E31)))))</f>
        <v/>
      </c>
      <c r="L32" s="25"/>
    </row>
    <row r="33" spans="1:12" x14ac:dyDescent="0.3">
      <c r="A33" t="s">
        <v>271</v>
      </c>
      <c r="B33" s="26" t="s">
        <v>272</v>
      </c>
      <c r="C33" s="26" t="s">
        <v>239</v>
      </c>
      <c r="D33" s="26" t="s">
        <v>240</v>
      </c>
      <c r="E33" s="20" t="str">
        <f t="shared" si="2"/>
        <v>!!!</v>
      </c>
      <c r="F33" s="21" t="str">
        <f>IF(OR(E33="",E33="!!!"),"",IF(NOT(ISNA(VLOOKUP(E33,E$1:E32,1,FALSE()))),"OLD",IF(AND(E33&lt;&gt;"",E33&lt;&gt;"!!!"),"NEW","")))</f>
        <v/>
      </c>
      <c r="G33" s="22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/>
      </c>
      <c r="H33" s="23" t="str">
        <f t="shared" ca="1" si="3"/>
        <v/>
      </c>
      <c r="I33" s="24" t="str">
        <f>IF(OR(E33="",E33="!!!",F33="NEW"),"",INDEX(B$2:B32,-1+SUMPRODUCT(MAX(ROW(E$2:E32)*(E33=E$2:E32)))))</f>
        <v/>
      </c>
      <c r="J33" s="24" t="str">
        <f ca="1">IF(OR(E33="",E33="!!!",F33="NEW"),"",COUNTBLANK(OFFSET(A$1,,,SUMPRODUCT(MAX(ROW(E$2:E33)*(E33=E$2:E33)))))-COUNTBLANK(OFFSET(A$1,,,SUMPRODUCT(MAX(ROW(E$1:E32)*(E2=E$1:E32))))))</f>
        <v/>
      </c>
      <c r="K33" s="24" t="str">
        <f>IF(OR(E33="",E33="!!!",F33="NEW"),"",INDEX(J$1:J32,SUMPRODUCT(MAX(ROW(E$1:E32)*(E33=E$1:E32)))))</f>
        <v/>
      </c>
      <c r="L33" s="25"/>
    </row>
    <row r="34" spans="1:12" x14ac:dyDescent="0.3">
      <c r="A34" t="s">
        <v>273</v>
      </c>
      <c r="E34" s="20" t="str">
        <f t="shared" si="2"/>
        <v/>
      </c>
      <c r="F34" s="21" t="str">
        <f>IF(OR(E34="",E34="!!!"),"",IF(NOT(ISNA(VLOOKUP(E34,E$1:E33,1,FALSE()))),"OLD",IF(AND(E34&lt;&gt;"",E34&lt;&gt;"!!!"),"NEW","")))</f>
        <v/>
      </c>
      <c r="G34" s="22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/>
      </c>
      <c r="H34" s="23" t="str">
        <f t="shared" ca="1" si="3"/>
        <v/>
      </c>
      <c r="I34" s="24" t="str">
        <f>IF(OR(E34="",E34="!!!",F34="NEW"),"",INDEX(B$2:B33,-1+SUMPRODUCT(MAX(ROW(E$2:E33)*(E34=E$2:E33)))))</f>
        <v/>
      </c>
      <c r="J34" s="24" t="str">
        <f ca="1">IF(OR(E34="",E34="!!!",F34="NEW"),"",COUNTBLANK(OFFSET(A$1,,,SUMPRODUCT(MAX(ROW(E$2:E34)*(E34=E$2:E34)))))-COUNTBLANK(OFFSET(A$1,,,SUMPRODUCT(MAX(ROW(E$1:E33)*(E2=E$1:E33))))))</f>
        <v/>
      </c>
      <c r="K34" s="24" t="str">
        <f>IF(OR(E34="",E34="!!!",F34="NEW"),"",INDEX(J$1:J33,SUMPRODUCT(MAX(ROW(E$1:E33)*(E34=E$1:E33)))))</f>
        <v/>
      </c>
      <c r="L34" s="25"/>
    </row>
    <row r="35" spans="1:12" x14ac:dyDescent="0.3">
      <c r="A35" t="s">
        <v>274</v>
      </c>
      <c r="E35" s="20" t="str">
        <f t="shared" si="2"/>
        <v/>
      </c>
      <c r="F35" s="21" t="str">
        <f>IF(OR(E35="",E35="!!!"),"",IF(NOT(ISNA(VLOOKUP(E35,E$1:E34,1,FALSE()))),"OLD",IF(AND(E35&lt;&gt;"",E35&lt;&gt;"!!!"),"NEW","")))</f>
        <v/>
      </c>
      <c r="G35" s="22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/>
      </c>
      <c r="H35" s="23" t="str">
        <f t="shared" ca="1" si="3"/>
        <v/>
      </c>
      <c r="I35" s="24" t="str">
        <f>IF(OR(E35="",E35="!!!",F35="NEW"),"",INDEX(B$2:B34,-1+SUMPRODUCT(MAX(ROW(E$2:E34)*(E35=E$2:E34)))))</f>
        <v/>
      </c>
      <c r="J35" s="24" t="str">
        <f ca="1">IF(OR(E35="",E35="!!!",F35="NEW"),"",COUNTBLANK(OFFSET(A$1,,,SUMPRODUCT(MAX(ROW(E$2:E35)*(E35=E$2:E35)))))-COUNTBLANK(OFFSET(A$1,,,SUMPRODUCT(MAX(ROW(E$1:E34)*(E2=E$1:E34))))))</f>
        <v/>
      </c>
      <c r="K35" s="24" t="str">
        <f>IF(OR(E35="",E35="!!!",F35="NEW"),"",INDEX(J$1:J34,SUMPRODUCT(MAX(ROW(E$1:E34)*(E35=E$1:E34)))))</f>
        <v/>
      </c>
      <c r="L35" s="25"/>
    </row>
    <row r="36" spans="1:12" x14ac:dyDescent="0.3">
      <c r="A36" t="s">
        <v>275</v>
      </c>
      <c r="B36" s="26" t="s">
        <v>276</v>
      </c>
      <c r="C36" s="26" t="s">
        <v>262</v>
      </c>
      <c r="E36" s="20" t="str">
        <f t="shared" si="2"/>
        <v/>
      </c>
      <c r="F36" s="21" t="str">
        <f>IF(OR(E36="",E36="!!!"),"",IF(NOT(ISNA(VLOOKUP(E36,E$1:E35,1,FALSE()))),"OLD",IF(AND(E36&lt;&gt;"",E36&lt;&gt;"!!!"),"NEW","")))</f>
        <v/>
      </c>
      <c r="G36" s="22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/>
      </c>
      <c r="H36" s="23" t="str">
        <f t="shared" ca="1" si="3"/>
        <v/>
      </c>
      <c r="I36" s="24" t="str">
        <f>IF(OR(E36="",E36="!!!",F36="NEW"),"",INDEX(B$2:B35,-1+SUMPRODUCT(MAX(ROW(E$2:E35)*(E36=E$2:E35)))))</f>
        <v/>
      </c>
      <c r="J36" s="24" t="str">
        <f ca="1">IF(OR(E36="",E36="!!!",F36="NEW"),"",COUNTBLANK(OFFSET(A$1,,,SUMPRODUCT(MAX(ROW(E$2:E36)*(E36=E$2:E36)))))-COUNTBLANK(OFFSET(A$1,,,SUMPRODUCT(MAX(ROW(E$1:E35)*(E2=E$1:E35))))))</f>
        <v/>
      </c>
      <c r="K36" s="24" t="str">
        <f>IF(OR(E36="",E36="!!!",F36="NEW"),"",INDEX(J$1:J35,SUMPRODUCT(MAX(ROW(E$1:E35)*(E36=E$1:E35)))))</f>
        <v/>
      </c>
      <c r="L36" s="25"/>
    </row>
    <row r="37" spans="1:12" x14ac:dyDescent="0.3">
      <c r="A37" t="s">
        <v>277</v>
      </c>
      <c r="E37" s="20" t="str">
        <f t="shared" si="2"/>
        <v/>
      </c>
      <c r="F37" s="21" t="str">
        <f>IF(OR(E37="",E37="!!!"),"",IF(NOT(ISNA(VLOOKUP(E37,E$1:E36,1,FALSE()))),"OLD",IF(AND(E37&lt;&gt;"",E37&lt;&gt;"!!!"),"NEW","")))</f>
        <v/>
      </c>
      <c r="G37" s="22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/>
      </c>
      <c r="H37" s="23" t="str">
        <f t="shared" ca="1" si="3"/>
        <v/>
      </c>
      <c r="I37" s="24" t="str">
        <f>IF(OR(E37="",E37="!!!",F37="NEW"),"",INDEX(B$2:B36,-1+SUMPRODUCT(MAX(ROW(E$2:E36)*(E37=E$2:E36)))))</f>
        <v/>
      </c>
      <c r="J37" s="24" t="str">
        <f ca="1">IF(OR(E37="",E37="!!!",F37="NEW"),"",COUNTBLANK(OFFSET(A$1,,,SUMPRODUCT(MAX(ROW(E$2:E37)*(E37=E$2:E37)))))-COUNTBLANK(OFFSET(A$1,,,SUMPRODUCT(MAX(ROW(E$1:E36)*(E2=E$1:E36))))))</f>
        <v/>
      </c>
      <c r="K37" s="24" t="str">
        <f>IF(OR(E37="",E37="!!!",F37="NEW"),"",INDEX(J$1:J36,SUMPRODUCT(MAX(ROW(E$1:E36)*(E37=E$1:E36)))))</f>
        <v/>
      </c>
      <c r="L37" s="25"/>
    </row>
    <row r="38" spans="1:12" x14ac:dyDescent="0.3">
      <c r="A38" t="s">
        <v>278</v>
      </c>
      <c r="E38" s="20" t="str">
        <f t="shared" si="2"/>
        <v/>
      </c>
      <c r="F38" s="21" t="str">
        <f>IF(OR(E38="",E38="!!!"),"",IF(NOT(ISNA(VLOOKUP(E38,E$1:E37,1,FALSE()))),"OLD",IF(AND(E38&lt;&gt;"",E38&lt;&gt;"!!!"),"NEW","")))</f>
        <v/>
      </c>
      <c r="G38" s="22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/>
      </c>
      <c r="H38" s="23" t="str">
        <f t="shared" ca="1" si="3"/>
        <v/>
      </c>
      <c r="I38" s="24" t="str">
        <f>IF(OR(E38="",E38="!!!",F38="NEW"),"",INDEX(B$2:B37,-1+SUMPRODUCT(MAX(ROW(E$2:E37)*(E38=E$2:E37)))))</f>
        <v/>
      </c>
      <c r="J38" s="24" t="str">
        <f ca="1">IF(OR(E38="",E38="!!!",F38="NEW"),"",COUNTBLANK(OFFSET(A$1,,,SUMPRODUCT(MAX(ROW(E$2:E38)*(E38=E$2:E38)))))-COUNTBLANK(OFFSET(A$1,,,SUMPRODUCT(MAX(ROW(E$1:E37)*(E2=E$1:E37))))))</f>
        <v/>
      </c>
      <c r="K38" s="24" t="str">
        <f>IF(OR(E38="",E38="!!!",F38="NEW"),"",INDEX(J$1:J37,SUMPRODUCT(MAX(ROW(E$1:E37)*(E38=E$1:E37)))))</f>
        <v/>
      </c>
      <c r="L38" s="25"/>
    </row>
    <row r="39" spans="1:12" x14ac:dyDescent="0.3">
      <c r="A39" t="s">
        <v>279</v>
      </c>
      <c r="E39" s="20" t="str">
        <f t="shared" si="2"/>
        <v/>
      </c>
      <c r="F39" s="21" t="str">
        <f>IF(OR(E39="",E39="!!!"),"",IF(NOT(ISNA(VLOOKUP(E39,E$1:E38,1,FALSE()))),"OLD",IF(AND(E39&lt;&gt;"",E39&lt;&gt;"!!!"),"NEW","")))</f>
        <v/>
      </c>
      <c r="G39" s="22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/>
      </c>
      <c r="H39" s="23" t="str">
        <f t="shared" ca="1" si="3"/>
        <v/>
      </c>
      <c r="I39" s="24" t="str">
        <f>IF(OR(E39="",E39="!!!",F39="NEW"),"",INDEX(B$2:B38,-1+SUMPRODUCT(MAX(ROW(E$2:E38)*(E39=E$2:E38)))))</f>
        <v/>
      </c>
      <c r="J39" s="24" t="str">
        <f ca="1">IF(OR(E39="",E39="!!!",F39="NEW"),"",COUNTBLANK(OFFSET(A$1,,,SUMPRODUCT(MAX(ROW(E$2:E39)*(E39=E$2:E39)))))-COUNTBLANK(OFFSET(A$1,,,SUMPRODUCT(MAX(ROW(E$1:E38)*(E2=E$1:E38))))))</f>
        <v/>
      </c>
      <c r="K39" s="24" t="str">
        <f>IF(OR(E39="",E39="!!!",F39="NEW"),"",INDEX(J$1:J38,SUMPRODUCT(MAX(ROW(E$1:E38)*(E39=E$1:E38)))))</f>
        <v/>
      </c>
      <c r="L39" s="25"/>
    </row>
    <row r="40" spans="1:12" x14ac:dyDescent="0.3">
      <c r="A40" t="s">
        <v>280</v>
      </c>
      <c r="E40" s="20" t="str">
        <f t="shared" si="2"/>
        <v/>
      </c>
      <c r="F40" s="21" t="str">
        <f>IF(OR(E40="",E40="!!!"),"",IF(NOT(ISNA(VLOOKUP(E40,E$1:E39,1,FALSE()))),"OLD",IF(AND(E40&lt;&gt;"",E40&lt;&gt;"!!!"),"NEW","")))</f>
        <v/>
      </c>
      <c r="G40" s="22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/>
      </c>
      <c r="H40" s="23" t="str">
        <f t="shared" ca="1" si="3"/>
        <v/>
      </c>
      <c r="I40" s="24" t="str">
        <f>IF(OR(E40="",E40="!!!",F40="NEW"),"",INDEX(B$2:B39,-1+SUMPRODUCT(MAX(ROW(E$2:E39)*(E40=E$2:E39)))))</f>
        <v/>
      </c>
      <c r="J40" s="24" t="str">
        <f ca="1">IF(OR(E40="",E40="!!!",F40="NEW"),"",COUNTBLANK(OFFSET(A$1,,,SUMPRODUCT(MAX(ROW(E$2:E40)*(E40=E$2:E40)))))-COUNTBLANK(OFFSET(A$1,,,SUMPRODUCT(MAX(ROW(E$1:E39)*(E2=E$1:E39))))))</f>
        <v/>
      </c>
      <c r="K40" s="24" t="str">
        <f>IF(OR(E40="",E40="!!!",F40="NEW"),"",INDEX(J$1:J39,SUMPRODUCT(MAX(ROW(E$1:E39)*(E40=E$1:E39)))))</f>
        <v/>
      </c>
      <c r="L40" s="25"/>
    </row>
    <row r="41" spans="1:12" x14ac:dyDescent="0.3">
      <c r="A41" t="s">
        <v>252</v>
      </c>
      <c r="E41" s="20" t="str">
        <f t="shared" si="2"/>
        <v/>
      </c>
      <c r="F41" s="21" t="str">
        <f>IF(OR(E41="",E41="!!!"),"",IF(NOT(ISNA(VLOOKUP(E41,E$1:E40,1,FALSE()))),"OLD",IF(AND(E41&lt;&gt;"",E41&lt;&gt;"!!!"),"NEW","")))</f>
        <v/>
      </c>
      <c r="G41" s="22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/>
      </c>
      <c r="H41" s="23" t="str">
        <f t="shared" ca="1" si="3"/>
        <v/>
      </c>
      <c r="I41" s="24" t="str">
        <f>IF(OR(E41="",E41="!!!",F41="NEW"),"",INDEX(B$2:B40,-1+SUMPRODUCT(MAX(ROW(E$2:E40)*(E41=E$2:E40)))))</f>
        <v/>
      </c>
      <c r="J41" s="24" t="str">
        <f ca="1">IF(OR(E41="",E41="!!!",F41="NEW"),"",COUNTBLANK(OFFSET(A$1,,,SUMPRODUCT(MAX(ROW(E$2:E41)*(E41=E$2:E41)))))-COUNTBLANK(OFFSET(A$1,,,SUMPRODUCT(MAX(ROW(E$1:E40)*(E2=E$1:E40))))))</f>
        <v/>
      </c>
      <c r="K41" s="24" t="str">
        <f>IF(OR(E41="",E41="!!!",F41="NEW"),"",INDEX(J$1:J40,SUMPRODUCT(MAX(ROW(E$1:E40)*(E41=E$1:E40)))))</f>
        <v/>
      </c>
      <c r="L41" s="25"/>
    </row>
    <row r="42" spans="1:12" x14ac:dyDescent="0.3">
      <c r="A42" t="s">
        <v>281</v>
      </c>
      <c r="E42" s="20" t="str">
        <f t="shared" si="2"/>
        <v/>
      </c>
      <c r="F42" s="21" t="str">
        <f>IF(OR(E42="",E42="!!!"),"",IF(NOT(ISNA(VLOOKUP(E42,E$1:E41,1,FALSE()))),"OLD",IF(AND(E42&lt;&gt;"",E42&lt;&gt;"!!!"),"NEW","")))</f>
        <v/>
      </c>
      <c r="G42" s="22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/>
      </c>
      <c r="H42" s="23" t="str">
        <f t="shared" ca="1" si="3"/>
        <v/>
      </c>
      <c r="I42" s="24" t="str">
        <f>IF(OR(E42="",E42="!!!",F42="NEW"),"",INDEX(B$2:B41,-1+SUMPRODUCT(MAX(ROW(E$2:E41)*(E42=E$2:E41)))))</f>
        <v/>
      </c>
      <c r="J42" s="24" t="str">
        <f ca="1">IF(OR(E42="",E42="!!!",F42="NEW"),"",COUNTBLANK(OFFSET(A$1,,,SUMPRODUCT(MAX(ROW(E$2:E42)*(E42=E$2:E42)))))-COUNTBLANK(OFFSET(A$1,,,SUMPRODUCT(MAX(ROW(E$1:E41)*(E2=E$1:E41))))))</f>
        <v/>
      </c>
      <c r="K42" s="24" t="str">
        <f>IF(OR(E42="",E42="!!!",F42="NEW"),"",INDEX(J$1:J41,SUMPRODUCT(MAX(ROW(E$1:E41)*(E42=E$1:E41)))))</f>
        <v/>
      </c>
      <c r="L42" s="25"/>
    </row>
    <row r="43" spans="1:12" x14ac:dyDescent="0.3">
      <c r="A43" t="s">
        <v>242</v>
      </c>
      <c r="B43" s="26" t="s">
        <v>282</v>
      </c>
      <c r="C43" s="26" t="s">
        <v>244</v>
      </c>
      <c r="D43" s="26" t="s">
        <v>240</v>
      </c>
      <c r="E43" s="20" t="str">
        <f t="shared" si="2"/>
        <v>!!!</v>
      </c>
      <c r="F43" s="21" t="str">
        <f>IF(OR(E43="",E43="!!!"),"",IF(NOT(ISNA(VLOOKUP(E43,E$1:E42,1,FALSE()))),"OLD",IF(AND(E43&lt;&gt;"",E43&lt;&gt;"!!!"),"NEW","")))</f>
        <v/>
      </c>
      <c r="G43" s="22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/>
      </c>
      <c r="H43" s="23" t="str">
        <f t="shared" ca="1" si="3"/>
        <v/>
      </c>
      <c r="I43" s="24" t="str">
        <f>IF(OR(E43="",E43="!!!",F43="NEW"),"",INDEX(B$2:B42,-1+SUMPRODUCT(MAX(ROW(E$2:E42)*(E43=E$2:E42)))))</f>
        <v/>
      </c>
      <c r="J43" s="24" t="str">
        <f ca="1">IF(OR(E43="",E43="!!!",F43="NEW"),"",COUNTBLANK(OFFSET(A$1,,,SUMPRODUCT(MAX(ROW(E$2:E43)*(E43=E$2:E43)))))-COUNTBLANK(OFFSET(A$1,,,SUMPRODUCT(MAX(ROW(E$1:E42)*(E2=E$1:E42))))))</f>
        <v/>
      </c>
      <c r="K43" s="24" t="str">
        <f>IF(OR(E43="",E43="!!!",F43="NEW"),"",INDEX(J$1:J42,SUMPRODUCT(MAX(ROW(E$1:E42)*(E43=E$1:E42)))))</f>
        <v/>
      </c>
      <c r="L43" s="25"/>
    </row>
    <row r="44" spans="1:12" x14ac:dyDescent="0.3">
      <c r="A44" t="s">
        <v>283</v>
      </c>
      <c r="E44" s="20" t="str">
        <f t="shared" si="2"/>
        <v/>
      </c>
      <c r="F44" s="21" t="str">
        <f>IF(OR(E44="",E44="!!!"),"",IF(NOT(ISNA(VLOOKUP(E44,E$1:E43,1,FALSE()))),"OLD",IF(AND(E44&lt;&gt;"",E44&lt;&gt;"!!!"),"NEW","")))</f>
        <v/>
      </c>
      <c r="G44" s="22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/>
      </c>
      <c r="H44" s="23" t="str">
        <f t="shared" ca="1" si="3"/>
        <v/>
      </c>
      <c r="I44" s="24" t="str">
        <f>IF(OR(E44="",E44="!!!",F44="NEW"),"",INDEX(B$2:B43,-1+SUMPRODUCT(MAX(ROW(E$2:E43)*(E44=E$2:E43)))))</f>
        <v/>
      </c>
      <c r="J44" s="24" t="str">
        <f ca="1">IF(OR(E44="",E44="!!!",F44="NEW"),"",COUNTBLANK(OFFSET(A$1,,,SUMPRODUCT(MAX(ROW(E$2:E44)*(E44=E$2:E44)))))-COUNTBLANK(OFFSET(A$1,,,SUMPRODUCT(MAX(ROW(E$1:E43)*(E2=E$1:E43))))))</f>
        <v/>
      </c>
      <c r="K44" s="24" t="str">
        <f>IF(OR(E44="",E44="!!!",F44="NEW"),"",INDEX(J$1:J43,SUMPRODUCT(MAX(ROW(E$1:E43)*(E44=E$1:E43)))))</f>
        <v/>
      </c>
      <c r="L44" s="25"/>
    </row>
    <row r="45" spans="1:12" x14ac:dyDescent="0.3">
      <c r="A45" t="s">
        <v>284</v>
      </c>
      <c r="B45" s="26" t="s">
        <v>285</v>
      </c>
      <c r="C45" s="26" t="s">
        <v>247</v>
      </c>
      <c r="E45" s="20" t="str">
        <f t="shared" si="2"/>
        <v/>
      </c>
      <c r="F45" s="21" t="str">
        <f>IF(OR(E45="",E45="!!!"),"",IF(NOT(ISNA(VLOOKUP(E45,E$1:E44,1,FALSE()))),"OLD",IF(AND(E45&lt;&gt;"",E45&lt;&gt;"!!!"),"NEW","")))</f>
        <v/>
      </c>
      <c r="G45" s="22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/>
      </c>
      <c r="H45" s="23" t="str">
        <f t="shared" ca="1" si="3"/>
        <v/>
      </c>
      <c r="I45" s="24" t="str">
        <f>IF(OR(E45="",E45="!!!",F45="NEW"),"",INDEX(B$2:B44,-1+SUMPRODUCT(MAX(ROW(E$2:E44)*(E45=E$2:E44)))))</f>
        <v/>
      </c>
      <c r="J45" s="24" t="str">
        <f ca="1">IF(OR(E45="",E45="!!!",F45="NEW"),"",COUNTBLANK(OFFSET(A$1,,,SUMPRODUCT(MAX(ROW(E$2:E45)*(E45=E$2:E45)))))-COUNTBLANK(OFFSET(A$1,,,SUMPRODUCT(MAX(ROW(E$1:E44)*(E2=E$1:E44))))))</f>
        <v/>
      </c>
      <c r="K45" s="24" t="str">
        <f>IF(OR(E45="",E45="!!!",F45="NEW"),"",INDEX(J$1:J44,SUMPRODUCT(MAX(ROW(E$1:E44)*(E45=E$1:E44)))))</f>
        <v/>
      </c>
      <c r="L45" s="25"/>
    </row>
    <row r="46" spans="1:12" x14ac:dyDescent="0.3">
      <c r="A46" t="s">
        <v>286</v>
      </c>
      <c r="E46" s="20" t="str">
        <f t="shared" si="2"/>
        <v/>
      </c>
      <c r="F46" s="21" t="str">
        <f>IF(OR(E46="",E46="!!!"),"",IF(NOT(ISNA(VLOOKUP(E46,E$1:E45,1,FALSE()))),"OLD",IF(AND(E46&lt;&gt;"",E46&lt;&gt;"!!!"),"NEW","")))</f>
        <v/>
      </c>
      <c r="G46" s="22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/>
      </c>
      <c r="H46" s="23" t="str">
        <f t="shared" ca="1" si="3"/>
        <v/>
      </c>
      <c r="I46" s="24" t="str">
        <f>IF(OR(E46="",E46="!!!",F46="NEW"),"",INDEX(B$2:B45,-1+SUMPRODUCT(MAX(ROW(E$2:E45)*(E46=E$2:E45)))))</f>
        <v/>
      </c>
      <c r="J46" s="24" t="str">
        <f ca="1">IF(OR(E46="",E46="!!!",F46="NEW"),"",COUNTBLANK(OFFSET(A$1,,,SUMPRODUCT(MAX(ROW(E$2:E46)*(E46=E$2:E46)))))-COUNTBLANK(OFFSET(A$1,,,SUMPRODUCT(MAX(ROW(E$1:E45)*(E2=E$1:E45))))))</f>
        <v/>
      </c>
      <c r="K46" s="24" t="str">
        <f>IF(OR(E46="",E46="!!!",F46="NEW"),"",INDEX(J$1:J45,SUMPRODUCT(MAX(ROW(E$1:E45)*(E46=E$1:E45)))))</f>
        <v/>
      </c>
      <c r="L46" s="25"/>
    </row>
    <row r="47" spans="1:12" x14ac:dyDescent="0.3">
      <c r="A47" t="s">
        <v>287</v>
      </c>
      <c r="E47" s="20" t="str">
        <f t="shared" si="2"/>
        <v/>
      </c>
      <c r="F47" s="21" t="str">
        <f>IF(OR(E47="",E47="!!!"),"",IF(NOT(ISNA(VLOOKUP(E47,E$1:E46,1,FALSE()))),"OLD",IF(AND(E47&lt;&gt;"",E47&lt;&gt;"!!!"),"NEW","")))</f>
        <v/>
      </c>
      <c r="G47" s="22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/>
      </c>
      <c r="H47" s="23" t="str">
        <f t="shared" ca="1" si="3"/>
        <v/>
      </c>
      <c r="I47" s="24" t="str">
        <f>IF(OR(E47="",E47="!!!",F47="NEW"),"",INDEX(B$2:B46,-1+SUMPRODUCT(MAX(ROW(E$2:E46)*(E47=E$2:E46)))))</f>
        <v/>
      </c>
      <c r="J47" s="24" t="str">
        <f ca="1">IF(OR(E47="",E47="!!!",F47="NEW"),"",COUNTBLANK(OFFSET(A$1,,,SUMPRODUCT(MAX(ROW(E$2:E47)*(E47=E$2:E47)))))-COUNTBLANK(OFFSET(A$1,,,SUMPRODUCT(MAX(ROW(E$1:E46)*(E2=E$1:E46))))))</f>
        <v/>
      </c>
      <c r="K47" s="24" t="str">
        <f>IF(OR(E47="",E47="!!!",F47="NEW"),"",INDEX(J$1:J46,SUMPRODUCT(MAX(ROW(E$1:E46)*(E47=E$1:E46)))))</f>
        <v/>
      </c>
      <c r="L47" s="25"/>
    </row>
    <row r="48" spans="1:12" x14ac:dyDescent="0.3">
      <c r="A48" t="s">
        <v>248</v>
      </c>
      <c r="E48" s="20" t="str">
        <f t="shared" si="2"/>
        <v/>
      </c>
      <c r="F48" s="21" t="str">
        <f>IF(OR(E48="",E48="!!!"),"",IF(NOT(ISNA(VLOOKUP(E48,E$1:E47,1,FALSE()))),"OLD",IF(AND(E48&lt;&gt;"",E48&lt;&gt;"!!!"),"NEW","")))</f>
        <v/>
      </c>
      <c r="G48" s="22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/>
      </c>
      <c r="H48" s="23" t="str">
        <f t="shared" ca="1" si="3"/>
        <v/>
      </c>
      <c r="I48" s="24" t="str">
        <f>IF(OR(E48="",E48="!!!",F48="NEW"),"",INDEX(B$2:B47,-1+SUMPRODUCT(MAX(ROW(E$2:E47)*(E48=E$2:E47)))))</f>
        <v/>
      </c>
      <c r="J48" s="24" t="str">
        <f ca="1">IF(OR(E48="",E48="!!!",F48="NEW"),"",COUNTBLANK(OFFSET(A$1,,,SUMPRODUCT(MAX(ROW(E$2:E48)*(E48=E$2:E48)))))-COUNTBLANK(OFFSET(A$1,,,SUMPRODUCT(MAX(ROW(E$1:E47)*(E2=E$1:E47))))))</f>
        <v/>
      </c>
      <c r="K48" s="24" t="str">
        <f>IF(OR(E48="",E48="!!!",F48="NEW"),"",INDEX(J$1:J47,SUMPRODUCT(MAX(ROW(E$1:E47)*(E48=E$1:E47)))))</f>
        <v/>
      </c>
      <c r="L48" s="25"/>
    </row>
    <row r="50" spans="1:12" x14ac:dyDescent="0.3">
      <c r="A50" t="s">
        <v>288</v>
      </c>
    </row>
    <row r="51" spans="1:12" x14ac:dyDescent="0.3">
      <c r="A51" t="s">
        <v>289</v>
      </c>
      <c r="B51" s="26" t="s">
        <v>261</v>
      </c>
      <c r="C51" s="26" t="s">
        <v>290</v>
      </c>
      <c r="D51" s="26" t="s">
        <v>240</v>
      </c>
      <c r="E51" s="20" t="str">
        <f t="shared" ref="E51:E79" si="4">IF(D51="?OLD","!!!","")</f>
        <v>!!!</v>
      </c>
      <c r="F51" s="21" t="str">
        <f>IF(OR(E51="",E51="!!!"),"",IF(NOT(ISNA(VLOOKUP(E51,E$1:E50,1,FALSE()))),"OLD",IF(AND(E51&lt;&gt;"",E51&lt;&gt;"!!!"),"NEW","")))</f>
        <v/>
      </c>
      <c r="G51" s="22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/>
      </c>
      <c r="H51" s="23" t="str">
        <f t="shared" ref="H51:H79" ca="1" si="5">IF(J51&lt;&gt;1,"",IF(I51="SBJ","CB","?"))</f>
        <v/>
      </c>
      <c r="I51" s="24" t="str">
        <f>IF(OR(E51="",E51="!!!",F51="NEW"),"",INDEX(B$2:B50,-1+SUMPRODUCT(MAX(ROW(E$2:E50)*(E51=E$2:E50)))))</f>
        <v/>
      </c>
      <c r="J51" s="24" t="str">
        <f ca="1">IF(OR(E51="",E51="!!!",F51="NEW"),"",COUNTBLANK(OFFSET(A$1,,,SUMPRODUCT(MAX(ROW(E$2:E51)*(E51=E$2:E51)))))-COUNTBLANK(OFFSET(A$1,,,SUMPRODUCT(MAX(ROW(E$1:E50)*(E2=E$1:E50))))))</f>
        <v/>
      </c>
      <c r="K51" s="24" t="str">
        <f>IF(OR(E51="",E51="!!!",F51="NEW"),"",INDEX(J$1:J50,SUMPRODUCT(MAX(ROW(E$1:E50)*(E51=E$1:E50)))))</f>
        <v/>
      </c>
      <c r="L51" s="25"/>
    </row>
    <row r="52" spans="1:12" x14ac:dyDescent="0.3">
      <c r="A52" t="s">
        <v>291</v>
      </c>
      <c r="B52" s="26" t="s">
        <v>292</v>
      </c>
      <c r="C52" s="26" t="s">
        <v>247</v>
      </c>
      <c r="E52" s="20" t="str">
        <f t="shared" si="4"/>
        <v/>
      </c>
      <c r="F52" s="21" t="str">
        <f>IF(OR(E52="",E52="!!!"),"",IF(NOT(ISNA(VLOOKUP(E52,E$1:E51,1,FALSE()))),"OLD",IF(AND(E52&lt;&gt;"",E52&lt;&gt;"!!!"),"NEW","")))</f>
        <v/>
      </c>
      <c r="G52" s="22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/>
      </c>
      <c r="H52" s="23" t="str">
        <f t="shared" ca="1" si="5"/>
        <v/>
      </c>
      <c r="I52" s="24" t="str">
        <f>IF(OR(E52="",E52="!!!",F52="NEW"),"",INDEX(B$2:B51,-1+SUMPRODUCT(MAX(ROW(E$2:E51)*(E52=E$2:E51)))))</f>
        <v/>
      </c>
      <c r="J52" s="24" t="str">
        <f ca="1">IF(OR(E52="",E52="!!!",F52="NEW"),"",COUNTBLANK(OFFSET(A$1,,,SUMPRODUCT(MAX(ROW(E$2:E52)*(E52=E$2:E52)))))-COUNTBLANK(OFFSET(A$1,,,SUMPRODUCT(MAX(ROW(E$1:E51)*(E2=E$1:E51))))))</f>
        <v/>
      </c>
      <c r="K52" s="24" t="str">
        <f>IF(OR(E52="",E52="!!!",F52="NEW"),"",INDEX(J$1:J51,SUMPRODUCT(MAX(ROW(E$1:E51)*(E52=E$1:E51)))))</f>
        <v/>
      </c>
      <c r="L52" s="25"/>
    </row>
    <row r="53" spans="1:12" x14ac:dyDescent="0.3">
      <c r="A53" t="s">
        <v>257</v>
      </c>
      <c r="E53" s="20" t="str">
        <f t="shared" si="4"/>
        <v/>
      </c>
      <c r="F53" s="21" t="str">
        <f>IF(OR(E53="",E53="!!!"),"",IF(NOT(ISNA(VLOOKUP(E53,E$1:E52,1,FALSE()))),"OLD",IF(AND(E53&lt;&gt;"",E53&lt;&gt;"!!!"),"NEW","")))</f>
        <v/>
      </c>
      <c r="G53" s="22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/>
      </c>
      <c r="H53" s="23" t="str">
        <f t="shared" ca="1" si="5"/>
        <v/>
      </c>
      <c r="I53" s="24" t="str">
        <f>IF(OR(E53="",E53="!!!",F53="NEW"),"",INDEX(B$2:B52,-1+SUMPRODUCT(MAX(ROW(E$2:E52)*(E53=E$2:E52)))))</f>
        <v/>
      </c>
      <c r="J53" s="24" t="str">
        <f ca="1">IF(OR(E53="",E53="!!!",F53="NEW"),"",COUNTBLANK(OFFSET(A$1,,,SUMPRODUCT(MAX(ROW(E$2:E53)*(E53=E$2:E53)))))-COUNTBLANK(OFFSET(A$1,,,SUMPRODUCT(MAX(ROW(E$1:E52)*(E2=E$1:E52))))))</f>
        <v/>
      </c>
      <c r="K53" s="24" t="str">
        <f>IF(OR(E53="",E53="!!!",F53="NEW"),"",INDEX(J$1:J52,SUMPRODUCT(MAX(ROW(E$1:E52)*(E53=E$1:E52)))))</f>
        <v/>
      </c>
      <c r="L53" s="25"/>
    </row>
    <row r="54" spans="1:12" x14ac:dyDescent="0.3">
      <c r="A54" t="s">
        <v>236</v>
      </c>
      <c r="E54" s="20" t="str">
        <f t="shared" si="4"/>
        <v/>
      </c>
      <c r="F54" s="21" t="str">
        <f>IF(OR(E54="",E54="!!!"),"",IF(NOT(ISNA(VLOOKUP(E54,E$1:E53,1,FALSE()))),"OLD",IF(AND(E54&lt;&gt;"",E54&lt;&gt;"!!!"),"NEW","")))</f>
        <v/>
      </c>
      <c r="G54" s="22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/>
      </c>
      <c r="H54" s="23" t="str">
        <f t="shared" ca="1" si="5"/>
        <v/>
      </c>
      <c r="I54" s="24" t="str">
        <f>IF(OR(E54="",E54="!!!",F54="NEW"),"",INDEX(B$2:B53,-1+SUMPRODUCT(MAX(ROW(E$2:E53)*(E54=E$2:E53)))))</f>
        <v/>
      </c>
      <c r="J54" s="24" t="str">
        <f ca="1">IF(OR(E54="",E54="!!!",F54="NEW"),"",COUNTBLANK(OFFSET(A$1,,,SUMPRODUCT(MAX(ROW(E$2:E54)*(E54=E$2:E54)))))-COUNTBLANK(OFFSET(A$1,,,SUMPRODUCT(MAX(ROW(E$1:E53)*(E2=E$1:E53))))))</f>
        <v/>
      </c>
      <c r="K54" s="24" t="str">
        <f>IF(OR(E54="",E54="!!!",F54="NEW"),"",INDEX(J$1:J53,SUMPRODUCT(MAX(ROW(E$1:E53)*(E54=E$1:E53)))))</f>
        <v/>
      </c>
      <c r="L54" s="25"/>
    </row>
    <row r="55" spans="1:12" x14ac:dyDescent="0.3">
      <c r="A55" t="s">
        <v>293</v>
      </c>
      <c r="B55" s="26" t="s">
        <v>261</v>
      </c>
      <c r="C55" s="26" t="s">
        <v>294</v>
      </c>
      <c r="D55" s="26" t="s">
        <v>240</v>
      </c>
      <c r="E55" s="20" t="str">
        <f t="shared" si="4"/>
        <v>!!!</v>
      </c>
      <c r="F55" s="21" t="str">
        <f>IF(OR(E55="",E55="!!!"),"",IF(NOT(ISNA(VLOOKUP(E55,E$1:E54,1,FALSE()))),"OLD",IF(AND(E55&lt;&gt;"",E55&lt;&gt;"!!!"),"NEW","")))</f>
        <v/>
      </c>
      <c r="G55" s="22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/>
      </c>
      <c r="H55" s="23" t="str">
        <f t="shared" ca="1" si="5"/>
        <v/>
      </c>
      <c r="I55" s="24" t="str">
        <f>IF(OR(E55="",E55="!!!",F55="NEW"),"",INDEX(B$2:B54,-1+SUMPRODUCT(MAX(ROW(E$2:E54)*(E55=E$2:E54)))))</f>
        <v/>
      </c>
      <c r="J55" s="24" t="str">
        <f ca="1">IF(OR(E55="",E55="!!!",F55="NEW"),"",COUNTBLANK(OFFSET(A$1,,,SUMPRODUCT(MAX(ROW(E$2:E55)*(E55=E$2:E55)))))-COUNTBLANK(OFFSET(A$1,,,SUMPRODUCT(MAX(ROW(E$1:E54)*(E2=E$1:E54))))))</f>
        <v/>
      </c>
      <c r="K55" s="24" t="str">
        <f>IF(OR(E55="",E55="!!!",F55="NEW"),"",INDEX(J$1:J54,SUMPRODUCT(MAX(ROW(E$1:E54)*(E55=E$1:E54)))))</f>
        <v/>
      </c>
      <c r="L55" s="25"/>
    </row>
    <row r="56" spans="1:12" x14ac:dyDescent="0.3">
      <c r="A56" t="s">
        <v>295</v>
      </c>
      <c r="E56" s="20" t="str">
        <f t="shared" si="4"/>
        <v/>
      </c>
      <c r="F56" s="21" t="str">
        <f>IF(OR(E56="",E56="!!!"),"",IF(NOT(ISNA(VLOOKUP(E56,E$1:E55,1,FALSE()))),"OLD",IF(AND(E56&lt;&gt;"",E56&lt;&gt;"!!!"),"NEW","")))</f>
        <v/>
      </c>
      <c r="G56" s="22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/>
      </c>
      <c r="H56" s="23" t="str">
        <f t="shared" ca="1" si="5"/>
        <v/>
      </c>
      <c r="I56" s="24" t="str">
        <f>IF(OR(E56="",E56="!!!",F56="NEW"),"",INDEX(B$2:B55,-1+SUMPRODUCT(MAX(ROW(E$2:E55)*(E56=E$2:E55)))))</f>
        <v/>
      </c>
      <c r="J56" s="24" t="str">
        <f ca="1">IF(OR(E56="",E56="!!!",F56="NEW"),"",COUNTBLANK(OFFSET(A$1,,,SUMPRODUCT(MAX(ROW(E$2:E56)*(E56=E$2:E56)))))-COUNTBLANK(OFFSET(A$1,,,SUMPRODUCT(MAX(ROW(E$1:E55)*(E2=E$1:E55))))))</f>
        <v/>
      </c>
      <c r="K56" s="24" t="str">
        <f>IF(OR(E56="",E56="!!!",F56="NEW"),"",INDEX(J$1:J55,SUMPRODUCT(MAX(ROW(E$1:E55)*(E56=E$1:E55)))))</f>
        <v/>
      </c>
      <c r="L56" s="25"/>
    </row>
    <row r="57" spans="1:12" x14ac:dyDescent="0.3">
      <c r="A57" t="s">
        <v>296</v>
      </c>
      <c r="E57" s="20" t="str">
        <f t="shared" si="4"/>
        <v/>
      </c>
      <c r="F57" s="21" t="str">
        <f>IF(OR(E57="",E57="!!!"),"",IF(NOT(ISNA(VLOOKUP(E57,E$1:E56,1,FALSE()))),"OLD",IF(AND(E57&lt;&gt;"",E57&lt;&gt;"!!!"),"NEW","")))</f>
        <v/>
      </c>
      <c r="G57" s="22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/>
      </c>
      <c r="H57" s="23" t="str">
        <f t="shared" ca="1" si="5"/>
        <v/>
      </c>
      <c r="I57" s="24" t="str">
        <f>IF(OR(E57="",E57="!!!",F57="NEW"),"",INDEX(B$2:B56,-1+SUMPRODUCT(MAX(ROW(E$2:E56)*(E57=E$2:E56)))))</f>
        <v/>
      </c>
      <c r="J57" s="24" t="str">
        <f ca="1">IF(OR(E57="",E57="!!!",F57="NEW"),"",COUNTBLANK(OFFSET(A$1,,,SUMPRODUCT(MAX(ROW(E$2:E57)*(E57=E$2:E57)))))-COUNTBLANK(OFFSET(A$1,,,SUMPRODUCT(MAX(ROW(E$1:E56)*(E2=E$1:E56))))))</f>
        <v/>
      </c>
      <c r="K57" s="24" t="str">
        <f>IF(OR(E57="",E57="!!!",F57="NEW"),"",INDEX(J$1:J56,SUMPRODUCT(MAX(ROW(E$1:E56)*(E57=E$1:E56)))))</f>
        <v/>
      </c>
      <c r="L57" s="25"/>
    </row>
    <row r="58" spans="1:12" x14ac:dyDescent="0.3">
      <c r="A58" t="s">
        <v>297</v>
      </c>
      <c r="E58" s="20" t="str">
        <f t="shared" si="4"/>
        <v/>
      </c>
      <c r="F58" s="21" t="str">
        <f>IF(OR(E58="",E58="!!!"),"",IF(NOT(ISNA(VLOOKUP(E58,E$1:E57,1,FALSE()))),"OLD",IF(AND(E58&lt;&gt;"",E58&lt;&gt;"!!!"),"NEW","")))</f>
        <v/>
      </c>
      <c r="G58" s="22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/>
      </c>
      <c r="H58" s="23" t="str">
        <f t="shared" ca="1" si="5"/>
        <v/>
      </c>
      <c r="I58" s="24" t="str">
        <f>IF(OR(E58="",E58="!!!",F58="NEW"),"",INDEX(B$2:B57,-1+SUMPRODUCT(MAX(ROW(E$2:E57)*(E58=E$2:E57)))))</f>
        <v/>
      </c>
      <c r="J58" s="24" t="str">
        <f ca="1">IF(OR(E58="",E58="!!!",F58="NEW"),"",COUNTBLANK(OFFSET(A$1,,,SUMPRODUCT(MAX(ROW(E$2:E58)*(E58=E$2:E58)))))-COUNTBLANK(OFFSET(A$1,,,SUMPRODUCT(MAX(ROW(E$1:E57)*(E2=E$1:E57))))))</f>
        <v/>
      </c>
      <c r="K58" s="24" t="str">
        <f>IF(OR(E58="",E58="!!!",F58="NEW"),"",INDEX(J$1:J57,SUMPRODUCT(MAX(ROW(E$1:E57)*(E58=E$1:E57)))))</f>
        <v/>
      </c>
      <c r="L58" s="25"/>
    </row>
    <row r="59" spans="1:12" x14ac:dyDescent="0.3">
      <c r="A59" t="s">
        <v>257</v>
      </c>
      <c r="E59" s="20" t="str">
        <f t="shared" si="4"/>
        <v/>
      </c>
      <c r="F59" s="21" t="str">
        <f>IF(OR(E59="",E59="!!!"),"",IF(NOT(ISNA(VLOOKUP(E59,E$1:E58,1,FALSE()))),"OLD",IF(AND(E59&lt;&gt;"",E59&lt;&gt;"!!!"),"NEW","")))</f>
        <v/>
      </c>
      <c r="G59" s="22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/>
      </c>
      <c r="H59" s="23" t="str">
        <f t="shared" ca="1" si="5"/>
        <v/>
      </c>
      <c r="I59" s="24" t="str">
        <f>IF(OR(E59="",E59="!!!",F59="NEW"),"",INDEX(B$2:B58,-1+SUMPRODUCT(MAX(ROW(E$2:E58)*(E59=E$2:E58)))))</f>
        <v/>
      </c>
      <c r="J59" s="24" t="str">
        <f ca="1">IF(OR(E59="",E59="!!!",F59="NEW"),"",COUNTBLANK(OFFSET(A$1,,,SUMPRODUCT(MAX(ROW(E$2:E59)*(E59=E$2:E59)))))-COUNTBLANK(OFFSET(A$1,,,SUMPRODUCT(MAX(ROW(E$1:E58)*(E2=E$1:E58))))))</f>
        <v/>
      </c>
      <c r="K59" s="24" t="str">
        <f>IF(OR(E59="",E59="!!!",F59="NEW"),"",INDEX(J$1:J58,SUMPRODUCT(MAX(ROW(E$1:E58)*(E59=E$1:E58)))))</f>
        <v/>
      </c>
      <c r="L59" s="25"/>
    </row>
    <row r="60" spans="1:12" x14ac:dyDescent="0.3">
      <c r="A60" t="s">
        <v>298</v>
      </c>
      <c r="B60" s="26" t="s">
        <v>272</v>
      </c>
      <c r="C60" s="26" t="s">
        <v>294</v>
      </c>
      <c r="D60" s="26" t="s">
        <v>240</v>
      </c>
      <c r="E60" s="20" t="str">
        <f t="shared" si="4"/>
        <v>!!!</v>
      </c>
      <c r="F60" s="21" t="str">
        <f>IF(OR(E60="",E60="!!!"),"",IF(NOT(ISNA(VLOOKUP(E60,E$1:E59,1,FALSE()))),"OLD",IF(AND(E60&lt;&gt;"",E60&lt;&gt;"!!!"),"NEW","")))</f>
        <v/>
      </c>
      <c r="G60" s="22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/>
      </c>
      <c r="H60" s="23" t="str">
        <f t="shared" ca="1" si="5"/>
        <v/>
      </c>
      <c r="I60" s="24" t="str">
        <f>IF(OR(E60="",E60="!!!",F60="NEW"),"",INDEX(B$2:B59,-1+SUMPRODUCT(MAX(ROW(E$2:E59)*(E60=E$2:E59)))))</f>
        <v/>
      </c>
      <c r="J60" s="24" t="str">
        <f ca="1">IF(OR(E60="",E60="!!!",F60="NEW"),"",COUNTBLANK(OFFSET(A$1,,,SUMPRODUCT(MAX(ROW(E$2:E60)*(E60=E$2:E60)))))-COUNTBLANK(OFFSET(A$1,,,SUMPRODUCT(MAX(ROW(E$1:E59)*(E2=E$1:E59))))))</f>
        <v/>
      </c>
      <c r="K60" s="24" t="str">
        <f>IF(OR(E60="",E60="!!!",F60="NEW"),"",INDEX(J$1:J59,SUMPRODUCT(MAX(ROW(E$1:E59)*(E60=E$1:E59)))))</f>
        <v/>
      </c>
      <c r="L60" s="25"/>
    </row>
    <row r="61" spans="1:12" x14ac:dyDescent="0.3">
      <c r="A61" t="s">
        <v>278</v>
      </c>
      <c r="E61" s="20" t="str">
        <f t="shared" si="4"/>
        <v/>
      </c>
      <c r="F61" s="21" t="str">
        <f>IF(OR(E61="",E61="!!!"),"",IF(NOT(ISNA(VLOOKUP(E61,E$1:E60,1,FALSE()))),"OLD",IF(AND(E61&lt;&gt;"",E61&lt;&gt;"!!!"),"NEW","")))</f>
        <v/>
      </c>
      <c r="G61" s="22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/>
      </c>
      <c r="H61" s="23" t="str">
        <f t="shared" ca="1" si="5"/>
        <v/>
      </c>
      <c r="I61" s="24" t="str">
        <f>IF(OR(E61="",E61="!!!",F61="NEW"),"",INDEX(B$2:B60,-1+SUMPRODUCT(MAX(ROW(E$2:E60)*(E61=E$2:E60)))))</f>
        <v/>
      </c>
      <c r="J61" s="24" t="str">
        <f ca="1">IF(OR(E61="",E61="!!!",F61="NEW"),"",COUNTBLANK(OFFSET(A$1,,,SUMPRODUCT(MAX(ROW(E$2:E61)*(E61=E$2:E61)))))-COUNTBLANK(OFFSET(A$1,,,SUMPRODUCT(MAX(ROW(E$1:E60)*(E2=E$1:E60))))))</f>
        <v/>
      </c>
      <c r="K61" s="24" t="str">
        <f>IF(OR(E61="",E61="!!!",F61="NEW"),"",INDEX(J$1:J60,SUMPRODUCT(MAX(ROW(E$1:E60)*(E61=E$1:E60)))))</f>
        <v/>
      </c>
      <c r="L61" s="25"/>
    </row>
    <row r="62" spans="1:12" x14ac:dyDescent="0.3">
      <c r="A62" t="s">
        <v>299</v>
      </c>
      <c r="B62" s="26" t="s">
        <v>243</v>
      </c>
      <c r="C62" s="26" t="s">
        <v>244</v>
      </c>
      <c r="D62" s="26" t="s">
        <v>240</v>
      </c>
      <c r="E62" s="20" t="str">
        <f t="shared" si="4"/>
        <v>!!!</v>
      </c>
      <c r="F62" s="21" t="str">
        <f>IF(OR(E62="",E62="!!!"),"",IF(NOT(ISNA(VLOOKUP(E62,E$1:E61,1,FALSE()))),"OLD",IF(AND(E62&lt;&gt;"",E62&lt;&gt;"!!!"),"NEW","")))</f>
        <v/>
      </c>
      <c r="G62" s="22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/>
      </c>
      <c r="H62" s="23" t="str">
        <f t="shared" ca="1" si="5"/>
        <v/>
      </c>
      <c r="I62" s="24" t="str">
        <f>IF(OR(E62="",E62="!!!",F62="NEW"),"",INDEX(B$2:B61,-1+SUMPRODUCT(MAX(ROW(E$2:E61)*(E62=E$2:E61)))))</f>
        <v/>
      </c>
      <c r="J62" s="24" t="str">
        <f ca="1">IF(OR(E62="",E62="!!!",F62="NEW"),"",COUNTBLANK(OFFSET(A$1,,,SUMPRODUCT(MAX(ROW(E$2:E62)*(E62=E$2:E62)))))-COUNTBLANK(OFFSET(A$1,,,SUMPRODUCT(MAX(ROW(E$1:E61)*(E2=E$1:E61))))))</f>
        <v/>
      </c>
      <c r="K62" s="24" t="str">
        <f>IF(OR(E62="",E62="!!!",F62="NEW"),"",INDEX(J$1:J61,SUMPRODUCT(MAX(ROW(E$1:E61)*(E62=E$1:E61)))))</f>
        <v/>
      </c>
      <c r="L62" s="25"/>
    </row>
    <row r="63" spans="1:12" x14ac:dyDescent="0.3">
      <c r="A63" t="s">
        <v>300</v>
      </c>
      <c r="E63" s="20" t="str">
        <f t="shared" si="4"/>
        <v/>
      </c>
      <c r="F63" s="21" t="str">
        <f>IF(OR(E63="",E63="!!!"),"",IF(NOT(ISNA(VLOOKUP(E63,E$1:E62,1,FALSE()))),"OLD",IF(AND(E63&lt;&gt;"",E63&lt;&gt;"!!!"),"NEW","")))</f>
        <v/>
      </c>
      <c r="G63" s="22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/>
      </c>
      <c r="H63" s="23" t="str">
        <f t="shared" ca="1" si="5"/>
        <v/>
      </c>
      <c r="I63" s="24" t="str">
        <f>IF(OR(E63="",E63="!!!",F63="NEW"),"",INDEX(B$2:B62,-1+SUMPRODUCT(MAX(ROW(E$2:E62)*(E63=E$2:E62)))))</f>
        <v/>
      </c>
      <c r="J63" s="24" t="str">
        <f ca="1">IF(OR(E63="",E63="!!!",F63="NEW"),"",COUNTBLANK(OFFSET(A$1,,,SUMPRODUCT(MAX(ROW(E$2:E63)*(E63=E$2:E63)))))-COUNTBLANK(OFFSET(A$1,,,SUMPRODUCT(MAX(ROW(E$1:E62)*(E2=E$1:E62))))))</f>
        <v/>
      </c>
      <c r="K63" s="24" t="str">
        <f>IF(OR(E63="",E63="!!!",F63="NEW"),"",INDEX(J$1:J62,SUMPRODUCT(MAX(ROW(E$1:E62)*(E63=E$1:E62)))))</f>
        <v/>
      </c>
      <c r="L63" s="25"/>
    </row>
    <row r="64" spans="1:12" x14ac:dyDescent="0.3">
      <c r="A64" t="s">
        <v>301</v>
      </c>
      <c r="E64" s="20" t="str">
        <f t="shared" si="4"/>
        <v/>
      </c>
      <c r="F64" s="21" t="str">
        <f>IF(OR(E64="",E64="!!!"),"",IF(NOT(ISNA(VLOOKUP(E64,E$1:E63,1,FALSE()))),"OLD",IF(AND(E64&lt;&gt;"",E64&lt;&gt;"!!!"),"NEW","")))</f>
        <v/>
      </c>
      <c r="G64" s="22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/>
      </c>
      <c r="H64" s="23" t="str">
        <f t="shared" ca="1" si="5"/>
        <v/>
      </c>
      <c r="I64" s="24" t="str">
        <f>IF(OR(E64="",E64="!!!",F64="NEW"),"",INDEX(B$2:B63,-1+SUMPRODUCT(MAX(ROW(E$2:E63)*(E64=E$2:E63)))))</f>
        <v/>
      </c>
      <c r="J64" s="24" t="str">
        <f ca="1">IF(OR(E64="",E64="!!!",F64="NEW"),"",COUNTBLANK(OFFSET(A$1,,,SUMPRODUCT(MAX(ROW(E$2:E64)*(E64=E$2:E64)))))-COUNTBLANK(OFFSET(A$1,,,SUMPRODUCT(MAX(ROW(E$1:E63)*(E2=E$1:E63))))))</f>
        <v/>
      </c>
      <c r="K64" s="24" t="str">
        <f>IF(OR(E64="",E64="!!!",F64="NEW"),"",INDEX(J$1:J63,SUMPRODUCT(MAX(ROW(E$1:E63)*(E64=E$1:E63)))))</f>
        <v/>
      </c>
      <c r="L64" s="25"/>
    </row>
    <row r="65" spans="1:12" x14ac:dyDescent="0.3">
      <c r="A65" t="s">
        <v>269</v>
      </c>
      <c r="E65" s="20" t="str">
        <f t="shared" si="4"/>
        <v/>
      </c>
      <c r="F65" s="21" t="str">
        <f>IF(OR(E65="",E65="!!!"),"",IF(NOT(ISNA(VLOOKUP(E65,E$1:E64,1,FALSE()))),"OLD",IF(AND(E65&lt;&gt;"",E65&lt;&gt;"!!!"),"NEW","")))</f>
        <v/>
      </c>
      <c r="G65" s="22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/>
      </c>
      <c r="H65" s="23" t="str">
        <f t="shared" ca="1" si="5"/>
        <v/>
      </c>
      <c r="I65" s="24" t="str">
        <f>IF(OR(E65="",E65="!!!",F65="NEW"),"",INDEX(B$2:B64,-1+SUMPRODUCT(MAX(ROW(E$2:E64)*(E65=E$2:E64)))))</f>
        <v/>
      </c>
      <c r="J65" s="24" t="str">
        <f ca="1">IF(OR(E65="",E65="!!!",F65="NEW"),"",COUNTBLANK(OFFSET(A$1,,,SUMPRODUCT(MAX(ROW(E$2:E65)*(E65=E$2:E65)))))-COUNTBLANK(OFFSET(A$1,,,SUMPRODUCT(MAX(ROW(E$1:E64)*(E2=E$1:E64))))))</f>
        <v/>
      </c>
      <c r="K65" s="24" t="str">
        <f>IF(OR(E65="",E65="!!!",F65="NEW"),"",INDEX(J$1:J64,SUMPRODUCT(MAX(ROW(E$1:E64)*(E65=E$1:E64)))))</f>
        <v/>
      </c>
      <c r="L65" s="25"/>
    </row>
    <row r="66" spans="1:12" x14ac:dyDescent="0.3">
      <c r="A66" t="s">
        <v>302</v>
      </c>
      <c r="B66" s="26" t="s">
        <v>238</v>
      </c>
      <c r="C66" s="26" t="s">
        <v>262</v>
      </c>
      <c r="E66" s="20" t="str">
        <f t="shared" si="4"/>
        <v/>
      </c>
      <c r="F66" s="21" t="str">
        <f>IF(OR(E66="",E66="!!!"),"",IF(NOT(ISNA(VLOOKUP(E66,E$1:E65,1,FALSE()))),"OLD",IF(AND(E66&lt;&gt;"",E66&lt;&gt;"!!!"),"NEW","")))</f>
        <v/>
      </c>
      <c r="G66" s="22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/>
      </c>
      <c r="H66" s="23" t="str">
        <f t="shared" ca="1" si="5"/>
        <v/>
      </c>
      <c r="I66" s="24" t="str">
        <f>IF(OR(E66="",E66="!!!",F66="NEW"),"",INDEX(B$2:B65,-1+SUMPRODUCT(MAX(ROW(E$2:E65)*(E66=E$2:E65)))))</f>
        <v/>
      </c>
      <c r="J66" s="24" t="str">
        <f ca="1">IF(OR(E66="",E66="!!!",F66="NEW"),"",COUNTBLANK(OFFSET(A$1,,,SUMPRODUCT(MAX(ROW(E$2:E66)*(E66=E$2:E66)))))-COUNTBLANK(OFFSET(A$1,,,SUMPRODUCT(MAX(ROW(E$1:E65)*(E2=E$1:E65))))))</f>
        <v/>
      </c>
      <c r="K66" s="24" t="str">
        <f>IF(OR(E66="",E66="!!!",F66="NEW"),"",INDEX(J$1:J65,SUMPRODUCT(MAX(ROW(E$1:E65)*(E66=E$1:E65)))))</f>
        <v/>
      </c>
      <c r="L66" s="25"/>
    </row>
    <row r="67" spans="1:12" x14ac:dyDescent="0.3">
      <c r="A67" t="s">
        <v>252</v>
      </c>
      <c r="E67" s="20" t="str">
        <f t="shared" si="4"/>
        <v/>
      </c>
      <c r="F67" s="21" t="str">
        <f>IF(OR(E67="",E67="!!!"),"",IF(NOT(ISNA(VLOOKUP(E67,E$1:E66,1,FALSE()))),"OLD",IF(AND(E67&lt;&gt;"",E67&lt;&gt;"!!!"),"NEW","")))</f>
        <v/>
      </c>
      <c r="G67" s="22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/>
      </c>
      <c r="H67" s="23" t="str">
        <f t="shared" ca="1" si="5"/>
        <v/>
      </c>
      <c r="I67" s="24" t="str">
        <f>IF(OR(E67="",E67="!!!",F67="NEW"),"",INDEX(B$2:B66,-1+SUMPRODUCT(MAX(ROW(E$2:E66)*(E67=E$2:E66)))))</f>
        <v/>
      </c>
      <c r="J67" s="24" t="str">
        <f ca="1">IF(OR(E67="",E67="!!!",F67="NEW"),"",COUNTBLANK(OFFSET(A$1,,,SUMPRODUCT(MAX(ROW(E$2:E67)*(E67=E$2:E67)))))-COUNTBLANK(OFFSET(A$1,,,SUMPRODUCT(MAX(ROW(E$1:E66)*(E2=E$1:E66))))))</f>
        <v/>
      </c>
      <c r="K67" s="24" t="str">
        <f>IF(OR(E67="",E67="!!!",F67="NEW"),"",INDEX(J$1:J66,SUMPRODUCT(MAX(ROW(E$1:E66)*(E67=E$1:E66)))))</f>
        <v/>
      </c>
      <c r="L67" s="25"/>
    </row>
    <row r="68" spans="1:12" x14ac:dyDescent="0.3">
      <c r="A68" t="s">
        <v>303</v>
      </c>
      <c r="B68" s="26" t="s">
        <v>282</v>
      </c>
      <c r="E68" s="20" t="str">
        <f t="shared" si="4"/>
        <v/>
      </c>
      <c r="F68" s="21" t="str">
        <f>IF(OR(E68="",E68="!!!"),"",IF(NOT(ISNA(VLOOKUP(E68,E$1:E67,1,FALSE()))),"OLD",IF(AND(E68&lt;&gt;"",E68&lt;&gt;"!!!"),"NEW","")))</f>
        <v/>
      </c>
      <c r="G68" s="22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/>
      </c>
      <c r="H68" s="23" t="str">
        <f t="shared" ca="1" si="5"/>
        <v/>
      </c>
      <c r="I68" s="24" t="str">
        <f>IF(OR(E68="",E68="!!!",F68="NEW"),"",INDEX(B$2:B67,-1+SUMPRODUCT(MAX(ROW(E$2:E67)*(E68=E$2:E67)))))</f>
        <v/>
      </c>
      <c r="J68" s="24" t="str">
        <f ca="1">IF(OR(E68="",E68="!!!",F68="NEW"),"",COUNTBLANK(OFFSET(A$1,,,SUMPRODUCT(MAX(ROW(E$2:E68)*(E68=E$2:E68)))))-COUNTBLANK(OFFSET(A$1,,,SUMPRODUCT(MAX(ROW(E$1:E67)*(E2=E$1:E67))))))</f>
        <v/>
      </c>
      <c r="K68" s="24" t="str">
        <f>IF(OR(E68="",E68="!!!",F68="NEW"),"",INDEX(J$1:J67,SUMPRODUCT(MAX(ROW(E$1:E67)*(E68=E$1:E67)))))</f>
        <v/>
      </c>
      <c r="L68" s="25"/>
    </row>
    <row r="69" spans="1:12" x14ac:dyDescent="0.3">
      <c r="A69" t="s">
        <v>257</v>
      </c>
      <c r="E69" s="20" t="str">
        <f t="shared" si="4"/>
        <v/>
      </c>
      <c r="F69" s="21" t="str">
        <f>IF(OR(E69="",E69="!!!"),"",IF(NOT(ISNA(VLOOKUP(E69,E$1:E68,1,FALSE()))),"OLD",IF(AND(E69&lt;&gt;"",E69&lt;&gt;"!!!"),"NEW","")))</f>
        <v/>
      </c>
      <c r="G69" s="22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/>
      </c>
      <c r="H69" s="23" t="str">
        <f t="shared" ca="1" si="5"/>
        <v/>
      </c>
      <c r="I69" s="24" t="str">
        <f>IF(OR(E69="",E69="!!!",F69="NEW"),"",INDEX(B$2:B68,-1+SUMPRODUCT(MAX(ROW(E$2:E68)*(E69=E$2:E68)))))</f>
        <v/>
      </c>
      <c r="J69" s="24" t="str">
        <f ca="1">IF(OR(E69="",E69="!!!",F69="NEW"),"",COUNTBLANK(OFFSET(A$1,,,SUMPRODUCT(MAX(ROW(E$2:E69)*(E69=E$2:E69)))))-COUNTBLANK(OFFSET(A$1,,,SUMPRODUCT(MAX(ROW(E$1:E68)*(E2=E$1:E68))))))</f>
        <v/>
      </c>
      <c r="K69" s="24" t="str">
        <f>IF(OR(E69="",E69="!!!",F69="NEW"),"",INDEX(J$1:J68,SUMPRODUCT(MAX(ROW(E$1:E68)*(E69=E$1:E68)))))</f>
        <v/>
      </c>
      <c r="L69" s="25"/>
    </row>
    <row r="70" spans="1:12" x14ac:dyDescent="0.3">
      <c r="A70" t="s">
        <v>304</v>
      </c>
      <c r="B70" s="26" t="s">
        <v>276</v>
      </c>
      <c r="C70" s="26" t="s">
        <v>305</v>
      </c>
      <c r="E70" s="20" t="str">
        <f t="shared" si="4"/>
        <v/>
      </c>
      <c r="F70" s="21" t="str">
        <f>IF(OR(E70="",E70="!!!"),"",IF(NOT(ISNA(VLOOKUP(E70,E$1:E69,1,FALSE()))),"OLD",IF(AND(E70&lt;&gt;"",E70&lt;&gt;"!!!"),"NEW","")))</f>
        <v/>
      </c>
      <c r="G70" s="22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/>
      </c>
      <c r="H70" s="23" t="str">
        <f t="shared" ca="1" si="5"/>
        <v/>
      </c>
      <c r="I70" s="24" t="str">
        <f>IF(OR(E70="",E70="!!!",F70="NEW"),"",INDEX(B$2:B69,-1+SUMPRODUCT(MAX(ROW(E$2:E69)*(E70=E$2:E69)))))</f>
        <v/>
      </c>
      <c r="J70" s="24" t="str">
        <f ca="1">IF(OR(E70="",E70="!!!",F70="NEW"),"",COUNTBLANK(OFFSET(A$1,,,SUMPRODUCT(MAX(ROW(E$2:E70)*(E70=E$2:E70)))))-COUNTBLANK(OFFSET(A$1,,,SUMPRODUCT(MAX(ROW(E$1:E69)*(E2=E$1:E69))))))</f>
        <v/>
      </c>
      <c r="K70" s="24" t="str">
        <f>IF(OR(E70="",E70="!!!",F70="NEW"),"",INDEX(J$1:J69,SUMPRODUCT(MAX(ROW(E$1:E69)*(E70=E$1:E69)))))</f>
        <v/>
      </c>
      <c r="L70" s="25"/>
    </row>
    <row r="71" spans="1:12" x14ac:dyDescent="0.3">
      <c r="A71" t="s">
        <v>306</v>
      </c>
      <c r="B71" s="26" t="s">
        <v>272</v>
      </c>
      <c r="C71" s="26" t="s">
        <v>307</v>
      </c>
      <c r="E71" s="20" t="str">
        <f t="shared" si="4"/>
        <v/>
      </c>
      <c r="F71" s="21" t="str">
        <f>IF(OR(E71="",E71="!!!"),"",IF(NOT(ISNA(VLOOKUP(E71,E$1:E70,1,FALSE()))),"OLD",IF(AND(E71&lt;&gt;"",E71&lt;&gt;"!!!"),"NEW","")))</f>
        <v/>
      </c>
      <c r="G71" s="22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/>
      </c>
      <c r="H71" s="23" t="str">
        <f t="shared" ca="1" si="5"/>
        <v/>
      </c>
      <c r="I71" s="24" t="str">
        <f>IF(OR(E71="",E71="!!!",F71="NEW"),"",INDEX(B$2:B70,-1+SUMPRODUCT(MAX(ROW(E$2:E70)*(E71=E$2:E70)))))</f>
        <v/>
      </c>
      <c r="J71" s="24" t="str">
        <f ca="1">IF(OR(E71="",E71="!!!",F71="NEW"),"",COUNTBLANK(OFFSET(A$1,,,SUMPRODUCT(MAX(ROW(E$2:E71)*(E71=E$2:E71)))))-COUNTBLANK(OFFSET(A$1,,,SUMPRODUCT(MAX(ROW(E$1:E70)*(E2=E$1:E70))))))</f>
        <v/>
      </c>
      <c r="K71" s="24" t="str">
        <f>IF(OR(E71="",E71="!!!",F71="NEW"),"",INDEX(J$1:J70,SUMPRODUCT(MAX(ROW(E$1:E70)*(E71=E$1:E70)))))</f>
        <v/>
      </c>
      <c r="L71" s="25"/>
    </row>
    <row r="72" spans="1:12" x14ac:dyDescent="0.3">
      <c r="A72" t="s">
        <v>308</v>
      </c>
      <c r="E72" s="20" t="str">
        <f t="shared" si="4"/>
        <v/>
      </c>
      <c r="F72" s="21" t="str">
        <f>IF(OR(E72="",E72="!!!"),"",IF(NOT(ISNA(VLOOKUP(E72,E$1:E71,1,FALSE()))),"OLD",IF(AND(E72&lt;&gt;"",E72&lt;&gt;"!!!"),"NEW","")))</f>
        <v/>
      </c>
      <c r="G72" s="22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/>
      </c>
      <c r="H72" s="23" t="str">
        <f t="shared" ca="1" si="5"/>
        <v/>
      </c>
      <c r="I72" s="24" t="str">
        <f>IF(OR(E72="",E72="!!!",F72="NEW"),"",INDEX(B$2:B71,-1+SUMPRODUCT(MAX(ROW(E$2:E71)*(E72=E$2:E71)))))</f>
        <v/>
      </c>
      <c r="J72" s="24" t="str">
        <f ca="1">IF(OR(E72="",E72="!!!",F72="NEW"),"",COUNTBLANK(OFFSET(A$1,,,SUMPRODUCT(MAX(ROW(E$2:E72)*(E72=E$2:E72)))))-COUNTBLANK(OFFSET(A$1,,,SUMPRODUCT(MAX(ROW(E$1:E71)*(E2=E$1:E71))))))</f>
        <v/>
      </c>
      <c r="K72" s="24" t="str">
        <f>IF(OR(E72="",E72="!!!",F72="NEW"),"",INDEX(J$1:J71,SUMPRODUCT(MAX(ROW(E$1:E71)*(E72=E$1:E71)))))</f>
        <v/>
      </c>
      <c r="L72" s="25"/>
    </row>
    <row r="73" spans="1:12" x14ac:dyDescent="0.3">
      <c r="A73" t="s">
        <v>309</v>
      </c>
      <c r="E73" s="20" t="str">
        <f t="shared" si="4"/>
        <v/>
      </c>
      <c r="F73" s="21" t="str">
        <f>IF(OR(E73="",E73="!!!"),"",IF(NOT(ISNA(VLOOKUP(E73,E$1:E72,1,FALSE()))),"OLD",IF(AND(E73&lt;&gt;"",E73&lt;&gt;"!!!"),"NEW","")))</f>
        <v/>
      </c>
      <c r="G73" s="22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/>
      </c>
      <c r="H73" s="23" t="str">
        <f t="shared" ca="1" si="5"/>
        <v/>
      </c>
      <c r="I73" s="24" t="str">
        <f>IF(OR(E73="",E73="!!!",F73="NEW"),"",INDEX(B$2:B72,-1+SUMPRODUCT(MAX(ROW(E$2:E72)*(E73=E$2:E72)))))</f>
        <v/>
      </c>
      <c r="J73" s="24" t="str">
        <f ca="1">IF(OR(E73="",E73="!!!",F73="NEW"),"",COUNTBLANK(OFFSET(A$1,,,SUMPRODUCT(MAX(ROW(E$2:E73)*(E73=E$2:E73)))))-COUNTBLANK(OFFSET(A$1,,,SUMPRODUCT(MAX(ROW(E$1:E72)*(E2=E$1:E72))))))</f>
        <v/>
      </c>
      <c r="K73" s="24" t="str">
        <f>IF(OR(E73="",E73="!!!",F73="NEW"),"",INDEX(J$1:J72,SUMPRODUCT(MAX(ROW(E$1:E72)*(E73=E$1:E72)))))</f>
        <v/>
      </c>
      <c r="L73" s="25"/>
    </row>
    <row r="74" spans="1:12" x14ac:dyDescent="0.3">
      <c r="A74" t="s">
        <v>257</v>
      </c>
      <c r="E74" s="20" t="str">
        <f t="shared" si="4"/>
        <v/>
      </c>
      <c r="F74" s="21" t="str">
        <f>IF(OR(E74="",E74="!!!"),"",IF(NOT(ISNA(VLOOKUP(E74,E$1:E73,1,FALSE()))),"OLD",IF(AND(E74&lt;&gt;"",E74&lt;&gt;"!!!"),"NEW","")))</f>
        <v/>
      </c>
      <c r="G74" s="22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/>
      </c>
      <c r="H74" s="23" t="str">
        <f t="shared" ca="1" si="5"/>
        <v/>
      </c>
      <c r="I74" s="24" t="str">
        <f>IF(OR(E74="",E74="!!!",F74="NEW"),"",INDEX(B$2:B73,-1+SUMPRODUCT(MAX(ROW(E$2:E73)*(E74=E$2:E73)))))</f>
        <v/>
      </c>
      <c r="J74" s="24" t="str">
        <f ca="1">IF(OR(E74="",E74="!!!",F74="NEW"),"",COUNTBLANK(OFFSET(A$1,,,SUMPRODUCT(MAX(ROW(E$2:E74)*(E74=E$2:E74)))))-COUNTBLANK(OFFSET(A$1,,,SUMPRODUCT(MAX(ROW(E$1:E73)*(E2=E$1:E73))))))</f>
        <v/>
      </c>
      <c r="K74" s="24" t="str">
        <f>IF(OR(E74="",E74="!!!",F74="NEW"),"",INDEX(J$1:J73,SUMPRODUCT(MAX(ROW(E$1:E73)*(E74=E$1:E73)))))</f>
        <v/>
      </c>
      <c r="L74" s="25"/>
    </row>
    <row r="75" spans="1:12" x14ac:dyDescent="0.3">
      <c r="A75" t="s">
        <v>310</v>
      </c>
      <c r="E75" s="20" t="str">
        <f t="shared" si="4"/>
        <v/>
      </c>
      <c r="F75" s="21" t="str">
        <f>IF(OR(E75="",E75="!!!"),"",IF(NOT(ISNA(VLOOKUP(E75,E$1:E74,1,FALSE()))),"OLD",IF(AND(E75&lt;&gt;"",E75&lt;&gt;"!!!"),"NEW","")))</f>
        <v/>
      </c>
      <c r="G75" s="22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/>
      </c>
      <c r="H75" s="23" t="str">
        <f t="shared" ca="1" si="5"/>
        <v/>
      </c>
      <c r="I75" s="24" t="str">
        <f>IF(OR(E75="",E75="!!!",F75="NEW"),"",INDEX(B$2:B74,-1+SUMPRODUCT(MAX(ROW(E$2:E74)*(E75=E$2:E74)))))</f>
        <v/>
      </c>
      <c r="J75" s="24" t="str">
        <f ca="1">IF(OR(E75="",E75="!!!",F75="NEW"),"",COUNTBLANK(OFFSET(A$1,,,SUMPRODUCT(MAX(ROW(E$2:E75)*(E75=E$2:E75)))))-COUNTBLANK(OFFSET(A$1,,,SUMPRODUCT(MAX(ROW(E$1:E74)*(E2=E$1:E74))))))</f>
        <v/>
      </c>
      <c r="K75" s="24" t="str">
        <f>IF(OR(E75="",E75="!!!",F75="NEW"),"",INDEX(J$1:J74,SUMPRODUCT(MAX(ROW(E$1:E74)*(E75=E$1:E74)))))</f>
        <v/>
      </c>
      <c r="L75" s="25"/>
    </row>
    <row r="76" spans="1:12" x14ac:dyDescent="0.3">
      <c r="A76" t="s">
        <v>311</v>
      </c>
      <c r="B76" s="26" t="s">
        <v>272</v>
      </c>
      <c r="C76" s="26" t="s">
        <v>239</v>
      </c>
      <c r="D76" s="26" t="s">
        <v>240</v>
      </c>
      <c r="E76" s="20" t="str">
        <f t="shared" si="4"/>
        <v>!!!</v>
      </c>
      <c r="F76" s="21" t="str">
        <f>IF(OR(E76="",E76="!!!"),"",IF(NOT(ISNA(VLOOKUP(E76,E$1:E75,1,FALSE()))),"OLD",IF(AND(E76&lt;&gt;"",E76&lt;&gt;"!!!"),"NEW","")))</f>
        <v/>
      </c>
      <c r="G76" s="22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/>
      </c>
      <c r="H76" s="23" t="str">
        <f t="shared" ca="1" si="5"/>
        <v/>
      </c>
      <c r="I76" s="24" t="str">
        <f>IF(OR(E76="",E76="!!!",F76="NEW"),"",INDEX(B$2:B75,-1+SUMPRODUCT(MAX(ROW(E$2:E75)*(E76=E$2:E75)))))</f>
        <v/>
      </c>
      <c r="J76" s="24" t="str">
        <f ca="1">IF(OR(E76="",E76="!!!",F76="NEW"),"",COUNTBLANK(OFFSET(A$1,,,SUMPRODUCT(MAX(ROW(E$2:E76)*(E76=E$2:E76)))))-COUNTBLANK(OFFSET(A$1,,,SUMPRODUCT(MAX(ROW(E$1:E75)*(E2=E$1:E75))))))</f>
        <v/>
      </c>
      <c r="K76" s="24" t="str">
        <f>IF(OR(E76="",E76="!!!",F76="NEW"),"",INDEX(J$1:J75,SUMPRODUCT(MAX(ROW(E$1:E75)*(E76=E$1:E75)))))</f>
        <v/>
      </c>
      <c r="L76" s="25"/>
    </row>
    <row r="77" spans="1:12" x14ac:dyDescent="0.3">
      <c r="A77" t="s">
        <v>312</v>
      </c>
      <c r="E77" s="20" t="str">
        <f t="shared" si="4"/>
        <v/>
      </c>
      <c r="F77" s="21" t="str">
        <f>IF(OR(E77="",E77="!!!"),"",IF(NOT(ISNA(VLOOKUP(E77,E$1:E76,1,FALSE()))),"OLD",IF(AND(E77&lt;&gt;"",E77&lt;&gt;"!!!"),"NEW","")))</f>
        <v/>
      </c>
      <c r="G77" s="22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/>
      </c>
      <c r="H77" s="23" t="str">
        <f t="shared" ca="1" si="5"/>
        <v/>
      </c>
      <c r="I77" s="24" t="str">
        <f>IF(OR(E77="",E77="!!!",F77="NEW"),"",INDEX(B$2:B76,-1+SUMPRODUCT(MAX(ROW(E$2:E76)*(E77=E$2:E76)))))</f>
        <v/>
      </c>
      <c r="J77" s="24" t="str">
        <f ca="1">IF(OR(E77="",E77="!!!",F77="NEW"),"",COUNTBLANK(OFFSET(A$1,,,SUMPRODUCT(MAX(ROW(E$2:E77)*(E77=E$2:E77)))))-COUNTBLANK(OFFSET(A$1,,,SUMPRODUCT(MAX(ROW(E$1:E76)*(E2=E$1:E76))))))</f>
        <v/>
      </c>
      <c r="K77" s="24" t="str">
        <f>IF(OR(E77="",E77="!!!",F77="NEW"),"",INDEX(J$1:J76,SUMPRODUCT(MAX(ROW(E$1:E76)*(E77=E$1:E76)))))</f>
        <v/>
      </c>
      <c r="L77" s="25"/>
    </row>
    <row r="78" spans="1:12" x14ac:dyDescent="0.3">
      <c r="A78" t="s">
        <v>313</v>
      </c>
      <c r="E78" s="20" t="str">
        <f t="shared" si="4"/>
        <v/>
      </c>
      <c r="F78" s="21" t="str">
        <f>IF(OR(E78="",E78="!!!"),"",IF(NOT(ISNA(VLOOKUP(E78,E$1:E77,1,FALSE()))),"OLD",IF(AND(E78&lt;&gt;"",E78&lt;&gt;"!!!"),"NEW","")))</f>
        <v/>
      </c>
      <c r="G78" s="22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/>
      </c>
      <c r="H78" s="23" t="str">
        <f t="shared" ca="1" si="5"/>
        <v/>
      </c>
      <c r="I78" s="24" t="str">
        <f>IF(OR(E78="",E78="!!!",F78="NEW"),"",INDEX(B$2:B77,-1+SUMPRODUCT(MAX(ROW(E$2:E77)*(E78=E$2:E77)))))</f>
        <v/>
      </c>
      <c r="J78" s="24" t="str">
        <f ca="1">IF(OR(E78="",E78="!!!",F78="NEW"),"",COUNTBLANK(OFFSET(A$1,,,SUMPRODUCT(MAX(ROW(E$2:E78)*(E78=E$2:E78)))))-COUNTBLANK(OFFSET(A$1,,,SUMPRODUCT(MAX(ROW(E$1:E77)*(E2=E$1:E77))))))</f>
        <v/>
      </c>
      <c r="K78" s="24" t="str">
        <f>IF(OR(E78="",E78="!!!",F78="NEW"),"",INDEX(J$1:J77,SUMPRODUCT(MAX(ROW(E$1:E77)*(E78=E$1:E77)))))</f>
        <v/>
      </c>
      <c r="L78" s="25"/>
    </row>
    <row r="79" spans="1:12" x14ac:dyDescent="0.3">
      <c r="A79" t="s">
        <v>248</v>
      </c>
      <c r="E79" s="20" t="str">
        <f t="shared" si="4"/>
        <v/>
      </c>
      <c r="F79" s="21" t="str">
        <f>IF(OR(E79="",E79="!!!"),"",IF(NOT(ISNA(VLOOKUP(E79,E$1:E78,1,FALSE()))),"OLD",IF(AND(E79&lt;&gt;"",E79&lt;&gt;"!!!"),"NEW","")))</f>
        <v/>
      </c>
      <c r="G79" s="22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/>
      </c>
      <c r="H79" s="23" t="str">
        <f t="shared" ca="1" si="5"/>
        <v/>
      </c>
      <c r="I79" s="24" t="str">
        <f>IF(OR(E79="",E79="!!!",F79="NEW"),"",INDEX(B$2:B78,-1+SUMPRODUCT(MAX(ROW(E$2:E78)*(E79=E$2:E78)))))</f>
        <v/>
      </c>
      <c r="J79" s="24" t="str">
        <f ca="1">IF(OR(E79="",E79="!!!",F79="NEW"),"",COUNTBLANK(OFFSET(A$1,,,SUMPRODUCT(MAX(ROW(E$2:E79)*(E79=E$2:E79)))))-COUNTBLANK(OFFSET(A$1,,,SUMPRODUCT(MAX(ROW(E$1:E78)*(E2=E$1:E78))))))</f>
        <v/>
      </c>
      <c r="K79" s="24" t="str">
        <f>IF(OR(E79="",E79="!!!",F79="NEW"),"",INDEX(J$1:J78,SUMPRODUCT(MAX(ROW(E$1:E78)*(E79=E$1:E78)))))</f>
        <v/>
      </c>
      <c r="L79" s="25"/>
    </row>
    <row r="81" spans="1:12" x14ac:dyDescent="0.3">
      <c r="A81" t="s">
        <v>314</v>
      </c>
    </row>
    <row r="82" spans="1:12" x14ac:dyDescent="0.3">
      <c r="A82" t="s">
        <v>315</v>
      </c>
      <c r="B82" s="26" t="s">
        <v>243</v>
      </c>
      <c r="C82" s="26" t="s">
        <v>294</v>
      </c>
      <c r="D82" s="26" t="s">
        <v>240</v>
      </c>
      <c r="E82" s="20" t="str">
        <f t="shared" ref="E82:E95" si="6">IF(D82="?OLD","!!!","")</f>
        <v>!!!</v>
      </c>
      <c r="F82" s="21" t="str">
        <f>IF(OR(E82="",E82="!!!"),"",IF(NOT(ISNA(VLOOKUP(E82,E$1:E81,1,FALSE()))),"OLD",IF(AND(E82&lt;&gt;"",E82&lt;&gt;"!!!"),"NEW","")))</f>
        <v/>
      </c>
      <c r="G82" s="22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/>
      </c>
      <c r="H82" s="23" t="str">
        <f t="shared" ref="H82:H95" ca="1" si="7">IF(J82&lt;&gt;1,"",IF(I82="SBJ","CB","?"))</f>
        <v/>
      </c>
      <c r="I82" s="24" t="str">
        <f>IF(OR(E82="",E82="!!!",F82="NEW"),"",INDEX(B$2:B81,-1+SUMPRODUCT(MAX(ROW(E$2:E81)*(E82=E$2:E81)))))</f>
        <v/>
      </c>
      <c r="J82" s="24" t="str">
        <f ca="1">IF(OR(E82="",E82="!!!",F82="NEW"),"",COUNTBLANK(OFFSET(A$1,,,SUMPRODUCT(MAX(ROW(E$2:E82)*(E82=E$2:E82)))))-COUNTBLANK(OFFSET(A$1,,,SUMPRODUCT(MAX(ROW(E$1:E81)*(E2=E$1:E81))))))</f>
        <v/>
      </c>
      <c r="K82" s="24" t="str">
        <f>IF(OR(E82="",E82="!!!",F82="NEW"),"",INDEX(J$1:J81,SUMPRODUCT(MAX(ROW(E$1:E81)*(E82=E$1:E81)))))</f>
        <v/>
      </c>
      <c r="L82" s="25"/>
    </row>
    <row r="83" spans="1:12" x14ac:dyDescent="0.3">
      <c r="A83" t="s">
        <v>316</v>
      </c>
      <c r="E83" s="20" t="str">
        <f t="shared" si="6"/>
        <v/>
      </c>
      <c r="F83" s="21" t="str">
        <f>IF(OR(E83="",E83="!!!"),"",IF(NOT(ISNA(VLOOKUP(E83,E$1:E82,1,FALSE()))),"OLD",IF(AND(E83&lt;&gt;"",E83&lt;&gt;"!!!"),"NEW","")))</f>
        <v/>
      </c>
      <c r="G83" s="22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/>
      </c>
      <c r="H83" s="23" t="str">
        <f t="shared" ca="1" si="7"/>
        <v/>
      </c>
      <c r="I83" s="24" t="str">
        <f>IF(OR(E83="",E83="!!!",F83="NEW"),"",INDEX(B$2:B82,-1+SUMPRODUCT(MAX(ROW(E$2:E82)*(E83=E$2:E82)))))</f>
        <v/>
      </c>
      <c r="J83" s="24" t="str">
        <f ca="1">IF(OR(E83="",E83="!!!",F83="NEW"),"",COUNTBLANK(OFFSET(A$1,,,SUMPRODUCT(MAX(ROW(E$2:E83)*(E83=E$2:E83)))))-COUNTBLANK(OFFSET(A$1,,,SUMPRODUCT(MAX(ROW(E$1:E82)*(E2=E$1:E82))))))</f>
        <v/>
      </c>
      <c r="K83" s="24" t="str">
        <f>IF(OR(E83="",E83="!!!",F83="NEW"),"",INDEX(J$1:J82,SUMPRODUCT(MAX(ROW(E$1:E82)*(E83=E$1:E82)))))</f>
        <v/>
      </c>
      <c r="L83" s="25"/>
    </row>
    <row r="84" spans="1:12" x14ac:dyDescent="0.3">
      <c r="A84" t="s">
        <v>317</v>
      </c>
      <c r="E84" s="20" t="str">
        <f t="shared" si="6"/>
        <v/>
      </c>
      <c r="F84" s="21" t="str">
        <f>IF(OR(E84="",E84="!!!"),"",IF(NOT(ISNA(VLOOKUP(E84,E$1:E83,1,FALSE()))),"OLD",IF(AND(E84&lt;&gt;"",E84&lt;&gt;"!!!"),"NEW","")))</f>
        <v/>
      </c>
      <c r="G84" s="22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/>
      </c>
      <c r="H84" s="23" t="str">
        <f t="shared" ca="1" si="7"/>
        <v/>
      </c>
      <c r="I84" s="24" t="str">
        <f>IF(OR(E84="",E84="!!!",F84="NEW"),"",INDEX(B$2:B83,-1+SUMPRODUCT(MAX(ROW(E$2:E83)*(E84=E$2:E83)))))</f>
        <v/>
      </c>
      <c r="J84" s="24" t="str">
        <f ca="1">IF(OR(E84="",E84="!!!",F84="NEW"),"",COUNTBLANK(OFFSET(A$1,,,SUMPRODUCT(MAX(ROW(E$2:E84)*(E84=E$2:E84)))))-COUNTBLANK(OFFSET(A$1,,,SUMPRODUCT(MAX(ROW(E$1:E83)*(E2=E$1:E83))))))</f>
        <v/>
      </c>
      <c r="K84" s="24" t="str">
        <f>IF(OR(E84="",E84="!!!",F84="NEW"),"",INDEX(J$1:J83,SUMPRODUCT(MAX(ROW(E$1:E83)*(E84=E$1:E83)))))</f>
        <v/>
      </c>
      <c r="L84" s="25"/>
    </row>
    <row r="85" spans="1:12" x14ac:dyDescent="0.3">
      <c r="A85" t="s">
        <v>252</v>
      </c>
      <c r="E85" s="20" t="str">
        <f t="shared" si="6"/>
        <v/>
      </c>
      <c r="F85" s="21" t="str">
        <f>IF(OR(E85="",E85="!!!"),"",IF(NOT(ISNA(VLOOKUP(E85,E$1:E84,1,FALSE()))),"OLD",IF(AND(E85&lt;&gt;"",E85&lt;&gt;"!!!"),"NEW","")))</f>
        <v/>
      </c>
      <c r="G85" s="22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/>
      </c>
      <c r="H85" s="23" t="str">
        <f t="shared" ca="1" si="7"/>
        <v/>
      </c>
      <c r="I85" s="24" t="str">
        <f>IF(OR(E85="",E85="!!!",F85="NEW"),"",INDEX(B$2:B84,-1+SUMPRODUCT(MAX(ROW(E$2:E84)*(E85=E$2:E84)))))</f>
        <v/>
      </c>
      <c r="J85" s="24" t="str">
        <f ca="1">IF(OR(E85="",E85="!!!",F85="NEW"),"",COUNTBLANK(OFFSET(A$1,,,SUMPRODUCT(MAX(ROW(E$2:E85)*(E85=E$2:E85)))))-COUNTBLANK(OFFSET(A$1,,,SUMPRODUCT(MAX(ROW(E$1:E84)*(E2=E$1:E84))))))</f>
        <v/>
      </c>
      <c r="K85" s="24" t="str">
        <f>IF(OR(E85="",E85="!!!",F85="NEW"),"",INDEX(J$1:J84,SUMPRODUCT(MAX(ROW(E$1:E84)*(E85=E$1:E84)))))</f>
        <v/>
      </c>
      <c r="L85" s="25"/>
    </row>
    <row r="86" spans="1:12" x14ac:dyDescent="0.3">
      <c r="A86" t="s">
        <v>253</v>
      </c>
      <c r="E86" s="20" t="str">
        <f t="shared" si="6"/>
        <v/>
      </c>
      <c r="F86" s="21" t="str">
        <f>IF(OR(E86="",E86="!!!"),"",IF(NOT(ISNA(VLOOKUP(E86,E$1:E85,1,FALSE()))),"OLD",IF(AND(E86&lt;&gt;"",E86&lt;&gt;"!!!"),"NEW","")))</f>
        <v/>
      </c>
      <c r="G86" s="22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/>
      </c>
      <c r="H86" s="23" t="str">
        <f t="shared" ca="1" si="7"/>
        <v/>
      </c>
      <c r="I86" s="24" t="str">
        <f>IF(OR(E86="",E86="!!!",F86="NEW"),"",INDEX(B$2:B85,-1+SUMPRODUCT(MAX(ROW(E$2:E85)*(E86=E$2:E85)))))</f>
        <v/>
      </c>
      <c r="J86" s="24" t="str">
        <f ca="1">IF(OR(E86="",E86="!!!",F86="NEW"),"",COUNTBLANK(OFFSET(A$1,,,SUMPRODUCT(MAX(ROW(E$2:E86)*(E86=E$2:E86)))))-COUNTBLANK(OFFSET(A$1,,,SUMPRODUCT(MAX(ROW(E$1:E85)*(E2=E$1:E85))))))</f>
        <v/>
      </c>
      <c r="K86" s="24" t="str">
        <f>IF(OR(E86="",E86="!!!",F86="NEW"),"",INDEX(J$1:J85,SUMPRODUCT(MAX(ROW(E$1:E85)*(E86=E$1:E85)))))</f>
        <v/>
      </c>
      <c r="L86" s="25"/>
    </row>
    <row r="87" spans="1:12" x14ac:dyDescent="0.3">
      <c r="A87" t="s">
        <v>318</v>
      </c>
      <c r="B87" s="26" t="s">
        <v>272</v>
      </c>
      <c r="C87" s="26" t="s">
        <v>305</v>
      </c>
      <c r="E87" s="20" t="str">
        <f t="shared" si="6"/>
        <v/>
      </c>
      <c r="F87" s="21" t="str">
        <f>IF(OR(E87="",E87="!!!"),"",IF(NOT(ISNA(VLOOKUP(E87,E$1:E86,1,FALSE()))),"OLD",IF(AND(E87&lt;&gt;"",E87&lt;&gt;"!!!"),"NEW","")))</f>
        <v/>
      </c>
      <c r="G87" s="22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/>
      </c>
      <c r="H87" s="23" t="str">
        <f t="shared" ca="1" si="7"/>
        <v/>
      </c>
      <c r="I87" s="24" t="str">
        <f>IF(OR(E87="",E87="!!!",F87="NEW"),"",INDEX(B$2:B86,-1+SUMPRODUCT(MAX(ROW(E$2:E86)*(E87=E$2:E86)))))</f>
        <v/>
      </c>
      <c r="J87" s="24" t="str">
        <f ca="1">IF(OR(E87="",E87="!!!",F87="NEW"),"",COUNTBLANK(OFFSET(A$1,,,SUMPRODUCT(MAX(ROW(E$2:E87)*(E87=E$2:E87)))))-COUNTBLANK(OFFSET(A$1,,,SUMPRODUCT(MAX(ROW(E$1:E86)*(E2=E$1:E86))))))</f>
        <v/>
      </c>
      <c r="K87" s="24" t="str">
        <f>IF(OR(E87="",E87="!!!",F87="NEW"),"",INDEX(J$1:J86,SUMPRODUCT(MAX(ROW(E$1:E86)*(E87=E$1:E86)))))</f>
        <v/>
      </c>
      <c r="L87" s="25"/>
    </row>
    <row r="88" spans="1:12" x14ac:dyDescent="0.3">
      <c r="A88" t="s">
        <v>319</v>
      </c>
      <c r="B88" s="26" t="s">
        <v>255</v>
      </c>
      <c r="C88" s="26" t="s">
        <v>247</v>
      </c>
      <c r="E88" s="20" t="str">
        <f t="shared" si="6"/>
        <v/>
      </c>
      <c r="F88" s="21" t="str">
        <f>IF(OR(E88="",E88="!!!"),"",IF(NOT(ISNA(VLOOKUP(E88,E$1:E87,1,FALSE()))),"OLD",IF(AND(E88&lt;&gt;"",E88&lt;&gt;"!!!"),"NEW","")))</f>
        <v/>
      </c>
      <c r="G88" s="22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/>
      </c>
      <c r="H88" s="23" t="str">
        <f t="shared" ca="1" si="7"/>
        <v/>
      </c>
      <c r="I88" s="24" t="str">
        <f>IF(OR(E88="",E88="!!!",F88="NEW"),"",INDEX(B$2:B87,-1+SUMPRODUCT(MAX(ROW(E$2:E87)*(E88=E$2:E87)))))</f>
        <v/>
      </c>
      <c r="J88" s="24" t="str">
        <f ca="1">IF(OR(E88="",E88="!!!",F88="NEW"),"",COUNTBLANK(OFFSET(A$1,,,SUMPRODUCT(MAX(ROW(E$2:E88)*(E88=E$2:E88)))))-COUNTBLANK(OFFSET(A$1,,,SUMPRODUCT(MAX(ROW(E$1:E87)*(E2=E$1:E87))))))</f>
        <v/>
      </c>
      <c r="K88" s="24" t="str">
        <f>IF(OR(E88="",E88="!!!",F88="NEW"),"",INDEX(J$1:J87,SUMPRODUCT(MAX(ROW(E$1:E87)*(E88=E$1:E87)))))</f>
        <v/>
      </c>
      <c r="L88" s="25"/>
    </row>
    <row r="89" spans="1:12" x14ac:dyDescent="0.3">
      <c r="A89" t="s">
        <v>257</v>
      </c>
      <c r="E89" s="20" t="str">
        <f t="shared" si="6"/>
        <v/>
      </c>
      <c r="F89" s="21" t="str">
        <f>IF(OR(E89="",E89="!!!"),"",IF(NOT(ISNA(VLOOKUP(E89,E$1:E88,1,FALSE()))),"OLD",IF(AND(E89&lt;&gt;"",E89&lt;&gt;"!!!"),"NEW","")))</f>
        <v/>
      </c>
      <c r="G89" s="22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/>
      </c>
      <c r="H89" s="23" t="str">
        <f t="shared" ca="1" si="7"/>
        <v/>
      </c>
      <c r="I89" s="24" t="str">
        <f>IF(OR(E89="",E89="!!!",F89="NEW"),"",INDEX(B$2:B88,-1+SUMPRODUCT(MAX(ROW(E$2:E88)*(E89=E$2:E88)))))</f>
        <v/>
      </c>
      <c r="J89" s="24" t="str">
        <f ca="1">IF(OR(E89="",E89="!!!",F89="NEW"),"",COUNTBLANK(OFFSET(A$1,,,SUMPRODUCT(MAX(ROW(E$2:E89)*(E89=E$2:E89)))))-COUNTBLANK(OFFSET(A$1,,,SUMPRODUCT(MAX(ROW(E$1:E88)*(E2=E$1:E88))))))</f>
        <v/>
      </c>
      <c r="K89" s="24" t="str">
        <f>IF(OR(E89="",E89="!!!",F89="NEW"),"",INDEX(J$1:J88,SUMPRODUCT(MAX(ROW(E$1:E88)*(E89=E$1:E88)))))</f>
        <v/>
      </c>
      <c r="L89" s="25"/>
    </row>
    <row r="90" spans="1:12" x14ac:dyDescent="0.3">
      <c r="A90" t="s">
        <v>310</v>
      </c>
      <c r="E90" s="20" t="str">
        <f t="shared" si="6"/>
        <v/>
      </c>
      <c r="F90" s="21" t="str">
        <f>IF(OR(E90="",E90="!!!"),"",IF(NOT(ISNA(VLOOKUP(E90,E$1:E89,1,FALSE()))),"OLD",IF(AND(E90&lt;&gt;"",E90&lt;&gt;"!!!"),"NEW","")))</f>
        <v/>
      </c>
      <c r="G90" s="22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/>
      </c>
      <c r="H90" s="23" t="str">
        <f t="shared" ca="1" si="7"/>
        <v/>
      </c>
      <c r="I90" s="24" t="str">
        <f>IF(OR(E90="",E90="!!!",F90="NEW"),"",INDEX(B$2:B89,-1+SUMPRODUCT(MAX(ROW(E$2:E89)*(E90=E$2:E89)))))</f>
        <v/>
      </c>
      <c r="J90" s="24" t="str">
        <f ca="1">IF(OR(E90="",E90="!!!",F90="NEW"),"",COUNTBLANK(OFFSET(A$1,,,SUMPRODUCT(MAX(ROW(E$2:E90)*(E90=E$2:E90)))))-COUNTBLANK(OFFSET(A$1,,,SUMPRODUCT(MAX(ROW(E$1:E89)*(E2=E$1:E89))))))</f>
        <v/>
      </c>
      <c r="K90" s="24" t="str">
        <f>IF(OR(E90="",E90="!!!",F90="NEW"),"",INDEX(J$1:J89,SUMPRODUCT(MAX(ROW(E$1:E89)*(E90=E$1:E89)))))</f>
        <v/>
      </c>
      <c r="L90" s="25"/>
    </row>
    <row r="91" spans="1:12" x14ac:dyDescent="0.3">
      <c r="A91" t="s">
        <v>320</v>
      </c>
      <c r="B91" s="26" t="s">
        <v>261</v>
      </c>
      <c r="C91" s="26" t="s">
        <v>239</v>
      </c>
      <c r="D91" s="26" t="s">
        <v>240</v>
      </c>
      <c r="E91" s="20" t="str">
        <f t="shared" si="6"/>
        <v>!!!</v>
      </c>
      <c r="F91" s="21" t="str">
        <f>IF(OR(E91="",E91="!!!"),"",IF(NOT(ISNA(VLOOKUP(E91,E$1:E90,1,FALSE()))),"OLD",IF(AND(E91&lt;&gt;"",E91&lt;&gt;"!!!"),"NEW","")))</f>
        <v/>
      </c>
      <c r="G91" s="22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/>
      </c>
      <c r="H91" s="23" t="str">
        <f t="shared" ca="1" si="7"/>
        <v/>
      </c>
      <c r="I91" s="24" t="str">
        <f>IF(OR(E91="",E91="!!!",F91="NEW"),"",INDEX(B$2:B90,-1+SUMPRODUCT(MAX(ROW(E$2:E90)*(E91=E$2:E90)))))</f>
        <v/>
      </c>
      <c r="J91" s="24" t="str">
        <f ca="1">IF(OR(E91="",E91="!!!",F91="NEW"),"",COUNTBLANK(OFFSET(A$1,,,SUMPRODUCT(MAX(ROW(E$2:E91)*(E91=E$2:E91)))))-COUNTBLANK(OFFSET(A$1,,,SUMPRODUCT(MAX(ROW(E$1:E90)*(E2=E$1:E90))))))</f>
        <v/>
      </c>
      <c r="K91" s="24" t="str">
        <f>IF(OR(E91="",E91="!!!",F91="NEW"),"",INDEX(J$1:J90,SUMPRODUCT(MAX(ROW(E$1:E90)*(E91=E$1:E90)))))</f>
        <v/>
      </c>
      <c r="L91" s="25"/>
    </row>
    <row r="92" spans="1:12" x14ac:dyDescent="0.3">
      <c r="A92" t="s">
        <v>321</v>
      </c>
      <c r="E92" s="20" t="str">
        <f t="shared" si="6"/>
        <v/>
      </c>
      <c r="F92" s="21" t="str">
        <f>IF(OR(E92="",E92="!!!"),"",IF(NOT(ISNA(VLOOKUP(E92,E$1:E91,1,FALSE()))),"OLD",IF(AND(E92&lt;&gt;"",E92&lt;&gt;"!!!"),"NEW","")))</f>
        <v/>
      </c>
      <c r="G92" s="22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/>
      </c>
      <c r="H92" s="23" t="str">
        <f t="shared" ca="1" si="7"/>
        <v/>
      </c>
      <c r="I92" s="24" t="str">
        <f>IF(OR(E92="",E92="!!!",F92="NEW"),"",INDEX(B$2:B91,-1+SUMPRODUCT(MAX(ROW(E$2:E91)*(E92=E$2:E91)))))</f>
        <v/>
      </c>
      <c r="J92" s="24" t="str">
        <f ca="1">IF(OR(E92="",E92="!!!",F92="NEW"),"",COUNTBLANK(OFFSET(A$1,,,SUMPRODUCT(MAX(ROW(E$2:E92)*(E92=E$2:E92)))))-COUNTBLANK(OFFSET(A$1,,,SUMPRODUCT(MAX(ROW(E$1:E91)*(E2=E$1:E91))))))</f>
        <v/>
      </c>
      <c r="K92" s="24" t="str">
        <f>IF(OR(E92="",E92="!!!",F92="NEW"),"",INDEX(J$1:J91,SUMPRODUCT(MAX(ROW(E$1:E91)*(E92=E$1:E91)))))</f>
        <v/>
      </c>
      <c r="L92" s="25"/>
    </row>
    <row r="93" spans="1:12" x14ac:dyDescent="0.3">
      <c r="A93" t="s">
        <v>246</v>
      </c>
      <c r="B93" s="26" t="s">
        <v>265</v>
      </c>
      <c r="C93" s="26" t="s">
        <v>262</v>
      </c>
      <c r="E93" s="20" t="str">
        <f t="shared" si="6"/>
        <v/>
      </c>
      <c r="F93" s="21" t="str">
        <f>IF(OR(E93="",E93="!!!"),"",IF(NOT(ISNA(VLOOKUP(E93,E$1:E92,1,FALSE()))),"OLD",IF(AND(E93&lt;&gt;"",E93&lt;&gt;"!!!"),"NEW","")))</f>
        <v/>
      </c>
      <c r="G93" s="22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/>
      </c>
      <c r="H93" s="23" t="str">
        <f t="shared" ca="1" si="7"/>
        <v/>
      </c>
      <c r="I93" s="24" t="str">
        <f>IF(OR(E93="",E93="!!!",F93="NEW"),"",INDEX(B$2:B92,-1+SUMPRODUCT(MAX(ROW(E$2:E92)*(E93=E$2:E92)))))</f>
        <v/>
      </c>
      <c r="J93" s="24" t="str">
        <f ca="1">IF(OR(E93="",E93="!!!",F93="NEW"),"",COUNTBLANK(OFFSET(A$1,,,SUMPRODUCT(MAX(ROW(E$2:E93)*(E93=E$2:E93)))))-COUNTBLANK(OFFSET(A$1,,,SUMPRODUCT(MAX(ROW(E$1:E92)*(E2=E$1:E92))))))</f>
        <v/>
      </c>
      <c r="K93" s="24" t="str">
        <f>IF(OR(E93="",E93="!!!",F93="NEW"),"",INDEX(J$1:J92,SUMPRODUCT(MAX(ROW(E$1:E92)*(E93=E$1:E92)))))</f>
        <v/>
      </c>
      <c r="L93" s="25"/>
    </row>
    <row r="94" spans="1:12" x14ac:dyDescent="0.3">
      <c r="A94" t="s">
        <v>322</v>
      </c>
      <c r="E94" s="20" t="str">
        <f t="shared" si="6"/>
        <v/>
      </c>
      <c r="F94" s="21" t="str">
        <f>IF(OR(E94="",E94="!!!"),"",IF(NOT(ISNA(VLOOKUP(E94,E$1:E93,1,FALSE()))),"OLD",IF(AND(E94&lt;&gt;"",E94&lt;&gt;"!!!"),"NEW","")))</f>
        <v/>
      </c>
      <c r="G94" s="22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/>
      </c>
      <c r="H94" s="23" t="str">
        <f t="shared" ca="1" si="7"/>
        <v/>
      </c>
      <c r="I94" s="24" t="str">
        <f>IF(OR(E94="",E94="!!!",F94="NEW"),"",INDEX(B$2:B93,-1+SUMPRODUCT(MAX(ROW(E$2:E93)*(E94=E$2:E93)))))</f>
        <v/>
      </c>
      <c r="J94" s="24" t="str">
        <f ca="1">IF(OR(E94="",E94="!!!",F94="NEW"),"",COUNTBLANK(OFFSET(A$1,,,SUMPRODUCT(MAX(ROW(E$2:E94)*(E94=E$2:E94)))))-COUNTBLANK(OFFSET(A$1,,,SUMPRODUCT(MAX(ROW(E$1:E93)*(E2=E$1:E93))))))</f>
        <v/>
      </c>
      <c r="K94" s="24" t="str">
        <f>IF(OR(E94="",E94="!!!",F94="NEW"),"",INDEX(J$1:J93,SUMPRODUCT(MAX(ROW(E$1:E93)*(E94=E$1:E93)))))</f>
        <v/>
      </c>
      <c r="L94" s="25"/>
    </row>
    <row r="95" spans="1:12" x14ac:dyDescent="0.3">
      <c r="A95" t="s">
        <v>248</v>
      </c>
      <c r="E95" s="20" t="str">
        <f t="shared" si="6"/>
        <v/>
      </c>
      <c r="F95" s="21" t="str">
        <f>IF(OR(E95="",E95="!!!"),"",IF(NOT(ISNA(VLOOKUP(E95,E$1:E94,1,FALSE()))),"OLD",IF(AND(E95&lt;&gt;"",E95&lt;&gt;"!!!"),"NEW","")))</f>
        <v/>
      </c>
      <c r="G95" s="22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/>
      </c>
      <c r="H95" s="23" t="str">
        <f t="shared" ca="1" si="7"/>
        <v/>
      </c>
      <c r="I95" s="24" t="str">
        <f>IF(OR(E95="",E95="!!!",F95="NEW"),"",INDEX(B$2:B94,-1+SUMPRODUCT(MAX(ROW(E$2:E94)*(E95=E$2:E94)))))</f>
        <v/>
      </c>
      <c r="J95" s="24" t="str">
        <f ca="1">IF(OR(E95="",E95="!!!",F95="NEW"),"",COUNTBLANK(OFFSET(A$1,,,SUMPRODUCT(MAX(ROW(E$2:E95)*(E95=E$2:E95)))))-COUNTBLANK(OFFSET(A$1,,,SUMPRODUCT(MAX(ROW(E$1:E94)*(E2=E$1:E94))))))</f>
        <v/>
      </c>
      <c r="K95" s="24" t="str">
        <f>IF(OR(E95="",E95="!!!",F95="NEW"),"",INDEX(J$1:J94,SUMPRODUCT(MAX(ROW(E$1:E94)*(E95=E$1:E94)))))</f>
        <v/>
      </c>
      <c r="L95" s="25"/>
    </row>
    <row r="97" spans="1:12" x14ac:dyDescent="0.3">
      <c r="A97" t="s">
        <v>323</v>
      </c>
    </row>
    <row r="98" spans="1:12" x14ac:dyDescent="0.3">
      <c r="A98" t="s">
        <v>324</v>
      </c>
      <c r="B98" s="26" t="s">
        <v>243</v>
      </c>
      <c r="C98" s="26" t="s">
        <v>244</v>
      </c>
      <c r="D98" s="26" t="s">
        <v>240</v>
      </c>
      <c r="E98" s="20" t="str">
        <f t="shared" ref="E98:E117" si="8">IF(D98="?OLD","!!!","")</f>
        <v>!!!</v>
      </c>
      <c r="F98" s="21" t="str">
        <f>IF(OR(E98="",E98="!!!"),"",IF(NOT(ISNA(VLOOKUP(E98,E$1:E97,1,FALSE()))),"OLD",IF(AND(E98&lt;&gt;"",E98&lt;&gt;"!!!"),"NEW","")))</f>
        <v/>
      </c>
      <c r="G98" s="22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/>
      </c>
      <c r="H98" s="23" t="str">
        <f t="shared" ref="H98:H117" ca="1" si="9">IF(J98&lt;&gt;1,"",IF(I98="SBJ","CB","?"))</f>
        <v/>
      </c>
      <c r="I98" s="24" t="str">
        <f>IF(OR(E98="",E98="!!!",F98="NEW"),"",INDEX(B$2:B97,-1+SUMPRODUCT(MAX(ROW(E$2:E97)*(E98=E$2:E97)))))</f>
        <v/>
      </c>
      <c r="J98" s="24" t="str">
        <f ca="1">IF(OR(E98="",E98="!!!",F98="NEW"),"",COUNTBLANK(OFFSET(A$1,,,SUMPRODUCT(MAX(ROW(E$2:E98)*(E98=E$2:E98)))))-COUNTBLANK(OFFSET(A$1,,,SUMPRODUCT(MAX(ROW(E$1:E97)*(E2=E$1:E97))))))</f>
        <v/>
      </c>
      <c r="K98" s="24" t="str">
        <f>IF(OR(E98="",E98="!!!",F98="NEW"),"",INDEX(J$1:J97,SUMPRODUCT(MAX(ROW(E$1:E97)*(E98=E$1:E97)))))</f>
        <v/>
      </c>
      <c r="L98" s="25"/>
    </row>
    <row r="99" spans="1:12" x14ac:dyDescent="0.3">
      <c r="A99" t="s">
        <v>325</v>
      </c>
      <c r="E99" s="20" t="str">
        <f t="shared" si="8"/>
        <v/>
      </c>
      <c r="F99" s="21" t="str">
        <f>IF(OR(E99="",E99="!!!"),"",IF(NOT(ISNA(VLOOKUP(E99,E$1:E98,1,FALSE()))),"OLD",IF(AND(E99&lt;&gt;"",E99&lt;&gt;"!!!"),"NEW","")))</f>
        <v/>
      </c>
      <c r="G99" s="22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/>
      </c>
      <c r="H99" s="23" t="str">
        <f t="shared" ca="1" si="9"/>
        <v/>
      </c>
      <c r="I99" s="24" t="str">
        <f>IF(OR(E99="",E99="!!!",F99="NEW"),"",INDEX(B$2:B98,-1+SUMPRODUCT(MAX(ROW(E$2:E98)*(E99=E$2:E98)))))</f>
        <v/>
      </c>
      <c r="J99" s="24" t="str">
        <f ca="1">IF(OR(E99="",E99="!!!",F99="NEW"),"",COUNTBLANK(OFFSET(A$1,,,SUMPRODUCT(MAX(ROW(E$2:E99)*(E99=E$2:E99)))))-COUNTBLANK(OFFSET(A$1,,,SUMPRODUCT(MAX(ROW(E$1:E98)*(E2=E$1:E98))))))</f>
        <v/>
      </c>
      <c r="K99" s="24" t="str">
        <f>IF(OR(E99="",E99="!!!",F99="NEW"),"",INDEX(J$1:J98,SUMPRODUCT(MAX(ROW(E$1:E98)*(E99=E$1:E98)))))</f>
        <v/>
      </c>
      <c r="L99" s="25"/>
    </row>
    <row r="100" spans="1:12" x14ac:dyDescent="0.3">
      <c r="A100" t="s">
        <v>252</v>
      </c>
      <c r="E100" s="20" t="str">
        <f t="shared" si="8"/>
        <v/>
      </c>
      <c r="F100" s="21" t="str">
        <f>IF(OR(E100="",E100="!!!"),"",IF(NOT(ISNA(VLOOKUP(E100,E$1:E99,1,FALSE()))),"OLD",IF(AND(E100&lt;&gt;"",E100&lt;&gt;"!!!"),"NEW","")))</f>
        <v/>
      </c>
      <c r="G100" s="22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/>
      </c>
      <c r="H100" s="23" t="str">
        <f t="shared" ca="1" si="9"/>
        <v/>
      </c>
      <c r="I100" s="24" t="str">
        <f>IF(OR(E100="",E100="!!!",F100="NEW"),"",INDEX(B$2:B99,-1+SUMPRODUCT(MAX(ROW(E$2:E99)*(E100=E$2:E99)))))</f>
        <v/>
      </c>
      <c r="J100" s="24" t="str">
        <f ca="1">IF(OR(E100="",E100="!!!",F100="NEW"),"",COUNTBLANK(OFFSET(A$1,,,SUMPRODUCT(MAX(ROW(E$2:E100)*(E100=E$2:E100)))))-COUNTBLANK(OFFSET(A$1,,,SUMPRODUCT(MAX(ROW(E$1:E99)*(E2=E$1:E99))))))</f>
        <v/>
      </c>
      <c r="K100" s="24" t="str">
        <f>IF(OR(E100="",E100="!!!",F100="NEW"),"",INDEX(J$1:J99,SUMPRODUCT(MAX(ROW(E$1:E99)*(E100=E$1:E99)))))</f>
        <v/>
      </c>
      <c r="L100" s="25"/>
    </row>
    <row r="101" spans="1:12" x14ac:dyDescent="0.3">
      <c r="A101" t="s">
        <v>253</v>
      </c>
      <c r="E101" s="20" t="str">
        <f t="shared" si="8"/>
        <v/>
      </c>
      <c r="F101" s="21" t="str">
        <f>IF(OR(E101="",E101="!!!"),"",IF(NOT(ISNA(VLOOKUP(E101,E$1:E100,1,FALSE()))),"OLD",IF(AND(E101&lt;&gt;"",E101&lt;&gt;"!!!"),"NEW","")))</f>
        <v/>
      </c>
      <c r="G101" s="22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/>
      </c>
      <c r="H101" s="23" t="str">
        <f t="shared" ca="1" si="9"/>
        <v/>
      </c>
      <c r="I101" s="24" t="str">
        <f>IF(OR(E101="",E101="!!!",F101="NEW"),"",INDEX(B$2:B100,-1+SUMPRODUCT(MAX(ROW(E$2:E100)*(E101=E$2:E100)))))</f>
        <v/>
      </c>
      <c r="J101" s="24" t="str">
        <f ca="1">IF(OR(E101="",E101="!!!",F101="NEW"),"",COUNTBLANK(OFFSET(A$1,,,SUMPRODUCT(MAX(ROW(E$2:E101)*(E101=E$2:E101)))))-COUNTBLANK(OFFSET(A$1,,,SUMPRODUCT(MAX(ROW(E$1:E100)*(E2=E$1:E100))))))</f>
        <v/>
      </c>
      <c r="K101" s="24" t="str">
        <f>IF(OR(E101="",E101="!!!",F101="NEW"),"",INDEX(J$1:J100,SUMPRODUCT(MAX(ROW(E$1:E100)*(E101=E$1:E100)))))</f>
        <v/>
      </c>
      <c r="L101" s="25"/>
    </row>
    <row r="102" spans="1:12" x14ac:dyDescent="0.3">
      <c r="A102" t="s">
        <v>326</v>
      </c>
      <c r="E102" s="20" t="str">
        <f t="shared" si="8"/>
        <v/>
      </c>
      <c r="F102" s="21" t="str">
        <f>IF(OR(E102="",E102="!!!"),"",IF(NOT(ISNA(VLOOKUP(E102,E$1:E101,1,FALSE()))),"OLD",IF(AND(E102&lt;&gt;"",E102&lt;&gt;"!!!"),"NEW","")))</f>
        <v/>
      </c>
      <c r="G102" s="22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/>
      </c>
      <c r="H102" s="23" t="str">
        <f t="shared" ca="1" si="9"/>
        <v/>
      </c>
      <c r="I102" s="24" t="str">
        <f>IF(OR(E102="",E102="!!!",F102="NEW"),"",INDEX(B$2:B101,-1+SUMPRODUCT(MAX(ROW(E$2:E101)*(E102=E$2:E101)))))</f>
        <v/>
      </c>
      <c r="J102" s="24" t="str">
        <f ca="1">IF(OR(E102="",E102="!!!",F102="NEW"),"",COUNTBLANK(OFFSET(A$1,,,SUMPRODUCT(MAX(ROW(E$2:E102)*(E102=E$2:E102)))))-COUNTBLANK(OFFSET(A$1,,,SUMPRODUCT(MAX(ROW(E$1:E101)*(E2=E$1:E101))))))</f>
        <v/>
      </c>
      <c r="K102" s="24" t="str">
        <f>IF(OR(E102="",E102="!!!",F102="NEW"),"",INDEX(J$1:J101,SUMPRODUCT(MAX(ROW(E$1:E101)*(E102=E$1:E101)))))</f>
        <v/>
      </c>
      <c r="L102" s="25"/>
    </row>
    <row r="103" spans="1:12" x14ac:dyDescent="0.3">
      <c r="A103" t="s">
        <v>327</v>
      </c>
      <c r="B103" s="26" t="s">
        <v>272</v>
      </c>
      <c r="C103" s="26" t="s">
        <v>305</v>
      </c>
      <c r="E103" s="20" t="str">
        <f t="shared" si="8"/>
        <v/>
      </c>
      <c r="F103" s="21" t="str">
        <f>IF(OR(E103="",E103="!!!"),"",IF(NOT(ISNA(VLOOKUP(E103,E$1:E102,1,FALSE()))),"OLD",IF(AND(E103&lt;&gt;"",E103&lt;&gt;"!!!"),"NEW","")))</f>
        <v/>
      </c>
      <c r="G103" s="22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/>
      </c>
      <c r="H103" s="23" t="str">
        <f t="shared" ca="1" si="9"/>
        <v/>
      </c>
      <c r="I103" s="24" t="str">
        <f>IF(OR(E103="",E103="!!!",F103="NEW"),"",INDEX(B$2:B102,-1+SUMPRODUCT(MAX(ROW(E$2:E102)*(E103=E$2:E102)))))</f>
        <v/>
      </c>
      <c r="J103" s="24" t="str">
        <f ca="1">IF(OR(E103="",E103="!!!",F103="NEW"),"",COUNTBLANK(OFFSET(A$1,,,SUMPRODUCT(MAX(ROW(E$2:E103)*(E103=E$2:E103)))))-COUNTBLANK(OFFSET(A$1,,,SUMPRODUCT(MAX(ROW(E$1:E102)*(E2=E$1:E102))))))</f>
        <v/>
      </c>
      <c r="K103" s="24" t="str">
        <f>IF(OR(E103="",E103="!!!",F103="NEW"),"",INDEX(J$1:J102,SUMPRODUCT(MAX(ROW(E$1:E102)*(E103=E$1:E102)))))</f>
        <v/>
      </c>
      <c r="L103" s="25"/>
    </row>
    <row r="104" spans="1:12" x14ac:dyDescent="0.3">
      <c r="A104" t="s">
        <v>263</v>
      </c>
      <c r="E104" s="20" t="str">
        <f t="shared" si="8"/>
        <v/>
      </c>
      <c r="F104" s="21" t="str">
        <f>IF(OR(E104="",E104="!!!"),"",IF(NOT(ISNA(VLOOKUP(E104,E$1:E103,1,FALSE()))),"OLD",IF(AND(E104&lt;&gt;"",E104&lt;&gt;"!!!"),"NEW","")))</f>
        <v/>
      </c>
      <c r="G104" s="22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/>
      </c>
      <c r="H104" s="23" t="str">
        <f t="shared" ca="1" si="9"/>
        <v/>
      </c>
      <c r="I104" s="24" t="str">
        <f>IF(OR(E104="",E104="!!!",F104="NEW"),"",INDEX(B$2:B103,-1+SUMPRODUCT(MAX(ROW(E$2:E103)*(E104=E$2:E103)))))</f>
        <v/>
      </c>
      <c r="J104" s="24" t="str">
        <f ca="1">IF(OR(E104="",E104="!!!",F104="NEW"),"",COUNTBLANK(OFFSET(A$1,,,SUMPRODUCT(MAX(ROW(E$2:E104)*(E104=E$2:E104)))))-COUNTBLANK(OFFSET(A$1,,,SUMPRODUCT(MAX(ROW(E$1:E103)*(E2=E$1:E103))))))</f>
        <v/>
      </c>
      <c r="K104" s="24" t="str">
        <f>IF(OR(E104="",E104="!!!",F104="NEW"),"",INDEX(J$1:J103,SUMPRODUCT(MAX(ROW(E$1:E103)*(E104=E$1:E103)))))</f>
        <v/>
      </c>
      <c r="L104" s="25"/>
    </row>
    <row r="105" spans="1:12" x14ac:dyDescent="0.3">
      <c r="A105" t="s">
        <v>328</v>
      </c>
      <c r="B105" s="26" t="s">
        <v>261</v>
      </c>
      <c r="C105" s="26" t="s">
        <v>262</v>
      </c>
      <c r="E105" s="20" t="str">
        <f t="shared" si="8"/>
        <v/>
      </c>
      <c r="F105" s="21" t="str">
        <f>IF(OR(E105="",E105="!!!"),"",IF(NOT(ISNA(VLOOKUP(E105,E$1:E104,1,FALSE()))),"OLD",IF(AND(E105&lt;&gt;"",E105&lt;&gt;"!!!"),"NEW","")))</f>
        <v/>
      </c>
      <c r="G105" s="22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/>
      </c>
      <c r="H105" s="23" t="str">
        <f t="shared" ca="1" si="9"/>
        <v/>
      </c>
      <c r="I105" s="24" t="str">
        <f>IF(OR(E105="",E105="!!!",F105="NEW"),"",INDEX(B$2:B104,-1+SUMPRODUCT(MAX(ROW(E$2:E104)*(E105=E$2:E104)))))</f>
        <v/>
      </c>
      <c r="J105" s="24" t="str">
        <f ca="1">IF(OR(E105="",E105="!!!",F105="NEW"),"",COUNTBLANK(OFFSET(A$1,,,SUMPRODUCT(MAX(ROW(E$2:E105)*(E105=E$2:E105)))))-COUNTBLANK(OFFSET(A$1,,,SUMPRODUCT(MAX(ROW(E$1:E104)*(E2=E$1:E104))))))</f>
        <v/>
      </c>
      <c r="K105" s="24" t="str">
        <f>IF(OR(E105="",E105="!!!",F105="NEW"),"",INDEX(J$1:J104,SUMPRODUCT(MAX(ROW(E$1:E104)*(E105=E$1:E104)))))</f>
        <v/>
      </c>
      <c r="L105" s="25"/>
    </row>
    <row r="106" spans="1:12" x14ac:dyDescent="0.3">
      <c r="A106" t="s">
        <v>329</v>
      </c>
      <c r="E106" s="20" t="str">
        <f t="shared" si="8"/>
        <v/>
      </c>
      <c r="F106" s="21" t="str">
        <f>IF(OR(E106="",E106="!!!"),"",IF(NOT(ISNA(VLOOKUP(E106,E$1:E105,1,FALSE()))),"OLD",IF(AND(E106&lt;&gt;"",E106&lt;&gt;"!!!"),"NEW","")))</f>
        <v/>
      </c>
      <c r="G106" s="22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/>
      </c>
      <c r="H106" s="23" t="str">
        <f t="shared" ca="1" si="9"/>
        <v/>
      </c>
      <c r="I106" s="24" t="str">
        <f>IF(OR(E106="",E106="!!!",F106="NEW"),"",INDEX(B$2:B105,-1+SUMPRODUCT(MAX(ROW(E$2:E105)*(E106=E$2:E105)))))</f>
        <v/>
      </c>
      <c r="J106" s="24" t="str">
        <f ca="1">IF(OR(E106="",E106="!!!",F106="NEW"),"",COUNTBLANK(OFFSET(A$1,,,SUMPRODUCT(MAX(ROW(E$2:E106)*(E106=E$2:E106)))))-COUNTBLANK(OFFSET(A$1,,,SUMPRODUCT(MAX(ROW(E$1:E105)*(E2=E$1:E105))))))</f>
        <v/>
      </c>
      <c r="K106" s="24" t="str">
        <f>IF(OR(E106="",E106="!!!",F106="NEW"),"",INDEX(J$1:J105,SUMPRODUCT(MAX(ROW(E$1:E105)*(E106=E$1:E105)))))</f>
        <v/>
      </c>
      <c r="L106" s="25"/>
    </row>
    <row r="107" spans="1:12" x14ac:dyDescent="0.3">
      <c r="A107" t="s">
        <v>321</v>
      </c>
      <c r="E107" s="20" t="str">
        <f t="shared" si="8"/>
        <v/>
      </c>
      <c r="F107" s="21" t="str">
        <f>IF(OR(E107="",E107="!!!"),"",IF(NOT(ISNA(VLOOKUP(E107,E$1:E106,1,FALSE()))),"OLD",IF(AND(E107&lt;&gt;"",E107&lt;&gt;"!!!"),"NEW","")))</f>
        <v/>
      </c>
      <c r="G107" s="22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/>
      </c>
      <c r="H107" s="23" t="str">
        <f t="shared" ca="1" si="9"/>
        <v/>
      </c>
      <c r="I107" s="24" t="str">
        <f>IF(OR(E107="",E107="!!!",F107="NEW"),"",INDEX(B$2:B106,-1+SUMPRODUCT(MAX(ROW(E$2:E106)*(E107=E$2:E106)))))</f>
        <v/>
      </c>
      <c r="J107" s="24" t="str">
        <f ca="1">IF(OR(E107="",E107="!!!",F107="NEW"),"",COUNTBLANK(OFFSET(A$1,,,SUMPRODUCT(MAX(ROW(E$2:E107)*(E107=E$2:E107)))))-COUNTBLANK(OFFSET(A$1,,,SUMPRODUCT(MAX(ROW(E$1:E106)*(E2=E$1:E106))))))</f>
        <v/>
      </c>
      <c r="K107" s="24" t="str">
        <f>IF(OR(E107="",E107="!!!",F107="NEW"),"",INDEX(J$1:J106,SUMPRODUCT(MAX(ROW(E$1:E106)*(E107=E$1:E106)))))</f>
        <v/>
      </c>
      <c r="L107" s="25"/>
    </row>
    <row r="108" spans="1:12" x14ac:dyDescent="0.3">
      <c r="A108" t="s">
        <v>330</v>
      </c>
      <c r="E108" s="20" t="str">
        <f t="shared" si="8"/>
        <v/>
      </c>
      <c r="F108" s="21" t="str">
        <f>IF(OR(E108="",E108="!!!"),"",IF(NOT(ISNA(VLOOKUP(E108,E$1:E107,1,FALSE()))),"OLD",IF(AND(E108&lt;&gt;"",E108&lt;&gt;"!!!"),"NEW","")))</f>
        <v/>
      </c>
      <c r="G108" s="22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/>
      </c>
      <c r="H108" s="23" t="str">
        <f t="shared" ca="1" si="9"/>
        <v/>
      </c>
      <c r="I108" s="24" t="str">
        <f>IF(OR(E108="",E108="!!!",F108="NEW"),"",INDEX(B$2:B107,-1+SUMPRODUCT(MAX(ROW(E$2:E107)*(E108=E$2:E107)))))</f>
        <v/>
      </c>
      <c r="J108" s="24" t="str">
        <f ca="1">IF(OR(E108="",E108="!!!",F108="NEW"),"",COUNTBLANK(OFFSET(A$1,,,SUMPRODUCT(MAX(ROW(E$2:E108)*(E108=E$2:E108)))))-COUNTBLANK(OFFSET(A$1,,,SUMPRODUCT(MAX(ROW(E$1:E107)*(E2=E$1:E107))))))</f>
        <v/>
      </c>
      <c r="K108" s="24" t="str">
        <f>IF(OR(E108="",E108="!!!",F108="NEW"),"",INDEX(J$1:J107,SUMPRODUCT(MAX(ROW(E$1:E107)*(E108=E$1:E107)))))</f>
        <v/>
      </c>
      <c r="L108" s="25"/>
    </row>
    <row r="109" spans="1:12" x14ac:dyDescent="0.3">
      <c r="A109" t="s">
        <v>246</v>
      </c>
      <c r="B109" s="26" t="s">
        <v>265</v>
      </c>
      <c r="C109" s="26" t="s">
        <v>262</v>
      </c>
      <c r="E109" s="20" t="str">
        <f t="shared" si="8"/>
        <v/>
      </c>
      <c r="F109" s="21" t="str">
        <f>IF(OR(E109="",E109="!!!"),"",IF(NOT(ISNA(VLOOKUP(E109,E$1:E108,1,FALSE()))),"OLD",IF(AND(E109&lt;&gt;"",E109&lt;&gt;"!!!"),"NEW","")))</f>
        <v/>
      </c>
      <c r="G109" s="22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/>
      </c>
      <c r="H109" s="23" t="str">
        <f t="shared" ca="1" si="9"/>
        <v/>
      </c>
      <c r="I109" s="24" t="str">
        <f>IF(OR(E109="",E109="!!!",F109="NEW"),"",INDEX(B$2:B108,-1+SUMPRODUCT(MAX(ROW(E$2:E108)*(E109=E$2:E108)))))</f>
        <v/>
      </c>
      <c r="J109" s="24" t="str">
        <f ca="1">IF(OR(E109="",E109="!!!",F109="NEW"),"",COUNTBLANK(OFFSET(A$1,,,SUMPRODUCT(MAX(ROW(E$2:E109)*(E109=E$2:E109)))))-COUNTBLANK(OFFSET(A$1,,,SUMPRODUCT(MAX(ROW(E$1:E108)*(E2=E$1:E108))))))</f>
        <v/>
      </c>
      <c r="K109" s="24" t="str">
        <f>IF(OR(E109="",E109="!!!",F109="NEW"),"",INDEX(J$1:J108,SUMPRODUCT(MAX(ROW(E$1:E108)*(E109=E$1:E108)))))</f>
        <v/>
      </c>
      <c r="L109" s="25"/>
    </row>
    <row r="110" spans="1:12" x14ac:dyDescent="0.3">
      <c r="A110" t="s">
        <v>322</v>
      </c>
      <c r="E110" s="20" t="str">
        <f t="shared" si="8"/>
        <v/>
      </c>
      <c r="F110" s="21" t="str">
        <f>IF(OR(E110="",E110="!!!"),"",IF(NOT(ISNA(VLOOKUP(E110,E$1:E109,1,FALSE()))),"OLD",IF(AND(E110&lt;&gt;"",E110&lt;&gt;"!!!"),"NEW","")))</f>
        <v/>
      </c>
      <c r="G110" s="22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/>
      </c>
      <c r="H110" s="23" t="str">
        <f t="shared" ca="1" si="9"/>
        <v/>
      </c>
      <c r="I110" s="24" t="str">
        <f>IF(OR(E110="",E110="!!!",F110="NEW"),"",INDEX(B$2:B109,-1+SUMPRODUCT(MAX(ROW(E$2:E109)*(E110=E$2:E109)))))</f>
        <v/>
      </c>
      <c r="J110" s="24" t="str">
        <f ca="1">IF(OR(E110="",E110="!!!",F110="NEW"),"",COUNTBLANK(OFFSET(A$1,,,SUMPRODUCT(MAX(ROW(E$2:E110)*(E110=E$2:E110)))))-COUNTBLANK(OFFSET(A$1,,,SUMPRODUCT(MAX(ROW(E$1:E109)*(E2=E$1:E109))))))</f>
        <v/>
      </c>
      <c r="K110" s="24" t="str">
        <f>IF(OR(E110="",E110="!!!",F110="NEW"),"",INDEX(J$1:J109,SUMPRODUCT(MAX(ROW(E$1:E109)*(E110=E$1:E109)))))</f>
        <v/>
      </c>
      <c r="L110" s="25"/>
    </row>
    <row r="111" spans="1:12" x14ac:dyDescent="0.3">
      <c r="A111" t="s">
        <v>252</v>
      </c>
      <c r="E111" s="20" t="str">
        <f t="shared" si="8"/>
        <v/>
      </c>
      <c r="F111" s="21" t="str">
        <f>IF(OR(E111="",E111="!!!"),"",IF(NOT(ISNA(VLOOKUP(E111,E$1:E110,1,FALSE()))),"OLD",IF(AND(E111&lt;&gt;"",E111&lt;&gt;"!!!"),"NEW","")))</f>
        <v/>
      </c>
      <c r="G111" s="22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/>
      </c>
      <c r="H111" s="23" t="str">
        <f t="shared" ca="1" si="9"/>
        <v/>
      </c>
      <c r="I111" s="24" t="str">
        <f>IF(OR(E111="",E111="!!!",F111="NEW"),"",INDEX(B$2:B110,-1+SUMPRODUCT(MAX(ROW(E$2:E110)*(E111=E$2:E110)))))</f>
        <v/>
      </c>
      <c r="J111" s="24" t="str">
        <f ca="1">IF(OR(E111="",E111="!!!",F111="NEW"),"",COUNTBLANK(OFFSET(A$1,,,SUMPRODUCT(MAX(ROW(E$2:E111)*(E111=E$2:E111)))))-COUNTBLANK(OFFSET(A$1,,,SUMPRODUCT(MAX(ROW(E$1:E110)*(E2=E$1:E110))))))</f>
        <v/>
      </c>
      <c r="K111" s="24" t="str">
        <f>IF(OR(E111="",E111="!!!",F111="NEW"),"",INDEX(J$1:J110,SUMPRODUCT(MAX(ROW(E$1:E110)*(E111=E$1:E110)))))</f>
        <v/>
      </c>
      <c r="L111" s="25"/>
    </row>
    <row r="112" spans="1:12" x14ac:dyDescent="0.3">
      <c r="A112" t="s">
        <v>331</v>
      </c>
      <c r="E112" s="20" t="str">
        <f t="shared" si="8"/>
        <v/>
      </c>
      <c r="F112" s="21" t="str">
        <f>IF(OR(E112="",E112="!!!"),"",IF(NOT(ISNA(VLOOKUP(E112,E$1:E111,1,FALSE()))),"OLD",IF(AND(E112&lt;&gt;"",E112&lt;&gt;"!!!"),"NEW","")))</f>
        <v/>
      </c>
      <c r="G112" s="22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/>
      </c>
      <c r="H112" s="23" t="str">
        <f t="shared" ca="1" si="9"/>
        <v/>
      </c>
      <c r="I112" s="24" t="str">
        <f>IF(OR(E112="",E112="!!!",F112="NEW"),"",INDEX(B$2:B111,-1+SUMPRODUCT(MAX(ROW(E$2:E111)*(E112=E$2:E111)))))</f>
        <v/>
      </c>
      <c r="J112" s="24" t="str">
        <f ca="1">IF(OR(E112="",E112="!!!",F112="NEW"),"",COUNTBLANK(OFFSET(A$1,,,SUMPRODUCT(MAX(ROW(E$2:E112)*(E112=E$2:E112)))))-COUNTBLANK(OFFSET(A$1,,,SUMPRODUCT(MAX(ROW(E$1:E111)*(E2=E$1:E111))))))</f>
        <v/>
      </c>
      <c r="K112" s="24" t="str">
        <f>IF(OR(E112="",E112="!!!",F112="NEW"),"",INDEX(J$1:J111,SUMPRODUCT(MAX(ROW(E$1:E111)*(E112=E$1:E111)))))</f>
        <v/>
      </c>
      <c r="L112" s="25"/>
    </row>
    <row r="113" spans="1:12" x14ac:dyDescent="0.3">
      <c r="A113" t="s">
        <v>236</v>
      </c>
      <c r="E113" s="20" t="str">
        <f t="shared" si="8"/>
        <v/>
      </c>
      <c r="F113" s="21" t="str">
        <f>IF(OR(E113="",E113="!!!"),"",IF(NOT(ISNA(VLOOKUP(E113,E$1:E112,1,FALSE()))),"OLD",IF(AND(E113&lt;&gt;"",E113&lt;&gt;"!!!"),"NEW","")))</f>
        <v/>
      </c>
      <c r="G113" s="22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/>
      </c>
      <c r="H113" s="23" t="str">
        <f t="shared" ca="1" si="9"/>
        <v/>
      </c>
      <c r="I113" s="24" t="str">
        <f>IF(OR(E113="",E113="!!!",F113="NEW"),"",INDEX(B$2:B112,-1+SUMPRODUCT(MAX(ROW(E$2:E112)*(E113=E$2:E112)))))</f>
        <v/>
      </c>
      <c r="J113" s="24" t="str">
        <f ca="1">IF(OR(E113="",E113="!!!",F113="NEW"),"",COUNTBLANK(OFFSET(A$1,,,SUMPRODUCT(MAX(ROW(E$2:E113)*(E113=E$2:E113)))))-COUNTBLANK(OFFSET(A$1,,,SUMPRODUCT(MAX(ROW(E$1:E112)*(E2=E$1:E112))))))</f>
        <v/>
      </c>
      <c r="K113" s="24" t="str">
        <f>IF(OR(E113="",E113="!!!",F113="NEW"),"",INDEX(J$1:J112,SUMPRODUCT(MAX(ROW(E$1:E112)*(E113=E$1:E112)))))</f>
        <v/>
      </c>
      <c r="L113" s="25"/>
    </row>
    <row r="114" spans="1:12" x14ac:dyDescent="0.3">
      <c r="A114" t="s">
        <v>284</v>
      </c>
      <c r="B114" s="26" t="s">
        <v>272</v>
      </c>
      <c r="C114" s="26" t="s">
        <v>239</v>
      </c>
      <c r="D114" s="26" t="s">
        <v>240</v>
      </c>
      <c r="E114" s="20" t="str">
        <f t="shared" si="8"/>
        <v>!!!</v>
      </c>
      <c r="F114" s="21" t="str">
        <f>IF(OR(E114="",E114="!!!"),"",IF(NOT(ISNA(VLOOKUP(E114,E$1:E113,1,FALSE()))),"OLD",IF(AND(E114&lt;&gt;"",E114&lt;&gt;"!!!"),"NEW","")))</f>
        <v/>
      </c>
      <c r="G114" s="22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/>
      </c>
      <c r="H114" s="23" t="str">
        <f t="shared" ca="1" si="9"/>
        <v/>
      </c>
      <c r="I114" s="24" t="str">
        <f>IF(OR(E114="",E114="!!!",F114="NEW"),"",INDEX(B$2:B113,-1+SUMPRODUCT(MAX(ROW(E$2:E113)*(E114=E$2:E113)))))</f>
        <v/>
      </c>
      <c r="J114" s="24" t="str">
        <f ca="1">IF(OR(E114="",E114="!!!",F114="NEW"),"",COUNTBLANK(OFFSET(A$1,,,SUMPRODUCT(MAX(ROW(E$2:E114)*(E114=E$2:E114)))))-COUNTBLANK(OFFSET(A$1,,,SUMPRODUCT(MAX(ROW(E$1:E113)*(E2=E$1:E113))))))</f>
        <v/>
      </c>
      <c r="K114" s="24" t="str">
        <f>IF(OR(E114="",E114="!!!",F114="NEW"),"",INDEX(J$1:J113,SUMPRODUCT(MAX(ROW(E$1:E113)*(E114=E$1:E113)))))</f>
        <v/>
      </c>
      <c r="L114" s="25"/>
    </row>
    <row r="115" spans="1:12" x14ac:dyDescent="0.3">
      <c r="A115" t="s">
        <v>332</v>
      </c>
      <c r="E115" s="20" t="str">
        <f t="shared" si="8"/>
        <v/>
      </c>
      <c r="F115" s="21" t="str">
        <f>IF(OR(E115="",E115="!!!"),"",IF(NOT(ISNA(VLOOKUP(E115,E$1:E114,1,FALSE()))),"OLD",IF(AND(E115&lt;&gt;"",E115&lt;&gt;"!!!"),"NEW","")))</f>
        <v/>
      </c>
      <c r="G115" s="22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/>
      </c>
      <c r="H115" s="23" t="str">
        <f t="shared" ca="1" si="9"/>
        <v/>
      </c>
      <c r="I115" s="24" t="str">
        <f>IF(OR(E115="",E115="!!!",F115="NEW"),"",INDEX(B$2:B114,-1+SUMPRODUCT(MAX(ROW(E$2:E114)*(E115=E$2:E114)))))</f>
        <v/>
      </c>
      <c r="J115" s="24" t="str">
        <f ca="1">IF(OR(E115="",E115="!!!",F115="NEW"),"",COUNTBLANK(OFFSET(A$1,,,SUMPRODUCT(MAX(ROW(E$2:E115)*(E115=E$2:E115)))))-COUNTBLANK(OFFSET(A$1,,,SUMPRODUCT(MAX(ROW(E$1:E114)*(E2=E$1:E114))))))</f>
        <v/>
      </c>
      <c r="K115" s="24" t="str">
        <f>IF(OR(E115="",E115="!!!",F115="NEW"),"",INDEX(J$1:J114,SUMPRODUCT(MAX(ROW(E$1:E114)*(E115=E$1:E114)))))</f>
        <v/>
      </c>
      <c r="L115" s="25"/>
    </row>
    <row r="116" spans="1:12" x14ac:dyDescent="0.3">
      <c r="A116" t="s">
        <v>333</v>
      </c>
      <c r="E116" s="20" t="str">
        <f t="shared" si="8"/>
        <v/>
      </c>
      <c r="F116" s="21" t="str">
        <f>IF(OR(E116="",E116="!!!"),"",IF(NOT(ISNA(VLOOKUP(E116,E$1:E115,1,FALSE()))),"OLD",IF(AND(E116&lt;&gt;"",E116&lt;&gt;"!!!"),"NEW","")))</f>
        <v/>
      </c>
      <c r="G116" s="22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/>
      </c>
      <c r="H116" s="23" t="str">
        <f t="shared" ca="1" si="9"/>
        <v/>
      </c>
      <c r="I116" s="24" t="str">
        <f>IF(OR(E116="",E116="!!!",F116="NEW"),"",INDEX(B$2:B115,-1+SUMPRODUCT(MAX(ROW(E$2:E115)*(E116=E$2:E115)))))</f>
        <v/>
      </c>
      <c r="J116" s="24" t="str">
        <f ca="1">IF(OR(E116="",E116="!!!",F116="NEW"),"",COUNTBLANK(OFFSET(A$1,,,SUMPRODUCT(MAX(ROW(E$2:E116)*(E116=E$2:E116)))))-COUNTBLANK(OFFSET(A$1,,,SUMPRODUCT(MAX(ROW(E$1:E115)*(E2=E$1:E115))))))</f>
        <v/>
      </c>
      <c r="K116" s="24" t="str">
        <f>IF(OR(E116="",E116="!!!",F116="NEW"),"",INDEX(J$1:J115,SUMPRODUCT(MAX(ROW(E$1:E115)*(E116=E$1:E115)))))</f>
        <v/>
      </c>
      <c r="L116" s="25"/>
    </row>
    <row r="117" spans="1:12" x14ac:dyDescent="0.3">
      <c r="A117" t="s">
        <v>248</v>
      </c>
      <c r="E117" s="20" t="str">
        <f t="shared" si="8"/>
        <v/>
      </c>
      <c r="F117" s="21" t="str">
        <f>IF(OR(E117="",E117="!!!"),"",IF(NOT(ISNA(VLOOKUP(E117,E$1:E116,1,FALSE()))),"OLD",IF(AND(E117&lt;&gt;"",E117&lt;&gt;"!!!"),"NEW","")))</f>
        <v/>
      </c>
      <c r="G117" s="22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/>
      </c>
      <c r="H117" s="23" t="str">
        <f t="shared" ca="1" si="9"/>
        <v/>
      </c>
      <c r="I117" s="24" t="str">
        <f>IF(OR(E117="",E117="!!!",F117="NEW"),"",INDEX(B$2:B116,-1+SUMPRODUCT(MAX(ROW(E$2:E116)*(E117=E$2:E116)))))</f>
        <v/>
      </c>
      <c r="J117" s="24" t="str">
        <f ca="1">IF(OR(E117="",E117="!!!",F117="NEW"),"",COUNTBLANK(OFFSET(A$1,,,SUMPRODUCT(MAX(ROW(E$2:E117)*(E117=E$2:E117)))))-COUNTBLANK(OFFSET(A$1,,,SUMPRODUCT(MAX(ROW(E$1:E116)*(E2=E$1:E116))))))</f>
        <v/>
      </c>
      <c r="K117" s="24" t="str">
        <f>IF(OR(E117="",E117="!!!",F117="NEW"),"",INDEX(J$1:J116,SUMPRODUCT(MAX(ROW(E$1:E116)*(E117=E$1:E116)))))</f>
        <v/>
      </c>
      <c r="L117" s="25"/>
    </row>
    <row r="119" spans="1:12" x14ac:dyDescent="0.3">
      <c r="A119" t="s">
        <v>334</v>
      </c>
    </row>
    <row r="120" spans="1:12" x14ac:dyDescent="0.3">
      <c r="A120" t="s">
        <v>335</v>
      </c>
      <c r="E120" s="20" t="str">
        <f t="shared" ref="E120:E133" si="10">IF(D120="?OLD","!!!","")</f>
        <v/>
      </c>
      <c r="F120" s="21" t="str">
        <f>IF(OR(E120="",E120="!!!"),"",IF(NOT(ISNA(VLOOKUP(E120,E$1:E119,1,FALSE()))),"OLD",IF(AND(E120&lt;&gt;"",E120&lt;&gt;"!!!"),"NEW","")))</f>
        <v/>
      </c>
      <c r="G120" s="22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/>
      </c>
      <c r="H120" s="23" t="str">
        <f t="shared" ref="H120:H133" ca="1" si="11">IF(J120&lt;&gt;1,"",IF(I120="SBJ","CB","?"))</f>
        <v/>
      </c>
      <c r="I120" s="24" t="str">
        <f>IF(OR(E120="",E120="!!!",F120="NEW"),"",INDEX(B$2:B119,-1+SUMPRODUCT(MAX(ROW(E$2:E119)*(E120=E$2:E119)))))</f>
        <v/>
      </c>
      <c r="J120" s="24" t="str">
        <f ca="1">IF(OR(E120="",E120="!!!",F120="NEW"),"",COUNTBLANK(OFFSET(A$1,,,SUMPRODUCT(MAX(ROW(E$2:E120)*(E120=E$2:E120)))))-COUNTBLANK(OFFSET(A$1,,,SUMPRODUCT(MAX(ROW(E$1:E119)*(E2=E$1:E119))))))</f>
        <v/>
      </c>
      <c r="K120" s="24" t="str">
        <f>IF(OR(E120="",E120="!!!",F120="NEW"),"",INDEX(J$1:J119,SUMPRODUCT(MAX(ROW(E$1:E119)*(E120=E$1:E119)))))</f>
        <v/>
      </c>
      <c r="L120" s="25"/>
    </row>
    <row r="121" spans="1:12" x14ac:dyDescent="0.3">
      <c r="A121" t="s">
        <v>336</v>
      </c>
      <c r="E121" s="20" t="str">
        <f t="shared" si="10"/>
        <v/>
      </c>
      <c r="F121" s="21" t="str">
        <f>IF(OR(E121="",E121="!!!"),"",IF(NOT(ISNA(VLOOKUP(E121,E$1:E120,1,FALSE()))),"OLD",IF(AND(E121&lt;&gt;"",E121&lt;&gt;"!!!"),"NEW","")))</f>
        <v/>
      </c>
      <c r="G121" s="22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/>
      </c>
      <c r="H121" s="23" t="str">
        <f t="shared" ca="1" si="11"/>
        <v/>
      </c>
      <c r="I121" s="24" t="str">
        <f>IF(OR(E121="",E121="!!!",F121="NEW"),"",INDEX(B$2:B120,-1+SUMPRODUCT(MAX(ROW(E$2:E120)*(E121=E$2:E120)))))</f>
        <v/>
      </c>
      <c r="J121" s="24" t="str">
        <f ca="1">IF(OR(E121="",E121="!!!",F121="NEW"),"",COUNTBLANK(OFFSET(A$1,,,SUMPRODUCT(MAX(ROW(E$2:E121)*(E121=E$2:E121)))))-COUNTBLANK(OFFSET(A$1,,,SUMPRODUCT(MAX(ROW(E$1:E120)*(E2=E$1:E120))))))</f>
        <v/>
      </c>
      <c r="K121" s="24" t="str">
        <f>IF(OR(E121="",E121="!!!",F121="NEW"),"",INDEX(J$1:J120,SUMPRODUCT(MAX(ROW(E$1:E120)*(E121=E$1:E120)))))</f>
        <v/>
      </c>
      <c r="L121" s="25"/>
    </row>
    <row r="122" spans="1:12" x14ac:dyDescent="0.3">
      <c r="A122" t="s">
        <v>337</v>
      </c>
      <c r="B122" s="26" t="s">
        <v>292</v>
      </c>
      <c r="E122" s="20" t="str">
        <f t="shared" si="10"/>
        <v/>
      </c>
      <c r="F122" s="21" t="str">
        <f>IF(OR(E122="",E122="!!!"),"",IF(NOT(ISNA(VLOOKUP(E122,E$1:E121,1,FALSE()))),"OLD",IF(AND(E122&lt;&gt;"",E122&lt;&gt;"!!!"),"NEW","")))</f>
        <v/>
      </c>
      <c r="G122" s="22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/>
      </c>
      <c r="H122" s="23" t="str">
        <f t="shared" ca="1" si="11"/>
        <v/>
      </c>
      <c r="I122" s="24" t="str">
        <f>IF(OR(E122="",E122="!!!",F122="NEW"),"",INDEX(B$2:B121,-1+SUMPRODUCT(MAX(ROW(E$2:E121)*(E122=E$2:E121)))))</f>
        <v/>
      </c>
      <c r="J122" s="24" t="str">
        <f ca="1">IF(OR(E122="",E122="!!!",F122="NEW"),"",COUNTBLANK(OFFSET(A$1,,,SUMPRODUCT(MAX(ROW(E$2:E122)*(E122=E$2:E122)))))-COUNTBLANK(OFFSET(A$1,,,SUMPRODUCT(MAX(ROW(E$1:E121)*(E2=E$1:E121))))))</f>
        <v/>
      </c>
      <c r="K122" s="24" t="str">
        <f>IF(OR(E122="",E122="!!!",F122="NEW"),"",INDEX(J$1:J121,SUMPRODUCT(MAX(ROW(E$1:E121)*(E122=E$1:E121)))))</f>
        <v/>
      </c>
      <c r="L122" s="25"/>
    </row>
    <row r="123" spans="1:12" x14ac:dyDescent="0.3">
      <c r="A123" t="s">
        <v>254</v>
      </c>
      <c r="B123" s="26" t="s">
        <v>255</v>
      </c>
      <c r="C123" s="26" t="s">
        <v>256</v>
      </c>
      <c r="D123" s="26" t="s">
        <v>240</v>
      </c>
      <c r="E123" s="20" t="str">
        <f t="shared" si="10"/>
        <v>!!!</v>
      </c>
      <c r="F123" s="21" t="str">
        <f>IF(OR(E123="",E123="!!!"),"",IF(NOT(ISNA(VLOOKUP(E123,E$1:E122,1,FALSE()))),"OLD",IF(AND(E123&lt;&gt;"",E123&lt;&gt;"!!!"),"NEW","")))</f>
        <v/>
      </c>
      <c r="G123" s="22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/>
      </c>
      <c r="H123" s="23" t="str">
        <f t="shared" ca="1" si="11"/>
        <v/>
      </c>
      <c r="I123" s="24" t="str">
        <f>IF(OR(E123="",E123="!!!",F123="NEW"),"",INDEX(B$2:B122,-1+SUMPRODUCT(MAX(ROW(E$2:E122)*(E123=E$2:E122)))))</f>
        <v/>
      </c>
      <c r="J123" s="24" t="str">
        <f ca="1">IF(OR(E123="",E123="!!!",F123="NEW"),"",COUNTBLANK(OFFSET(A$1,,,SUMPRODUCT(MAX(ROW(E$2:E123)*(E123=E$2:E123)))))-COUNTBLANK(OFFSET(A$1,,,SUMPRODUCT(MAX(ROW(E$1:E122)*(E2=E$1:E122))))))</f>
        <v/>
      </c>
      <c r="K123" s="24" t="str">
        <f>IF(OR(E123="",E123="!!!",F123="NEW"),"",INDEX(J$1:J122,SUMPRODUCT(MAX(ROW(E$1:E122)*(E123=E$1:E122)))))</f>
        <v/>
      </c>
      <c r="L123" s="25"/>
    </row>
    <row r="124" spans="1:12" x14ac:dyDescent="0.3">
      <c r="A124" t="s">
        <v>338</v>
      </c>
      <c r="E124" s="20" t="str">
        <f t="shared" si="10"/>
        <v/>
      </c>
      <c r="F124" s="21" t="str">
        <f>IF(OR(E124="",E124="!!!"),"",IF(NOT(ISNA(VLOOKUP(E124,E$1:E123,1,FALSE()))),"OLD",IF(AND(E124&lt;&gt;"",E124&lt;&gt;"!!!"),"NEW","")))</f>
        <v/>
      </c>
      <c r="G124" s="22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/>
      </c>
      <c r="H124" s="23" t="str">
        <f t="shared" ca="1" si="11"/>
        <v/>
      </c>
      <c r="I124" s="24" t="str">
        <f>IF(OR(E124="",E124="!!!",F124="NEW"),"",INDEX(B$2:B123,-1+SUMPRODUCT(MAX(ROW(E$2:E123)*(E124=E$2:E123)))))</f>
        <v/>
      </c>
      <c r="J124" s="24" t="str">
        <f ca="1">IF(OR(E124="",E124="!!!",F124="NEW"),"",COUNTBLANK(OFFSET(A$1,,,SUMPRODUCT(MAX(ROW(E$2:E124)*(E124=E$2:E124)))))-COUNTBLANK(OFFSET(A$1,,,SUMPRODUCT(MAX(ROW(E$1:E123)*(E2=E$1:E123))))))</f>
        <v/>
      </c>
      <c r="K124" s="24" t="str">
        <f>IF(OR(E124="",E124="!!!",F124="NEW"),"",INDEX(J$1:J123,SUMPRODUCT(MAX(ROW(E$1:E123)*(E124=E$1:E123)))))</f>
        <v/>
      </c>
      <c r="L124" s="25"/>
    </row>
    <row r="125" spans="1:12" x14ac:dyDescent="0.3">
      <c r="A125" t="s">
        <v>339</v>
      </c>
      <c r="B125" s="26" t="s">
        <v>265</v>
      </c>
      <c r="C125" s="26" t="s">
        <v>256</v>
      </c>
      <c r="D125" s="26" t="s">
        <v>240</v>
      </c>
      <c r="E125" s="20" t="str">
        <f t="shared" si="10"/>
        <v>!!!</v>
      </c>
      <c r="F125" s="21" t="str">
        <f>IF(OR(E125="",E125="!!!"),"",IF(NOT(ISNA(VLOOKUP(E125,E$1:E124,1,FALSE()))),"OLD",IF(AND(E125&lt;&gt;"",E125&lt;&gt;"!!!"),"NEW","")))</f>
        <v/>
      </c>
      <c r="G125" s="22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/>
      </c>
      <c r="H125" s="23" t="str">
        <f t="shared" ca="1" si="11"/>
        <v/>
      </c>
      <c r="I125" s="24" t="str">
        <f>IF(OR(E125="",E125="!!!",F125="NEW"),"",INDEX(B$2:B124,-1+SUMPRODUCT(MAX(ROW(E$2:E124)*(E125=E$2:E124)))))</f>
        <v/>
      </c>
      <c r="J125" s="24" t="str">
        <f ca="1">IF(OR(E125="",E125="!!!",F125="NEW"),"",COUNTBLANK(OFFSET(A$1,,,SUMPRODUCT(MAX(ROW(E$2:E125)*(E125=E$2:E125)))))-COUNTBLANK(OFFSET(A$1,,,SUMPRODUCT(MAX(ROW(E$1:E124)*(E2=E$1:E124))))))</f>
        <v/>
      </c>
      <c r="K125" s="24" t="str">
        <f>IF(OR(E125="",E125="!!!",F125="NEW"),"",INDEX(J$1:J124,SUMPRODUCT(MAX(ROW(E$1:E124)*(E125=E$1:E124)))))</f>
        <v/>
      </c>
      <c r="L125" s="25"/>
    </row>
    <row r="126" spans="1:12" x14ac:dyDescent="0.3">
      <c r="A126" t="s">
        <v>340</v>
      </c>
      <c r="E126" s="20" t="str">
        <f t="shared" si="10"/>
        <v/>
      </c>
      <c r="F126" s="21" t="str">
        <f>IF(OR(E126="",E126="!!!"),"",IF(NOT(ISNA(VLOOKUP(E126,E$1:E125,1,FALSE()))),"OLD",IF(AND(E126&lt;&gt;"",E126&lt;&gt;"!!!"),"NEW","")))</f>
        <v/>
      </c>
      <c r="G126" s="22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/>
      </c>
      <c r="H126" s="23" t="str">
        <f t="shared" ca="1" si="11"/>
        <v/>
      </c>
      <c r="I126" s="24" t="str">
        <f>IF(OR(E126="",E126="!!!",F126="NEW"),"",INDEX(B$2:B125,-1+SUMPRODUCT(MAX(ROW(E$2:E125)*(E126=E$2:E125)))))</f>
        <v/>
      </c>
      <c r="J126" s="24" t="str">
        <f ca="1">IF(OR(E126="",E126="!!!",F126="NEW"),"",COUNTBLANK(OFFSET(A$1,,,SUMPRODUCT(MAX(ROW(E$2:E126)*(E126=E$2:E126)))))-COUNTBLANK(OFFSET(A$1,,,SUMPRODUCT(MAX(ROW(E$1:E125)*(E2=E$1:E125))))))</f>
        <v/>
      </c>
      <c r="K126" s="24" t="str">
        <f>IF(OR(E126="",E126="!!!",F126="NEW"),"",INDEX(J$1:J125,SUMPRODUCT(MAX(ROW(E$1:E125)*(E126=E$1:E125)))))</f>
        <v/>
      </c>
      <c r="L126" s="25"/>
    </row>
    <row r="127" spans="1:12" x14ac:dyDescent="0.3">
      <c r="A127" t="s">
        <v>254</v>
      </c>
      <c r="B127" s="26" t="s">
        <v>243</v>
      </c>
      <c r="C127" s="26" t="s">
        <v>256</v>
      </c>
      <c r="D127" s="26" t="s">
        <v>240</v>
      </c>
      <c r="E127" s="20" t="str">
        <f t="shared" si="10"/>
        <v>!!!</v>
      </c>
      <c r="F127" s="21" t="str">
        <f>IF(OR(E127="",E127="!!!"),"",IF(NOT(ISNA(VLOOKUP(E127,E$1:E126,1,FALSE()))),"OLD",IF(AND(E127&lt;&gt;"",E127&lt;&gt;"!!!"),"NEW","")))</f>
        <v/>
      </c>
      <c r="G127" s="22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/>
      </c>
      <c r="H127" s="23" t="str">
        <f t="shared" ca="1" si="11"/>
        <v/>
      </c>
      <c r="I127" s="24" t="str">
        <f>IF(OR(E127="",E127="!!!",F127="NEW"),"",INDEX(B$2:B126,-1+SUMPRODUCT(MAX(ROW(E$2:E126)*(E127=E$2:E126)))))</f>
        <v/>
      </c>
      <c r="J127" s="24" t="str">
        <f ca="1">IF(OR(E127="",E127="!!!",F127="NEW"),"",COUNTBLANK(OFFSET(A$1,,,SUMPRODUCT(MAX(ROW(E$2:E127)*(E127=E$2:E127)))))-COUNTBLANK(OFFSET(A$1,,,SUMPRODUCT(MAX(ROW(E$1:E126)*(E2=E$1:E126))))))</f>
        <v/>
      </c>
      <c r="K127" s="24" t="str">
        <f>IF(OR(E127="",E127="!!!",F127="NEW"),"",INDEX(J$1:J126,SUMPRODUCT(MAX(ROW(E$1:E126)*(E127=E$1:E126)))))</f>
        <v/>
      </c>
      <c r="L127" s="25"/>
    </row>
    <row r="128" spans="1:12" x14ac:dyDescent="0.3">
      <c r="A128" t="s">
        <v>337</v>
      </c>
      <c r="E128" s="20" t="str">
        <f t="shared" si="10"/>
        <v/>
      </c>
      <c r="F128" s="21" t="str">
        <f>IF(OR(E128="",E128="!!!"),"",IF(NOT(ISNA(VLOOKUP(E128,E$1:E127,1,FALSE()))),"OLD",IF(AND(E128&lt;&gt;"",E128&lt;&gt;"!!!"),"NEW","")))</f>
        <v/>
      </c>
      <c r="G128" s="22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/>
      </c>
      <c r="H128" s="23" t="str">
        <f t="shared" ca="1" si="11"/>
        <v/>
      </c>
      <c r="I128" s="24" t="str">
        <f>IF(OR(E128="",E128="!!!",F128="NEW"),"",INDEX(B$2:B127,-1+SUMPRODUCT(MAX(ROW(E$2:E127)*(E128=E$2:E127)))))</f>
        <v/>
      </c>
      <c r="J128" s="24" t="str">
        <f ca="1">IF(OR(E128="",E128="!!!",F128="NEW"),"",COUNTBLANK(OFFSET(A$1,,,SUMPRODUCT(MAX(ROW(E$2:E128)*(E128=E$2:E128)))))-COUNTBLANK(OFFSET(A$1,,,SUMPRODUCT(MAX(ROW(E$1:E127)*(E2=E$1:E127))))))</f>
        <v/>
      </c>
      <c r="K128" s="24" t="str">
        <f>IF(OR(E128="",E128="!!!",F128="NEW"),"",INDEX(J$1:J127,SUMPRODUCT(MAX(ROW(E$1:E127)*(E128=E$1:E127)))))</f>
        <v/>
      </c>
      <c r="L128" s="25"/>
    </row>
    <row r="129" spans="1:12" x14ac:dyDescent="0.3">
      <c r="A129" t="s">
        <v>341</v>
      </c>
      <c r="B129" s="26" t="s">
        <v>243</v>
      </c>
      <c r="C129" s="26" t="s">
        <v>256</v>
      </c>
      <c r="D129" s="26" t="s">
        <v>240</v>
      </c>
      <c r="E129" s="20" t="str">
        <f t="shared" si="10"/>
        <v>!!!</v>
      </c>
      <c r="F129" s="21" t="str">
        <f>IF(OR(E129="",E129="!!!"),"",IF(NOT(ISNA(VLOOKUP(E129,E$1:E128,1,FALSE()))),"OLD",IF(AND(E129&lt;&gt;"",E129&lt;&gt;"!!!"),"NEW","")))</f>
        <v/>
      </c>
      <c r="G129" s="22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/>
      </c>
      <c r="H129" s="23" t="str">
        <f t="shared" ca="1" si="11"/>
        <v/>
      </c>
      <c r="I129" s="24" t="str">
        <f>IF(OR(E129="",E129="!!!",F129="NEW"),"",INDEX(B$2:B128,-1+SUMPRODUCT(MAX(ROW(E$2:E128)*(E129=E$2:E128)))))</f>
        <v/>
      </c>
      <c r="J129" s="24" t="str">
        <f ca="1">IF(OR(E129="",E129="!!!",F129="NEW"),"",COUNTBLANK(OFFSET(A$1,,,SUMPRODUCT(MAX(ROW(E$2:E129)*(E129=E$2:E129)))))-COUNTBLANK(OFFSET(A$1,,,SUMPRODUCT(MAX(ROW(E$1:E128)*(E2=E$1:E128))))))</f>
        <v/>
      </c>
      <c r="K129" s="24" t="str">
        <f>IF(OR(E129="",E129="!!!",F129="NEW"),"",INDEX(J$1:J128,SUMPRODUCT(MAX(ROW(E$1:E128)*(E129=E$1:E128)))))</f>
        <v/>
      </c>
      <c r="L129" s="25"/>
    </row>
    <row r="130" spans="1:12" x14ac:dyDescent="0.3">
      <c r="A130" t="s">
        <v>258</v>
      </c>
      <c r="E130" s="20" t="str">
        <f t="shared" si="10"/>
        <v/>
      </c>
      <c r="F130" s="21" t="str">
        <f>IF(OR(E130="",E130="!!!"),"",IF(NOT(ISNA(VLOOKUP(E130,E$1:E129,1,FALSE()))),"OLD",IF(AND(E130&lt;&gt;"",E130&lt;&gt;"!!!"),"NEW","")))</f>
        <v/>
      </c>
      <c r="G130" s="22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/>
      </c>
      <c r="H130" s="23" t="str">
        <f t="shared" ca="1" si="11"/>
        <v/>
      </c>
      <c r="I130" s="24" t="str">
        <f>IF(OR(E130="",E130="!!!",F130="NEW"),"",INDEX(B$2:B129,-1+SUMPRODUCT(MAX(ROW(E$2:E129)*(E130=E$2:E129)))))</f>
        <v/>
      </c>
      <c r="J130" s="24" t="str">
        <f ca="1">IF(OR(E130="",E130="!!!",F130="NEW"),"",COUNTBLANK(OFFSET(A$1,,,SUMPRODUCT(MAX(ROW(E$2:E130)*(E130=E$2:E130)))))-COUNTBLANK(OFFSET(A$1,,,SUMPRODUCT(MAX(ROW(E$1:E129)*(E2=E$1:E129))))))</f>
        <v/>
      </c>
      <c r="K130" s="24" t="str">
        <f>IF(OR(E130="",E130="!!!",F130="NEW"),"",INDEX(J$1:J129,SUMPRODUCT(MAX(ROW(E$1:E129)*(E130=E$1:E129)))))</f>
        <v/>
      </c>
      <c r="L130" s="25"/>
    </row>
    <row r="131" spans="1:12" x14ac:dyDescent="0.3">
      <c r="A131" t="s">
        <v>342</v>
      </c>
      <c r="E131" s="20" t="str">
        <f t="shared" si="10"/>
        <v/>
      </c>
      <c r="F131" s="21" t="str">
        <f>IF(OR(E131="",E131="!!!"),"",IF(NOT(ISNA(VLOOKUP(E131,E$1:E130,1,FALSE()))),"OLD",IF(AND(E131&lt;&gt;"",E131&lt;&gt;"!!!"),"NEW","")))</f>
        <v/>
      </c>
      <c r="G131" s="22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/>
      </c>
      <c r="H131" s="23" t="str">
        <f t="shared" ca="1" si="11"/>
        <v/>
      </c>
      <c r="I131" s="24" t="str">
        <f>IF(OR(E131="",E131="!!!",F131="NEW"),"",INDEX(B$2:B130,-1+SUMPRODUCT(MAX(ROW(E$2:E130)*(E131=E$2:E130)))))</f>
        <v/>
      </c>
      <c r="J131" s="24" t="str">
        <f ca="1">IF(OR(E131="",E131="!!!",F131="NEW"),"",COUNTBLANK(OFFSET(A$1,,,SUMPRODUCT(MAX(ROW(E$2:E131)*(E131=E$2:E131)))))-COUNTBLANK(OFFSET(A$1,,,SUMPRODUCT(MAX(ROW(E$1:E130)*(E2=E$1:E130))))))</f>
        <v/>
      </c>
      <c r="K131" s="24" t="str">
        <f>IF(OR(E131="",E131="!!!",F131="NEW"),"",INDEX(J$1:J130,SUMPRODUCT(MAX(ROW(E$1:E130)*(E131=E$1:E130)))))</f>
        <v/>
      </c>
      <c r="L131" s="25"/>
    </row>
    <row r="132" spans="1:12" x14ac:dyDescent="0.3">
      <c r="A132" t="s">
        <v>343</v>
      </c>
      <c r="E132" s="20" t="str">
        <f t="shared" si="10"/>
        <v/>
      </c>
      <c r="F132" s="21" t="str">
        <f>IF(OR(E132="",E132="!!!"),"",IF(NOT(ISNA(VLOOKUP(E132,E$1:E131,1,FALSE()))),"OLD",IF(AND(E132&lt;&gt;"",E132&lt;&gt;"!!!"),"NEW","")))</f>
        <v/>
      </c>
      <c r="G132" s="22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/>
      </c>
      <c r="H132" s="23" t="str">
        <f t="shared" ca="1" si="11"/>
        <v/>
      </c>
      <c r="I132" s="24" t="str">
        <f>IF(OR(E132="",E132="!!!",F132="NEW"),"",INDEX(B$2:B131,-1+SUMPRODUCT(MAX(ROW(E$2:E131)*(E132=E$2:E131)))))</f>
        <v/>
      </c>
      <c r="J132" s="24" t="str">
        <f ca="1">IF(OR(E132="",E132="!!!",F132="NEW"),"",COUNTBLANK(OFFSET(A$1,,,SUMPRODUCT(MAX(ROW(E$2:E132)*(E132=E$2:E132)))))-COUNTBLANK(OFFSET(A$1,,,SUMPRODUCT(MAX(ROW(E$1:E131)*(E2=E$1:E131))))))</f>
        <v/>
      </c>
      <c r="K132" s="24" t="str">
        <f>IF(OR(E132="",E132="!!!",F132="NEW"),"",INDEX(J$1:J131,SUMPRODUCT(MAX(ROW(E$1:E131)*(E132=E$1:E131)))))</f>
        <v/>
      </c>
      <c r="L132" s="25"/>
    </row>
    <row r="133" spans="1:12" x14ac:dyDescent="0.3">
      <c r="A133" t="s">
        <v>248</v>
      </c>
      <c r="E133" s="20" t="str">
        <f t="shared" si="10"/>
        <v/>
      </c>
      <c r="F133" s="21" t="str">
        <f>IF(OR(E133="",E133="!!!"),"",IF(NOT(ISNA(VLOOKUP(E133,E$1:E132,1,FALSE()))),"OLD",IF(AND(E133&lt;&gt;"",E133&lt;&gt;"!!!"),"NEW","")))</f>
        <v/>
      </c>
      <c r="G133" s="22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/>
      </c>
      <c r="H133" s="23" t="str">
        <f t="shared" ca="1" si="11"/>
        <v/>
      </c>
      <c r="I133" s="24" t="str">
        <f>IF(OR(E133="",E133="!!!",F133="NEW"),"",INDEX(B$2:B132,-1+SUMPRODUCT(MAX(ROW(E$2:E132)*(E133=E$2:E132)))))</f>
        <v/>
      </c>
      <c r="J133" s="24" t="str">
        <f ca="1">IF(OR(E133="",E133="!!!",F133="NEW"),"",COUNTBLANK(OFFSET(A$1,,,SUMPRODUCT(MAX(ROW(E$2:E133)*(E133=E$2:E133)))))-COUNTBLANK(OFFSET(A$1,,,SUMPRODUCT(MAX(ROW(E$1:E132)*(E2=E$1:E132))))))</f>
        <v/>
      </c>
      <c r="K133" s="24" t="str">
        <f>IF(OR(E133="",E133="!!!",F133="NEW"),"",INDEX(J$1:J132,SUMPRODUCT(MAX(ROW(E$1:E132)*(E133=E$1:E132)))))</f>
        <v/>
      </c>
      <c r="L133" s="25"/>
    </row>
    <row r="135" spans="1:12" x14ac:dyDescent="0.3">
      <c r="A135" t="s">
        <v>344</v>
      </c>
    </row>
    <row r="136" spans="1:12" x14ac:dyDescent="0.3">
      <c r="A136" t="s">
        <v>345</v>
      </c>
      <c r="B136" s="26" t="s">
        <v>243</v>
      </c>
      <c r="C136" s="26" t="s">
        <v>346</v>
      </c>
      <c r="D136" s="26" t="s">
        <v>240</v>
      </c>
      <c r="E136" s="20" t="str">
        <f t="shared" ref="E136:E148" si="12">IF(D136="?OLD","!!!","")</f>
        <v>!!!</v>
      </c>
      <c r="F136" s="21" t="str">
        <f>IF(OR(E136="",E136="!!!"),"",IF(NOT(ISNA(VLOOKUP(E136,E$1:E135,1,FALSE()))),"OLD",IF(AND(E136&lt;&gt;"",E136&lt;&gt;"!!!"),"NEW","")))</f>
        <v/>
      </c>
      <c r="G136" s="22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/>
      </c>
      <c r="H136" s="23" t="str">
        <f t="shared" ref="H136:H148" ca="1" si="13">IF(J136&lt;&gt;1,"",IF(I136="SBJ","CB","?"))</f>
        <v/>
      </c>
      <c r="I136" s="24" t="str">
        <f>IF(OR(E136="",E136="!!!",F136="NEW"),"",INDEX(B$2:B135,-1+SUMPRODUCT(MAX(ROW(E$2:E135)*(E136=E$2:E135)))))</f>
        <v/>
      </c>
      <c r="J136" s="24" t="str">
        <f ca="1">IF(OR(E136="",E136="!!!",F136="NEW"),"",COUNTBLANK(OFFSET(A$1,,,SUMPRODUCT(MAX(ROW(E$2:E136)*(E136=E$2:E136)))))-COUNTBLANK(OFFSET(A$1,,,SUMPRODUCT(MAX(ROW(E$1:E135)*(E2=E$1:E135))))))</f>
        <v/>
      </c>
      <c r="K136" s="24" t="str">
        <f>IF(OR(E136="",E136="!!!",F136="NEW"),"",INDEX(J$1:J135,SUMPRODUCT(MAX(ROW(E$1:E135)*(E136=E$1:E135)))))</f>
        <v/>
      </c>
      <c r="L136" s="25"/>
    </row>
    <row r="137" spans="1:12" x14ac:dyDescent="0.3">
      <c r="A137" t="s">
        <v>347</v>
      </c>
      <c r="E137" s="20" t="str">
        <f t="shared" si="12"/>
        <v/>
      </c>
      <c r="F137" s="21" t="str">
        <f>IF(OR(E137="",E137="!!!"),"",IF(NOT(ISNA(VLOOKUP(E137,E$1:E136,1,FALSE()))),"OLD",IF(AND(E137&lt;&gt;"",E137&lt;&gt;"!!!"),"NEW","")))</f>
        <v/>
      </c>
      <c r="G137" s="22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/>
      </c>
      <c r="H137" s="23" t="str">
        <f t="shared" ca="1" si="13"/>
        <v/>
      </c>
      <c r="I137" s="24" t="str">
        <f>IF(OR(E137="",E137="!!!",F137="NEW"),"",INDEX(B$2:B136,-1+SUMPRODUCT(MAX(ROW(E$2:E136)*(E137=E$2:E136)))))</f>
        <v/>
      </c>
      <c r="J137" s="24" t="str">
        <f ca="1">IF(OR(E137="",E137="!!!",F137="NEW"),"",COUNTBLANK(OFFSET(A$1,,,SUMPRODUCT(MAX(ROW(E$2:E137)*(E137=E$2:E137)))))-COUNTBLANK(OFFSET(A$1,,,SUMPRODUCT(MAX(ROW(E$1:E136)*(E2=E$1:E136))))))</f>
        <v/>
      </c>
      <c r="K137" s="24" t="str">
        <f>IF(OR(E137="",E137="!!!",F137="NEW"),"",INDEX(J$1:J136,SUMPRODUCT(MAX(ROW(E$1:E136)*(E137=E$1:E136)))))</f>
        <v/>
      </c>
      <c r="L137" s="25"/>
    </row>
    <row r="138" spans="1:12" x14ac:dyDescent="0.3">
      <c r="A138" t="s">
        <v>267</v>
      </c>
      <c r="E138" s="20" t="str">
        <f t="shared" si="12"/>
        <v/>
      </c>
      <c r="F138" s="21" t="str">
        <f>IF(OR(E138="",E138="!!!"),"",IF(NOT(ISNA(VLOOKUP(E138,E$1:E137,1,FALSE()))),"OLD",IF(AND(E138&lt;&gt;"",E138&lt;&gt;"!!!"),"NEW","")))</f>
        <v/>
      </c>
      <c r="G138" s="22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/>
      </c>
      <c r="H138" s="23" t="str">
        <f t="shared" ca="1" si="13"/>
        <v/>
      </c>
      <c r="I138" s="24" t="str">
        <f>IF(OR(E138="",E138="!!!",F138="NEW"),"",INDEX(B$2:B137,-1+SUMPRODUCT(MAX(ROW(E$2:E137)*(E138=E$2:E137)))))</f>
        <v/>
      </c>
      <c r="J138" s="24" t="str">
        <f ca="1">IF(OR(E138="",E138="!!!",F138="NEW"),"",COUNTBLANK(OFFSET(A$1,,,SUMPRODUCT(MAX(ROW(E$2:E138)*(E138=E$2:E138)))))-COUNTBLANK(OFFSET(A$1,,,SUMPRODUCT(MAX(ROW(E$1:E137)*(E2=E$1:E137))))))</f>
        <v/>
      </c>
      <c r="K138" s="24" t="str">
        <f>IF(OR(E138="",E138="!!!",F138="NEW"),"",INDEX(J$1:J137,SUMPRODUCT(MAX(ROW(E$1:E137)*(E138=E$1:E137)))))</f>
        <v/>
      </c>
      <c r="L138" s="25"/>
    </row>
    <row r="139" spans="1:12" x14ac:dyDescent="0.3">
      <c r="A139" t="s">
        <v>348</v>
      </c>
      <c r="E139" s="20" t="str">
        <f t="shared" si="12"/>
        <v/>
      </c>
      <c r="F139" s="21" t="str">
        <f>IF(OR(E139="",E139="!!!"),"",IF(NOT(ISNA(VLOOKUP(E139,E$1:E138,1,FALSE()))),"OLD",IF(AND(E139&lt;&gt;"",E139&lt;&gt;"!!!"),"NEW","")))</f>
        <v/>
      </c>
      <c r="G139" s="22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/>
      </c>
      <c r="H139" s="23" t="str">
        <f t="shared" ca="1" si="13"/>
        <v/>
      </c>
      <c r="I139" s="24" t="str">
        <f>IF(OR(E139="",E139="!!!",F139="NEW"),"",INDEX(B$2:B138,-1+SUMPRODUCT(MAX(ROW(E$2:E138)*(E139=E$2:E138)))))</f>
        <v/>
      </c>
      <c r="J139" s="24" t="str">
        <f ca="1">IF(OR(E139="",E139="!!!",F139="NEW"),"",COUNTBLANK(OFFSET(A$1,,,SUMPRODUCT(MAX(ROW(E$2:E139)*(E139=E$2:E139)))))-COUNTBLANK(OFFSET(A$1,,,SUMPRODUCT(MAX(ROW(E$1:E138)*(E2=E$1:E138))))))</f>
        <v/>
      </c>
      <c r="K139" s="24" t="str">
        <f>IF(OR(E139="",E139="!!!",F139="NEW"),"",INDEX(J$1:J138,SUMPRODUCT(MAX(ROW(E$1:E138)*(E139=E$1:E138)))))</f>
        <v/>
      </c>
      <c r="L139" s="25"/>
    </row>
    <row r="140" spans="1:12" x14ac:dyDescent="0.3">
      <c r="A140" t="s">
        <v>293</v>
      </c>
      <c r="B140" s="26" t="s">
        <v>238</v>
      </c>
      <c r="C140" s="26" t="s">
        <v>294</v>
      </c>
      <c r="D140" s="26" t="s">
        <v>240</v>
      </c>
      <c r="E140" s="20" t="str">
        <f t="shared" si="12"/>
        <v>!!!</v>
      </c>
      <c r="F140" s="21" t="str">
        <f>IF(OR(E140="",E140="!!!"),"",IF(NOT(ISNA(VLOOKUP(E140,E$1:E139,1,FALSE()))),"OLD",IF(AND(E140&lt;&gt;"",E140&lt;&gt;"!!!"),"NEW","")))</f>
        <v/>
      </c>
      <c r="G140" s="22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/>
      </c>
      <c r="H140" s="23" t="str">
        <f t="shared" ca="1" si="13"/>
        <v/>
      </c>
      <c r="I140" s="24" t="str">
        <f>IF(OR(E140="",E140="!!!",F140="NEW"),"",INDEX(B$2:B139,-1+SUMPRODUCT(MAX(ROW(E$2:E139)*(E140=E$2:E139)))))</f>
        <v/>
      </c>
      <c r="J140" s="24" t="str">
        <f ca="1">IF(OR(E140="",E140="!!!",F140="NEW"),"",COUNTBLANK(OFFSET(A$1,,,SUMPRODUCT(MAX(ROW(E$2:E140)*(E140=E$2:E140)))))-COUNTBLANK(OFFSET(A$1,,,SUMPRODUCT(MAX(ROW(E$1:E139)*(E2=E$1:E139))))))</f>
        <v/>
      </c>
      <c r="K140" s="24" t="str">
        <f>IF(OR(E140="",E140="!!!",F140="NEW"),"",INDEX(J$1:J139,SUMPRODUCT(MAX(ROW(E$1:E139)*(E140=E$1:E139)))))</f>
        <v/>
      </c>
      <c r="L140" s="25"/>
    </row>
    <row r="141" spans="1:12" x14ac:dyDescent="0.3">
      <c r="A141" t="s">
        <v>11</v>
      </c>
      <c r="E141" s="20" t="str">
        <f t="shared" si="12"/>
        <v/>
      </c>
      <c r="F141" s="21" t="str">
        <f>IF(OR(E141="",E141="!!!"),"",IF(NOT(ISNA(VLOOKUP(E141,E$1:E140,1,FALSE()))),"OLD",IF(AND(E141&lt;&gt;"",E141&lt;&gt;"!!!"),"NEW","")))</f>
        <v/>
      </c>
      <c r="G141" s="22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/>
      </c>
      <c r="H141" s="23" t="str">
        <f t="shared" ca="1" si="13"/>
        <v/>
      </c>
      <c r="I141" s="24" t="str">
        <f>IF(OR(E141="",E141="!!!",F141="NEW"),"",INDEX(B$2:B140,-1+SUMPRODUCT(MAX(ROW(E$2:E140)*(E141=E$2:E140)))))</f>
        <v/>
      </c>
      <c r="J141" s="24" t="str">
        <f ca="1">IF(OR(E141="",E141="!!!",F141="NEW"),"",COUNTBLANK(OFFSET(A$1,,,SUMPRODUCT(MAX(ROW(E$2:E141)*(E141=E$2:E141)))))-COUNTBLANK(OFFSET(A$1,,,SUMPRODUCT(MAX(ROW(E$1:E140)*(E2=E$1:E140))))))</f>
        <v/>
      </c>
      <c r="K141" s="24" t="str">
        <f>IF(OR(E141="",E141="!!!",F141="NEW"),"",INDEX(J$1:J140,SUMPRODUCT(MAX(ROW(E$1:E140)*(E141=E$1:E140)))))</f>
        <v/>
      </c>
      <c r="L141" s="25"/>
    </row>
    <row r="142" spans="1:12" x14ac:dyDescent="0.3">
      <c r="A142" t="s">
        <v>349</v>
      </c>
      <c r="E142" s="20" t="str">
        <f t="shared" si="12"/>
        <v/>
      </c>
      <c r="F142" s="21" t="str">
        <f>IF(OR(E142="",E142="!!!"),"",IF(NOT(ISNA(VLOOKUP(E142,E$1:E141,1,FALSE()))),"OLD",IF(AND(E142&lt;&gt;"",E142&lt;&gt;"!!!"),"NEW","")))</f>
        <v/>
      </c>
      <c r="G142" s="22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/>
      </c>
      <c r="H142" s="23" t="str">
        <f t="shared" ca="1" si="13"/>
        <v/>
      </c>
      <c r="I142" s="24" t="str">
        <f>IF(OR(E142="",E142="!!!",F142="NEW"),"",INDEX(B$2:B141,-1+SUMPRODUCT(MAX(ROW(E$2:E141)*(E142=E$2:E141)))))</f>
        <v/>
      </c>
      <c r="J142" s="24" t="str">
        <f ca="1">IF(OR(E142="",E142="!!!",F142="NEW"),"",COUNTBLANK(OFFSET(A$1,,,SUMPRODUCT(MAX(ROW(E$2:E142)*(E142=E$2:E142)))))-COUNTBLANK(OFFSET(A$1,,,SUMPRODUCT(MAX(ROW(E$1:E141)*(E2=E$1:E141))))))</f>
        <v/>
      </c>
      <c r="K142" s="24" t="str">
        <f>IF(OR(E142="",E142="!!!",F142="NEW"),"",INDEX(J$1:J141,SUMPRODUCT(MAX(ROW(E$1:E141)*(E142=E$1:E141)))))</f>
        <v/>
      </c>
      <c r="L142" s="25"/>
    </row>
    <row r="143" spans="1:12" x14ac:dyDescent="0.3">
      <c r="A143" t="s">
        <v>245</v>
      </c>
      <c r="E143" s="20" t="str">
        <f t="shared" si="12"/>
        <v/>
      </c>
      <c r="F143" s="21" t="str">
        <f>IF(OR(E143="",E143="!!!"),"",IF(NOT(ISNA(VLOOKUP(E143,E$1:E142,1,FALSE()))),"OLD",IF(AND(E143&lt;&gt;"",E143&lt;&gt;"!!!"),"NEW","")))</f>
        <v/>
      </c>
      <c r="G143" s="22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/>
      </c>
      <c r="H143" s="23" t="str">
        <f t="shared" ca="1" si="13"/>
        <v/>
      </c>
      <c r="I143" s="24" t="str">
        <f>IF(OR(E143="",E143="!!!",F143="NEW"),"",INDEX(B$2:B142,-1+SUMPRODUCT(MAX(ROW(E$2:E142)*(E143=E$2:E142)))))</f>
        <v/>
      </c>
      <c r="J143" s="24" t="str">
        <f ca="1">IF(OR(E143="",E143="!!!",F143="NEW"),"",COUNTBLANK(OFFSET(A$1,,,SUMPRODUCT(MAX(ROW(E$2:E143)*(E143=E$2:E143)))))-COUNTBLANK(OFFSET(A$1,,,SUMPRODUCT(MAX(ROW(E$1:E142)*(E2=E$1:E142))))))</f>
        <v/>
      </c>
      <c r="K143" s="24" t="str">
        <f>IF(OR(E143="",E143="!!!",F143="NEW"),"",INDEX(J$1:J142,SUMPRODUCT(MAX(ROW(E$1:E142)*(E143=E$1:E142)))))</f>
        <v/>
      </c>
      <c r="L143" s="25"/>
    </row>
    <row r="144" spans="1:12" x14ac:dyDescent="0.3">
      <c r="A144" t="s">
        <v>236</v>
      </c>
      <c r="E144" s="20" t="str">
        <f t="shared" si="12"/>
        <v/>
      </c>
      <c r="F144" s="21" t="str">
        <f>IF(OR(E144="",E144="!!!"),"",IF(NOT(ISNA(VLOOKUP(E144,E$1:E143,1,FALSE()))),"OLD",IF(AND(E144&lt;&gt;"",E144&lt;&gt;"!!!"),"NEW","")))</f>
        <v/>
      </c>
      <c r="G144" s="22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/>
      </c>
      <c r="H144" s="23" t="str">
        <f t="shared" ca="1" si="13"/>
        <v/>
      </c>
      <c r="I144" s="24" t="str">
        <f>IF(OR(E144="",E144="!!!",F144="NEW"),"",INDEX(B$2:B143,-1+SUMPRODUCT(MAX(ROW(E$2:E143)*(E144=E$2:E143)))))</f>
        <v/>
      </c>
      <c r="J144" s="24" t="str">
        <f ca="1">IF(OR(E144="",E144="!!!",F144="NEW"),"",COUNTBLANK(OFFSET(A$1,,,SUMPRODUCT(MAX(ROW(E$2:E144)*(E144=E$2:E144)))))-COUNTBLANK(OFFSET(A$1,,,SUMPRODUCT(MAX(ROW(E$1:E143)*(E2=E$1:E143))))))</f>
        <v/>
      </c>
      <c r="K144" s="24" t="str">
        <f>IF(OR(E144="",E144="!!!",F144="NEW"),"",INDEX(J$1:J143,SUMPRODUCT(MAX(ROW(E$1:E143)*(E144=E$1:E143)))))</f>
        <v/>
      </c>
      <c r="L144" s="25"/>
    </row>
    <row r="145" spans="1:12" x14ac:dyDescent="0.3">
      <c r="A145" t="s">
        <v>350</v>
      </c>
      <c r="E145" s="20" t="str">
        <f t="shared" si="12"/>
        <v/>
      </c>
      <c r="F145" s="21" t="str">
        <f>IF(OR(E145="",E145="!!!"),"",IF(NOT(ISNA(VLOOKUP(E145,E$1:E144,1,FALSE()))),"OLD",IF(AND(E145&lt;&gt;"",E145&lt;&gt;"!!!"),"NEW","")))</f>
        <v/>
      </c>
      <c r="G145" s="22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/>
      </c>
      <c r="H145" s="23" t="str">
        <f t="shared" ca="1" si="13"/>
        <v/>
      </c>
      <c r="I145" s="24" t="str">
        <f>IF(OR(E145="",E145="!!!",F145="NEW"),"",INDEX(B$2:B144,-1+SUMPRODUCT(MAX(ROW(E$2:E144)*(E145=E$2:E144)))))</f>
        <v/>
      </c>
      <c r="J145" s="24" t="str">
        <f ca="1">IF(OR(E145="",E145="!!!",F145="NEW"),"",COUNTBLANK(OFFSET(A$1,,,SUMPRODUCT(MAX(ROW(E$2:E145)*(E145=E$2:E145)))))-COUNTBLANK(OFFSET(A$1,,,SUMPRODUCT(MAX(ROW(E$1:E144)*(E2=E$1:E144))))))</f>
        <v/>
      </c>
      <c r="K145" s="24" t="str">
        <f>IF(OR(E145="",E145="!!!",F145="NEW"),"",INDEX(J$1:J144,SUMPRODUCT(MAX(ROW(E$1:E144)*(E145=E$1:E144)))))</f>
        <v/>
      </c>
      <c r="L145" s="25"/>
    </row>
    <row r="146" spans="1:12" x14ac:dyDescent="0.3">
      <c r="A146" t="s">
        <v>351</v>
      </c>
      <c r="E146" s="20" t="str">
        <f t="shared" si="12"/>
        <v/>
      </c>
      <c r="F146" s="21" t="str">
        <f>IF(OR(E146="",E146="!!!"),"",IF(NOT(ISNA(VLOOKUP(E146,E$1:E145,1,FALSE()))),"OLD",IF(AND(E146&lt;&gt;"",E146&lt;&gt;"!!!"),"NEW","")))</f>
        <v/>
      </c>
      <c r="G146" s="22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/>
      </c>
      <c r="H146" s="23" t="str">
        <f t="shared" ca="1" si="13"/>
        <v/>
      </c>
      <c r="I146" s="24" t="str">
        <f>IF(OR(E146="",E146="!!!",F146="NEW"),"",INDEX(B$2:B145,-1+SUMPRODUCT(MAX(ROW(E$2:E145)*(E146=E$2:E145)))))</f>
        <v/>
      </c>
      <c r="J146" s="24" t="str">
        <f ca="1">IF(OR(E146="",E146="!!!",F146="NEW"),"",COUNTBLANK(OFFSET(A$1,,,SUMPRODUCT(MAX(ROW(E$2:E146)*(E146=E$2:E146)))))-COUNTBLANK(OFFSET(A$1,,,SUMPRODUCT(MAX(ROW(E$1:E145)*(E2=E$1:E145))))))</f>
        <v/>
      </c>
      <c r="K146" s="24" t="str">
        <f>IF(OR(E146="",E146="!!!",F146="NEW"),"",INDEX(J$1:J145,SUMPRODUCT(MAX(ROW(E$1:E145)*(E146=E$1:E145)))))</f>
        <v/>
      </c>
      <c r="L146" s="25"/>
    </row>
    <row r="147" spans="1:12" x14ac:dyDescent="0.3">
      <c r="A147" t="s">
        <v>352</v>
      </c>
      <c r="B147" s="26" t="s">
        <v>238</v>
      </c>
      <c r="C147" s="26" t="s">
        <v>239</v>
      </c>
      <c r="D147" s="26" t="s">
        <v>240</v>
      </c>
      <c r="E147" s="20" t="str">
        <f t="shared" si="12"/>
        <v>!!!</v>
      </c>
      <c r="F147" s="21" t="str">
        <f>IF(OR(E147="",E147="!!!"),"",IF(NOT(ISNA(VLOOKUP(E147,E$1:E146,1,FALSE()))),"OLD",IF(AND(E147&lt;&gt;"",E147&lt;&gt;"!!!"),"NEW","")))</f>
        <v/>
      </c>
      <c r="G147" s="22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/>
      </c>
      <c r="H147" s="23" t="str">
        <f t="shared" ca="1" si="13"/>
        <v/>
      </c>
      <c r="I147" s="24" t="str">
        <f>IF(OR(E147="",E147="!!!",F147="NEW"),"",INDEX(B$2:B146,-1+SUMPRODUCT(MAX(ROW(E$2:E146)*(E147=E$2:E146)))))</f>
        <v/>
      </c>
      <c r="J147" s="24" t="str">
        <f ca="1">IF(OR(E147="",E147="!!!",F147="NEW"),"",COUNTBLANK(OFFSET(A$1,,,SUMPRODUCT(MAX(ROW(E$2:E147)*(E147=E$2:E147)))))-COUNTBLANK(OFFSET(A$1,,,SUMPRODUCT(MAX(ROW(E$1:E146)*(E2=E$1:E146))))))</f>
        <v/>
      </c>
      <c r="K147" s="24" t="str">
        <f>IF(OR(E147="",E147="!!!",F147="NEW"),"",INDEX(J$1:J146,SUMPRODUCT(MAX(ROW(E$1:E146)*(E147=E$1:E146)))))</f>
        <v/>
      </c>
      <c r="L147" s="25"/>
    </row>
    <row r="148" spans="1:12" x14ac:dyDescent="0.3">
      <c r="A148" t="s">
        <v>248</v>
      </c>
      <c r="E148" s="20" t="str">
        <f t="shared" si="12"/>
        <v/>
      </c>
      <c r="F148" s="21" t="str">
        <f>IF(OR(E148="",E148="!!!"),"",IF(NOT(ISNA(VLOOKUP(E148,E$1:E147,1,FALSE()))),"OLD",IF(AND(E148&lt;&gt;"",E148&lt;&gt;"!!!"),"NEW","")))</f>
        <v/>
      </c>
      <c r="G148" s="22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/>
      </c>
      <c r="H148" s="23" t="str">
        <f t="shared" ca="1" si="13"/>
        <v/>
      </c>
      <c r="I148" s="24" t="str">
        <f>IF(OR(E148="",E148="!!!",F148="NEW"),"",INDEX(B$2:B147,-1+SUMPRODUCT(MAX(ROW(E$2:E147)*(E148=E$2:E147)))))</f>
        <v/>
      </c>
      <c r="J148" s="24" t="str">
        <f ca="1">IF(OR(E148="",E148="!!!",F148="NEW"),"",COUNTBLANK(OFFSET(A$1,,,SUMPRODUCT(MAX(ROW(E$2:E148)*(E148=E$2:E148)))))-COUNTBLANK(OFFSET(A$1,,,SUMPRODUCT(MAX(ROW(E$1:E147)*(E2=E$1:E147))))))</f>
        <v/>
      </c>
      <c r="K148" s="24" t="str">
        <f>IF(OR(E148="",E148="!!!",F148="NEW"),"",INDEX(J$1:J147,SUMPRODUCT(MAX(ROW(E$1:E147)*(E148=E$1:E147)))))</f>
        <v/>
      </c>
      <c r="L148" s="25"/>
    </row>
    <row r="150" spans="1:12" x14ac:dyDescent="0.3">
      <c r="A150" t="s">
        <v>353</v>
      </c>
    </row>
    <row r="151" spans="1:12" x14ac:dyDescent="0.3">
      <c r="A151" t="s">
        <v>354</v>
      </c>
      <c r="E151" s="20" t="str">
        <f t="shared" ref="E151:E177" si="14">IF(D151="?OLD","!!!","")</f>
        <v/>
      </c>
      <c r="F151" s="21" t="str">
        <f>IF(OR(E151="",E151="!!!"),"",IF(NOT(ISNA(VLOOKUP(E151,E$1:E150,1,FALSE()))),"OLD",IF(AND(E151&lt;&gt;"",E151&lt;&gt;"!!!"),"NEW","")))</f>
        <v/>
      </c>
      <c r="G151" s="22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/>
      </c>
      <c r="H151" s="23" t="str">
        <f t="shared" ref="H151:H177" ca="1" si="15">IF(J151&lt;&gt;1,"",IF(I151="SBJ","CB","?"))</f>
        <v/>
      </c>
      <c r="I151" s="24" t="str">
        <f>IF(OR(E151="",E151="!!!",F151="NEW"),"",INDEX(B$2:B150,-1+SUMPRODUCT(MAX(ROW(E$2:E150)*(E151=E$2:E150)))))</f>
        <v/>
      </c>
      <c r="J151" s="24" t="str">
        <f ca="1">IF(OR(E151="",E151="!!!",F151="NEW"),"",COUNTBLANK(OFFSET(A$1,,,SUMPRODUCT(MAX(ROW(E$2:E151)*(E151=E$2:E151)))))-COUNTBLANK(OFFSET(A$1,,,SUMPRODUCT(MAX(ROW(E$1:E150)*(E2=E$1:E150))))))</f>
        <v/>
      </c>
      <c r="K151" s="24" t="str">
        <f>IF(OR(E151="",E151="!!!",F151="NEW"),"",INDEX(J$1:J150,SUMPRODUCT(MAX(ROW(E$1:E150)*(E151=E$1:E150)))))</f>
        <v/>
      </c>
      <c r="L151" s="25"/>
    </row>
    <row r="152" spans="1:12" x14ac:dyDescent="0.3">
      <c r="A152" t="s">
        <v>355</v>
      </c>
      <c r="E152" s="20" t="str">
        <f t="shared" si="14"/>
        <v/>
      </c>
      <c r="F152" s="21" t="str">
        <f>IF(OR(E152="",E152="!!!"),"",IF(NOT(ISNA(VLOOKUP(E152,E$1:E151,1,FALSE()))),"OLD",IF(AND(E152&lt;&gt;"",E152&lt;&gt;"!!!"),"NEW","")))</f>
        <v/>
      </c>
      <c r="G152" s="22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/>
      </c>
      <c r="H152" s="23" t="str">
        <f t="shared" ca="1" si="15"/>
        <v/>
      </c>
      <c r="I152" s="24" t="str">
        <f>IF(OR(E152="",E152="!!!",F152="NEW"),"",INDEX(B$2:B151,-1+SUMPRODUCT(MAX(ROW(E$2:E151)*(E152=E$2:E151)))))</f>
        <v/>
      </c>
      <c r="J152" s="24" t="str">
        <f ca="1">IF(OR(E152="",E152="!!!",F152="NEW"),"",COUNTBLANK(OFFSET(A$1,,,SUMPRODUCT(MAX(ROW(E$2:E152)*(E152=E$2:E152)))))-COUNTBLANK(OFFSET(A$1,,,SUMPRODUCT(MAX(ROW(E$1:E151)*(E2=E$1:E151))))))</f>
        <v/>
      </c>
      <c r="K152" s="24" t="str">
        <f>IF(OR(E152="",E152="!!!",F152="NEW"),"",INDEX(J$1:J151,SUMPRODUCT(MAX(ROW(E$1:E151)*(E152=E$1:E151)))))</f>
        <v/>
      </c>
      <c r="L152" s="25"/>
    </row>
    <row r="153" spans="1:12" x14ac:dyDescent="0.3">
      <c r="A153" t="s">
        <v>242</v>
      </c>
      <c r="B153" s="26" t="s">
        <v>243</v>
      </c>
      <c r="C153" s="26" t="s">
        <v>244</v>
      </c>
      <c r="D153" s="26" t="s">
        <v>240</v>
      </c>
      <c r="E153" s="20" t="str">
        <f t="shared" si="14"/>
        <v>!!!</v>
      </c>
      <c r="F153" s="21" t="str">
        <f>IF(OR(E153="",E153="!!!"),"",IF(NOT(ISNA(VLOOKUP(E153,E$1:E152,1,FALSE()))),"OLD",IF(AND(E153&lt;&gt;"",E153&lt;&gt;"!!!"),"NEW","")))</f>
        <v/>
      </c>
      <c r="G153" s="22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/>
      </c>
      <c r="H153" s="23" t="str">
        <f t="shared" ca="1" si="15"/>
        <v/>
      </c>
      <c r="I153" s="24" t="str">
        <f>IF(OR(E153="",E153="!!!",F153="NEW"),"",INDEX(B$2:B152,-1+SUMPRODUCT(MAX(ROW(E$2:E152)*(E153=E$2:E152)))))</f>
        <v/>
      </c>
      <c r="J153" s="24" t="str">
        <f ca="1">IF(OR(E153="",E153="!!!",F153="NEW"),"",COUNTBLANK(OFFSET(A$1,,,SUMPRODUCT(MAX(ROW(E$2:E153)*(E153=E$2:E153)))))-COUNTBLANK(OFFSET(A$1,,,SUMPRODUCT(MAX(ROW(E$1:E152)*(E2=E$1:E152))))))</f>
        <v/>
      </c>
      <c r="K153" s="24" t="str">
        <f>IF(OR(E153="",E153="!!!",F153="NEW"),"",INDEX(J$1:J152,SUMPRODUCT(MAX(ROW(E$1:E152)*(E153=E$1:E152)))))</f>
        <v/>
      </c>
      <c r="L153" s="25"/>
    </row>
    <row r="154" spans="1:12" x14ac:dyDescent="0.3">
      <c r="A154" t="s">
        <v>356</v>
      </c>
      <c r="E154" s="20" t="str">
        <f t="shared" si="14"/>
        <v/>
      </c>
      <c r="F154" s="21" t="str">
        <f>IF(OR(E154="",E154="!!!"),"",IF(NOT(ISNA(VLOOKUP(E154,E$1:E153,1,FALSE()))),"OLD",IF(AND(E154&lt;&gt;"",E154&lt;&gt;"!!!"),"NEW","")))</f>
        <v/>
      </c>
      <c r="G154" s="22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/>
      </c>
      <c r="H154" s="23" t="str">
        <f t="shared" ca="1" si="15"/>
        <v/>
      </c>
      <c r="I154" s="24" t="str">
        <f>IF(OR(E154="",E154="!!!",F154="NEW"),"",INDEX(B$2:B153,-1+SUMPRODUCT(MAX(ROW(E$2:E153)*(E154=E$2:E153)))))</f>
        <v/>
      </c>
      <c r="J154" s="24" t="str">
        <f ca="1">IF(OR(E154="",E154="!!!",F154="NEW"),"",COUNTBLANK(OFFSET(A$1,,,SUMPRODUCT(MAX(ROW(E$2:E154)*(E154=E$2:E154)))))-COUNTBLANK(OFFSET(A$1,,,SUMPRODUCT(MAX(ROW(E$1:E153)*(E2=E$1:E153))))))</f>
        <v/>
      </c>
      <c r="K154" s="24" t="str">
        <f>IF(OR(E154="",E154="!!!",F154="NEW"),"",INDEX(J$1:J153,SUMPRODUCT(MAX(ROW(E$1:E153)*(E154=E$1:E153)))))</f>
        <v/>
      </c>
      <c r="L154" s="25"/>
    </row>
    <row r="155" spans="1:12" x14ac:dyDescent="0.3">
      <c r="A155" t="s">
        <v>245</v>
      </c>
      <c r="E155" s="20" t="str">
        <f t="shared" si="14"/>
        <v/>
      </c>
      <c r="F155" s="21" t="str">
        <f>IF(OR(E155="",E155="!!!"),"",IF(NOT(ISNA(VLOOKUP(E155,E$1:E154,1,FALSE()))),"OLD",IF(AND(E155&lt;&gt;"",E155&lt;&gt;"!!!"),"NEW","")))</f>
        <v/>
      </c>
      <c r="G155" s="22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/>
      </c>
      <c r="H155" s="23" t="str">
        <f t="shared" ca="1" si="15"/>
        <v/>
      </c>
      <c r="I155" s="24" t="str">
        <f>IF(OR(E155="",E155="!!!",F155="NEW"),"",INDEX(B$2:B154,-1+SUMPRODUCT(MAX(ROW(E$2:E154)*(E155=E$2:E154)))))</f>
        <v/>
      </c>
      <c r="J155" s="24" t="str">
        <f ca="1">IF(OR(E155="",E155="!!!",F155="NEW"),"",COUNTBLANK(OFFSET(A$1,,,SUMPRODUCT(MAX(ROW(E$2:E155)*(E155=E$2:E155)))))-COUNTBLANK(OFFSET(A$1,,,SUMPRODUCT(MAX(ROW(E$1:E154)*(E2=E$1:E154))))))</f>
        <v/>
      </c>
      <c r="K155" s="24" t="str">
        <f>IF(OR(E155="",E155="!!!",F155="NEW"),"",INDEX(J$1:J154,SUMPRODUCT(MAX(ROW(E$1:E154)*(E155=E$1:E154)))))</f>
        <v/>
      </c>
      <c r="L155" s="25"/>
    </row>
    <row r="156" spans="1:12" x14ac:dyDescent="0.3">
      <c r="A156" t="s">
        <v>310</v>
      </c>
      <c r="E156" s="20" t="str">
        <f t="shared" si="14"/>
        <v/>
      </c>
      <c r="F156" s="21" t="str">
        <f>IF(OR(E156="",E156="!!!"),"",IF(NOT(ISNA(VLOOKUP(E156,E$1:E155,1,FALSE()))),"OLD",IF(AND(E156&lt;&gt;"",E156&lt;&gt;"!!!"),"NEW","")))</f>
        <v/>
      </c>
      <c r="G156" s="22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/>
      </c>
      <c r="H156" s="23" t="str">
        <f t="shared" ca="1" si="15"/>
        <v/>
      </c>
      <c r="I156" s="24" t="str">
        <f>IF(OR(E156="",E156="!!!",F156="NEW"),"",INDEX(B$2:B155,-1+SUMPRODUCT(MAX(ROW(E$2:E155)*(E156=E$2:E155)))))</f>
        <v/>
      </c>
      <c r="J156" s="24" t="str">
        <f ca="1">IF(OR(E156="",E156="!!!",F156="NEW"),"",COUNTBLANK(OFFSET(A$1,,,SUMPRODUCT(MAX(ROW(E$2:E156)*(E156=E$2:E156)))))-COUNTBLANK(OFFSET(A$1,,,SUMPRODUCT(MAX(ROW(E$1:E155)*(E2=E$1:E155))))))</f>
        <v/>
      </c>
      <c r="K156" s="24" t="str">
        <f>IF(OR(E156="",E156="!!!",F156="NEW"),"",INDEX(J$1:J155,SUMPRODUCT(MAX(ROW(E$1:E155)*(E156=E$1:E155)))))</f>
        <v/>
      </c>
      <c r="L156" s="25"/>
    </row>
    <row r="157" spans="1:12" x14ac:dyDescent="0.3">
      <c r="A157" t="s">
        <v>357</v>
      </c>
      <c r="B157" s="26" t="s">
        <v>261</v>
      </c>
      <c r="C157" s="26" t="s">
        <v>239</v>
      </c>
      <c r="D157" s="26" t="s">
        <v>240</v>
      </c>
      <c r="E157" s="20" t="str">
        <f t="shared" si="14"/>
        <v>!!!</v>
      </c>
      <c r="F157" s="21" t="str">
        <f>IF(OR(E157="",E157="!!!"),"",IF(NOT(ISNA(VLOOKUP(E157,E$1:E156,1,FALSE()))),"OLD",IF(AND(E157&lt;&gt;"",E157&lt;&gt;"!!!"),"NEW","")))</f>
        <v/>
      </c>
      <c r="G157" s="22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/>
      </c>
      <c r="H157" s="23" t="str">
        <f t="shared" ca="1" si="15"/>
        <v/>
      </c>
      <c r="I157" s="24" t="str">
        <f>IF(OR(E157="",E157="!!!",F157="NEW"),"",INDEX(B$2:B156,-1+SUMPRODUCT(MAX(ROW(E$2:E156)*(E157=E$2:E156)))))</f>
        <v/>
      </c>
      <c r="J157" s="24" t="str">
        <f ca="1">IF(OR(E157="",E157="!!!",F157="NEW"),"",COUNTBLANK(OFFSET(A$1,,,SUMPRODUCT(MAX(ROW(E$2:E157)*(E157=E$2:E157)))))-COUNTBLANK(OFFSET(A$1,,,SUMPRODUCT(MAX(ROW(E$1:E156)*(E2=E$1:E156))))))</f>
        <v/>
      </c>
      <c r="K157" s="24" t="str">
        <f>IF(OR(E157="",E157="!!!",F157="NEW"),"",INDEX(J$1:J156,SUMPRODUCT(MAX(ROW(E$1:E156)*(E157=E$1:E156)))))</f>
        <v/>
      </c>
      <c r="L157" s="25"/>
    </row>
    <row r="158" spans="1:12" x14ac:dyDescent="0.3">
      <c r="A158" t="s">
        <v>358</v>
      </c>
      <c r="B158" s="26" t="s">
        <v>292</v>
      </c>
      <c r="C158" s="26" t="s">
        <v>247</v>
      </c>
      <c r="E158" s="20" t="str">
        <f t="shared" si="14"/>
        <v/>
      </c>
      <c r="F158" s="21" t="str">
        <f>IF(OR(E158="",E158="!!!"),"",IF(NOT(ISNA(VLOOKUP(E158,E$1:E157,1,FALSE()))),"OLD",IF(AND(E158&lt;&gt;"",E158&lt;&gt;"!!!"),"NEW","")))</f>
        <v/>
      </c>
      <c r="G158" s="22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/>
      </c>
      <c r="H158" s="23" t="str">
        <f t="shared" ca="1" si="15"/>
        <v/>
      </c>
      <c r="I158" s="24" t="str">
        <f>IF(OR(E158="",E158="!!!",F158="NEW"),"",INDEX(B$2:B157,-1+SUMPRODUCT(MAX(ROW(E$2:E157)*(E158=E$2:E157)))))</f>
        <v/>
      </c>
      <c r="J158" s="24" t="str">
        <f ca="1">IF(OR(E158="",E158="!!!",F158="NEW"),"",COUNTBLANK(OFFSET(A$1,,,SUMPRODUCT(MAX(ROW(E$2:E158)*(E158=E$2:E158)))))-COUNTBLANK(OFFSET(A$1,,,SUMPRODUCT(MAX(ROW(E$1:E157)*(E2=E$1:E157))))))</f>
        <v/>
      </c>
      <c r="K158" s="24" t="str">
        <f>IF(OR(E158="",E158="!!!",F158="NEW"),"",INDEX(J$1:J157,SUMPRODUCT(MAX(ROW(E$1:E157)*(E158=E$1:E157)))))</f>
        <v/>
      </c>
      <c r="L158" s="25"/>
    </row>
    <row r="159" spans="1:12" x14ac:dyDescent="0.3">
      <c r="A159" t="s">
        <v>252</v>
      </c>
      <c r="E159" s="20" t="str">
        <f t="shared" si="14"/>
        <v/>
      </c>
      <c r="F159" s="21" t="str">
        <f>IF(OR(E159="",E159="!!!"),"",IF(NOT(ISNA(VLOOKUP(E159,E$1:E158,1,FALSE()))),"OLD",IF(AND(E159&lt;&gt;"",E159&lt;&gt;"!!!"),"NEW","")))</f>
        <v/>
      </c>
      <c r="G159" s="22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/>
      </c>
      <c r="H159" s="23" t="str">
        <f t="shared" ca="1" si="15"/>
        <v/>
      </c>
      <c r="I159" s="24" t="str">
        <f>IF(OR(E159="",E159="!!!",F159="NEW"),"",INDEX(B$2:B158,-1+SUMPRODUCT(MAX(ROW(E$2:E158)*(E159=E$2:E158)))))</f>
        <v/>
      </c>
      <c r="J159" s="24" t="str">
        <f ca="1">IF(OR(E159="",E159="!!!",F159="NEW"),"",COUNTBLANK(OFFSET(A$1,,,SUMPRODUCT(MAX(ROW(E$2:E159)*(E159=E$2:E159)))))-COUNTBLANK(OFFSET(A$1,,,SUMPRODUCT(MAX(ROW(E$1:E158)*(E2=E$1:E158))))))</f>
        <v/>
      </c>
      <c r="K159" s="24" t="str">
        <f>IF(OR(E159="",E159="!!!",F159="NEW"),"",INDEX(J$1:J158,SUMPRODUCT(MAX(ROW(E$1:E158)*(E159=E$1:E158)))))</f>
        <v/>
      </c>
      <c r="L159" s="25"/>
    </row>
    <row r="160" spans="1:12" x14ac:dyDescent="0.3">
      <c r="A160" t="s">
        <v>359</v>
      </c>
      <c r="E160" s="20" t="str">
        <f t="shared" si="14"/>
        <v/>
      </c>
      <c r="F160" s="21" t="str">
        <f>IF(OR(E160="",E160="!!!"),"",IF(NOT(ISNA(VLOOKUP(E160,E$1:E159,1,FALSE()))),"OLD",IF(AND(E160&lt;&gt;"",E160&lt;&gt;"!!!"),"NEW","")))</f>
        <v/>
      </c>
      <c r="G160" s="22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/>
      </c>
      <c r="H160" s="23" t="str">
        <f t="shared" ca="1" si="15"/>
        <v/>
      </c>
      <c r="I160" s="24" t="str">
        <f>IF(OR(E160="",E160="!!!",F160="NEW"),"",INDEX(B$2:B159,-1+SUMPRODUCT(MAX(ROW(E$2:E159)*(E160=E$2:E159)))))</f>
        <v/>
      </c>
      <c r="J160" s="24" t="str">
        <f ca="1">IF(OR(E160="",E160="!!!",F160="NEW"),"",COUNTBLANK(OFFSET(A$1,,,SUMPRODUCT(MAX(ROW(E$2:E160)*(E160=E$2:E160)))))-COUNTBLANK(OFFSET(A$1,,,SUMPRODUCT(MAX(ROW(E$1:E159)*(E2=E$1:E159))))))</f>
        <v/>
      </c>
      <c r="K160" s="24" t="str">
        <f>IF(OR(E160="",E160="!!!",F160="NEW"),"",INDEX(J$1:J159,SUMPRODUCT(MAX(ROW(E$1:E159)*(E160=E$1:E159)))))</f>
        <v/>
      </c>
      <c r="L160" s="25"/>
    </row>
    <row r="161" spans="1:12" x14ac:dyDescent="0.3">
      <c r="A161" t="s">
        <v>360</v>
      </c>
      <c r="B161" s="26" t="s">
        <v>255</v>
      </c>
      <c r="C161" s="26" t="s">
        <v>305</v>
      </c>
      <c r="E161" s="20" t="str">
        <f t="shared" si="14"/>
        <v/>
      </c>
      <c r="F161" s="21" t="str">
        <f>IF(OR(E161="",E161="!!!"),"",IF(NOT(ISNA(VLOOKUP(E161,E$1:E160,1,FALSE()))),"OLD",IF(AND(E161&lt;&gt;"",E161&lt;&gt;"!!!"),"NEW","")))</f>
        <v/>
      </c>
      <c r="G161" s="22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/>
      </c>
      <c r="H161" s="23" t="str">
        <f t="shared" ca="1" si="15"/>
        <v/>
      </c>
      <c r="I161" s="24" t="str">
        <f>IF(OR(E161="",E161="!!!",F161="NEW"),"",INDEX(B$2:B160,-1+SUMPRODUCT(MAX(ROW(E$2:E160)*(E161=E$2:E160)))))</f>
        <v/>
      </c>
      <c r="J161" s="24" t="str">
        <f ca="1">IF(OR(E161="",E161="!!!",F161="NEW"),"",COUNTBLANK(OFFSET(A$1,,,SUMPRODUCT(MAX(ROW(E$2:E161)*(E161=E$2:E161)))))-COUNTBLANK(OFFSET(A$1,,,SUMPRODUCT(MAX(ROW(E$1:E160)*(E2=E$1:E160))))))</f>
        <v/>
      </c>
      <c r="K161" s="24" t="str">
        <f>IF(OR(E161="",E161="!!!",F161="NEW"),"",INDEX(J$1:J160,SUMPRODUCT(MAX(ROW(E$1:E160)*(E161=E$1:E160)))))</f>
        <v/>
      </c>
      <c r="L161" s="25"/>
    </row>
    <row r="162" spans="1:12" x14ac:dyDescent="0.3">
      <c r="A162" t="s">
        <v>341</v>
      </c>
      <c r="B162" s="26" t="s">
        <v>265</v>
      </c>
      <c r="C162" s="26" t="s">
        <v>256</v>
      </c>
      <c r="D162" s="26" t="s">
        <v>240</v>
      </c>
      <c r="E162" s="20" t="str">
        <f t="shared" si="14"/>
        <v>!!!</v>
      </c>
      <c r="F162" s="21" t="str">
        <f>IF(OR(E162="",E162="!!!"),"",IF(NOT(ISNA(VLOOKUP(E162,E$1:E161,1,FALSE()))),"OLD",IF(AND(E162&lt;&gt;"",E162&lt;&gt;"!!!"),"NEW","")))</f>
        <v/>
      </c>
      <c r="G162" s="22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/>
      </c>
      <c r="H162" s="23" t="str">
        <f t="shared" ca="1" si="15"/>
        <v/>
      </c>
      <c r="I162" s="24" t="str">
        <f>IF(OR(E162="",E162="!!!",F162="NEW"),"",INDEX(B$2:B161,-1+SUMPRODUCT(MAX(ROW(E$2:E161)*(E162=E$2:E161)))))</f>
        <v/>
      </c>
      <c r="J162" s="24" t="str">
        <f ca="1">IF(OR(E162="",E162="!!!",F162="NEW"),"",COUNTBLANK(OFFSET(A$1,,,SUMPRODUCT(MAX(ROW(E$2:E162)*(E162=E$2:E162)))))-COUNTBLANK(OFFSET(A$1,,,SUMPRODUCT(MAX(ROW(E$1:E161)*(E2=E$1:E161))))))</f>
        <v/>
      </c>
      <c r="K162" s="24" t="str">
        <f>IF(OR(E162="",E162="!!!",F162="NEW"),"",INDEX(J$1:J161,SUMPRODUCT(MAX(ROW(E$1:E161)*(E162=E$1:E161)))))</f>
        <v/>
      </c>
      <c r="L162" s="25"/>
    </row>
    <row r="163" spans="1:12" x14ac:dyDescent="0.3">
      <c r="A163" t="s">
        <v>361</v>
      </c>
      <c r="E163" s="20" t="str">
        <f t="shared" si="14"/>
        <v/>
      </c>
      <c r="F163" s="21" t="str">
        <f>IF(OR(E163="",E163="!!!"),"",IF(NOT(ISNA(VLOOKUP(E163,E$1:E162,1,FALSE()))),"OLD",IF(AND(E163&lt;&gt;"",E163&lt;&gt;"!!!"),"NEW","")))</f>
        <v/>
      </c>
      <c r="G163" s="22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/>
      </c>
      <c r="H163" s="23" t="str">
        <f t="shared" ca="1" si="15"/>
        <v/>
      </c>
      <c r="I163" s="24" t="str">
        <f>IF(OR(E163="",E163="!!!",F163="NEW"),"",INDEX(B$2:B162,-1+SUMPRODUCT(MAX(ROW(E$2:E162)*(E163=E$2:E162)))))</f>
        <v/>
      </c>
      <c r="J163" s="24" t="str">
        <f ca="1">IF(OR(E163="",E163="!!!",F163="NEW"),"",COUNTBLANK(OFFSET(A$1,,,SUMPRODUCT(MAX(ROW(E$2:E163)*(E163=E$2:E163)))))-COUNTBLANK(OFFSET(A$1,,,SUMPRODUCT(MAX(ROW(E$1:E162)*(E2=E$1:E162))))))</f>
        <v/>
      </c>
      <c r="K163" s="24" t="str">
        <f>IF(OR(E163="",E163="!!!",F163="NEW"),"",INDEX(J$1:J162,SUMPRODUCT(MAX(ROW(E$1:E162)*(E163=E$1:E162)))))</f>
        <v/>
      </c>
      <c r="L163" s="25"/>
    </row>
    <row r="164" spans="1:12" x14ac:dyDescent="0.3">
      <c r="A164" t="s">
        <v>236</v>
      </c>
      <c r="E164" s="20" t="str">
        <f t="shared" si="14"/>
        <v/>
      </c>
      <c r="F164" s="21" t="str">
        <f>IF(OR(E164="",E164="!!!"),"",IF(NOT(ISNA(VLOOKUP(E164,E$1:E163,1,FALSE()))),"OLD",IF(AND(E164&lt;&gt;"",E164&lt;&gt;"!!!"),"NEW","")))</f>
        <v/>
      </c>
      <c r="G164" s="22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/>
      </c>
      <c r="H164" s="23" t="str">
        <f t="shared" ca="1" si="15"/>
        <v/>
      </c>
      <c r="I164" s="24" t="str">
        <f>IF(OR(E164="",E164="!!!",F164="NEW"),"",INDEX(B$2:B163,-1+SUMPRODUCT(MAX(ROW(E$2:E163)*(E164=E$2:E163)))))</f>
        <v/>
      </c>
      <c r="J164" s="24" t="str">
        <f ca="1">IF(OR(E164="",E164="!!!",F164="NEW"),"",COUNTBLANK(OFFSET(A$1,,,SUMPRODUCT(MAX(ROW(E$2:E164)*(E164=E$2:E164)))))-COUNTBLANK(OFFSET(A$1,,,SUMPRODUCT(MAX(ROW(E$1:E163)*(E2=E$1:E163))))))</f>
        <v/>
      </c>
      <c r="K164" s="24" t="str">
        <f>IF(OR(E164="",E164="!!!",F164="NEW"),"",INDEX(J$1:J163,SUMPRODUCT(MAX(ROW(E$1:E163)*(E164=E$1:E163)))))</f>
        <v/>
      </c>
      <c r="L164" s="25"/>
    </row>
    <row r="165" spans="1:12" x14ac:dyDescent="0.3">
      <c r="A165" t="s">
        <v>362</v>
      </c>
      <c r="B165" s="26" t="s">
        <v>261</v>
      </c>
      <c r="C165" s="26" t="s">
        <v>239</v>
      </c>
      <c r="D165" s="26" t="s">
        <v>240</v>
      </c>
      <c r="E165" s="20" t="str">
        <f t="shared" si="14"/>
        <v>!!!</v>
      </c>
      <c r="F165" s="21" t="str">
        <f>IF(OR(E165="",E165="!!!"),"",IF(NOT(ISNA(VLOOKUP(E165,E$1:E164,1,FALSE()))),"OLD",IF(AND(E165&lt;&gt;"",E165&lt;&gt;"!!!"),"NEW","")))</f>
        <v/>
      </c>
      <c r="G165" s="22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/>
      </c>
      <c r="H165" s="23" t="str">
        <f t="shared" ca="1" si="15"/>
        <v/>
      </c>
      <c r="I165" s="24" t="str">
        <f>IF(OR(E165="",E165="!!!",F165="NEW"),"",INDEX(B$2:B164,-1+SUMPRODUCT(MAX(ROW(E$2:E164)*(E165=E$2:E164)))))</f>
        <v/>
      </c>
      <c r="J165" s="24" t="str">
        <f ca="1">IF(OR(E165="",E165="!!!",F165="NEW"),"",COUNTBLANK(OFFSET(A$1,,,SUMPRODUCT(MAX(ROW(E$2:E165)*(E165=E$2:E165)))))-COUNTBLANK(OFFSET(A$1,,,SUMPRODUCT(MAX(ROW(E$1:E164)*(E2=E$1:E164))))))</f>
        <v/>
      </c>
      <c r="K165" s="24" t="str">
        <f>IF(OR(E165="",E165="!!!",F165="NEW"),"",INDEX(J$1:J164,SUMPRODUCT(MAX(ROW(E$1:E164)*(E165=E$1:E164)))))</f>
        <v/>
      </c>
      <c r="L165" s="25"/>
    </row>
    <row r="166" spans="1:12" x14ac:dyDescent="0.3">
      <c r="A166" t="s">
        <v>363</v>
      </c>
      <c r="E166" s="20" t="str">
        <f t="shared" si="14"/>
        <v/>
      </c>
      <c r="F166" s="21" t="str">
        <f>IF(OR(E166="",E166="!!!"),"",IF(NOT(ISNA(VLOOKUP(E166,E$1:E165,1,FALSE()))),"OLD",IF(AND(E166&lt;&gt;"",E166&lt;&gt;"!!!"),"NEW","")))</f>
        <v/>
      </c>
      <c r="G166" s="22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/>
      </c>
      <c r="H166" s="23" t="str">
        <f t="shared" ca="1" si="15"/>
        <v/>
      </c>
      <c r="I166" s="24" t="str">
        <f>IF(OR(E166="",E166="!!!",F166="NEW"),"",INDEX(B$2:B165,-1+SUMPRODUCT(MAX(ROW(E$2:E165)*(E166=E$2:E165)))))</f>
        <v/>
      </c>
      <c r="J166" s="24" t="str">
        <f ca="1">IF(OR(E166="",E166="!!!",F166="NEW"),"",COUNTBLANK(OFFSET(A$1,,,SUMPRODUCT(MAX(ROW(E$2:E166)*(E166=E$2:E166)))))-COUNTBLANK(OFFSET(A$1,,,SUMPRODUCT(MAX(ROW(E$1:E165)*(E2=E$1:E165))))))</f>
        <v/>
      </c>
      <c r="K166" s="24" t="str">
        <f>IF(OR(E166="",E166="!!!",F166="NEW"),"",INDEX(J$1:J165,SUMPRODUCT(MAX(ROW(E$1:E165)*(E166=E$1:E165)))))</f>
        <v/>
      </c>
      <c r="L166" s="25"/>
    </row>
    <row r="167" spans="1:12" x14ac:dyDescent="0.3">
      <c r="A167" t="s">
        <v>364</v>
      </c>
      <c r="B167" s="26" t="s">
        <v>272</v>
      </c>
      <c r="C167" s="26" t="s">
        <v>239</v>
      </c>
      <c r="D167" s="26" t="s">
        <v>240</v>
      </c>
      <c r="E167" s="20" t="str">
        <f t="shared" si="14"/>
        <v>!!!</v>
      </c>
      <c r="F167" s="21" t="str">
        <f>IF(OR(E167="",E167="!!!"),"",IF(NOT(ISNA(VLOOKUP(E167,E$1:E166,1,FALSE()))),"OLD",IF(AND(E167&lt;&gt;"",E167&lt;&gt;"!!!"),"NEW","")))</f>
        <v/>
      </c>
      <c r="G167" s="22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/>
      </c>
      <c r="H167" s="23" t="str">
        <f t="shared" ca="1" si="15"/>
        <v/>
      </c>
      <c r="I167" s="24" t="str">
        <f>IF(OR(E167="",E167="!!!",F167="NEW"),"",INDEX(B$2:B166,-1+SUMPRODUCT(MAX(ROW(E$2:E166)*(E167=E$2:E166)))))</f>
        <v/>
      </c>
      <c r="J167" s="24" t="str">
        <f ca="1">IF(OR(E167="",E167="!!!",F167="NEW"),"",COUNTBLANK(OFFSET(A$1,,,SUMPRODUCT(MAX(ROW(E$2:E167)*(E167=E$2:E167)))))-COUNTBLANK(OFFSET(A$1,,,SUMPRODUCT(MAX(ROW(E$1:E166)*(E2=E$1:E166))))))</f>
        <v/>
      </c>
      <c r="K167" s="24" t="str">
        <f>IF(OR(E167="",E167="!!!",F167="NEW"),"",INDEX(J$1:J166,SUMPRODUCT(MAX(ROW(E$1:E166)*(E167=E$1:E166)))))</f>
        <v/>
      </c>
      <c r="L167" s="25"/>
    </row>
    <row r="168" spans="1:12" x14ac:dyDescent="0.3">
      <c r="A168" t="s">
        <v>365</v>
      </c>
      <c r="E168" s="20" t="str">
        <f t="shared" si="14"/>
        <v/>
      </c>
      <c r="F168" s="21" t="str">
        <f>IF(OR(E168="",E168="!!!"),"",IF(NOT(ISNA(VLOOKUP(E168,E$1:E167,1,FALSE()))),"OLD",IF(AND(E168&lt;&gt;"",E168&lt;&gt;"!!!"),"NEW","")))</f>
        <v/>
      </c>
      <c r="G168" s="22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/>
      </c>
      <c r="H168" s="23" t="str">
        <f t="shared" ca="1" si="15"/>
        <v/>
      </c>
      <c r="I168" s="24" t="str">
        <f>IF(OR(E168="",E168="!!!",F168="NEW"),"",INDEX(B$2:B167,-1+SUMPRODUCT(MAX(ROW(E$2:E167)*(E168=E$2:E167)))))</f>
        <v/>
      </c>
      <c r="J168" s="24" t="str">
        <f ca="1">IF(OR(E168="",E168="!!!",F168="NEW"),"",COUNTBLANK(OFFSET(A$1,,,SUMPRODUCT(MAX(ROW(E$2:E168)*(E168=E$2:E168)))))-COUNTBLANK(OFFSET(A$1,,,SUMPRODUCT(MAX(ROW(E$1:E167)*(E2=E$1:E167))))))</f>
        <v/>
      </c>
      <c r="K168" s="24" t="str">
        <f>IF(OR(E168="",E168="!!!",F168="NEW"),"",INDEX(J$1:J167,SUMPRODUCT(MAX(ROW(E$1:E167)*(E168=E$1:E167)))))</f>
        <v/>
      </c>
      <c r="L168" s="25"/>
    </row>
    <row r="169" spans="1:12" x14ac:dyDescent="0.3">
      <c r="A169" t="s">
        <v>252</v>
      </c>
      <c r="E169" s="20" t="str">
        <f t="shared" si="14"/>
        <v/>
      </c>
      <c r="F169" s="21" t="str">
        <f>IF(OR(E169="",E169="!!!"),"",IF(NOT(ISNA(VLOOKUP(E169,E$1:E168,1,FALSE()))),"OLD",IF(AND(E169&lt;&gt;"",E169&lt;&gt;"!!!"),"NEW","")))</f>
        <v/>
      </c>
      <c r="G169" s="22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/>
      </c>
      <c r="H169" s="23" t="str">
        <f t="shared" ca="1" si="15"/>
        <v/>
      </c>
      <c r="I169" s="24" t="str">
        <f>IF(OR(E169="",E169="!!!",F169="NEW"),"",INDEX(B$2:B168,-1+SUMPRODUCT(MAX(ROW(E$2:E168)*(E169=E$2:E168)))))</f>
        <v/>
      </c>
      <c r="J169" s="24" t="str">
        <f ca="1">IF(OR(E169="",E169="!!!",F169="NEW"),"",COUNTBLANK(OFFSET(A$1,,,SUMPRODUCT(MAX(ROW(E$2:E169)*(E169=E$2:E169)))))-COUNTBLANK(OFFSET(A$1,,,SUMPRODUCT(MAX(ROW(E$1:E168)*(E2=E$1:E168))))))</f>
        <v/>
      </c>
      <c r="K169" s="24" t="str">
        <f>IF(OR(E169="",E169="!!!",F169="NEW"),"",INDEX(J$1:J168,SUMPRODUCT(MAX(ROW(E$1:E168)*(E169=E$1:E168)))))</f>
        <v/>
      </c>
      <c r="L169" s="25"/>
    </row>
    <row r="170" spans="1:12" x14ac:dyDescent="0.3">
      <c r="A170" t="s">
        <v>366</v>
      </c>
      <c r="E170" s="20" t="str">
        <f t="shared" si="14"/>
        <v/>
      </c>
      <c r="F170" s="21" t="str">
        <f>IF(OR(E170="",E170="!!!"),"",IF(NOT(ISNA(VLOOKUP(E170,E$1:E169,1,FALSE()))),"OLD",IF(AND(E170&lt;&gt;"",E170&lt;&gt;"!!!"),"NEW","")))</f>
        <v/>
      </c>
      <c r="G170" s="22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/>
      </c>
      <c r="H170" s="23" t="str">
        <f t="shared" ca="1" si="15"/>
        <v/>
      </c>
      <c r="I170" s="24" t="str">
        <f>IF(OR(E170="",E170="!!!",F170="NEW"),"",INDEX(B$2:B169,-1+SUMPRODUCT(MAX(ROW(E$2:E169)*(E170=E$2:E169)))))</f>
        <v/>
      </c>
      <c r="J170" s="24" t="str">
        <f ca="1">IF(OR(E170="",E170="!!!",F170="NEW"),"",COUNTBLANK(OFFSET(A$1,,,SUMPRODUCT(MAX(ROW(E$2:E170)*(E170=E$2:E170)))))-COUNTBLANK(OFFSET(A$1,,,SUMPRODUCT(MAX(ROW(E$1:E169)*(E2=E$1:E169))))))</f>
        <v/>
      </c>
      <c r="K170" s="24" t="str">
        <f>IF(OR(E170="",E170="!!!",F170="NEW"),"",INDEX(J$1:J169,SUMPRODUCT(MAX(ROW(E$1:E169)*(E170=E$1:E169)))))</f>
        <v/>
      </c>
      <c r="L170" s="25"/>
    </row>
    <row r="171" spans="1:12" x14ac:dyDescent="0.3">
      <c r="A171" t="s">
        <v>367</v>
      </c>
      <c r="E171" s="20" t="str">
        <f t="shared" si="14"/>
        <v/>
      </c>
      <c r="F171" s="21" t="str">
        <f>IF(OR(E171="",E171="!!!"),"",IF(NOT(ISNA(VLOOKUP(E171,E$1:E170,1,FALSE()))),"OLD",IF(AND(E171&lt;&gt;"",E171&lt;&gt;"!!!"),"NEW","")))</f>
        <v/>
      </c>
      <c r="G171" s="22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/>
      </c>
      <c r="H171" s="23" t="str">
        <f t="shared" ca="1" si="15"/>
        <v/>
      </c>
      <c r="I171" s="24" t="str">
        <f>IF(OR(E171="",E171="!!!",F171="NEW"),"",INDEX(B$2:B170,-1+SUMPRODUCT(MAX(ROW(E$2:E170)*(E171=E$2:E170)))))</f>
        <v/>
      </c>
      <c r="J171" s="24" t="str">
        <f ca="1">IF(OR(E171="",E171="!!!",F171="NEW"),"",COUNTBLANK(OFFSET(A$1,,,SUMPRODUCT(MAX(ROW(E$2:E171)*(E171=E$2:E171)))))-COUNTBLANK(OFFSET(A$1,,,SUMPRODUCT(MAX(ROW(E$1:E170)*(E2=E$1:E170))))))</f>
        <v/>
      </c>
      <c r="K171" s="24" t="str">
        <f>IF(OR(E171="",E171="!!!",F171="NEW"),"",INDEX(J$1:J170,SUMPRODUCT(MAX(ROW(E$1:E170)*(E171=E$1:E170)))))</f>
        <v/>
      </c>
      <c r="L171" s="25"/>
    </row>
    <row r="172" spans="1:12" x14ac:dyDescent="0.3">
      <c r="A172" t="s">
        <v>269</v>
      </c>
      <c r="E172" s="20" t="str">
        <f t="shared" si="14"/>
        <v/>
      </c>
      <c r="F172" s="21" t="str">
        <f>IF(OR(E172="",E172="!!!"),"",IF(NOT(ISNA(VLOOKUP(E172,E$1:E171,1,FALSE()))),"OLD",IF(AND(E172&lt;&gt;"",E172&lt;&gt;"!!!"),"NEW","")))</f>
        <v/>
      </c>
      <c r="G172" s="22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/>
      </c>
      <c r="H172" s="23" t="str">
        <f t="shared" ca="1" si="15"/>
        <v/>
      </c>
      <c r="I172" s="24" t="str">
        <f>IF(OR(E172="",E172="!!!",F172="NEW"),"",INDEX(B$2:B171,-1+SUMPRODUCT(MAX(ROW(E$2:E171)*(E172=E$2:E171)))))</f>
        <v/>
      </c>
      <c r="J172" s="24" t="str">
        <f ca="1">IF(OR(E172="",E172="!!!",F172="NEW"),"",COUNTBLANK(OFFSET(A$1,,,SUMPRODUCT(MAX(ROW(E$2:E172)*(E172=E$2:E172)))))-COUNTBLANK(OFFSET(A$1,,,SUMPRODUCT(MAX(ROW(E$1:E171)*(E2=E$1:E171))))))</f>
        <v/>
      </c>
      <c r="K172" s="24" t="str">
        <f>IF(OR(E172="",E172="!!!",F172="NEW"),"",INDEX(J$1:J171,SUMPRODUCT(MAX(ROW(E$1:E171)*(E172=E$1:E171)))))</f>
        <v/>
      </c>
      <c r="L172" s="25"/>
    </row>
    <row r="173" spans="1:12" x14ac:dyDescent="0.3">
      <c r="A173" t="s">
        <v>368</v>
      </c>
      <c r="B173" s="26" t="s">
        <v>261</v>
      </c>
      <c r="C173" s="26" t="s">
        <v>262</v>
      </c>
      <c r="E173" s="20" t="str">
        <f t="shared" si="14"/>
        <v/>
      </c>
      <c r="F173" s="21" t="str">
        <f>IF(OR(E173="",E173="!!!"),"",IF(NOT(ISNA(VLOOKUP(E173,E$1:E172,1,FALSE()))),"OLD",IF(AND(E173&lt;&gt;"",E173&lt;&gt;"!!!"),"NEW","")))</f>
        <v/>
      </c>
      <c r="G173" s="22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/>
      </c>
      <c r="H173" s="23" t="str">
        <f t="shared" ca="1" si="15"/>
        <v/>
      </c>
      <c r="I173" s="24" t="str">
        <f>IF(OR(E173="",E173="!!!",F173="NEW"),"",INDEX(B$2:B172,-1+SUMPRODUCT(MAX(ROW(E$2:E172)*(E173=E$2:E172)))))</f>
        <v/>
      </c>
      <c r="J173" s="24" t="str">
        <f ca="1">IF(OR(E173="",E173="!!!",F173="NEW"),"",COUNTBLANK(OFFSET(A$1,,,SUMPRODUCT(MAX(ROW(E$2:E173)*(E173=E$2:E173)))))-COUNTBLANK(OFFSET(A$1,,,SUMPRODUCT(MAX(ROW(E$1:E172)*(E2=E$1:E172))))))</f>
        <v/>
      </c>
      <c r="K173" s="24" t="str">
        <f>IF(OR(E173="",E173="!!!",F173="NEW"),"",INDEX(J$1:J172,SUMPRODUCT(MAX(ROW(E$1:E172)*(E173=E$1:E172)))))</f>
        <v/>
      </c>
      <c r="L173" s="25"/>
    </row>
    <row r="174" spans="1:12" x14ac:dyDescent="0.3">
      <c r="A174" t="s">
        <v>245</v>
      </c>
      <c r="E174" s="20" t="str">
        <f t="shared" si="14"/>
        <v/>
      </c>
      <c r="F174" s="21" t="str">
        <f>IF(OR(E174="",E174="!!!"),"",IF(NOT(ISNA(VLOOKUP(E174,E$1:E173,1,FALSE()))),"OLD",IF(AND(E174&lt;&gt;"",E174&lt;&gt;"!!!"),"NEW","")))</f>
        <v/>
      </c>
      <c r="G174" s="22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/>
      </c>
      <c r="H174" s="23" t="str">
        <f t="shared" ca="1" si="15"/>
        <v/>
      </c>
      <c r="I174" s="24" t="str">
        <f>IF(OR(E174="",E174="!!!",F174="NEW"),"",INDEX(B$2:B173,-1+SUMPRODUCT(MAX(ROW(E$2:E173)*(E174=E$2:E173)))))</f>
        <v/>
      </c>
      <c r="J174" s="24" t="str">
        <f ca="1">IF(OR(E174="",E174="!!!",F174="NEW"),"",COUNTBLANK(OFFSET(A$1,,,SUMPRODUCT(MAX(ROW(E$2:E174)*(E174=E$2:E174)))))-COUNTBLANK(OFFSET(A$1,,,SUMPRODUCT(MAX(ROW(E$1:E173)*(E2=E$1:E173))))))</f>
        <v/>
      </c>
      <c r="K174" s="24" t="str">
        <f>IF(OR(E174="",E174="!!!",F174="NEW"),"",INDEX(J$1:J173,SUMPRODUCT(MAX(ROW(E$1:E173)*(E174=E$1:E173)))))</f>
        <v/>
      </c>
      <c r="L174" s="25"/>
    </row>
    <row r="175" spans="1:12" x14ac:dyDescent="0.3">
      <c r="A175" t="s">
        <v>30</v>
      </c>
      <c r="E175" s="20" t="str">
        <f t="shared" si="14"/>
        <v/>
      </c>
      <c r="F175" s="21" t="str">
        <f>IF(OR(E175="",E175="!!!"),"",IF(NOT(ISNA(VLOOKUP(E175,E$1:E174,1,FALSE()))),"OLD",IF(AND(E175&lt;&gt;"",E175&lt;&gt;"!!!"),"NEW","")))</f>
        <v/>
      </c>
      <c r="G175" s="22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/>
      </c>
      <c r="H175" s="23" t="str">
        <f t="shared" ca="1" si="15"/>
        <v/>
      </c>
      <c r="I175" s="24" t="str">
        <f>IF(OR(E175="",E175="!!!",F175="NEW"),"",INDEX(B$2:B174,-1+SUMPRODUCT(MAX(ROW(E$2:E174)*(E175=E$2:E174)))))</f>
        <v/>
      </c>
      <c r="J175" s="24" t="str">
        <f ca="1">IF(OR(E175="",E175="!!!",F175="NEW"),"",COUNTBLANK(OFFSET(A$1,,,SUMPRODUCT(MAX(ROW(E$2:E175)*(E175=E$2:E175)))))-COUNTBLANK(OFFSET(A$1,,,SUMPRODUCT(MAX(ROW(E$1:E174)*(E2=E$1:E174))))))</f>
        <v/>
      </c>
      <c r="K175" s="24" t="str">
        <f>IF(OR(E175="",E175="!!!",F175="NEW"),"",INDEX(J$1:J174,SUMPRODUCT(MAX(ROW(E$1:E174)*(E175=E$1:E174)))))</f>
        <v/>
      </c>
      <c r="L175" s="25"/>
    </row>
    <row r="176" spans="1:12" x14ac:dyDescent="0.3">
      <c r="A176" t="s">
        <v>369</v>
      </c>
      <c r="B176" s="26" t="s">
        <v>272</v>
      </c>
      <c r="C176" s="26" t="s">
        <v>244</v>
      </c>
      <c r="D176" s="26" t="s">
        <v>240</v>
      </c>
      <c r="E176" s="20" t="str">
        <f t="shared" si="14"/>
        <v>!!!</v>
      </c>
      <c r="F176" s="21" t="str">
        <f>IF(OR(E176="",E176="!!!"),"",IF(NOT(ISNA(VLOOKUP(E176,E$1:E175,1,FALSE()))),"OLD",IF(AND(E176&lt;&gt;"",E176&lt;&gt;"!!!"),"NEW","")))</f>
        <v/>
      </c>
      <c r="G176" s="22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/>
      </c>
      <c r="H176" s="23" t="str">
        <f t="shared" ca="1" si="15"/>
        <v/>
      </c>
      <c r="I176" s="24" t="str">
        <f>IF(OR(E176="",E176="!!!",F176="NEW"),"",INDEX(B$2:B175,-1+SUMPRODUCT(MAX(ROW(E$2:E175)*(E176=E$2:E175)))))</f>
        <v/>
      </c>
      <c r="J176" s="24" t="str">
        <f ca="1">IF(OR(E176="",E176="!!!",F176="NEW"),"",COUNTBLANK(OFFSET(A$1,,,SUMPRODUCT(MAX(ROW(E$2:E176)*(E176=E$2:E176)))))-COUNTBLANK(OFFSET(A$1,,,SUMPRODUCT(MAX(ROW(E$1:E175)*(E2=E$1:E175))))))</f>
        <v/>
      </c>
      <c r="K176" s="24" t="str">
        <f>IF(OR(E176="",E176="!!!",F176="NEW"),"",INDEX(J$1:J175,SUMPRODUCT(MAX(ROW(E$1:E175)*(E176=E$1:E175)))))</f>
        <v/>
      </c>
      <c r="L176" s="25"/>
    </row>
    <row r="177" spans="1:12" x14ac:dyDescent="0.3">
      <c r="A177" t="s">
        <v>248</v>
      </c>
      <c r="E177" s="20" t="str">
        <f t="shared" si="14"/>
        <v/>
      </c>
      <c r="F177" s="21" t="str">
        <f>IF(OR(E177="",E177="!!!"),"",IF(NOT(ISNA(VLOOKUP(E177,E$1:E176,1,FALSE()))),"OLD",IF(AND(E177&lt;&gt;"",E177&lt;&gt;"!!!"),"NEW","")))</f>
        <v/>
      </c>
      <c r="G177" s="22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/>
      </c>
      <c r="H177" s="23" t="str">
        <f t="shared" ca="1" si="15"/>
        <v/>
      </c>
      <c r="I177" s="24" t="str">
        <f>IF(OR(E177="",E177="!!!",F177="NEW"),"",INDEX(B$2:B176,-1+SUMPRODUCT(MAX(ROW(E$2:E176)*(E177=E$2:E176)))))</f>
        <v/>
      </c>
      <c r="J177" s="24" t="str">
        <f ca="1">IF(OR(E177="",E177="!!!",F177="NEW"),"",COUNTBLANK(OFFSET(A$1,,,SUMPRODUCT(MAX(ROW(E$2:E177)*(E177=E$2:E177)))))-COUNTBLANK(OFFSET(A$1,,,SUMPRODUCT(MAX(ROW(E$1:E176)*(E2=E$1:E176))))))</f>
        <v/>
      </c>
      <c r="K177" s="24" t="str">
        <f>IF(OR(E177="",E177="!!!",F177="NEW"),"",INDEX(J$1:J176,SUMPRODUCT(MAX(ROW(E$1:E176)*(E177=E$1:E176)))))</f>
        <v/>
      </c>
      <c r="L177" s="25"/>
    </row>
    <row r="179" spans="1:12" x14ac:dyDescent="0.3">
      <c r="A179" t="s">
        <v>370</v>
      </c>
    </row>
    <row r="180" spans="1:12" x14ac:dyDescent="0.3">
      <c r="A180" t="s">
        <v>371</v>
      </c>
      <c r="B180" s="26" t="s">
        <v>261</v>
      </c>
      <c r="C180" s="26" t="s">
        <v>247</v>
      </c>
      <c r="E180" s="20" t="str">
        <f t="shared" ref="E180:E188" si="16">IF(D180="?OLD","!!!","")</f>
        <v/>
      </c>
      <c r="F180" s="21" t="str">
        <f>IF(OR(E180="",E180="!!!"),"",IF(NOT(ISNA(VLOOKUP(E180,E$1:E179,1,FALSE()))),"OLD",IF(AND(E180&lt;&gt;"",E180&lt;&gt;"!!!"),"NEW","")))</f>
        <v/>
      </c>
      <c r="G180" s="22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/>
      </c>
      <c r="H180" s="23" t="str">
        <f t="shared" ref="H180:H188" ca="1" si="17">IF(J180&lt;&gt;1,"",IF(I180="SBJ","CB","?"))</f>
        <v/>
      </c>
      <c r="I180" s="24" t="str">
        <f>IF(OR(E180="",E180="!!!",F180="NEW"),"",INDEX(B$2:B179,-1+SUMPRODUCT(MAX(ROW(E$2:E179)*(E180=E$2:E179)))))</f>
        <v/>
      </c>
      <c r="J180" s="24" t="str">
        <f ca="1">IF(OR(E180="",E180="!!!",F180="NEW"),"",COUNTBLANK(OFFSET(A$1,,,SUMPRODUCT(MAX(ROW(E$2:E180)*(E180=E$2:E180)))))-COUNTBLANK(OFFSET(A$1,,,SUMPRODUCT(MAX(ROW(E$1:E179)*(E2=E$1:E179))))))</f>
        <v/>
      </c>
      <c r="K180" s="24" t="str">
        <f>IF(OR(E180="",E180="!!!",F180="NEW"),"",INDEX(J$1:J179,SUMPRODUCT(MAX(ROW(E$1:E179)*(E180=E$1:E179)))))</f>
        <v/>
      </c>
      <c r="L180" s="25"/>
    </row>
    <row r="181" spans="1:12" x14ac:dyDescent="0.3">
      <c r="A181" t="s">
        <v>372</v>
      </c>
      <c r="E181" s="20" t="str">
        <f t="shared" si="16"/>
        <v/>
      </c>
      <c r="F181" s="21" t="str">
        <f>IF(OR(E181="",E181="!!!"),"",IF(NOT(ISNA(VLOOKUP(E181,E$1:E180,1,FALSE()))),"OLD",IF(AND(E181&lt;&gt;"",E181&lt;&gt;"!!!"),"NEW","")))</f>
        <v/>
      </c>
      <c r="G181" s="22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/>
      </c>
      <c r="H181" s="23" t="str">
        <f t="shared" ca="1" si="17"/>
        <v/>
      </c>
      <c r="I181" s="24" t="str">
        <f>IF(OR(E181="",E181="!!!",F181="NEW"),"",INDEX(B$2:B180,-1+SUMPRODUCT(MAX(ROW(E$2:E180)*(E181=E$2:E180)))))</f>
        <v/>
      </c>
      <c r="J181" s="24" t="str">
        <f ca="1">IF(OR(E181="",E181="!!!",F181="NEW"),"",COUNTBLANK(OFFSET(A$1,,,SUMPRODUCT(MAX(ROW(E$2:E181)*(E181=E$2:E181)))))-COUNTBLANK(OFFSET(A$1,,,SUMPRODUCT(MAX(ROW(E$1:E180)*(E2=E$1:E180))))))</f>
        <v/>
      </c>
      <c r="K181" s="24" t="str">
        <f>IF(OR(E181="",E181="!!!",F181="NEW"),"",INDEX(J$1:J180,SUMPRODUCT(MAX(ROW(E$1:E180)*(E181=E$1:E180)))))</f>
        <v/>
      </c>
      <c r="L181" s="25"/>
    </row>
    <row r="182" spans="1:12" x14ac:dyDescent="0.3">
      <c r="A182" t="s">
        <v>349</v>
      </c>
      <c r="B182" s="26" t="s">
        <v>292</v>
      </c>
      <c r="C182" s="26" t="s">
        <v>262</v>
      </c>
      <c r="E182" s="20" t="str">
        <f t="shared" si="16"/>
        <v/>
      </c>
      <c r="F182" s="21" t="str">
        <f>IF(OR(E182="",E182="!!!"),"",IF(NOT(ISNA(VLOOKUP(E182,E$1:E181,1,FALSE()))),"OLD",IF(AND(E182&lt;&gt;"",E182&lt;&gt;"!!!"),"NEW","")))</f>
        <v/>
      </c>
      <c r="G182" s="22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/>
      </c>
      <c r="H182" s="23" t="str">
        <f t="shared" ca="1" si="17"/>
        <v/>
      </c>
      <c r="I182" s="24" t="str">
        <f>IF(OR(E182="",E182="!!!",F182="NEW"),"",INDEX(B$2:B181,-1+SUMPRODUCT(MAX(ROW(E$2:E181)*(E182=E$2:E181)))))</f>
        <v/>
      </c>
      <c r="J182" s="24" t="str">
        <f ca="1">IF(OR(E182="",E182="!!!",F182="NEW"),"",COUNTBLANK(OFFSET(A$1,,,SUMPRODUCT(MAX(ROW(E$2:E182)*(E182=E$2:E182)))))-COUNTBLANK(OFFSET(A$1,,,SUMPRODUCT(MAX(ROW(E$1:E181)*(E2=E$1:E181))))))</f>
        <v/>
      </c>
      <c r="K182" s="24" t="str">
        <f>IF(OR(E182="",E182="!!!",F182="NEW"),"",INDEX(J$1:J181,SUMPRODUCT(MAX(ROW(E$1:E181)*(E182=E$1:E181)))))</f>
        <v/>
      </c>
      <c r="L182" s="25"/>
    </row>
    <row r="183" spans="1:12" x14ac:dyDescent="0.3">
      <c r="A183" t="s">
        <v>245</v>
      </c>
      <c r="E183" s="20" t="str">
        <f t="shared" si="16"/>
        <v/>
      </c>
      <c r="F183" s="21" t="str">
        <f>IF(OR(E183="",E183="!!!"),"",IF(NOT(ISNA(VLOOKUP(E183,E$1:E182,1,FALSE()))),"OLD",IF(AND(E183&lt;&gt;"",E183&lt;&gt;"!!!"),"NEW","")))</f>
        <v/>
      </c>
      <c r="G183" s="22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/>
      </c>
      <c r="H183" s="23" t="str">
        <f t="shared" ca="1" si="17"/>
        <v/>
      </c>
      <c r="I183" s="24" t="str">
        <f>IF(OR(E183="",E183="!!!",F183="NEW"),"",INDEX(B$2:B182,-1+SUMPRODUCT(MAX(ROW(E$2:E182)*(E183=E$2:E182)))))</f>
        <v/>
      </c>
      <c r="J183" s="24" t="str">
        <f ca="1">IF(OR(E183="",E183="!!!",F183="NEW"),"",COUNTBLANK(OFFSET(A$1,,,SUMPRODUCT(MAX(ROW(E$2:E183)*(E183=E$2:E183)))))-COUNTBLANK(OFFSET(A$1,,,SUMPRODUCT(MAX(ROW(E$1:E182)*(E2=E$1:E182))))))</f>
        <v/>
      </c>
      <c r="K183" s="24" t="str">
        <f>IF(OR(E183="",E183="!!!",F183="NEW"),"",INDEX(J$1:J182,SUMPRODUCT(MAX(ROW(E$1:E182)*(E183=E$1:E182)))))</f>
        <v/>
      </c>
      <c r="L183" s="25"/>
    </row>
    <row r="184" spans="1:12" x14ac:dyDescent="0.3">
      <c r="A184" t="s">
        <v>310</v>
      </c>
      <c r="E184" s="20" t="str">
        <f t="shared" si="16"/>
        <v/>
      </c>
      <c r="F184" s="21" t="str">
        <f>IF(OR(E184="",E184="!!!"),"",IF(NOT(ISNA(VLOOKUP(E184,E$1:E183,1,FALSE()))),"OLD",IF(AND(E184&lt;&gt;"",E184&lt;&gt;"!!!"),"NEW","")))</f>
        <v/>
      </c>
      <c r="G184" s="22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/>
      </c>
      <c r="H184" s="23" t="str">
        <f t="shared" ca="1" si="17"/>
        <v/>
      </c>
      <c r="I184" s="24" t="str">
        <f>IF(OR(E184="",E184="!!!",F184="NEW"),"",INDEX(B$2:B183,-1+SUMPRODUCT(MAX(ROW(E$2:E183)*(E184=E$2:E183)))))</f>
        <v/>
      </c>
      <c r="J184" s="24" t="str">
        <f ca="1">IF(OR(E184="",E184="!!!",F184="NEW"),"",COUNTBLANK(OFFSET(A$1,,,SUMPRODUCT(MAX(ROW(E$2:E184)*(E184=E$2:E184)))))-COUNTBLANK(OFFSET(A$1,,,SUMPRODUCT(MAX(ROW(E$1:E183)*(E2=E$1:E183))))))</f>
        <v/>
      </c>
      <c r="K184" s="24" t="str">
        <f>IF(OR(E184="",E184="!!!",F184="NEW"),"",INDEX(J$1:J183,SUMPRODUCT(MAX(ROW(E$1:E183)*(E184=E$1:E183)))))</f>
        <v/>
      </c>
      <c r="L184" s="25"/>
    </row>
    <row r="185" spans="1:12" x14ac:dyDescent="0.3">
      <c r="A185" t="s">
        <v>270</v>
      </c>
      <c r="B185" s="26" t="s">
        <v>261</v>
      </c>
      <c r="C185" s="26" t="s">
        <v>239</v>
      </c>
      <c r="D185" s="26" t="s">
        <v>240</v>
      </c>
      <c r="E185" s="20" t="str">
        <f t="shared" si="16"/>
        <v>!!!</v>
      </c>
      <c r="F185" s="21" t="str">
        <f>IF(OR(E185="",E185="!!!"),"",IF(NOT(ISNA(VLOOKUP(E185,E$1:E184,1,FALSE()))),"OLD",IF(AND(E185&lt;&gt;"",E185&lt;&gt;"!!!"),"NEW","")))</f>
        <v/>
      </c>
      <c r="G185" s="22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/>
      </c>
      <c r="H185" s="23" t="str">
        <f t="shared" ca="1" si="17"/>
        <v/>
      </c>
      <c r="I185" s="24" t="str">
        <f>IF(OR(E185="",E185="!!!",F185="NEW"),"",INDEX(B$2:B184,-1+SUMPRODUCT(MAX(ROW(E$2:E184)*(E185=E$2:E184)))))</f>
        <v/>
      </c>
      <c r="J185" s="24" t="str">
        <f ca="1">IF(OR(E185="",E185="!!!",F185="NEW"),"",COUNTBLANK(OFFSET(A$1,,,SUMPRODUCT(MAX(ROW(E$2:E185)*(E185=E$2:E185)))))-COUNTBLANK(OFFSET(A$1,,,SUMPRODUCT(MAX(ROW(E$1:E184)*(E2=E$1:E184))))))</f>
        <v/>
      </c>
      <c r="K185" s="24" t="str">
        <f>IF(OR(E185="",E185="!!!",F185="NEW"),"",INDEX(J$1:J184,SUMPRODUCT(MAX(ROW(E$1:E184)*(E185=E$1:E184)))))</f>
        <v/>
      </c>
      <c r="L185" s="25"/>
    </row>
    <row r="186" spans="1:12" x14ac:dyDescent="0.3">
      <c r="A186" t="s">
        <v>327</v>
      </c>
      <c r="E186" s="20" t="str">
        <f t="shared" si="16"/>
        <v/>
      </c>
      <c r="F186" s="21" t="str">
        <f>IF(OR(E186="",E186="!!!"),"",IF(NOT(ISNA(VLOOKUP(E186,E$1:E185,1,FALSE()))),"OLD",IF(AND(E186&lt;&gt;"",E186&lt;&gt;"!!!"),"NEW","")))</f>
        <v/>
      </c>
      <c r="G186" s="22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/>
      </c>
      <c r="H186" s="23" t="str">
        <f t="shared" ca="1" si="17"/>
        <v/>
      </c>
      <c r="I186" s="24" t="str">
        <f>IF(OR(E186="",E186="!!!",F186="NEW"),"",INDEX(B$2:B185,-1+SUMPRODUCT(MAX(ROW(E$2:E185)*(E186=E$2:E185)))))</f>
        <v/>
      </c>
      <c r="J186" s="24" t="str">
        <f ca="1">IF(OR(E186="",E186="!!!",F186="NEW"),"",COUNTBLANK(OFFSET(A$1,,,SUMPRODUCT(MAX(ROW(E$2:E186)*(E186=E$2:E186)))))-COUNTBLANK(OFFSET(A$1,,,SUMPRODUCT(MAX(ROW(E$1:E185)*(E2=E$1:E185))))))</f>
        <v/>
      </c>
      <c r="K186" s="24" t="str">
        <f>IF(OR(E186="",E186="!!!",F186="NEW"),"",INDEX(J$1:J185,SUMPRODUCT(MAX(ROW(E$1:E185)*(E186=E$1:E185)))))</f>
        <v/>
      </c>
      <c r="L186" s="25"/>
    </row>
    <row r="187" spans="1:12" x14ac:dyDescent="0.3">
      <c r="A187" t="s">
        <v>373</v>
      </c>
      <c r="E187" s="20" t="str">
        <f t="shared" si="16"/>
        <v/>
      </c>
      <c r="F187" s="21" t="str">
        <f>IF(OR(E187="",E187="!!!"),"",IF(NOT(ISNA(VLOOKUP(E187,E$1:E186,1,FALSE()))),"OLD",IF(AND(E187&lt;&gt;"",E187&lt;&gt;"!!!"),"NEW","")))</f>
        <v/>
      </c>
      <c r="G187" s="22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/>
      </c>
      <c r="H187" s="23" t="str">
        <f t="shared" ca="1" si="17"/>
        <v/>
      </c>
      <c r="I187" s="24" t="str">
        <f>IF(OR(E187="",E187="!!!",F187="NEW"),"",INDEX(B$2:B186,-1+SUMPRODUCT(MAX(ROW(E$2:E186)*(E187=E$2:E186)))))</f>
        <v/>
      </c>
      <c r="J187" s="24" t="str">
        <f ca="1">IF(OR(E187="",E187="!!!",F187="NEW"),"",COUNTBLANK(OFFSET(A$1,,,SUMPRODUCT(MAX(ROW(E$2:E187)*(E187=E$2:E187)))))-COUNTBLANK(OFFSET(A$1,,,SUMPRODUCT(MAX(ROW(E$1:E186)*(E2=E$1:E186))))))</f>
        <v/>
      </c>
      <c r="K187" s="24" t="str">
        <f>IF(OR(E187="",E187="!!!",F187="NEW"),"",INDEX(J$1:J186,SUMPRODUCT(MAX(ROW(E$1:E186)*(E187=E$1:E186)))))</f>
        <v/>
      </c>
      <c r="L187" s="25"/>
    </row>
    <row r="188" spans="1:12" x14ac:dyDescent="0.3">
      <c r="A188" t="s">
        <v>248</v>
      </c>
      <c r="E188" s="20" t="str">
        <f t="shared" si="16"/>
        <v/>
      </c>
      <c r="F188" s="21" t="str">
        <f>IF(OR(E188="",E188="!!!"),"",IF(NOT(ISNA(VLOOKUP(E188,E$1:E187,1,FALSE()))),"OLD",IF(AND(E188&lt;&gt;"",E188&lt;&gt;"!!!"),"NEW","")))</f>
        <v/>
      </c>
      <c r="G188" s="22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/>
      </c>
      <c r="H188" s="23" t="str">
        <f t="shared" ca="1" si="17"/>
        <v/>
      </c>
      <c r="I188" s="24" t="str">
        <f>IF(OR(E188="",E188="!!!",F188="NEW"),"",INDEX(B$2:B187,-1+SUMPRODUCT(MAX(ROW(E$2:E187)*(E188=E$2:E187)))))</f>
        <v/>
      </c>
      <c r="J188" s="24" t="str">
        <f ca="1">IF(OR(E188="",E188="!!!",F188="NEW"),"",COUNTBLANK(OFFSET(A$1,,,SUMPRODUCT(MAX(ROW(E$2:E188)*(E188=E$2:E188)))))-COUNTBLANK(OFFSET(A$1,,,SUMPRODUCT(MAX(ROW(E$1:E187)*(E2=E$1:E187))))))</f>
        <v/>
      </c>
      <c r="K188" s="24" t="str">
        <f>IF(OR(E188="",E188="!!!",F188="NEW"),"",INDEX(J$1:J187,SUMPRODUCT(MAX(ROW(E$1:E187)*(E188=E$1:E187)))))</f>
        <v/>
      </c>
      <c r="L188" s="25"/>
    </row>
    <row r="190" spans="1:12" x14ac:dyDescent="0.3">
      <c r="A190" t="s">
        <v>374</v>
      </c>
    </row>
    <row r="191" spans="1:12" x14ac:dyDescent="0.3">
      <c r="A191" t="s">
        <v>375</v>
      </c>
      <c r="E191" s="20" t="str">
        <f t="shared" ref="E191:E204" si="18">IF(D191="?OLD","!!!","")</f>
        <v/>
      </c>
      <c r="F191" s="21" t="str">
        <f>IF(OR(E191="",E191="!!!"),"",IF(NOT(ISNA(VLOOKUP(E191,E$1:E190,1,FALSE()))),"OLD",IF(AND(E191&lt;&gt;"",E191&lt;&gt;"!!!"),"NEW","")))</f>
        <v/>
      </c>
      <c r="G191" s="22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/>
      </c>
      <c r="H191" s="23" t="str">
        <f t="shared" ref="H191:H204" ca="1" si="19">IF(J191&lt;&gt;1,"",IF(I191="SBJ","CB","?"))</f>
        <v/>
      </c>
      <c r="I191" s="24" t="str">
        <f>IF(OR(E191="",E191="!!!",F191="NEW"),"",INDEX(B$2:B190,-1+SUMPRODUCT(MAX(ROW(E$2:E190)*(E191=E$2:E190)))))</f>
        <v/>
      </c>
      <c r="J191" s="24" t="str">
        <f ca="1">IF(OR(E191="",E191="!!!",F191="NEW"),"",COUNTBLANK(OFFSET(A$1,,,SUMPRODUCT(MAX(ROW(E$2:E191)*(E191=E$2:E191)))))-COUNTBLANK(OFFSET(A$1,,,SUMPRODUCT(MAX(ROW(E$1:E190)*(E2=E$1:E190))))))</f>
        <v/>
      </c>
      <c r="K191" s="24" t="str">
        <f>IF(OR(E191="",E191="!!!",F191="NEW"),"",INDEX(J$1:J190,SUMPRODUCT(MAX(ROW(E$1:E190)*(E191=E$1:E190)))))</f>
        <v/>
      </c>
      <c r="L191" s="25"/>
    </row>
    <row r="192" spans="1:12" x14ac:dyDescent="0.3">
      <c r="A192" t="s">
        <v>263</v>
      </c>
      <c r="E192" s="20" t="str">
        <f t="shared" si="18"/>
        <v/>
      </c>
      <c r="F192" s="21" t="str">
        <f>IF(OR(E192="",E192="!!!"),"",IF(NOT(ISNA(VLOOKUP(E192,E$1:E191,1,FALSE()))),"OLD",IF(AND(E192&lt;&gt;"",E192&lt;&gt;"!!!"),"NEW","")))</f>
        <v/>
      </c>
      <c r="G192" s="22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/>
      </c>
      <c r="H192" s="23" t="str">
        <f t="shared" ca="1" si="19"/>
        <v/>
      </c>
      <c r="I192" s="24" t="str">
        <f>IF(OR(E192="",E192="!!!",F192="NEW"),"",INDEX(B$2:B191,-1+SUMPRODUCT(MAX(ROW(E$2:E191)*(E192=E$2:E191)))))</f>
        <v/>
      </c>
      <c r="J192" s="24" t="str">
        <f ca="1">IF(OR(E192="",E192="!!!",F192="NEW"),"",COUNTBLANK(OFFSET(A$1,,,SUMPRODUCT(MAX(ROW(E$2:E192)*(E192=E$2:E192)))))-COUNTBLANK(OFFSET(A$1,,,SUMPRODUCT(MAX(ROW(E$1:E191)*(E2=E$1:E191))))))</f>
        <v/>
      </c>
      <c r="K192" s="24" t="str">
        <f>IF(OR(E192="",E192="!!!",F192="NEW"),"",INDEX(J$1:J191,SUMPRODUCT(MAX(ROW(E$1:E191)*(E192=E$1:E191)))))</f>
        <v/>
      </c>
      <c r="L192" s="25"/>
    </row>
    <row r="193" spans="1:12" x14ac:dyDescent="0.3">
      <c r="A193" t="s">
        <v>268</v>
      </c>
      <c r="B193" s="26" t="s">
        <v>292</v>
      </c>
      <c r="C193" s="26" t="s">
        <v>262</v>
      </c>
      <c r="E193" s="20" t="str">
        <f t="shared" si="18"/>
        <v/>
      </c>
      <c r="F193" s="21" t="str">
        <f>IF(OR(E193="",E193="!!!"),"",IF(NOT(ISNA(VLOOKUP(E193,E$1:E192,1,FALSE()))),"OLD",IF(AND(E193&lt;&gt;"",E193&lt;&gt;"!!!"),"NEW","")))</f>
        <v/>
      </c>
      <c r="G193" s="22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/>
      </c>
      <c r="H193" s="23" t="str">
        <f t="shared" ca="1" si="19"/>
        <v/>
      </c>
      <c r="I193" s="24" t="str">
        <f>IF(OR(E193="",E193="!!!",F193="NEW"),"",INDEX(B$2:B192,-1+SUMPRODUCT(MAX(ROW(E$2:E192)*(E193=E$2:E192)))))</f>
        <v/>
      </c>
      <c r="J193" s="24" t="str">
        <f ca="1">IF(OR(E193="",E193="!!!",F193="NEW"),"",COUNTBLANK(OFFSET(A$1,,,SUMPRODUCT(MAX(ROW(E$2:E193)*(E193=E$2:E193)))))-COUNTBLANK(OFFSET(A$1,,,SUMPRODUCT(MAX(ROW(E$1:E192)*(E2=E$1:E192))))))</f>
        <v/>
      </c>
      <c r="K193" s="24" t="str">
        <f>IF(OR(E193="",E193="!!!",F193="NEW"),"",INDEX(J$1:J192,SUMPRODUCT(MAX(ROW(E$1:E192)*(E193=E$1:E192)))))</f>
        <v/>
      </c>
      <c r="L193" s="25"/>
    </row>
    <row r="194" spans="1:12" x14ac:dyDescent="0.3">
      <c r="A194" t="s">
        <v>376</v>
      </c>
      <c r="E194" s="20" t="str">
        <f t="shared" si="18"/>
        <v/>
      </c>
      <c r="F194" s="21" t="str">
        <f>IF(OR(E194="",E194="!!!"),"",IF(NOT(ISNA(VLOOKUP(E194,E$1:E193,1,FALSE()))),"OLD",IF(AND(E194&lt;&gt;"",E194&lt;&gt;"!!!"),"NEW","")))</f>
        <v/>
      </c>
      <c r="G194" s="22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/>
      </c>
      <c r="H194" s="23" t="str">
        <f t="shared" ca="1" si="19"/>
        <v/>
      </c>
      <c r="I194" s="24" t="str">
        <f>IF(OR(E194="",E194="!!!",F194="NEW"),"",INDEX(B$2:B193,-1+SUMPRODUCT(MAX(ROW(E$2:E193)*(E194=E$2:E193)))))</f>
        <v/>
      </c>
      <c r="J194" s="24" t="str">
        <f ca="1">IF(OR(E194="",E194="!!!",F194="NEW"),"",COUNTBLANK(OFFSET(A$1,,,SUMPRODUCT(MAX(ROW(E$2:E194)*(E194=E$2:E194)))))-COUNTBLANK(OFFSET(A$1,,,SUMPRODUCT(MAX(ROW(E$1:E193)*(E2=E$1:E193))))))</f>
        <v/>
      </c>
      <c r="K194" s="24" t="str">
        <f>IF(OR(E194="",E194="!!!",F194="NEW"),"",INDEX(J$1:J193,SUMPRODUCT(MAX(ROW(E$1:E193)*(E194=E$1:E193)))))</f>
        <v/>
      </c>
      <c r="L194" s="25"/>
    </row>
    <row r="195" spans="1:12" x14ac:dyDescent="0.3">
      <c r="A195" t="s">
        <v>299</v>
      </c>
      <c r="B195" s="26" t="s">
        <v>243</v>
      </c>
      <c r="C195" s="26" t="s">
        <v>244</v>
      </c>
      <c r="D195" s="26" t="s">
        <v>240</v>
      </c>
      <c r="E195" s="20" t="str">
        <f t="shared" si="18"/>
        <v>!!!</v>
      </c>
      <c r="F195" s="21" t="str">
        <f>IF(OR(E195="",E195="!!!"),"",IF(NOT(ISNA(VLOOKUP(E195,E$1:E194,1,FALSE()))),"OLD",IF(AND(E195&lt;&gt;"",E195&lt;&gt;"!!!"),"NEW","")))</f>
        <v/>
      </c>
      <c r="G195" s="22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/>
      </c>
      <c r="H195" s="23" t="str">
        <f t="shared" ca="1" si="19"/>
        <v/>
      </c>
      <c r="I195" s="24" t="str">
        <f>IF(OR(E195="",E195="!!!",F195="NEW"),"",INDEX(B$2:B194,-1+SUMPRODUCT(MAX(ROW(E$2:E194)*(E195=E$2:E194)))))</f>
        <v/>
      </c>
      <c r="J195" s="24" t="str">
        <f ca="1">IF(OR(E195="",E195="!!!",F195="NEW"),"",COUNTBLANK(OFFSET(A$1,,,SUMPRODUCT(MAX(ROW(E$2:E195)*(E195=E$2:E195)))))-COUNTBLANK(OFFSET(A$1,,,SUMPRODUCT(MAX(ROW(E$1:E194)*(E2=E$1:E194))))))</f>
        <v/>
      </c>
      <c r="K195" s="24" t="str">
        <f>IF(OR(E195="",E195="!!!",F195="NEW"),"",INDEX(J$1:J194,SUMPRODUCT(MAX(ROW(E$1:E194)*(E195=E$1:E194)))))</f>
        <v/>
      </c>
      <c r="L195" s="25"/>
    </row>
    <row r="196" spans="1:12" x14ac:dyDescent="0.3">
      <c r="A196" t="s">
        <v>245</v>
      </c>
      <c r="E196" s="20" t="str">
        <f t="shared" si="18"/>
        <v/>
      </c>
      <c r="F196" s="21" t="str">
        <f>IF(OR(E196="",E196="!!!"),"",IF(NOT(ISNA(VLOOKUP(E196,E$1:E195,1,FALSE()))),"OLD",IF(AND(E196&lt;&gt;"",E196&lt;&gt;"!!!"),"NEW","")))</f>
        <v/>
      </c>
      <c r="G196" s="22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/>
      </c>
      <c r="H196" s="23" t="str">
        <f t="shared" ca="1" si="19"/>
        <v/>
      </c>
      <c r="I196" s="24" t="str">
        <f>IF(OR(E196="",E196="!!!",F196="NEW"),"",INDEX(B$2:B195,-1+SUMPRODUCT(MAX(ROW(E$2:E195)*(E196=E$2:E195)))))</f>
        <v/>
      </c>
      <c r="J196" s="24" t="str">
        <f ca="1">IF(OR(E196="",E196="!!!",F196="NEW"),"",COUNTBLANK(OFFSET(A$1,,,SUMPRODUCT(MAX(ROW(E$2:E196)*(E196=E$2:E196)))))-COUNTBLANK(OFFSET(A$1,,,SUMPRODUCT(MAX(ROW(E$1:E195)*(E2=E$1:E195))))))</f>
        <v/>
      </c>
      <c r="K196" s="24" t="str">
        <f>IF(OR(E196="",E196="!!!",F196="NEW"),"",INDEX(J$1:J195,SUMPRODUCT(MAX(ROW(E$1:E195)*(E196=E$1:E195)))))</f>
        <v/>
      </c>
      <c r="L196" s="25"/>
    </row>
    <row r="197" spans="1:12" x14ac:dyDescent="0.3">
      <c r="A197" t="s">
        <v>259</v>
      </c>
      <c r="E197" s="20" t="str">
        <f t="shared" si="18"/>
        <v/>
      </c>
      <c r="F197" s="21" t="str">
        <f>IF(OR(E197="",E197="!!!"),"",IF(NOT(ISNA(VLOOKUP(E197,E$1:E196,1,FALSE()))),"OLD",IF(AND(E197&lt;&gt;"",E197&lt;&gt;"!!!"),"NEW","")))</f>
        <v/>
      </c>
      <c r="G197" s="22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/>
      </c>
      <c r="H197" s="23" t="str">
        <f t="shared" ca="1" si="19"/>
        <v/>
      </c>
      <c r="I197" s="24" t="str">
        <f>IF(OR(E197="",E197="!!!",F197="NEW"),"",INDEX(B$2:B196,-1+SUMPRODUCT(MAX(ROW(E$2:E196)*(E197=E$2:E196)))))</f>
        <v/>
      </c>
      <c r="J197" s="24" t="str">
        <f ca="1">IF(OR(E197="",E197="!!!",F197="NEW"),"",COUNTBLANK(OFFSET(A$1,,,SUMPRODUCT(MAX(ROW(E$2:E197)*(E197=E$2:E197)))))-COUNTBLANK(OFFSET(A$1,,,SUMPRODUCT(MAX(ROW(E$1:E196)*(E2=E$1:E196))))))</f>
        <v/>
      </c>
      <c r="K197" s="24" t="str">
        <f>IF(OR(E197="",E197="!!!",F197="NEW"),"",INDEX(J$1:J196,SUMPRODUCT(MAX(ROW(E$1:E196)*(E197=E$1:E196)))))</f>
        <v/>
      </c>
      <c r="L197" s="25"/>
    </row>
    <row r="198" spans="1:12" x14ac:dyDescent="0.3">
      <c r="A198" t="s">
        <v>330</v>
      </c>
      <c r="E198" s="20" t="str">
        <f t="shared" si="18"/>
        <v/>
      </c>
      <c r="F198" s="21" t="str">
        <f>IF(OR(E198="",E198="!!!"),"",IF(NOT(ISNA(VLOOKUP(E198,E$1:E197,1,FALSE()))),"OLD",IF(AND(E198&lt;&gt;"",E198&lt;&gt;"!!!"),"NEW","")))</f>
        <v/>
      </c>
      <c r="G198" s="22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/>
      </c>
      <c r="H198" s="23" t="str">
        <f t="shared" ca="1" si="19"/>
        <v/>
      </c>
      <c r="I198" s="24" t="str">
        <f>IF(OR(E198="",E198="!!!",F198="NEW"),"",INDEX(B$2:B197,-1+SUMPRODUCT(MAX(ROW(E$2:E197)*(E198=E$2:E197)))))</f>
        <v/>
      </c>
      <c r="J198" s="24" t="str">
        <f ca="1">IF(OR(E198="",E198="!!!",F198="NEW"),"",COUNTBLANK(OFFSET(A$1,,,SUMPRODUCT(MAX(ROW(E$2:E198)*(E198=E$2:E198)))))-COUNTBLANK(OFFSET(A$1,,,SUMPRODUCT(MAX(ROW(E$1:E197)*(E2=E$1:E197))))))</f>
        <v/>
      </c>
      <c r="K198" s="24" t="str">
        <f>IF(OR(E198="",E198="!!!",F198="NEW"),"",INDEX(J$1:J197,SUMPRODUCT(MAX(ROW(E$1:E197)*(E198=E$1:E197)))))</f>
        <v/>
      </c>
      <c r="L198" s="25"/>
    </row>
    <row r="199" spans="1:12" x14ac:dyDescent="0.3">
      <c r="A199" t="s">
        <v>246</v>
      </c>
      <c r="B199" s="26" t="s">
        <v>238</v>
      </c>
      <c r="C199" s="26" t="s">
        <v>262</v>
      </c>
      <c r="E199" s="20" t="str">
        <f t="shared" si="18"/>
        <v/>
      </c>
      <c r="F199" s="21" t="str">
        <f>IF(OR(E199="",E199="!!!"),"",IF(NOT(ISNA(VLOOKUP(E199,E$1:E198,1,FALSE()))),"OLD",IF(AND(E199&lt;&gt;"",E199&lt;&gt;"!!!"),"NEW","")))</f>
        <v/>
      </c>
      <c r="G199" s="22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/>
      </c>
      <c r="H199" s="23" t="str">
        <f t="shared" ca="1" si="19"/>
        <v/>
      </c>
      <c r="I199" s="24" t="str">
        <f>IF(OR(E199="",E199="!!!",F199="NEW"),"",INDEX(B$2:B198,-1+SUMPRODUCT(MAX(ROW(E$2:E198)*(E199=E$2:E198)))))</f>
        <v/>
      </c>
      <c r="J199" s="24" t="str">
        <f ca="1">IF(OR(E199="",E199="!!!",F199="NEW"),"",COUNTBLANK(OFFSET(A$1,,,SUMPRODUCT(MAX(ROW(E$2:E199)*(E199=E$2:E199)))))-COUNTBLANK(OFFSET(A$1,,,SUMPRODUCT(MAX(ROW(E$1:E198)*(E2=E$1:E198))))))</f>
        <v/>
      </c>
      <c r="K199" s="24" t="str">
        <f>IF(OR(E199="",E199="!!!",F199="NEW"),"",INDEX(J$1:J198,SUMPRODUCT(MAX(ROW(E$1:E198)*(E199=E$1:E198)))))</f>
        <v/>
      </c>
      <c r="L199" s="25"/>
    </row>
    <row r="200" spans="1:12" x14ac:dyDescent="0.3">
      <c r="A200" t="s">
        <v>273</v>
      </c>
      <c r="E200" s="20" t="str">
        <f t="shared" si="18"/>
        <v/>
      </c>
      <c r="F200" s="21" t="str">
        <f>IF(OR(E200="",E200="!!!"),"",IF(NOT(ISNA(VLOOKUP(E200,E$1:E199,1,FALSE()))),"OLD",IF(AND(E200&lt;&gt;"",E200&lt;&gt;"!!!"),"NEW","")))</f>
        <v/>
      </c>
      <c r="G200" s="22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/>
      </c>
      <c r="H200" s="23" t="str">
        <f t="shared" ca="1" si="19"/>
        <v/>
      </c>
      <c r="I200" s="24" t="str">
        <f>IF(OR(E200="",E200="!!!",F200="NEW"),"",INDEX(B$2:B199,-1+SUMPRODUCT(MAX(ROW(E$2:E199)*(E200=E$2:E199)))))</f>
        <v/>
      </c>
      <c r="J200" s="24" t="str">
        <f ca="1">IF(OR(E200="",E200="!!!",F200="NEW"),"",COUNTBLANK(OFFSET(A$1,,,SUMPRODUCT(MAX(ROW(E$2:E200)*(E200=E$2:E200)))))-COUNTBLANK(OFFSET(A$1,,,SUMPRODUCT(MAX(ROW(E$1:E199)*(E2=E$1:E199))))))</f>
        <v/>
      </c>
      <c r="K200" s="24" t="str">
        <f>IF(OR(E200="",E200="!!!",F200="NEW"),"",INDEX(J$1:J199,SUMPRODUCT(MAX(ROW(E$1:E199)*(E200=E$1:E199)))))</f>
        <v/>
      </c>
      <c r="L200" s="25"/>
    </row>
    <row r="201" spans="1:12" x14ac:dyDescent="0.3">
      <c r="A201" t="s">
        <v>274</v>
      </c>
      <c r="E201" s="20" t="str">
        <f t="shared" si="18"/>
        <v/>
      </c>
      <c r="F201" s="21" t="str">
        <f>IF(OR(E201="",E201="!!!"),"",IF(NOT(ISNA(VLOOKUP(E201,E$1:E200,1,FALSE()))),"OLD",IF(AND(E201&lt;&gt;"",E201&lt;&gt;"!!!"),"NEW","")))</f>
        <v/>
      </c>
      <c r="G201" s="22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/>
      </c>
      <c r="H201" s="23" t="str">
        <f t="shared" ca="1" si="19"/>
        <v/>
      </c>
      <c r="I201" s="24" t="str">
        <f>IF(OR(E201="",E201="!!!",F201="NEW"),"",INDEX(B$2:B200,-1+SUMPRODUCT(MAX(ROW(E$2:E200)*(E201=E$2:E200)))))</f>
        <v/>
      </c>
      <c r="J201" s="24" t="str">
        <f ca="1">IF(OR(E201="",E201="!!!",F201="NEW"),"",COUNTBLANK(OFFSET(A$1,,,SUMPRODUCT(MAX(ROW(E$2:E201)*(E201=E$2:E201)))))-COUNTBLANK(OFFSET(A$1,,,SUMPRODUCT(MAX(ROW(E$1:E200)*(E2=E$1:E200))))))</f>
        <v/>
      </c>
      <c r="K201" s="24" t="str">
        <f>IF(OR(E201="",E201="!!!",F201="NEW"),"",INDEX(J$1:J200,SUMPRODUCT(MAX(ROW(E$1:E200)*(E201=E$1:E200)))))</f>
        <v/>
      </c>
      <c r="L201" s="25"/>
    </row>
    <row r="202" spans="1:12" x14ac:dyDescent="0.3">
      <c r="A202" t="s">
        <v>275</v>
      </c>
      <c r="B202" s="26" t="s">
        <v>261</v>
      </c>
      <c r="C202" s="26" t="s">
        <v>262</v>
      </c>
      <c r="E202" s="20" t="str">
        <f t="shared" si="18"/>
        <v/>
      </c>
      <c r="F202" s="21" t="str">
        <f>IF(OR(E202="",E202="!!!"),"",IF(NOT(ISNA(VLOOKUP(E202,E$1:E201,1,FALSE()))),"OLD",IF(AND(E202&lt;&gt;"",E202&lt;&gt;"!!!"),"NEW","")))</f>
        <v/>
      </c>
      <c r="G202" s="22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/>
      </c>
      <c r="H202" s="23" t="str">
        <f t="shared" ca="1" si="19"/>
        <v/>
      </c>
      <c r="I202" s="24" t="str">
        <f>IF(OR(E202="",E202="!!!",F202="NEW"),"",INDEX(B$2:B201,-1+SUMPRODUCT(MAX(ROW(E$2:E201)*(E202=E$2:E201)))))</f>
        <v/>
      </c>
      <c r="J202" s="24" t="str">
        <f ca="1">IF(OR(E202="",E202="!!!",F202="NEW"),"",COUNTBLANK(OFFSET(A$1,,,SUMPRODUCT(MAX(ROW(E$2:E202)*(E202=E$2:E202)))))-COUNTBLANK(OFFSET(A$1,,,SUMPRODUCT(MAX(ROW(E$1:E201)*(E2=E$1:E201))))))</f>
        <v/>
      </c>
      <c r="K202" s="24" t="str">
        <f>IF(OR(E202="",E202="!!!",F202="NEW"),"",INDEX(J$1:J201,SUMPRODUCT(MAX(ROW(E$1:E201)*(E202=E$1:E201)))))</f>
        <v/>
      </c>
      <c r="L202" s="25"/>
    </row>
    <row r="203" spans="1:12" x14ac:dyDescent="0.3">
      <c r="A203" t="s">
        <v>373</v>
      </c>
      <c r="E203" s="20" t="str">
        <f t="shared" si="18"/>
        <v/>
      </c>
      <c r="F203" s="21" t="str">
        <f>IF(OR(E203="",E203="!!!"),"",IF(NOT(ISNA(VLOOKUP(E203,E$1:E202,1,FALSE()))),"OLD",IF(AND(E203&lt;&gt;"",E203&lt;&gt;"!!!"),"NEW","")))</f>
        <v/>
      </c>
      <c r="G203" s="22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/>
      </c>
      <c r="H203" s="23" t="str">
        <f t="shared" ca="1" si="19"/>
        <v/>
      </c>
      <c r="I203" s="24" t="str">
        <f>IF(OR(E203="",E203="!!!",F203="NEW"),"",INDEX(B$2:B202,-1+SUMPRODUCT(MAX(ROW(E$2:E202)*(E203=E$2:E202)))))</f>
        <v/>
      </c>
      <c r="J203" s="24" t="str">
        <f ca="1">IF(OR(E203="",E203="!!!",F203="NEW"),"",COUNTBLANK(OFFSET(A$1,,,SUMPRODUCT(MAX(ROW(E$2:E203)*(E203=E$2:E203)))))-COUNTBLANK(OFFSET(A$1,,,SUMPRODUCT(MAX(ROW(E$1:E202)*(E2=E$1:E202))))))</f>
        <v/>
      </c>
      <c r="K203" s="24" t="str">
        <f>IF(OR(E203="",E203="!!!",F203="NEW"),"",INDEX(J$1:J202,SUMPRODUCT(MAX(ROW(E$1:E202)*(E203=E$1:E202)))))</f>
        <v/>
      </c>
      <c r="L203" s="25"/>
    </row>
    <row r="204" spans="1:12" x14ac:dyDescent="0.3">
      <c r="A204" t="s">
        <v>248</v>
      </c>
      <c r="E204" s="20" t="str">
        <f t="shared" si="18"/>
        <v/>
      </c>
      <c r="F204" s="21" t="str">
        <f>IF(OR(E204="",E204="!!!"),"",IF(NOT(ISNA(VLOOKUP(E204,E$1:E203,1,FALSE()))),"OLD",IF(AND(E204&lt;&gt;"",E204&lt;&gt;"!!!"),"NEW","")))</f>
        <v/>
      </c>
      <c r="G204" s="22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/>
      </c>
      <c r="H204" s="23" t="str">
        <f t="shared" ca="1" si="19"/>
        <v/>
      </c>
      <c r="I204" s="24" t="str">
        <f>IF(OR(E204="",E204="!!!",F204="NEW"),"",INDEX(B$2:B203,-1+SUMPRODUCT(MAX(ROW(E$2:E203)*(E204=E$2:E203)))))</f>
        <v/>
      </c>
      <c r="J204" s="24" t="str">
        <f ca="1">IF(OR(E204="",E204="!!!",F204="NEW"),"",COUNTBLANK(OFFSET(A$1,,,SUMPRODUCT(MAX(ROW(E$2:E204)*(E204=E$2:E204)))))-COUNTBLANK(OFFSET(A$1,,,SUMPRODUCT(MAX(ROW(E$1:E203)*(E2=E$1:E203))))))</f>
        <v/>
      </c>
      <c r="K204" s="24" t="str">
        <f>IF(OR(E204="",E204="!!!",F204="NEW"),"",INDEX(J$1:J203,SUMPRODUCT(MAX(ROW(E$1:E203)*(E204=E$1:E203)))))</f>
        <v/>
      </c>
      <c r="L204" s="25"/>
    </row>
    <row r="206" spans="1:12" x14ac:dyDescent="0.3">
      <c r="A206" t="s">
        <v>377</v>
      </c>
    </row>
    <row r="207" spans="1:12" x14ac:dyDescent="0.3">
      <c r="A207" t="s">
        <v>378</v>
      </c>
      <c r="E207" s="20" t="str">
        <f t="shared" ref="E207:E213" si="20">IF(D207="?OLD","!!!","")</f>
        <v/>
      </c>
      <c r="F207" s="21" t="str">
        <f>IF(OR(E207="",E207="!!!"),"",IF(NOT(ISNA(VLOOKUP(E207,E$1:E206,1,FALSE()))),"OLD",IF(AND(E207&lt;&gt;"",E207&lt;&gt;"!!!"),"NEW","")))</f>
        <v/>
      </c>
      <c r="G207" s="22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/>
      </c>
      <c r="H207" s="23" t="str">
        <f t="shared" ref="H207:H213" ca="1" si="21">IF(J207&lt;&gt;1,"",IF(I207="SBJ","CB","?"))</f>
        <v/>
      </c>
      <c r="I207" s="24" t="str">
        <f>IF(OR(E207="",E207="!!!",F207="NEW"),"",INDEX(B$2:B206,-1+SUMPRODUCT(MAX(ROW(E$2:E206)*(E207=E$2:E206)))))</f>
        <v/>
      </c>
      <c r="J207" s="24" t="str">
        <f ca="1">IF(OR(E207="",E207="!!!",F207="NEW"),"",COUNTBLANK(OFFSET(A$1,,,SUMPRODUCT(MAX(ROW(E$2:E207)*(E207=E$2:E207)))))-COUNTBLANK(OFFSET(A$1,,,SUMPRODUCT(MAX(ROW(E$1:E206)*(E2=E$1:E206))))))</f>
        <v/>
      </c>
      <c r="K207" s="24" t="str">
        <f>IF(OR(E207="",E207="!!!",F207="NEW"),"",INDEX(J$1:J206,SUMPRODUCT(MAX(ROW(E$1:E206)*(E207=E$1:E206)))))</f>
        <v/>
      </c>
      <c r="L207" s="25"/>
    </row>
    <row r="208" spans="1:12" x14ac:dyDescent="0.3">
      <c r="A208" t="s">
        <v>379</v>
      </c>
      <c r="E208" s="20" t="str">
        <f t="shared" si="20"/>
        <v/>
      </c>
      <c r="F208" s="21" t="str">
        <f>IF(OR(E208="",E208="!!!"),"",IF(NOT(ISNA(VLOOKUP(E208,E$1:E207,1,FALSE()))),"OLD",IF(AND(E208&lt;&gt;"",E208&lt;&gt;"!!!"),"NEW","")))</f>
        <v/>
      </c>
      <c r="G208" s="22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/>
      </c>
      <c r="H208" s="23" t="str">
        <f t="shared" ca="1" si="21"/>
        <v/>
      </c>
      <c r="I208" s="24" t="str">
        <f>IF(OR(E208="",E208="!!!",F208="NEW"),"",INDEX(B$2:B207,-1+SUMPRODUCT(MAX(ROW(E$2:E207)*(E208=E$2:E207)))))</f>
        <v/>
      </c>
      <c r="J208" s="24" t="str">
        <f ca="1">IF(OR(E208="",E208="!!!",F208="NEW"),"",COUNTBLANK(OFFSET(A$1,,,SUMPRODUCT(MAX(ROW(E$2:E208)*(E208=E$2:E208)))))-COUNTBLANK(OFFSET(A$1,,,SUMPRODUCT(MAX(ROW(E$1:E207)*(E2=E$1:E207))))))</f>
        <v/>
      </c>
      <c r="K208" s="24" t="str">
        <f>IF(OR(E208="",E208="!!!",F208="NEW"),"",INDEX(J$1:J207,SUMPRODUCT(MAX(ROW(E$1:E207)*(E208=E$1:E207)))))</f>
        <v/>
      </c>
      <c r="L208" s="25"/>
    </row>
    <row r="209" spans="1:12" x14ac:dyDescent="0.3">
      <c r="A209" t="s">
        <v>242</v>
      </c>
      <c r="E209" s="20" t="str">
        <f t="shared" si="20"/>
        <v/>
      </c>
      <c r="F209" s="21" t="str">
        <f>IF(OR(E209="",E209="!!!"),"",IF(NOT(ISNA(VLOOKUP(E209,E$1:E208,1,FALSE()))),"OLD",IF(AND(E209&lt;&gt;"",E209&lt;&gt;"!!!"),"NEW","")))</f>
        <v/>
      </c>
      <c r="G209" s="22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/>
      </c>
      <c r="H209" s="23" t="str">
        <f t="shared" ca="1" si="21"/>
        <v/>
      </c>
      <c r="I209" s="24" t="str">
        <f>IF(OR(E209="",E209="!!!",F209="NEW"),"",INDEX(B$2:B208,-1+SUMPRODUCT(MAX(ROW(E$2:E208)*(E209=E$2:E208)))))</f>
        <v/>
      </c>
      <c r="J209" s="24" t="str">
        <f ca="1">IF(OR(E209="",E209="!!!",F209="NEW"),"",COUNTBLANK(OFFSET(A$1,,,SUMPRODUCT(MAX(ROW(E$2:E209)*(E209=E$2:E209)))))-COUNTBLANK(OFFSET(A$1,,,SUMPRODUCT(MAX(ROW(E$1:E208)*(E2=E$1:E208))))))</f>
        <v/>
      </c>
      <c r="K209" s="24" t="str">
        <f>IF(OR(E209="",E209="!!!",F209="NEW"),"",INDEX(J$1:J208,SUMPRODUCT(MAX(ROW(E$1:E208)*(E209=E$1:E208)))))</f>
        <v/>
      </c>
      <c r="L209" s="25"/>
    </row>
    <row r="210" spans="1:12" x14ac:dyDescent="0.3">
      <c r="A210" t="s">
        <v>267</v>
      </c>
      <c r="B210" s="26" t="s">
        <v>255</v>
      </c>
      <c r="E210" s="20" t="str">
        <f t="shared" si="20"/>
        <v/>
      </c>
      <c r="F210" s="21" t="str">
        <f>IF(OR(E210="",E210="!!!"),"",IF(NOT(ISNA(VLOOKUP(E210,E$1:E209,1,FALSE()))),"OLD",IF(AND(E210&lt;&gt;"",E210&lt;&gt;"!!!"),"NEW","")))</f>
        <v/>
      </c>
      <c r="G210" s="22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/>
      </c>
      <c r="H210" s="23" t="str">
        <f t="shared" ca="1" si="21"/>
        <v/>
      </c>
      <c r="I210" s="24" t="str">
        <f>IF(OR(E210="",E210="!!!",F210="NEW"),"",INDEX(B$2:B209,-1+SUMPRODUCT(MAX(ROW(E$2:E209)*(E210=E$2:E209)))))</f>
        <v/>
      </c>
      <c r="J210" s="24" t="str">
        <f ca="1">IF(OR(E210="",E210="!!!",F210="NEW"),"",COUNTBLANK(OFFSET(A$1,,,SUMPRODUCT(MAX(ROW(E$2:E210)*(E210=E$2:E210)))))-COUNTBLANK(OFFSET(A$1,,,SUMPRODUCT(MAX(ROW(E$1:E209)*(E2=E$1:E209))))))</f>
        <v/>
      </c>
      <c r="K210" s="24" t="str">
        <f>IF(OR(E210="",E210="!!!",F210="NEW"),"",INDEX(J$1:J209,SUMPRODUCT(MAX(ROW(E$1:E209)*(E210=E$1:E209)))))</f>
        <v/>
      </c>
      <c r="L210" s="25"/>
    </row>
    <row r="211" spans="1:12" x14ac:dyDescent="0.3">
      <c r="A211" t="s">
        <v>338</v>
      </c>
      <c r="E211" s="20" t="str">
        <f t="shared" si="20"/>
        <v/>
      </c>
      <c r="F211" s="21" t="str">
        <f>IF(OR(E211="",E211="!!!"),"",IF(NOT(ISNA(VLOOKUP(E211,E$1:E210,1,FALSE()))),"OLD",IF(AND(E211&lt;&gt;"",E211&lt;&gt;"!!!"),"NEW","")))</f>
        <v/>
      </c>
      <c r="G211" s="22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/>
      </c>
      <c r="H211" s="23" t="str">
        <f t="shared" ca="1" si="21"/>
        <v/>
      </c>
      <c r="I211" s="24" t="str">
        <f>IF(OR(E211="",E211="!!!",F211="NEW"),"",INDEX(B$2:B210,-1+SUMPRODUCT(MAX(ROW(E$2:E210)*(E211=E$2:E210)))))</f>
        <v/>
      </c>
      <c r="J211" s="24" t="str">
        <f ca="1">IF(OR(E211="",E211="!!!",F211="NEW"),"",COUNTBLANK(OFFSET(A$1,,,SUMPRODUCT(MAX(ROW(E$2:E211)*(E211=E$2:E211)))))-COUNTBLANK(OFFSET(A$1,,,SUMPRODUCT(MAX(ROW(E$1:E210)*(E2=E$1:E210))))))</f>
        <v/>
      </c>
      <c r="K211" s="24" t="str">
        <f>IF(OR(E211="",E211="!!!",F211="NEW"),"",INDEX(J$1:J210,SUMPRODUCT(MAX(ROW(E$1:E210)*(E211=E$1:E210)))))</f>
        <v/>
      </c>
      <c r="L211" s="25"/>
    </row>
    <row r="212" spans="1:12" x14ac:dyDescent="0.3">
      <c r="A212" t="s">
        <v>380</v>
      </c>
      <c r="E212" s="20" t="str">
        <f t="shared" si="20"/>
        <v/>
      </c>
      <c r="F212" s="21" t="str">
        <f>IF(OR(E212="",E212="!!!"),"",IF(NOT(ISNA(VLOOKUP(E212,E$1:E211,1,FALSE()))),"OLD",IF(AND(E212&lt;&gt;"",E212&lt;&gt;"!!!"),"NEW","")))</f>
        <v/>
      </c>
      <c r="G212" s="22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/>
      </c>
      <c r="H212" s="23" t="str">
        <f t="shared" ca="1" si="21"/>
        <v/>
      </c>
      <c r="I212" s="24" t="str">
        <f>IF(OR(E212="",E212="!!!",F212="NEW"),"",INDEX(B$2:B211,-1+SUMPRODUCT(MAX(ROW(E$2:E211)*(E212=E$2:E211)))))</f>
        <v/>
      </c>
      <c r="J212" s="24" t="str">
        <f ca="1">IF(OR(E212="",E212="!!!",F212="NEW"),"",COUNTBLANK(OFFSET(A$1,,,SUMPRODUCT(MAX(ROW(E$2:E212)*(E212=E$2:E212)))))-COUNTBLANK(OFFSET(A$1,,,SUMPRODUCT(MAX(ROW(E$1:E211)*(E2=E$1:E211))))))</f>
        <v/>
      </c>
      <c r="K212" s="24" t="str">
        <f>IF(OR(E212="",E212="!!!",F212="NEW"),"",INDEX(J$1:J211,SUMPRODUCT(MAX(ROW(E$1:E211)*(E212=E$1:E211)))))</f>
        <v/>
      </c>
      <c r="L212" s="25"/>
    </row>
    <row r="213" spans="1:12" x14ac:dyDescent="0.3">
      <c r="A213" t="s">
        <v>381</v>
      </c>
      <c r="E213" s="20" t="str">
        <f t="shared" si="20"/>
        <v/>
      </c>
      <c r="F213" s="21" t="str">
        <f>IF(OR(E213="",E213="!!!"),"",IF(NOT(ISNA(VLOOKUP(E213,E$1:E212,1,FALSE()))),"OLD",IF(AND(E213&lt;&gt;"",E213&lt;&gt;"!!!"),"NEW","")))</f>
        <v/>
      </c>
      <c r="G213" s="22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/>
      </c>
      <c r="H213" s="23" t="str">
        <f t="shared" ca="1" si="21"/>
        <v/>
      </c>
      <c r="I213" s="24" t="str">
        <f>IF(OR(E213="",E213="!!!",F213="NEW"),"",INDEX(B$2:B212,-1+SUMPRODUCT(MAX(ROW(E$2:E212)*(E213=E$2:E212)))))</f>
        <v/>
      </c>
      <c r="J213" s="24" t="str">
        <f ca="1">IF(OR(E213="",E213="!!!",F213="NEW"),"",COUNTBLANK(OFFSET(A$1,,,SUMPRODUCT(MAX(ROW(E$2:E213)*(E213=E$2:E213)))))-COUNTBLANK(OFFSET(A$1,,,SUMPRODUCT(MAX(ROW(E$1:E212)*(E2=E$1:E212))))))</f>
        <v/>
      </c>
      <c r="K213" s="24" t="str">
        <f>IF(OR(E213="",E213="!!!",F213="NEW"),"",INDEX(J$1:J212,SUMPRODUCT(MAX(ROW(E$1:E212)*(E213=E$1:E212)))))</f>
        <v/>
      </c>
      <c r="L213" s="25"/>
    </row>
    <row r="215" spans="1:12" x14ac:dyDescent="0.3">
      <c r="A215" t="s">
        <v>382</v>
      </c>
    </row>
    <row r="216" spans="1:12" x14ac:dyDescent="0.3">
      <c r="A216" t="s">
        <v>378</v>
      </c>
      <c r="E216" s="20" t="str">
        <f>IF(D216="?OLD","!!!","")</f>
        <v/>
      </c>
      <c r="F216" s="21" t="str">
        <f>IF(OR(E216="",E216="!!!"),"",IF(NOT(ISNA(VLOOKUP(E216,E$1:E215,1,FALSE()))),"OLD",IF(AND(E216&lt;&gt;"",E216&lt;&gt;"!!!"),"NEW","")))</f>
        <v/>
      </c>
      <c r="G216" s="22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/>
      </c>
      <c r="H216" s="23" t="str">
        <f ca="1">IF(J216&lt;&gt;1,"",IF(I216="SBJ","CB","?"))</f>
        <v/>
      </c>
      <c r="I216" s="24" t="str">
        <f>IF(OR(E216="",E216="!!!",F216="NEW"),"",INDEX(B$2:B215,-1+SUMPRODUCT(MAX(ROW(E$2:E215)*(E216=E$2:E215)))))</f>
        <v/>
      </c>
      <c r="J216" s="24" t="str">
        <f ca="1">IF(OR(E216="",E216="!!!",F216="NEW"),"",COUNTBLANK(OFFSET(A$1,,,SUMPRODUCT(MAX(ROW(E$2:E216)*(E216=E$2:E216)))))-COUNTBLANK(OFFSET(A$1,,,SUMPRODUCT(MAX(ROW(E$1:E215)*(E2=E$1:E215))))))</f>
        <v/>
      </c>
      <c r="K216" s="24" t="str">
        <f>IF(OR(E216="",E216="!!!",F216="NEW"),"",INDEX(J$1:J215,SUMPRODUCT(MAX(ROW(E$1:E215)*(E216=E$1:E215)))))</f>
        <v/>
      </c>
      <c r="L216" s="25"/>
    </row>
    <row r="217" spans="1:12" x14ac:dyDescent="0.3">
      <c r="A217" t="s">
        <v>347</v>
      </c>
      <c r="E217" s="20" t="str">
        <f>IF(D217="?OLD","!!!","")</f>
        <v/>
      </c>
      <c r="F217" s="21" t="str">
        <f>IF(OR(E217="",E217="!!!"),"",IF(NOT(ISNA(VLOOKUP(E217,E$1:E216,1,FALSE()))),"OLD",IF(AND(E217&lt;&gt;"",E217&lt;&gt;"!!!"),"NEW","")))</f>
        <v/>
      </c>
      <c r="G217" s="22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/>
      </c>
      <c r="H217" s="23" t="str">
        <f ca="1">IF(J217&lt;&gt;1,"",IF(I217="SBJ","CB","?"))</f>
        <v/>
      </c>
      <c r="I217" s="24" t="str">
        <f>IF(OR(E217="",E217="!!!",F217="NEW"),"",INDEX(B$2:B216,-1+SUMPRODUCT(MAX(ROW(E$2:E216)*(E217=E$2:E216)))))</f>
        <v/>
      </c>
      <c r="J217" s="24" t="str">
        <f ca="1">IF(OR(E217="",E217="!!!",F217="NEW"),"",COUNTBLANK(OFFSET(A$1,,,SUMPRODUCT(MAX(ROW(E$2:E217)*(E217=E$2:E217)))))-COUNTBLANK(OFFSET(A$1,,,SUMPRODUCT(MAX(ROW(E$1:E216)*(E2=E$1:E216))))))</f>
        <v/>
      </c>
      <c r="K217" s="24" t="str">
        <f>IF(OR(E217="",E217="!!!",F217="NEW"),"",INDEX(J$1:J216,SUMPRODUCT(MAX(ROW(E$1:E216)*(E217=E$1:E216)))))</f>
        <v/>
      </c>
      <c r="L217" s="25"/>
    </row>
    <row r="218" spans="1:12" x14ac:dyDescent="0.3">
      <c r="A218" t="s">
        <v>267</v>
      </c>
      <c r="B218" s="26" t="s">
        <v>243</v>
      </c>
      <c r="E218" s="20" t="str">
        <f>IF(D218="?OLD","!!!","")</f>
        <v/>
      </c>
      <c r="F218" s="21" t="str">
        <f>IF(OR(E218="",E218="!!!"),"",IF(NOT(ISNA(VLOOKUP(E218,E$1:E217,1,FALSE()))),"OLD",IF(AND(E218&lt;&gt;"",E218&lt;&gt;"!!!"),"NEW","")))</f>
        <v/>
      </c>
      <c r="G218" s="22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/>
      </c>
      <c r="H218" s="23" t="str">
        <f ca="1">IF(J218&lt;&gt;1,"",IF(I218="SBJ","CB","?"))</f>
        <v/>
      </c>
      <c r="I218" s="24" t="str">
        <f>IF(OR(E218="",E218="!!!",F218="NEW"),"",INDEX(B$2:B217,-1+SUMPRODUCT(MAX(ROW(E$2:E217)*(E218=E$2:E217)))))</f>
        <v/>
      </c>
      <c r="J218" s="24" t="str">
        <f ca="1">IF(OR(E218="",E218="!!!",F218="NEW"),"",COUNTBLANK(OFFSET(A$1,,,SUMPRODUCT(MAX(ROW(E$2:E218)*(E218=E$2:E218)))))-COUNTBLANK(OFFSET(A$1,,,SUMPRODUCT(MAX(ROW(E$1:E217)*(E2=E$1:E217))))))</f>
        <v/>
      </c>
      <c r="K218" s="24" t="str">
        <f>IF(OR(E218="",E218="!!!",F218="NEW"),"",INDEX(J$1:J217,SUMPRODUCT(MAX(ROW(E$1:E217)*(E218=E$1:E217)))))</f>
        <v/>
      </c>
      <c r="L218" s="25"/>
    </row>
    <row r="219" spans="1:12" x14ac:dyDescent="0.3">
      <c r="A219" t="s">
        <v>383</v>
      </c>
      <c r="E219" s="20" t="str">
        <f>IF(D219="?OLD","!!!","")</f>
        <v/>
      </c>
      <c r="F219" s="21" t="str">
        <f>IF(OR(E219="",E219="!!!"),"",IF(NOT(ISNA(VLOOKUP(E219,E$1:E218,1,FALSE()))),"OLD",IF(AND(E219&lt;&gt;"",E219&lt;&gt;"!!!"),"NEW","")))</f>
        <v/>
      </c>
      <c r="G219" s="22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/>
      </c>
      <c r="H219" s="23" t="str">
        <f ca="1">IF(J219&lt;&gt;1,"",IF(I219="SBJ","CB","?"))</f>
        <v/>
      </c>
      <c r="I219" s="24" t="str">
        <f>IF(OR(E219="",E219="!!!",F219="NEW"),"",INDEX(B$2:B218,-1+SUMPRODUCT(MAX(ROW(E$2:E218)*(E219=E$2:E218)))))</f>
        <v/>
      </c>
      <c r="J219" s="24" t="str">
        <f ca="1">IF(OR(E219="",E219="!!!",F219="NEW"),"",COUNTBLANK(OFFSET(A$1,,,SUMPRODUCT(MAX(ROW(E$2:E219)*(E219=E$2:E219)))))-COUNTBLANK(OFFSET(A$1,,,SUMPRODUCT(MAX(ROW(E$1:E218)*(E2=E$1:E218))))))</f>
        <v/>
      </c>
      <c r="K219" s="24" t="str">
        <f>IF(OR(E219="",E219="!!!",F219="NEW"),"",INDEX(J$1:J218,SUMPRODUCT(MAX(ROW(E$1:E218)*(E219=E$1:E218)))))</f>
        <v/>
      </c>
      <c r="L219" s="25"/>
    </row>
    <row r="220" spans="1:12" x14ac:dyDescent="0.3">
      <c r="A220" t="s">
        <v>381</v>
      </c>
      <c r="E220" s="20" t="str">
        <f>IF(D220="?OLD","!!!","")</f>
        <v/>
      </c>
      <c r="F220" s="21" t="str">
        <f>IF(OR(E220="",E220="!!!"),"",IF(NOT(ISNA(VLOOKUP(E220,E$1:E219,1,FALSE()))),"OLD",IF(AND(E220&lt;&gt;"",E220&lt;&gt;"!!!"),"NEW","")))</f>
        <v/>
      </c>
      <c r="G220" s="22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/>
      </c>
      <c r="H220" s="23" t="str">
        <f ca="1">IF(J220&lt;&gt;1,"",IF(I220="SBJ","CB","?"))</f>
        <v/>
      </c>
      <c r="I220" s="24" t="str">
        <f>IF(OR(E220="",E220="!!!",F220="NEW"),"",INDEX(B$2:B219,-1+SUMPRODUCT(MAX(ROW(E$2:E219)*(E220=E$2:E219)))))</f>
        <v/>
      </c>
      <c r="J220" s="24" t="str">
        <f ca="1">IF(OR(E220="",E220="!!!",F220="NEW"),"",COUNTBLANK(OFFSET(A$1,,,SUMPRODUCT(MAX(ROW(E$2:E220)*(E220=E$2:E220)))))-COUNTBLANK(OFFSET(A$1,,,SUMPRODUCT(MAX(ROW(E$1:E219)*(E2=E$1:E219))))))</f>
        <v/>
      </c>
      <c r="K220" s="24" t="str">
        <f>IF(OR(E220="",E220="!!!",F220="NEW"),"",INDEX(J$1:J219,SUMPRODUCT(MAX(ROW(E$1:E219)*(E220=E$1:E219)))))</f>
        <v/>
      </c>
      <c r="L220" s="25"/>
    </row>
    <row r="222" spans="1:12" x14ac:dyDescent="0.3">
      <c r="A222" t="s">
        <v>384</v>
      </c>
    </row>
    <row r="223" spans="1:12" x14ac:dyDescent="0.3">
      <c r="A223" t="s">
        <v>385</v>
      </c>
      <c r="B223" s="26" t="s">
        <v>292</v>
      </c>
      <c r="C223" s="26" t="s">
        <v>247</v>
      </c>
      <c r="E223" s="20" t="str">
        <f t="shared" ref="E223:E246" si="22">IF(D223="?OLD","!!!","")</f>
        <v/>
      </c>
      <c r="F223" s="21" t="str">
        <f>IF(OR(E223="",E223="!!!"),"",IF(NOT(ISNA(VLOOKUP(E223,E$1:E222,1,FALSE()))),"OLD",IF(AND(E223&lt;&gt;"",E223&lt;&gt;"!!!"),"NEW","")))</f>
        <v/>
      </c>
      <c r="G223" s="22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/>
      </c>
      <c r="H223" s="23" t="str">
        <f t="shared" ref="H223:H246" ca="1" si="23">IF(J223&lt;&gt;1,"",IF(I223="SBJ","CB","?"))</f>
        <v/>
      </c>
      <c r="I223" s="24" t="str">
        <f>IF(OR(E223="",E223="!!!",F223="NEW"),"",INDEX(B$2:B222,-1+SUMPRODUCT(MAX(ROW(E$2:E222)*(E223=E$2:E222)))))</f>
        <v/>
      </c>
      <c r="J223" s="24" t="str">
        <f ca="1">IF(OR(E223="",E223="!!!",F223="NEW"),"",COUNTBLANK(OFFSET(A$1,,,SUMPRODUCT(MAX(ROW(E$2:E223)*(E223=E$2:E223)))))-COUNTBLANK(OFFSET(A$1,,,SUMPRODUCT(MAX(ROW(E$1:E222)*(E2=E$1:E222))))))</f>
        <v/>
      </c>
      <c r="K223" s="24" t="str">
        <f>IF(OR(E223="",E223="!!!",F223="NEW"),"",INDEX(J$1:J222,SUMPRODUCT(MAX(ROW(E$1:E222)*(E223=E$1:E222)))))</f>
        <v/>
      </c>
      <c r="L223" s="25"/>
    </row>
    <row r="224" spans="1:12" x14ac:dyDescent="0.3">
      <c r="A224" t="s">
        <v>324</v>
      </c>
      <c r="B224" s="26" t="s">
        <v>255</v>
      </c>
      <c r="C224" s="26" t="s">
        <v>244</v>
      </c>
      <c r="D224" s="26" t="s">
        <v>240</v>
      </c>
      <c r="E224" s="20" t="str">
        <f t="shared" si="22"/>
        <v>!!!</v>
      </c>
      <c r="F224" s="21" t="str">
        <f>IF(OR(E224="",E224="!!!"),"",IF(NOT(ISNA(VLOOKUP(E224,E$1:E223,1,FALSE()))),"OLD",IF(AND(E224&lt;&gt;"",E224&lt;&gt;"!!!"),"NEW","")))</f>
        <v/>
      </c>
      <c r="G224" s="22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/>
      </c>
      <c r="H224" s="23" t="str">
        <f t="shared" ca="1" si="23"/>
        <v/>
      </c>
      <c r="I224" s="24" t="str">
        <f>IF(OR(E224="",E224="!!!",F224="NEW"),"",INDEX(B$2:B223,-1+SUMPRODUCT(MAX(ROW(E$2:E223)*(E224=E$2:E223)))))</f>
        <v/>
      </c>
      <c r="J224" s="24" t="str">
        <f ca="1">IF(OR(E224="",E224="!!!",F224="NEW"),"",COUNTBLANK(OFFSET(A$1,,,SUMPRODUCT(MAX(ROW(E$2:E224)*(E224=E$2:E224)))))-COUNTBLANK(OFFSET(A$1,,,SUMPRODUCT(MAX(ROW(E$1:E223)*(E2=E$1:E223))))))</f>
        <v/>
      </c>
      <c r="K224" s="24" t="str">
        <f>IF(OR(E224="",E224="!!!",F224="NEW"),"",INDEX(J$1:J223,SUMPRODUCT(MAX(ROW(E$1:E223)*(E224=E$1:E223)))))</f>
        <v/>
      </c>
      <c r="L224" s="25"/>
    </row>
    <row r="225" spans="1:12" x14ac:dyDescent="0.3">
      <c r="A225" t="s">
        <v>386</v>
      </c>
      <c r="B225" s="26" t="s">
        <v>265</v>
      </c>
      <c r="E225" s="20" t="str">
        <f t="shared" si="22"/>
        <v/>
      </c>
      <c r="F225" s="21" t="str">
        <f>IF(OR(E225="",E225="!!!"),"",IF(NOT(ISNA(VLOOKUP(E225,E$1:E224,1,FALSE()))),"OLD",IF(AND(E225&lt;&gt;"",E225&lt;&gt;"!!!"),"NEW","")))</f>
        <v/>
      </c>
      <c r="G225" s="22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/>
      </c>
      <c r="H225" s="23" t="str">
        <f t="shared" ca="1" si="23"/>
        <v/>
      </c>
      <c r="I225" s="24" t="str">
        <f>IF(OR(E225="",E225="!!!",F225="NEW"),"",INDEX(B$2:B224,-1+SUMPRODUCT(MAX(ROW(E$2:E224)*(E225=E$2:E224)))))</f>
        <v/>
      </c>
      <c r="J225" s="24" t="str">
        <f ca="1">IF(OR(E225="",E225="!!!",F225="NEW"),"",COUNTBLANK(OFFSET(A$1,,,SUMPRODUCT(MAX(ROW(E$2:E225)*(E225=E$2:E225)))))-COUNTBLANK(OFFSET(A$1,,,SUMPRODUCT(MAX(ROW(E$1:E224)*(E2=E$1:E224))))))</f>
        <v/>
      </c>
      <c r="K225" s="24" t="str">
        <f>IF(OR(E225="",E225="!!!",F225="NEW"),"",INDEX(J$1:J224,SUMPRODUCT(MAX(ROW(E$1:E224)*(E225=E$1:E224)))))</f>
        <v/>
      </c>
      <c r="L225" s="25"/>
    </row>
    <row r="226" spans="1:12" x14ac:dyDescent="0.3">
      <c r="A226" t="s">
        <v>387</v>
      </c>
      <c r="E226" s="20" t="str">
        <f t="shared" si="22"/>
        <v/>
      </c>
      <c r="F226" s="21" t="str">
        <f>IF(OR(E226="",E226="!!!"),"",IF(NOT(ISNA(VLOOKUP(E226,E$1:E225,1,FALSE()))),"OLD",IF(AND(E226&lt;&gt;"",E226&lt;&gt;"!!!"),"NEW","")))</f>
        <v/>
      </c>
      <c r="G226" s="22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/>
      </c>
      <c r="H226" s="23" t="str">
        <f t="shared" ca="1" si="23"/>
        <v/>
      </c>
      <c r="I226" s="24" t="str">
        <f>IF(OR(E226="",E226="!!!",F226="NEW"),"",INDEX(B$2:B225,-1+SUMPRODUCT(MAX(ROW(E$2:E225)*(E226=E$2:E225)))))</f>
        <v/>
      </c>
      <c r="J226" s="24" t="str">
        <f ca="1">IF(OR(E226="",E226="!!!",F226="NEW"),"",COUNTBLANK(OFFSET(A$1,,,SUMPRODUCT(MAX(ROW(E$2:E226)*(E226=E$2:E226)))))-COUNTBLANK(OFFSET(A$1,,,SUMPRODUCT(MAX(ROW(E$1:E225)*(E2=E$1:E225))))))</f>
        <v/>
      </c>
      <c r="K226" s="24" t="str">
        <f>IF(OR(E226="",E226="!!!",F226="NEW"),"",INDEX(J$1:J225,SUMPRODUCT(MAX(ROW(E$1:E225)*(E226=E$1:E225)))))</f>
        <v/>
      </c>
      <c r="L226" s="25"/>
    </row>
    <row r="227" spans="1:12" x14ac:dyDescent="0.3">
      <c r="A227" t="s">
        <v>252</v>
      </c>
      <c r="E227" s="20" t="str">
        <f t="shared" si="22"/>
        <v/>
      </c>
      <c r="F227" s="21" t="str">
        <f>IF(OR(E227="",E227="!!!"),"",IF(NOT(ISNA(VLOOKUP(E227,E$1:E226,1,FALSE()))),"OLD",IF(AND(E227&lt;&gt;"",E227&lt;&gt;"!!!"),"NEW","")))</f>
        <v/>
      </c>
      <c r="G227" s="22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/>
      </c>
      <c r="H227" s="23" t="str">
        <f t="shared" ca="1" si="23"/>
        <v/>
      </c>
      <c r="I227" s="24" t="str">
        <f>IF(OR(E227="",E227="!!!",F227="NEW"),"",INDEX(B$2:B226,-1+SUMPRODUCT(MAX(ROW(E$2:E226)*(E227=E$2:E226)))))</f>
        <v/>
      </c>
      <c r="J227" s="24" t="str">
        <f ca="1">IF(OR(E227="",E227="!!!",F227="NEW"),"",COUNTBLANK(OFFSET(A$1,,,SUMPRODUCT(MAX(ROW(E$2:E227)*(E227=E$2:E227)))))-COUNTBLANK(OFFSET(A$1,,,SUMPRODUCT(MAX(ROW(E$1:E226)*(E2=E$1:E226))))))</f>
        <v/>
      </c>
      <c r="K227" s="24" t="str">
        <f>IF(OR(E227="",E227="!!!",F227="NEW"),"",INDEX(J$1:J226,SUMPRODUCT(MAX(ROW(E$1:E226)*(E227=E$1:E226)))))</f>
        <v/>
      </c>
      <c r="L227" s="25"/>
    </row>
    <row r="228" spans="1:12" x14ac:dyDescent="0.3">
      <c r="A228" t="s">
        <v>254</v>
      </c>
      <c r="B228" s="26" t="s">
        <v>282</v>
      </c>
      <c r="C228" s="26" t="s">
        <v>256</v>
      </c>
      <c r="D228" s="26" t="s">
        <v>240</v>
      </c>
      <c r="E228" s="20" t="str">
        <f t="shared" si="22"/>
        <v>!!!</v>
      </c>
      <c r="F228" s="21" t="str">
        <f>IF(OR(E228="",E228="!!!"),"",IF(NOT(ISNA(VLOOKUP(E228,E$1:E227,1,FALSE()))),"OLD",IF(AND(E228&lt;&gt;"",E228&lt;&gt;"!!!"),"NEW","")))</f>
        <v/>
      </c>
      <c r="G228" s="22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/>
      </c>
      <c r="H228" s="23" t="str">
        <f t="shared" ca="1" si="23"/>
        <v/>
      </c>
      <c r="I228" s="24" t="str">
        <f>IF(OR(E228="",E228="!!!",F228="NEW"),"",INDEX(B$2:B227,-1+SUMPRODUCT(MAX(ROW(E$2:E227)*(E228=E$2:E227)))))</f>
        <v/>
      </c>
      <c r="J228" s="24" t="str">
        <f ca="1">IF(OR(E228="",E228="!!!",F228="NEW"),"",COUNTBLANK(OFFSET(A$1,,,SUMPRODUCT(MAX(ROW(E$2:E228)*(E228=E$2:E228)))))-COUNTBLANK(OFFSET(A$1,,,SUMPRODUCT(MAX(ROW(E$1:E227)*(E2=E$1:E227))))))</f>
        <v/>
      </c>
      <c r="K228" s="24" t="str">
        <f>IF(OR(E228="",E228="!!!",F228="NEW"),"",INDEX(J$1:J227,SUMPRODUCT(MAX(ROW(E$1:E227)*(E228=E$1:E227)))))</f>
        <v/>
      </c>
      <c r="L228" s="25"/>
    </row>
    <row r="229" spans="1:12" x14ac:dyDescent="0.3">
      <c r="A229" t="s">
        <v>388</v>
      </c>
      <c r="E229" s="20" t="str">
        <f t="shared" si="22"/>
        <v/>
      </c>
      <c r="F229" s="21" t="str">
        <f>IF(OR(E229="",E229="!!!"),"",IF(NOT(ISNA(VLOOKUP(E229,E$1:E228,1,FALSE()))),"OLD",IF(AND(E229&lt;&gt;"",E229&lt;&gt;"!!!"),"NEW","")))</f>
        <v/>
      </c>
      <c r="G229" s="22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/>
      </c>
      <c r="H229" s="23" t="str">
        <f t="shared" ca="1" si="23"/>
        <v/>
      </c>
      <c r="I229" s="24" t="str">
        <f>IF(OR(E229="",E229="!!!",F229="NEW"),"",INDEX(B$2:B228,-1+SUMPRODUCT(MAX(ROW(E$2:E228)*(E229=E$2:E228)))))</f>
        <v/>
      </c>
      <c r="J229" s="24" t="str">
        <f ca="1">IF(OR(E229="",E229="!!!",F229="NEW"),"",COUNTBLANK(OFFSET(A$1,,,SUMPRODUCT(MAX(ROW(E$2:E229)*(E229=E$2:E229)))))-COUNTBLANK(OFFSET(A$1,,,SUMPRODUCT(MAX(ROW(E$1:E228)*(E2=E$1:E228))))))</f>
        <v/>
      </c>
      <c r="K229" s="24" t="str">
        <f>IF(OR(E229="",E229="!!!",F229="NEW"),"",INDEX(J$1:J228,SUMPRODUCT(MAX(ROW(E$1:E228)*(E229=E$1:E228)))))</f>
        <v/>
      </c>
      <c r="L229" s="25"/>
    </row>
    <row r="230" spans="1:12" x14ac:dyDescent="0.3">
      <c r="A230" t="s">
        <v>267</v>
      </c>
      <c r="E230" s="20" t="str">
        <f t="shared" si="22"/>
        <v/>
      </c>
      <c r="F230" s="21" t="str">
        <f>IF(OR(E230="",E230="!!!"),"",IF(NOT(ISNA(VLOOKUP(E230,E$1:E229,1,FALSE()))),"OLD",IF(AND(E230&lt;&gt;"",E230&lt;&gt;"!!!"),"NEW","")))</f>
        <v/>
      </c>
      <c r="G230" s="22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/>
      </c>
      <c r="H230" s="23" t="str">
        <f t="shared" ca="1" si="23"/>
        <v/>
      </c>
      <c r="I230" s="24" t="str">
        <f>IF(OR(E230="",E230="!!!",F230="NEW"),"",INDEX(B$2:B229,-1+SUMPRODUCT(MAX(ROW(E$2:E229)*(E230=E$2:E229)))))</f>
        <v/>
      </c>
      <c r="J230" s="24" t="str">
        <f ca="1">IF(OR(E230="",E230="!!!",F230="NEW"),"",COUNTBLANK(OFFSET(A$1,,,SUMPRODUCT(MAX(ROW(E$2:E230)*(E230=E$2:E230)))))-COUNTBLANK(OFFSET(A$1,,,SUMPRODUCT(MAX(ROW(E$1:E229)*(E2=E$1:E229))))))</f>
        <v/>
      </c>
      <c r="K230" s="24" t="str">
        <f>IF(OR(E230="",E230="!!!",F230="NEW"),"",INDEX(J$1:J229,SUMPRODUCT(MAX(ROW(E$1:E229)*(E230=E$1:E229)))))</f>
        <v/>
      </c>
      <c r="L230" s="25"/>
    </row>
    <row r="231" spans="1:12" x14ac:dyDescent="0.3">
      <c r="A231" t="s">
        <v>389</v>
      </c>
      <c r="B231" s="26" t="s">
        <v>285</v>
      </c>
      <c r="C231" s="26" t="s">
        <v>239</v>
      </c>
      <c r="D231" s="26" t="s">
        <v>240</v>
      </c>
      <c r="E231" s="20" t="str">
        <f t="shared" si="22"/>
        <v>!!!</v>
      </c>
      <c r="F231" s="21" t="str">
        <f>IF(OR(E231="",E231="!!!"),"",IF(NOT(ISNA(VLOOKUP(E231,E$1:E230,1,FALSE()))),"OLD",IF(AND(E231&lt;&gt;"",E231&lt;&gt;"!!!"),"NEW","")))</f>
        <v/>
      </c>
      <c r="G231" s="22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/>
      </c>
      <c r="H231" s="23" t="str">
        <f t="shared" ca="1" si="23"/>
        <v/>
      </c>
      <c r="I231" s="24" t="str">
        <f>IF(OR(E231="",E231="!!!",F231="NEW"),"",INDEX(B$2:B230,-1+SUMPRODUCT(MAX(ROW(E$2:E230)*(E231=E$2:E230)))))</f>
        <v/>
      </c>
      <c r="J231" s="24" t="str">
        <f ca="1">IF(OR(E231="",E231="!!!",F231="NEW"),"",COUNTBLANK(OFFSET(A$1,,,SUMPRODUCT(MAX(ROW(E$2:E231)*(E231=E$2:E231)))))-COUNTBLANK(OFFSET(A$1,,,SUMPRODUCT(MAX(ROW(E$1:E230)*(E2=E$1:E230))))))</f>
        <v/>
      </c>
      <c r="K231" s="24" t="str">
        <f>IF(OR(E231="",E231="!!!",F231="NEW"),"",INDEX(J$1:J230,SUMPRODUCT(MAX(ROW(E$1:E230)*(E231=E$1:E230)))))</f>
        <v/>
      </c>
      <c r="L231" s="25"/>
    </row>
    <row r="232" spans="1:12" x14ac:dyDescent="0.3">
      <c r="A232" t="s">
        <v>264</v>
      </c>
      <c r="B232" s="26" t="s">
        <v>276</v>
      </c>
      <c r="C232" s="26" t="s">
        <v>294</v>
      </c>
      <c r="D232" s="26" t="s">
        <v>240</v>
      </c>
      <c r="E232" s="20" t="str">
        <f t="shared" si="22"/>
        <v>!!!</v>
      </c>
      <c r="F232" s="21" t="str">
        <f>IF(OR(E232="",E232="!!!"),"",IF(NOT(ISNA(VLOOKUP(E232,E$1:E231,1,FALSE()))),"OLD",IF(AND(E232&lt;&gt;"",E232&lt;&gt;"!!!"),"NEW","")))</f>
        <v/>
      </c>
      <c r="G232" s="22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/>
      </c>
      <c r="H232" s="23" t="str">
        <f t="shared" ca="1" si="23"/>
        <v/>
      </c>
      <c r="I232" s="24" t="str">
        <f>IF(OR(E232="",E232="!!!",F232="NEW"),"",INDEX(B$2:B231,-1+SUMPRODUCT(MAX(ROW(E$2:E231)*(E232=E$2:E231)))))</f>
        <v/>
      </c>
      <c r="J232" s="24" t="str">
        <f ca="1">IF(OR(E232="",E232="!!!",F232="NEW"),"",COUNTBLANK(OFFSET(A$1,,,SUMPRODUCT(MAX(ROW(E$2:E232)*(E232=E$2:E232)))))-COUNTBLANK(OFFSET(A$1,,,SUMPRODUCT(MAX(ROW(E$1:E231)*(E2=E$1:E231))))))</f>
        <v/>
      </c>
      <c r="K232" s="24" t="str">
        <f>IF(OR(E232="",E232="!!!",F232="NEW"),"",INDEX(J$1:J231,SUMPRODUCT(MAX(ROW(E$1:E231)*(E232=E$1:E231)))))</f>
        <v/>
      </c>
      <c r="L232" s="25"/>
    </row>
    <row r="233" spans="1:12" x14ac:dyDescent="0.3">
      <c r="A233" t="s">
        <v>252</v>
      </c>
      <c r="E233" s="20" t="str">
        <f t="shared" si="22"/>
        <v/>
      </c>
      <c r="F233" s="21" t="str">
        <f>IF(OR(E233="",E233="!!!"),"",IF(NOT(ISNA(VLOOKUP(E233,E$1:E232,1,FALSE()))),"OLD",IF(AND(E233&lt;&gt;"",E233&lt;&gt;"!!!"),"NEW","")))</f>
        <v/>
      </c>
      <c r="G233" s="22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/>
      </c>
      <c r="H233" s="23" t="str">
        <f t="shared" ca="1" si="23"/>
        <v/>
      </c>
      <c r="I233" s="24" t="str">
        <f>IF(OR(E233="",E233="!!!",F233="NEW"),"",INDEX(B$2:B232,-1+SUMPRODUCT(MAX(ROW(E$2:E232)*(E233=E$2:E232)))))</f>
        <v/>
      </c>
      <c r="J233" s="24" t="str">
        <f ca="1">IF(OR(E233="",E233="!!!",F233="NEW"),"",COUNTBLANK(OFFSET(A$1,,,SUMPRODUCT(MAX(ROW(E$2:E233)*(E233=E$2:E233)))))-COUNTBLANK(OFFSET(A$1,,,SUMPRODUCT(MAX(ROW(E$1:E232)*(E2=E$1:E232))))))</f>
        <v/>
      </c>
      <c r="K233" s="24" t="str">
        <f>IF(OR(E233="",E233="!!!",F233="NEW"),"",INDEX(J$1:J232,SUMPRODUCT(MAX(ROW(E$1:E232)*(E233=E$1:E232)))))</f>
        <v/>
      </c>
      <c r="L233" s="25"/>
    </row>
    <row r="234" spans="1:12" x14ac:dyDescent="0.3">
      <c r="A234" t="s">
        <v>390</v>
      </c>
      <c r="E234" s="20" t="str">
        <f t="shared" si="22"/>
        <v/>
      </c>
      <c r="F234" s="21" t="str">
        <f>IF(OR(E234="",E234="!!!"),"",IF(NOT(ISNA(VLOOKUP(E234,E$1:E233,1,FALSE()))),"OLD",IF(AND(E234&lt;&gt;"",E234&lt;&gt;"!!!"),"NEW","")))</f>
        <v/>
      </c>
      <c r="G234" s="22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/>
      </c>
      <c r="H234" s="23" t="str">
        <f t="shared" ca="1" si="23"/>
        <v/>
      </c>
      <c r="I234" s="24" t="str">
        <f>IF(OR(E234="",E234="!!!",F234="NEW"),"",INDEX(B$2:B233,-1+SUMPRODUCT(MAX(ROW(E$2:E233)*(E234=E$2:E233)))))</f>
        <v/>
      </c>
      <c r="J234" s="24" t="str">
        <f ca="1">IF(OR(E234="",E234="!!!",F234="NEW"),"",COUNTBLANK(OFFSET(A$1,,,SUMPRODUCT(MAX(ROW(E$2:E234)*(E234=E$2:E234)))))-COUNTBLANK(OFFSET(A$1,,,SUMPRODUCT(MAX(ROW(E$1:E233)*(E2=E$1:E233))))))</f>
        <v/>
      </c>
      <c r="K234" s="24" t="str">
        <f>IF(OR(E234="",E234="!!!",F234="NEW"),"",INDEX(J$1:J233,SUMPRODUCT(MAX(ROW(E$1:E233)*(E234=E$1:E233)))))</f>
        <v/>
      </c>
      <c r="L234" s="25"/>
    </row>
    <row r="235" spans="1:12" x14ac:dyDescent="0.3">
      <c r="A235" t="s">
        <v>242</v>
      </c>
      <c r="B235" s="26" t="s">
        <v>243</v>
      </c>
      <c r="C235" s="26" t="s">
        <v>244</v>
      </c>
      <c r="D235" s="26" t="s">
        <v>240</v>
      </c>
      <c r="E235" s="20" t="str">
        <f t="shared" si="22"/>
        <v>!!!</v>
      </c>
      <c r="F235" s="21" t="str">
        <f>IF(OR(E235="",E235="!!!"),"",IF(NOT(ISNA(VLOOKUP(E235,E$1:E234,1,FALSE()))),"OLD",IF(AND(E235&lt;&gt;"",E235&lt;&gt;"!!!"),"NEW","")))</f>
        <v/>
      </c>
      <c r="G235" s="22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/>
      </c>
      <c r="H235" s="23" t="str">
        <f t="shared" ca="1" si="23"/>
        <v/>
      </c>
      <c r="I235" s="24" t="str">
        <f>IF(OR(E235="",E235="!!!",F235="NEW"),"",INDEX(B$2:B234,-1+SUMPRODUCT(MAX(ROW(E$2:E234)*(E235=E$2:E234)))))</f>
        <v/>
      </c>
      <c r="J235" s="24" t="str">
        <f ca="1">IF(OR(E235="",E235="!!!",F235="NEW"),"",COUNTBLANK(OFFSET(A$1,,,SUMPRODUCT(MAX(ROW(E$2:E235)*(E235=E$2:E235)))))-COUNTBLANK(OFFSET(A$1,,,SUMPRODUCT(MAX(ROW(E$1:E234)*(E2=E$1:E234))))))</f>
        <v/>
      </c>
      <c r="K235" s="24" t="str">
        <f>IF(OR(E235="",E235="!!!",F235="NEW"),"",INDEX(J$1:J234,SUMPRODUCT(MAX(ROW(E$1:E234)*(E235=E$1:E234)))))</f>
        <v/>
      </c>
      <c r="L235" s="25"/>
    </row>
    <row r="236" spans="1:12" x14ac:dyDescent="0.3">
      <c r="A236" t="s">
        <v>366</v>
      </c>
      <c r="E236" s="20" t="str">
        <f t="shared" si="22"/>
        <v/>
      </c>
      <c r="F236" s="21" t="str">
        <f>IF(OR(E236="",E236="!!!"),"",IF(NOT(ISNA(VLOOKUP(E236,E$1:E235,1,FALSE()))),"OLD",IF(AND(E236&lt;&gt;"",E236&lt;&gt;"!!!"),"NEW","")))</f>
        <v/>
      </c>
      <c r="G236" s="22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/>
      </c>
      <c r="H236" s="23" t="str">
        <f t="shared" ca="1" si="23"/>
        <v/>
      </c>
      <c r="I236" s="24" t="str">
        <f>IF(OR(E236="",E236="!!!",F236="NEW"),"",INDEX(B$2:B235,-1+SUMPRODUCT(MAX(ROW(E$2:E235)*(E236=E$2:E235)))))</f>
        <v/>
      </c>
      <c r="J236" s="24" t="str">
        <f ca="1">IF(OR(E236="",E236="!!!",F236="NEW"),"",COUNTBLANK(OFFSET(A$1,,,SUMPRODUCT(MAX(ROW(E$2:E236)*(E236=E$2:E236)))))-COUNTBLANK(OFFSET(A$1,,,SUMPRODUCT(MAX(ROW(E$1:E235)*(E2=E$1:E235))))))</f>
        <v/>
      </c>
      <c r="K236" s="24" t="str">
        <f>IF(OR(E236="",E236="!!!",F236="NEW"),"",INDEX(J$1:J235,SUMPRODUCT(MAX(ROW(E$1:E235)*(E236=E$1:E235)))))</f>
        <v/>
      </c>
      <c r="L236" s="25"/>
    </row>
    <row r="237" spans="1:12" x14ac:dyDescent="0.3">
      <c r="A237" t="s">
        <v>278</v>
      </c>
      <c r="E237" s="20" t="str">
        <f t="shared" si="22"/>
        <v/>
      </c>
      <c r="F237" s="21" t="str">
        <f>IF(OR(E237="",E237="!!!"),"",IF(NOT(ISNA(VLOOKUP(E237,E$1:E236,1,FALSE()))),"OLD",IF(AND(E237&lt;&gt;"",E237&lt;&gt;"!!!"),"NEW","")))</f>
        <v/>
      </c>
      <c r="G237" s="22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/>
      </c>
      <c r="H237" s="23" t="str">
        <f t="shared" ca="1" si="23"/>
        <v/>
      </c>
      <c r="I237" s="24" t="str">
        <f>IF(OR(E237="",E237="!!!",F237="NEW"),"",INDEX(B$2:B236,-1+SUMPRODUCT(MAX(ROW(E$2:E236)*(E237=E$2:E236)))))</f>
        <v/>
      </c>
      <c r="J237" s="24" t="str">
        <f ca="1">IF(OR(E237="",E237="!!!",F237="NEW"),"",COUNTBLANK(OFFSET(A$1,,,SUMPRODUCT(MAX(ROW(E$2:E237)*(E237=E$2:E237)))))-COUNTBLANK(OFFSET(A$1,,,SUMPRODUCT(MAX(ROW(E$1:E236)*(E2=E$1:E236))))))</f>
        <v/>
      </c>
      <c r="K237" s="24" t="str">
        <f>IF(OR(E237="",E237="!!!",F237="NEW"),"",INDEX(J$1:J236,SUMPRODUCT(MAX(ROW(E$1:E236)*(E237=E$1:E236)))))</f>
        <v/>
      </c>
      <c r="L237" s="25"/>
    </row>
    <row r="238" spans="1:12" x14ac:dyDescent="0.3">
      <c r="A238" t="s">
        <v>391</v>
      </c>
      <c r="E238" s="20" t="str">
        <f t="shared" si="22"/>
        <v/>
      </c>
      <c r="F238" s="21" t="str">
        <f>IF(OR(E238="",E238="!!!"),"",IF(NOT(ISNA(VLOOKUP(E238,E$1:E237,1,FALSE()))),"OLD",IF(AND(E238&lt;&gt;"",E238&lt;&gt;"!!!"),"NEW","")))</f>
        <v/>
      </c>
      <c r="G238" s="22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/>
      </c>
      <c r="H238" s="23" t="str">
        <f t="shared" ca="1" si="23"/>
        <v/>
      </c>
      <c r="I238" s="24" t="str">
        <f>IF(OR(E238="",E238="!!!",F238="NEW"),"",INDEX(B$2:B237,-1+SUMPRODUCT(MAX(ROW(E$2:E237)*(E238=E$2:E237)))))</f>
        <v/>
      </c>
      <c r="J238" s="24" t="str">
        <f ca="1">IF(OR(E238="",E238="!!!",F238="NEW"),"",COUNTBLANK(OFFSET(A$1,,,SUMPRODUCT(MAX(ROW(E$2:E238)*(E238=E$2:E238)))))-COUNTBLANK(OFFSET(A$1,,,SUMPRODUCT(MAX(ROW(E$1:E237)*(E2=E$1:E237))))))</f>
        <v/>
      </c>
      <c r="K238" s="24" t="str">
        <f>IF(OR(E238="",E238="!!!",F238="NEW"),"",INDEX(J$1:J237,SUMPRODUCT(MAX(ROW(E$1:E237)*(E238=E$1:E237)))))</f>
        <v/>
      </c>
      <c r="L238" s="25"/>
    </row>
    <row r="239" spans="1:12" x14ac:dyDescent="0.3">
      <c r="A239" t="s">
        <v>242</v>
      </c>
      <c r="B239" s="26" t="s">
        <v>265</v>
      </c>
      <c r="C239" s="26" t="s">
        <v>244</v>
      </c>
      <c r="D239" s="26" t="s">
        <v>240</v>
      </c>
      <c r="E239" s="20" t="str">
        <f t="shared" si="22"/>
        <v>!!!</v>
      </c>
      <c r="F239" s="21" t="str">
        <f>IF(OR(E239="",E239="!!!"),"",IF(NOT(ISNA(VLOOKUP(E239,E$1:E238,1,FALSE()))),"OLD",IF(AND(E239&lt;&gt;"",E239&lt;&gt;"!!!"),"NEW","")))</f>
        <v/>
      </c>
      <c r="G239" s="22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/>
      </c>
      <c r="H239" s="23" t="str">
        <f t="shared" ca="1" si="23"/>
        <v/>
      </c>
      <c r="I239" s="24" t="str">
        <f>IF(OR(E239="",E239="!!!",F239="NEW"),"",INDEX(B$2:B238,-1+SUMPRODUCT(MAX(ROW(E$2:E238)*(E239=E$2:E238)))))</f>
        <v/>
      </c>
      <c r="J239" s="24" t="str">
        <f ca="1">IF(OR(E239="",E239="!!!",F239="NEW"),"",COUNTBLANK(OFFSET(A$1,,,SUMPRODUCT(MAX(ROW(E$2:E239)*(E239=E$2:E239)))))-COUNTBLANK(OFFSET(A$1,,,SUMPRODUCT(MAX(ROW(E$1:E238)*(E2=E$1:E238))))))</f>
        <v/>
      </c>
      <c r="K239" s="24" t="str">
        <f>IF(OR(E239="",E239="!!!",F239="NEW"),"",INDEX(J$1:J238,SUMPRODUCT(MAX(ROW(E$1:E238)*(E239=E$1:E238)))))</f>
        <v/>
      </c>
      <c r="L239" s="25"/>
    </row>
    <row r="240" spans="1:12" x14ac:dyDescent="0.3">
      <c r="A240" t="s">
        <v>257</v>
      </c>
      <c r="E240" s="20" t="str">
        <f t="shared" si="22"/>
        <v/>
      </c>
      <c r="F240" s="21" t="str">
        <f>IF(OR(E240="",E240="!!!"),"",IF(NOT(ISNA(VLOOKUP(E240,E$1:E239,1,FALSE()))),"OLD",IF(AND(E240&lt;&gt;"",E240&lt;&gt;"!!!"),"NEW","")))</f>
        <v/>
      </c>
      <c r="G240" s="22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/>
      </c>
      <c r="H240" s="23" t="str">
        <f t="shared" ca="1" si="23"/>
        <v/>
      </c>
      <c r="I240" s="24" t="str">
        <f>IF(OR(E240="",E240="!!!",F240="NEW"),"",INDEX(B$2:B239,-1+SUMPRODUCT(MAX(ROW(E$2:E239)*(E240=E$2:E239)))))</f>
        <v/>
      </c>
      <c r="J240" s="24" t="str">
        <f ca="1">IF(OR(E240="",E240="!!!",F240="NEW"),"",COUNTBLANK(OFFSET(A$1,,,SUMPRODUCT(MAX(ROW(E$2:E240)*(E240=E$2:E240)))))-COUNTBLANK(OFFSET(A$1,,,SUMPRODUCT(MAX(ROW(E$1:E239)*(E2=E$1:E239))))))</f>
        <v/>
      </c>
      <c r="K240" s="24" t="str">
        <f>IF(OR(E240="",E240="!!!",F240="NEW"),"",INDEX(J$1:J239,SUMPRODUCT(MAX(ROW(E$1:E239)*(E240=E$1:E239)))))</f>
        <v/>
      </c>
      <c r="L240" s="25"/>
    </row>
    <row r="241" spans="1:12" x14ac:dyDescent="0.3">
      <c r="A241" t="s">
        <v>372</v>
      </c>
      <c r="E241" s="20" t="str">
        <f t="shared" si="22"/>
        <v/>
      </c>
      <c r="F241" s="21" t="str">
        <f>IF(OR(E241="",E241="!!!"),"",IF(NOT(ISNA(VLOOKUP(E241,E$1:E240,1,FALSE()))),"OLD",IF(AND(E241&lt;&gt;"",E241&lt;&gt;"!!!"),"NEW","")))</f>
        <v/>
      </c>
      <c r="G241" s="22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/>
      </c>
      <c r="H241" s="23" t="str">
        <f t="shared" ca="1" si="23"/>
        <v/>
      </c>
      <c r="I241" s="24" t="str">
        <f>IF(OR(E241="",E241="!!!",F241="NEW"),"",INDEX(B$2:B240,-1+SUMPRODUCT(MAX(ROW(E$2:E240)*(E241=E$2:E240)))))</f>
        <v/>
      </c>
      <c r="J241" s="24" t="str">
        <f ca="1">IF(OR(E241="",E241="!!!",F241="NEW"),"",COUNTBLANK(OFFSET(A$1,,,SUMPRODUCT(MAX(ROW(E$2:E241)*(E241=E$2:E241)))))-COUNTBLANK(OFFSET(A$1,,,SUMPRODUCT(MAX(ROW(E$1:E240)*(E2=E$1:E240))))))</f>
        <v/>
      </c>
      <c r="K241" s="24" t="str">
        <f>IF(OR(E241="",E241="!!!",F241="NEW"),"",INDEX(J$1:J240,SUMPRODUCT(MAX(ROW(E$1:E240)*(E241=E$1:E240)))))</f>
        <v/>
      </c>
      <c r="L241" s="25"/>
    </row>
    <row r="242" spans="1:12" x14ac:dyDescent="0.3">
      <c r="A242" t="s">
        <v>392</v>
      </c>
      <c r="B242" s="26" t="s">
        <v>261</v>
      </c>
      <c r="C242" s="26" t="s">
        <v>262</v>
      </c>
      <c r="E242" s="20" t="str">
        <f t="shared" si="22"/>
        <v/>
      </c>
      <c r="F242" s="21" t="str">
        <f>IF(OR(E242="",E242="!!!"),"",IF(NOT(ISNA(VLOOKUP(E242,E$1:E241,1,FALSE()))),"OLD",IF(AND(E242&lt;&gt;"",E242&lt;&gt;"!!!"),"NEW","")))</f>
        <v/>
      </c>
      <c r="G242" s="22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/>
      </c>
      <c r="H242" s="23" t="str">
        <f t="shared" ca="1" si="23"/>
        <v/>
      </c>
      <c r="I242" s="24" t="str">
        <f>IF(OR(E242="",E242="!!!",F242="NEW"),"",INDEX(B$2:B241,-1+SUMPRODUCT(MAX(ROW(E$2:E241)*(E242=E$2:E241)))))</f>
        <v/>
      </c>
      <c r="J242" s="24" t="str">
        <f ca="1">IF(OR(E242="",E242="!!!",F242="NEW"),"",COUNTBLANK(OFFSET(A$1,,,SUMPRODUCT(MAX(ROW(E$2:E242)*(E242=E$2:E242)))))-COUNTBLANK(OFFSET(A$1,,,SUMPRODUCT(MAX(ROW(E$1:E241)*(E2=E$1:E241))))))</f>
        <v/>
      </c>
      <c r="K242" s="24" t="str">
        <f>IF(OR(E242="",E242="!!!",F242="NEW"),"",INDEX(J$1:J241,SUMPRODUCT(MAX(ROW(E$1:E241)*(E242=E$1:E241)))))</f>
        <v/>
      </c>
      <c r="L242" s="25"/>
    </row>
    <row r="243" spans="1:12" x14ac:dyDescent="0.3">
      <c r="A243" t="s">
        <v>366</v>
      </c>
      <c r="E243" s="20" t="str">
        <f t="shared" si="22"/>
        <v/>
      </c>
      <c r="F243" s="21" t="str">
        <f>IF(OR(E243="",E243="!!!"),"",IF(NOT(ISNA(VLOOKUP(E243,E$1:E242,1,FALSE()))),"OLD",IF(AND(E243&lt;&gt;"",E243&lt;&gt;"!!!"),"NEW","")))</f>
        <v/>
      </c>
      <c r="G243" s="22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/>
      </c>
      <c r="H243" s="23" t="str">
        <f t="shared" ca="1" si="23"/>
        <v/>
      </c>
      <c r="I243" s="24" t="str">
        <f>IF(OR(E243="",E243="!!!",F243="NEW"),"",INDEX(B$2:B242,-1+SUMPRODUCT(MAX(ROW(E$2:E242)*(E243=E$2:E242)))))</f>
        <v/>
      </c>
      <c r="J243" s="24" t="str">
        <f ca="1">IF(OR(E243="",E243="!!!",F243="NEW"),"",COUNTBLANK(OFFSET(A$1,,,SUMPRODUCT(MAX(ROW(E$2:E243)*(E243=E$2:E243)))))-COUNTBLANK(OFFSET(A$1,,,SUMPRODUCT(MAX(ROW(E$1:E242)*(E2=E$1:E242))))))</f>
        <v/>
      </c>
      <c r="K243" s="24" t="str">
        <f>IF(OR(E243="",E243="!!!",F243="NEW"),"",INDEX(J$1:J242,SUMPRODUCT(MAX(ROW(E$1:E242)*(E243=E$1:E242)))))</f>
        <v/>
      </c>
      <c r="L243" s="25"/>
    </row>
    <row r="244" spans="1:12" x14ac:dyDescent="0.3">
      <c r="A244" t="s">
        <v>393</v>
      </c>
      <c r="E244" s="20" t="str">
        <f t="shared" si="22"/>
        <v/>
      </c>
      <c r="F244" s="21" t="str">
        <f>IF(OR(E244="",E244="!!!"),"",IF(NOT(ISNA(VLOOKUP(E244,E$1:E243,1,FALSE()))),"OLD",IF(AND(E244&lt;&gt;"",E244&lt;&gt;"!!!"),"NEW","")))</f>
        <v/>
      </c>
      <c r="G244" s="22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/>
      </c>
      <c r="H244" s="23" t="str">
        <f t="shared" ca="1" si="23"/>
        <v/>
      </c>
      <c r="I244" s="24" t="str">
        <f>IF(OR(E244="",E244="!!!",F244="NEW"),"",INDEX(B$2:B243,-1+SUMPRODUCT(MAX(ROW(E$2:E243)*(E244=E$2:E243)))))</f>
        <v/>
      </c>
      <c r="J244" s="24" t="str">
        <f ca="1">IF(OR(E244="",E244="!!!",F244="NEW"),"",COUNTBLANK(OFFSET(A$1,,,SUMPRODUCT(MAX(ROW(E$2:E244)*(E244=E$2:E244)))))-COUNTBLANK(OFFSET(A$1,,,SUMPRODUCT(MAX(ROW(E$1:E243)*(E2=E$1:E243))))))</f>
        <v/>
      </c>
      <c r="K244" s="24" t="str">
        <f>IF(OR(E244="",E244="!!!",F244="NEW"),"",INDEX(J$1:J243,SUMPRODUCT(MAX(ROW(E$1:E243)*(E244=E$1:E243)))))</f>
        <v/>
      </c>
      <c r="L244" s="25"/>
    </row>
    <row r="245" spans="1:12" x14ac:dyDescent="0.3">
      <c r="A245" t="s">
        <v>394</v>
      </c>
      <c r="B245" s="26" t="s">
        <v>272</v>
      </c>
      <c r="C245" s="26" t="s">
        <v>239</v>
      </c>
      <c r="D245" s="26" t="s">
        <v>240</v>
      </c>
      <c r="E245" s="20" t="str">
        <f t="shared" si="22"/>
        <v>!!!</v>
      </c>
      <c r="F245" s="21" t="str">
        <f>IF(OR(E245="",E245="!!!"),"",IF(NOT(ISNA(VLOOKUP(E245,E$1:E244,1,FALSE()))),"OLD",IF(AND(E245&lt;&gt;"",E245&lt;&gt;"!!!"),"NEW","")))</f>
        <v/>
      </c>
      <c r="G245" s="22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/>
      </c>
      <c r="H245" s="23" t="str">
        <f t="shared" ca="1" si="23"/>
        <v/>
      </c>
      <c r="I245" s="24" t="str">
        <f>IF(OR(E245="",E245="!!!",F245="NEW"),"",INDEX(B$2:B244,-1+SUMPRODUCT(MAX(ROW(E$2:E244)*(E245=E$2:E244)))))</f>
        <v/>
      </c>
      <c r="J245" s="24" t="str">
        <f ca="1">IF(OR(E245="",E245="!!!",F245="NEW"),"",COUNTBLANK(OFFSET(A$1,,,SUMPRODUCT(MAX(ROW(E$2:E245)*(E245=E$2:E245)))))-COUNTBLANK(OFFSET(A$1,,,SUMPRODUCT(MAX(ROW(E$1:E244)*(E2=E$1:E244))))))</f>
        <v/>
      </c>
      <c r="K245" s="24" t="str">
        <f>IF(OR(E245="",E245="!!!",F245="NEW"),"",INDEX(J$1:J244,SUMPRODUCT(MAX(ROW(E$1:E244)*(E245=E$1:E244)))))</f>
        <v/>
      </c>
      <c r="L245" s="25"/>
    </row>
    <row r="246" spans="1:12" x14ac:dyDescent="0.3">
      <c r="A246" t="s">
        <v>248</v>
      </c>
      <c r="E246" s="20" t="str">
        <f t="shared" si="22"/>
        <v/>
      </c>
      <c r="F246" s="21" t="str">
        <f>IF(OR(E246="",E246="!!!"),"",IF(NOT(ISNA(VLOOKUP(E246,E$1:E245,1,FALSE()))),"OLD",IF(AND(E246&lt;&gt;"",E246&lt;&gt;"!!!"),"NEW","")))</f>
        <v/>
      </c>
      <c r="G246" s="22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/>
      </c>
      <c r="H246" s="23" t="str">
        <f t="shared" ca="1" si="23"/>
        <v/>
      </c>
      <c r="I246" s="24" t="str">
        <f>IF(OR(E246="",E246="!!!",F246="NEW"),"",INDEX(B$2:B245,-1+SUMPRODUCT(MAX(ROW(E$2:E245)*(E246=E$2:E245)))))</f>
        <v/>
      </c>
      <c r="J246" s="24" t="str">
        <f ca="1">IF(OR(E246="",E246="!!!",F246="NEW"),"",COUNTBLANK(OFFSET(A$1,,,SUMPRODUCT(MAX(ROW(E$2:E246)*(E246=E$2:E246)))))-COUNTBLANK(OFFSET(A$1,,,SUMPRODUCT(MAX(ROW(E$1:E245)*(E2=E$1:E245))))))</f>
        <v/>
      </c>
      <c r="K246" s="24" t="str">
        <f>IF(OR(E246="",E246="!!!",F246="NEW"),"",INDEX(J$1:J245,SUMPRODUCT(MAX(ROW(E$1:E245)*(E246=E$1:E245)))))</f>
        <v/>
      </c>
      <c r="L246" s="25"/>
    </row>
    <row r="248" spans="1:12" x14ac:dyDescent="0.3">
      <c r="A248" t="s">
        <v>395</v>
      </c>
    </row>
    <row r="249" spans="1:12" x14ac:dyDescent="0.3">
      <c r="A249" t="s">
        <v>396</v>
      </c>
      <c r="B249" s="26" t="s">
        <v>243</v>
      </c>
      <c r="C249" s="26" t="s">
        <v>256</v>
      </c>
      <c r="D249" s="26" t="s">
        <v>240</v>
      </c>
      <c r="E249" s="20" t="str">
        <f t="shared" ref="E249:E272" si="24">IF(D249="?OLD","!!!","")</f>
        <v>!!!</v>
      </c>
      <c r="F249" s="21" t="str">
        <f>IF(OR(E249="",E249="!!!"),"",IF(NOT(ISNA(VLOOKUP(E249,E$1:E248,1,FALSE()))),"OLD",IF(AND(E249&lt;&gt;"",E249&lt;&gt;"!!!"),"NEW","")))</f>
        <v/>
      </c>
      <c r="G249" s="22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/>
      </c>
      <c r="H249" s="23" t="str">
        <f t="shared" ref="H249:H272" ca="1" si="25">IF(J249&lt;&gt;1,"",IF(I249="SBJ","CB","?"))</f>
        <v/>
      </c>
      <c r="I249" s="24" t="str">
        <f>IF(OR(E249="",E249="!!!",F249="NEW"),"",INDEX(B$2:B248,-1+SUMPRODUCT(MAX(ROW(E$2:E248)*(E249=E$2:E248)))))</f>
        <v/>
      </c>
      <c r="J249" s="24" t="str">
        <f ca="1">IF(OR(E249="",E249="!!!",F249="NEW"),"",COUNTBLANK(OFFSET(A$1,,,SUMPRODUCT(MAX(ROW(E$2:E249)*(E249=E$2:E249)))))-COUNTBLANK(OFFSET(A$1,,,SUMPRODUCT(MAX(ROW(E$1:E248)*(E2=E$1:E248))))))</f>
        <v/>
      </c>
      <c r="K249" s="24" t="str">
        <f>IF(OR(E249="",E249="!!!",F249="NEW"),"",INDEX(J$1:J248,SUMPRODUCT(MAX(ROW(E$1:E248)*(E249=E$1:E248)))))</f>
        <v/>
      </c>
      <c r="L249" s="25"/>
    </row>
    <row r="250" spans="1:12" x14ac:dyDescent="0.3">
      <c r="A250" t="s">
        <v>397</v>
      </c>
      <c r="E250" s="20" t="str">
        <f t="shared" si="24"/>
        <v/>
      </c>
      <c r="F250" s="21" t="str">
        <f>IF(OR(E250="",E250="!!!"),"",IF(NOT(ISNA(VLOOKUP(E250,E$1:E249,1,FALSE()))),"OLD",IF(AND(E250&lt;&gt;"",E250&lt;&gt;"!!!"),"NEW","")))</f>
        <v/>
      </c>
      <c r="G250" s="22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/>
      </c>
      <c r="H250" s="23" t="str">
        <f t="shared" ca="1" si="25"/>
        <v/>
      </c>
      <c r="I250" s="24" t="str">
        <f>IF(OR(E250="",E250="!!!",F250="NEW"),"",INDEX(B$2:B249,-1+SUMPRODUCT(MAX(ROW(E$2:E249)*(E250=E$2:E249)))))</f>
        <v/>
      </c>
      <c r="J250" s="24" t="str">
        <f ca="1">IF(OR(E250="",E250="!!!",F250="NEW"),"",COUNTBLANK(OFFSET(A$1,,,SUMPRODUCT(MAX(ROW(E$2:E250)*(E250=E$2:E250)))))-COUNTBLANK(OFFSET(A$1,,,SUMPRODUCT(MAX(ROW(E$1:E249)*(E2=E$1:E249))))))</f>
        <v/>
      </c>
      <c r="K250" s="24" t="str">
        <f>IF(OR(E250="",E250="!!!",F250="NEW"),"",INDEX(J$1:J249,SUMPRODUCT(MAX(ROW(E$1:E249)*(E250=E$1:E249)))))</f>
        <v/>
      </c>
      <c r="L250" s="25"/>
    </row>
    <row r="251" spans="1:12" x14ac:dyDescent="0.3">
      <c r="A251" t="s">
        <v>398</v>
      </c>
      <c r="E251" s="20" t="str">
        <f t="shared" si="24"/>
        <v/>
      </c>
      <c r="F251" s="21" t="str">
        <f>IF(OR(E251="",E251="!!!"),"",IF(NOT(ISNA(VLOOKUP(E251,E$1:E250,1,FALSE()))),"OLD",IF(AND(E251&lt;&gt;"",E251&lt;&gt;"!!!"),"NEW","")))</f>
        <v/>
      </c>
      <c r="G251" s="22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/>
      </c>
      <c r="H251" s="23" t="str">
        <f t="shared" ca="1" si="25"/>
        <v/>
      </c>
      <c r="I251" s="24" t="str">
        <f>IF(OR(E251="",E251="!!!",F251="NEW"),"",INDEX(B$2:B250,-1+SUMPRODUCT(MAX(ROW(E$2:E250)*(E251=E$2:E250)))))</f>
        <v/>
      </c>
      <c r="J251" s="24" t="str">
        <f ca="1">IF(OR(E251="",E251="!!!",F251="NEW"),"",COUNTBLANK(OFFSET(A$1,,,SUMPRODUCT(MAX(ROW(E$2:E251)*(E251=E$2:E251)))))-COUNTBLANK(OFFSET(A$1,,,SUMPRODUCT(MAX(ROW(E$1:E250)*(E2=E$1:E250))))))</f>
        <v/>
      </c>
      <c r="K251" s="24" t="str">
        <f>IF(OR(E251="",E251="!!!",F251="NEW"),"",INDEX(J$1:J250,SUMPRODUCT(MAX(ROW(E$1:E250)*(E251=E$1:E250)))))</f>
        <v/>
      </c>
      <c r="L251" s="25"/>
    </row>
    <row r="252" spans="1:12" x14ac:dyDescent="0.3">
      <c r="A252" t="s">
        <v>263</v>
      </c>
      <c r="E252" s="20" t="str">
        <f t="shared" si="24"/>
        <v/>
      </c>
      <c r="F252" s="21" t="str">
        <f>IF(OR(E252="",E252="!!!"),"",IF(NOT(ISNA(VLOOKUP(E252,E$1:E251,1,FALSE()))),"OLD",IF(AND(E252&lt;&gt;"",E252&lt;&gt;"!!!"),"NEW","")))</f>
        <v/>
      </c>
      <c r="G252" s="22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/>
      </c>
      <c r="H252" s="23" t="str">
        <f t="shared" ca="1" si="25"/>
        <v/>
      </c>
      <c r="I252" s="24" t="str">
        <f>IF(OR(E252="",E252="!!!",F252="NEW"),"",INDEX(B$2:B251,-1+SUMPRODUCT(MAX(ROW(E$2:E251)*(E252=E$2:E251)))))</f>
        <v/>
      </c>
      <c r="J252" s="24" t="str">
        <f ca="1">IF(OR(E252="",E252="!!!",F252="NEW"),"",COUNTBLANK(OFFSET(A$1,,,SUMPRODUCT(MAX(ROW(E$2:E252)*(E252=E$2:E252)))))-COUNTBLANK(OFFSET(A$1,,,SUMPRODUCT(MAX(ROW(E$1:E251)*(E2=E$1:E251))))))</f>
        <v/>
      </c>
      <c r="K252" s="24" t="str">
        <f>IF(OR(E252="",E252="!!!",F252="NEW"),"",INDEX(J$1:J251,SUMPRODUCT(MAX(ROW(E$1:E251)*(E252=E$1:E251)))))</f>
        <v/>
      </c>
      <c r="L252" s="25"/>
    </row>
    <row r="253" spans="1:12" x14ac:dyDescent="0.3">
      <c r="A253" t="s">
        <v>399</v>
      </c>
      <c r="E253" s="20" t="str">
        <f t="shared" si="24"/>
        <v/>
      </c>
      <c r="F253" s="21" t="str">
        <f>IF(OR(E253="",E253="!!!"),"",IF(NOT(ISNA(VLOOKUP(E253,E$1:E252,1,FALSE()))),"OLD",IF(AND(E253&lt;&gt;"",E253&lt;&gt;"!!!"),"NEW","")))</f>
        <v/>
      </c>
      <c r="G253" s="22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/>
      </c>
      <c r="H253" s="23" t="str">
        <f t="shared" ca="1" si="25"/>
        <v/>
      </c>
      <c r="I253" s="24" t="str">
        <f>IF(OR(E253="",E253="!!!",F253="NEW"),"",INDEX(B$2:B252,-1+SUMPRODUCT(MAX(ROW(E$2:E252)*(E253=E$2:E252)))))</f>
        <v/>
      </c>
      <c r="J253" s="24" t="str">
        <f ca="1">IF(OR(E253="",E253="!!!",F253="NEW"),"",COUNTBLANK(OFFSET(A$1,,,SUMPRODUCT(MAX(ROW(E$2:E253)*(E253=E$2:E253)))))-COUNTBLANK(OFFSET(A$1,,,SUMPRODUCT(MAX(ROW(E$1:E252)*(E2=E$1:E252))))))</f>
        <v/>
      </c>
      <c r="K253" s="24" t="str">
        <f>IF(OR(E253="",E253="!!!",F253="NEW"),"",INDEX(J$1:J252,SUMPRODUCT(MAX(ROW(E$1:E252)*(E253=E$1:E252)))))</f>
        <v/>
      </c>
      <c r="L253" s="25"/>
    </row>
    <row r="254" spans="1:12" x14ac:dyDescent="0.3">
      <c r="A254" t="s">
        <v>400</v>
      </c>
      <c r="E254" s="20" t="str">
        <f t="shared" si="24"/>
        <v/>
      </c>
      <c r="F254" s="21" t="str">
        <f>IF(OR(E254="",E254="!!!"),"",IF(NOT(ISNA(VLOOKUP(E254,E$1:E253,1,FALSE()))),"OLD",IF(AND(E254&lt;&gt;"",E254&lt;&gt;"!!!"),"NEW","")))</f>
        <v/>
      </c>
      <c r="G254" s="22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/>
      </c>
      <c r="H254" s="23" t="str">
        <f t="shared" ca="1" si="25"/>
        <v/>
      </c>
      <c r="I254" s="24" t="str">
        <f>IF(OR(E254="",E254="!!!",F254="NEW"),"",INDEX(B$2:B253,-1+SUMPRODUCT(MAX(ROW(E$2:E253)*(E254=E$2:E253)))))</f>
        <v/>
      </c>
      <c r="J254" s="24" t="str">
        <f ca="1">IF(OR(E254="",E254="!!!",F254="NEW"),"",COUNTBLANK(OFFSET(A$1,,,SUMPRODUCT(MAX(ROW(E$2:E254)*(E254=E$2:E254)))))-COUNTBLANK(OFFSET(A$1,,,SUMPRODUCT(MAX(ROW(E$1:E253)*(E2=E$1:E253))))))</f>
        <v/>
      </c>
      <c r="K254" s="24" t="str">
        <f>IF(OR(E254="",E254="!!!",F254="NEW"),"",INDEX(J$1:J253,SUMPRODUCT(MAX(ROW(E$1:E253)*(E254=E$1:E253)))))</f>
        <v/>
      </c>
      <c r="L254" s="25"/>
    </row>
    <row r="255" spans="1:12" x14ac:dyDescent="0.3">
      <c r="A255" t="s">
        <v>268</v>
      </c>
      <c r="B255" s="26" t="s">
        <v>292</v>
      </c>
      <c r="C255" s="26" t="s">
        <v>262</v>
      </c>
      <c r="E255" s="20" t="str">
        <f t="shared" si="24"/>
        <v/>
      </c>
      <c r="F255" s="21" t="str">
        <f>IF(OR(E255="",E255="!!!"),"",IF(NOT(ISNA(VLOOKUP(E255,E$1:E254,1,FALSE()))),"OLD",IF(AND(E255&lt;&gt;"",E255&lt;&gt;"!!!"),"NEW","")))</f>
        <v/>
      </c>
      <c r="G255" s="22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/>
      </c>
      <c r="H255" s="23" t="str">
        <f t="shared" ca="1" si="25"/>
        <v/>
      </c>
      <c r="I255" s="24" t="str">
        <f>IF(OR(E255="",E255="!!!",F255="NEW"),"",INDEX(B$2:B254,-1+SUMPRODUCT(MAX(ROW(E$2:E254)*(E255=E$2:E254)))))</f>
        <v/>
      </c>
      <c r="J255" s="24" t="str">
        <f ca="1">IF(OR(E255="",E255="!!!",F255="NEW"),"",COUNTBLANK(OFFSET(A$1,,,SUMPRODUCT(MAX(ROW(E$2:E255)*(E255=E$2:E255)))))-COUNTBLANK(OFFSET(A$1,,,SUMPRODUCT(MAX(ROW(E$1:E254)*(E2=E$1:E254))))))</f>
        <v/>
      </c>
      <c r="K255" s="24" t="str">
        <f>IF(OR(E255="",E255="!!!",F255="NEW"),"",INDEX(J$1:J254,SUMPRODUCT(MAX(ROW(E$1:E254)*(E255=E$1:E254)))))</f>
        <v/>
      </c>
      <c r="L255" s="25"/>
    </row>
    <row r="256" spans="1:12" x14ac:dyDescent="0.3">
      <c r="A256" t="s">
        <v>310</v>
      </c>
      <c r="E256" s="20" t="str">
        <f t="shared" si="24"/>
        <v/>
      </c>
      <c r="F256" s="21" t="str">
        <f>IF(OR(E256="",E256="!!!"),"",IF(NOT(ISNA(VLOOKUP(E256,E$1:E255,1,FALSE()))),"OLD",IF(AND(E256&lt;&gt;"",E256&lt;&gt;"!!!"),"NEW","")))</f>
        <v/>
      </c>
      <c r="G256" s="22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/>
      </c>
      <c r="H256" s="23" t="str">
        <f t="shared" ca="1" si="25"/>
        <v/>
      </c>
      <c r="I256" s="24" t="str">
        <f>IF(OR(E256="",E256="!!!",F256="NEW"),"",INDEX(B$2:B255,-1+SUMPRODUCT(MAX(ROW(E$2:E255)*(E256=E$2:E255)))))</f>
        <v/>
      </c>
      <c r="J256" s="24" t="str">
        <f ca="1">IF(OR(E256="",E256="!!!",F256="NEW"),"",COUNTBLANK(OFFSET(A$1,,,SUMPRODUCT(MAX(ROW(E$2:E256)*(E256=E$2:E256)))))-COUNTBLANK(OFFSET(A$1,,,SUMPRODUCT(MAX(ROW(E$1:E255)*(E2=E$1:E255))))))</f>
        <v/>
      </c>
      <c r="K256" s="24" t="str">
        <f>IF(OR(E256="",E256="!!!",F256="NEW"),"",INDEX(J$1:J255,SUMPRODUCT(MAX(ROW(E$1:E255)*(E256=E$1:E255)))))</f>
        <v/>
      </c>
      <c r="L256" s="25"/>
    </row>
    <row r="257" spans="1:12" x14ac:dyDescent="0.3">
      <c r="A257" t="s">
        <v>270</v>
      </c>
      <c r="B257" s="26" t="s">
        <v>261</v>
      </c>
      <c r="C257" s="26" t="s">
        <v>239</v>
      </c>
      <c r="D257" s="26" t="s">
        <v>240</v>
      </c>
      <c r="E257" s="20" t="str">
        <f t="shared" si="24"/>
        <v>!!!</v>
      </c>
      <c r="F257" s="21" t="str">
        <f>IF(OR(E257="",E257="!!!"),"",IF(NOT(ISNA(VLOOKUP(E257,E$1:E256,1,FALSE()))),"OLD",IF(AND(E257&lt;&gt;"",E257&lt;&gt;"!!!"),"NEW","")))</f>
        <v/>
      </c>
      <c r="G257" s="22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/>
      </c>
      <c r="H257" s="23" t="str">
        <f t="shared" ca="1" si="25"/>
        <v/>
      </c>
      <c r="I257" s="24" t="str">
        <f>IF(OR(E257="",E257="!!!",F257="NEW"),"",INDEX(B$2:B256,-1+SUMPRODUCT(MAX(ROW(E$2:E256)*(E257=E$2:E256)))))</f>
        <v/>
      </c>
      <c r="J257" s="24" t="str">
        <f ca="1">IF(OR(E257="",E257="!!!",F257="NEW"),"",COUNTBLANK(OFFSET(A$1,,,SUMPRODUCT(MAX(ROW(E$2:E257)*(E257=E$2:E257)))))-COUNTBLANK(OFFSET(A$1,,,SUMPRODUCT(MAX(ROW(E$1:E256)*(E2=E$1:E256))))))</f>
        <v/>
      </c>
      <c r="K257" s="24" t="str">
        <f>IF(OR(E257="",E257="!!!",F257="NEW"),"",INDEX(J$1:J256,SUMPRODUCT(MAX(ROW(E$1:E256)*(E257=E$1:E256)))))</f>
        <v/>
      </c>
      <c r="L257" s="25"/>
    </row>
    <row r="258" spans="1:12" x14ac:dyDescent="0.3">
      <c r="A258" t="s">
        <v>401</v>
      </c>
      <c r="E258" s="20" t="str">
        <f t="shared" si="24"/>
        <v/>
      </c>
      <c r="F258" s="21" t="str">
        <f>IF(OR(E258="",E258="!!!"),"",IF(NOT(ISNA(VLOOKUP(E258,E$1:E257,1,FALSE()))),"OLD",IF(AND(E258&lt;&gt;"",E258&lt;&gt;"!!!"),"NEW","")))</f>
        <v/>
      </c>
      <c r="G258" s="22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/>
      </c>
      <c r="H258" s="23" t="str">
        <f t="shared" ca="1" si="25"/>
        <v/>
      </c>
      <c r="I258" s="24" t="str">
        <f>IF(OR(E258="",E258="!!!",F258="NEW"),"",INDEX(B$2:B257,-1+SUMPRODUCT(MAX(ROW(E$2:E257)*(E258=E$2:E257)))))</f>
        <v/>
      </c>
      <c r="J258" s="24" t="str">
        <f ca="1">IF(OR(E258="",E258="!!!",F258="NEW"),"",COUNTBLANK(OFFSET(A$1,,,SUMPRODUCT(MAX(ROW(E$2:E258)*(E258=E$2:E258)))))-COUNTBLANK(OFFSET(A$1,,,SUMPRODUCT(MAX(ROW(E$1:E257)*(E2=E$1:E257))))))</f>
        <v/>
      </c>
      <c r="K258" s="24" t="str">
        <f>IF(OR(E258="",E258="!!!",F258="NEW"),"",INDEX(J$1:J257,SUMPRODUCT(MAX(ROW(E$1:E257)*(E258=E$1:E257)))))</f>
        <v/>
      </c>
      <c r="L258" s="25"/>
    </row>
    <row r="259" spans="1:12" x14ac:dyDescent="0.3">
      <c r="A259" t="s">
        <v>252</v>
      </c>
      <c r="E259" s="20" t="str">
        <f t="shared" si="24"/>
        <v/>
      </c>
      <c r="F259" s="21" t="str">
        <f>IF(OR(E259="",E259="!!!"),"",IF(NOT(ISNA(VLOOKUP(E259,E$1:E258,1,FALSE()))),"OLD",IF(AND(E259&lt;&gt;"",E259&lt;&gt;"!!!"),"NEW","")))</f>
        <v/>
      </c>
      <c r="G259" s="22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/>
      </c>
      <c r="H259" s="23" t="str">
        <f t="shared" ca="1" si="25"/>
        <v/>
      </c>
      <c r="I259" s="24" t="str">
        <f>IF(OR(E259="",E259="!!!",F259="NEW"),"",INDEX(B$2:B258,-1+SUMPRODUCT(MAX(ROW(E$2:E258)*(E259=E$2:E258)))))</f>
        <v/>
      </c>
      <c r="J259" s="24" t="str">
        <f ca="1">IF(OR(E259="",E259="!!!",F259="NEW"),"",COUNTBLANK(OFFSET(A$1,,,SUMPRODUCT(MAX(ROW(E$2:E259)*(E259=E$2:E259)))))-COUNTBLANK(OFFSET(A$1,,,SUMPRODUCT(MAX(ROW(E$1:E258)*(E2=E$1:E258))))))</f>
        <v/>
      </c>
      <c r="K259" s="24" t="str">
        <f>IF(OR(E259="",E259="!!!",F259="NEW"),"",INDEX(J$1:J258,SUMPRODUCT(MAX(ROW(E$1:E258)*(E259=E$1:E258)))))</f>
        <v/>
      </c>
      <c r="L259" s="25"/>
    </row>
    <row r="260" spans="1:12" x14ac:dyDescent="0.3">
      <c r="A260" t="s">
        <v>402</v>
      </c>
      <c r="E260" s="20" t="str">
        <f t="shared" si="24"/>
        <v/>
      </c>
      <c r="F260" s="21" t="str">
        <f>IF(OR(E260="",E260="!!!"),"",IF(NOT(ISNA(VLOOKUP(E260,E$1:E259,1,FALSE()))),"OLD",IF(AND(E260&lt;&gt;"",E260&lt;&gt;"!!!"),"NEW","")))</f>
        <v/>
      </c>
      <c r="G260" s="22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/>
      </c>
      <c r="H260" s="23" t="str">
        <f t="shared" ca="1" si="25"/>
        <v/>
      </c>
      <c r="I260" s="24" t="str">
        <f>IF(OR(E260="",E260="!!!",F260="NEW"),"",INDEX(B$2:B259,-1+SUMPRODUCT(MAX(ROW(E$2:E259)*(E260=E$2:E259)))))</f>
        <v/>
      </c>
      <c r="J260" s="24" t="str">
        <f ca="1">IF(OR(E260="",E260="!!!",F260="NEW"),"",COUNTBLANK(OFFSET(A$1,,,SUMPRODUCT(MAX(ROW(E$2:E260)*(E260=E$2:E260)))))-COUNTBLANK(OFFSET(A$1,,,SUMPRODUCT(MAX(ROW(E$1:E259)*(E2=E$1:E259))))))</f>
        <v/>
      </c>
      <c r="K260" s="24" t="str">
        <f>IF(OR(E260="",E260="!!!",F260="NEW"),"",INDEX(J$1:J259,SUMPRODUCT(MAX(ROW(E$1:E259)*(E260=E$1:E259)))))</f>
        <v/>
      </c>
      <c r="L260" s="25"/>
    </row>
    <row r="261" spans="1:12" x14ac:dyDescent="0.3">
      <c r="A261" t="s">
        <v>254</v>
      </c>
      <c r="B261" s="26" t="s">
        <v>255</v>
      </c>
      <c r="C261" s="26" t="s">
        <v>256</v>
      </c>
      <c r="D261" s="26" t="s">
        <v>240</v>
      </c>
      <c r="E261" s="20" t="str">
        <f t="shared" si="24"/>
        <v>!!!</v>
      </c>
      <c r="F261" s="21" t="str">
        <f>IF(OR(E261="",E261="!!!"),"",IF(NOT(ISNA(VLOOKUP(E261,E$1:E260,1,FALSE()))),"OLD",IF(AND(E261&lt;&gt;"",E261&lt;&gt;"!!!"),"NEW","")))</f>
        <v/>
      </c>
      <c r="G261" s="22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/>
      </c>
      <c r="H261" s="23" t="str">
        <f t="shared" ca="1" si="25"/>
        <v/>
      </c>
      <c r="I261" s="24" t="str">
        <f>IF(OR(E261="",E261="!!!",F261="NEW"),"",INDEX(B$2:B260,-1+SUMPRODUCT(MAX(ROW(E$2:E260)*(E261=E$2:E260)))))</f>
        <v/>
      </c>
      <c r="J261" s="24" t="str">
        <f ca="1">IF(OR(E261="",E261="!!!",F261="NEW"),"",COUNTBLANK(OFFSET(A$1,,,SUMPRODUCT(MAX(ROW(E$2:E261)*(E261=E$2:E261)))))-COUNTBLANK(OFFSET(A$1,,,SUMPRODUCT(MAX(ROW(E$1:E260)*(E2=E$1:E260))))))</f>
        <v/>
      </c>
      <c r="K261" s="24" t="str">
        <f>IF(OR(E261="",E261="!!!",F261="NEW"),"",INDEX(J$1:J260,SUMPRODUCT(MAX(ROW(E$1:E260)*(E261=E$1:E260)))))</f>
        <v/>
      </c>
      <c r="L261" s="25"/>
    </row>
    <row r="262" spans="1:12" x14ac:dyDescent="0.3">
      <c r="A262" t="s">
        <v>263</v>
      </c>
      <c r="E262" s="20" t="str">
        <f t="shared" si="24"/>
        <v/>
      </c>
      <c r="F262" s="21" t="str">
        <f>IF(OR(E262="",E262="!!!"),"",IF(NOT(ISNA(VLOOKUP(E262,E$1:E261,1,FALSE()))),"OLD",IF(AND(E262&lt;&gt;"",E262&lt;&gt;"!!!"),"NEW","")))</f>
        <v/>
      </c>
      <c r="G262" s="22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/>
      </c>
      <c r="H262" s="23" t="str">
        <f t="shared" ca="1" si="25"/>
        <v/>
      </c>
      <c r="I262" s="24" t="str">
        <f>IF(OR(E262="",E262="!!!",F262="NEW"),"",INDEX(B$2:B261,-1+SUMPRODUCT(MAX(ROW(E$2:E261)*(E262=E$2:E261)))))</f>
        <v/>
      </c>
      <c r="J262" s="24" t="str">
        <f ca="1">IF(OR(E262="",E262="!!!",F262="NEW"),"",COUNTBLANK(OFFSET(A$1,,,SUMPRODUCT(MAX(ROW(E$2:E262)*(E262=E$2:E262)))))-COUNTBLANK(OFFSET(A$1,,,SUMPRODUCT(MAX(ROW(E$1:E261)*(E2=E$1:E261))))))</f>
        <v/>
      </c>
      <c r="K262" s="24" t="str">
        <f>IF(OR(E262="",E262="!!!",F262="NEW"),"",INDEX(J$1:J261,SUMPRODUCT(MAX(ROW(E$1:E261)*(E262=E$1:E261)))))</f>
        <v/>
      </c>
      <c r="L262" s="25"/>
    </row>
    <row r="263" spans="1:12" x14ac:dyDescent="0.3">
      <c r="A263" t="s">
        <v>403</v>
      </c>
      <c r="E263" s="20" t="str">
        <f t="shared" si="24"/>
        <v/>
      </c>
      <c r="F263" s="21" t="str">
        <f>IF(OR(E263="",E263="!!!"),"",IF(NOT(ISNA(VLOOKUP(E263,E$1:E262,1,FALSE()))),"OLD",IF(AND(E263&lt;&gt;"",E263&lt;&gt;"!!!"),"NEW","")))</f>
        <v/>
      </c>
      <c r="G263" s="22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/>
      </c>
      <c r="H263" s="23" t="str">
        <f t="shared" ca="1" si="25"/>
        <v/>
      </c>
      <c r="I263" s="24" t="str">
        <f>IF(OR(E263="",E263="!!!",F263="NEW"),"",INDEX(B$2:B262,-1+SUMPRODUCT(MAX(ROW(E$2:E262)*(E263=E$2:E262)))))</f>
        <v/>
      </c>
      <c r="J263" s="24" t="str">
        <f ca="1">IF(OR(E263="",E263="!!!",F263="NEW"),"",COUNTBLANK(OFFSET(A$1,,,SUMPRODUCT(MAX(ROW(E$2:E263)*(E263=E$2:E263)))))-COUNTBLANK(OFFSET(A$1,,,SUMPRODUCT(MAX(ROW(E$1:E262)*(E2=E$1:E262))))))</f>
        <v/>
      </c>
      <c r="K263" s="24" t="str">
        <f>IF(OR(E263="",E263="!!!",F263="NEW"),"",INDEX(J$1:J262,SUMPRODUCT(MAX(ROW(E$1:E262)*(E263=E$1:E262)))))</f>
        <v/>
      </c>
      <c r="L263" s="25"/>
    </row>
    <row r="264" spans="1:12" x14ac:dyDescent="0.3">
      <c r="A264" t="s">
        <v>404</v>
      </c>
      <c r="E264" s="20" t="str">
        <f t="shared" si="24"/>
        <v/>
      </c>
      <c r="F264" s="21" t="str">
        <f>IF(OR(E264="",E264="!!!"),"",IF(NOT(ISNA(VLOOKUP(E264,E$1:E263,1,FALSE()))),"OLD",IF(AND(E264&lt;&gt;"",E264&lt;&gt;"!!!"),"NEW","")))</f>
        <v/>
      </c>
      <c r="G264" s="22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/>
      </c>
      <c r="H264" s="23" t="str">
        <f t="shared" ca="1" si="25"/>
        <v/>
      </c>
      <c r="I264" s="24" t="str">
        <f>IF(OR(E264="",E264="!!!",F264="NEW"),"",INDEX(B$2:B263,-1+SUMPRODUCT(MAX(ROW(E$2:E263)*(E264=E$2:E263)))))</f>
        <v/>
      </c>
      <c r="J264" s="24" t="str">
        <f ca="1">IF(OR(E264="",E264="!!!",F264="NEW"),"",COUNTBLANK(OFFSET(A$1,,,SUMPRODUCT(MAX(ROW(E$2:E264)*(E264=E$2:E264)))))-COUNTBLANK(OFFSET(A$1,,,SUMPRODUCT(MAX(ROW(E$1:E263)*(E2=E$1:E263))))))</f>
        <v/>
      </c>
      <c r="K264" s="24" t="str">
        <f>IF(OR(E264="",E264="!!!",F264="NEW"),"",INDEX(J$1:J263,SUMPRODUCT(MAX(ROW(E$1:E263)*(E264=E$1:E263)))))</f>
        <v/>
      </c>
      <c r="L264" s="25"/>
    </row>
    <row r="265" spans="1:12" x14ac:dyDescent="0.3">
      <c r="A265" t="s">
        <v>405</v>
      </c>
      <c r="B265" s="26" t="s">
        <v>238</v>
      </c>
      <c r="C265" s="26" t="s">
        <v>262</v>
      </c>
      <c r="E265" s="20" t="str">
        <f t="shared" si="24"/>
        <v/>
      </c>
      <c r="F265" s="21" t="str">
        <f>IF(OR(E265="",E265="!!!"),"",IF(NOT(ISNA(VLOOKUP(E265,E$1:E264,1,FALSE()))),"OLD",IF(AND(E265&lt;&gt;"",E265&lt;&gt;"!!!"),"NEW","")))</f>
        <v/>
      </c>
      <c r="G265" s="22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/>
      </c>
      <c r="H265" s="23" t="str">
        <f t="shared" ca="1" si="25"/>
        <v/>
      </c>
      <c r="I265" s="24" t="str">
        <f>IF(OR(E265="",E265="!!!",F265="NEW"),"",INDEX(B$2:B264,-1+SUMPRODUCT(MAX(ROW(E$2:E264)*(E265=E$2:E264)))))</f>
        <v/>
      </c>
      <c r="J265" s="24" t="str">
        <f ca="1">IF(OR(E265="",E265="!!!",F265="NEW"),"",COUNTBLANK(OFFSET(A$1,,,SUMPRODUCT(MAX(ROW(E$2:E265)*(E265=E$2:E265)))))-COUNTBLANK(OFFSET(A$1,,,SUMPRODUCT(MAX(ROW(E$1:E264)*(E2=E$1:E264))))))</f>
        <v/>
      </c>
      <c r="K265" s="24" t="str">
        <f>IF(OR(E265="",E265="!!!",F265="NEW"),"",INDEX(J$1:J264,SUMPRODUCT(MAX(ROW(E$1:E264)*(E265=E$1:E264)))))</f>
        <v/>
      </c>
      <c r="L265" s="25"/>
    </row>
    <row r="266" spans="1:12" x14ac:dyDescent="0.3">
      <c r="A266" t="s">
        <v>257</v>
      </c>
      <c r="E266" s="20" t="str">
        <f t="shared" si="24"/>
        <v/>
      </c>
      <c r="F266" s="21" t="str">
        <f>IF(OR(E266="",E266="!!!"),"",IF(NOT(ISNA(VLOOKUP(E266,E$1:E265,1,FALSE()))),"OLD",IF(AND(E266&lt;&gt;"",E266&lt;&gt;"!!!"),"NEW","")))</f>
        <v/>
      </c>
      <c r="G266" s="22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/>
      </c>
      <c r="H266" s="23" t="str">
        <f t="shared" ca="1" si="25"/>
        <v/>
      </c>
      <c r="I266" s="24" t="str">
        <f>IF(OR(E266="",E266="!!!",F266="NEW"),"",INDEX(B$2:B265,-1+SUMPRODUCT(MAX(ROW(E$2:E265)*(E266=E$2:E265)))))</f>
        <v/>
      </c>
      <c r="J266" s="24" t="str">
        <f ca="1">IF(OR(E266="",E266="!!!",F266="NEW"),"",COUNTBLANK(OFFSET(A$1,,,SUMPRODUCT(MAX(ROW(E$2:E266)*(E266=E$2:E266)))))-COUNTBLANK(OFFSET(A$1,,,SUMPRODUCT(MAX(ROW(E$1:E265)*(E2=E$1:E265))))))</f>
        <v/>
      </c>
      <c r="K266" s="24" t="str">
        <f>IF(OR(E266="",E266="!!!",F266="NEW"),"",INDEX(J$1:J265,SUMPRODUCT(MAX(ROW(E$1:E265)*(E266=E$1:E265)))))</f>
        <v/>
      </c>
      <c r="L266" s="25"/>
    </row>
    <row r="267" spans="1:12" x14ac:dyDescent="0.3">
      <c r="A267" t="s">
        <v>310</v>
      </c>
      <c r="E267" s="20" t="str">
        <f t="shared" si="24"/>
        <v/>
      </c>
      <c r="F267" s="21" t="str">
        <f>IF(OR(E267="",E267="!!!"),"",IF(NOT(ISNA(VLOOKUP(E267,E$1:E266,1,FALSE()))),"OLD",IF(AND(E267&lt;&gt;"",E267&lt;&gt;"!!!"),"NEW","")))</f>
        <v/>
      </c>
      <c r="G267" s="22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/>
      </c>
      <c r="H267" s="23" t="str">
        <f t="shared" ca="1" si="25"/>
        <v/>
      </c>
      <c r="I267" s="24" t="str">
        <f>IF(OR(E267="",E267="!!!",F267="NEW"),"",INDEX(B$2:B266,-1+SUMPRODUCT(MAX(ROW(E$2:E266)*(E267=E$2:E266)))))</f>
        <v/>
      </c>
      <c r="J267" s="24" t="str">
        <f ca="1">IF(OR(E267="",E267="!!!",F267="NEW"),"",COUNTBLANK(OFFSET(A$1,,,SUMPRODUCT(MAX(ROW(E$2:E267)*(E267=E$2:E267)))))-COUNTBLANK(OFFSET(A$1,,,SUMPRODUCT(MAX(ROW(E$1:E266)*(E2=E$1:E266))))))</f>
        <v/>
      </c>
      <c r="K267" s="24" t="str">
        <f>IF(OR(E267="",E267="!!!",F267="NEW"),"",INDEX(J$1:J266,SUMPRODUCT(MAX(ROW(E$1:E266)*(E267=E$1:E266)))))</f>
        <v/>
      </c>
      <c r="L267" s="25"/>
    </row>
    <row r="268" spans="1:12" x14ac:dyDescent="0.3">
      <c r="A268" t="s">
        <v>392</v>
      </c>
      <c r="B268" s="26" t="s">
        <v>261</v>
      </c>
      <c r="C268" s="26" t="s">
        <v>239</v>
      </c>
      <c r="D268" s="26" t="s">
        <v>240</v>
      </c>
      <c r="E268" s="20" t="str">
        <f t="shared" si="24"/>
        <v>!!!</v>
      </c>
      <c r="F268" s="21" t="str">
        <f>IF(OR(E268="",E268="!!!"),"",IF(NOT(ISNA(VLOOKUP(E268,E$1:E267,1,FALSE()))),"OLD",IF(AND(E268&lt;&gt;"",E268&lt;&gt;"!!!"),"NEW","")))</f>
        <v/>
      </c>
      <c r="G268" s="22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/>
      </c>
      <c r="H268" s="23" t="str">
        <f t="shared" ca="1" si="25"/>
        <v/>
      </c>
      <c r="I268" s="24" t="str">
        <f>IF(OR(E268="",E268="!!!",F268="NEW"),"",INDEX(B$2:B267,-1+SUMPRODUCT(MAX(ROW(E$2:E267)*(E268=E$2:E267)))))</f>
        <v/>
      </c>
      <c r="J268" s="24" t="str">
        <f ca="1">IF(OR(E268="",E268="!!!",F268="NEW"),"",COUNTBLANK(OFFSET(A$1,,,SUMPRODUCT(MAX(ROW(E$2:E268)*(E268=E$2:E268)))))-COUNTBLANK(OFFSET(A$1,,,SUMPRODUCT(MAX(ROW(E$1:E267)*(E2=E$1:E267))))))</f>
        <v/>
      </c>
      <c r="K268" s="24" t="str">
        <f>IF(OR(E268="",E268="!!!",F268="NEW"),"",INDEX(J$1:J267,SUMPRODUCT(MAX(ROW(E$1:E267)*(E268=E$1:E267)))))</f>
        <v/>
      </c>
      <c r="L268" s="25"/>
    </row>
    <row r="269" spans="1:12" x14ac:dyDescent="0.3">
      <c r="A269" t="s">
        <v>363</v>
      </c>
      <c r="E269" s="20" t="str">
        <f t="shared" si="24"/>
        <v/>
      </c>
      <c r="F269" s="21" t="str">
        <f>IF(OR(E269="",E269="!!!"),"",IF(NOT(ISNA(VLOOKUP(E269,E$1:E268,1,FALSE()))),"OLD",IF(AND(E269&lt;&gt;"",E269&lt;&gt;"!!!"),"NEW","")))</f>
        <v/>
      </c>
      <c r="G269" s="22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/>
      </c>
      <c r="H269" s="23" t="str">
        <f t="shared" ca="1" si="25"/>
        <v/>
      </c>
      <c r="I269" s="24" t="str">
        <f>IF(OR(E269="",E269="!!!",F269="NEW"),"",INDEX(B$2:B268,-1+SUMPRODUCT(MAX(ROW(E$2:E268)*(E269=E$2:E268)))))</f>
        <v/>
      </c>
      <c r="J269" s="24" t="str">
        <f ca="1">IF(OR(E269="",E269="!!!",F269="NEW"),"",COUNTBLANK(OFFSET(A$1,,,SUMPRODUCT(MAX(ROW(E$2:E269)*(E269=E$2:E269)))))-COUNTBLANK(OFFSET(A$1,,,SUMPRODUCT(MAX(ROW(E$1:E268)*(E2=E$1:E268))))))</f>
        <v/>
      </c>
      <c r="K269" s="24" t="str">
        <f>IF(OR(E269="",E269="!!!",F269="NEW"),"",INDEX(J$1:J268,SUMPRODUCT(MAX(ROW(E$1:E268)*(E269=E$1:E268)))))</f>
        <v/>
      </c>
      <c r="L269" s="25"/>
    </row>
    <row r="270" spans="1:12" x14ac:dyDescent="0.3">
      <c r="A270" t="s">
        <v>394</v>
      </c>
      <c r="B270" s="26" t="s">
        <v>272</v>
      </c>
      <c r="C270" s="26" t="s">
        <v>239</v>
      </c>
      <c r="D270" s="26" t="s">
        <v>240</v>
      </c>
      <c r="E270" s="20" t="str">
        <f t="shared" si="24"/>
        <v>!!!</v>
      </c>
      <c r="F270" s="21" t="str">
        <f>IF(OR(E270="",E270="!!!"),"",IF(NOT(ISNA(VLOOKUP(E270,E$1:E269,1,FALSE()))),"OLD",IF(AND(E270&lt;&gt;"",E270&lt;&gt;"!!!"),"NEW","")))</f>
        <v/>
      </c>
      <c r="G270" s="22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/>
      </c>
      <c r="H270" s="23" t="str">
        <f t="shared" ca="1" si="25"/>
        <v/>
      </c>
      <c r="I270" s="24" t="str">
        <f>IF(OR(E270="",E270="!!!",F270="NEW"),"",INDEX(B$2:B269,-1+SUMPRODUCT(MAX(ROW(E$2:E269)*(E270=E$2:E269)))))</f>
        <v/>
      </c>
      <c r="J270" s="24" t="str">
        <f ca="1">IF(OR(E270="",E270="!!!",F270="NEW"),"",COUNTBLANK(OFFSET(A$1,,,SUMPRODUCT(MAX(ROW(E$2:E270)*(E270=E$2:E270)))))-COUNTBLANK(OFFSET(A$1,,,SUMPRODUCT(MAX(ROW(E$1:E269)*(E2=E$1:E269))))))</f>
        <v/>
      </c>
      <c r="K270" s="24" t="str">
        <f>IF(OR(E270="",E270="!!!",F270="NEW"),"",INDEX(J$1:J269,SUMPRODUCT(MAX(ROW(E$1:E269)*(E270=E$1:E269)))))</f>
        <v/>
      </c>
      <c r="L270" s="25"/>
    </row>
    <row r="271" spans="1:12" x14ac:dyDescent="0.3">
      <c r="A271" t="s">
        <v>406</v>
      </c>
      <c r="E271" s="20" t="str">
        <f t="shared" si="24"/>
        <v/>
      </c>
      <c r="F271" s="21" t="str">
        <f>IF(OR(E271="",E271="!!!"),"",IF(NOT(ISNA(VLOOKUP(E271,E$1:E270,1,FALSE()))),"OLD",IF(AND(E271&lt;&gt;"",E271&lt;&gt;"!!!"),"NEW","")))</f>
        <v/>
      </c>
      <c r="G271" s="22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/>
      </c>
      <c r="H271" s="23" t="str">
        <f t="shared" ca="1" si="25"/>
        <v/>
      </c>
      <c r="I271" s="24" t="str">
        <f>IF(OR(E271="",E271="!!!",F271="NEW"),"",INDEX(B$2:B270,-1+SUMPRODUCT(MAX(ROW(E$2:E270)*(E271=E$2:E270)))))</f>
        <v/>
      </c>
      <c r="J271" s="24" t="str">
        <f ca="1">IF(OR(E271="",E271="!!!",F271="NEW"),"",COUNTBLANK(OFFSET(A$1,,,SUMPRODUCT(MAX(ROW(E$2:E271)*(E271=E$2:E271)))))-COUNTBLANK(OFFSET(A$1,,,SUMPRODUCT(MAX(ROW(E$1:E270)*(E2=E$1:E270))))))</f>
        <v/>
      </c>
      <c r="K271" s="24" t="str">
        <f>IF(OR(E271="",E271="!!!",F271="NEW"),"",INDEX(J$1:J270,SUMPRODUCT(MAX(ROW(E$1:E270)*(E271=E$1:E270)))))</f>
        <v/>
      </c>
      <c r="L271" s="25"/>
    </row>
    <row r="272" spans="1:12" x14ac:dyDescent="0.3">
      <c r="A272" t="s">
        <v>248</v>
      </c>
      <c r="E272" s="20" t="str">
        <f t="shared" si="24"/>
        <v/>
      </c>
      <c r="F272" s="21" t="str">
        <f>IF(OR(E272="",E272="!!!"),"",IF(NOT(ISNA(VLOOKUP(E272,E$1:E271,1,FALSE()))),"OLD",IF(AND(E272&lt;&gt;"",E272&lt;&gt;"!!!"),"NEW","")))</f>
        <v/>
      </c>
      <c r="G272" s="22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/>
      </c>
      <c r="H272" s="23" t="str">
        <f t="shared" ca="1" si="25"/>
        <v/>
      </c>
      <c r="I272" s="24" t="str">
        <f>IF(OR(E272="",E272="!!!",F272="NEW"),"",INDEX(B$2:B271,-1+SUMPRODUCT(MAX(ROW(E$2:E271)*(E272=E$2:E271)))))</f>
        <v/>
      </c>
      <c r="J272" s="24" t="str">
        <f ca="1">IF(OR(E272="",E272="!!!",F272="NEW"),"",COUNTBLANK(OFFSET(A$1,,,SUMPRODUCT(MAX(ROW(E$2:E272)*(E272=E$2:E272)))))-COUNTBLANK(OFFSET(A$1,,,SUMPRODUCT(MAX(ROW(E$1:E271)*(E2=E$1:E271))))))</f>
        <v/>
      </c>
      <c r="K272" s="24" t="str">
        <f>IF(OR(E272="",E272="!!!",F272="NEW"),"",INDEX(J$1:J271,SUMPRODUCT(MAX(ROW(E$1:E271)*(E272=E$1:E271)))))</f>
        <v/>
      </c>
      <c r="L272" s="25"/>
    </row>
    <row r="274" spans="1:12" x14ac:dyDescent="0.3">
      <c r="A274" t="s">
        <v>407</v>
      </c>
    </row>
    <row r="275" spans="1:12" x14ac:dyDescent="0.3">
      <c r="A275" t="s">
        <v>408</v>
      </c>
      <c r="E275" s="20" t="str">
        <f t="shared" ref="E275:E283" si="26">IF(D275="?OLD","!!!","")</f>
        <v/>
      </c>
      <c r="F275" s="21" t="str">
        <f>IF(OR(E275="",E275="!!!"),"",IF(NOT(ISNA(VLOOKUP(E275,E$1:E274,1,FALSE()))),"OLD",IF(AND(E275&lt;&gt;"",E275&lt;&gt;"!!!"),"NEW","")))</f>
        <v/>
      </c>
      <c r="G275" s="22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/>
      </c>
      <c r="H275" s="23" t="str">
        <f t="shared" ref="H275:H283" ca="1" si="27">IF(J275&lt;&gt;1,"",IF(I275="SBJ","CB","?"))</f>
        <v/>
      </c>
      <c r="I275" s="24" t="str">
        <f>IF(OR(E275="",E275="!!!",F275="NEW"),"",INDEX(B$2:B274,-1+SUMPRODUCT(MAX(ROW(E$2:E274)*(E275=E$2:E274)))))</f>
        <v/>
      </c>
      <c r="J275" s="24" t="str">
        <f ca="1">IF(OR(E275="",E275="!!!",F275="NEW"),"",COUNTBLANK(OFFSET(A$1,,,SUMPRODUCT(MAX(ROW(E$2:E275)*(E275=E$2:E275)))))-COUNTBLANK(OFFSET(A$1,,,SUMPRODUCT(MAX(ROW(E$1:E274)*(E2=E$1:E274))))))</f>
        <v/>
      </c>
      <c r="K275" s="24" t="str">
        <f>IF(OR(E275="",E275="!!!",F275="NEW"),"",INDEX(J$1:J274,SUMPRODUCT(MAX(ROW(E$1:E274)*(E275=E$1:E274)))))</f>
        <v/>
      </c>
      <c r="L275" s="25"/>
    </row>
    <row r="276" spans="1:12" x14ac:dyDescent="0.3">
      <c r="A276" t="s">
        <v>409</v>
      </c>
      <c r="E276" s="20" t="str">
        <f t="shared" si="26"/>
        <v/>
      </c>
      <c r="F276" s="21" t="str">
        <f>IF(OR(E276="",E276="!!!"),"",IF(NOT(ISNA(VLOOKUP(E276,E$1:E275,1,FALSE()))),"OLD",IF(AND(E276&lt;&gt;"",E276&lt;&gt;"!!!"),"NEW","")))</f>
        <v/>
      </c>
      <c r="G276" s="22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/>
      </c>
      <c r="H276" s="23" t="str">
        <f t="shared" ca="1" si="27"/>
        <v/>
      </c>
      <c r="I276" s="24" t="str">
        <f>IF(OR(E276="",E276="!!!",F276="NEW"),"",INDEX(B$2:B275,-1+SUMPRODUCT(MAX(ROW(E$2:E275)*(E276=E$2:E275)))))</f>
        <v/>
      </c>
      <c r="J276" s="24" t="str">
        <f ca="1">IF(OR(E276="",E276="!!!",F276="NEW"),"",COUNTBLANK(OFFSET(A$1,,,SUMPRODUCT(MAX(ROW(E$2:E276)*(E276=E$2:E276)))))-COUNTBLANK(OFFSET(A$1,,,SUMPRODUCT(MAX(ROW(E$1:E275)*(E2=E$1:E275))))))</f>
        <v/>
      </c>
      <c r="K276" s="24" t="str">
        <f>IF(OR(E276="",E276="!!!",F276="NEW"),"",INDEX(J$1:J275,SUMPRODUCT(MAX(ROW(E$1:E275)*(E276=E$1:E275)))))</f>
        <v/>
      </c>
      <c r="L276" s="25"/>
    </row>
    <row r="277" spans="1:12" x14ac:dyDescent="0.3">
      <c r="A277" t="s">
        <v>254</v>
      </c>
      <c r="B277" s="26" t="s">
        <v>243</v>
      </c>
      <c r="C277" s="26" t="s">
        <v>256</v>
      </c>
      <c r="D277" s="26" t="s">
        <v>240</v>
      </c>
      <c r="E277" s="20" t="str">
        <f t="shared" si="26"/>
        <v>!!!</v>
      </c>
      <c r="F277" s="21" t="str">
        <f>IF(OR(E277="",E277="!!!"),"",IF(NOT(ISNA(VLOOKUP(E277,E$1:E276,1,FALSE()))),"OLD",IF(AND(E277&lt;&gt;"",E277&lt;&gt;"!!!"),"NEW","")))</f>
        <v/>
      </c>
      <c r="G277" s="22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/>
      </c>
      <c r="H277" s="23" t="str">
        <f t="shared" ca="1" si="27"/>
        <v/>
      </c>
      <c r="I277" s="24" t="str">
        <f>IF(OR(E277="",E277="!!!",F277="NEW"),"",INDEX(B$2:B276,-1+SUMPRODUCT(MAX(ROW(E$2:E276)*(E277=E$2:E276)))))</f>
        <v/>
      </c>
      <c r="J277" s="24" t="str">
        <f ca="1">IF(OR(E277="",E277="!!!",F277="NEW"),"",COUNTBLANK(OFFSET(A$1,,,SUMPRODUCT(MAX(ROW(E$2:E277)*(E277=E$2:E277)))))-COUNTBLANK(OFFSET(A$1,,,SUMPRODUCT(MAX(ROW(E$1:E276)*(E2=E$1:E276))))))</f>
        <v/>
      </c>
      <c r="K277" s="24" t="str">
        <f>IF(OR(E277="",E277="!!!",F277="NEW"),"",INDEX(J$1:J276,SUMPRODUCT(MAX(ROW(E$1:E276)*(E277=E$1:E276)))))</f>
        <v/>
      </c>
      <c r="L277" s="25"/>
    </row>
    <row r="278" spans="1:12" x14ac:dyDescent="0.3">
      <c r="A278" t="s">
        <v>331</v>
      </c>
      <c r="E278" s="20" t="str">
        <f t="shared" si="26"/>
        <v/>
      </c>
      <c r="F278" s="21" t="str">
        <f>IF(OR(E278="",E278="!!!"),"",IF(NOT(ISNA(VLOOKUP(E278,E$1:E277,1,FALSE()))),"OLD",IF(AND(E278&lt;&gt;"",E278&lt;&gt;"!!!"),"NEW","")))</f>
        <v/>
      </c>
      <c r="G278" s="22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/>
      </c>
      <c r="H278" s="23" t="str">
        <f t="shared" ca="1" si="27"/>
        <v/>
      </c>
      <c r="I278" s="24" t="str">
        <f>IF(OR(E278="",E278="!!!",F278="NEW"),"",INDEX(B$2:B277,-1+SUMPRODUCT(MAX(ROW(E$2:E277)*(E278=E$2:E277)))))</f>
        <v/>
      </c>
      <c r="J278" s="24" t="str">
        <f ca="1">IF(OR(E278="",E278="!!!",F278="NEW"),"",COUNTBLANK(OFFSET(A$1,,,SUMPRODUCT(MAX(ROW(E$2:E278)*(E278=E$2:E278)))))-COUNTBLANK(OFFSET(A$1,,,SUMPRODUCT(MAX(ROW(E$1:E277)*(E2=E$1:E277))))))</f>
        <v/>
      </c>
      <c r="K278" s="24" t="str">
        <f>IF(OR(E278="",E278="!!!",F278="NEW"),"",INDEX(J$1:J277,SUMPRODUCT(MAX(ROW(E$1:E277)*(E278=E$1:E277)))))</f>
        <v/>
      </c>
      <c r="L278" s="25"/>
    </row>
    <row r="279" spans="1:12" x14ac:dyDescent="0.3">
      <c r="A279" t="s">
        <v>303</v>
      </c>
      <c r="E279" s="20" t="str">
        <f t="shared" si="26"/>
        <v/>
      </c>
      <c r="F279" s="21" t="str">
        <f>IF(OR(E279="",E279="!!!"),"",IF(NOT(ISNA(VLOOKUP(E279,E$1:E278,1,FALSE()))),"OLD",IF(AND(E279&lt;&gt;"",E279&lt;&gt;"!!!"),"NEW","")))</f>
        <v/>
      </c>
      <c r="G279" s="22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/>
      </c>
      <c r="H279" s="23" t="str">
        <f t="shared" ca="1" si="27"/>
        <v/>
      </c>
      <c r="I279" s="24" t="str">
        <f>IF(OR(E279="",E279="!!!",F279="NEW"),"",INDEX(B$2:B278,-1+SUMPRODUCT(MAX(ROW(E$2:E278)*(E279=E$2:E278)))))</f>
        <v/>
      </c>
      <c r="J279" s="24" t="str">
        <f ca="1">IF(OR(E279="",E279="!!!",F279="NEW"),"",COUNTBLANK(OFFSET(A$1,,,SUMPRODUCT(MAX(ROW(E$2:E279)*(E279=E$2:E279)))))-COUNTBLANK(OFFSET(A$1,,,SUMPRODUCT(MAX(ROW(E$1:E278)*(E2=E$1:E278))))))</f>
        <v/>
      </c>
      <c r="K279" s="24" t="str">
        <f>IF(OR(E279="",E279="!!!",F279="NEW"),"",INDEX(J$1:J278,SUMPRODUCT(MAX(ROW(E$1:E278)*(E279=E$1:E278)))))</f>
        <v/>
      </c>
      <c r="L279" s="25"/>
    </row>
    <row r="280" spans="1:12" x14ac:dyDescent="0.3">
      <c r="A280" t="s">
        <v>410</v>
      </c>
      <c r="B280" s="26" t="s">
        <v>238</v>
      </c>
      <c r="C280" s="26" t="s">
        <v>239</v>
      </c>
      <c r="D280" s="26" t="s">
        <v>240</v>
      </c>
      <c r="E280" s="20" t="str">
        <f t="shared" si="26"/>
        <v>!!!</v>
      </c>
      <c r="F280" s="21" t="str">
        <f>IF(OR(E280="",E280="!!!"),"",IF(NOT(ISNA(VLOOKUP(E280,E$1:E279,1,FALSE()))),"OLD",IF(AND(E280&lt;&gt;"",E280&lt;&gt;"!!!"),"NEW","")))</f>
        <v/>
      </c>
      <c r="G280" s="22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/>
      </c>
      <c r="H280" s="23" t="str">
        <f t="shared" ca="1" si="27"/>
        <v/>
      </c>
      <c r="I280" s="24" t="str">
        <f>IF(OR(E280="",E280="!!!",F280="NEW"),"",INDEX(B$2:B279,-1+SUMPRODUCT(MAX(ROW(E$2:E279)*(E280=E$2:E279)))))</f>
        <v/>
      </c>
      <c r="J280" s="24" t="str">
        <f ca="1">IF(OR(E280="",E280="!!!",F280="NEW"),"",COUNTBLANK(OFFSET(A$1,,,SUMPRODUCT(MAX(ROW(E$2:E280)*(E280=E$2:E280)))))-COUNTBLANK(OFFSET(A$1,,,SUMPRODUCT(MAX(ROW(E$1:E279)*(E2=E$1:E279))))))</f>
        <v/>
      </c>
      <c r="K280" s="24" t="str">
        <f>IF(OR(E280="",E280="!!!",F280="NEW"),"",INDEX(J$1:J279,SUMPRODUCT(MAX(ROW(E$1:E279)*(E280=E$1:E279)))))</f>
        <v/>
      </c>
      <c r="L280" s="25"/>
    </row>
    <row r="281" spans="1:12" x14ac:dyDescent="0.3">
      <c r="A281" t="s">
        <v>411</v>
      </c>
      <c r="E281" s="20" t="str">
        <f t="shared" si="26"/>
        <v/>
      </c>
      <c r="F281" s="21" t="str">
        <f>IF(OR(E281="",E281="!!!"),"",IF(NOT(ISNA(VLOOKUP(E281,E$1:E280,1,FALSE()))),"OLD",IF(AND(E281&lt;&gt;"",E281&lt;&gt;"!!!"),"NEW","")))</f>
        <v/>
      </c>
      <c r="G281" s="22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/>
      </c>
      <c r="H281" s="23" t="str">
        <f t="shared" ca="1" si="27"/>
        <v/>
      </c>
      <c r="I281" s="24" t="str">
        <f>IF(OR(E281="",E281="!!!",F281="NEW"),"",INDEX(B$2:B280,-1+SUMPRODUCT(MAX(ROW(E$2:E280)*(E281=E$2:E280)))))</f>
        <v/>
      </c>
      <c r="J281" s="24" t="str">
        <f ca="1">IF(OR(E281="",E281="!!!",F281="NEW"),"",COUNTBLANK(OFFSET(A$1,,,SUMPRODUCT(MAX(ROW(E$2:E281)*(E281=E$2:E281)))))-COUNTBLANK(OFFSET(A$1,,,SUMPRODUCT(MAX(ROW(E$1:E280)*(E2=E$1:E280))))))</f>
        <v/>
      </c>
      <c r="K281" s="24" t="str">
        <f>IF(OR(E281="",E281="!!!",F281="NEW"),"",INDEX(J$1:J280,SUMPRODUCT(MAX(ROW(E$1:E280)*(E281=E$1:E280)))))</f>
        <v/>
      </c>
      <c r="L281" s="25"/>
    </row>
    <row r="282" spans="1:12" x14ac:dyDescent="0.3">
      <c r="A282" t="s">
        <v>412</v>
      </c>
      <c r="B282" s="26" t="s">
        <v>292</v>
      </c>
      <c r="C282" s="26" t="s">
        <v>247</v>
      </c>
      <c r="E282" s="20" t="str">
        <f t="shared" si="26"/>
        <v/>
      </c>
      <c r="F282" s="21" t="str">
        <f>IF(OR(E282="",E282="!!!"),"",IF(NOT(ISNA(VLOOKUP(E282,E$1:E281,1,FALSE()))),"OLD",IF(AND(E282&lt;&gt;"",E282&lt;&gt;"!!!"),"NEW","")))</f>
        <v/>
      </c>
      <c r="G282" s="22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/>
      </c>
      <c r="H282" s="23" t="str">
        <f t="shared" ca="1" si="27"/>
        <v/>
      </c>
      <c r="I282" s="24" t="str">
        <f>IF(OR(E282="",E282="!!!",F282="NEW"),"",INDEX(B$2:B281,-1+SUMPRODUCT(MAX(ROW(E$2:E281)*(E282=E$2:E281)))))</f>
        <v/>
      </c>
      <c r="J282" s="24" t="str">
        <f ca="1">IF(OR(E282="",E282="!!!",F282="NEW"),"",COUNTBLANK(OFFSET(A$1,,,SUMPRODUCT(MAX(ROW(E$2:E282)*(E282=E$2:E282)))))-COUNTBLANK(OFFSET(A$1,,,SUMPRODUCT(MAX(ROW(E$1:E281)*(E2=E$1:E281))))))</f>
        <v/>
      </c>
      <c r="K282" s="24" t="str">
        <f>IF(OR(E282="",E282="!!!",F282="NEW"),"",INDEX(J$1:J281,SUMPRODUCT(MAX(ROW(E$1:E281)*(E282=E$1:E281)))))</f>
        <v/>
      </c>
      <c r="L282" s="25"/>
    </row>
    <row r="283" spans="1:12" x14ac:dyDescent="0.3">
      <c r="A283" t="s">
        <v>248</v>
      </c>
      <c r="E283" s="20" t="str">
        <f t="shared" si="26"/>
        <v/>
      </c>
      <c r="F283" s="21" t="str">
        <f>IF(OR(E283="",E283="!!!"),"",IF(NOT(ISNA(VLOOKUP(E283,E$1:E282,1,FALSE()))),"OLD",IF(AND(E283&lt;&gt;"",E283&lt;&gt;"!!!"),"NEW","")))</f>
        <v/>
      </c>
      <c r="G283" s="22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/>
      </c>
      <c r="H283" s="23" t="str">
        <f t="shared" ca="1" si="27"/>
        <v/>
      </c>
      <c r="I283" s="24" t="str">
        <f>IF(OR(E283="",E283="!!!",F283="NEW"),"",INDEX(B$2:B282,-1+SUMPRODUCT(MAX(ROW(E$2:E282)*(E283=E$2:E282)))))</f>
        <v/>
      </c>
      <c r="J283" s="24" t="str">
        <f ca="1">IF(OR(E283="",E283="!!!",F283="NEW"),"",COUNTBLANK(OFFSET(A$1,,,SUMPRODUCT(MAX(ROW(E$2:E283)*(E283=E$2:E283)))))-COUNTBLANK(OFFSET(A$1,,,SUMPRODUCT(MAX(ROW(E$1:E282)*(E2=E$1:E282))))))</f>
        <v/>
      </c>
      <c r="K283" s="24" t="str">
        <f>IF(OR(E283="",E283="!!!",F283="NEW"),"",INDEX(J$1:J282,SUMPRODUCT(MAX(ROW(E$1:E282)*(E283=E$1:E282)))))</f>
        <v/>
      </c>
      <c r="L283" s="25"/>
    </row>
    <row r="285" spans="1:12" x14ac:dyDescent="0.3">
      <c r="A285" t="s">
        <v>413</v>
      </c>
    </row>
    <row r="286" spans="1:12" x14ac:dyDescent="0.3">
      <c r="A286" t="s">
        <v>414</v>
      </c>
      <c r="E286" s="20" t="str">
        <f t="shared" ref="E286:E294" si="28">IF(D286="?OLD","!!!","")</f>
        <v/>
      </c>
      <c r="F286" s="21" t="str">
        <f>IF(OR(E286="",E286="!!!"),"",IF(NOT(ISNA(VLOOKUP(E286,E$1:E285,1,FALSE()))),"OLD",IF(AND(E286&lt;&gt;"",E286&lt;&gt;"!!!"),"NEW","")))</f>
        <v/>
      </c>
      <c r="G286" s="22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/>
      </c>
      <c r="H286" s="23" t="str">
        <f t="shared" ref="H286:H294" ca="1" si="29">IF(J286&lt;&gt;1,"",IF(I286="SBJ","CB","?"))</f>
        <v/>
      </c>
      <c r="I286" s="24" t="str">
        <f>IF(OR(E286="",E286="!!!",F286="NEW"),"",INDEX(B$2:B285,-1+SUMPRODUCT(MAX(ROW(E$2:E285)*(E286=E$2:E285)))))</f>
        <v/>
      </c>
      <c r="J286" s="24" t="str">
        <f ca="1">IF(OR(E286="",E286="!!!",F286="NEW"),"",COUNTBLANK(OFFSET(A$1,,,SUMPRODUCT(MAX(ROW(E$2:E286)*(E286=E$2:E286)))))-COUNTBLANK(OFFSET(A$1,,,SUMPRODUCT(MAX(ROW(E$1:E285)*(E2=E$1:E285))))))</f>
        <v/>
      </c>
      <c r="K286" s="24" t="str">
        <f>IF(OR(E286="",E286="!!!",F286="NEW"),"",INDEX(J$1:J285,SUMPRODUCT(MAX(ROW(E$1:E285)*(E286=E$1:E285)))))</f>
        <v/>
      </c>
      <c r="L286" s="25"/>
    </row>
    <row r="287" spans="1:12" x14ac:dyDescent="0.3">
      <c r="A287" t="s">
        <v>406</v>
      </c>
      <c r="E287" s="20" t="str">
        <f t="shared" si="28"/>
        <v/>
      </c>
      <c r="F287" s="21" t="str">
        <f>IF(OR(E287="",E287="!!!"),"",IF(NOT(ISNA(VLOOKUP(E287,E$1:E286,1,FALSE()))),"OLD",IF(AND(E287&lt;&gt;"",E287&lt;&gt;"!!!"),"NEW","")))</f>
        <v/>
      </c>
      <c r="G287" s="22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/>
      </c>
      <c r="H287" s="23" t="str">
        <f t="shared" ca="1" si="29"/>
        <v/>
      </c>
      <c r="I287" s="24" t="str">
        <f>IF(OR(E287="",E287="!!!",F287="NEW"),"",INDEX(B$2:B286,-1+SUMPRODUCT(MAX(ROW(E$2:E286)*(E287=E$2:E286)))))</f>
        <v/>
      </c>
      <c r="J287" s="24" t="str">
        <f ca="1">IF(OR(E287="",E287="!!!",F287="NEW"),"",COUNTBLANK(OFFSET(A$1,,,SUMPRODUCT(MAX(ROW(E$2:E287)*(E287=E$2:E287)))))-COUNTBLANK(OFFSET(A$1,,,SUMPRODUCT(MAX(ROW(E$1:E286)*(E2=E$1:E286))))))</f>
        <v/>
      </c>
      <c r="K287" s="24" t="str">
        <f>IF(OR(E287="",E287="!!!",F287="NEW"),"",INDEX(J$1:J286,SUMPRODUCT(MAX(ROW(E$1:E286)*(E287=E$1:E286)))))</f>
        <v/>
      </c>
      <c r="L287" s="25"/>
    </row>
    <row r="288" spans="1:12" x14ac:dyDescent="0.3">
      <c r="A288" t="s">
        <v>254</v>
      </c>
      <c r="B288" s="26" t="s">
        <v>255</v>
      </c>
      <c r="C288" s="26" t="s">
        <v>256</v>
      </c>
      <c r="D288" s="26" t="s">
        <v>240</v>
      </c>
      <c r="E288" s="20" t="str">
        <f t="shared" si="28"/>
        <v>!!!</v>
      </c>
      <c r="F288" s="21" t="str">
        <f>IF(OR(E288="",E288="!!!"),"",IF(NOT(ISNA(VLOOKUP(E288,E$1:E287,1,FALSE()))),"OLD",IF(AND(E288&lt;&gt;"",E288&lt;&gt;"!!!"),"NEW","")))</f>
        <v/>
      </c>
      <c r="G288" s="22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/>
      </c>
      <c r="H288" s="23" t="str">
        <f t="shared" ca="1" si="29"/>
        <v/>
      </c>
      <c r="I288" s="24" t="str">
        <f>IF(OR(E288="",E288="!!!",F288="NEW"),"",INDEX(B$2:B287,-1+SUMPRODUCT(MAX(ROW(E$2:E287)*(E288=E$2:E287)))))</f>
        <v/>
      </c>
      <c r="J288" s="24" t="str">
        <f ca="1">IF(OR(E288="",E288="!!!",F288="NEW"),"",COUNTBLANK(OFFSET(A$1,,,SUMPRODUCT(MAX(ROW(E$2:E288)*(E288=E$2:E288)))))-COUNTBLANK(OFFSET(A$1,,,SUMPRODUCT(MAX(ROW(E$1:E287)*(E2=E$1:E287))))))</f>
        <v/>
      </c>
      <c r="K288" s="24" t="str">
        <f>IF(OR(E288="",E288="!!!",F288="NEW"),"",INDEX(J$1:J287,SUMPRODUCT(MAX(ROW(E$1:E287)*(E288=E$1:E287)))))</f>
        <v/>
      </c>
      <c r="L288" s="25"/>
    </row>
    <row r="289" spans="1:12" x14ac:dyDescent="0.3">
      <c r="A289" t="s">
        <v>257</v>
      </c>
      <c r="E289" s="20" t="str">
        <f t="shared" si="28"/>
        <v/>
      </c>
      <c r="F289" s="21" t="str">
        <f>IF(OR(E289="",E289="!!!"),"",IF(NOT(ISNA(VLOOKUP(E289,E$1:E288,1,FALSE()))),"OLD",IF(AND(E289&lt;&gt;"",E289&lt;&gt;"!!!"),"NEW","")))</f>
        <v/>
      </c>
      <c r="G289" s="22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/>
      </c>
      <c r="H289" s="23" t="str">
        <f t="shared" ca="1" si="29"/>
        <v/>
      </c>
      <c r="I289" s="24" t="str">
        <f>IF(OR(E289="",E289="!!!",F289="NEW"),"",INDEX(B$2:B288,-1+SUMPRODUCT(MAX(ROW(E$2:E288)*(E289=E$2:E288)))))</f>
        <v/>
      </c>
      <c r="J289" s="24" t="str">
        <f ca="1">IF(OR(E289="",E289="!!!",F289="NEW"),"",COUNTBLANK(OFFSET(A$1,,,SUMPRODUCT(MAX(ROW(E$2:E289)*(E289=E$2:E289)))))-COUNTBLANK(OFFSET(A$1,,,SUMPRODUCT(MAX(ROW(E$1:E288)*(E2=E$1:E288))))))</f>
        <v/>
      </c>
      <c r="K289" s="24" t="str">
        <f>IF(OR(E289="",E289="!!!",F289="NEW"),"",INDEX(J$1:J288,SUMPRODUCT(MAX(ROW(E$1:E288)*(E289=E$1:E288)))))</f>
        <v/>
      </c>
      <c r="L289" s="25"/>
    </row>
    <row r="290" spans="1:12" x14ac:dyDescent="0.3">
      <c r="A290" t="s">
        <v>310</v>
      </c>
      <c r="E290" s="20" t="str">
        <f t="shared" si="28"/>
        <v/>
      </c>
      <c r="F290" s="21" t="str">
        <f>IF(OR(E290="",E290="!!!"),"",IF(NOT(ISNA(VLOOKUP(E290,E$1:E289,1,FALSE()))),"OLD",IF(AND(E290&lt;&gt;"",E290&lt;&gt;"!!!"),"NEW","")))</f>
        <v/>
      </c>
      <c r="G290" s="22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/>
      </c>
      <c r="H290" s="23" t="str">
        <f t="shared" ca="1" si="29"/>
        <v/>
      </c>
      <c r="I290" s="24" t="str">
        <f>IF(OR(E290="",E290="!!!",F290="NEW"),"",INDEX(B$2:B289,-1+SUMPRODUCT(MAX(ROW(E$2:E289)*(E290=E$2:E289)))))</f>
        <v/>
      </c>
      <c r="J290" s="24" t="str">
        <f ca="1">IF(OR(E290="",E290="!!!",F290="NEW"),"",COUNTBLANK(OFFSET(A$1,,,SUMPRODUCT(MAX(ROW(E$2:E290)*(E290=E$2:E290)))))-COUNTBLANK(OFFSET(A$1,,,SUMPRODUCT(MAX(ROW(E$1:E289)*(E2=E$1:E289))))))</f>
        <v/>
      </c>
      <c r="K290" s="24" t="str">
        <f>IF(OR(E290="",E290="!!!",F290="NEW"),"",INDEX(J$1:J289,SUMPRODUCT(MAX(ROW(E$1:E289)*(E290=E$1:E289)))))</f>
        <v/>
      </c>
      <c r="L290" s="25"/>
    </row>
    <row r="291" spans="1:12" x14ac:dyDescent="0.3">
      <c r="A291" t="s">
        <v>392</v>
      </c>
      <c r="B291" s="26" t="s">
        <v>238</v>
      </c>
      <c r="C291" s="26" t="s">
        <v>239</v>
      </c>
      <c r="D291" s="26" t="s">
        <v>240</v>
      </c>
      <c r="E291" s="20" t="str">
        <f t="shared" si="28"/>
        <v>!!!</v>
      </c>
      <c r="F291" s="21" t="str">
        <f>IF(OR(E291="",E291="!!!"),"",IF(NOT(ISNA(VLOOKUP(E291,E$1:E290,1,FALSE()))),"OLD",IF(AND(E291&lt;&gt;"",E291&lt;&gt;"!!!"),"NEW","")))</f>
        <v/>
      </c>
      <c r="G291" s="22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/>
      </c>
      <c r="H291" s="23" t="str">
        <f t="shared" ca="1" si="29"/>
        <v/>
      </c>
      <c r="I291" s="24" t="str">
        <f>IF(OR(E291="",E291="!!!",F291="NEW"),"",INDEX(B$2:B290,-1+SUMPRODUCT(MAX(ROW(E$2:E290)*(E291=E$2:E290)))))</f>
        <v/>
      </c>
      <c r="J291" s="24" t="str">
        <f ca="1">IF(OR(E291="",E291="!!!",F291="NEW"),"",COUNTBLANK(OFFSET(A$1,,,SUMPRODUCT(MAX(ROW(E$2:E291)*(E291=E$2:E291)))))-COUNTBLANK(OFFSET(A$1,,,SUMPRODUCT(MAX(ROW(E$1:E290)*(E2=E$1:E290))))))</f>
        <v/>
      </c>
      <c r="K291" s="24" t="str">
        <f>IF(OR(E291="",E291="!!!",F291="NEW"),"",INDEX(J$1:J290,SUMPRODUCT(MAX(ROW(E$1:E290)*(E291=E$1:E290)))))</f>
        <v/>
      </c>
      <c r="L291" s="25"/>
    </row>
    <row r="292" spans="1:12" x14ac:dyDescent="0.3">
      <c r="A292" t="s">
        <v>363</v>
      </c>
      <c r="E292" s="20" t="str">
        <f t="shared" si="28"/>
        <v/>
      </c>
      <c r="F292" s="21" t="str">
        <f>IF(OR(E292="",E292="!!!"),"",IF(NOT(ISNA(VLOOKUP(E292,E$1:E291,1,FALSE()))),"OLD",IF(AND(E292&lt;&gt;"",E292&lt;&gt;"!!!"),"NEW","")))</f>
        <v/>
      </c>
      <c r="G292" s="22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/>
      </c>
      <c r="H292" s="23" t="str">
        <f t="shared" ca="1" si="29"/>
        <v/>
      </c>
      <c r="I292" s="24" t="str">
        <f>IF(OR(E292="",E292="!!!",F292="NEW"),"",INDEX(B$2:B291,-1+SUMPRODUCT(MAX(ROW(E$2:E291)*(E292=E$2:E291)))))</f>
        <v/>
      </c>
      <c r="J292" s="24" t="str">
        <f ca="1">IF(OR(E292="",E292="!!!",F292="NEW"),"",COUNTBLANK(OFFSET(A$1,,,SUMPRODUCT(MAX(ROW(E$2:E292)*(E292=E$2:E292)))))-COUNTBLANK(OFFSET(A$1,,,SUMPRODUCT(MAX(ROW(E$1:E291)*(E2=E$1:E291))))))</f>
        <v/>
      </c>
      <c r="K292" s="24" t="str">
        <f>IF(OR(E292="",E292="!!!",F292="NEW"),"",INDEX(J$1:J291,SUMPRODUCT(MAX(ROW(E$1:E291)*(E292=E$1:E291)))))</f>
        <v/>
      </c>
      <c r="L292" s="25"/>
    </row>
    <row r="293" spans="1:12" x14ac:dyDescent="0.3">
      <c r="A293" t="s">
        <v>415</v>
      </c>
      <c r="B293" s="26" t="s">
        <v>261</v>
      </c>
      <c r="C293" s="26" t="s">
        <v>239</v>
      </c>
      <c r="D293" s="26" t="s">
        <v>240</v>
      </c>
      <c r="E293" s="20" t="str">
        <f t="shared" si="28"/>
        <v>!!!</v>
      </c>
      <c r="F293" s="21" t="str">
        <f>IF(OR(E293="",E293="!!!"),"",IF(NOT(ISNA(VLOOKUP(E293,E$1:E292,1,FALSE()))),"OLD",IF(AND(E293&lt;&gt;"",E293&lt;&gt;"!!!"),"NEW","")))</f>
        <v/>
      </c>
      <c r="G293" s="22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/>
      </c>
      <c r="H293" s="23" t="str">
        <f t="shared" ca="1" si="29"/>
        <v/>
      </c>
      <c r="I293" s="24" t="str">
        <f>IF(OR(E293="",E293="!!!",F293="NEW"),"",INDEX(B$2:B292,-1+SUMPRODUCT(MAX(ROW(E$2:E292)*(E293=E$2:E292)))))</f>
        <v/>
      </c>
      <c r="J293" s="24" t="str">
        <f ca="1">IF(OR(E293="",E293="!!!",F293="NEW"),"",COUNTBLANK(OFFSET(A$1,,,SUMPRODUCT(MAX(ROW(E$2:E293)*(E293=E$2:E293)))))-COUNTBLANK(OFFSET(A$1,,,SUMPRODUCT(MAX(ROW(E$1:E292)*(E2=E$1:E292))))))</f>
        <v/>
      </c>
      <c r="K293" s="24" t="str">
        <f>IF(OR(E293="",E293="!!!",F293="NEW"),"",INDEX(J$1:J292,SUMPRODUCT(MAX(ROW(E$1:E292)*(E293=E$1:E292)))))</f>
        <v/>
      </c>
      <c r="L293" s="25"/>
    </row>
    <row r="294" spans="1:12" x14ac:dyDescent="0.3">
      <c r="A294" t="s">
        <v>248</v>
      </c>
      <c r="E294" s="20" t="str">
        <f t="shared" si="28"/>
        <v/>
      </c>
      <c r="F294" s="21" t="str">
        <f>IF(OR(E294="",E294="!!!"),"",IF(NOT(ISNA(VLOOKUP(E294,E$1:E293,1,FALSE()))),"OLD",IF(AND(E294&lt;&gt;"",E294&lt;&gt;"!!!"),"NEW","")))</f>
        <v/>
      </c>
      <c r="G294" s="22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/>
      </c>
      <c r="H294" s="23" t="str">
        <f t="shared" ca="1" si="29"/>
        <v/>
      </c>
      <c r="I294" s="24" t="str">
        <f>IF(OR(E294="",E294="!!!",F294="NEW"),"",INDEX(B$2:B293,-1+SUMPRODUCT(MAX(ROW(E$2:E293)*(E294=E$2:E293)))))</f>
        <v/>
      </c>
      <c r="J294" s="24" t="str">
        <f ca="1">IF(OR(E294="",E294="!!!",F294="NEW"),"",COUNTBLANK(OFFSET(A$1,,,SUMPRODUCT(MAX(ROW(E$2:E294)*(E294=E$2:E294)))))-COUNTBLANK(OFFSET(A$1,,,SUMPRODUCT(MAX(ROW(E$1:E293)*(E2=E$1:E293))))))</f>
        <v/>
      </c>
      <c r="K294" s="24" t="str">
        <f>IF(OR(E294="",E294="!!!",F294="NEW"),"",INDEX(J$1:J293,SUMPRODUCT(MAX(ROW(E$1:E293)*(E294=E$1:E293)))))</f>
        <v/>
      </c>
      <c r="L294" s="25"/>
    </row>
    <row r="296" spans="1:12" x14ac:dyDescent="0.3">
      <c r="A296" t="s">
        <v>416</v>
      </c>
    </row>
    <row r="297" spans="1:12" x14ac:dyDescent="0.3">
      <c r="A297" t="s">
        <v>417</v>
      </c>
      <c r="E297" s="20" t="str">
        <f t="shared" ref="E297:E306" si="30">IF(D297="?OLD","!!!","")</f>
        <v/>
      </c>
      <c r="F297" s="21" t="str">
        <f>IF(OR(E297="",E297="!!!"),"",IF(NOT(ISNA(VLOOKUP(E297,E$1:E296,1,FALSE()))),"OLD",IF(AND(E297&lt;&gt;"",E297&lt;&gt;"!!!"),"NEW","")))</f>
        <v/>
      </c>
      <c r="G297" s="22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/>
      </c>
      <c r="H297" s="23" t="str">
        <f t="shared" ref="H297:H306" ca="1" si="31">IF(J297&lt;&gt;1,"",IF(I297="SBJ","CB","?"))</f>
        <v/>
      </c>
      <c r="I297" s="24" t="str">
        <f>IF(OR(E297="",E297="!!!",F297="NEW"),"",INDEX(B$2:B296,-1+SUMPRODUCT(MAX(ROW(E$2:E296)*(E297=E$2:E296)))))</f>
        <v/>
      </c>
      <c r="J297" s="24" t="str">
        <f ca="1">IF(OR(E297="",E297="!!!",F297="NEW"),"",COUNTBLANK(OFFSET(A$1,,,SUMPRODUCT(MAX(ROW(E$2:E297)*(E297=E$2:E297)))))-COUNTBLANK(OFFSET(A$1,,,SUMPRODUCT(MAX(ROW(E$1:E296)*(E2=E$1:E296))))))</f>
        <v/>
      </c>
      <c r="K297" s="24" t="str">
        <f>IF(OR(E297="",E297="!!!",F297="NEW"),"",INDEX(J$1:J296,SUMPRODUCT(MAX(ROW(E$1:E296)*(E297=E$1:E296)))))</f>
        <v/>
      </c>
      <c r="L297" s="25"/>
    </row>
    <row r="298" spans="1:12" x14ac:dyDescent="0.3">
      <c r="A298" t="s">
        <v>268</v>
      </c>
      <c r="B298" s="26" t="s">
        <v>243</v>
      </c>
      <c r="C298" s="26" t="s">
        <v>239</v>
      </c>
      <c r="D298" s="26" t="s">
        <v>240</v>
      </c>
      <c r="E298" s="20" t="str">
        <f t="shared" si="30"/>
        <v>!!!</v>
      </c>
      <c r="F298" s="21" t="str">
        <f>IF(OR(E298="",E298="!!!"),"",IF(NOT(ISNA(VLOOKUP(E298,E$1:E297,1,FALSE()))),"OLD",IF(AND(E298&lt;&gt;"",E298&lt;&gt;"!!!"),"NEW","")))</f>
        <v/>
      </c>
      <c r="G298" s="22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/>
      </c>
      <c r="H298" s="23" t="str">
        <f t="shared" ca="1" si="31"/>
        <v/>
      </c>
      <c r="I298" s="24" t="str">
        <f>IF(OR(E298="",E298="!!!",F298="NEW"),"",INDEX(B$2:B297,-1+SUMPRODUCT(MAX(ROW(E$2:E297)*(E298=E$2:E297)))))</f>
        <v/>
      </c>
      <c r="J298" s="24" t="str">
        <f ca="1">IF(OR(E298="",E298="!!!",F298="NEW"),"",COUNTBLANK(OFFSET(A$1,,,SUMPRODUCT(MAX(ROW(E$2:E298)*(E298=E$2:E298)))))-COUNTBLANK(OFFSET(A$1,,,SUMPRODUCT(MAX(ROW(E$1:E297)*(E2=E$1:E297))))))</f>
        <v/>
      </c>
      <c r="K298" s="24" t="str">
        <f>IF(OR(E298="",E298="!!!",F298="NEW"),"",INDEX(J$1:J297,SUMPRODUCT(MAX(ROW(E$1:E297)*(E298=E$1:E297)))))</f>
        <v/>
      </c>
      <c r="L298" s="25"/>
    </row>
    <row r="299" spans="1:12" x14ac:dyDescent="0.3">
      <c r="A299" t="s">
        <v>347</v>
      </c>
      <c r="E299" s="20" t="str">
        <f t="shared" si="30"/>
        <v/>
      </c>
      <c r="F299" s="21" t="str">
        <f>IF(OR(E299="",E299="!!!"),"",IF(NOT(ISNA(VLOOKUP(E299,E$1:E298,1,FALSE()))),"OLD",IF(AND(E299&lt;&gt;"",E299&lt;&gt;"!!!"),"NEW","")))</f>
        <v/>
      </c>
      <c r="G299" s="22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/>
      </c>
      <c r="H299" s="23" t="str">
        <f t="shared" ca="1" si="31"/>
        <v/>
      </c>
      <c r="I299" s="24" t="str">
        <f>IF(OR(E299="",E299="!!!",F299="NEW"),"",INDEX(B$2:B298,-1+SUMPRODUCT(MAX(ROW(E$2:E298)*(E299=E$2:E298)))))</f>
        <v/>
      </c>
      <c r="J299" s="24" t="str">
        <f ca="1">IF(OR(E299="",E299="!!!",F299="NEW"),"",COUNTBLANK(OFFSET(A$1,,,SUMPRODUCT(MAX(ROW(E$2:E299)*(E299=E$2:E299)))))-COUNTBLANK(OFFSET(A$1,,,SUMPRODUCT(MAX(ROW(E$1:E298)*(E2=E$1:E298))))))</f>
        <v/>
      </c>
      <c r="K299" s="24" t="str">
        <f>IF(OR(E299="",E299="!!!",F299="NEW"),"",INDEX(J$1:J298,SUMPRODUCT(MAX(ROW(E$1:E298)*(E299=E$1:E298)))))</f>
        <v/>
      </c>
      <c r="L299" s="25"/>
    </row>
    <row r="300" spans="1:12" x14ac:dyDescent="0.3">
      <c r="A300" t="s">
        <v>418</v>
      </c>
      <c r="E300" s="20" t="str">
        <f t="shared" si="30"/>
        <v/>
      </c>
      <c r="F300" s="21" t="str">
        <f>IF(OR(E300="",E300="!!!"),"",IF(NOT(ISNA(VLOOKUP(E300,E$1:E299,1,FALSE()))),"OLD",IF(AND(E300&lt;&gt;"",E300&lt;&gt;"!!!"),"NEW","")))</f>
        <v/>
      </c>
      <c r="G300" s="22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/>
      </c>
      <c r="H300" s="23" t="str">
        <f t="shared" ca="1" si="31"/>
        <v/>
      </c>
      <c r="I300" s="24" t="str">
        <f>IF(OR(E300="",E300="!!!",F300="NEW"),"",INDEX(B$2:B299,-1+SUMPRODUCT(MAX(ROW(E$2:E299)*(E300=E$2:E299)))))</f>
        <v/>
      </c>
      <c r="J300" s="24" t="str">
        <f ca="1">IF(OR(E300="",E300="!!!",F300="NEW"),"",COUNTBLANK(OFFSET(A$1,,,SUMPRODUCT(MAX(ROW(E$2:E300)*(E300=E$2:E300)))))-COUNTBLANK(OFFSET(A$1,,,SUMPRODUCT(MAX(ROW(E$1:E299)*(E2=E$1:E299))))))</f>
        <v/>
      </c>
      <c r="K300" s="24" t="str">
        <f>IF(OR(E300="",E300="!!!",F300="NEW"),"",INDEX(J$1:J299,SUMPRODUCT(MAX(ROW(E$1:E299)*(E300=E$1:E299)))))</f>
        <v/>
      </c>
      <c r="L300" s="25"/>
    </row>
    <row r="301" spans="1:12" x14ac:dyDescent="0.3">
      <c r="A301" t="s">
        <v>252</v>
      </c>
      <c r="E301" s="20" t="str">
        <f t="shared" si="30"/>
        <v/>
      </c>
      <c r="F301" s="21" t="str">
        <f>IF(OR(E301="",E301="!!!"),"",IF(NOT(ISNA(VLOOKUP(E301,E$1:E300,1,FALSE()))),"OLD",IF(AND(E301&lt;&gt;"",E301&lt;&gt;"!!!"),"NEW","")))</f>
        <v/>
      </c>
      <c r="G301" s="22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/>
      </c>
      <c r="H301" s="23" t="str">
        <f t="shared" ca="1" si="31"/>
        <v/>
      </c>
      <c r="I301" s="24" t="str">
        <f>IF(OR(E301="",E301="!!!",F301="NEW"),"",INDEX(B$2:B300,-1+SUMPRODUCT(MAX(ROW(E$2:E300)*(E301=E$2:E300)))))</f>
        <v/>
      </c>
      <c r="J301" s="24" t="str">
        <f ca="1">IF(OR(E301="",E301="!!!",F301="NEW"),"",COUNTBLANK(OFFSET(A$1,,,SUMPRODUCT(MAX(ROW(E$2:E301)*(E301=E$2:E301)))))-COUNTBLANK(OFFSET(A$1,,,SUMPRODUCT(MAX(ROW(E$1:E300)*(E2=E$1:E300))))))</f>
        <v/>
      </c>
      <c r="K301" s="24" t="str">
        <f>IF(OR(E301="",E301="!!!",F301="NEW"),"",INDEX(J$1:J300,SUMPRODUCT(MAX(ROW(E$1:E300)*(E301=E$1:E300)))))</f>
        <v/>
      </c>
      <c r="L301" s="25"/>
    </row>
    <row r="302" spans="1:12" x14ac:dyDescent="0.3">
      <c r="A302" t="s">
        <v>419</v>
      </c>
      <c r="B302" s="26" t="s">
        <v>265</v>
      </c>
      <c r="C302" s="26" t="s">
        <v>305</v>
      </c>
      <c r="E302" s="20" t="str">
        <f t="shared" si="30"/>
        <v/>
      </c>
      <c r="F302" s="21" t="str">
        <f>IF(OR(E302="",E302="!!!"),"",IF(NOT(ISNA(VLOOKUP(E302,E$1:E301,1,FALSE()))),"OLD",IF(AND(E302&lt;&gt;"",E302&lt;&gt;"!!!"),"NEW","")))</f>
        <v/>
      </c>
      <c r="G302" s="22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/>
      </c>
      <c r="H302" s="23" t="str">
        <f t="shared" ca="1" si="31"/>
        <v/>
      </c>
      <c r="I302" s="24" t="str">
        <f>IF(OR(E302="",E302="!!!",F302="NEW"),"",INDEX(B$2:B301,-1+SUMPRODUCT(MAX(ROW(E$2:E301)*(E302=E$2:E301)))))</f>
        <v/>
      </c>
      <c r="J302" s="24" t="str">
        <f ca="1">IF(OR(E302="",E302="!!!",F302="NEW"),"",COUNTBLANK(OFFSET(A$1,,,SUMPRODUCT(MAX(ROW(E$2:E302)*(E302=E$2:E302)))))-COUNTBLANK(OFFSET(A$1,,,SUMPRODUCT(MAX(ROW(E$1:E301)*(E2=E$1:E301))))))</f>
        <v/>
      </c>
      <c r="K302" s="24" t="str">
        <f>IF(OR(E302="",E302="!!!",F302="NEW"),"",INDEX(J$1:J301,SUMPRODUCT(MAX(ROW(E$1:E301)*(E302=E$1:E301)))))</f>
        <v/>
      </c>
      <c r="L302" s="25"/>
    </row>
    <row r="303" spans="1:12" x14ac:dyDescent="0.3">
      <c r="A303" t="s">
        <v>420</v>
      </c>
      <c r="E303" s="20" t="str">
        <f t="shared" si="30"/>
        <v/>
      </c>
      <c r="F303" s="21" t="str">
        <f>IF(OR(E303="",E303="!!!"),"",IF(NOT(ISNA(VLOOKUP(E303,E$1:E302,1,FALSE()))),"OLD",IF(AND(E303&lt;&gt;"",E303&lt;&gt;"!!!"),"NEW","")))</f>
        <v/>
      </c>
      <c r="G303" s="22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/>
      </c>
      <c r="H303" s="23" t="str">
        <f t="shared" ca="1" si="31"/>
        <v/>
      </c>
      <c r="I303" s="24" t="str">
        <f>IF(OR(E303="",E303="!!!",F303="NEW"),"",INDEX(B$2:B302,-1+SUMPRODUCT(MAX(ROW(E$2:E302)*(E303=E$2:E302)))))</f>
        <v/>
      </c>
      <c r="J303" s="24" t="str">
        <f ca="1">IF(OR(E303="",E303="!!!",F303="NEW"),"",COUNTBLANK(OFFSET(A$1,,,SUMPRODUCT(MAX(ROW(E$2:E303)*(E303=E$2:E303)))))-COUNTBLANK(OFFSET(A$1,,,SUMPRODUCT(MAX(ROW(E$1:E302)*(E2=E$1:E302))))))</f>
        <v/>
      </c>
      <c r="K303" s="24" t="str">
        <f>IF(OR(E303="",E303="!!!",F303="NEW"),"",INDEX(J$1:J302,SUMPRODUCT(MAX(ROW(E$1:E302)*(E303=E$1:E302)))))</f>
        <v/>
      </c>
      <c r="L303" s="25"/>
    </row>
    <row r="304" spans="1:12" x14ac:dyDescent="0.3">
      <c r="A304" t="s">
        <v>252</v>
      </c>
      <c r="E304" s="20" t="str">
        <f t="shared" si="30"/>
        <v/>
      </c>
      <c r="F304" s="21" t="str">
        <f>IF(OR(E304="",E304="!!!"),"",IF(NOT(ISNA(VLOOKUP(E304,E$1:E303,1,FALSE()))),"OLD",IF(AND(E304&lt;&gt;"",E304&lt;&gt;"!!!"),"NEW","")))</f>
        <v/>
      </c>
      <c r="G304" s="22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/>
      </c>
      <c r="H304" s="23" t="str">
        <f t="shared" ca="1" si="31"/>
        <v/>
      </c>
      <c r="I304" s="24" t="str">
        <f>IF(OR(E304="",E304="!!!",F304="NEW"),"",INDEX(B$2:B303,-1+SUMPRODUCT(MAX(ROW(E$2:E303)*(E304=E$2:E303)))))</f>
        <v/>
      </c>
      <c r="J304" s="24" t="str">
        <f ca="1">IF(OR(E304="",E304="!!!",F304="NEW"),"",COUNTBLANK(OFFSET(A$1,,,SUMPRODUCT(MAX(ROW(E$2:E304)*(E304=E$2:E304)))))-COUNTBLANK(OFFSET(A$1,,,SUMPRODUCT(MAX(ROW(E$1:E303)*(E2=E$1:E303))))))</f>
        <v/>
      </c>
      <c r="K304" s="24" t="str">
        <f>IF(OR(E304="",E304="!!!",F304="NEW"),"",INDEX(J$1:J303,SUMPRODUCT(MAX(ROW(E$1:E303)*(E304=E$1:E303)))))</f>
        <v/>
      </c>
      <c r="L304" s="25"/>
    </row>
    <row r="305" spans="1:12" x14ac:dyDescent="0.3">
      <c r="A305" t="s">
        <v>421</v>
      </c>
      <c r="E305" s="20" t="str">
        <f t="shared" si="30"/>
        <v/>
      </c>
      <c r="F305" s="21" t="str">
        <f>IF(OR(E305="",E305="!!!"),"",IF(NOT(ISNA(VLOOKUP(E305,E$1:E304,1,FALSE()))),"OLD",IF(AND(E305&lt;&gt;"",E305&lt;&gt;"!!!"),"NEW","")))</f>
        <v/>
      </c>
      <c r="G305" s="22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/>
      </c>
      <c r="H305" s="23" t="str">
        <f t="shared" ca="1" si="31"/>
        <v/>
      </c>
      <c r="I305" s="24" t="str">
        <f>IF(OR(E305="",E305="!!!",F305="NEW"),"",INDEX(B$2:B304,-1+SUMPRODUCT(MAX(ROW(E$2:E304)*(E305=E$2:E304)))))</f>
        <v/>
      </c>
      <c r="J305" s="24" t="str">
        <f ca="1">IF(OR(E305="",E305="!!!",F305="NEW"),"",COUNTBLANK(OFFSET(A$1,,,SUMPRODUCT(MAX(ROW(E$2:E305)*(E305=E$2:E305)))))-COUNTBLANK(OFFSET(A$1,,,SUMPRODUCT(MAX(ROW(E$1:E304)*(E2=E$1:E304))))))</f>
        <v/>
      </c>
      <c r="K305" s="24" t="str">
        <f>IF(OR(E305="",E305="!!!",F305="NEW"),"",INDEX(J$1:J304,SUMPRODUCT(MAX(ROW(E$1:E304)*(E305=E$1:E304)))))</f>
        <v/>
      </c>
      <c r="L305" s="25"/>
    </row>
    <row r="306" spans="1:12" x14ac:dyDescent="0.3">
      <c r="A306" t="s">
        <v>248</v>
      </c>
      <c r="E306" s="20" t="str">
        <f t="shared" si="30"/>
        <v/>
      </c>
      <c r="F306" s="21" t="str">
        <f>IF(OR(E306="",E306="!!!"),"",IF(NOT(ISNA(VLOOKUP(E306,E$1:E305,1,FALSE()))),"OLD",IF(AND(E306&lt;&gt;"",E306&lt;&gt;"!!!"),"NEW","")))</f>
        <v/>
      </c>
      <c r="G306" s="22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/>
      </c>
      <c r="H306" s="23" t="str">
        <f t="shared" ca="1" si="31"/>
        <v/>
      </c>
      <c r="I306" s="24" t="str">
        <f>IF(OR(E306="",E306="!!!",F306="NEW"),"",INDEX(B$2:B305,-1+SUMPRODUCT(MAX(ROW(E$2:E305)*(E306=E$2:E305)))))</f>
        <v/>
      </c>
      <c r="J306" s="24" t="str">
        <f ca="1">IF(OR(E306="",E306="!!!",F306="NEW"),"",COUNTBLANK(OFFSET(A$1,,,SUMPRODUCT(MAX(ROW(E$2:E306)*(E306=E$2:E306)))))-COUNTBLANK(OFFSET(A$1,,,SUMPRODUCT(MAX(ROW(E$1:E305)*(E2=E$1:E305))))))</f>
        <v/>
      </c>
      <c r="K306" s="24" t="str">
        <f>IF(OR(E306="",E306="!!!",F306="NEW"),"",INDEX(J$1:J305,SUMPRODUCT(MAX(ROW(E$1:E305)*(E306=E$1:E305)))))</f>
        <v/>
      </c>
      <c r="L306" s="25"/>
    </row>
    <row r="308" spans="1:12" x14ac:dyDescent="0.3">
      <c r="A308" t="s">
        <v>422</v>
      </c>
    </row>
    <row r="309" spans="1:12" x14ac:dyDescent="0.3">
      <c r="A309" t="s">
        <v>423</v>
      </c>
      <c r="B309" s="26" t="s">
        <v>243</v>
      </c>
      <c r="C309" s="26" t="s">
        <v>305</v>
      </c>
      <c r="E309" s="20" t="str">
        <f t="shared" ref="E309:E315" si="32">IF(D309="?OLD","!!!","")</f>
        <v/>
      </c>
      <c r="F309" s="21" t="str">
        <f>IF(OR(E309="",E309="!!!"),"",IF(NOT(ISNA(VLOOKUP(E309,E$1:E308,1,FALSE()))),"OLD",IF(AND(E309&lt;&gt;"",E309&lt;&gt;"!!!"),"NEW","")))</f>
        <v/>
      </c>
      <c r="G309" s="22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/>
      </c>
      <c r="H309" s="23" t="str">
        <f t="shared" ref="H309:H315" ca="1" si="33">IF(J309&lt;&gt;1,"",IF(I309="SBJ","CB","?"))</f>
        <v/>
      </c>
      <c r="I309" s="24" t="str">
        <f>IF(OR(E309="",E309="!!!",F309="NEW"),"",INDEX(B$2:B308,-1+SUMPRODUCT(MAX(ROW(E$2:E308)*(E309=E$2:E308)))))</f>
        <v/>
      </c>
      <c r="J309" s="24" t="str">
        <f ca="1">IF(OR(E309="",E309="!!!",F309="NEW"),"",COUNTBLANK(OFFSET(A$1,,,SUMPRODUCT(MAX(ROW(E$2:E309)*(E309=E$2:E309)))))-COUNTBLANK(OFFSET(A$1,,,SUMPRODUCT(MAX(ROW(E$1:E308)*(E2=E$1:E308))))))</f>
        <v/>
      </c>
      <c r="K309" s="24" t="str">
        <f>IF(OR(E309="",E309="!!!",F309="NEW"),"",INDEX(J$1:J308,SUMPRODUCT(MAX(ROW(E$1:E308)*(E309=E$1:E308)))))</f>
        <v/>
      </c>
      <c r="L309" s="25"/>
    </row>
    <row r="310" spans="1:12" x14ac:dyDescent="0.3">
      <c r="A310" t="s">
        <v>424</v>
      </c>
      <c r="E310" s="20" t="str">
        <f t="shared" si="32"/>
        <v/>
      </c>
      <c r="F310" s="21" t="str">
        <f>IF(OR(E310="",E310="!!!"),"",IF(NOT(ISNA(VLOOKUP(E310,E$1:E309,1,FALSE()))),"OLD",IF(AND(E310&lt;&gt;"",E310&lt;&gt;"!!!"),"NEW","")))</f>
        <v/>
      </c>
      <c r="G310" s="22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/>
      </c>
      <c r="H310" s="23" t="str">
        <f t="shared" ca="1" si="33"/>
        <v/>
      </c>
      <c r="I310" s="24" t="str">
        <f>IF(OR(E310="",E310="!!!",F310="NEW"),"",INDEX(B$2:B309,-1+SUMPRODUCT(MAX(ROW(E$2:E309)*(E310=E$2:E309)))))</f>
        <v/>
      </c>
      <c r="J310" s="24" t="str">
        <f ca="1">IF(OR(E310="",E310="!!!",F310="NEW"),"",COUNTBLANK(OFFSET(A$1,,,SUMPRODUCT(MAX(ROW(E$2:E310)*(E310=E$2:E310)))))-COUNTBLANK(OFFSET(A$1,,,SUMPRODUCT(MAX(ROW(E$1:E309)*(E2=E$1:E309))))))</f>
        <v/>
      </c>
      <c r="K310" s="24" t="str">
        <f>IF(OR(E310="",E310="!!!",F310="NEW"),"",INDEX(J$1:J309,SUMPRODUCT(MAX(ROW(E$1:E309)*(E310=E$1:E309)))))</f>
        <v/>
      </c>
      <c r="L310" s="25"/>
    </row>
    <row r="311" spans="1:12" x14ac:dyDescent="0.3">
      <c r="A311" t="s">
        <v>393</v>
      </c>
      <c r="E311" s="20" t="str">
        <f t="shared" si="32"/>
        <v/>
      </c>
      <c r="F311" s="21" t="str">
        <f>IF(OR(E311="",E311="!!!"),"",IF(NOT(ISNA(VLOOKUP(E311,E$1:E310,1,FALSE()))),"OLD",IF(AND(E311&lt;&gt;"",E311&lt;&gt;"!!!"),"NEW","")))</f>
        <v/>
      </c>
      <c r="G311" s="22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/>
      </c>
      <c r="H311" s="23" t="str">
        <f t="shared" ca="1" si="33"/>
        <v/>
      </c>
      <c r="I311" s="24" t="str">
        <f>IF(OR(E311="",E311="!!!",F311="NEW"),"",INDEX(B$2:B310,-1+SUMPRODUCT(MAX(ROW(E$2:E310)*(E311=E$2:E310)))))</f>
        <v/>
      </c>
      <c r="J311" s="24" t="str">
        <f ca="1">IF(OR(E311="",E311="!!!",F311="NEW"),"",COUNTBLANK(OFFSET(A$1,,,SUMPRODUCT(MAX(ROW(E$2:E311)*(E311=E$2:E311)))))-COUNTBLANK(OFFSET(A$1,,,SUMPRODUCT(MAX(ROW(E$1:E310)*(E2=E$1:E310))))))</f>
        <v/>
      </c>
      <c r="K311" s="24" t="str">
        <f>IF(OR(E311="",E311="!!!",F311="NEW"),"",INDEX(J$1:J310,SUMPRODUCT(MAX(ROW(E$1:E310)*(E311=E$1:E310)))))</f>
        <v/>
      </c>
      <c r="L311" s="25"/>
    </row>
    <row r="312" spans="1:12" x14ac:dyDescent="0.3">
      <c r="A312" t="s">
        <v>425</v>
      </c>
      <c r="E312" s="20" t="str">
        <f t="shared" si="32"/>
        <v/>
      </c>
      <c r="F312" s="21" t="str">
        <f>IF(OR(E312="",E312="!!!"),"",IF(NOT(ISNA(VLOOKUP(E312,E$1:E311,1,FALSE()))),"OLD",IF(AND(E312&lt;&gt;"",E312&lt;&gt;"!!!"),"NEW","")))</f>
        <v/>
      </c>
      <c r="G312" s="22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/>
      </c>
      <c r="H312" s="23" t="str">
        <f t="shared" ca="1" si="33"/>
        <v/>
      </c>
      <c r="I312" s="24" t="str">
        <f>IF(OR(E312="",E312="!!!",F312="NEW"),"",INDEX(B$2:B311,-1+SUMPRODUCT(MAX(ROW(E$2:E311)*(E312=E$2:E311)))))</f>
        <v/>
      </c>
      <c r="J312" s="24" t="str">
        <f ca="1">IF(OR(E312="",E312="!!!",F312="NEW"),"",COUNTBLANK(OFFSET(A$1,,,SUMPRODUCT(MAX(ROW(E$2:E312)*(E312=E$2:E312)))))-COUNTBLANK(OFFSET(A$1,,,SUMPRODUCT(MAX(ROW(E$1:E311)*(E2=E$1:E311))))))</f>
        <v/>
      </c>
      <c r="K312" s="24" t="str">
        <f>IF(OR(E312="",E312="!!!",F312="NEW"),"",INDEX(J$1:J311,SUMPRODUCT(MAX(ROW(E$1:E311)*(E312=E$1:E311)))))</f>
        <v/>
      </c>
      <c r="L312" s="25"/>
    </row>
    <row r="313" spans="1:12" x14ac:dyDescent="0.3">
      <c r="A313" t="s">
        <v>426</v>
      </c>
      <c r="B313" s="26" t="s">
        <v>292</v>
      </c>
      <c r="C313" s="26" t="s">
        <v>239</v>
      </c>
      <c r="D313" s="26" t="s">
        <v>240</v>
      </c>
      <c r="E313" s="20" t="str">
        <f t="shared" si="32"/>
        <v>!!!</v>
      </c>
      <c r="F313" s="21" t="str">
        <f>IF(OR(E313="",E313="!!!"),"",IF(NOT(ISNA(VLOOKUP(E313,E$1:E312,1,FALSE()))),"OLD",IF(AND(E313&lt;&gt;"",E313&lt;&gt;"!!!"),"NEW","")))</f>
        <v/>
      </c>
      <c r="G313" s="22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/>
      </c>
      <c r="H313" s="23" t="str">
        <f t="shared" ca="1" si="33"/>
        <v/>
      </c>
      <c r="I313" s="24" t="str">
        <f>IF(OR(E313="",E313="!!!",F313="NEW"),"",INDEX(B$2:B312,-1+SUMPRODUCT(MAX(ROW(E$2:E312)*(E313=E$2:E312)))))</f>
        <v/>
      </c>
      <c r="J313" s="24" t="str">
        <f ca="1">IF(OR(E313="",E313="!!!",F313="NEW"),"",COUNTBLANK(OFFSET(A$1,,,SUMPRODUCT(MAX(ROW(E$2:E313)*(E313=E$2:E313)))))-COUNTBLANK(OFFSET(A$1,,,SUMPRODUCT(MAX(ROW(E$1:E312)*(E2=E$1:E312))))))</f>
        <v/>
      </c>
      <c r="K313" s="24" t="str">
        <f>IF(OR(E313="",E313="!!!",F313="NEW"),"",INDEX(J$1:J312,SUMPRODUCT(MAX(ROW(E$1:E312)*(E313=E$1:E312)))))</f>
        <v/>
      </c>
      <c r="L313" s="25"/>
    </row>
    <row r="314" spans="1:12" x14ac:dyDescent="0.3">
      <c r="A314" t="s">
        <v>338</v>
      </c>
      <c r="E314" s="20" t="str">
        <f t="shared" si="32"/>
        <v/>
      </c>
      <c r="F314" s="21" t="str">
        <f>IF(OR(E314="",E314="!!!"),"",IF(NOT(ISNA(VLOOKUP(E314,E$1:E313,1,FALSE()))),"OLD",IF(AND(E314&lt;&gt;"",E314&lt;&gt;"!!!"),"NEW","")))</f>
        <v/>
      </c>
      <c r="G314" s="22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/>
      </c>
      <c r="H314" s="23" t="str">
        <f t="shared" ca="1" si="33"/>
        <v/>
      </c>
      <c r="I314" s="24" t="str">
        <f>IF(OR(E314="",E314="!!!",F314="NEW"),"",INDEX(B$2:B313,-1+SUMPRODUCT(MAX(ROW(E$2:E313)*(E314=E$2:E313)))))</f>
        <v/>
      </c>
      <c r="J314" s="24" t="str">
        <f ca="1">IF(OR(E314="",E314="!!!",F314="NEW"),"",COUNTBLANK(OFFSET(A$1,,,SUMPRODUCT(MAX(ROW(E$2:E314)*(E314=E$2:E314)))))-COUNTBLANK(OFFSET(A$1,,,SUMPRODUCT(MAX(ROW(E$1:E313)*(E2=E$1:E313))))))</f>
        <v/>
      </c>
      <c r="K314" s="24" t="str">
        <f>IF(OR(E314="",E314="!!!",F314="NEW"),"",INDEX(J$1:J313,SUMPRODUCT(MAX(ROW(E$1:E313)*(E314=E$1:E313)))))</f>
        <v/>
      </c>
      <c r="L314" s="25"/>
    </row>
    <row r="315" spans="1:12" x14ac:dyDescent="0.3">
      <c r="A315" t="s">
        <v>248</v>
      </c>
      <c r="E315" s="20" t="str">
        <f t="shared" si="32"/>
        <v/>
      </c>
      <c r="F315" s="21" t="str">
        <f>IF(OR(E315="",E315="!!!"),"",IF(NOT(ISNA(VLOOKUP(E315,E$1:E314,1,FALSE()))),"OLD",IF(AND(E315&lt;&gt;"",E315&lt;&gt;"!!!"),"NEW","")))</f>
        <v/>
      </c>
      <c r="G315" s="22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/>
      </c>
      <c r="H315" s="23" t="str">
        <f t="shared" ca="1" si="33"/>
        <v/>
      </c>
      <c r="I315" s="24" t="str">
        <f>IF(OR(E315="",E315="!!!",F315="NEW"),"",INDEX(B$2:B314,-1+SUMPRODUCT(MAX(ROW(E$2:E314)*(E315=E$2:E314)))))</f>
        <v/>
      </c>
      <c r="J315" s="24" t="str">
        <f ca="1">IF(OR(E315="",E315="!!!",F315="NEW"),"",COUNTBLANK(OFFSET(A$1,,,SUMPRODUCT(MAX(ROW(E$2:E315)*(E315=E$2:E315)))))-COUNTBLANK(OFFSET(A$1,,,SUMPRODUCT(MAX(ROW(E$1:E314)*(E2=E$1:E314))))))</f>
        <v/>
      </c>
      <c r="K315" s="24" t="str">
        <f>IF(OR(E315="",E315="!!!",F315="NEW"),"",INDEX(J$1:J314,SUMPRODUCT(MAX(ROW(E$1:E314)*(E315=E$1:E314)))))</f>
        <v/>
      </c>
      <c r="L315" s="25"/>
    </row>
    <row r="317" spans="1:12" x14ac:dyDescent="0.3">
      <c r="A317" t="s">
        <v>427</v>
      </c>
    </row>
    <row r="318" spans="1:12" x14ac:dyDescent="0.3">
      <c r="A318" t="s">
        <v>428</v>
      </c>
      <c r="E318" s="20" t="str">
        <f t="shared" ref="E318:E325" si="34">IF(D318="?OLD","!!!","")</f>
        <v/>
      </c>
      <c r="F318" s="21" t="str">
        <f>IF(OR(E318="",E318="!!!"),"",IF(NOT(ISNA(VLOOKUP(E318,E$1:E317,1,FALSE()))),"OLD",IF(AND(E318&lt;&gt;"",E318&lt;&gt;"!!!"),"NEW","")))</f>
        <v/>
      </c>
      <c r="G318" s="22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/>
      </c>
      <c r="H318" s="23" t="str">
        <f t="shared" ref="H318:H325" ca="1" si="35">IF(J318&lt;&gt;1,"",IF(I318="SBJ","CB","?"))</f>
        <v/>
      </c>
      <c r="I318" s="24" t="str">
        <f>IF(OR(E318="",E318="!!!",F318="NEW"),"",INDEX(B$2:B317,-1+SUMPRODUCT(MAX(ROW(E$2:E317)*(E318=E$2:E317)))))</f>
        <v/>
      </c>
      <c r="J318" s="24" t="str">
        <f ca="1">IF(OR(E318="",E318="!!!",F318="NEW"),"",COUNTBLANK(OFFSET(A$1,,,SUMPRODUCT(MAX(ROW(E$2:E318)*(E318=E$2:E318)))))-COUNTBLANK(OFFSET(A$1,,,SUMPRODUCT(MAX(ROW(E$1:E317)*(E2=E$1:E317))))))</f>
        <v/>
      </c>
      <c r="K318" s="24" t="str">
        <f>IF(OR(E318="",E318="!!!",F318="NEW"),"",INDEX(J$1:J317,SUMPRODUCT(MAX(ROW(E$1:E317)*(E318=E$1:E317)))))</f>
        <v/>
      </c>
      <c r="L318" s="25"/>
    </row>
    <row r="319" spans="1:12" x14ac:dyDescent="0.3">
      <c r="A319" t="s">
        <v>254</v>
      </c>
      <c r="B319" s="26" t="s">
        <v>243</v>
      </c>
      <c r="C319" s="26" t="s">
        <v>256</v>
      </c>
      <c r="D319" s="26" t="s">
        <v>240</v>
      </c>
      <c r="E319" s="20" t="str">
        <f t="shared" si="34"/>
        <v>!!!</v>
      </c>
      <c r="F319" s="21" t="str">
        <f>IF(OR(E319="",E319="!!!"),"",IF(NOT(ISNA(VLOOKUP(E319,E$1:E318,1,FALSE()))),"OLD",IF(AND(E319&lt;&gt;"",E319&lt;&gt;"!!!"),"NEW","")))</f>
        <v/>
      </c>
      <c r="G319" s="22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/>
      </c>
      <c r="H319" s="23" t="str">
        <f t="shared" ca="1" si="35"/>
        <v/>
      </c>
      <c r="I319" s="24" t="str">
        <f>IF(OR(E319="",E319="!!!",F319="NEW"),"",INDEX(B$2:B318,-1+SUMPRODUCT(MAX(ROW(E$2:E318)*(E319=E$2:E318)))))</f>
        <v/>
      </c>
      <c r="J319" s="24" t="str">
        <f ca="1">IF(OR(E319="",E319="!!!",F319="NEW"),"",COUNTBLANK(OFFSET(A$1,,,SUMPRODUCT(MAX(ROW(E$2:E319)*(E319=E$2:E319)))))-COUNTBLANK(OFFSET(A$1,,,SUMPRODUCT(MAX(ROW(E$1:E318)*(E2=E$1:E318))))))</f>
        <v/>
      </c>
      <c r="K319" s="24" t="str">
        <f>IF(OR(E319="",E319="!!!",F319="NEW"),"",INDEX(J$1:J318,SUMPRODUCT(MAX(ROW(E$1:E318)*(E319=E$1:E318)))))</f>
        <v/>
      </c>
      <c r="L319" s="25"/>
    </row>
    <row r="320" spans="1:12" x14ac:dyDescent="0.3">
      <c r="A320" t="s">
        <v>429</v>
      </c>
      <c r="E320" s="20" t="str">
        <f t="shared" si="34"/>
        <v/>
      </c>
      <c r="F320" s="21" t="str">
        <f>IF(OR(E320="",E320="!!!"),"",IF(NOT(ISNA(VLOOKUP(E320,E$1:E319,1,FALSE()))),"OLD",IF(AND(E320&lt;&gt;"",E320&lt;&gt;"!!!"),"NEW","")))</f>
        <v/>
      </c>
      <c r="G320" s="22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/>
      </c>
      <c r="H320" s="23" t="str">
        <f t="shared" ca="1" si="35"/>
        <v/>
      </c>
      <c r="I320" s="24" t="str">
        <f>IF(OR(E320="",E320="!!!",F320="NEW"),"",INDEX(B$2:B319,-1+SUMPRODUCT(MAX(ROW(E$2:E319)*(E320=E$2:E319)))))</f>
        <v/>
      </c>
      <c r="J320" s="24" t="str">
        <f ca="1">IF(OR(E320="",E320="!!!",F320="NEW"),"",COUNTBLANK(OFFSET(A$1,,,SUMPRODUCT(MAX(ROW(E$2:E320)*(E320=E$2:E320)))))-COUNTBLANK(OFFSET(A$1,,,SUMPRODUCT(MAX(ROW(E$1:E319)*(E2=E$1:E319))))))</f>
        <v/>
      </c>
      <c r="K320" s="24" t="str">
        <f>IF(OR(E320="",E320="!!!",F320="NEW"),"",INDEX(J$1:J319,SUMPRODUCT(MAX(ROW(E$1:E319)*(E320=E$1:E319)))))</f>
        <v/>
      </c>
      <c r="L320" s="25"/>
    </row>
    <row r="321" spans="1:12" x14ac:dyDescent="0.3">
      <c r="A321" t="s">
        <v>430</v>
      </c>
      <c r="E321" s="20" t="str">
        <f t="shared" si="34"/>
        <v/>
      </c>
      <c r="F321" s="21" t="str">
        <f>IF(OR(E321="",E321="!!!"),"",IF(NOT(ISNA(VLOOKUP(E321,E$1:E320,1,FALSE()))),"OLD",IF(AND(E321&lt;&gt;"",E321&lt;&gt;"!!!"),"NEW","")))</f>
        <v/>
      </c>
      <c r="G321" s="22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/>
      </c>
      <c r="H321" s="23" t="str">
        <f t="shared" ca="1" si="35"/>
        <v/>
      </c>
      <c r="I321" s="24" t="str">
        <f>IF(OR(E321="",E321="!!!",F321="NEW"),"",INDEX(B$2:B320,-1+SUMPRODUCT(MAX(ROW(E$2:E320)*(E321=E$2:E320)))))</f>
        <v/>
      </c>
      <c r="J321" s="24" t="str">
        <f ca="1">IF(OR(E321="",E321="!!!",F321="NEW"),"",COUNTBLANK(OFFSET(A$1,,,SUMPRODUCT(MAX(ROW(E$2:E321)*(E321=E$2:E321)))))-COUNTBLANK(OFFSET(A$1,,,SUMPRODUCT(MAX(ROW(E$1:E320)*(E2=E$1:E320))))))</f>
        <v/>
      </c>
      <c r="K321" s="24" t="str">
        <f>IF(OR(E321="",E321="!!!",F321="NEW"),"",INDEX(J$1:J320,SUMPRODUCT(MAX(ROW(E$1:E320)*(E321=E$1:E320)))))</f>
        <v/>
      </c>
      <c r="L321" s="25"/>
    </row>
    <row r="322" spans="1:12" x14ac:dyDescent="0.3">
      <c r="A322" t="s">
        <v>431</v>
      </c>
      <c r="E322" s="20" t="str">
        <f t="shared" si="34"/>
        <v/>
      </c>
      <c r="F322" s="21" t="str">
        <f>IF(OR(E322="",E322="!!!"),"",IF(NOT(ISNA(VLOOKUP(E322,E$1:E321,1,FALSE()))),"OLD",IF(AND(E322&lt;&gt;"",E322&lt;&gt;"!!!"),"NEW","")))</f>
        <v/>
      </c>
      <c r="G322" s="22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/>
      </c>
      <c r="H322" s="23" t="str">
        <f t="shared" ca="1" si="35"/>
        <v/>
      </c>
      <c r="I322" s="24" t="str">
        <f>IF(OR(E322="",E322="!!!",F322="NEW"),"",INDEX(B$2:B321,-1+SUMPRODUCT(MAX(ROW(E$2:E321)*(E322=E$2:E321)))))</f>
        <v/>
      </c>
      <c r="J322" s="24" t="str">
        <f ca="1">IF(OR(E322="",E322="!!!",F322="NEW"),"",COUNTBLANK(OFFSET(A$1,,,SUMPRODUCT(MAX(ROW(E$2:E322)*(E322=E$2:E322)))))-COUNTBLANK(OFFSET(A$1,,,SUMPRODUCT(MAX(ROW(E$1:E321)*(E2=E$1:E321))))))</f>
        <v/>
      </c>
      <c r="K322" s="24" t="str">
        <f>IF(OR(E322="",E322="!!!",F322="NEW"),"",INDEX(J$1:J321,SUMPRODUCT(MAX(ROW(E$1:E321)*(E322=E$1:E321)))))</f>
        <v/>
      </c>
      <c r="L322" s="25"/>
    </row>
    <row r="323" spans="1:12" x14ac:dyDescent="0.3">
      <c r="A323" t="s">
        <v>432</v>
      </c>
      <c r="E323" s="20" t="str">
        <f t="shared" si="34"/>
        <v/>
      </c>
      <c r="F323" s="21" t="str">
        <f>IF(OR(E323="",E323="!!!"),"",IF(NOT(ISNA(VLOOKUP(E323,E$1:E322,1,FALSE()))),"OLD",IF(AND(E323&lt;&gt;"",E323&lt;&gt;"!!!"),"NEW","")))</f>
        <v/>
      </c>
      <c r="G323" s="22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/>
      </c>
      <c r="H323" s="23" t="str">
        <f t="shared" ca="1" si="35"/>
        <v/>
      </c>
      <c r="I323" s="24" t="str">
        <f>IF(OR(E323="",E323="!!!",F323="NEW"),"",INDEX(B$2:B322,-1+SUMPRODUCT(MAX(ROW(E$2:E322)*(E323=E$2:E322)))))</f>
        <v/>
      </c>
      <c r="J323" s="24" t="str">
        <f ca="1">IF(OR(E323="",E323="!!!",F323="NEW"),"",COUNTBLANK(OFFSET(A$1,,,SUMPRODUCT(MAX(ROW(E$2:E323)*(E323=E$2:E323)))))-COUNTBLANK(OFFSET(A$1,,,SUMPRODUCT(MAX(ROW(E$1:E322)*(E2=E$1:E322))))))</f>
        <v/>
      </c>
      <c r="K323" s="24" t="str">
        <f>IF(OR(E323="",E323="!!!",F323="NEW"),"",INDEX(J$1:J322,SUMPRODUCT(MAX(ROW(E$1:E322)*(E323=E$1:E322)))))</f>
        <v/>
      </c>
      <c r="L323" s="25"/>
    </row>
    <row r="324" spans="1:12" x14ac:dyDescent="0.3">
      <c r="A324" t="s">
        <v>433</v>
      </c>
      <c r="E324" s="20" t="str">
        <f t="shared" si="34"/>
        <v/>
      </c>
      <c r="F324" s="21" t="str">
        <f>IF(OR(E324="",E324="!!!"),"",IF(NOT(ISNA(VLOOKUP(E324,E$1:E323,1,FALSE()))),"OLD",IF(AND(E324&lt;&gt;"",E324&lt;&gt;"!!!"),"NEW","")))</f>
        <v/>
      </c>
      <c r="G324" s="22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/>
      </c>
      <c r="H324" s="23" t="str">
        <f t="shared" ca="1" si="35"/>
        <v/>
      </c>
      <c r="I324" s="24" t="str">
        <f>IF(OR(E324="",E324="!!!",F324="NEW"),"",INDEX(B$2:B323,-1+SUMPRODUCT(MAX(ROW(E$2:E323)*(E324=E$2:E323)))))</f>
        <v/>
      </c>
      <c r="J324" s="24" t="str">
        <f ca="1">IF(OR(E324="",E324="!!!",F324="NEW"),"",COUNTBLANK(OFFSET(A$1,,,SUMPRODUCT(MAX(ROW(E$2:E324)*(E324=E$2:E324)))))-COUNTBLANK(OFFSET(A$1,,,SUMPRODUCT(MAX(ROW(E$1:E323)*(E2=E$1:E323))))))</f>
        <v/>
      </c>
      <c r="K324" s="24" t="str">
        <f>IF(OR(E324="",E324="!!!",F324="NEW"),"",INDEX(J$1:J323,SUMPRODUCT(MAX(ROW(E$1:E323)*(E324=E$1:E323)))))</f>
        <v/>
      </c>
      <c r="L324" s="25"/>
    </row>
    <row r="325" spans="1:12" x14ac:dyDescent="0.3">
      <c r="A325" t="s">
        <v>434</v>
      </c>
      <c r="E325" s="20" t="str">
        <f t="shared" si="34"/>
        <v/>
      </c>
      <c r="F325" s="21" t="str">
        <f>IF(OR(E325="",E325="!!!"),"",IF(NOT(ISNA(VLOOKUP(E325,E$1:E324,1,FALSE()))),"OLD",IF(AND(E325&lt;&gt;"",E325&lt;&gt;"!!!"),"NEW","")))</f>
        <v/>
      </c>
      <c r="G325" s="22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/>
      </c>
      <c r="H325" s="23" t="str">
        <f t="shared" ca="1" si="35"/>
        <v/>
      </c>
      <c r="I325" s="24" t="str">
        <f>IF(OR(E325="",E325="!!!",F325="NEW"),"",INDEX(B$2:B324,-1+SUMPRODUCT(MAX(ROW(E$2:E324)*(E325=E$2:E324)))))</f>
        <v/>
      </c>
      <c r="J325" s="24" t="str">
        <f ca="1">IF(OR(E325="",E325="!!!",F325="NEW"),"",COUNTBLANK(OFFSET(A$1,,,SUMPRODUCT(MAX(ROW(E$2:E325)*(E325=E$2:E325)))))-COUNTBLANK(OFFSET(A$1,,,SUMPRODUCT(MAX(ROW(E$1:E324)*(E2=E$1:E324))))))</f>
        <v/>
      </c>
      <c r="K325" s="24" t="str">
        <f>IF(OR(E325="",E325="!!!",F325="NEW"),"",INDEX(J$1:J324,SUMPRODUCT(MAX(ROW(E$1:E324)*(E325=E$1:E324)))))</f>
        <v/>
      </c>
      <c r="L325" s="25"/>
    </row>
    <row r="327" spans="1:12" x14ac:dyDescent="0.3">
      <c r="A327" t="s">
        <v>435</v>
      </c>
    </row>
    <row r="328" spans="1:12" x14ac:dyDescent="0.3">
      <c r="A328" t="s">
        <v>414</v>
      </c>
      <c r="E328" s="20" t="str">
        <f t="shared" ref="E328:E340" si="36">IF(D328="?OLD","!!!","")</f>
        <v/>
      </c>
      <c r="F328" s="21" t="str">
        <f>IF(OR(E328="",E328="!!!"),"",IF(NOT(ISNA(VLOOKUP(E328,E$1:E327,1,FALSE()))),"OLD",IF(AND(E328&lt;&gt;"",E328&lt;&gt;"!!!"),"NEW","")))</f>
        <v/>
      </c>
      <c r="G328" s="22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/>
      </c>
      <c r="H328" s="23" t="str">
        <f t="shared" ref="H328:H340" ca="1" si="37">IF(J328&lt;&gt;1,"",IF(I328="SBJ","CB","?"))</f>
        <v/>
      </c>
      <c r="I328" s="24" t="str">
        <f>IF(OR(E328="",E328="!!!",F328="NEW"),"",INDEX(B$2:B327,-1+SUMPRODUCT(MAX(ROW(E$2:E327)*(E328=E$2:E327)))))</f>
        <v/>
      </c>
      <c r="J328" s="24" t="str">
        <f ca="1">IF(OR(E328="",E328="!!!",F328="NEW"),"",COUNTBLANK(OFFSET(A$1,,,SUMPRODUCT(MAX(ROW(E$2:E328)*(E328=E$2:E328)))))-COUNTBLANK(OFFSET(A$1,,,SUMPRODUCT(MAX(ROW(E$1:E327)*(E2=E$1:E327))))))</f>
        <v/>
      </c>
      <c r="K328" s="24" t="str">
        <f>IF(OR(E328="",E328="!!!",F328="NEW"),"",INDEX(J$1:J327,SUMPRODUCT(MAX(ROW(E$1:E327)*(E328=E$1:E327)))))</f>
        <v/>
      </c>
      <c r="L328" s="25"/>
    </row>
    <row r="329" spans="1:12" x14ac:dyDescent="0.3">
      <c r="A329" t="s">
        <v>406</v>
      </c>
      <c r="E329" s="20" t="str">
        <f t="shared" si="36"/>
        <v/>
      </c>
      <c r="F329" s="21" t="str">
        <f>IF(OR(E329="",E329="!!!"),"",IF(NOT(ISNA(VLOOKUP(E329,E$1:E328,1,FALSE()))),"OLD",IF(AND(E329&lt;&gt;"",E329&lt;&gt;"!!!"),"NEW","")))</f>
        <v/>
      </c>
      <c r="G329" s="22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/>
      </c>
      <c r="H329" s="23" t="str">
        <f t="shared" ca="1" si="37"/>
        <v/>
      </c>
      <c r="I329" s="24" t="str">
        <f>IF(OR(E329="",E329="!!!",F329="NEW"),"",INDEX(B$2:B328,-1+SUMPRODUCT(MAX(ROW(E$2:E328)*(E329=E$2:E328)))))</f>
        <v/>
      </c>
      <c r="J329" s="24" t="str">
        <f ca="1">IF(OR(E329="",E329="!!!",F329="NEW"),"",COUNTBLANK(OFFSET(A$1,,,SUMPRODUCT(MAX(ROW(E$2:E329)*(E329=E$2:E329)))))-COUNTBLANK(OFFSET(A$1,,,SUMPRODUCT(MAX(ROW(E$1:E328)*(E2=E$1:E328))))))</f>
        <v/>
      </c>
      <c r="K329" s="24" t="str">
        <f>IF(OR(E329="",E329="!!!",F329="NEW"),"",INDEX(J$1:J328,SUMPRODUCT(MAX(ROW(E$1:E328)*(E329=E$1:E328)))))</f>
        <v/>
      </c>
      <c r="L329" s="25"/>
    </row>
    <row r="330" spans="1:12" x14ac:dyDescent="0.3">
      <c r="A330" t="s">
        <v>254</v>
      </c>
      <c r="B330" s="26" t="s">
        <v>255</v>
      </c>
      <c r="C330" s="26" t="s">
        <v>256</v>
      </c>
      <c r="D330" s="26" t="s">
        <v>240</v>
      </c>
      <c r="E330" s="20" t="str">
        <f t="shared" si="36"/>
        <v>!!!</v>
      </c>
      <c r="F330" s="21" t="str">
        <f>IF(OR(E330="",E330="!!!"),"",IF(NOT(ISNA(VLOOKUP(E330,E$1:E329,1,FALSE()))),"OLD",IF(AND(E330&lt;&gt;"",E330&lt;&gt;"!!!"),"NEW","")))</f>
        <v/>
      </c>
      <c r="G330" s="22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/>
      </c>
      <c r="H330" s="23" t="str">
        <f t="shared" ca="1" si="37"/>
        <v/>
      </c>
      <c r="I330" s="24" t="str">
        <f>IF(OR(E330="",E330="!!!",F330="NEW"),"",INDEX(B$2:B329,-1+SUMPRODUCT(MAX(ROW(E$2:E329)*(E330=E$2:E329)))))</f>
        <v/>
      </c>
      <c r="J330" s="24" t="str">
        <f ca="1">IF(OR(E330="",E330="!!!",F330="NEW"),"",COUNTBLANK(OFFSET(A$1,,,SUMPRODUCT(MAX(ROW(E$2:E330)*(E330=E$2:E330)))))-COUNTBLANK(OFFSET(A$1,,,SUMPRODUCT(MAX(ROW(E$1:E329)*(E2=E$1:E329))))))</f>
        <v/>
      </c>
      <c r="K330" s="24" t="str">
        <f>IF(OR(E330="",E330="!!!",F330="NEW"),"",INDEX(J$1:J329,SUMPRODUCT(MAX(ROW(E$1:E329)*(E330=E$1:E329)))))</f>
        <v/>
      </c>
      <c r="L330" s="25"/>
    </row>
    <row r="331" spans="1:12" x14ac:dyDescent="0.3">
      <c r="A331" t="s">
        <v>301</v>
      </c>
      <c r="E331" s="20" t="str">
        <f t="shared" si="36"/>
        <v/>
      </c>
      <c r="F331" s="21" t="str">
        <f>IF(OR(E331="",E331="!!!"),"",IF(NOT(ISNA(VLOOKUP(E331,E$1:E330,1,FALSE()))),"OLD",IF(AND(E331&lt;&gt;"",E331&lt;&gt;"!!!"),"NEW","")))</f>
        <v/>
      </c>
      <c r="G331" s="22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/>
      </c>
      <c r="H331" s="23" t="str">
        <f t="shared" ca="1" si="37"/>
        <v/>
      </c>
      <c r="I331" s="24" t="str">
        <f>IF(OR(E331="",E331="!!!",F331="NEW"),"",INDEX(B$2:B330,-1+SUMPRODUCT(MAX(ROW(E$2:E330)*(E331=E$2:E330)))))</f>
        <v/>
      </c>
      <c r="J331" s="24" t="str">
        <f ca="1">IF(OR(E331="",E331="!!!",F331="NEW"),"",COUNTBLANK(OFFSET(A$1,,,SUMPRODUCT(MAX(ROW(E$2:E331)*(E331=E$2:E331)))))-COUNTBLANK(OFFSET(A$1,,,SUMPRODUCT(MAX(ROW(E$1:E330)*(E2=E$1:E330))))))</f>
        <v/>
      </c>
      <c r="K331" s="24" t="str">
        <f>IF(OR(E331="",E331="!!!",F331="NEW"),"",INDEX(J$1:J330,SUMPRODUCT(MAX(ROW(E$1:E330)*(E331=E$1:E330)))))</f>
        <v/>
      </c>
      <c r="L331" s="25"/>
    </row>
    <row r="332" spans="1:12" x14ac:dyDescent="0.3">
      <c r="A332" t="s">
        <v>236</v>
      </c>
      <c r="E332" s="20" t="str">
        <f t="shared" si="36"/>
        <v/>
      </c>
      <c r="F332" s="21" t="str">
        <f>IF(OR(E332="",E332="!!!"),"",IF(NOT(ISNA(VLOOKUP(E332,E$1:E331,1,FALSE()))),"OLD",IF(AND(E332&lt;&gt;"",E332&lt;&gt;"!!!"),"NEW","")))</f>
        <v/>
      </c>
      <c r="G332" s="22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/>
      </c>
      <c r="H332" s="23" t="str">
        <f t="shared" ca="1" si="37"/>
        <v/>
      </c>
      <c r="I332" s="24" t="str">
        <f>IF(OR(E332="",E332="!!!",F332="NEW"),"",INDEX(B$2:B331,-1+SUMPRODUCT(MAX(ROW(E$2:E331)*(E332=E$2:E331)))))</f>
        <v/>
      </c>
      <c r="J332" s="24" t="str">
        <f ca="1">IF(OR(E332="",E332="!!!",F332="NEW"),"",COUNTBLANK(OFFSET(A$1,,,SUMPRODUCT(MAX(ROW(E$2:E332)*(E332=E$2:E332)))))-COUNTBLANK(OFFSET(A$1,,,SUMPRODUCT(MAX(ROW(E$1:E331)*(E2=E$1:E331))))))</f>
        <v/>
      </c>
      <c r="K332" s="24" t="str">
        <f>IF(OR(E332="",E332="!!!",F332="NEW"),"",INDEX(J$1:J331,SUMPRODUCT(MAX(ROW(E$1:E331)*(E332=E$1:E331)))))</f>
        <v/>
      </c>
      <c r="L332" s="25"/>
    </row>
    <row r="333" spans="1:12" x14ac:dyDescent="0.3">
      <c r="A333" t="s">
        <v>436</v>
      </c>
      <c r="B333" s="26" t="s">
        <v>238</v>
      </c>
      <c r="C333" s="26" t="s">
        <v>239</v>
      </c>
      <c r="D333" s="26" t="s">
        <v>240</v>
      </c>
      <c r="E333" s="20" t="str">
        <f t="shared" si="36"/>
        <v>!!!</v>
      </c>
      <c r="F333" s="21" t="str">
        <f>IF(OR(E333="",E333="!!!"),"",IF(NOT(ISNA(VLOOKUP(E333,E$1:E332,1,FALSE()))),"OLD",IF(AND(E333&lt;&gt;"",E333&lt;&gt;"!!!"),"NEW","")))</f>
        <v/>
      </c>
      <c r="G333" s="22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/>
      </c>
      <c r="H333" s="23" t="str">
        <f t="shared" ca="1" si="37"/>
        <v/>
      </c>
      <c r="I333" s="24" t="str">
        <f>IF(OR(E333="",E333="!!!",F333="NEW"),"",INDEX(B$2:B332,-1+SUMPRODUCT(MAX(ROW(E$2:E332)*(E333=E$2:E332)))))</f>
        <v/>
      </c>
      <c r="J333" s="24" t="str">
        <f ca="1">IF(OR(E333="",E333="!!!",F333="NEW"),"",COUNTBLANK(OFFSET(A$1,,,SUMPRODUCT(MAX(ROW(E$2:E333)*(E333=E$2:E333)))))-COUNTBLANK(OFFSET(A$1,,,SUMPRODUCT(MAX(ROW(E$1:E332)*(E2=E$1:E332))))))</f>
        <v/>
      </c>
      <c r="K333" s="24" t="str">
        <f>IF(OR(E333="",E333="!!!",F333="NEW"),"",INDEX(J$1:J332,SUMPRODUCT(MAX(ROW(E$1:E332)*(E333=E$1:E332)))))</f>
        <v/>
      </c>
      <c r="L333" s="25"/>
    </row>
    <row r="334" spans="1:12" x14ac:dyDescent="0.3">
      <c r="A334" t="s">
        <v>363</v>
      </c>
      <c r="E334" s="20" t="str">
        <f t="shared" si="36"/>
        <v/>
      </c>
      <c r="F334" s="21" t="str">
        <f>IF(OR(E334="",E334="!!!"),"",IF(NOT(ISNA(VLOOKUP(E334,E$1:E333,1,FALSE()))),"OLD",IF(AND(E334&lt;&gt;"",E334&lt;&gt;"!!!"),"NEW","")))</f>
        <v/>
      </c>
      <c r="G334" s="22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/>
      </c>
      <c r="H334" s="23" t="str">
        <f t="shared" ca="1" si="37"/>
        <v/>
      </c>
      <c r="I334" s="24" t="str">
        <f>IF(OR(E334="",E334="!!!",F334="NEW"),"",INDEX(B$2:B333,-1+SUMPRODUCT(MAX(ROW(E$2:E333)*(E334=E$2:E333)))))</f>
        <v/>
      </c>
      <c r="J334" s="24" t="str">
        <f ca="1">IF(OR(E334="",E334="!!!",F334="NEW"),"",COUNTBLANK(OFFSET(A$1,,,SUMPRODUCT(MAX(ROW(E$2:E334)*(E334=E$2:E334)))))-COUNTBLANK(OFFSET(A$1,,,SUMPRODUCT(MAX(ROW(E$1:E333)*(E2=E$1:E333))))))</f>
        <v/>
      </c>
      <c r="K334" s="24" t="str">
        <f>IF(OR(E334="",E334="!!!",F334="NEW"),"",INDEX(J$1:J333,SUMPRODUCT(MAX(ROW(E$1:E333)*(E334=E$1:E333)))))</f>
        <v/>
      </c>
      <c r="L334" s="25"/>
    </row>
    <row r="335" spans="1:12" x14ac:dyDescent="0.3">
      <c r="A335" t="s">
        <v>364</v>
      </c>
      <c r="B335" s="26" t="s">
        <v>261</v>
      </c>
      <c r="C335" s="26" t="s">
        <v>239</v>
      </c>
      <c r="D335" s="26" t="s">
        <v>240</v>
      </c>
      <c r="E335" s="20" t="str">
        <f t="shared" si="36"/>
        <v>!!!</v>
      </c>
      <c r="F335" s="21" t="str">
        <f>IF(OR(E335="",E335="!!!"),"",IF(NOT(ISNA(VLOOKUP(E335,E$1:E334,1,FALSE()))),"OLD",IF(AND(E335&lt;&gt;"",E335&lt;&gt;"!!!"),"NEW","")))</f>
        <v/>
      </c>
      <c r="G335" s="22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/>
      </c>
      <c r="H335" s="23" t="str">
        <f t="shared" ca="1" si="37"/>
        <v/>
      </c>
      <c r="I335" s="24" t="str">
        <f>IF(OR(E335="",E335="!!!",F335="NEW"),"",INDEX(B$2:B334,-1+SUMPRODUCT(MAX(ROW(E$2:E334)*(E335=E$2:E334)))))</f>
        <v/>
      </c>
      <c r="J335" s="24" t="str">
        <f ca="1">IF(OR(E335="",E335="!!!",F335="NEW"),"",COUNTBLANK(OFFSET(A$1,,,SUMPRODUCT(MAX(ROW(E$2:E335)*(E335=E$2:E335)))))-COUNTBLANK(OFFSET(A$1,,,SUMPRODUCT(MAX(ROW(E$1:E334)*(E2=E$1:E334))))))</f>
        <v/>
      </c>
      <c r="K335" s="24" t="str">
        <f>IF(OR(E335="",E335="!!!",F335="NEW"),"",INDEX(J$1:J334,SUMPRODUCT(MAX(ROW(E$1:E334)*(E335=E$1:E334)))))</f>
        <v/>
      </c>
      <c r="L335" s="25"/>
    </row>
    <row r="336" spans="1:12" x14ac:dyDescent="0.3">
      <c r="A336" t="s">
        <v>252</v>
      </c>
      <c r="E336" s="20" t="str">
        <f t="shared" si="36"/>
        <v/>
      </c>
      <c r="F336" s="21" t="str">
        <f>IF(OR(E336="",E336="!!!"),"",IF(NOT(ISNA(VLOOKUP(E336,E$1:E335,1,FALSE()))),"OLD",IF(AND(E336&lt;&gt;"",E336&lt;&gt;"!!!"),"NEW","")))</f>
        <v/>
      </c>
      <c r="G336" s="22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/>
      </c>
      <c r="H336" s="23" t="str">
        <f t="shared" ca="1" si="37"/>
        <v/>
      </c>
      <c r="I336" s="24" t="str">
        <f>IF(OR(E336="",E336="!!!",F336="NEW"),"",INDEX(B$2:B335,-1+SUMPRODUCT(MAX(ROW(E$2:E335)*(E336=E$2:E335)))))</f>
        <v/>
      </c>
      <c r="J336" s="24" t="str">
        <f ca="1">IF(OR(E336="",E336="!!!",F336="NEW"),"",COUNTBLANK(OFFSET(A$1,,,SUMPRODUCT(MAX(ROW(E$2:E336)*(E336=E$2:E336)))))-COUNTBLANK(OFFSET(A$1,,,SUMPRODUCT(MAX(ROW(E$1:E335)*(E2=E$1:E335))))))</f>
        <v/>
      </c>
      <c r="K336" s="24" t="str">
        <f>IF(OR(E336="",E336="!!!",F336="NEW"),"",INDEX(J$1:J335,SUMPRODUCT(MAX(ROW(E$1:E335)*(E336=E$1:E335)))))</f>
        <v/>
      </c>
      <c r="L336" s="25"/>
    </row>
    <row r="337" spans="1:12" x14ac:dyDescent="0.3">
      <c r="A337" t="s">
        <v>257</v>
      </c>
      <c r="E337" s="20" t="str">
        <f t="shared" si="36"/>
        <v/>
      </c>
      <c r="F337" s="21" t="str">
        <f>IF(OR(E337="",E337="!!!"),"",IF(NOT(ISNA(VLOOKUP(E337,E$1:E336,1,FALSE()))),"OLD",IF(AND(E337&lt;&gt;"",E337&lt;&gt;"!!!"),"NEW","")))</f>
        <v/>
      </c>
      <c r="G337" s="22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/>
      </c>
      <c r="H337" s="23" t="str">
        <f t="shared" ca="1" si="37"/>
        <v/>
      </c>
      <c r="I337" s="24" t="str">
        <f>IF(OR(E337="",E337="!!!",F337="NEW"),"",INDEX(B$2:B336,-1+SUMPRODUCT(MAX(ROW(E$2:E336)*(E337=E$2:E336)))))</f>
        <v/>
      </c>
      <c r="J337" s="24" t="str">
        <f ca="1">IF(OR(E337="",E337="!!!",F337="NEW"),"",COUNTBLANK(OFFSET(A$1,,,SUMPRODUCT(MAX(ROW(E$2:E337)*(E337=E$2:E337)))))-COUNTBLANK(OFFSET(A$1,,,SUMPRODUCT(MAX(ROW(E$1:E336)*(E2=E$1:E336))))))</f>
        <v/>
      </c>
      <c r="K337" s="24" t="str">
        <f>IF(OR(E337="",E337="!!!",F337="NEW"),"",INDEX(J$1:J336,SUMPRODUCT(MAX(ROW(E$1:E336)*(E337=E$1:E336)))))</f>
        <v/>
      </c>
      <c r="L337" s="25"/>
    </row>
    <row r="338" spans="1:12" x14ac:dyDescent="0.3">
      <c r="A338" t="s">
        <v>236</v>
      </c>
      <c r="E338" s="20" t="str">
        <f t="shared" si="36"/>
        <v/>
      </c>
      <c r="F338" s="21" t="str">
        <f>IF(OR(E338="",E338="!!!"),"",IF(NOT(ISNA(VLOOKUP(E338,E$1:E337,1,FALSE()))),"OLD",IF(AND(E338&lt;&gt;"",E338&lt;&gt;"!!!"),"NEW","")))</f>
        <v/>
      </c>
      <c r="G338" s="22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/>
      </c>
      <c r="H338" s="23" t="str">
        <f t="shared" ca="1" si="37"/>
        <v/>
      </c>
      <c r="I338" s="24" t="str">
        <f>IF(OR(E338="",E338="!!!",F338="NEW"),"",INDEX(B$2:B337,-1+SUMPRODUCT(MAX(ROW(E$2:E337)*(E338=E$2:E337)))))</f>
        <v/>
      </c>
      <c r="J338" s="24" t="str">
        <f ca="1">IF(OR(E338="",E338="!!!",F338="NEW"),"",COUNTBLANK(OFFSET(A$1,,,SUMPRODUCT(MAX(ROW(E$2:E338)*(E338=E$2:E338)))))-COUNTBLANK(OFFSET(A$1,,,SUMPRODUCT(MAX(ROW(E$1:E337)*(E2=E$1:E337))))))</f>
        <v/>
      </c>
      <c r="K338" s="24" t="str">
        <f>IF(OR(E338="",E338="!!!",F338="NEW"),"",INDEX(J$1:J337,SUMPRODUCT(MAX(ROW(E$1:E337)*(E338=E$1:E337)))))</f>
        <v/>
      </c>
      <c r="L338" s="25"/>
    </row>
    <row r="339" spans="1:12" x14ac:dyDescent="0.3">
      <c r="A339" t="s">
        <v>437</v>
      </c>
      <c r="B339" s="26" t="s">
        <v>238</v>
      </c>
      <c r="C339" s="26" t="s">
        <v>239</v>
      </c>
      <c r="D339" s="26" t="s">
        <v>240</v>
      </c>
      <c r="E339" s="20" t="str">
        <f t="shared" si="36"/>
        <v>!!!</v>
      </c>
      <c r="F339" s="21" t="str">
        <f>IF(OR(E339="",E339="!!!"),"",IF(NOT(ISNA(VLOOKUP(E339,E$1:E338,1,FALSE()))),"OLD",IF(AND(E339&lt;&gt;"",E339&lt;&gt;"!!!"),"NEW","")))</f>
        <v/>
      </c>
      <c r="G339" s="22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/>
      </c>
      <c r="H339" s="23" t="str">
        <f t="shared" ca="1" si="37"/>
        <v/>
      </c>
      <c r="I339" s="24" t="str">
        <f>IF(OR(E339="",E339="!!!",F339="NEW"),"",INDEX(B$2:B338,-1+SUMPRODUCT(MAX(ROW(E$2:E338)*(E339=E$2:E338)))))</f>
        <v/>
      </c>
      <c r="J339" s="24" t="str">
        <f ca="1">IF(OR(E339="",E339="!!!",F339="NEW"),"",COUNTBLANK(OFFSET(A$1,,,SUMPRODUCT(MAX(ROW(E$2:E339)*(E339=E$2:E339)))))-COUNTBLANK(OFFSET(A$1,,,SUMPRODUCT(MAX(ROW(E$1:E338)*(E2=E$1:E338))))))</f>
        <v/>
      </c>
      <c r="K339" s="24" t="str">
        <f>IF(OR(E339="",E339="!!!",F339="NEW"),"",INDEX(J$1:J338,SUMPRODUCT(MAX(ROW(E$1:E338)*(E339=E$1:E338)))))</f>
        <v/>
      </c>
      <c r="L339" s="25"/>
    </row>
    <row r="340" spans="1:12" x14ac:dyDescent="0.3">
      <c r="A340" t="s">
        <v>248</v>
      </c>
      <c r="E340" s="20" t="str">
        <f t="shared" si="36"/>
        <v/>
      </c>
      <c r="F340" s="21" t="str">
        <f>IF(OR(E340="",E340="!!!"),"",IF(NOT(ISNA(VLOOKUP(E340,E$1:E339,1,FALSE()))),"OLD",IF(AND(E340&lt;&gt;"",E340&lt;&gt;"!!!"),"NEW","")))</f>
        <v/>
      </c>
      <c r="G340" s="22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/>
      </c>
      <c r="H340" s="23" t="str">
        <f t="shared" ca="1" si="37"/>
        <v/>
      </c>
      <c r="I340" s="24" t="str">
        <f>IF(OR(E340="",E340="!!!",F340="NEW"),"",INDEX(B$2:B339,-1+SUMPRODUCT(MAX(ROW(E$2:E339)*(E340=E$2:E339)))))</f>
        <v/>
      </c>
      <c r="J340" s="24" t="str">
        <f ca="1">IF(OR(E340="",E340="!!!",F340="NEW"),"",COUNTBLANK(OFFSET(A$1,,,SUMPRODUCT(MAX(ROW(E$2:E340)*(E340=E$2:E340)))))-COUNTBLANK(OFFSET(A$1,,,SUMPRODUCT(MAX(ROW(E$1:E339)*(E2=E$1:E339))))))</f>
        <v/>
      </c>
      <c r="K340" s="24" t="str">
        <f>IF(OR(E340="",E340="!!!",F340="NEW"),"",INDEX(J$1:J339,SUMPRODUCT(MAX(ROW(E$1:E339)*(E340=E$1:E339)))))</f>
        <v/>
      </c>
      <c r="L340" s="25"/>
    </row>
    <row r="342" spans="1:12" x14ac:dyDescent="0.3">
      <c r="A342" t="s">
        <v>438</v>
      </c>
    </row>
    <row r="343" spans="1:12" x14ac:dyDescent="0.3">
      <c r="A343" t="s">
        <v>439</v>
      </c>
      <c r="B343" s="26" t="s">
        <v>243</v>
      </c>
      <c r="C343" s="26" t="s">
        <v>244</v>
      </c>
      <c r="D343" s="26" t="s">
        <v>240</v>
      </c>
      <c r="E343" s="20" t="str">
        <f t="shared" ref="E343:E349" si="38">IF(D343="?OLD","!!!","")</f>
        <v>!!!</v>
      </c>
      <c r="F343" s="21" t="str">
        <f>IF(OR(E343="",E343="!!!"),"",IF(NOT(ISNA(VLOOKUP(E343,E$1:E342,1,FALSE()))),"OLD",IF(AND(E343&lt;&gt;"",E343&lt;&gt;"!!!"),"NEW","")))</f>
        <v/>
      </c>
      <c r="G343" s="22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/>
      </c>
      <c r="H343" s="23" t="str">
        <f t="shared" ref="H343:H349" ca="1" si="39">IF(J343&lt;&gt;1,"",IF(I343="SBJ","CB","?"))</f>
        <v/>
      </c>
      <c r="I343" s="24" t="str">
        <f>IF(OR(E343="",E343="!!!",F343="NEW"),"",INDEX(B$2:B342,-1+SUMPRODUCT(MAX(ROW(E$2:E342)*(E343=E$2:E342)))))</f>
        <v/>
      </c>
      <c r="J343" s="24" t="str">
        <f ca="1">IF(OR(E343="",E343="!!!",F343="NEW"),"",COUNTBLANK(OFFSET(A$1,,,SUMPRODUCT(MAX(ROW(E$2:E343)*(E343=E$2:E343)))))-COUNTBLANK(OFFSET(A$1,,,SUMPRODUCT(MAX(ROW(E$1:E342)*(E2=E$1:E342))))))</f>
        <v/>
      </c>
      <c r="K343" s="24" t="str">
        <f>IF(OR(E343="",E343="!!!",F343="NEW"),"",INDEX(J$1:J342,SUMPRODUCT(MAX(ROW(E$1:E342)*(E343=E$1:E342)))))</f>
        <v/>
      </c>
      <c r="L343" s="25"/>
    </row>
    <row r="344" spans="1:12" x14ac:dyDescent="0.3">
      <c r="A344" t="s">
        <v>379</v>
      </c>
      <c r="E344" s="20" t="str">
        <f t="shared" si="38"/>
        <v/>
      </c>
      <c r="F344" s="21" t="str">
        <f>IF(OR(E344="",E344="!!!"),"",IF(NOT(ISNA(VLOOKUP(E344,E$1:E343,1,FALSE()))),"OLD",IF(AND(E344&lt;&gt;"",E344&lt;&gt;"!!!"),"NEW","")))</f>
        <v/>
      </c>
      <c r="G344" s="22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/>
      </c>
      <c r="H344" s="23" t="str">
        <f t="shared" ca="1" si="39"/>
        <v/>
      </c>
      <c r="I344" s="24" t="str">
        <f>IF(OR(E344="",E344="!!!",F344="NEW"),"",INDEX(B$2:B343,-1+SUMPRODUCT(MAX(ROW(E$2:E343)*(E344=E$2:E343)))))</f>
        <v/>
      </c>
      <c r="J344" s="24" t="str">
        <f ca="1">IF(OR(E344="",E344="!!!",F344="NEW"),"",COUNTBLANK(OFFSET(A$1,,,SUMPRODUCT(MAX(ROW(E$2:E344)*(E344=E$2:E344)))))-COUNTBLANK(OFFSET(A$1,,,SUMPRODUCT(MAX(ROW(E$1:E343)*(E2=E$1:E343))))))</f>
        <v/>
      </c>
      <c r="K344" s="24" t="str">
        <f>IF(OR(E344="",E344="!!!",F344="NEW"),"",INDEX(J$1:J343,SUMPRODUCT(MAX(ROW(E$1:E343)*(E344=E$1:E343)))))</f>
        <v/>
      </c>
      <c r="L344" s="25"/>
    </row>
    <row r="345" spans="1:12" x14ac:dyDescent="0.3">
      <c r="A345" t="s">
        <v>440</v>
      </c>
      <c r="E345" s="20" t="str">
        <f t="shared" si="38"/>
        <v/>
      </c>
      <c r="F345" s="21" t="str">
        <f>IF(OR(E345="",E345="!!!"),"",IF(NOT(ISNA(VLOOKUP(E345,E$1:E344,1,FALSE()))),"OLD",IF(AND(E345&lt;&gt;"",E345&lt;&gt;"!!!"),"NEW","")))</f>
        <v/>
      </c>
      <c r="G345" s="22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/>
      </c>
      <c r="H345" s="23" t="str">
        <f t="shared" ca="1" si="39"/>
        <v/>
      </c>
      <c r="I345" s="24" t="str">
        <f>IF(OR(E345="",E345="!!!",F345="NEW"),"",INDEX(B$2:B344,-1+SUMPRODUCT(MAX(ROW(E$2:E344)*(E345=E$2:E344)))))</f>
        <v/>
      </c>
      <c r="J345" s="24" t="str">
        <f ca="1">IF(OR(E345="",E345="!!!",F345="NEW"),"",COUNTBLANK(OFFSET(A$1,,,SUMPRODUCT(MAX(ROW(E$2:E345)*(E345=E$2:E345)))))-COUNTBLANK(OFFSET(A$1,,,SUMPRODUCT(MAX(ROW(E$1:E344)*(E2=E$1:E344))))))</f>
        <v/>
      </c>
      <c r="K345" s="24" t="str">
        <f>IF(OR(E345="",E345="!!!",F345="NEW"),"",INDEX(J$1:J344,SUMPRODUCT(MAX(ROW(E$1:E344)*(E345=E$1:E344)))))</f>
        <v/>
      </c>
      <c r="L345" s="25"/>
    </row>
    <row r="346" spans="1:12" x14ac:dyDescent="0.3">
      <c r="A346" t="s">
        <v>441</v>
      </c>
      <c r="B346" s="26" t="s">
        <v>261</v>
      </c>
      <c r="C346" s="26" t="s">
        <v>256</v>
      </c>
      <c r="D346" s="26" t="s">
        <v>240</v>
      </c>
      <c r="E346" s="20" t="str">
        <f t="shared" si="38"/>
        <v>!!!</v>
      </c>
      <c r="F346" s="21" t="str">
        <f>IF(OR(E346="",E346="!!!"),"",IF(NOT(ISNA(VLOOKUP(E346,E$1:E345,1,FALSE()))),"OLD",IF(AND(E346&lt;&gt;"",E346&lt;&gt;"!!!"),"NEW","")))</f>
        <v/>
      </c>
      <c r="G346" s="22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/>
      </c>
      <c r="H346" s="23" t="str">
        <f t="shared" ca="1" si="39"/>
        <v/>
      </c>
      <c r="I346" s="24" t="str">
        <f>IF(OR(E346="",E346="!!!",F346="NEW"),"",INDEX(B$2:B345,-1+SUMPRODUCT(MAX(ROW(E$2:E345)*(E346=E$2:E345)))))</f>
        <v/>
      </c>
      <c r="J346" s="24" t="str">
        <f ca="1">IF(OR(E346="",E346="!!!",F346="NEW"),"",COUNTBLANK(OFFSET(A$1,,,SUMPRODUCT(MAX(ROW(E$2:E346)*(E346=E$2:E346)))))-COUNTBLANK(OFFSET(A$1,,,SUMPRODUCT(MAX(ROW(E$1:E345)*(E2=E$1:E345))))))</f>
        <v/>
      </c>
      <c r="K346" s="24" t="str">
        <f>IF(OR(E346="",E346="!!!",F346="NEW"),"",INDEX(J$1:J345,SUMPRODUCT(MAX(ROW(E$1:E345)*(E346=E$1:E345)))))</f>
        <v/>
      </c>
      <c r="L346" s="25"/>
    </row>
    <row r="347" spans="1:12" x14ac:dyDescent="0.3">
      <c r="A347" t="s">
        <v>442</v>
      </c>
      <c r="B347" s="26" t="s">
        <v>292</v>
      </c>
      <c r="C347" s="26" t="s">
        <v>307</v>
      </c>
      <c r="E347" s="20" t="str">
        <f t="shared" si="38"/>
        <v/>
      </c>
      <c r="F347" s="21" t="str">
        <f>IF(OR(E347="",E347="!!!"),"",IF(NOT(ISNA(VLOOKUP(E347,E$1:E346,1,FALSE()))),"OLD",IF(AND(E347&lt;&gt;"",E347&lt;&gt;"!!!"),"NEW","")))</f>
        <v/>
      </c>
      <c r="G347" s="22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/>
      </c>
      <c r="H347" s="23" t="str">
        <f t="shared" ca="1" si="39"/>
        <v/>
      </c>
      <c r="I347" s="24" t="str">
        <f>IF(OR(E347="",E347="!!!",F347="NEW"),"",INDEX(B$2:B346,-1+SUMPRODUCT(MAX(ROW(E$2:E346)*(E347=E$2:E346)))))</f>
        <v/>
      </c>
      <c r="J347" s="24" t="str">
        <f ca="1">IF(OR(E347="",E347="!!!",F347="NEW"),"",COUNTBLANK(OFFSET(A$1,,,SUMPRODUCT(MAX(ROW(E$2:E347)*(E347=E$2:E347)))))-COUNTBLANK(OFFSET(A$1,,,SUMPRODUCT(MAX(ROW(E$1:E346)*(E2=E$1:E346))))))</f>
        <v/>
      </c>
      <c r="K347" s="24" t="str">
        <f>IF(OR(E347="",E347="!!!",F347="NEW"),"",INDEX(J$1:J346,SUMPRODUCT(MAX(ROW(E$1:E346)*(E347=E$1:E346)))))</f>
        <v/>
      </c>
      <c r="L347" s="25"/>
    </row>
    <row r="348" spans="1:12" x14ac:dyDescent="0.3">
      <c r="A348" t="s">
        <v>443</v>
      </c>
      <c r="E348" s="20" t="str">
        <f t="shared" si="38"/>
        <v/>
      </c>
      <c r="F348" s="21" t="str">
        <f>IF(OR(E348="",E348="!!!"),"",IF(NOT(ISNA(VLOOKUP(E348,E$1:E347,1,FALSE()))),"OLD",IF(AND(E348&lt;&gt;"",E348&lt;&gt;"!!!"),"NEW","")))</f>
        <v/>
      </c>
      <c r="G348" s="22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/>
      </c>
      <c r="H348" s="23" t="str">
        <f t="shared" ca="1" si="39"/>
        <v/>
      </c>
      <c r="I348" s="24" t="str">
        <f>IF(OR(E348="",E348="!!!",F348="NEW"),"",INDEX(B$2:B347,-1+SUMPRODUCT(MAX(ROW(E$2:E347)*(E348=E$2:E347)))))</f>
        <v/>
      </c>
      <c r="J348" s="24" t="str">
        <f ca="1">IF(OR(E348="",E348="!!!",F348="NEW"),"",COUNTBLANK(OFFSET(A$1,,,SUMPRODUCT(MAX(ROW(E$2:E348)*(E348=E$2:E348)))))-COUNTBLANK(OFFSET(A$1,,,SUMPRODUCT(MAX(ROW(E$1:E347)*(E2=E$1:E347))))))</f>
        <v/>
      </c>
      <c r="K348" s="24" t="str">
        <f>IF(OR(E348="",E348="!!!",F348="NEW"),"",INDEX(J$1:J347,SUMPRODUCT(MAX(ROW(E$1:E347)*(E348=E$1:E347)))))</f>
        <v/>
      </c>
      <c r="L348" s="25"/>
    </row>
    <row r="349" spans="1:12" x14ac:dyDescent="0.3">
      <c r="A349" t="s">
        <v>248</v>
      </c>
      <c r="E349" s="20" t="str">
        <f t="shared" si="38"/>
        <v/>
      </c>
      <c r="F349" s="21" t="str">
        <f>IF(OR(E349="",E349="!!!"),"",IF(NOT(ISNA(VLOOKUP(E349,E$1:E348,1,FALSE()))),"OLD",IF(AND(E349&lt;&gt;"",E349&lt;&gt;"!!!"),"NEW","")))</f>
        <v/>
      </c>
      <c r="G349" s="22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/>
      </c>
      <c r="H349" s="23" t="str">
        <f t="shared" ca="1" si="39"/>
        <v/>
      </c>
      <c r="I349" s="24" t="str">
        <f>IF(OR(E349="",E349="!!!",F349="NEW"),"",INDEX(B$2:B348,-1+SUMPRODUCT(MAX(ROW(E$2:E348)*(E349=E$2:E348)))))</f>
        <v/>
      </c>
      <c r="J349" s="24" t="str">
        <f ca="1">IF(OR(E349="",E349="!!!",F349="NEW"),"",COUNTBLANK(OFFSET(A$1,,,SUMPRODUCT(MAX(ROW(E$2:E349)*(E349=E$2:E349)))))-COUNTBLANK(OFFSET(A$1,,,SUMPRODUCT(MAX(ROW(E$1:E348)*(E2=E$1:E348))))))</f>
        <v/>
      </c>
      <c r="K349" s="24" t="str">
        <f>IF(OR(E349="",E349="!!!",F349="NEW"),"",INDEX(J$1:J348,SUMPRODUCT(MAX(ROW(E$1:E348)*(E349=E$1:E348)))))</f>
        <v/>
      </c>
      <c r="L349" s="25"/>
    </row>
    <row r="351" spans="1:12" x14ac:dyDescent="0.3">
      <c r="A351" t="s">
        <v>444</v>
      </c>
    </row>
    <row r="352" spans="1:12" x14ac:dyDescent="0.3">
      <c r="A352" t="s">
        <v>445</v>
      </c>
      <c r="E352" s="20" t="str">
        <f t="shared" ref="E352:E361" si="40">IF(D352="?OLD","!!!","")</f>
        <v/>
      </c>
      <c r="F352" s="21" t="str">
        <f>IF(OR(E352="",E352="!!!"),"",IF(NOT(ISNA(VLOOKUP(E352,E$1:E351,1,FALSE()))),"OLD",IF(AND(E352&lt;&gt;"",E352&lt;&gt;"!!!"),"NEW","")))</f>
        <v/>
      </c>
      <c r="G352" s="22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/>
      </c>
      <c r="H352" s="23" t="str">
        <f t="shared" ref="H352:H361" ca="1" si="41">IF(J352&lt;&gt;1,"",IF(I352="SBJ","CB","?"))</f>
        <v/>
      </c>
      <c r="I352" s="24" t="str">
        <f>IF(OR(E352="",E352="!!!",F352="NEW"),"",INDEX(B$2:B351,-1+SUMPRODUCT(MAX(ROW(E$2:E351)*(E352=E$2:E351)))))</f>
        <v/>
      </c>
      <c r="J352" s="24" t="str">
        <f ca="1">IF(OR(E352="",E352="!!!",F352="NEW"),"",COUNTBLANK(OFFSET(A$1,,,SUMPRODUCT(MAX(ROW(E$2:E352)*(E352=E$2:E352)))))-COUNTBLANK(OFFSET(A$1,,,SUMPRODUCT(MAX(ROW(E$1:E351)*(E2=E$1:E351))))))</f>
        <v/>
      </c>
      <c r="K352" s="24" t="str">
        <f>IF(OR(E352="",E352="!!!",F352="NEW"),"",INDEX(J$1:J351,SUMPRODUCT(MAX(ROW(E$1:E351)*(E352=E$1:E351)))))</f>
        <v/>
      </c>
      <c r="L352" s="25"/>
    </row>
    <row r="353" spans="1:12" x14ac:dyDescent="0.3">
      <c r="A353" t="s">
        <v>270</v>
      </c>
      <c r="B353" s="26" t="s">
        <v>243</v>
      </c>
      <c r="C353" s="26" t="s">
        <v>239</v>
      </c>
      <c r="D353" s="26" t="s">
        <v>240</v>
      </c>
      <c r="E353" s="20" t="str">
        <f t="shared" si="40"/>
        <v>!!!</v>
      </c>
      <c r="F353" s="21" t="str">
        <f>IF(OR(E353="",E353="!!!"),"",IF(NOT(ISNA(VLOOKUP(E353,E$1:E352,1,FALSE()))),"OLD",IF(AND(E353&lt;&gt;"",E353&lt;&gt;"!!!"),"NEW","")))</f>
        <v/>
      </c>
      <c r="G353" s="22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/>
      </c>
      <c r="H353" s="23" t="str">
        <f t="shared" ca="1" si="41"/>
        <v/>
      </c>
      <c r="I353" s="24" t="str">
        <f>IF(OR(E353="",E353="!!!",F353="NEW"),"",INDEX(B$2:B352,-1+SUMPRODUCT(MAX(ROW(E$2:E352)*(E353=E$2:E352)))))</f>
        <v/>
      </c>
      <c r="J353" s="24" t="str">
        <f ca="1">IF(OR(E353="",E353="!!!",F353="NEW"),"",COUNTBLANK(OFFSET(A$1,,,SUMPRODUCT(MAX(ROW(E$2:E353)*(E353=E$2:E353)))))-COUNTBLANK(OFFSET(A$1,,,SUMPRODUCT(MAX(ROW(E$1:E352)*(E2=E$1:E352))))))</f>
        <v/>
      </c>
      <c r="K353" s="24" t="str">
        <f>IF(OR(E353="",E353="!!!",F353="NEW"),"",INDEX(J$1:J352,SUMPRODUCT(MAX(ROW(E$1:E352)*(E353=E$1:E352)))))</f>
        <v/>
      </c>
      <c r="L353" s="25"/>
    </row>
    <row r="354" spans="1:12" x14ac:dyDescent="0.3">
      <c r="A354" t="s">
        <v>347</v>
      </c>
      <c r="E354" s="20" t="str">
        <f t="shared" si="40"/>
        <v/>
      </c>
      <c r="F354" s="21" t="str">
        <f>IF(OR(E354="",E354="!!!"),"",IF(NOT(ISNA(VLOOKUP(E354,E$1:E353,1,FALSE()))),"OLD",IF(AND(E354&lt;&gt;"",E354&lt;&gt;"!!!"),"NEW","")))</f>
        <v/>
      </c>
      <c r="G354" s="22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/>
      </c>
      <c r="H354" s="23" t="str">
        <f t="shared" ca="1" si="41"/>
        <v/>
      </c>
      <c r="I354" s="24" t="str">
        <f>IF(OR(E354="",E354="!!!",F354="NEW"),"",INDEX(B$2:B353,-1+SUMPRODUCT(MAX(ROW(E$2:E353)*(E354=E$2:E353)))))</f>
        <v/>
      </c>
      <c r="J354" s="24" t="str">
        <f ca="1">IF(OR(E354="",E354="!!!",F354="NEW"),"",COUNTBLANK(OFFSET(A$1,,,SUMPRODUCT(MAX(ROW(E$2:E354)*(E354=E$2:E354)))))-COUNTBLANK(OFFSET(A$1,,,SUMPRODUCT(MAX(ROW(E$1:E353)*(E2=E$1:E353))))))</f>
        <v/>
      </c>
      <c r="K354" s="24" t="str">
        <f>IF(OR(E354="",E354="!!!",F354="NEW"),"",INDEX(J$1:J353,SUMPRODUCT(MAX(ROW(E$1:E353)*(E354=E$1:E353)))))</f>
        <v/>
      </c>
      <c r="L354" s="25"/>
    </row>
    <row r="355" spans="1:12" x14ac:dyDescent="0.3">
      <c r="A355" t="s">
        <v>446</v>
      </c>
      <c r="E355" s="20" t="str">
        <f t="shared" si="40"/>
        <v/>
      </c>
      <c r="F355" s="21" t="str">
        <f>IF(OR(E355="",E355="!!!"),"",IF(NOT(ISNA(VLOOKUP(E355,E$1:E354,1,FALSE()))),"OLD",IF(AND(E355&lt;&gt;"",E355&lt;&gt;"!!!"),"NEW","")))</f>
        <v/>
      </c>
      <c r="G355" s="22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/>
      </c>
      <c r="H355" s="23" t="str">
        <f t="shared" ca="1" si="41"/>
        <v/>
      </c>
      <c r="I355" s="24" t="str">
        <f>IF(OR(E355="",E355="!!!",F355="NEW"),"",INDEX(B$2:B354,-1+SUMPRODUCT(MAX(ROW(E$2:E354)*(E355=E$2:E354)))))</f>
        <v/>
      </c>
      <c r="J355" s="24" t="str">
        <f ca="1">IF(OR(E355="",E355="!!!",F355="NEW"),"",COUNTBLANK(OFFSET(A$1,,,SUMPRODUCT(MAX(ROW(E$2:E355)*(E355=E$2:E355)))))-COUNTBLANK(OFFSET(A$1,,,SUMPRODUCT(MAX(ROW(E$1:E354)*(E2=E$1:E354))))))</f>
        <v/>
      </c>
      <c r="K355" s="24" t="str">
        <f>IF(OR(E355="",E355="!!!",F355="NEW"),"",INDEX(J$1:J354,SUMPRODUCT(MAX(ROW(E$1:E354)*(E355=E$1:E354)))))</f>
        <v/>
      </c>
      <c r="L355" s="25"/>
    </row>
    <row r="356" spans="1:12" x14ac:dyDescent="0.3">
      <c r="A356" t="s">
        <v>447</v>
      </c>
      <c r="B356" s="26" t="s">
        <v>261</v>
      </c>
      <c r="C356" s="26" t="s">
        <v>294</v>
      </c>
      <c r="D356" s="26" t="s">
        <v>240</v>
      </c>
      <c r="E356" s="20" t="str">
        <f t="shared" si="40"/>
        <v>!!!</v>
      </c>
      <c r="F356" s="21" t="str">
        <f>IF(OR(E356="",E356="!!!"),"",IF(NOT(ISNA(VLOOKUP(E356,E$1:E355,1,FALSE()))),"OLD",IF(AND(E356&lt;&gt;"",E356&lt;&gt;"!!!"),"NEW","")))</f>
        <v/>
      </c>
      <c r="G356" s="22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/>
      </c>
      <c r="H356" s="23" t="str">
        <f t="shared" ca="1" si="41"/>
        <v/>
      </c>
      <c r="I356" s="24" t="str">
        <f>IF(OR(E356="",E356="!!!",F356="NEW"),"",INDEX(B$2:B355,-1+SUMPRODUCT(MAX(ROW(E$2:E355)*(E356=E$2:E355)))))</f>
        <v/>
      </c>
      <c r="J356" s="24" t="str">
        <f ca="1">IF(OR(E356="",E356="!!!",F356="NEW"),"",COUNTBLANK(OFFSET(A$1,,,SUMPRODUCT(MAX(ROW(E$2:E356)*(E356=E$2:E356)))))-COUNTBLANK(OFFSET(A$1,,,SUMPRODUCT(MAX(ROW(E$1:E355)*(E2=E$1:E355))))))</f>
        <v/>
      </c>
      <c r="K356" s="24" t="str">
        <f>IF(OR(E356="",E356="!!!",F356="NEW"),"",INDEX(J$1:J355,SUMPRODUCT(MAX(ROW(E$1:E355)*(E356=E$1:E355)))))</f>
        <v/>
      </c>
      <c r="L356" s="25"/>
    </row>
    <row r="357" spans="1:12" x14ac:dyDescent="0.3">
      <c r="A357" t="s">
        <v>448</v>
      </c>
      <c r="E357" s="20" t="str">
        <f t="shared" si="40"/>
        <v/>
      </c>
      <c r="F357" s="21" t="str">
        <f>IF(OR(E357="",E357="!!!"),"",IF(NOT(ISNA(VLOOKUP(E357,E$1:E356,1,FALSE()))),"OLD",IF(AND(E357&lt;&gt;"",E357&lt;&gt;"!!!"),"NEW","")))</f>
        <v/>
      </c>
      <c r="G357" s="22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/>
      </c>
      <c r="H357" s="23" t="str">
        <f t="shared" ca="1" si="41"/>
        <v/>
      </c>
      <c r="I357" s="24" t="str">
        <f>IF(OR(E357="",E357="!!!",F357="NEW"),"",INDEX(B$2:B356,-1+SUMPRODUCT(MAX(ROW(E$2:E356)*(E357=E$2:E356)))))</f>
        <v/>
      </c>
      <c r="J357" s="24" t="str">
        <f ca="1">IF(OR(E357="",E357="!!!",F357="NEW"),"",COUNTBLANK(OFFSET(A$1,,,SUMPRODUCT(MAX(ROW(E$2:E357)*(E357=E$2:E357)))))-COUNTBLANK(OFFSET(A$1,,,SUMPRODUCT(MAX(ROW(E$1:E356)*(E2=E$1:E356))))))</f>
        <v/>
      </c>
      <c r="K357" s="24" t="str">
        <f>IF(OR(E357="",E357="!!!",F357="NEW"),"",INDEX(J$1:J356,SUMPRODUCT(MAX(ROW(E$1:E356)*(E357=E$1:E356)))))</f>
        <v/>
      </c>
      <c r="L357" s="25"/>
    </row>
    <row r="358" spans="1:12" x14ac:dyDescent="0.3">
      <c r="A358" t="s">
        <v>350</v>
      </c>
      <c r="E358" s="20" t="str">
        <f t="shared" si="40"/>
        <v/>
      </c>
      <c r="F358" s="21" t="str">
        <f>IF(OR(E358="",E358="!!!"),"",IF(NOT(ISNA(VLOOKUP(E358,E$1:E357,1,FALSE()))),"OLD",IF(AND(E358&lt;&gt;"",E358&lt;&gt;"!!!"),"NEW","")))</f>
        <v/>
      </c>
      <c r="G358" s="22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/>
      </c>
      <c r="H358" s="23" t="str">
        <f t="shared" ca="1" si="41"/>
        <v/>
      </c>
      <c r="I358" s="24" t="str">
        <f>IF(OR(E358="",E358="!!!",F358="NEW"),"",INDEX(B$2:B357,-1+SUMPRODUCT(MAX(ROW(E$2:E357)*(E358=E$2:E357)))))</f>
        <v/>
      </c>
      <c r="J358" s="24" t="str">
        <f ca="1">IF(OR(E358="",E358="!!!",F358="NEW"),"",COUNTBLANK(OFFSET(A$1,,,SUMPRODUCT(MAX(ROW(E$2:E358)*(E358=E$2:E358)))))-COUNTBLANK(OFFSET(A$1,,,SUMPRODUCT(MAX(ROW(E$1:E357)*(E2=E$1:E357))))))</f>
        <v/>
      </c>
      <c r="K358" s="24" t="str">
        <f>IF(OR(E358="",E358="!!!",F358="NEW"),"",INDEX(J$1:J357,SUMPRODUCT(MAX(ROW(E$1:E357)*(E358=E$1:E357)))))</f>
        <v/>
      </c>
      <c r="L358" s="25"/>
    </row>
    <row r="359" spans="1:12" x14ac:dyDescent="0.3">
      <c r="A359" t="s">
        <v>449</v>
      </c>
      <c r="E359" s="20" t="str">
        <f t="shared" si="40"/>
        <v/>
      </c>
      <c r="F359" s="21" t="str">
        <f>IF(OR(E359="",E359="!!!"),"",IF(NOT(ISNA(VLOOKUP(E359,E$1:E358,1,FALSE()))),"OLD",IF(AND(E359&lt;&gt;"",E359&lt;&gt;"!!!"),"NEW","")))</f>
        <v/>
      </c>
      <c r="G359" s="22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/>
      </c>
      <c r="H359" s="23" t="str">
        <f t="shared" ca="1" si="41"/>
        <v/>
      </c>
      <c r="I359" s="24" t="str">
        <f>IF(OR(E359="",E359="!!!",F359="NEW"),"",INDEX(B$2:B358,-1+SUMPRODUCT(MAX(ROW(E$2:E358)*(E359=E$2:E358)))))</f>
        <v/>
      </c>
      <c r="J359" s="24" t="str">
        <f ca="1">IF(OR(E359="",E359="!!!",F359="NEW"),"",COUNTBLANK(OFFSET(A$1,,,SUMPRODUCT(MAX(ROW(E$2:E359)*(E359=E$2:E359)))))-COUNTBLANK(OFFSET(A$1,,,SUMPRODUCT(MAX(ROW(E$1:E358)*(E2=E$1:E358))))))</f>
        <v/>
      </c>
      <c r="K359" s="24" t="str">
        <f>IF(OR(E359="",E359="!!!",F359="NEW"),"",INDEX(J$1:J358,SUMPRODUCT(MAX(ROW(E$1:E358)*(E359=E$1:E358)))))</f>
        <v/>
      </c>
      <c r="L359" s="25"/>
    </row>
    <row r="360" spans="1:12" x14ac:dyDescent="0.3">
      <c r="A360" t="s">
        <v>352</v>
      </c>
      <c r="B360" s="26" t="s">
        <v>238</v>
      </c>
      <c r="C360" s="26" t="s">
        <v>247</v>
      </c>
      <c r="E360" s="20" t="str">
        <f t="shared" si="40"/>
        <v/>
      </c>
      <c r="F360" s="21" t="str">
        <f>IF(OR(E360="",E360="!!!"),"",IF(NOT(ISNA(VLOOKUP(E360,E$1:E359,1,FALSE()))),"OLD",IF(AND(E360&lt;&gt;"",E360&lt;&gt;"!!!"),"NEW","")))</f>
        <v/>
      </c>
      <c r="G360" s="22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/>
      </c>
      <c r="H360" s="23" t="str">
        <f t="shared" ca="1" si="41"/>
        <v/>
      </c>
      <c r="I360" s="24" t="str">
        <f>IF(OR(E360="",E360="!!!",F360="NEW"),"",INDEX(B$2:B359,-1+SUMPRODUCT(MAX(ROW(E$2:E359)*(E360=E$2:E359)))))</f>
        <v/>
      </c>
      <c r="J360" s="24" t="str">
        <f ca="1">IF(OR(E360="",E360="!!!",F360="NEW"),"",COUNTBLANK(OFFSET(A$1,,,SUMPRODUCT(MAX(ROW(E$2:E360)*(E360=E$2:E360)))))-COUNTBLANK(OFFSET(A$1,,,SUMPRODUCT(MAX(ROW(E$1:E359)*(E2=E$1:E359))))))</f>
        <v/>
      </c>
      <c r="K360" s="24" t="str">
        <f>IF(OR(E360="",E360="!!!",F360="NEW"),"",INDEX(J$1:J359,SUMPRODUCT(MAX(ROW(E$1:E359)*(E360=E$1:E359)))))</f>
        <v/>
      </c>
      <c r="L360" s="25"/>
    </row>
    <row r="361" spans="1:12" x14ac:dyDescent="0.3">
      <c r="A361" t="s">
        <v>248</v>
      </c>
      <c r="E361" s="20" t="str">
        <f t="shared" si="40"/>
        <v/>
      </c>
      <c r="F361" s="21" t="str">
        <f>IF(OR(E361="",E361="!!!"),"",IF(NOT(ISNA(VLOOKUP(E361,E$1:E360,1,FALSE()))),"OLD",IF(AND(E361&lt;&gt;"",E361&lt;&gt;"!!!"),"NEW","")))</f>
        <v/>
      </c>
      <c r="G361" s="22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/>
      </c>
      <c r="H361" s="23" t="str">
        <f t="shared" ca="1" si="41"/>
        <v/>
      </c>
      <c r="I361" s="24" t="str">
        <f>IF(OR(E361="",E361="!!!",F361="NEW"),"",INDEX(B$2:B360,-1+SUMPRODUCT(MAX(ROW(E$2:E360)*(E361=E$2:E360)))))</f>
        <v/>
      </c>
      <c r="J361" s="24" t="str">
        <f ca="1">IF(OR(E361="",E361="!!!",F361="NEW"),"",COUNTBLANK(OFFSET(A$1,,,SUMPRODUCT(MAX(ROW(E$2:E361)*(E361=E$2:E361)))))-COUNTBLANK(OFFSET(A$1,,,SUMPRODUCT(MAX(ROW(E$1:E360)*(E2=E$1:E360))))))</f>
        <v/>
      </c>
      <c r="K361" s="24" t="str">
        <f>IF(OR(E361="",E361="!!!",F361="NEW"),"",INDEX(J$1:J360,SUMPRODUCT(MAX(ROW(E$1:E360)*(E361=E$1:E360)))))</f>
        <v/>
      </c>
      <c r="L361" s="25"/>
    </row>
    <row r="363" spans="1:12" x14ac:dyDescent="0.3">
      <c r="A363" t="s">
        <v>450</v>
      </c>
    </row>
    <row r="364" spans="1:12" x14ac:dyDescent="0.3">
      <c r="A364" t="s">
        <v>396</v>
      </c>
      <c r="B364" s="26" t="s">
        <v>243</v>
      </c>
      <c r="C364" s="26" t="s">
        <v>256</v>
      </c>
      <c r="D364" s="26" t="s">
        <v>240</v>
      </c>
      <c r="E364" s="20" t="str">
        <f t="shared" ref="E364:E373" si="42">IF(D364="?OLD","!!!","")</f>
        <v>!!!</v>
      </c>
      <c r="F364" s="21" t="str">
        <f>IF(OR(E364="",E364="!!!"),"",IF(NOT(ISNA(VLOOKUP(E364,E$1:E363,1,FALSE()))),"OLD",IF(AND(E364&lt;&gt;"",E364&lt;&gt;"!!!"),"NEW","")))</f>
        <v/>
      </c>
      <c r="G364" s="22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/>
      </c>
      <c r="H364" s="23" t="str">
        <f t="shared" ref="H364:H373" ca="1" si="43">IF(J364&lt;&gt;1,"",IF(I364="SBJ","CB","?"))</f>
        <v/>
      </c>
      <c r="I364" s="24" t="str">
        <f>IF(OR(E364="",E364="!!!",F364="NEW"),"",INDEX(B$2:B363,-1+SUMPRODUCT(MAX(ROW(E$2:E363)*(E364=E$2:E363)))))</f>
        <v/>
      </c>
      <c r="J364" s="24" t="str">
        <f ca="1">IF(OR(E364="",E364="!!!",F364="NEW"),"",COUNTBLANK(OFFSET(A$1,,,SUMPRODUCT(MAX(ROW(E$2:E364)*(E364=E$2:E364)))))-COUNTBLANK(OFFSET(A$1,,,SUMPRODUCT(MAX(ROW(E$1:E363)*(E2=E$1:E363))))))</f>
        <v/>
      </c>
      <c r="K364" s="24" t="str">
        <f>IF(OR(E364="",E364="!!!",F364="NEW"),"",INDEX(J$1:J363,SUMPRODUCT(MAX(ROW(E$1:E363)*(E364=E$1:E363)))))</f>
        <v/>
      </c>
      <c r="L364" s="25"/>
    </row>
    <row r="365" spans="1:12" x14ac:dyDescent="0.3">
      <c r="A365" t="s">
        <v>451</v>
      </c>
      <c r="E365" s="20" t="str">
        <f t="shared" si="42"/>
        <v/>
      </c>
      <c r="F365" s="21" t="str">
        <f>IF(OR(E365="",E365="!!!"),"",IF(NOT(ISNA(VLOOKUP(E365,E$1:E364,1,FALSE()))),"OLD",IF(AND(E365&lt;&gt;"",E365&lt;&gt;"!!!"),"NEW","")))</f>
        <v/>
      </c>
      <c r="G365" s="22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/>
      </c>
      <c r="H365" s="23" t="str">
        <f t="shared" ca="1" si="43"/>
        <v/>
      </c>
      <c r="I365" s="24" t="str">
        <f>IF(OR(E365="",E365="!!!",F365="NEW"),"",INDEX(B$2:B364,-1+SUMPRODUCT(MAX(ROW(E$2:E364)*(E365=E$2:E364)))))</f>
        <v/>
      </c>
      <c r="J365" s="24" t="str">
        <f ca="1">IF(OR(E365="",E365="!!!",F365="NEW"),"",COUNTBLANK(OFFSET(A$1,,,SUMPRODUCT(MAX(ROW(E$2:E365)*(E365=E$2:E365)))))-COUNTBLANK(OFFSET(A$1,,,SUMPRODUCT(MAX(ROW(E$1:E364)*(E2=E$1:E364))))))</f>
        <v/>
      </c>
      <c r="K365" s="24" t="str">
        <f>IF(OR(E365="",E365="!!!",F365="NEW"),"",INDEX(J$1:J364,SUMPRODUCT(MAX(ROW(E$1:E364)*(E365=E$1:E364)))))</f>
        <v/>
      </c>
      <c r="L365" s="25"/>
    </row>
    <row r="366" spans="1:12" x14ac:dyDescent="0.3">
      <c r="A366" t="s">
        <v>452</v>
      </c>
      <c r="B366" s="26" t="s">
        <v>292</v>
      </c>
      <c r="C366" s="26" t="s">
        <v>256</v>
      </c>
      <c r="D366" s="26" t="s">
        <v>240</v>
      </c>
      <c r="E366" s="20" t="str">
        <f t="shared" si="42"/>
        <v>!!!</v>
      </c>
      <c r="F366" s="21" t="str">
        <f>IF(OR(E366="",E366="!!!"),"",IF(NOT(ISNA(VLOOKUP(E366,E$1:E365,1,FALSE()))),"OLD",IF(AND(E366&lt;&gt;"",E366&lt;&gt;"!!!"),"NEW","")))</f>
        <v/>
      </c>
      <c r="G366" s="22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/>
      </c>
      <c r="H366" s="23" t="str">
        <f t="shared" ca="1" si="43"/>
        <v/>
      </c>
      <c r="I366" s="24" t="str">
        <f>IF(OR(E366="",E366="!!!",F366="NEW"),"",INDEX(B$2:B365,-1+SUMPRODUCT(MAX(ROW(E$2:E365)*(E366=E$2:E365)))))</f>
        <v/>
      </c>
      <c r="J366" s="24" t="str">
        <f ca="1">IF(OR(E366="",E366="!!!",F366="NEW"),"",COUNTBLANK(OFFSET(A$1,,,SUMPRODUCT(MAX(ROW(E$2:E366)*(E366=E$2:E366)))))-COUNTBLANK(OFFSET(A$1,,,SUMPRODUCT(MAX(ROW(E$1:E365)*(E2=E$1:E365))))))</f>
        <v/>
      </c>
      <c r="K366" s="24" t="str">
        <f>IF(OR(E366="",E366="!!!",F366="NEW"),"",INDEX(J$1:J365,SUMPRODUCT(MAX(ROW(E$1:E365)*(E366=E$1:E365)))))</f>
        <v/>
      </c>
      <c r="L366" s="25"/>
    </row>
    <row r="367" spans="1:12" x14ac:dyDescent="0.3">
      <c r="A367" t="s">
        <v>429</v>
      </c>
      <c r="E367" s="20" t="str">
        <f t="shared" si="42"/>
        <v/>
      </c>
      <c r="F367" s="21" t="str">
        <f>IF(OR(E367="",E367="!!!"),"",IF(NOT(ISNA(VLOOKUP(E367,E$1:E366,1,FALSE()))),"OLD",IF(AND(E367&lt;&gt;"",E367&lt;&gt;"!!!"),"NEW","")))</f>
        <v/>
      </c>
      <c r="G367" s="22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/>
      </c>
      <c r="H367" s="23" t="str">
        <f t="shared" ca="1" si="43"/>
        <v/>
      </c>
      <c r="I367" s="24" t="str">
        <f>IF(OR(E367="",E367="!!!",F367="NEW"),"",INDEX(B$2:B366,-1+SUMPRODUCT(MAX(ROW(E$2:E366)*(E367=E$2:E366)))))</f>
        <v/>
      </c>
      <c r="J367" s="24" t="str">
        <f ca="1">IF(OR(E367="",E367="!!!",F367="NEW"),"",COUNTBLANK(OFFSET(A$1,,,SUMPRODUCT(MAX(ROW(E$2:E367)*(E367=E$2:E367)))))-COUNTBLANK(OFFSET(A$1,,,SUMPRODUCT(MAX(ROW(E$1:E366)*(E2=E$1:E366))))))</f>
        <v/>
      </c>
      <c r="K367" s="24" t="str">
        <f>IF(OR(E367="",E367="!!!",F367="NEW"),"",INDEX(J$1:J366,SUMPRODUCT(MAX(ROW(E$1:E366)*(E367=E$1:E366)))))</f>
        <v/>
      </c>
      <c r="L367" s="25"/>
    </row>
    <row r="368" spans="1:12" x14ac:dyDescent="0.3">
      <c r="A368" t="s">
        <v>366</v>
      </c>
      <c r="E368" s="20" t="str">
        <f t="shared" si="42"/>
        <v/>
      </c>
      <c r="F368" s="21" t="str">
        <f>IF(OR(E368="",E368="!!!"),"",IF(NOT(ISNA(VLOOKUP(E368,E$1:E367,1,FALSE()))),"OLD",IF(AND(E368&lt;&gt;"",E368&lt;&gt;"!!!"),"NEW","")))</f>
        <v/>
      </c>
      <c r="G368" s="22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/>
      </c>
      <c r="H368" s="23" t="str">
        <f t="shared" ca="1" si="43"/>
        <v/>
      </c>
      <c r="I368" s="24" t="str">
        <f>IF(OR(E368="",E368="!!!",F368="NEW"),"",INDEX(B$2:B367,-1+SUMPRODUCT(MAX(ROW(E$2:E367)*(E368=E$2:E367)))))</f>
        <v/>
      </c>
      <c r="J368" s="24" t="str">
        <f ca="1">IF(OR(E368="",E368="!!!",F368="NEW"),"",COUNTBLANK(OFFSET(A$1,,,SUMPRODUCT(MAX(ROW(E$2:E368)*(E368=E$2:E368)))))-COUNTBLANK(OFFSET(A$1,,,SUMPRODUCT(MAX(ROW(E$1:E367)*(E2=E$1:E367))))))</f>
        <v/>
      </c>
      <c r="K368" s="24" t="str">
        <f>IF(OR(E368="",E368="!!!",F368="NEW"),"",INDEX(J$1:J367,SUMPRODUCT(MAX(ROW(E$1:E367)*(E368=E$1:E367)))))</f>
        <v/>
      </c>
      <c r="L368" s="25"/>
    </row>
    <row r="369" spans="1:12" x14ac:dyDescent="0.3">
      <c r="A369" t="s">
        <v>267</v>
      </c>
      <c r="E369" s="20" t="str">
        <f t="shared" si="42"/>
        <v/>
      </c>
      <c r="F369" s="21" t="str">
        <f>IF(OR(E369="",E369="!!!"),"",IF(NOT(ISNA(VLOOKUP(E369,E$1:E368,1,FALSE()))),"OLD",IF(AND(E369&lt;&gt;"",E369&lt;&gt;"!!!"),"NEW","")))</f>
        <v/>
      </c>
      <c r="G369" s="22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/>
      </c>
      <c r="H369" s="23" t="str">
        <f t="shared" ca="1" si="43"/>
        <v/>
      </c>
      <c r="I369" s="24" t="str">
        <f>IF(OR(E369="",E369="!!!",F369="NEW"),"",INDEX(B$2:B368,-1+SUMPRODUCT(MAX(ROW(E$2:E368)*(E369=E$2:E368)))))</f>
        <v/>
      </c>
      <c r="J369" s="24" t="str">
        <f ca="1">IF(OR(E369="",E369="!!!",F369="NEW"),"",COUNTBLANK(OFFSET(A$1,,,SUMPRODUCT(MAX(ROW(E$2:E369)*(E369=E$2:E369)))))-COUNTBLANK(OFFSET(A$1,,,SUMPRODUCT(MAX(ROW(E$1:E368)*(E2=E$1:E368))))))</f>
        <v/>
      </c>
      <c r="K369" s="24" t="str">
        <f>IF(OR(E369="",E369="!!!",F369="NEW"),"",INDEX(J$1:J368,SUMPRODUCT(MAX(ROW(E$1:E368)*(E369=E$1:E368)))))</f>
        <v/>
      </c>
      <c r="L369" s="25"/>
    </row>
    <row r="370" spans="1:12" x14ac:dyDescent="0.3">
      <c r="A370" t="s">
        <v>40</v>
      </c>
      <c r="E370" s="20" t="str">
        <f t="shared" si="42"/>
        <v/>
      </c>
      <c r="F370" s="21" t="str">
        <f>IF(OR(E370="",E370="!!!"),"",IF(NOT(ISNA(VLOOKUP(E370,E$1:E369,1,FALSE()))),"OLD",IF(AND(E370&lt;&gt;"",E370&lt;&gt;"!!!"),"NEW","")))</f>
        <v/>
      </c>
      <c r="G370" s="22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/>
      </c>
      <c r="H370" s="23" t="str">
        <f t="shared" ca="1" si="43"/>
        <v/>
      </c>
      <c r="I370" s="24" t="str">
        <f>IF(OR(E370="",E370="!!!",F370="NEW"),"",INDEX(B$2:B369,-1+SUMPRODUCT(MAX(ROW(E$2:E369)*(E370=E$2:E369)))))</f>
        <v/>
      </c>
      <c r="J370" s="24" t="str">
        <f ca="1">IF(OR(E370="",E370="!!!",F370="NEW"),"",COUNTBLANK(OFFSET(A$1,,,SUMPRODUCT(MAX(ROW(E$2:E370)*(E370=E$2:E370)))))-COUNTBLANK(OFFSET(A$1,,,SUMPRODUCT(MAX(ROW(E$1:E369)*(E2=E$1:E369))))))</f>
        <v/>
      </c>
      <c r="K370" s="24" t="str">
        <f>IF(OR(E370="",E370="!!!",F370="NEW"),"",INDEX(J$1:J369,SUMPRODUCT(MAX(ROW(E$1:E369)*(E370=E$1:E369)))))</f>
        <v/>
      </c>
      <c r="L370" s="25"/>
    </row>
    <row r="371" spans="1:12" x14ac:dyDescent="0.3">
      <c r="A371" t="s">
        <v>11</v>
      </c>
      <c r="E371" s="20" t="str">
        <f t="shared" si="42"/>
        <v/>
      </c>
      <c r="F371" s="21" t="str">
        <f>IF(OR(E371="",E371="!!!"),"",IF(NOT(ISNA(VLOOKUP(E371,E$1:E370,1,FALSE()))),"OLD",IF(AND(E371&lt;&gt;"",E371&lt;&gt;"!!!"),"NEW","")))</f>
        <v/>
      </c>
      <c r="G371" s="22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/>
      </c>
      <c r="H371" s="23" t="str">
        <f t="shared" ca="1" si="43"/>
        <v/>
      </c>
      <c r="I371" s="24" t="str">
        <f>IF(OR(E371="",E371="!!!",F371="NEW"),"",INDEX(B$2:B370,-1+SUMPRODUCT(MAX(ROW(E$2:E370)*(E371=E$2:E370)))))</f>
        <v/>
      </c>
      <c r="J371" s="24" t="str">
        <f ca="1">IF(OR(E371="",E371="!!!",F371="NEW"),"",COUNTBLANK(OFFSET(A$1,,,SUMPRODUCT(MAX(ROW(E$2:E371)*(E371=E$2:E371)))))-COUNTBLANK(OFFSET(A$1,,,SUMPRODUCT(MAX(ROW(E$1:E370)*(E2=E$1:E370))))))</f>
        <v/>
      </c>
      <c r="K371" s="24" t="str">
        <f>IF(OR(E371="",E371="!!!",F371="NEW"),"",INDEX(J$1:J370,SUMPRODUCT(MAX(ROW(E$1:E370)*(E371=E$1:E370)))))</f>
        <v/>
      </c>
      <c r="L371" s="25"/>
    </row>
    <row r="372" spans="1:12" x14ac:dyDescent="0.3">
      <c r="A372" t="s">
        <v>453</v>
      </c>
      <c r="B372" s="26" t="s">
        <v>238</v>
      </c>
      <c r="C372" s="26" t="s">
        <v>454</v>
      </c>
      <c r="D372" s="26" t="s">
        <v>240</v>
      </c>
      <c r="E372" s="20" t="str">
        <f t="shared" si="42"/>
        <v>!!!</v>
      </c>
      <c r="F372" s="21" t="str">
        <f>IF(OR(E372="",E372="!!!"),"",IF(NOT(ISNA(VLOOKUP(E372,E$1:E371,1,FALSE()))),"OLD",IF(AND(E372&lt;&gt;"",E372&lt;&gt;"!!!"),"NEW","")))</f>
        <v/>
      </c>
      <c r="G372" s="22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/>
      </c>
      <c r="H372" s="23" t="str">
        <f t="shared" ca="1" si="43"/>
        <v/>
      </c>
      <c r="I372" s="24" t="str">
        <f>IF(OR(E372="",E372="!!!",F372="NEW"),"",INDEX(B$2:B371,-1+SUMPRODUCT(MAX(ROW(E$2:E371)*(E372=E$2:E371)))))</f>
        <v/>
      </c>
      <c r="J372" s="24" t="str">
        <f ca="1">IF(OR(E372="",E372="!!!",F372="NEW"),"",COUNTBLANK(OFFSET(A$1,,,SUMPRODUCT(MAX(ROW(E$2:E372)*(E372=E$2:E372)))))-COUNTBLANK(OFFSET(A$1,,,SUMPRODUCT(MAX(ROW(E$1:E371)*(E2=E$1:E371))))))</f>
        <v/>
      </c>
      <c r="K372" s="24" t="str">
        <f>IF(OR(E372="",E372="!!!",F372="NEW"),"",INDEX(J$1:J371,SUMPRODUCT(MAX(ROW(E$1:E371)*(E372=E$1:E371)))))</f>
        <v/>
      </c>
      <c r="L372" s="25"/>
    </row>
    <row r="373" spans="1:12" x14ac:dyDescent="0.3">
      <c r="A373" t="s">
        <v>248</v>
      </c>
      <c r="E373" s="20" t="str">
        <f t="shared" si="42"/>
        <v/>
      </c>
      <c r="F373" s="21" t="str">
        <f>IF(OR(E373="",E373="!!!"),"",IF(NOT(ISNA(VLOOKUP(E373,E$1:E372,1,FALSE()))),"OLD",IF(AND(E373&lt;&gt;"",E373&lt;&gt;"!!!"),"NEW","")))</f>
        <v/>
      </c>
      <c r="G373" s="22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/>
      </c>
      <c r="H373" s="23" t="str">
        <f t="shared" ca="1" si="43"/>
        <v/>
      </c>
      <c r="I373" s="24" t="str">
        <f>IF(OR(E373="",E373="!!!",F373="NEW"),"",INDEX(B$2:B372,-1+SUMPRODUCT(MAX(ROW(E$2:E372)*(E373=E$2:E372)))))</f>
        <v/>
      </c>
      <c r="J373" s="24" t="str">
        <f ca="1">IF(OR(E373="",E373="!!!",F373="NEW"),"",COUNTBLANK(OFFSET(A$1,,,SUMPRODUCT(MAX(ROW(E$2:E373)*(E373=E$2:E373)))))-COUNTBLANK(OFFSET(A$1,,,SUMPRODUCT(MAX(ROW(E$1:E372)*(E2=E$1:E372))))))</f>
        <v/>
      </c>
      <c r="K373" s="24" t="str">
        <f>IF(OR(E373="",E373="!!!",F373="NEW"),"",INDEX(J$1:J372,SUMPRODUCT(MAX(ROW(E$1:E372)*(E373=E$1:E372)))))</f>
        <v/>
      </c>
      <c r="L373" s="25"/>
    </row>
    <row r="375" spans="1:12" x14ac:dyDescent="0.3">
      <c r="A375" t="s">
        <v>455</v>
      </c>
    </row>
    <row r="376" spans="1:12" x14ac:dyDescent="0.3">
      <c r="A376" t="s">
        <v>408</v>
      </c>
      <c r="E376" s="20" t="str">
        <f t="shared" ref="E376:E407" si="44">IF(D376="?OLD","!!!","")</f>
        <v/>
      </c>
      <c r="F376" s="21" t="str">
        <f>IF(OR(E376="",E376="!!!"),"",IF(NOT(ISNA(VLOOKUP(E376,E$1:E375,1,FALSE()))),"OLD",IF(AND(E376&lt;&gt;"",E376&lt;&gt;"!!!"),"NEW","")))</f>
        <v/>
      </c>
      <c r="G376" s="22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/>
      </c>
      <c r="H376" s="23" t="str">
        <f t="shared" ref="H376:H407" ca="1" si="45">IF(J376&lt;&gt;1,"",IF(I376="SBJ","CB","?"))</f>
        <v/>
      </c>
      <c r="I376" s="24" t="str">
        <f>IF(OR(E376="",E376="!!!",F376="NEW"),"",INDEX(B$2:B375,-1+SUMPRODUCT(MAX(ROW(E$2:E375)*(E376=E$2:E375)))))</f>
        <v/>
      </c>
      <c r="J376" s="24" t="str">
        <f ca="1">IF(OR(E376="",E376="!!!",F376="NEW"),"",COUNTBLANK(OFFSET(A$1,,,SUMPRODUCT(MAX(ROW(E$2:E376)*(E376=E$2:E376)))))-COUNTBLANK(OFFSET(A$1,,,SUMPRODUCT(MAX(ROW(E$1:E375)*(E2=E$1:E375))))))</f>
        <v/>
      </c>
      <c r="K376" s="24" t="str">
        <f>IF(OR(E376="",E376="!!!",F376="NEW"),"",INDEX(J$1:J375,SUMPRODUCT(MAX(ROW(E$1:E375)*(E376=E$1:E375)))))</f>
        <v/>
      </c>
      <c r="L376" s="25"/>
    </row>
    <row r="377" spans="1:12" x14ac:dyDescent="0.3">
      <c r="A377" t="s">
        <v>406</v>
      </c>
      <c r="E377" s="20" t="str">
        <f t="shared" si="44"/>
        <v/>
      </c>
      <c r="F377" s="21" t="str">
        <f>IF(OR(E377="",E377="!!!"),"",IF(NOT(ISNA(VLOOKUP(E377,E$1:E376,1,FALSE()))),"OLD",IF(AND(E377&lt;&gt;"",E377&lt;&gt;"!!!"),"NEW","")))</f>
        <v/>
      </c>
      <c r="G377" s="22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/>
      </c>
      <c r="H377" s="23" t="str">
        <f t="shared" ca="1" si="45"/>
        <v/>
      </c>
      <c r="I377" s="24" t="str">
        <f>IF(OR(E377="",E377="!!!",F377="NEW"),"",INDEX(B$2:B376,-1+SUMPRODUCT(MAX(ROW(E$2:E376)*(E377=E$2:E376)))))</f>
        <v/>
      </c>
      <c r="J377" s="24" t="str">
        <f ca="1">IF(OR(E377="",E377="!!!",F377="NEW"),"",COUNTBLANK(OFFSET(A$1,,,SUMPRODUCT(MAX(ROW(E$2:E377)*(E377=E$2:E377)))))-COUNTBLANK(OFFSET(A$1,,,SUMPRODUCT(MAX(ROW(E$1:E376)*(E2=E$1:E376))))))</f>
        <v/>
      </c>
      <c r="K377" s="24" t="str">
        <f>IF(OR(E377="",E377="!!!",F377="NEW"),"",INDEX(J$1:J376,SUMPRODUCT(MAX(ROW(E$1:E376)*(E377=E$1:E376)))))</f>
        <v/>
      </c>
      <c r="L377" s="25"/>
    </row>
    <row r="378" spans="1:12" x14ac:dyDescent="0.3">
      <c r="A378" t="s">
        <v>254</v>
      </c>
      <c r="B378" s="26" t="s">
        <v>243</v>
      </c>
      <c r="C378" s="26" t="s">
        <v>256</v>
      </c>
      <c r="D378" s="26" t="s">
        <v>240</v>
      </c>
      <c r="E378" s="20" t="str">
        <f t="shared" si="44"/>
        <v>!!!</v>
      </c>
      <c r="F378" s="21" t="str">
        <f>IF(OR(E378="",E378="!!!"),"",IF(NOT(ISNA(VLOOKUP(E378,E$1:E377,1,FALSE()))),"OLD",IF(AND(E378&lt;&gt;"",E378&lt;&gt;"!!!"),"NEW","")))</f>
        <v/>
      </c>
      <c r="G378" s="22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/>
      </c>
      <c r="H378" s="23" t="str">
        <f t="shared" ca="1" si="45"/>
        <v/>
      </c>
      <c r="I378" s="24" t="str">
        <f>IF(OR(E378="",E378="!!!",F378="NEW"),"",INDEX(B$2:B377,-1+SUMPRODUCT(MAX(ROW(E$2:E377)*(E378=E$2:E377)))))</f>
        <v/>
      </c>
      <c r="J378" s="24" t="str">
        <f ca="1">IF(OR(E378="",E378="!!!",F378="NEW"),"",COUNTBLANK(OFFSET(A$1,,,SUMPRODUCT(MAX(ROW(E$2:E378)*(E378=E$2:E378)))))-COUNTBLANK(OFFSET(A$1,,,SUMPRODUCT(MAX(ROW(E$1:E377)*(E2=E$1:E377))))))</f>
        <v/>
      </c>
      <c r="K378" s="24" t="str">
        <f>IF(OR(E378="",E378="!!!",F378="NEW"),"",INDEX(J$1:J377,SUMPRODUCT(MAX(ROW(E$1:E377)*(E378=E$1:E377)))))</f>
        <v/>
      </c>
      <c r="L378" s="25"/>
    </row>
    <row r="379" spans="1:12" x14ac:dyDescent="0.3">
      <c r="A379" t="s">
        <v>257</v>
      </c>
      <c r="E379" s="20" t="str">
        <f t="shared" si="44"/>
        <v/>
      </c>
      <c r="F379" s="21" t="str">
        <f>IF(OR(E379="",E379="!!!"),"",IF(NOT(ISNA(VLOOKUP(E379,E$1:E378,1,FALSE()))),"OLD",IF(AND(E379&lt;&gt;"",E379&lt;&gt;"!!!"),"NEW","")))</f>
        <v/>
      </c>
      <c r="G379" s="22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/>
      </c>
      <c r="H379" s="23" t="str">
        <f t="shared" ca="1" si="45"/>
        <v/>
      </c>
      <c r="I379" s="24" t="str">
        <f>IF(OR(E379="",E379="!!!",F379="NEW"),"",INDEX(B$2:B378,-1+SUMPRODUCT(MAX(ROW(E$2:E378)*(E379=E$2:E378)))))</f>
        <v/>
      </c>
      <c r="J379" s="24" t="str">
        <f ca="1">IF(OR(E379="",E379="!!!",F379="NEW"),"",COUNTBLANK(OFFSET(A$1,,,SUMPRODUCT(MAX(ROW(E$2:E379)*(E379=E$2:E379)))))-COUNTBLANK(OFFSET(A$1,,,SUMPRODUCT(MAX(ROW(E$1:E378)*(E2=E$1:E378))))))</f>
        <v/>
      </c>
      <c r="K379" s="24" t="str">
        <f>IF(OR(E379="",E379="!!!",F379="NEW"),"",INDEX(J$1:J378,SUMPRODUCT(MAX(ROW(E$1:E378)*(E379=E$1:E378)))))</f>
        <v/>
      </c>
      <c r="L379" s="25"/>
    </row>
    <row r="380" spans="1:12" x14ac:dyDescent="0.3">
      <c r="A380" t="s">
        <v>310</v>
      </c>
      <c r="E380" s="20" t="str">
        <f t="shared" si="44"/>
        <v/>
      </c>
      <c r="F380" s="21" t="str">
        <f>IF(OR(E380="",E380="!!!"),"",IF(NOT(ISNA(VLOOKUP(E380,E$1:E379,1,FALSE()))),"OLD",IF(AND(E380&lt;&gt;"",E380&lt;&gt;"!!!"),"NEW","")))</f>
        <v/>
      </c>
      <c r="G380" s="22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/>
      </c>
      <c r="H380" s="23" t="str">
        <f t="shared" ca="1" si="45"/>
        <v/>
      </c>
      <c r="I380" s="24" t="str">
        <f>IF(OR(E380="",E380="!!!",F380="NEW"),"",INDEX(B$2:B379,-1+SUMPRODUCT(MAX(ROW(E$2:E379)*(E380=E$2:E379)))))</f>
        <v/>
      </c>
      <c r="J380" s="24" t="str">
        <f ca="1">IF(OR(E380="",E380="!!!",F380="NEW"),"",COUNTBLANK(OFFSET(A$1,,,SUMPRODUCT(MAX(ROW(E$2:E380)*(E380=E$2:E380)))))-COUNTBLANK(OFFSET(A$1,,,SUMPRODUCT(MAX(ROW(E$1:E379)*(E2=E$1:E379))))))</f>
        <v/>
      </c>
      <c r="K380" s="24" t="str">
        <f>IF(OR(E380="",E380="!!!",F380="NEW"),"",INDEX(J$1:J379,SUMPRODUCT(MAX(ROW(E$1:E379)*(E380=E$1:E379)))))</f>
        <v/>
      </c>
      <c r="L380" s="25"/>
    </row>
    <row r="381" spans="1:12" x14ac:dyDescent="0.3">
      <c r="A381" t="s">
        <v>456</v>
      </c>
      <c r="B381" s="26" t="s">
        <v>238</v>
      </c>
      <c r="C381" s="26" t="s">
        <v>294</v>
      </c>
      <c r="D381" s="26" t="s">
        <v>240</v>
      </c>
      <c r="E381" s="20" t="str">
        <f t="shared" si="44"/>
        <v>!!!</v>
      </c>
      <c r="F381" s="21" t="str">
        <f>IF(OR(E381="",E381="!!!"),"",IF(NOT(ISNA(VLOOKUP(E381,E$1:E380,1,FALSE()))),"OLD",IF(AND(E381&lt;&gt;"",E381&lt;&gt;"!!!"),"NEW","")))</f>
        <v/>
      </c>
      <c r="G381" s="22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/>
      </c>
      <c r="H381" s="23" t="str">
        <f t="shared" ca="1" si="45"/>
        <v/>
      </c>
      <c r="I381" s="24" t="str">
        <f>IF(OR(E381="",E381="!!!",F381="NEW"),"",INDEX(B$2:B380,-1+SUMPRODUCT(MAX(ROW(E$2:E380)*(E381=E$2:E380)))))</f>
        <v/>
      </c>
      <c r="J381" s="24" t="str">
        <f ca="1">IF(OR(E381="",E381="!!!",F381="NEW"),"",COUNTBLANK(OFFSET(A$1,,,SUMPRODUCT(MAX(ROW(E$2:E381)*(E381=E$2:E381)))))-COUNTBLANK(OFFSET(A$1,,,SUMPRODUCT(MAX(ROW(E$1:E380)*(E2=E$1:E380))))))</f>
        <v/>
      </c>
      <c r="K381" s="24" t="str">
        <f>IF(OR(E381="",E381="!!!",F381="NEW"),"",INDEX(J$1:J380,SUMPRODUCT(MAX(ROW(E$1:E380)*(E381=E$1:E380)))))</f>
        <v/>
      </c>
      <c r="L381" s="25"/>
    </row>
    <row r="382" spans="1:12" x14ac:dyDescent="0.3">
      <c r="A382" t="s">
        <v>457</v>
      </c>
      <c r="E382" s="20" t="str">
        <f t="shared" si="44"/>
        <v/>
      </c>
      <c r="F382" s="21" t="str">
        <f>IF(OR(E382="",E382="!!!"),"",IF(NOT(ISNA(VLOOKUP(E382,E$1:E381,1,FALSE()))),"OLD",IF(AND(E382&lt;&gt;"",E382&lt;&gt;"!!!"),"NEW","")))</f>
        <v/>
      </c>
      <c r="G382" s="22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/>
      </c>
      <c r="H382" s="23" t="str">
        <f t="shared" ca="1" si="45"/>
        <v/>
      </c>
      <c r="I382" s="24" t="str">
        <f>IF(OR(E382="",E382="!!!",F382="NEW"),"",INDEX(B$2:B381,-1+SUMPRODUCT(MAX(ROW(E$2:E381)*(E382=E$2:E381)))))</f>
        <v/>
      </c>
      <c r="J382" s="24" t="str">
        <f ca="1">IF(OR(E382="",E382="!!!",F382="NEW"),"",COUNTBLANK(OFFSET(A$1,,,SUMPRODUCT(MAX(ROW(E$2:E382)*(E382=E$2:E382)))))-COUNTBLANK(OFFSET(A$1,,,SUMPRODUCT(MAX(ROW(E$1:E381)*(E2=E$1:E381))))))</f>
        <v/>
      </c>
      <c r="K382" s="24" t="str">
        <f>IF(OR(E382="",E382="!!!",F382="NEW"),"",INDEX(J$1:J381,SUMPRODUCT(MAX(ROW(E$1:E381)*(E382=E$1:E381)))))</f>
        <v/>
      </c>
      <c r="L382" s="25"/>
    </row>
    <row r="383" spans="1:12" x14ac:dyDescent="0.3">
      <c r="A383" t="s">
        <v>458</v>
      </c>
      <c r="E383" s="20" t="str">
        <f t="shared" si="44"/>
        <v/>
      </c>
      <c r="F383" s="21" t="str">
        <f>IF(OR(E383="",E383="!!!"),"",IF(NOT(ISNA(VLOOKUP(E383,E$1:E382,1,FALSE()))),"OLD",IF(AND(E383&lt;&gt;"",E383&lt;&gt;"!!!"),"NEW","")))</f>
        <v/>
      </c>
      <c r="G383" s="22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/>
      </c>
      <c r="H383" s="23" t="str">
        <f t="shared" ca="1" si="45"/>
        <v/>
      </c>
      <c r="I383" s="24" t="str">
        <f>IF(OR(E383="",E383="!!!",F383="NEW"),"",INDEX(B$2:B382,-1+SUMPRODUCT(MAX(ROW(E$2:E382)*(E383=E$2:E382)))))</f>
        <v/>
      </c>
      <c r="J383" s="24" t="str">
        <f ca="1">IF(OR(E383="",E383="!!!",F383="NEW"),"",COUNTBLANK(OFFSET(A$1,,,SUMPRODUCT(MAX(ROW(E$2:E383)*(E383=E$2:E383)))))-COUNTBLANK(OFFSET(A$1,,,SUMPRODUCT(MAX(ROW(E$1:E382)*(E2=E$1:E382))))))</f>
        <v/>
      </c>
      <c r="K383" s="24" t="str">
        <f>IF(OR(E383="",E383="!!!",F383="NEW"),"",INDEX(J$1:J382,SUMPRODUCT(MAX(ROW(E$1:E382)*(E383=E$1:E382)))))</f>
        <v/>
      </c>
      <c r="L383" s="25"/>
    </row>
    <row r="384" spans="1:12" x14ac:dyDescent="0.3">
      <c r="A384" t="s">
        <v>459</v>
      </c>
      <c r="B384" s="26" t="s">
        <v>243</v>
      </c>
      <c r="C384" s="26" t="s">
        <v>294</v>
      </c>
      <c r="D384" s="26" t="s">
        <v>240</v>
      </c>
      <c r="E384" s="20" t="str">
        <f t="shared" si="44"/>
        <v>!!!</v>
      </c>
      <c r="F384" s="21" t="str">
        <f>IF(OR(E384="",E384="!!!"),"",IF(NOT(ISNA(VLOOKUP(E384,E$1:E383,1,FALSE()))),"OLD",IF(AND(E384&lt;&gt;"",E384&lt;&gt;"!!!"),"NEW","")))</f>
        <v/>
      </c>
      <c r="G384" s="22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/>
      </c>
      <c r="H384" s="23" t="str">
        <f t="shared" ca="1" si="45"/>
        <v/>
      </c>
      <c r="I384" s="24" t="str">
        <f>IF(OR(E384="",E384="!!!",F384="NEW"),"",INDEX(B$2:B383,-1+SUMPRODUCT(MAX(ROW(E$2:E383)*(E384=E$2:E383)))))</f>
        <v/>
      </c>
      <c r="J384" s="24" t="str">
        <f ca="1">IF(OR(E384="",E384="!!!",F384="NEW"),"",COUNTBLANK(OFFSET(A$1,,,SUMPRODUCT(MAX(ROW(E$2:E384)*(E384=E$2:E384)))))-COUNTBLANK(OFFSET(A$1,,,SUMPRODUCT(MAX(ROW(E$1:E383)*(E2=E$1:E383))))))</f>
        <v/>
      </c>
      <c r="K384" s="24" t="str">
        <f>IF(OR(E384="",E384="!!!",F384="NEW"),"",INDEX(J$1:J383,SUMPRODUCT(MAX(ROW(E$1:E383)*(E384=E$1:E383)))))</f>
        <v/>
      </c>
      <c r="L384" s="25"/>
    </row>
    <row r="385" spans="1:12" x14ac:dyDescent="0.3">
      <c r="A385" t="s">
        <v>460</v>
      </c>
      <c r="E385" s="20" t="str">
        <f t="shared" si="44"/>
        <v/>
      </c>
      <c r="F385" s="21" t="str">
        <f>IF(OR(E385="",E385="!!!"),"",IF(NOT(ISNA(VLOOKUP(E385,E$1:E384,1,FALSE()))),"OLD",IF(AND(E385&lt;&gt;"",E385&lt;&gt;"!!!"),"NEW","")))</f>
        <v/>
      </c>
      <c r="G385" s="22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/>
      </c>
      <c r="H385" s="23" t="str">
        <f t="shared" ca="1" si="45"/>
        <v/>
      </c>
      <c r="I385" s="24" t="str">
        <f>IF(OR(E385="",E385="!!!",F385="NEW"),"",INDEX(B$2:B384,-1+SUMPRODUCT(MAX(ROW(E$2:E384)*(E385=E$2:E384)))))</f>
        <v/>
      </c>
      <c r="J385" s="24" t="str">
        <f ca="1">IF(OR(E385="",E385="!!!",F385="NEW"),"",COUNTBLANK(OFFSET(A$1,,,SUMPRODUCT(MAX(ROW(E$2:E385)*(E385=E$2:E385)))))-COUNTBLANK(OFFSET(A$1,,,SUMPRODUCT(MAX(ROW(E$1:E384)*(E2=E$1:E384))))))</f>
        <v/>
      </c>
      <c r="K385" s="24" t="str">
        <f>IF(OR(E385="",E385="!!!",F385="NEW"),"",INDEX(J$1:J384,SUMPRODUCT(MAX(ROW(E$1:E384)*(E385=E$1:E384)))))</f>
        <v/>
      </c>
      <c r="L385" s="25"/>
    </row>
    <row r="386" spans="1:12" x14ac:dyDescent="0.3">
      <c r="A386" t="s">
        <v>363</v>
      </c>
      <c r="E386" s="20" t="str">
        <f t="shared" si="44"/>
        <v/>
      </c>
      <c r="F386" s="21" t="str">
        <f>IF(OR(E386="",E386="!!!"),"",IF(NOT(ISNA(VLOOKUP(E386,E$1:E385,1,FALSE()))),"OLD",IF(AND(E386&lt;&gt;"",E386&lt;&gt;"!!!"),"NEW","")))</f>
        <v/>
      </c>
      <c r="G386" s="22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/>
      </c>
      <c r="H386" s="23" t="str">
        <f t="shared" ca="1" si="45"/>
        <v/>
      </c>
      <c r="I386" s="24" t="str">
        <f>IF(OR(E386="",E386="!!!",F386="NEW"),"",INDEX(B$2:B385,-1+SUMPRODUCT(MAX(ROW(E$2:E385)*(E386=E$2:E385)))))</f>
        <v/>
      </c>
      <c r="J386" s="24" t="str">
        <f ca="1">IF(OR(E386="",E386="!!!",F386="NEW"),"",COUNTBLANK(OFFSET(A$1,,,SUMPRODUCT(MAX(ROW(E$2:E386)*(E386=E$2:E386)))))-COUNTBLANK(OFFSET(A$1,,,SUMPRODUCT(MAX(ROW(E$1:E385)*(E2=E$1:E385))))))</f>
        <v/>
      </c>
      <c r="K386" s="24" t="str">
        <f>IF(OR(E386="",E386="!!!",F386="NEW"),"",INDEX(J$1:J385,SUMPRODUCT(MAX(ROW(E$1:E385)*(E386=E$1:E385)))))</f>
        <v/>
      </c>
      <c r="L386" s="25"/>
    </row>
    <row r="387" spans="1:12" x14ac:dyDescent="0.3">
      <c r="A387" t="s">
        <v>364</v>
      </c>
      <c r="B387" s="26" t="s">
        <v>238</v>
      </c>
      <c r="C387" s="26" t="s">
        <v>239</v>
      </c>
      <c r="D387" s="26" t="s">
        <v>240</v>
      </c>
      <c r="E387" s="20" t="str">
        <f t="shared" si="44"/>
        <v>!!!</v>
      </c>
      <c r="F387" s="21" t="str">
        <f>IF(OR(E387="",E387="!!!"),"",IF(NOT(ISNA(VLOOKUP(E387,E$1:E386,1,FALSE()))),"OLD",IF(AND(E387&lt;&gt;"",E387&lt;&gt;"!!!"),"NEW","")))</f>
        <v/>
      </c>
      <c r="G387" s="22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/>
      </c>
      <c r="H387" s="23" t="str">
        <f t="shared" ca="1" si="45"/>
        <v/>
      </c>
      <c r="I387" s="24" t="str">
        <f>IF(OR(E387="",E387="!!!",F387="NEW"),"",INDEX(B$2:B386,-1+SUMPRODUCT(MAX(ROW(E$2:E386)*(E387=E$2:E386)))))</f>
        <v/>
      </c>
      <c r="J387" s="24" t="str">
        <f ca="1">IF(OR(E387="",E387="!!!",F387="NEW"),"",COUNTBLANK(OFFSET(A$1,,,SUMPRODUCT(MAX(ROW(E$2:E387)*(E387=E$2:E387)))))-COUNTBLANK(OFFSET(A$1,,,SUMPRODUCT(MAX(ROW(E$1:E386)*(E2=E$1:E386))))))</f>
        <v/>
      </c>
      <c r="K387" s="24" t="str">
        <f>IF(OR(E387="",E387="!!!",F387="NEW"),"",INDEX(J$1:J386,SUMPRODUCT(MAX(ROW(E$1:E386)*(E387=E$1:E386)))))</f>
        <v/>
      </c>
      <c r="L387" s="25"/>
    </row>
    <row r="388" spans="1:12" x14ac:dyDescent="0.3">
      <c r="A388" t="s">
        <v>252</v>
      </c>
      <c r="E388" s="20" t="str">
        <f t="shared" si="44"/>
        <v/>
      </c>
      <c r="F388" s="21" t="str">
        <f>IF(OR(E388="",E388="!!!"),"",IF(NOT(ISNA(VLOOKUP(E388,E$1:E387,1,FALSE()))),"OLD",IF(AND(E388&lt;&gt;"",E388&lt;&gt;"!!!"),"NEW","")))</f>
        <v/>
      </c>
      <c r="G388" s="22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/>
      </c>
      <c r="H388" s="23" t="str">
        <f t="shared" ca="1" si="45"/>
        <v/>
      </c>
      <c r="I388" s="24" t="str">
        <f>IF(OR(E388="",E388="!!!",F388="NEW"),"",INDEX(B$2:B387,-1+SUMPRODUCT(MAX(ROW(E$2:E387)*(E388=E$2:E387)))))</f>
        <v/>
      </c>
      <c r="J388" s="24" t="str">
        <f ca="1">IF(OR(E388="",E388="!!!",F388="NEW"),"",COUNTBLANK(OFFSET(A$1,,,SUMPRODUCT(MAX(ROW(E$2:E388)*(E388=E$2:E388)))))-COUNTBLANK(OFFSET(A$1,,,SUMPRODUCT(MAX(ROW(E$1:E387)*(E2=E$1:E387))))))</f>
        <v/>
      </c>
      <c r="K388" s="24" t="str">
        <f>IF(OR(E388="",E388="!!!",F388="NEW"),"",INDEX(J$1:J387,SUMPRODUCT(MAX(ROW(E$1:E387)*(E388=E$1:E387)))))</f>
        <v/>
      </c>
      <c r="L388" s="25"/>
    </row>
    <row r="389" spans="1:12" x14ac:dyDescent="0.3">
      <c r="A389" t="s">
        <v>278</v>
      </c>
      <c r="E389" s="20" t="str">
        <f t="shared" si="44"/>
        <v/>
      </c>
      <c r="F389" s="21" t="str">
        <f>IF(OR(E389="",E389="!!!"),"",IF(NOT(ISNA(VLOOKUP(E389,E$1:E388,1,FALSE()))),"OLD",IF(AND(E389&lt;&gt;"",E389&lt;&gt;"!!!"),"NEW","")))</f>
        <v/>
      </c>
      <c r="G389" s="22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/>
      </c>
      <c r="H389" s="23" t="str">
        <f t="shared" ca="1" si="45"/>
        <v/>
      </c>
      <c r="I389" s="24" t="str">
        <f>IF(OR(E389="",E389="!!!",F389="NEW"),"",INDEX(B$2:B388,-1+SUMPRODUCT(MAX(ROW(E$2:E388)*(E389=E$2:E388)))))</f>
        <v/>
      </c>
      <c r="J389" s="24" t="str">
        <f ca="1">IF(OR(E389="",E389="!!!",F389="NEW"),"",COUNTBLANK(OFFSET(A$1,,,SUMPRODUCT(MAX(ROW(E$2:E389)*(E389=E$2:E389)))))-COUNTBLANK(OFFSET(A$1,,,SUMPRODUCT(MAX(ROW(E$1:E388)*(E2=E$1:E388))))))</f>
        <v/>
      </c>
      <c r="K389" s="24" t="str">
        <f>IF(OR(E389="",E389="!!!",F389="NEW"),"",INDEX(J$1:J388,SUMPRODUCT(MAX(ROW(E$1:E388)*(E389=E$1:E388)))))</f>
        <v/>
      </c>
      <c r="L389" s="25"/>
    </row>
    <row r="390" spans="1:12" x14ac:dyDescent="0.3">
      <c r="A390" t="s">
        <v>254</v>
      </c>
      <c r="B390" s="26" t="s">
        <v>255</v>
      </c>
      <c r="C390" s="26" t="s">
        <v>256</v>
      </c>
      <c r="D390" s="26" t="s">
        <v>240</v>
      </c>
      <c r="E390" s="20" t="str">
        <f t="shared" si="44"/>
        <v>!!!</v>
      </c>
      <c r="F390" s="21" t="str">
        <f>IF(OR(E390="",E390="!!!"),"",IF(NOT(ISNA(VLOOKUP(E390,E$1:E389,1,FALSE()))),"OLD",IF(AND(E390&lt;&gt;"",E390&lt;&gt;"!!!"),"NEW","")))</f>
        <v/>
      </c>
      <c r="G390" s="22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/>
      </c>
      <c r="H390" s="23" t="str">
        <f t="shared" ca="1" si="45"/>
        <v/>
      </c>
      <c r="I390" s="24" t="str">
        <f>IF(OR(E390="",E390="!!!",F390="NEW"),"",INDEX(B$2:B389,-1+SUMPRODUCT(MAX(ROW(E$2:E389)*(E390=E$2:E389)))))</f>
        <v/>
      </c>
      <c r="J390" s="24" t="str">
        <f ca="1">IF(OR(E390="",E390="!!!",F390="NEW"),"",COUNTBLANK(OFFSET(A$1,,,SUMPRODUCT(MAX(ROW(E$2:E390)*(E390=E$2:E390)))))-COUNTBLANK(OFFSET(A$1,,,SUMPRODUCT(MAX(ROW(E$1:E389)*(E2=E$1:E389))))))</f>
        <v/>
      </c>
      <c r="K390" s="24" t="str">
        <f>IF(OR(E390="",E390="!!!",F390="NEW"),"",INDEX(J$1:J389,SUMPRODUCT(MAX(ROW(E$1:E389)*(E390=E$1:E389)))))</f>
        <v/>
      </c>
      <c r="L390" s="25"/>
    </row>
    <row r="391" spans="1:12" x14ac:dyDescent="0.3">
      <c r="A391" t="s">
        <v>401</v>
      </c>
      <c r="E391" s="20" t="str">
        <f t="shared" si="44"/>
        <v/>
      </c>
      <c r="F391" s="21" t="str">
        <f>IF(OR(E391="",E391="!!!"),"",IF(NOT(ISNA(VLOOKUP(E391,E$1:E390,1,FALSE()))),"OLD",IF(AND(E391&lt;&gt;"",E391&lt;&gt;"!!!"),"NEW","")))</f>
        <v/>
      </c>
      <c r="G391" s="22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/>
      </c>
      <c r="H391" s="23" t="str">
        <f t="shared" ca="1" si="45"/>
        <v/>
      </c>
      <c r="I391" s="24" t="str">
        <f>IF(OR(E391="",E391="!!!",F391="NEW"),"",INDEX(B$2:B390,-1+SUMPRODUCT(MAX(ROW(E$2:E390)*(E391=E$2:E390)))))</f>
        <v/>
      </c>
      <c r="J391" s="24" t="str">
        <f ca="1">IF(OR(E391="",E391="!!!",F391="NEW"),"",COUNTBLANK(OFFSET(A$1,,,SUMPRODUCT(MAX(ROW(E$2:E391)*(E391=E$2:E391)))))-COUNTBLANK(OFFSET(A$1,,,SUMPRODUCT(MAX(ROW(E$1:E390)*(E2=E$1:E390))))))</f>
        <v/>
      </c>
      <c r="K391" s="24" t="str">
        <f>IF(OR(E391="",E391="!!!",F391="NEW"),"",INDEX(J$1:J390,SUMPRODUCT(MAX(ROW(E$1:E390)*(E391=E$1:E390)))))</f>
        <v/>
      </c>
      <c r="L391" s="25"/>
    </row>
    <row r="392" spans="1:12" x14ac:dyDescent="0.3">
      <c r="A392" t="s">
        <v>252</v>
      </c>
      <c r="E392" s="20" t="str">
        <f t="shared" si="44"/>
        <v/>
      </c>
      <c r="F392" s="21" t="str">
        <f>IF(OR(E392="",E392="!!!"),"",IF(NOT(ISNA(VLOOKUP(E392,E$1:E391,1,FALSE()))),"OLD",IF(AND(E392&lt;&gt;"",E392&lt;&gt;"!!!"),"NEW","")))</f>
        <v/>
      </c>
      <c r="G392" s="22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/>
      </c>
      <c r="H392" s="23" t="str">
        <f t="shared" ca="1" si="45"/>
        <v/>
      </c>
      <c r="I392" s="24" t="str">
        <f>IF(OR(E392="",E392="!!!",F392="NEW"),"",INDEX(B$2:B391,-1+SUMPRODUCT(MAX(ROW(E$2:E391)*(E392=E$2:E391)))))</f>
        <v/>
      </c>
      <c r="J392" s="24" t="str">
        <f ca="1">IF(OR(E392="",E392="!!!",F392="NEW"),"",COUNTBLANK(OFFSET(A$1,,,SUMPRODUCT(MAX(ROW(E$2:E392)*(E392=E$2:E392)))))-COUNTBLANK(OFFSET(A$1,,,SUMPRODUCT(MAX(ROW(E$1:E391)*(E2=E$1:E391))))))</f>
        <v/>
      </c>
      <c r="K392" s="24" t="str">
        <f>IF(OR(E392="",E392="!!!",F392="NEW"),"",INDEX(J$1:J391,SUMPRODUCT(MAX(ROW(E$1:E391)*(E392=E$1:E391)))))</f>
        <v/>
      </c>
      <c r="L392" s="25"/>
    </row>
    <row r="393" spans="1:12" x14ac:dyDescent="0.3">
      <c r="A393" t="s">
        <v>461</v>
      </c>
      <c r="E393" s="20" t="str">
        <f t="shared" si="44"/>
        <v/>
      </c>
      <c r="F393" s="21" t="str">
        <f>IF(OR(E393="",E393="!!!"),"",IF(NOT(ISNA(VLOOKUP(E393,E$1:E392,1,FALSE()))),"OLD",IF(AND(E393&lt;&gt;"",E393&lt;&gt;"!!!"),"NEW","")))</f>
        <v/>
      </c>
      <c r="G393" s="22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/>
      </c>
      <c r="H393" s="23" t="str">
        <f t="shared" ca="1" si="45"/>
        <v/>
      </c>
      <c r="I393" s="24" t="str">
        <f>IF(OR(E393="",E393="!!!",F393="NEW"),"",INDEX(B$2:B392,-1+SUMPRODUCT(MAX(ROW(E$2:E392)*(E393=E$2:E392)))))</f>
        <v/>
      </c>
      <c r="J393" s="24" t="str">
        <f ca="1">IF(OR(E393="",E393="!!!",F393="NEW"),"",COUNTBLANK(OFFSET(A$1,,,SUMPRODUCT(MAX(ROW(E$2:E393)*(E393=E$2:E393)))))-COUNTBLANK(OFFSET(A$1,,,SUMPRODUCT(MAX(ROW(E$1:E392)*(E2=E$1:E392))))))</f>
        <v/>
      </c>
      <c r="K393" s="24" t="str">
        <f>IF(OR(E393="",E393="!!!",F393="NEW"),"",INDEX(J$1:J392,SUMPRODUCT(MAX(ROW(E$1:E392)*(E393=E$1:E392)))))</f>
        <v/>
      </c>
      <c r="L393" s="25"/>
    </row>
    <row r="394" spans="1:12" x14ac:dyDescent="0.3">
      <c r="A394" t="s">
        <v>303</v>
      </c>
      <c r="E394" s="20" t="str">
        <f t="shared" si="44"/>
        <v/>
      </c>
      <c r="F394" s="21" t="str">
        <f>IF(OR(E394="",E394="!!!"),"",IF(NOT(ISNA(VLOOKUP(E394,E$1:E393,1,FALSE()))),"OLD",IF(AND(E394&lt;&gt;"",E394&lt;&gt;"!!!"),"NEW","")))</f>
        <v/>
      </c>
      <c r="G394" s="22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/>
      </c>
      <c r="H394" s="23" t="str">
        <f t="shared" ca="1" si="45"/>
        <v/>
      </c>
      <c r="I394" s="24" t="str">
        <f>IF(OR(E394="",E394="!!!",F394="NEW"),"",INDEX(B$2:B393,-1+SUMPRODUCT(MAX(ROW(E$2:E393)*(E394=E$2:E393)))))</f>
        <v/>
      </c>
      <c r="J394" s="24" t="str">
        <f ca="1">IF(OR(E394="",E394="!!!",F394="NEW"),"",COUNTBLANK(OFFSET(A$1,,,SUMPRODUCT(MAX(ROW(E$2:E394)*(E394=E$2:E394)))))-COUNTBLANK(OFFSET(A$1,,,SUMPRODUCT(MAX(ROW(E$1:E393)*(E2=E$1:E393))))))</f>
        <v/>
      </c>
      <c r="K394" s="24" t="str">
        <f>IF(OR(E394="",E394="!!!",F394="NEW"),"",INDEX(J$1:J393,SUMPRODUCT(MAX(ROW(E$1:E393)*(E394=E$1:E393)))))</f>
        <v/>
      </c>
      <c r="L394" s="25"/>
    </row>
    <row r="395" spans="1:12" x14ac:dyDescent="0.3">
      <c r="A395" t="s">
        <v>462</v>
      </c>
      <c r="B395" s="26" t="s">
        <v>282</v>
      </c>
      <c r="C395" s="26" t="s">
        <v>239</v>
      </c>
      <c r="D395" s="26" t="s">
        <v>240</v>
      </c>
      <c r="E395" s="20" t="str">
        <f t="shared" si="44"/>
        <v>!!!</v>
      </c>
      <c r="F395" s="21" t="str">
        <f>IF(OR(E395="",E395="!!!"),"",IF(NOT(ISNA(VLOOKUP(E395,E$1:E394,1,FALSE()))),"OLD",IF(AND(E395&lt;&gt;"",E395&lt;&gt;"!!!"),"NEW","")))</f>
        <v/>
      </c>
      <c r="G395" s="22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/>
      </c>
      <c r="H395" s="23" t="str">
        <f t="shared" ca="1" si="45"/>
        <v/>
      </c>
      <c r="I395" s="24" t="str">
        <f>IF(OR(E395="",E395="!!!",F395="NEW"),"",INDEX(B$2:B394,-1+SUMPRODUCT(MAX(ROW(E$2:E394)*(E395=E$2:E394)))))</f>
        <v/>
      </c>
      <c r="J395" s="24" t="str">
        <f ca="1">IF(OR(E395="",E395="!!!",F395="NEW"),"",COUNTBLANK(OFFSET(A$1,,,SUMPRODUCT(MAX(ROW(E$2:E395)*(E395=E$2:E395)))))-COUNTBLANK(OFFSET(A$1,,,SUMPRODUCT(MAX(ROW(E$1:E394)*(E2=E$1:E394))))))</f>
        <v/>
      </c>
      <c r="K395" s="24" t="str">
        <f>IF(OR(E395="",E395="!!!",F395="NEW"),"",INDEX(J$1:J394,SUMPRODUCT(MAX(ROW(E$1:E394)*(E395=E$1:E394)))))</f>
        <v/>
      </c>
      <c r="L395" s="25"/>
    </row>
    <row r="396" spans="1:12" x14ac:dyDescent="0.3">
      <c r="A396" t="s">
        <v>463</v>
      </c>
      <c r="E396" s="20" t="str">
        <f t="shared" si="44"/>
        <v/>
      </c>
      <c r="F396" s="21" t="str">
        <f>IF(OR(E396="",E396="!!!"),"",IF(NOT(ISNA(VLOOKUP(E396,E$1:E395,1,FALSE()))),"OLD",IF(AND(E396&lt;&gt;"",E396&lt;&gt;"!!!"),"NEW","")))</f>
        <v/>
      </c>
      <c r="G396" s="22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/>
      </c>
      <c r="H396" s="23" t="str">
        <f t="shared" ca="1" si="45"/>
        <v/>
      </c>
      <c r="I396" s="24" t="str">
        <f>IF(OR(E396="",E396="!!!",F396="NEW"),"",INDEX(B$2:B395,-1+SUMPRODUCT(MAX(ROW(E$2:E395)*(E396=E$2:E395)))))</f>
        <v/>
      </c>
      <c r="J396" s="24" t="str">
        <f ca="1">IF(OR(E396="",E396="!!!",F396="NEW"),"",COUNTBLANK(OFFSET(A$1,,,SUMPRODUCT(MAX(ROW(E$2:E396)*(E396=E$2:E396)))))-COUNTBLANK(OFFSET(A$1,,,SUMPRODUCT(MAX(ROW(E$1:E395)*(E2=E$1:E395))))))</f>
        <v/>
      </c>
      <c r="K396" s="24" t="str">
        <f>IF(OR(E396="",E396="!!!",F396="NEW"),"",INDEX(J$1:J395,SUMPRODUCT(MAX(ROW(E$1:E395)*(E396=E$1:E395)))))</f>
        <v/>
      </c>
      <c r="L396" s="25"/>
    </row>
    <row r="397" spans="1:12" x14ac:dyDescent="0.3">
      <c r="A397" t="s">
        <v>257</v>
      </c>
      <c r="E397" s="20" t="str">
        <f t="shared" si="44"/>
        <v/>
      </c>
      <c r="F397" s="21" t="str">
        <f>IF(OR(E397="",E397="!!!"),"",IF(NOT(ISNA(VLOOKUP(E397,E$1:E396,1,FALSE()))),"OLD",IF(AND(E397&lt;&gt;"",E397&lt;&gt;"!!!"),"NEW","")))</f>
        <v/>
      </c>
      <c r="G397" s="22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/>
      </c>
      <c r="H397" s="23" t="str">
        <f t="shared" ca="1" si="45"/>
        <v/>
      </c>
      <c r="I397" s="24" t="str">
        <f>IF(OR(E397="",E397="!!!",F397="NEW"),"",INDEX(B$2:B396,-1+SUMPRODUCT(MAX(ROW(E$2:E396)*(E397=E$2:E396)))))</f>
        <v/>
      </c>
      <c r="J397" s="24" t="str">
        <f ca="1">IF(OR(E397="",E397="!!!",F397="NEW"),"",COUNTBLANK(OFFSET(A$1,,,SUMPRODUCT(MAX(ROW(E$2:E397)*(E397=E$2:E397)))))-COUNTBLANK(OFFSET(A$1,,,SUMPRODUCT(MAX(ROW(E$1:E396)*(E2=E$1:E396))))))</f>
        <v/>
      </c>
      <c r="K397" s="24" t="str">
        <f>IF(OR(E397="",E397="!!!",F397="NEW"),"",INDEX(J$1:J396,SUMPRODUCT(MAX(ROW(E$1:E396)*(E397=E$1:E396)))))</f>
        <v/>
      </c>
      <c r="L397" s="25"/>
    </row>
    <row r="398" spans="1:12" x14ac:dyDescent="0.3">
      <c r="A398" t="s">
        <v>464</v>
      </c>
      <c r="B398" s="26" t="s">
        <v>276</v>
      </c>
      <c r="C398" s="26" t="s">
        <v>290</v>
      </c>
      <c r="D398" s="26" t="s">
        <v>240</v>
      </c>
      <c r="E398" s="20" t="str">
        <f t="shared" si="44"/>
        <v>!!!</v>
      </c>
      <c r="F398" s="21" t="str">
        <f>IF(OR(E398="",E398="!!!"),"",IF(NOT(ISNA(VLOOKUP(E398,E$1:E397,1,FALSE()))),"OLD",IF(AND(E398&lt;&gt;"",E398&lt;&gt;"!!!"),"NEW","")))</f>
        <v/>
      </c>
      <c r="G398" s="22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/>
      </c>
      <c r="H398" s="23" t="str">
        <f t="shared" ca="1" si="45"/>
        <v/>
      </c>
      <c r="I398" s="24" t="str">
        <f>IF(OR(E398="",E398="!!!",F398="NEW"),"",INDEX(B$2:B397,-1+SUMPRODUCT(MAX(ROW(E$2:E397)*(E398=E$2:E397)))))</f>
        <v/>
      </c>
      <c r="J398" s="24" t="str">
        <f ca="1">IF(OR(E398="",E398="!!!",F398="NEW"),"",COUNTBLANK(OFFSET(A$1,,,SUMPRODUCT(MAX(ROW(E$2:E398)*(E398=E$2:E398)))))-COUNTBLANK(OFFSET(A$1,,,SUMPRODUCT(MAX(ROW(E$1:E397)*(E2=E$1:E397))))))</f>
        <v/>
      </c>
      <c r="K398" s="24" t="str">
        <f>IF(OR(E398="",E398="!!!",F398="NEW"),"",INDEX(J$1:J397,SUMPRODUCT(MAX(ROW(E$1:E397)*(E398=E$1:E397)))))</f>
        <v/>
      </c>
      <c r="L398" s="25"/>
    </row>
    <row r="399" spans="1:12" x14ac:dyDescent="0.3">
      <c r="A399" t="s">
        <v>465</v>
      </c>
      <c r="B399" s="26" t="s">
        <v>272</v>
      </c>
      <c r="C399" s="26" t="s">
        <v>247</v>
      </c>
      <c r="E399" s="20" t="str">
        <f t="shared" si="44"/>
        <v/>
      </c>
      <c r="F399" s="21" t="str">
        <f>IF(OR(E399="",E399="!!!"),"",IF(NOT(ISNA(VLOOKUP(E399,E$1:E398,1,FALSE()))),"OLD",IF(AND(E399&lt;&gt;"",E399&lt;&gt;"!!!"),"NEW","")))</f>
        <v/>
      </c>
      <c r="G399" s="22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/>
      </c>
      <c r="H399" s="23" t="str">
        <f t="shared" ca="1" si="45"/>
        <v/>
      </c>
      <c r="I399" s="24" t="str">
        <f>IF(OR(E399="",E399="!!!",F399="NEW"),"",INDEX(B$2:B398,-1+SUMPRODUCT(MAX(ROW(E$2:E398)*(E399=E$2:E398)))))</f>
        <v/>
      </c>
      <c r="J399" s="24" t="str">
        <f ca="1">IF(OR(E399="",E399="!!!",F399="NEW"),"",COUNTBLANK(OFFSET(A$1,,,SUMPRODUCT(MAX(ROW(E$2:E399)*(E399=E$2:E399)))))-COUNTBLANK(OFFSET(A$1,,,SUMPRODUCT(MAX(ROW(E$1:E398)*(E2=E$1:E398))))))</f>
        <v/>
      </c>
      <c r="K399" s="24" t="str">
        <f>IF(OR(E399="",E399="!!!",F399="NEW"),"",INDEX(J$1:J398,SUMPRODUCT(MAX(ROW(E$1:E398)*(E399=E$1:E398)))))</f>
        <v/>
      </c>
      <c r="L399" s="25"/>
    </row>
    <row r="400" spans="1:12" x14ac:dyDescent="0.3">
      <c r="A400" t="s">
        <v>466</v>
      </c>
      <c r="E400" s="20" t="str">
        <f t="shared" si="44"/>
        <v/>
      </c>
      <c r="F400" s="21" t="str">
        <f>IF(OR(E400="",E400="!!!"),"",IF(NOT(ISNA(VLOOKUP(E400,E$1:E399,1,FALSE()))),"OLD",IF(AND(E400&lt;&gt;"",E400&lt;&gt;"!!!"),"NEW","")))</f>
        <v/>
      </c>
      <c r="G400" s="22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/>
      </c>
      <c r="H400" s="23" t="str">
        <f t="shared" ca="1" si="45"/>
        <v/>
      </c>
      <c r="I400" s="24" t="str">
        <f>IF(OR(E400="",E400="!!!",F400="NEW"),"",INDEX(B$2:B399,-1+SUMPRODUCT(MAX(ROW(E$2:E399)*(E400=E$2:E399)))))</f>
        <v/>
      </c>
      <c r="J400" s="24" t="str">
        <f ca="1">IF(OR(E400="",E400="!!!",F400="NEW"),"",COUNTBLANK(OFFSET(A$1,,,SUMPRODUCT(MAX(ROW(E$2:E400)*(E400=E$2:E400)))))-COUNTBLANK(OFFSET(A$1,,,SUMPRODUCT(MAX(ROW(E$1:E399)*(E2=E$1:E399))))))</f>
        <v/>
      </c>
      <c r="K400" s="24" t="str">
        <f>IF(OR(E400="",E400="!!!",F400="NEW"),"",INDEX(J$1:J399,SUMPRODUCT(MAX(ROW(E$1:E399)*(E400=E$1:E399)))))</f>
        <v/>
      </c>
      <c r="L400" s="25"/>
    </row>
    <row r="401" spans="1:12" x14ac:dyDescent="0.3">
      <c r="A401" t="s">
        <v>252</v>
      </c>
      <c r="E401" s="20" t="str">
        <f t="shared" si="44"/>
        <v/>
      </c>
      <c r="F401" s="21" t="str">
        <f>IF(OR(E401="",E401="!!!"),"",IF(NOT(ISNA(VLOOKUP(E401,E$1:E400,1,FALSE()))),"OLD",IF(AND(E401&lt;&gt;"",E401&lt;&gt;"!!!"),"NEW","")))</f>
        <v/>
      </c>
      <c r="G401" s="22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/>
      </c>
      <c r="H401" s="23" t="str">
        <f t="shared" ca="1" si="45"/>
        <v/>
      </c>
      <c r="I401" s="24" t="str">
        <f>IF(OR(E401="",E401="!!!",F401="NEW"),"",INDEX(B$2:B400,-1+SUMPRODUCT(MAX(ROW(E$2:E400)*(E401=E$2:E400)))))</f>
        <v/>
      </c>
      <c r="J401" s="24" t="str">
        <f ca="1">IF(OR(E401="",E401="!!!",F401="NEW"),"",COUNTBLANK(OFFSET(A$1,,,SUMPRODUCT(MAX(ROW(E$2:E401)*(E401=E$2:E401)))))-COUNTBLANK(OFFSET(A$1,,,SUMPRODUCT(MAX(ROW(E$1:E400)*(E2=E$1:E400))))))</f>
        <v/>
      </c>
      <c r="K401" s="24" t="str">
        <f>IF(OR(E401="",E401="!!!",F401="NEW"),"",INDEX(J$1:J400,SUMPRODUCT(MAX(ROW(E$1:E400)*(E401=E$1:E400)))))</f>
        <v/>
      </c>
      <c r="L401" s="25"/>
    </row>
    <row r="402" spans="1:12" x14ac:dyDescent="0.3">
      <c r="A402" t="s">
        <v>467</v>
      </c>
      <c r="E402" s="20" t="str">
        <f t="shared" si="44"/>
        <v/>
      </c>
      <c r="F402" s="21" t="str">
        <f>IF(OR(E402="",E402="!!!"),"",IF(NOT(ISNA(VLOOKUP(E402,E$1:E401,1,FALSE()))),"OLD",IF(AND(E402&lt;&gt;"",E402&lt;&gt;"!!!"),"NEW","")))</f>
        <v/>
      </c>
      <c r="G402" s="22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/>
      </c>
      <c r="H402" s="23" t="str">
        <f t="shared" ca="1" si="45"/>
        <v/>
      </c>
      <c r="I402" s="24" t="str">
        <f>IF(OR(E402="",E402="!!!",F402="NEW"),"",INDEX(B$2:B401,-1+SUMPRODUCT(MAX(ROW(E$2:E401)*(E402=E$2:E401)))))</f>
        <v/>
      </c>
      <c r="J402" s="24" t="str">
        <f ca="1">IF(OR(E402="",E402="!!!",F402="NEW"),"",COUNTBLANK(OFFSET(A$1,,,SUMPRODUCT(MAX(ROW(E$2:E402)*(E402=E$2:E402)))))-COUNTBLANK(OFFSET(A$1,,,SUMPRODUCT(MAX(ROW(E$1:E401)*(E2=E$1:E401))))))</f>
        <v/>
      </c>
      <c r="K402" s="24" t="str">
        <f>IF(OR(E402="",E402="!!!",F402="NEW"),"",INDEX(J$1:J401,SUMPRODUCT(MAX(ROW(E$1:E401)*(E402=E$1:E401)))))</f>
        <v/>
      </c>
      <c r="L402" s="25"/>
    </row>
    <row r="403" spans="1:12" x14ac:dyDescent="0.3">
      <c r="A403" t="s">
        <v>386</v>
      </c>
      <c r="E403" s="20" t="str">
        <f t="shared" si="44"/>
        <v/>
      </c>
      <c r="F403" s="21" t="str">
        <f>IF(OR(E403="",E403="!!!"),"",IF(NOT(ISNA(VLOOKUP(E403,E$1:E402,1,FALSE()))),"OLD",IF(AND(E403&lt;&gt;"",E403&lt;&gt;"!!!"),"NEW","")))</f>
        <v/>
      </c>
      <c r="G403" s="22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/>
      </c>
      <c r="H403" s="23" t="str">
        <f t="shared" ca="1" si="45"/>
        <v/>
      </c>
      <c r="I403" s="24" t="str">
        <f>IF(OR(E403="",E403="!!!",F403="NEW"),"",INDEX(B$2:B402,-1+SUMPRODUCT(MAX(ROW(E$2:E402)*(E403=E$2:E402)))))</f>
        <v/>
      </c>
      <c r="J403" s="24" t="str">
        <f ca="1">IF(OR(E403="",E403="!!!",F403="NEW"),"",COUNTBLANK(OFFSET(A$1,,,SUMPRODUCT(MAX(ROW(E$2:E403)*(E403=E$2:E403)))))-COUNTBLANK(OFFSET(A$1,,,SUMPRODUCT(MAX(ROW(E$1:E402)*(E2=E$1:E402))))))</f>
        <v/>
      </c>
      <c r="K403" s="24" t="str">
        <f>IF(OR(E403="",E403="!!!",F403="NEW"),"",INDEX(J$1:J402,SUMPRODUCT(MAX(ROW(E$1:E402)*(E403=E$1:E402)))))</f>
        <v/>
      </c>
      <c r="L403" s="25"/>
    </row>
    <row r="404" spans="1:12" x14ac:dyDescent="0.3">
      <c r="A404" t="s">
        <v>310</v>
      </c>
      <c r="E404" s="20" t="str">
        <f t="shared" si="44"/>
        <v/>
      </c>
      <c r="F404" s="21" t="str">
        <f>IF(OR(E404="",E404="!!!"),"",IF(NOT(ISNA(VLOOKUP(E404,E$1:E403,1,FALSE()))),"OLD",IF(AND(E404&lt;&gt;"",E404&lt;&gt;"!!!"),"NEW","")))</f>
        <v/>
      </c>
      <c r="G404" s="22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/>
      </c>
      <c r="H404" s="23" t="str">
        <f t="shared" ca="1" si="45"/>
        <v/>
      </c>
      <c r="I404" s="24" t="str">
        <f>IF(OR(E404="",E404="!!!",F404="NEW"),"",INDEX(B$2:B403,-1+SUMPRODUCT(MAX(ROW(E$2:E403)*(E404=E$2:E403)))))</f>
        <v/>
      </c>
      <c r="J404" s="24" t="str">
        <f ca="1">IF(OR(E404="",E404="!!!",F404="NEW"),"",COUNTBLANK(OFFSET(A$1,,,SUMPRODUCT(MAX(ROW(E$2:E404)*(E404=E$2:E404)))))-COUNTBLANK(OFFSET(A$1,,,SUMPRODUCT(MAX(ROW(E$1:E403)*(E2=E$1:E403))))))</f>
        <v/>
      </c>
      <c r="K404" s="24" t="str">
        <f>IF(OR(E404="",E404="!!!",F404="NEW"),"",INDEX(J$1:J403,SUMPRODUCT(MAX(ROW(E$1:E403)*(E404=E$1:E403)))))</f>
        <v/>
      </c>
      <c r="L404" s="25"/>
    </row>
    <row r="405" spans="1:12" x14ac:dyDescent="0.3">
      <c r="A405" t="s">
        <v>468</v>
      </c>
      <c r="B405" s="26" t="s">
        <v>469</v>
      </c>
      <c r="C405" s="26" t="s">
        <v>239</v>
      </c>
      <c r="D405" s="26" t="s">
        <v>240</v>
      </c>
      <c r="E405" s="20" t="str">
        <f t="shared" si="44"/>
        <v>!!!</v>
      </c>
      <c r="F405" s="21" t="str">
        <f>IF(OR(E405="",E405="!!!"),"",IF(NOT(ISNA(VLOOKUP(E405,E$1:E404,1,FALSE()))),"OLD",IF(AND(E405&lt;&gt;"",E405&lt;&gt;"!!!"),"NEW","")))</f>
        <v/>
      </c>
      <c r="G405" s="22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/>
      </c>
      <c r="H405" s="23" t="str">
        <f t="shared" ca="1" si="45"/>
        <v/>
      </c>
      <c r="I405" s="24" t="str">
        <f>IF(OR(E405="",E405="!!!",F405="NEW"),"",INDEX(B$2:B404,-1+SUMPRODUCT(MAX(ROW(E$2:E404)*(E405=E$2:E404)))))</f>
        <v/>
      </c>
      <c r="J405" s="24" t="str">
        <f ca="1">IF(OR(E405="",E405="!!!",F405="NEW"),"",COUNTBLANK(OFFSET(A$1,,,SUMPRODUCT(MAX(ROW(E$2:E405)*(E405=E$2:E405)))))-COUNTBLANK(OFFSET(A$1,,,SUMPRODUCT(MAX(ROW(E$1:E404)*(E2=E$1:E404))))))</f>
        <v/>
      </c>
      <c r="K405" s="24" t="str">
        <f>IF(OR(E405="",E405="!!!",F405="NEW"),"",INDEX(J$1:J404,SUMPRODUCT(MAX(ROW(E$1:E404)*(E405=E$1:E404)))))</f>
        <v/>
      </c>
      <c r="L405" s="25"/>
    </row>
    <row r="406" spans="1:12" x14ac:dyDescent="0.3">
      <c r="A406" t="s">
        <v>470</v>
      </c>
      <c r="E406" s="20" t="str">
        <f t="shared" si="44"/>
        <v/>
      </c>
      <c r="F406" s="21" t="str">
        <f>IF(OR(E406="",E406="!!!"),"",IF(NOT(ISNA(VLOOKUP(E406,E$1:E405,1,FALSE()))),"OLD",IF(AND(E406&lt;&gt;"",E406&lt;&gt;"!!!"),"NEW","")))</f>
        <v/>
      </c>
      <c r="G406" s="22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/>
      </c>
      <c r="H406" s="23" t="str">
        <f t="shared" ca="1" si="45"/>
        <v/>
      </c>
      <c r="I406" s="24" t="str">
        <f>IF(OR(E406="",E406="!!!",F406="NEW"),"",INDEX(B$2:B405,-1+SUMPRODUCT(MAX(ROW(E$2:E405)*(E406=E$2:E405)))))</f>
        <v/>
      </c>
      <c r="J406" s="24" t="str">
        <f ca="1">IF(OR(E406="",E406="!!!",F406="NEW"),"",COUNTBLANK(OFFSET(A$1,,,SUMPRODUCT(MAX(ROW(E$2:E406)*(E406=E$2:E406)))))-COUNTBLANK(OFFSET(A$1,,,SUMPRODUCT(MAX(ROW(E$1:E405)*(E2=E$1:E405))))))</f>
        <v/>
      </c>
      <c r="K406" s="24" t="str">
        <f>IF(OR(E406="",E406="!!!",F406="NEW"),"",INDEX(J$1:J405,SUMPRODUCT(MAX(ROW(E$1:E405)*(E406=E$1:E405)))))</f>
        <v/>
      </c>
      <c r="L406" s="25"/>
    </row>
    <row r="407" spans="1:12" x14ac:dyDescent="0.3">
      <c r="A407" t="s">
        <v>248</v>
      </c>
      <c r="E407" s="20" t="str">
        <f t="shared" si="44"/>
        <v/>
      </c>
      <c r="F407" s="21" t="str">
        <f>IF(OR(E407="",E407="!!!"),"",IF(NOT(ISNA(VLOOKUP(E407,E$1:E406,1,FALSE()))),"OLD",IF(AND(E407&lt;&gt;"",E407&lt;&gt;"!!!"),"NEW","")))</f>
        <v/>
      </c>
      <c r="G407" s="22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/>
      </c>
      <c r="H407" s="23" t="str">
        <f t="shared" ca="1" si="45"/>
        <v/>
      </c>
      <c r="I407" s="24" t="str">
        <f>IF(OR(E407="",E407="!!!",F407="NEW"),"",INDEX(B$2:B406,-1+SUMPRODUCT(MAX(ROW(E$2:E406)*(E407=E$2:E406)))))</f>
        <v/>
      </c>
      <c r="J407" s="24" t="str">
        <f ca="1">IF(OR(E407="",E407="!!!",F407="NEW"),"",COUNTBLANK(OFFSET(A$1,,,SUMPRODUCT(MAX(ROW(E$2:E407)*(E407=E$2:E407)))))-COUNTBLANK(OFFSET(A$1,,,SUMPRODUCT(MAX(ROW(E$1:E406)*(E2=E$1:E406))))))</f>
        <v/>
      </c>
      <c r="K407" s="24" t="str">
        <f>IF(OR(E407="",E407="!!!",F407="NEW"),"",INDEX(J$1:J406,SUMPRODUCT(MAX(ROW(E$1:E406)*(E407=E$1:E406)))))</f>
        <v/>
      </c>
      <c r="L407" s="25"/>
    </row>
    <row r="409" spans="1:12" x14ac:dyDescent="0.3">
      <c r="A409" t="s">
        <v>471</v>
      </c>
    </row>
    <row r="410" spans="1:12" x14ac:dyDescent="0.3">
      <c r="A410" t="s">
        <v>472</v>
      </c>
      <c r="E410" s="20" t="str">
        <f t="shared" ref="E410:E415" si="46">IF(D410="?OLD","!!!","")</f>
        <v/>
      </c>
      <c r="F410" s="21" t="str">
        <f>IF(OR(E410="",E410="!!!"),"",IF(NOT(ISNA(VLOOKUP(E410,E$1:E409,1,FALSE()))),"OLD",IF(AND(E410&lt;&gt;"",E410&lt;&gt;"!!!"),"NEW","")))</f>
        <v/>
      </c>
      <c r="G410" s="22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/>
      </c>
      <c r="H410" s="23" t="str">
        <f t="shared" ref="H410:H415" ca="1" si="47">IF(J410&lt;&gt;1,"",IF(I410="SBJ","CB","?"))</f>
        <v/>
      </c>
      <c r="I410" s="24" t="str">
        <f>IF(OR(E410="",E410="!!!",F410="NEW"),"",INDEX(B$2:B409,-1+SUMPRODUCT(MAX(ROW(E$2:E409)*(E410=E$2:E409)))))</f>
        <v/>
      </c>
      <c r="J410" s="24" t="str">
        <f ca="1">IF(OR(E410="",E410="!!!",F410="NEW"),"",COUNTBLANK(OFFSET(A$1,,,SUMPRODUCT(MAX(ROW(E$2:E410)*(E410=E$2:E410)))))-COUNTBLANK(OFFSET(A$1,,,SUMPRODUCT(MAX(ROW(E$1:E409)*(E2=E$1:E409))))))</f>
        <v/>
      </c>
      <c r="K410" s="24" t="str">
        <f>IF(OR(E410="",E410="!!!",F410="NEW"),"",INDEX(J$1:J409,SUMPRODUCT(MAX(ROW(E$1:E409)*(E410=E$1:E409)))))</f>
        <v/>
      </c>
      <c r="L410" s="25"/>
    </row>
    <row r="411" spans="1:12" x14ac:dyDescent="0.3">
      <c r="A411" t="s">
        <v>429</v>
      </c>
      <c r="E411" s="20" t="str">
        <f t="shared" si="46"/>
        <v/>
      </c>
      <c r="F411" s="21" t="str">
        <f>IF(OR(E411="",E411="!!!"),"",IF(NOT(ISNA(VLOOKUP(E411,E$1:E410,1,FALSE()))),"OLD",IF(AND(E411&lt;&gt;"",E411&lt;&gt;"!!!"),"NEW","")))</f>
        <v/>
      </c>
      <c r="G411" s="22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/>
      </c>
      <c r="H411" s="23" t="str">
        <f t="shared" ca="1" si="47"/>
        <v/>
      </c>
      <c r="I411" s="24" t="str">
        <f>IF(OR(E411="",E411="!!!",F411="NEW"),"",INDEX(B$2:B410,-1+SUMPRODUCT(MAX(ROW(E$2:E410)*(E411=E$2:E410)))))</f>
        <v/>
      </c>
      <c r="J411" s="24" t="str">
        <f ca="1">IF(OR(E411="",E411="!!!",F411="NEW"),"",COUNTBLANK(OFFSET(A$1,,,SUMPRODUCT(MAX(ROW(E$2:E411)*(E411=E$2:E411)))))-COUNTBLANK(OFFSET(A$1,,,SUMPRODUCT(MAX(ROW(E$1:E410)*(E2=E$1:E410))))))</f>
        <v/>
      </c>
      <c r="K411" s="24" t="str">
        <f>IF(OR(E411="",E411="!!!",F411="NEW"),"",INDEX(J$1:J410,SUMPRODUCT(MAX(ROW(E$1:E410)*(E411=E$1:E410)))))</f>
        <v/>
      </c>
      <c r="L411" s="25"/>
    </row>
    <row r="412" spans="1:12" x14ac:dyDescent="0.3">
      <c r="A412" t="s">
        <v>430</v>
      </c>
      <c r="E412" s="20" t="str">
        <f t="shared" si="46"/>
        <v/>
      </c>
      <c r="F412" s="21" t="str">
        <f>IF(OR(E412="",E412="!!!"),"",IF(NOT(ISNA(VLOOKUP(E412,E$1:E411,1,FALSE()))),"OLD",IF(AND(E412&lt;&gt;"",E412&lt;&gt;"!!!"),"NEW","")))</f>
        <v/>
      </c>
      <c r="G412" s="22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/>
      </c>
      <c r="H412" s="23" t="str">
        <f t="shared" ca="1" si="47"/>
        <v/>
      </c>
      <c r="I412" s="24" t="str">
        <f>IF(OR(E412="",E412="!!!",F412="NEW"),"",INDEX(B$2:B411,-1+SUMPRODUCT(MAX(ROW(E$2:E411)*(E412=E$2:E411)))))</f>
        <v/>
      </c>
      <c r="J412" s="24" t="str">
        <f ca="1">IF(OR(E412="",E412="!!!",F412="NEW"),"",COUNTBLANK(OFFSET(A$1,,,SUMPRODUCT(MAX(ROW(E$2:E412)*(E412=E$2:E412)))))-COUNTBLANK(OFFSET(A$1,,,SUMPRODUCT(MAX(ROW(E$1:E411)*(E2=E$1:E411))))))</f>
        <v/>
      </c>
      <c r="K412" s="24" t="str">
        <f>IF(OR(E412="",E412="!!!",F412="NEW"),"",INDEX(J$1:J411,SUMPRODUCT(MAX(ROW(E$1:E411)*(E412=E$1:E411)))))</f>
        <v/>
      </c>
      <c r="L412" s="25"/>
    </row>
    <row r="413" spans="1:12" x14ac:dyDescent="0.3">
      <c r="A413" t="s">
        <v>473</v>
      </c>
      <c r="E413" s="20" t="str">
        <f t="shared" si="46"/>
        <v/>
      </c>
      <c r="F413" s="21" t="str">
        <f>IF(OR(E413="",E413="!!!"),"",IF(NOT(ISNA(VLOOKUP(E413,E$1:E412,1,FALSE()))),"OLD",IF(AND(E413&lt;&gt;"",E413&lt;&gt;"!!!"),"NEW","")))</f>
        <v/>
      </c>
      <c r="G413" s="22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/>
      </c>
      <c r="H413" s="23" t="str">
        <f t="shared" ca="1" si="47"/>
        <v/>
      </c>
      <c r="I413" s="24" t="str">
        <f>IF(OR(E413="",E413="!!!",F413="NEW"),"",INDEX(B$2:B412,-1+SUMPRODUCT(MAX(ROW(E$2:E412)*(E413=E$2:E412)))))</f>
        <v/>
      </c>
      <c r="J413" s="24" t="str">
        <f ca="1">IF(OR(E413="",E413="!!!",F413="NEW"),"",COUNTBLANK(OFFSET(A$1,,,SUMPRODUCT(MAX(ROW(E$2:E413)*(E413=E$2:E413)))))-COUNTBLANK(OFFSET(A$1,,,SUMPRODUCT(MAX(ROW(E$1:E412)*(E2=E$1:E412))))))</f>
        <v/>
      </c>
      <c r="K413" s="24" t="str">
        <f>IF(OR(E413="",E413="!!!",F413="NEW"),"",INDEX(J$1:J412,SUMPRODUCT(MAX(ROW(E$1:E412)*(E413=E$1:E412)))))</f>
        <v/>
      </c>
      <c r="L413" s="25"/>
    </row>
    <row r="414" spans="1:12" x14ac:dyDescent="0.3">
      <c r="A414" t="s">
        <v>433</v>
      </c>
      <c r="E414" s="20" t="str">
        <f t="shared" si="46"/>
        <v/>
      </c>
      <c r="F414" s="21" t="str">
        <f>IF(OR(E414="",E414="!!!"),"",IF(NOT(ISNA(VLOOKUP(E414,E$1:E413,1,FALSE()))),"OLD",IF(AND(E414&lt;&gt;"",E414&lt;&gt;"!!!"),"NEW","")))</f>
        <v/>
      </c>
      <c r="G414" s="22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/>
      </c>
      <c r="H414" s="23" t="str">
        <f t="shared" ca="1" si="47"/>
        <v/>
      </c>
      <c r="I414" s="24" t="str">
        <f>IF(OR(E414="",E414="!!!",F414="NEW"),"",INDEX(B$2:B413,-1+SUMPRODUCT(MAX(ROW(E$2:E413)*(E414=E$2:E413)))))</f>
        <v/>
      </c>
      <c r="J414" s="24" t="str">
        <f ca="1">IF(OR(E414="",E414="!!!",F414="NEW"),"",COUNTBLANK(OFFSET(A$1,,,SUMPRODUCT(MAX(ROW(E$2:E414)*(E414=E$2:E414)))))-COUNTBLANK(OFFSET(A$1,,,SUMPRODUCT(MAX(ROW(E$1:E413)*(E2=E$1:E413))))))</f>
        <v/>
      </c>
      <c r="K414" s="24" t="str">
        <f>IF(OR(E414="",E414="!!!",F414="NEW"),"",INDEX(J$1:J413,SUMPRODUCT(MAX(ROW(E$1:E413)*(E414=E$1:E413)))))</f>
        <v/>
      </c>
      <c r="L414" s="25"/>
    </row>
    <row r="415" spans="1:12" x14ac:dyDescent="0.3">
      <c r="A415" t="s">
        <v>248</v>
      </c>
      <c r="E415" s="20" t="str">
        <f t="shared" si="46"/>
        <v/>
      </c>
      <c r="F415" s="21" t="str">
        <f>IF(OR(E415="",E415="!!!"),"",IF(NOT(ISNA(VLOOKUP(E415,E$1:E414,1,FALSE()))),"OLD",IF(AND(E415&lt;&gt;"",E415&lt;&gt;"!!!"),"NEW","")))</f>
        <v/>
      </c>
      <c r="G415" s="22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/>
      </c>
      <c r="H415" s="23" t="str">
        <f t="shared" ca="1" si="47"/>
        <v/>
      </c>
      <c r="I415" s="24" t="str">
        <f>IF(OR(E415="",E415="!!!",F415="NEW"),"",INDEX(B$2:B414,-1+SUMPRODUCT(MAX(ROW(E$2:E414)*(E415=E$2:E414)))))</f>
        <v/>
      </c>
      <c r="J415" s="24" t="str">
        <f ca="1">IF(OR(E415="",E415="!!!",F415="NEW"),"",COUNTBLANK(OFFSET(A$1,,,SUMPRODUCT(MAX(ROW(E$2:E415)*(E415=E$2:E415)))))-COUNTBLANK(OFFSET(A$1,,,SUMPRODUCT(MAX(ROW(E$1:E414)*(E2=E$1:E414))))))</f>
        <v/>
      </c>
      <c r="K415" s="24" t="str">
        <f>IF(OR(E415="",E415="!!!",F415="NEW"),"",INDEX(J$1:J414,SUMPRODUCT(MAX(ROW(E$1:E414)*(E415=E$1:E414)))))</f>
        <v/>
      </c>
      <c r="L415" s="25"/>
    </row>
    <row r="417" spans="1:12" x14ac:dyDescent="0.3">
      <c r="A417" t="s">
        <v>474</v>
      </c>
    </row>
    <row r="418" spans="1:12" x14ac:dyDescent="0.3">
      <c r="A418" t="s">
        <v>408</v>
      </c>
      <c r="E418" s="20" t="str">
        <f t="shared" ref="E418:E434" si="48">IF(D418="?OLD","!!!","")</f>
        <v/>
      </c>
      <c r="F418" s="21" t="str">
        <f>IF(OR(E418="",E418="!!!"),"",IF(NOT(ISNA(VLOOKUP(E418,E$1:E417,1,FALSE()))),"OLD",IF(AND(E418&lt;&gt;"",E418&lt;&gt;"!!!"),"NEW","")))</f>
        <v/>
      </c>
      <c r="G418" s="22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/>
      </c>
      <c r="H418" s="23" t="str">
        <f t="shared" ref="H418:H434" ca="1" si="49">IF(J418&lt;&gt;1,"",IF(I418="SBJ","CB","?"))</f>
        <v/>
      </c>
      <c r="I418" s="24" t="str">
        <f>IF(OR(E418="",E418="!!!",F418="NEW"),"",INDEX(B$2:B417,-1+SUMPRODUCT(MAX(ROW(E$2:E417)*(E418=E$2:E417)))))</f>
        <v/>
      </c>
      <c r="J418" s="24" t="str">
        <f ca="1">IF(OR(E418="",E418="!!!",F418="NEW"),"",COUNTBLANK(OFFSET(A$1,,,SUMPRODUCT(MAX(ROW(E$2:E418)*(E418=E$2:E418)))))-COUNTBLANK(OFFSET(A$1,,,SUMPRODUCT(MAX(ROW(E$1:E417)*(E2=E$1:E417))))))</f>
        <v/>
      </c>
      <c r="K418" s="24" t="str">
        <f>IF(OR(E418="",E418="!!!",F418="NEW"),"",INDEX(J$1:J417,SUMPRODUCT(MAX(ROW(E$1:E417)*(E418=E$1:E417)))))</f>
        <v/>
      </c>
      <c r="L418" s="25"/>
    </row>
    <row r="419" spans="1:12" x14ac:dyDescent="0.3">
      <c r="A419" t="s">
        <v>406</v>
      </c>
      <c r="E419" s="20" t="str">
        <f t="shared" si="48"/>
        <v/>
      </c>
      <c r="F419" s="21" t="str">
        <f>IF(OR(E419="",E419="!!!"),"",IF(NOT(ISNA(VLOOKUP(E419,E$1:E418,1,FALSE()))),"OLD",IF(AND(E419&lt;&gt;"",E419&lt;&gt;"!!!"),"NEW","")))</f>
        <v/>
      </c>
      <c r="G419" s="22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/>
      </c>
      <c r="H419" s="23" t="str">
        <f t="shared" ca="1" si="49"/>
        <v/>
      </c>
      <c r="I419" s="24" t="str">
        <f>IF(OR(E419="",E419="!!!",F419="NEW"),"",INDEX(B$2:B418,-1+SUMPRODUCT(MAX(ROW(E$2:E418)*(E419=E$2:E418)))))</f>
        <v/>
      </c>
      <c r="J419" s="24" t="str">
        <f ca="1">IF(OR(E419="",E419="!!!",F419="NEW"),"",COUNTBLANK(OFFSET(A$1,,,SUMPRODUCT(MAX(ROW(E$2:E419)*(E419=E$2:E419)))))-COUNTBLANK(OFFSET(A$1,,,SUMPRODUCT(MAX(ROW(E$1:E418)*(E2=E$1:E418))))))</f>
        <v/>
      </c>
      <c r="K419" s="24" t="str">
        <f>IF(OR(E419="",E419="!!!",F419="NEW"),"",INDEX(J$1:J418,SUMPRODUCT(MAX(ROW(E$1:E418)*(E419=E$1:E418)))))</f>
        <v/>
      </c>
      <c r="L419" s="25"/>
    </row>
    <row r="420" spans="1:12" x14ac:dyDescent="0.3">
      <c r="A420" t="s">
        <v>254</v>
      </c>
      <c r="B420" s="26" t="s">
        <v>255</v>
      </c>
      <c r="C420" s="26" t="s">
        <v>256</v>
      </c>
      <c r="D420" s="26" t="s">
        <v>240</v>
      </c>
      <c r="E420" s="20" t="str">
        <f t="shared" si="48"/>
        <v>!!!</v>
      </c>
      <c r="F420" s="21" t="str">
        <f>IF(OR(E420="",E420="!!!"),"",IF(NOT(ISNA(VLOOKUP(E420,E$1:E419,1,FALSE()))),"OLD",IF(AND(E420&lt;&gt;"",E420&lt;&gt;"!!!"),"NEW","")))</f>
        <v/>
      </c>
      <c r="G420" s="22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/>
      </c>
      <c r="H420" s="23" t="str">
        <f t="shared" ca="1" si="49"/>
        <v/>
      </c>
      <c r="I420" s="24" t="str">
        <f>IF(OR(E420="",E420="!!!",F420="NEW"),"",INDEX(B$2:B419,-1+SUMPRODUCT(MAX(ROW(E$2:E419)*(E420=E$2:E419)))))</f>
        <v/>
      </c>
      <c r="J420" s="24" t="str">
        <f ca="1">IF(OR(E420="",E420="!!!",F420="NEW"),"",COUNTBLANK(OFFSET(A$1,,,SUMPRODUCT(MAX(ROW(E$2:E420)*(E420=E$2:E420)))))-COUNTBLANK(OFFSET(A$1,,,SUMPRODUCT(MAX(ROW(E$1:E419)*(E2=E$1:E419))))))</f>
        <v/>
      </c>
      <c r="K420" s="24" t="str">
        <f>IF(OR(E420="",E420="!!!",F420="NEW"),"",INDEX(J$1:J419,SUMPRODUCT(MAX(ROW(E$1:E419)*(E420=E$1:E419)))))</f>
        <v/>
      </c>
      <c r="L420" s="25"/>
    </row>
    <row r="421" spans="1:12" x14ac:dyDescent="0.3">
      <c r="A421" t="s">
        <v>361</v>
      </c>
      <c r="E421" s="20" t="str">
        <f t="shared" si="48"/>
        <v/>
      </c>
      <c r="F421" s="21" t="str">
        <f>IF(OR(E421="",E421="!!!"),"",IF(NOT(ISNA(VLOOKUP(E421,E$1:E420,1,FALSE()))),"OLD",IF(AND(E421&lt;&gt;"",E421&lt;&gt;"!!!"),"NEW","")))</f>
        <v/>
      </c>
      <c r="G421" s="22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/>
      </c>
      <c r="H421" s="23" t="str">
        <f t="shared" ca="1" si="49"/>
        <v/>
      </c>
      <c r="I421" s="24" t="str">
        <f>IF(OR(E421="",E421="!!!",F421="NEW"),"",INDEX(B$2:B420,-1+SUMPRODUCT(MAX(ROW(E$2:E420)*(E421=E$2:E420)))))</f>
        <v/>
      </c>
      <c r="J421" s="24" t="str">
        <f ca="1">IF(OR(E421="",E421="!!!",F421="NEW"),"",COUNTBLANK(OFFSET(A$1,,,SUMPRODUCT(MAX(ROW(E$2:E421)*(E421=E$2:E421)))))-COUNTBLANK(OFFSET(A$1,,,SUMPRODUCT(MAX(ROW(E$1:E420)*(E2=E$1:E420))))))</f>
        <v/>
      </c>
      <c r="K421" s="24" t="str">
        <f>IF(OR(E421="",E421="!!!",F421="NEW"),"",INDEX(J$1:J420,SUMPRODUCT(MAX(ROW(E$1:E420)*(E421=E$1:E420)))))</f>
        <v/>
      </c>
      <c r="L421" s="25"/>
    </row>
    <row r="422" spans="1:12" x14ac:dyDescent="0.3">
      <c r="A422" t="s">
        <v>475</v>
      </c>
      <c r="B422" s="26" t="s">
        <v>238</v>
      </c>
      <c r="C422" s="26" t="s">
        <v>294</v>
      </c>
      <c r="D422" s="26" t="s">
        <v>240</v>
      </c>
      <c r="E422" s="20" t="str">
        <f t="shared" si="48"/>
        <v>!!!</v>
      </c>
      <c r="F422" s="21" t="str">
        <f>IF(OR(E422="",E422="!!!"),"",IF(NOT(ISNA(VLOOKUP(E422,E$1:E421,1,FALSE()))),"OLD",IF(AND(E422&lt;&gt;"",E422&lt;&gt;"!!!"),"NEW","")))</f>
        <v/>
      </c>
      <c r="G422" s="22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/>
      </c>
      <c r="H422" s="23" t="str">
        <f t="shared" ca="1" si="49"/>
        <v/>
      </c>
      <c r="I422" s="24" t="str">
        <f>IF(OR(E422="",E422="!!!",F422="NEW"),"",INDEX(B$2:B421,-1+SUMPRODUCT(MAX(ROW(E$2:E421)*(E422=E$2:E421)))))</f>
        <v/>
      </c>
      <c r="J422" s="24" t="str">
        <f ca="1">IF(OR(E422="",E422="!!!",F422="NEW"),"",COUNTBLANK(OFFSET(A$1,,,SUMPRODUCT(MAX(ROW(E$2:E422)*(E422=E$2:E422)))))-COUNTBLANK(OFFSET(A$1,,,SUMPRODUCT(MAX(ROW(E$1:E421)*(E2=E$1:E421))))))</f>
        <v/>
      </c>
      <c r="K422" s="24" t="str">
        <f>IF(OR(E422="",E422="!!!",F422="NEW"),"",INDEX(J$1:J421,SUMPRODUCT(MAX(ROW(E$1:E421)*(E422=E$1:E421)))))</f>
        <v/>
      </c>
      <c r="L422" s="25"/>
    </row>
    <row r="423" spans="1:12" x14ac:dyDescent="0.3">
      <c r="A423" t="s">
        <v>476</v>
      </c>
      <c r="E423" s="20" t="str">
        <f t="shared" si="48"/>
        <v/>
      </c>
      <c r="F423" s="21" t="str">
        <f>IF(OR(E423="",E423="!!!"),"",IF(NOT(ISNA(VLOOKUP(E423,E$1:E422,1,FALSE()))),"OLD",IF(AND(E423&lt;&gt;"",E423&lt;&gt;"!!!"),"NEW","")))</f>
        <v/>
      </c>
      <c r="G423" s="22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/>
      </c>
      <c r="H423" s="23" t="str">
        <f t="shared" ca="1" si="49"/>
        <v/>
      </c>
      <c r="I423" s="24" t="str">
        <f>IF(OR(E423="",E423="!!!",F423="NEW"),"",INDEX(B$2:B422,-1+SUMPRODUCT(MAX(ROW(E$2:E422)*(E423=E$2:E422)))))</f>
        <v/>
      </c>
      <c r="J423" s="24" t="str">
        <f ca="1">IF(OR(E423="",E423="!!!",F423="NEW"),"",COUNTBLANK(OFFSET(A$1,,,SUMPRODUCT(MAX(ROW(E$2:E423)*(E423=E$2:E423)))))-COUNTBLANK(OFFSET(A$1,,,SUMPRODUCT(MAX(ROW(E$1:E422)*(E2=E$1:E422))))))</f>
        <v/>
      </c>
      <c r="K423" s="24" t="str">
        <f>IF(OR(E423="",E423="!!!",F423="NEW"),"",INDEX(J$1:J422,SUMPRODUCT(MAX(ROW(E$1:E422)*(E423=E$1:E422)))))</f>
        <v/>
      </c>
      <c r="L423" s="25"/>
    </row>
    <row r="424" spans="1:12" x14ac:dyDescent="0.3">
      <c r="A424" t="s">
        <v>252</v>
      </c>
      <c r="E424" s="20" t="str">
        <f t="shared" si="48"/>
        <v/>
      </c>
      <c r="F424" s="21" t="str">
        <f>IF(OR(E424="",E424="!!!"),"",IF(NOT(ISNA(VLOOKUP(E424,E$1:E423,1,FALSE()))),"OLD",IF(AND(E424&lt;&gt;"",E424&lt;&gt;"!!!"),"NEW","")))</f>
        <v/>
      </c>
      <c r="G424" s="22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/>
      </c>
      <c r="H424" s="23" t="str">
        <f t="shared" ca="1" si="49"/>
        <v/>
      </c>
      <c r="I424" s="24" t="str">
        <f>IF(OR(E424="",E424="!!!",F424="NEW"),"",INDEX(B$2:B423,-1+SUMPRODUCT(MAX(ROW(E$2:E423)*(E424=E$2:E423)))))</f>
        <v/>
      </c>
      <c r="J424" s="24" t="str">
        <f ca="1">IF(OR(E424="",E424="!!!",F424="NEW"),"",COUNTBLANK(OFFSET(A$1,,,SUMPRODUCT(MAX(ROW(E$2:E424)*(E424=E$2:E424)))))-COUNTBLANK(OFFSET(A$1,,,SUMPRODUCT(MAX(ROW(E$1:E423)*(E2=E$1:E423))))))</f>
        <v/>
      </c>
      <c r="K424" s="24" t="str">
        <f>IF(OR(E424="",E424="!!!",F424="NEW"),"",INDEX(J$1:J423,SUMPRODUCT(MAX(ROW(E$1:E423)*(E424=E$1:E423)))))</f>
        <v/>
      </c>
      <c r="L424" s="25"/>
    </row>
    <row r="425" spans="1:12" x14ac:dyDescent="0.3">
      <c r="A425" t="s">
        <v>477</v>
      </c>
      <c r="E425" s="20" t="str">
        <f t="shared" si="48"/>
        <v/>
      </c>
      <c r="F425" s="21" t="str">
        <f>IF(OR(E425="",E425="!!!"),"",IF(NOT(ISNA(VLOOKUP(E425,E$1:E424,1,FALSE()))),"OLD",IF(AND(E425&lt;&gt;"",E425&lt;&gt;"!!!"),"NEW","")))</f>
        <v/>
      </c>
      <c r="G425" s="22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/>
      </c>
      <c r="H425" s="23" t="str">
        <f t="shared" ca="1" si="49"/>
        <v/>
      </c>
      <c r="I425" s="24" t="str">
        <f>IF(OR(E425="",E425="!!!",F425="NEW"),"",INDEX(B$2:B424,-1+SUMPRODUCT(MAX(ROW(E$2:E424)*(E425=E$2:E424)))))</f>
        <v/>
      </c>
      <c r="J425" s="24" t="str">
        <f ca="1">IF(OR(E425="",E425="!!!",F425="NEW"),"",COUNTBLANK(OFFSET(A$1,,,SUMPRODUCT(MAX(ROW(E$2:E425)*(E425=E$2:E425)))))-COUNTBLANK(OFFSET(A$1,,,SUMPRODUCT(MAX(ROW(E$1:E424)*(E2=E$1:E424))))))</f>
        <v/>
      </c>
      <c r="K425" s="24" t="str">
        <f>IF(OR(E425="",E425="!!!",F425="NEW"),"",INDEX(J$1:J424,SUMPRODUCT(MAX(ROW(E$1:E424)*(E425=E$1:E424)))))</f>
        <v/>
      </c>
      <c r="L425" s="25"/>
    </row>
    <row r="426" spans="1:12" x14ac:dyDescent="0.3">
      <c r="A426" t="s">
        <v>478</v>
      </c>
      <c r="E426" s="20" t="str">
        <f t="shared" si="48"/>
        <v/>
      </c>
      <c r="F426" s="21" t="str">
        <f>IF(OR(E426="",E426="!!!"),"",IF(NOT(ISNA(VLOOKUP(E426,E$1:E425,1,FALSE()))),"OLD",IF(AND(E426&lt;&gt;"",E426&lt;&gt;"!!!"),"NEW","")))</f>
        <v/>
      </c>
      <c r="G426" s="22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/>
      </c>
      <c r="H426" s="23" t="str">
        <f t="shared" ca="1" si="49"/>
        <v/>
      </c>
      <c r="I426" s="24" t="str">
        <f>IF(OR(E426="",E426="!!!",F426="NEW"),"",INDEX(B$2:B425,-1+SUMPRODUCT(MAX(ROW(E$2:E425)*(E426=E$2:E425)))))</f>
        <v/>
      </c>
      <c r="J426" s="24" t="str">
        <f ca="1">IF(OR(E426="",E426="!!!",F426="NEW"),"",COUNTBLANK(OFFSET(A$1,,,SUMPRODUCT(MAX(ROW(E$2:E426)*(E426=E$2:E426)))))-COUNTBLANK(OFFSET(A$1,,,SUMPRODUCT(MAX(ROW(E$1:E425)*(E2=E$1:E425))))))</f>
        <v/>
      </c>
      <c r="K426" s="24" t="str">
        <f>IF(OR(E426="",E426="!!!",F426="NEW"),"",INDEX(J$1:J425,SUMPRODUCT(MAX(ROW(E$1:E425)*(E426=E$1:E425)))))</f>
        <v/>
      </c>
      <c r="L426" s="25"/>
    </row>
    <row r="427" spans="1:12" x14ac:dyDescent="0.3">
      <c r="A427" t="s">
        <v>479</v>
      </c>
      <c r="B427" s="26" t="s">
        <v>261</v>
      </c>
      <c r="C427" s="26" t="s">
        <v>480</v>
      </c>
      <c r="E427" s="20" t="str">
        <f t="shared" si="48"/>
        <v/>
      </c>
      <c r="F427" s="21" t="str">
        <f>IF(OR(E427="",E427="!!!"),"",IF(NOT(ISNA(VLOOKUP(E427,E$1:E426,1,FALSE()))),"OLD",IF(AND(E427&lt;&gt;"",E427&lt;&gt;"!!!"),"NEW","")))</f>
        <v/>
      </c>
      <c r="G427" s="22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/>
      </c>
      <c r="H427" s="23" t="str">
        <f t="shared" ca="1" si="49"/>
        <v/>
      </c>
      <c r="I427" s="24" t="str">
        <f>IF(OR(E427="",E427="!!!",F427="NEW"),"",INDEX(B$2:B426,-1+SUMPRODUCT(MAX(ROW(E$2:E426)*(E427=E$2:E426)))))</f>
        <v/>
      </c>
      <c r="J427" s="24" t="str">
        <f ca="1">IF(OR(E427="",E427="!!!",F427="NEW"),"",COUNTBLANK(OFFSET(A$1,,,SUMPRODUCT(MAX(ROW(E$2:E427)*(E427=E$2:E427)))))-COUNTBLANK(OFFSET(A$1,,,SUMPRODUCT(MAX(ROW(E$1:E426)*(E2=E$1:E426))))))</f>
        <v/>
      </c>
      <c r="K427" s="24" t="str">
        <f>IF(OR(E427="",E427="!!!",F427="NEW"),"",INDEX(J$1:J426,SUMPRODUCT(MAX(ROW(E$1:E426)*(E427=E$1:E426)))))</f>
        <v/>
      </c>
      <c r="L427" s="25"/>
    </row>
    <row r="428" spans="1:12" x14ac:dyDescent="0.3">
      <c r="A428" t="s">
        <v>252</v>
      </c>
      <c r="E428" s="20" t="str">
        <f t="shared" si="48"/>
        <v/>
      </c>
      <c r="F428" s="21" t="str">
        <f>IF(OR(E428="",E428="!!!"),"",IF(NOT(ISNA(VLOOKUP(E428,E$1:E427,1,FALSE()))),"OLD",IF(AND(E428&lt;&gt;"",E428&lt;&gt;"!!!"),"NEW","")))</f>
        <v/>
      </c>
      <c r="G428" s="22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/>
      </c>
      <c r="H428" s="23" t="str">
        <f t="shared" ca="1" si="49"/>
        <v/>
      </c>
      <c r="I428" s="24" t="str">
        <f>IF(OR(E428="",E428="!!!",F428="NEW"),"",INDEX(B$2:B427,-1+SUMPRODUCT(MAX(ROW(E$2:E427)*(E428=E$2:E427)))))</f>
        <v/>
      </c>
      <c r="J428" s="24" t="str">
        <f ca="1">IF(OR(E428="",E428="!!!",F428="NEW"),"",COUNTBLANK(OFFSET(A$1,,,SUMPRODUCT(MAX(ROW(E$2:E428)*(E428=E$2:E428)))))-COUNTBLANK(OFFSET(A$1,,,SUMPRODUCT(MAX(ROW(E$1:E427)*(E2=E$1:E427))))))</f>
        <v/>
      </c>
      <c r="K428" s="24" t="str">
        <f>IF(OR(E428="",E428="!!!",F428="NEW"),"",INDEX(J$1:J427,SUMPRODUCT(MAX(ROW(E$1:E427)*(E428=E$1:E427)))))</f>
        <v/>
      </c>
      <c r="L428" s="25"/>
    </row>
    <row r="429" spans="1:12" x14ac:dyDescent="0.3">
      <c r="A429" t="s">
        <v>278</v>
      </c>
      <c r="E429" s="20" t="str">
        <f t="shared" si="48"/>
        <v/>
      </c>
      <c r="F429" s="21" t="str">
        <f>IF(OR(E429="",E429="!!!"),"",IF(NOT(ISNA(VLOOKUP(E429,E$1:E428,1,FALSE()))),"OLD",IF(AND(E429&lt;&gt;"",E429&lt;&gt;"!!!"),"NEW","")))</f>
        <v/>
      </c>
      <c r="G429" s="22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/>
      </c>
      <c r="H429" s="23" t="str">
        <f t="shared" ca="1" si="49"/>
        <v/>
      </c>
      <c r="I429" s="24" t="str">
        <f>IF(OR(E429="",E429="!!!",F429="NEW"),"",INDEX(B$2:B428,-1+SUMPRODUCT(MAX(ROW(E$2:E428)*(E429=E$2:E428)))))</f>
        <v/>
      </c>
      <c r="J429" s="24" t="str">
        <f ca="1">IF(OR(E429="",E429="!!!",F429="NEW"),"",COUNTBLANK(OFFSET(A$1,,,SUMPRODUCT(MAX(ROW(E$2:E429)*(E429=E$2:E429)))))-COUNTBLANK(OFFSET(A$1,,,SUMPRODUCT(MAX(ROW(E$1:E428)*(E2=E$1:E428))))))</f>
        <v/>
      </c>
      <c r="K429" s="24" t="str">
        <f>IF(OR(E429="",E429="!!!",F429="NEW"),"",INDEX(J$1:J428,SUMPRODUCT(MAX(ROW(E$1:E428)*(E429=E$1:E428)))))</f>
        <v/>
      </c>
      <c r="L429" s="25"/>
    </row>
    <row r="430" spans="1:12" x14ac:dyDescent="0.3">
      <c r="A430" t="s">
        <v>310</v>
      </c>
      <c r="E430" s="20" t="str">
        <f t="shared" si="48"/>
        <v/>
      </c>
      <c r="F430" s="21" t="str">
        <f>IF(OR(E430="",E430="!!!"),"",IF(NOT(ISNA(VLOOKUP(E430,E$1:E429,1,FALSE()))),"OLD",IF(AND(E430&lt;&gt;"",E430&lt;&gt;"!!!"),"NEW","")))</f>
        <v/>
      </c>
      <c r="G430" s="22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/>
      </c>
      <c r="H430" s="23" t="str">
        <f t="shared" ca="1" si="49"/>
        <v/>
      </c>
      <c r="I430" s="24" t="str">
        <f>IF(OR(E430="",E430="!!!",F430="NEW"),"",INDEX(B$2:B429,-1+SUMPRODUCT(MAX(ROW(E$2:E429)*(E430=E$2:E429)))))</f>
        <v/>
      </c>
      <c r="J430" s="24" t="str">
        <f ca="1">IF(OR(E430="",E430="!!!",F430="NEW"),"",COUNTBLANK(OFFSET(A$1,,,SUMPRODUCT(MAX(ROW(E$2:E430)*(E430=E$2:E430)))))-COUNTBLANK(OFFSET(A$1,,,SUMPRODUCT(MAX(ROW(E$1:E429)*(E2=E$1:E429))))))</f>
        <v/>
      </c>
      <c r="K430" s="24" t="str">
        <f>IF(OR(E430="",E430="!!!",F430="NEW"),"",INDEX(J$1:J429,SUMPRODUCT(MAX(ROW(E$1:E429)*(E430=E$1:E429)))))</f>
        <v/>
      </c>
      <c r="L430" s="25"/>
    </row>
    <row r="431" spans="1:12" x14ac:dyDescent="0.3">
      <c r="A431" t="s">
        <v>468</v>
      </c>
      <c r="B431" s="26" t="s">
        <v>255</v>
      </c>
      <c r="C431" s="26" t="s">
        <v>239</v>
      </c>
      <c r="D431" s="26" t="s">
        <v>240</v>
      </c>
      <c r="E431" s="20" t="str">
        <f t="shared" si="48"/>
        <v>!!!</v>
      </c>
      <c r="F431" s="21" t="str">
        <f>IF(OR(E431="",E431="!!!"),"",IF(NOT(ISNA(VLOOKUP(E431,E$1:E430,1,FALSE()))),"OLD",IF(AND(E431&lt;&gt;"",E431&lt;&gt;"!!!"),"NEW","")))</f>
        <v/>
      </c>
      <c r="G431" s="22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/>
      </c>
      <c r="H431" s="23" t="str">
        <f t="shared" ca="1" si="49"/>
        <v/>
      </c>
      <c r="I431" s="24" t="str">
        <f>IF(OR(E431="",E431="!!!",F431="NEW"),"",INDEX(B$2:B430,-1+SUMPRODUCT(MAX(ROW(E$2:E430)*(E431=E$2:E430)))))</f>
        <v/>
      </c>
      <c r="J431" s="24" t="str">
        <f ca="1">IF(OR(E431="",E431="!!!",F431="NEW"),"",COUNTBLANK(OFFSET(A$1,,,SUMPRODUCT(MAX(ROW(E$2:E431)*(E431=E$2:E431)))))-COUNTBLANK(OFFSET(A$1,,,SUMPRODUCT(MAX(ROW(E$1:E430)*(E2=E$1:E430))))))</f>
        <v/>
      </c>
      <c r="K431" s="24" t="str">
        <f>IF(OR(E431="",E431="!!!",F431="NEW"),"",INDEX(J$1:J430,SUMPRODUCT(MAX(ROW(E$1:E430)*(E431=E$1:E430)))))</f>
        <v/>
      </c>
      <c r="L431" s="25"/>
    </row>
    <row r="432" spans="1:12" x14ac:dyDescent="0.3">
      <c r="A432" t="s">
        <v>347</v>
      </c>
      <c r="E432" s="20" t="str">
        <f t="shared" si="48"/>
        <v/>
      </c>
      <c r="F432" s="21" t="str">
        <f>IF(OR(E432="",E432="!!!"),"",IF(NOT(ISNA(VLOOKUP(E432,E$1:E431,1,FALSE()))),"OLD",IF(AND(E432&lt;&gt;"",E432&lt;&gt;"!!!"),"NEW","")))</f>
        <v/>
      </c>
      <c r="G432" s="22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/>
      </c>
      <c r="H432" s="23" t="str">
        <f t="shared" ca="1" si="49"/>
        <v/>
      </c>
      <c r="I432" s="24" t="str">
        <f>IF(OR(E432="",E432="!!!",F432="NEW"),"",INDEX(B$2:B431,-1+SUMPRODUCT(MAX(ROW(E$2:E431)*(E432=E$2:E431)))))</f>
        <v/>
      </c>
      <c r="J432" s="24" t="str">
        <f ca="1">IF(OR(E432="",E432="!!!",F432="NEW"),"",COUNTBLANK(OFFSET(A$1,,,SUMPRODUCT(MAX(ROW(E$2:E432)*(E432=E$2:E432)))))-COUNTBLANK(OFFSET(A$1,,,SUMPRODUCT(MAX(ROW(E$1:E431)*(E2=E$1:E431))))))</f>
        <v/>
      </c>
      <c r="K432" s="24" t="str">
        <f>IF(OR(E432="",E432="!!!",F432="NEW"),"",INDEX(J$1:J431,SUMPRODUCT(MAX(ROW(E$1:E431)*(E432=E$1:E431)))))</f>
        <v/>
      </c>
      <c r="L432" s="25"/>
    </row>
    <row r="433" spans="1:12" x14ac:dyDescent="0.3">
      <c r="A433" t="s">
        <v>433</v>
      </c>
      <c r="E433" s="20" t="str">
        <f t="shared" si="48"/>
        <v/>
      </c>
      <c r="F433" s="21" t="str">
        <f>IF(OR(E433="",E433="!!!"),"",IF(NOT(ISNA(VLOOKUP(E433,E$1:E432,1,FALSE()))),"OLD",IF(AND(E433&lt;&gt;"",E433&lt;&gt;"!!!"),"NEW","")))</f>
        <v/>
      </c>
      <c r="G433" s="22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/>
      </c>
      <c r="H433" s="23" t="str">
        <f t="shared" ca="1" si="49"/>
        <v/>
      </c>
      <c r="I433" s="24" t="str">
        <f>IF(OR(E433="",E433="!!!",F433="NEW"),"",INDEX(B$2:B432,-1+SUMPRODUCT(MAX(ROW(E$2:E432)*(E433=E$2:E432)))))</f>
        <v/>
      </c>
      <c r="J433" s="24" t="str">
        <f ca="1">IF(OR(E433="",E433="!!!",F433="NEW"),"",COUNTBLANK(OFFSET(A$1,,,SUMPRODUCT(MAX(ROW(E$2:E433)*(E433=E$2:E433)))))-COUNTBLANK(OFFSET(A$1,,,SUMPRODUCT(MAX(ROW(E$1:E432)*(E2=E$1:E432))))))</f>
        <v/>
      </c>
      <c r="K433" s="24" t="str">
        <f>IF(OR(E433="",E433="!!!",F433="NEW"),"",INDEX(J$1:J432,SUMPRODUCT(MAX(ROW(E$1:E432)*(E433=E$1:E432)))))</f>
        <v/>
      </c>
      <c r="L433" s="25"/>
    </row>
    <row r="434" spans="1:12" x14ac:dyDescent="0.3">
      <c r="A434" t="s">
        <v>248</v>
      </c>
      <c r="E434" s="20" t="str">
        <f t="shared" si="48"/>
        <v/>
      </c>
      <c r="F434" s="21" t="str">
        <f>IF(OR(E434="",E434="!!!"),"",IF(NOT(ISNA(VLOOKUP(E434,E$1:E433,1,FALSE()))),"OLD",IF(AND(E434&lt;&gt;"",E434&lt;&gt;"!!!"),"NEW","")))</f>
        <v/>
      </c>
      <c r="G434" s="22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/>
      </c>
      <c r="H434" s="23" t="str">
        <f t="shared" ca="1" si="49"/>
        <v/>
      </c>
      <c r="I434" s="24" t="str">
        <f>IF(OR(E434="",E434="!!!",F434="NEW"),"",INDEX(B$2:B433,-1+SUMPRODUCT(MAX(ROW(E$2:E433)*(E434=E$2:E433)))))</f>
        <v/>
      </c>
      <c r="J434" s="24" t="str">
        <f ca="1">IF(OR(E434="",E434="!!!",F434="NEW"),"",COUNTBLANK(OFFSET(A$1,,,SUMPRODUCT(MAX(ROW(E$2:E434)*(E434=E$2:E434)))))-COUNTBLANK(OFFSET(A$1,,,SUMPRODUCT(MAX(ROW(E$1:E433)*(E2=E$1:E433))))))</f>
        <v/>
      </c>
      <c r="K434" s="24" t="str">
        <f>IF(OR(E434="",E434="!!!",F434="NEW"),"",INDEX(J$1:J433,SUMPRODUCT(MAX(ROW(E$1:E433)*(E434=E$1:E433)))))</f>
        <v/>
      </c>
      <c r="L434" s="25"/>
    </row>
    <row r="436" spans="1:12" x14ac:dyDescent="0.3">
      <c r="A436" t="s">
        <v>481</v>
      </c>
    </row>
    <row r="437" spans="1:12" x14ac:dyDescent="0.3">
      <c r="A437" t="s">
        <v>482</v>
      </c>
      <c r="B437" s="26" t="s">
        <v>243</v>
      </c>
      <c r="C437" s="26" t="s">
        <v>305</v>
      </c>
      <c r="E437" s="20" t="str">
        <f t="shared" ref="E437:E469" si="50">IF(D437="?OLD","!!!","")</f>
        <v/>
      </c>
      <c r="F437" s="21" t="str">
        <f>IF(OR(E437="",E437="!!!"),"",IF(NOT(ISNA(VLOOKUP(E437,E$1:E436,1,FALSE()))),"OLD",IF(AND(E437&lt;&gt;"",E437&lt;&gt;"!!!"),"NEW","")))</f>
        <v/>
      </c>
      <c r="G437" s="22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/>
      </c>
      <c r="H437" s="23" t="str">
        <f t="shared" ref="H437:H469" ca="1" si="51">IF(J437&lt;&gt;1,"",IF(I437="SBJ","CB","?"))</f>
        <v/>
      </c>
      <c r="I437" s="24" t="str">
        <f>IF(OR(E437="",E437="!!!",F437="NEW"),"",INDEX(B$2:B436,-1+SUMPRODUCT(MAX(ROW(E$2:E436)*(E437=E$2:E436)))))</f>
        <v/>
      </c>
      <c r="J437" s="24" t="str">
        <f ca="1">IF(OR(E437="",E437="!!!",F437="NEW"),"",COUNTBLANK(OFFSET(A$1,,,SUMPRODUCT(MAX(ROW(E$2:E437)*(E437=E$2:E437)))))-COUNTBLANK(OFFSET(A$1,,,SUMPRODUCT(MAX(ROW(E$1:E436)*(E2=E$1:E436))))))</f>
        <v/>
      </c>
      <c r="K437" s="24" t="str">
        <f>IF(OR(E437="",E437="!!!",F437="NEW"),"",INDEX(J$1:J436,SUMPRODUCT(MAX(ROW(E$1:E436)*(E437=E$1:E436)))))</f>
        <v/>
      </c>
      <c r="L437" s="25"/>
    </row>
    <row r="438" spans="1:12" x14ac:dyDescent="0.3">
      <c r="A438" t="s">
        <v>252</v>
      </c>
      <c r="E438" s="20" t="str">
        <f t="shared" si="50"/>
        <v/>
      </c>
      <c r="F438" s="21" t="str">
        <f>IF(OR(E438="",E438="!!!"),"",IF(NOT(ISNA(VLOOKUP(E438,E$1:E437,1,FALSE()))),"OLD",IF(AND(E438&lt;&gt;"",E438&lt;&gt;"!!!"),"NEW","")))</f>
        <v/>
      </c>
      <c r="G438" s="22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/>
      </c>
      <c r="H438" s="23" t="str">
        <f t="shared" ca="1" si="51"/>
        <v/>
      </c>
      <c r="I438" s="24" t="str">
        <f>IF(OR(E438="",E438="!!!",F438="NEW"),"",INDEX(B$2:B437,-1+SUMPRODUCT(MAX(ROW(E$2:E437)*(E438=E$2:E437)))))</f>
        <v/>
      </c>
      <c r="J438" s="24" t="str">
        <f ca="1">IF(OR(E438="",E438="!!!",F438="NEW"),"",COUNTBLANK(OFFSET(A$1,,,SUMPRODUCT(MAX(ROW(E$2:E438)*(E438=E$2:E438)))))-COUNTBLANK(OFFSET(A$1,,,SUMPRODUCT(MAX(ROW(E$1:E437)*(E2=E$1:E437))))))</f>
        <v/>
      </c>
      <c r="K438" s="24" t="str">
        <f>IF(OR(E438="",E438="!!!",F438="NEW"),"",INDEX(J$1:J437,SUMPRODUCT(MAX(ROW(E$1:E437)*(E438=E$1:E437)))))</f>
        <v/>
      </c>
      <c r="L438" s="25"/>
    </row>
    <row r="439" spans="1:12" x14ac:dyDescent="0.3">
      <c r="A439" t="s">
        <v>483</v>
      </c>
      <c r="B439" s="26" t="s">
        <v>285</v>
      </c>
      <c r="C439" s="26" t="s">
        <v>256</v>
      </c>
      <c r="D439" s="26" t="s">
        <v>240</v>
      </c>
      <c r="E439" s="20" t="str">
        <f t="shared" si="50"/>
        <v>!!!</v>
      </c>
      <c r="F439" s="21" t="str">
        <f>IF(OR(E439="",E439="!!!"),"",IF(NOT(ISNA(VLOOKUP(E439,E$1:E438,1,FALSE()))),"OLD",IF(AND(E439&lt;&gt;"",E439&lt;&gt;"!!!"),"NEW","")))</f>
        <v/>
      </c>
      <c r="G439" s="22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/>
      </c>
      <c r="H439" s="23" t="str">
        <f t="shared" ca="1" si="51"/>
        <v/>
      </c>
      <c r="I439" s="24" t="str">
        <f>IF(OR(E439="",E439="!!!",F439="NEW"),"",INDEX(B$2:B438,-1+SUMPRODUCT(MAX(ROW(E$2:E438)*(E439=E$2:E438)))))</f>
        <v/>
      </c>
      <c r="J439" s="24" t="str">
        <f ca="1">IF(OR(E439="",E439="!!!",F439="NEW"),"",COUNTBLANK(OFFSET(A$1,,,SUMPRODUCT(MAX(ROW(E$2:E439)*(E439=E$2:E439)))))-COUNTBLANK(OFFSET(A$1,,,SUMPRODUCT(MAX(ROW(E$1:E438)*(E2=E$1:E438))))))</f>
        <v/>
      </c>
      <c r="K439" s="24" t="str">
        <f>IF(OR(E439="",E439="!!!",F439="NEW"),"",INDEX(J$1:J438,SUMPRODUCT(MAX(ROW(E$1:E438)*(E439=E$1:E438)))))</f>
        <v/>
      </c>
      <c r="L439" s="25"/>
    </row>
    <row r="440" spans="1:12" x14ac:dyDescent="0.3">
      <c r="A440" t="s">
        <v>254</v>
      </c>
      <c r="B440" s="26" t="s">
        <v>282</v>
      </c>
      <c r="C440" s="26" t="s">
        <v>256</v>
      </c>
      <c r="D440" s="26" t="s">
        <v>240</v>
      </c>
      <c r="E440" s="20" t="str">
        <f t="shared" si="50"/>
        <v>!!!</v>
      </c>
      <c r="F440" s="21" t="str">
        <f>IF(OR(E440="",E440="!!!"),"",IF(NOT(ISNA(VLOOKUP(E440,E$1:E439,1,FALSE()))),"OLD",IF(AND(E440&lt;&gt;"",E440&lt;&gt;"!!!"),"NEW","")))</f>
        <v/>
      </c>
      <c r="G440" s="22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/>
      </c>
      <c r="H440" s="23" t="str">
        <f t="shared" ca="1" si="51"/>
        <v/>
      </c>
      <c r="I440" s="24" t="str">
        <f>IF(OR(E440="",E440="!!!",F440="NEW"),"",INDEX(B$2:B439,-1+SUMPRODUCT(MAX(ROW(E$2:E439)*(E440=E$2:E439)))))</f>
        <v/>
      </c>
      <c r="J440" s="24" t="str">
        <f ca="1">IF(OR(E440="",E440="!!!",F440="NEW"),"",COUNTBLANK(OFFSET(A$1,,,SUMPRODUCT(MAX(ROW(E$2:E440)*(E440=E$2:E440)))))-COUNTBLANK(OFFSET(A$1,,,SUMPRODUCT(MAX(ROW(E$1:E439)*(E2=E$1:E439))))))</f>
        <v/>
      </c>
      <c r="K440" s="24" t="str">
        <f>IF(OR(E440="",E440="!!!",F440="NEW"),"",INDEX(J$1:J439,SUMPRODUCT(MAX(ROW(E$1:E439)*(E440=E$1:E439)))))</f>
        <v/>
      </c>
      <c r="L440" s="25"/>
    </row>
    <row r="441" spans="1:12" x14ac:dyDescent="0.3">
      <c r="A441" t="s">
        <v>401</v>
      </c>
      <c r="E441" s="20" t="str">
        <f t="shared" si="50"/>
        <v/>
      </c>
      <c r="F441" s="21" t="str">
        <f>IF(OR(E441="",E441="!!!"),"",IF(NOT(ISNA(VLOOKUP(E441,E$1:E440,1,FALSE()))),"OLD",IF(AND(E441&lt;&gt;"",E441&lt;&gt;"!!!"),"NEW","")))</f>
        <v/>
      </c>
      <c r="G441" s="22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/>
      </c>
      <c r="H441" s="23" t="str">
        <f t="shared" ca="1" si="51"/>
        <v/>
      </c>
      <c r="I441" s="24" t="str">
        <f>IF(OR(E441="",E441="!!!",F441="NEW"),"",INDEX(B$2:B440,-1+SUMPRODUCT(MAX(ROW(E$2:E440)*(E441=E$2:E440)))))</f>
        <v/>
      </c>
      <c r="J441" s="24" t="str">
        <f ca="1">IF(OR(E441="",E441="!!!",F441="NEW"),"",COUNTBLANK(OFFSET(A$1,,,SUMPRODUCT(MAX(ROW(E$2:E441)*(E441=E$2:E441)))))-COUNTBLANK(OFFSET(A$1,,,SUMPRODUCT(MAX(ROW(E$1:E440)*(E2=E$1:E440))))))</f>
        <v/>
      </c>
      <c r="K441" s="24" t="str">
        <f>IF(OR(E441="",E441="!!!",F441="NEW"),"",INDEX(J$1:J440,SUMPRODUCT(MAX(ROW(E$1:E440)*(E441=E$1:E440)))))</f>
        <v/>
      </c>
      <c r="L441" s="25"/>
    </row>
    <row r="442" spans="1:12" x14ac:dyDescent="0.3">
      <c r="A442" t="s">
        <v>252</v>
      </c>
      <c r="E442" s="20" t="str">
        <f t="shared" si="50"/>
        <v/>
      </c>
      <c r="F442" s="21" t="str">
        <f>IF(OR(E442="",E442="!!!"),"",IF(NOT(ISNA(VLOOKUP(E442,E$1:E441,1,FALSE()))),"OLD",IF(AND(E442&lt;&gt;"",E442&lt;&gt;"!!!"),"NEW","")))</f>
        <v/>
      </c>
      <c r="G442" s="22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/>
      </c>
      <c r="H442" s="23" t="str">
        <f t="shared" ca="1" si="51"/>
        <v/>
      </c>
      <c r="I442" s="24" t="str">
        <f>IF(OR(E442="",E442="!!!",F442="NEW"),"",INDEX(B$2:B441,-1+SUMPRODUCT(MAX(ROW(E$2:E441)*(E442=E$2:E441)))))</f>
        <v/>
      </c>
      <c r="J442" s="24" t="str">
        <f ca="1">IF(OR(E442="",E442="!!!",F442="NEW"),"",COUNTBLANK(OFFSET(A$1,,,SUMPRODUCT(MAX(ROW(E$2:E442)*(E442=E$2:E442)))))-COUNTBLANK(OFFSET(A$1,,,SUMPRODUCT(MAX(ROW(E$1:E441)*(E2=E$1:E441))))))</f>
        <v/>
      </c>
      <c r="K442" s="24" t="str">
        <f>IF(OR(E442="",E442="!!!",F442="NEW"),"",INDEX(J$1:J441,SUMPRODUCT(MAX(ROW(E$1:E441)*(E442=E$1:E441)))))</f>
        <v/>
      </c>
      <c r="L442" s="25"/>
    </row>
    <row r="443" spans="1:12" x14ac:dyDescent="0.3">
      <c r="A443" t="s">
        <v>347</v>
      </c>
      <c r="E443" s="20" t="str">
        <f t="shared" si="50"/>
        <v/>
      </c>
      <c r="F443" s="21" t="str">
        <f>IF(OR(E443="",E443="!!!"),"",IF(NOT(ISNA(VLOOKUP(E443,E$1:E442,1,FALSE()))),"OLD",IF(AND(E443&lt;&gt;"",E443&lt;&gt;"!!!"),"NEW","")))</f>
        <v/>
      </c>
      <c r="G443" s="22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/>
      </c>
      <c r="H443" s="23" t="str">
        <f t="shared" ca="1" si="51"/>
        <v/>
      </c>
      <c r="I443" s="24" t="str">
        <f>IF(OR(E443="",E443="!!!",F443="NEW"),"",INDEX(B$2:B442,-1+SUMPRODUCT(MAX(ROW(E$2:E442)*(E443=E$2:E442)))))</f>
        <v/>
      </c>
      <c r="J443" s="24" t="str">
        <f ca="1">IF(OR(E443="",E443="!!!",F443="NEW"),"",COUNTBLANK(OFFSET(A$1,,,SUMPRODUCT(MAX(ROW(E$2:E443)*(E443=E$2:E443)))))-COUNTBLANK(OFFSET(A$1,,,SUMPRODUCT(MAX(ROW(E$1:E442)*(E2=E$1:E442))))))</f>
        <v/>
      </c>
      <c r="K443" s="24" t="str">
        <f>IF(OR(E443="",E443="!!!",F443="NEW"),"",INDEX(J$1:J442,SUMPRODUCT(MAX(ROW(E$1:E442)*(E443=E$1:E442)))))</f>
        <v/>
      </c>
      <c r="L443" s="25"/>
    </row>
    <row r="444" spans="1:12" x14ac:dyDescent="0.3">
      <c r="A444" t="s">
        <v>267</v>
      </c>
      <c r="E444" s="20" t="str">
        <f t="shared" si="50"/>
        <v/>
      </c>
      <c r="F444" s="21" t="str">
        <f>IF(OR(E444="",E444="!!!"),"",IF(NOT(ISNA(VLOOKUP(E444,E$1:E443,1,FALSE()))),"OLD",IF(AND(E444&lt;&gt;"",E444&lt;&gt;"!!!"),"NEW","")))</f>
        <v/>
      </c>
      <c r="G444" s="22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/>
      </c>
      <c r="H444" s="23" t="str">
        <f t="shared" ca="1" si="51"/>
        <v/>
      </c>
      <c r="I444" s="24" t="str">
        <f>IF(OR(E444="",E444="!!!",F444="NEW"),"",INDEX(B$2:B443,-1+SUMPRODUCT(MAX(ROW(E$2:E443)*(E444=E$2:E443)))))</f>
        <v/>
      </c>
      <c r="J444" s="24" t="str">
        <f ca="1">IF(OR(E444="",E444="!!!",F444="NEW"),"",COUNTBLANK(OFFSET(A$1,,,SUMPRODUCT(MAX(ROW(E$2:E444)*(E444=E$2:E444)))))-COUNTBLANK(OFFSET(A$1,,,SUMPRODUCT(MAX(ROW(E$1:E443)*(E2=E$1:E443))))))</f>
        <v/>
      </c>
      <c r="K444" s="24" t="str">
        <f>IF(OR(E444="",E444="!!!",F444="NEW"),"",INDEX(J$1:J443,SUMPRODUCT(MAX(ROW(E$1:E443)*(E444=E$1:E443)))))</f>
        <v/>
      </c>
      <c r="L444" s="25"/>
    </row>
    <row r="445" spans="1:12" x14ac:dyDescent="0.3">
      <c r="A445" t="s">
        <v>484</v>
      </c>
      <c r="E445" s="20" t="str">
        <f t="shared" si="50"/>
        <v/>
      </c>
      <c r="F445" s="21" t="str">
        <f>IF(OR(E445="",E445="!!!"),"",IF(NOT(ISNA(VLOOKUP(E445,E$1:E444,1,FALSE()))),"OLD",IF(AND(E445&lt;&gt;"",E445&lt;&gt;"!!!"),"NEW","")))</f>
        <v/>
      </c>
      <c r="G445" s="22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/>
      </c>
      <c r="H445" s="23" t="str">
        <f t="shared" ca="1" si="51"/>
        <v/>
      </c>
      <c r="I445" s="24" t="str">
        <f>IF(OR(E445="",E445="!!!",F445="NEW"),"",INDEX(B$2:B444,-1+SUMPRODUCT(MAX(ROW(E$2:E444)*(E445=E$2:E444)))))</f>
        <v/>
      </c>
      <c r="J445" s="24" t="str">
        <f ca="1">IF(OR(E445="",E445="!!!",F445="NEW"),"",COUNTBLANK(OFFSET(A$1,,,SUMPRODUCT(MAX(ROW(E$2:E445)*(E445=E$2:E445)))))-COUNTBLANK(OFFSET(A$1,,,SUMPRODUCT(MAX(ROW(E$1:E444)*(E2=E$1:E444))))))</f>
        <v/>
      </c>
      <c r="K445" s="24" t="str">
        <f>IF(OR(E445="",E445="!!!",F445="NEW"),"",INDEX(J$1:J444,SUMPRODUCT(MAX(ROW(E$1:E444)*(E445=E$1:E444)))))</f>
        <v/>
      </c>
      <c r="L445" s="25"/>
    </row>
    <row r="446" spans="1:12" x14ac:dyDescent="0.3">
      <c r="A446" t="s">
        <v>485</v>
      </c>
      <c r="E446" s="20" t="str">
        <f t="shared" si="50"/>
        <v/>
      </c>
      <c r="F446" s="21" t="str">
        <f>IF(OR(E446="",E446="!!!"),"",IF(NOT(ISNA(VLOOKUP(E446,E$1:E445,1,FALSE()))),"OLD",IF(AND(E446&lt;&gt;"",E446&lt;&gt;"!!!"),"NEW","")))</f>
        <v/>
      </c>
      <c r="G446" s="22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/>
      </c>
      <c r="H446" s="23" t="str">
        <f t="shared" ca="1" si="51"/>
        <v/>
      </c>
      <c r="I446" s="24" t="str">
        <f>IF(OR(E446="",E446="!!!",F446="NEW"),"",INDEX(B$2:B445,-1+SUMPRODUCT(MAX(ROW(E$2:E445)*(E446=E$2:E445)))))</f>
        <v/>
      </c>
      <c r="J446" s="24" t="str">
        <f ca="1">IF(OR(E446="",E446="!!!",F446="NEW"),"",COUNTBLANK(OFFSET(A$1,,,SUMPRODUCT(MAX(ROW(E$2:E446)*(E446=E$2:E446)))))-COUNTBLANK(OFFSET(A$1,,,SUMPRODUCT(MAX(ROW(E$1:E445)*(E2=E$1:E445))))))</f>
        <v/>
      </c>
      <c r="K446" s="24" t="str">
        <f>IF(OR(E446="",E446="!!!",F446="NEW"),"",INDEX(J$1:J445,SUMPRODUCT(MAX(ROW(E$1:E445)*(E446=E$1:E445)))))</f>
        <v/>
      </c>
      <c r="L446" s="25"/>
    </row>
    <row r="447" spans="1:12" x14ac:dyDescent="0.3">
      <c r="A447" t="s">
        <v>268</v>
      </c>
      <c r="B447" s="26" t="s">
        <v>238</v>
      </c>
      <c r="C447" s="26" t="s">
        <v>239</v>
      </c>
      <c r="D447" s="26" t="s">
        <v>240</v>
      </c>
      <c r="E447" s="20" t="str">
        <f t="shared" si="50"/>
        <v>!!!</v>
      </c>
      <c r="F447" s="21" t="str">
        <f>IF(OR(E447="",E447="!!!"),"",IF(NOT(ISNA(VLOOKUP(E447,E$1:E446,1,FALSE()))),"OLD",IF(AND(E447&lt;&gt;"",E447&lt;&gt;"!!!"),"NEW","")))</f>
        <v/>
      </c>
      <c r="G447" s="22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/>
      </c>
      <c r="H447" s="23" t="str">
        <f t="shared" ca="1" si="51"/>
        <v/>
      </c>
      <c r="I447" s="24" t="str">
        <f>IF(OR(E447="",E447="!!!",F447="NEW"),"",INDEX(B$2:B446,-1+SUMPRODUCT(MAX(ROW(E$2:E446)*(E447=E$2:E446)))))</f>
        <v/>
      </c>
      <c r="J447" s="24" t="str">
        <f ca="1">IF(OR(E447="",E447="!!!",F447="NEW"),"",COUNTBLANK(OFFSET(A$1,,,SUMPRODUCT(MAX(ROW(E$2:E447)*(E447=E$2:E447)))))-COUNTBLANK(OFFSET(A$1,,,SUMPRODUCT(MAX(ROW(E$1:E446)*(E2=E$1:E446))))))</f>
        <v/>
      </c>
      <c r="K447" s="24" t="str">
        <f>IF(OR(E447="",E447="!!!",F447="NEW"),"",INDEX(J$1:J446,SUMPRODUCT(MAX(ROW(E$1:E446)*(E447=E$1:E446)))))</f>
        <v/>
      </c>
      <c r="L447" s="25"/>
    </row>
    <row r="448" spans="1:12" x14ac:dyDescent="0.3">
      <c r="A448" t="s">
        <v>363</v>
      </c>
      <c r="E448" s="20" t="str">
        <f t="shared" si="50"/>
        <v/>
      </c>
      <c r="F448" s="21" t="str">
        <f>IF(OR(E448="",E448="!!!"),"",IF(NOT(ISNA(VLOOKUP(E448,E$1:E447,1,FALSE()))),"OLD",IF(AND(E448&lt;&gt;"",E448&lt;&gt;"!!!"),"NEW","")))</f>
        <v/>
      </c>
      <c r="G448" s="22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/>
      </c>
      <c r="H448" s="23" t="str">
        <f t="shared" ca="1" si="51"/>
        <v/>
      </c>
      <c r="I448" s="24" t="str">
        <f>IF(OR(E448="",E448="!!!",F448="NEW"),"",INDEX(B$2:B447,-1+SUMPRODUCT(MAX(ROW(E$2:E447)*(E448=E$2:E447)))))</f>
        <v/>
      </c>
      <c r="J448" s="24" t="str">
        <f ca="1">IF(OR(E448="",E448="!!!",F448="NEW"),"",COUNTBLANK(OFFSET(A$1,,,SUMPRODUCT(MAX(ROW(E$2:E448)*(E448=E$2:E448)))))-COUNTBLANK(OFFSET(A$1,,,SUMPRODUCT(MAX(ROW(E$1:E447)*(E2=E$1:E447))))))</f>
        <v/>
      </c>
      <c r="K448" s="24" t="str">
        <f>IF(OR(E448="",E448="!!!",F448="NEW"),"",INDEX(J$1:J447,SUMPRODUCT(MAX(ROW(E$1:E447)*(E448=E$1:E447)))))</f>
        <v/>
      </c>
      <c r="L448" s="25"/>
    </row>
    <row r="449" spans="1:12" x14ac:dyDescent="0.3">
      <c r="A449" t="s">
        <v>275</v>
      </c>
      <c r="B449" s="26" t="s">
        <v>238</v>
      </c>
      <c r="C449" s="26" t="s">
        <v>239</v>
      </c>
      <c r="D449" s="26" t="s">
        <v>240</v>
      </c>
      <c r="E449" s="20" t="str">
        <f t="shared" si="50"/>
        <v>!!!</v>
      </c>
      <c r="F449" s="21" t="str">
        <f>IF(OR(E449="",E449="!!!"),"",IF(NOT(ISNA(VLOOKUP(E449,E$1:E448,1,FALSE()))),"OLD",IF(AND(E449&lt;&gt;"",E449&lt;&gt;"!!!"),"NEW","")))</f>
        <v/>
      </c>
      <c r="G449" s="22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/>
      </c>
      <c r="H449" s="23" t="str">
        <f t="shared" ca="1" si="51"/>
        <v/>
      </c>
      <c r="I449" s="24" t="str">
        <f>IF(OR(E449="",E449="!!!",F449="NEW"),"",INDEX(B$2:B448,-1+SUMPRODUCT(MAX(ROW(E$2:E448)*(E449=E$2:E448)))))</f>
        <v/>
      </c>
      <c r="J449" s="24" t="str">
        <f ca="1">IF(OR(E449="",E449="!!!",F449="NEW"),"",COUNTBLANK(OFFSET(A$1,,,SUMPRODUCT(MAX(ROW(E$2:E449)*(E449=E$2:E449)))))-COUNTBLANK(OFFSET(A$1,,,SUMPRODUCT(MAX(ROW(E$1:E448)*(E2=E$1:E448))))))</f>
        <v/>
      </c>
      <c r="K449" s="24" t="str">
        <f>IF(OR(E449="",E449="!!!",F449="NEW"),"",INDEX(J$1:J448,SUMPRODUCT(MAX(ROW(E$1:E448)*(E449=E$1:E448)))))</f>
        <v/>
      </c>
      <c r="L449" s="25"/>
    </row>
    <row r="450" spans="1:12" x14ac:dyDescent="0.3">
      <c r="A450" t="s">
        <v>252</v>
      </c>
      <c r="E450" s="20" t="str">
        <f t="shared" si="50"/>
        <v/>
      </c>
      <c r="F450" s="21" t="str">
        <f>IF(OR(E450="",E450="!!!"),"",IF(NOT(ISNA(VLOOKUP(E450,E$1:E449,1,FALSE()))),"OLD",IF(AND(E450&lt;&gt;"",E450&lt;&gt;"!!!"),"NEW","")))</f>
        <v/>
      </c>
      <c r="G450" s="22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/>
      </c>
      <c r="H450" s="23" t="str">
        <f t="shared" ca="1" si="51"/>
        <v/>
      </c>
      <c r="I450" s="24" t="str">
        <f>IF(OR(E450="",E450="!!!",F450="NEW"),"",INDEX(B$2:B449,-1+SUMPRODUCT(MAX(ROW(E$2:E449)*(E450=E$2:E449)))))</f>
        <v/>
      </c>
      <c r="J450" s="24" t="str">
        <f ca="1">IF(OR(E450="",E450="!!!",F450="NEW"),"",COUNTBLANK(OFFSET(A$1,,,SUMPRODUCT(MAX(ROW(E$2:E450)*(E450=E$2:E450)))))-COUNTBLANK(OFFSET(A$1,,,SUMPRODUCT(MAX(ROW(E$1:E449)*(E2=E$1:E449))))))</f>
        <v/>
      </c>
      <c r="K450" s="24" t="str">
        <f>IF(OR(E450="",E450="!!!",F450="NEW"),"",INDEX(J$1:J449,SUMPRODUCT(MAX(ROW(E$1:E449)*(E450=E$1:E449)))))</f>
        <v/>
      </c>
      <c r="L450" s="25"/>
    </row>
    <row r="451" spans="1:12" x14ac:dyDescent="0.3">
      <c r="A451" t="s">
        <v>310</v>
      </c>
      <c r="B451" s="26" t="s">
        <v>255</v>
      </c>
      <c r="E451" s="20" t="str">
        <f t="shared" si="50"/>
        <v/>
      </c>
      <c r="F451" s="21" t="str">
        <f>IF(OR(E451="",E451="!!!"),"",IF(NOT(ISNA(VLOOKUP(E451,E$1:E450,1,FALSE()))),"OLD",IF(AND(E451&lt;&gt;"",E451&lt;&gt;"!!!"),"NEW","")))</f>
        <v/>
      </c>
      <c r="G451" s="22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/>
      </c>
      <c r="H451" s="23" t="str">
        <f t="shared" ca="1" si="51"/>
        <v/>
      </c>
      <c r="I451" s="24" t="str">
        <f>IF(OR(E451="",E451="!!!",F451="NEW"),"",INDEX(B$2:B450,-1+SUMPRODUCT(MAX(ROW(E$2:E450)*(E451=E$2:E450)))))</f>
        <v/>
      </c>
      <c r="J451" s="24" t="str">
        <f ca="1">IF(OR(E451="",E451="!!!",F451="NEW"),"",COUNTBLANK(OFFSET(A$1,,,SUMPRODUCT(MAX(ROW(E$2:E451)*(E451=E$2:E451)))))-COUNTBLANK(OFFSET(A$1,,,SUMPRODUCT(MAX(ROW(E$1:E450)*(E2=E$1:E450))))))</f>
        <v/>
      </c>
      <c r="K451" s="24" t="str">
        <f>IF(OR(E451="",E451="!!!",F451="NEW"),"",INDEX(J$1:J450,SUMPRODUCT(MAX(ROW(E$1:E450)*(E451=E$1:E450)))))</f>
        <v/>
      </c>
      <c r="L451" s="25"/>
    </row>
    <row r="452" spans="1:12" x14ac:dyDescent="0.3">
      <c r="A452" t="s">
        <v>40</v>
      </c>
      <c r="E452" s="20" t="str">
        <f t="shared" si="50"/>
        <v/>
      </c>
      <c r="F452" s="21" t="str">
        <f>IF(OR(E452="",E452="!!!"),"",IF(NOT(ISNA(VLOOKUP(E452,E$1:E451,1,FALSE()))),"OLD",IF(AND(E452&lt;&gt;"",E452&lt;&gt;"!!!"),"NEW","")))</f>
        <v/>
      </c>
      <c r="G452" s="22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/>
      </c>
      <c r="H452" s="23" t="str">
        <f t="shared" ca="1" si="51"/>
        <v/>
      </c>
      <c r="I452" s="24" t="str">
        <f>IF(OR(E452="",E452="!!!",F452="NEW"),"",INDEX(B$2:B451,-1+SUMPRODUCT(MAX(ROW(E$2:E451)*(E452=E$2:E451)))))</f>
        <v/>
      </c>
      <c r="J452" s="24" t="str">
        <f ca="1">IF(OR(E452="",E452="!!!",F452="NEW"),"",COUNTBLANK(OFFSET(A$1,,,SUMPRODUCT(MAX(ROW(E$2:E452)*(E452=E$2:E452)))))-COUNTBLANK(OFFSET(A$1,,,SUMPRODUCT(MAX(ROW(E$1:E451)*(E2=E$1:E451))))))</f>
        <v/>
      </c>
      <c r="K452" s="24" t="str">
        <f>IF(OR(E452="",E452="!!!",F452="NEW"),"",INDEX(J$1:J451,SUMPRODUCT(MAX(ROW(E$1:E451)*(E452=E$1:E451)))))</f>
        <v/>
      </c>
      <c r="L452" s="25"/>
    </row>
    <row r="453" spans="1:12" x14ac:dyDescent="0.3">
      <c r="A453" t="s">
        <v>11</v>
      </c>
      <c r="E453" s="20" t="str">
        <f t="shared" si="50"/>
        <v/>
      </c>
      <c r="F453" s="21" t="str">
        <f>IF(OR(E453="",E453="!!!"),"",IF(NOT(ISNA(VLOOKUP(E453,E$1:E452,1,FALSE()))),"OLD",IF(AND(E453&lt;&gt;"",E453&lt;&gt;"!!!"),"NEW","")))</f>
        <v/>
      </c>
      <c r="G453" s="22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/>
      </c>
      <c r="H453" s="23" t="str">
        <f t="shared" ca="1" si="51"/>
        <v/>
      </c>
      <c r="I453" s="24" t="str">
        <f>IF(OR(E453="",E453="!!!",F453="NEW"),"",INDEX(B$2:B452,-1+SUMPRODUCT(MAX(ROW(E$2:E452)*(E453=E$2:E452)))))</f>
        <v/>
      </c>
      <c r="J453" s="24" t="str">
        <f ca="1">IF(OR(E453="",E453="!!!",F453="NEW"),"",COUNTBLANK(OFFSET(A$1,,,SUMPRODUCT(MAX(ROW(E$2:E453)*(E453=E$2:E453)))))-COUNTBLANK(OFFSET(A$1,,,SUMPRODUCT(MAX(ROW(E$1:E452)*(E2=E$1:E452))))))</f>
        <v/>
      </c>
      <c r="K453" s="24" t="str">
        <f>IF(OR(E453="",E453="!!!",F453="NEW"),"",INDEX(J$1:J452,SUMPRODUCT(MAX(ROW(E$1:E452)*(E453=E$1:E452)))))</f>
        <v/>
      </c>
      <c r="L453" s="25"/>
    </row>
    <row r="454" spans="1:12" x14ac:dyDescent="0.3">
      <c r="A454" t="s">
        <v>486</v>
      </c>
      <c r="B454" s="26" t="s">
        <v>261</v>
      </c>
      <c r="C454" s="26" t="s">
        <v>307</v>
      </c>
      <c r="E454" s="20" t="str">
        <f t="shared" si="50"/>
        <v/>
      </c>
      <c r="F454" s="21" t="str">
        <f>IF(OR(E454="",E454="!!!"),"",IF(NOT(ISNA(VLOOKUP(E454,E$1:E453,1,FALSE()))),"OLD",IF(AND(E454&lt;&gt;"",E454&lt;&gt;"!!!"),"NEW","")))</f>
        <v/>
      </c>
      <c r="G454" s="22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/>
      </c>
      <c r="H454" s="23" t="str">
        <f t="shared" ca="1" si="51"/>
        <v/>
      </c>
      <c r="I454" s="24" t="str">
        <f>IF(OR(E454="",E454="!!!",F454="NEW"),"",INDEX(B$2:B453,-1+SUMPRODUCT(MAX(ROW(E$2:E453)*(E454=E$2:E453)))))</f>
        <v/>
      </c>
      <c r="J454" s="24" t="str">
        <f ca="1">IF(OR(E454="",E454="!!!",F454="NEW"),"",COUNTBLANK(OFFSET(A$1,,,SUMPRODUCT(MAX(ROW(E$2:E454)*(E454=E$2:E454)))))-COUNTBLANK(OFFSET(A$1,,,SUMPRODUCT(MAX(ROW(E$1:E453)*(E2=E$1:E453))))))</f>
        <v/>
      </c>
      <c r="K454" s="24" t="str">
        <f>IF(OR(E454="",E454="!!!",F454="NEW"),"",INDEX(J$1:J453,SUMPRODUCT(MAX(ROW(E$1:E453)*(E454=E$1:E453)))))</f>
        <v/>
      </c>
      <c r="L454" s="25"/>
    </row>
    <row r="455" spans="1:12" x14ac:dyDescent="0.3">
      <c r="A455" t="s">
        <v>487</v>
      </c>
      <c r="E455" s="20" t="str">
        <f t="shared" si="50"/>
        <v/>
      </c>
      <c r="F455" s="21" t="str">
        <f>IF(OR(E455="",E455="!!!"),"",IF(NOT(ISNA(VLOOKUP(E455,E$1:E454,1,FALSE()))),"OLD",IF(AND(E455&lt;&gt;"",E455&lt;&gt;"!!!"),"NEW","")))</f>
        <v/>
      </c>
      <c r="G455" s="22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/>
      </c>
      <c r="H455" s="23" t="str">
        <f t="shared" ca="1" si="51"/>
        <v/>
      </c>
      <c r="I455" s="24" t="str">
        <f>IF(OR(E455="",E455="!!!",F455="NEW"),"",INDEX(B$2:B454,-1+SUMPRODUCT(MAX(ROW(E$2:E454)*(E455=E$2:E454)))))</f>
        <v/>
      </c>
      <c r="J455" s="24" t="str">
        <f ca="1">IF(OR(E455="",E455="!!!",F455="NEW"),"",COUNTBLANK(OFFSET(A$1,,,SUMPRODUCT(MAX(ROW(E$2:E455)*(E455=E$2:E455)))))-COUNTBLANK(OFFSET(A$1,,,SUMPRODUCT(MAX(ROW(E$1:E454)*(E2=E$1:E454))))))</f>
        <v/>
      </c>
      <c r="K455" s="24" t="str">
        <f>IF(OR(E455="",E455="!!!",F455="NEW"),"",INDEX(J$1:J454,SUMPRODUCT(MAX(ROW(E$1:E454)*(E455=E$1:E454)))))</f>
        <v/>
      </c>
      <c r="L455" s="25"/>
    </row>
    <row r="456" spans="1:12" x14ac:dyDescent="0.3">
      <c r="A456" t="s">
        <v>488</v>
      </c>
      <c r="E456" s="20" t="str">
        <f t="shared" si="50"/>
        <v/>
      </c>
      <c r="F456" s="21" t="str">
        <f>IF(OR(E456="",E456="!!!"),"",IF(NOT(ISNA(VLOOKUP(E456,E$1:E455,1,FALSE()))),"OLD",IF(AND(E456&lt;&gt;"",E456&lt;&gt;"!!!"),"NEW","")))</f>
        <v/>
      </c>
      <c r="G456" s="22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/>
      </c>
      <c r="H456" s="23" t="str">
        <f t="shared" ca="1" si="51"/>
        <v/>
      </c>
      <c r="I456" s="24" t="str">
        <f>IF(OR(E456="",E456="!!!",F456="NEW"),"",INDEX(B$2:B455,-1+SUMPRODUCT(MAX(ROW(E$2:E455)*(E456=E$2:E455)))))</f>
        <v/>
      </c>
      <c r="J456" s="24" t="str">
        <f ca="1">IF(OR(E456="",E456="!!!",F456="NEW"),"",COUNTBLANK(OFFSET(A$1,,,SUMPRODUCT(MAX(ROW(E$2:E456)*(E456=E$2:E456)))))-COUNTBLANK(OFFSET(A$1,,,SUMPRODUCT(MAX(ROW(E$1:E455)*(E2=E$1:E455))))))</f>
        <v/>
      </c>
      <c r="K456" s="24" t="str">
        <f>IF(OR(E456="",E456="!!!",F456="NEW"),"",INDEX(J$1:J455,SUMPRODUCT(MAX(ROW(E$1:E455)*(E456=E$1:E455)))))</f>
        <v/>
      </c>
      <c r="L456" s="25"/>
    </row>
    <row r="457" spans="1:12" x14ac:dyDescent="0.3">
      <c r="A457" t="s">
        <v>359</v>
      </c>
      <c r="E457" s="20" t="str">
        <f t="shared" si="50"/>
        <v/>
      </c>
      <c r="F457" s="21" t="str">
        <f>IF(OR(E457="",E457="!!!"),"",IF(NOT(ISNA(VLOOKUP(E457,E$1:E456,1,FALSE()))),"OLD",IF(AND(E457&lt;&gt;"",E457&lt;&gt;"!!!"),"NEW","")))</f>
        <v/>
      </c>
      <c r="G457" s="22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/>
      </c>
      <c r="H457" s="23" t="str">
        <f t="shared" ca="1" si="51"/>
        <v/>
      </c>
      <c r="I457" s="24" t="str">
        <f>IF(OR(E457="",E457="!!!",F457="NEW"),"",INDEX(B$2:B456,-1+SUMPRODUCT(MAX(ROW(E$2:E456)*(E457=E$2:E456)))))</f>
        <v/>
      </c>
      <c r="J457" s="24" t="str">
        <f ca="1">IF(OR(E457="",E457="!!!",F457="NEW"),"",COUNTBLANK(OFFSET(A$1,,,SUMPRODUCT(MAX(ROW(E$2:E457)*(E457=E$2:E457)))))-COUNTBLANK(OFFSET(A$1,,,SUMPRODUCT(MAX(ROW(E$1:E456)*(E2=E$1:E456))))))</f>
        <v/>
      </c>
      <c r="K457" s="24" t="str">
        <f>IF(OR(E457="",E457="!!!",F457="NEW"),"",INDEX(J$1:J456,SUMPRODUCT(MAX(ROW(E$1:E456)*(E457=E$1:E456)))))</f>
        <v/>
      </c>
      <c r="L457" s="25"/>
    </row>
    <row r="458" spans="1:12" x14ac:dyDescent="0.3">
      <c r="A458" t="s">
        <v>310</v>
      </c>
      <c r="E458" s="20" t="str">
        <f t="shared" si="50"/>
        <v/>
      </c>
      <c r="F458" s="21" t="str">
        <f>IF(OR(E458="",E458="!!!"),"",IF(NOT(ISNA(VLOOKUP(E458,E$1:E457,1,FALSE()))),"OLD",IF(AND(E458&lt;&gt;"",E458&lt;&gt;"!!!"),"NEW","")))</f>
        <v/>
      </c>
      <c r="G458" s="22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/>
      </c>
      <c r="H458" s="23" t="str">
        <f t="shared" ca="1" si="51"/>
        <v/>
      </c>
      <c r="I458" s="24" t="str">
        <f>IF(OR(E458="",E458="!!!",F458="NEW"),"",INDEX(B$2:B457,-1+SUMPRODUCT(MAX(ROW(E$2:E457)*(E458=E$2:E457)))))</f>
        <v/>
      </c>
      <c r="J458" s="24" t="str">
        <f ca="1">IF(OR(E458="",E458="!!!",F458="NEW"),"",COUNTBLANK(OFFSET(A$1,,,SUMPRODUCT(MAX(ROW(E$2:E458)*(E458=E$2:E458)))))-COUNTBLANK(OFFSET(A$1,,,SUMPRODUCT(MAX(ROW(E$1:E457)*(E2=E$1:E457))))))</f>
        <v/>
      </c>
      <c r="K458" s="24" t="str">
        <f>IF(OR(E458="",E458="!!!",F458="NEW"),"",INDEX(J$1:J457,SUMPRODUCT(MAX(ROW(E$1:E457)*(E458=E$1:E457)))))</f>
        <v/>
      </c>
      <c r="L458" s="25"/>
    </row>
    <row r="459" spans="1:12" x14ac:dyDescent="0.3">
      <c r="A459" t="s">
        <v>468</v>
      </c>
      <c r="B459" s="26" t="s">
        <v>261</v>
      </c>
      <c r="C459" s="26" t="s">
        <v>239</v>
      </c>
      <c r="D459" s="26" t="s">
        <v>240</v>
      </c>
      <c r="E459" s="20" t="str">
        <f t="shared" si="50"/>
        <v>!!!</v>
      </c>
      <c r="F459" s="21" t="str">
        <f>IF(OR(E459="",E459="!!!"),"",IF(NOT(ISNA(VLOOKUP(E459,E$1:E458,1,FALSE()))),"OLD",IF(AND(E459&lt;&gt;"",E459&lt;&gt;"!!!"),"NEW","")))</f>
        <v/>
      </c>
      <c r="G459" s="22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/>
      </c>
      <c r="H459" s="23" t="str">
        <f t="shared" ca="1" si="51"/>
        <v/>
      </c>
      <c r="I459" s="24" t="str">
        <f>IF(OR(E459="",E459="!!!",F459="NEW"),"",INDEX(B$2:B458,-1+SUMPRODUCT(MAX(ROW(E$2:E458)*(E459=E$2:E458)))))</f>
        <v/>
      </c>
      <c r="J459" s="24" t="str">
        <f ca="1">IF(OR(E459="",E459="!!!",F459="NEW"),"",COUNTBLANK(OFFSET(A$1,,,SUMPRODUCT(MAX(ROW(E$2:E459)*(E459=E$2:E459)))))-COUNTBLANK(OFFSET(A$1,,,SUMPRODUCT(MAX(ROW(E$1:E458)*(E2=E$1:E458))))))</f>
        <v/>
      </c>
      <c r="K459" s="24" t="str">
        <f>IF(OR(E459="",E459="!!!",F459="NEW"),"",INDEX(J$1:J458,SUMPRODUCT(MAX(ROW(E$1:E458)*(E459=E$1:E458)))))</f>
        <v/>
      </c>
      <c r="L459" s="25"/>
    </row>
    <row r="460" spans="1:12" x14ac:dyDescent="0.3">
      <c r="A460" t="s">
        <v>252</v>
      </c>
      <c r="E460" s="20" t="str">
        <f t="shared" si="50"/>
        <v/>
      </c>
      <c r="F460" s="21" t="str">
        <f>IF(OR(E460="",E460="!!!"),"",IF(NOT(ISNA(VLOOKUP(E460,E$1:E459,1,FALSE()))),"OLD",IF(AND(E460&lt;&gt;"",E460&lt;&gt;"!!!"),"NEW","")))</f>
        <v/>
      </c>
      <c r="G460" s="22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/>
      </c>
      <c r="H460" s="23" t="str">
        <f t="shared" ca="1" si="51"/>
        <v/>
      </c>
      <c r="I460" s="24" t="str">
        <f>IF(OR(E460="",E460="!!!",F460="NEW"),"",INDEX(B$2:B459,-1+SUMPRODUCT(MAX(ROW(E$2:E459)*(E460=E$2:E459)))))</f>
        <v/>
      </c>
      <c r="J460" s="24" t="str">
        <f ca="1">IF(OR(E460="",E460="!!!",F460="NEW"),"",COUNTBLANK(OFFSET(A$1,,,SUMPRODUCT(MAX(ROW(E$2:E460)*(E460=E$2:E460)))))-COUNTBLANK(OFFSET(A$1,,,SUMPRODUCT(MAX(ROW(E$1:E459)*(E2=E$1:E459))))))</f>
        <v/>
      </c>
      <c r="K460" s="24" t="str">
        <f>IF(OR(E460="",E460="!!!",F460="NEW"),"",INDEX(J$1:J459,SUMPRODUCT(MAX(ROW(E$1:E459)*(E460=E$1:E459)))))</f>
        <v/>
      </c>
      <c r="L460" s="25"/>
    </row>
    <row r="461" spans="1:12" x14ac:dyDescent="0.3">
      <c r="A461" t="s">
        <v>310</v>
      </c>
      <c r="B461" s="26" t="s">
        <v>469</v>
      </c>
      <c r="E461" s="20" t="str">
        <f t="shared" si="50"/>
        <v/>
      </c>
      <c r="F461" s="21" t="str">
        <f>IF(OR(E461="",E461="!!!"),"",IF(NOT(ISNA(VLOOKUP(E461,E$1:E460,1,FALSE()))),"OLD",IF(AND(E461&lt;&gt;"",E461&lt;&gt;"!!!"),"NEW","")))</f>
        <v/>
      </c>
      <c r="G461" s="22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/>
      </c>
      <c r="H461" s="23" t="str">
        <f t="shared" ca="1" si="51"/>
        <v/>
      </c>
      <c r="I461" s="24" t="str">
        <f>IF(OR(E461="",E461="!!!",F461="NEW"),"",INDEX(B$2:B460,-1+SUMPRODUCT(MAX(ROW(E$2:E460)*(E461=E$2:E460)))))</f>
        <v/>
      </c>
      <c r="J461" s="24" t="str">
        <f ca="1">IF(OR(E461="",E461="!!!",F461="NEW"),"",COUNTBLANK(OFFSET(A$1,,,SUMPRODUCT(MAX(ROW(E$2:E461)*(E461=E$2:E461)))))-COUNTBLANK(OFFSET(A$1,,,SUMPRODUCT(MAX(ROW(E$1:E460)*(E2=E$1:E460))))))</f>
        <v/>
      </c>
      <c r="K461" s="24" t="str">
        <f>IF(OR(E461="",E461="!!!",F461="NEW"),"",INDEX(J$1:J460,SUMPRODUCT(MAX(ROW(E$1:E460)*(E461=E$1:E460)))))</f>
        <v/>
      </c>
      <c r="L461" s="25"/>
    </row>
    <row r="462" spans="1:12" x14ac:dyDescent="0.3">
      <c r="A462" t="s">
        <v>257</v>
      </c>
      <c r="E462" s="20" t="str">
        <f t="shared" si="50"/>
        <v/>
      </c>
      <c r="F462" s="21" t="str">
        <f>IF(OR(E462="",E462="!!!"),"",IF(NOT(ISNA(VLOOKUP(E462,E$1:E461,1,FALSE()))),"OLD",IF(AND(E462&lt;&gt;"",E462&lt;&gt;"!!!"),"NEW","")))</f>
        <v/>
      </c>
      <c r="G462" s="22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/>
      </c>
      <c r="H462" s="23" t="str">
        <f t="shared" ca="1" si="51"/>
        <v/>
      </c>
      <c r="I462" s="24" t="str">
        <f>IF(OR(E462="",E462="!!!",F462="NEW"),"",INDEX(B$2:B461,-1+SUMPRODUCT(MAX(ROW(E$2:E461)*(E462=E$2:E461)))))</f>
        <v/>
      </c>
      <c r="J462" s="24" t="str">
        <f ca="1">IF(OR(E462="",E462="!!!",F462="NEW"),"",COUNTBLANK(OFFSET(A$1,,,SUMPRODUCT(MAX(ROW(E$2:E462)*(E462=E$2:E462)))))-COUNTBLANK(OFFSET(A$1,,,SUMPRODUCT(MAX(ROW(E$1:E461)*(E2=E$1:E461))))))</f>
        <v/>
      </c>
      <c r="K462" s="24" t="str">
        <f>IF(OR(E462="",E462="!!!",F462="NEW"),"",INDEX(J$1:J461,SUMPRODUCT(MAX(ROW(E$1:E461)*(E462=E$1:E461)))))</f>
        <v/>
      </c>
      <c r="L462" s="25"/>
    </row>
    <row r="463" spans="1:12" x14ac:dyDescent="0.3">
      <c r="A463" t="s">
        <v>236</v>
      </c>
      <c r="E463" s="20" t="str">
        <f t="shared" si="50"/>
        <v/>
      </c>
      <c r="F463" s="21" t="str">
        <f>IF(OR(E463="",E463="!!!"),"",IF(NOT(ISNA(VLOOKUP(E463,E$1:E462,1,FALSE()))),"OLD",IF(AND(E463&lt;&gt;"",E463&lt;&gt;"!!!"),"NEW","")))</f>
        <v/>
      </c>
      <c r="G463" s="22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/>
      </c>
      <c r="H463" s="23" t="str">
        <f t="shared" ca="1" si="51"/>
        <v/>
      </c>
      <c r="I463" s="24" t="str">
        <f>IF(OR(E463="",E463="!!!",F463="NEW"),"",INDEX(B$2:B462,-1+SUMPRODUCT(MAX(ROW(E$2:E462)*(E463=E$2:E462)))))</f>
        <v/>
      </c>
      <c r="J463" s="24" t="str">
        <f ca="1">IF(OR(E463="",E463="!!!",F463="NEW"),"",COUNTBLANK(OFFSET(A$1,,,SUMPRODUCT(MAX(ROW(E$2:E463)*(E463=E$2:E463)))))-COUNTBLANK(OFFSET(A$1,,,SUMPRODUCT(MAX(ROW(E$1:E462)*(E2=E$1:E462))))))</f>
        <v/>
      </c>
      <c r="K463" s="24" t="str">
        <f>IF(OR(E463="",E463="!!!",F463="NEW"),"",INDEX(J$1:J462,SUMPRODUCT(MAX(ROW(E$1:E462)*(E463=E$1:E462)))))</f>
        <v/>
      </c>
      <c r="L463" s="25"/>
    </row>
    <row r="464" spans="1:12" x14ac:dyDescent="0.3">
      <c r="A464" t="s">
        <v>425</v>
      </c>
      <c r="E464" s="20" t="str">
        <f t="shared" si="50"/>
        <v/>
      </c>
      <c r="F464" s="21" t="str">
        <f>IF(OR(E464="",E464="!!!"),"",IF(NOT(ISNA(VLOOKUP(E464,E$1:E463,1,FALSE()))),"OLD",IF(AND(E464&lt;&gt;"",E464&lt;&gt;"!!!"),"NEW","")))</f>
        <v/>
      </c>
      <c r="G464" s="22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/>
      </c>
      <c r="H464" s="23" t="str">
        <f t="shared" ca="1" si="51"/>
        <v/>
      </c>
      <c r="I464" s="24" t="str">
        <f>IF(OR(E464="",E464="!!!",F464="NEW"),"",INDEX(B$2:B463,-1+SUMPRODUCT(MAX(ROW(E$2:E463)*(E464=E$2:E463)))))</f>
        <v/>
      </c>
      <c r="J464" s="24" t="str">
        <f ca="1">IF(OR(E464="",E464="!!!",F464="NEW"),"",COUNTBLANK(OFFSET(A$1,,,SUMPRODUCT(MAX(ROW(E$2:E464)*(E464=E$2:E464)))))-COUNTBLANK(OFFSET(A$1,,,SUMPRODUCT(MAX(ROW(E$1:E463)*(E2=E$1:E463))))))</f>
        <v/>
      </c>
      <c r="K464" s="24" t="str">
        <f>IF(OR(E464="",E464="!!!",F464="NEW"),"",INDEX(J$1:J463,SUMPRODUCT(MAX(ROW(E$1:E463)*(E464=E$1:E463)))))</f>
        <v/>
      </c>
      <c r="L464" s="25"/>
    </row>
    <row r="465" spans="1:12" x14ac:dyDescent="0.3">
      <c r="A465" t="s">
        <v>489</v>
      </c>
      <c r="E465" s="20" t="str">
        <f t="shared" si="50"/>
        <v/>
      </c>
      <c r="F465" s="21" t="str">
        <f>IF(OR(E465="",E465="!!!"),"",IF(NOT(ISNA(VLOOKUP(E465,E$1:E464,1,FALSE()))),"OLD",IF(AND(E465&lt;&gt;"",E465&lt;&gt;"!!!"),"NEW","")))</f>
        <v/>
      </c>
      <c r="G465" s="22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/>
      </c>
      <c r="H465" s="23" t="str">
        <f t="shared" ca="1" si="51"/>
        <v/>
      </c>
      <c r="I465" s="24" t="str">
        <f>IF(OR(E465="",E465="!!!",F465="NEW"),"",INDEX(B$2:B464,-1+SUMPRODUCT(MAX(ROW(E$2:E464)*(E465=E$2:E464)))))</f>
        <v/>
      </c>
      <c r="J465" s="24" t="str">
        <f ca="1">IF(OR(E465="",E465="!!!",F465="NEW"),"",COUNTBLANK(OFFSET(A$1,,,SUMPRODUCT(MAX(ROW(E$2:E465)*(E465=E$2:E465)))))-COUNTBLANK(OFFSET(A$1,,,SUMPRODUCT(MAX(ROW(E$1:E464)*(E2=E$1:E464))))))</f>
        <v/>
      </c>
      <c r="K465" s="24" t="str">
        <f>IF(OR(E465="",E465="!!!",F465="NEW"),"",INDEX(J$1:J464,SUMPRODUCT(MAX(ROW(E$1:E464)*(E465=E$1:E464)))))</f>
        <v/>
      </c>
      <c r="L465" s="25"/>
    </row>
    <row r="466" spans="1:12" x14ac:dyDescent="0.3">
      <c r="A466" t="s">
        <v>490</v>
      </c>
      <c r="B466" s="26" t="s">
        <v>272</v>
      </c>
      <c r="C466" s="26" t="s">
        <v>239</v>
      </c>
      <c r="D466" s="26" t="s">
        <v>240</v>
      </c>
      <c r="E466" s="20" t="str">
        <f t="shared" si="50"/>
        <v>!!!</v>
      </c>
      <c r="F466" s="21" t="str">
        <f>IF(OR(E466="",E466="!!!"),"",IF(NOT(ISNA(VLOOKUP(E466,E$1:E465,1,FALSE()))),"OLD",IF(AND(E466&lt;&gt;"",E466&lt;&gt;"!!!"),"NEW","")))</f>
        <v/>
      </c>
      <c r="G466" s="22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/>
      </c>
      <c r="H466" s="23" t="str">
        <f t="shared" ca="1" si="51"/>
        <v/>
      </c>
      <c r="I466" s="24" t="str">
        <f>IF(OR(E466="",E466="!!!",F466="NEW"),"",INDEX(B$2:B465,-1+SUMPRODUCT(MAX(ROW(E$2:E465)*(E466=E$2:E465)))))</f>
        <v/>
      </c>
      <c r="J466" s="24" t="str">
        <f ca="1">IF(OR(E466="",E466="!!!",F466="NEW"),"",COUNTBLANK(OFFSET(A$1,,,SUMPRODUCT(MAX(ROW(E$2:E466)*(E466=E$2:E466)))))-COUNTBLANK(OFFSET(A$1,,,SUMPRODUCT(MAX(ROW(E$1:E465)*(E2=E$1:E465))))))</f>
        <v/>
      </c>
      <c r="K466" s="24" t="str">
        <f>IF(OR(E466="",E466="!!!",F466="NEW"),"",INDEX(J$1:J465,SUMPRODUCT(MAX(ROW(E$1:E465)*(E466=E$1:E465)))))</f>
        <v/>
      </c>
      <c r="L466" s="25"/>
    </row>
    <row r="467" spans="1:12" x14ac:dyDescent="0.3">
      <c r="A467" t="s">
        <v>312</v>
      </c>
      <c r="E467" s="20" t="str">
        <f t="shared" si="50"/>
        <v/>
      </c>
      <c r="F467" s="21" t="str">
        <f>IF(OR(E467="",E467="!!!"),"",IF(NOT(ISNA(VLOOKUP(E467,E$1:E466,1,FALSE()))),"OLD",IF(AND(E467&lt;&gt;"",E467&lt;&gt;"!!!"),"NEW","")))</f>
        <v/>
      </c>
      <c r="G467" s="22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/>
      </c>
      <c r="H467" s="23" t="str">
        <f t="shared" ca="1" si="51"/>
        <v/>
      </c>
      <c r="I467" s="24" t="str">
        <f>IF(OR(E467="",E467="!!!",F467="NEW"),"",INDEX(B$2:B466,-1+SUMPRODUCT(MAX(ROW(E$2:E466)*(E467=E$2:E466)))))</f>
        <v/>
      </c>
      <c r="J467" s="24" t="str">
        <f ca="1">IF(OR(E467="",E467="!!!",F467="NEW"),"",COUNTBLANK(OFFSET(A$1,,,SUMPRODUCT(MAX(ROW(E$2:E467)*(E467=E$2:E467)))))-COUNTBLANK(OFFSET(A$1,,,SUMPRODUCT(MAX(ROW(E$1:E466)*(E2=E$1:E466))))))</f>
        <v/>
      </c>
      <c r="K467" s="24" t="str">
        <f>IF(OR(E467="",E467="!!!",F467="NEW"),"",INDEX(J$1:J466,SUMPRODUCT(MAX(ROW(E$1:E466)*(E467=E$1:E466)))))</f>
        <v/>
      </c>
      <c r="L467" s="25"/>
    </row>
    <row r="468" spans="1:12" x14ac:dyDescent="0.3">
      <c r="A468" t="s">
        <v>491</v>
      </c>
      <c r="E468" s="20" t="str">
        <f t="shared" si="50"/>
        <v/>
      </c>
      <c r="F468" s="21" t="str">
        <f>IF(OR(E468="",E468="!!!"),"",IF(NOT(ISNA(VLOOKUP(E468,E$1:E467,1,FALSE()))),"OLD",IF(AND(E468&lt;&gt;"",E468&lt;&gt;"!!!"),"NEW","")))</f>
        <v/>
      </c>
      <c r="G468" s="22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/>
      </c>
      <c r="H468" s="23" t="str">
        <f t="shared" ca="1" si="51"/>
        <v/>
      </c>
      <c r="I468" s="24" t="str">
        <f>IF(OR(E468="",E468="!!!",F468="NEW"),"",INDEX(B$2:B467,-1+SUMPRODUCT(MAX(ROW(E$2:E467)*(E468=E$2:E467)))))</f>
        <v/>
      </c>
      <c r="J468" s="24" t="str">
        <f ca="1">IF(OR(E468="",E468="!!!",F468="NEW"),"",COUNTBLANK(OFFSET(A$1,,,SUMPRODUCT(MAX(ROW(E$2:E468)*(E468=E$2:E468)))))-COUNTBLANK(OFFSET(A$1,,,SUMPRODUCT(MAX(ROW(E$1:E467)*(E2=E$1:E467))))))</f>
        <v/>
      </c>
      <c r="K468" s="24" t="str">
        <f>IF(OR(E468="",E468="!!!",F468="NEW"),"",INDEX(J$1:J467,SUMPRODUCT(MAX(ROW(E$1:E467)*(E468=E$1:E467)))))</f>
        <v/>
      </c>
      <c r="L468" s="25"/>
    </row>
    <row r="469" spans="1:12" x14ac:dyDescent="0.3">
      <c r="A469" t="s">
        <v>248</v>
      </c>
      <c r="E469" s="20" t="str">
        <f t="shared" si="50"/>
        <v/>
      </c>
      <c r="F469" s="21" t="str">
        <f>IF(OR(E469="",E469="!!!"),"",IF(NOT(ISNA(VLOOKUP(E469,E$1:E468,1,FALSE()))),"OLD",IF(AND(E469&lt;&gt;"",E469&lt;&gt;"!!!"),"NEW","")))</f>
        <v/>
      </c>
      <c r="G469" s="22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/>
      </c>
      <c r="H469" s="23" t="str">
        <f t="shared" ca="1" si="51"/>
        <v/>
      </c>
      <c r="I469" s="24" t="str">
        <f>IF(OR(E469="",E469="!!!",F469="NEW"),"",INDEX(B$2:B468,-1+SUMPRODUCT(MAX(ROW(E$2:E468)*(E469=E$2:E468)))))</f>
        <v/>
      </c>
      <c r="J469" s="24" t="str">
        <f ca="1">IF(OR(E469="",E469="!!!",F469="NEW"),"",COUNTBLANK(OFFSET(A$1,,,SUMPRODUCT(MAX(ROW(E$2:E469)*(E469=E$2:E469)))))-COUNTBLANK(OFFSET(A$1,,,SUMPRODUCT(MAX(ROW(E$1:E468)*(E2=E$1:E468))))))</f>
        <v/>
      </c>
      <c r="K469" s="24" t="str">
        <f>IF(OR(E469="",E469="!!!",F469="NEW"),"",INDEX(J$1:J468,SUMPRODUCT(MAX(ROW(E$1:E468)*(E469=E$1:E468)))))</f>
        <v/>
      </c>
      <c r="L469" s="25"/>
    </row>
    <row r="471" spans="1:12" x14ac:dyDescent="0.3">
      <c r="A471" t="s">
        <v>492</v>
      </c>
    </row>
    <row r="472" spans="1:12" x14ac:dyDescent="0.3">
      <c r="A472" t="s">
        <v>417</v>
      </c>
      <c r="B472" s="26" t="s">
        <v>243</v>
      </c>
      <c r="C472" s="26" t="s">
        <v>346</v>
      </c>
      <c r="D472" s="26" t="s">
        <v>240</v>
      </c>
      <c r="E472" s="20" t="str">
        <f>IF(D472="?OLD","!!!","")</f>
        <v>!!!</v>
      </c>
      <c r="F472" s="21" t="str">
        <f>IF(OR(E472="",E472="!!!"),"",IF(NOT(ISNA(VLOOKUP(E472,E$1:E471,1,FALSE()))),"OLD",IF(AND(E472&lt;&gt;"",E472&lt;&gt;"!!!"),"NEW","")))</f>
        <v/>
      </c>
      <c r="G472" s="22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/>
      </c>
      <c r="H472" s="23" t="str">
        <f ca="1">IF(J472&lt;&gt;1,"",IF(I472="SBJ","CB","?"))</f>
        <v/>
      </c>
      <c r="I472" s="24" t="str">
        <f>IF(OR(E472="",E472="!!!",F472="NEW"),"",INDEX(B$2:B471,-1+SUMPRODUCT(MAX(ROW(E$2:E471)*(E472=E$2:E471)))))</f>
        <v/>
      </c>
      <c r="J472" s="24" t="str">
        <f ca="1">IF(OR(E472="",E472="!!!",F472="NEW"),"",COUNTBLANK(OFFSET(A$1,,,SUMPRODUCT(MAX(ROW(E$2:E472)*(E472=E$2:E472)))))-COUNTBLANK(OFFSET(A$1,,,SUMPRODUCT(MAX(ROW(E$1:E471)*(E2=E$1:E471))))))</f>
        <v/>
      </c>
      <c r="K472" s="24" t="str">
        <f>IF(OR(E472="",E472="!!!",F472="NEW"),"",INDEX(J$1:J471,SUMPRODUCT(MAX(ROW(E$1:E471)*(E472=E$1:E471)))))</f>
        <v/>
      </c>
      <c r="L472" s="25"/>
    </row>
    <row r="473" spans="1:12" x14ac:dyDescent="0.3">
      <c r="A473" t="s">
        <v>493</v>
      </c>
      <c r="E473" s="20" t="str">
        <f>IF(D473="?OLD","!!!","")</f>
        <v/>
      </c>
      <c r="F473" s="21" t="str">
        <f>IF(OR(E473="",E473="!!!"),"",IF(NOT(ISNA(VLOOKUP(E473,E$1:E472,1,FALSE()))),"OLD",IF(AND(E473&lt;&gt;"",E473&lt;&gt;"!!!"),"NEW","")))</f>
        <v/>
      </c>
      <c r="G473" s="22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/>
      </c>
      <c r="H473" s="23" t="str">
        <f ca="1">IF(J473&lt;&gt;1,"",IF(I473="SBJ","CB","?"))</f>
        <v/>
      </c>
      <c r="I473" s="24" t="str">
        <f>IF(OR(E473="",E473="!!!",F473="NEW"),"",INDEX(B$2:B472,-1+SUMPRODUCT(MAX(ROW(E$2:E472)*(E473=E$2:E472)))))</f>
        <v/>
      </c>
      <c r="J473" s="24" t="str">
        <f ca="1">IF(OR(E473="",E473="!!!",F473="NEW"),"",COUNTBLANK(OFFSET(A$1,,,SUMPRODUCT(MAX(ROW(E$2:E473)*(E473=E$2:E473)))))-COUNTBLANK(OFFSET(A$1,,,SUMPRODUCT(MAX(ROW(E$1:E472)*(E2=E$1:E472))))))</f>
        <v/>
      </c>
      <c r="K473" s="24" t="str">
        <f>IF(OR(E473="",E473="!!!",F473="NEW"),"",INDEX(J$1:J472,SUMPRODUCT(MAX(ROW(E$1:E472)*(E473=E$1:E472)))))</f>
        <v/>
      </c>
      <c r="L473" s="25"/>
    </row>
    <row r="474" spans="1:12" x14ac:dyDescent="0.3">
      <c r="A474" t="s">
        <v>254</v>
      </c>
      <c r="B474" s="26" t="s">
        <v>243</v>
      </c>
      <c r="C474" s="26" t="s">
        <v>256</v>
      </c>
      <c r="D474" s="26" t="s">
        <v>240</v>
      </c>
      <c r="E474" s="20" t="str">
        <f>IF(D474="?OLD","!!!","")</f>
        <v>!!!</v>
      </c>
      <c r="F474" s="21" t="str">
        <f>IF(OR(E474="",E474="!!!"),"",IF(NOT(ISNA(VLOOKUP(E474,E$1:E473,1,FALSE()))),"OLD",IF(AND(E474&lt;&gt;"",E474&lt;&gt;"!!!"),"NEW","")))</f>
        <v/>
      </c>
      <c r="G474" s="22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/>
      </c>
      <c r="H474" s="23" t="str">
        <f ca="1">IF(J474&lt;&gt;1,"",IF(I474="SBJ","CB","?"))</f>
        <v/>
      </c>
      <c r="I474" s="24" t="str">
        <f>IF(OR(E474="",E474="!!!",F474="NEW"),"",INDEX(B$2:B473,-1+SUMPRODUCT(MAX(ROW(E$2:E473)*(E474=E$2:E473)))))</f>
        <v/>
      </c>
      <c r="J474" s="24" t="str">
        <f ca="1">IF(OR(E474="",E474="!!!",F474="NEW"),"",COUNTBLANK(OFFSET(A$1,,,SUMPRODUCT(MAX(ROW(E$2:E474)*(E474=E$2:E474)))))-COUNTBLANK(OFFSET(A$1,,,SUMPRODUCT(MAX(ROW(E$1:E473)*(E2=E$1:E473))))))</f>
        <v/>
      </c>
      <c r="K474" s="24" t="str">
        <f>IF(OR(E474="",E474="!!!",F474="NEW"),"",INDEX(J$1:J473,SUMPRODUCT(MAX(ROW(E$1:E473)*(E474=E$1:E473)))))</f>
        <v/>
      </c>
      <c r="L474" s="25"/>
    </row>
    <row r="475" spans="1:12" x14ac:dyDescent="0.3">
      <c r="A475" t="s">
        <v>401</v>
      </c>
      <c r="E475" s="20" t="str">
        <f>IF(D475="?OLD","!!!","")</f>
        <v/>
      </c>
      <c r="F475" s="21" t="str">
        <f>IF(OR(E475="",E475="!!!"),"",IF(NOT(ISNA(VLOOKUP(E475,E$1:E474,1,FALSE()))),"OLD",IF(AND(E475&lt;&gt;"",E475&lt;&gt;"!!!"),"NEW","")))</f>
        <v/>
      </c>
      <c r="G475" s="22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/>
      </c>
      <c r="H475" s="23" t="str">
        <f ca="1">IF(J475&lt;&gt;1,"",IF(I475="SBJ","CB","?"))</f>
        <v/>
      </c>
      <c r="I475" s="24" t="str">
        <f>IF(OR(E475="",E475="!!!",F475="NEW"),"",INDEX(B$2:B474,-1+SUMPRODUCT(MAX(ROW(E$2:E474)*(E475=E$2:E474)))))</f>
        <v/>
      </c>
      <c r="J475" s="24" t="str">
        <f ca="1">IF(OR(E475="",E475="!!!",F475="NEW"),"",COUNTBLANK(OFFSET(A$1,,,SUMPRODUCT(MAX(ROW(E$2:E475)*(E475=E$2:E475)))))-COUNTBLANK(OFFSET(A$1,,,SUMPRODUCT(MAX(ROW(E$1:E474)*(E2=E$1:E474))))))</f>
        <v/>
      </c>
      <c r="K475" s="24" t="str">
        <f>IF(OR(E475="",E475="!!!",F475="NEW"),"",INDEX(J$1:J474,SUMPRODUCT(MAX(ROW(E$1:E474)*(E475=E$1:E474)))))</f>
        <v/>
      </c>
      <c r="L475" s="25"/>
    </row>
    <row r="476" spans="1:12" x14ac:dyDescent="0.3">
      <c r="A476" t="s">
        <v>248</v>
      </c>
      <c r="E476" s="20" t="str">
        <f>IF(D476="?OLD","!!!","")</f>
        <v/>
      </c>
      <c r="F476" s="21" t="str">
        <f>IF(OR(E476="",E476="!!!"),"",IF(NOT(ISNA(VLOOKUP(E476,E$1:E475,1,FALSE()))),"OLD",IF(AND(E476&lt;&gt;"",E476&lt;&gt;"!!!"),"NEW","")))</f>
        <v/>
      </c>
      <c r="G476" s="22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/>
      </c>
      <c r="H476" s="23" t="str">
        <f ca="1">IF(J476&lt;&gt;1,"",IF(I476="SBJ","CB","?"))</f>
        <v/>
      </c>
      <c r="I476" s="24" t="str">
        <f>IF(OR(E476="",E476="!!!",F476="NEW"),"",INDEX(B$2:B475,-1+SUMPRODUCT(MAX(ROW(E$2:E475)*(E476=E$2:E475)))))</f>
        <v/>
      </c>
      <c r="J476" s="24" t="str">
        <f ca="1">IF(OR(E476="",E476="!!!",F476="NEW"),"",COUNTBLANK(OFFSET(A$1,,,SUMPRODUCT(MAX(ROW(E$2:E476)*(E476=E$2:E476)))))-COUNTBLANK(OFFSET(A$1,,,SUMPRODUCT(MAX(ROW(E$1:E475)*(E2=E$1:E475))))))</f>
        <v/>
      </c>
      <c r="K476" s="24" t="str">
        <f>IF(OR(E476="",E476="!!!",F476="NEW"),"",INDEX(J$1:J475,SUMPRODUCT(MAX(ROW(E$1:E475)*(E476=E$1:E475)))))</f>
        <v/>
      </c>
      <c r="L476" s="25"/>
    </row>
    <row r="478" spans="1:12" x14ac:dyDescent="0.3">
      <c r="A478" t="s">
        <v>494</v>
      </c>
    </row>
    <row r="479" spans="1:12" x14ac:dyDescent="0.3">
      <c r="A479" t="s">
        <v>495</v>
      </c>
      <c r="E479" s="20" t="str">
        <f t="shared" ref="E479:E484" si="52">IF(D479="?OLD","!!!","")</f>
        <v/>
      </c>
      <c r="F479" s="21" t="str">
        <f>IF(OR(E479="",E479="!!!"),"",IF(NOT(ISNA(VLOOKUP(E479,E$1:E478,1,FALSE()))),"OLD",IF(AND(E479&lt;&gt;"",E479&lt;&gt;"!!!"),"NEW","")))</f>
        <v/>
      </c>
      <c r="G479" s="22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/>
      </c>
      <c r="H479" s="23" t="str">
        <f t="shared" ref="H479:H484" ca="1" si="53">IF(J479&lt;&gt;1,"",IF(I479="SBJ","CB","?"))</f>
        <v/>
      </c>
      <c r="I479" s="24" t="str">
        <f>IF(OR(E479="",E479="!!!",F479="NEW"),"",INDEX(B$2:B478,-1+SUMPRODUCT(MAX(ROW(E$2:E478)*(E479=E$2:E478)))))</f>
        <v/>
      </c>
      <c r="J479" s="24" t="str">
        <f ca="1">IF(OR(E479="",E479="!!!",F479="NEW"),"",COUNTBLANK(OFFSET(A$1,,,SUMPRODUCT(MAX(ROW(E$2:E479)*(E479=E$2:E479)))))-COUNTBLANK(OFFSET(A$1,,,SUMPRODUCT(MAX(ROW(E$1:E478)*(E2=E$1:E478))))))</f>
        <v/>
      </c>
      <c r="K479" s="24" t="str">
        <f>IF(OR(E479="",E479="!!!",F479="NEW"),"",INDEX(J$1:J478,SUMPRODUCT(MAX(ROW(E$1:E478)*(E479=E$1:E478)))))</f>
        <v/>
      </c>
      <c r="L479" s="25"/>
    </row>
    <row r="480" spans="1:12" x14ac:dyDescent="0.3">
      <c r="A480" t="s">
        <v>347</v>
      </c>
      <c r="E480" s="20" t="str">
        <f t="shared" si="52"/>
        <v/>
      </c>
      <c r="F480" s="21" t="str">
        <f>IF(OR(E480="",E480="!!!"),"",IF(NOT(ISNA(VLOOKUP(E480,E$1:E479,1,FALSE()))),"OLD",IF(AND(E480&lt;&gt;"",E480&lt;&gt;"!!!"),"NEW","")))</f>
        <v/>
      </c>
      <c r="G480" s="22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/>
      </c>
      <c r="H480" s="23" t="str">
        <f t="shared" ca="1" si="53"/>
        <v/>
      </c>
      <c r="I480" s="24" t="str">
        <f>IF(OR(E480="",E480="!!!",F480="NEW"),"",INDEX(B$2:B479,-1+SUMPRODUCT(MAX(ROW(E$2:E479)*(E480=E$2:E479)))))</f>
        <v/>
      </c>
      <c r="J480" s="24" t="str">
        <f ca="1">IF(OR(E480="",E480="!!!",F480="NEW"),"",COUNTBLANK(OFFSET(A$1,,,SUMPRODUCT(MAX(ROW(E$2:E480)*(E480=E$2:E480)))))-COUNTBLANK(OFFSET(A$1,,,SUMPRODUCT(MAX(ROW(E$1:E479)*(E2=E$1:E479))))))</f>
        <v/>
      </c>
      <c r="K480" s="24" t="str">
        <f>IF(OR(E480="",E480="!!!",F480="NEW"),"",INDEX(J$1:J479,SUMPRODUCT(MAX(ROW(E$1:E479)*(E480=E$1:E479)))))</f>
        <v/>
      </c>
      <c r="L480" s="25"/>
    </row>
    <row r="481" spans="1:12" x14ac:dyDescent="0.3">
      <c r="A481" t="s">
        <v>242</v>
      </c>
      <c r="B481" s="26" t="s">
        <v>243</v>
      </c>
      <c r="C481" s="26" t="s">
        <v>244</v>
      </c>
      <c r="D481" s="26" t="s">
        <v>240</v>
      </c>
      <c r="E481" s="20" t="str">
        <f t="shared" si="52"/>
        <v>!!!</v>
      </c>
      <c r="F481" s="21" t="str">
        <f>IF(OR(E481="",E481="!!!"),"",IF(NOT(ISNA(VLOOKUP(E481,E$1:E480,1,FALSE()))),"OLD",IF(AND(E481&lt;&gt;"",E481&lt;&gt;"!!!"),"NEW","")))</f>
        <v/>
      </c>
      <c r="G481" s="22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/>
      </c>
      <c r="H481" s="23" t="str">
        <f t="shared" ca="1" si="53"/>
        <v/>
      </c>
      <c r="I481" s="24" t="str">
        <f>IF(OR(E481="",E481="!!!",F481="NEW"),"",INDEX(B$2:B480,-1+SUMPRODUCT(MAX(ROW(E$2:E480)*(E481=E$2:E480)))))</f>
        <v/>
      </c>
      <c r="J481" s="24" t="str">
        <f ca="1">IF(OR(E481="",E481="!!!",F481="NEW"),"",COUNTBLANK(OFFSET(A$1,,,SUMPRODUCT(MAX(ROW(E$2:E481)*(E481=E$2:E481)))))-COUNTBLANK(OFFSET(A$1,,,SUMPRODUCT(MAX(ROW(E$1:E480)*(E2=E$1:E480))))))</f>
        <v/>
      </c>
      <c r="K481" s="24" t="str">
        <f>IF(OR(E481="",E481="!!!",F481="NEW"),"",INDEX(J$1:J480,SUMPRODUCT(MAX(ROW(E$1:E480)*(E481=E$1:E480)))))</f>
        <v/>
      </c>
      <c r="L481" s="25"/>
    </row>
    <row r="482" spans="1:12" x14ac:dyDescent="0.3">
      <c r="A482" t="s">
        <v>431</v>
      </c>
      <c r="E482" s="20" t="str">
        <f t="shared" si="52"/>
        <v/>
      </c>
      <c r="F482" s="21" t="str">
        <f>IF(OR(E482="",E482="!!!"),"",IF(NOT(ISNA(VLOOKUP(E482,E$1:E481,1,FALSE()))),"OLD",IF(AND(E482&lt;&gt;"",E482&lt;&gt;"!!!"),"NEW","")))</f>
        <v/>
      </c>
      <c r="G482" s="22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/>
      </c>
      <c r="H482" s="23" t="str">
        <f t="shared" ca="1" si="53"/>
        <v/>
      </c>
      <c r="I482" s="24" t="str">
        <f>IF(OR(E482="",E482="!!!",F482="NEW"),"",INDEX(B$2:B481,-1+SUMPRODUCT(MAX(ROW(E$2:E481)*(E482=E$2:E481)))))</f>
        <v/>
      </c>
      <c r="J482" s="24" t="str">
        <f ca="1">IF(OR(E482="",E482="!!!",F482="NEW"),"",COUNTBLANK(OFFSET(A$1,,,SUMPRODUCT(MAX(ROW(E$2:E482)*(E482=E$2:E482)))))-COUNTBLANK(OFFSET(A$1,,,SUMPRODUCT(MAX(ROW(E$1:E481)*(E2=E$1:E481))))))</f>
        <v/>
      </c>
      <c r="K482" s="24" t="str">
        <f>IF(OR(E482="",E482="!!!",F482="NEW"),"",INDEX(J$1:J481,SUMPRODUCT(MAX(ROW(E$1:E481)*(E482=E$1:E481)))))</f>
        <v/>
      </c>
      <c r="L482" s="25"/>
    </row>
    <row r="483" spans="1:12" x14ac:dyDescent="0.3">
      <c r="A483" t="s">
        <v>383</v>
      </c>
      <c r="E483" s="20" t="str">
        <f t="shared" si="52"/>
        <v/>
      </c>
      <c r="F483" s="21" t="str">
        <f>IF(OR(E483="",E483="!!!"),"",IF(NOT(ISNA(VLOOKUP(E483,E$1:E482,1,FALSE()))),"OLD",IF(AND(E483&lt;&gt;"",E483&lt;&gt;"!!!"),"NEW","")))</f>
        <v/>
      </c>
      <c r="G483" s="22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/>
      </c>
      <c r="H483" s="23" t="str">
        <f t="shared" ca="1" si="53"/>
        <v/>
      </c>
      <c r="I483" s="24" t="str">
        <f>IF(OR(E483="",E483="!!!",F483="NEW"),"",INDEX(B$2:B482,-1+SUMPRODUCT(MAX(ROW(E$2:E482)*(E483=E$2:E482)))))</f>
        <v/>
      </c>
      <c r="J483" s="24" t="str">
        <f ca="1">IF(OR(E483="",E483="!!!",F483="NEW"),"",COUNTBLANK(OFFSET(A$1,,,SUMPRODUCT(MAX(ROW(E$2:E483)*(E483=E$2:E483)))))-COUNTBLANK(OFFSET(A$1,,,SUMPRODUCT(MAX(ROW(E$1:E482)*(E2=E$1:E482))))))</f>
        <v/>
      </c>
      <c r="K483" s="24" t="str">
        <f>IF(OR(E483="",E483="!!!",F483="NEW"),"",INDEX(J$1:J482,SUMPRODUCT(MAX(ROW(E$1:E482)*(E483=E$1:E482)))))</f>
        <v/>
      </c>
      <c r="L483" s="25"/>
    </row>
    <row r="484" spans="1:12" x14ac:dyDescent="0.3">
      <c r="A484" t="s">
        <v>434</v>
      </c>
      <c r="E484" s="20" t="str">
        <f t="shared" si="52"/>
        <v/>
      </c>
      <c r="F484" s="21" t="str">
        <f>IF(OR(E484="",E484="!!!"),"",IF(NOT(ISNA(VLOOKUP(E484,E$1:E483,1,FALSE()))),"OLD",IF(AND(E484&lt;&gt;"",E484&lt;&gt;"!!!"),"NEW","")))</f>
        <v/>
      </c>
      <c r="G484" s="22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/>
      </c>
      <c r="H484" s="23" t="str">
        <f t="shared" ca="1" si="53"/>
        <v/>
      </c>
      <c r="I484" s="24" t="str">
        <f>IF(OR(E484="",E484="!!!",F484="NEW"),"",INDEX(B$2:B483,-1+SUMPRODUCT(MAX(ROW(E$2:E483)*(E484=E$2:E483)))))</f>
        <v/>
      </c>
      <c r="J484" s="24" t="str">
        <f ca="1">IF(OR(E484="",E484="!!!",F484="NEW"),"",COUNTBLANK(OFFSET(A$1,,,SUMPRODUCT(MAX(ROW(E$2:E484)*(E484=E$2:E484)))))-COUNTBLANK(OFFSET(A$1,,,SUMPRODUCT(MAX(ROW(E$1:E483)*(E2=E$1:E483))))))</f>
        <v/>
      </c>
      <c r="K484" s="24" t="str">
        <f>IF(OR(E484="",E484="!!!",F484="NEW"),"",INDEX(J$1:J483,SUMPRODUCT(MAX(ROW(E$1:E483)*(E484=E$1:E483)))))</f>
        <v/>
      </c>
      <c r="L484" s="25"/>
    </row>
    <row r="486" spans="1:12" x14ac:dyDescent="0.3">
      <c r="A486" t="s">
        <v>496</v>
      </c>
    </row>
    <row r="487" spans="1:12" x14ac:dyDescent="0.3">
      <c r="A487" t="s">
        <v>417</v>
      </c>
      <c r="E487" s="20" t="str">
        <f t="shared" ref="E487:E514" si="54">IF(D487="?OLD","!!!","")</f>
        <v/>
      </c>
      <c r="F487" s="21" t="str">
        <f>IF(OR(E487="",E487="!!!"),"",IF(NOT(ISNA(VLOOKUP(E487,E$1:E486,1,FALSE()))),"OLD",IF(AND(E487&lt;&gt;"",E487&lt;&gt;"!!!"),"NEW","")))</f>
        <v/>
      </c>
      <c r="G487" s="22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/>
      </c>
      <c r="H487" s="23" t="str">
        <f t="shared" ref="H487:H514" ca="1" si="55">IF(J487&lt;&gt;1,"",IF(I487="SBJ","CB","?"))</f>
        <v/>
      </c>
      <c r="I487" s="24" t="str">
        <f>IF(OR(E487="",E487="!!!",F487="NEW"),"",INDEX(B$2:B486,-1+SUMPRODUCT(MAX(ROW(E$2:E486)*(E487=E$2:E486)))))</f>
        <v/>
      </c>
      <c r="J487" s="24" t="str">
        <f ca="1">IF(OR(E487="",E487="!!!",F487="NEW"),"",COUNTBLANK(OFFSET(A$1,,,SUMPRODUCT(MAX(ROW(E$2:E487)*(E487=E$2:E487)))))-COUNTBLANK(OFFSET(A$1,,,SUMPRODUCT(MAX(ROW(E$1:E486)*(E2=E$1:E486))))))</f>
        <v/>
      </c>
      <c r="K487" s="24" t="str">
        <f>IF(OR(E487="",E487="!!!",F487="NEW"),"",INDEX(J$1:J486,SUMPRODUCT(MAX(ROW(E$1:E486)*(E487=E$1:E486)))))</f>
        <v/>
      </c>
      <c r="L487" s="25"/>
    </row>
    <row r="488" spans="1:12" x14ac:dyDescent="0.3">
      <c r="A488" t="s">
        <v>497</v>
      </c>
      <c r="B488" s="26" t="s">
        <v>243</v>
      </c>
      <c r="C488" s="26" t="s">
        <v>239</v>
      </c>
      <c r="D488" s="26" t="s">
        <v>240</v>
      </c>
      <c r="E488" s="20" t="str">
        <f t="shared" si="54"/>
        <v>!!!</v>
      </c>
      <c r="F488" s="21" t="str">
        <f>IF(OR(E488="",E488="!!!"),"",IF(NOT(ISNA(VLOOKUP(E488,E$1:E487,1,FALSE()))),"OLD",IF(AND(E488&lt;&gt;"",E488&lt;&gt;"!!!"),"NEW","")))</f>
        <v/>
      </c>
      <c r="G488" s="22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/>
      </c>
      <c r="H488" s="23" t="str">
        <f t="shared" ca="1" si="55"/>
        <v/>
      </c>
      <c r="I488" s="24" t="str">
        <f>IF(OR(E488="",E488="!!!",F488="NEW"),"",INDEX(B$2:B487,-1+SUMPRODUCT(MAX(ROW(E$2:E487)*(E488=E$2:E487)))))</f>
        <v/>
      </c>
      <c r="J488" s="24" t="str">
        <f ca="1">IF(OR(E488="",E488="!!!",F488="NEW"),"",COUNTBLANK(OFFSET(A$1,,,SUMPRODUCT(MAX(ROW(E$2:E488)*(E488=E$2:E488)))))-COUNTBLANK(OFFSET(A$1,,,SUMPRODUCT(MAX(ROW(E$1:E487)*(E2=E$1:E487))))))</f>
        <v/>
      </c>
      <c r="K488" s="24" t="str">
        <f>IF(OR(E488="",E488="!!!",F488="NEW"),"",INDEX(J$1:J487,SUMPRODUCT(MAX(ROW(E$1:E487)*(E488=E$1:E487)))))</f>
        <v/>
      </c>
      <c r="L488" s="25"/>
    </row>
    <row r="489" spans="1:12" x14ac:dyDescent="0.3">
      <c r="A489" t="s">
        <v>245</v>
      </c>
      <c r="E489" s="20" t="str">
        <f t="shared" si="54"/>
        <v/>
      </c>
      <c r="F489" s="21" t="str">
        <f>IF(OR(E489="",E489="!!!"),"",IF(NOT(ISNA(VLOOKUP(E489,E$1:E488,1,FALSE()))),"OLD",IF(AND(E489&lt;&gt;"",E489&lt;&gt;"!!!"),"NEW","")))</f>
        <v/>
      </c>
      <c r="G489" s="22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/>
      </c>
      <c r="H489" s="23" t="str">
        <f t="shared" ca="1" si="55"/>
        <v/>
      </c>
      <c r="I489" s="24" t="str">
        <f>IF(OR(E489="",E489="!!!",F489="NEW"),"",INDEX(B$2:B488,-1+SUMPRODUCT(MAX(ROW(E$2:E488)*(E489=E$2:E488)))))</f>
        <v/>
      </c>
      <c r="J489" s="24" t="str">
        <f ca="1">IF(OR(E489="",E489="!!!",F489="NEW"),"",COUNTBLANK(OFFSET(A$1,,,SUMPRODUCT(MAX(ROW(E$2:E489)*(E489=E$2:E489)))))-COUNTBLANK(OFFSET(A$1,,,SUMPRODUCT(MAX(ROW(E$1:E488)*(E2=E$1:E488))))))</f>
        <v/>
      </c>
      <c r="K489" s="24" t="str">
        <f>IF(OR(E489="",E489="!!!",F489="NEW"),"",INDEX(J$1:J488,SUMPRODUCT(MAX(ROW(E$1:E488)*(E489=E$1:E488)))))</f>
        <v/>
      </c>
      <c r="L489" s="25"/>
    </row>
    <row r="490" spans="1:12" x14ac:dyDescent="0.3">
      <c r="A490" t="s">
        <v>236</v>
      </c>
      <c r="E490" s="20" t="str">
        <f t="shared" si="54"/>
        <v/>
      </c>
      <c r="F490" s="21" t="str">
        <f>IF(OR(E490="",E490="!!!"),"",IF(NOT(ISNA(VLOOKUP(E490,E$1:E489,1,FALSE()))),"OLD",IF(AND(E490&lt;&gt;"",E490&lt;&gt;"!!!"),"NEW","")))</f>
        <v/>
      </c>
      <c r="G490" s="22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/>
      </c>
      <c r="H490" s="23" t="str">
        <f t="shared" ca="1" si="55"/>
        <v/>
      </c>
      <c r="I490" s="24" t="str">
        <f>IF(OR(E490="",E490="!!!",F490="NEW"),"",INDEX(B$2:B489,-1+SUMPRODUCT(MAX(ROW(E$2:E489)*(E490=E$2:E489)))))</f>
        <v/>
      </c>
      <c r="J490" s="24" t="str">
        <f ca="1">IF(OR(E490="",E490="!!!",F490="NEW"),"",COUNTBLANK(OFFSET(A$1,,,SUMPRODUCT(MAX(ROW(E$2:E490)*(E490=E$2:E490)))))-COUNTBLANK(OFFSET(A$1,,,SUMPRODUCT(MAX(ROW(E$1:E489)*(E2=E$1:E489))))))</f>
        <v/>
      </c>
      <c r="K490" s="24" t="str">
        <f>IF(OR(E490="",E490="!!!",F490="NEW"),"",INDEX(J$1:J489,SUMPRODUCT(MAX(ROW(E$1:E489)*(E490=E$1:E489)))))</f>
        <v/>
      </c>
      <c r="L490" s="25"/>
    </row>
    <row r="491" spans="1:12" x14ac:dyDescent="0.3">
      <c r="A491" t="s">
        <v>319</v>
      </c>
      <c r="B491" s="26" t="s">
        <v>261</v>
      </c>
      <c r="C491" s="26" t="s">
        <v>239</v>
      </c>
      <c r="D491" s="26" t="s">
        <v>240</v>
      </c>
      <c r="E491" s="20" t="str">
        <f t="shared" si="54"/>
        <v>!!!</v>
      </c>
      <c r="F491" s="21" t="str">
        <f>IF(OR(E491="",E491="!!!"),"",IF(NOT(ISNA(VLOOKUP(E491,E$1:E490,1,FALSE()))),"OLD",IF(AND(E491&lt;&gt;"",E491&lt;&gt;"!!!"),"NEW","")))</f>
        <v/>
      </c>
      <c r="G491" s="22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/>
      </c>
      <c r="H491" s="23" t="str">
        <f t="shared" ca="1" si="55"/>
        <v/>
      </c>
      <c r="I491" s="24" t="str">
        <f>IF(OR(E491="",E491="!!!",F491="NEW"),"",INDEX(B$2:B490,-1+SUMPRODUCT(MAX(ROW(E$2:E490)*(E491=E$2:E490)))))</f>
        <v/>
      </c>
      <c r="J491" s="24" t="str">
        <f ca="1">IF(OR(E491="",E491="!!!",F491="NEW"),"",COUNTBLANK(OFFSET(A$1,,,SUMPRODUCT(MAX(ROW(E$2:E491)*(E491=E$2:E491)))))-COUNTBLANK(OFFSET(A$1,,,SUMPRODUCT(MAX(ROW(E$1:E490)*(E2=E$1:E490))))))</f>
        <v/>
      </c>
      <c r="K491" s="24" t="str">
        <f>IF(OR(E491="",E491="!!!",F491="NEW"),"",INDEX(J$1:J490,SUMPRODUCT(MAX(ROW(E$1:E490)*(E491=E$1:E490)))))</f>
        <v/>
      </c>
      <c r="L491" s="25"/>
    </row>
    <row r="492" spans="1:12" x14ac:dyDescent="0.3">
      <c r="A492" t="s">
        <v>313</v>
      </c>
      <c r="E492" s="20" t="str">
        <f t="shared" si="54"/>
        <v/>
      </c>
      <c r="F492" s="21" t="str">
        <f>IF(OR(E492="",E492="!!!"),"",IF(NOT(ISNA(VLOOKUP(E492,E$1:E491,1,FALSE()))),"OLD",IF(AND(E492&lt;&gt;"",E492&lt;&gt;"!!!"),"NEW","")))</f>
        <v/>
      </c>
      <c r="G492" s="22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/>
      </c>
      <c r="H492" s="23" t="str">
        <f t="shared" ca="1" si="55"/>
        <v/>
      </c>
      <c r="I492" s="24" t="str">
        <f>IF(OR(E492="",E492="!!!",F492="NEW"),"",INDEX(B$2:B491,-1+SUMPRODUCT(MAX(ROW(E$2:E491)*(E492=E$2:E491)))))</f>
        <v/>
      </c>
      <c r="J492" s="24" t="str">
        <f ca="1">IF(OR(E492="",E492="!!!",F492="NEW"),"",COUNTBLANK(OFFSET(A$1,,,SUMPRODUCT(MAX(ROW(E$2:E492)*(E492=E$2:E492)))))-COUNTBLANK(OFFSET(A$1,,,SUMPRODUCT(MAX(ROW(E$1:E491)*(E2=E$1:E491))))))</f>
        <v/>
      </c>
      <c r="K492" s="24" t="str">
        <f>IF(OR(E492="",E492="!!!",F492="NEW"),"",INDEX(J$1:J491,SUMPRODUCT(MAX(ROW(E$1:E491)*(E492=E$1:E491)))))</f>
        <v/>
      </c>
      <c r="L492" s="25"/>
    </row>
    <row r="493" spans="1:12" x14ac:dyDescent="0.3">
      <c r="A493" t="s">
        <v>498</v>
      </c>
      <c r="E493" s="20" t="str">
        <f t="shared" si="54"/>
        <v/>
      </c>
      <c r="F493" s="21" t="str">
        <f>IF(OR(E493="",E493="!!!"),"",IF(NOT(ISNA(VLOOKUP(E493,E$1:E492,1,FALSE()))),"OLD",IF(AND(E493&lt;&gt;"",E493&lt;&gt;"!!!"),"NEW","")))</f>
        <v/>
      </c>
      <c r="G493" s="22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/>
      </c>
      <c r="H493" s="23" t="str">
        <f t="shared" ca="1" si="55"/>
        <v/>
      </c>
      <c r="I493" s="24" t="str">
        <f>IF(OR(E493="",E493="!!!",F493="NEW"),"",INDEX(B$2:B492,-1+SUMPRODUCT(MAX(ROW(E$2:E492)*(E493=E$2:E492)))))</f>
        <v/>
      </c>
      <c r="J493" s="24" t="str">
        <f ca="1">IF(OR(E493="",E493="!!!",F493="NEW"),"",COUNTBLANK(OFFSET(A$1,,,SUMPRODUCT(MAX(ROW(E$2:E493)*(E493=E$2:E493)))))-COUNTBLANK(OFFSET(A$1,,,SUMPRODUCT(MAX(ROW(E$1:E492)*(E2=E$1:E492))))))</f>
        <v/>
      </c>
      <c r="K493" s="24" t="str">
        <f>IF(OR(E493="",E493="!!!",F493="NEW"),"",INDEX(J$1:J492,SUMPRODUCT(MAX(ROW(E$1:E492)*(E493=E$1:E492)))))</f>
        <v/>
      </c>
      <c r="L493" s="25"/>
    </row>
    <row r="494" spans="1:12" x14ac:dyDescent="0.3">
      <c r="A494" t="s">
        <v>252</v>
      </c>
      <c r="E494" s="20" t="str">
        <f t="shared" si="54"/>
        <v/>
      </c>
      <c r="F494" s="21" t="str">
        <f>IF(OR(E494="",E494="!!!"),"",IF(NOT(ISNA(VLOOKUP(E494,E$1:E493,1,FALSE()))),"OLD",IF(AND(E494&lt;&gt;"",E494&lt;&gt;"!!!"),"NEW","")))</f>
        <v/>
      </c>
      <c r="G494" s="22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/>
      </c>
      <c r="H494" s="23" t="str">
        <f t="shared" ca="1" si="55"/>
        <v/>
      </c>
      <c r="I494" s="24" t="str">
        <f>IF(OR(E494="",E494="!!!",F494="NEW"),"",INDEX(B$2:B493,-1+SUMPRODUCT(MAX(ROW(E$2:E493)*(E494=E$2:E493)))))</f>
        <v/>
      </c>
      <c r="J494" s="24" t="str">
        <f ca="1">IF(OR(E494="",E494="!!!",F494="NEW"),"",COUNTBLANK(OFFSET(A$1,,,SUMPRODUCT(MAX(ROW(E$2:E494)*(E494=E$2:E494)))))-COUNTBLANK(OFFSET(A$1,,,SUMPRODUCT(MAX(ROW(E$1:E493)*(E2=E$1:E493))))))</f>
        <v/>
      </c>
      <c r="K494" s="24" t="str">
        <f>IF(OR(E494="",E494="!!!",F494="NEW"),"",INDEX(J$1:J493,SUMPRODUCT(MAX(ROW(E$1:E493)*(E494=E$1:E493)))))</f>
        <v/>
      </c>
      <c r="L494" s="25"/>
    </row>
    <row r="495" spans="1:12" x14ac:dyDescent="0.3">
      <c r="A495" t="s">
        <v>257</v>
      </c>
      <c r="E495" s="20" t="str">
        <f t="shared" si="54"/>
        <v/>
      </c>
      <c r="F495" s="21" t="str">
        <f>IF(OR(E495="",E495="!!!"),"",IF(NOT(ISNA(VLOOKUP(E495,E$1:E494,1,FALSE()))),"OLD",IF(AND(E495&lt;&gt;"",E495&lt;&gt;"!!!"),"NEW","")))</f>
        <v/>
      </c>
      <c r="G495" s="22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/>
      </c>
      <c r="H495" s="23" t="str">
        <f t="shared" ca="1" si="55"/>
        <v/>
      </c>
      <c r="I495" s="24" t="str">
        <f>IF(OR(E495="",E495="!!!",F495="NEW"),"",INDEX(B$2:B494,-1+SUMPRODUCT(MAX(ROW(E$2:E494)*(E495=E$2:E494)))))</f>
        <v/>
      </c>
      <c r="J495" s="24" t="str">
        <f ca="1">IF(OR(E495="",E495="!!!",F495="NEW"),"",COUNTBLANK(OFFSET(A$1,,,SUMPRODUCT(MAX(ROW(E$2:E495)*(E495=E$2:E495)))))-COUNTBLANK(OFFSET(A$1,,,SUMPRODUCT(MAX(ROW(E$1:E494)*(E2=E$1:E494))))))</f>
        <v/>
      </c>
      <c r="K495" s="24" t="str">
        <f>IF(OR(E495="",E495="!!!",F495="NEW"),"",INDEX(J$1:J494,SUMPRODUCT(MAX(ROW(E$1:E494)*(E495=E$1:E494)))))</f>
        <v/>
      </c>
      <c r="L495" s="25"/>
    </row>
    <row r="496" spans="1:12" x14ac:dyDescent="0.3">
      <c r="A496" t="s">
        <v>236</v>
      </c>
      <c r="E496" s="20" t="str">
        <f t="shared" si="54"/>
        <v/>
      </c>
      <c r="F496" s="21" t="str">
        <f>IF(OR(E496="",E496="!!!"),"",IF(NOT(ISNA(VLOOKUP(E496,E$1:E495,1,FALSE()))),"OLD",IF(AND(E496&lt;&gt;"",E496&lt;&gt;"!!!"),"NEW","")))</f>
        <v/>
      </c>
      <c r="G496" s="22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/>
      </c>
      <c r="H496" s="23" t="str">
        <f t="shared" ca="1" si="55"/>
        <v/>
      </c>
      <c r="I496" s="24" t="str">
        <f>IF(OR(E496="",E496="!!!",F496="NEW"),"",INDEX(B$2:B495,-1+SUMPRODUCT(MAX(ROW(E$2:E495)*(E496=E$2:E495)))))</f>
        <v/>
      </c>
      <c r="J496" s="24" t="str">
        <f ca="1">IF(OR(E496="",E496="!!!",F496="NEW"),"",COUNTBLANK(OFFSET(A$1,,,SUMPRODUCT(MAX(ROW(E$2:E496)*(E496=E$2:E496)))))-COUNTBLANK(OFFSET(A$1,,,SUMPRODUCT(MAX(ROW(E$1:E495)*(E2=E$1:E495))))))</f>
        <v/>
      </c>
      <c r="K496" s="24" t="str">
        <f>IF(OR(E496="",E496="!!!",F496="NEW"),"",INDEX(J$1:J495,SUMPRODUCT(MAX(ROW(E$1:E495)*(E496=E$1:E495)))))</f>
        <v/>
      </c>
      <c r="L496" s="25"/>
    </row>
    <row r="497" spans="1:12" x14ac:dyDescent="0.3">
      <c r="A497" t="s">
        <v>499</v>
      </c>
      <c r="B497" s="26" t="s">
        <v>261</v>
      </c>
      <c r="C497" s="26" t="s">
        <v>239</v>
      </c>
      <c r="D497" s="26" t="s">
        <v>240</v>
      </c>
      <c r="E497" s="20" t="str">
        <f t="shared" si="54"/>
        <v>!!!</v>
      </c>
      <c r="F497" s="21" t="str">
        <f>IF(OR(E497="",E497="!!!"),"",IF(NOT(ISNA(VLOOKUP(E497,E$1:E496,1,FALSE()))),"OLD",IF(AND(E497&lt;&gt;"",E497&lt;&gt;"!!!"),"NEW","")))</f>
        <v/>
      </c>
      <c r="G497" s="22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/>
      </c>
      <c r="H497" s="23" t="str">
        <f t="shared" ca="1" si="55"/>
        <v/>
      </c>
      <c r="I497" s="24" t="str">
        <f>IF(OR(E497="",E497="!!!",F497="NEW"),"",INDEX(B$2:B496,-1+SUMPRODUCT(MAX(ROW(E$2:E496)*(E497=E$2:E496)))))</f>
        <v/>
      </c>
      <c r="J497" s="24" t="str">
        <f ca="1">IF(OR(E497="",E497="!!!",F497="NEW"),"",COUNTBLANK(OFFSET(A$1,,,SUMPRODUCT(MAX(ROW(E$2:E497)*(E497=E$2:E497)))))-COUNTBLANK(OFFSET(A$1,,,SUMPRODUCT(MAX(ROW(E$1:E496)*(E2=E$1:E496))))))</f>
        <v/>
      </c>
      <c r="K497" s="24" t="str">
        <f>IF(OR(E497="",E497="!!!",F497="NEW"),"",INDEX(J$1:J496,SUMPRODUCT(MAX(ROW(E$1:E496)*(E497=E$1:E496)))))</f>
        <v/>
      </c>
      <c r="L497" s="25"/>
    </row>
    <row r="498" spans="1:12" x14ac:dyDescent="0.3">
      <c r="A498" t="s">
        <v>363</v>
      </c>
      <c r="E498" s="20" t="str">
        <f t="shared" si="54"/>
        <v/>
      </c>
      <c r="F498" s="21" t="str">
        <f>IF(OR(E498="",E498="!!!"),"",IF(NOT(ISNA(VLOOKUP(E498,E$1:E497,1,FALSE()))),"OLD",IF(AND(E498&lt;&gt;"",E498&lt;&gt;"!!!"),"NEW","")))</f>
        <v/>
      </c>
      <c r="G498" s="22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/>
      </c>
      <c r="H498" s="23" t="str">
        <f t="shared" ca="1" si="55"/>
        <v/>
      </c>
      <c r="I498" s="24" t="str">
        <f>IF(OR(E498="",E498="!!!",F498="NEW"),"",INDEX(B$2:B497,-1+SUMPRODUCT(MAX(ROW(E$2:E497)*(E498=E$2:E497)))))</f>
        <v/>
      </c>
      <c r="J498" s="24" t="str">
        <f ca="1">IF(OR(E498="",E498="!!!",F498="NEW"),"",COUNTBLANK(OFFSET(A$1,,,SUMPRODUCT(MAX(ROW(E$2:E498)*(E498=E$2:E498)))))-COUNTBLANK(OFFSET(A$1,,,SUMPRODUCT(MAX(ROW(E$1:E497)*(E2=E$1:E497))))))</f>
        <v/>
      </c>
      <c r="K498" s="24" t="str">
        <f>IF(OR(E498="",E498="!!!",F498="NEW"),"",INDEX(J$1:J497,SUMPRODUCT(MAX(ROW(E$1:E497)*(E498=E$1:E497)))))</f>
        <v/>
      </c>
      <c r="L498" s="25"/>
    </row>
    <row r="499" spans="1:12" x14ac:dyDescent="0.3">
      <c r="A499" t="s">
        <v>500</v>
      </c>
      <c r="B499" s="26" t="s">
        <v>272</v>
      </c>
      <c r="C499" s="26" t="s">
        <v>239</v>
      </c>
      <c r="D499" s="26" t="s">
        <v>240</v>
      </c>
      <c r="E499" s="20" t="str">
        <f t="shared" si="54"/>
        <v>!!!</v>
      </c>
      <c r="F499" s="21" t="str">
        <f>IF(OR(E499="",E499="!!!"),"",IF(NOT(ISNA(VLOOKUP(E499,E$1:E498,1,FALSE()))),"OLD",IF(AND(E499&lt;&gt;"",E499&lt;&gt;"!!!"),"NEW","")))</f>
        <v/>
      </c>
      <c r="G499" s="22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/>
      </c>
      <c r="H499" s="23" t="str">
        <f t="shared" ca="1" si="55"/>
        <v/>
      </c>
      <c r="I499" s="24" t="str">
        <f>IF(OR(E499="",E499="!!!",F499="NEW"),"",INDEX(B$2:B498,-1+SUMPRODUCT(MAX(ROW(E$2:E498)*(E499=E$2:E498)))))</f>
        <v/>
      </c>
      <c r="J499" s="24" t="str">
        <f ca="1">IF(OR(E499="",E499="!!!",F499="NEW"),"",COUNTBLANK(OFFSET(A$1,,,SUMPRODUCT(MAX(ROW(E$2:E499)*(E499=E$2:E499)))))-COUNTBLANK(OFFSET(A$1,,,SUMPRODUCT(MAX(ROW(E$1:E498)*(E2=E$1:E498))))))</f>
        <v/>
      </c>
      <c r="K499" s="24" t="str">
        <f>IF(OR(E499="",E499="!!!",F499="NEW"),"",INDEX(J$1:J498,SUMPRODUCT(MAX(ROW(E$1:E498)*(E499=E$1:E498)))))</f>
        <v/>
      </c>
      <c r="L499" s="25"/>
    </row>
    <row r="500" spans="1:12" x14ac:dyDescent="0.3">
      <c r="A500" t="s">
        <v>501</v>
      </c>
      <c r="E500" s="20" t="str">
        <f t="shared" si="54"/>
        <v/>
      </c>
      <c r="F500" s="21" t="str">
        <f>IF(OR(E500="",E500="!!!"),"",IF(NOT(ISNA(VLOOKUP(E500,E$1:E499,1,FALSE()))),"OLD",IF(AND(E500&lt;&gt;"",E500&lt;&gt;"!!!"),"NEW","")))</f>
        <v/>
      </c>
      <c r="G500" s="22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/>
      </c>
      <c r="H500" s="23" t="str">
        <f t="shared" ca="1" si="55"/>
        <v/>
      </c>
      <c r="I500" s="24" t="str">
        <f>IF(OR(E500="",E500="!!!",F500="NEW"),"",INDEX(B$2:B499,-1+SUMPRODUCT(MAX(ROW(E$2:E499)*(E500=E$2:E499)))))</f>
        <v/>
      </c>
      <c r="J500" s="24" t="str">
        <f ca="1">IF(OR(E500="",E500="!!!",F500="NEW"),"",COUNTBLANK(OFFSET(A$1,,,SUMPRODUCT(MAX(ROW(E$2:E500)*(E500=E$2:E500)))))-COUNTBLANK(OFFSET(A$1,,,SUMPRODUCT(MAX(ROW(E$1:E499)*(E2=E$1:E499))))))</f>
        <v/>
      </c>
      <c r="K500" s="24" t="str">
        <f>IF(OR(E500="",E500="!!!",F500="NEW"),"",INDEX(J$1:J499,SUMPRODUCT(MAX(ROW(E$1:E499)*(E500=E$1:E499)))))</f>
        <v/>
      </c>
      <c r="L500" s="25"/>
    </row>
    <row r="501" spans="1:12" x14ac:dyDescent="0.3">
      <c r="A501" t="s">
        <v>252</v>
      </c>
      <c r="E501" s="20" t="str">
        <f t="shared" si="54"/>
        <v/>
      </c>
      <c r="F501" s="21" t="str">
        <f>IF(OR(E501="",E501="!!!"),"",IF(NOT(ISNA(VLOOKUP(E501,E$1:E500,1,FALSE()))),"OLD",IF(AND(E501&lt;&gt;"",E501&lt;&gt;"!!!"),"NEW","")))</f>
        <v/>
      </c>
      <c r="G501" s="22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/>
      </c>
      <c r="H501" s="23" t="str">
        <f t="shared" ca="1" si="55"/>
        <v/>
      </c>
      <c r="I501" s="24" t="str">
        <f>IF(OR(E501="",E501="!!!",F501="NEW"),"",INDEX(B$2:B500,-1+SUMPRODUCT(MAX(ROW(E$2:E500)*(E501=E$2:E500)))))</f>
        <v/>
      </c>
      <c r="J501" s="24" t="str">
        <f ca="1">IF(OR(E501="",E501="!!!",F501="NEW"),"",COUNTBLANK(OFFSET(A$1,,,SUMPRODUCT(MAX(ROW(E$2:E501)*(E501=E$2:E501)))))-COUNTBLANK(OFFSET(A$1,,,SUMPRODUCT(MAX(ROW(E$1:E500)*(E2=E$1:E500))))))</f>
        <v/>
      </c>
      <c r="K501" s="24" t="str">
        <f>IF(OR(E501="",E501="!!!",F501="NEW"),"",INDEX(J$1:J500,SUMPRODUCT(MAX(ROW(E$1:E500)*(E501=E$1:E500)))))</f>
        <v/>
      </c>
      <c r="L501" s="25"/>
    </row>
    <row r="502" spans="1:12" x14ac:dyDescent="0.3">
      <c r="A502" t="s">
        <v>278</v>
      </c>
      <c r="E502" s="20" t="str">
        <f t="shared" si="54"/>
        <v/>
      </c>
      <c r="F502" s="21" t="str">
        <f>IF(OR(E502="",E502="!!!"),"",IF(NOT(ISNA(VLOOKUP(E502,E$1:E501,1,FALSE()))),"OLD",IF(AND(E502&lt;&gt;"",E502&lt;&gt;"!!!"),"NEW","")))</f>
        <v/>
      </c>
      <c r="G502" s="22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/>
      </c>
      <c r="H502" s="23" t="str">
        <f t="shared" ca="1" si="55"/>
        <v/>
      </c>
      <c r="I502" s="24" t="str">
        <f>IF(OR(E502="",E502="!!!",F502="NEW"),"",INDEX(B$2:B501,-1+SUMPRODUCT(MAX(ROW(E$2:E501)*(E502=E$2:E501)))))</f>
        <v/>
      </c>
      <c r="J502" s="24" t="str">
        <f ca="1">IF(OR(E502="",E502="!!!",F502="NEW"),"",COUNTBLANK(OFFSET(A$1,,,SUMPRODUCT(MAX(ROW(E$2:E502)*(E502=E$2:E502)))))-COUNTBLANK(OFFSET(A$1,,,SUMPRODUCT(MAX(ROW(E$1:E501)*(E2=E$1:E501))))))</f>
        <v/>
      </c>
      <c r="K502" s="24" t="str">
        <f>IF(OR(E502="",E502="!!!",F502="NEW"),"",INDEX(J$1:J501,SUMPRODUCT(MAX(ROW(E$1:E501)*(E502=E$1:E501)))))</f>
        <v/>
      </c>
      <c r="L502" s="25"/>
    </row>
    <row r="503" spans="1:12" x14ac:dyDescent="0.3">
      <c r="A503" t="s">
        <v>502</v>
      </c>
      <c r="E503" s="20" t="str">
        <f t="shared" si="54"/>
        <v/>
      </c>
      <c r="F503" s="21" t="str">
        <f>IF(OR(E503="",E503="!!!"),"",IF(NOT(ISNA(VLOOKUP(E503,E$1:E502,1,FALSE()))),"OLD",IF(AND(E503&lt;&gt;"",E503&lt;&gt;"!!!"),"NEW","")))</f>
        <v/>
      </c>
      <c r="G503" s="22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/>
      </c>
      <c r="H503" s="23" t="str">
        <f t="shared" ca="1" si="55"/>
        <v/>
      </c>
      <c r="I503" s="24" t="str">
        <f>IF(OR(E503="",E503="!!!",F503="NEW"),"",INDEX(B$2:B502,-1+SUMPRODUCT(MAX(ROW(E$2:E502)*(E503=E$2:E502)))))</f>
        <v/>
      </c>
      <c r="J503" s="24" t="str">
        <f ca="1">IF(OR(E503="",E503="!!!",F503="NEW"),"",COUNTBLANK(OFFSET(A$1,,,SUMPRODUCT(MAX(ROW(E$2:E503)*(E503=E$2:E503)))))-COUNTBLANK(OFFSET(A$1,,,SUMPRODUCT(MAX(ROW(E$1:E502)*(E2=E$1:E502))))))</f>
        <v/>
      </c>
      <c r="K503" s="24" t="str">
        <f>IF(OR(E503="",E503="!!!",F503="NEW"),"",INDEX(J$1:J502,SUMPRODUCT(MAX(ROW(E$1:E502)*(E503=E$1:E502)))))</f>
        <v/>
      </c>
      <c r="L503" s="25"/>
    </row>
    <row r="504" spans="1:12" x14ac:dyDescent="0.3">
      <c r="A504" t="s">
        <v>267</v>
      </c>
      <c r="E504" s="20" t="str">
        <f t="shared" si="54"/>
        <v/>
      </c>
      <c r="F504" s="21" t="str">
        <f>IF(OR(E504="",E504="!!!"),"",IF(NOT(ISNA(VLOOKUP(E504,E$1:E503,1,FALSE()))),"OLD",IF(AND(E504&lt;&gt;"",E504&lt;&gt;"!!!"),"NEW","")))</f>
        <v/>
      </c>
      <c r="G504" s="22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/>
      </c>
      <c r="H504" s="23" t="str">
        <f t="shared" ca="1" si="55"/>
        <v/>
      </c>
      <c r="I504" s="24" t="str">
        <f>IF(OR(E504="",E504="!!!",F504="NEW"),"",INDEX(B$2:B503,-1+SUMPRODUCT(MAX(ROW(E$2:E503)*(E504=E$2:E503)))))</f>
        <v/>
      </c>
      <c r="J504" s="24" t="str">
        <f ca="1">IF(OR(E504="",E504="!!!",F504="NEW"),"",COUNTBLANK(OFFSET(A$1,,,SUMPRODUCT(MAX(ROW(E$2:E504)*(E504=E$2:E504)))))-COUNTBLANK(OFFSET(A$1,,,SUMPRODUCT(MAX(ROW(E$1:E503)*(E2=E$1:E503))))))</f>
        <v/>
      </c>
      <c r="K504" s="24" t="str">
        <f>IF(OR(E504="",E504="!!!",F504="NEW"),"",INDEX(J$1:J503,SUMPRODUCT(MAX(ROW(E$1:E503)*(E504=E$1:E503)))))</f>
        <v/>
      </c>
      <c r="L504" s="25"/>
    </row>
    <row r="505" spans="1:12" x14ac:dyDescent="0.3">
      <c r="A505" t="s">
        <v>503</v>
      </c>
      <c r="E505" s="20" t="str">
        <f t="shared" si="54"/>
        <v/>
      </c>
      <c r="F505" s="21" t="str">
        <f>IF(OR(E505="",E505="!!!"),"",IF(NOT(ISNA(VLOOKUP(E505,E$1:E504,1,FALSE()))),"OLD",IF(AND(E505&lt;&gt;"",E505&lt;&gt;"!!!"),"NEW","")))</f>
        <v/>
      </c>
      <c r="G505" s="22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/>
      </c>
      <c r="H505" s="23" t="str">
        <f t="shared" ca="1" si="55"/>
        <v/>
      </c>
      <c r="I505" s="24" t="str">
        <f>IF(OR(E505="",E505="!!!",F505="NEW"),"",INDEX(B$2:B504,-1+SUMPRODUCT(MAX(ROW(E$2:E504)*(E505=E$2:E504)))))</f>
        <v/>
      </c>
      <c r="J505" s="24" t="str">
        <f ca="1">IF(OR(E505="",E505="!!!",F505="NEW"),"",COUNTBLANK(OFFSET(A$1,,,SUMPRODUCT(MAX(ROW(E$2:E505)*(E505=E$2:E505)))))-COUNTBLANK(OFFSET(A$1,,,SUMPRODUCT(MAX(ROW(E$1:E504)*(E2=E$1:E504))))))</f>
        <v/>
      </c>
      <c r="K505" s="24" t="str">
        <f>IF(OR(E505="",E505="!!!",F505="NEW"),"",INDEX(J$1:J504,SUMPRODUCT(MAX(ROW(E$1:E504)*(E505=E$1:E504)))))</f>
        <v/>
      </c>
      <c r="L505" s="25"/>
    </row>
    <row r="506" spans="1:12" x14ac:dyDescent="0.3">
      <c r="A506" t="s">
        <v>504</v>
      </c>
      <c r="E506" s="20" t="str">
        <f t="shared" si="54"/>
        <v/>
      </c>
      <c r="F506" s="21" t="str">
        <f>IF(OR(E506="",E506="!!!"),"",IF(NOT(ISNA(VLOOKUP(E506,E$1:E505,1,FALSE()))),"OLD",IF(AND(E506&lt;&gt;"",E506&lt;&gt;"!!!"),"NEW","")))</f>
        <v/>
      </c>
      <c r="G506" s="22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/>
      </c>
      <c r="H506" s="23" t="str">
        <f t="shared" ca="1" si="55"/>
        <v/>
      </c>
      <c r="I506" s="24" t="str">
        <f>IF(OR(E506="",E506="!!!",F506="NEW"),"",INDEX(B$2:B505,-1+SUMPRODUCT(MAX(ROW(E$2:E505)*(E506=E$2:E505)))))</f>
        <v/>
      </c>
      <c r="J506" s="24" t="str">
        <f ca="1">IF(OR(E506="",E506="!!!",F506="NEW"),"",COUNTBLANK(OFFSET(A$1,,,SUMPRODUCT(MAX(ROW(E$2:E506)*(E506=E$2:E506)))))-COUNTBLANK(OFFSET(A$1,,,SUMPRODUCT(MAX(ROW(E$1:E505)*(E2=E$1:E505))))))</f>
        <v/>
      </c>
      <c r="K506" s="24" t="str">
        <f>IF(OR(E506="",E506="!!!",F506="NEW"),"",INDEX(J$1:J505,SUMPRODUCT(MAX(ROW(E$1:E505)*(E506=E$1:E505)))))</f>
        <v/>
      </c>
      <c r="L506" s="25"/>
    </row>
    <row r="507" spans="1:12" x14ac:dyDescent="0.3">
      <c r="A507" t="s">
        <v>268</v>
      </c>
      <c r="B507" s="26" t="s">
        <v>265</v>
      </c>
      <c r="C507" s="26" t="s">
        <v>239</v>
      </c>
      <c r="D507" s="26" t="s">
        <v>240</v>
      </c>
      <c r="E507" s="20" t="str">
        <f t="shared" si="54"/>
        <v>!!!</v>
      </c>
      <c r="F507" s="21" t="str">
        <f>IF(OR(E507="",E507="!!!"),"",IF(NOT(ISNA(VLOOKUP(E507,E$1:E506,1,FALSE()))),"OLD",IF(AND(E507&lt;&gt;"",E507&lt;&gt;"!!!"),"NEW","")))</f>
        <v/>
      </c>
      <c r="G507" s="22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/>
      </c>
      <c r="H507" s="23" t="str">
        <f t="shared" ca="1" si="55"/>
        <v/>
      </c>
      <c r="I507" s="24" t="str">
        <f>IF(OR(E507="",E507="!!!",F507="NEW"),"",INDEX(B$2:B506,-1+SUMPRODUCT(MAX(ROW(E$2:E506)*(E507=E$2:E506)))))</f>
        <v/>
      </c>
      <c r="J507" s="24" t="str">
        <f ca="1">IF(OR(E507="",E507="!!!",F507="NEW"),"",COUNTBLANK(OFFSET(A$1,,,SUMPRODUCT(MAX(ROW(E$2:E507)*(E507=E$2:E507)))))-COUNTBLANK(OFFSET(A$1,,,SUMPRODUCT(MAX(ROW(E$1:E506)*(E2=E$1:E506))))))</f>
        <v/>
      </c>
      <c r="K507" s="24" t="str">
        <f>IF(OR(E507="",E507="!!!",F507="NEW"),"",INDEX(J$1:J506,SUMPRODUCT(MAX(ROW(E$1:E506)*(E507=E$1:E506)))))</f>
        <v/>
      </c>
      <c r="L507" s="25"/>
    </row>
    <row r="508" spans="1:12" x14ac:dyDescent="0.3">
      <c r="A508" t="s">
        <v>252</v>
      </c>
      <c r="E508" s="20" t="str">
        <f t="shared" si="54"/>
        <v/>
      </c>
      <c r="F508" s="21" t="str">
        <f>IF(OR(E508="",E508="!!!"),"",IF(NOT(ISNA(VLOOKUP(E508,E$1:E507,1,FALSE()))),"OLD",IF(AND(E508&lt;&gt;"",E508&lt;&gt;"!!!"),"NEW","")))</f>
        <v/>
      </c>
      <c r="G508" s="22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/>
      </c>
      <c r="H508" s="23" t="str">
        <f t="shared" ca="1" si="55"/>
        <v/>
      </c>
      <c r="I508" s="24" t="str">
        <f>IF(OR(E508="",E508="!!!",F508="NEW"),"",INDEX(B$2:B507,-1+SUMPRODUCT(MAX(ROW(E$2:E507)*(E508=E$2:E507)))))</f>
        <v/>
      </c>
      <c r="J508" s="24" t="str">
        <f ca="1">IF(OR(E508="",E508="!!!",F508="NEW"),"",COUNTBLANK(OFFSET(A$1,,,SUMPRODUCT(MAX(ROW(E$2:E508)*(E508=E$2:E508)))))-COUNTBLANK(OFFSET(A$1,,,SUMPRODUCT(MAX(ROW(E$1:E507)*(E2=E$1:E507))))))</f>
        <v/>
      </c>
      <c r="K508" s="24" t="str">
        <f>IF(OR(E508="",E508="!!!",F508="NEW"),"",INDEX(J$1:J507,SUMPRODUCT(MAX(ROW(E$1:E507)*(E508=E$1:E507)))))</f>
        <v/>
      </c>
      <c r="L508" s="25"/>
    </row>
    <row r="509" spans="1:12" x14ac:dyDescent="0.3">
      <c r="A509" t="s">
        <v>267</v>
      </c>
      <c r="B509" s="26" t="s">
        <v>469</v>
      </c>
      <c r="E509" s="20" t="str">
        <f t="shared" si="54"/>
        <v/>
      </c>
      <c r="F509" s="21" t="str">
        <f>IF(OR(E509="",E509="!!!"),"",IF(NOT(ISNA(VLOOKUP(E509,E$1:E508,1,FALSE()))),"OLD",IF(AND(E509&lt;&gt;"",E509&lt;&gt;"!!!"),"NEW","")))</f>
        <v/>
      </c>
      <c r="G509" s="22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/>
      </c>
      <c r="H509" s="23" t="str">
        <f t="shared" ca="1" si="55"/>
        <v/>
      </c>
      <c r="I509" s="24" t="str">
        <f>IF(OR(E509="",E509="!!!",F509="NEW"),"",INDEX(B$2:B508,-1+SUMPRODUCT(MAX(ROW(E$2:E508)*(E509=E$2:E508)))))</f>
        <v/>
      </c>
      <c r="J509" s="24" t="str">
        <f ca="1">IF(OR(E509="",E509="!!!",F509="NEW"),"",COUNTBLANK(OFFSET(A$1,,,SUMPRODUCT(MAX(ROW(E$2:E509)*(E509=E$2:E509)))))-COUNTBLANK(OFFSET(A$1,,,SUMPRODUCT(MAX(ROW(E$1:E508)*(E2=E$1:E508))))))</f>
        <v/>
      </c>
      <c r="K509" s="24" t="str">
        <f>IF(OR(E509="",E509="!!!",F509="NEW"),"",INDEX(J$1:J508,SUMPRODUCT(MAX(ROW(E$1:E508)*(E509=E$1:E508)))))</f>
        <v/>
      </c>
      <c r="L509" s="25"/>
    </row>
    <row r="510" spans="1:12" x14ac:dyDescent="0.3">
      <c r="A510" t="s">
        <v>393</v>
      </c>
      <c r="E510" s="20" t="str">
        <f t="shared" si="54"/>
        <v/>
      </c>
      <c r="F510" s="21" t="str">
        <f>IF(OR(E510="",E510="!!!"),"",IF(NOT(ISNA(VLOOKUP(E510,E$1:E509,1,FALSE()))),"OLD",IF(AND(E510&lt;&gt;"",E510&lt;&gt;"!!!"),"NEW","")))</f>
        <v/>
      </c>
      <c r="G510" s="22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/>
      </c>
      <c r="H510" s="23" t="str">
        <f t="shared" ca="1" si="55"/>
        <v/>
      </c>
      <c r="I510" s="24" t="str">
        <f>IF(OR(E510="",E510="!!!",F510="NEW"),"",INDEX(B$2:B509,-1+SUMPRODUCT(MAX(ROW(E$2:E509)*(E510=E$2:E509)))))</f>
        <v/>
      </c>
      <c r="J510" s="24" t="str">
        <f ca="1">IF(OR(E510="",E510="!!!",F510="NEW"),"",COUNTBLANK(OFFSET(A$1,,,SUMPRODUCT(MAX(ROW(E$2:E510)*(E510=E$2:E510)))))-COUNTBLANK(OFFSET(A$1,,,SUMPRODUCT(MAX(ROW(E$1:E509)*(E2=E$1:E509))))))</f>
        <v/>
      </c>
      <c r="K510" s="24" t="str">
        <f>IF(OR(E510="",E510="!!!",F510="NEW"),"",INDEX(J$1:J509,SUMPRODUCT(MAX(ROW(E$1:E509)*(E510=E$1:E509)))))</f>
        <v/>
      </c>
      <c r="L510" s="25"/>
    </row>
    <row r="511" spans="1:12" x14ac:dyDescent="0.3">
      <c r="A511" t="s">
        <v>246</v>
      </c>
      <c r="B511" s="26" t="s">
        <v>505</v>
      </c>
      <c r="C511" s="26" t="s">
        <v>239</v>
      </c>
      <c r="D511" s="26" t="s">
        <v>240</v>
      </c>
      <c r="E511" s="20" t="str">
        <f t="shared" si="54"/>
        <v>!!!</v>
      </c>
      <c r="F511" s="21" t="str">
        <f>IF(OR(E511="",E511="!!!"),"",IF(NOT(ISNA(VLOOKUP(E511,E$1:E510,1,FALSE()))),"OLD",IF(AND(E511&lt;&gt;"",E511&lt;&gt;"!!!"),"NEW","")))</f>
        <v/>
      </c>
      <c r="G511" s="22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/>
      </c>
      <c r="H511" s="23" t="str">
        <f t="shared" ca="1" si="55"/>
        <v/>
      </c>
      <c r="I511" s="24" t="str">
        <f>IF(OR(E511="",E511="!!!",F511="NEW"),"",INDEX(B$2:B510,-1+SUMPRODUCT(MAX(ROW(E$2:E510)*(E511=E$2:E510)))))</f>
        <v/>
      </c>
      <c r="J511" s="24" t="str">
        <f ca="1">IF(OR(E511="",E511="!!!",F511="NEW"),"",COUNTBLANK(OFFSET(A$1,,,SUMPRODUCT(MAX(ROW(E$2:E511)*(E511=E$2:E511)))))-COUNTBLANK(OFFSET(A$1,,,SUMPRODUCT(MAX(ROW(E$1:E510)*(E2=E$1:E510))))))</f>
        <v/>
      </c>
      <c r="K511" s="24" t="str">
        <f>IF(OR(E511="",E511="!!!",F511="NEW"),"",INDEX(J$1:J510,SUMPRODUCT(MAX(ROW(E$1:E510)*(E511=E$1:E510)))))</f>
        <v/>
      </c>
      <c r="L511" s="25"/>
    </row>
    <row r="512" spans="1:12" x14ac:dyDescent="0.3">
      <c r="A512" t="s">
        <v>506</v>
      </c>
      <c r="E512" s="20" t="str">
        <f t="shared" si="54"/>
        <v/>
      </c>
      <c r="F512" s="21" t="str">
        <f>IF(OR(E512="",E512="!!!"),"",IF(NOT(ISNA(VLOOKUP(E512,E$1:E511,1,FALSE()))),"OLD",IF(AND(E512&lt;&gt;"",E512&lt;&gt;"!!!"),"NEW","")))</f>
        <v/>
      </c>
      <c r="G512" s="22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/>
      </c>
      <c r="H512" s="23" t="str">
        <f t="shared" ca="1" si="55"/>
        <v/>
      </c>
      <c r="I512" s="24" t="str">
        <f>IF(OR(E512="",E512="!!!",F512="NEW"),"",INDEX(B$2:B511,-1+SUMPRODUCT(MAX(ROW(E$2:E511)*(E512=E$2:E511)))))</f>
        <v/>
      </c>
      <c r="J512" s="24" t="str">
        <f ca="1">IF(OR(E512="",E512="!!!",F512="NEW"),"",COUNTBLANK(OFFSET(A$1,,,SUMPRODUCT(MAX(ROW(E$2:E512)*(E512=E$2:E512)))))-COUNTBLANK(OFFSET(A$1,,,SUMPRODUCT(MAX(ROW(E$1:E511)*(E2=E$1:E511))))))</f>
        <v/>
      </c>
      <c r="K512" s="24" t="str">
        <f>IF(OR(E512="",E512="!!!",F512="NEW"),"",INDEX(J$1:J511,SUMPRODUCT(MAX(ROW(E$1:E511)*(E512=E$1:E511)))))</f>
        <v/>
      </c>
      <c r="L512" s="25"/>
    </row>
    <row r="513" spans="1:12" x14ac:dyDescent="0.3">
      <c r="A513" t="s">
        <v>507</v>
      </c>
      <c r="E513" s="20" t="str">
        <f t="shared" si="54"/>
        <v/>
      </c>
      <c r="F513" s="21" t="str">
        <f>IF(OR(E513="",E513="!!!"),"",IF(NOT(ISNA(VLOOKUP(E513,E$1:E512,1,FALSE()))),"OLD",IF(AND(E513&lt;&gt;"",E513&lt;&gt;"!!!"),"NEW","")))</f>
        <v/>
      </c>
      <c r="G513" s="22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/>
      </c>
      <c r="H513" s="23" t="str">
        <f t="shared" ca="1" si="55"/>
        <v/>
      </c>
      <c r="I513" s="24" t="str">
        <f>IF(OR(E513="",E513="!!!",F513="NEW"),"",INDEX(B$2:B512,-1+SUMPRODUCT(MAX(ROW(E$2:E512)*(E513=E$2:E512)))))</f>
        <v/>
      </c>
      <c r="J513" s="24" t="str">
        <f ca="1">IF(OR(E513="",E513="!!!",F513="NEW"),"",COUNTBLANK(OFFSET(A$1,,,SUMPRODUCT(MAX(ROW(E$2:E513)*(E513=E$2:E513)))))-COUNTBLANK(OFFSET(A$1,,,SUMPRODUCT(MAX(ROW(E$1:E512)*(E2=E$1:E512))))))</f>
        <v/>
      </c>
      <c r="K513" s="24" t="str">
        <f>IF(OR(E513="",E513="!!!",F513="NEW"),"",INDEX(J$1:J512,SUMPRODUCT(MAX(ROW(E$1:E512)*(E513=E$1:E512)))))</f>
        <v/>
      </c>
      <c r="L513" s="25"/>
    </row>
    <row r="514" spans="1:12" x14ac:dyDescent="0.3">
      <c r="A514" t="s">
        <v>248</v>
      </c>
      <c r="E514" s="20" t="str">
        <f t="shared" si="54"/>
        <v/>
      </c>
      <c r="F514" s="21" t="str">
        <f>IF(OR(E514="",E514="!!!"),"",IF(NOT(ISNA(VLOOKUP(E514,E$1:E513,1,FALSE()))),"OLD",IF(AND(E514&lt;&gt;"",E514&lt;&gt;"!!!"),"NEW","")))</f>
        <v/>
      </c>
      <c r="G514" s="22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/>
      </c>
      <c r="H514" s="23" t="str">
        <f t="shared" ca="1" si="55"/>
        <v/>
      </c>
      <c r="I514" s="24" t="str">
        <f>IF(OR(E514="",E514="!!!",F514="NEW"),"",INDEX(B$2:B513,-1+SUMPRODUCT(MAX(ROW(E$2:E513)*(E514=E$2:E513)))))</f>
        <v/>
      </c>
      <c r="J514" s="24" t="str">
        <f ca="1">IF(OR(E514="",E514="!!!",F514="NEW"),"",COUNTBLANK(OFFSET(A$1,,,SUMPRODUCT(MAX(ROW(E$2:E514)*(E514=E$2:E514)))))-COUNTBLANK(OFFSET(A$1,,,SUMPRODUCT(MAX(ROW(E$1:E513)*(E2=E$1:E513))))))</f>
        <v/>
      </c>
      <c r="K514" s="24" t="str">
        <f>IF(OR(E514="",E514="!!!",F514="NEW"),"",INDEX(J$1:J513,SUMPRODUCT(MAX(ROW(E$1:E513)*(E514=E$1:E513)))))</f>
        <v/>
      </c>
      <c r="L514" s="25"/>
    </row>
    <row r="516" spans="1:12" x14ac:dyDescent="0.3">
      <c r="A516" t="s">
        <v>508</v>
      </c>
    </row>
    <row r="517" spans="1:12" x14ac:dyDescent="0.3">
      <c r="A517" t="s">
        <v>509</v>
      </c>
      <c r="E517" s="20" t="str">
        <f t="shared" ref="E517:E532" si="56">IF(D517="?OLD","!!!","")</f>
        <v/>
      </c>
      <c r="F517" s="21" t="str">
        <f>IF(OR(E517="",E517="!!!"),"",IF(NOT(ISNA(VLOOKUP(E517,E$1:E516,1,FALSE()))),"OLD",IF(AND(E517&lt;&gt;"",E517&lt;&gt;"!!!"),"NEW","")))</f>
        <v/>
      </c>
      <c r="G517" s="22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/>
      </c>
      <c r="H517" s="23" t="str">
        <f t="shared" ref="H517:H532" ca="1" si="57">IF(J517&lt;&gt;1,"",IF(I517="SBJ","CB","?"))</f>
        <v/>
      </c>
      <c r="I517" s="24" t="str">
        <f>IF(OR(E517="",E517="!!!",F517="NEW"),"",INDEX(B$2:B516,-1+SUMPRODUCT(MAX(ROW(E$2:E516)*(E517=E$2:E516)))))</f>
        <v/>
      </c>
      <c r="J517" s="24" t="str">
        <f ca="1">IF(OR(E517="",E517="!!!",F517="NEW"),"",COUNTBLANK(OFFSET(A$1,,,SUMPRODUCT(MAX(ROW(E$2:E517)*(E517=E$2:E517)))))-COUNTBLANK(OFFSET(A$1,,,SUMPRODUCT(MAX(ROW(E$1:E516)*(E2=E$1:E516))))))</f>
        <v/>
      </c>
      <c r="K517" s="24" t="str">
        <f>IF(OR(E517="",E517="!!!",F517="NEW"),"",INDEX(J$1:J516,SUMPRODUCT(MAX(ROW(E$1:E516)*(E517=E$1:E516)))))</f>
        <v/>
      </c>
      <c r="L517" s="25"/>
    </row>
    <row r="518" spans="1:12" x14ac:dyDescent="0.3">
      <c r="A518" t="s">
        <v>393</v>
      </c>
      <c r="E518" s="20" t="str">
        <f t="shared" si="56"/>
        <v/>
      </c>
      <c r="F518" s="21" t="str">
        <f>IF(OR(E518="",E518="!!!"),"",IF(NOT(ISNA(VLOOKUP(E518,E$1:E517,1,FALSE()))),"OLD",IF(AND(E518&lt;&gt;"",E518&lt;&gt;"!!!"),"NEW","")))</f>
        <v/>
      </c>
      <c r="G518" s="22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/>
      </c>
      <c r="H518" s="23" t="str">
        <f t="shared" ca="1" si="57"/>
        <v/>
      </c>
      <c r="I518" s="24" t="str">
        <f>IF(OR(E518="",E518="!!!",F518="NEW"),"",INDEX(B$2:B517,-1+SUMPRODUCT(MAX(ROW(E$2:E517)*(E518=E$2:E517)))))</f>
        <v/>
      </c>
      <c r="J518" s="24" t="str">
        <f ca="1">IF(OR(E518="",E518="!!!",F518="NEW"),"",COUNTBLANK(OFFSET(A$1,,,SUMPRODUCT(MAX(ROW(E$2:E518)*(E518=E$2:E518)))))-COUNTBLANK(OFFSET(A$1,,,SUMPRODUCT(MAX(ROW(E$1:E517)*(E2=E$1:E517))))))</f>
        <v/>
      </c>
      <c r="K518" s="24" t="str">
        <f>IF(OR(E518="",E518="!!!",F518="NEW"),"",INDEX(J$1:J517,SUMPRODUCT(MAX(ROW(E$1:E517)*(E518=E$1:E517)))))</f>
        <v/>
      </c>
      <c r="L518" s="25"/>
    </row>
    <row r="519" spans="1:12" x14ac:dyDescent="0.3">
      <c r="A519" t="s">
        <v>246</v>
      </c>
      <c r="B519" s="26" t="s">
        <v>265</v>
      </c>
      <c r="C519" s="26" t="s">
        <v>239</v>
      </c>
      <c r="D519" s="26" t="s">
        <v>240</v>
      </c>
      <c r="E519" s="20" t="str">
        <f t="shared" si="56"/>
        <v>!!!</v>
      </c>
      <c r="F519" s="21" t="str">
        <f>IF(OR(E519="",E519="!!!"),"",IF(NOT(ISNA(VLOOKUP(E519,E$1:E518,1,FALSE()))),"OLD",IF(AND(E519&lt;&gt;"",E519&lt;&gt;"!!!"),"NEW","")))</f>
        <v/>
      </c>
      <c r="G519" s="22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/>
      </c>
      <c r="H519" s="23" t="str">
        <f t="shared" ca="1" si="57"/>
        <v/>
      </c>
      <c r="I519" s="24" t="str">
        <f>IF(OR(E519="",E519="!!!",F519="NEW"),"",INDEX(B$2:B518,-1+SUMPRODUCT(MAX(ROW(E$2:E518)*(E519=E$2:E518)))))</f>
        <v/>
      </c>
      <c r="J519" s="24" t="str">
        <f ca="1">IF(OR(E519="",E519="!!!",F519="NEW"),"",COUNTBLANK(OFFSET(A$1,,,SUMPRODUCT(MAX(ROW(E$2:E519)*(E519=E$2:E519)))))-COUNTBLANK(OFFSET(A$1,,,SUMPRODUCT(MAX(ROW(E$1:E518)*(E2=E$1:E518))))))</f>
        <v/>
      </c>
      <c r="K519" s="24" t="str">
        <f>IF(OR(E519="",E519="!!!",F519="NEW"),"",INDEX(J$1:J518,SUMPRODUCT(MAX(ROW(E$1:E518)*(E519=E$1:E518)))))</f>
        <v/>
      </c>
      <c r="L519" s="25"/>
    </row>
    <row r="520" spans="1:12" x14ac:dyDescent="0.3">
      <c r="A520" t="s">
        <v>510</v>
      </c>
      <c r="E520" s="20" t="str">
        <f t="shared" si="56"/>
        <v/>
      </c>
      <c r="F520" s="21" t="str">
        <f>IF(OR(E520="",E520="!!!"),"",IF(NOT(ISNA(VLOOKUP(E520,E$1:E519,1,FALSE()))),"OLD",IF(AND(E520&lt;&gt;"",E520&lt;&gt;"!!!"),"NEW","")))</f>
        <v/>
      </c>
      <c r="G520" s="22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/>
      </c>
      <c r="H520" s="23" t="str">
        <f t="shared" ca="1" si="57"/>
        <v/>
      </c>
      <c r="I520" s="24" t="str">
        <f>IF(OR(E520="",E520="!!!",F520="NEW"),"",INDEX(B$2:B519,-1+SUMPRODUCT(MAX(ROW(E$2:E519)*(E520=E$2:E519)))))</f>
        <v/>
      </c>
      <c r="J520" s="24" t="str">
        <f ca="1">IF(OR(E520="",E520="!!!",F520="NEW"),"",COUNTBLANK(OFFSET(A$1,,,SUMPRODUCT(MAX(ROW(E$2:E520)*(E520=E$2:E520)))))-COUNTBLANK(OFFSET(A$1,,,SUMPRODUCT(MAX(ROW(E$1:E519)*(E2=E$1:E519))))))</f>
        <v/>
      </c>
      <c r="K520" s="24" t="str">
        <f>IF(OR(E520="",E520="!!!",F520="NEW"),"",INDEX(J$1:J519,SUMPRODUCT(MAX(ROW(E$1:E519)*(E520=E$1:E519)))))</f>
        <v/>
      </c>
      <c r="L520" s="25"/>
    </row>
    <row r="521" spans="1:12" x14ac:dyDescent="0.3">
      <c r="A521" t="s">
        <v>327</v>
      </c>
      <c r="E521" s="20" t="str">
        <f t="shared" si="56"/>
        <v/>
      </c>
      <c r="F521" s="21" t="str">
        <f>IF(OR(E521="",E521="!!!"),"",IF(NOT(ISNA(VLOOKUP(E521,E$1:E520,1,FALSE()))),"OLD",IF(AND(E521&lt;&gt;"",E521&lt;&gt;"!!!"),"NEW","")))</f>
        <v/>
      </c>
      <c r="G521" s="22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/>
      </c>
      <c r="H521" s="23" t="str">
        <f t="shared" ca="1" si="57"/>
        <v/>
      </c>
      <c r="I521" s="24" t="str">
        <f>IF(OR(E521="",E521="!!!",F521="NEW"),"",INDEX(B$2:B520,-1+SUMPRODUCT(MAX(ROW(E$2:E520)*(E521=E$2:E520)))))</f>
        <v/>
      </c>
      <c r="J521" s="24" t="str">
        <f ca="1">IF(OR(E521="",E521="!!!",F521="NEW"),"",COUNTBLANK(OFFSET(A$1,,,SUMPRODUCT(MAX(ROW(E$2:E521)*(E521=E$2:E521)))))-COUNTBLANK(OFFSET(A$1,,,SUMPRODUCT(MAX(ROW(E$1:E520)*(E2=E$1:E520))))))</f>
        <v/>
      </c>
      <c r="K521" s="24" t="str">
        <f>IF(OR(E521="",E521="!!!",F521="NEW"),"",INDEX(J$1:J520,SUMPRODUCT(MAX(ROW(E$1:E520)*(E521=E$1:E520)))))</f>
        <v/>
      </c>
      <c r="L521" s="25"/>
    </row>
    <row r="522" spans="1:12" x14ac:dyDescent="0.3">
      <c r="A522" t="s">
        <v>373</v>
      </c>
      <c r="E522" s="20" t="str">
        <f t="shared" si="56"/>
        <v/>
      </c>
      <c r="F522" s="21" t="str">
        <f>IF(OR(E522="",E522="!!!"),"",IF(NOT(ISNA(VLOOKUP(E522,E$1:E521,1,FALSE()))),"OLD",IF(AND(E522&lt;&gt;"",E522&lt;&gt;"!!!"),"NEW","")))</f>
        <v/>
      </c>
      <c r="G522" s="22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/>
      </c>
      <c r="H522" s="23" t="str">
        <f t="shared" ca="1" si="57"/>
        <v/>
      </c>
      <c r="I522" s="24" t="str">
        <f>IF(OR(E522="",E522="!!!",F522="NEW"),"",INDEX(B$2:B521,-1+SUMPRODUCT(MAX(ROW(E$2:E521)*(E522=E$2:E521)))))</f>
        <v/>
      </c>
      <c r="J522" s="24" t="str">
        <f ca="1">IF(OR(E522="",E522="!!!",F522="NEW"),"",COUNTBLANK(OFFSET(A$1,,,SUMPRODUCT(MAX(ROW(E$2:E522)*(E522=E$2:E522)))))-COUNTBLANK(OFFSET(A$1,,,SUMPRODUCT(MAX(ROW(E$1:E521)*(E2=E$1:E521))))))</f>
        <v/>
      </c>
      <c r="K522" s="24" t="str">
        <f>IF(OR(E522="",E522="!!!",F522="NEW"),"",INDEX(J$1:J521,SUMPRODUCT(MAX(ROW(E$1:E521)*(E522=E$1:E521)))))</f>
        <v/>
      </c>
      <c r="L522" s="25"/>
    </row>
    <row r="523" spans="1:12" x14ac:dyDescent="0.3">
      <c r="A523" t="s">
        <v>252</v>
      </c>
      <c r="E523" s="20" t="str">
        <f t="shared" si="56"/>
        <v/>
      </c>
      <c r="F523" s="21" t="str">
        <f>IF(OR(E523="",E523="!!!"),"",IF(NOT(ISNA(VLOOKUP(E523,E$1:E522,1,FALSE()))),"OLD",IF(AND(E523&lt;&gt;"",E523&lt;&gt;"!!!"),"NEW","")))</f>
        <v/>
      </c>
      <c r="G523" s="22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/>
      </c>
      <c r="H523" s="23" t="str">
        <f t="shared" ca="1" si="57"/>
        <v/>
      </c>
      <c r="I523" s="24" t="str">
        <f>IF(OR(E523="",E523="!!!",F523="NEW"),"",INDEX(B$2:B522,-1+SUMPRODUCT(MAX(ROW(E$2:E522)*(E523=E$2:E522)))))</f>
        <v/>
      </c>
      <c r="J523" s="24" t="str">
        <f ca="1">IF(OR(E523="",E523="!!!",F523="NEW"),"",COUNTBLANK(OFFSET(A$1,,,SUMPRODUCT(MAX(ROW(E$2:E523)*(E523=E$2:E523)))))-COUNTBLANK(OFFSET(A$1,,,SUMPRODUCT(MAX(ROW(E$1:E522)*(E2=E$1:E522))))))</f>
        <v/>
      </c>
      <c r="K523" s="24" t="str">
        <f>IF(OR(E523="",E523="!!!",F523="NEW"),"",INDEX(J$1:J522,SUMPRODUCT(MAX(ROW(E$1:E522)*(E523=E$1:E522)))))</f>
        <v/>
      </c>
      <c r="L523" s="25"/>
    </row>
    <row r="524" spans="1:12" x14ac:dyDescent="0.3">
      <c r="A524" t="s">
        <v>511</v>
      </c>
      <c r="E524" s="20" t="str">
        <f t="shared" si="56"/>
        <v/>
      </c>
      <c r="F524" s="21" t="str">
        <f>IF(OR(E524="",E524="!!!"),"",IF(NOT(ISNA(VLOOKUP(E524,E$1:E523,1,FALSE()))),"OLD",IF(AND(E524&lt;&gt;"",E524&lt;&gt;"!!!"),"NEW","")))</f>
        <v/>
      </c>
      <c r="G524" s="22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/>
      </c>
      <c r="H524" s="23" t="str">
        <f t="shared" ca="1" si="57"/>
        <v/>
      </c>
      <c r="I524" s="24" t="str">
        <f>IF(OR(E524="",E524="!!!",F524="NEW"),"",INDEX(B$2:B523,-1+SUMPRODUCT(MAX(ROW(E$2:E523)*(E524=E$2:E523)))))</f>
        <v/>
      </c>
      <c r="J524" s="24" t="str">
        <f ca="1">IF(OR(E524="",E524="!!!",F524="NEW"),"",COUNTBLANK(OFFSET(A$1,,,SUMPRODUCT(MAX(ROW(E$2:E524)*(E524=E$2:E524)))))-COUNTBLANK(OFFSET(A$1,,,SUMPRODUCT(MAX(ROW(E$1:E523)*(E2=E$1:E523))))))</f>
        <v/>
      </c>
      <c r="K524" s="24" t="str">
        <f>IF(OR(E524="",E524="!!!",F524="NEW"),"",INDEX(J$1:J523,SUMPRODUCT(MAX(ROW(E$1:E523)*(E524=E$1:E523)))))</f>
        <v/>
      </c>
      <c r="L524" s="25"/>
    </row>
    <row r="525" spans="1:12" x14ac:dyDescent="0.3">
      <c r="A525" t="s">
        <v>254</v>
      </c>
      <c r="B525" s="26" t="s">
        <v>243</v>
      </c>
      <c r="C525" s="26" t="s">
        <v>256</v>
      </c>
      <c r="D525" s="26" t="s">
        <v>240</v>
      </c>
      <c r="E525" s="20" t="str">
        <f t="shared" si="56"/>
        <v>!!!</v>
      </c>
      <c r="F525" s="21" t="str">
        <f>IF(OR(E525="",E525="!!!"),"",IF(NOT(ISNA(VLOOKUP(E525,E$1:E524,1,FALSE()))),"OLD",IF(AND(E525&lt;&gt;"",E525&lt;&gt;"!!!"),"NEW","")))</f>
        <v/>
      </c>
      <c r="G525" s="22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/>
      </c>
      <c r="H525" s="23" t="str">
        <f t="shared" ca="1" si="57"/>
        <v/>
      </c>
      <c r="I525" s="24" t="str">
        <f>IF(OR(E525="",E525="!!!",F525="NEW"),"",INDEX(B$2:B524,-1+SUMPRODUCT(MAX(ROW(E$2:E524)*(E525=E$2:E524)))))</f>
        <v/>
      </c>
      <c r="J525" s="24" t="str">
        <f ca="1">IF(OR(E525="",E525="!!!",F525="NEW"),"",COUNTBLANK(OFFSET(A$1,,,SUMPRODUCT(MAX(ROW(E$2:E525)*(E525=E$2:E525)))))-COUNTBLANK(OFFSET(A$1,,,SUMPRODUCT(MAX(ROW(E$1:E524)*(E2=E$1:E524))))))</f>
        <v/>
      </c>
      <c r="K525" s="24" t="str">
        <f>IF(OR(E525="",E525="!!!",F525="NEW"),"",INDEX(J$1:J524,SUMPRODUCT(MAX(ROW(E$1:E524)*(E525=E$1:E524)))))</f>
        <v/>
      </c>
      <c r="L525" s="25"/>
    </row>
    <row r="526" spans="1:12" x14ac:dyDescent="0.3">
      <c r="A526" t="s">
        <v>512</v>
      </c>
      <c r="B526" s="26" t="s">
        <v>292</v>
      </c>
      <c r="C526" s="26" t="s">
        <v>305</v>
      </c>
      <c r="E526" s="20" t="str">
        <f t="shared" si="56"/>
        <v/>
      </c>
      <c r="F526" s="21" t="str">
        <f>IF(OR(E526="",E526="!!!"),"",IF(NOT(ISNA(VLOOKUP(E526,E$1:E525,1,FALSE()))),"OLD",IF(AND(E526&lt;&gt;"",E526&lt;&gt;"!!!"),"NEW","")))</f>
        <v/>
      </c>
      <c r="G526" s="22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/>
      </c>
      <c r="H526" s="23" t="str">
        <f t="shared" ca="1" si="57"/>
        <v/>
      </c>
      <c r="I526" s="24" t="str">
        <f>IF(OR(E526="",E526="!!!",F526="NEW"),"",INDEX(B$2:B525,-1+SUMPRODUCT(MAX(ROW(E$2:E525)*(E526=E$2:E525)))))</f>
        <v/>
      </c>
      <c r="J526" s="24" t="str">
        <f ca="1">IF(OR(E526="",E526="!!!",F526="NEW"),"",COUNTBLANK(OFFSET(A$1,,,SUMPRODUCT(MAX(ROW(E$2:E526)*(E526=E$2:E526)))))-COUNTBLANK(OFFSET(A$1,,,SUMPRODUCT(MAX(ROW(E$1:E525)*(E2=E$1:E525))))))</f>
        <v/>
      </c>
      <c r="K526" s="24" t="str">
        <f>IF(OR(E526="",E526="!!!",F526="NEW"),"",INDEX(J$1:J525,SUMPRODUCT(MAX(ROW(E$1:E525)*(E526=E$1:E525)))))</f>
        <v/>
      </c>
      <c r="L526" s="25"/>
    </row>
    <row r="527" spans="1:12" x14ac:dyDescent="0.3">
      <c r="A527" t="s">
        <v>513</v>
      </c>
      <c r="E527" s="20" t="str">
        <f t="shared" si="56"/>
        <v/>
      </c>
      <c r="F527" s="21" t="str">
        <f>IF(OR(E527="",E527="!!!"),"",IF(NOT(ISNA(VLOOKUP(E527,E$1:E526,1,FALSE()))),"OLD",IF(AND(E527&lt;&gt;"",E527&lt;&gt;"!!!"),"NEW","")))</f>
        <v/>
      </c>
      <c r="G527" s="22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/>
      </c>
      <c r="H527" s="23" t="str">
        <f t="shared" ca="1" si="57"/>
        <v/>
      </c>
      <c r="I527" s="24" t="str">
        <f>IF(OR(E527="",E527="!!!",F527="NEW"),"",INDEX(B$2:B526,-1+SUMPRODUCT(MAX(ROW(E$2:E526)*(E527=E$2:E526)))))</f>
        <v/>
      </c>
      <c r="J527" s="24" t="str">
        <f ca="1">IF(OR(E527="",E527="!!!",F527="NEW"),"",COUNTBLANK(OFFSET(A$1,,,SUMPRODUCT(MAX(ROW(E$2:E527)*(E527=E$2:E527)))))-COUNTBLANK(OFFSET(A$1,,,SUMPRODUCT(MAX(ROW(E$1:E526)*(E2=E$1:E526))))))</f>
        <v/>
      </c>
      <c r="K527" s="24" t="str">
        <f>IF(OR(E527="",E527="!!!",F527="NEW"),"",INDEX(J$1:J526,SUMPRODUCT(MAX(ROW(E$1:E526)*(E527=E$1:E526)))))</f>
        <v/>
      </c>
      <c r="L527" s="25"/>
    </row>
    <row r="528" spans="1:12" x14ac:dyDescent="0.3">
      <c r="A528" t="s">
        <v>514</v>
      </c>
      <c r="E528" s="20" t="str">
        <f t="shared" si="56"/>
        <v/>
      </c>
      <c r="F528" s="21" t="str">
        <f>IF(OR(E528="",E528="!!!"),"",IF(NOT(ISNA(VLOOKUP(E528,E$1:E527,1,FALSE()))),"OLD",IF(AND(E528&lt;&gt;"",E528&lt;&gt;"!!!"),"NEW","")))</f>
        <v/>
      </c>
      <c r="G528" s="22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/>
      </c>
      <c r="H528" s="23" t="str">
        <f t="shared" ca="1" si="57"/>
        <v/>
      </c>
      <c r="I528" s="24" t="str">
        <f>IF(OR(E528="",E528="!!!",F528="NEW"),"",INDEX(B$2:B527,-1+SUMPRODUCT(MAX(ROW(E$2:E527)*(E528=E$2:E527)))))</f>
        <v/>
      </c>
      <c r="J528" s="24" t="str">
        <f ca="1">IF(OR(E528="",E528="!!!",F528="NEW"),"",COUNTBLANK(OFFSET(A$1,,,SUMPRODUCT(MAX(ROW(E$2:E528)*(E528=E$2:E528)))))-COUNTBLANK(OFFSET(A$1,,,SUMPRODUCT(MAX(ROW(E$1:E527)*(E2=E$1:E527))))))</f>
        <v/>
      </c>
      <c r="K528" s="24" t="str">
        <f>IF(OR(E528="",E528="!!!",F528="NEW"),"",INDEX(J$1:J527,SUMPRODUCT(MAX(ROW(E$1:E527)*(E528=E$1:E527)))))</f>
        <v/>
      </c>
      <c r="L528" s="25"/>
    </row>
    <row r="529" spans="1:12" x14ac:dyDescent="0.3">
      <c r="A529" t="s">
        <v>267</v>
      </c>
      <c r="E529" s="20" t="str">
        <f t="shared" si="56"/>
        <v/>
      </c>
      <c r="F529" s="21" t="str">
        <f>IF(OR(E529="",E529="!!!"),"",IF(NOT(ISNA(VLOOKUP(E529,E$1:E528,1,FALSE()))),"OLD",IF(AND(E529&lt;&gt;"",E529&lt;&gt;"!!!"),"NEW","")))</f>
        <v/>
      </c>
      <c r="G529" s="22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/>
      </c>
      <c r="H529" s="23" t="str">
        <f t="shared" ca="1" si="57"/>
        <v/>
      </c>
      <c r="I529" s="24" t="str">
        <f>IF(OR(E529="",E529="!!!",F529="NEW"),"",INDEX(B$2:B528,-1+SUMPRODUCT(MAX(ROW(E$2:E528)*(E529=E$2:E528)))))</f>
        <v/>
      </c>
      <c r="J529" s="24" t="str">
        <f ca="1">IF(OR(E529="",E529="!!!",F529="NEW"),"",COUNTBLANK(OFFSET(A$1,,,SUMPRODUCT(MAX(ROW(E$2:E529)*(E529=E$2:E529)))))-COUNTBLANK(OFFSET(A$1,,,SUMPRODUCT(MAX(ROW(E$1:E528)*(E2=E$1:E528))))))</f>
        <v/>
      </c>
      <c r="K529" s="24" t="str">
        <f>IF(OR(E529="",E529="!!!",F529="NEW"),"",INDEX(J$1:J528,SUMPRODUCT(MAX(ROW(E$1:E528)*(E529=E$1:E528)))))</f>
        <v/>
      </c>
      <c r="L529" s="25"/>
    </row>
    <row r="530" spans="1:12" x14ac:dyDescent="0.3">
      <c r="A530" t="s">
        <v>497</v>
      </c>
      <c r="B530" s="26" t="s">
        <v>292</v>
      </c>
      <c r="C530" s="26" t="s">
        <v>239</v>
      </c>
      <c r="D530" s="26" t="s">
        <v>240</v>
      </c>
      <c r="E530" s="20" t="str">
        <f t="shared" si="56"/>
        <v>!!!</v>
      </c>
      <c r="F530" s="21" t="str">
        <f>IF(OR(E530="",E530="!!!"),"",IF(NOT(ISNA(VLOOKUP(E530,E$1:E529,1,FALSE()))),"OLD",IF(AND(E530&lt;&gt;"",E530&lt;&gt;"!!!"),"NEW","")))</f>
        <v/>
      </c>
      <c r="G530" s="22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/>
      </c>
      <c r="H530" s="23" t="str">
        <f t="shared" ca="1" si="57"/>
        <v/>
      </c>
      <c r="I530" s="24" t="str">
        <f>IF(OR(E530="",E530="!!!",F530="NEW"),"",INDEX(B$2:B529,-1+SUMPRODUCT(MAX(ROW(E$2:E529)*(E530=E$2:E529)))))</f>
        <v/>
      </c>
      <c r="J530" s="24" t="str">
        <f ca="1">IF(OR(E530="",E530="!!!",F530="NEW"),"",COUNTBLANK(OFFSET(A$1,,,SUMPRODUCT(MAX(ROW(E$2:E530)*(E530=E$2:E530)))))-COUNTBLANK(OFFSET(A$1,,,SUMPRODUCT(MAX(ROW(E$1:E529)*(E2=E$1:E529))))))</f>
        <v/>
      </c>
      <c r="K530" s="24" t="str">
        <f>IF(OR(E530="",E530="!!!",F530="NEW"),"",INDEX(J$1:J529,SUMPRODUCT(MAX(ROW(E$1:E529)*(E530=E$1:E529)))))</f>
        <v/>
      </c>
      <c r="L530" s="25"/>
    </row>
    <row r="531" spans="1:12" x14ac:dyDescent="0.3">
      <c r="A531" t="s">
        <v>515</v>
      </c>
      <c r="E531" s="20" t="str">
        <f t="shared" si="56"/>
        <v/>
      </c>
      <c r="F531" s="21" t="str">
        <f>IF(OR(E531="",E531="!!!"),"",IF(NOT(ISNA(VLOOKUP(E531,E$1:E530,1,FALSE()))),"OLD",IF(AND(E531&lt;&gt;"",E531&lt;&gt;"!!!"),"NEW","")))</f>
        <v/>
      </c>
      <c r="G531" s="22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/>
      </c>
      <c r="H531" s="23" t="str">
        <f t="shared" ca="1" si="57"/>
        <v/>
      </c>
      <c r="I531" s="24" t="str">
        <f>IF(OR(E531="",E531="!!!",F531="NEW"),"",INDEX(B$2:B530,-1+SUMPRODUCT(MAX(ROW(E$2:E530)*(E531=E$2:E530)))))</f>
        <v/>
      </c>
      <c r="J531" s="24" t="str">
        <f ca="1">IF(OR(E531="",E531="!!!",F531="NEW"),"",COUNTBLANK(OFFSET(A$1,,,SUMPRODUCT(MAX(ROW(E$2:E531)*(E531=E$2:E531)))))-COUNTBLANK(OFFSET(A$1,,,SUMPRODUCT(MAX(ROW(E$1:E530)*(E2=E$1:E530))))))</f>
        <v/>
      </c>
      <c r="K531" s="24" t="str">
        <f>IF(OR(E531="",E531="!!!",F531="NEW"),"",INDEX(J$1:J530,SUMPRODUCT(MAX(ROW(E$1:E530)*(E531=E$1:E530)))))</f>
        <v/>
      </c>
      <c r="L531" s="25"/>
    </row>
    <row r="532" spans="1:12" x14ac:dyDescent="0.3">
      <c r="A532" t="s">
        <v>248</v>
      </c>
      <c r="E532" s="20" t="str">
        <f t="shared" si="56"/>
        <v/>
      </c>
      <c r="F532" s="21" t="str">
        <f>IF(OR(E532="",E532="!!!"),"",IF(NOT(ISNA(VLOOKUP(E532,E$1:E531,1,FALSE()))),"OLD",IF(AND(E532&lt;&gt;"",E532&lt;&gt;"!!!"),"NEW","")))</f>
        <v/>
      </c>
      <c r="G532" s="22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/>
      </c>
      <c r="H532" s="23" t="str">
        <f t="shared" ca="1" si="57"/>
        <v/>
      </c>
      <c r="I532" s="24" t="str">
        <f>IF(OR(E532="",E532="!!!",F532="NEW"),"",INDEX(B$2:B531,-1+SUMPRODUCT(MAX(ROW(E$2:E531)*(E532=E$2:E531)))))</f>
        <v/>
      </c>
      <c r="J532" s="24" t="str">
        <f ca="1">IF(OR(E532="",E532="!!!",F532="NEW"),"",COUNTBLANK(OFFSET(A$1,,,SUMPRODUCT(MAX(ROW(E$2:E532)*(E532=E$2:E532)))))-COUNTBLANK(OFFSET(A$1,,,SUMPRODUCT(MAX(ROW(E$1:E531)*(E2=E$1:E531))))))</f>
        <v/>
      </c>
      <c r="K532" s="24" t="str">
        <f>IF(OR(E532="",E532="!!!",F532="NEW"),"",INDEX(J$1:J531,SUMPRODUCT(MAX(ROW(E$1:E531)*(E532=E$1:E531)))))</f>
        <v/>
      </c>
      <c r="L532" s="25"/>
    </row>
    <row r="534" spans="1:12" x14ac:dyDescent="0.3">
      <c r="A534" t="s">
        <v>516</v>
      </c>
    </row>
    <row r="535" spans="1:12" x14ac:dyDescent="0.3">
      <c r="A535" t="s">
        <v>396</v>
      </c>
      <c r="B535" s="26" t="s">
        <v>243</v>
      </c>
      <c r="C535" s="26" t="s">
        <v>256</v>
      </c>
      <c r="D535" s="26" t="s">
        <v>240</v>
      </c>
      <c r="E535" s="20" t="str">
        <f>IF(D535="?OLD","!!!","")</f>
        <v>!!!</v>
      </c>
      <c r="F535" s="21" t="str">
        <f>IF(OR(E535="",E535="!!!"),"",IF(NOT(ISNA(VLOOKUP(E535,E$1:E534,1,FALSE()))),"OLD",IF(AND(E535&lt;&gt;"",E535&lt;&gt;"!!!"),"NEW","")))</f>
        <v/>
      </c>
      <c r="G535" s="22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/>
      </c>
      <c r="H535" s="23" t="str">
        <f ca="1">IF(J535&lt;&gt;1,"",IF(I535="SBJ","CB","?"))</f>
        <v/>
      </c>
      <c r="I535" s="24" t="str">
        <f>IF(OR(E535="",E535="!!!",F535="NEW"),"",INDEX(B$2:B534,-1+SUMPRODUCT(MAX(ROW(E$2:E534)*(E535=E$2:E534)))))</f>
        <v/>
      </c>
      <c r="J535" s="24" t="str">
        <f ca="1">IF(OR(E535="",E535="!!!",F535="NEW"),"",COUNTBLANK(OFFSET(A$1,,,SUMPRODUCT(MAX(ROW(E$2:E535)*(E535=E$2:E535)))))-COUNTBLANK(OFFSET(A$1,,,SUMPRODUCT(MAX(ROW(E$1:E534)*(E2=E$1:E534))))))</f>
        <v/>
      </c>
      <c r="K535" s="24" t="str">
        <f>IF(OR(E535="",E535="!!!",F535="NEW"),"",INDEX(J$1:J534,SUMPRODUCT(MAX(ROW(E$1:E534)*(E535=E$1:E534)))))</f>
        <v/>
      </c>
      <c r="L535" s="25"/>
    </row>
    <row r="536" spans="1:12" x14ac:dyDescent="0.3">
      <c r="A536" t="s">
        <v>511</v>
      </c>
      <c r="E536" s="20" t="str">
        <f>IF(D536="?OLD","!!!","")</f>
        <v/>
      </c>
      <c r="F536" s="21" t="str">
        <f>IF(OR(E536="",E536="!!!"),"",IF(NOT(ISNA(VLOOKUP(E536,E$1:E535,1,FALSE()))),"OLD",IF(AND(E536&lt;&gt;"",E536&lt;&gt;"!!!"),"NEW","")))</f>
        <v/>
      </c>
      <c r="G536" s="22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/>
      </c>
      <c r="H536" s="23" t="str">
        <f ca="1">IF(J536&lt;&gt;1,"",IF(I536="SBJ","CB","?"))</f>
        <v/>
      </c>
      <c r="I536" s="24" t="str">
        <f>IF(OR(E536="",E536="!!!",F536="NEW"),"",INDEX(B$2:B535,-1+SUMPRODUCT(MAX(ROW(E$2:E535)*(E536=E$2:E535)))))</f>
        <v/>
      </c>
      <c r="J536" s="24" t="str">
        <f ca="1">IF(OR(E536="",E536="!!!",F536="NEW"),"",COUNTBLANK(OFFSET(A$1,,,SUMPRODUCT(MAX(ROW(E$2:E536)*(E536=E$2:E536)))))-COUNTBLANK(OFFSET(A$1,,,SUMPRODUCT(MAX(ROW(E$1:E535)*(E2=E$1:E535))))))</f>
        <v/>
      </c>
      <c r="K536" s="24" t="str">
        <f>IF(OR(E536="",E536="!!!",F536="NEW"),"",INDEX(J$1:J535,SUMPRODUCT(MAX(ROW(E$1:E535)*(E536=E$1:E535)))))</f>
        <v/>
      </c>
      <c r="L536" s="25"/>
    </row>
    <row r="537" spans="1:12" x14ac:dyDescent="0.3">
      <c r="A537" t="s">
        <v>242</v>
      </c>
      <c r="B537" s="26" t="s">
        <v>243</v>
      </c>
      <c r="C537" s="26" t="s">
        <v>244</v>
      </c>
      <c r="D537" s="26" t="s">
        <v>240</v>
      </c>
      <c r="E537" s="20" t="str">
        <f>IF(D537="?OLD","!!!","")</f>
        <v>!!!</v>
      </c>
      <c r="F537" s="21" t="str">
        <f>IF(OR(E537="",E537="!!!"),"",IF(NOT(ISNA(VLOOKUP(E537,E$1:E536,1,FALSE()))),"OLD",IF(AND(E537&lt;&gt;"",E537&lt;&gt;"!!!"),"NEW","")))</f>
        <v/>
      </c>
      <c r="G537" s="22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/>
      </c>
      <c r="H537" s="23" t="str">
        <f ca="1">IF(J537&lt;&gt;1,"",IF(I537="SBJ","CB","?"))</f>
        <v/>
      </c>
      <c r="I537" s="24" t="str">
        <f>IF(OR(E537="",E537="!!!",F537="NEW"),"",INDEX(B$2:B536,-1+SUMPRODUCT(MAX(ROW(E$2:E536)*(E537=E$2:E536)))))</f>
        <v/>
      </c>
      <c r="J537" s="24" t="str">
        <f ca="1">IF(OR(E537="",E537="!!!",F537="NEW"),"",COUNTBLANK(OFFSET(A$1,,,SUMPRODUCT(MAX(ROW(E$2:E537)*(E537=E$2:E537)))))-COUNTBLANK(OFFSET(A$1,,,SUMPRODUCT(MAX(ROW(E$1:E536)*(E2=E$1:E536))))))</f>
        <v/>
      </c>
      <c r="K537" s="24" t="str">
        <f>IF(OR(E537="",E537="!!!",F537="NEW"),"",INDEX(J$1:J536,SUMPRODUCT(MAX(ROW(E$1:E536)*(E537=E$1:E536)))))</f>
        <v/>
      </c>
      <c r="L537" s="25"/>
    </row>
    <row r="538" spans="1:12" x14ac:dyDescent="0.3">
      <c r="A538" t="s">
        <v>517</v>
      </c>
      <c r="E538" s="20" t="str">
        <f>IF(D538="?OLD","!!!","")</f>
        <v/>
      </c>
      <c r="F538" s="21" t="str">
        <f>IF(OR(E538="",E538="!!!"),"",IF(NOT(ISNA(VLOOKUP(E538,E$1:E537,1,FALSE()))),"OLD",IF(AND(E538&lt;&gt;"",E538&lt;&gt;"!!!"),"NEW","")))</f>
        <v/>
      </c>
      <c r="G538" s="22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/>
      </c>
      <c r="H538" s="23" t="str">
        <f ca="1">IF(J538&lt;&gt;1,"",IF(I538="SBJ","CB","?"))</f>
        <v/>
      </c>
      <c r="I538" s="24" t="str">
        <f>IF(OR(E538="",E538="!!!",F538="NEW"),"",INDEX(B$2:B537,-1+SUMPRODUCT(MAX(ROW(E$2:E537)*(E538=E$2:E537)))))</f>
        <v/>
      </c>
      <c r="J538" s="24" t="str">
        <f ca="1">IF(OR(E538="",E538="!!!",F538="NEW"),"",COUNTBLANK(OFFSET(A$1,,,SUMPRODUCT(MAX(ROW(E$2:E538)*(E538=E$2:E538)))))-COUNTBLANK(OFFSET(A$1,,,SUMPRODUCT(MAX(ROW(E$1:E537)*(E2=E$1:E537))))))</f>
        <v/>
      </c>
      <c r="K538" s="24" t="str">
        <f>IF(OR(E538="",E538="!!!",F538="NEW"),"",INDEX(J$1:J537,SUMPRODUCT(MAX(ROW(E$1:E537)*(E538=E$1:E537)))))</f>
        <v/>
      </c>
      <c r="L538" s="25"/>
    </row>
    <row r="539" spans="1:12" x14ac:dyDescent="0.3">
      <c r="A539" t="s">
        <v>248</v>
      </c>
      <c r="E539" s="20" t="str">
        <f>IF(D539="?OLD","!!!","")</f>
        <v/>
      </c>
      <c r="F539" s="21" t="str">
        <f>IF(OR(E539="",E539="!!!"),"",IF(NOT(ISNA(VLOOKUP(E539,E$1:E538,1,FALSE()))),"OLD",IF(AND(E539&lt;&gt;"",E539&lt;&gt;"!!!"),"NEW","")))</f>
        <v/>
      </c>
      <c r="G539" s="22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/>
      </c>
      <c r="H539" s="23" t="str">
        <f ca="1">IF(J539&lt;&gt;1,"",IF(I539="SBJ","CB","?"))</f>
        <v/>
      </c>
      <c r="I539" s="24" t="str">
        <f>IF(OR(E539="",E539="!!!",F539="NEW"),"",INDEX(B$2:B538,-1+SUMPRODUCT(MAX(ROW(E$2:E538)*(E539=E$2:E538)))))</f>
        <v/>
      </c>
      <c r="J539" s="24" t="str">
        <f ca="1">IF(OR(E539="",E539="!!!",F539="NEW"),"",COUNTBLANK(OFFSET(A$1,,,SUMPRODUCT(MAX(ROW(E$2:E539)*(E539=E$2:E539)))))-COUNTBLANK(OFFSET(A$1,,,SUMPRODUCT(MAX(ROW(E$1:E538)*(E2=E$1:E538))))))</f>
        <v/>
      </c>
      <c r="K539" s="24" t="str">
        <f>IF(OR(E539="",E539="!!!",F539="NEW"),"",INDEX(J$1:J538,SUMPRODUCT(MAX(ROW(E$1:E538)*(E539=E$1:E538)))))</f>
        <v/>
      </c>
      <c r="L539" s="25"/>
    </row>
    <row r="541" spans="1:12" x14ac:dyDescent="0.3">
      <c r="A541" t="s">
        <v>518</v>
      </c>
    </row>
    <row r="542" spans="1:12" x14ac:dyDescent="0.3">
      <c r="A542" t="s">
        <v>519</v>
      </c>
      <c r="B542" s="26" t="s">
        <v>243</v>
      </c>
      <c r="C542" s="26" t="s">
        <v>256</v>
      </c>
      <c r="D542" s="26" t="s">
        <v>240</v>
      </c>
      <c r="E542" s="20" t="str">
        <f t="shared" ref="E542:E580" si="58">IF(D542="?OLD","!!!","")</f>
        <v>!!!</v>
      </c>
      <c r="F542" s="21" t="str">
        <f>IF(OR(E542="",E542="!!!"),"",IF(NOT(ISNA(VLOOKUP(E542,E$1:E541,1,FALSE()))),"OLD",IF(AND(E542&lt;&gt;"",E542&lt;&gt;"!!!"),"NEW","")))</f>
        <v/>
      </c>
      <c r="G542" s="22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/>
      </c>
      <c r="H542" s="23" t="str">
        <f t="shared" ref="H542:H580" ca="1" si="59">IF(J542&lt;&gt;1,"",IF(I542="SBJ","CB","?"))</f>
        <v/>
      </c>
      <c r="I542" s="24" t="str">
        <f>IF(OR(E542="",E542="!!!",F542="NEW"),"",INDEX(B$2:B541,-1+SUMPRODUCT(MAX(ROW(E$2:E541)*(E542=E$2:E541)))))</f>
        <v/>
      </c>
      <c r="J542" s="24" t="str">
        <f ca="1">IF(OR(E542="",E542="!!!",F542="NEW"),"",COUNTBLANK(OFFSET(A$1,,,SUMPRODUCT(MAX(ROW(E$2:E542)*(E542=E$2:E542)))))-COUNTBLANK(OFFSET(A$1,,,SUMPRODUCT(MAX(ROW(E$1:E541)*(E2=E$1:E541))))))</f>
        <v/>
      </c>
      <c r="K542" s="24" t="str">
        <f>IF(OR(E542="",E542="!!!",F542="NEW"),"",INDEX(J$1:J541,SUMPRODUCT(MAX(ROW(E$1:E541)*(E542=E$1:E541)))))</f>
        <v/>
      </c>
      <c r="L542" s="25"/>
    </row>
    <row r="543" spans="1:12" x14ac:dyDescent="0.3">
      <c r="A543" t="s">
        <v>520</v>
      </c>
      <c r="E543" s="20" t="str">
        <f t="shared" si="58"/>
        <v/>
      </c>
      <c r="F543" s="21" t="str">
        <f>IF(OR(E543="",E543="!!!"),"",IF(NOT(ISNA(VLOOKUP(E543,E$1:E542,1,FALSE()))),"OLD",IF(AND(E543&lt;&gt;"",E543&lt;&gt;"!!!"),"NEW","")))</f>
        <v/>
      </c>
      <c r="G543" s="22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/>
      </c>
      <c r="H543" s="23" t="str">
        <f t="shared" ca="1" si="59"/>
        <v/>
      </c>
      <c r="I543" s="24" t="str">
        <f>IF(OR(E543="",E543="!!!",F543="NEW"),"",INDEX(B$2:B542,-1+SUMPRODUCT(MAX(ROW(E$2:E542)*(E543=E$2:E542)))))</f>
        <v/>
      </c>
      <c r="J543" s="24" t="str">
        <f ca="1">IF(OR(E543="",E543="!!!",F543="NEW"),"",COUNTBLANK(OFFSET(A$1,,,SUMPRODUCT(MAX(ROW(E$2:E543)*(E543=E$2:E543)))))-COUNTBLANK(OFFSET(A$1,,,SUMPRODUCT(MAX(ROW(E$1:E542)*(E2=E$1:E542))))))</f>
        <v/>
      </c>
      <c r="K543" s="24" t="str">
        <f>IF(OR(E543="",E543="!!!",F543="NEW"),"",INDEX(J$1:J542,SUMPRODUCT(MAX(ROW(E$1:E542)*(E543=E$1:E542)))))</f>
        <v/>
      </c>
      <c r="L543" s="25"/>
    </row>
    <row r="544" spans="1:12" x14ac:dyDescent="0.3">
      <c r="A544" t="s">
        <v>291</v>
      </c>
      <c r="B544" s="26" t="s">
        <v>243</v>
      </c>
      <c r="C544" s="26" t="s">
        <v>480</v>
      </c>
      <c r="E544" s="20" t="str">
        <f t="shared" si="58"/>
        <v/>
      </c>
      <c r="F544" s="21" t="str">
        <f>IF(OR(E544="",E544="!!!"),"",IF(NOT(ISNA(VLOOKUP(E544,E$1:E543,1,FALSE()))),"OLD",IF(AND(E544&lt;&gt;"",E544&lt;&gt;"!!!"),"NEW","")))</f>
        <v/>
      </c>
      <c r="G544" s="22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/>
      </c>
      <c r="H544" s="23" t="str">
        <f t="shared" ca="1" si="59"/>
        <v/>
      </c>
      <c r="I544" s="24" t="str">
        <f>IF(OR(E544="",E544="!!!",F544="NEW"),"",INDEX(B$2:B543,-1+SUMPRODUCT(MAX(ROW(E$2:E543)*(E544=E$2:E543)))))</f>
        <v/>
      </c>
      <c r="J544" s="24" t="str">
        <f ca="1">IF(OR(E544="",E544="!!!",F544="NEW"),"",COUNTBLANK(OFFSET(A$1,,,SUMPRODUCT(MAX(ROW(E$2:E544)*(E544=E$2:E544)))))-COUNTBLANK(OFFSET(A$1,,,SUMPRODUCT(MAX(ROW(E$1:E543)*(E2=E$1:E543))))))</f>
        <v/>
      </c>
      <c r="K544" s="24" t="str">
        <f>IF(OR(E544="",E544="!!!",F544="NEW"),"",INDEX(J$1:J543,SUMPRODUCT(MAX(ROW(E$1:E543)*(E544=E$1:E543)))))</f>
        <v/>
      </c>
      <c r="L544" s="25"/>
    </row>
    <row r="545" spans="1:12" x14ac:dyDescent="0.3">
      <c r="A545" t="s">
        <v>300</v>
      </c>
      <c r="E545" s="20" t="str">
        <f t="shared" si="58"/>
        <v/>
      </c>
      <c r="F545" s="21" t="str">
        <f>IF(OR(E545="",E545="!!!"),"",IF(NOT(ISNA(VLOOKUP(E545,E$1:E544,1,FALSE()))),"OLD",IF(AND(E545&lt;&gt;"",E545&lt;&gt;"!!!"),"NEW","")))</f>
        <v/>
      </c>
      <c r="G545" s="22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/>
      </c>
      <c r="H545" s="23" t="str">
        <f t="shared" ca="1" si="59"/>
        <v/>
      </c>
      <c r="I545" s="24" t="str">
        <f>IF(OR(E545="",E545="!!!",F545="NEW"),"",INDEX(B$2:B544,-1+SUMPRODUCT(MAX(ROW(E$2:E544)*(E545=E$2:E544)))))</f>
        <v/>
      </c>
      <c r="J545" s="24" t="str">
        <f ca="1">IF(OR(E545="",E545="!!!",F545="NEW"),"",COUNTBLANK(OFFSET(A$1,,,SUMPRODUCT(MAX(ROW(E$2:E545)*(E545=E$2:E545)))))-COUNTBLANK(OFFSET(A$1,,,SUMPRODUCT(MAX(ROW(E$1:E544)*(E2=E$1:E544))))))</f>
        <v/>
      </c>
      <c r="K545" s="24" t="str">
        <f>IF(OR(E545="",E545="!!!",F545="NEW"),"",INDEX(J$1:J544,SUMPRODUCT(MAX(ROW(E$1:E544)*(E545=E$1:E544)))))</f>
        <v/>
      </c>
      <c r="L545" s="25"/>
    </row>
    <row r="546" spans="1:12" x14ac:dyDescent="0.3">
      <c r="A546" t="s">
        <v>301</v>
      </c>
      <c r="E546" s="20" t="str">
        <f t="shared" si="58"/>
        <v/>
      </c>
      <c r="F546" s="21" t="str">
        <f>IF(OR(E546="",E546="!!!"),"",IF(NOT(ISNA(VLOOKUP(E546,E$1:E545,1,FALSE()))),"OLD",IF(AND(E546&lt;&gt;"",E546&lt;&gt;"!!!"),"NEW","")))</f>
        <v/>
      </c>
      <c r="G546" s="22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/>
      </c>
      <c r="H546" s="23" t="str">
        <f t="shared" ca="1" si="59"/>
        <v/>
      </c>
      <c r="I546" s="24" t="str">
        <f>IF(OR(E546="",E546="!!!",F546="NEW"),"",INDEX(B$2:B545,-1+SUMPRODUCT(MAX(ROW(E$2:E545)*(E546=E$2:E545)))))</f>
        <v/>
      </c>
      <c r="J546" s="24" t="str">
        <f ca="1">IF(OR(E546="",E546="!!!",F546="NEW"),"",COUNTBLANK(OFFSET(A$1,,,SUMPRODUCT(MAX(ROW(E$2:E546)*(E546=E$2:E546)))))-COUNTBLANK(OFFSET(A$1,,,SUMPRODUCT(MAX(ROW(E$1:E545)*(E2=E$1:E545))))))</f>
        <v/>
      </c>
      <c r="K546" s="24" t="str">
        <f>IF(OR(E546="",E546="!!!",F546="NEW"),"",INDEX(J$1:J545,SUMPRODUCT(MAX(ROW(E$1:E545)*(E546=E$1:E545)))))</f>
        <v/>
      </c>
      <c r="L546" s="25"/>
    </row>
    <row r="547" spans="1:12" x14ac:dyDescent="0.3">
      <c r="A547" t="s">
        <v>521</v>
      </c>
      <c r="E547" s="20" t="str">
        <f t="shared" si="58"/>
        <v/>
      </c>
      <c r="F547" s="21" t="str">
        <f>IF(OR(E547="",E547="!!!"),"",IF(NOT(ISNA(VLOOKUP(E547,E$1:E546,1,FALSE()))),"OLD",IF(AND(E547&lt;&gt;"",E547&lt;&gt;"!!!"),"NEW","")))</f>
        <v/>
      </c>
      <c r="G547" s="22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/>
      </c>
      <c r="H547" s="23" t="str">
        <f t="shared" ca="1" si="59"/>
        <v/>
      </c>
      <c r="I547" s="24" t="str">
        <f>IF(OR(E547="",E547="!!!",F547="NEW"),"",INDEX(B$2:B546,-1+SUMPRODUCT(MAX(ROW(E$2:E546)*(E547=E$2:E546)))))</f>
        <v/>
      </c>
      <c r="J547" s="24" t="str">
        <f ca="1">IF(OR(E547="",E547="!!!",F547="NEW"),"",COUNTBLANK(OFFSET(A$1,,,SUMPRODUCT(MAX(ROW(E$2:E547)*(E547=E$2:E547)))))-COUNTBLANK(OFFSET(A$1,,,SUMPRODUCT(MAX(ROW(E$1:E546)*(E2=E$1:E546))))))</f>
        <v/>
      </c>
      <c r="K547" s="24" t="str">
        <f>IF(OR(E547="",E547="!!!",F547="NEW"),"",INDEX(J$1:J546,SUMPRODUCT(MAX(ROW(E$1:E546)*(E547=E$1:E546)))))</f>
        <v/>
      </c>
      <c r="L547" s="25"/>
    </row>
    <row r="548" spans="1:12" x14ac:dyDescent="0.3">
      <c r="A548" t="s">
        <v>522</v>
      </c>
      <c r="B548" s="26" t="s">
        <v>238</v>
      </c>
      <c r="C548" s="26" t="s">
        <v>247</v>
      </c>
      <c r="E548" s="20" t="str">
        <f t="shared" si="58"/>
        <v/>
      </c>
      <c r="F548" s="21" t="str">
        <f>IF(OR(E548="",E548="!!!"),"",IF(NOT(ISNA(VLOOKUP(E548,E$1:E547,1,FALSE()))),"OLD",IF(AND(E548&lt;&gt;"",E548&lt;&gt;"!!!"),"NEW","")))</f>
        <v/>
      </c>
      <c r="G548" s="22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/>
      </c>
      <c r="H548" s="23" t="str">
        <f t="shared" ca="1" si="59"/>
        <v/>
      </c>
      <c r="I548" s="24" t="str">
        <f>IF(OR(E548="",E548="!!!",F548="NEW"),"",INDEX(B$2:B547,-1+SUMPRODUCT(MAX(ROW(E$2:E547)*(E548=E$2:E547)))))</f>
        <v/>
      </c>
      <c r="J548" s="24" t="str">
        <f ca="1">IF(OR(E548="",E548="!!!",F548="NEW"),"",COUNTBLANK(OFFSET(A$1,,,SUMPRODUCT(MAX(ROW(E$2:E548)*(E548=E$2:E548)))))-COUNTBLANK(OFFSET(A$1,,,SUMPRODUCT(MAX(ROW(E$1:E547)*(E2=E$1:E547))))))</f>
        <v/>
      </c>
      <c r="K548" s="24" t="str">
        <f>IF(OR(E548="",E548="!!!",F548="NEW"),"",INDEX(J$1:J547,SUMPRODUCT(MAX(ROW(E$1:E547)*(E548=E$1:E547)))))</f>
        <v/>
      </c>
      <c r="L548" s="25"/>
    </row>
    <row r="549" spans="1:12" x14ac:dyDescent="0.3">
      <c r="A549" t="s">
        <v>327</v>
      </c>
      <c r="B549" s="26" t="s">
        <v>261</v>
      </c>
      <c r="C549" s="26" t="s">
        <v>305</v>
      </c>
      <c r="E549" s="20" t="str">
        <f t="shared" si="58"/>
        <v/>
      </c>
      <c r="F549" s="21" t="str">
        <f>IF(OR(E549="",E549="!!!"),"",IF(NOT(ISNA(VLOOKUP(E549,E$1:E548,1,FALSE()))),"OLD",IF(AND(E549&lt;&gt;"",E549&lt;&gt;"!!!"),"NEW","")))</f>
        <v/>
      </c>
      <c r="G549" s="22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/>
      </c>
      <c r="H549" s="23" t="str">
        <f t="shared" ca="1" si="59"/>
        <v/>
      </c>
      <c r="I549" s="24" t="str">
        <f>IF(OR(E549="",E549="!!!",F549="NEW"),"",INDEX(B$2:B548,-1+SUMPRODUCT(MAX(ROW(E$2:E548)*(E549=E$2:E548)))))</f>
        <v/>
      </c>
      <c r="J549" s="24" t="str">
        <f ca="1">IF(OR(E549="",E549="!!!",F549="NEW"),"",COUNTBLANK(OFFSET(A$1,,,SUMPRODUCT(MAX(ROW(E$2:E549)*(E549=E$2:E549)))))-COUNTBLANK(OFFSET(A$1,,,SUMPRODUCT(MAX(ROW(E$1:E548)*(E2=E$1:E548))))))</f>
        <v/>
      </c>
      <c r="K549" s="24" t="str">
        <f>IF(OR(E549="",E549="!!!",F549="NEW"),"",INDEX(J$1:J548,SUMPRODUCT(MAX(ROW(E$1:E548)*(E549=E$1:E548)))))</f>
        <v/>
      </c>
      <c r="L549" s="25"/>
    </row>
    <row r="550" spans="1:12" x14ac:dyDescent="0.3">
      <c r="A550" t="s">
        <v>236</v>
      </c>
      <c r="E550" s="20" t="str">
        <f t="shared" si="58"/>
        <v/>
      </c>
      <c r="F550" s="21" t="str">
        <f>IF(OR(E550="",E550="!!!"),"",IF(NOT(ISNA(VLOOKUP(E550,E$1:E549,1,FALSE()))),"OLD",IF(AND(E550&lt;&gt;"",E550&lt;&gt;"!!!"),"NEW","")))</f>
        <v/>
      </c>
      <c r="G550" s="22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/>
      </c>
      <c r="H550" s="23" t="str">
        <f t="shared" ca="1" si="59"/>
        <v/>
      </c>
      <c r="I550" s="24" t="str">
        <f>IF(OR(E550="",E550="!!!",F550="NEW"),"",INDEX(B$2:B549,-1+SUMPRODUCT(MAX(ROW(E$2:E549)*(E550=E$2:E549)))))</f>
        <v/>
      </c>
      <c r="J550" s="24" t="str">
        <f ca="1">IF(OR(E550="",E550="!!!",F550="NEW"),"",COUNTBLANK(OFFSET(A$1,,,SUMPRODUCT(MAX(ROW(E$2:E550)*(E550=E$2:E550)))))-COUNTBLANK(OFFSET(A$1,,,SUMPRODUCT(MAX(ROW(E$1:E549)*(E2=E$1:E549))))))</f>
        <v/>
      </c>
      <c r="K550" s="24" t="str">
        <f>IF(OR(E550="",E550="!!!",F550="NEW"),"",INDEX(J$1:J549,SUMPRODUCT(MAX(ROW(E$1:E549)*(E550=E$1:E549)))))</f>
        <v/>
      </c>
      <c r="L550" s="25"/>
    </row>
    <row r="551" spans="1:12" x14ac:dyDescent="0.3">
      <c r="A551" t="s">
        <v>523</v>
      </c>
      <c r="B551" s="26" t="s">
        <v>238</v>
      </c>
      <c r="C551" s="26" t="s">
        <v>239</v>
      </c>
      <c r="D551" s="26" t="s">
        <v>240</v>
      </c>
      <c r="E551" s="20" t="str">
        <f t="shared" si="58"/>
        <v>!!!</v>
      </c>
      <c r="F551" s="21" t="str">
        <f>IF(OR(E551="",E551="!!!"),"",IF(NOT(ISNA(VLOOKUP(E551,E$1:E550,1,FALSE()))),"OLD",IF(AND(E551&lt;&gt;"",E551&lt;&gt;"!!!"),"NEW","")))</f>
        <v/>
      </c>
      <c r="G551" s="22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/>
      </c>
      <c r="H551" s="23" t="str">
        <f t="shared" ca="1" si="59"/>
        <v/>
      </c>
      <c r="I551" s="24" t="str">
        <f>IF(OR(E551="",E551="!!!",F551="NEW"),"",INDEX(B$2:B550,-1+SUMPRODUCT(MAX(ROW(E$2:E550)*(E551=E$2:E550)))))</f>
        <v/>
      </c>
      <c r="J551" s="24" t="str">
        <f ca="1">IF(OR(E551="",E551="!!!",F551="NEW"),"",COUNTBLANK(OFFSET(A$1,,,SUMPRODUCT(MAX(ROW(E$2:E551)*(E551=E$2:E551)))))-COUNTBLANK(OFFSET(A$1,,,SUMPRODUCT(MAX(ROW(E$1:E550)*(E2=E$1:E550))))))</f>
        <v/>
      </c>
      <c r="K551" s="24" t="str">
        <f>IF(OR(E551="",E551="!!!",F551="NEW"),"",INDEX(J$1:J550,SUMPRODUCT(MAX(ROW(E$1:E550)*(E551=E$1:E550)))))</f>
        <v/>
      </c>
      <c r="L551" s="25"/>
    </row>
    <row r="552" spans="1:12" x14ac:dyDescent="0.3">
      <c r="A552" t="s">
        <v>252</v>
      </c>
      <c r="E552" s="20" t="str">
        <f t="shared" si="58"/>
        <v/>
      </c>
      <c r="F552" s="21" t="str">
        <f>IF(OR(E552="",E552="!!!"),"",IF(NOT(ISNA(VLOOKUP(E552,E$1:E551,1,FALSE()))),"OLD",IF(AND(E552&lt;&gt;"",E552&lt;&gt;"!!!"),"NEW","")))</f>
        <v/>
      </c>
      <c r="G552" s="22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/>
      </c>
      <c r="H552" s="23" t="str">
        <f t="shared" ca="1" si="59"/>
        <v/>
      </c>
      <c r="I552" s="24" t="str">
        <f>IF(OR(E552="",E552="!!!",F552="NEW"),"",INDEX(B$2:B551,-1+SUMPRODUCT(MAX(ROW(E$2:E551)*(E552=E$2:E551)))))</f>
        <v/>
      </c>
      <c r="J552" s="24" t="str">
        <f ca="1">IF(OR(E552="",E552="!!!",F552="NEW"),"",COUNTBLANK(OFFSET(A$1,,,SUMPRODUCT(MAX(ROW(E$2:E552)*(E552=E$2:E552)))))-COUNTBLANK(OFFSET(A$1,,,SUMPRODUCT(MAX(ROW(E$1:E551)*(E2=E$1:E551))))))</f>
        <v/>
      </c>
      <c r="K552" s="24" t="str">
        <f>IF(OR(E552="",E552="!!!",F552="NEW"),"",INDEX(J$1:J551,SUMPRODUCT(MAX(ROW(E$1:E551)*(E552=E$1:E551)))))</f>
        <v/>
      </c>
      <c r="L552" s="25"/>
    </row>
    <row r="553" spans="1:12" x14ac:dyDescent="0.3">
      <c r="A553" t="s">
        <v>336</v>
      </c>
      <c r="E553" s="20" t="str">
        <f t="shared" si="58"/>
        <v/>
      </c>
      <c r="F553" s="21" t="str">
        <f>IF(OR(E553="",E553="!!!"),"",IF(NOT(ISNA(VLOOKUP(E553,E$1:E552,1,FALSE()))),"OLD",IF(AND(E553&lt;&gt;"",E553&lt;&gt;"!!!"),"NEW","")))</f>
        <v/>
      </c>
      <c r="G553" s="22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/>
      </c>
      <c r="H553" s="23" t="str">
        <f t="shared" ca="1" si="59"/>
        <v/>
      </c>
      <c r="I553" s="24" t="str">
        <f>IF(OR(E553="",E553="!!!",F553="NEW"),"",INDEX(B$2:B552,-1+SUMPRODUCT(MAX(ROW(E$2:E552)*(E553=E$2:E552)))))</f>
        <v/>
      </c>
      <c r="J553" s="24" t="str">
        <f ca="1">IF(OR(E553="",E553="!!!",F553="NEW"),"",COUNTBLANK(OFFSET(A$1,,,SUMPRODUCT(MAX(ROW(E$2:E553)*(E553=E$2:E553)))))-COUNTBLANK(OFFSET(A$1,,,SUMPRODUCT(MAX(ROW(E$1:E552)*(E2=E$1:E552))))))</f>
        <v/>
      </c>
      <c r="K553" s="24" t="str">
        <f>IF(OR(E553="",E553="!!!",F553="NEW"),"",INDEX(J$1:J552,SUMPRODUCT(MAX(ROW(E$1:E552)*(E553=E$1:E552)))))</f>
        <v/>
      </c>
      <c r="L553" s="25"/>
    </row>
    <row r="554" spans="1:12" x14ac:dyDescent="0.3">
      <c r="A554" t="s">
        <v>299</v>
      </c>
      <c r="B554" s="26" t="s">
        <v>255</v>
      </c>
      <c r="C554" s="26" t="s">
        <v>244</v>
      </c>
      <c r="D554" s="26" t="s">
        <v>240</v>
      </c>
      <c r="E554" s="20" t="str">
        <f t="shared" si="58"/>
        <v>!!!</v>
      </c>
      <c r="F554" s="21" t="str">
        <f>IF(OR(E554="",E554="!!!"),"",IF(NOT(ISNA(VLOOKUP(E554,E$1:E553,1,FALSE()))),"OLD",IF(AND(E554&lt;&gt;"",E554&lt;&gt;"!!!"),"NEW","")))</f>
        <v/>
      </c>
      <c r="G554" s="22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/>
      </c>
      <c r="H554" s="23" t="str">
        <f t="shared" ca="1" si="59"/>
        <v/>
      </c>
      <c r="I554" s="24" t="str">
        <f>IF(OR(E554="",E554="!!!",F554="NEW"),"",INDEX(B$2:B553,-1+SUMPRODUCT(MAX(ROW(E$2:E553)*(E554=E$2:E553)))))</f>
        <v/>
      </c>
      <c r="J554" s="24" t="str">
        <f ca="1">IF(OR(E554="",E554="!!!",F554="NEW"),"",COUNTBLANK(OFFSET(A$1,,,SUMPRODUCT(MAX(ROW(E$2:E554)*(E554=E$2:E554)))))-COUNTBLANK(OFFSET(A$1,,,SUMPRODUCT(MAX(ROW(E$1:E553)*(E2=E$1:E553))))))</f>
        <v/>
      </c>
      <c r="K554" s="24" t="str">
        <f>IF(OR(E554="",E554="!!!",F554="NEW"),"",INDEX(J$1:J553,SUMPRODUCT(MAX(ROW(E$1:E553)*(E554=E$1:E553)))))</f>
        <v/>
      </c>
      <c r="L554" s="25"/>
    </row>
    <row r="555" spans="1:12" x14ac:dyDescent="0.3">
      <c r="A555" t="s">
        <v>376</v>
      </c>
      <c r="E555" s="20" t="str">
        <f t="shared" si="58"/>
        <v/>
      </c>
      <c r="F555" s="21" t="str">
        <f>IF(OR(E555="",E555="!!!"),"",IF(NOT(ISNA(VLOOKUP(E555,E$1:E554,1,FALSE()))),"OLD",IF(AND(E555&lt;&gt;"",E555&lt;&gt;"!!!"),"NEW","")))</f>
        <v/>
      </c>
      <c r="G555" s="22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/>
      </c>
      <c r="H555" s="23" t="str">
        <f t="shared" ca="1" si="59"/>
        <v/>
      </c>
      <c r="I555" s="24" t="str">
        <f>IF(OR(E555="",E555="!!!",F555="NEW"),"",INDEX(B$2:B554,-1+SUMPRODUCT(MAX(ROW(E$2:E554)*(E555=E$2:E554)))))</f>
        <v/>
      </c>
      <c r="J555" s="24" t="str">
        <f ca="1">IF(OR(E555="",E555="!!!",F555="NEW"),"",COUNTBLANK(OFFSET(A$1,,,SUMPRODUCT(MAX(ROW(E$2:E555)*(E555=E$2:E555)))))-COUNTBLANK(OFFSET(A$1,,,SUMPRODUCT(MAX(ROW(E$1:E554)*(E2=E$1:E554))))))</f>
        <v/>
      </c>
      <c r="K555" s="24" t="str">
        <f>IF(OR(E555="",E555="!!!",F555="NEW"),"",INDEX(J$1:J554,SUMPRODUCT(MAX(ROW(E$1:E554)*(E555=E$1:E554)))))</f>
        <v/>
      </c>
      <c r="L555" s="25"/>
    </row>
    <row r="556" spans="1:12" x14ac:dyDescent="0.3">
      <c r="A556" t="s">
        <v>524</v>
      </c>
      <c r="B556" s="26" t="s">
        <v>265</v>
      </c>
      <c r="C556" s="26" t="s">
        <v>244</v>
      </c>
      <c r="D556" s="26" t="s">
        <v>240</v>
      </c>
      <c r="E556" s="20" t="str">
        <f t="shared" si="58"/>
        <v>!!!</v>
      </c>
      <c r="F556" s="21" t="str">
        <f>IF(OR(E556="",E556="!!!"),"",IF(NOT(ISNA(VLOOKUP(E556,E$1:E555,1,FALSE()))),"OLD",IF(AND(E556&lt;&gt;"",E556&lt;&gt;"!!!"),"NEW","")))</f>
        <v/>
      </c>
      <c r="G556" s="22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/>
      </c>
      <c r="H556" s="23" t="str">
        <f t="shared" ca="1" si="59"/>
        <v/>
      </c>
      <c r="I556" s="24" t="str">
        <f>IF(OR(E556="",E556="!!!",F556="NEW"),"",INDEX(B$2:B555,-1+SUMPRODUCT(MAX(ROW(E$2:E555)*(E556=E$2:E555)))))</f>
        <v/>
      </c>
      <c r="J556" s="24" t="str">
        <f ca="1">IF(OR(E556="",E556="!!!",F556="NEW"),"",COUNTBLANK(OFFSET(A$1,,,SUMPRODUCT(MAX(ROW(E$2:E556)*(E556=E$2:E556)))))-COUNTBLANK(OFFSET(A$1,,,SUMPRODUCT(MAX(ROW(E$1:E555)*(E2=E$1:E555))))))</f>
        <v/>
      </c>
      <c r="K556" s="24" t="str">
        <f>IF(OR(E556="",E556="!!!",F556="NEW"),"",INDEX(J$1:J555,SUMPRODUCT(MAX(ROW(E$1:E555)*(E556=E$1:E555)))))</f>
        <v/>
      </c>
      <c r="L556" s="25"/>
    </row>
    <row r="557" spans="1:12" x14ac:dyDescent="0.3">
      <c r="A557" t="s">
        <v>317</v>
      </c>
      <c r="E557" s="20" t="str">
        <f t="shared" si="58"/>
        <v/>
      </c>
      <c r="F557" s="21" t="str">
        <f>IF(OR(E557="",E557="!!!"),"",IF(NOT(ISNA(VLOOKUP(E557,E$1:E556,1,FALSE()))),"OLD",IF(AND(E557&lt;&gt;"",E557&lt;&gt;"!!!"),"NEW","")))</f>
        <v/>
      </c>
      <c r="G557" s="22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/>
      </c>
      <c r="H557" s="23" t="str">
        <f t="shared" ca="1" si="59"/>
        <v/>
      </c>
      <c r="I557" s="24" t="str">
        <f>IF(OR(E557="",E557="!!!",F557="NEW"),"",INDEX(B$2:B556,-1+SUMPRODUCT(MAX(ROW(E$2:E556)*(E557=E$2:E556)))))</f>
        <v/>
      </c>
      <c r="J557" s="24" t="str">
        <f ca="1">IF(OR(E557="",E557="!!!",F557="NEW"),"",COUNTBLANK(OFFSET(A$1,,,SUMPRODUCT(MAX(ROW(E$2:E557)*(E557=E$2:E557)))))-COUNTBLANK(OFFSET(A$1,,,SUMPRODUCT(MAX(ROW(E$1:E556)*(E2=E$1:E556))))))</f>
        <v/>
      </c>
      <c r="K557" s="24" t="str">
        <f>IF(OR(E557="",E557="!!!",F557="NEW"),"",INDEX(J$1:J556,SUMPRODUCT(MAX(ROW(E$1:E556)*(E557=E$1:E556)))))</f>
        <v/>
      </c>
      <c r="L557" s="25"/>
    </row>
    <row r="558" spans="1:12" x14ac:dyDescent="0.3">
      <c r="A558" t="s">
        <v>303</v>
      </c>
      <c r="E558" s="20" t="str">
        <f t="shared" si="58"/>
        <v/>
      </c>
      <c r="F558" s="21" t="str">
        <f>IF(OR(E558="",E558="!!!"),"",IF(NOT(ISNA(VLOOKUP(E558,E$1:E557,1,FALSE()))),"OLD",IF(AND(E558&lt;&gt;"",E558&lt;&gt;"!!!"),"NEW","")))</f>
        <v/>
      </c>
      <c r="G558" s="22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/>
      </c>
      <c r="H558" s="23" t="str">
        <f t="shared" ca="1" si="59"/>
        <v/>
      </c>
      <c r="I558" s="24" t="str">
        <f>IF(OR(E558="",E558="!!!",F558="NEW"),"",INDEX(B$2:B557,-1+SUMPRODUCT(MAX(ROW(E$2:E557)*(E558=E$2:E557)))))</f>
        <v/>
      </c>
      <c r="J558" s="24" t="str">
        <f ca="1">IF(OR(E558="",E558="!!!",F558="NEW"),"",COUNTBLANK(OFFSET(A$1,,,SUMPRODUCT(MAX(ROW(E$2:E558)*(E558=E$2:E558)))))-COUNTBLANK(OFFSET(A$1,,,SUMPRODUCT(MAX(ROW(E$1:E557)*(E2=E$1:E557))))))</f>
        <v/>
      </c>
      <c r="K558" s="24" t="str">
        <f>IF(OR(E558="",E558="!!!",F558="NEW"),"",INDEX(J$1:J557,SUMPRODUCT(MAX(ROW(E$1:E557)*(E558=E$1:E557)))))</f>
        <v/>
      </c>
      <c r="L558" s="25"/>
    </row>
    <row r="559" spans="1:12" x14ac:dyDescent="0.3">
      <c r="A559" t="s">
        <v>525</v>
      </c>
      <c r="B559" s="26" t="s">
        <v>265</v>
      </c>
      <c r="E559" s="20" t="str">
        <f t="shared" si="58"/>
        <v/>
      </c>
      <c r="F559" s="21" t="str">
        <f>IF(OR(E559="",E559="!!!"),"",IF(NOT(ISNA(VLOOKUP(E559,E$1:E558,1,FALSE()))),"OLD",IF(AND(E559&lt;&gt;"",E559&lt;&gt;"!!!"),"NEW","")))</f>
        <v/>
      </c>
      <c r="G559" s="22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/>
      </c>
      <c r="H559" s="23" t="str">
        <f t="shared" ca="1" si="59"/>
        <v/>
      </c>
      <c r="I559" s="24" t="str">
        <f>IF(OR(E559="",E559="!!!",F559="NEW"),"",INDEX(B$2:B558,-1+SUMPRODUCT(MAX(ROW(E$2:E558)*(E559=E$2:E558)))))</f>
        <v/>
      </c>
      <c r="J559" s="24" t="str">
        <f ca="1">IF(OR(E559="",E559="!!!",F559="NEW"),"",COUNTBLANK(OFFSET(A$1,,,SUMPRODUCT(MAX(ROW(E$2:E559)*(E559=E$2:E559)))))-COUNTBLANK(OFFSET(A$1,,,SUMPRODUCT(MAX(ROW(E$1:E558)*(E2=E$1:E558))))))</f>
        <v/>
      </c>
      <c r="K559" s="24" t="str">
        <f>IF(OR(E559="",E559="!!!",F559="NEW"),"",INDEX(J$1:J558,SUMPRODUCT(MAX(ROW(E$1:E558)*(E559=E$1:E558)))))</f>
        <v/>
      </c>
      <c r="L559" s="25"/>
    </row>
    <row r="560" spans="1:12" x14ac:dyDescent="0.3">
      <c r="A560" t="s">
        <v>252</v>
      </c>
      <c r="E560" s="20" t="str">
        <f t="shared" si="58"/>
        <v/>
      </c>
      <c r="F560" s="21" t="str">
        <f>IF(OR(E560="",E560="!!!"),"",IF(NOT(ISNA(VLOOKUP(E560,E$1:E559,1,FALSE()))),"OLD",IF(AND(E560&lt;&gt;"",E560&lt;&gt;"!!!"),"NEW","")))</f>
        <v/>
      </c>
      <c r="G560" s="22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/>
      </c>
      <c r="H560" s="23" t="str">
        <f t="shared" ca="1" si="59"/>
        <v/>
      </c>
      <c r="I560" s="24" t="str">
        <f>IF(OR(E560="",E560="!!!",F560="NEW"),"",INDEX(B$2:B559,-1+SUMPRODUCT(MAX(ROW(E$2:E559)*(E560=E$2:E559)))))</f>
        <v/>
      </c>
      <c r="J560" s="24" t="str">
        <f ca="1">IF(OR(E560="",E560="!!!",F560="NEW"),"",COUNTBLANK(OFFSET(A$1,,,SUMPRODUCT(MAX(ROW(E$2:E560)*(E560=E$2:E560)))))-COUNTBLANK(OFFSET(A$1,,,SUMPRODUCT(MAX(ROW(E$1:E559)*(E2=E$1:E559))))))</f>
        <v/>
      </c>
      <c r="K560" s="24" t="str">
        <f>IF(OR(E560="",E560="!!!",F560="NEW"),"",INDEX(J$1:J559,SUMPRODUCT(MAX(ROW(E$1:E559)*(E560=E$1:E559)))))</f>
        <v/>
      </c>
      <c r="L560" s="25"/>
    </row>
    <row r="561" spans="1:12" x14ac:dyDescent="0.3">
      <c r="A561" t="s">
        <v>303</v>
      </c>
      <c r="B561" s="26" t="s">
        <v>505</v>
      </c>
      <c r="E561" s="20" t="str">
        <f t="shared" si="58"/>
        <v/>
      </c>
      <c r="F561" s="21" t="str">
        <f>IF(OR(E561="",E561="!!!"),"",IF(NOT(ISNA(VLOOKUP(E561,E$1:E560,1,FALSE()))),"OLD",IF(AND(E561&lt;&gt;"",E561&lt;&gt;"!!!"),"NEW","")))</f>
        <v/>
      </c>
      <c r="G561" s="22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/>
      </c>
      <c r="H561" s="23" t="str">
        <f t="shared" ca="1" si="59"/>
        <v/>
      </c>
      <c r="I561" s="24" t="str">
        <f>IF(OR(E561="",E561="!!!",F561="NEW"),"",INDEX(B$2:B560,-1+SUMPRODUCT(MAX(ROW(E$2:E560)*(E561=E$2:E560)))))</f>
        <v/>
      </c>
      <c r="J561" s="24" t="str">
        <f ca="1">IF(OR(E561="",E561="!!!",F561="NEW"),"",COUNTBLANK(OFFSET(A$1,,,SUMPRODUCT(MAX(ROW(E$2:E561)*(E561=E$2:E561)))))-COUNTBLANK(OFFSET(A$1,,,SUMPRODUCT(MAX(ROW(E$1:E560)*(E2=E$1:E560))))))</f>
        <v/>
      </c>
      <c r="K561" s="24" t="str">
        <f>IF(OR(E561="",E561="!!!",F561="NEW"),"",INDEX(J$1:J560,SUMPRODUCT(MAX(ROW(E$1:E560)*(E561=E$1:E560)))))</f>
        <v/>
      </c>
      <c r="L561" s="25"/>
    </row>
    <row r="562" spans="1:12" x14ac:dyDescent="0.3">
      <c r="A562" t="s">
        <v>299</v>
      </c>
      <c r="B562" s="26" t="s">
        <v>469</v>
      </c>
      <c r="C562" s="26" t="s">
        <v>244</v>
      </c>
      <c r="D562" s="26" t="s">
        <v>240</v>
      </c>
      <c r="E562" s="20" t="str">
        <f t="shared" si="58"/>
        <v>!!!</v>
      </c>
      <c r="F562" s="21" t="str">
        <f>IF(OR(E562="",E562="!!!"),"",IF(NOT(ISNA(VLOOKUP(E562,E$1:E561,1,FALSE()))),"OLD",IF(AND(E562&lt;&gt;"",E562&lt;&gt;"!!!"),"NEW","")))</f>
        <v/>
      </c>
      <c r="G562" s="22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/>
      </c>
      <c r="H562" s="23" t="str">
        <f t="shared" ca="1" si="59"/>
        <v/>
      </c>
      <c r="I562" s="24" t="str">
        <f>IF(OR(E562="",E562="!!!",F562="NEW"),"",INDEX(B$2:B561,-1+SUMPRODUCT(MAX(ROW(E$2:E561)*(E562=E$2:E561)))))</f>
        <v/>
      </c>
      <c r="J562" s="24" t="str">
        <f ca="1">IF(OR(E562="",E562="!!!",F562="NEW"),"",COUNTBLANK(OFFSET(A$1,,,SUMPRODUCT(MAX(ROW(E$2:E562)*(E562=E$2:E562)))))-COUNTBLANK(OFFSET(A$1,,,SUMPRODUCT(MAX(ROW(E$1:E561)*(E2=E$1:E561))))))</f>
        <v/>
      </c>
      <c r="K562" s="24" t="str">
        <f>IF(OR(E562="",E562="!!!",F562="NEW"),"",INDEX(J$1:J561,SUMPRODUCT(MAX(ROW(E$1:E561)*(E562=E$1:E561)))))</f>
        <v/>
      </c>
      <c r="L562" s="25"/>
    </row>
    <row r="563" spans="1:12" x14ac:dyDescent="0.3">
      <c r="A563" t="s">
        <v>301</v>
      </c>
      <c r="E563" s="20" t="str">
        <f t="shared" si="58"/>
        <v/>
      </c>
      <c r="F563" s="21" t="str">
        <f>IF(OR(E563="",E563="!!!"),"",IF(NOT(ISNA(VLOOKUP(E563,E$1:E562,1,FALSE()))),"OLD",IF(AND(E563&lt;&gt;"",E563&lt;&gt;"!!!"),"NEW","")))</f>
        <v/>
      </c>
      <c r="G563" s="22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/>
      </c>
      <c r="H563" s="23" t="str">
        <f t="shared" ca="1" si="59"/>
        <v/>
      </c>
      <c r="I563" s="24" t="str">
        <f>IF(OR(E563="",E563="!!!",F563="NEW"),"",INDEX(B$2:B562,-1+SUMPRODUCT(MAX(ROW(E$2:E562)*(E563=E$2:E562)))))</f>
        <v/>
      </c>
      <c r="J563" s="24" t="str">
        <f ca="1">IF(OR(E563="",E563="!!!",F563="NEW"),"",COUNTBLANK(OFFSET(A$1,,,SUMPRODUCT(MAX(ROW(E$2:E563)*(E563=E$2:E563)))))-COUNTBLANK(OFFSET(A$1,,,SUMPRODUCT(MAX(ROW(E$1:E562)*(E2=E$1:E562))))))</f>
        <v/>
      </c>
      <c r="K563" s="24" t="str">
        <f>IF(OR(E563="",E563="!!!",F563="NEW"),"",INDEX(J$1:J562,SUMPRODUCT(MAX(ROW(E$1:E562)*(E563=E$1:E562)))))</f>
        <v/>
      </c>
      <c r="L563" s="25"/>
    </row>
    <row r="564" spans="1:12" x14ac:dyDescent="0.3">
      <c r="A564" t="s">
        <v>236</v>
      </c>
      <c r="E564" s="20" t="str">
        <f t="shared" si="58"/>
        <v/>
      </c>
      <c r="F564" s="21" t="str">
        <f>IF(OR(E564="",E564="!!!"),"",IF(NOT(ISNA(VLOOKUP(E564,E$1:E563,1,FALSE()))),"OLD",IF(AND(E564&lt;&gt;"",E564&lt;&gt;"!!!"),"NEW","")))</f>
        <v/>
      </c>
      <c r="G564" s="22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/>
      </c>
      <c r="H564" s="23" t="str">
        <f t="shared" ca="1" si="59"/>
        <v/>
      </c>
      <c r="I564" s="24" t="str">
        <f>IF(OR(E564="",E564="!!!",F564="NEW"),"",INDEX(B$2:B563,-1+SUMPRODUCT(MAX(ROW(E$2:E563)*(E564=E$2:E563)))))</f>
        <v/>
      </c>
      <c r="J564" s="24" t="str">
        <f ca="1">IF(OR(E564="",E564="!!!",F564="NEW"),"",COUNTBLANK(OFFSET(A$1,,,SUMPRODUCT(MAX(ROW(E$2:E564)*(E564=E$2:E564)))))-COUNTBLANK(OFFSET(A$1,,,SUMPRODUCT(MAX(ROW(E$1:E563)*(E2=E$1:E563))))))</f>
        <v/>
      </c>
      <c r="K564" s="24" t="str">
        <f>IF(OR(E564="",E564="!!!",F564="NEW"),"",INDEX(J$1:J563,SUMPRODUCT(MAX(ROW(E$1:E563)*(E564=E$1:E563)))))</f>
        <v/>
      </c>
      <c r="L564" s="25"/>
    </row>
    <row r="565" spans="1:12" x14ac:dyDescent="0.3">
      <c r="A565" t="s">
        <v>526</v>
      </c>
      <c r="B565" s="26" t="s">
        <v>276</v>
      </c>
      <c r="C565" s="26" t="s">
        <v>239</v>
      </c>
      <c r="D565" s="26" t="s">
        <v>240</v>
      </c>
      <c r="E565" s="20" t="str">
        <f t="shared" si="58"/>
        <v>!!!</v>
      </c>
      <c r="F565" s="21" t="str">
        <f>IF(OR(E565="",E565="!!!"),"",IF(NOT(ISNA(VLOOKUP(E565,E$1:E564,1,FALSE()))),"OLD",IF(AND(E565&lt;&gt;"",E565&lt;&gt;"!!!"),"NEW","")))</f>
        <v/>
      </c>
      <c r="G565" s="22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/>
      </c>
      <c r="H565" s="23" t="str">
        <f t="shared" ca="1" si="59"/>
        <v/>
      </c>
      <c r="I565" s="24" t="str">
        <f>IF(OR(E565="",E565="!!!",F565="NEW"),"",INDEX(B$2:B564,-1+SUMPRODUCT(MAX(ROW(E$2:E564)*(E565=E$2:E564)))))</f>
        <v/>
      </c>
      <c r="J565" s="24" t="str">
        <f ca="1">IF(OR(E565="",E565="!!!",F565="NEW"),"",COUNTBLANK(OFFSET(A$1,,,SUMPRODUCT(MAX(ROW(E$2:E565)*(E565=E$2:E565)))))-COUNTBLANK(OFFSET(A$1,,,SUMPRODUCT(MAX(ROW(E$1:E564)*(E2=E$1:E564))))))</f>
        <v/>
      </c>
      <c r="K565" s="24" t="str">
        <f>IF(OR(E565="",E565="!!!",F565="NEW"),"",INDEX(J$1:J564,SUMPRODUCT(MAX(ROW(E$1:E564)*(E565=E$1:E564)))))</f>
        <v/>
      </c>
      <c r="L565" s="25"/>
    </row>
    <row r="566" spans="1:12" x14ac:dyDescent="0.3">
      <c r="A566" t="s">
        <v>527</v>
      </c>
      <c r="E566" s="20" t="str">
        <f t="shared" si="58"/>
        <v/>
      </c>
      <c r="F566" s="21" t="str">
        <f>IF(OR(E566="",E566="!!!"),"",IF(NOT(ISNA(VLOOKUP(E566,E$1:E565,1,FALSE()))),"OLD",IF(AND(E566&lt;&gt;"",E566&lt;&gt;"!!!"),"NEW","")))</f>
        <v/>
      </c>
      <c r="G566" s="22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/>
      </c>
      <c r="H566" s="23" t="str">
        <f t="shared" ca="1" si="59"/>
        <v/>
      </c>
      <c r="I566" s="24" t="str">
        <f>IF(OR(E566="",E566="!!!",F566="NEW"),"",INDEX(B$2:B565,-1+SUMPRODUCT(MAX(ROW(E$2:E565)*(E566=E$2:E565)))))</f>
        <v/>
      </c>
      <c r="J566" s="24" t="str">
        <f ca="1">IF(OR(E566="",E566="!!!",F566="NEW"),"",COUNTBLANK(OFFSET(A$1,,,SUMPRODUCT(MAX(ROW(E$2:E566)*(E566=E$2:E566)))))-COUNTBLANK(OFFSET(A$1,,,SUMPRODUCT(MAX(ROW(E$1:E565)*(E2=E$1:E565))))))</f>
        <v/>
      </c>
      <c r="K566" s="24" t="str">
        <f>IF(OR(E566="",E566="!!!",F566="NEW"),"",INDEX(J$1:J565,SUMPRODUCT(MAX(ROW(E$1:E565)*(E566=E$1:E565)))))</f>
        <v/>
      </c>
      <c r="L566" s="25"/>
    </row>
    <row r="567" spans="1:12" x14ac:dyDescent="0.3">
      <c r="A567" t="s">
        <v>278</v>
      </c>
      <c r="E567" s="20" t="str">
        <f t="shared" si="58"/>
        <v/>
      </c>
      <c r="F567" s="21" t="str">
        <f>IF(OR(E567="",E567="!!!"),"",IF(NOT(ISNA(VLOOKUP(E567,E$1:E566,1,FALSE()))),"OLD",IF(AND(E567&lt;&gt;"",E567&lt;&gt;"!!!"),"NEW","")))</f>
        <v/>
      </c>
      <c r="G567" s="22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/>
      </c>
      <c r="H567" s="23" t="str">
        <f t="shared" ca="1" si="59"/>
        <v/>
      </c>
      <c r="I567" s="24" t="str">
        <f>IF(OR(E567="",E567="!!!",F567="NEW"),"",INDEX(B$2:B566,-1+SUMPRODUCT(MAX(ROW(E$2:E566)*(E567=E$2:E566)))))</f>
        <v/>
      </c>
      <c r="J567" s="24" t="str">
        <f ca="1">IF(OR(E567="",E567="!!!",F567="NEW"),"",COUNTBLANK(OFFSET(A$1,,,SUMPRODUCT(MAX(ROW(E$2:E567)*(E567=E$2:E567)))))-COUNTBLANK(OFFSET(A$1,,,SUMPRODUCT(MAX(ROW(E$1:E566)*(E2=E$1:E566))))))</f>
        <v/>
      </c>
      <c r="K567" s="24" t="str">
        <f>IF(OR(E567="",E567="!!!",F567="NEW"),"",INDEX(J$1:J566,SUMPRODUCT(MAX(ROW(E$1:E566)*(E567=E$1:E566)))))</f>
        <v/>
      </c>
      <c r="L567" s="25"/>
    </row>
    <row r="568" spans="1:12" x14ac:dyDescent="0.3">
      <c r="A568" t="s">
        <v>303</v>
      </c>
      <c r="E568" s="20" t="str">
        <f t="shared" si="58"/>
        <v/>
      </c>
      <c r="F568" s="21" t="str">
        <f>IF(OR(E568="",E568="!!!"),"",IF(NOT(ISNA(VLOOKUP(E568,E$1:E567,1,FALSE()))),"OLD",IF(AND(E568&lt;&gt;"",E568&lt;&gt;"!!!"),"NEW","")))</f>
        <v/>
      </c>
      <c r="G568" s="22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/>
      </c>
      <c r="H568" s="23" t="str">
        <f t="shared" ca="1" si="59"/>
        <v/>
      </c>
      <c r="I568" s="24" t="str">
        <f>IF(OR(E568="",E568="!!!",F568="NEW"),"",INDEX(B$2:B567,-1+SUMPRODUCT(MAX(ROW(E$2:E567)*(E568=E$2:E567)))))</f>
        <v/>
      </c>
      <c r="J568" s="24" t="str">
        <f ca="1">IF(OR(E568="",E568="!!!",F568="NEW"),"",COUNTBLANK(OFFSET(A$1,,,SUMPRODUCT(MAX(ROW(E$2:E568)*(E568=E$2:E568)))))-COUNTBLANK(OFFSET(A$1,,,SUMPRODUCT(MAX(ROW(E$1:E567)*(E2=E$1:E567))))))</f>
        <v/>
      </c>
      <c r="K568" s="24" t="str">
        <f>IF(OR(E568="",E568="!!!",F568="NEW"),"",INDEX(J$1:J567,SUMPRODUCT(MAX(ROW(E$1:E567)*(E568=E$1:E567)))))</f>
        <v/>
      </c>
      <c r="L568" s="25"/>
    </row>
    <row r="569" spans="1:12" x14ac:dyDescent="0.3">
      <c r="A569" t="s">
        <v>452</v>
      </c>
      <c r="B569" s="26" t="s">
        <v>528</v>
      </c>
      <c r="C569" s="26" t="s">
        <v>256</v>
      </c>
      <c r="D569" s="26" t="s">
        <v>240</v>
      </c>
      <c r="E569" s="20" t="str">
        <f t="shared" si="58"/>
        <v>!!!</v>
      </c>
      <c r="F569" s="21" t="str">
        <f>IF(OR(E569="",E569="!!!"),"",IF(NOT(ISNA(VLOOKUP(E569,E$1:E568,1,FALSE()))),"OLD",IF(AND(E569&lt;&gt;"",E569&lt;&gt;"!!!"),"NEW","")))</f>
        <v/>
      </c>
      <c r="G569" s="22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/>
      </c>
      <c r="H569" s="23" t="str">
        <f t="shared" ca="1" si="59"/>
        <v/>
      </c>
      <c r="I569" s="24" t="str">
        <f>IF(OR(E569="",E569="!!!",F569="NEW"),"",INDEX(B$2:B568,-1+SUMPRODUCT(MAX(ROW(E$2:E568)*(E569=E$2:E568)))))</f>
        <v/>
      </c>
      <c r="J569" s="24" t="str">
        <f ca="1">IF(OR(E569="",E569="!!!",F569="NEW"),"",COUNTBLANK(OFFSET(A$1,,,SUMPRODUCT(MAX(ROW(E$2:E569)*(E569=E$2:E569)))))-COUNTBLANK(OFFSET(A$1,,,SUMPRODUCT(MAX(ROW(E$1:E568)*(E2=E$1:E568))))))</f>
        <v/>
      </c>
      <c r="K569" s="24" t="str">
        <f>IF(OR(E569="",E569="!!!",F569="NEW"),"",INDEX(J$1:J568,SUMPRODUCT(MAX(ROW(E$1:E568)*(E569=E$1:E568)))))</f>
        <v/>
      </c>
      <c r="L569" s="25"/>
    </row>
    <row r="570" spans="1:12" x14ac:dyDescent="0.3">
      <c r="A570" t="s">
        <v>301</v>
      </c>
      <c r="E570" s="20" t="str">
        <f t="shared" si="58"/>
        <v/>
      </c>
      <c r="F570" s="21" t="str">
        <f>IF(OR(E570="",E570="!!!"),"",IF(NOT(ISNA(VLOOKUP(E570,E$1:E569,1,FALSE()))),"OLD",IF(AND(E570&lt;&gt;"",E570&lt;&gt;"!!!"),"NEW","")))</f>
        <v/>
      </c>
      <c r="G570" s="22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/>
      </c>
      <c r="H570" s="23" t="str">
        <f t="shared" ca="1" si="59"/>
        <v/>
      </c>
      <c r="I570" s="24" t="str">
        <f>IF(OR(E570="",E570="!!!",F570="NEW"),"",INDEX(B$2:B569,-1+SUMPRODUCT(MAX(ROW(E$2:E569)*(E570=E$2:E569)))))</f>
        <v/>
      </c>
      <c r="J570" s="24" t="str">
        <f ca="1">IF(OR(E570="",E570="!!!",F570="NEW"),"",COUNTBLANK(OFFSET(A$1,,,SUMPRODUCT(MAX(ROW(E$2:E570)*(E570=E$2:E570)))))-COUNTBLANK(OFFSET(A$1,,,SUMPRODUCT(MAX(ROW(E$1:E569)*(E2=E$1:E569))))))</f>
        <v/>
      </c>
      <c r="K570" s="24" t="str">
        <f>IF(OR(E570="",E570="!!!",F570="NEW"),"",INDEX(J$1:J569,SUMPRODUCT(MAX(ROW(E$1:E569)*(E570=E$1:E569)))))</f>
        <v/>
      </c>
      <c r="L570" s="25"/>
    </row>
    <row r="571" spans="1:12" x14ac:dyDescent="0.3">
      <c r="A571" t="s">
        <v>236</v>
      </c>
      <c r="E571" s="20" t="str">
        <f t="shared" si="58"/>
        <v/>
      </c>
      <c r="F571" s="21" t="str">
        <f>IF(OR(E571="",E571="!!!"),"",IF(NOT(ISNA(VLOOKUP(E571,E$1:E570,1,FALSE()))),"OLD",IF(AND(E571&lt;&gt;"",E571&lt;&gt;"!!!"),"NEW","")))</f>
        <v/>
      </c>
      <c r="G571" s="22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/>
      </c>
      <c r="H571" s="23" t="str">
        <f t="shared" ca="1" si="59"/>
        <v/>
      </c>
      <c r="I571" s="24" t="str">
        <f>IF(OR(E571="",E571="!!!",F571="NEW"),"",INDEX(B$2:B570,-1+SUMPRODUCT(MAX(ROW(E$2:E570)*(E571=E$2:E570)))))</f>
        <v/>
      </c>
      <c r="J571" s="24" t="str">
        <f ca="1">IF(OR(E571="",E571="!!!",F571="NEW"),"",COUNTBLANK(OFFSET(A$1,,,SUMPRODUCT(MAX(ROW(E$2:E571)*(E571=E$2:E571)))))-COUNTBLANK(OFFSET(A$1,,,SUMPRODUCT(MAX(ROW(E$1:E570)*(E2=E$1:E570))))))</f>
        <v/>
      </c>
      <c r="K571" s="24" t="str">
        <f>IF(OR(E571="",E571="!!!",F571="NEW"),"",INDEX(J$1:J570,SUMPRODUCT(MAX(ROW(E$1:E570)*(E571=E$1:E570)))))</f>
        <v/>
      </c>
      <c r="L571" s="25"/>
    </row>
    <row r="572" spans="1:12" x14ac:dyDescent="0.3">
      <c r="A572" t="s">
        <v>529</v>
      </c>
      <c r="E572" s="20" t="str">
        <f t="shared" si="58"/>
        <v/>
      </c>
      <c r="F572" s="21" t="str">
        <f>IF(OR(E572="",E572="!!!"),"",IF(NOT(ISNA(VLOOKUP(E572,E$1:E571,1,FALSE()))),"OLD",IF(AND(E572&lt;&gt;"",E572&lt;&gt;"!!!"),"NEW","")))</f>
        <v/>
      </c>
      <c r="G572" s="22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/>
      </c>
      <c r="H572" s="23" t="str">
        <f t="shared" ca="1" si="59"/>
        <v/>
      </c>
      <c r="I572" s="24" t="str">
        <f>IF(OR(E572="",E572="!!!",F572="NEW"),"",INDEX(B$2:B571,-1+SUMPRODUCT(MAX(ROW(E$2:E571)*(E572=E$2:E571)))))</f>
        <v/>
      </c>
      <c r="J572" s="24" t="str">
        <f ca="1">IF(OR(E572="",E572="!!!",F572="NEW"),"",COUNTBLANK(OFFSET(A$1,,,SUMPRODUCT(MAX(ROW(E$2:E572)*(E572=E$2:E572)))))-COUNTBLANK(OFFSET(A$1,,,SUMPRODUCT(MAX(ROW(E$1:E571)*(E2=E$1:E571))))))</f>
        <v/>
      </c>
      <c r="K572" s="24" t="str">
        <f>IF(OR(E572="",E572="!!!",F572="NEW"),"",INDEX(J$1:J571,SUMPRODUCT(MAX(ROW(E$1:E571)*(E572=E$1:E571)))))</f>
        <v/>
      </c>
      <c r="L572" s="25"/>
    </row>
    <row r="573" spans="1:12" x14ac:dyDescent="0.3">
      <c r="A573" t="s">
        <v>530</v>
      </c>
      <c r="E573" s="20" t="str">
        <f t="shared" si="58"/>
        <v/>
      </c>
      <c r="F573" s="21" t="str">
        <f>IF(OR(E573="",E573="!!!"),"",IF(NOT(ISNA(VLOOKUP(E573,E$1:E572,1,FALSE()))),"OLD",IF(AND(E573&lt;&gt;"",E573&lt;&gt;"!!!"),"NEW","")))</f>
        <v/>
      </c>
      <c r="G573" s="22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/>
      </c>
      <c r="H573" s="23" t="str">
        <f t="shared" ca="1" si="59"/>
        <v/>
      </c>
      <c r="I573" s="24" t="str">
        <f>IF(OR(E573="",E573="!!!",F573="NEW"),"",INDEX(B$2:B572,-1+SUMPRODUCT(MAX(ROW(E$2:E572)*(E573=E$2:E572)))))</f>
        <v/>
      </c>
      <c r="J573" s="24" t="str">
        <f ca="1">IF(OR(E573="",E573="!!!",F573="NEW"),"",COUNTBLANK(OFFSET(A$1,,,SUMPRODUCT(MAX(ROW(E$2:E573)*(E573=E$2:E573)))))-COUNTBLANK(OFFSET(A$1,,,SUMPRODUCT(MAX(ROW(E$1:E572)*(E2=E$1:E572))))))</f>
        <v/>
      </c>
      <c r="K573" s="24" t="str">
        <f>IF(OR(E573="",E573="!!!",F573="NEW"),"",INDEX(J$1:J572,SUMPRODUCT(MAX(ROW(E$1:E572)*(E573=E$1:E572)))))</f>
        <v/>
      </c>
      <c r="L573" s="25"/>
    </row>
    <row r="574" spans="1:12" x14ac:dyDescent="0.3">
      <c r="A574" t="s">
        <v>363</v>
      </c>
      <c r="E574" s="20" t="str">
        <f t="shared" si="58"/>
        <v/>
      </c>
      <c r="F574" s="21" t="str">
        <f>IF(OR(E574="",E574="!!!"),"",IF(NOT(ISNA(VLOOKUP(E574,E$1:E573,1,FALSE()))),"OLD",IF(AND(E574&lt;&gt;"",E574&lt;&gt;"!!!"),"NEW","")))</f>
        <v/>
      </c>
      <c r="G574" s="22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/>
      </c>
      <c r="H574" s="23" t="str">
        <f t="shared" ca="1" si="59"/>
        <v/>
      </c>
      <c r="I574" s="24" t="str">
        <f>IF(OR(E574="",E574="!!!",F574="NEW"),"",INDEX(B$2:B573,-1+SUMPRODUCT(MAX(ROW(E$2:E573)*(E574=E$2:E573)))))</f>
        <v/>
      </c>
      <c r="J574" s="24" t="str">
        <f ca="1">IF(OR(E574="",E574="!!!",F574="NEW"),"",COUNTBLANK(OFFSET(A$1,,,SUMPRODUCT(MAX(ROW(E$2:E574)*(E574=E$2:E574)))))-COUNTBLANK(OFFSET(A$1,,,SUMPRODUCT(MAX(ROW(E$1:E573)*(E2=E$1:E573))))))</f>
        <v/>
      </c>
      <c r="K574" s="24" t="str">
        <f>IF(OR(E574="",E574="!!!",F574="NEW"),"",INDEX(J$1:J573,SUMPRODUCT(MAX(ROW(E$1:E573)*(E574=E$1:E573)))))</f>
        <v/>
      </c>
      <c r="L574" s="25"/>
    </row>
    <row r="575" spans="1:12" x14ac:dyDescent="0.3">
      <c r="A575" t="s">
        <v>478</v>
      </c>
      <c r="E575" s="20" t="str">
        <f t="shared" si="58"/>
        <v/>
      </c>
      <c r="F575" s="21" t="str">
        <f>IF(OR(E575="",E575="!!!"),"",IF(NOT(ISNA(VLOOKUP(E575,E$1:E574,1,FALSE()))),"OLD",IF(AND(E575&lt;&gt;"",E575&lt;&gt;"!!!"),"NEW","")))</f>
        <v/>
      </c>
      <c r="G575" s="22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/>
      </c>
      <c r="H575" s="23" t="str">
        <f t="shared" ca="1" si="59"/>
        <v/>
      </c>
      <c r="I575" s="24" t="str">
        <f>IF(OR(E575="",E575="!!!",F575="NEW"),"",INDEX(B$2:B574,-1+SUMPRODUCT(MAX(ROW(E$2:E574)*(E575=E$2:E574)))))</f>
        <v/>
      </c>
      <c r="J575" s="24" t="str">
        <f ca="1">IF(OR(E575="",E575="!!!",F575="NEW"),"",COUNTBLANK(OFFSET(A$1,,,SUMPRODUCT(MAX(ROW(E$2:E575)*(E575=E$2:E575)))))-COUNTBLANK(OFFSET(A$1,,,SUMPRODUCT(MAX(ROW(E$1:E574)*(E2=E$1:E574))))))</f>
        <v/>
      </c>
      <c r="K575" s="24" t="str">
        <f>IF(OR(E575="",E575="!!!",F575="NEW"),"",INDEX(J$1:J574,SUMPRODUCT(MAX(ROW(E$1:E574)*(E575=E$1:E574)))))</f>
        <v/>
      </c>
      <c r="L575" s="25"/>
    </row>
    <row r="576" spans="1:12" x14ac:dyDescent="0.3">
      <c r="A576" t="s">
        <v>531</v>
      </c>
      <c r="B576" s="26" t="s">
        <v>532</v>
      </c>
      <c r="C576" s="26" t="s">
        <v>239</v>
      </c>
      <c r="D576" s="26" t="s">
        <v>240</v>
      </c>
      <c r="E576" s="20" t="str">
        <f t="shared" si="58"/>
        <v>!!!</v>
      </c>
      <c r="F576" s="21" t="str">
        <f>IF(OR(E576="",E576="!!!"),"",IF(NOT(ISNA(VLOOKUP(E576,E$1:E575,1,FALSE()))),"OLD",IF(AND(E576&lt;&gt;"",E576&lt;&gt;"!!!"),"NEW","")))</f>
        <v/>
      </c>
      <c r="G576" s="22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/>
      </c>
      <c r="H576" s="23" t="str">
        <f t="shared" ca="1" si="59"/>
        <v/>
      </c>
      <c r="I576" s="24" t="str">
        <f>IF(OR(E576="",E576="!!!",F576="NEW"),"",INDEX(B$2:B575,-1+SUMPRODUCT(MAX(ROW(E$2:E575)*(E576=E$2:E575)))))</f>
        <v/>
      </c>
      <c r="J576" s="24" t="str">
        <f ca="1">IF(OR(E576="",E576="!!!",F576="NEW"),"",COUNTBLANK(OFFSET(A$1,,,SUMPRODUCT(MAX(ROW(E$2:E576)*(E576=E$2:E576)))))-COUNTBLANK(OFFSET(A$1,,,SUMPRODUCT(MAX(ROW(E$1:E575)*(E2=E$1:E575))))))</f>
        <v/>
      </c>
      <c r="K576" s="24" t="str">
        <f>IF(OR(E576="",E576="!!!",F576="NEW"),"",INDEX(J$1:J575,SUMPRODUCT(MAX(ROW(E$1:E575)*(E576=E$1:E575)))))</f>
        <v/>
      </c>
      <c r="L576" s="25"/>
    </row>
    <row r="577" spans="1:12" x14ac:dyDescent="0.3">
      <c r="A577" t="s">
        <v>372</v>
      </c>
      <c r="E577" s="20" t="str">
        <f t="shared" si="58"/>
        <v/>
      </c>
      <c r="F577" s="21" t="str">
        <f>IF(OR(E577="",E577="!!!"),"",IF(NOT(ISNA(VLOOKUP(E577,E$1:E576,1,FALSE()))),"OLD",IF(AND(E577&lt;&gt;"",E577&lt;&gt;"!!!"),"NEW","")))</f>
        <v/>
      </c>
      <c r="G577" s="22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/>
      </c>
      <c r="H577" s="23" t="str">
        <f t="shared" ca="1" si="59"/>
        <v/>
      </c>
      <c r="I577" s="24" t="str">
        <f>IF(OR(E577="",E577="!!!",F577="NEW"),"",INDEX(B$2:B576,-1+SUMPRODUCT(MAX(ROW(E$2:E576)*(E577=E$2:E576)))))</f>
        <v/>
      </c>
      <c r="J577" s="24" t="str">
        <f ca="1">IF(OR(E577="",E577="!!!",F577="NEW"),"",COUNTBLANK(OFFSET(A$1,,,SUMPRODUCT(MAX(ROW(E$2:E577)*(E577=E$2:E577)))))-COUNTBLANK(OFFSET(A$1,,,SUMPRODUCT(MAX(ROW(E$1:E576)*(E2=E$1:E576))))))</f>
        <v/>
      </c>
      <c r="K577" s="24" t="str">
        <f>IF(OR(E577="",E577="!!!",F577="NEW"),"",INDEX(J$1:J576,SUMPRODUCT(MAX(ROW(E$1:E576)*(E577=E$1:E576)))))</f>
        <v/>
      </c>
      <c r="L577" s="25"/>
    </row>
    <row r="578" spans="1:12" x14ac:dyDescent="0.3">
      <c r="A578" t="s">
        <v>270</v>
      </c>
      <c r="B578" s="26" t="s">
        <v>528</v>
      </c>
      <c r="C578" s="26" t="s">
        <v>262</v>
      </c>
      <c r="E578" s="20" t="str">
        <f t="shared" si="58"/>
        <v/>
      </c>
      <c r="F578" s="21" t="str">
        <f>IF(OR(E578="",E578="!!!"),"",IF(NOT(ISNA(VLOOKUP(E578,E$1:E577,1,FALSE()))),"OLD",IF(AND(E578&lt;&gt;"",E578&lt;&gt;"!!!"),"NEW","")))</f>
        <v/>
      </c>
      <c r="G578" s="22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/>
      </c>
      <c r="H578" s="23" t="str">
        <f t="shared" ca="1" si="59"/>
        <v/>
      </c>
      <c r="I578" s="24" t="str">
        <f>IF(OR(E578="",E578="!!!",F578="NEW"),"",INDEX(B$2:B577,-1+SUMPRODUCT(MAX(ROW(E$2:E577)*(E578=E$2:E577)))))</f>
        <v/>
      </c>
      <c r="J578" s="24" t="str">
        <f ca="1">IF(OR(E578="",E578="!!!",F578="NEW"),"",COUNTBLANK(OFFSET(A$1,,,SUMPRODUCT(MAX(ROW(E$2:E578)*(E578=E$2:E578)))))-COUNTBLANK(OFFSET(A$1,,,SUMPRODUCT(MAX(ROW(E$1:E577)*(E2=E$1:E577))))))</f>
        <v/>
      </c>
      <c r="K578" s="24" t="str">
        <f>IF(OR(E578="",E578="!!!",F578="NEW"),"",INDEX(J$1:J577,SUMPRODUCT(MAX(ROW(E$1:E577)*(E578=E$1:E577)))))</f>
        <v/>
      </c>
      <c r="L578" s="25"/>
    </row>
    <row r="579" spans="1:12" x14ac:dyDescent="0.3">
      <c r="A579" t="s">
        <v>533</v>
      </c>
      <c r="E579" s="20" t="str">
        <f t="shared" si="58"/>
        <v/>
      </c>
      <c r="F579" s="21" t="str">
        <f>IF(OR(E579="",E579="!!!"),"",IF(NOT(ISNA(VLOOKUP(E579,E$1:E578,1,FALSE()))),"OLD",IF(AND(E579&lt;&gt;"",E579&lt;&gt;"!!!"),"NEW","")))</f>
        <v/>
      </c>
      <c r="G579" s="22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/>
      </c>
      <c r="H579" s="23" t="str">
        <f t="shared" ca="1" si="59"/>
        <v/>
      </c>
      <c r="I579" s="24" t="str">
        <f>IF(OR(E579="",E579="!!!",F579="NEW"),"",INDEX(B$2:B578,-1+SUMPRODUCT(MAX(ROW(E$2:E578)*(E579=E$2:E578)))))</f>
        <v/>
      </c>
      <c r="J579" s="24" t="str">
        <f ca="1">IF(OR(E579="",E579="!!!",F579="NEW"),"",COUNTBLANK(OFFSET(A$1,,,SUMPRODUCT(MAX(ROW(E$2:E579)*(E579=E$2:E579)))))-COUNTBLANK(OFFSET(A$1,,,SUMPRODUCT(MAX(ROW(E$1:E578)*(E2=E$1:E578))))))</f>
        <v/>
      </c>
      <c r="K579" s="24" t="str">
        <f>IF(OR(E579="",E579="!!!",F579="NEW"),"",INDEX(J$1:J578,SUMPRODUCT(MAX(ROW(E$1:E578)*(E579=E$1:E578)))))</f>
        <v/>
      </c>
      <c r="L579" s="25"/>
    </row>
    <row r="580" spans="1:12" x14ac:dyDescent="0.3">
      <c r="A580" t="s">
        <v>248</v>
      </c>
      <c r="E580" s="20" t="str">
        <f t="shared" si="58"/>
        <v/>
      </c>
      <c r="F580" s="21" t="str">
        <f>IF(OR(E580="",E580="!!!"),"",IF(NOT(ISNA(VLOOKUP(E580,E$1:E579,1,FALSE()))),"OLD",IF(AND(E580&lt;&gt;"",E580&lt;&gt;"!!!"),"NEW","")))</f>
        <v/>
      </c>
      <c r="G580" s="22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/>
      </c>
      <c r="H580" s="23" t="str">
        <f t="shared" ca="1" si="59"/>
        <v/>
      </c>
      <c r="I580" s="24" t="str">
        <f>IF(OR(E580="",E580="!!!",F580="NEW"),"",INDEX(B$2:B579,-1+SUMPRODUCT(MAX(ROW(E$2:E579)*(E580=E$2:E579)))))</f>
        <v/>
      </c>
      <c r="J580" s="24" t="str">
        <f ca="1">IF(OR(E580="",E580="!!!",F580="NEW"),"",COUNTBLANK(OFFSET(A$1,,,SUMPRODUCT(MAX(ROW(E$2:E580)*(E580=E$2:E580)))))-COUNTBLANK(OFFSET(A$1,,,SUMPRODUCT(MAX(ROW(E$1:E579)*(E2=E$1:E579))))))</f>
        <v/>
      </c>
      <c r="K580" s="24" t="str">
        <f>IF(OR(E580="",E580="!!!",F580="NEW"),"",INDEX(J$1:J579,SUMPRODUCT(MAX(ROW(E$1:E579)*(E580=E$1:E579)))))</f>
        <v/>
      </c>
      <c r="L580" s="25"/>
    </row>
    <row r="582" spans="1:12" x14ac:dyDescent="0.3">
      <c r="A582" t="s">
        <v>534</v>
      </c>
    </row>
    <row r="583" spans="1:12" x14ac:dyDescent="0.3">
      <c r="A583" t="s">
        <v>535</v>
      </c>
      <c r="E583" s="20" t="str">
        <f t="shared" ref="E583:E596" si="60">IF(D583="?OLD","!!!","")</f>
        <v/>
      </c>
      <c r="F583" s="21" t="str">
        <f>IF(OR(E583="",E583="!!!"),"",IF(NOT(ISNA(VLOOKUP(E583,E$1:E582,1,FALSE()))),"OLD",IF(AND(E583&lt;&gt;"",E583&lt;&gt;"!!!"),"NEW","")))</f>
        <v/>
      </c>
      <c r="G583" s="22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/>
      </c>
      <c r="H583" s="23" t="str">
        <f t="shared" ref="H583:H596" ca="1" si="61">IF(J583&lt;&gt;1,"",IF(I583="SBJ","CB","?"))</f>
        <v/>
      </c>
      <c r="I583" s="24" t="str">
        <f>IF(OR(E583="",E583="!!!",F583="NEW"),"",INDEX(B$2:B582,-1+SUMPRODUCT(MAX(ROW(E$2:E582)*(E583=E$2:E582)))))</f>
        <v/>
      </c>
      <c r="J583" s="24" t="str">
        <f ca="1">IF(OR(E583="",E583="!!!",F583="NEW"),"",COUNTBLANK(OFFSET(A$1,,,SUMPRODUCT(MAX(ROW(E$2:E583)*(E583=E$2:E583)))))-COUNTBLANK(OFFSET(A$1,,,SUMPRODUCT(MAX(ROW(E$1:E582)*(E2=E$1:E582))))))</f>
        <v/>
      </c>
      <c r="K583" s="24" t="str">
        <f>IF(OR(E583="",E583="!!!",F583="NEW"),"",INDEX(J$1:J582,SUMPRODUCT(MAX(ROW(E$1:E582)*(E583=E$1:E582)))))</f>
        <v/>
      </c>
      <c r="L583" s="25"/>
    </row>
    <row r="584" spans="1:12" x14ac:dyDescent="0.3">
      <c r="A584" t="s">
        <v>355</v>
      </c>
      <c r="E584" s="20" t="str">
        <f t="shared" si="60"/>
        <v/>
      </c>
      <c r="F584" s="21" t="str">
        <f>IF(OR(E584="",E584="!!!"),"",IF(NOT(ISNA(VLOOKUP(E584,E$1:E583,1,FALSE()))),"OLD",IF(AND(E584&lt;&gt;"",E584&lt;&gt;"!!!"),"NEW","")))</f>
        <v/>
      </c>
      <c r="G584" s="22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/>
      </c>
      <c r="H584" s="23" t="str">
        <f t="shared" ca="1" si="61"/>
        <v/>
      </c>
      <c r="I584" s="24" t="str">
        <f>IF(OR(E584="",E584="!!!",F584="NEW"),"",INDEX(B$2:B583,-1+SUMPRODUCT(MAX(ROW(E$2:E583)*(E584=E$2:E583)))))</f>
        <v/>
      </c>
      <c r="J584" s="24" t="str">
        <f ca="1">IF(OR(E584="",E584="!!!",F584="NEW"),"",COUNTBLANK(OFFSET(A$1,,,SUMPRODUCT(MAX(ROW(E$2:E584)*(E584=E$2:E584)))))-COUNTBLANK(OFFSET(A$1,,,SUMPRODUCT(MAX(ROW(E$1:E583)*(E2=E$1:E583))))))</f>
        <v/>
      </c>
      <c r="K584" s="24" t="str">
        <f>IF(OR(E584="",E584="!!!",F584="NEW"),"",INDEX(J$1:J583,SUMPRODUCT(MAX(ROW(E$1:E583)*(E584=E$1:E583)))))</f>
        <v/>
      </c>
      <c r="L584" s="25"/>
    </row>
    <row r="585" spans="1:12" x14ac:dyDescent="0.3">
      <c r="A585" t="s">
        <v>303</v>
      </c>
      <c r="E585" s="20" t="str">
        <f t="shared" si="60"/>
        <v/>
      </c>
      <c r="F585" s="21" t="str">
        <f>IF(OR(E585="",E585="!!!"),"",IF(NOT(ISNA(VLOOKUP(E585,E$1:E584,1,FALSE()))),"OLD",IF(AND(E585&lt;&gt;"",E585&lt;&gt;"!!!"),"NEW","")))</f>
        <v/>
      </c>
      <c r="G585" s="22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/>
      </c>
      <c r="H585" s="23" t="str">
        <f t="shared" ca="1" si="61"/>
        <v/>
      </c>
      <c r="I585" s="24" t="str">
        <f>IF(OR(E585="",E585="!!!",F585="NEW"),"",INDEX(B$2:B584,-1+SUMPRODUCT(MAX(ROW(E$2:E584)*(E585=E$2:E584)))))</f>
        <v/>
      </c>
      <c r="J585" s="24" t="str">
        <f ca="1">IF(OR(E585="",E585="!!!",F585="NEW"),"",COUNTBLANK(OFFSET(A$1,,,SUMPRODUCT(MAX(ROW(E$2:E585)*(E585=E$2:E585)))))-COUNTBLANK(OFFSET(A$1,,,SUMPRODUCT(MAX(ROW(E$1:E584)*(E2=E$1:E584))))))</f>
        <v/>
      </c>
      <c r="K585" s="24" t="str">
        <f>IF(OR(E585="",E585="!!!",F585="NEW"),"",INDEX(J$1:J584,SUMPRODUCT(MAX(ROW(E$1:E584)*(E585=E$1:E584)))))</f>
        <v/>
      </c>
      <c r="L585" s="25"/>
    </row>
    <row r="586" spans="1:12" x14ac:dyDescent="0.3">
      <c r="A586" t="s">
        <v>536</v>
      </c>
      <c r="B586" s="26" t="s">
        <v>243</v>
      </c>
      <c r="C586" s="26" t="s">
        <v>239</v>
      </c>
      <c r="D586" s="26" t="s">
        <v>240</v>
      </c>
      <c r="E586" s="20" t="str">
        <f t="shared" si="60"/>
        <v>!!!</v>
      </c>
      <c r="F586" s="21" t="str">
        <f>IF(OR(E586="",E586="!!!"),"",IF(NOT(ISNA(VLOOKUP(E586,E$1:E585,1,FALSE()))),"OLD",IF(AND(E586&lt;&gt;"",E586&lt;&gt;"!!!"),"NEW","")))</f>
        <v/>
      </c>
      <c r="G586" s="22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/>
      </c>
      <c r="H586" s="23" t="str">
        <f t="shared" ca="1" si="61"/>
        <v/>
      </c>
      <c r="I586" s="24" t="str">
        <f>IF(OR(E586="",E586="!!!",F586="NEW"),"",INDEX(B$2:B585,-1+SUMPRODUCT(MAX(ROW(E$2:E585)*(E586=E$2:E585)))))</f>
        <v/>
      </c>
      <c r="J586" s="24" t="str">
        <f ca="1">IF(OR(E586="",E586="!!!",F586="NEW"),"",COUNTBLANK(OFFSET(A$1,,,SUMPRODUCT(MAX(ROW(E$2:E586)*(E586=E$2:E586)))))-COUNTBLANK(OFFSET(A$1,,,SUMPRODUCT(MAX(ROW(E$1:E585)*(E2=E$1:E585))))))</f>
        <v/>
      </c>
      <c r="K586" s="24" t="str">
        <f>IF(OR(E586="",E586="!!!",F586="NEW"),"",INDEX(J$1:J585,SUMPRODUCT(MAX(ROW(E$1:E585)*(E586=E$1:E585)))))</f>
        <v/>
      </c>
      <c r="L586" s="25"/>
    </row>
    <row r="587" spans="1:12" x14ac:dyDescent="0.3">
      <c r="A587" t="s">
        <v>537</v>
      </c>
      <c r="E587" s="20" t="str">
        <f t="shared" si="60"/>
        <v/>
      </c>
      <c r="F587" s="21" t="str">
        <f>IF(OR(E587="",E587="!!!"),"",IF(NOT(ISNA(VLOOKUP(E587,E$1:E586,1,FALSE()))),"OLD",IF(AND(E587&lt;&gt;"",E587&lt;&gt;"!!!"),"NEW","")))</f>
        <v/>
      </c>
      <c r="G587" s="22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/>
      </c>
      <c r="H587" s="23" t="str">
        <f t="shared" ca="1" si="61"/>
        <v/>
      </c>
      <c r="I587" s="24" t="str">
        <f>IF(OR(E587="",E587="!!!",F587="NEW"),"",INDEX(B$2:B586,-1+SUMPRODUCT(MAX(ROW(E$2:E586)*(E587=E$2:E586)))))</f>
        <v/>
      </c>
      <c r="J587" s="24" t="str">
        <f ca="1">IF(OR(E587="",E587="!!!",F587="NEW"),"",COUNTBLANK(OFFSET(A$1,,,SUMPRODUCT(MAX(ROW(E$2:E587)*(E587=E$2:E587)))))-COUNTBLANK(OFFSET(A$1,,,SUMPRODUCT(MAX(ROW(E$1:E586)*(E2=E$1:E586))))))</f>
        <v/>
      </c>
      <c r="K587" s="24" t="str">
        <f>IF(OR(E587="",E587="!!!",F587="NEW"),"",INDEX(J$1:J586,SUMPRODUCT(MAX(ROW(E$1:E586)*(E587=E$1:E586)))))</f>
        <v/>
      </c>
      <c r="L587" s="25"/>
    </row>
    <row r="588" spans="1:12" x14ac:dyDescent="0.3">
      <c r="A588" t="s">
        <v>245</v>
      </c>
      <c r="E588" s="20" t="str">
        <f t="shared" si="60"/>
        <v/>
      </c>
      <c r="F588" s="21" t="str">
        <f>IF(OR(E588="",E588="!!!"),"",IF(NOT(ISNA(VLOOKUP(E588,E$1:E587,1,FALSE()))),"OLD",IF(AND(E588&lt;&gt;"",E588&lt;&gt;"!!!"),"NEW","")))</f>
        <v/>
      </c>
      <c r="G588" s="22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/>
      </c>
      <c r="H588" s="23" t="str">
        <f t="shared" ca="1" si="61"/>
        <v/>
      </c>
      <c r="I588" s="24" t="str">
        <f>IF(OR(E588="",E588="!!!",F588="NEW"),"",INDEX(B$2:B587,-1+SUMPRODUCT(MAX(ROW(E$2:E587)*(E588=E$2:E587)))))</f>
        <v/>
      </c>
      <c r="J588" s="24" t="str">
        <f ca="1">IF(OR(E588="",E588="!!!",F588="NEW"),"",COUNTBLANK(OFFSET(A$1,,,SUMPRODUCT(MAX(ROW(E$2:E588)*(E588=E$2:E588)))))-COUNTBLANK(OFFSET(A$1,,,SUMPRODUCT(MAX(ROW(E$1:E587)*(E2=E$1:E587))))))</f>
        <v/>
      </c>
      <c r="K588" s="24" t="str">
        <f>IF(OR(E588="",E588="!!!",F588="NEW"),"",INDEX(J$1:J587,SUMPRODUCT(MAX(ROW(E$1:E587)*(E588=E$1:E587)))))</f>
        <v/>
      </c>
      <c r="L588" s="25"/>
    </row>
    <row r="589" spans="1:12" x14ac:dyDescent="0.3">
      <c r="A589" t="s">
        <v>236</v>
      </c>
      <c r="E589" s="20" t="str">
        <f t="shared" si="60"/>
        <v/>
      </c>
      <c r="F589" s="21" t="str">
        <f>IF(OR(E589="",E589="!!!"),"",IF(NOT(ISNA(VLOOKUP(E589,E$1:E588,1,FALSE()))),"OLD",IF(AND(E589&lt;&gt;"",E589&lt;&gt;"!!!"),"NEW","")))</f>
        <v/>
      </c>
      <c r="G589" s="22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/>
      </c>
      <c r="H589" s="23" t="str">
        <f t="shared" ca="1" si="61"/>
        <v/>
      </c>
      <c r="I589" s="24" t="str">
        <f>IF(OR(E589="",E589="!!!",F589="NEW"),"",INDEX(B$2:B588,-1+SUMPRODUCT(MAX(ROW(E$2:E588)*(E589=E$2:E588)))))</f>
        <v/>
      </c>
      <c r="J589" s="24" t="str">
        <f ca="1">IF(OR(E589="",E589="!!!",F589="NEW"),"",COUNTBLANK(OFFSET(A$1,,,SUMPRODUCT(MAX(ROW(E$2:E589)*(E589=E$2:E589)))))-COUNTBLANK(OFFSET(A$1,,,SUMPRODUCT(MAX(ROW(E$1:E588)*(E2=E$1:E588))))))</f>
        <v/>
      </c>
      <c r="K589" s="24" t="str">
        <f>IF(OR(E589="",E589="!!!",F589="NEW"),"",INDEX(J$1:J588,SUMPRODUCT(MAX(ROW(E$1:E588)*(E589=E$1:E588)))))</f>
        <v/>
      </c>
      <c r="L589" s="25"/>
    </row>
    <row r="590" spans="1:12" x14ac:dyDescent="0.3">
      <c r="A590" t="s">
        <v>538</v>
      </c>
      <c r="B590" s="26" t="s">
        <v>261</v>
      </c>
      <c r="C590" s="26" t="s">
        <v>454</v>
      </c>
      <c r="D590" s="26" t="s">
        <v>240</v>
      </c>
      <c r="E590" s="20" t="str">
        <f t="shared" si="60"/>
        <v>!!!</v>
      </c>
      <c r="F590" s="21" t="str">
        <f>IF(OR(E590="",E590="!!!"),"",IF(NOT(ISNA(VLOOKUP(E590,E$1:E589,1,FALSE()))),"OLD",IF(AND(E590&lt;&gt;"",E590&lt;&gt;"!!!"),"NEW","")))</f>
        <v/>
      </c>
      <c r="G590" s="22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/>
      </c>
      <c r="H590" s="23" t="str">
        <f t="shared" ca="1" si="61"/>
        <v/>
      </c>
      <c r="I590" s="24" t="str">
        <f>IF(OR(E590="",E590="!!!",F590="NEW"),"",INDEX(B$2:B589,-1+SUMPRODUCT(MAX(ROW(E$2:E589)*(E590=E$2:E589)))))</f>
        <v/>
      </c>
      <c r="J590" s="24" t="str">
        <f ca="1">IF(OR(E590="",E590="!!!",F590="NEW"),"",COUNTBLANK(OFFSET(A$1,,,SUMPRODUCT(MAX(ROW(E$2:E590)*(E590=E$2:E590)))))-COUNTBLANK(OFFSET(A$1,,,SUMPRODUCT(MAX(ROW(E$1:E589)*(E2=E$1:E589))))))</f>
        <v/>
      </c>
      <c r="K590" s="24" t="str">
        <f>IF(OR(E590="",E590="!!!",F590="NEW"),"",INDEX(J$1:J589,SUMPRODUCT(MAX(ROW(E$1:E589)*(E590=E$1:E589)))))</f>
        <v/>
      </c>
      <c r="L590" s="25"/>
    </row>
    <row r="591" spans="1:12" x14ac:dyDescent="0.3">
      <c r="A591" t="s">
        <v>363</v>
      </c>
      <c r="E591" s="20" t="str">
        <f t="shared" si="60"/>
        <v/>
      </c>
      <c r="F591" s="21" t="str">
        <f>IF(OR(E591="",E591="!!!"),"",IF(NOT(ISNA(VLOOKUP(E591,E$1:E590,1,FALSE()))),"OLD",IF(AND(E591&lt;&gt;"",E591&lt;&gt;"!!!"),"NEW","")))</f>
        <v/>
      </c>
      <c r="G591" s="22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/>
      </c>
      <c r="H591" s="23" t="str">
        <f t="shared" ca="1" si="61"/>
        <v/>
      </c>
      <c r="I591" s="24" t="str">
        <f>IF(OR(E591="",E591="!!!",F591="NEW"),"",INDEX(B$2:B590,-1+SUMPRODUCT(MAX(ROW(E$2:E590)*(E591=E$2:E590)))))</f>
        <v/>
      </c>
      <c r="J591" s="24" t="str">
        <f ca="1">IF(OR(E591="",E591="!!!",F591="NEW"),"",COUNTBLANK(OFFSET(A$1,,,SUMPRODUCT(MAX(ROW(E$2:E591)*(E591=E$2:E591)))))-COUNTBLANK(OFFSET(A$1,,,SUMPRODUCT(MAX(ROW(E$1:E590)*(E2=E$1:E590))))))</f>
        <v/>
      </c>
      <c r="K591" s="24" t="str">
        <f>IF(OR(E591="",E591="!!!",F591="NEW"),"",INDEX(J$1:J590,SUMPRODUCT(MAX(ROW(E$1:E590)*(E591=E$1:E590)))))</f>
        <v/>
      </c>
      <c r="L591" s="25"/>
    </row>
    <row r="592" spans="1:12" x14ac:dyDescent="0.3">
      <c r="A592" t="s">
        <v>539</v>
      </c>
      <c r="B592" s="26" t="s">
        <v>272</v>
      </c>
      <c r="C592" s="26" t="s">
        <v>239</v>
      </c>
      <c r="D592" s="26" t="s">
        <v>240</v>
      </c>
      <c r="E592" s="20" t="str">
        <f t="shared" si="60"/>
        <v>!!!</v>
      </c>
      <c r="F592" s="21" t="str">
        <f>IF(OR(E592="",E592="!!!"),"",IF(NOT(ISNA(VLOOKUP(E592,E$1:E591,1,FALSE()))),"OLD",IF(AND(E592&lt;&gt;"",E592&lt;&gt;"!!!"),"NEW","")))</f>
        <v/>
      </c>
      <c r="G592" s="22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/>
      </c>
      <c r="H592" s="23" t="str">
        <f t="shared" ca="1" si="61"/>
        <v/>
      </c>
      <c r="I592" s="24" t="str">
        <f>IF(OR(E592="",E592="!!!",F592="NEW"),"",INDEX(B$2:B591,-1+SUMPRODUCT(MAX(ROW(E$2:E591)*(E592=E$2:E591)))))</f>
        <v/>
      </c>
      <c r="J592" s="24" t="str">
        <f ca="1">IF(OR(E592="",E592="!!!",F592="NEW"),"",COUNTBLANK(OFFSET(A$1,,,SUMPRODUCT(MAX(ROW(E$2:E592)*(E592=E$2:E592)))))-COUNTBLANK(OFFSET(A$1,,,SUMPRODUCT(MAX(ROW(E$1:E591)*(E2=E$1:E591))))))</f>
        <v/>
      </c>
      <c r="K592" s="24" t="str">
        <f>IF(OR(E592="",E592="!!!",F592="NEW"),"",INDEX(J$1:J591,SUMPRODUCT(MAX(ROW(E$1:E591)*(E592=E$1:E591)))))</f>
        <v/>
      </c>
      <c r="L592" s="25"/>
    </row>
    <row r="593" spans="1:12" x14ac:dyDescent="0.3">
      <c r="A593" t="s">
        <v>252</v>
      </c>
      <c r="E593" s="20" t="str">
        <f t="shared" si="60"/>
        <v/>
      </c>
      <c r="F593" s="21" t="str">
        <f>IF(OR(E593="",E593="!!!"),"",IF(NOT(ISNA(VLOOKUP(E593,E$1:E592,1,FALSE()))),"OLD",IF(AND(E593&lt;&gt;"",E593&lt;&gt;"!!!"),"NEW","")))</f>
        <v/>
      </c>
      <c r="G593" s="22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/>
      </c>
      <c r="H593" s="23" t="str">
        <f t="shared" ca="1" si="61"/>
        <v/>
      </c>
      <c r="I593" s="24" t="str">
        <f>IF(OR(E593="",E593="!!!",F593="NEW"),"",INDEX(B$2:B592,-1+SUMPRODUCT(MAX(ROW(E$2:E592)*(E593=E$2:E592)))))</f>
        <v/>
      </c>
      <c r="J593" s="24" t="str">
        <f ca="1">IF(OR(E593="",E593="!!!",F593="NEW"),"",COUNTBLANK(OFFSET(A$1,,,SUMPRODUCT(MAX(ROW(E$2:E593)*(E593=E$2:E593)))))-COUNTBLANK(OFFSET(A$1,,,SUMPRODUCT(MAX(ROW(E$1:E592)*(E2=E$1:E592))))))</f>
        <v/>
      </c>
      <c r="K593" s="24" t="str">
        <f>IF(OR(E593="",E593="!!!",F593="NEW"),"",INDEX(J$1:J592,SUMPRODUCT(MAX(ROW(E$1:E592)*(E593=E$1:E592)))))</f>
        <v/>
      </c>
      <c r="L593" s="25"/>
    </row>
    <row r="594" spans="1:12" x14ac:dyDescent="0.3">
      <c r="A594" t="s">
        <v>540</v>
      </c>
      <c r="B594" s="26" t="s">
        <v>272</v>
      </c>
      <c r="C594" s="26" t="s">
        <v>294</v>
      </c>
      <c r="D594" s="26" t="s">
        <v>240</v>
      </c>
      <c r="E594" s="20" t="str">
        <f t="shared" si="60"/>
        <v>!!!</v>
      </c>
      <c r="F594" s="21" t="str">
        <f>IF(OR(E594="",E594="!!!"),"",IF(NOT(ISNA(VLOOKUP(E594,E$1:E593,1,FALSE()))),"OLD",IF(AND(E594&lt;&gt;"",E594&lt;&gt;"!!!"),"NEW","")))</f>
        <v/>
      </c>
      <c r="G594" s="22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/>
      </c>
      <c r="H594" s="23" t="str">
        <f t="shared" ca="1" si="61"/>
        <v/>
      </c>
      <c r="I594" s="24" t="str">
        <f>IF(OR(E594="",E594="!!!",F594="NEW"),"",INDEX(B$2:B593,-1+SUMPRODUCT(MAX(ROW(E$2:E593)*(E594=E$2:E593)))))</f>
        <v/>
      </c>
      <c r="J594" s="24" t="str">
        <f ca="1">IF(OR(E594="",E594="!!!",F594="NEW"),"",COUNTBLANK(OFFSET(A$1,,,SUMPRODUCT(MAX(ROW(E$2:E594)*(E594=E$2:E594)))))-COUNTBLANK(OFFSET(A$1,,,SUMPRODUCT(MAX(ROW(E$1:E593)*(E2=E$1:E593))))))</f>
        <v/>
      </c>
      <c r="K594" s="24" t="str">
        <f>IF(OR(E594="",E594="!!!",F594="NEW"),"",INDEX(J$1:J593,SUMPRODUCT(MAX(ROW(E$1:E593)*(E594=E$1:E593)))))</f>
        <v/>
      </c>
      <c r="L594" s="25"/>
    </row>
    <row r="595" spans="1:12" x14ac:dyDescent="0.3">
      <c r="A595" t="s">
        <v>541</v>
      </c>
      <c r="E595" s="20" t="str">
        <f t="shared" si="60"/>
        <v/>
      </c>
      <c r="F595" s="21" t="str">
        <f>IF(OR(E595="",E595="!!!"),"",IF(NOT(ISNA(VLOOKUP(E595,E$1:E594,1,FALSE()))),"OLD",IF(AND(E595&lt;&gt;"",E595&lt;&gt;"!!!"),"NEW","")))</f>
        <v/>
      </c>
      <c r="G595" s="22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/>
      </c>
      <c r="H595" s="23" t="str">
        <f t="shared" ca="1" si="61"/>
        <v/>
      </c>
      <c r="I595" s="24" t="str">
        <f>IF(OR(E595="",E595="!!!",F595="NEW"),"",INDEX(B$2:B594,-1+SUMPRODUCT(MAX(ROW(E$2:E594)*(E595=E$2:E594)))))</f>
        <v/>
      </c>
      <c r="J595" s="24" t="str">
        <f ca="1">IF(OR(E595="",E595="!!!",F595="NEW"),"",COUNTBLANK(OFFSET(A$1,,,SUMPRODUCT(MAX(ROW(E$2:E595)*(E595=E$2:E595)))))-COUNTBLANK(OFFSET(A$1,,,SUMPRODUCT(MAX(ROW(E$1:E594)*(E2=E$1:E594))))))</f>
        <v/>
      </c>
      <c r="K595" s="24" t="str">
        <f>IF(OR(E595="",E595="!!!",F595="NEW"),"",INDEX(J$1:J594,SUMPRODUCT(MAX(ROW(E$1:E594)*(E595=E$1:E594)))))</f>
        <v/>
      </c>
      <c r="L595" s="25"/>
    </row>
    <row r="596" spans="1:12" x14ac:dyDescent="0.3">
      <c r="A596" t="s">
        <v>248</v>
      </c>
      <c r="E596" s="20" t="str">
        <f t="shared" si="60"/>
        <v/>
      </c>
      <c r="F596" s="21" t="str">
        <f>IF(OR(E596="",E596="!!!"),"",IF(NOT(ISNA(VLOOKUP(E596,E$1:E595,1,FALSE()))),"OLD",IF(AND(E596&lt;&gt;"",E596&lt;&gt;"!!!"),"NEW","")))</f>
        <v/>
      </c>
      <c r="G596" s="22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/>
      </c>
      <c r="H596" s="23" t="str">
        <f t="shared" ca="1" si="61"/>
        <v/>
      </c>
      <c r="I596" s="24" t="str">
        <f>IF(OR(E596="",E596="!!!",F596="NEW"),"",INDEX(B$2:B595,-1+SUMPRODUCT(MAX(ROW(E$2:E595)*(E596=E$2:E595)))))</f>
        <v/>
      </c>
      <c r="J596" s="24" t="str">
        <f ca="1">IF(OR(E596="",E596="!!!",F596="NEW"),"",COUNTBLANK(OFFSET(A$1,,,SUMPRODUCT(MAX(ROW(E$2:E596)*(E596=E$2:E596)))))-COUNTBLANK(OFFSET(A$1,,,SUMPRODUCT(MAX(ROW(E$1:E595)*(E2=E$1:E595))))))</f>
        <v/>
      </c>
      <c r="K596" s="24" t="str">
        <f>IF(OR(E596="",E596="!!!",F596="NEW"),"",INDEX(J$1:J595,SUMPRODUCT(MAX(ROW(E$1:E595)*(E596=E$1:E595)))))</f>
        <v/>
      </c>
      <c r="L596" s="25"/>
    </row>
    <row r="598" spans="1:12" x14ac:dyDescent="0.3">
      <c r="A598" t="s">
        <v>542</v>
      </c>
    </row>
    <row r="599" spans="1:12" x14ac:dyDescent="0.3">
      <c r="A599" t="s">
        <v>543</v>
      </c>
      <c r="E599" s="20" t="str">
        <f t="shared" ref="E599:E605" si="62">IF(D599="?OLD","!!!","")</f>
        <v/>
      </c>
      <c r="F599" s="21" t="str">
        <f>IF(OR(E599="",E599="!!!"),"",IF(NOT(ISNA(VLOOKUP(E599,E$1:E598,1,FALSE()))),"OLD",IF(AND(E599&lt;&gt;"",E599&lt;&gt;"!!!"),"NEW","")))</f>
        <v/>
      </c>
      <c r="G599" s="22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/>
      </c>
      <c r="H599" s="23" t="str">
        <f t="shared" ref="H599:H605" ca="1" si="63">IF(J599&lt;&gt;1,"",IF(I599="SBJ","CB","?"))</f>
        <v/>
      </c>
      <c r="I599" s="24" t="str">
        <f>IF(OR(E599="",E599="!!!",F599="NEW"),"",INDEX(B$2:B598,-1+SUMPRODUCT(MAX(ROW(E$2:E598)*(E599=E$2:E598)))))</f>
        <v/>
      </c>
      <c r="J599" s="24" t="str">
        <f ca="1">IF(OR(E599="",E599="!!!",F599="NEW"),"",COUNTBLANK(OFFSET(A$1,,,SUMPRODUCT(MAX(ROW(E$2:E599)*(E599=E$2:E599)))))-COUNTBLANK(OFFSET(A$1,,,SUMPRODUCT(MAX(ROW(E$1:E598)*(E2=E$1:E598))))))</f>
        <v/>
      </c>
      <c r="K599" s="24" t="str">
        <f>IF(OR(E599="",E599="!!!",F599="NEW"),"",INDEX(J$1:J598,SUMPRODUCT(MAX(ROW(E$1:E598)*(E599=E$1:E598)))))</f>
        <v/>
      </c>
      <c r="L599" s="25"/>
    </row>
    <row r="600" spans="1:12" x14ac:dyDescent="0.3">
      <c r="A600" t="s">
        <v>544</v>
      </c>
      <c r="E600" s="20" t="str">
        <f t="shared" si="62"/>
        <v/>
      </c>
      <c r="F600" s="21" t="str">
        <f>IF(OR(E600="",E600="!!!"),"",IF(NOT(ISNA(VLOOKUP(E600,E$1:E599,1,FALSE()))),"OLD",IF(AND(E600&lt;&gt;"",E600&lt;&gt;"!!!"),"NEW","")))</f>
        <v/>
      </c>
      <c r="G600" s="22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/>
      </c>
      <c r="H600" s="23" t="str">
        <f t="shared" ca="1" si="63"/>
        <v/>
      </c>
      <c r="I600" s="24" t="str">
        <f>IF(OR(E600="",E600="!!!",F600="NEW"),"",INDEX(B$2:B599,-1+SUMPRODUCT(MAX(ROW(E$2:E599)*(E600=E$2:E599)))))</f>
        <v/>
      </c>
      <c r="J600" s="24" t="str">
        <f ca="1">IF(OR(E600="",E600="!!!",F600="NEW"),"",COUNTBLANK(OFFSET(A$1,,,SUMPRODUCT(MAX(ROW(E$2:E600)*(E600=E$2:E600)))))-COUNTBLANK(OFFSET(A$1,,,SUMPRODUCT(MAX(ROW(E$1:E599)*(E2=E$1:E599))))))</f>
        <v/>
      </c>
      <c r="K600" s="24" t="str">
        <f>IF(OR(E600="",E600="!!!",F600="NEW"),"",INDEX(J$1:J599,SUMPRODUCT(MAX(ROW(E$1:E599)*(E600=E$1:E599)))))</f>
        <v/>
      </c>
      <c r="L600" s="25"/>
    </row>
    <row r="601" spans="1:12" x14ac:dyDescent="0.3">
      <c r="A601" t="s">
        <v>545</v>
      </c>
      <c r="E601" s="20" t="str">
        <f t="shared" si="62"/>
        <v/>
      </c>
      <c r="F601" s="21" t="str">
        <f>IF(OR(E601="",E601="!!!"),"",IF(NOT(ISNA(VLOOKUP(E601,E$1:E600,1,FALSE()))),"OLD",IF(AND(E601&lt;&gt;"",E601&lt;&gt;"!!!"),"NEW","")))</f>
        <v/>
      </c>
      <c r="G601" s="22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/>
      </c>
      <c r="H601" s="23" t="str">
        <f t="shared" ca="1" si="63"/>
        <v/>
      </c>
      <c r="I601" s="24" t="str">
        <f>IF(OR(E601="",E601="!!!",F601="NEW"),"",INDEX(B$2:B600,-1+SUMPRODUCT(MAX(ROW(E$2:E600)*(E601=E$2:E600)))))</f>
        <v/>
      </c>
      <c r="J601" s="24" t="str">
        <f ca="1">IF(OR(E601="",E601="!!!",F601="NEW"),"",COUNTBLANK(OFFSET(A$1,,,SUMPRODUCT(MAX(ROW(E$2:E601)*(E601=E$2:E601)))))-COUNTBLANK(OFFSET(A$1,,,SUMPRODUCT(MAX(ROW(E$1:E600)*(E2=E$1:E600))))))</f>
        <v/>
      </c>
      <c r="K601" s="24" t="str">
        <f>IF(OR(E601="",E601="!!!",F601="NEW"),"",INDEX(J$1:J600,SUMPRODUCT(MAX(ROW(E$1:E600)*(E601=E$1:E600)))))</f>
        <v/>
      </c>
      <c r="L601" s="25"/>
    </row>
    <row r="602" spans="1:12" x14ac:dyDescent="0.3">
      <c r="A602" t="s">
        <v>546</v>
      </c>
      <c r="B602" s="26" t="s">
        <v>292</v>
      </c>
      <c r="C602" s="26" t="s">
        <v>244</v>
      </c>
      <c r="D602" s="26" t="s">
        <v>240</v>
      </c>
      <c r="E602" s="20" t="str">
        <f t="shared" si="62"/>
        <v>!!!</v>
      </c>
      <c r="F602" s="21" t="str">
        <f>IF(OR(E602="",E602="!!!"),"",IF(NOT(ISNA(VLOOKUP(E602,E$1:E601,1,FALSE()))),"OLD",IF(AND(E602&lt;&gt;"",E602&lt;&gt;"!!!"),"NEW","")))</f>
        <v/>
      </c>
      <c r="G602" s="22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/>
      </c>
      <c r="H602" s="23" t="str">
        <f t="shared" ca="1" si="63"/>
        <v/>
      </c>
      <c r="I602" s="24" t="str">
        <f>IF(OR(E602="",E602="!!!",F602="NEW"),"",INDEX(B$2:B601,-1+SUMPRODUCT(MAX(ROW(E$2:E601)*(E602=E$2:E601)))))</f>
        <v/>
      </c>
      <c r="J602" s="24" t="str">
        <f ca="1">IF(OR(E602="",E602="!!!",F602="NEW"),"",COUNTBLANK(OFFSET(A$1,,,SUMPRODUCT(MAX(ROW(E$2:E602)*(E602=E$2:E602)))))-COUNTBLANK(OFFSET(A$1,,,SUMPRODUCT(MAX(ROW(E$1:E601)*(E2=E$1:E601))))))</f>
        <v/>
      </c>
      <c r="K602" s="24" t="str">
        <f>IF(OR(E602="",E602="!!!",F602="NEW"),"",INDEX(J$1:J601,SUMPRODUCT(MAX(ROW(E$1:E601)*(E602=E$1:E601)))))</f>
        <v/>
      </c>
      <c r="L602" s="25"/>
    </row>
    <row r="603" spans="1:12" x14ac:dyDescent="0.3">
      <c r="A603" t="s">
        <v>372</v>
      </c>
      <c r="E603" s="20" t="str">
        <f t="shared" si="62"/>
        <v/>
      </c>
      <c r="F603" s="21" t="str">
        <f>IF(OR(E603="",E603="!!!"),"",IF(NOT(ISNA(VLOOKUP(E603,E$1:E602,1,FALSE()))),"OLD",IF(AND(E603&lt;&gt;"",E603&lt;&gt;"!!!"),"NEW","")))</f>
        <v/>
      </c>
      <c r="G603" s="22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/>
      </c>
      <c r="H603" s="23" t="str">
        <f t="shared" ca="1" si="63"/>
        <v/>
      </c>
      <c r="I603" s="24" t="str">
        <f>IF(OR(E603="",E603="!!!",F603="NEW"),"",INDEX(B$2:B602,-1+SUMPRODUCT(MAX(ROW(E$2:E602)*(E603=E$2:E602)))))</f>
        <v/>
      </c>
      <c r="J603" s="24" t="str">
        <f ca="1">IF(OR(E603="",E603="!!!",F603="NEW"),"",COUNTBLANK(OFFSET(A$1,,,SUMPRODUCT(MAX(ROW(E$2:E603)*(E603=E$2:E603)))))-COUNTBLANK(OFFSET(A$1,,,SUMPRODUCT(MAX(ROW(E$1:E602)*(E2=E$1:E602))))))</f>
        <v/>
      </c>
      <c r="K603" s="24" t="str">
        <f>IF(OR(E603="",E603="!!!",F603="NEW"),"",INDEX(J$1:J602,SUMPRODUCT(MAX(ROW(E$1:E602)*(E603=E$1:E602)))))</f>
        <v/>
      </c>
      <c r="L603" s="25"/>
    </row>
    <row r="604" spans="1:12" x14ac:dyDescent="0.3">
      <c r="A604" t="s">
        <v>547</v>
      </c>
      <c r="B604" s="26" t="s">
        <v>243</v>
      </c>
      <c r="C604" s="26" t="s">
        <v>262</v>
      </c>
      <c r="E604" s="20" t="str">
        <f t="shared" si="62"/>
        <v/>
      </c>
      <c r="F604" s="21" t="str">
        <f>IF(OR(E604="",E604="!!!"),"",IF(NOT(ISNA(VLOOKUP(E604,E$1:E603,1,FALSE()))),"OLD",IF(AND(E604&lt;&gt;"",E604&lt;&gt;"!!!"),"NEW","")))</f>
        <v/>
      </c>
      <c r="G604" s="22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/>
      </c>
      <c r="H604" s="23" t="str">
        <f t="shared" ca="1" si="63"/>
        <v/>
      </c>
      <c r="I604" s="24" t="str">
        <f>IF(OR(E604="",E604="!!!",F604="NEW"),"",INDEX(B$2:B603,-1+SUMPRODUCT(MAX(ROW(E$2:E603)*(E604=E$2:E603)))))</f>
        <v/>
      </c>
      <c r="J604" s="24" t="str">
        <f ca="1">IF(OR(E604="",E604="!!!",F604="NEW"),"",COUNTBLANK(OFFSET(A$1,,,SUMPRODUCT(MAX(ROW(E$2:E604)*(E604=E$2:E604)))))-COUNTBLANK(OFFSET(A$1,,,SUMPRODUCT(MAX(ROW(E$1:E603)*(E2=E$1:E603))))))</f>
        <v/>
      </c>
      <c r="K604" s="24" t="str">
        <f>IF(OR(E604="",E604="!!!",F604="NEW"),"",INDEX(J$1:J603,SUMPRODUCT(MAX(ROW(E$1:E603)*(E604=E$1:E603)))))</f>
        <v/>
      </c>
      <c r="L604" s="25"/>
    </row>
    <row r="605" spans="1:12" x14ac:dyDescent="0.3">
      <c r="A605" t="s">
        <v>248</v>
      </c>
      <c r="E605" s="20" t="str">
        <f t="shared" si="62"/>
        <v/>
      </c>
      <c r="F605" s="21" t="str">
        <f>IF(OR(E605="",E605="!!!"),"",IF(NOT(ISNA(VLOOKUP(E605,E$1:E604,1,FALSE()))),"OLD",IF(AND(E605&lt;&gt;"",E605&lt;&gt;"!!!"),"NEW","")))</f>
        <v/>
      </c>
      <c r="G605" s="22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/>
      </c>
      <c r="H605" s="23" t="str">
        <f t="shared" ca="1" si="63"/>
        <v/>
      </c>
      <c r="I605" s="24" t="str">
        <f>IF(OR(E605="",E605="!!!",F605="NEW"),"",INDEX(B$2:B604,-1+SUMPRODUCT(MAX(ROW(E$2:E604)*(E605=E$2:E604)))))</f>
        <v/>
      </c>
      <c r="J605" s="24" t="str">
        <f ca="1">IF(OR(E605="",E605="!!!",F605="NEW"),"",COUNTBLANK(OFFSET(A$1,,,SUMPRODUCT(MAX(ROW(E$2:E605)*(E605=E$2:E605)))))-COUNTBLANK(OFFSET(A$1,,,SUMPRODUCT(MAX(ROW(E$1:E604)*(E2=E$1:E604))))))</f>
        <v/>
      </c>
      <c r="K605" s="24" t="str">
        <f>IF(OR(E605="",E605="!!!",F605="NEW"),"",INDEX(J$1:J604,SUMPRODUCT(MAX(ROW(E$1:E604)*(E605=E$1:E604)))))</f>
        <v/>
      </c>
      <c r="L605" s="25"/>
    </row>
    <row r="607" spans="1:12" x14ac:dyDescent="0.3">
      <c r="A607" t="s">
        <v>548</v>
      </c>
    </row>
    <row r="608" spans="1:12" x14ac:dyDescent="0.3">
      <c r="A608" t="s">
        <v>324</v>
      </c>
      <c r="B608" s="26" t="s">
        <v>243</v>
      </c>
      <c r="C608" s="26" t="s">
        <v>244</v>
      </c>
      <c r="D608" s="26" t="s">
        <v>240</v>
      </c>
      <c r="E608" s="20" t="str">
        <f t="shared" ref="E608:E615" si="64">IF(D608="?OLD","!!!","")</f>
        <v>!!!</v>
      </c>
      <c r="F608" s="21" t="str">
        <f>IF(OR(E608="",E608="!!!"),"",IF(NOT(ISNA(VLOOKUP(E608,E$1:E607,1,FALSE()))),"OLD",IF(AND(E608&lt;&gt;"",E608&lt;&gt;"!!!"),"NEW","")))</f>
        <v/>
      </c>
      <c r="G608" s="22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/>
      </c>
      <c r="H608" s="23" t="str">
        <f t="shared" ref="H608:H615" ca="1" si="65">IF(J608&lt;&gt;1,"",IF(I608="SBJ","CB","?"))</f>
        <v/>
      </c>
      <c r="I608" s="24" t="str">
        <f>IF(OR(E608="",E608="!!!",F608="NEW"),"",INDEX(B$2:B607,-1+SUMPRODUCT(MAX(ROW(E$2:E607)*(E608=E$2:E607)))))</f>
        <v/>
      </c>
      <c r="J608" s="24" t="str">
        <f ca="1">IF(OR(E608="",E608="!!!",F608="NEW"),"",COUNTBLANK(OFFSET(A$1,,,SUMPRODUCT(MAX(ROW(E$2:E608)*(E608=E$2:E608)))))-COUNTBLANK(OFFSET(A$1,,,SUMPRODUCT(MAX(ROW(E$1:E607)*(E2=E$1:E607))))))</f>
        <v/>
      </c>
      <c r="K608" s="24" t="str">
        <f>IF(OR(E608="",E608="!!!",F608="NEW"),"",INDEX(J$1:J607,SUMPRODUCT(MAX(ROW(E$1:E607)*(E608=E$1:E607)))))</f>
        <v/>
      </c>
      <c r="L608" s="25"/>
    </row>
    <row r="609" spans="1:12" x14ac:dyDescent="0.3">
      <c r="A609" t="s">
        <v>549</v>
      </c>
      <c r="E609" s="20" t="str">
        <f t="shared" si="64"/>
        <v/>
      </c>
      <c r="F609" s="21" t="str">
        <f>IF(OR(E609="",E609="!!!"),"",IF(NOT(ISNA(VLOOKUP(E609,E$1:E608,1,FALSE()))),"OLD",IF(AND(E609&lt;&gt;"",E609&lt;&gt;"!!!"),"NEW","")))</f>
        <v/>
      </c>
      <c r="G609" s="22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/>
      </c>
      <c r="H609" s="23" t="str">
        <f t="shared" ca="1" si="65"/>
        <v/>
      </c>
      <c r="I609" s="24" t="str">
        <f>IF(OR(E609="",E609="!!!",F609="NEW"),"",INDEX(B$2:B608,-1+SUMPRODUCT(MAX(ROW(E$2:E608)*(E609=E$2:E608)))))</f>
        <v/>
      </c>
      <c r="J609" s="24" t="str">
        <f ca="1">IF(OR(E609="",E609="!!!",F609="NEW"),"",COUNTBLANK(OFFSET(A$1,,,SUMPRODUCT(MAX(ROW(E$2:E609)*(E609=E$2:E609)))))-COUNTBLANK(OFFSET(A$1,,,SUMPRODUCT(MAX(ROW(E$1:E608)*(E2=E$1:E608))))))</f>
        <v/>
      </c>
      <c r="K609" s="24" t="str">
        <f>IF(OR(E609="",E609="!!!",F609="NEW"),"",INDEX(J$1:J608,SUMPRODUCT(MAX(ROW(E$1:E608)*(E609=E$1:E608)))))</f>
        <v/>
      </c>
      <c r="L609" s="25"/>
    </row>
    <row r="610" spans="1:12" x14ac:dyDescent="0.3">
      <c r="A610" t="s">
        <v>267</v>
      </c>
      <c r="E610" s="20" t="str">
        <f t="shared" si="64"/>
        <v/>
      </c>
      <c r="F610" s="21" t="str">
        <f>IF(OR(E610="",E610="!!!"),"",IF(NOT(ISNA(VLOOKUP(E610,E$1:E609,1,FALSE()))),"OLD",IF(AND(E610&lt;&gt;"",E610&lt;&gt;"!!!"),"NEW","")))</f>
        <v/>
      </c>
      <c r="G610" s="22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/>
      </c>
      <c r="H610" s="23" t="str">
        <f t="shared" ca="1" si="65"/>
        <v/>
      </c>
      <c r="I610" s="24" t="str">
        <f>IF(OR(E610="",E610="!!!",F610="NEW"),"",INDEX(B$2:B609,-1+SUMPRODUCT(MAX(ROW(E$2:E609)*(E610=E$2:E609)))))</f>
        <v/>
      </c>
      <c r="J610" s="24" t="str">
        <f ca="1">IF(OR(E610="",E610="!!!",F610="NEW"),"",COUNTBLANK(OFFSET(A$1,,,SUMPRODUCT(MAX(ROW(E$2:E610)*(E610=E$2:E610)))))-COUNTBLANK(OFFSET(A$1,,,SUMPRODUCT(MAX(ROW(E$1:E609)*(E2=E$1:E609))))))</f>
        <v/>
      </c>
      <c r="K610" s="24" t="str">
        <f>IF(OR(E610="",E610="!!!",F610="NEW"),"",INDEX(J$1:J609,SUMPRODUCT(MAX(ROW(E$1:E609)*(E610=E$1:E609)))))</f>
        <v/>
      </c>
      <c r="L610" s="25"/>
    </row>
    <row r="611" spans="1:12" x14ac:dyDescent="0.3">
      <c r="A611" t="s">
        <v>550</v>
      </c>
      <c r="B611" s="26" t="s">
        <v>272</v>
      </c>
      <c r="C611" s="26" t="s">
        <v>305</v>
      </c>
      <c r="E611" s="20" t="str">
        <f t="shared" si="64"/>
        <v/>
      </c>
      <c r="F611" s="21" t="str">
        <f>IF(OR(E611="",E611="!!!"),"",IF(NOT(ISNA(VLOOKUP(E611,E$1:E610,1,FALSE()))),"OLD",IF(AND(E611&lt;&gt;"",E611&lt;&gt;"!!!"),"NEW","")))</f>
        <v/>
      </c>
      <c r="G611" s="22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/>
      </c>
      <c r="H611" s="23" t="str">
        <f t="shared" ca="1" si="65"/>
        <v/>
      </c>
      <c r="I611" s="24" t="str">
        <f>IF(OR(E611="",E611="!!!",F611="NEW"),"",INDEX(B$2:B610,-1+SUMPRODUCT(MAX(ROW(E$2:E610)*(E611=E$2:E610)))))</f>
        <v/>
      </c>
      <c r="J611" s="24" t="str">
        <f ca="1">IF(OR(E611="",E611="!!!",F611="NEW"),"",COUNTBLANK(OFFSET(A$1,,,SUMPRODUCT(MAX(ROW(E$2:E611)*(E611=E$2:E611)))))-COUNTBLANK(OFFSET(A$1,,,SUMPRODUCT(MAX(ROW(E$1:E610)*(E2=E$1:E610))))))</f>
        <v/>
      </c>
      <c r="K611" s="24" t="str">
        <f>IF(OR(E611="",E611="!!!",F611="NEW"),"",INDEX(J$1:J610,SUMPRODUCT(MAX(ROW(E$1:E610)*(E611=E$1:E610)))))</f>
        <v/>
      </c>
      <c r="L611" s="25"/>
    </row>
    <row r="612" spans="1:12" x14ac:dyDescent="0.3">
      <c r="A612" t="s">
        <v>551</v>
      </c>
      <c r="E612" s="20" t="str">
        <f t="shared" si="64"/>
        <v/>
      </c>
      <c r="F612" s="21" t="str">
        <f>IF(OR(E612="",E612="!!!"),"",IF(NOT(ISNA(VLOOKUP(E612,E$1:E611,1,FALSE()))),"OLD",IF(AND(E612&lt;&gt;"",E612&lt;&gt;"!!!"),"NEW","")))</f>
        <v/>
      </c>
      <c r="G612" s="22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/>
      </c>
      <c r="H612" s="23" t="str">
        <f t="shared" ca="1" si="65"/>
        <v/>
      </c>
      <c r="I612" s="24" t="str">
        <f>IF(OR(E612="",E612="!!!",F612="NEW"),"",INDEX(B$2:B611,-1+SUMPRODUCT(MAX(ROW(E$2:E611)*(E612=E$2:E611)))))</f>
        <v/>
      </c>
      <c r="J612" s="24" t="str">
        <f ca="1">IF(OR(E612="",E612="!!!",F612="NEW"),"",COUNTBLANK(OFFSET(A$1,,,SUMPRODUCT(MAX(ROW(E$2:E612)*(E612=E$2:E612)))))-COUNTBLANK(OFFSET(A$1,,,SUMPRODUCT(MAX(ROW(E$1:E611)*(E2=E$1:E611))))))</f>
        <v/>
      </c>
      <c r="K612" s="24" t="str">
        <f>IF(OR(E612="",E612="!!!",F612="NEW"),"",INDEX(J$1:J611,SUMPRODUCT(MAX(ROW(E$1:E611)*(E612=E$1:E611)))))</f>
        <v/>
      </c>
      <c r="L612" s="25"/>
    </row>
    <row r="613" spans="1:12" x14ac:dyDescent="0.3">
      <c r="A613" t="s">
        <v>372</v>
      </c>
      <c r="E613" s="20" t="str">
        <f t="shared" si="64"/>
        <v/>
      </c>
      <c r="F613" s="21" t="str">
        <f>IF(OR(E613="",E613="!!!"),"",IF(NOT(ISNA(VLOOKUP(E613,E$1:E612,1,FALSE()))),"OLD",IF(AND(E613&lt;&gt;"",E613&lt;&gt;"!!!"),"NEW","")))</f>
        <v/>
      </c>
      <c r="G613" s="22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/>
      </c>
      <c r="H613" s="23" t="str">
        <f t="shared" ca="1" si="65"/>
        <v/>
      </c>
      <c r="I613" s="24" t="str">
        <f>IF(OR(E613="",E613="!!!",F613="NEW"),"",INDEX(B$2:B612,-1+SUMPRODUCT(MAX(ROW(E$2:E612)*(E613=E$2:E612)))))</f>
        <v/>
      </c>
      <c r="J613" s="24" t="str">
        <f ca="1">IF(OR(E613="",E613="!!!",F613="NEW"),"",COUNTBLANK(OFFSET(A$1,,,SUMPRODUCT(MAX(ROW(E$2:E613)*(E613=E$2:E613)))))-COUNTBLANK(OFFSET(A$1,,,SUMPRODUCT(MAX(ROW(E$1:E612)*(E2=E$1:E612))))))</f>
        <v/>
      </c>
      <c r="K613" s="24" t="str">
        <f>IF(OR(E613="",E613="!!!",F613="NEW"),"",INDEX(J$1:J612,SUMPRODUCT(MAX(ROW(E$1:E612)*(E613=E$1:E612)))))</f>
        <v/>
      </c>
      <c r="L613" s="25"/>
    </row>
    <row r="614" spans="1:12" x14ac:dyDescent="0.3">
      <c r="A614" t="s">
        <v>552</v>
      </c>
      <c r="B614" s="26" t="s">
        <v>292</v>
      </c>
      <c r="C614" s="26" t="s">
        <v>239</v>
      </c>
      <c r="D614" s="26" t="s">
        <v>240</v>
      </c>
      <c r="E614" s="20" t="str">
        <f t="shared" si="64"/>
        <v>!!!</v>
      </c>
      <c r="F614" s="21" t="str">
        <f>IF(OR(E614="",E614="!!!"),"",IF(NOT(ISNA(VLOOKUP(E614,E$1:E613,1,FALSE()))),"OLD",IF(AND(E614&lt;&gt;"",E614&lt;&gt;"!!!"),"NEW","")))</f>
        <v/>
      </c>
      <c r="G614" s="22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/>
      </c>
      <c r="H614" s="23" t="str">
        <f t="shared" ca="1" si="65"/>
        <v/>
      </c>
      <c r="I614" s="24" t="str">
        <f>IF(OR(E614="",E614="!!!",F614="NEW"),"",INDEX(B$2:B613,-1+SUMPRODUCT(MAX(ROW(E$2:E613)*(E614=E$2:E613)))))</f>
        <v/>
      </c>
      <c r="J614" s="24" t="str">
        <f ca="1">IF(OR(E614="",E614="!!!",F614="NEW"),"",COUNTBLANK(OFFSET(A$1,,,SUMPRODUCT(MAX(ROW(E$2:E614)*(E614=E$2:E614)))))-COUNTBLANK(OFFSET(A$1,,,SUMPRODUCT(MAX(ROW(E$1:E613)*(E2=E$1:E613))))))</f>
        <v/>
      </c>
      <c r="K614" s="24" t="str">
        <f>IF(OR(E614="",E614="!!!",F614="NEW"),"",INDEX(J$1:J613,SUMPRODUCT(MAX(ROW(E$1:E613)*(E614=E$1:E613)))))</f>
        <v/>
      </c>
      <c r="L614" s="25"/>
    </row>
    <row r="615" spans="1:12" x14ac:dyDescent="0.3">
      <c r="A615" t="s">
        <v>248</v>
      </c>
      <c r="E615" s="20" t="str">
        <f t="shared" si="64"/>
        <v/>
      </c>
      <c r="F615" s="21" t="str">
        <f>IF(OR(E615="",E615="!!!"),"",IF(NOT(ISNA(VLOOKUP(E615,E$1:E614,1,FALSE()))),"OLD",IF(AND(E615&lt;&gt;"",E615&lt;&gt;"!!!"),"NEW","")))</f>
        <v/>
      </c>
      <c r="G615" s="22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/>
      </c>
      <c r="H615" s="23" t="str">
        <f t="shared" ca="1" si="65"/>
        <v/>
      </c>
      <c r="I615" s="24" t="str">
        <f>IF(OR(E615="",E615="!!!",F615="NEW"),"",INDEX(B$2:B614,-1+SUMPRODUCT(MAX(ROW(E$2:E614)*(E615=E$2:E614)))))</f>
        <v/>
      </c>
      <c r="J615" s="24" t="str">
        <f ca="1">IF(OR(E615="",E615="!!!",F615="NEW"),"",COUNTBLANK(OFFSET(A$1,,,SUMPRODUCT(MAX(ROW(E$2:E615)*(E615=E$2:E615)))))-COUNTBLANK(OFFSET(A$1,,,SUMPRODUCT(MAX(ROW(E$1:E614)*(E2=E$1:E614))))))</f>
        <v/>
      </c>
      <c r="K615" s="24" t="str">
        <f>IF(OR(E615="",E615="!!!",F615="NEW"),"",INDEX(J$1:J614,SUMPRODUCT(MAX(ROW(E$1:E614)*(E615=E$1:E614)))))</f>
        <v/>
      </c>
      <c r="L615" s="25"/>
    </row>
    <row r="617" spans="1:12" x14ac:dyDescent="0.3">
      <c r="A617" t="s">
        <v>553</v>
      </c>
    </row>
    <row r="618" spans="1:12" x14ac:dyDescent="0.3">
      <c r="A618" t="s">
        <v>554</v>
      </c>
      <c r="E618" s="20" t="str">
        <f t="shared" ref="E618:E626" si="66">IF(D618="?OLD","!!!","")</f>
        <v/>
      </c>
      <c r="F618" s="21" t="str">
        <f>IF(OR(E618="",E618="!!!"),"",IF(NOT(ISNA(VLOOKUP(E618,E$1:E617,1,FALSE()))),"OLD",IF(AND(E618&lt;&gt;"",E618&lt;&gt;"!!!"),"NEW","")))</f>
        <v/>
      </c>
      <c r="G618" s="22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/>
      </c>
      <c r="H618" s="23" t="str">
        <f t="shared" ref="H618:H626" ca="1" si="67">IF(J618&lt;&gt;1,"",IF(I618="SBJ","CB","?"))</f>
        <v/>
      </c>
      <c r="I618" s="24" t="str">
        <f>IF(OR(E618="",E618="!!!",F618="NEW"),"",INDEX(B$2:B617,-1+SUMPRODUCT(MAX(ROW(E$2:E617)*(E618=E$2:E617)))))</f>
        <v/>
      </c>
      <c r="J618" s="24" t="str">
        <f ca="1">IF(OR(E618="",E618="!!!",F618="NEW"),"",COUNTBLANK(OFFSET(A$1,,,SUMPRODUCT(MAX(ROW(E$2:E618)*(E618=E$2:E618)))))-COUNTBLANK(OFFSET(A$1,,,SUMPRODUCT(MAX(ROW(E$1:E617)*(E2=E$1:E617))))))</f>
        <v/>
      </c>
      <c r="K618" s="24" t="str">
        <f>IF(OR(E618="",E618="!!!",F618="NEW"),"",INDEX(J$1:J617,SUMPRODUCT(MAX(ROW(E$1:E617)*(E618=E$1:E617)))))</f>
        <v/>
      </c>
      <c r="L618" s="25"/>
    </row>
    <row r="619" spans="1:12" x14ac:dyDescent="0.3">
      <c r="A619" t="s">
        <v>426</v>
      </c>
      <c r="B619" s="26" t="s">
        <v>243</v>
      </c>
      <c r="C619" s="26" t="s">
        <v>239</v>
      </c>
      <c r="D619" s="26" t="s">
        <v>240</v>
      </c>
      <c r="E619" s="20" t="str">
        <f t="shared" si="66"/>
        <v>!!!</v>
      </c>
      <c r="F619" s="21" t="str">
        <f>IF(OR(E619="",E619="!!!"),"",IF(NOT(ISNA(VLOOKUP(E619,E$1:E618,1,FALSE()))),"OLD",IF(AND(E619&lt;&gt;"",E619&lt;&gt;"!!!"),"NEW","")))</f>
        <v/>
      </c>
      <c r="G619" s="22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/>
      </c>
      <c r="H619" s="23" t="str">
        <f t="shared" ca="1" si="67"/>
        <v/>
      </c>
      <c r="I619" s="24" t="str">
        <f>IF(OR(E619="",E619="!!!",F619="NEW"),"",INDEX(B$2:B618,-1+SUMPRODUCT(MAX(ROW(E$2:E618)*(E619=E$2:E618)))))</f>
        <v/>
      </c>
      <c r="J619" s="24" t="str">
        <f ca="1">IF(OR(E619="",E619="!!!",F619="NEW"),"",COUNTBLANK(OFFSET(A$1,,,SUMPRODUCT(MAX(ROW(E$2:E619)*(E619=E$2:E619)))))-COUNTBLANK(OFFSET(A$1,,,SUMPRODUCT(MAX(ROW(E$1:E618)*(E2=E$1:E618))))))</f>
        <v/>
      </c>
      <c r="K619" s="24" t="str">
        <f>IF(OR(E619="",E619="!!!",F619="NEW"),"",INDEX(J$1:J618,SUMPRODUCT(MAX(ROW(E$1:E618)*(E619=E$1:E618)))))</f>
        <v/>
      </c>
      <c r="L619" s="25"/>
    </row>
    <row r="620" spans="1:12" x14ac:dyDescent="0.3">
      <c r="A620" t="s">
        <v>322</v>
      </c>
      <c r="E620" s="20" t="str">
        <f t="shared" si="66"/>
        <v/>
      </c>
      <c r="F620" s="21" t="str">
        <f>IF(OR(E620="",E620="!!!"),"",IF(NOT(ISNA(VLOOKUP(E620,E$1:E619,1,FALSE()))),"OLD",IF(AND(E620&lt;&gt;"",E620&lt;&gt;"!!!"),"NEW","")))</f>
        <v/>
      </c>
      <c r="G620" s="22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/>
      </c>
      <c r="H620" s="23" t="str">
        <f t="shared" ca="1" si="67"/>
        <v/>
      </c>
      <c r="I620" s="24" t="str">
        <f>IF(OR(E620="",E620="!!!",F620="NEW"),"",INDEX(B$2:B619,-1+SUMPRODUCT(MAX(ROW(E$2:E619)*(E620=E$2:E619)))))</f>
        <v/>
      </c>
      <c r="J620" s="24" t="str">
        <f ca="1">IF(OR(E620="",E620="!!!",F620="NEW"),"",COUNTBLANK(OFFSET(A$1,,,SUMPRODUCT(MAX(ROW(E$2:E620)*(E620=E$2:E620)))))-COUNTBLANK(OFFSET(A$1,,,SUMPRODUCT(MAX(ROW(E$1:E619)*(E2=E$1:E619))))))</f>
        <v/>
      </c>
      <c r="K620" s="24" t="str">
        <f>IF(OR(E620="",E620="!!!",F620="NEW"),"",INDEX(J$1:J619,SUMPRODUCT(MAX(ROW(E$1:E619)*(E620=E$1:E619)))))</f>
        <v/>
      </c>
      <c r="L620" s="25"/>
    </row>
    <row r="621" spans="1:12" x14ac:dyDescent="0.3">
      <c r="A621" t="s">
        <v>386</v>
      </c>
      <c r="B621" s="26" t="s">
        <v>292</v>
      </c>
      <c r="E621" s="20" t="str">
        <f t="shared" si="66"/>
        <v/>
      </c>
      <c r="F621" s="21" t="str">
        <f>IF(OR(E621="",E621="!!!"),"",IF(NOT(ISNA(VLOOKUP(E621,E$1:E620,1,FALSE()))),"OLD",IF(AND(E621&lt;&gt;"",E621&lt;&gt;"!!!"),"NEW","")))</f>
        <v/>
      </c>
      <c r="G621" s="22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/>
      </c>
      <c r="H621" s="23" t="str">
        <f t="shared" ca="1" si="67"/>
        <v/>
      </c>
      <c r="I621" s="24" t="str">
        <f>IF(OR(E621="",E621="!!!",F621="NEW"),"",INDEX(B$2:B620,-1+SUMPRODUCT(MAX(ROW(E$2:E620)*(E621=E$2:E620)))))</f>
        <v/>
      </c>
      <c r="J621" s="24" t="str">
        <f ca="1">IF(OR(E621="",E621="!!!",F621="NEW"),"",COUNTBLANK(OFFSET(A$1,,,SUMPRODUCT(MAX(ROW(E$2:E621)*(E621=E$2:E621)))))-COUNTBLANK(OFFSET(A$1,,,SUMPRODUCT(MAX(ROW(E$1:E620)*(E2=E$1:E620))))))</f>
        <v/>
      </c>
      <c r="K621" s="24" t="str">
        <f>IF(OR(E621="",E621="!!!",F621="NEW"),"",INDEX(J$1:J620,SUMPRODUCT(MAX(ROW(E$1:E620)*(E621=E$1:E620)))))</f>
        <v/>
      </c>
      <c r="L621" s="25"/>
    </row>
    <row r="622" spans="1:12" x14ac:dyDescent="0.3">
      <c r="A622" t="s">
        <v>387</v>
      </c>
      <c r="E622" s="20" t="str">
        <f t="shared" si="66"/>
        <v/>
      </c>
      <c r="F622" s="21" t="str">
        <f>IF(OR(E622="",E622="!!!"),"",IF(NOT(ISNA(VLOOKUP(E622,E$1:E621,1,FALSE()))),"OLD",IF(AND(E622&lt;&gt;"",E622&lt;&gt;"!!!"),"NEW","")))</f>
        <v/>
      </c>
      <c r="G622" s="22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/>
      </c>
      <c r="H622" s="23" t="str">
        <f t="shared" ca="1" si="67"/>
        <v/>
      </c>
      <c r="I622" s="24" t="str">
        <f>IF(OR(E622="",E622="!!!",F622="NEW"),"",INDEX(B$2:B621,-1+SUMPRODUCT(MAX(ROW(E$2:E621)*(E622=E$2:E621)))))</f>
        <v/>
      </c>
      <c r="J622" s="24" t="str">
        <f ca="1">IF(OR(E622="",E622="!!!",F622="NEW"),"",COUNTBLANK(OFFSET(A$1,,,SUMPRODUCT(MAX(ROW(E$2:E622)*(E622=E$2:E622)))))-COUNTBLANK(OFFSET(A$1,,,SUMPRODUCT(MAX(ROW(E$1:E621)*(E2=E$1:E621))))))</f>
        <v/>
      </c>
      <c r="K622" s="24" t="str">
        <f>IF(OR(E622="",E622="!!!",F622="NEW"),"",INDEX(J$1:J621,SUMPRODUCT(MAX(ROW(E$1:E621)*(E622=E$1:E621)))))</f>
        <v/>
      </c>
      <c r="L622" s="25"/>
    </row>
    <row r="623" spans="1:12" x14ac:dyDescent="0.3">
      <c r="A623" t="s">
        <v>303</v>
      </c>
      <c r="E623" s="20" t="str">
        <f t="shared" si="66"/>
        <v/>
      </c>
      <c r="F623" s="21" t="str">
        <f>IF(OR(E623="",E623="!!!"),"",IF(NOT(ISNA(VLOOKUP(E623,E$1:E622,1,FALSE()))),"OLD",IF(AND(E623&lt;&gt;"",E623&lt;&gt;"!!!"),"NEW","")))</f>
        <v/>
      </c>
      <c r="G623" s="22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/>
      </c>
      <c r="H623" s="23" t="str">
        <f t="shared" ca="1" si="67"/>
        <v/>
      </c>
      <c r="I623" s="24" t="str">
        <f>IF(OR(E623="",E623="!!!",F623="NEW"),"",INDEX(B$2:B622,-1+SUMPRODUCT(MAX(ROW(E$2:E622)*(E623=E$2:E622)))))</f>
        <v/>
      </c>
      <c r="J623" s="24" t="str">
        <f ca="1">IF(OR(E623="",E623="!!!",F623="NEW"),"",COUNTBLANK(OFFSET(A$1,,,SUMPRODUCT(MAX(ROW(E$2:E623)*(E623=E$2:E623)))))-COUNTBLANK(OFFSET(A$1,,,SUMPRODUCT(MAX(ROW(E$1:E622)*(E2=E$1:E622))))))</f>
        <v/>
      </c>
      <c r="K623" s="24" t="str">
        <f>IF(OR(E623="",E623="!!!",F623="NEW"),"",INDEX(J$1:J622,SUMPRODUCT(MAX(ROW(E$1:E622)*(E623=E$1:E622)))))</f>
        <v/>
      </c>
      <c r="L623" s="25"/>
    </row>
    <row r="624" spans="1:12" x14ac:dyDescent="0.3">
      <c r="A624" t="s">
        <v>462</v>
      </c>
      <c r="B624" s="26" t="s">
        <v>238</v>
      </c>
      <c r="C624" s="26" t="s">
        <v>239</v>
      </c>
      <c r="D624" s="26" t="s">
        <v>240</v>
      </c>
      <c r="E624" s="20" t="str">
        <f t="shared" si="66"/>
        <v>!!!</v>
      </c>
      <c r="F624" s="21" t="str">
        <f>IF(OR(E624="",E624="!!!"),"",IF(NOT(ISNA(VLOOKUP(E624,E$1:E623,1,FALSE()))),"OLD",IF(AND(E624&lt;&gt;"",E624&lt;&gt;"!!!"),"NEW","")))</f>
        <v/>
      </c>
      <c r="G624" s="22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/>
      </c>
      <c r="H624" s="23" t="str">
        <f t="shared" ca="1" si="67"/>
        <v/>
      </c>
      <c r="I624" s="24" t="str">
        <f>IF(OR(E624="",E624="!!!",F624="NEW"),"",INDEX(B$2:B623,-1+SUMPRODUCT(MAX(ROW(E$2:E623)*(E624=E$2:E623)))))</f>
        <v/>
      </c>
      <c r="J624" s="24" t="str">
        <f ca="1">IF(OR(E624="",E624="!!!",F624="NEW"),"",COUNTBLANK(OFFSET(A$1,,,SUMPRODUCT(MAX(ROW(E$2:E624)*(E624=E$2:E624)))))-COUNTBLANK(OFFSET(A$1,,,SUMPRODUCT(MAX(ROW(E$1:E623)*(E2=E$1:E623))))))</f>
        <v/>
      </c>
      <c r="K624" s="24" t="str">
        <f>IF(OR(E624="",E624="!!!",F624="NEW"),"",INDEX(J$1:J623,SUMPRODUCT(MAX(ROW(E$1:E623)*(E624=E$1:E623)))))</f>
        <v/>
      </c>
      <c r="L624" s="25"/>
    </row>
    <row r="625" spans="1:12" x14ac:dyDescent="0.3">
      <c r="A625" t="s">
        <v>555</v>
      </c>
      <c r="E625" s="20" t="str">
        <f t="shared" si="66"/>
        <v/>
      </c>
      <c r="F625" s="21" t="str">
        <f>IF(OR(E625="",E625="!!!"),"",IF(NOT(ISNA(VLOOKUP(E625,E$1:E624,1,FALSE()))),"OLD",IF(AND(E625&lt;&gt;"",E625&lt;&gt;"!!!"),"NEW","")))</f>
        <v/>
      </c>
      <c r="G625" s="22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/>
      </c>
      <c r="H625" s="23" t="str">
        <f t="shared" ca="1" si="67"/>
        <v/>
      </c>
      <c r="I625" s="24" t="str">
        <f>IF(OR(E625="",E625="!!!",F625="NEW"),"",INDEX(B$2:B624,-1+SUMPRODUCT(MAX(ROW(E$2:E624)*(E625=E$2:E624)))))</f>
        <v/>
      </c>
      <c r="J625" s="24" t="str">
        <f ca="1">IF(OR(E625="",E625="!!!",F625="NEW"),"",COUNTBLANK(OFFSET(A$1,,,SUMPRODUCT(MAX(ROW(E$2:E625)*(E625=E$2:E625)))))-COUNTBLANK(OFFSET(A$1,,,SUMPRODUCT(MAX(ROW(E$1:E624)*(E2=E$1:E624))))))</f>
        <v/>
      </c>
      <c r="K625" s="24" t="str">
        <f>IF(OR(E625="",E625="!!!",F625="NEW"),"",INDEX(J$1:J624,SUMPRODUCT(MAX(ROW(E$1:E624)*(E625=E$1:E624)))))</f>
        <v/>
      </c>
      <c r="L625" s="25"/>
    </row>
    <row r="626" spans="1:12" x14ac:dyDescent="0.3">
      <c r="A626" t="s">
        <v>248</v>
      </c>
      <c r="E626" s="20" t="str">
        <f t="shared" si="66"/>
        <v/>
      </c>
      <c r="F626" s="21" t="str">
        <f>IF(OR(E626="",E626="!!!"),"",IF(NOT(ISNA(VLOOKUP(E626,E$1:E625,1,FALSE()))),"OLD",IF(AND(E626&lt;&gt;"",E626&lt;&gt;"!!!"),"NEW","")))</f>
        <v/>
      </c>
      <c r="G626" s="22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/>
      </c>
      <c r="H626" s="23" t="str">
        <f t="shared" ca="1" si="67"/>
        <v/>
      </c>
      <c r="I626" s="24" t="str">
        <f>IF(OR(E626="",E626="!!!",F626="NEW"),"",INDEX(B$2:B625,-1+SUMPRODUCT(MAX(ROW(E$2:E625)*(E626=E$2:E625)))))</f>
        <v/>
      </c>
      <c r="J626" s="24" t="str">
        <f ca="1">IF(OR(E626="",E626="!!!",F626="NEW"),"",COUNTBLANK(OFFSET(A$1,,,SUMPRODUCT(MAX(ROW(E$2:E626)*(E626=E$2:E626)))))-COUNTBLANK(OFFSET(A$1,,,SUMPRODUCT(MAX(ROW(E$1:E625)*(E2=E$1:E625))))))</f>
        <v/>
      </c>
      <c r="K626" s="24" t="str">
        <f>IF(OR(E626="",E626="!!!",F626="NEW"),"",INDEX(J$1:J625,SUMPRODUCT(MAX(ROW(E$1:E625)*(E626=E$1:E625)))))</f>
        <v/>
      </c>
      <c r="L626" s="25"/>
    </row>
    <row r="628" spans="1:12" x14ac:dyDescent="0.3">
      <c r="A628" t="s">
        <v>556</v>
      </c>
    </row>
    <row r="629" spans="1:12" x14ac:dyDescent="0.3">
      <c r="A629" t="s">
        <v>557</v>
      </c>
      <c r="B629" s="26" t="s">
        <v>243</v>
      </c>
      <c r="C629" s="26" t="s">
        <v>244</v>
      </c>
      <c r="D629" s="26" t="s">
        <v>240</v>
      </c>
      <c r="E629" s="20" t="str">
        <f t="shared" ref="E629:E645" si="68">IF(D629="?OLD","!!!","")</f>
        <v>!!!</v>
      </c>
      <c r="F629" s="21" t="str">
        <f>IF(OR(E629="",E629="!!!"),"",IF(NOT(ISNA(VLOOKUP(E629,E$1:E628,1,FALSE()))),"OLD",IF(AND(E629&lt;&gt;"",E629&lt;&gt;"!!!"),"NEW","")))</f>
        <v/>
      </c>
      <c r="G629" s="22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/>
      </c>
      <c r="H629" s="23" t="str">
        <f t="shared" ref="H629:H645" ca="1" si="69">IF(J629&lt;&gt;1,"",IF(I629="SBJ","CB","?"))</f>
        <v/>
      </c>
      <c r="I629" s="24" t="str">
        <f>IF(OR(E629="",E629="!!!",F629="NEW"),"",INDEX(B$2:B628,-1+SUMPRODUCT(MAX(ROW(E$2:E628)*(E629=E$2:E628)))))</f>
        <v/>
      </c>
      <c r="J629" s="24" t="str">
        <f ca="1">IF(OR(E629="",E629="!!!",F629="NEW"),"",COUNTBLANK(OFFSET(A$1,,,SUMPRODUCT(MAX(ROW(E$2:E629)*(E629=E$2:E629)))))-COUNTBLANK(OFFSET(A$1,,,SUMPRODUCT(MAX(ROW(E$1:E628)*(E2=E$1:E628))))))</f>
        <v/>
      </c>
      <c r="K629" s="24" t="str">
        <f>IF(OR(E629="",E629="!!!",F629="NEW"),"",INDEX(J$1:J628,SUMPRODUCT(MAX(ROW(E$1:E628)*(E629=E$1:E628)))))</f>
        <v/>
      </c>
      <c r="L629" s="25"/>
    </row>
    <row r="630" spans="1:12" x14ac:dyDescent="0.3">
      <c r="A630" t="s">
        <v>558</v>
      </c>
      <c r="E630" s="20" t="str">
        <f t="shared" si="68"/>
        <v/>
      </c>
      <c r="F630" s="21" t="str">
        <f>IF(OR(E630="",E630="!!!"),"",IF(NOT(ISNA(VLOOKUP(E630,E$1:E629,1,FALSE()))),"OLD",IF(AND(E630&lt;&gt;"",E630&lt;&gt;"!!!"),"NEW","")))</f>
        <v/>
      </c>
      <c r="G630" s="22" t="str">
        <f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/>
      </c>
      <c r="H630" s="23" t="str">
        <f t="shared" ca="1" si="69"/>
        <v/>
      </c>
      <c r="I630" s="24" t="str">
        <f>IF(OR(E630="",E630="!!!",F630="NEW"),"",INDEX(B$2:B629,-1+SUMPRODUCT(MAX(ROW(E$2:E629)*(E630=E$2:E629)))))</f>
        <v/>
      </c>
      <c r="J630" s="24" t="str">
        <f ca="1">IF(OR(E630="",E630="!!!",F630="NEW"),"",COUNTBLANK(OFFSET(A$1,,,SUMPRODUCT(MAX(ROW(E$2:E630)*(E630=E$2:E630)))))-COUNTBLANK(OFFSET(A$1,,,SUMPRODUCT(MAX(ROW(E$1:E629)*(E2=E$1:E629))))))</f>
        <v/>
      </c>
      <c r="K630" s="24" t="str">
        <f>IF(OR(E630="",E630="!!!",F630="NEW"),"",INDEX(J$1:J629,SUMPRODUCT(MAX(ROW(E$1:E629)*(E630=E$1:E629)))))</f>
        <v/>
      </c>
      <c r="L630" s="25"/>
    </row>
    <row r="631" spans="1:12" x14ac:dyDescent="0.3">
      <c r="A631" t="s">
        <v>393</v>
      </c>
      <c r="E631" s="20" t="str">
        <f t="shared" si="68"/>
        <v/>
      </c>
      <c r="F631" s="21" t="str">
        <f>IF(OR(E631="",E631="!!!"),"",IF(NOT(ISNA(VLOOKUP(E631,E$1:E630,1,FALSE()))),"OLD",IF(AND(E631&lt;&gt;"",E631&lt;&gt;"!!!"),"NEW","")))</f>
        <v/>
      </c>
      <c r="G631" s="22" t="str">
        <f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/>
      </c>
      <c r="H631" s="23" t="str">
        <f t="shared" ca="1" si="69"/>
        <v/>
      </c>
      <c r="I631" s="24" t="str">
        <f>IF(OR(E631="",E631="!!!",F631="NEW"),"",INDEX(B$2:B630,-1+SUMPRODUCT(MAX(ROW(E$2:E630)*(E631=E$2:E630)))))</f>
        <v/>
      </c>
      <c r="J631" s="24" t="str">
        <f ca="1">IF(OR(E631="",E631="!!!",F631="NEW"),"",COUNTBLANK(OFFSET(A$1,,,SUMPRODUCT(MAX(ROW(E$2:E631)*(E631=E$2:E631)))))-COUNTBLANK(OFFSET(A$1,,,SUMPRODUCT(MAX(ROW(E$1:E630)*(E2=E$1:E630))))))</f>
        <v/>
      </c>
      <c r="K631" s="24" t="str">
        <f>IF(OR(E631="",E631="!!!",F631="NEW"),"",INDEX(J$1:J630,SUMPRODUCT(MAX(ROW(E$1:E630)*(E631=E$1:E630)))))</f>
        <v/>
      </c>
      <c r="L631" s="25"/>
    </row>
    <row r="632" spans="1:12" x14ac:dyDescent="0.3">
      <c r="A632" t="s">
        <v>559</v>
      </c>
      <c r="B632" s="26" t="s">
        <v>292</v>
      </c>
      <c r="C632" s="26" t="s">
        <v>239</v>
      </c>
      <c r="D632" s="26" t="s">
        <v>240</v>
      </c>
      <c r="E632" s="20" t="str">
        <f t="shared" si="68"/>
        <v>!!!</v>
      </c>
      <c r="F632" s="21" t="str">
        <f>IF(OR(E632="",E632="!!!"),"",IF(NOT(ISNA(VLOOKUP(E632,E$1:E631,1,FALSE()))),"OLD",IF(AND(E632&lt;&gt;"",E632&lt;&gt;"!!!"),"NEW","")))</f>
        <v/>
      </c>
      <c r="G632" s="22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/>
      </c>
      <c r="H632" s="23" t="str">
        <f t="shared" ca="1" si="69"/>
        <v/>
      </c>
      <c r="I632" s="24" t="str">
        <f>IF(OR(E632="",E632="!!!",F632="NEW"),"",INDEX(B$2:B631,-1+SUMPRODUCT(MAX(ROW(E$2:E631)*(E632=E$2:E631)))))</f>
        <v/>
      </c>
      <c r="J632" s="24" t="str">
        <f ca="1">IF(OR(E632="",E632="!!!",F632="NEW"),"",COUNTBLANK(OFFSET(A$1,,,SUMPRODUCT(MAX(ROW(E$2:E632)*(E632=E$2:E632)))))-COUNTBLANK(OFFSET(A$1,,,SUMPRODUCT(MAX(ROW(E$1:E631)*(E2=E$1:E631))))))</f>
        <v/>
      </c>
      <c r="K632" s="24" t="str">
        <f>IF(OR(E632="",E632="!!!",F632="NEW"),"",INDEX(J$1:J631,SUMPRODUCT(MAX(ROW(E$1:E631)*(E632=E$1:E631)))))</f>
        <v/>
      </c>
      <c r="L632" s="25"/>
    </row>
    <row r="633" spans="1:12" x14ac:dyDescent="0.3">
      <c r="A633" t="s">
        <v>363</v>
      </c>
      <c r="E633" s="20" t="str">
        <f t="shared" si="68"/>
        <v/>
      </c>
      <c r="F633" s="21" t="str">
        <f>IF(OR(E633="",E633="!!!"),"",IF(NOT(ISNA(VLOOKUP(E633,E$1:E632,1,FALSE()))),"OLD",IF(AND(E633&lt;&gt;"",E633&lt;&gt;"!!!"),"NEW","")))</f>
        <v/>
      </c>
      <c r="G633" s="22" t="str">
        <f>IF(OR(E633="",E633="!!!"),"",IF(OR(J633=0,AND(J633=1,K633=1),AND(J633=1,I633="SBJ"),AND(J633=1,I633=0)),"?IN_FOCUS",IF(J633&lt;=2,"?ACTIVATED",IF(J633&lt;&gt;"","?FAMILIAR",IF(F633="NEW",IF(ISNA(VLOOKUP(E633,#REF!,1,FALSE())),"?TYPE_IDENTIFIABLE","?REFERENTIAL"),"_")))))</f>
        <v/>
      </c>
      <c r="H633" s="23" t="str">
        <f t="shared" ca="1" si="69"/>
        <v/>
      </c>
      <c r="I633" s="24" t="str">
        <f>IF(OR(E633="",E633="!!!",F633="NEW"),"",INDEX(B$2:B632,-1+SUMPRODUCT(MAX(ROW(E$2:E632)*(E633=E$2:E632)))))</f>
        <v/>
      </c>
      <c r="J633" s="24" t="str">
        <f ca="1">IF(OR(E633="",E633="!!!",F633="NEW"),"",COUNTBLANK(OFFSET(A$1,,,SUMPRODUCT(MAX(ROW(E$2:E633)*(E633=E$2:E633)))))-COUNTBLANK(OFFSET(A$1,,,SUMPRODUCT(MAX(ROW(E$1:E632)*(E2=E$1:E632))))))</f>
        <v/>
      </c>
      <c r="K633" s="24" t="str">
        <f>IF(OR(E633="",E633="!!!",F633="NEW"),"",INDEX(J$1:J632,SUMPRODUCT(MAX(ROW(E$1:E632)*(E633=E$1:E632)))))</f>
        <v/>
      </c>
      <c r="L633" s="25"/>
    </row>
    <row r="634" spans="1:12" x14ac:dyDescent="0.3">
      <c r="A634" t="s">
        <v>560</v>
      </c>
      <c r="B634" s="26" t="s">
        <v>261</v>
      </c>
      <c r="C634" s="26" t="s">
        <v>239</v>
      </c>
      <c r="D634" s="26" t="s">
        <v>240</v>
      </c>
      <c r="E634" s="20" t="str">
        <f t="shared" si="68"/>
        <v>!!!</v>
      </c>
      <c r="F634" s="21" t="str">
        <f>IF(OR(E634="",E634="!!!"),"",IF(NOT(ISNA(VLOOKUP(E634,E$1:E633,1,FALSE()))),"OLD",IF(AND(E634&lt;&gt;"",E634&lt;&gt;"!!!"),"NEW","")))</f>
        <v/>
      </c>
      <c r="G634" s="22" t="str">
        <f>IF(OR(E634="",E634="!!!"),"",IF(OR(J634=0,AND(J634=1,K634=1),AND(J634=1,I634="SBJ"),AND(J634=1,I634=0)),"?IN_FOCUS",IF(J634&lt;=2,"?ACTIVATED",IF(J634&lt;&gt;"","?FAMILIAR",IF(F634="NEW",IF(ISNA(VLOOKUP(E634,#REF!,1,FALSE())),"?TYPE_IDENTIFIABLE","?REFERENTIAL"),"_")))))</f>
        <v/>
      </c>
      <c r="H634" s="23" t="str">
        <f t="shared" ca="1" si="69"/>
        <v/>
      </c>
      <c r="I634" s="24" t="str">
        <f>IF(OR(E634="",E634="!!!",F634="NEW"),"",INDEX(B$2:B633,-1+SUMPRODUCT(MAX(ROW(E$2:E633)*(E634=E$2:E633)))))</f>
        <v/>
      </c>
      <c r="J634" s="24" t="str">
        <f ca="1">IF(OR(E634="",E634="!!!",F634="NEW"),"",COUNTBLANK(OFFSET(A$1,,,SUMPRODUCT(MAX(ROW(E$2:E634)*(E634=E$2:E634)))))-COUNTBLANK(OFFSET(A$1,,,SUMPRODUCT(MAX(ROW(E$1:E633)*(E2=E$1:E633))))))</f>
        <v/>
      </c>
      <c r="K634" s="24" t="str">
        <f>IF(OR(E634="",E634="!!!",F634="NEW"),"",INDEX(J$1:J633,SUMPRODUCT(MAX(ROW(E$1:E633)*(E634=E$1:E633)))))</f>
        <v/>
      </c>
      <c r="L634" s="25"/>
    </row>
    <row r="635" spans="1:12" x14ac:dyDescent="0.3">
      <c r="A635" t="s">
        <v>561</v>
      </c>
      <c r="E635" s="20" t="str">
        <f t="shared" si="68"/>
        <v/>
      </c>
      <c r="F635" s="21" t="str">
        <f>IF(OR(E635="",E635="!!!"),"",IF(NOT(ISNA(VLOOKUP(E635,E$1:E634,1,FALSE()))),"OLD",IF(AND(E635&lt;&gt;"",E635&lt;&gt;"!!!"),"NEW","")))</f>
        <v/>
      </c>
      <c r="G635" s="22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/>
      </c>
      <c r="H635" s="23" t="str">
        <f t="shared" ca="1" si="69"/>
        <v/>
      </c>
      <c r="I635" s="24" t="str">
        <f>IF(OR(E635="",E635="!!!",F635="NEW"),"",INDEX(B$2:B634,-1+SUMPRODUCT(MAX(ROW(E$2:E634)*(E635=E$2:E634)))))</f>
        <v/>
      </c>
      <c r="J635" s="24" t="str">
        <f ca="1">IF(OR(E635="",E635="!!!",F635="NEW"),"",COUNTBLANK(OFFSET(A$1,,,SUMPRODUCT(MAX(ROW(E$2:E635)*(E635=E$2:E635)))))-COUNTBLANK(OFFSET(A$1,,,SUMPRODUCT(MAX(ROW(E$1:E634)*(E2=E$1:E634))))))</f>
        <v/>
      </c>
      <c r="K635" s="24" t="str">
        <f>IF(OR(E635="",E635="!!!",F635="NEW"),"",INDEX(J$1:J634,SUMPRODUCT(MAX(ROW(E$1:E634)*(E635=E$1:E634)))))</f>
        <v/>
      </c>
      <c r="L635" s="25"/>
    </row>
    <row r="636" spans="1:12" x14ac:dyDescent="0.3">
      <c r="A636" t="s">
        <v>278</v>
      </c>
      <c r="E636" s="20" t="str">
        <f t="shared" si="68"/>
        <v/>
      </c>
      <c r="F636" s="21" t="str">
        <f>IF(OR(E636="",E636="!!!"),"",IF(NOT(ISNA(VLOOKUP(E636,E$1:E635,1,FALSE()))),"OLD",IF(AND(E636&lt;&gt;"",E636&lt;&gt;"!!!"),"NEW","")))</f>
        <v/>
      </c>
      <c r="G636" s="22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/>
      </c>
      <c r="H636" s="23" t="str">
        <f t="shared" ca="1" si="69"/>
        <v/>
      </c>
      <c r="I636" s="24" t="str">
        <f>IF(OR(E636="",E636="!!!",F636="NEW"),"",INDEX(B$2:B635,-1+SUMPRODUCT(MAX(ROW(E$2:E635)*(E636=E$2:E635)))))</f>
        <v/>
      </c>
      <c r="J636" s="24" t="str">
        <f ca="1">IF(OR(E636="",E636="!!!",F636="NEW"),"",COUNTBLANK(OFFSET(A$1,,,SUMPRODUCT(MAX(ROW(E$2:E636)*(E636=E$2:E636)))))-COUNTBLANK(OFFSET(A$1,,,SUMPRODUCT(MAX(ROW(E$1:E635)*(E2=E$1:E635))))))</f>
        <v/>
      </c>
      <c r="K636" s="24" t="str">
        <f>IF(OR(E636="",E636="!!!",F636="NEW"),"",INDEX(J$1:J635,SUMPRODUCT(MAX(ROW(E$1:E635)*(E636=E$1:E635)))))</f>
        <v/>
      </c>
      <c r="L636" s="25"/>
    </row>
    <row r="637" spans="1:12" x14ac:dyDescent="0.3">
      <c r="A637" t="s">
        <v>254</v>
      </c>
      <c r="B637" s="26" t="s">
        <v>255</v>
      </c>
      <c r="C637" s="26" t="s">
        <v>256</v>
      </c>
      <c r="D637" s="26" t="s">
        <v>240</v>
      </c>
      <c r="E637" s="20" t="str">
        <f t="shared" si="68"/>
        <v>!!!</v>
      </c>
      <c r="F637" s="21" t="str">
        <f>IF(OR(E637="",E637="!!!"),"",IF(NOT(ISNA(VLOOKUP(E637,E$1:E636,1,FALSE()))),"OLD",IF(AND(E637&lt;&gt;"",E637&lt;&gt;"!!!"),"NEW","")))</f>
        <v/>
      </c>
      <c r="G637" s="22" t="str">
        <f>IF(OR(E637="",E637="!!!"),"",IF(OR(J637=0,AND(J637=1,K637=1),AND(J637=1,I637="SBJ"),AND(J637=1,I637=0)),"?IN_FOCUS",IF(J637&lt;=2,"?ACTIVATED",IF(J637&lt;&gt;"","?FAMILIAR",IF(F637="NEW",IF(ISNA(VLOOKUP(E637,#REF!,1,FALSE())),"?TYPE_IDENTIFIABLE","?REFERENTIAL"),"_")))))</f>
        <v/>
      </c>
      <c r="H637" s="23" t="str">
        <f t="shared" ca="1" si="69"/>
        <v/>
      </c>
      <c r="I637" s="24" t="str">
        <f>IF(OR(E637="",E637="!!!",F637="NEW"),"",INDEX(B$2:B636,-1+SUMPRODUCT(MAX(ROW(E$2:E636)*(E637=E$2:E636)))))</f>
        <v/>
      </c>
      <c r="J637" s="24" t="str">
        <f ca="1">IF(OR(E637="",E637="!!!",F637="NEW"),"",COUNTBLANK(OFFSET(A$1,,,SUMPRODUCT(MAX(ROW(E$2:E637)*(E637=E$2:E637)))))-COUNTBLANK(OFFSET(A$1,,,SUMPRODUCT(MAX(ROW(E$1:E636)*(E2=E$1:E636))))))</f>
        <v/>
      </c>
      <c r="K637" s="24" t="str">
        <f>IF(OR(E637="",E637="!!!",F637="NEW"),"",INDEX(J$1:J636,SUMPRODUCT(MAX(ROW(E$1:E636)*(E637=E$1:E636)))))</f>
        <v/>
      </c>
      <c r="L637" s="25"/>
    </row>
    <row r="638" spans="1:12" x14ac:dyDescent="0.3">
      <c r="A638" t="s">
        <v>401</v>
      </c>
      <c r="E638" s="20" t="str">
        <f t="shared" si="68"/>
        <v/>
      </c>
      <c r="F638" s="21" t="str">
        <f>IF(OR(E638="",E638="!!!"),"",IF(NOT(ISNA(VLOOKUP(E638,E$1:E637,1,FALSE()))),"OLD",IF(AND(E638&lt;&gt;"",E638&lt;&gt;"!!!"),"NEW","")))</f>
        <v/>
      </c>
      <c r="G638" s="22" t="str">
        <f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/>
      </c>
      <c r="H638" s="23" t="str">
        <f t="shared" ca="1" si="69"/>
        <v/>
      </c>
      <c r="I638" s="24" t="str">
        <f>IF(OR(E638="",E638="!!!",F638="NEW"),"",INDEX(B$2:B637,-1+SUMPRODUCT(MAX(ROW(E$2:E637)*(E638=E$2:E637)))))</f>
        <v/>
      </c>
      <c r="J638" s="24" t="str">
        <f ca="1">IF(OR(E638="",E638="!!!",F638="NEW"),"",COUNTBLANK(OFFSET(A$1,,,SUMPRODUCT(MAX(ROW(E$2:E638)*(E638=E$2:E638)))))-COUNTBLANK(OFFSET(A$1,,,SUMPRODUCT(MAX(ROW(E$1:E637)*(E2=E$1:E637))))))</f>
        <v/>
      </c>
      <c r="K638" s="24" t="str">
        <f>IF(OR(E638="",E638="!!!",F638="NEW"),"",INDEX(J$1:J637,SUMPRODUCT(MAX(ROW(E$1:E637)*(E638=E$1:E637)))))</f>
        <v/>
      </c>
      <c r="L638" s="25"/>
    </row>
    <row r="639" spans="1:12" x14ac:dyDescent="0.3">
      <c r="A639" t="s">
        <v>366</v>
      </c>
      <c r="E639" s="20" t="str">
        <f t="shared" si="68"/>
        <v/>
      </c>
      <c r="F639" s="21" t="str">
        <f>IF(OR(E639="",E639="!!!"),"",IF(NOT(ISNA(VLOOKUP(E639,E$1:E638,1,FALSE()))),"OLD",IF(AND(E639&lt;&gt;"",E639&lt;&gt;"!!!"),"NEW","")))</f>
        <v/>
      </c>
      <c r="G639" s="22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/>
      </c>
      <c r="H639" s="23" t="str">
        <f t="shared" ca="1" si="69"/>
        <v/>
      </c>
      <c r="I639" s="24" t="str">
        <f>IF(OR(E639="",E639="!!!",F639="NEW"),"",INDEX(B$2:B638,-1+SUMPRODUCT(MAX(ROW(E$2:E638)*(E639=E$2:E638)))))</f>
        <v/>
      </c>
      <c r="J639" s="24" t="str">
        <f ca="1">IF(OR(E639="",E639="!!!",F639="NEW"),"",COUNTBLANK(OFFSET(A$1,,,SUMPRODUCT(MAX(ROW(E$2:E639)*(E639=E$2:E639)))))-COUNTBLANK(OFFSET(A$1,,,SUMPRODUCT(MAX(ROW(E$1:E638)*(E2=E$1:E638))))))</f>
        <v/>
      </c>
      <c r="K639" s="24" t="str">
        <f>IF(OR(E639="",E639="!!!",F639="NEW"),"",INDEX(J$1:J638,SUMPRODUCT(MAX(ROW(E$1:E638)*(E639=E$1:E638)))))</f>
        <v/>
      </c>
      <c r="L639" s="25"/>
    </row>
    <row r="640" spans="1:12" x14ac:dyDescent="0.3">
      <c r="A640" t="s">
        <v>546</v>
      </c>
      <c r="B640" s="26" t="s">
        <v>261</v>
      </c>
      <c r="C640" s="26" t="s">
        <v>244</v>
      </c>
      <c r="D640" s="26" t="s">
        <v>240</v>
      </c>
      <c r="E640" s="20" t="str">
        <f t="shared" si="68"/>
        <v>!!!</v>
      </c>
      <c r="F640" s="21" t="str">
        <f>IF(OR(E640="",E640="!!!"),"",IF(NOT(ISNA(VLOOKUP(E640,E$1:E639,1,FALSE()))),"OLD",IF(AND(E640&lt;&gt;"",E640&lt;&gt;"!!!"),"NEW","")))</f>
        <v/>
      </c>
      <c r="G640" s="22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/>
      </c>
      <c r="H640" s="23" t="str">
        <f t="shared" ca="1" si="69"/>
        <v/>
      </c>
      <c r="I640" s="24" t="str">
        <f>IF(OR(E640="",E640="!!!",F640="NEW"),"",INDEX(B$2:B639,-1+SUMPRODUCT(MAX(ROW(E$2:E639)*(E640=E$2:E639)))))</f>
        <v/>
      </c>
      <c r="J640" s="24" t="str">
        <f ca="1">IF(OR(E640="",E640="!!!",F640="NEW"),"",COUNTBLANK(OFFSET(A$1,,,SUMPRODUCT(MAX(ROW(E$2:E640)*(E640=E$2:E640)))))-COUNTBLANK(OFFSET(A$1,,,SUMPRODUCT(MAX(ROW(E$1:E639)*(E2=E$1:E639))))))</f>
        <v/>
      </c>
      <c r="K640" s="24" t="str">
        <f>IF(OR(E640="",E640="!!!",F640="NEW"),"",INDEX(J$1:J639,SUMPRODUCT(MAX(ROW(E$1:E639)*(E640=E$1:E639)))))</f>
        <v/>
      </c>
      <c r="L640" s="25"/>
    </row>
    <row r="641" spans="1:12" x14ac:dyDescent="0.3">
      <c r="A641" t="s">
        <v>562</v>
      </c>
      <c r="E641" s="20" t="str">
        <f t="shared" si="68"/>
        <v/>
      </c>
      <c r="F641" s="21" t="str">
        <f>IF(OR(E641="",E641="!!!"),"",IF(NOT(ISNA(VLOOKUP(E641,E$1:E640,1,FALSE()))),"OLD",IF(AND(E641&lt;&gt;"",E641&lt;&gt;"!!!"),"NEW","")))</f>
        <v/>
      </c>
      <c r="G641" s="22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/>
      </c>
      <c r="H641" s="23" t="str">
        <f t="shared" ca="1" si="69"/>
        <v/>
      </c>
      <c r="I641" s="24" t="str">
        <f>IF(OR(E641="",E641="!!!",F641="NEW"),"",INDEX(B$2:B640,-1+SUMPRODUCT(MAX(ROW(E$2:E640)*(E641=E$2:E640)))))</f>
        <v/>
      </c>
      <c r="J641" s="24" t="str">
        <f ca="1">IF(OR(E641="",E641="!!!",F641="NEW"),"",COUNTBLANK(OFFSET(A$1,,,SUMPRODUCT(MAX(ROW(E$2:E641)*(E641=E$2:E641)))))-COUNTBLANK(OFFSET(A$1,,,SUMPRODUCT(MAX(ROW(E$1:E640)*(E2=E$1:E640))))))</f>
        <v/>
      </c>
      <c r="K641" s="24" t="str">
        <f>IF(OR(E641="",E641="!!!",F641="NEW"),"",INDEX(J$1:J640,SUMPRODUCT(MAX(ROW(E$1:E640)*(E641=E$1:E640)))))</f>
        <v/>
      </c>
      <c r="L641" s="25"/>
    </row>
    <row r="642" spans="1:12" x14ac:dyDescent="0.3">
      <c r="A642" t="s">
        <v>372</v>
      </c>
      <c r="E642" s="20" t="str">
        <f t="shared" si="68"/>
        <v/>
      </c>
      <c r="F642" s="21" t="str">
        <f>IF(OR(E642="",E642="!!!"),"",IF(NOT(ISNA(VLOOKUP(E642,E$1:E641,1,FALSE()))),"OLD",IF(AND(E642&lt;&gt;"",E642&lt;&gt;"!!!"),"NEW","")))</f>
        <v/>
      </c>
      <c r="G642" s="22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/>
      </c>
      <c r="H642" s="23" t="str">
        <f t="shared" ca="1" si="69"/>
        <v/>
      </c>
      <c r="I642" s="24" t="str">
        <f>IF(OR(E642="",E642="!!!",F642="NEW"),"",INDEX(B$2:B641,-1+SUMPRODUCT(MAX(ROW(E$2:E641)*(E642=E$2:E641)))))</f>
        <v/>
      </c>
      <c r="J642" s="24" t="str">
        <f ca="1">IF(OR(E642="",E642="!!!",F642="NEW"),"",COUNTBLANK(OFFSET(A$1,,,SUMPRODUCT(MAX(ROW(E$2:E642)*(E642=E$2:E642)))))-COUNTBLANK(OFFSET(A$1,,,SUMPRODUCT(MAX(ROW(E$1:E641)*(E2=E$1:E641))))))</f>
        <v/>
      </c>
      <c r="K642" s="24" t="str">
        <f>IF(OR(E642="",E642="!!!",F642="NEW"),"",INDEX(J$1:J641,SUMPRODUCT(MAX(ROW(E$1:E641)*(E642=E$1:E641)))))</f>
        <v/>
      </c>
      <c r="L642" s="25"/>
    </row>
    <row r="643" spans="1:12" x14ac:dyDescent="0.3">
      <c r="A643" t="s">
        <v>563</v>
      </c>
      <c r="E643" s="20" t="str">
        <f t="shared" si="68"/>
        <v/>
      </c>
      <c r="F643" s="21" t="str">
        <f>IF(OR(E643="",E643="!!!"),"",IF(NOT(ISNA(VLOOKUP(E643,E$1:E642,1,FALSE()))),"OLD",IF(AND(E643&lt;&gt;"",E643&lt;&gt;"!!!"),"NEW","")))</f>
        <v/>
      </c>
      <c r="G643" s="22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/>
      </c>
      <c r="H643" s="23" t="str">
        <f t="shared" ca="1" si="69"/>
        <v/>
      </c>
      <c r="I643" s="24" t="str">
        <f>IF(OR(E643="",E643="!!!",F643="NEW"),"",INDEX(B$2:B642,-1+SUMPRODUCT(MAX(ROW(E$2:E642)*(E643=E$2:E642)))))</f>
        <v/>
      </c>
      <c r="J643" s="24" t="str">
        <f ca="1">IF(OR(E643="",E643="!!!",F643="NEW"),"",COUNTBLANK(OFFSET(A$1,,,SUMPRODUCT(MAX(ROW(E$2:E643)*(E643=E$2:E643)))))-COUNTBLANK(OFFSET(A$1,,,SUMPRODUCT(MAX(ROW(E$1:E642)*(E2=E$1:E642))))))</f>
        <v/>
      </c>
      <c r="K643" s="24" t="str">
        <f>IF(OR(E643="",E643="!!!",F643="NEW"),"",INDEX(J$1:J642,SUMPRODUCT(MAX(ROW(E$1:E642)*(E643=E$1:E642)))))</f>
        <v/>
      </c>
      <c r="L643" s="25"/>
    </row>
    <row r="644" spans="1:12" x14ac:dyDescent="0.3">
      <c r="A644" t="s">
        <v>564</v>
      </c>
      <c r="B644" s="26" t="s">
        <v>261</v>
      </c>
      <c r="C644" s="26" t="s">
        <v>262</v>
      </c>
      <c r="E644" s="20" t="str">
        <f t="shared" si="68"/>
        <v/>
      </c>
      <c r="F644" s="21" t="str">
        <f>IF(OR(E644="",E644="!!!"),"",IF(NOT(ISNA(VLOOKUP(E644,E$1:E643,1,FALSE()))),"OLD",IF(AND(E644&lt;&gt;"",E644&lt;&gt;"!!!"),"NEW","")))</f>
        <v/>
      </c>
      <c r="G644" s="22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/>
      </c>
      <c r="H644" s="23" t="str">
        <f t="shared" ca="1" si="69"/>
        <v/>
      </c>
      <c r="I644" s="24" t="str">
        <f>IF(OR(E644="",E644="!!!",F644="NEW"),"",INDEX(B$2:B643,-1+SUMPRODUCT(MAX(ROW(E$2:E643)*(E644=E$2:E643)))))</f>
        <v/>
      </c>
      <c r="J644" s="24" t="str">
        <f ca="1">IF(OR(E644="",E644="!!!",F644="NEW"),"",COUNTBLANK(OFFSET(A$1,,,SUMPRODUCT(MAX(ROW(E$2:E644)*(E644=E$2:E644)))))-COUNTBLANK(OFFSET(A$1,,,SUMPRODUCT(MAX(ROW(E$1:E643)*(E2=E$1:E643))))))</f>
        <v/>
      </c>
      <c r="K644" s="24" t="str">
        <f>IF(OR(E644="",E644="!!!",F644="NEW"),"",INDEX(J$1:J643,SUMPRODUCT(MAX(ROW(E$1:E643)*(E644=E$1:E643)))))</f>
        <v/>
      </c>
      <c r="L644" s="25"/>
    </row>
    <row r="645" spans="1:12" x14ac:dyDescent="0.3">
      <c r="A645" t="s">
        <v>248</v>
      </c>
      <c r="E645" s="20" t="str">
        <f t="shared" si="68"/>
        <v/>
      </c>
      <c r="F645" s="21" t="str">
        <f>IF(OR(E645="",E645="!!!"),"",IF(NOT(ISNA(VLOOKUP(E645,E$1:E644,1,FALSE()))),"OLD",IF(AND(E645&lt;&gt;"",E645&lt;&gt;"!!!"),"NEW","")))</f>
        <v/>
      </c>
      <c r="G645" s="22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/>
      </c>
      <c r="H645" s="23" t="str">
        <f t="shared" ca="1" si="69"/>
        <v/>
      </c>
      <c r="I645" s="24" t="str">
        <f>IF(OR(E645="",E645="!!!",F645="NEW"),"",INDEX(B$2:B644,-1+SUMPRODUCT(MAX(ROW(E$2:E644)*(E645=E$2:E644)))))</f>
        <v/>
      </c>
      <c r="J645" s="24" t="str">
        <f ca="1">IF(OR(E645="",E645="!!!",F645="NEW"),"",COUNTBLANK(OFFSET(A$1,,,SUMPRODUCT(MAX(ROW(E$2:E645)*(E645=E$2:E645)))))-COUNTBLANK(OFFSET(A$1,,,SUMPRODUCT(MAX(ROW(E$1:E644)*(E2=E$1:E644))))))</f>
        <v/>
      </c>
      <c r="K645" s="24" t="str">
        <f>IF(OR(E645="",E645="!!!",F645="NEW"),"",INDEX(J$1:J644,SUMPRODUCT(MAX(ROW(E$1:E644)*(E645=E$1:E644)))))</f>
        <v/>
      </c>
      <c r="L645" s="25"/>
    </row>
    <row r="647" spans="1:12" x14ac:dyDescent="0.3">
      <c r="A647" t="s">
        <v>565</v>
      </c>
    </row>
    <row r="648" spans="1:12" x14ac:dyDescent="0.3">
      <c r="A648" t="s">
        <v>439</v>
      </c>
      <c r="B648" s="26" t="s">
        <v>243</v>
      </c>
      <c r="C648" s="26" t="s">
        <v>244</v>
      </c>
      <c r="D648" s="26" t="s">
        <v>240</v>
      </c>
      <c r="E648" s="20" t="str">
        <f t="shared" ref="E648:E673" si="70">IF(D648="?OLD","!!!","")</f>
        <v>!!!</v>
      </c>
      <c r="F648" s="21" t="str">
        <f>IF(OR(E648="",E648="!!!"),"",IF(NOT(ISNA(VLOOKUP(E648,E$1:E647,1,FALSE()))),"OLD",IF(AND(E648&lt;&gt;"",E648&lt;&gt;"!!!"),"NEW","")))</f>
        <v/>
      </c>
      <c r="G648" s="22" t="str">
        <f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/>
      </c>
      <c r="H648" s="23" t="str">
        <f t="shared" ref="H648:H673" ca="1" si="71">IF(J648&lt;&gt;1,"",IF(I648="SBJ","CB","?"))</f>
        <v/>
      </c>
      <c r="I648" s="24" t="str">
        <f>IF(OR(E648="",E648="!!!",F648="NEW"),"",INDEX(B$2:B647,-1+SUMPRODUCT(MAX(ROW(E$2:E647)*(E648=E$2:E647)))))</f>
        <v/>
      </c>
      <c r="J648" s="24" t="str">
        <f ca="1">IF(OR(E648="",E648="!!!",F648="NEW"),"",COUNTBLANK(OFFSET(A$1,,,SUMPRODUCT(MAX(ROW(E$2:E648)*(E648=E$2:E648)))))-COUNTBLANK(OFFSET(A$1,,,SUMPRODUCT(MAX(ROW(E$1:E647)*(E2=E$1:E647))))))</f>
        <v/>
      </c>
      <c r="K648" s="24" t="str">
        <f>IF(OR(E648="",E648="!!!",F648="NEW"),"",INDEX(J$1:J647,SUMPRODUCT(MAX(ROW(E$1:E647)*(E648=E$1:E647)))))</f>
        <v/>
      </c>
      <c r="L648" s="25"/>
    </row>
    <row r="649" spans="1:12" x14ac:dyDescent="0.3">
      <c r="A649" t="s">
        <v>347</v>
      </c>
      <c r="E649" s="20" t="str">
        <f t="shared" si="70"/>
        <v/>
      </c>
      <c r="F649" s="21" t="str">
        <f>IF(OR(E649="",E649="!!!"),"",IF(NOT(ISNA(VLOOKUP(E649,E$1:E648,1,FALSE()))),"OLD",IF(AND(E649&lt;&gt;"",E649&lt;&gt;"!!!"),"NEW","")))</f>
        <v/>
      </c>
      <c r="G649" s="22" t="str">
        <f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/>
      </c>
      <c r="H649" s="23" t="str">
        <f t="shared" ca="1" si="71"/>
        <v/>
      </c>
      <c r="I649" s="24" t="str">
        <f>IF(OR(E649="",E649="!!!",F649="NEW"),"",INDEX(B$2:B648,-1+SUMPRODUCT(MAX(ROW(E$2:E648)*(E649=E$2:E648)))))</f>
        <v/>
      </c>
      <c r="J649" s="24" t="str">
        <f ca="1">IF(OR(E649="",E649="!!!",F649="NEW"),"",COUNTBLANK(OFFSET(A$1,,,SUMPRODUCT(MAX(ROW(E$2:E649)*(E649=E$2:E649)))))-COUNTBLANK(OFFSET(A$1,,,SUMPRODUCT(MAX(ROW(E$1:E648)*(E2=E$1:E648))))))</f>
        <v/>
      </c>
      <c r="K649" s="24" t="str">
        <f>IF(OR(E649="",E649="!!!",F649="NEW"),"",INDEX(J$1:J648,SUMPRODUCT(MAX(ROW(E$1:E648)*(E649=E$1:E648)))))</f>
        <v/>
      </c>
      <c r="L649" s="25"/>
    </row>
    <row r="650" spans="1:12" x14ac:dyDescent="0.3">
      <c r="A650" t="s">
        <v>461</v>
      </c>
      <c r="E650" s="20" t="str">
        <f t="shared" si="70"/>
        <v/>
      </c>
      <c r="F650" s="21" t="str">
        <f>IF(OR(E650="",E650="!!!"),"",IF(NOT(ISNA(VLOOKUP(E650,E$1:E649,1,FALSE()))),"OLD",IF(AND(E650&lt;&gt;"",E650&lt;&gt;"!!!"),"NEW","")))</f>
        <v/>
      </c>
      <c r="G650" s="22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/>
      </c>
      <c r="H650" s="23" t="str">
        <f t="shared" ca="1" si="71"/>
        <v/>
      </c>
      <c r="I650" s="24" t="str">
        <f>IF(OR(E650="",E650="!!!",F650="NEW"),"",INDEX(B$2:B649,-1+SUMPRODUCT(MAX(ROW(E$2:E649)*(E650=E$2:E649)))))</f>
        <v/>
      </c>
      <c r="J650" s="24" t="str">
        <f ca="1">IF(OR(E650="",E650="!!!",F650="NEW"),"",COUNTBLANK(OFFSET(A$1,,,SUMPRODUCT(MAX(ROW(E$2:E650)*(E650=E$2:E650)))))-COUNTBLANK(OFFSET(A$1,,,SUMPRODUCT(MAX(ROW(E$1:E649)*(E2=E$1:E649))))))</f>
        <v/>
      </c>
      <c r="K650" s="24" t="str">
        <f>IF(OR(E650="",E650="!!!",F650="NEW"),"",INDEX(J$1:J649,SUMPRODUCT(MAX(ROW(E$1:E649)*(E650=E$1:E649)))))</f>
        <v/>
      </c>
      <c r="L650" s="25"/>
    </row>
    <row r="651" spans="1:12" x14ac:dyDescent="0.3">
      <c r="A651" t="s">
        <v>566</v>
      </c>
      <c r="E651" s="20" t="str">
        <f t="shared" si="70"/>
        <v/>
      </c>
      <c r="F651" s="21" t="str">
        <f>IF(OR(E651="",E651="!!!"),"",IF(NOT(ISNA(VLOOKUP(E651,E$1:E650,1,FALSE()))),"OLD",IF(AND(E651&lt;&gt;"",E651&lt;&gt;"!!!"),"NEW","")))</f>
        <v/>
      </c>
      <c r="G651" s="22" t="str">
        <f>IF(OR(E651="",E651="!!!"),"",IF(OR(J651=0,AND(J651=1,K651=1),AND(J651=1,I651="SBJ"),AND(J651=1,I651=0)),"?IN_FOCUS",IF(J651&lt;=2,"?ACTIVATED",IF(J651&lt;&gt;"","?FAMILIAR",IF(F651="NEW",IF(ISNA(VLOOKUP(E651,#REF!,1,FALSE())),"?TYPE_IDENTIFIABLE","?REFERENTIAL"),"_")))))</f>
        <v/>
      </c>
      <c r="H651" s="23" t="str">
        <f t="shared" ca="1" si="71"/>
        <v/>
      </c>
      <c r="I651" s="24" t="str">
        <f>IF(OR(E651="",E651="!!!",F651="NEW"),"",INDEX(B$2:B650,-1+SUMPRODUCT(MAX(ROW(E$2:E650)*(E651=E$2:E650)))))</f>
        <v/>
      </c>
      <c r="J651" s="24" t="str">
        <f ca="1">IF(OR(E651="",E651="!!!",F651="NEW"),"",COUNTBLANK(OFFSET(A$1,,,SUMPRODUCT(MAX(ROW(E$2:E651)*(E651=E$2:E651)))))-COUNTBLANK(OFFSET(A$1,,,SUMPRODUCT(MAX(ROW(E$1:E650)*(E2=E$1:E650))))))</f>
        <v/>
      </c>
      <c r="K651" s="24" t="str">
        <f>IF(OR(E651="",E651="!!!",F651="NEW"),"",INDEX(J$1:J650,SUMPRODUCT(MAX(ROW(E$1:E650)*(E651=E$1:E650)))))</f>
        <v/>
      </c>
      <c r="L651" s="25"/>
    </row>
    <row r="652" spans="1:12" x14ac:dyDescent="0.3">
      <c r="A652" t="s">
        <v>299</v>
      </c>
      <c r="B652" s="26" t="s">
        <v>255</v>
      </c>
      <c r="C652" s="26" t="s">
        <v>244</v>
      </c>
      <c r="D652" s="26" t="s">
        <v>240</v>
      </c>
      <c r="E652" s="20" t="str">
        <f t="shared" si="70"/>
        <v>!!!</v>
      </c>
      <c r="F652" s="21" t="str">
        <f>IF(OR(E652="",E652="!!!"),"",IF(NOT(ISNA(VLOOKUP(E652,E$1:E651,1,FALSE()))),"OLD",IF(AND(E652&lt;&gt;"",E652&lt;&gt;"!!!"),"NEW","")))</f>
        <v/>
      </c>
      <c r="G652" s="22" t="str">
        <f>IF(OR(E652="",E652="!!!"),"",IF(OR(J652=0,AND(J652=1,K652=1),AND(J652=1,I652="SBJ"),AND(J652=1,I652=0)),"?IN_FOCUS",IF(J652&lt;=2,"?ACTIVATED",IF(J652&lt;&gt;"","?FAMILIAR",IF(F652="NEW",IF(ISNA(VLOOKUP(E652,#REF!,1,FALSE())),"?TYPE_IDENTIFIABLE","?REFERENTIAL"),"_")))))</f>
        <v/>
      </c>
      <c r="H652" s="23" t="str">
        <f t="shared" ca="1" si="71"/>
        <v/>
      </c>
      <c r="I652" s="24" t="str">
        <f>IF(OR(E652="",E652="!!!",F652="NEW"),"",INDEX(B$2:B651,-1+SUMPRODUCT(MAX(ROW(E$2:E651)*(E652=E$2:E651)))))</f>
        <v/>
      </c>
      <c r="J652" s="24" t="str">
        <f ca="1">IF(OR(E652="",E652="!!!",F652="NEW"),"",COUNTBLANK(OFFSET(A$1,,,SUMPRODUCT(MAX(ROW(E$2:E652)*(E652=E$2:E652)))))-COUNTBLANK(OFFSET(A$1,,,SUMPRODUCT(MAX(ROW(E$1:E651)*(E2=E$1:E651))))))</f>
        <v/>
      </c>
      <c r="K652" s="24" t="str">
        <f>IF(OR(E652="",E652="!!!",F652="NEW"),"",INDEX(J$1:J651,SUMPRODUCT(MAX(ROW(E$1:E651)*(E652=E$1:E651)))))</f>
        <v/>
      </c>
      <c r="L652" s="25"/>
    </row>
    <row r="653" spans="1:12" x14ac:dyDescent="0.3">
      <c r="A653" t="s">
        <v>393</v>
      </c>
      <c r="E653" s="20" t="str">
        <f t="shared" si="70"/>
        <v/>
      </c>
      <c r="F653" s="21" t="str">
        <f>IF(OR(E653="",E653="!!!"),"",IF(NOT(ISNA(VLOOKUP(E653,E$1:E652,1,FALSE()))),"OLD",IF(AND(E653&lt;&gt;"",E653&lt;&gt;"!!!"),"NEW","")))</f>
        <v/>
      </c>
      <c r="G653" s="22" t="str">
        <f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/>
      </c>
      <c r="H653" s="23" t="str">
        <f t="shared" ca="1" si="71"/>
        <v/>
      </c>
      <c r="I653" s="24" t="str">
        <f>IF(OR(E653="",E653="!!!",F653="NEW"),"",INDEX(B$2:B652,-1+SUMPRODUCT(MAX(ROW(E$2:E652)*(E653=E$2:E652)))))</f>
        <v/>
      </c>
      <c r="J653" s="24" t="str">
        <f ca="1">IF(OR(E653="",E653="!!!",F653="NEW"),"",COUNTBLANK(OFFSET(A$1,,,SUMPRODUCT(MAX(ROW(E$2:E653)*(E653=E$2:E653)))))-COUNTBLANK(OFFSET(A$1,,,SUMPRODUCT(MAX(ROW(E$1:E652)*(E2=E$1:E652))))))</f>
        <v/>
      </c>
      <c r="K653" s="24" t="str">
        <f>IF(OR(E653="",E653="!!!",F653="NEW"),"",INDEX(J$1:J652,SUMPRODUCT(MAX(ROW(E$1:E652)*(E653=E$1:E652)))))</f>
        <v/>
      </c>
      <c r="L653" s="25"/>
    </row>
    <row r="654" spans="1:12" x14ac:dyDescent="0.3">
      <c r="A654" t="s">
        <v>567</v>
      </c>
      <c r="B654" s="26" t="s">
        <v>265</v>
      </c>
      <c r="C654" s="26" t="s">
        <v>239</v>
      </c>
      <c r="D654" s="26" t="s">
        <v>240</v>
      </c>
      <c r="E654" s="20" t="str">
        <f t="shared" si="70"/>
        <v>!!!</v>
      </c>
      <c r="F654" s="21" t="str">
        <f>IF(OR(E654="",E654="!!!"),"",IF(NOT(ISNA(VLOOKUP(E654,E$1:E653,1,FALSE()))),"OLD",IF(AND(E654&lt;&gt;"",E654&lt;&gt;"!!!"),"NEW","")))</f>
        <v/>
      </c>
      <c r="G654" s="22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/>
      </c>
      <c r="H654" s="23" t="str">
        <f t="shared" ca="1" si="71"/>
        <v/>
      </c>
      <c r="I654" s="24" t="str">
        <f>IF(OR(E654="",E654="!!!",F654="NEW"),"",INDEX(B$2:B653,-1+SUMPRODUCT(MAX(ROW(E$2:E653)*(E654=E$2:E653)))))</f>
        <v/>
      </c>
      <c r="J654" s="24" t="str">
        <f ca="1">IF(OR(E654="",E654="!!!",F654="NEW"),"",COUNTBLANK(OFFSET(A$1,,,SUMPRODUCT(MAX(ROW(E$2:E654)*(E654=E$2:E654)))))-COUNTBLANK(OFFSET(A$1,,,SUMPRODUCT(MAX(ROW(E$1:E653)*(E2=E$1:E653))))))</f>
        <v/>
      </c>
      <c r="K654" s="24" t="str">
        <f>IF(OR(E654="",E654="!!!",F654="NEW"),"",INDEX(J$1:J653,SUMPRODUCT(MAX(ROW(E$1:E653)*(E654=E$1:E653)))))</f>
        <v/>
      </c>
      <c r="L654" s="25"/>
    </row>
    <row r="655" spans="1:12" x14ac:dyDescent="0.3">
      <c r="A655" t="s">
        <v>568</v>
      </c>
      <c r="E655" s="20" t="str">
        <f t="shared" si="70"/>
        <v/>
      </c>
      <c r="F655" s="21" t="str">
        <f>IF(OR(E655="",E655="!!!"),"",IF(NOT(ISNA(VLOOKUP(E655,E$1:E654,1,FALSE()))),"OLD",IF(AND(E655&lt;&gt;"",E655&lt;&gt;"!!!"),"NEW","")))</f>
        <v/>
      </c>
      <c r="G655" s="22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/>
      </c>
      <c r="H655" s="23" t="str">
        <f t="shared" ca="1" si="71"/>
        <v/>
      </c>
      <c r="I655" s="24" t="str">
        <f>IF(OR(E655="",E655="!!!",F655="NEW"),"",INDEX(B$2:B654,-1+SUMPRODUCT(MAX(ROW(E$2:E654)*(E655=E$2:E654)))))</f>
        <v/>
      </c>
      <c r="J655" s="24" t="str">
        <f ca="1">IF(OR(E655="",E655="!!!",F655="NEW"),"",COUNTBLANK(OFFSET(A$1,,,SUMPRODUCT(MAX(ROW(E$2:E655)*(E655=E$2:E655)))))-COUNTBLANK(OFFSET(A$1,,,SUMPRODUCT(MAX(ROW(E$1:E654)*(E2=E$1:E654))))))</f>
        <v/>
      </c>
      <c r="K655" s="24" t="str">
        <f>IF(OR(E655="",E655="!!!",F655="NEW"),"",INDEX(J$1:J654,SUMPRODUCT(MAX(ROW(E$1:E654)*(E655=E$1:E654)))))</f>
        <v/>
      </c>
      <c r="L655" s="25"/>
    </row>
    <row r="656" spans="1:12" x14ac:dyDescent="0.3">
      <c r="A656" t="s">
        <v>278</v>
      </c>
      <c r="E656" s="20" t="str">
        <f t="shared" si="70"/>
        <v/>
      </c>
      <c r="F656" s="21" t="str">
        <f>IF(OR(E656="",E656="!!!"),"",IF(NOT(ISNA(VLOOKUP(E656,E$1:E655,1,FALSE()))),"OLD",IF(AND(E656&lt;&gt;"",E656&lt;&gt;"!!!"),"NEW","")))</f>
        <v/>
      </c>
      <c r="G656" s="22" t="str">
        <f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/>
      </c>
      <c r="H656" s="23" t="str">
        <f t="shared" ca="1" si="71"/>
        <v/>
      </c>
      <c r="I656" s="24" t="str">
        <f>IF(OR(E656="",E656="!!!",F656="NEW"),"",INDEX(B$2:B655,-1+SUMPRODUCT(MAX(ROW(E$2:E655)*(E656=E$2:E655)))))</f>
        <v/>
      </c>
      <c r="J656" s="24" t="str">
        <f ca="1">IF(OR(E656="",E656="!!!",F656="NEW"),"",COUNTBLANK(OFFSET(A$1,,,SUMPRODUCT(MAX(ROW(E$2:E656)*(E656=E$2:E656)))))-COUNTBLANK(OFFSET(A$1,,,SUMPRODUCT(MAX(ROW(E$1:E655)*(E2=E$1:E655))))))</f>
        <v/>
      </c>
      <c r="K656" s="24" t="str">
        <f>IF(OR(E656="",E656="!!!",F656="NEW"),"",INDEX(J$1:J655,SUMPRODUCT(MAX(ROW(E$1:E655)*(E656=E$1:E655)))))</f>
        <v/>
      </c>
      <c r="L656" s="25"/>
    </row>
    <row r="657" spans="1:12" x14ac:dyDescent="0.3">
      <c r="A657" t="s">
        <v>393</v>
      </c>
      <c r="E657" s="20" t="str">
        <f t="shared" si="70"/>
        <v/>
      </c>
      <c r="F657" s="21" t="str">
        <f>IF(OR(E657="",E657="!!!"),"",IF(NOT(ISNA(VLOOKUP(E657,E$1:E656,1,FALSE()))),"OLD",IF(AND(E657&lt;&gt;"",E657&lt;&gt;"!!!"),"NEW","")))</f>
        <v/>
      </c>
      <c r="G657" s="22" t="str">
        <f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/>
      </c>
      <c r="H657" s="23" t="str">
        <f t="shared" ca="1" si="71"/>
        <v/>
      </c>
      <c r="I657" s="24" t="str">
        <f>IF(OR(E657="",E657="!!!",F657="NEW"),"",INDEX(B$2:B656,-1+SUMPRODUCT(MAX(ROW(E$2:E656)*(E657=E$2:E656)))))</f>
        <v/>
      </c>
      <c r="J657" s="24" t="str">
        <f ca="1">IF(OR(E657="",E657="!!!",F657="NEW"),"",COUNTBLANK(OFFSET(A$1,,,SUMPRODUCT(MAX(ROW(E$2:E657)*(E657=E$2:E657)))))-COUNTBLANK(OFFSET(A$1,,,SUMPRODUCT(MAX(ROW(E$1:E656)*(E2=E$1:E656))))))</f>
        <v/>
      </c>
      <c r="K657" s="24" t="str">
        <f>IF(OR(E657="",E657="!!!",F657="NEW"),"",INDEX(J$1:J656,SUMPRODUCT(MAX(ROW(E$1:E656)*(E657=E$1:E656)))))</f>
        <v/>
      </c>
      <c r="L657" s="25"/>
    </row>
    <row r="658" spans="1:12" x14ac:dyDescent="0.3">
      <c r="A658" t="s">
        <v>569</v>
      </c>
      <c r="B658" s="26" t="s">
        <v>285</v>
      </c>
      <c r="C658" s="26" t="s">
        <v>239</v>
      </c>
      <c r="D658" s="26" t="s">
        <v>240</v>
      </c>
      <c r="E658" s="20" t="str">
        <f t="shared" si="70"/>
        <v>!!!</v>
      </c>
      <c r="F658" s="21" t="str">
        <f>IF(OR(E658="",E658="!!!"),"",IF(NOT(ISNA(VLOOKUP(E658,E$1:E657,1,FALSE()))),"OLD",IF(AND(E658&lt;&gt;"",E658&lt;&gt;"!!!"),"NEW","")))</f>
        <v/>
      </c>
      <c r="G658" s="22" t="str">
        <f>IF(OR(E658="",E658="!!!"),"",IF(OR(J658=0,AND(J658=1,K658=1),AND(J658=1,I658="SBJ"),AND(J658=1,I658=0)),"?IN_FOCUS",IF(J658&lt;=2,"?ACTIVATED",IF(J658&lt;&gt;"","?FAMILIAR",IF(F658="NEW",IF(ISNA(VLOOKUP(E658,#REF!,1,FALSE())),"?TYPE_IDENTIFIABLE","?REFERENTIAL"),"_")))))</f>
        <v/>
      </c>
      <c r="H658" s="23" t="str">
        <f t="shared" ca="1" si="71"/>
        <v/>
      </c>
      <c r="I658" s="24" t="str">
        <f>IF(OR(E658="",E658="!!!",F658="NEW"),"",INDEX(B$2:B657,-1+SUMPRODUCT(MAX(ROW(E$2:E657)*(E658=E$2:E657)))))</f>
        <v/>
      </c>
      <c r="J658" s="24" t="str">
        <f ca="1">IF(OR(E658="",E658="!!!",F658="NEW"),"",COUNTBLANK(OFFSET(A$1,,,SUMPRODUCT(MAX(ROW(E$2:E658)*(E658=E$2:E658)))))-COUNTBLANK(OFFSET(A$1,,,SUMPRODUCT(MAX(ROW(E$1:E657)*(E2=E$1:E657))))))</f>
        <v/>
      </c>
      <c r="K658" s="24" t="str">
        <f>IF(OR(E658="",E658="!!!",F658="NEW"),"",INDEX(J$1:J657,SUMPRODUCT(MAX(ROW(E$1:E657)*(E658=E$1:E657)))))</f>
        <v/>
      </c>
      <c r="L658" s="25"/>
    </row>
    <row r="659" spans="1:12" x14ac:dyDescent="0.3">
      <c r="A659" t="s">
        <v>570</v>
      </c>
      <c r="E659" s="20" t="str">
        <f t="shared" si="70"/>
        <v/>
      </c>
      <c r="F659" s="21" t="str">
        <f>IF(OR(E659="",E659="!!!"),"",IF(NOT(ISNA(VLOOKUP(E659,E$1:E658,1,FALSE()))),"OLD",IF(AND(E659&lt;&gt;"",E659&lt;&gt;"!!!"),"NEW","")))</f>
        <v/>
      </c>
      <c r="G659" s="22" t="str">
        <f>IF(OR(E659="",E659="!!!"),"",IF(OR(J659=0,AND(J659=1,K659=1),AND(J659=1,I659="SBJ"),AND(J659=1,I659=0)),"?IN_FOCUS",IF(J659&lt;=2,"?ACTIVATED",IF(J659&lt;&gt;"","?FAMILIAR",IF(F659="NEW",IF(ISNA(VLOOKUP(E659,#REF!,1,FALSE())),"?TYPE_IDENTIFIABLE","?REFERENTIAL"),"_")))))</f>
        <v/>
      </c>
      <c r="H659" s="23" t="str">
        <f t="shared" ca="1" si="71"/>
        <v/>
      </c>
      <c r="I659" s="24" t="str">
        <f>IF(OR(E659="",E659="!!!",F659="NEW"),"",INDEX(B$2:B658,-1+SUMPRODUCT(MAX(ROW(E$2:E658)*(E659=E$2:E658)))))</f>
        <v/>
      </c>
      <c r="J659" s="24" t="str">
        <f ca="1">IF(OR(E659="",E659="!!!",F659="NEW"),"",COUNTBLANK(OFFSET(A$1,,,SUMPRODUCT(MAX(ROW(E$2:E659)*(E659=E$2:E659)))))-COUNTBLANK(OFFSET(A$1,,,SUMPRODUCT(MAX(ROW(E$1:E658)*(E2=E$1:E658))))))</f>
        <v/>
      </c>
      <c r="K659" s="24" t="str">
        <f>IF(OR(E659="",E659="!!!",F659="NEW"),"",INDEX(J$1:J658,SUMPRODUCT(MAX(ROW(E$1:E658)*(E659=E$1:E658)))))</f>
        <v/>
      </c>
      <c r="L659" s="25"/>
    </row>
    <row r="660" spans="1:12" x14ac:dyDescent="0.3">
      <c r="A660" t="s">
        <v>252</v>
      </c>
      <c r="E660" s="20" t="str">
        <f t="shared" si="70"/>
        <v/>
      </c>
      <c r="F660" s="21" t="str">
        <f>IF(OR(E660="",E660="!!!"),"",IF(NOT(ISNA(VLOOKUP(E660,E$1:E659,1,FALSE()))),"OLD",IF(AND(E660&lt;&gt;"",E660&lt;&gt;"!!!"),"NEW","")))</f>
        <v/>
      </c>
      <c r="G660" s="22" t="str">
        <f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/>
      </c>
      <c r="H660" s="23" t="str">
        <f t="shared" ca="1" si="71"/>
        <v/>
      </c>
      <c r="I660" s="24" t="str">
        <f>IF(OR(E660="",E660="!!!",F660="NEW"),"",INDEX(B$2:B659,-1+SUMPRODUCT(MAX(ROW(E$2:E659)*(E660=E$2:E659)))))</f>
        <v/>
      </c>
      <c r="J660" s="24" t="str">
        <f ca="1">IF(OR(E660="",E660="!!!",F660="NEW"),"",COUNTBLANK(OFFSET(A$1,,,SUMPRODUCT(MAX(ROW(E$2:E660)*(E660=E$2:E660)))))-COUNTBLANK(OFFSET(A$1,,,SUMPRODUCT(MAX(ROW(E$1:E659)*(E2=E$1:E659))))))</f>
        <v/>
      </c>
      <c r="K660" s="24" t="str">
        <f>IF(OR(E660="",E660="!!!",F660="NEW"),"",INDEX(J$1:J659,SUMPRODUCT(MAX(ROW(E$1:E659)*(E660=E$1:E659)))))</f>
        <v/>
      </c>
      <c r="L660" s="25"/>
    </row>
    <row r="661" spans="1:12" x14ac:dyDescent="0.3">
      <c r="A661" t="s">
        <v>310</v>
      </c>
      <c r="B661" s="26" t="s">
        <v>255</v>
      </c>
      <c r="E661" s="20" t="str">
        <f t="shared" si="70"/>
        <v/>
      </c>
      <c r="F661" s="21" t="str">
        <f>IF(OR(E661="",E661="!!!"),"",IF(NOT(ISNA(VLOOKUP(E661,E$1:E660,1,FALSE()))),"OLD",IF(AND(E661&lt;&gt;"",E661&lt;&gt;"!!!"),"NEW","")))</f>
        <v/>
      </c>
      <c r="G661" s="22" t="str">
        <f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/>
      </c>
      <c r="H661" s="23" t="str">
        <f t="shared" ca="1" si="71"/>
        <v/>
      </c>
      <c r="I661" s="24" t="str">
        <f>IF(OR(E661="",E661="!!!",F661="NEW"),"",INDEX(B$2:B660,-1+SUMPRODUCT(MAX(ROW(E$2:E660)*(E661=E$2:E660)))))</f>
        <v/>
      </c>
      <c r="J661" s="24" t="str">
        <f ca="1">IF(OR(E661="",E661="!!!",F661="NEW"),"",COUNTBLANK(OFFSET(A$1,,,SUMPRODUCT(MAX(ROW(E$2:E661)*(E661=E$2:E661)))))-COUNTBLANK(OFFSET(A$1,,,SUMPRODUCT(MAX(ROW(E$1:E660)*(E2=E$1:E660))))))</f>
        <v/>
      </c>
      <c r="K661" s="24" t="str">
        <f>IF(OR(E661="",E661="!!!",F661="NEW"),"",INDEX(J$1:J660,SUMPRODUCT(MAX(ROW(E$1:E660)*(E661=E$1:E660)))))</f>
        <v/>
      </c>
      <c r="L661" s="25"/>
    </row>
    <row r="662" spans="1:12" x14ac:dyDescent="0.3">
      <c r="A662" t="s">
        <v>571</v>
      </c>
      <c r="B662" s="26" t="s">
        <v>265</v>
      </c>
      <c r="C662" s="26" t="s">
        <v>244</v>
      </c>
      <c r="D662" s="26" t="s">
        <v>240</v>
      </c>
      <c r="E662" s="20" t="str">
        <f t="shared" si="70"/>
        <v>!!!</v>
      </c>
      <c r="F662" s="21" t="str">
        <f>IF(OR(E662="",E662="!!!"),"",IF(NOT(ISNA(VLOOKUP(E662,E$1:E661,1,FALSE()))),"OLD",IF(AND(E662&lt;&gt;"",E662&lt;&gt;"!!!"),"NEW","")))</f>
        <v/>
      </c>
      <c r="G662" s="22" t="str">
        <f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/>
      </c>
      <c r="H662" s="23" t="str">
        <f t="shared" ca="1" si="71"/>
        <v/>
      </c>
      <c r="I662" s="24" t="str">
        <f>IF(OR(E662="",E662="!!!",F662="NEW"),"",INDEX(B$2:B661,-1+SUMPRODUCT(MAX(ROW(E$2:E661)*(E662=E$2:E661)))))</f>
        <v/>
      </c>
      <c r="J662" s="24" t="str">
        <f ca="1">IF(OR(E662="",E662="!!!",F662="NEW"),"",COUNTBLANK(OFFSET(A$1,,,SUMPRODUCT(MAX(ROW(E$2:E662)*(E662=E$2:E662)))))-COUNTBLANK(OFFSET(A$1,,,SUMPRODUCT(MAX(ROW(E$1:E661)*(E2=E$1:E661))))))</f>
        <v/>
      </c>
      <c r="K662" s="24" t="str">
        <f>IF(OR(E662="",E662="!!!",F662="NEW"),"",INDEX(J$1:J661,SUMPRODUCT(MAX(ROW(E$1:E661)*(E662=E$1:E661)))))</f>
        <v/>
      </c>
      <c r="L662" s="25"/>
    </row>
    <row r="663" spans="1:12" x14ac:dyDescent="0.3">
      <c r="A663" t="s">
        <v>572</v>
      </c>
      <c r="E663" s="20" t="str">
        <f t="shared" si="70"/>
        <v/>
      </c>
      <c r="F663" s="21" t="str">
        <f>IF(OR(E663="",E663="!!!"),"",IF(NOT(ISNA(VLOOKUP(E663,E$1:E662,1,FALSE()))),"OLD",IF(AND(E663&lt;&gt;"",E663&lt;&gt;"!!!"),"NEW","")))</f>
        <v/>
      </c>
      <c r="G663" s="22" t="str">
        <f>IF(OR(E663="",E663="!!!"),"",IF(OR(J663=0,AND(J663=1,K663=1),AND(J663=1,I663="SBJ"),AND(J663=1,I663=0)),"?IN_FOCUS",IF(J663&lt;=2,"?ACTIVATED",IF(J663&lt;&gt;"","?FAMILIAR",IF(F663="NEW",IF(ISNA(VLOOKUP(E663,#REF!,1,FALSE())),"?TYPE_IDENTIFIABLE","?REFERENTIAL"),"_")))))</f>
        <v/>
      </c>
      <c r="H663" s="23" t="str">
        <f t="shared" ca="1" si="71"/>
        <v/>
      </c>
      <c r="I663" s="24" t="str">
        <f>IF(OR(E663="",E663="!!!",F663="NEW"),"",INDEX(B$2:B662,-1+SUMPRODUCT(MAX(ROW(E$2:E662)*(E663=E$2:E662)))))</f>
        <v/>
      </c>
      <c r="J663" s="24" t="str">
        <f ca="1">IF(OR(E663="",E663="!!!",F663="NEW"),"",COUNTBLANK(OFFSET(A$1,,,SUMPRODUCT(MAX(ROW(E$2:E663)*(E663=E$2:E663)))))-COUNTBLANK(OFFSET(A$1,,,SUMPRODUCT(MAX(ROW(E$1:E662)*(E2=E$1:E662))))))</f>
        <v/>
      </c>
      <c r="K663" s="24" t="str">
        <f>IF(OR(E663="",E663="!!!",F663="NEW"),"",INDEX(J$1:J662,SUMPRODUCT(MAX(ROW(E$1:E662)*(E663=E$1:E662)))))</f>
        <v/>
      </c>
      <c r="L663" s="25"/>
    </row>
    <row r="664" spans="1:12" x14ac:dyDescent="0.3">
      <c r="A664" t="s">
        <v>551</v>
      </c>
      <c r="E664" s="20" t="str">
        <f t="shared" si="70"/>
        <v/>
      </c>
      <c r="F664" s="21" t="str">
        <f>IF(OR(E664="",E664="!!!"),"",IF(NOT(ISNA(VLOOKUP(E664,E$1:E663,1,FALSE()))),"OLD",IF(AND(E664&lt;&gt;"",E664&lt;&gt;"!!!"),"NEW","")))</f>
        <v/>
      </c>
      <c r="G664" s="22" t="str">
        <f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/>
      </c>
      <c r="H664" s="23" t="str">
        <f t="shared" ca="1" si="71"/>
        <v/>
      </c>
      <c r="I664" s="24" t="str">
        <f>IF(OR(E664="",E664="!!!",F664="NEW"),"",INDEX(B$2:B663,-1+SUMPRODUCT(MAX(ROW(E$2:E663)*(E664=E$2:E663)))))</f>
        <v/>
      </c>
      <c r="J664" s="24" t="str">
        <f ca="1">IF(OR(E664="",E664="!!!",F664="NEW"),"",COUNTBLANK(OFFSET(A$1,,,SUMPRODUCT(MAX(ROW(E$2:E664)*(E664=E$2:E664)))))-COUNTBLANK(OFFSET(A$1,,,SUMPRODUCT(MAX(ROW(E$1:E663)*(E2=E$1:E663))))))</f>
        <v/>
      </c>
      <c r="K664" s="24" t="str">
        <f>IF(OR(E664="",E664="!!!",F664="NEW"),"",INDEX(J$1:J663,SUMPRODUCT(MAX(ROW(E$1:E663)*(E664=E$1:E663)))))</f>
        <v/>
      </c>
      <c r="L664" s="25"/>
    </row>
    <row r="665" spans="1:12" x14ac:dyDescent="0.3">
      <c r="A665" t="s">
        <v>250</v>
      </c>
      <c r="B665" s="26" t="s">
        <v>243</v>
      </c>
      <c r="C665" s="26" t="s">
        <v>244</v>
      </c>
      <c r="D665" s="26" t="s">
        <v>240</v>
      </c>
      <c r="E665" s="20" t="str">
        <f t="shared" si="70"/>
        <v>!!!</v>
      </c>
      <c r="F665" s="21" t="str">
        <f>IF(OR(E665="",E665="!!!"),"",IF(NOT(ISNA(VLOOKUP(E665,E$1:E664,1,FALSE()))),"OLD",IF(AND(E665&lt;&gt;"",E665&lt;&gt;"!!!"),"NEW","")))</f>
        <v/>
      </c>
      <c r="G665" s="22" t="str">
        <f>IF(OR(E665="",E665="!!!"),"",IF(OR(J665=0,AND(J665=1,K665=1),AND(J665=1,I665="SBJ"),AND(J665=1,I665=0)),"?IN_FOCUS",IF(J665&lt;=2,"?ACTIVATED",IF(J665&lt;&gt;"","?FAMILIAR",IF(F665="NEW",IF(ISNA(VLOOKUP(E665,#REF!,1,FALSE())),"?TYPE_IDENTIFIABLE","?REFERENTIAL"),"_")))))</f>
        <v/>
      </c>
      <c r="H665" s="23" t="str">
        <f t="shared" ca="1" si="71"/>
        <v/>
      </c>
      <c r="I665" s="24" t="str">
        <f>IF(OR(E665="",E665="!!!",F665="NEW"),"",INDEX(B$2:B664,-1+SUMPRODUCT(MAX(ROW(E$2:E664)*(E665=E$2:E664)))))</f>
        <v/>
      </c>
      <c r="J665" s="24" t="str">
        <f ca="1">IF(OR(E665="",E665="!!!",F665="NEW"),"",COUNTBLANK(OFFSET(A$1,,,SUMPRODUCT(MAX(ROW(E$2:E665)*(E665=E$2:E665)))))-COUNTBLANK(OFFSET(A$1,,,SUMPRODUCT(MAX(ROW(E$1:E664)*(E2=E$1:E664))))))</f>
        <v/>
      </c>
      <c r="K665" s="24" t="str">
        <f>IF(OR(E665="",E665="!!!",F665="NEW"),"",INDEX(J$1:J664,SUMPRODUCT(MAX(ROW(E$1:E664)*(E665=E$1:E664)))))</f>
        <v/>
      </c>
      <c r="L665" s="25"/>
    </row>
    <row r="666" spans="1:12" x14ac:dyDescent="0.3">
      <c r="A666" t="s">
        <v>280</v>
      </c>
      <c r="E666" s="20" t="str">
        <f t="shared" si="70"/>
        <v/>
      </c>
      <c r="F666" s="21" t="str">
        <f>IF(OR(E666="",E666="!!!"),"",IF(NOT(ISNA(VLOOKUP(E666,E$1:E665,1,FALSE()))),"OLD",IF(AND(E666&lt;&gt;"",E666&lt;&gt;"!!!"),"NEW","")))</f>
        <v/>
      </c>
      <c r="G666" s="22" t="str">
        <f>IF(OR(E666="",E666="!!!"),"",IF(OR(J666=0,AND(J666=1,K666=1),AND(J666=1,I666="SBJ"),AND(J666=1,I666=0)),"?IN_FOCUS",IF(J666&lt;=2,"?ACTIVATED",IF(J666&lt;&gt;"","?FAMILIAR",IF(F666="NEW",IF(ISNA(VLOOKUP(E666,#REF!,1,FALSE())),"?TYPE_IDENTIFIABLE","?REFERENTIAL"),"_")))))</f>
        <v/>
      </c>
      <c r="H666" s="23" t="str">
        <f t="shared" ca="1" si="71"/>
        <v/>
      </c>
      <c r="I666" s="24" t="str">
        <f>IF(OR(E666="",E666="!!!",F666="NEW"),"",INDEX(B$2:B665,-1+SUMPRODUCT(MAX(ROW(E$2:E665)*(E666=E$2:E665)))))</f>
        <v/>
      </c>
      <c r="J666" s="24" t="str">
        <f ca="1">IF(OR(E666="",E666="!!!",F666="NEW"),"",COUNTBLANK(OFFSET(A$1,,,SUMPRODUCT(MAX(ROW(E$2:E666)*(E666=E$2:E666)))))-COUNTBLANK(OFFSET(A$1,,,SUMPRODUCT(MAX(ROW(E$1:E665)*(E2=E$1:E665))))))</f>
        <v/>
      </c>
      <c r="K666" s="24" t="str">
        <f>IF(OR(E666="",E666="!!!",F666="NEW"),"",INDEX(J$1:J665,SUMPRODUCT(MAX(ROW(E$1:E665)*(E666=E$1:E665)))))</f>
        <v/>
      </c>
      <c r="L666" s="25"/>
    </row>
    <row r="667" spans="1:12" x14ac:dyDescent="0.3">
      <c r="A667" t="s">
        <v>324</v>
      </c>
      <c r="B667" s="26" t="s">
        <v>243</v>
      </c>
      <c r="C667" s="26" t="s">
        <v>244</v>
      </c>
      <c r="D667" s="26" t="s">
        <v>240</v>
      </c>
      <c r="E667" s="20" t="str">
        <f t="shared" si="70"/>
        <v>!!!</v>
      </c>
      <c r="F667" s="21" t="str">
        <f>IF(OR(E667="",E667="!!!"),"",IF(NOT(ISNA(VLOOKUP(E667,E$1:E666,1,FALSE()))),"OLD",IF(AND(E667&lt;&gt;"",E667&lt;&gt;"!!!"),"NEW","")))</f>
        <v/>
      </c>
      <c r="G667" s="22" t="str">
        <f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/>
      </c>
      <c r="H667" s="23" t="str">
        <f t="shared" ca="1" si="71"/>
        <v/>
      </c>
      <c r="I667" s="24" t="str">
        <f>IF(OR(E667="",E667="!!!",F667="NEW"),"",INDEX(B$2:B666,-1+SUMPRODUCT(MAX(ROW(E$2:E666)*(E667=E$2:E666)))))</f>
        <v/>
      </c>
      <c r="J667" s="24" t="str">
        <f ca="1">IF(OR(E667="",E667="!!!",F667="NEW"),"",COUNTBLANK(OFFSET(A$1,,,SUMPRODUCT(MAX(ROW(E$2:E667)*(E667=E$2:E667)))))-COUNTBLANK(OFFSET(A$1,,,SUMPRODUCT(MAX(ROW(E$1:E666)*(E2=E$1:E666))))))</f>
        <v/>
      </c>
      <c r="K667" s="24" t="str">
        <f>IF(OR(E667="",E667="!!!",F667="NEW"),"",INDEX(J$1:J666,SUMPRODUCT(MAX(ROW(E$1:E666)*(E667=E$1:E666)))))</f>
        <v/>
      </c>
      <c r="L667" s="25"/>
    </row>
    <row r="668" spans="1:12" x14ac:dyDescent="0.3">
      <c r="A668" t="s">
        <v>257</v>
      </c>
      <c r="E668" s="20" t="str">
        <f t="shared" si="70"/>
        <v/>
      </c>
      <c r="F668" s="21" t="str">
        <f>IF(OR(E668="",E668="!!!"),"",IF(NOT(ISNA(VLOOKUP(E668,E$1:E667,1,FALSE()))),"OLD",IF(AND(E668&lt;&gt;"",E668&lt;&gt;"!!!"),"NEW","")))</f>
        <v/>
      </c>
      <c r="G668" s="22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/>
      </c>
      <c r="H668" s="23" t="str">
        <f t="shared" ca="1" si="71"/>
        <v/>
      </c>
      <c r="I668" s="24" t="str">
        <f>IF(OR(E668="",E668="!!!",F668="NEW"),"",INDEX(B$2:B667,-1+SUMPRODUCT(MAX(ROW(E$2:E667)*(E668=E$2:E667)))))</f>
        <v/>
      </c>
      <c r="J668" s="24" t="str">
        <f ca="1">IF(OR(E668="",E668="!!!",F668="NEW"),"",COUNTBLANK(OFFSET(A$1,,,SUMPRODUCT(MAX(ROW(E$2:E668)*(E668=E$2:E668)))))-COUNTBLANK(OFFSET(A$1,,,SUMPRODUCT(MAX(ROW(E$1:E667)*(E2=E$1:E667))))))</f>
        <v/>
      </c>
      <c r="K668" s="24" t="str">
        <f>IF(OR(E668="",E668="!!!",F668="NEW"),"",INDEX(J$1:J667,SUMPRODUCT(MAX(ROW(E$1:E667)*(E668=E$1:E667)))))</f>
        <v/>
      </c>
      <c r="L668" s="25"/>
    </row>
    <row r="669" spans="1:12" x14ac:dyDescent="0.3">
      <c r="A669" t="s">
        <v>310</v>
      </c>
      <c r="E669" s="20" t="str">
        <f t="shared" si="70"/>
        <v/>
      </c>
      <c r="F669" s="21" t="str">
        <f>IF(OR(E669="",E669="!!!"),"",IF(NOT(ISNA(VLOOKUP(E669,E$1:E668,1,FALSE()))),"OLD",IF(AND(E669&lt;&gt;"",E669&lt;&gt;"!!!"),"NEW","")))</f>
        <v/>
      </c>
      <c r="G669" s="22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/>
      </c>
      <c r="H669" s="23" t="str">
        <f t="shared" ca="1" si="71"/>
        <v/>
      </c>
      <c r="I669" s="24" t="str">
        <f>IF(OR(E669="",E669="!!!",F669="NEW"),"",INDEX(B$2:B668,-1+SUMPRODUCT(MAX(ROW(E$2:E668)*(E669=E$2:E668)))))</f>
        <v/>
      </c>
      <c r="J669" s="24" t="str">
        <f ca="1">IF(OR(E669="",E669="!!!",F669="NEW"),"",COUNTBLANK(OFFSET(A$1,,,SUMPRODUCT(MAX(ROW(E$2:E669)*(E669=E$2:E669)))))-COUNTBLANK(OFFSET(A$1,,,SUMPRODUCT(MAX(ROW(E$1:E668)*(E2=E$1:E668))))))</f>
        <v/>
      </c>
      <c r="K669" s="24" t="str">
        <f>IF(OR(E669="",E669="!!!",F669="NEW"),"",INDEX(J$1:J668,SUMPRODUCT(MAX(ROW(E$1:E668)*(E669=E$1:E668)))))</f>
        <v/>
      </c>
      <c r="L669" s="25"/>
    </row>
    <row r="670" spans="1:12" x14ac:dyDescent="0.3">
      <c r="A670" t="s">
        <v>573</v>
      </c>
      <c r="E670" s="20" t="str">
        <f t="shared" si="70"/>
        <v/>
      </c>
      <c r="F670" s="21" t="str">
        <f>IF(OR(E670="",E670="!!!"),"",IF(NOT(ISNA(VLOOKUP(E670,E$1:E669,1,FALSE()))),"OLD",IF(AND(E670&lt;&gt;"",E670&lt;&gt;"!!!"),"NEW","")))</f>
        <v/>
      </c>
      <c r="G670" s="22" t="str">
        <f>IF(OR(E670="",E670="!!!"),"",IF(OR(J670=0,AND(J670=1,K670=1),AND(J670=1,I670="SBJ"),AND(J670=1,I670=0)),"?IN_FOCUS",IF(J670&lt;=2,"?ACTIVATED",IF(J670&lt;&gt;"","?FAMILIAR",IF(F670="NEW",IF(ISNA(VLOOKUP(E670,#REF!,1,FALSE())),"?TYPE_IDENTIFIABLE","?REFERENTIAL"),"_")))))</f>
        <v/>
      </c>
      <c r="H670" s="23" t="str">
        <f t="shared" ca="1" si="71"/>
        <v/>
      </c>
      <c r="I670" s="24" t="str">
        <f>IF(OR(E670="",E670="!!!",F670="NEW"),"",INDEX(B$2:B669,-1+SUMPRODUCT(MAX(ROW(E$2:E669)*(E670=E$2:E669)))))</f>
        <v/>
      </c>
      <c r="J670" s="24" t="str">
        <f ca="1">IF(OR(E670="",E670="!!!",F670="NEW"),"",COUNTBLANK(OFFSET(A$1,,,SUMPRODUCT(MAX(ROW(E$2:E670)*(E670=E$2:E670)))))-COUNTBLANK(OFFSET(A$1,,,SUMPRODUCT(MAX(ROW(E$1:E669)*(E2=E$1:E669))))))</f>
        <v/>
      </c>
      <c r="K670" s="24" t="str">
        <f>IF(OR(E670="",E670="!!!",F670="NEW"),"",INDEX(J$1:J669,SUMPRODUCT(MAX(ROW(E$1:E669)*(E670=E$1:E669)))))</f>
        <v/>
      </c>
      <c r="L670" s="25"/>
    </row>
    <row r="671" spans="1:12" x14ac:dyDescent="0.3">
      <c r="A671" t="s">
        <v>574</v>
      </c>
      <c r="B671" s="26" t="s">
        <v>238</v>
      </c>
      <c r="C671" s="26" t="s">
        <v>239</v>
      </c>
      <c r="D671" s="26" t="s">
        <v>240</v>
      </c>
      <c r="E671" s="20" t="str">
        <f t="shared" si="70"/>
        <v>!!!</v>
      </c>
      <c r="F671" s="21" t="str">
        <f>IF(OR(E671="",E671="!!!"),"",IF(NOT(ISNA(VLOOKUP(E671,E$1:E670,1,FALSE()))),"OLD",IF(AND(E671&lt;&gt;"",E671&lt;&gt;"!!!"),"NEW","")))</f>
        <v/>
      </c>
      <c r="G671" s="22" t="str">
        <f>IF(OR(E671="",E671="!!!"),"",IF(OR(J671=0,AND(J671=1,K671=1),AND(J671=1,I671="SBJ"),AND(J671=1,I671=0)),"?IN_FOCUS",IF(J671&lt;=2,"?ACTIVATED",IF(J671&lt;&gt;"","?FAMILIAR",IF(F671="NEW",IF(ISNA(VLOOKUP(E671,#REF!,1,FALSE())),"?TYPE_IDENTIFIABLE","?REFERENTIAL"),"_")))))</f>
        <v/>
      </c>
      <c r="H671" s="23" t="str">
        <f t="shared" ca="1" si="71"/>
        <v/>
      </c>
      <c r="I671" s="24" t="str">
        <f>IF(OR(E671="",E671="!!!",F671="NEW"),"",INDEX(B$2:B670,-1+SUMPRODUCT(MAX(ROW(E$2:E670)*(E671=E$2:E670)))))</f>
        <v/>
      </c>
      <c r="J671" s="24" t="str">
        <f ca="1">IF(OR(E671="",E671="!!!",F671="NEW"),"",COUNTBLANK(OFFSET(A$1,,,SUMPRODUCT(MAX(ROW(E$2:E671)*(E671=E$2:E671)))))-COUNTBLANK(OFFSET(A$1,,,SUMPRODUCT(MAX(ROW(E$1:E670)*(E2=E$1:E670))))))</f>
        <v/>
      </c>
      <c r="K671" s="24" t="str">
        <f>IF(OR(E671="",E671="!!!",F671="NEW"),"",INDEX(J$1:J670,SUMPRODUCT(MAX(ROW(E$1:E670)*(E671=E$1:E670)))))</f>
        <v/>
      </c>
      <c r="L671" s="25"/>
    </row>
    <row r="672" spans="1:12" x14ac:dyDescent="0.3">
      <c r="A672" t="s">
        <v>401</v>
      </c>
      <c r="E672" s="20" t="str">
        <f t="shared" si="70"/>
        <v/>
      </c>
      <c r="F672" s="21" t="str">
        <f>IF(OR(E672="",E672="!!!"),"",IF(NOT(ISNA(VLOOKUP(E672,E$1:E671,1,FALSE()))),"OLD",IF(AND(E672&lt;&gt;"",E672&lt;&gt;"!!!"),"NEW","")))</f>
        <v/>
      </c>
      <c r="G672" s="22" t="str">
        <f>IF(OR(E672="",E672="!!!"),"",IF(OR(J672=0,AND(J672=1,K672=1),AND(J672=1,I672="SBJ"),AND(J672=1,I672=0)),"?IN_FOCUS",IF(J672&lt;=2,"?ACTIVATED",IF(J672&lt;&gt;"","?FAMILIAR",IF(F672="NEW",IF(ISNA(VLOOKUP(E672,#REF!,1,FALSE())),"?TYPE_IDENTIFIABLE","?REFERENTIAL"),"_")))))</f>
        <v/>
      </c>
      <c r="H672" s="23" t="str">
        <f t="shared" ca="1" si="71"/>
        <v/>
      </c>
      <c r="I672" s="24" t="str">
        <f>IF(OR(E672="",E672="!!!",F672="NEW"),"",INDEX(B$2:B671,-1+SUMPRODUCT(MAX(ROW(E$2:E671)*(E672=E$2:E671)))))</f>
        <v/>
      </c>
      <c r="J672" s="24" t="str">
        <f ca="1">IF(OR(E672="",E672="!!!",F672="NEW"),"",COUNTBLANK(OFFSET(A$1,,,SUMPRODUCT(MAX(ROW(E$2:E672)*(E672=E$2:E672)))))-COUNTBLANK(OFFSET(A$1,,,SUMPRODUCT(MAX(ROW(E$1:E671)*(E2=E$1:E671))))))</f>
        <v/>
      </c>
      <c r="K672" s="24" t="str">
        <f>IF(OR(E672="",E672="!!!",F672="NEW"),"",INDEX(J$1:J671,SUMPRODUCT(MAX(ROW(E$1:E671)*(E672=E$1:E671)))))</f>
        <v/>
      </c>
      <c r="L672" s="25"/>
    </row>
    <row r="673" spans="1:12" x14ac:dyDescent="0.3">
      <c r="A673" t="s">
        <v>248</v>
      </c>
      <c r="E673" s="20" t="str">
        <f t="shared" si="70"/>
        <v/>
      </c>
      <c r="F673" s="21" t="str">
        <f>IF(OR(E673="",E673="!!!"),"",IF(NOT(ISNA(VLOOKUP(E673,E$1:E672,1,FALSE()))),"OLD",IF(AND(E673&lt;&gt;"",E673&lt;&gt;"!!!"),"NEW","")))</f>
        <v/>
      </c>
      <c r="G673" s="22" t="str">
        <f>IF(OR(E673="",E673="!!!"),"",IF(OR(J673=0,AND(J673=1,K673=1),AND(J673=1,I673="SBJ"),AND(J673=1,I673=0)),"?IN_FOCUS",IF(J673&lt;=2,"?ACTIVATED",IF(J673&lt;&gt;"","?FAMILIAR",IF(F673="NEW",IF(ISNA(VLOOKUP(E673,#REF!,1,FALSE())),"?TYPE_IDENTIFIABLE","?REFERENTIAL"),"_")))))</f>
        <v/>
      </c>
      <c r="H673" s="23" t="str">
        <f t="shared" ca="1" si="71"/>
        <v/>
      </c>
      <c r="I673" s="24" t="str">
        <f>IF(OR(E673="",E673="!!!",F673="NEW"),"",INDEX(B$2:B672,-1+SUMPRODUCT(MAX(ROW(E$2:E672)*(E673=E$2:E672)))))</f>
        <v/>
      </c>
      <c r="J673" s="24" t="str">
        <f ca="1">IF(OR(E673="",E673="!!!",F673="NEW"),"",COUNTBLANK(OFFSET(A$1,,,SUMPRODUCT(MAX(ROW(E$2:E673)*(E673=E$2:E673)))))-COUNTBLANK(OFFSET(A$1,,,SUMPRODUCT(MAX(ROW(E$1:E672)*(E2=E$1:E672))))))</f>
        <v/>
      </c>
      <c r="K673" s="24" t="str">
        <f>IF(OR(E673="",E673="!!!",F673="NEW"),"",INDEX(J$1:J672,SUMPRODUCT(MAX(ROW(E$1:E672)*(E673=E$1:E672)))))</f>
        <v/>
      </c>
      <c r="L673" s="25"/>
    </row>
    <row r="675" spans="1:12" x14ac:dyDescent="0.3">
      <c r="A675" t="s">
        <v>575</v>
      </c>
    </row>
    <row r="676" spans="1:12" x14ac:dyDescent="0.3">
      <c r="A676" t="s">
        <v>576</v>
      </c>
      <c r="E676" s="20" t="str">
        <f t="shared" ref="E676:E681" si="72">IF(D676="?OLD","!!!","")</f>
        <v/>
      </c>
      <c r="F676" s="21" t="str">
        <f>IF(OR(E676="",E676="!!!"),"",IF(NOT(ISNA(VLOOKUP(E676,E$1:E675,1,FALSE()))),"OLD",IF(AND(E676&lt;&gt;"",E676&lt;&gt;"!!!"),"NEW","")))</f>
        <v/>
      </c>
      <c r="G676" s="22" t="str">
        <f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/>
      </c>
      <c r="H676" s="23" t="str">
        <f t="shared" ref="H676:H681" ca="1" si="73">IF(J676&lt;&gt;1,"",IF(I676="SBJ","CB","?"))</f>
        <v/>
      </c>
      <c r="I676" s="24" t="str">
        <f>IF(OR(E676="",E676="!!!",F676="NEW"),"",INDEX(B$2:B675,-1+SUMPRODUCT(MAX(ROW(E$2:E675)*(E676=E$2:E675)))))</f>
        <v/>
      </c>
      <c r="J676" s="24" t="str">
        <f ca="1">IF(OR(E676="",E676="!!!",F676="NEW"),"",COUNTBLANK(OFFSET(A$1,,,SUMPRODUCT(MAX(ROW(E$2:E676)*(E676=E$2:E676)))))-COUNTBLANK(OFFSET(A$1,,,SUMPRODUCT(MAX(ROW(E$1:E675)*(E2=E$1:E675))))))</f>
        <v/>
      </c>
      <c r="K676" s="24" t="str">
        <f>IF(OR(E676="",E676="!!!",F676="NEW"),"",INDEX(J$1:J675,SUMPRODUCT(MAX(ROW(E$1:E675)*(E676=E$1:E675)))))</f>
        <v/>
      </c>
      <c r="L676" s="25"/>
    </row>
    <row r="677" spans="1:12" x14ac:dyDescent="0.3">
      <c r="A677" t="s">
        <v>252</v>
      </c>
      <c r="E677" s="20" t="str">
        <f t="shared" si="72"/>
        <v/>
      </c>
      <c r="F677" s="21" t="str">
        <f>IF(OR(E677="",E677="!!!"),"",IF(NOT(ISNA(VLOOKUP(E677,E$1:E676,1,FALSE()))),"OLD",IF(AND(E677&lt;&gt;"",E677&lt;&gt;"!!!"),"NEW","")))</f>
        <v/>
      </c>
      <c r="G677" s="22" t="str">
        <f>IF(OR(E677="",E677="!!!"),"",IF(OR(J677=0,AND(J677=1,K677=1),AND(J677=1,I677="SBJ"),AND(J677=1,I677=0)),"?IN_FOCUS",IF(J677&lt;=2,"?ACTIVATED",IF(J677&lt;&gt;"","?FAMILIAR",IF(F677="NEW",IF(ISNA(VLOOKUP(E677,#REF!,1,FALSE())),"?TYPE_IDENTIFIABLE","?REFERENTIAL"),"_")))))</f>
        <v/>
      </c>
      <c r="H677" s="23" t="str">
        <f t="shared" ca="1" si="73"/>
        <v/>
      </c>
      <c r="I677" s="24" t="str">
        <f>IF(OR(E677="",E677="!!!",F677="NEW"),"",INDEX(B$2:B676,-1+SUMPRODUCT(MAX(ROW(E$2:E676)*(E677=E$2:E676)))))</f>
        <v/>
      </c>
      <c r="J677" s="24" t="str">
        <f ca="1">IF(OR(E677="",E677="!!!",F677="NEW"),"",COUNTBLANK(OFFSET(A$1,,,SUMPRODUCT(MAX(ROW(E$2:E677)*(E677=E$2:E677)))))-COUNTBLANK(OFFSET(A$1,,,SUMPRODUCT(MAX(ROW(E$1:E676)*(E2=E$1:E676))))))</f>
        <v/>
      </c>
      <c r="K677" s="24" t="str">
        <f>IF(OR(E677="",E677="!!!",F677="NEW"),"",INDEX(J$1:J676,SUMPRODUCT(MAX(ROW(E$1:E676)*(E677=E$1:E676)))))</f>
        <v/>
      </c>
      <c r="L677" s="25"/>
    </row>
    <row r="678" spans="1:12" x14ac:dyDescent="0.3">
      <c r="A678" t="s">
        <v>483</v>
      </c>
      <c r="B678" s="26" t="s">
        <v>243</v>
      </c>
      <c r="C678" s="26" t="s">
        <v>256</v>
      </c>
      <c r="D678" s="26" t="s">
        <v>240</v>
      </c>
      <c r="E678" s="20" t="str">
        <f t="shared" si="72"/>
        <v>!!!</v>
      </c>
      <c r="F678" s="21" t="str">
        <f>IF(OR(E678="",E678="!!!"),"",IF(NOT(ISNA(VLOOKUP(E678,E$1:E677,1,FALSE()))),"OLD",IF(AND(E678&lt;&gt;"",E678&lt;&gt;"!!!"),"NEW","")))</f>
        <v/>
      </c>
      <c r="G678" s="22" t="str">
        <f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/>
      </c>
      <c r="H678" s="23" t="str">
        <f t="shared" ca="1" si="73"/>
        <v/>
      </c>
      <c r="I678" s="24" t="str">
        <f>IF(OR(E678="",E678="!!!",F678="NEW"),"",INDEX(B$2:B677,-1+SUMPRODUCT(MAX(ROW(E$2:E677)*(E678=E$2:E677)))))</f>
        <v/>
      </c>
      <c r="J678" s="24" t="str">
        <f ca="1">IF(OR(E678="",E678="!!!",F678="NEW"),"",COUNTBLANK(OFFSET(A$1,,,SUMPRODUCT(MAX(ROW(E$2:E678)*(E678=E$2:E678)))))-COUNTBLANK(OFFSET(A$1,,,SUMPRODUCT(MAX(ROW(E$1:E677)*(E2=E$1:E677))))))</f>
        <v/>
      </c>
      <c r="K678" s="24" t="str">
        <f>IF(OR(E678="",E678="!!!",F678="NEW"),"",INDEX(J$1:J677,SUMPRODUCT(MAX(ROW(E$1:E677)*(E678=E$1:E677)))))</f>
        <v/>
      </c>
      <c r="L678" s="25"/>
    </row>
    <row r="679" spans="1:12" x14ac:dyDescent="0.3">
      <c r="A679" t="s">
        <v>577</v>
      </c>
      <c r="E679" s="20" t="str">
        <f t="shared" si="72"/>
        <v/>
      </c>
      <c r="F679" s="21" t="str">
        <f>IF(OR(E679="",E679="!!!"),"",IF(NOT(ISNA(VLOOKUP(E679,E$1:E678,1,FALSE()))),"OLD",IF(AND(E679&lt;&gt;"",E679&lt;&gt;"!!!"),"NEW","")))</f>
        <v/>
      </c>
      <c r="G679" s="22" t="str">
        <f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/>
      </c>
      <c r="H679" s="23" t="str">
        <f t="shared" ca="1" si="73"/>
        <v/>
      </c>
      <c r="I679" s="24" t="str">
        <f>IF(OR(E679="",E679="!!!",F679="NEW"),"",INDEX(B$2:B678,-1+SUMPRODUCT(MAX(ROW(E$2:E678)*(E679=E$2:E678)))))</f>
        <v/>
      </c>
      <c r="J679" s="24" t="str">
        <f ca="1">IF(OR(E679="",E679="!!!",F679="NEW"),"",COUNTBLANK(OFFSET(A$1,,,SUMPRODUCT(MAX(ROW(E$2:E679)*(E679=E$2:E679)))))-COUNTBLANK(OFFSET(A$1,,,SUMPRODUCT(MAX(ROW(E$1:E678)*(E2=E$1:E678))))))</f>
        <v/>
      </c>
      <c r="K679" s="24" t="str">
        <f>IF(OR(E679="",E679="!!!",F679="NEW"),"",INDEX(J$1:J678,SUMPRODUCT(MAX(ROW(E$1:E678)*(E679=E$1:E678)))))</f>
        <v/>
      </c>
      <c r="L679" s="25"/>
    </row>
    <row r="680" spans="1:12" x14ac:dyDescent="0.3">
      <c r="A680" t="s">
        <v>578</v>
      </c>
      <c r="E680" s="20" t="str">
        <f t="shared" si="72"/>
        <v/>
      </c>
      <c r="F680" s="21" t="str">
        <f>IF(OR(E680="",E680="!!!"),"",IF(NOT(ISNA(VLOOKUP(E680,E$1:E679,1,FALSE()))),"OLD",IF(AND(E680&lt;&gt;"",E680&lt;&gt;"!!!"),"NEW","")))</f>
        <v/>
      </c>
      <c r="G680" s="22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/>
      </c>
      <c r="H680" s="23" t="str">
        <f t="shared" ca="1" si="73"/>
        <v/>
      </c>
      <c r="I680" s="24" t="str">
        <f>IF(OR(E680="",E680="!!!",F680="NEW"),"",INDEX(B$2:B679,-1+SUMPRODUCT(MAX(ROW(E$2:E679)*(E680=E$2:E679)))))</f>
        <v/>
      </c>
      <c r="J680" s="24" t="str">
        <f ca="1">IF(OR(E680="",E680="!!!",F680="NEW"),"",COUNTBLANK(OFFSET(A$1,,,SUMPRODUCT(MAX(ROW(E$2:E680)*(E680=E$2:E680)))))-COUNTBLANK(OFFSET(A$1,,,SUMPRODUCT(MAX(ROW(E$1:E679)*(E2=E$1:E679))))))</f>
        <v/>
      </c>
      <c r="K680" s="24" t="str">
        <f>IF(OR(E680="",E680="!!!",F680="NEW"),"",INDEX(J$1:J679,SUMPRODUCT(MAX(ROW(E$1:E679)*(E680=E$1:E679)))))</f>
        <v/>
      </c>
      <c r="L680" s="25"/>
    </row>
    <row r="681" spans="1:12" x14ac:dyDescent="0.3">
      <c r="A681" t="s">
        <v>381</v>
      </c>
      <c r="E681" s="20" t="str">
        <f t="shared" si="72"/>
        <v/>
      </c>
      <c r="F681" s="21" t="str">
        <f>IF(OR(E681="",E681="!!!"),"",IF(NOT(ISNA(VLOOKUP(E681,E$1:E680,1,FALSE()))),"OLD",IF(AND(E681&lt;&gt;"",E681&lt;&gt;"!!!"),"NEW","")))</f>
        <v/>
      </c>
      <c r="G681" s="22" t="str">
        <f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/>
      </c>
      <c r="H681" s="23" t="str">
        <f t="shared" ca="1" si="73"/>
        <v/>
      </c>
      <c r="I681" s="24" t="str">
        <f>IF(OR(E681="",E681="!!!",F681="NEW"),"",INDEX(B$2:B680,-1+SUMPRODUCT(MAX(ROW(E$2:E680)*(E681=E$2:E680)))))</f>
        <v/>
      </c>
      <c r="J681" s="24" t="str">
        <f ca="1">IF(OR(E681="",E681="!!!",F681="NEW"),"",COUNTBLANK(OFFSET(A$1,,,SUMPRODUCT(MAX(ROW(E$2:E681)*(E681=E$2:E681)))))-COUNTBLANK(OFFSET(A$1,,,SUMPRODUCT(MAX(ROW(E$1:E680)*(E2=E$1:E680))))))</f>
        <v/>
      </c>
      <c r="K681" s="24" t="str">
        <f>IF(OR(E681="",E681="!!!",F681="NEW"),"",INDEX(J$1:J680,SUMPRODUCT(MAX(ROW(E$1:E680)*(E681=E$1:E680)))))</f>
        <v/>
      </c>
      <c r="L681" s="25"/>
    </row>
    <row r="683" spans="1:12" x14ac:dyDescent="0.3">
      <c r="A683" t="s">
        <v>579</v>
      </c>
    </row>
    <row r="684" spans="1:12" x14ac:dyDescent="0.3">
      <c r="A684" t="s">
        <v>408</v>
      </c>
      <c r="E684" s="20" t="str">
        <f t="shared" ref="E684:E694" si="74">IF(D684="?OLD","!!!","")</f>
        <v/>
      </c>
      <c r="F684" s="21" t="str">
        <f>IF(OR(E684="",E684="!!!"),"",IF(NOT(ISNA(VLOOKUP(E684,E$1:E683,1,FALSE()))),"OLD",IF(AND(E684&lt;&gt;"",E684&lt;&gt;"!!!"),"NEW","")))</f>
        <v/>
      </c>
      <c r="G684" s="22" t="str">
        <f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/>
      </c>
      <c r="H684" s="23" t="str">
        <f t="shared" ref="H684:H694" ca="1" si="75">IF(J684&lt;&gt;1,"",IF(I684="SBJ","CB","?"))</f>
        <v/>
      </c>
      <c r="I684" s="24" t="str">
        <f>IF(OR(E684="",E684="!!!",F684="NEW"),"",INDEX(B$2:B683,-1+SUMPRODUCT(MAX(ROW(E$2:E683)*(E684=E$2:E683)))))</f>
        <v/>
      </c>
      <c r="J684" s="24" t="str">
        <f ca="1">IF(OR(E684="",E684="!!!",F684="NEW"),"",COUNTBLANK(OFFSET(A$1,,,SUMPRODUCT(MAX(ROW(E$2:E684)*(E684=E$2:E684)))))-COUNTBLANK(OFFSET(A$1,,,SUMPRODUCT(MAX(ROW(E$1:E683)*(E2=E$1:E683))))))</f>
        <v/>
      </c>
      <c r="K684" s="24" t="str">
        <f>IF(OR(E684="",E684="!!!",F684="NEW"),"",INDEX(J$1:J683,SUMPRODUCT(MAX(ROW(E$1:E683)*(E684=E$1:E683)))))</f>
        <v/>
      </c>
      <c r="L684" s="25"/>
    </row>
    <row r="685" spans="1:12" x14ac:dyDescent="0.3">
      <c r="A685" t="s">
        <v>252</v>
      </c>
      <c r="E685" s="20" t="str">
        <f t="shared" si="74"/>
        <v/>
      </c>
      <c r="F685" s="21" t="str">
        <f>IF(OR(E685="",E685="!!!"),"",IF(NOT(ISNA(VLOOKUP(E685,E$1:E684,1,FALSE()))),"OLD",IF(AND(E685&lt;&gt;"",E685&lt;&gt;"!!!"),"NEW","")))</f>
        <v/>
      </c>
      <c r="G685" s="22" t="str">
        <f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/>
      </c>
      <c r="H685" s="23" t="str">
        <f t="shared" ca="1" si="75"/>
        <v/>
      </c>
      <c r="I685" s="24" t="str">
        <f>IF(OR(E685="",E685="!!!",F685="NEW"),"",INDEX(B$2:B684,-1+SUMPRODUCT(MAX(ROW(E$2:E684)*(E685=E$2:E684)))))</f>
        <v/>
      </c>
      <c r="J685" s="24" t="str">
        <f ca="1">IF(OR(E685="",E685="!!!",F685="NEW"),"",COUNTBLANK(OFFSET(A$1,,,SUMPRODUCT(MAX(ROW(E$2:E685)*(E685=E$2:E685)))))-COUNTBLANK(OFFSET(A$1,,,SUMPRODUCT(MAX(ROW(E$1:E684)*(E2=E$1:E684))))))</f>
        <v/>
      </c>
      <c r="K685" s="24" t="str">
        <f>IF(OR(E685="",E685="!!!",F685="NEW"),"",INDEX(J$1:J684,SUMPRODUCT(MAX(ROW(E$1:E684)*(E685=E$1:E684)))))</f>
        <v/>
      </c>
      <c r="L685" s="25"/>
    </row>
    <row r="686" spans="1:12" x14ac:dyDescent="0.3">
      <c r="A686" t="s">
        <v>310</v>
      </c>
      <c r="E686" s="20" t="str">
        <f t="shared" si="74"/>
        <v/>
      </c>
      <c r="F686" s="21" t="str">
        <f>IF(OR(E686="",E686="!!!"),"",IF(NOT(ISNA(VLOOKUP(E686,E$1:E685,1,FALSE()))),"OLD",IF(AND(E686&lt;&gt;"",E686&lt;&gt;"!!!"),"NEW","")))</f>
        <v/>
      </c>
      <c r="G686" s="22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/>
      </c>
      <c r="H686" s="23" t="str">
        <f t="shared" ca="1" si="75"/>
        <v/>
      </c>
      <c r="I686" s="24" t="str">
        <f>IF(OR(E686="",E686="!!!",F686="NEW"),"",INDEX(B$2:B685,-1+SUMPRODUCT(MAX(ROW(E$2:E685)*(E686=E$2:E685)))))</f>
        <v/>
      </c>
      <c r="J686" s="24" t="str">
        <f ca="1">IF(OR(E686="",E686="!!!",F686="NEW"),"",COUNTBLANK(OFFSET(A$1,,,SUMPRODUCT(MAX(ROW(E$2:E686)*(E686=E$2:E686)))))-COUNTBLANK(OFFSET(A$1,,,SUMPRODUCT(MAX(ROW(E$1:E685)*(E2=E$1:E685))))))</f>
        <v/>
      </c>
      <c r="K686" s="24" t="str">
        <f>IF(OR(E686="",E686="!!!",F686="NEW"),"",INDEX(J$1:J685,SUMPRODUCT(MAX(ROW(E$1:E685)*(E686=E$1:E685)))))</f>
        <v/>
      </c>
      <c r="L686" s="25"/>
    </row>
    <row r="687" spans="1:12" x14ac:dyDescent="0.3">
      <c r="A687" t="s">
        <v>426</v>
      </c>
      <c r="B687" s="26" t="s">
        <v>243</v>
      </c>
      <c r="C687" s="26" t="s">
        <v>239</v>
      </c>
      <c r="D687" s="26" t="s">
        <v>240</v>
      </c>
      <c r="E687" s="20" t="str">
        <f t="shared" si="74"/>
        <v>!!!</v>
      </c>
      <c r="F687" s="21" t="str">
        <f>IF(OR(E687="",E687="!!!"),"",IF(NOT(ISNA(VLOOKUP(E687,E$1:E686,1,FALSE()))),"OLD",IF(AND(E687&lt;&gt;"",E687&lt;&gt;"!!!"),"NEW","")))</f>
        <v/>
      </c>
      <c r="G687" s="22" t="str">
        <f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/>
      </c>
      <c r="H687" s="23" t="str">
        <f t="shared" ca="1" si="75"/>
        <v/>
      </c>
      <c r="I687" s="24" t="str">
        <f>IF(OR(E687="",E687="!!!",F687="NEW"),"",INDEX(B$2:B686,-1+SUMPRODUCT(MAX(ROW(E$2:E686)*(E687=E$2:E686)))))</f>
        <v/>
      </c>
      <c r="J687" s="24" t="str">
        <f ca="1">IF(OR(E687="",E687="!!!",F687="NEW"),"",COUNTBLANK(OFFSET(A$1,,,SUMPRODUCT(MAX(ROW(E$2:E687)*(E687=E$2:E687)))))-COUNTBLANK(OFFSET(A$1,,,SUMPRODUCT(MAX(ROW(E$1:E686)*(E2=E$1:E686))))))</f>
        <v/>
      </c>
      <c r="K687" s="24" t="str">
        <f>IF(OR(E687="",E687="!!!",F687="NEW"),"",INDEX(J$1:J686,SUMPRODUCT(MAX(ROW(E$1:E686)*(E687=E$1:E686)))))</f>
        <v/>
      </c>
      <c r="L687" s="25"/>
    </row>
    <row r="688" spans="1:12" x14ac:dyDescent="0.3">
      <c r="A688" t="s">
        <v>580</v>
      </c>
      <c r="E688" s="20" t="str">
        <f t="shared" si="74"/>
        <v/>
      </c>
      <c r="F688" s="21" t="str">
        <f>IF(OR(E688="",E688="!!!"),"",IF(NOT(ISNA(VLOOKUP(E688,E$1:E687,1,FALSE()))),"OLD",IF(AND(E688&lt;&gt;"",E688&lt;&gt;"!!!"),"NEW","")))</f>
        <v/>
      </c>
      <c r="G688" s="22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/>
      </c>
      <c r="H688" s="23" t="str">
        <f t="shared" ca="1" si="75"/>
        <v/>
      </c>
      <c r="I688" s="24" t="str">
        <f>IF(OR(E688="",E688="!!!",F688="NEW"),"",INDEX(B$2:B687,-1+SUMPRODUCT(MAX(ROW(E$2:E687)*(E688=E$2:E687)))))</f>
        <v/>
      </c>
      <c r="J688" s="24" t="str">
        <f ca="1">IF(OR(E688="",E688="!!!",F688="NEW"),"",COUNTBLANK(OFFSET(A$1,,,SUMPRODUCT(MAX(ROW(E$2:E688)*(E688=E$2:E688)))))-COUNTBLANK(OFFSET(A$1,,,SUMPRODUCT(MAX(ROW(E$1:E687)*(E2=E$1:E687))))))</f>
        <v/>
      </c>
      <c r="K688" s="24" t="str">
        <f>IF(OR(E688="",E688="!!!",F688="NEW"),"",INDEX(J$1:J687,SUMPRODUCT(MAX(ROW(E$1:E687)*(E688=E$1:E687)))))</f>
        <v/>
      </c>
      <c r="L688" s="25"/>
    </row>
    <row r="689" spans="1:12" x14ac:dyDescent="0.3">
      <c r="A689" t="s">
        <v>321</v>
      </c>
      <c r="E689" s="20" t="str">
        <f t="shared" si="74"/>
        <v/>
      </c>
      <c r="F689" s="21" t="str">
        <f>IF(OR(E689="",E689="!!!"),"",IF(NOT(ISNA(VLOOKUP(E689,E$1:E688,1,FALSE()))),"OLD",IF(AND(E689&lt;&gt;"",E689&lt;&gt;"!!!"),"NEW","")))</f>
        <v/>
      </c>
      <c r="G689" s="22" t="str">
        <f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/>
      </c>
      <c r="H689" s="23" t="str">
        <f t="shared" ca="1" si="75"/>
        <v/>
      </c>
      <c r="I689" s="24" t="str">
        <f>IF(OR(E689="",E689="!!!",F689="NEW"),"",INDEX(B$2:B688,-1+SUMPRODUCT(MAX(ROW(E$2:E688)*(E689=E$2:E688)))))</f>
        <v/>
      </c>
      <c r="J689" s="24" t="str">
        <f ca="1">IF(OR(E689="",E689="!!!",F689="NEW"),"",COUNTBLANK(OFFSET(A$1,,,SUMPRODUCT(MAX(ROW(E$2:E689)*(E689=E$2:E689)))))-COUNTBLANK(OFFSET(A$1,,,SUMPRODUCT(MAX(ROW(E$1:E688)*(E2=E$1:E688))))))</f>
        <v/>
      </c>
      <c r="K689" s="24" t="str">
        <f>IF(OR(E689="",E689="!!!",F689="NEW"),"",INDEX(J$1:J688,SUMPRODUCT(MAX(ROW(E$1:E688)*(E689=E$1:E688)))))</f>
        <v/>
      </c>
      <c r="L689" s="25"/>
    </row>
    <row r="690" spans="1:12" x14ac:dyDescent="0.3">
      <c r="A690" t="s">
        <v>581</v>
      </c>
      <c r="B690" s="26" t="s">
        <v>292</v>
      </c>
      <c r="C690" s="26" t="s">
        <v>262</v>
      </c>
      <c r="E690" s="20" t="str">
        <f t="shared" si="74"/>
        <v/>
      </c>
      <c r="F690" s="21" t="str">
        <f>IF(OR(E690="",E690="!!!"),"",IF(NOT(ISNA(VLOOKUP(E690,E$1:E689,1,FALSE()))),"OLD",IF(AND(E690&lt;&gt;"",E690&lt;&gt;"!!!"),"NEW","")))</f>
        <v/>
      </c>
      <c r="G690" s="22" t="str">
        <f>IF(OR(E690="",E690="!!!"),"",IF(OR(J690=0,AND(J690=1,K690=1),AND(J690=1,I690="SBJ"),AND(J690=1,I690=0)),"?IN_FOCUS",IF(J690&lt;=2,"?ACTIVATED",IF(J690&lt;&gt;"","?FAMILIAR",IF(F690="NEW",IF(ISNA(VLOOKUP(E690,#REF!,1,FALSE())),"?TYPE_IDENTIFIABLE","?REFERENTIAL"),"_")))))</f>
        <v/>
      </c>
      <c r="H690" s="23" t="str">
        <f t="shared" ca="1" si="75"/>
        <v/>
      </c>
      <c r="I690" s="24" t="str">
        <f>IF(OR(E690="",E690="!!!",F690="NEW"),"",INDEX(B$2:B689,-1+SUMPRODUCT(MAX(ROW(E$2:E689)*(E690=E$2:E689)))))</f>
        <v/>
      </c>
      <c r="J690" s="24" t="str">
        <f ca="1">IF(OR(E690="",E690="!!!",F690="NEW"),"",COUNTBLANK(OFFSET(A$1,,,SUMPRODUCT(MAX(ROW(E$2:E690)*(E690=E$2:E690)))))-COUNTBLANK(OFFSET(A$1,,,SUMPRODUCT(MAX(ROW(E$1:E689)*(E2=E$1:E689))))))</f>
        <v/>
      </c>
      <c r="K690" s="24" t="str">
        <f>IF(OR(E690="",E690="!!!",F690="NEW"),"",INDEX(J$1:J689,SUMPRODUCT(MAX(ROW(E$1:E689)*(E690=E$1:E689)))))</f>
        <v/>
      </c>
      <c r="L690" s="25"/>
    </row>
    <row r="691" spans="1:12" x14ac:dyDescent="0.3">
      <c r="A691" t="s">
        <v>331</v>
      </c>
      <c r="E691" s="20" t="str">
        <f t="shared" si="74"/>
        <v/>
      </c>
      <c r="F691" s="21" t="str">
        <f>IF(OR(E691="",E691="!!!"),"",IF(NOT(ISNA(VLOOKUP(E691,E$1:E690,1,FALSE()))),"OLD",IF(AND(E691&lt;&gt;"",E691&lt;&gt;"!!!"),"NEW","")))</f>
        <v/>
      </c>
      <c r="G691" s="22" t="str">
        <f>IF(OR(E691="",E691="!!!"),"",IF(OR(J691=0,AND(J691=1,K691=1),AND(J691=1,I691="SBJ"),AND(J691=1,I691=0)),"?IN_FOCUS",IF(J691&lt;=2,"?ACTIVATED",IF(J691&lt;&gt;"","?FAMILIAR",IF(F691="NEW",IF(ISNA(VLOOKUP(E691,#REF!,1,FALSE())),"?TYPE_IDENTIFIABLE","?REFERENTIAL"),"_")))))</f>
        <v/>
      </c>
      <c r="H691" s="23" t="str">
        <f t="shared" ca="1" si="75"/>
        <v/>
      </c>
      <c r="I691" s="24" t="str">
        <f>IF(OR(E691="",E691="!!!",F691="NEW"),"",INDEX(B$2:B690,-1+SUMPRODUCT(MAX(ROW(E$2:E690)*(E691=E$2:E690)))))</f>
        <v/>
      </c>
      <c r="J691" s="24" t="str">
        <f ca="1">IF(OR(E691="",E691="!!!",F691="NEW"),"",COUNTBLANK(OFFSET(A$1,,,SUMPRODUCT(MAX(ROW(E$2:E691)*(E691=E$2:E691)))))-COUNTBLANK(OFFSET(A$1,,,SUMPRODUCT(MAX(ROW(E$1:E690)*(E2=E$1:E690))))))</f>
        <v/>
      </c>
      <c r="K691" s="24" t="str">
        <f>IF(OR(E691="",E691="!!!",F691="NEW"),"",INDEX(J$1:J690,SUMPRODUCT(MAX(ROW(E$1:E690)*(E691=E$1:E690)))))</f>
        <v/>
      </c>
      <c r="L691" s="25"/>
    </row>
    <row r="692" spans="1:12" x14ac:dyDescent="0.3">
      <c r="A692" t="s">
        <v>303</v>
      </c>
      <c r="E692" s="20" t="str">
        <f t="shared" si="74"/>
        <v/>
      </c>
      <c r="F692" s="21" t="str">
        <f>IF(OR(E692="",E692="!!!"),"",IF(NOT(ISNA(VLOOKUP(E692,E$1:E691,1,FALSE()))),"OLD",IF(AND(E692&lt;&gt;"",E692&lt;&gt;"!!!"),"NEW","")))</f>
        <v/>
      </c>
      <c r="G692" s="22" t="str">
        <f>IF(OR(E692="",E692="!!!"),"",IF(OR(J692=0,AND(J692=1,K692=1),AND(J692=1,I692="SBJ"),AND(J692=1,I692=0)),"?IN_FOCUS",IF(J692&lt;=2,"?ACTIVATED",IF(J692&lt;&gt;"","?FAMILIAR",IF(F692="NEW",IF(ISNA(VLOOKUP(E692,#REF!,1,FALSE())),"?TYPE_IDENTIFIABLE","?REFERENTIAL"),"_")))))</f>
        <v/>
      </c>
      <c r="H692" s="23" t="str">
        <f t="shared" ca="1" si="75"/>
        <v/>
      </c>
      <c r="I692" s="24" t="str">
        <f>IF(OR(E692="",E692="!!!",F692="NEW"),"",INDEX(B$2:B691,-1+SUMPRODUCT(MAX(ROW(E$2:E691)*(E692=E$2:E691)))))</f>
        <v/>
      </c>
      <c r="J692" s="24" t="str">
        <f ca="1">IF(OR(E692="",E692="!!!",F692="NEW"),"",COUNTBLANK(OFFSET(A$1,,,SUMPRODUCT(MAX(ROW(E$2:E692)*(E692=E$2:E692)))))-COUNTBLANK(OFFSET(A$1,,,SUMPRODUCT(MAX(ROW(E$1:E691)*(E2=E$1:E691))))))</f>
        <v/>
      </c>
      <c r="K692" s="24" t="str">
        <f>IF(OR(E692="",E692="!!!",F692="NEW"),"",INDEX(J$1:J691,SUMPRODUCT(MAX(ROW(E$1:E691)*(E692=E$1:E691)))))</f>
        <v/>
      </c>
      <c r="L692" s="25"/>
    </row>
    <row r="693" spans="1:12" x14ac:dyDescent="0.3">
      <c r="A693" t="s">
        <v>270</v>
      </c>
      <c r="B693" s="26" t="s">
        <v>261</v>
      </c>
      <c r="C693" s="26" t="s">
        <v>239</v>
      </c>
      <c r="D693" s="26" t="s">
        <v>240</v>
      </c>
      <c r="E693" s="20" t="str">
        <f t="shared" si="74"/>
        <v>!!!</v>
      </c>
      <c r="F693" s="21" t="str">
        <f>IF(OR(E693="",E693="!!!"),"",IF(NOT(ISNA(VLOOKUP(E693,E$1:E692,1,FALSE()))),"OLD",IF(AND(E693&lt;&gt;"",E693&lt;&gt;"!!!"),"NEW","")))</f>
        <v/>
      </c>
      <c r="G693" s="22" t="str">
        <f>IF(OR(E693="",E693="!!!"),"",IF(OR(J693=0,AND(J693=1,K693=1),AND(J693=1,I693="SBJ"),AND(J693=1,I693=0)),"?IN_FOCUS",IF(J693&lt;=2,"?ACTIVATED",IF(J693&lt;&gt;"","?FAMILIAR",IF(F693="NEW",IF(ISNA(VLOOKUP(E693,#REF!,1,FALSE())),"?TYPE_IDENTIFIABLE","?REFERENTIAL"),"_")))))</f>
        <v/>
      </c>
      <c r="H693" s="23" t="str">
        <f t="shared" ca="1" si="75"/>
        <v/>
      </c>
      <c r="I693" s="24" t="str">
        <f>IF(OR(E693="",E693="!!!",F693="NEW"),"",INDEX(B$2:B692,-1+SUMPRODUCT(MAX(ROW(E$2:E692)*(E693=E$2:E692)))))</f>
        <v/>
      </c>
      <c r="J693" s="24" t="str">
        <f ca="1">IF(OR(E693="",E693="!!!",F693="NEW"),"",COUNTBLANK(OFFSET(A$1,,,SUMPRODUCT(MAX(ROW(E$2:E693)*(E693=E$2:E693)))))-COUNTBLANK(OFFSET(A$1,,,SUMPRODUCT(MAX(ROW(E$1:E692)*(E2=E$1:E692))))))</f>
        <v/>
      </c>
      <c r="K693" s="24" t="str">
        <f>IF(OR(E693="",E693="!!!",F693="NEW"),"",INDEX(J$1:J692,SUMPRODUCT(MAX(ROW(E$1:E692)*(E693=E$1:E692)))))</f>
        <v/>
      </c>
      <c r="L693" s="25"/>
    </row>
    <row r="694" spans="1:12" x14ac:dyDescent="0.3">
      <c r="A694" t="s">
        <v>248</v>
      </c>
      <c r="E694" s="20" t="str">
        <f t="shared" si="74"/>
        <v/>
      </c>
      <c r="F694" s="21" t="str">
        <f>IF(OR(E694="",E694="!!!"),"",IF(NOT(ISNA(VLOOKUP(E694,E$1:E693,1,FALSE()))),"OLD",IF(AND(E694&lt;&gt;"",E694&lt;&gt;"!!!"),"NEW","")))</f>
        <v/>
      </c>
      <c r="G694" s="22" t="str">
        <f>IF(OR(E694="",E694="!!!"),"",IF(OR(J694=0,AND(J694=1,K694=1),AND(J694=1,I694="SBJ"),AND(J694=1,I694=0)),"?IN_FOCUS",IF(J694&lt;=2,"?ACTIVATED",IF(J694&lt;&gt;"","?FAMILIAR",IF(F694="NEW",IF(ISNA(VLOOKUP(E694,#REF!,1,FALSE())),"?TYPE_IDENTIFIABLE","?REFERENTIAL"),"_")))))</f>
        <v/>
      </c>
      <c r="H694" s="23" t="str">
        <f t="shared" ca="1" si="75"/>
        <v/>
      </c>
      <c r="I694" s="24" t="str">
        <f>IF(OR(E694="",E694="!!!",F694="NEW"),"",INDEX(B$2:B693,-1+SUMPRODUCT(MAX(ROW(E$2:E693)*(E694=E$2:E693)))))</f>
        <v/>
      </c>
      <c r="J694" s="24" t="str">
        <f ca="1">IF(OR(E694="",E694="!!!",F694="NEW"),"",COUNTBLANK(OFFSET(A$1,,,SUMPRODUCT(MAX(ROW(E$2:E694)*(E694=E$2:E694)))))-COUNTBLANK(OFFSET(A$1,,,SUMPRODUCT(MAX(ROW(E$1:E693)*(E2=E$1:E693))))))</f>
        <v/>
      </c>
      <c r="K694" s="24" t="str">
        <f>IF(OR(E694="",E694="!!!",F694="NEW"),"",INDEX(J$1:J693,SUMPRODUCT(MAX(ROW(E$1:E693)*(E694=E$1:E693)))))</f>
        <v/>
      </c>
      <c r="L694" s="25"/>
    </row>
    <row r="696" spans="1:12" x14ac:dyDescent="0.3">
      <c r="A696" t="s">
        <v>582</v>
      </c>
    </row>
    <row r="697" spans="1:12" x14ac:dyDescent="0.3">
      <c r="A697" t="s">
        <v>396</v>
      </c>
      <c r="B697" s="26" t="s">
        <v>243</v>
      </c>
      <c r="C697" s="26" t="s">
        <v>256</v>
      </c>
      <c r="D697" s="26" t="s">
        <v>240</v>
      </c>
      <c r="E697" s="20" t="str">
        <f t="shared" ref="E697:E733" si="76">IF(D697="?OLD","!!!","")</f>
        <v>!!!</v>
      </c>
      <c r="F697" s="21" t="str">
        <f>IF(OR(E697="",E697="!!!"),"",IF(NOT(ISNA(VLOOKUP(E697,E$1:E696,1,FALSE()))),"OLD",IF(AND(E697&lt;&gt;"",E697&lt;&gt;"!!!"),"NEW","")))</f>
        <v/>
      </c>
      <c r="G697" s="22" t="str">
        <f>IF(OR(E697="",E697="!!!"),"",IF(OR(J697=0,AND(J697=1,K697=1),AND(J697=1,I697="SBJ"),AND(J697=1,I697=0)),"?IN_FOCUS",IF(J697&lt;=2,"?ACTIVATED",IF(J697&lt;&gt;"","?FAMILIAR",IF(F697="NEW",IF(ISNA(VLOOKUP(E697,#REF!,1,FALSE())),"?TYPE_IDENTIFIABLE","?REFERENTIAL"),"_")))))</f>
        <v/>
      </c>
      <c r="H697" s="23" t="str">
        <f t="shared" ref="H697:H733" ca="1" si="77">IF(J697&lt;&gt;1,"",IF(I697="SBJ","CB","?"))</f>
        <v/>
      </c>
      <c r="I697" s="24" t="str">
        <f>IF(OR(E697="",E697="!!!",F697="NEW"),"",INDEX(B$2:B696,-1+SUMPRODUCT(MAX(ROW(E$2:E696)*(E697=E$2:E696)))))</f>
        <v/>
      </c>
      <c r="J697" s="24" t="str">
        <f ca="1">IF(OR(E697="",E697="!!!",F697="NEW"),"",COUNTBLANK(OFFSET(A$1,,,SUMPRODUCT(MAX(ROW(E$2:E697)*(E697=E$2:E697)))))-COUNTBLANK(OFFSET(A$1,,,SUMPRODUCT(MAX(ROW(E$1:E696)*(E2=E$1:E696))))))</f>
        <v/>
      </c>
      <c r="K697" s="24" t="str">
        <f>IF(OR(E697="",E697="!!!",F697="NEW"),"",INDEX(J$1:J696,SUMPRODUCT(MAX(ROW(E$1:E696)*(E697=E$1:E696)))))</f>
        <v/>
      </c>
      <c r="L697" s="25"/>
    </row>
    <row r="698" spans="1:12" x14ac:dyDescent="0.3">
      <c r="A698" t="s">
        <v>583</v>
      </c>
      <c r="E698" s="20" t="str">
        <f t="shared" si="76"/>
        <v/>
      </c>
      <c r="F698" s="21" t="str">
        <f>IF(OR(E698="",E698="!!!"),"",IF(NOT(ISNA(VLOOKUP(E698,E$1:E697,1,FALSE()))),"OLD",IF(AND(E698&lt;&gt;"",E698&lt;&gt;"!!!"),"NEW","")))</f>
        <v/>
      </c>
      <c r="G698" s="22" t="str">
        <f>IF(OR(E698="",E698="!!!"),"",IF(OR(J698=0,AND(J698=1,K698=1),AND(J698=1,I698="SBJ"),AND(J698=1,I698=0)),"?IN_FOCUS",IF(J698&lt;=2,"?ACTIVATED",IF(J698&lt;&gt;"","?FAMILIAR",IF(F698="NEW",IF(ISNA(VLOOKUP(E698,#REF!,1,FALSE())),"?TYPE_IDENTIFIABLE","?REFERENTIAL"),"_")))))</f>
        <v/>
      </c>
      <c r="H698" s="23" t="str">
        <f t="shared" ca="1" si="77"/>
        <v/>
      </c>
      <c r="I698" s="24" t="str">
        <f>IF(OR(E698="",E698="!!!",F698="NEW"),"",INDEX(B$2:B697,-1+SUMPRODUCT(MAX(ROW(E$2:E697)*(E698=E$2:E697)))))</f>
        <v/>
      </c>
      <c r="J698" s="24" t="str">
        <f ca="1">IF(OR(E698="",E698="!!!",F698="NEW"),"",COUNTBLANK(OFFSET(A$1,,,SUMPRODUCT(MAX(ROW(E$2:E698)*(E698=E$2:E698)))))-COUNTBLANK(OFFSET(A$1,,,SUMPRODUCT(MAX(ROW(E$1:E697)*(E2=E$1:E697))))))</f>
        <v/>
      </c>
      <c r="K698" s="24" t="str">
        <f>IF(OR(E698="",E698="!!!",F698="NEW"),"",INDEX(J$1:J697,SUMPRODUCT(MAX(ROW(E$1:E697)*(E698=E$1:E697)))))</f>
        <v/>
      </c>
      <c r="L698" s="25"/>
    </row>
    <row r="699" spans="1:12" x14ac:dyDescent="0.3">
      <c r="A699" t="s">
        <v>263</v>
      </c>
      <c r="E699" s="20" t="str">
        <f t="shared" si="76"/>
        <v/>
      </c>
      <c r="F699" s="21" t="str">
        <f>IF(OR(E699="",E699="!!!"),"",IF(NOT(ISNA(VLOOKUP(E699,E$1:E698,1,FALSE()))),"OLD",IF(AND(E699&lt;&gt;"",E699&lt;&gt;"!!!"),"NEW","")))</f>
        <v/>
      </c>
      <c r="G699" s="22" t="str">
        <f>IF(OR(E699="",E699="!!!"),"",IF(OR(J699=0,AND(J699=1,K699=1),AND(J699=1,I699="SBJ"),AND(J699=1,I699=0)),"?IN_FOCUS",IF(J699&lt;=2,"?ACTIVATED",IF(J699&lt;&gt;"","?FAMILIAR",IF(F699="NEW",IF(ISNA(VLOOKUP(E699,#REF!,1,FALSE())),"?TYPE_IDENTIFIABLE","?REFERENTIAL"),"_")))))</f>
        <v/>
      </c>
      <c r="H699" s="23" t="str">
        <f t="shared" ca="1" si="77"/>
        <v/>
      </c>
      <c r="I699" s="24" t="str">
        <f>IF(OR(E699="",E699="!!!",F699="NEW"),"",INDEX(B$2:B698,-1+SUMPRODUCT(MAX(ROW(E$2:E698)*(E699=E$2:E698)))))</f>
        <v/>
      </c>
      <c r="J699" s="24" t="str">
        <f ca="1">IF(OR(E699="",E699="!!!",F699="NEW"),"",COUNTBLANK(OFFSET(A$1,,,SUMPRODUCT(MAX(ROW(E$2:E699)*(E699=E$2:E699)))))-COUNTBLANK(OFFSET(A$1,,,SUMPRODUCT(MAX(ROW(E$1:E698)*(E2=E$1:E698))))))</f>
        <v/>
      </c>
      <c r="K699" s="24" t="str">
        <f>IF(OR(E699="",E699="!!!",F699="NEW"),"",INDEX(J$1:J698,SUMPRODUCT(MAX(ROW(E$1:E698)*(E699=E$1:E698)))))</f>
        <v/>
      </c>
      <c r="L699" s="25"/>
    </row>
    <row r="700" spans="1:12" x14ac:dyDescent="0.3">
      <c r="A700" t="s">
        <v>405</v>
      </c>
      <c r="B700" s="26" t="s">
        <v>292</v>
      </c>
      <c r="C700" s="26" t="s">
        <v>262</v>
      </c>
      <c r="E700" s="20" t="str">
        <f t="shared" si="76"/>
        <v/>
      </c>
      <c r="F700" s="21" t="str">
        <f>IF(OR(E700="",E700="!!!"),"",IF(NOT(ISNA(VLOOKUP(E700,E$1:E699,1,FALSE()))),"OLD",IF(AND(E700&lt;&gt;"",E700&lt;&gt;"!!!"),"NEW","")))</f>
        <v/>
      </c>
      <c r="G700" s="22" t="str">
        <f>IF(OR(E700="",E700="!!!"),"",IF(OR(J700=0,AND(J700=1,K700=1),AND(J700=1,I700="SBJ"),AND(J700=1,I700=0)),"?IN_FOCUS",IF(J700&lt;=2,"?ACTIVATED",IF(J700&lt;&gt;"","?FAMILIAR",IF(F700="NEW",IF(ISNA(VLOOKUP(E700,#REF!,1,FALSE())),"?TYPE_IDENTIFIABLE","?REFERENTIAL"),"_")))))</f>
        <v/>
      </c>
      <c r="H700" s="23" t="str">
        <f t="shared" ca="1" si="77"/>
        <v/>
      </c>
      <c r="I700" s="24" t="str">
        <f>IF(OR(E700="",E700="!!!",F700="NEW"),"",INDEX(B$2:B699,-1+SUMPRODUCT(MAX(ROW(E$2:E699)*(E700=E$2:E699)))))</f>
        <v/>
      </c>
      <c r="J700" s="24" t="str">
        <f ca="1">IF(OR(E700="",E700="!!!",F700="NEW"),"",COUNTBLANK(OFFSET(A$1,,,SUMPRODUCT(MAX(ROW(E$2:E700)*(E700=E$2:E700)))))-COUNTBLANK(OFFSET(A$1,,,SUMPRODUCT(MAX(ROW(E$1:E699)*(E2=E$1:E699))))))</f>
        <v/>
      </c>
      <c r="K700" s="24" t="str">
        <f>IF(OR(E700="",E700="!!!",F700="NEW"),"",INDEX(J$1:J699,SUMPRODUCT(MAX(ROW(E$1:E699)*(E700=E$1:E699)))))</f>
        <v/>
      </c>
      <c r="L700" s="25"/>
    </row>
    <row r="701" spans="1:12" x14ac:dyDescent="0.3">
      <c r="A701" t="s">
        <v>584</v>
      </c>
      <c r="E701" s="20" t="str">
        <f t="shared" si="76"/>
        <v/>
      </c>
      <c r="F701" s="21" t="str">
        <f>IF(OR(E701="",E701="!!!"),"",IF(NOT(ISNA(VLOOKUP(E701,E$1:E700,1,FALSE()))),"OLD",IF(AND(E701&lt;&gt;"",E701&lt;&gt;"!!!"),"NEW","")))</f>
        <v/>
      </c>
      <c r="G701" s="22" t="str">
        <f>IF(OR(E701="",E701="!!!"),"",IF(OR(J701=0,AND(J701=1,K701=1),AND(J701=1,I701="SBJ"),AND(J701=1,I701=0)),"?IN_FOCUS",IF(J701&lt;=2,"?ACTIVATED",IF(J701&lt;&gt;"","?FAMILIAR",IF(F701="NEW",IF(ISNA(VLOOKUP(E701,#REF!,1,FALSE())),"?TYPE_IDENTIFIABLE","?REFERENTIAL"),"_")))))</f>
        <v/>
      </c>
      <c r="H701" s="23" t="str">
        <f t="shared" ca="1" si="77"/>
        <v/>
      </c>
      <c r="I701" s="24" t="str">
        <f>IF(OR(E701="",E701="!!!",F701="NEW"),"",INDEX(B$2:B700,-1+SUMPRODUCT(MAX(ROW(E$2:E700)*(E701=E$2:E700)))))</f>
        <v/>
      </c>
      <c r="J701" s="24" t="str">
        <f ca="1">IF(OR(E701="",E701="!!!",F701="NEW"),"",COUNTBLANK(OFFSET(A$1,,,SUMPRODUCT(MAX(ROW(E$2:E701)*(E701=E$2:E701)))))-COUNTBLANK(OFFSET(A$1,,,SUMPRODUCT(MAX(ROW(E$1:E700)*(E2=E$1:E700))))))</f>
        <v/>
      </c>
      <c r="K701" s="24" t="str">
        <f>IF(OR(E701="",E701="!!!",F701="NEW"),"",INDEX(J$1:J700,SUMPRODUCT(MAX(ROW(E$1:E700)*(E701=E$1:E700)))))</f>
        <v/>
      </c>
      <c r="L701" s="25"/>
    </row>
    <row r="702" spans="1:12" x14ac:dyDescent="0.3">
      <c r="A702" t="s">
        <v>372</v>
      </c>
      <c r="E702" s="20" t="str">
        <f t="shared" si="76"/>
        <v/>
      </c>
      <c r="F702" s="21" t="str">
        <f>IF(OR(E702="",E702="!!!"),"",IF(NOT(ISNA(VLOOKUP(E702,E$1:E701,1,FALSE()))),"OLD",IF(AND(E702&lt;&gt;"",E702&lt;&gt;"!!!"),"NEW","")))</f>
        <v/>
      </c>
      <c r="G702" s="22" t="str">
        <f>IF(OR(E702="",E702="!!!"),"",IF(OR(J702=0,AND(J702=1,K702=1),AND(J702=1,I702="SBJ"),AND(J702=1,I702=0)),"?IN_FOCUS",IF(J702&lt;=2,"?ACTIVATED",IF(J702&lt;&gt;"","?FAMILIAR",IF(F702="NEW",IF(ISNA(VLOOKUP(E702,#REF!,1,FALSE())),"?TYPE_IDENTIFIABLE","?REFERENTIAL"),"_")))))</f>
        <v/>
      </c>
      <c r="H702" s="23" t="str">
        <f t="shared" ca="1" si="77"/>
        <v/>
      </c>
      <c r="I702" s="24" t="str">
        <f>IF(OR(E702="",E702="!!!",F702="NEW"),"",INDEX(B$2:B701,-1+SUMPRODUCT(MAX(ROW(E$2:E701)*(E702=E$2:E701)))))</f>
        <v/>
      </c>
      <c r="J702" s="24" t="str">
        <f ca="1">IF(OR(E702="",E702="!!!",F702="NEW"),"",COUNTBLANK(OFFSET(A$1,,,SUMPRODUCT(MAX(ROW(E$2:E702)*(E702=E$2:E702)))))-COUNTBLANK(OFFSET(A$1,,,SUMPRODUCT(MAX(ROW(E$1:E701)*(E2=E$1:E701))))))</f>
        <v/>
      </c>
      <c r="K702" s="24" t="str">
        <f>IF(OR(E702="",E702="!!!",F702="NEW"),"",INDEX(J$1:J701,SUMPRODUCT(MAX(ROW(E$1:E701)*(E702=E$1:E701)))))</f>
        <v/>
      </c>
      <c r="L702" s="25"/>
    </row>
    <row r="703" spans="1:12" x14ac:dyDescent="0.3">
      <c r="A703" t="s">
        <v>585</v>
      </c>
      <c r="B703" s="26" t="s">
        <v>261</v>
      </c>
      <c r="C703" s="26" t="s">
        <v>262</v>
      </c>
      <c r="E703" s="20" t="str">
        <f t="shared" si="76"/>
        <v/>
      </c>
      <c r="F703" s="21" t="str">
        <f>IF(OR(E703="",E703="!!!"),"",IF(NOT(ISNA(VLOOKUP(E703,E$1:E702,1,FALSE()))),"OLD",IF(AND(E703&lt;&gt;"",E703&lt;&gt;"!!!"),"NEW","")))</f>
        <v/>
      </c>
      <c r="G703" s="22" t="str">
        <f>IF(OR(E703="",E703="!!!"),"",IF(OR(J703=0,AND(J703=1,K703=1),AND(J703=1,I703="SBJ"),AND(J703=1,I703=0)),"?IN_FOCUS",IF(J703&lt;=2,"?ACTIVATED",IF(J703&lt;&gt;"","?FAMILIAR",IF(F703="NEW",IF(ISNA(VLOOKUP(E703,#REF!,1,FALSE())),"?TYPE_IDENTIFIABLE","?REFERENTIAL"),"_")))))</f>
        <v/>
      </c>
      <c r="H703" s="23" t="str">
        <f t="shared" ca="1" si="77"/>
        <v/>
      </c>
      <c r="I703" s="24" t="str">
        <f>IF(OR(E703="",E703="!!!",F703="NEW"),"",INDEX(B$2:B702,-1+SUMPRODUCT(MAX(ROW(E$2:E702)*(E703=E$2:E702)))))</f>
        <v/>
      </c>
      <c r="J703" s="24" t="str">
        <f ca="1">IF(OR(E703="",E703="!!!",F703="NEW"),"",COUNTBLANK(OFFSET(A$1,,,SUMPRODUCT(MAX(ROW(E$2:E703)*(E703=E$2:E703)))))-COUNTBLANK(OFFSET(A$1,,,SUMPRODUCT(MAX(ROW(E$1:E702)*(E2=E$1:E702))))))</f>
        <v/>
      </c>
      <c r="K703" s="24" t="str">
        <f>IF(OR(E703="",E703="!!!",F703="NEW"),"",INDEX(J$1:J702,SUMPRODUCT(MAX(ROW(E$1:E702)*(E703=E$1:E702)))))</f>
        <v/>
      </c>
      <c r="L703" s="25"/>
    </row>
    <row r="704" spans="1:12" x14ac:dyDescent="0.3">
      <c r="A704" t="s">
        <v>257</v>
      </c>
      <c r="E704" s="20" t="str">
        <f t="shared" si="76"/>
        <v/>
      </c>
      <c r="F704" s="21" t="str">
        <f>IF(OR(E704="",E704="!!!"),"",IF(NOT(ISNA(VLOOKUP(E704,E$1:E703,1,FALSE()))),"OLD",IF(AND(E704&lt;&gt;"",E704&lt;&gt;"!!!"),"NEW","")))</f>
        <v/>
      </c>
      <c r="G704" s="22" t="str">
        <f>IF(OR(E704="",E704="!!!"),"",IF(OR(J704=0,AND(J704=1,K704=1),AND(J704=1,I704="SBJ"),AND(J704=1,I704=0)),"?IN_FOCUS",IF(J704&lt;=2,"?ACTIVATED",IF(J704&lt;&gt;"","?FAMILIAR",IF(F704="NEW",IF(ISNA(VLOOKUP(E704,#REF!,1,FALSE())),"?TYPE_IDENTIFIABLE","?REFERENTIAL"),"_")))))</f>
        <v/>
      </c>
      <c r="H704" s="23" t="str">
        <f t="shared" ca="1" si="77"/>
        <v/>
      </c>
      <c r="I704" s="24" t="str">
        <f>IF(OR(E704="",E704="!!!",F704="NEW"),"",INDEX(B$2:B703,-1+SUMPRODUCT(MAX(ROW(E$2:E703)*(E704=E$2:E703)))))</f>
        <v/>
      </c>
      <c r="J704" s="24" t="str">
        <f ca="1">IF(OR(E704="",E704="!!!",F704="NEW"),"",COUNTBLANK(OFFSET(A$1,,,SUMPRODUCT(MAX(ROW(E$2:E704)*(E704=E$2:E704)))))-COUNTBLANK(OFFSET(A$1,,,SUMPRODUCT(MAX(ROW(E$1:E703)*(E2=E$1:E703))))))</f>
        <v/>
      </c>
      <c r="K704" s="24" t="str">
        <f>IF(OR(E704="",E704="!!!",F704="NEW"),"",INDEX(J$1:J703,SUMPRODUCT(MAX(ROW(E$1:E703)*(E704=E$1:E703)))))</f>
        <v/>
      </c>
      <c r="L704" s="25"/>
    </row>
    <row r="705" spans="1:12" x14ac:dyDescent="0.3">
      <c r="A705" t="s">
        <v>586</v>
      </c>
      <c r="B705" s="26" t="s">
        <v>276</v>
      </c>
      <c r="C705" s="26" t="s">
        <v>346</v>
      </c>
      <c r="D705" s="26" t="s">
        <v>240</v>
      </c>
      <c r="E705" s="20" t="str">
        <f t="shared" si="76"/>
        <v>!!!</v>
      </c>
      <c r="F705" s="21" t="str">
        <f>IF(OR(E705="",E705="!!!"),"",IF(NOT(ISNA(VLOOKUP(E705,E$1:E704,1,FALSE()))),"OLD",IF(AND(E705&lt;&gt;"",E705&lt;&gt;"!!!"),"NEW","")))</f>
        <v/>
      </c>
      <c r="G705" s="22" t="str">
        <f>IF(OR(E705="",E705="!!!"),"",IF(OR(J705=0,AND(J705=1,K705=1),AND(J705=1,I705="SBJ"),AND(J705=1,I705=0)),"?IN_FOCUS",IF(J705&lt;=2,"?ACTIVATED",IF(J705&lt;&gt;"","?FAMILIAR",IF(F705="NEW",IF(ISNA(VLOOKUP(E705,#REF!,1,FALSE())),"?TYPE_IDENTIFIABLE","?REFERENTIAL"),"_")))))</f>
        <v/>
      </c>
      <c r="H705" s="23" t="str">
        <f t="shared" ca="1" si="77"/>
        <v/>
      </c>
      <c r="I705" s="24" t="str">
        <f>IF(OR(E705="",E705="!!!",F705="NEW"),"",INDEX(B$2:B704,-1+SUMPRODUCT(MAX(ROW(E$2:E704)*(E705=E$2:E704)))))</f>
        <v/>
      </c>
      <c r="J705" s="24" t="str">
        <f ca="1">IF(OR(E705="",E705="!!!",F705="NEW"),"",COUNTBLANK(OFFSET(A$1,,,SUMPRODUCT(MAX(ROW(E$2:E705)*(E705=E$2:E705)))))-COUNTBLANK(OFFSET(A$1,,,SUMPRODUCT(MAX(ROW(E$1:E704)*(E2=E$1:E704))))))</f>
        <v/>
      </c>
      <c r="K705" s="24" t="str">
        <f>IF(OR(E705="",E705="!!!",F705="NEW"),"",INDEX(J$1:J704,SUMPRODUCT(MAX(ROW(E$1:E704)*(E705=E$1:E704)))))</f>
        <v/>
      </c>
      <c r="L705" s="25"/>
    </row>
    <row r="706" spans="1:12" x14ac:dyDescent="0.3">
      <c r="A706" t="s">
        <v>581</v>
      </c>
      <c r="B706" s="26" t="s">
        <v>272</v>
      </c>
      <c r="C706" s="26" t="s">
        <v>587</v>
      </c>
      <c r="D706" s="26" t="s">
        <v>240</v>
      </c>
      <c r="E706" s="20" t="str">
        <f t="shared" si="76"/>
        <v>!!!</v>
      </c>
      <c r="F706" s="21" t="str">
        <f>IF(OR(E706="",E706="!!!"),"",IF(NOT(ISNA(VLOOKUP(E706,E$1:E705,1,FALSE()))),"OLD",IF(AND(E706&lt;&gt;"",E706&lt;&gt;"!!!"),"NEW","")))</f>
        <v/>
      </c>
      <c r="G706" s="22" t="str">
        <f>IF(OR(E706="",E706="!!!"),"",IF(OR(J706=0,AND(J706=1,K706=1),AND(J706=1,I706="SBJ"),AND(J706=1,I706=0)),"?IN_FOCUS",IF(J706&lt;=2,"?ACTIVATED",IF(J706&lt;&gt;"","?FAMILIAR",IF(F706="NEW",IF(ISNA(VLOOKUP(E706,#REF!,1,FALSE())),"?TYPE_IDENTIFIABLE","?REFERENTIAL"),"_")))))</f>
        <v/>
      </c>
      <c r="H706" s="23" t="str">
        <f t="shared" ca="1" si="77"/>
        <v/>
      </c>
      <c r="I706" s="24" t="str">
        <f>IF(OR(E706="",E706="!!!",F706="NEW"),"",INDEX(B$2:B705,-1+SUMPRODUCT(MAX(ROW(E$2:E705)*(E706=E$2:E705)))))</f>
        <v/>
      </c>
      <c r="J706" s="24" t="str">
        <f ca="1">IF(OR(E706="",E706="!!!",F706="NEW"),"",COUNTBLANK(OFFSET(A$1,,,SUMPRODUCT(MAX(ROW(E$2:E706)*(E706=E$2:E706)))))-COUNTBLANK(OFFSET(A$1,,,SUMPRODUCT(MAX(ROW(E$1:E705)*(E2=E$1:E705))))))</f>
        <v/>
      </c>
      <c r="K706" s="24" t="str">
        <f>IF(OR(E706="",E706="!!!",F706="NEW"),"",INDEX(J$1:J705,SUMPRODUCT(MAX(ROW(E$1:E705)*(E706=E$1:E705)))))</f>
        <v/>
      </c>
      <c r="L706" s="25"/>
    </row>
    <row r="707" spans="1:12" x14ac:dyDescent="0.3">
      <c r="A707" t="s">
        <v>252</v>
      </c>
      <c r="E707" s="20" t="str">
        <f t="shared" si="76"/>
        <v/>
      </c>
      <c r="F707" s="21" t="str">
        <f>IF(OR(E707="",E707="!!!"),"",IF(NOT(ISNA(VLOOKUP(E707,E$1:E706,1,FALSE()))),"OLD",IF(AND(E707&lt;&gt;"",E707&lt;&gt;"!!!"),"NEW","")))</f>
        <v/>
      </c>
      <c r="G707" s="22" t="str">
        <f>IF(OR(E707="",E707="!!!"),"",IF(OR(J707=0,AND(J707=1,K707=1),AND(J707=1,I707="SBJ"),AND(J707=1,I707=0)),"?IN_FOCUS",IF(J707&lt;=2,"?ACTIVATED",IF(J707&lt;&gt;"","?FAMILIAR",IF(F707="NEW",IF(ISNA(VLOOKUP(E707,#REF!,1,FALSE())),"?TYPE_IDENTIFIABLE","?REFERENTIAL"),"_")))))</f>
        <v/>
      </c>
      <c r="H707" s="23" t="str">
        <f t="shared" ca="1" si="77"/>
        <v/>
      </c>
      <c r="I707" s="24" t="str">
        <f>IF(OR(E707="",E707="!!!",F707="NEW"),"",INDEX(B$2:B706,-1+SUMPRODUCT(MAX(ROW(E$2:E706)*(E707=E$2:E706)))))</f>
        <v/>
      </c>
      <c r="J707" s="24" t="str">
        <f ca="1">IF(OR(E707="",E707="!!!",F707="NEW"),"",COUNTBLANK(OFFSET(A$1,,,SUMPRODUCT(MAX(ROW(E$2:E707)*(E707=E$2:E707)))))-COUNTBLANK(OFFSET(A$1,,,SUMPRODUCT(MAX(ROW(E$1:E706)*(E2=E$1:E706))))))</f>
        <v/>
      </c>
      <c r="K707" s="24" t="str">
        <f>IF(OR(E707="",E707="!!!",F707="NEW"),"",INDEX(J$1:J706,SUMPRODUCT(MAX(ROW(E$1:E706)*(E707=E$1:E706)))))</f>
        <v/>
      </c>
      <c r="L707" s="25"/>
    </row>
    <row r="708" spans="1:12" x14ac:dyDescent="0.3">
      <c r="A708" t="s">
        <v>588</v>
      </c>
      <c r="E708" s="20" t="str">
        <f t="shared" si="76"/>
        <v/>
      </c>
      <c r="F708" s="21" t="str">
        <f>IF(OR(E708="",E708="!!!"),"",IF(NOT(ISNA(VLOOKUP(E708,E$1:E707,1,FALSE()))),"OLD",IF(AND(E708&lt;&gt;"",E708&lt;&gt;"!!!"),"NEW","")))</f>
        <v/>
      </c>
      <c r="G708" s="22" t="str">
        <f>IF(OR(E708="",E708="!!!"),"",IF(OR(J708=0,AND(J708=1,K708=1),AND(J708=1,I708="SBJ"),AND(J708=1,I708=0)),"?IN_FOCUS",IF(J708&lt;=2,"?ACTIVATED",IF(J708&lt;&gt;"","?FAMILIAR",IF(F708="NEW",IF(ISNA(VLOOKUP(E708,#REF!,1,FALSE())),"?TYPE_IDENTIFIABLE","?REFERENTIAL"),"_")))))</f>
        <v/>
      </c>
      <c r="H708" s="23" t="str">
        <f t="shared" ca="1" si="77"/>
        <v/>
      </c>
      <c r="I708" s="24" t="str">
        <f>IF(OR(E708="",E708="!!!",F708="NEW"),"",INDEX(B$2:B707,-1+SUMPRODUCT(MAX(ROW(E$2:E707)*(E708=E$2:E707)))))</f>
        <v/>
      </c>
      <c r="J708" s="24" t="str">
        <f ca="1">IF(OR(E708="",E708="!!!",F708="NEW"),"",COUNTBLANK(OFFSET(A$1,,,SUMPRODUCT(MAX(ROW(E$2:E708)*(E708=E$2:E708)))))-COUNTBLANK(OFFSET(A$1,,,SUMPRODUCT(MAX(ROW(E$1:E707)*(E2=E$1:E707))))))</f>
        <v/>
      </c>
      <c r="K708" s="24" t="str">
        <f>IF(OR(E708="",E708="!!!",F708="NEW"),"",INDEX(J$1:J707,SUMPRODUCT(MAX(ROW(E$1:E707)*(E708=E$1:E707)))))</f>
        <v/>
      </c>
      <c r="L708" s="25"/>
    </row>
    <row r="709" spans="1:12" x14ac:dyDescent="0.3">
      <c r="A709" t="s">
        <v>589</v>
      </c>
      <c r="E709" s="20" t="str">
        <f t="shared" si="76"/>
        <v/>
      </c>
      <c r="F709" s="21" t="str">
        <f>IF(OR(E709="",E709="!!!"),"",IF(NOT(ISNA(VLOOKUP(E709,E$1:E708,1,FALSE()))),"OLD",IF(AND(E709&lt;&gt;"",E709&lt;&gt;"!!!"),"NEW","")))</f>
        <v/>
      </c>
      <c r="G709" s="22" t="str">
        <f>IF(OR(E709="",E709="!!!"),"",IF(OR(J709=0,AND(J709=1,K709=1),AND(J709=1,I709="SBJ"),AND(J709=1,I709=0)),"?IN_FOCUS",IF(J709&lt;=2,"?ACTIVATED",IF(J709&lt;&gt;"","?FAMILIAR",IF(F709="NEW",IF(ISNA(VLOOKUP(E709,#REF!,1,FALSE())),"?TYPE_IDENTIFIABLE","?REFERENTIAL"),"_")))))</f>
        <v/>
      </c>
      <c r="H709" s="23" t="str">
        <f t="shared" ca="1" si="77"/>
        <v/>
      </c>
      <c r="I709" s="24" t="str">
        <f>IF(OR(E709="",E709="!!!",F709="NEW"),"",INDEX(B$2:B708,-1+SUMPRODUCT(MAX(ROW(E$2:E708)*(E709=E$2:E708)))))</f>
        <v/>
      </c>
      <c r="J709" s="24" t="str">
        <f ca="1">IF(OR(E709="",E709="!!!",F709="NEW"),"",COUNTBLANK(OFFSET(A$1,,,SUMPRODUCT(MAX(ROW(E$2:E709)*(E709=E$2:E709)))))-COUNTBLANK(OFFSET(A$1,,,SUMPRODUCT(MAX(ROW(E$1:E708)*(E2=E$1:E708))))))</f>
        <v/>
      </c>
      <c r="K709" s="24" t="str">
        <f>IF(OR(E709="",E709="!!!",F709="NEW"),"",INDEX(J$1:J708,SUMPRODUCT(MAX(ROW(E$1:E708)*(E709=E$1:E708)))))</f>
        <v/>
      </c>
      <c r="L709" s="25"/>
    </row>
    <row r="710" spans="1:12" x14ac:dyDescent="0.3">
      <c r="A710" t="s">
        <v>331</v>
      </c>
      <c r="E710" s="20" t="str">
        <f t="shared" si="76"/>
        <v/>
      </c>
      <c r="F710" s="21" t="str">
        <f>IF(OR(E710="",E710="!!!"),"",IF(NOT(ISNA(VLOOKUP(E710,E$1:E709,1,FALSE()))),"OLD",IF(AND(E710&lt;&gt;"",E710&lt;&gt;"!!!"),"NEW","")))</f>
        <v/>
      </c>
      <c r="G710" s="22" t="str">
        <f>IF(OR(E710="",E710="!!!"),"",IF(OR(J710=0,AND(J710=1,K710=1),AND(J710=1,I710="SBJ"),AND(J710=1,I710=0)),"?IN_FOCUS",IF(J710&lt;=2,"?ACTIVATED",IF(J710&lt;&gt;"","?FAMILIAR",IF(F710="NEW",IF(ISNA(VLOOKUP(E710,#REF!,1,FALSE())),"?TYPE_IDENTIFIABLE","?REFERENTIAL"),"_")))))</f>
        <v/>
      </c>
      <c r="H710" s="23" t="str">
        <f t="shared" ca="1" si="77"/>
        <v/>
      </c>
      <c r="I710" s="24" t="str">
        <f>IF(OR(E710="",E710="!!!",F710="NEW"),"",INDEX(B$2:B709,-1+SUMPRODUCT(MAX(ROW(E$2:E709)*(E710=E$2:E709)))))</f>
        <v/>
      </c>
      <c r="J710" s="24" t="str">
        <f ca="1">IF(OR(E710="",E710="!!!",F710="NEW"),"",COUNTBLANK(OFFSET(A$1,,,SUMPRODUCT(MAX(ROW(E$2:E710)*(E710=E$2:E710)))))-COUNTBLANK(OFFSET(A$1,,,SUMPRODUCT(MAX(ROW(E$1:E709)*(E2=E$1:E709))))))</f>
        <v/>
      </c>
      <c r="K710" s="24" t="str">
        <f>IF(OR(E710="",E710="!!!",F710="NEW"),"",INDEX(J$1:J709,SUMPRODUCT(MAX(ROW(E$1:E709)*(E710=E$1:E709)))))</f>
        <v/>
      </c>
      <c r="L710" s="25"/>
    </row>
    <row r="711" spans="1:12" x14ac:dyDescent="0.3">
      <c r="A711" t="s">
        <v>303</v>
      </c>
      <c r="E711" s="20" t="str">
        <f t="shared" si="76"/>
        <v/>
      </c>
      <c r="F711" s="21" t="str">
        <f>IF(OR(E711="",E711="!!!"),"",IF(NOT(ISNA(VLOOKUP(E711,E$1:E710,1,FALSE()))),"OLD",IF(AND(E711&lt;&gt;"",E711&lt;&gt;"!!!"),"NEW","")))</f>
        <v/>
      </c>
      <c r="G711" s="22" t="str">
        <f>IF(OR(E711="",E711="!!!"),"",IF(OR(J711=0,AND(J711=1,K711=1),AND(J711=1,I711="SBJ"),AND(J711=1,I711=0)),"?IN_FOCUS",IF(J711&lt;=2,"?ACTIVATED",IF(J711&lt;&gt;"","?FAMILIAR",IF(F711="NEW",IF(ISNA(VLOOKUP(E711,#REF!,1,FALSE())),"?TYPE_IDENTIFIABLE","?REFERENTIAL"),"_")))))</f>
        <v/>
      </c>
      <c r="H711" s="23" t="str">
        <f t="shared" ca="1" si="77"/>
        <v/>
      </c>
      <c r="I711" s="24" t="str">
        <f>IF(OR(E711="",E711="!!!",F711="NEW"),"",INDEX(B$2:B710,-1+SUMPRODUCT(MAX(ROW(E$2:E710)*(E711=E$2:E710)))))</f>
        <v/>
      </c>
      <c r="J711" s="24" t="str">
        <f ca="1">IF(OR(E711="",E711="!!!",F711="NEW"),"",COUNTBLANK(OFFSET(A$1,,,SUMPRODUCT(MAX(ROW(E$2:E711)*(E711=E$2:E711)))))-COUNTBLANK(OFFSET(A$1,,,SUMPRODUCT(MAX(ROW(E$1:E710)*(E2=E$1:E710))))))</f>
        <v/>
      </c>
      <c r="K711" s="24" t="str">
        <f>IF(OR(E711="",E711="!!!",F711="NEW"),"",INDEX(J$1:J710,SUMPRODUCT(MAX(ROW(E$1:E710)*(E711=E$1:E710)))))</f>
        <v/>
      </c>
      <c r="L711" s="25"/>
    </row>
    <row r="712" spans="1:12" x14ac:dyDescent="0.3">
      <c r="A712" t="s">
        <v>462</v>
      </c>
      <c r="B712" s="26" t="s">
        <v>261</v>
      </c>
      <c r="C712" s="26" t="s">
        <v>239</v>
      </c>
      <c r="D712" s="26" t="s">
        <v>240</v>
      </c>
      <c r="E712" s="20" t="str">
        <f t="shared" si="76"/>
        <v>!!!</v>
      </c>
      <c r="F712" s="21" t="str">
        <f>IF(OR(E712="",E712="!!!"),"",IF(NOT(ISNA(VLOOKUP(E712,E$1:E711,1,FALSE()))),"OLD",IF(AND(E712&lt;&gt;"",E712&lt;&gt;"!!!"),"NEW","")))</f>
        <v/>
      </c>
      <c r="G712" s="22" t="str">
        <f>IF(OR(E712="",E712="!!!"),"",IF(OR(J712=0,AND(J712=1,K712=1),AND(J712=1,I712="SBJ"),AND(J712=1,I712=0)),"?IN_FOCUS",IF(J712&lt;=2,"?ACTIVATED",IF(J712&lt;&gt;"","?FAMILIAR",IF(F712="NEW",IF(ISNA(VLOOKUP(E712,#REF!,1,FALSE())),"?TYPE_IDENTIFIABLE","?REFERENTIAL"),"_")))))</f>
        <v/>
      </c>
      <c r="H712" s="23" t="str">
        <f t="shared" ca="1" si="77"/>
        <v/>
      </c>
      <c r="I712" s="24" t="str">
        <f>IF(OR(E712="",E712="!!!",F712="NEW"),"",INDEX(B$2:B711,-1+SUMPRODUCT(MAX(ROW(E$2:E711)*(E712=E$2:E711)))))</f>
        <v/>
      </c>
      <c r="J712" s="24" t="str">
        <f ca="1">IF(OR(E712="",E712="!!!",F712="NEW"),"",COUNTBLANK(OFFSET(A$1,,,SUMPRODUCT(MAX(ROW(E$2:E712)*(E712=E$2:E712)))))-COUNTBLANK(OFFSET(A$1,,,SUMPRODUCT(MAX(ROW(E$1:E711)*(E2=E$1:E711))))))</f>
        <v/>
      </c>
      <c r="K712" s="24" t="str">
        <f>IF(OR(E712="",E712="!!!",F712="NEW"),"",INDEX(J$1:J711,SUMPRODUCT(MAX(ROW(E$1:E711)*(E712=E$1:E711)))))</f>
        <v/>
      </c>
      <c r="L712" s="25"/>
    </row>
    <row r="713" spans="1:12" x14ac:dyDescent="0.3">
      <c r="A713" t="s">
        <v>252</v>
      </c>
      <c r="E713" s="20" t="str">
        <f t="shared" si="76"/>
        <v/>
      </c>
      <c r="F713" s="21" t="str">
        <f>IF(OR(E713="",E713="!!!"),"",IF(NOT(ISNA(VLOOKUP(E713,E$1:E712,1,FALSE()))),"OLD",IF(AND(E713&lt;&gt;"",E713&lt;&gt;"!!!"),"NEW","")))</f>
        <v/>
      </c>
      <c r="G713" s="22" t="str">
        <f>IF(OR(E713="",E713="!!!"),"",IF(OR(J713=0,AND(J713=1,K713=1),AND(J713=1,I713="SBJ"),AND(J713=1,I713=0)),"?IN_FOCUS",IF(J713&lt;=2,"?ACTIVATED",IF(J713&lt;&gt;"","?FAMILIAR",IF(F713="NEW",IF(ISNA(VLOOKUP(E713,#REF!,1,FALSE())),"?TYPE_IDENTIFIABLE","?REFERENTIAL"),"_")))))</f>
        <v/>
      </c>
      <c r="H713" s="23" t="str">
        <f t="shared" ca="1" si="77"/>
        <v/>
      </c>
      <c r="I713" s="24" t="str">
        <f>IF(OR(E713="",E713="!!!",F713="NEW"),"",INDEX(B$2:B712,-1+SUMPRODUCT(MAX(ROW(E$2:E712)*(E713=E$2:E712)))))</f>
        <v/>
      </c>
      <c r="J713" s="24" t="str">
        <f ca="1">IF(OR(E713="",E713="!!!",F713="NEW"),"",COUNTBLANK(OFFSET(A$1,,,SUMPRODUCT(MAX(ROW(E$2:E713)*(E713=E$2:E713)))))-COUNTBLANK(OFFSET(A$1,,,SUMPRODUCT(MAX(ROW(E$1:E712)*(E2=E$1:E712))))))</f>
        <v/>
      </c>
      <c r="K713" s="24" t="str">
        <f>IF(OR(E713="",E713="!!!",F713="NEW"),"",INDEX(J$1:J712,SUMPRODUCT(MAX(ROW(E$1:E712)*(E713=E$1:E712)))))</f>
        <v/>
      </c>
      <c r="L713" s="25"/>
    </row>
    <row r="714" spans="1:12" x14ac:dyDescent="0.3">
      <c r="A714" t="s">
        <v>310</v>
      </c>
      <c r="E714" s="20" t="str">
        <f t="shared" si="76"/>
        <v/>
      </c>
      <c r="F714" s="21" t="str">
        <f>IF(OR(E714="",E714="!!!"),"",IF(NOT(ISNA(VLOOKUP(E714,E$1:E713,1,FALSE()))),"OLD",IF(AND(E714&lt;&gt;"",E714&lt;&gt;"!!!"),"NEW","")))</f>
        <v/>
      </c>
      <c r="G714" s="22" t="str">
        <f>IF(OR(E714="",E714="!!!"),"",IF(OR(J714=0,AND(J714=1,K714=1),AND(J714=1,I714="SBJ"),AND(J714=1,I714=0)),"?IN_FOCUS",IF(J714&lt;=2,"?ACTIVATED",IF(J714&lt;&gt;"","?FAMILIAR",IF(F714="NEW",IF(ISNA(VLOOKUP(E714,#REF!,1,FALSE())),"?TYPE_IDENTIFIABLE","?REFERENTIAL"),"_")))))</f>
        <v/>
      </c>
      <c r="H714" s="23" t="str">
        <f t="shared" ca="1" si="77"/>
        <v/>
      </c>
      <c r="I714" s="24" t="str">
        <f>IF(OR(E714="",E714="!!!",F714="NEW"),"",INDEX(B$2:B713,-1+SUMPRODUCT(MAX(ROW(E$2:E713)*(E714=E$2:E713)))))</f>
        <v/>
      </c>
      <c r="J714" s="24" t="str">
        <f ca="1">IF(OR(E714="",E714="!!!",F714="NEW"),"",COUNTBLANK(OFFSET(A$1,,,SUMPRODUCT(MAX(ROW(E$2:E714)*(E714=E$2:E714)))))-COUNTBLANK(OFFSET(A$1,,,SUMPRODUCT(MAX(ROW(E$1:E713)*(E2=E$1:E713))))))</f>
        <v/>
      </c>
      <c r="K714" s="24" t="str">
        <f>IF(OR(E714="",E714="!!!",F714="NEW"),"",INDEX(J$1:J713,SUMPRODUCT(MAX(ROW(E$1:E713)*(E714=E$1:E713)))))</f>
        <v/>
      </c>
      <c r="L714" s="25"/>
    </row>
    <row r="715" spans="1:12" x14ac:dyDescent="0.3">
      <c r="A715" t="s">
        <v>590</v>
      </c>
      <c r="B715" s="26" t="s">
        <v>255</v>
      </c>
      <c r="C715" s="26" t="s">
        <v>239</v>
      </c>
      <c r="D715" s="26" t="s">
        <v>240</v>
      </c>
      <c r="E715" s="20" t="str">
        <f t="shared" si="76"/>
        <v>!!!</v>
      </c>
      <c r="F715" s="21" t="str">
        <f>IF(OR(E715="",E715="!!!"),"",IF(NOT(ISNA(VLOOKUP(E715,E$1:E714,1,FALSE()))),"OLD",IF(AND(E715&lt;&gt;"",E715&lt;&gt;"!!!"),"NEW","")))</f>
        <v/>
      </c>
      <c r="G715" s="22" t="str">
        <f>IF(OR(E715="",E715="!!!"),"",IF(OR(J715=0,AND(J715=1,K715=1),AND(J715=1,I715="SBJ"),AND(J715=1,I715=0)),"?IN_FOCUS",IF(J715&lt;=2,"?ACTIVATED",IF(J715&lt;&gt;"","?FAMILIAR",IF(F715="NEW",IF(ISNA(VLOOKUP(E715,#REF!,1,FALSE())),"?TYPE_IDENTIFIABLE","?REFERENTIAL"),"_")))))</f>
        <v/>
      </c>
      <c r="H715" s="23" t="str">
        <f t="shared" ca="1" si="77"/>
        <v/>
      </c>
      <c r="I715" s="24" t="str">
        <f>IF(OR(E715="",E715="!!!",F715="NEW"),"",INDEX(B$2:B714,-1+SUMPRODUCT(MAX(ROW(E$2:E714)*(E715=E$2:E714)))))</f>
        <v/>
      </c>
      <c r="J715" s="24" t="str">
        <f ca="1">IF(OR(E715="",E715="!!!",F715="NEW"),"",COUNTBLANK(OFFSET(A$1,,,SUMPRODUCT(MAX(ROW(E$2:E715)*(E715=E$2:E715)))))-COUNTBLANK(OFFSET(A$1,,,SUMPRODUCT(MAX(ROW(E$1:E714)*(E2=E$1:E714))))))</f>
        <v/>
      </c>
      <c r="K715" s="24" t="str">
        <f>IF(OR(E715="",E715="!!!",F715="NEW"),"",INDEX(J$1:J714,SUMPRODUCT(MAX(ROW(E$1:E714)*(E715=E$1:E714)))))</f>
        <v/>
      </c>
      <c r="L715" s="25"/>
    </row>
    <row r="716" spans="1:12" x14ac:dyDescent="0.3">
      <c r="A716" t="s">
        <v>363</v>
      </c>
      <c r="E716" s="20" t="str">
        <f t="shared" si="76"/>
        <v/>
      </c>
      <c r="F716" s="21" t="str">
        <f>IF(OR(E716="",E716="!!!"),"",IF(NOT(ISNA(VLOOKUP(E716,E$1:E715,1,FALSE()))),"OLD",IF(AND(E716&lt;&gt;"",E716&lt;&gt;"!!!"),"NEW","")))</f>
        <v/>
      </c>
      <c r="G716" s="22" t="str">
        <f>IF(OR(E716="",E716="!!!"),"",IF(OR(J716=0,AND(J716=1,K716=1),AND(J716=1,I716="SBJ"),AND(J716=1,I716=0)),"?IN_FOCUS",IF(J716&lt;=2,"?ACTIVATED",IF(J716&lt;&gt;"","?FAMILIAR",IF(F716="NEW",IF(ISNA(VLOOKUP(E716,#REF!,1,FALSE())),"?TYPE_IDENTIFIABLE","?REFERENTIAL"),"_")))))</f>
        <v/>
      </c>
      <c r="H716" s="23" t="str">
        <f t="shared" ca="1" si="77"/>
        <v/>
      </c>
      <c r="I716" s="24" t="str">
        <f>IF(OR(E716="",E716="!!!",F716="NEW"),"",INDEX(B$2:B715,-1+SUMPRODUCT(MAX(ROW(E$2:E715)*(E716=E$2:E715)))))</f>
        <v/>
      </c>
      <c r="J716" s="24" t="str">
        <f ca="1">IF(OR(E716="",E716="!!!",F716="NEW"),"",COUNTBLANK(OFFSET(A$1,,,SUMPRODUCT(MAX(ROW(E$2:E716)*(E716=E$2:E716)))))-COUNTBLANK(OFFSET(A$1,,,SUMPRODUCT(MAX(ROW(E$1:E715)*(E2=E$1:E715))))))</f>
        <v/>
      </c>
      <c r="K716" s="24" t="str">
        <f>IF(OR(E716="",E716="!!!",F716="NEW"),"",INDEX(J$1:J715,SUMPRODUCT(MAX(ROW(E$1:E715)*(E716=E$1:E715)))))</f>
        <v/>
      </c>
      <c r="L716" s="25"/>
    </row>
    <row r="717" spans="1:12" x14ac:dyDescent="0.3">
      <c r="A717" t="s">
        <v>560</v>
      </c>
      <c r="B717" s="26" t="s">
        <v>272</v>
      </c>
      <c r="C717" s="26" t="s">
        <v>239</v>
      </c>
      <c r="D717" s="26" t="s">
        <v>240</v>
      </c>
      <c r="E717" s="20" t="str">
        <f t="shared" si="76"/>
        <v>!!!</v>
      </c>
      <c r="F717" s="21" t="str">
        <f>IF(OR(E717="",E717="!!!"),"",IF(NOT(ISNA(VLOOKUP(E717,E$1:E716,1,FALSE()))),"OLD",IF(AND(E717&lt;&gt;"",E717&lt;&gt;"!!!"),"NEW","")))</f>
        <v/>
      </c>
      <c r="G717" s="22" t="str">
        <f>IF(OR(E717="",E717="!!!"),"",IF(OR(J717=0,AND(J717=1,K717=1),AND(J717=1,I717="SBJ"),AND(J717=1,I717=0)),"?IN_FOCUS",IF(J717&lt;=2,"?ACTIVATED",IF(J717&lt;&gt;"","?FAMILIAR",IF(F717="NEW",IF(ISNA(VLOOKUP(E717,#REF!,1,FALSE())),"?TYPE_IDENTIFIABLE","?REFERENTIAL"),"_")))))</f>
        <v/>
      </c>
      <c r="H717" s="23" t="str">
        <f t="shared" ca="1" si="77"/>
        <v/>
      </c>
      <c r="I717" s="24" t="str">
        <f>IF(OR(E717="",E717="!!!",F717="NEW"),"",INDEX(B$2:B716,-1+SUMPRODUCT(MAX(ROW(E$2:E716)*(E717=E$2:E716)))))</f>
        <v/>
      </c>
      <c r="J717" s="24" t="str">
        <f ca="1">IF(OR(E717="",E717="!!!",F717="NEW"),"",COUNTBLANK(OFFSET(A$1,,,SUMPRODUCT(MAX(ROW(E$2:E717)*(E717=E$2:E717)))))-COUNTBLANK(OFFSET(A$1,,,SUMPRODUCT(MAX(ROW(E$1:E716)*(E2=E$1:E716))))))</f>
        <v/>
      </c>
      <c r="K717" s="24" t="str">
        <f>IF(OR(E717="",E717="!!!",F717="NEW"),"",INDEX(J$1:J716,SUMPRODUCT(MAX(ROW(E$1:E716)*(E717=E$1:E716)))))</f>
        <v/>
      </c>
      <c r="L717" s="25"/>
    </row>
    <row r="718" spans="1:12" x14ac:dyDescent="0.3">
      <c r="A718" t="s">
        <v>347</v>
      </c>
      <c r="E718" s="20" t="str">
        <f t="shared" si="76"/>
        <v/>
      </c>
      <c r="F718" s="21" t="str">
        <f>IF(OR(E718="",E718="!!!"),"",IF(NOT(ISNA(VLOOKUP(E718,E$1:E717,1,FALSE()))),"OLD",IF(AND(E718&lt;&gt;"",E718&lt;&gt;"!!!"),"NEW","")))</f>
        <v/>
      </c>
      <c r="G718" s="22" t="str">
        <f>IF(OR(E718="",E718="!!!"),"",IF(OR(J718=0,AND(J718=1,K718=1),AND(J718=1,I718="SBJ"),AND(J718=1,I718=0)),"?IN_FOCUS",IF(J718&lt;=2,"?ACTIVATED",IF(J718&lt;&gt;"","?FAMILIAR",IF(F718="NEW",IF(ISNA(VLOOKUP(E718,#REF!,1,FALSE())),"?TYPE_IDENTIFIABLE","?REFERENTIAL"),"_")))))</f>
        <v/>
      </c>
      <c r="H718" s="23" t="str">
        <f t="shared" ca="1" si="77"/>
        <v/>
      </c>
      <c r="I718" s="24" t="str">
        <f>IF(OR(E718="",E718="!!!",F718="NEW"),"",INDEX(B$2:B717,-1+SUMPRODUCT(MAX(ROW(E$2:E717)*(E718=E$2:E717)))))</f>
        <v/>
      </c>
      <c r="J718" s="24" t="str">
        <f ca="1">IF(OR(E718="",E718="!!!",F718="NEW"),"",COUNTBLANK(OFFSET(A$1,,,SUMPRODUCT(MAX(ROW(E$2:E718)*(E718=E$2:E718)))))-COUNTBLANK(OFFSET(A$1,,,SUMPRODUCT(MAX(ROW(E$1:E717)*(E2=E$1:E717))))))</f>
        <v/>
      </c>
      <c r="K718" s="24" t="str">
        <f>IF(OR(E718="",E718="!!!",F718="NEW"),"",INDEX(J$1:J717,SUMPRODUCT(MAX(ROW(E$1:E717)*(E718=E$1:E717)))))</f>
        <v/>
      </c>
      <c r="L718" s="25"/>
    </row>
    <row r="719" spans="1:12" x14ac:dyDescent="0.3">
      <c r="A719" t="s">
        <v>433</v>
      </c>
      <c r="E719" s="20" t="str">
        <f t="shared" si="76"/>
        <v/>
      </c>
      <c r="F719" s="21" t="str">
        <f>IF(OR(E719="",E719="!!!"),"",IF(NOT(ISNA(VLOOKUP(E719,E$1:E718,1,FALSE()))),"OLD",IF(AND(E719&lt;&gt;"",E719&lt;&gt;"!!!"),"NEW","")))</f>
        <v/>
      </c>
      <c r="G719" s="22" t="str">
        <f>IF(OR(E719="",E719="!!!"),"",IF(OR(J719=0,AND(J719=1,K719=1),AND(J719=1,I719="SBJ"),AND(J719=1,I719=0)),"?IN_FOCUS",IF(J719&lt;=2,"?ACTIVATED",IF(J719&lt;&gt;"","?FAMILIAR",IF(F719="NEW",IF(ISNA(VLOOKUP(E719,#REF!,1,FALSE())),"?TYPE_IDENTIFIABLE","?REFERENTIAL"),"_")))))</f>
        <v/>
      </c>
      <c r="H719" s="23" t="str">
        <f t="shared" ca="1" si="77"/>
        <v/>
      </c>
      <c r="I719" s="24" t="str">
        <f>IF(OR(E719="",E719="!!!",F719="NEW"),"",INDEX(B$2:B718,-1+SUMPRODUCT(MAX(ROW(E$2:E718)*(E719=E$2:E718)))))</f>
        <v/>
      </c>
      <c r="J719" s="24" t="str">
        <f ca="1">IF(OR(E719="",E719="!!!",F719="NEW"),"",COUNTBLANK(OFFSET(A$1,,,SUMPRODUCT(MAX(ROW(E$2:E719)*(E719=E$2:E719)))))-COUNTBLANK(OFFSET(A$1,,,SUMPRODUCT(MAX(ROW(E$1:E718)*(E2=E$1:E718))))))</f>
        <v/>
      </c>
      <c r="K719" s="24" t="str">
        <f>IF(OR(E719="",E719="!!!",F719="NEW"),"",INDEX(J$1:J718,SUMPRODUCT(MAX(ROW(E$1:E718)*(E719=E$1:E718)))))</f>
        <v/>
      </c>
      <c r="L719" s="25"/>
    </row>
    <row r="720" spans="1:12" x14ac:dyDescent="0.3">
      <c r="A720" t="s">
        <v>252</v>
      </c>
      <c r="E720" s="20" t="str">
        <f t="shared" si="76"/>
        <v/>
      </c>
      <c r="F720" s="21" t="str">
        <f>IF(OR(E720="",E720="!!!"),"",IF(NOT(ISNA(VLOOKUP(E720,E$1:E719,1,FALSE()))),"OLD",IF(AND(E720&lt;&gt;"",E720&lt;&gt;"!!!"),"NEW","")))</f>
        <v/>
      </c>
      <c r="G720" s="22" t="str">
        <f>IF(OR(E720="",E720="!!!"),"",IF(OR(J720=0,AND(J720=1,K720=1),AND(J720=1,I720="SBJ"),AND(J720=1,I720=0)),"?IN_FOCUS",IF(J720&lt;=2,"?ACTIVATED",IF(J720&lt;&gt;"","?FAMILIAR",IF(F720="NEW",IF(ISNA(VLOOKUP(E720,#REF!,1,FALSE())),"?TYPE_IDENTIFIABLE","?REFERENTIAL"),"_")))))</f>
        <v/>
      </c>
      <c r="H720" s="23" t="str">
        <f t="shared" ca="1" si="77"/>
        <v/>
      </c>
      <c r="I720" s="24" t="str">
        <f>IF(OR(E720="",E720="!!!",F720="NEW"),"",INDEX(B$2:B719,-1+SUMPRODUCT(MAX(ROW(E$2:E719)*(E720=E$2:E719)))))</f>
        <v/>
      </c>
      <c r="J720" s="24" t="str">
        <f ca="1">IF(OR(E720="",E720="!!!",F720="NEW"),"",COUNTBLANK(OFFSET(A$1,,,SUMPRODUCT(MAX(ROW(E$2:E720)*(E720=E$2:E720)))))-COUNTBLANK(OFFSET(A$1,,,SUMPRODUCT(MAX(ROW(E$1:E719)*(E2=E$1:E719))))))</f>
        <v/>
      </c>
      <c r="K720" s="24" t="str">
        <f>IF(OR(E720="",E720="!!!",F720="NEW"),"",INDEX(J$1:J719,SUMPRODUCT(MAX(ROW(E$1:E719)*(E720=E$1:E719)))))</f>
        <v/>
      </c>
      <c r="L720" s="25"/>
    </row>
    <row r="721" spans="1:12" x14ac:dyDescent="0.3">
      <c r="A721" t="s">
        <v>278</v>
      </c>
      <c r="E721" s="20" t="str">
        <f t="shared" si="76"/>
        <v/>
      </c>
      <c r="F721" s="21" t="str">
        <f>IF(OR(E721="",E721="!!!"),"",IF(NOT(ISNA(VLOOKUP(E721,E$1:E720,1,FALSE()))),"OLD",IF(AND(E721&lt;&gt;"",E721&lt;&gt;"!!!"),"NEW","")))</f>
        <v/>
      </c>
      <c r="G721" s="22" t="str">
        <f>IF(OR(E721="",E721="!!!"),"",IF(OR(J721=0,AND(J721=1,K721=1),AND(J721=1,I721="SBJ"),AND(J721=1,I721=0)),"?IN_FOCUS",IF(J721&lt;=2,"?ACTIVATED",IF(J721&lt;&gt;"","?FAMILIAR",IF(F721="NEW",IF(ISNA(VLOOKUP(E721,#REF!,1,FALSE())),"?TYPE_IDENTIFIABLE","?REFERENTIAL"),"_")))))</f>
        <v/>
      </c>
      <c r="H721" s="23" t="str">
        <f t="shared" ca="1" si="77"/>
        <v/>
      </c>
      <c r="I721" s="24" t="str">
        <f>IF(OR(E721="",E721="!!!",F721="NEW"),"",INDEX(B$2:B720,-1+SUMPRODUCT(MAX(ROW(E$2:E720)*(E721=E$2:E720)))))</f>
        <v/>
      </c>
      <c r="J721" s="24" t="str">
        <f ca="1">IF(OR(E721="",E721="!!!",F721="NEW"),"",COUNTBLANK(OFFSET(A$1,,,SUMPRODUCT(MAX(ROW(E$2:E721)*(E721=E$2:E721)))))-COUNTBLANK(OFFSET(A$1,,,SUMPRODUCT(MAX(ROW(E$1:E720)*(E2=E$1:E720))))))</f>
        <v/>
      </c>
      <c r="K721" s="24" t="str">
        <f>IF(OR(E721="",E721="!!!",F721="NEW"),"",INDEX(J$1:J720,SUMPRODUCT(MAX(ROW(E$1:E720)*(E721=E$1:E720)))))</f>
        <v/>
      </c>
      <c r="L721" s="25"/>
    </row>
    <row r="722" spans="1:12" x14ac:dyDescent="0.3">
      <c r="A722" t="s">
        <v>254</v>
      </c>
      <c r="B722" s="26" t="s">
        <v>255</v>
      </c>
      <c r="C722" s="26" t="s">
        <v>256</v>
      </c>
      <c r="D722" s="26" t="s">
        <v>240</v>
      </c>
      <c r="E722" s="20" t="str">
        <f t="shared" si="76"/>
        <v>!!!</v>
      </c>
      <c r="F722" s="21" t="str">
        <f>IF(OR(E722="",E722="!!!"),"",IF(NOT(ISNA(VLOOKUP(E722,E$1:E721,1,FALSE()))),"OLD",IF(AND(E722&lt;&gt;"",E722&lt;&gt;"!!!"),"NEW","")))</f>
        <v/>
      </c>
      <c r="G722" s="22" t="str">
        <f>IF(OR(E722="",E722="!!!"),"",IF(OR(J722=0,AND(J722=1,K722=1),AND(J722=1,I722="SBJ"),AND(J722=1,I722=0)),"?IN_FOCUS",IF(J722&lt;=2,"?ACTIVATED",IF(J722&lt;&gt;"","?FAMILIAR",IF(F722="NEW",IF(ISNA(VLOOKUP(E722,#REF!,1,FALSE())),"?TYPE_IDENTIFIABLE","?REFERENTIAL"),"_")))))</f>
        <v/>
      </c>
      <c r="H722" s="23" t="str">
        <f t="shared" ca="1" si="77"/>
        <v/>
      </c>
      <c r="I722" s="24" t="str">
        <f>IF(OR(E722="",E722="!!!",F722="NEW"),"",INDEX(B$2:B721,-1+SUMPRODUCT(MAX(ROW(E$2:E721)*(E722=E$2:E721)))))</f>
        <v/>
      </c>
      <c r="J722" s="24" t="str">
        <f ca="1">IF(OR(E722="",E722="!!!",F722="NEW"),"",COUNTBLANK(OFFSET(A$1,,,SUMPRODUCT(MAX(ROW(E$2:E722)*(E722=E$2:E722)))))-COUNTBLANK(OFFSET(A$1,,,SUMPRODUCT(MAX(ROW(E$1:E721)*(E2=E$1:E721))))))</f>
        <v/>
      </c>
      <c r="K722" s="24" t="str">
        <f>IF(OR(E722="",E722="!!!",F722="NEW"),"",INDEX(J$1:J721,SUMPRODUCT(MAX(ROW(E$1:E721)*(E722=E$1:E721)))))</f>
        <v/>
      </c>
      <c r="L722" s="25"/>
    </row>
    <row r="723" spans="1:12" x14ac:dyDescent="0.3">
      <c r="A723" t="s">
        <v>591</v>
      </c>
      <c r="E723" s="20" t="str">
        <f t="shared" si="76"/>
        <v/>
      </c>
      <c r="F723" s="21" t="str">
        <f>IF(OR(E723="",E723="!!!"),"",IF(NOT(ISNA(VLOOKUP(E723,E$1:E722,1,FALSE()))),"OLD",IF(AND(E723&lt;&gt;"",E723&lt;&gt;"!!!"),"NEW","")))</f>
        <v/>
      </c>
      <c r="G723" s="22" t="str">
        <f>IF(OR(E723="",E723="!!!"),"",IF(OR(J723=0,AND(J723=1,K723=1),AND(J723=1,I723="SBJ"),AND(J723=1,I723=0)),"?IN_FOCUS",IF(J723&lt;=2,"?ACTIVATED",IF(J723&lt;&gt;"","?FAMILIAR",IF(F723="NEW",IF(ISNA(VLOOKUP(E723,#REF!,1,FALSE())),"?TYPE_IDENTIFIABLE","?REFERENTIAL"),"_")))))</f>
        <v/>
      </c>
      <c r="H723" s="23" t="str">
        <f t="shared" ca="1" si="77"/>
        <v/>
      </c>
      <c r="I723" s="24" t="str">
        <f>IF(OR(E723="",E723="!!!",F723="NEW"),"",INDEX(B$2:B722,-1+SUMPRODUCT(MAX(ROW(E$2:E722)*(E723=E$2:E722)))))</f>
        <v/>
      </c>
      <c r="J723" s="24" t="str">
        <f ca="1">IF(OR(E723="",E723="!!!",F723="NEW"),"",COUNTBLANK(OFFSET(A$1,,,SUMPRODUCT(MAX(ROW(E$2:E723)*(E723=E$2:E723)))))-COUNTBLANK(OFFSET(A$1,,,SUMPRODUCT(MAX(ROW(E$1:E722)*(E2=E$1:E722))))))</f>
        <v/>
      </c>
      <c r="K723" s="24" t="str">
        <f>IF(OR(E723="",E723="!!!",F723="NEW"),"",INDEX(J$1:J722,SUMPRODUCT(MAX(ROW(E$1:E722)*(E723=E$1:E722)))))</f>
        <v/>
      </c>
      <c r="L723" s="25"/>
    </row>
    <row r="724" spans="1:12" x14ac:dyDescent="0.3">
      <c r="A724" t="s">
        <v>303</v>
      </c>
      <c r="E724" s="20" t="str">
        <f t="shared" si="76"/>
        <v/>
      </c>
      <c r="F724" s="21" t="str">
        <f>IF(OR(E724="",E724="!!!"),"",IF(NOT(ISNA(VLOOKUP(E724,E$1:E723,1,FALSE()))),"OLD",IF(AND(E724&lt;&gt;"",E724&lt;&gt;"!!!"),"NEW","")))</f>
        <v/>
      </c>
      <c r="G724" s="22" t="str">
        <f>IF(OR(E724="",E724="!!!"),"",IF(OR(J724=0,AND(J724=1,K724=1),AND(J724=1,I724="SBJ"),AND(J724=1,I724=0)),"?IN_FOCUS",IF(J724&lt;=2,"?ACTIVATED",IF(J724&lt;&gt;"","?FAMILIAR",IF(F724="NEW",IF(ISNA(VLOOKUP(E724,#REF!,1,FALSE())),"?TYPE_IDENTIFIABLE","?REFERENTIAL"),"_")))))</f>
        <v/>
      </c>
      <c r="H724" s="23" t="str">
        <f t="shared" ca="1" si="77"/>
        <v/>
      </c>
      <c r="I724" s="24" t="str">
        <f>IF(OR(E724="",E724="!!!",F724="NEW"),"",INDEX(B$2:B723,-1+SUMPRODUCT(MAX(ROW(E$2:E723)*(E724=E$2:E723)))))</f>
        <v/>
      </c>
      <c r="J724" s="24" t="str">
        <f ca="1">IF(OR(E724="",E724="!!!",F724="NEW"),"",COUNTBLANK(OFFSET(A$1,,,SUMPRODUCT(MAX(ROW(E$2:E724)*(E724=E$2:E724)))))-COUNTBLANK(OFFSET(A$1,,,SUMPRODUCT(MAX(ROW(E$1:E723)*(E2=E$1:E723))))))</f>
        <v/>
      </c>
      <c r="K724" s="24" t="str">
        <f>IF(OR(E724="",E724="!!!",F724="NEW"),"",INDEX(J$1:J723,SUMPRODUCT(MAX(ROW(E$1:E723)*(E724=E$1:E723)))))</f>
        <v/>
      </c>
      <c r="L724" s="25"/>
    </row>
    <row r="725" spans="1:12" x14ac:dyDescent="0.3">
      <c r="A725" t="s">
        <v>563</v>
      </c>
      <c r="E725" s="20" t="str">
        <f t="shared" si="76"/>
        <v/>
      </c>
      <c r="F725" s="21" t="str">
        <f>IF(OR(E725="",E725="!!!"),"",IF(NOT(ISNA(VLOOKUP(E725,E$1:E724,1,FALSE()))),"OLD",IF(AND(E725&lt;&gt;"",E725&lt;&gt;"!!!"),"NEW","")))</f>
        <v/>
      </c>
      <c r="G725" s="22" t="str">
        <f>IF(OR(E725="",E725="!!!"),"",IF(OR(J725=0,AND(J725=1,K725=1),AND(J725=1,I725="SBJ"),AND(J725=1,I725=0)),"?IN_FOCUS",IF(J725&lt;=2,"?ACTIVATED",IF(J725&lt;&gt;"","?FAMILIAR",IF(F725="NEW",IF(ISNA(VLOOKUP(E725,#REF!,1,FALSE())),"?TYPE_IDENTIFIABLE","?REFERENTIAL"),"_")))))</f>
        <v/>
      </c>
      <c r="H725" s="23" t="str">
        <f t="shared" ca="1" si="77"/>
        <v/>
      </c>
      <c r="I725" s="24" t="str">
        <f>IF(OR(E725="",E725="!!!",F725="NEW"),"",INDEX(B$2:B724,-1+SUMPRODUCT(MAX(ROW(E$2:E724)*(E725=E$2:E724)))))</f>
        <v/>
      </c>
      <c r="J725" s="24" t="str">
        <f ca="1">IF(OR(E725="",E725="!!!",F725="NEW"),"",COUNTBLANK(OFFSET(A$1,,,SUMPRODUCT(MAX(ROW(E$2:E725)*(E725=E$2:E725)))))-COUNTBLANK(OFFSET(A$1,,,SUMPRODUCT(MAX(ROW(E$1:E724)*(E2=E$1:E724))))))</f>
        <v/>
      </c>
      <c r="K725" s="24" t="str">
        <f>IF(OR(E725="",E725="!!!",F725="NEW"),"",INDEX(J$1:J724,SUMPRODUCT(MAX(ROW(E$1:E724)*(E725=E$1:E724)))))</f>
        <v/>
      </c>
      <c r="L725" s="25"/>
    </row>
    <row r="726" spans="1:12" x14ac:dyDescent="0.3">
      <c r="A726" t="s">
        <v>252</v>
      </c>
      <c r="E726" s="20" t="str">
        <f t="shared" si="76"/>
        <v/>
      </c>
      <c r="F726" s="21" t="str">
        <f>IF(OR(E726="",E726="!!!"),"",IF(NOT(ISNA(VLOOKUP(E726,E$1:E725,1,FALSE()))),"OLD",IF(AND(E726&lt;&gt;"",E726&lt;&gt;"!!!"),"NEW","")))</f>
        <v/>
      </c>
      <c r="G726" s="22" t="str">
        <f>IF(OR(E726="",E726="!!!"),"",IF(OR(J726=0,AND(J726=1,K726=1),AND(J726=1,I726="SBJ"),AND(J726=1,I726=0)),"?IN_FOCUS",IF(J726&lt;=2,"?ACTIVATED",IF(J726&lt;&gt;"","?FAMILIAR",IF(F726="NEW",IF(ISNA(VLOOKUP(E726,#REF!,1,FALSE())),"?TYPE_IDENTIFIABLE","?REFERENTIAL"),"_")))))</f>
        <v/>
      </c>
      <c r="H726" s="23" t="str">
        <f t="shared" ca="1" si="77"/>
        <v/>
      </c>
      <c r="I726" s="24" t="str">
        <f>IF(OR(E726="",E726="!!!",F726="NEW"),"",INDEX(B$2:B725,-1+SUMPRODUCT(MAX(ROW(E$2:E725)*(E726=E$2:E725)))))</f>
        <v/>
      </c>
      <c r="J726" s="24" t="str">
        <f ca="1">IF(OR(E726="",E726="!!!",F726="NEW"),"",COUNTBLANK(OFFSET(A$1,,,SUMPRODUCT(MAX(ROW(E$2:E726)*(E726=E$2:E726)))))-COUNTBLANK(OFFSET(A$1,,,SUMPRODUCT(MAX(ROW(E$1:E725)*(E2=E$1:E725))))))</f>
        <v/>
      </c>
      <c r="K726" s="24" t="str">
        <f>IF(OR(E726="",E726="!!!",F726="NEW"),"",INDEX(J$1:J725,SUMPRODUCT(MAX(ROW(E$1:E725)*(E726=E$1:E725)))))</f>
        <v/>
      </c>
      <c r="L726" s="25"/>
    </row>
    <row r="727" spans="1:12" x14ac:dyDescent="0.3">
      <c r="A727" t="s">
        <v>592</v>
      </c>
      <c r="E727" s="20" t="str">
        <f t="shared" si="76"/>
        <v/>
      </c>
      <c r="F727" s="21" t="str">
        <f>IF(OR(E727="",E727="!!!"),"",IF(NOT(ISNA(VLOOKUP(E727,E$1:E726,1,FALSE()))),"OLD",IF(AND(E727&lt;&gt;"",E727&lt;&gt;"!!!"),"NEW","")))</f>
        <v/>
      </c>
      <c r="G727" s="22" t="str">
        <f>IF(OR(E727="",E727="!!!"),"",IF(OR(J727=0,AND(J727=1,K727=1),AND(J727=1,I727="SBJ"),AND(J727=1,I727=0)),"?IN_FOCUS",IF(J727&lt;=2,"?ACTIVATED",IF(J727&lt;&gt;"","?FAMILIAR",IF(F727="NEW",IF(ISNA(VLOOKUP(E727,#REF!,1,FALSE())),"?TYPE_IDENTIFIABLE","?REFERENTIAL"),"_")))))</f>
        <v/>
      </c>
      <c r="H727" s="23" t="str">
        <f t="shared" ca="1" si="77"/>
        <v/>
      </c>
      <c r="I727" s="24" t="str">
        <f>IF(OR(E727="",E727="!!!",F727="NEW"),"",INDEX(B$2:B726,-1+SUMPRODUCT(MAX(ROW(E$2:E726)*(E727=E$2:E726)))))</f>
        <v/>
      </c>
      <c r="J727" s="24" t="str">
        <f ca="1">IF(OR(E727="",E727="!!!",F727="NEW"),"",COUNTBLANK(OFFSET(A$1,,,SUMPRODUCT(MAX(ROW(E$2:E727)*(E727=E$2:E727)))))-COUNTBLANK(OFFSET(A$1,,,SUMPRODUCT(MAX(ROW(E$1:E726)*(E2=E$1:E726))))))</f>
        <v/>
      </c>
      <c r="K727" s="24" t="str">
        <f>IF(OR(E727="",E727="!!!",F727="NEW"),"",INDEX(J$1:J726,SUMPRODUCT(MAX(ROW(E$1:E726)*(E727=E$1:E726)))))</f>
        <v/>
      </c>
      <c r="L727" s="25"/>
    </row>
    <row r="728" spans="1:12" x14ac:dyDescent="0.3">
      <c r="A728" t="s">
        <v>593</v>
      </c>
      <c r="B728" s="26" t="s">
        <v>255</v>
      </c>
      <c r="C728" s="26" t="s">
        <v>239</v>
      </c>
      <c r="D728" s="26" t="s">
        <v>240</v>
      </c>
      <c r="E728" s="20" t="str">
        <f t="shared" si="76"/>
        <v>!!!</v>
      </c>
      <c r="F728" s="21" t="str">
        <f>IF(OR(E728="",E728="!!!"),"",IF(NOT(ISNA(VLOOKUP(E728,E$1:E727,1,FALSE()))),"OLD",IF(AND(E728&lt;&gt;"",E728&lt;&gt;"!!!"),"NEW","")))</f>
        <v/>
      </c>
      <c r="G728" s="22" t="str">
        <f>IF(OR(E728="",E728="!!!"),"",IF(OR(J728=0,AND(J728=1,K728=1),AND(J728=1,I728="SBJ"),AND(J728=1,I728=0)),"?IN_FOCUS",IF(J728&lt;=2,"?ACTIVATED",IF(J728&lt;&gt;"","?FAMILIAR",IF(F728="NEW",IF(ISNA(VLOOKUP(E728,#REF!,1,FALSE())),"?TYPE_IDENTIFIABLE","?REFERENTIAL"),"_")))))</f>
        <v/>
      </c>
      <c r="H728" s="23" t="str">
        <f t="shared" ca="1" si="77"/>
        <v/>
      </c>
      <c r="I728" s="24" t="str">
        <f>IF(OR(E728="",E728="!!!",F728="NEW"),"",INDEX(B$2:B727,-1+SUMPRODUCT(MAX(ROW(E$2:E727)*(E728=E$2:E727)))))</f>
        <v/>
      </c>
      <c r="J728" s="24" t="str">
        <f ca="1">IF(OR(E728="",E728="!!!",F728="NEW"),"",COUNTBLANK(OFFSET(A$1,,,SUMPRODUCT(MAX(ROW(E$2:E728)*(E728=E$2:E728)))))-COUNTBLANK(OFFSET(A$1,,,SUMPRODUCT(MAX(ROW(E$1:E727)*(E2=E$1:E727))))))</f>
        <v/>
      </c>
      <c r="K728" s="24" t="str">
        <f>IF(OR(E728="",E728="!!!",F728="NEW"),"",INDEX(J$1:J727,SUMPRODUCT(MAX(ROW(E$1:E727)*(E728=E$1:E727)))))</f>
        <v/>
      </c>
      <c r="L728" s="25"/>
    </row>
    <row r="729" spans="1:12" x14ac:dyDescent="0.3">
      <c r="A729" t="s">
        <v>257</v>
      </c>
      <c r="E729" s="20" t="str">
        <f t="shared" si="76"/>
        <v/>
      </c>
      <c r="F729" s="21" t="str">
        <f>IF(OR(E729="",E729="!!!"),"",IF(NOT(ISNA(VLOOKUP(E729,E$1:E728,1,FALSE()))),"OLD",IF(AND(E729&lt;&gt;"",E729&lt;&gt;"!!!"),"NEW","")))</f>
        <v/>
      </c>
      <c r="G729" s="22" t="str">
        <f>IF(OR(E729="",E729="!!!"),"",IF(OR(J729=0,AND(J729=1,K729=1),AND(J729=1,I729="SBJ"),AND(J729=1,I729=0)),"?IN_FOCUS",IF(J729&lt;=2,"?ACTIVATED",IF(J729&lt;&gt;"","?FAMILIAR",IF(F729="NEW",IF(ISNA(VLOOKUP(E729,#REF!,1,FALSE())),"?TYPE_IDENTIFIABLE","?REFERENTIAL"),"_")))))</f>
        <v/>
      </c>
      <c r="H729" s="23" t="str">
        <f t="shared" ca="1" si="77"/>
        <v/>
      </c>
      <c r="I729" s="24" t="str">
        <f>IF(OR(E729="",E729="!!!",F729="NEW"),"",INDEX(B$2:B728,-1+SUMPRODUCT(MAX(ROW(E$2:E728)*(E729=E$2:E728)))))</f>
        <v/>
      </c>
      <c r="J729" s="24" t="str">
        <f ca="1">IF(OR(E729="",E729="!!!",F729="NEW"),"",COUNTBLANK(OFFSET(A$1,,,SUMPRODUCT(MAX(ROW(E$2:E729)*(E729=E$2:E729)))))-COUNTBLANK(OFFSET(A$1,,,SUMPRODUCT(MAX(ROW(E$1:E728)*(E2=E$1:E728))))))</f>
        <v/>
      </c>
      <c r="K729" s="24" t="str">
        <f>IF(OR(E729="",E729="!!!",F729="NEW"),"",INDEX(J$1:J728,SUMPRODUCT(MAX(ROW(E$1:E728)*(E729=E$1:E728)))))</f>
        <v/>
      </c>
      <c r="L729" s="25"/>
    </row>
    <row r="730" spans="1:12" x14ac:dyDescent="0.3">
      <c r="A730" t="s">
        <v>310</v>
      </c>
      <c r="E730" s="20" t="str">
        <f t="shared" si="76"/>
        <v/>
      </c>
      <c r="F730" s="21" t="str">
        <f>IF(OR(E730="",E730="!!!"),"",IF(NOT(ISNA(VLOOKUP(E730,E$1:E729,1,FALSE()))),"OLD",IF(AND(E730&lt;&gt;"",E730&lt;&gt;"!!!"),"NEW","")))</f>
        <v/>
      </c>
      <c r="G730" s="22" t="str">
        <f>IF(OR(E730="",E730="!!!"),"",IF(OR(J730=0,AND(J730=1,K730=1),AND(J730=1,I730="SBJ"),AND(J730=1,I730=0)),"?IN_FOCUS",IF(J730&lt;=2,"?ACTIVATED",IF(J730&lt;&gt;"","?FAMILIAR",IF(F730="NEW",IF(ISNA(VLOOKUP(E730,#REF!,1,FALSE())),"?TYPE_IDENTIFIABLE","?REFERENTIAL"),"_")))))</f>
        <v/>
      </c>
      <c r="H730" s="23" t="str">
        <f t="shared" ca="1" si="77"/>
        <v/>
      </c>
      <c r="I730" s="24" t="str">
        <f>IF(OR(E730="",E730="!!!",F730="NEW"),"",INDEX(B$2:B729,-1+SUMPRODUCT(MAX(ROW(E$2:E729)*(E730=E$2:E729)))))</f>
        <v/>
      </c>
      <c r="J730" s="24" t="str">
        <f ca="1">IF(OR(E730="",E730="!!!",F730="NEW"),"",COUNTBLANK(OFFSET(A$1,,,SUMPRODUCT(MAX(ROW(E$2:E730)*(E730=E$2:E730)))))-COUNTBLANK(OFFSET(A$1,,,SUMPRODUCT(MAX(ROW(E$1:E729)*(E2=E$1:E729))))))</f>
        <v/>
      </c>
      <c r="K730" s="24" t="str">
        <f>IF(OR(E730="",E730="!!!",F730="NEW"),"",INDEX(J$1:J729,SUMPRODUCT(MAX(ROW(E$1:E729)*(E730=E$1:E729)))))</f>
        <v/>
      </c>
      <c r="L730" s="25"/>
    </row>
    <row r="731" spans="1:12" x14ac:dyDescent="0.3">
      <c r="A731" t="s">
        <v>564</v>
      </c>
      <c r="B731" s="26" t="s">
        <v>261</v>
      </c>
      <c r="C731" s="26" t="s">
        <v>294</v>
      </c>
      <c r="D731" s="26" t="s">
        <v>240</v>
      </c>
      <c r="E731" s="20" t="str">
        <f t="shared" si="76"/>
        <v>!!!</v>
      </c>
      <c r="F731" s="21" t="str">
        <f>IF(OR(E731="",E731="!!!"),"",IF(NOT(ISNA(VLOOKUP(E731,E$1:E730,1,FALSE()))),"OLD",IF(AND(E731&lt;&gt;"",E731&lt;&gt;"!!!"),"NEW","")))</f>
        <v/>
      </c>
      <c r="G731" s="22" t="str">
        <f>IF(OR(E731="",E731="!!!"),"",IF(OR(J731=0,AND(J731=1,K731=1),AND(J731=1,I731="SBJ"),AND(J731=1,I731=0)),"?IN_FOCUS",IF(J731&lt;=2,"?ACTIVATED",IF(J731&lt;&gt;"","?FAMILIAR",IF(F731="NEW",IF(ISNA(VLOOKUP(E731,#REF!,1,FALSE())),"?TYPE_IDENTIFIABLE","?REFERENTIAL"),"_")))))</f>
        <v/>
      </c>
      <c r="H731" s="23" t="str">
        <f t="shared" ca="1" si="77"/>
        <v/>
      </c>
      <c r="I731" s="24" t="str">
        <f>IF(OR(E731="",E731="!!!",F731="NEW"),"",INDEX(B$2:B730,-1+SUMPRODUCT(MAX(ROW(E$2:E730)*(E731=E$2:E730)))))</f>
        <v/>
      </c>
      <c r="J731" s="24" t="str">
        <f ca="1">IF(OR(E731="",E731="!!!",F731="NEW"),"",COUNTBLANK(OFFSET(A$1,,,SUMPRODUCT(MAX(ROW(E$2:E731)*(E731=E$2:E731)))))-COUNTBLANK(OFFSET(A$1,,,SUMPRODUCT(MAX(ROW(E$1:E730)*(E2=E$1:E730))))))</f>
        <v/>
      </c>
      <c r="K731" s="24" t="str">
        <f>IF(OR(E731="",E731="!!!",F731="NEW"),"",INDEX(J$1:J730,SUMPRODUCT(MAX(ROW(E$1:E730)*(E731=E$1:E730)))))</f>
        <v/>
      </c>
      <c r="L731" s="25"/>
    </row>
    <row r="732" spans="1:12" x14ac:dyDescent="0.3">
      <c r="A732" t="s">
        <v>594</v>
      </c>
      <c r="E732" s="20" t="str">
        <f t="shared" si="76"/>
        <v/>
      </c>
      <c r="F732" s="21" t="str">
        <f>IF(OR(E732="",E732="!!!"),"",IF(NOT(ISNA(VLOOKUP(E732,E$1:E731,1,FALSE()))),"OLD",IF(AND(E732&lt;&gt;"",E732&lt;&gt;"!!!"),"NEW","")))</f>
        <v/>
      </c>
      <c r="G732" s="22" t="str">
        <f>IF(OR(E732="",E732="!!!"),"",IF(OR(J732=0,AND(J732=1,K732=1),AND(J732=1,I732="SBJ"),AND(J732=1,I732=0)),"?IN_FOCUS",IF(J732&lt;=2,"?ACTIVATED",IF(J732&lt;&gt;"","?FAMILIAR",IF(F732="NEW",IF(ISNA(VLOOKUP(E732,#REF!,1,FALSE())),"?TYPE_IDENTIFIABLE","?REFERENTIAL"),"_")))))</f>
        <v/>
      </c>
      <c r="H732" s="23" t="str">
        <f t="shared" ca="1" si="77"/>
        <v/>
      </c>
      <c r="I732" s="24" t="str">
        <f>IF(OR(E732="",E732="!!!",F732="NEW"),"",INDEX(B$2:B731,-1+SUMPRODUCT(MAX(ROW(E$2:E731)*(E732=E$2:E731)))))</f>
        <v/>
      </c>
      <c r="J732" s="24" t="str">
        <f ca="1">IF(OR(E732="",E732="!!!",F732="NEW"),"",COUNTBLANK(OFFSET(A$1,,,SUMPRODUCT(MAX(ROW(E$2:E732)*(E732=E$2:E732)))))-COUNTBLANK(OFFSET(A$1,,,SUMPRODUCT(MAX(ROW(E$1:E731)*(E2=E$1:E731))))))</f>
        <v/>
      </c>
      <c r="K732" s="24" t="str">
        <f>IF(OR(E732="",E732="!!!",F732="NEW"),"",INDEX(J$1:J731,SUMPRODUCT(MAX(ROW(E$1:E731)*(E732=E$1:E731)))))</f>
        <v/>
      </c>
      <c r="L732" s="25"/>
    </row>
    <row r="733" spans="1:12" x14ac:dyDescent="0.3">
      <c r="A733" t="s">
        <v>248</v>
      </c>
      <c r="E733" s="20" t="str">
        <f t="shared" si="76"/>
        <v/>
      </c>
      <c r="F733" s="21" t="str">
        <f>IF(OR(E733="",E733="!!!"),"",IF(NOT(ISNA(VLOOKUP(E733,E$1:E732,1,FALSE()))),"OLD",IF(AND(E733&lt;&gt;"",E733&lt;&gt;"!!!"),"NEW","")))</f>
        <v/>
      </c>
      <c r="G733" s="22" t="str">
        <f>IF(OR(E733="",E733="!!!"),"",IF(OR(J733=0,AND(J733=1,K733=1),AND(J733=1,I733="SBJ"),AND(J733=1,I733=0)),"?IN_FOCUS",IF(J733&lt;=2,"?ACTIVATED",IF(J733&lt;&gt;"","?FAMILIAR",IF(F733="NEW",IF(ISNA(VLOOKUP(E733,#REF!,1,FALSE())),"?TYPE_IDENTIFIABLE","?REFERENTIAL"),"_")))))</f>
        <v/>
      </c>
      <c r="H733" s="23" t="str">
        <f t="shared" ca="1" si="77"/>
        <v/>
      </c>
      <c r="I733" s="24" t="str">
        <f>IF(OR(E733="",E733="!!!",F733="NEW"),"",INDEX(B$2:B732,-1+SUMPRODUCT(MAX(ROW(E$2:E732)*(E733=E$2:E732)))))</f>
        <v/>
      </c>
      <c r="J733" s="24" t="str">
        <f ca="1">IF(OR(E733="",E733="!!!",F733="NEW"),"",COUNTBLANK(OFFSET(A$1,,,SUMPRODUCT(MAX(ROW(E$2:E733)*(E733=E$2:E733)))))-COUNTBLANK(OFFSET(A$1,,,SUMPRODUCT(MAX(ROW(E$1:E732)*(E2=E$1:E732))))))</f>
        <v/>
      </c>
      <c r="K733" s="24" t="str">
        <f>IF(OR(E733="",E733="!!!",F733="NEW"),"",INDEX(J$1:J732,SUMPRODUCT(MAX(ROW(E$1:E732)*(E733=E$1:E732)))))</f>
        <v/>
      </c>
      <c r="L733" s="25"/>
    </row>
    <row r="735" spans="1:12" x14ac:dyDescent="0.3">
      <c r="A735" t="s">
        <v>595</v>
      </c>
    </row>
    <row r="736" spans="1:12" x14ac:dyDescent="0.3">
      <c r="A736" t="s">
        <v>541</v>
      </c>
      <c r="B736" s="26" t="s">
        <v>243</v>
      </c>
      <c r="C736" s="26" t="s">
        <v>294</v>
      </c>
      <c r="D736" s="26" t="s">
        <v>240</v>
      </c>
      <c r="E736" s="20" t="str">
        <f t="shared" ref="E736:E745" si="78">IF(D736="?OLD","!!!","")</f>
        <v>!!!</v>
      </c>
      <c r="F736" s="21" t="str">
        <f>IF(OR(E736="",E736="!!!"),"",IF(NOT(ISNA(VLOOKUP(E736,E$1:E735,1,FALSE()))),"OLD",IF(AND(E736&lt;&gt;"",E736&lt;&gt;"!!!"),"NEW","")))</f>
        <v/>
      </c>
      <c r="G736" s="22" t="str">
        <f>IF(OR(E736="",E736="!!!"),"",IF(OR(J736=0,AND(J736=1,K736=1),AND(J736=1,I736="SBJ"),AND(J736=1,I736=0)),"?IN_FOCUS",IF(J736&lt;=2,"?ACTIVATED",IF(J736&lt;&gt;"","?FAMILIAR",IF(F736="NEW",IF(ISNA(VLOOKUP(E736,#REF!,1,FALSE())),"?TYPE_IDENTIFIABLE","?REFERENTIAL"),"_")))))</f>
        <v/>
      </c>
      <c r="H736" s="23" t="str">
        <f t="shared" ref="H736:H745" ca="1" si="79">IF(J736&lt;&gt;1,"",IF(I736="SBJ","CB","?"))</f>
        <v/>
      </c>
      <c r="I736" s="24" t="str">
        <f>IF(OR(E736="",E736="!!!",F736="NEW"),"",INDEX(B$2:B735,-1+SUMPRODUCT(MAX(ROW(E$2:E735)*(E736=E$2:E735)))))</f>
        <v/>
      </c>
      <c r="J736" s="24" t="str">
        <f ca="1">IF(OR(E736="",E736="!!!",F736="NEW"),"",COUNTBLANK(OFFSET(A$1,,,SUMPRODUCT(MAX(ROW(E$2:E736)*(E736=E$2:E736)))))-COUNTBLANK(OFFSET(A$1,,,SUMPRODUCT(MAX(ROW(E$1:E735)*(E2=E$1:E735))))))</f>
        <v/>
      </c>
      <c r="K736" s="24" t="str">
        <f>IF(OR(E736="",E736="!!!",F736="NEW"),"",INDEX(J$1:J735,SUMPRODUCT(MAX(ROW(E$1:E735)*(E736=E$1:E735)))))</f>
        <v/>
      </c>
      <c r="L736" s="25"/>
    </row>
    <row r="737" spans="1:12" x14ac:dyDescent="0.3">
      <c r="A737" t="s">
        <v>596</v>
      </c>
      <c r="E737" s="20" t="str">
        <f t="shared" si="78"/>
        <v/>
      </c>
      <c r="F737" s="21" t="str">
        <f>IF(OR(E737="",E737="!!!"),"",IF(NOT(ISNA(VLOOKUP(E737,E$1:E736,1,FALSE()))),"OLD",IF(AND(E737&lt;&gt;"",E737&lt;&gt;"!!!"),"NEW","")))</f>
        <v/>
      </c>
      <c r="G737" s="22" t="str">
        <f>IF(OR(E737="",E737="!!!"),"",IF(OR(J737=0,AND(J737=1,K737=1),AND(J737=1,I737="SBJ"),AND(J737=1,I737=0)),"?IN_FOCUS",IF(J737&lt;=2,"?ACTIVATED",IF(J737&lt;&gt;"","?FAMILIAR",IF(F737="NEW",IF(ISNA(VLOOKUP(E737,#REF!,1,FALSE())),"?TYPE_IDENTIFIABLE","?REFERENTIAL"),"_")))))</f>
        <v/>
      </c>
      <c r="H737" s="23" t="str">
        <f t="shared" ca="1" si="79"/>
        <v/>
      </c>
      <c r="I737" s="24" t="str">
        <f>IF(OR(E737="",E737="!!!",F737="NEW"),"",INDEX(B$2:B736,-1+SUMPRODUCT(MAX(ROW(E$2:E736)*(E737=E$2:E736)))))</f>
        <v/>
      </c>
      <c r="J737" s="24" t="str">
        <f ca="1">IF(OR(E737="",E737="!!!",F737="NEW"),"",COUNTBLANK(OFFSET(A$1,,,SUMPRODUCT(MAX(ROW(E$2:E737)*(E737=E$2:E737)))))-COUNTBLANK(OFFSET(A$1,,,SUMPRODUCT(MAX(ROW(E$1:E736)*(E2=E$1:E736))))))</f>
        <v/>
      </c>
      <c r="K737" s="24" t="str">
        <f>IF(OR(E737="",E737="!!!",F737="NEW"),"",INDEX(J$1:J736,SUMPRODUCT(MAX(ROW(E$1:E736)*(E737=E$1:E736)))))</f>
        <v/>
      </c>
      <c r="L737" s="25"/>
    </row>
    <row r="738" spans="1:12" x14ac:dyDescent="0.3">
      <c r="A738" t="s">
        <v>387</v>
      </c>
      <c r="E738" s="20" t="str">
        <f t="shared" si="78"/>
        <v/>
      </c>
      <c r="F738" s="21" t="str">
        <f>IF(OR(E738="",E738="!!!"),"",IF(NOT(ISNA(VLOOKUP(E738,E$1:E737,1,FALSE()))),"OLD",IF(AND(E738&lt;&gt;"",E738&lt;&gt;"!!!"),"NEW","")))</f>
        <v/>
      </c>
      <c r="G738" s="22" t="str">
        <f>IF(OR(E738="",E738="!!!"),"",IF(OR(J738=0,AND(J738=1,K738=1),AND(J738=1,I738="SBJ"),AND(J738=1,I738=0)),"?IN_FOCUS",IF(J738&lt;=2,"?ACTIVATED",IF(J738&lt;&gt;"","?FAMILIAR",IF(F738="NEW",IF(ISNA(VLOOKUP(E738,#REF!,1,FALSE())),"?TYPE_IDENTIFIABLE","?REFERENTIAL"),"_")))))</f>
        <v/>
      </c>
      <c r="H738" s="23" t="str">
        <f t="shared" ca="1" si="79"/>
        <v/>
      </c>
      <c r="I738" s="24" t="str">
        <f>IF(OR(E738="",E738="!!!",F738="NEW"),"",INDEX(B$2:B737,-1+SUMPRODUCT(MAX(ROW(E$2:E737)*(E738=E$2:E737)))))</f>
        <v/>
      </c>
      <c r="J738" s="24" t="str">
        <f ca="1">IF(OR(E738="",E738="!!!",F738="NEW"),"",COUNTBLANK(OFFSET(A$1,,,SUMPRODUCT(MAX(ROW(E$2:E738)*(E738=E$2:E738)))))-COUNTBLANK(OFFSET(A$1,,,SUMPRODUCT(MAX(ROW(E$1:E737)*(E2=E$1:E737))))))</f>
        <v/>
      </c>
      <c r="K738" s="24" t="str">
        <f>IF(OR(E738="",E738="!!!",F738="NEW"),"",INDEX(J$1:J737,SUMPRODUCT(MAX(ROW(E$1:E737)*(E738=E$1:E737)))))</f>
        <v/>
      </c>
      <c r="L738" s="25"/>
    </row>
    <row r="739" spans="1:12" x14ac:dyDescent="0.3">
      <c r="A739" t="s">
        <v>252</v>
      </c>
      <c r="E739" s="20" t="str">
        <f t="shared" si="78"/>
        <v/>
      </c>
      <c r="F739" s="21" t="str">
        <f>IF(OR(E739="",E739="!!!"),"",IF(NOT(ISNA(VLOOKUP(E739,E$1:E738,1,FALSE()))),"OLD",IF(AND(E739&lt;&gt;"",E739&lt;&gt;"!!!"),"NEW","")))</f>
        <v/>
      </c>
      <c r="G739" s="22" t="str">
        <f>IF(OR(E739="",E739="!!!"),"",IF(OR(J739=0,AND(J739=1,K739=1),AND(J739=1,I739="SBJ"),AND(J739=1,I739=0)),"?IN_FOCUS",IF(J739&lt;=2,"?ACTIVATED",IF(J739&lt;&gt;"","?FAMILIAR",IF(F739="NEW",IF(ISNA(VLOOKUP(E739,#REF!,1,FALSE())),"?TYPE_IDENTIFIABLE","?REFERENTIAL"),"_")))))</f>
        <v/>
      </c>
      <c r="H739" s="23" t="str">
        <f t="shared" ca="1" si="79"/>
        <v/>
      </c>
      <c r="I739" s="24" t="str">
        <f>IF(OR(E739="",E739="!!!",F739="NEW"),"",INDEX(B$2:B738,-1+SUMPRODUCT(MAX(ROW(E$2:E738)*(E739=E$2:E738)))))</f>
        <v/>
      </c>
      <c r="J739" s="24" t="str">
        <f ca="1">IF(OR(E739="",E739="!!!",F739="NEW"),"",COUNTBLANK(OFFSET(A$1,,,SUMPRODUCT(MAX(ROW(E$2:E739)*(E739=E$2:E739)))))-COUNTBLANK(OFFSET(A$1,,,SUMPRODUCT(MAX(ROW(E$1:E738)*(E2=E$1:E738))))))</f>
        <v/>
      </c>
      <c r="K739" s="24" t="str">
        <f>IF(OR(E739="",E739="!!!",F739="NEW"),"",INDEX(J$1:J738,SUMPRODUCT(MAX(ROW(E$1:E738)*(E739=E$1:E738)))))</f>
        <v/>
      </c>
      <c r="L739" s="25"/>
    </row>
    <row r="740" spans="1:12" x14ac:dyDescent="0.3">
      <c r="A740" t="s">
        <v>267</v>
      </c>
      <c r="B740" s="26" t="s">
        <v>255</v>
      </c>
      <c r="E740" s="20" t="str">
        <f t="shared" si="78"/>
        <v/>
      </c>
      <c r="F740" s="21" t="str">
        <f>IF(OR(E740="",E740="!!!"),"",IF(NOT(ISNA(VLOOKUP(E740,E$1:E739,1,FALSE()))),"OLD",IF(AND(E740&lt;&gt;"",E740&lt;&gt;"!!!"),"NEW","")))</f>
        <v/>
      </c>
      <c r="G740" s="22" t="str">
        <f>IF(OR(E740="",E740="!!!"),"",IF(OR(J740=0,AND(J740=1,K740=1),AND(J740=1,I740="SBJ"),AND(J740=1,I740=0)),"?IN_FOCUS",IF(J740&lt;=2,"?ACTIVATED",IF(J740&lt;&gt;"","?FAMILIAR",IF(F740="NEW",IF(ISNA(VLOOKUP(E740,#REF!,1,FALSE())),"?TYPE_IDENTIFIABLE","?REFERENTIAL"),"_")))))</f>
        <v/>
      </c>
      <c r="H740" s="23" t="str">
        <f t="shared" ca="1" si="79"/>
        <v/>
      </c>
      <c r="I740" s="24" t="str">
        <f>IF(OR(E740="",E740="!!!",F740="NEW"),"",INDEX(B$2:B739,-1+SUMPRODUCT(MAX(ROW(E$2:E739)*(E740=E$2:E739)))))</f>
        <v/>
      </c>
      <c r="J740" s="24" t="str">
        <f ca="1">IF(OR(E740="",E740="!!!",F740="NEW"),"",COUNTBLANK(OFFSET(A$1,,,SUMPRODUCT(MAX(ROW(E$2:E740)*(E740=E$2:E740)))))-COUNTBLANK(OFFSET(A$1,,,SUMPRODUCT(MAX(ROW(E$1:E739)*(E2=E$1:E739))))))</f>
        <v/>
      </c>
      <c r="K740" s="24" t="str">
        <f>IF(OR(E740="",E740="!!!",F740="NEW"),"",INDEX(J$1:J739,SUMPRODUCT(MAX(ROW(E$1:E739)*(E740=E$1:E739)))))</f>
        <v/>
      </c>
      <c r="L740" s="25"/>
    </row>
    <row r="741" spans="1:12" x14ac:dyDescent="0.3">
      <c r="A741" t="s">
        <v>257</v>
      </c>
      <c r="E741" s="20" t="str">
        <f t="shared" si="78"/>
        <v/>
      </c>
      <c r="F741" s="21" t="str">
        <f>IF(OR(E741="",E741="!!!"),"",IF(NOT(ISNA(VLOOKUP(E741,E$1:E740,1,FALSE()))),"OLD",IF(AND(E741&lt;&gt;"",E741&lt;&gt;"!!!"),"NEW","")))</f>
        <v/>
      </c>
      <c r="G741" s="22" t="str">
        <f>IF(OR(E741="",E741="!!!"),"",IF(OR(J741=0,AND(J741=1,K741=1),AND(J741=1,I741="SBJ"),AND(J741=1,I741=0)),"?IN_FOCUS",IF(J741&lt;=2,"?ACTIVATED",IF(J741&lt;&gt;"","?FAMILIAR",IF(F741="NEW",IF(ISNA(VLOOKUP(E741,#REF!,1,FALSE())),"?TYPE_IDENTIFIABLE","?REFERENTIAL"),"_")))))</f>
        <v/>
      </c>
      <c r="H741" s="23" t="str">
        <f t="shared" ca="1" si="79"/>
        <v/>
      </c>
      <c r="I741" s="24" t="str">
        <f>IF(OR(E741="",E741="!!!",F741="NEW"),"",INDEX(B$2:B740,-1+SUMPRODUCT(MAX(ROW(E$2:E740)*(E741=E$2:E740)))))</f>
        <v/>
      </c>
      <c r="J741" s="24" t="str">
        <f ca="1">IF(OR(E741="",E741="!!!",F741="NEW"),"",COUNTBLANK(OFFSET(A$1,,,SUMPRODUCT(MAX(ROW(E$2:E741)*(E741=E$2:E741)))))-COUNTBLANK(OFFSET(A$1,,,SUMPRODUCT(MAX(ROW(E$1:E740)*(E2=E$1:E740))))))</f>
        <v/>
      </c>
      <c r="K741" s="24" t="str">
        <f>IF(OR(E741="",E741="!!!",F741="NEW"),"",INDEX(J$1:J740,SUMPRODUCT(MAX(ROW(E$1:E740)*(E741=E$1:E740)))))</f>
        <v/>
      </c>
      <c r="L741" s="25"/>
    </row>
    <row r="742" spans="1:12" x14ac:dyDescent="0.3">
      <c r="A742" t="s">
        <v>236</v>
      </c>
      <c r="E742" s="20" t="str">
        <f t="shared" si="78"/>
        <v/>
      </c>
      <c r="F742" s="21" t="str">
        <f>IF(OR(E742="",E742="!!!"),"",IF(NOT(ISNA(VLOOKUP(E742,E$1:E741,1,FALSE()))),"OLD",IF(AND(E742&lt;&gt;"",E742&lt;&gt;"!!!"),"NEW","")))</f>
        <v/>
      </c>
      <c r="G742" s="22" t="str">
        <f>IF(OR(E742="",E742="!!!"),"",IF(OR(J742=0,AND(J742=1,K742=1),AND(J742=1,I742="SBJ"),AND(J742=1,I742=0)),"?IN_FOCUS",IF(J742&lt;=2,"?ACTIVATED",IF(J742&lt;&gt;"","?FAMILIAR",IF(F742="NEW",IF(ISNA(VLOOKUP(E742,#REF!,1,FALSE())),"?TYPE_IDENTIFIABLE","?REFERENTIAL"),"_")))))</f>
        <v/>
      </c>
      <c r="H742" s="23" t="str">
        <f t="shared" ca="1" si="79"/>
        <v/>
      </c>
      <c r="I742" s="24" t="str">
        <f>IF(OR(E742="",E742="!!!",F742="NEW"),"",INDEX(B$2:B741,-1+SUMPRODUCT(MAX(ROW(E$2:E741)*(E742=E$2:E741)))))</f>
        <v/>
      </c>
      <c r="J742" s="24" t="str">
        <f ca="1">IF(OR(E742="",E742="!!!",F742="NEW"),"",COUNTBLANK(OFFSET(A$1,,,SUMPRODUCT(MAX(ROW(E$2:E742)*(E742=E$2:E742)))))-COUNTBLANK(OFFSET(A$1,,,SUMPRODUCT(MAX(ROW(E$1:E741)*(E2=E$1:E741))))))</f>
        <v/>
      </c>
      <c r="K742" s="24" t="str">
        <f>IF(OR(E742="",E742="!!!",F742="NEW"),"",INDEX(J$1:J741,SUMPRODUCT(MAX(ROW(E$1:E741)*(E742=E$1:E741)))))</f>
        <v/>
      </c>
      <c r="L742" s="25"/>
    </row>
    <row r="743" spans="1:12" x14ac:dyDescent="0.3">
      <c r="A743" t="s">
        <v>597</v>
      </c>
      <c r="B743" s="26" t="s">
        <v>261</v>
      </c>
      <c r="C743" s="26" t="s">
        <v>239</v>
      </c>
      <c r="D743" s="26" t="s">
        <v>240</v>
      </c>
      <c r="E743" s="20" t="str">
        <f t="shared" si="78"/>
        <v>!!!</v>
      </c>
      <c r="F743" s="21" t="str">
        <f>IF(OR(E743="",E743="!!!"),"",IF(NOT(ISNA(VLOOKUP(E743,E$1:E742,1,FALSE()))),"OLD",IF(AND(E743&lt;&gt;"",E743&lt;&gt;"!!!"),"NEW","")))</f>
        <v/>
      </c>
      <c r="G743" s="22" t="str">
        <f>IF(OR(E743="",E743="!!!"),"",IF(OR(J743=0,AND(J743=1,K743=1),AND(J743=1,I743="SBJ"),AND(J743=1,I743=0)),"?IN_FOCUS",IF(J743&lt;=2,"?ACTIVATED",IF(J743&lt;&gt;"","?FAMILIAR",IF(F743="NEW",IF(ISNA(VLOOKUP(E743,#REF!,1,FALSE())),"?TYPE_IDENTIFIABLE","?REFERENTIAL"),"_")))))</f>
        <v/>
      </c>
      <c r="H743" s="23" t="str">
        <f t="shared" ca="1" si="79"/>
        <v/>
      </c>
      <c r="I743" s="24" t="str">
        <f>IF(OR(E743="",E743="!!!",F743="NEW"),"",INDEX(B$2:B742,-1+SUMPRODUCT(MAX(ROW(E$2:E742)*(E743=E$2:E742)))))</f>
        <v/>
      </c>
      <c r="J743" s="24" t="str">
        <f ca="1">IF(OR(E743="",E743="!!!",F743="NEW"),"",COUNTBLANK(OFFSET(A$1,,,SUMPRODUCT(MAX(ROW(E$2:E743)*(E743=E$2:E743)))))-COUNTBLANK(OFFSET(A$1,,,SUMPRODUCT(MAX(ROW(E$1:E742)*(E2=E$1:E742))))))</f>
        <v/>
      </c>
      <c r="K743" s="24" t="str">
        <f>IF(OR(E743="",E743="!!!",F743="NEW"),"",INDEX(J$1:J742,SUMPRODUCT(MAX(ROW(E$1:E742)*(E743=E$1:E742)))))</f>
        <v/>
      </c>
      <c r="L743" s="25"/>
    </row>
    <row r="744" spans="1:12" x14ac:dyDescent="0.3">
      <c r="A744" t="s">
        <v>598</v>
      </c>
      <c r="E744" s="20" t="str">
        <f t="shared" si="78"/>
        <v/>
      </c>
      <c r="F744" s="21" t="str">
        <f>IF(OR(E744="",E744="!!!"),"",IF(NOT(ISNA(VLOOKUP(E744,E$1:E743,1,FALSE()))),"OLD",IF(AND(E744&lt;&gt;"",E744&lt;&gt;"!!!"),"NEW","")))</f>
        <v/>
      </c>
      <c r="G744" s="22" t="str">
        <f>IF(OR(E744="",E744="!!!"),"",IF(OR(J744=0,AND(J744=1,K744=1),AND(J744=1,I744="SBJ"),AND(J744=1,I744=0)),"?IN_FOCUS",IF(J744&lt;=2,"?ACTIVATED",IF(J744&lt;&gt;"","?FAMILIAR",IF(F744="NEW",IF(ISNA(VLOOKUP(E744,#REF!,1,FALSE())),"?TYPE_IDENTIFIABLE","?REFERENTIAL"),"_")))))</f>
        <v/>
      </c>
      <c r="H744" s="23" t="str">
        <f t="shared" ca="1" si="79"/>
        <v/>
      </c>
      <c r="I744" s="24" t="str">
        <f>IF(OR(E744="",E744="!!!",F744="NEW"),"",INDEX(B$2:B743,-1+SUMPRODUCT(MAX(ROW(E$2:E743)*(E744=E$2:E743)))))</f>
        <v/>
      </c>
      <c r="J744" s="24" t="str">
        <f ca="1">IF(OR(E744="",E744="!!!",F744="NEW"),"",COUNTBLANK(OFFSET(A$1,,,SUMPRODUCT(MAX(ROW(E$2:E744)*(E744=E$2:E744)))))-COUNTBLANK(OFFSET(A$1,,,SUMPRODUCT(MAX(ROW(E$1:E743)*(E2=E$1:E743))))))</f>
        <v/>
      </c>
      <c r="K744" s="24" t="str">
        <f>IF(OR(E744="",E744="!!!",F744="NEW"),"",INDEX(J$1:J743,SUMPRODUCT(MAX(ROW(E$1:E743)*(E744=E$1:E743)))))</f>
        <v/>
      </c>
      <c r="L744" s="25"/>
    </row>
    <row r="745" spans="1:12" x14ac:dyDescent="0.3">
      <c r="A745" t="s">
        <v>248</v>
      </c>
      <c r="E745" s="20" t="str">
        <f t="shared" si="78"/>
        <v/>
      </c>
      <c r="F745" s="21" t="str">
        <f>IF(OR(E745="",E745="!!!"),"",IF(NOT(ISNA(VLOOKUP(E745,E$1:E744,1,FALSE()))),"OLD",IF(AND(E745&lt;&gt;"",E745&lt;&gt;"!!!"),"NEW","")))</f>
        <v/>
      </c>
      <c r="G745" s="22" t="str">
        <f>IF(OR(E745="",E745="!!!"),"",IF(OR(J745=0,AND(J745=1,K745=1),AND(J745=1,I745="SBJ"),AND(J745=1,I745=0)),"?IN_FOCUS",IF(J745&lt;=2,"?ACTIVATED",IF(J745&lt;&gt;"","?FAMILIAR",IF(F745="NEW",IF(ISNA(VLOOKUP(E745,#REF!,1,FALSE())),"?TYPE_IDENTIFIABLE","?REFERENTIAL"),"_")))))</f>
        <v/>
      </c>
      <c r="H745" s="23" t="str">
        <f t="shared" ca="1" si="79"/>
        <v/>
      </c>
      <c r="I745" s="24" t="str">
        <f>IF(OR(E745="",E745="!!!",F745="NEW"),"",INDEX(B$2:B744,-1+SUMPRODUCT(MAX(ROW(E$2:E744)*(E745=E$2:E744)))))</f>
        <v/>
      </c>
      <c r="J745" s="24" t="str">
        <f ca="1">IF(OR(E745="",E745="!!!",F745="NEW"),"",COUNTBLANK(OFFSET(A$1,,,SUMPRODUCT(MAX(ROW(E$2:E745)*(E745=E$2:E745)))))-COUNTBLANK(OFFSET(A$1,,,SUMPRODUCT(MAX(ROW(E$1:E744)*(E2=E$1:E744))))))</f>
        <v/>
      </c>
      <c r="K745" s="24" t="str">
        <f>IF(OR(E745="",E745="!!!",F745="NEW"),"",INDEX(J$1:J744,SUMPRODUCT(MAX(ROW(E$1:E744)*(E745=E$1:E744)))))</f>
        <v/>
      </c>
      <c r="L745" s="25"/>
    </row>
    <row r="747" spans="1:12" x14ac:dyDescent="0.3">
      <c r="A747" t="s">
        <v>599</v>
      </c>
      <c r="E747" s="20" t="str">
        <f>IF(D747="?OLD","!!!","")</f>
        <v/>
      </c>
      <c r="F747" s="21" t="str">
        <f>IF(OR(E747="",E747="!!!"),"",IF(NOT(ISNA(VLOOKUP(E747,E$1:E746,1,FALSE()))),"OLD",IF(AND(E747&lt;&gt;"",E747&lt;&gt;"!!!"),"NEW","")))</f>
        <v/>
      </c>
      <c r="G747" s="22" t="str">
        <f>IF(OR(E747="",E747="!!!"),"",IF(OR(J747=0,AND(J747=1,K747=1),AND(J747=1,I747="SBJ"),AND(J747=1,I747=0)),"?IN_FOCUS",IF(J747&lt;=2,"?ACTIVATED",IF(J747&lt;&gt;"","?FAMILIAR",IF(F747="NEW",IF(ISNA(VLOOKUP(E747,#REF!,1,FALSE())),"?TYPE_IDENTIFIABLE","?REFERENTIAL"),"_")))))</f>
        <v/>
      </c>
      <c r="H747" s="23" t="str">
        <f ca="1">IF(J747&lt;&gt;1,"",IF(I747="SBJ","CB","?"))</f>
        <v/>
      </c>
      <c r="I747" s="24" t="str">
        <f>IF(OR(E747="",E747="!!!",F747="NEW"),"",INDEX(B$2:B746,-1+SUMPRODUCT(MAX(ROW(E$2:E746)*(E747=E$2:E746)))))</f>
        <v/>
      </c>
      <c r="J747" s="24" t="str">
        <f ca="1">IF(OR(E747="",E747="!!!",F747="NEW"),"",COUNTBLANK(OFFSET(A$1,,,SUMPRODUCT(MAX(ROW(E$2:E747)*(E747=E$2:E747)))))-COUNTBLANK(OFFSET(A$1,,,SUMPRODUCT(MAX(ROW(E$1:E746)*(E2=E$1:E746))))))</f>
        <v/>
      </c>
      <c r="K747" s="24" t="str">
        <f>IF(OR(E747="",E747="!!!",F747="NEW"),"",INDEX(J$1:J746,SUMPRODUCT(MAX(ROW(E$1:E746)*(E747=E$1:E746)))))</f>
        <v/>
      </c>
      <c r="L747" s="25"/>
    </row>
    <row r="748" spans="1:12" x14ac:dyDescent="0.3">
      <c r="A748" t="s">
        <v>600</v>
      </c>
    </row>
    <row r="749" spans="1:12" x14ac:dyDescent="0.3">
      <c r="A749" t="s">
        <v>396</v>
      </c>
      <c r="B749" s="26" t="s">
        <v>243</v>
      </c>
      <c r="C749" s="26" t="s">
        <v>256</v>
      </c>
      <c r="D749" s="26" t="s">
        <v>240</v>
      </c>
      <c r="E749" s="20" t="str">
        <f t="shared" ref="E749:E790" si="80">IF(D749="?OLD","!!!","")</f>
        <v>!!!</v>
      </c>
      <c r="F749" s="21" t="str">
        <f>IF(OR(E749="",E749="!!!"),"",IF(NOT(ISNA(VLOOKUP(E749,E$1:E748,1,FALSE()))),"OLD",IF(AND(E749&lt;&gt;"",E749&lt;&gt;"!!!"),"NEW","")))</f>
        <v/>
      </c>
      <c r="G749" s="22" t="str">
        <f>IF(OR(E749="",E749="!!!"),"",IF(OR(J749=0,AND(J749=1,K749=1),AND(J749=1,I749="SBJ"),AND(J749=1,I749=0)),"?IN_FOCUS",IF(J749&lt;=2,"?ACTIVATED",IF(J749&lt;&gt;"","?FAMILIAR",IF(F749="NEW",IF(ISNA(VLOOKUP(E749,#REF!,1,FALSE())),"?TYPE_IDENTIFIABLE","?REFERENTIAL"),"_")))))</f>
        <v/>
      </c>
      <c r="H749" s="23" t="str">
        <f t="shared" ref="H749:H790" ca="1" si="81">IF(J749&lt;&gt;1,"",IF(I749="SBJ","CB","?"))</f>
        <v/>
      </c>
      <c r="I749" s="24" t="str">
        <f>IF(OR(E749="",E749="!!!",F749="NEW"),"",INDEX(B$2:B748,-1+SUMPRODUCT(MAX(ROW(E$2:E748)*(E749=E$2:E748)))))</f>
        <v/>
      </c>
      <c r="J749" s="24" t="str">
        <f ca="1">IF(OR(E749="",E749="!!!",F749="NEW"),"",COUNTBLANK(OFFSET(A$1,,,SUMPRODUCT(MAX(ROW(E$2:E749)*(E749=E$2:E749)))))-COUNTBLANK(OFFSET(A$1,,,SUMPRODUCT(MAX(ROW(E$1:E748)*(E2=E$1:E748))))))</f>
        <v/>
      </c>
      <c r="K749" s="24" t="str">
        <f>IF(OR(E749="",E749="!!!",F749="NEW"),"",INDEX(J$1:J748,SUMPRODUCT(MAX(ROW(E$1:E748)*(E749=E$1:E748)))))</f>
        <v/>
      </c>
      <c r="L749" s="25"/>
    </row>
    <row r="750" spans="1:12" x14ac:dyDescent="0.3">
      <c r="A750" t="s">
        <v>266</v>
      </c>
      <c r="E750" s="20" t="str">
        <f t="shared" si="80"/>
        <v/>
      </c>
      <c r="F750" s="21" t="str">
        <f>IF(OR(E750="",E750="!!!"),"",IF(NOT(ISNA(VLOOKUP(E750,E$1:E749,1,FALSE()))),"OLD",IF(AND(E750&lt;&gt;"",E750&lt;&gt;"!!!"),"NEW","")))</f>
        <v/>
      </c>
      <c r="G750" s="22" t="str">
        <f>IF(OR(E750="",E750="!!!"),"",IF(OR(J750=0,AND(J750=1,K750=1),AND(J750=1,I750="SBJ"),AND(J750=1,I750=0)),"?IN_FOCUS",IF(J750&lt;=2,"?ACTIVATED",IF(J750&lt;&gt;"","?FAMILIAR",IF(F750="NEW",IF(ISNA(VLOOKUP(E750,#REF!,1,FALSE())),"?TYPE_IDENTIFIABLE","?REFERENTIAL"),"_")))))</f>
        <v/>
      </c>
      <c r="H750" s="23" t="str">
        <f t="shared" ca="1" si="81"/>
        <v/>
      </c>
      <c r="I750" s="24" t="str">
        <f>IF(OR(E750="",E750="!!!",F750="NEW"),"",INDEX(B$2:B749,-1+SUMPRODUCT(MAX(ROW(E$2:E749)*(E750=E$2:E749)))))</f>
        <v/>
      </c>
      <c r="J750" s="24" t="str">
        <f ca="1">IF(OR(E750="",E750="!!!",F750="NEW"),"",COUNTBLANK(OFFSET(A$1,,,SUMPRODUCT(MAX(ROW(E$2:E750)*(E750=E$2:E750)))))-COUNTBLANK(OFFSET(A$1,,,SUMPRODUCT(MAX(ROW(E$1:E749)*(E2=E$1:E749))))))</f>
        <v/>
      </c>
      <c r="K750" s="24" t="str">
        <f>IF(OR(E750="",E750="!!!",F750="NEW"),"",INDEX(J$1:J749,SUMPRODUCT(MAX(ROW(E$1:E749)*(E750=E$1:E749)))))</f>
        <v/>
      </c>
      <c r="L750" s="25"/>
    </row>
    <row r="751" spans="1:12" x14ac:dyDescent="0.3">
      <c r="A751" t="s">
        <v>372</v>
      </c>
      <c r="E751" s="20" t="str">
        <f t="shared" si="80"/>
        <v/>
      </c>
      <c r="F751" s="21" t="str">
        <f>IF(OR(E751="",E751="!!!"),"",IF(NOT(ISNA(VLOOKUP(E751,E$1:E750,1,FALSE()))),"OLD",IF(AND(E751&lt;&gt;"",E751&lt;&gt;"!!!"),"NEW","")))</f>
        <v/>
      </c>
      <c r="G751" s="22" t="str">
        <f>IF(OR(E751="",E751="!!!"),"",IF(OR(J751=0,AND(J751=1,K751=1),AND(J751=1,I751="SBJ"),AND(J751=1,I751=0)),"?IN_FOCUS",IF(J751&lt;=2,"?ACTIVATED",IF(J751&lt;&gt;"","?FAMILIAR",IF(F751="NEW",IF(ISNA(VLOOKUP(E751,#REF!,1,FALSE())),"?TYPE_IDENTIFIABLE","?REFERENTIAL"),"_")))))</f>
        <v/>
      </c>
      <c r="H751" s="23" t="str">
        <f t="shared" ca="1" si="81"/>
        <v/>
      </c>
      <c r="I751" s="24" t="str">
        <f>IF(OR(E751="",E751="!!!",F751="NEW"),"",INDEX(B$2:B750,-1+SUMPRODUCT(MAX(ROW(E$2:E750)*(E751=E$2:E750)))))</f>
        <v/>
      </c>
      <c r="J751" s="24" t="str">
        <f ca="1">IF(OR(E751="",E751="!!!",F751="NEW"),"",COUNTBLANK(OFFSET(A$1,,,SUMPRODUCT(MAX(ROW(E$2:E751)*(E751=E$2:E751)))))-COUNTBLANK(OFFSET(A$1,,,SUMPRODUCT(MAX(ROW(E$1:E750)*(E2=E$1:E750))))))</f>
        <v/>
      </c>
      <c r="K751" s="24" t="str">
        <f>IF(OR(E751="",E751="!!!",F751="NEW"),"",INDEX(J$1:J750,SUMPRODUCT(MAX(ROW(E$1:E750)*(E751=E$1:E750)))))</f>
        <v/>
      </c>
      <c r="L751" s="25"/>
    </row>
    <row r="752" spans="1:12" x14ac:dyDescent="0.3">
      <c r="A752" t="s">
        <v>484</v>
      </c>
      <c r="E752" s="20" t="str">
        <f t="shared" si="80"/>
        <v/>
      </c>
      <c r="F752" s="21" t="str">
        <f>IF(OR(E752="",E752="!!!"),"",IF(NOT(ISNA(VLOOKUP(E752,E$1:E751,1,FALSE()))),"OLD",IF(AND(E752&lt;&gt;"",E752&lt;&gt;"!!!"),"NEW","")))</f>
        <v/>
      </c>
      <c r="G752" s="22" t="str">
        <f>IF(OR(E752="",E752="!!!"),"",IF(OR(J752=0,AND(J752=1,K752=1),AND(J752=1,I752="SBJ"),AND(J752=1,I752=0)),"?IN_FOCUS",IF(J752&lt;=2,"?ACTIVATED",IF(J752&lt;&gt;"","?FAMILIAR",IF(F752="NEW",IF(ISNA(VLOOKUP(E752,#REF!,1,FALSE())),"?TYPE_IDENTIFIABLE","?REFERENTIAL"),"_")))))</f>
        <v/>
      </c>
      <c r="H752" s="23" t="str">
        <f t="shared" ca="1" si="81"/>
        <v/>
      </c>
      <c r="I752" s="24" t="str">
        <f>IF(OR(E752="",E752="!!!",F752="NEW"),"",INDEX(B$2:B751,-1+SUMPRODUCT(MAX(ROW(E$2:E751)*(E752=E$2:E751)))))</f>
        <v/>
      </c>
      <c r="J752" s="24" t="str">
        <f ca="1">IF(OR(E752="",E752="!!!",F752="NEW"),"",COUNTBLANK(OFFSET(A$1,,,SUMPRODUCT(MAX(ROW(E$2:E752)*(E752=E$2:E752)))))-COUNTBLANK(OFFSET(A$1,,,SUMPRODUCT(MAX(ROW(E$1:E751)*(E2=E$1:E751))))))</f>
        <v/>
      </c>
      <c r="K752" s="24" t="str">
        <f>IF(OR(E752="",E752="!!!",F752="NEW"),"",INDEX(J$1:J751,SUMPRODUCT(MAX(ROW(E$1:E751)*(E752=E$1:E751)))))</f>
        <v/>
      </c>
      <c r="L752" s="25"/>
    </row>
    <row r="753" spans="1:12" x14ac:dyDescent="0.3">
      <c r="A753" t="s">
        <v>601</v>
      </c>
      <c r="B753" s="26" t="s">
        <v>292</v>
      </c>
      <c r="C753" s="26" t="s">
        <v>262</v>
      </c>
      <c r="E753" s="20" t="str">
        <f t="shared" si="80"/>
        <v/>
      </c>
      <c r="F753" s="21" t="str">
        <f>IF(OR(E753="",E753="!!!"),"",IF(NOT(ISNA(VLOOKUP(E753,E$1:E752,1,FALSE()))),"OLD",IF(AND(E753&lt;&gt;"",E753&lt;&gt;"!!!"),"NEW","")))</f>
        <v/>
      </c>
      <c r="G753" s="22" t="str">
        <f>IF(OR(E753="",E753="!!!"),"",IF(OR(J753=0,AND(J753=1,K753=1),AND(J753=1,I753="SBJ"),AND(J753=1,I753=0)),"?IN_FOCUS",IF(J753&lt;=2,"?ACTIVATED",IF(J753&lt;&gt;"","?FAMILIAR",IF(F753="NEW",IF(ISNA(VLOOKUP(E753,#REF!,1,FALSE())),"?TYPE_IDENTIFIABLE","?REFERENTIAL"),"_")))))</f>
        <v/>
      </c>
      <c r="H753" s="23" t="str">
        <f t="shared" ca="1" si="81"/>
        <v/>
      </c>
      <c r="I753" s="24" t="str">
        <f>IF(OR(E753="",E753="!!!",F753="NEW"),"",INDEX(B$2:B752,-1+SUMPRODUCT(MAX(ROW(E$2:E752)*(E753=E$2:E752)))))</f>
        <v/>
      </c>
      <c r="J753" s="24" t="str">
        <f ca="1">IF(OR(E753="",E753="!!!",F753="NEW"),"",COUNTBLANK(OFFSET(A$1,,,SUMPRODUCT(MAX(ROW(E$2:E753)*(E753=E$2:E753)))))-COUNTBLANK(OFFSET(A$1,,,SUMPRODUCT(MAX(ROW(E$1:E752)*(E2=E$1:E752))))))</f>
        <v/>
      </c>
      <c r="K753" s="24" t="str">
        <f>IF(OR(E753="",E753="!!!",F753="NEW"),"",INDEX(J$1:J752,SUMPRODUCT(MAX(ROW(E$1:E752)*(E753=E$1:E752)))))</f>
        <v/>
      </c>
      <c r="L753" s="25"/>
    </row>
    <row r="754" spans="1:12" x14ac:dyDescent="0.3">
      <c r="A754" t="s">
        <v>252</v>
      </c>
      <c r="E754" s="20" t="str">
        <f t="shared" si="80"/>
        <v/>
      </c>
      <c r="F754" s="21" t="str">
        <f>IF(OR(E754="",E754="!!!"),"",IF(NOT(ISNA(VLOOKUP(E754,E$1:E753,1,FALSE()))),"OLD",IF(AND(E754&lt;&gt;"",E754&lt;&gt;"!!!"),"NEW","")))</f>
        <v/>
      </c>
      <c r="G754" s="22" t="str">
        <f>IF(OR(E754="",E754="!!!"),"",IF(OR(J754=0,AND(J754=1,K754=1),AND(J754=1,I754="SBJ"),AND(J754=1,I754=0)),"?IN_FOCUS",IF(J754&lt;=2,"?ACTIVATED",IF(J754&lt;&gt;"","?FAMILIAR",IF(F754="NEW",IF(ISNA(VLOOKUP(E754,#REF!,1,FALSE())),"?TYPE_IDENTIFIABLE","?REFERENTIAL"),"_")))))</f>
        <v/>
      </c>
      <c r="H754" s="23" t="str">
        <f t="shared" ca="1" si="81"/>
        <v/>
      </c>
      <c r="I754" s="24" t="str">
        <f>IF(OR(E754="",E754="!!!",F754="NEW"),"",INDEX(B$2:B753,-1+SUMPRODUCT(MAX(ROW(E$2:E753)*(E754=E$2:E753)))))</f>
        <v/>
      </c>
      <c r="J754" s="24" t="str">
        <f ca="1">IF(OR(E754="",E754="!!!",F754="NEW"),"",COUNTBLANK(OFFSET(A$1,,,SUMPRODUCT(MAX(ROW(E$2:E754)*(E754=E$2:E754)))))-COUNTBLANK(OFFSET(A$1,,,SUMPRODUCT(MAX(ROW(E$1:E753)*(E2=E$1:E753))))))</f>
        <v/>
      </c>
      <c r="K754" s="24" t="str">
        <f>IF(OR(E754="",E754="!!!",F754="NEW"),"",INDEX(J$1:J753,SUMPRODUCT(MAX(ROW(E$1:E753)*(E754=E$1:E753)))))</f>
        <v/>
      </c>
      <c r="L754" s="25"/>
    </row>
    <row r="755" spans="1:12" x14ac:dyDescent="0.3">
      <c r="A755" t="s">
        <v>602</v>
      </c>
      <c r="E755" s="20" t="str">
        <f t="shared" si="80"/>
        <v/>
      </c>
      <c r="F755" s="21" t="str">
        <f>IF(OR(E755="",E755="!!!"),"",IF(NOT(ISNA(VLOOKUP(E755,E$1:E754,1,FALSE()))),"OLD",IF(AND(E755&lt;&gt;"",E755&lt;&gt;"!!!"),"NEW","")))</f>
        <v/>
      </c>
      <c r="G755" s="22" t="str">
        <f>IF(OR(E755="",E755="!!!"),"",IF(OR(J755=0,AND(J755=1,K755=1),AND(J755=1,I755="SBJ"),AND(J755=1,I755=0)),"?IN_FOCUS",IF(J755&lt;=2,"?ACTIVATED",IF(J755&lt;&gt;"","?FAMILIAR",IF(F755="NEW",IF(ISNA(VLOOKUP(E755,#REF!,1,FALSE())),"?TYPE_IDENTIFIABLE","?REFERENTIAL"),"_")))))</f>
        <v/>
      </c>
      <c r="H755" s="23" t="str">
        <f t="shared" ca="1" si="81"/>
        <v/>
      </c>
      <c r="I755" s="24" t="str">
        <f>IF(OR(E755="",E755="!!!",F755="NEW"),"",INDEX(B$2:B754,-1+SUMPRODUCT(MAX(ROW(E$2:E754)*(E755=E$2:E754)))))</f>
        <v/>
      </c>
      <c r="J755" s="24" t="str">
        <f ca="1">IF(OR(E755="",E755="!!!",F755="NEW"),"",COUNTBLANK(OFFSET(A$1,,,SUMPRODUCT(MAX(ROW(E$2:E755)*(E755=E$2:E755)))))-COUNTBLANK(OFFSET(A$1,,,SUMPRODUCT(MAX(ROW(E$1:E754)*(E2=E$1:E754))))))</f>
        <v/>
      </c>
      <c r="K755" s="24" t="str">
        <f>IF(OR(E755="",E755="!!!",F755="NEW"),"",INDEX(J$1:J754,SUMPRODUCT(MAX(ROW(E$1:E754)*(E755=E$1:E754)))))</f>
        <v/>
      </c>
      <c r="L755" s="25"/>
    </row>
    <row r="756" spans="1:12" x14ac:dyDescent="0.3">
      <c r="A756" t="s">
        <v>341</v>
      </c>
      <c r="B756" s="26" t="s">
        <v>255</v>
      </c>
      <c r="C756" s="26" t="s">
        <v>256</v>
      </c>
      <c r="D756" s="26" t="s">
        <v>240</v>
      </c>
      <c r="E756" s="20" t="str">
        <f t="shared" si="80"/>
        <v>!!!</v>
      </c>
      <c r="F756" s="21" t="str">
        <f>IF(OR(E756="",E756="!!!"),"",IF(NOT(ISNA(VLOOKUP(E756,E$1:E755,1,FALSE()))),"OLD",IF(AND(E756&lt;&gt;"",E756&lt;&gt;"!!!"),"NEW","")))</f>
        <v/>
      </c>
      <c r="G756" s="22" t="str">
        <f>IF(OR(E756="",E756="!!!"),"",IF(OR(J756=0,AND(J756=1,K756=1),AND(J756=1,I756="SBJ"),AND(J756=1,I756=0)),"?IN_FOCUS",IF(J756&lt;=2,"?ACTIVATED",IF(J756&lt;&gt;"","?FAMILIAR",IF(F756="NEW",IF(ISNA(VLOOKUP(E756,#REF!,1,FALSE())),"?TYPE_IDENTIFIABLE","?REFERENTIAL"),"_")))))</f>
        <v/>
      </c>
      <c r="H756" s="23" t="str">
        <f t="shared" ca="1" si="81"/>
        <v/>
      </c>
      <c r="I756" s="24" t="str">
        <f>IF(OR(E756="",E756="!!!",F756="NEW"),"",INDEX(B$2:B755,-1+SUMPRODUCT(MAX(ROW(E$2:E755)*(E756=E$2:E755)))))</f>
        <v/>
      </c>
      <c r="J756" s="24" t="str">
        <f ca="1">IF(OR(E756="",E756="!!!",F756="NEW"),"",COUNTBLANK(OFFSET(A$1,,,SUMPRODUCT(MAX(ROW(E$2:E756)*(E756=E$2:E756)))))-COUNTBLANK(OFFSET(A$1,,,SUMPRODUCT(MAX(ROW(E$1:E755)*(E2=E$1:E755))))))</f>
        <v/>
      </c>
      <c r="K756" s="24" t="str">
        <f>IF(OR(E756="",E756="!!!",F756="NEW"),"",INDEX(J$1:J755,SUMPRODUCT(MAX(ROW(E$1:E755)*(E756=E$1:E755)))))</f>
        <v/>
      </c>
      <c r="L756" s="25"/>
    </row>
    <row r="757" spans="1:12" x14ac:dyDescent="0.3">
      <c r="A757" t="s">
        <v>257</v>
      </c>
      <c r="E757" s="20" t="str">
        <f t="shared" si="80"/>
        <v/>
      </c>
      <c r="F757" s="21" t="str">
        <f>IF(OR(E757="",E757="!!!"),"",IF(NOT(ISNA(VLOOKUP(E757,E$1:E756,1,FALSE()))),"OLD",IF(AND(E757&lt;&gt;"",E757&lt;&gt;"!!!"),"NEW","")))</f>
        <v/>
      </c>
      <c r="G757" s="22" t="str">
        <f>IF(OR(E757="",E757="!!!"),"",IF(OR(J757=0,AND(J757=1,K757=1),AND(J757=1,I757="SBJ"),AND(J757=1,I757=0)),"?IN_FOCUS",IF(J757&lt;=2,"?ACTIVATED",IF(J757&lt;&gt;"","?FAMILIAR",IF(F757="NEW",IF(ISNA(VLOOKUP(E757,#REF!,1,FALSE())),"?TYPE_IDENTIFIABLE","?REFERENTIAL"),"_")))))</f>
        <v/>
      </c>
      <c r="H757" s="23" t="str">
        <f t="shared" ca="1" si="81"/>
        <v/>
      </c>
      <c r="I757" s="24" t="str">
        <f>IF(OR(E757="",E757="!!!",F757="NEW"),"",INDEX(B$2:B756,-1+SUMPRODUCT(MAX(ROW(E$2:E756)*(E757=E$2:E756)))))</f>
        <v/>
      </c>
      <c r="J757" s="24" t="str">
        <f ca="1">IF(OR(E757="",E757="!!!",F757="NEW"),"",COUNTBLANK(OFFSET(A$1,,,SUMPRODUCT(MAX(ROW(E$2:E757)*(E757=E$2:E757)))))-COUNTBLANK(OFFSET(A$1,,,SUMPRODUCT(MAX(ROW(E$1:E756)*(E2=E$1:E756))))))</f>
        <v/>
      </c>
      <c r="K757" s="24" t="str">
        <f>IF(OR(E757="",E757="!!!",F757="NEW"),"",INDEX(J$1:J756,SUMPRODUCT(MAX(ROW(E$1:E756)*(E757=E$1:E756)))))</f>
        <v/>
      </c>
      <c r="L757" s="25"/>
    </row>
    <row r="758" spans="1:12" x14ac:dyDescent="0.3">
      <c r="A758" t="s">
        <v>267</v>
      </c>
      <c r="E758" s="20" t="str">
        <f t="shared" si="80"/>
        <v/>
      </c>
      <c r="F758" s="21" t="str">
        <f>IF(OR(E758="",E758="!!!"),"",IF(NOT(ISNA(VLOOKUP(E758,E$1:E757,1,FALSE()))),"OLD",IF(AND(E758&lt;&gt;"",E758&lt;&gt;"!!!"),"NEW","")))</f>
        <v/>
      </c>
      <c r="G758" s="22" t="str">
        <f>IF(OR(E758="",E758="!!!"),"",IF(OR(J758=0,AND(J758=1,K758=1),AND(J758=1,I758="SBJ"),AND(J758=1,I758=0)),"?IN_FOCUS",IF(J758&lt;=2,"?ACTIVATED",IF(J758&lt;&gt;"","?FAMILIAR",IF(F758="NEW",IF(ISNA(VLOOKUP(E758,#REF!,1,FALSE())),"?TYPE_IDENTIFIABLE","?REFERENTIAL"),"_")))))</f>
        <v/>
      </c>
      <c r="H758" s="23" t="str">
        <f t="shared" ca="1" si="81"/>
        <v/>
      </c>
      <c r="I758" s="24" t="str">
        <f>IF(OR(E758="",E758="!!!",F758="NEW"),"",INDEX(B$2:B757,-1+SUMPRODUCT(MAX(ROW(E$2:E757)*(E758=E$2:E757)))))</f>
        <v/>
      </c>
      <c r="J758" s="24" t="str">
        <f ca="1">IF(OR(E758="",E758="!!!",F758="NEW"),"",COUNTBLANK(OFFSET(A$1,,,SUMPRODUCT(MAX(ROW(E$2:E758)*(E758=E$2:E758)))))-COUNTBLANK(OFFSET(A$1,,,SUMPRODUCT(MAX(ROW(E$1:E757)*(E2=E$1:E757))))))</f>
        <v/>
      </c>
      <c r="K758" s="24" t="str">
        <f>IF(OR(E758="",E758="!!!",F758="NEW"),"",INDEX(J$1:J757,SUMPRODUCT(MAX(ROW(E$1:E757)*(E758=E$1:E757)))))</f>
        <v/>
      </c>
      <c r="L758" s="25"/>
    </row>
    <row r="759" spans="1:12" x14ac:dyDescent="0.3">
      <c r="A759" t="s">
        <v>237</v>
      </c>
      <c r="B759" s="26" t="s">
        <v>261</v>
      </c>
      <c r="C759" s="26" t="s">
        <v>239</v>
      </c>
      <c r="D759" s="26" t="s">
        <v>240</v>
      </c>
      <c r="E759" s="20" t="str">
        <f t="shared" si="80"/>
        <v>!!!</v>
      </c>
      <c r="F759" s="21" t="str">
        <f>IF(OR(E759="",E759="!!!"),"",IF(NOT(ISNA(VLOOKUP(E759,E$1:E758,1,FALSE()))),"OLD",IF(AND(E759&lt;&gt;"",E759&lt;&gt;"!!!"),"NEW","")))</f>
        <v/>
      </c>
      <c r="G759" s="22" t="str">
        <f>IF(OR(E759="",E759="!!!"),"",IF(OR(J759=0,AND(J759=1,K759=1),AND(J759=1,I759="SBJ"),AND(J759=1,I759=0)),"?IN_FOCUS",IF(J759&lt;=2,"?ACTIVATED",IF(J759&lt;&gt;"","?FAMILIAR",IF(F759="NEW",IF(ISNA(VLOOKUP(E759,#REF!,1,FALSE())),"?TYPE_IDENTIFIABLE","?REFERENTIAL"),"_")))))</f>
        <v/>
      </c>
      <c r="H759" s="23" t="str">
        <f t="shared" ca="1" si="81"/>
        <v/>
      </c>
      <c r="I759" s="24" t="str">
        <f>IF(OR(E759="",E759="!!!",F759="NEW"),"",INDEX(B$2:B758,-1+SUMPRODUCT(MAX(ROW(E$2:E758)*(E759=E$2:E758)))))</f>
        <v/>
      </c>
      <c r="J759" s="24" t="str">
        <f ca="1">IF(OR(E759="",E759="!!!",F759="NEW"),"",COUNTBLANK(OFFSET(A$1,,,SUMPRODUCT(MAX(ROW(E$2:E759)*(E759=E$2:E759)))))-COUNTBLANK(OFFSET(A$1,,,SUMPRODUCT(MAX(ROW(E$1:E758)*(E2=E$1:E758))))))</f>
        <v/>
      </c>
      <c r="K759" s="24" t="str">
        <f>IF(OR(E759="",E759="!!!",F759="NEW"),"",INDEX(J$1:J758,SUMPRODUCT(MAX(ROW(E$1:E758)*(E759=E$1:E758)))))</f>
        <v/>
      </c>
      <c r="L759" s="25"/>
    </row>
    <row r="760" spans="1:12" x14ac:dyDescent="0.3">
      <c r="A760" t="s">
        <v>252</v>
      </c>
      <c r="E760" s="20" t="str">
        <f t="shared" si="80"/>
        <v/>
      </c>
      <c r="F760" s="21" t="str">
        <f>IF(OR(E760="",E760="!!!"),"",IF(NOT(ISNA(VLOOKUP(E760,E$1:E759,1,FALSE()))),"OLD",IF(AND(E760&lt;&gt;"",E760&lt;&gt;"!!!"),"NEW","")))</f>
        <v/>
      </c>
      <c r="G760" s="22" t="str">
        <f>IF(OR(E760="",E760="!!!"),"",IF(OR(J760=0,AND(J760=1,K760=1),AND(J760=1,I760="SBJ"),AND(J760=1,I760=0)),"?IN_FOCUS",IF(J760&lt;=2,"?ACTIVATED",IF(J760&lt;&gt;"","?FAMILIAR",IF(F760="NEW",IF(ISNA(VLOOKUP(E760,#REF!,1,FALSE())),"?TYPE_IDENTIFIABLE","?REFERENTIAL"),"_")))))</f>
        <v/>
      </c>
      <c r="H760" s="23" t="str">
        <f t="shared" ca="1" si="81"/>
        <v/>
      </c>
      <c r="I760" s="24" t="str">
        <f>IF(OR(E760="",E760="!!!",F760="NEW"),"",INDEX(B$2:B759,-1+SUMPRODUCT(MAX(ROW(E$2:E759)*(E760=E$2:E759)))))</f>
        <v/>
      </c>
      <c r="J760" s="24" t="str">
        <f ca="1">IF(OR(E760="",E760="!!!",F760="NEW"),"",COUNTBLANK(OFFSET(A$1,,,SUMPRODUCT(MAX(ROW(E$2:E760)*(E760=E$2:E760)))))-COUNTBLANK(OFFSET(A$1,,,SUMPRODUCT(MAX(ROW(E$1:E759)*(E2=E$1:E759))))))</f>
        <v/>
      </c>
      <c r="K760" s="24" t="str">
        <f>IF(OR(E760="",E760="!!!",F760="NEW"),"",INDEX(J$1:J759,SUMPRODUCT(MAX(ROW(E$1:E759)*(E760=E$1:E759)))))</f>
        <v/>
      </c>
      <c r="L760" s="25"/>
    </row>
    <row r="761" spans="1:12" x14ac:dyDescent="0.3">
      <c r="A761" t="s">
        <v>583</v>
      </c>
      <c r="E761" s="20" t="str">
        <f t="shared" si="80"/>
        <v/>
      </c>
      <c r="F761" s="21" t="str">
        <f>IF(OR(E761="",E761="!!!"),"",IF(NOT(ISNA(VLOOKUP(E761,E$1:E760,1,FALSE()))),"OLD",IF(AND(E761&lt;&gt;"",E761&lt;&gt;"!!!"),"NEW","")))</f>
        <v/>
      </c>
      <c r="G761" s="22" t="str">
        <f>IF(OR(E761="",E761="!!!"),"",IF(OR(J761=0,AND(J761=1,K761=1),AND(J761=1,I761="SBJ"),AND(J761=1,I761=0)),"?IN_FOCUS",IF(J761&lt;=2,"?ACTIVATED",IF(J761&lt;&gt;"","?FAMILIAR",IF(F761="NEW",IF(ISNA(VLOOKUP(E761,#REF!,1,FALSE())),"?TYPE_IDENTIFIABLE","?REFERENTIAL"),"_")))))</f>
        <v/>
      </c>
      <c r="H761" s="23" t="str">
        <f t="shared" ca="1" si="81"/>
        <v/>
      </c>
      <c r="I761" s="24" t="str">
        <f>IF(OR(E761="",E761="!!!",F761="NEW"),"",INDEX(B$2:B760,-1+SUMPRODUCT(MAX(ROW(E$2:E760)*(E761=E$2:E760)))))</f>
        <v/>
      </c>
      <c r="J761" s="24" t="str">
        <f ca="1">IF(OR(E761="",E761="!!!",F761="NEW"),"",COUNTBLANK(OFFSET(A$1,,,SUMPRODUCT(MAX(ROW(E$2:E761)*(E761=E$2:E761)))))-COUNTBLANK(OFFSET(A$1,,,SUMPRODUCT(MAX(ROW(E$1:E760)*(E2=E$1:E760))))))</f>
        <v/>
      </c>
      <c r="K761" s="24" t="str">
        <f>IF(OR(E761="",E761="!!!",F761="NEW"),"",INDEX(J$1:J760,SUMPRODUCT(MAX(ROW(E$1:E760)*(E761=E$1:E760)))))</f>
        <v/>
      </c>
      <c r="L761" s="25"/>
    </row>
    <row r="762" spans="1:12" x14ac:dyDescent="0.3">
      <c r="A762" t="s">
        <v>341</v>
      </c>
      <c r="B762" s="26" t="s">
        <v>265</v>
      </c>
      <c r="C762" s="26" t="s">
        <v>256</v>
      </c>
      <c r="D762" s="26" t="s">
        <v>240</v>
      </c>
      <c r="E762" s="20" t="str">
        <f t="shared" si="80"/>
        <v>!!!</v>
      </c>
      <c r="F762" s="21" t="str">
        <f>IF(OR(E762="",E762="!!!"),"",IF(NOT(ISNA(VLOOKUP(E762,E$1:E761,1,FALSE()))),"OLD",IF(AND(E762&lt;&gt;"",E762&lt;&gt;"!!!"),"NEW","")))</f>
        <v/>
      </c>
      <c r="G762" s="22" t="str">
        <f>IF(OR(E762="",E762="!!!"),"",IF(OR(J762=0,AND(J762=1,K762=1),AND(J762=1,I762="SBJ"),AND(J762=1,I762=0)),"?IN_FOCUS",IF(J762&lt;=2,"?ACTIVATED",IF(J762&lt;&gt;"","?FAMILIAR",IF(F762="NEW",IF(ISNA(VLOOKUP(E762,#REF!,1,FALSE())),"?TYPE_IDENTIFIABLE","?REFERENTIAL"),"_")))))</f>
        <v/>
      </c>
      <c r="H762" s="23" t="str">
        <f t="shared" ca="1" si="81"/>
        <v/>
      </c>
      <c r="I762" s="24" t="str">
        <f>IF(OR(E762="",E762="!!!",F762="NEW"),"",INDEX(B$2:B761,-1+SUMPRODUCT(MAX(ROW(E$2:E761)*(E762=E$2:E761)))))</f>
        <v/>
      </c>
      <c r="J762" s="24" t="str">
        <f ca="1">IF(OR(E762="",E762="!!!",F762="NEW"),"",COUNTBLANK(OFFSET(A$1,,,SUMPRODUCT(MAX(ROW(E$2:E762)*(E762=E$2:E762)))))-COUNTBLANK(OFFSET(A$1,,,SUMPRODUCT(MAX(ROW(E$1:E761)*(E2=E$1:E761))))))</f>
        <v/>
      </c>
      <c r="K762" s="24" t="str">
        <f>IF(OR(E762="",E762="!!!",F762="NEW"),"",INDEX(J$1:J761,SUMPRODUCT(MAX(ROW(E$1:E761)*(E762=E$1:E761)))))</f>
        <v/>
      </c>
      <c r="L762" s="25"/>
    </row>
    <row r="763" spans="1:12" x14ac:dyDescent="0.3">
      <c r="A763" t="s">
        <v>387</v>
      </c>
      <c r="E763" s="20" t="str">
        <f t="shared" si="80"/>
        <v/>
      </c>
      <c r="F763" s="21" t="str">
        <f>IF(OR(E763="",E763="!!!"),"",IF(NOT(ISNA(VLOOKUP(E763,E$1:E762,1,FALSE()))),"OLD",IF(AND(E763&lt;&gt;"",E763&lt;&gt;"!!!"),"NEW","")))</f>
        <v/>
      </c>
      <c r="G763" s="22" t="str">
        <f>IF(OR(E763="",E763="!!!"),"",IF(OR(J763=0,AND(J763=1,K763=1),AND(J763=1,I763="SBJ"),AND(J763=1,I763=0)),"?IN_FOCUS",IF(J763&lt;=2,"?ACTIVATED",IF(J763&lt;&gt;"","?FAMILIAR",IF(F763="NEW",IF(ISNA(VLOOKUP(E763,#REF!,1,FALSE())),"?TYPE_IDENTIFIABLE","?REFERENTIAL"),"_")))))</f>
        <v/>
      </c>
      <c r="H763" s="23" t="str">
        <f t="shared" ca="1" si="81"/>
        <v/>
      </c>
      <c r="I763" s="24" t="str">
        <f>IF(OR(E763="",E763="!!!",F763="NEW"),"",INDEX(B$2:B762,-1+SUMPRODUCT(MAX(ROW(E$2:E762)*(E763=E$2:E762)))))</f>
        <v/>
      </c>
      <c r="J763" s="24" t="str">
        <f ca="1">IF(OR(E763="",E763="!!!",F763="NEW"),"",COUNTBLANK(OFFSET(A$1,,,SUMPRODUCT(MAX(ROW(E$2:E763)*(E763=E$2:E763)))))-COUNTBLANK(OFFSET(A$1,,,SUMPRODUCT(MAX(ROW(E$1:E762)*(E2=E$1:E762))))))</f>
        <v/>
      </c>
      <c r="K763" s="24" t="str">
        <f>IF(OR(E763="",E763="!!!",F763="NEW"),"",INDEX(J$1:J762,SUMPRODUCT(MAX(ROW(E$1:E762)*(E763=E$1:E762)))))</f>
        <v/>
      </c>
      <c r="L763" s="25"/>
    </row>
    <row r="764" spans="1:12" x14ac:dyDescent="0.3">
      <c r="A764" t="s">
        <v>236</v>
      </c>
      <c r="E764" s="20" t="str">
        <f t="shared" si="80"/>
        <v/>
      </c>
      <c r="F764" s="21" t="str">
        <f>IF(OR(E764="",E764="!!!"),"",IF(NOT(ISNA(VLOOKUP(E764,E$1:E763,1,FALSE()))),"OLD",IF(AND(E764&lt;&gt;"",E764&lt;&gt;"!!!"),"NEW","")))</f>
        <v/>
      </c>
      <c r="G764" s="22" t="str">
        <f>IF(OR(E764="",E764="!!!"),"",IF(OR(J764=0,AND(J764=1,K764=1),AND(J764=1,I764="SBJ"),AND(J764=1,I764=0)),"?IN_FOCUS",IF(J764&lt;=2,"?ACTIVATED",IF(J764&lt;&gt;"","?FAMILIAR",IF(F764="NEW",IF(ISNA(VLOOKUP(E764,#REF!,1,FALSE())),"?TYPE_IDENTIFIABLE","?REFERENTIAL"),"_")))))</f>
        <v/>
      </c>
      <c r="H764" s="23" t="str">
        <f t="shared" ca="1" si="81"/>
        <v/>
      </c>
      <c r="I764" s="24" t="str">
        <f>IF(OR(E764="",E764="!!!",F764="NEW"),"",INDEX(B$2:B763,-1+SUMPRODUCT(MAX(ROW(E$2:E763)*(E764=E$2:E763)))))</f>
        <v/>
      </c>
      <c r="J764" s="24" t="str">
        <f ca="1">IF(OR(E764="",E764="!!!",F764="NEW"),"",COUNTBLANK(OFFSET(A$1,,,SUMPRODUCT(MAX(ROW(E$2:E764)*(E764=E$2:E764)))))-COUNTBLANK(OFFSET(A$1,,,SUMPRODUCT(MAX(ROW(E$1:E763)*(E2=E$1:E763))))))</f>
        <v/>
      </c>
      <c r="K764" s="24" t="str">
        <f>IF(OR(E764="",E764="!!!",F764="NEW"),"",INDEX(J$1:J763,SUMPRODUCT(MAX(ROW(E$1:E763)*(E764=E$1:E763)))))</f>
        <v/>
      </c>
      <c r="L764" s="25"/>
    </row>
    <row r="765" spans="1:12" x14ac:dyDescent="0.3">
      <c r="A765" t="s">
        <v>319</v>
      </c>
      <c r="B765" s="26" t="s">
        <v>261</v>
      </c>
      <c r="C765" s="26" t="s">
        <v>239</v>
      </c>
      <c r="D765" s="26" t="s">
        <v>240</v>
      </c>
      <c r="E765" s="20" t="str">
        <f t="shared" si="80"/>
        <v>!!!</v>
      </c>
      <c r="F765" s="21" t="str">
        <f>IF(OR(E765="",E765="!!!"),"",IF(NOT(ISNA(VLOOKUP(E765,E$1:E764,1,FALSE()))),"OLD",IF(AND(E765&lt;&gt;"",E765&lt;&gt;"!!!"),"NEW","")))</f>
        <v/>
      </c>
      <c r="G765" s="22" t="str">
        <f>IF(OR(E765="",E765="!!!"),"",IF(OR(J765=0,AND(J765=1,K765=1),AND(J765=1,I765="SBJ"),AND(J765=1,I765=0)),"?IN_FOCUS",IF(J765&lt;=2,"?ACTIVATED",IF(J765&lt;&gt;"","?FAMILIAR",IF(F765="NEW",IF(ISNA(VLOOKUP(E765,#REF!,1,FALSE())),"?TYPE_IDENTIFIABLE","?REFERENTIAL"),"_")))))</f>
        <v/>
      </c>
      <c r="H765" s="23" t="str">
        <f t="shared" ca="1" si="81"/>
        <v/>
      </c>
      <c r="I765" s="24" t="str">
        <f>IF(OR(E765="",E765="!!!",F765="NEW"),"",INDEX(B$2:B764,-1+SUMPRODUCT(MAX(ROW(E$2:E764)*(E765=E$2:E764)))))</f>
        <v/>
      </c>
      <c r="J765" s="24" t="str">
        <f ca="1">IF(OR(E765="",E765="!!!",F765="NEW"),"",COUNTBLANK(OFFSET(A$1,,,SUMPRODUCT(MAX(ROW(E$2:E765)*(E765=E$2:E765)))))-COUNTBLANK(OFFSET(A$1,,,SUMPRODUCT(MAX(ROW(E$1:E764)*(E2=E$1:E764))))))</f>
        <v/>
      </c>
      <c r="K765" s="24" t="str">
        <f>IF(OR(E765="",E765="!!!",F765="NEW"),"",INDEX(J$1:J764,SUMPRODUCT(MAX(ROW(E$1:E764)*(E765=E$1:E764)))))</f>
        <v/>
      </c>
      <c r="L765" s="25"/>
    </row>
    <row r="766" spans="1:12" x14ac:dyDescent="0.3">
      <c r="A766" t="s">
        <v>252</v>
      </c>
      <c r="E766" s="20" t="str">
        <f t="shared" si="80"/>
        <v/>
      </c>
      <c r="F766" s="21" t="str">
        <f>IF(OR(E766="",E766="!!!"),"",IF(NOT(ISNA(VLOOKUP(E766,E$1:E765,1,FALSE()))),"OLD",IF(AND(E766&lt;&gt;"",E766&lt;&gt;"!!!"),"NEW","")))</f>
        <v/>
      </c>
      <c r="G766" s="22" t="str">
        <f>IF(OR(E766="",E766="!!!"),"",IF(OR(J766=0,AND(J766=1,K766=1),AND(J766=1,I766="SBJ"),AND(J766=1,I766=0)),"?IN_FOCUS",IF(J766&lt;=2,"?ACTIVATED",IF(J766&lt;&gt;"","?FAMILIAR",IF(F766="NEW",IF(ISNA(VLOOKUP(E766,#REF!,1,FALSE())),"?TYPE_IDENTIFIABLE","?REFERENTIAL"),"_")))))</f>
        <v/>
      </c>
      <c r="H766" s="23" t="str">
        <f t="shared" ca="1" si="81"/>
        <v/>
      </c>
      <c r="I766" s="24" t="str">
        <f>IF(OR(E766="",E766="!!!",F766="NEW"),"",INDEX(B$2:B765,-1+SUMPRODUCT(MAX(ROW(E$2:E765)*(E766=E$2:E765)))))</f>
        <v/>
      </c>
      <c r="J766" s="24" t="str">
        <f ca="1">IF(OR(E766="",E766="!!!",F766="NEW"),"",COUNTBLANK(OFFSET(A$1,,,SUMPRODUCT(MAX(ROW(E$2:E766)*(E766=E$2:E766)))))-COUNTBLANK(OFFSET(A$1,,,SUMPRODUCT(MAX(ROW(E$1:E765)*(E2=E$1:E765))))))</f>
        <v/>
      </c>
      <c r="K766" s="24" t="str">
        <f>IF(OR(E766="",E766="!!!",F766="NEW"),"",INDEX(J$1:J765,SUMPRODUCT(MAX(ROW(E$1:E765)*(E766=E$1:E765)))))</f>
        <v/>
      </c>
      <c r="L766" s="25"/>
    </row>
    <row r="767" spans="1:12" x14ac:dyDescent="0.3">
      <c r="A767" t="s">
        <v>603</v>
      </c>
      <c r="E767" s="20" t="str">
        <f t="shared" si="80"/>
        <v/>
      </c>
      <c r="F767" s="21" t="str">
        <f>IF(OR(E767="",E767="!!!"),"",IF(NOT(ISNA(VLOOKUP(E767,E$1:E766,1,FALSE()))),"OLD",IF(AND(E767&lt;&gt;"",E767&lt;&gt;"!!!"),"NEW","")))</f>
        <v/>
      </c>
      <c r="G767" s="22" t="str">
        <f>IF(OR(E767="",E767="!!!"),"",IF(OR(J767=0,AND(J767=1,K767=1),AND(J767=1,I767="SBJ"),AND(J767=1,I767=0)),"?IN_FOCUS",IF(J767&lt;=2,"?ACTIVATED",IF(J767&lt;&gt;"","?FAMILIAR",IF(F767="NEW",IF(ISNA(VLOOKUP(E767,#REF!,1,FALSE())),"?TYPE_IDENTIFIABLE","?REFERENTIAL"),"_")))))</f>
        <v/>
      </c>
      <c r="H767" s="23" t="str">
        <f t="shared" ca="1" si="81"/>
        <v/>
      </c>
      <c r="I767" s="24" t="str">
        <f>IF(OR(E767="",E767="!!!",F767="NEW"),"",INDEX(B$2:B766,-1+SUMPRODUCT(MAX(ROW(E$2:E766)*(E767=E$2:E766)))))</f>
        <v/>
      </c>
      <c r="J767" s="24" t="str">
        <f ca="1">IF(OR(E767="",E767="!!!",F767="NEW"),"",COUNTBLANK(OFFSET(A$1,,,SUMPRODUCT(MAX(ROW(E$2:E767)*(E767=E$2:E767)))))-COUNTBLANK(OFFSET(A$1,,,SUMPRODUCT(MAX(ROW(E$1:E766)*(E2=E$1:E766))))))</f>
        <v/>
      </c>
      <c r="K767" s="24" t="str">
        <f>IF(OR(E767="",E767="!!!",F767="NEW"),"",INDEX(J$1:J766,SUMPRODUCT(MAX(ROW(E$1:E766)*(E767=E$1:E766)))))</f>
        <v/>
      </c>
      <c r="L767" s="25"/>
    </row>
    <row r="768" spans="1:12" x14ac:dyDescent="0.3">
      <c r="A768" t="s">
        <v>393</v>
      </c>
      <c r="E768" s="20" t="str">
        <f t="shared" si="80"/>
        <v/>
      </c>
      <c r="F768" s="21" t="str">
        <f>IF(OR(E768="",E768="!!!"),"",IF(NOT(ISNA(VLOOKUP(E768,E$1:E767,1,FALSE()))),"OLD",IF(AND(E768&lt;&gt;"",E768&lt;&gt;"!!!"),"NEW","")))</f>
        <v/>
      </c>
      <c r="G768" s="22" t="str">
        <f>IF(OR(E768="",E768="!!!"),"",IF(OR(J768=0,AND(J768=1,K768=1),AND(J768=1,I768="SBJ"),AND(J768=1,I768=0)),"?IN_FOCUS",IF(J768&lt;=2,"?ACTIVATED",IF(J768&lt;&gt;"","?FAMILIAR",IF(F768="NEW",IF(ISNA(VLOOKUP(E768,#REF!,1,FALSE())),"?TYPE_IDENTIFIABLE","?REFERENTIAL"),"_")))))</f>
        <v/>
      </c>
      <c r="H768" s="23" t="str">
        <f t="shared" ca="1" si="81"/>
        <v/>
      </c>
      <c r="I768" s="24" t="str">
        <f>IF(OR(E768="",E768="!!!",F768="NEW"),"",INDEX(B$2:B767,-1+SUMPRODUCT(MAX(ROW(E$2:E767)*(E768=E$2:E767)))))</f>
        <v/>
      </c>
      <c r="J768" s="24" t="str">
        <f ca="1">IF(OR(E768="",E768="!!!",F768="NEW"),"",COUNTBLANK(OFFSET(A$1,,,SUMPRODUCT(MAX(ROW(E$2:E768)*(E768=E$2:E768)))))-COUNTBLANK(OFFSET(A$1,,,SUMPRODUCT(MAX(ROW(E$1:E767)*(E2=E$1:E767))))))</f>
        <v/>
      </c>
      <c r="K768" s="24" t="str">
        <f>IF(OR(E768="",E768="!!!",F768="NEW"),"",INDEX(J$1:J767,SUMPRODUCT(MAX(ROW(E$1:E767)*(E768=E$1:E767)))))</f>
        <v/>
      </c>
      <c r="L768" s="25"/>
    </row>
    <row r="769" spans="1:12" x14ac:dyDescent="0.3">
      <c r="A769" t="s">
        <v>590</v>
      </c>
      <c r="B769" s="26" t="s">
        <v>265</v>
      </c>
      <c r="C769" s="26" t="s">
        <v>239</v>
      </c>
      <c r="D769" s="26" t="s">
        <v>240</v>
      </c>
      <c r="E769" s="20" t="str">
        <f t="shared" si="80"/>
        <v>!!!</v>
      </c>
      <c r="F769" s="21" t="str">
        <f>IF(OR(E769="",E769="!!!"),"",IF(NOT(ISNA(VLOOKUP(E769,E$1:E768,1,FALSE()))),"OLD",IF(AND(E769&lt;&gt;"",E769&lt;&gt;"!!!"),"NEW","")))</f>
        <v/>
      </c>
      <c r="G769" s="22" t="str">
        <f>IF(OR(E769="",E769="!!!"),"",IF(OR(J769=0,AND(J769=1,K769=1),AND(J769=1,I769="SBJ"),AND(J769=1,I769=0)),"?IN_FOCUS",IF(J769&lt;=2,"?ACTIVATED",IF(J769&lt;&gt;"","?FAMILIAR",IF(F769="NEW",IF(ISNA(VLOOKUP(E769,#REF!,1,FALSE())),"?TYPE_IDENTIFIABLE","?REFERENTIAL"),"_")))))</f>
        <v/>
      </c>
      <c r="H769" s="23" t="str">
        <f t="shared" ca="1" si="81"/>
        <v/>
      </c>
      <c r="I769" s="24" t="str">
        <f>IF(OR(E769="",E769="!!!",F769="NEW"),"",INDEX(B$2:B768,-1+SUMPRODUCT(MAX(ROW(E$2:E768)*(E769=E$2:E768)))))</f>
        <v/>
      </c>
      <c r="J769" s="24" t="str">
        <f ca="1">IF(OR(E769="",E769="!!!",F769="NEW"),"",COUNTBLANK(OFFSET(A$1,,,SUMPRODUCT(MAX(ROW(E$2:E769)*(E769=E$2:E769)))))-COUNTBLANK(OFFSET(A$1,,,SUMPRODUCT(MAX(ROW(E$1:E768)*(E2=E$1:E768))))))</f>
        <v/>
      </c>
      <c r="K769" s="24" t="str">
        <f>IF(OR(E769="",E769="!!!",F769="NEW"),"",INDEX(J$1:J768,SUMPRODUCT(MAX(ROW(E$1:E768)*(E769=E$1:E768)))))</f>
        <v/>
      </c>
      <c r="L769" s="25"/>
    </row>
    <row r="770" spans="1:12" x14ac:dyDescent="0.3">
      <c r="A770" t="s">
        <v>363</v>
      </c>
      <c r="E770" s="20" t="str">
        <f t="shared" si="80"/>
        <v/>
      </c>
      <c r="F770" s="21" t="str">
        <f>IF(OR(E770="",E770="!!!"),"",IF(NOT(ISNA(VLOOKUP(E770,E$1:E769,1,FALSE()))),"OLD",IF(AND(E770&lt;&gt;"",E770&lt;&gt;"!!!"),"NEW","")))</f>
        <v/>
      </c>
      <c r="G770" s="22" t="str">
        <f>IF(OR(E770="",E770="!!!"),"",IF(OR(J770=0,AND(J770=1,K770=1),AND(J770=1,I770="SBJ"),AND(J770=1,I770=0)),"?IN_FOCUS",IF(J770&lt;=2,"?ACTIVATED",IF(J770&lt;&gt;"","?FAMILIAR",IF(F770="NEW",IF(ISNA(VLOOKUP(E770,#REF!,1,FALSE())),"?TYPE_IDENTIFIABLE","?REFERENTIAL"),"_")))))</f>
        <v/>
      </c>
      <c r="H770" s="23" t="str">
        <f t="shared" ca="1" si="81"/>
        <v/>
      </c>
      <c r="I770" s="24" t="str">
        <f>IF(OR(E770="",E770="!!!",F770="NEW"),"",INDEX(B$2:B769,-1+SUMPRODUCT(MAX(ROW(E$2:E769)*(E770=E$2:E769)))))</f>
        <v/>
      </c>
      <c r="J770" s="24" t="str">
        <f ca="1">IF(OR(E770="",E770="!!!",F770="NEW"),"",COUNTBLANK(OFFSET(A$1,,,SUMPRODUCT(MAX(ROW(E$2:E770)*(E770=E$2:E770)))))-COUNTBLANK(OFFSET(A$1,,,SUMPRODUCT(MAX(ROW(E$1:E769)*(E2=E$1:E769))))))</f>
        <v/>
      </c>
      <c r="K770" s="24" t="str">
        <f>IF(OR(E770="",E770="!!!",F770="NEW"),"",INDEX(J$1:J769,SUMPRODUCT(MAX(ROW(E$1:E769)*(E770=E$1:E769)))))</f>
        <v/>
      </c>
      <c r="L770" s="25"/>
    </row>
    <row r="771" spans="1:12" x14ac:dyDescent="0.3">
      <c r="A771" t="s">
        <v>560</v>
      </c>
      <c r="B771" s="26" t="s">
        <v>272</v>
      </c>
      <c r="C771" s="26" t="s">
        <v>239</v>
      </c>
      <c r="D771" s="26" t="s">
        <v>240</v>
      </c>
      <c r="E771" s="20" t="str">
        <f t="shared" si="80"/>
        <v>!!!</v>
      </c>
      <c r="F771" s="21" t="str">
        <f>IF(OR(E771="",E771="!!!"),"",IF(NOT(ISNA(VLOOKUP(E771,E$1:E770,1,FALSE()))),"OLD",IF(AND(E771&lt;&gt;"",E771&lt;&gt;"!!!"),"NEW","")))</f>
        <v/>
      </c>
      <c r="G771" s="22" t="str">
        <f>IF(OR(E771="",E771="!!!"),"",IF(OR(J771=0,AND(J771=1,K771=1),AND(J771=1,I771="SBJ"),AND(J771=1,I771=0)),"?IN_FOCUS",IF(J771&lt;=2,"?ACTIVATED",IF(J771&lt;&gt;"","?FAMILIAR",IF(F771="NEW",IF(ISNA(VLOOKUP(E771,#REF!,1,FALSE())),"?TYPE_IDENTIFIABLE","?REFERENTIAL"),"_")))))</f>
        <v/>
      </c>
      <c r="H771" s="23" t="str">
        <f t="shared" ca="1" si="81"/>
        <v/>
      </c>
      <c r="I771" s="24" t="str">
        <f>IF(OR(E771="",E771="!!!",F771="NEW"),"",INDEX(B$2:B770,-1+SUMPRODUCT(MAX(ROW(E$2:E770)*(E771=E$2:E770)))))</f>
        <v/>
      </c>
      <c r="J771" s="24" t="str">
        <f ca="1">IF(OR(E771="",E771="!!!",F771="NEW"),"",COUNTBLANK(OFFSET(A$1,,,SUMPRODUCT(MAX(ROW(E$2:E771)*(E771=E$2:E771)))))-COUNTBLANK(OFFSET(A$1,,,SUMPRODUCT(MAX(ROW(E$1:E770)*(E2=E$1:E770))))))</f>
        <v/>
      </c>
      <c r="K771" s="24" t="str">
        <f>IF(OR(E771="",E771="!!!",F771="NEW"),"",INDEX(J$1:J770,SUMPRODUCT(MAX(ROW(E$1:E770)*(E771=E$1:E770)))))</f>
        <v/>
      </c>
      <c r="L771" s="25"/>
    </row>
    <row r="772" spans="1:12" x14ac:dyDescent="0.3">
      <c r="A772" t="s">
        <v>252</v>
      </c>
      <c r="E772" s="20" t="str">
        <f t="shared" si="80"/>
        <v/>
      </c>
      <c r="F772" s="21" t="str">
        <f>IF(OR(E772="",E772="!!!"),"",IF(NOT(ISNA(VLOOKUP(E772,E$1:E771,1,FALSE()))),"OLD",IF(AND(E772&lt;&gt;"",E772&lt;&gt;"!!!"),"NEW","")))</f>
        <v/>
      </c>
      <c r="G772" s="22" t="str">
        <f>IF(OR(E772="",E772="!!!"),"",IF(OR(J772=0,AND(J772=1,K772=1),AND(J772=1,I772="SBJ"),AND(J772=1,I772=0)),"?IN_FOCUS",IF(J772&lt;=2,"?ACTIVATED",IF(J772&lt;&gt;"","?FAMILIAR",IF(F772="NEW",IF(ISNA(VLOOKUP(E772,#REF!,1,FALSE())),"?TYPE_IDENTIFIABLE","?REFERENTIAL"),"_")))))</f>
        <v/>
      </c>
      <c r="H772" s="23" t="str">
        <f t="shared" ca="1" si="81"/>
        <v/>
      </c>
      <c r="I772" s="24" t="str">
        <f>IF(OR(E772="",E772="!!!",F772="NEW"),"",INDEX(B$2:B771,-1+SUMPRODUCT(MAX(ROW(E$2:E771)*(E772=E$2:E771)))))</f>
        <v/>
      </c>
      <c r="J772" s="24" t="str">
        <f ca="1">IF(OR(E772="",E772="!!!",F772="NEW"),"",COUNTBLANK(OFFSET(A$1,,,SUMPRODUCT(MAX(ROW(E$2:E772)*(E772=E$2:E772)))))-COUNTBLANK(OFFSET(A$1,,,SUMPRODUCT(MAX(ROW(E$1:E771)*(E2=E$1:E771))))))</f>
        <v/>
      </c>
      <c r="K772" s="24" t="str">
        <f>IF(OR(E772="",E772="!!!",F772="NEW"),"",INDEX(J$1:J771,SUMPRODUCT(MAX(ROW(E$1:E771)*(E772=E$1:E771)))))</f>
        <v/>
      </c>
      <c r="L772" s="25"/>
    </row>
    <row r="773" spans="1:12" x14ac:dyDescent="0.3">
      <c r="A773" t="s">
        <v>602</v>
      </c>
      <c r="E773" s="20" t="str">
        <f t="shared" si="80"/>
        <v/>
      </c>
      <c r="F773" s="21" t="str">
        <f>IF(OR(E773="",E773="!!!"),"",IF(NOT(ISNA(VLOOKUP(E773,E$1:E772,1,FALSE()))),"OLD",IF(AND(E773&lt;&gt;"",E773&lt;&gt;"!!!"),"NEW","")))</f>
        <v/>
      </c>
      <c r="G773" s="22" t="str">
        <f>IF(OR(E773="",E773="!!!"),"",IF(OR(J773=0,AND(J773=1,K773=1),AND(J773=1,I773="SBJ"),AND(J773=1,I773=0)),"?IN_FOCUS",IF(J773&lt;=2,"?ACTIVATED",IF(J773&lt;&gt;"","?FAMILIAR",IF(F773="NEW",IF(ISNA(VLOOKUP(E773,#REF!,1,FALSE())),"?TYPE_IDENTIFIABLE","?REFERENTIAL"),"_")))))</f>
        <v/>
      </c>
      <c r="H773" s="23" t="str">
        <f t="shared" ca="1" si="81"/>
        <v/>
      </c>
      <c r="I773" s="24" t="str">
        <f>IF(OR(E773="",E773="!!!",F773="NEW"),"",INDEX(B$2:B772,-1+SUMPRODUCT(MAX(ROW(E$2:E772)*(E773=E$2:E772)))))</f>
        <v/>
      </c>
      <c r="J773" s="24" t="str">
        <f ca="1">IF(OR(E773="",E773="!!!",F773="NEW"),"",COUNTBLANK(OFFSET(A$1,,,SUMPRODUCT(MAX(ROW(E$2:E773)*(E773=E$2:E773)))))-COUNTBLANK(OFFSET(A$1,,,SUMPRODUCT(MAX(ROW(E$1:E772)*(E2=E$1:E772))))))</f>
        <v/>
      </c>
      <c r="K773" s="24" t="str">
        <f>IF(OR(E773="",E773="!!!",F773="NEW"),"",INDEX(J$1:J772,SUMPRODUCT(MAX(ROW(E$1:E772)*(E773=E$1:E772)))))</f>
        <v/>
      </c>
      <c r="L773" s="25"/>
    </row>
    <row r="774" spans="1:12" x14ac:dyDescent="0.3">
      <c r="A774" t="s">
        <v>263</v>
      </c>
      <c r="E774" s="20" t="str">
        <f t="shared" si="80"/>
        <v/>
      </c>
      <c r="F774" s="21" t="str">
        <f>IF(OR(E774="",E774="!!!"),"",IF(NOT(ISNA(VLOOKUP(E774,E$1:E773,1,FALSE()))),"OLD",IF(AND(E774&lt;&gt;"",E774&lt;&gt;"!!!"),"NEW","")))</f>
        <v/>
      </c>
      <c r="G774" s="22" t="str">
        <f>IF(OR(E774="",E774="!!!"),"",IF(OR(J774=0,AND(J774=1,K774=1),AND(J774=1,I774="SBJ"),AND(J774=1,I774=0)),"?IN_FOCUS",IF(J774&lt;=2,"?ACTIVATED",IF(J774&lt;&gt;"","?FAMILIAR",IF(F774="NEW",IF(ISNA(VLOOKUP(E774,#REF!,1,FALSE())),"?TYPE_IDENTIFIABLE","?REFERENTIAL"),"_")))))</f>
        <v/>
      </c>
      <c r="H774" s="23" t="str">
        <f t="shared" ca="1" si="81"/>
        <v/>
      </c>
      <c r="I774" s="24" t="str">
        <f>IF(OR(E774="",E774="!!!",F774="NEW"),"",INDEX(B$2:B773,-1+SUMPRODUCT(MAX(ROW(E$2:E773)*(E774=E$2:E773)))))</f>
        <v/>
      </c>
      <c r="J774" s="24" t="str">
        <f ca="1">IF(OR(E774="",E774="!!!",F774="NEW"),"",COUNTBLANK(OFFSET(A$1,,,SUMPRODUCT(MAX(ROW(E$2:E774)*(E774=E$2:E774)))))-COUNTBLANK(OFFSET(A$1,,,SUMPRODUCT(MAX(ROW(E$1:E773)*(E2=E$1:E773))))))</f>
        <v/>
      </c>
      <c r="K774" s="24" t="str">
        <f>IF(OR(E774="",E774="!!!",F774="NEW"),"",INDEX(J$1:J773,SUMPRODUCT(MAX(ROW(E$1:E773)*(E774=E$1:E773)))))</f>
        <v/>
      </c>
      <c r="L774" s="25"/>
    </row>
    <row r="775" spans="1:12" x14ac:dyDescent="0.3">
      <c r="A775" t="s">
        <v>264</v>
      </c>
      <c r="B775" s="26" t="s">
        <v>265</v>
      </c>
      <c r="C775" s="26" t="s">
        <v>262</v>
      </c>
      <c r="E775" s="20" t="str">
        <f t="shared" si="80"/>
        <v/>
      </c>
      <c r="F775" s="21" t="str">
        <f>IF(OR(E775="",E775="!!!"),"",IF(NOT(ISNA(VLOOKUP(E775,E$1:E774,1,FALSE()))),"OLD",IF(AND(E775&lt;&gt;"",E775&lt;&gt;"!!!"),"NEW","")))</f>
        <v/>
      </c>
      <c r="G775" s="22" t="str">
        <f>IF(OR(E775="",E775="!!!"),"",IF(OR(J775=0,AND(J775=1,K775=1),AND(J775=1,I775="SBJ"),AND(J775=1,I775=0)),"?IN_FOCUS",IF(J775&lt;=2,"?ACTIVATED",IF(J775&lt;&gt;"","?FAMILIAR",IF(F775="NEW",IF(ISNA(VLOOKUP(E775,#REF!,1,FALSE())),"?TYPE_IDENTIFIABLE","?REFERENTIAL"),"_")))))</f>
        <v/>
      </c>
      <c r="H775" s="23" t="str">
        <f t="shared" ca="1" si="81"/>
        <v/>
      </c>
      <c r="I775" s="24" t="str">
        <f>IF(OR(E775="",E775="!!!",F775="NEW"),"",INDEX(B$2:B774,-1+SUMPRODUCT(MAX(ROW(E$2:E774)*(E775=E$2:E774)))))</f>
        <v/>
      </c>
      <c r="J775" s="24" t="str">
        <f ca="1">IF(OR(E775="",E775="!!!",F775="NEW"),"",COUNTBLANK(OFFSET(A$1,,,SUMPRODUCT(MAX(ROW(E$2:E775)*(E775=E$2:E775)))))-COUNTBLANK(OFFSET(A$1,,,SUMPRODUCT(MAX(ROW(E$1:E774)*(E2=E$1:E774))))))</f>
        <v/>
      </c>
      <c r="K775" s="24" t="str">
        <f>IF(OR(E775="",E775="!!!",F775="NEW"),"",INDEX(J$1:J774,SUMPRODUCT(MAX(ROW(E$1:E774)*(E775=E$1:E774)))))</f>
        <v/>
      </c>
      <c r="L775" s="25"/>
    </row>
    <row r="776" spans="1:12" x14ac:dyDescent="0.3">
      <c r="A776" t="s">
        <v>257</v>
      </c>
      <c r="E776" s="20" t="str">
        <f t="shared" si="80"/>
        <v/>
      </c>
      <c r="F776" s="21" t="str">
        <f>IF(OR(E776="",E776="!!!"),"",IF(NOT(ISNA(VLOOKUP(E776,E$1:E775,1,FALSE()))),"OLD",IF(AND(E776&lt;&gt;"",E776&lt;&gt;"!!!"),"NEW","")))</f>
        <v/>
      </c>
      <c r="G776" s="22" t="str">
        <f>IF(OR(E776="",E776="!!!"),"",IF(OR(J776=0,AND(J776=1,K776=1),AND(J776=1,I776="SBJ"),AND(J776=1,I776=0)),"?IN_FOCUS",IF(J776&lt;=2,"?ACTIVATED",IF(J776&lt;&gt;"","?FAMILIAR",IF(F776="NEW",IF(ISNA(VLOOKUP(E776,#REF!,1,FALSE())),"?TYPE_IDENTIFIABLE","?REFERENTIAL"),"_")))))</f>
        <v/>
      </c>
      <c r="H776" s="23" t="str">
        <f t="shared" ca="1" si="81"/>
        <v/>
      </c>
      <c r="I776" s="24" t="str">
        <f>IF(OR(E776="",E776="!!!",F776="NEW"),"",INDEX(B$2:B775,-1+SUMPRODUCT(MAX(ROW(E$2:E775)*(E776=E$2:E775)))))</f>
        <v/>
      </c>
      <c r="J776" s="24" t="str">
        <f ca="1">IF(OR(E776="",E776="!!!",F776="NEW"),"",COUNTBLANK(OFFSET(A$1,,,SUMPRODUCT(MAX(ROW(E$2:E776)*(E776=E$2:E776)))))-COUNTBLANK(OFFSET(A$1,,,SUMPRODUCT(MAX(ROW(E$1:E775)*(E2=E$1:E775))))))</f>
        <v/>
      </c>
      <c r="K776" s="24" t="str">
        <f>IF(OR(E776="",E776="!!!",F776="NEW"),"",INDEX(J$1:J775,SUMPRODUCT(MAX(ROW(E$1:E775)*(E776=E$1:E775)))))</f>
        <v/>
      </c>
      <c r="L776" s="25"/>
    </row>
    <row r="777" spans="1:12" x14ac:dyDescent="0.3">
      <c r="A777" t="s">
        <v>393</v>
      </c>
      <c r="E777" s="20" t="str">
        <f t="shared" si="80"/>
        <v/>
      </c>
      <c r="F777" s="21" t="str">
        <f>IF(OR(E777="",E777="!!!"),"",IF(NOT(ISNA(VLOOKUP(E777,E$1:E776,1,FALSE()))),"OLD",IF(AND(E777&lt;&gt;"",E777&lt;&gt;"!!!"),"NEW","")))</f>
        <v/>
      </c>
      <c r="G777" s="22" t="str">
        <f>IF(OR(E777="",E777="!!!"),"",IF(OR(J777=0,AND(J777=1,K777=1),AND(J777=1,I777="SBJ"),AND(J777=1,I777=0)),"?IN_FOCUS",IF(J777&lt;=2,"?ACTIVATED",IF(J777&lt;&gt;"","?FAMILIAR",IF(F777="NEW",IF(ISNA(VLOOKUP(E777,#REF!,1,FALSE())),"?TYPE_IDENTIFIABLE","?REFERENTIAL"),"_")))))</f>
        <v/>
      </c>
      <c r="H777" s="23" t="str">
        <f t="shared" ca="1" si="81"/>
        <v/>
      </c>
      <c r="I777" s="24" t="str">
        <f>IF(OR(E777="",E777="!!!",F777="NEW"),"",INDEX(B$2:B776,-1+SUMPRODUCT(MAX(ROW(E$2:E776)*(E777=E$2:E776)))))</f>
        <v/>
      </c>
      <c r="J777" s="24" t="str">
        <f ca="1">IF(OR(E777="",E777="!!!",F777="NEW"),"",COUNTBLANK(OFFSET(A$1,,,SUMPRODUCT(MAX(ROW(E$2:E777)*(E777=E$2:E777)))))-COUNTBLANK(OFFSET(A$1,,,SUMPRODUCT(MAX(ROW(E$1:E776)*(E2=E$1:E776))))))</f>
        <v/>
      </c>
      <c r="K777" s="24" t="str">
        <f>IF(OR(E777="",E777="!!!",F777="NEW"),"",INDEX(J$1:J776,SUMPRODUCT(MAX(ROW(E$1:E776)*(E777=E$1:E776)))))</f>
        <v/>
      </c>
      <c r="L777" s="25"/>
    </row>
    <row r="778" spans="1:12" x14ac:dyDescent="0.3">
      <c r="A778" t="s">
        <v>431</v>
      </c>
      <c r="E778" s="20" t="str">
        <f t="shared" si="80"/>
        <v/>
      </c>
      <c r="F778" s="21" t="str">
        <f>IF(OR(E778="",E778="!!!"),"",IF(NOT(ISNA(VLOOKUP(E778,E$1:E777,1,FALSE()))),"OLD",IF(AND(E778&lt;&gt;"",E778&lt;&gt;"!!!"),"NEW","")))</f>
        <v/>
      </c>
      <c r="G778" s="22" t="str">
        <f>IF(OR(E778="",E778="!!!"),"",IF(OR(J778=0,AND(J778=1,K778=1),AND(J778=1,I778="SBJ"),AND(J778=1,I778=0)),"?IN_FOCUS",IF(J778&lt;=2,"?ACTIVATED",IF(J778&lt;&gt;"","?FAMILIAR",IF(F778="NEW",IF(ISNA(VLOOKUP(E778,#REF!,1,FALSE())),"?TYPE_IDENTIFIABLE","?REFERENTIAL"),"_")))))</f>
        <v/>
      </c>
      <c r="H778" s="23" t="str">
        <f t="shared" ca="1" si="81"/>
        <v/>
      </c>
      <c r="I778" s="24" t="str">
        <f>IF(OR(E778="",E778="!!!",F778="NEW"),"",INDEX(B$2:B777,-1+SUMPRODUCT(MAX(ROW(E$2:E777)*(E778=E$2:E777)))))</f>
        <v/>
      </c>
      <c r="J778" s="24" t="str">
        <f ca="1">IF(OR(E778="",E778="!!!",F778="NEW"),"",COUNTBLANK(OFFSET(A$1,,,SUMPRODUCT(MAX(ROW(E$2:E778)*(E778=E$2:E778)))))-COUNTBLANK(OFFSET(A$1,,,SUMPRODUCT(MAX(ROW(E$1:E777)*(E2=E$1:E777))))))</f>
        <v/>
      </c>
      <c r="K778" s="24" t="str">
        <f>IF(OR(E778="",E778="!!!",F778="NEW"),"",INDEX(J$1:J777,SUMPRODUCT(MAX(ROW(E$1:E777)*(E778=E$1:E777)))))</f>
        <v/>
      </c>
      <c r="L778" s="25"/>
    </row>
    <row r="779" spans="1:12" x14ac:dyDescent="0.3">
      <c r="A779" t="s">
        <v>604</v>
      </c>
      <c r="E779" s="20" t="str">
        <f t="shared" si="80"/>
        <v/>
      </c>
      <c r="F779" s="21" t="str">
        <f>IF(OR(E779="",E779="!!!"),"",IF(NOT(ISNA(VLOOKUP(E779,E$1:E778,1,FALSE()))),"OLD",IF(AND(E779&lt;&gt;"",E779&lt;&gt;"!!!"),"NEW","")))</f>
        <v/>
      </c>
      <c r="G779" s="22" t="str">
        <f>IF(OR(E779="",E779="!!!"),"",IF(OR(J779=0,AND(J779=1,K779=1),AND(J779=1,I779="SBJ"),AND(J779=1,I779=0)),"?IN_FOCUS",IF(J779&lt;=2,"?ACTIVATED",IF(J779&lt;&gt;"","?FAMILIAR",IF(F779="NEW",IF(ISNA(VLOOKUP(E779,#REF!,1,FALSE())),"?TYPE_IDENTIFIABLE","?REFERENTIAL"),"_")))))</f>
        <v/>
      </c>
      <c r="H779" s="23" t="str">
        <f t="shared" ca="1" si="81"/>
        <v/>
      </c>
      <c r="I779" s="24" t="str">
        <f>IF(OR(E779="",E779="!!!",F779="NEW"),"",INDEX(B$2:B778,-1+SUMPRODUCT(MAX(ROW(E$2:E778)*(E779=E$2:E778)))))</f>
        <v/>
      </c>
      <c r="J779" s="24" t="str">
        <f ca="1">IF(OR(E779="",E779="!!!",F779="NEW"),"",COUNTBLANK(OFFSET(A$1,,,SUMPRODUCT(MAX(ROW(E$2:E779)*(E779=E$2:E779)))))-COUNTBLANK(OFFSET(A$1,,,SUMPRODUCT(MAX(ROW(E$1:E778)*(E2=E$1:E778))))))</f>
        <v/>
      </c>
      <c r="K779" s="24" t="str">
        <f>IF(OR(E779="",E779="!!!",F779="NEW"),"",INDEX(J$1:J778,SUMPRODUCT(MAX(ROW(E$1:E778)*(E779=E$1:E778)))))</f>
        <v/>
      </c>
      <c r="L779" s="25"/>
    </row>
    <row r="780" spans="1:12" x14ac:dyDescent="0.3">
      <c r="A780" t="s">
        <v>581</v>
      </c>
      <c r="B780" s="26" t="s">
        <v>261</v>
      </c>
      <c r="C780" s="26" t="s">
        <v>239</v>
      </c>
      <c r="D780" s="26" t="s">
        <v>240</v>
      </c>
      <c r="E780" s="20" t="str">
        <f t="shared" si="80"/>
        <v>!!!</v>
      </c>
      <c r="F780" s="21" t="str">
        <f>IF(OR(E780="",E780="!!!"),"",IF(NOT(ISNA(VLOOKUP(E780,E$1:E779,1,FALSE()))),"OLD",IF(AND(E780&lt;&gt;"",E780&lt;&gt;"!!!"),"NEW","")))</f>
        <v/>
      </c>
      <c r="G780" s="22" t="str">
        <f>IF(OR(E780="",E780="!!!"),"",IF(OR(J780=0,AND(J780=1,K780=1),AND(J780=1,I780="SBJ"),AND(J780=1,I780=0)),"?IN_FOCUS",IF(J780&lt;=2,"?ACTIVATED",IF(J780&lt;&gt;"","?FAMILIAR",IF(F780="NEW",IF(ISNA(VLOOKUP(E780,#REF!,1,FALSE())),"?TYPE_IDENTIFIABLE","?REFERENTIAL"),"_")))))</f>
        <v/>
      </c>
      <c r="H780" s="23" t="str">
        <f t="shared" ca="1" si="81"/>
        <v/>
      </c>
      <c r="I780" s="24" t="str">
        <f>IF(OR(E780="",E780="!!!",F780="NEW"),"",INDEX(B$2:B779,-1+SUMPRODUCT(MAX(ROW(E$2:E779)*(E780=E$2:E779)))))</f>
        <v/>
      </c>
      <c r="J780" s="24" t="str">
        <f ca="1">IF(OR(E780="",E780="!!!",F780="NEW"),"",COUNTBLANK(OFFSET(A$1,,,SUMPRODUCT(MAX(ROW(E$2:E780)*(E780=E$2:E780)))))-COUNTBLANK(OFFSET(A$1,,,SUMPRODUCT(MAX(ROW(E$1:E779)*(E2=E$1:E779))))))</f>
        <v/>
      </c>
      <c r="K780" s="24" t="str">
        <f>IF(OR(E780="",E780="!!!",F780="NEW"),"",INDEX(J$1:J779,SUMPRODUCT(MAX(ROW(E$1:E779)*(E780=E$1:E779)))))</f>
        <v/>
      </c>
      <c r="L780" s="25"/>
    </row>
    <row r="781" spans="1:12" x14ac:dyDescent="0.3">
      <c r="A781" t="s">
        <v>278</v>
      </c>
      <c r="E781" s="20" t="str">
        <f t="shared" si="80"/>
        <v/>
      </c>
      <c r="F781" s="21" t="str">
        <f>IF(OR(E781="",E781="!!!"),"",IF(NOT(ISNA(VLOOKUP(E781,E$1:E780,1,FALSE()))),"OLD",IF(AND(E781&lt;&gt;"",E781&lt;&gt;"!!!"),"NEW","")))</f>
        <v/>
      </c>
      <c r="G781" s="22" t="str">
        <f>IF(OR(E781="",E781="!!!"),"",IF(OR(J781=0,AND(J781=1,K781=1),AND(J781=1,I781="SBJ"),AND(J781=1,I781=0)),"?IN_FOCUS",IF(J781&lt;=2,"?ACTIVATED",IF(J781&lt;&gt;"","?FAMILIAR",IF(F781="NEW",IF(ISNA(VLOOKUP(E781,#REF!,1,FALSE())),"?TYPE_IDENTIFIABLE","?REFERENTIAL"),"_")))))</f>
        <v/>
      </c>
      <c r="H781" s="23" t="str">
        <f t="shared" ca="1" si="81"/>
        <v/>
      </c>
      <c r="I781" s="24" t="str">
        <f>IF(OR(E781="",E781="!!!",F781="NEW"),"",INDEX(B$2:B780,-1+SUMPRODUCT(MAX(ROW(E$2:E780)*(E781=E$2:E780)))))</f>
        <v/>
      </c>
      <c r="J781" s="24" t="str">
        <f ca="1">IF(OR(E781="",E781="!!!",F781="NEW"),"",COUNTBLANK(OFFSET(A$1,,,SUMPRODUCT(MAX(ROW(E$2:E781)*(E781=E$2:E781)))))-COUNTBLANK(OFFSET(A$1,,,SUMPRODUCT(MAX(ROW(E$1:E780)*(E2=E$1:E780))))))</f>
        <v/>
      </c>
      <c r="K781" s="24" t="str">
        <f>IF(OR(E781="",E781="!!!",F781="NEW"),"",INDEX(J$1:J780,SUMPRODUCT(MAX(ROW(E$1:E780)*(E781=E$1:E780)))))</f>
        <v/>
      </c>
      <c r="L781" s="25"/>
    </row>
    <row r="782" spans="1:12" x14ac:dyDescent="0.3">
      <c r="A782" t="s">
        <v>605</v>
      </c>
      <c r="E782" s="20" t="str">
        <f t="shared" si="80"/>
        <v/>
      </c>
      <c r="F782" s="21" t="str">
        <f>IF(OR(E782="",E782="!!!"),"",IF(NOT(ISNA(VLOOKUP(E782,E$1:E781,1,FALSE()))),"OLD",IF(AND(E782&lt;&gt;"",E782&lt;&gt;"!!!"),"NEW","")))</f>
        <v/>
      </c>
      <c r="G782" s="22" t="str">
        <f>IF(OR(E782="",E782="!!!"),"",IF(OR(J782=0,AND(J782=1,K782=1),AND(J782=1,I782="SBJ"),AND(J782=1,I782=0)),"?IN_FOCUS",IF(J782&lt;=2,"?ACTIVATED",IF(J782&lt;&gt;"","?FAMILIAR",IF(F782="NEW",IF(ISNA(VLOOKUP(E782,#REF!,1,FALSE())),"?TYPE_IDENTIFIABLE","?REFERENTIAL"),"_")))))</f>
        <v/>
      </c>
      <c r="H782" s="23" t="str">
        <f t="shared" ca="1" si="81"/>
        <v/>
      </c>
      <c r="I782" s="24" t="str">
        <f>IF(OR(E782="",E782="!!!",F782="NEW"),"",INDEX(B$2:B781,-1+SUMPRODUCT(MAX(ROW(E$2:E781)*(E782=E$2:E781)))))</f>
        <v/>
      </c>
      <c r="J782" s="24" t="str">
        <f ca="1">IF(OR(E782="",E782="!!!",F782="NEW"),"",COUNTBLANK(OFFSET(A$1,,,SUMPRODUCT(MAX(ROW(E$2:E782)*(E782=E$2:E782)))))-COUNTBLANK(OFFSET(A$1,,,SUMPRODUCT(MAX(ROW(E$1:E781)*(E2=E$1:E781))))))</f>
        <v/>
      </c>
      <c r="K782" s="24" t="str">
        <f>IF(OR(E782="",E782="!!!",F782="NEW"),"",INDEX(J$1:J781,SUMPRODUCT(MAX(ROW(E$1:E781)*(E782=E$1:E781)))))</f>
        <v/>
      </c>
      <c r="L782" s="25"/>
    </row>
    <row r="783" spans="1:12" x14ac:dyDescent="0.3">
      <c r="A783" t="s">
        <v>606</v>
      </c>
      <c r="B783" s="26" t="s">
        <v>261</v>
      </c>
      <c r="C783" s="26" t="s">
        <v>294</v>
      </c>
      <c r="D783" s="26" t="s">
        <v>240</v>
      </c>
      <c r="E783" s="20" t="str">
        <f t="shared" si="80"/>
        <v>!!!</v>
      </c>
      <c r="F783" s="21" t="str">
        <f>IF(OR(E783="",E783="!!!"),"",IF(NOT(ISNA(VLOOKUP(E783,E$1:E782,1,FALSE()))),"OLD",IF(AND(E783&lt;&gt;"",E783&lt;&gt;"!!!"),"NEW","")))</f>
        <v/>
      </c>
      <c r="G783" s="22" t="str">
        <f>IF(OR(E783="",E783="!!!"),"",IF(OR(J783=0,AND(J783=1,K783=1),AND(J783=1,I783="SBJ"),AND(J783=1,I783=0)),"?IN_FOCUS",IF(J783&lt;=2,"?ACTIVATED",IF(J783&lt;&gt;"","?FAMILIAR",IF(F783="NEW",IF(ISNA(VLOOKUP(E783,#REF!,1,FALSE())),"?TYPE_IDENTIFIABLE","?REFERENTIAL"),"_")))))</f>
        <v/>
      </c>
      <c r="H783" s="23" t="str">
        <f t="shared" ca="1" si="81"/>
        <v/>
      </c>
      <c r="I783" s="24" t="str">
        <f>IF(OR(E783="",E783="!!!",F783="NEW"),"",INDEX(B$2:B782,-1+SUMPRODUCT(MAX(ROW(E$2:E782)*(E783=E$2:E782)))))</f>
        <v/>
      </c>
      <c r="J783" s="24" t="str">
        <f ca="1">IF(OR(E783="",E783="!!!",F783="NEW"),"",COUNTBLANK(OFFSET(A$1,,,SUMPRODUCT(MAX(ROW(E$2:E783)*(E783=E$2:E783)))))-COUNTBLANK(OFFSET(A$1,,,SUMPRODUCT(MAX(ROW(E$1:E782)*(E2=E$1:E782))))))</f>
        <v/>
      </c>
      <c r="K783" s="24" t="str">
        <f>IF(OR(E783="",E783="!!!",F783="NEW"),"",INDEX(J$1:J782,SUMPRODUCT(MAX(ROW(E$1:E782)*(E783=E$1:E782)))))</f>
        <v/>
      </c>
      <c r="L783" s="25"/>
    </row>
    <row r="784" spans="1:12" x14ac:dyDescent="0.3">
      <c r="A784" t="s">
        <v>434</v>
      </c>
      <c r="E784" s="20" t="str">
        <f t="shared" si="80"/>
        <v/>
      </c>
      <c r="F784" s="21" t="str">
        <f>IF(OR(E784="",E784="!!!"),"",IF(NOT(ISNA(VLOOKUP(E784,E$1:E783,1,FALSE()))),"OLD",IF(AND(E784&lt;&gt;"",E784&lt;&gt;"!!!"),"NEW","")))</f>
        <v/>
      </c>
      <c r="G784" s="22" t="str">
        <f>IF(OR(E784="",E784="!!!"),"",IF(OR(J784=0,AND(J784=1,K784=1),AND(J784=1,I784="SBJ"),AND(J784=1,I784=0)),"?IN_FOCUS",IF(J784&lt;=2,"?ACTIVATED",IF(J784&lt;&gt;"","?FAMILIAR",IF(F784="NEW",IF(ISNA(VLOOKUP(E784,#REF!,1,FALSE())),"?TYPE_IDENTIFIABLE","?REFERENTIAL"),"_")))))</f>
        <v/>
      </c>
      <c r="H784" s="23" t="str">
        <f t="shared" ca="1" si="81"/>
        <v/>
      </c>
      <c r="I784" s="24" t="str">
        <f>IF(OR(E784="",E784="!!!",F784="NEW"),"",INDEX(B$2:B783,-1+SUMPRODUCT(MAX(ROW(E$2:E783)*(E784=E$2:E783)))))</f>
        <v/>
      </c>
      <c r="J784" s="24" t="str">
        <f ca="1">IF(OR(E784="",E784="!!!",F784="NEW"),"",COUNTBLANK(OFFSET(A$1,,,SUMPRODUCT(MAX(ROW(E$2:E784)*(E784=E$2:E784)))))-COUNTBLANK(OFFSET(A$1,,,SUMPRODUCT(MAX(ROW(E$1:E783)*(E2=E$1:E783))))))</f>
        <v/>
      </c>
      <c r="K784" s="24" t="str">
        <f>IF(OR(E784="",E784="!!!",F784="NEW"),"",INDEX(J$1:J783,SUMPRODUCT(MAX(ROW(E$1:E783)*(E784=E$1:E783)))))</f>
        <v/>
      </c>
      <c r="L784" s="25"/>
    </row>
    <row r="785" spans="1:12" x14ac:dyDescent="0.3">
      <c r="A785" t="s">
        <v>605</v>
      </c>
      <c r="E785" s="20" t="str">
        <f t="shared" si="80"/>
        <v/>
      </c>
      <c r="F785" s="21" t="str">
        <f>IF(OR(E785="",E785="!!!"),"",IF(NOT(ISNA(VLOOKUP(E785,E$1:E784,1,FALSE()))),"OLD",IF(AND(E785&lt;&gt;"",E785&lt;&gt;"!!!"),"NEW","")))</f>
        <v/>
      </c>
      <c r="G785" s="22" t="str">
        <f>IF(OR(E785="",E785="!!!"),"",IF(OR(J785=0,AND(J785=1,K785=1),AND(J785=1,I785="SBJ"),AND(J785=1,I785=0)),"?IN_FOCUS",IF(J785&lt;=2,"?ACTIVATED",IF(J785&lt;&gt;"","?FAMILIAR",IF(F785="NEW",IF(ISNA(VLOOKUP(E785,#REF!,1,FALSE())),"?TYPE_IDENTIFIABLE","?REFERENTIAL"),"_")))))</f>
        <v/>
      </c>
      <c r="H785" s="23" t="str">
        <f t="shared" ca="1" si="81"/>
        <v/>
      </c>
      <c r="I785" s="24" t="str">
        <f>IF(OR(E785="",E785="!!!",F785="NEW"),"",INDEX(B$2:B784,-1+SUMPRODUCT(MAX(ROW(E$2:E784)*(E785=E$2:E784)))))</f>
        <v/>
      </c>
      <c r="J785" s="24" t="str">
        <f ca="1">IF(OR(E785="",E785="!!!",F785="NEW"),"",COUNTBLANK(OFFSET(A$1,,,SUMPRODUCT(MAX(ROW(E$2:E785)*(E785=E$2:E785)))))-COUNTBLANK(OFFSET(A$1,,,SUMPRODUCT(MAX(ROW(E$1:E784)*(E2=E$1:E784))))))</f>
        <v/>
      </c>
      <c r="K785" s="24" t="str">
        <f>IF(OR(E785="",E785="!!!",F785="NEW"),"",INDEX(J$1:J784,SUMPRODUCT(MAX(ROW(E$1:E784)*(E785=E$1:E784)))))</f>
        <v/>
      </c>
      <c r="L785" s="25"/>
    </row>
    <row r="786" spans="1:12" x14ac:dyDescent="0.3">
      <c r="A786" t="s">
        <v>11</v>
      </c>
      <c r="E786" s="20" t="str">
        <f t="shared" si="80"/>
        <v/>
      </c>
      <c r="F786" s="21" t="str">
        <f>IF(OR(E786="",E786="!!!"),"",IF(NOT(ISNA(VLOOKUP(E786,E$1:E785,1,FALSE()))),"OLD",IF(AND(E786&lt;&gt;"",E786&lt;&gt;"!!!"),"NEW","")))</f>
        <v/>
      </c>
      <c r="G786" s="22" t="str">
        <f>IF(OR(E786="",E786="!!!"),"",IF(OR(J786=0,AND(J786=1,K786=1),AND(J786=1,I786="SBJ"),AND(J786=1,I786=0)),"?IN_FOCUS",IF(J786&lt;=2,"?ACTIVATED",IF(J786&lt;&gt;"","?FAMILIAR",IF(F786="NEW",IF(ISNA(VLOOKUP(E786,#REF!,1,FALSE())),"?TYPE_IDENTIFIABLE","?REFERENTIAL"),"_")))))</f>
        <v/>
      </c>
      <c r="H786" s="23" t="str">
        <f t="shared" ca="1" si="81"/>
        <v/>
      </c>
      <c r="I786" s="24" t="str">
        <f>IF(OR(E786="",E786="!!!",F786="NEW"),"",INDEX(B$2:B785,-1+SUMPRODUCT(MAX(ROW(E$2:E785)*(E786=E$2:E785)))))</f>
        <v/>
      </c>
      <c r="J786" s="24" t="str">
        <f ca="1">IF(OR(E786="",E786="!!!",F786="NEW"),"",COUNTBLANK(OFFSET(A$1,,,SUMPRODUCT(MAX(ROW(E$2:E786)*(E786=E$2:E786)))))-COUNTBLANK(OFFSET(A$1,,,SUMPRODUCT(MAX(ROW(E$1:E785)*(E2=E$1:E785))))))</f>
        <v/>
      </c>
      <c r="K786" s="24" t="str">
        <f>IF(OR(E786="",E786="!!!",F786="NEW"),"",INDEX(J$1:J785,SUMPRODUCT(MAX(ROW(E$1:E785)*(E786=E$1:E785)))))</f>
        <v/>
      </c>
      <c r="L786" s="25"/>
    </row>
    <row r="787" spans="1:12" x14ac:dyDescent="0.3">
      <c r="A787" t="s">
        <v>254</v>
      </c>
      <c r="B787" s="26" t="s">
        <v>255</v>
      </c>
      <c r="C787" s="26" t="s">
        <v>256</v>
      </c>
      <c r="D787" s="26" t="s">
        <v>240</v>
      </c>
      <c r="E787" s="20" t="str">
        <f t="shared" si="80"/>
        <v>!!!</v>
      </c>
      <c r="F787" s="21" t="str">
        <f>IF(OR(E787="",E787="!!!"),"",IF(NOT(ISNA(VLOOKUP(E787,E$1:E786,1,FALSE()))),"OLD",IF(AND(E787&lt;&gt;"",E787&lt;&gt;"!!!"),"NEW","")))</f>
        <v/>
      </c>
      <c r="G787" s="22" t="str">
        <f>IF(OR(E787="",E787="!!!"),"",IF(OR(J787=0,AND(J787=1,K787=1),AND(J787=1,I787="SBJ"),AND(J787=1,I787=0)),"?IN_FOCUS",IF(J787&lt;=2,"?ACTIVATED",IF(J787&lt;&gt;"","?FAMILIAR",IF(F787="NEW",IF(ISNA(VLOOKUP(E787,#REF!,1,FALSE())),"?TYPE_IDENTIFIABLE","?REFERENTIAL"),"_")))))</f>
        <v/>
      </c>
      <c r="H787" s="23" t="str">
        <f t="shared" ca="1" si="81"/>
        <v/>
      </c>
      <c r="I787" s="24" t="str">
        <f>IF(OR(E787="",E787="!!!",F787="NEW"),"",INDEX(B$2:B786,-1+SUMPRODUCT(MAX(ROW(E$2:E786)*(E787=E$2:E786)))))</f>
        <v/>
      </c>
      <c r="J787" s="24" t="str">
        <f ca="1">IF(OR(E787="",E787="!!!",F787="NEW"),"",COUNTBLANK(OFFSET(A$1,,,SUMPRODUCT(MAX(ROW(E$2:E787)*(E787=E$2:E787)))))-COUNTBLANK(OFFSET(A$1,,,SUMPRODUCT(MAX(ROW(E$1:E786)*(E2=E$1:E786))))))</f>
        <v/>
      </c>
      <c r="K787" s="24" t="str">
        <f>IF(OR(E787="",E787="!!!",F787="NEW"),"",INDEX(J$1:J786,SUMPRODUCT(MAX(ROW(E$1:E786)*(E787=E$1:E786)))))</f>
        <v/>
      </c>
      <c r="L787" s="25"/>
    </row>
    <row r="788" spans="1:12" x14ac:dyDescent="0.3">
      <c r="A788" t="s">
        <v>401</v>
      </c>
      <c r="E788" s="20" t="str">
        <f t="shared" si="80"/>
        <v/>
      </c>
      <c r="F788" s="21" t="str">
        <f>IF(OR(E788="",E788="!!!"),"",IF(NOT(ISNA(VLOOKUP(E788,E$1:E787,1,FALSE()))),"OLD",IF(AND(E788&lt;&gt;"",E788&lt;&gt;"!!!"),"NEW","")))</f>
        <v/>
      </c>
      <c r="G788" s="22" t="str">
        <f>IF(OR(E788="",E788="!!!"),"",IF(OR(J788=0,AND(J788=1,K788=1),AND(J788=1,I788="SBJ"),AND(J788=1,I788=0)),"?IN_FOCUS",IF(J788&lt;=2,"?ACTIVATED",IF(J788&lt;&gt;"","?FAMILIAR",IF(F788="NEW",IF(ISNA(VLOOKUP(E788,#REF!,1,FALSE())),"?TYPE_IDENTIFIABLE","?REFERENTIAL"),"_")))))</f>
        <v/>
      </c>
      <c r="H788" s="23" t="str">
        <f t="shared" ca="1" si="81"/>
        <v/>
      </c>
      <c r="I788" s="24" t="str">
        <f>IF(OR(E788="",E788="!!!",F788="NEW"),"",INDEX(B$2:B787,-1+SUMPRODUCT(MAX(ROW(E$2:E787)*(E788=E$2:E787)))))</f>
        <v/>
      </c>
      <c r="J788" s="24" t="str">
        <f ca="1">IF(OR(E788="",E788="!!!",F788="NEW"),"",COUNTBLANK(OFFSET(A$1,,,SUMPRODUCT(MAX(ROW(E$2:E788)*(E788=E$2:E788)))))-COUNTBLANK(OFFSET(A$1,,,SUMPRODUCT(MAX(ROW(E$1:E787)*(E2=E$1:E787))))))</f>
        <v/>
      </c>
      <c r="K788" s="24" t="str">
        <f>IF(OR(E788="",E788="!!!",F788="NEW"),"",INDEX(J$1:J787,SUMPRODUCT(MAX(ROW(E$1:E787)*(E788=E$1:E787)))))</f>
        <v/>
      </c>
      <c r="L788" s="25"/>
    </row>
    <row r="789" spans="1:12" x14ac:dyDescent="0.3">
      <c r="A789" t="s">
        <v>246</v>
      </c>
      <c r="B789" s="26" t="s">
        <v>265</v>
      </c>
      <c r="C789" s="26" t="s">
        <v>247</v>
      </c>
      <c r="E789" s="20" t="str">
        <f t="shared" si="80"/>
        <v/>
      </c>
      <c r="F789" s="21" t="str">
        <f>IF(OR(E789="",E789="!!!"),"",IF(NOT(ISNA(VLOOKUP(E789,E$1:E788,1,FALSE()))),"OLD",IF(AND(E789&lt;&gt;"",E789&lt;&gt;"!!!"),"NEW","")))</f>
        <v/>
      </c>
      <c r="G789" s="22" t="str">
        <f>IF(OR(E789="",E789="!!!"),"",IF(OR(J789=0,AND(J789=1,K789=1),AND(J789=1,I789="SBJ"),AND(J789=1,I789=0)),"?IN_FOCUS",IF(J789&lt;=2,"?ACTIVATED",IF(J789&lt;&gt;"","?FAMILIAR",IF(F789="NEW",IF(ISNA(VLOOKUP(E789,#REF!,1,FALSE())),"?TYPE_IDENTIFIABLE","?REFERENTIAL"),"_")))))</f>
        <v/>
      </c>
      <c r="H789" s="23" t="str">
        <f t="shared" ca="1" si="81"/>
        <v/>
      </c>
      <c r="I789" s="24" t="str">
        <f>IF(OR(E789="",E789="!!!",F789="NEW"),"",INDEX(B$2:B788,-1+SUMPRODUCT(MAX(ROW(E$2:E788)*(E789=E$2:E788)))))</f>
        <v/>
      </c>
      <c r="J789" s="24" t="str">
        <f ca="1">IF(OR(E789="",E789="!!!",F789="NEW"),"",COUNTBLANK(OFFSET(A$1,,,SUMPRODUCT(MAX(ROW(E$2:E789)*(E789=E$2:E789)))))-COUNTBLANK(OFFSET(A$1,,,SUMPRODUCT(MAX(ROW(E$1:E788)*(E2=E$1:E788))))))</f>
        <v/>
      </c>
      <c r="K789" s="24" t="str">
        <f>IF(OR(E789="",E789="!!!",F789="NEW"),"",INDEX(J$1:J788,SUMPRODUCT(MAX(ROW(E$1:E788)*(E789=E$1:E788)))))</f>
        <v/>
      </c>
      <c r="L789" s="25"/>
    </row>
    <row r="790" spans="1:12" x14ac:dyDescent="0.3">
      <c r="A790" t="s">
        <v>248</v>
      </c>
      <c r="E790" s="20" t="str">
        <f t="shared" si="80"/>
        <v/>
      </c>
      <c r="F790" s="21" t="str">
        <f>IF(OR(E790="",E790="!!!"),"",IF(NOT(ISNA(VLOOKUP(E790,E$1:E789,1,FALSE()))),"OLD",IF(AND(E790&lt;&gt;"",E790&lt;&gt;"!!!"),"NEW","")))</f>
        <v/>
      </c>
      <c r="G790" s="22" t="str">
        <f>IF(OR(E790="",E790="!!!"),"",IF(OR(J790=0,AND(J790=1,K790=1),AND(J790=1,I790="SBJ"),AND(J790=1,I790=0)),"?IN_FOCUS",IF(J790&lt;=2,"?ACTIVATED",IF(J790&lt;&gt;"","?FAMILIAR",IF(F790="NEW",IF(ISNA(VLOOKUP(E790,#REF!,1,FALSE())),"?TYPE_IDENTIFIABLE","?REFERENTIAL"),"_")))))</f>
        <v/>
      </c>
      <c r="H790" s="23" t="str">
        <f t="shared" ca="1" si="81"/>
        <v/>
      </c>
      <c r="I790" s="24" t="str">
        <f>IF(OR(E790="",E790="!!!",F790="NEW"),"",INDEX(B$2:B789,-1+SUMPRODUCT(MAX(ROW(E$2:E789)*(E790=E$2:E789)))))</f>
        <v/>
      </c>
      <c r="J790" s="24" t="str">
        <f ca="1">IF(OR(E790="",E790="!!!",F790="NEW"),"",COUNTBLANK(OFFSET(A$1,,,SUMPRODUCT(MAX(ROW(E$2:E790)*(E790=E$2:E790)))))-COUNTBLANK(OFFSET(A$1,,,SUMPRODUCT(MAX(ROW(E$1:E789)*(E2=E$1:E789))))))</f>
        <v/>
      </c>
      <c r="K790" s="24" t="str">
        <f>IF(OR(E790="",E790="!!!",F790="NEW"),"",INDEX(J$1:J789,SUMPRODUCT(MAX(ROW(E$1:E789)*(E790=E$1:E789)))))</f>
        <v/>
      </c>
      <c r="L790" s="25"/>
    </row>
    <row r="792" spans="1:12" x14ac:dyDescent="0.3">
      <c r="A792" t="s">
        <v>607</v>
      </c>
    </row>
    <row r="793" spans="1:12" x14ac:dyDescent="0.3">
      <c r="A793" t="s">
        <v>608</v>
      </c>
      <c r="E793" s="20" t="str">
        <f t="shared" ref="E793:E810" si="82">IF(D793="?OLD","!!!","")</f>
        <v/>
      </c>
      <c r="F793" s="21" t="str">
        <f>IF(OR(E793="",E793="!!!"),"",IF(NOT(ISNA(VLOOKUP(E793,E$1:E792,1,FALSE()))),"OLD",IF(AND(E793&lt;&gt;"",E793&lt;&gt;"!!!"),"NEW","")))</f>
        <v/>
      </c>
      <c r="G793" s="22" t="str">
        <f>IF(OR(E793="",E793="!!!"),"",IF(OR(J793=0,AND(J793=1,K793=1),AND(J793=1,I793="SBJ"),AND(J793=1,I793=0)),"?IN_FOCUS",IF(J793&lt;=2,"?ACTIVATED",IF(J793&lt;&gt;"","?FAMILIAR",IF(F793="NEW",IF(ISNA(VLOOKUP(E793,#REF!,1,FALSE())),"?TYPE_IDENTIFIABLE","?REFERENTIAL"),"_")))))</f>
        <v/>
      </c>
      <c r="H793" s="23" t="str">
        <f t="shared" ref="H793:H810" ca="1" si="83">IF(J793&lt;&gt;1,"",IF(I793="SBJ","CB","?"))</f>
        <v/>
      </c>
      <c r="I793" s="24" t="str">
        <f>IF(OR(E793="",E793="!!!",F793="NEW"),"",INDEX(B$2:B792,-1+SUMPRODUCT(MAX(ROW(E$2:E792)*(E793=E$2:E792)))))</f>
        <v/>
      </c>
      <c r="J793" s="24" t="str">
        <f ca="1">IF(OR(E793="",E793="!!!",F793="NEW"),"",COUNTBLANK(OFFSET(A$1,,,SUMPRODUCT(MAX(ROW(E$2:E793)*(E793=E$2:E793)))))-COUNTBLANK(OFFSET(A$1,,,SUMPRODUCT(MAX(ROW(E$1:E792)*(E2=E$1:E792))))))</f>
        <v/>
      </c>
      <c r="K793" s="24" t="str">
        <f>IF(OR(E793="",E793="!!!",F793="NEW"),"",INDEX(J$1:J792,SUMPRODUCT(MAX(ROW(E$1:E792)*(E793=E$1:E792)))))</f>
        <v/>
      </c>
      <c r="L793" s="25"/>
    </row>
    <row r="794" spans="1:12" x14ac:dyDescent="0.3">
      <c r="A794" t="s">
        <v>609</v>
      </c>
      <c r="E794" s="20" t="str">
        <f t="shared" si="82"/>
        <v/>
      </c>
      <c r="F794" s="21" t="str">
        <f>IF(OR(E794="",E794="!!!"),"",IF(NOT(ISNA(VLOOKUP(E794,E$1:E793,1,FALSE()))),"OLD",IF(AND(E794&lt;&gt;"",E794&lt;&gt;"!!!"),"NEW","")))</f>
        <v/>
      </c>
      <c r="G794" s="22" t="str">
        <f>IF(OR(E794="",E794="!!!"),"",IF(OR(J794=0,AND(J794=1,K794=1),AND(J794=1,I794="SBJ"),AND(J794=1,I794=0)),"?IN_FOCUS",IF(J794&lt;=2,"?ACTIVATED",IF(J794&lt;&gt;"","?FAMILIAR",IF(F794="NEW",IF(ISNA(VLOOKUP(E794,#REF!,1,FALSE())),"?TYPE_IDENTIFIABLE","?REFERENTIAL"),"_")))))</f>
        <v/>
      </c>
      <c r="H794" s="23" t="str">
        <f t="shared" ca="1" si="83"/>
        <v/>
      </c>
      <c r="I794" s="24" t="str">
        <f>IF(OR(E794="",E794="!!!",F794="NEW"),"",INDEX(B$2:B793,-1+SUMPRODUCT(MAX(ROW(E$2:E793)*(E794=E$2:E793)))))</f>
        <v/>
      </c>
      <c r="J794" s="24" t="str">
        <f ca="1">IF(OR(E794="",E794="!!!",F794="NEW"),"",COUNTBLANK(OFFSET(A$1,,,SUMPRODUCT(MAX(ROW(E$2:E794)*(E794=E$2:E794)))))-COUNTBLANK(OFFSET(A$1,,,SUMPRODUCT(MAX(ROW(E$1:E793)*(E2=E$1:E793))))))</f>
        <v/>
      </c>
      <c r="K794" s="24" t="str">
        <f>IF(OR(E794="",E794="!!!",F794="NEW"),"",INDEX(J$1:J793,SUMPRODUCT(MAX(ROW(E$1:E793)*(E794=E$1:E793)))))</f>
        <v/>
      </c>
      <c r="L794" s="25"/>
    </row>
    <row r="795" spans="1:12" x14ac:dyDescent="0.3">
      <c r="A795" t="s">
        <v>267</v>
      </c>
      <c r="E795" s="20" t="str">
        <f t="shared" si="82"/>
        <v/>
      </c>
      <c r="F795" s="21" t="str">
        <f>IF(OR(E795="",E795="!!!"),"",IF(NOT(ISNA(VLOOKUP(E795,E$1:E794,1,FALSE()))),"OLD",IF(AND(E795&lt;&gt;"",E795&lt;&gt;"!!!"),"NEW","")))</f>
        <v/>
      </c>
      <c r="G795" s="22" t="str">
        <f>IF(OR(E795="",E795="!!!"),"",IF(OR(J795=0,AND(J795=1,K795=1),AND(J795=1,I795="SBJ"),AND(J795=1,I795=0)),"?IN_FOCUS",IF(J795&lt;=2,"?ACTIVATED",IF(J795&lt;&gt;"","?FAMILIAR",IF(F795="NEW",IF(ISNA(VLOOKUP(E795,#REF!,1,FALSE())),"?TYPE_IDENTIFIABLE","?REFERENTIAL"),"_")))))</f>
        <v/>
      </c>
      <c r="H795" s="23" t="str">
        <f t="shared" ca="1" si="83"/>
        <v/>
      </c>
      <c r="I795" s="24" t="str">
        <f>IF(OR(E795="",E795="!!!",F795="NEW"),"",INDEX(B$2:B794,-1+SUMPRODUCT(MAX(ROW(E$2:E794)*(E795=E$2:E794)))))</f>
        <v/>
      </c>
      <c r="J795" s="24" t="str">
        <f ca="1">IF(OR(E795="",E795="!!!",F795="NEW"),"",COUNTBLANK(OFFSET(A$1,,,SUMPRODUCT(MAX(ROW(E$2:E795)*(E795=E$2:E795)))))-COUNTBLANK(OFFSET(A$1,,,SUMPRODUCT(MAX(ROW(E$1:E794)*(E2=E$1:E794))))))</f>
        <v/>
      </c>
      <c r="K795" s="24" t="str">
        <f>IF(OR(E795="",E795="!!!",F795="NEW"),"",INDEX(J$1:J794,SUMPRODUCT(MAX(ROW(E$1:E794)*(E795=E$1:E794)))))</f>
        <v/>
      </c>
      <c r="L795" s="25"/>
    </row>
    <row r="796" spans="1:12" x14ac:dyDescent="0.3">
      <c r="A796" t="s">
        <v>610</v>
      </c>
      <c r="E796" s="20" t="str">
        <f t="shared" si="82"/>
        <v/>
      </c>
      <c r="F796" s="21" t="str">
        <f>IF(OR(E796="",E796="!!!"),"",IF(NOT(ISNA(VLOOKUP(E796,E$1:E795,1,FALSE()))),"OLD",IF(AND(E796&lt;&gt;"",E796&lt;&gt;"!!!"),"NEW","")))</f>
        <v/>
      </c>
      <c r="G796" s="22" t="str">
        <f>IF(OR(E796="",E796="!!!"),"",IF(OR(J796=0,AND(J796=1,K796=1),AND(J796=1,I796="SBJ"),AND(J796=1,I796=0)),"?IN_FOCUS",IF(J796&lt;=2,"?ACTIVATED",IF(J796&lt;&gt;"","?FAMILIAR",IF(F796="NEW",IF(ISNA(VLOOKUP(E796,#REF!,1,FALSE())),"?TYPE_IDENTIFIABLE","?REFERENTIAL"),"_")))))</f>
        <v/>
      </c>
      <c r="H796" s="23" t="str">
        <f t="shared" ca="1" si="83"/>
        <v/>
      </c>
      <c r="I796" s="24" t="str">
        <f>IF(OR(E796="",E796="!!!",F796="NEW"),"",INDEX(B$2:B795,-1+SUMPRODUCT(MAX(ROW(E$2:E795)*(E796=E$2:E795)))))</f>
        <v/>
      </c>
      <c r="J796" s="24" t="str">
        <f ca="1">IF(OR(E796="",E796="!!!",F796="NEW"),"",COUNTBLANK(OFFSET(A$1,,,SUMPRODUCT(MAX(ROW(E$2:E796)*(E796=E$2:E796)))))-COUNTBLANK(OFFSET(A$1,,,SUMPRODUCT(MAX(ROW(E$1:E795)*(E2=E$1:E795))))))</f>
        <v/>
      </c>
      <c r="K796" s="24" t="str">
        <f>IF(OR(E796="",E796="!!!",F796="NEW"),"",INDEX(J$1:J795,SUMPRODUCT(MAX(ROW(E$1:E795)*(E796=E$1:E795)))))</f>
        <v/>
      </c>
      <c r="L796" s="25"/>
    </row>
    <row r="797" spans="1:12" x14ac:dyDescent="0.3">
      <c r="A797" t="s">
        <v>431</v>
      </c>
      <c r="E797" s="20" t="str">
        <f t="shared" si="82"/>
        <v/>
      </c>
      <c r="F797" s="21" t="str">
        <f>IF(OR(E797="",E797="!!!"),"",IF(NOT(ISNA(VLOOKUP(E797,E$1:E796,1,FALSE()))),"OLD",IF(AND(E797&lt;&gt;"",E797&lt;&gt;"!!!"),"NEW","")))</f>
        <v/>
      </c>
      <c r="G797" s="22" t="str">
        <f>IF(OR(E797="",E797="!!!"),"",IF(OR(J797=0,AND(J797=1,K797=1),AND(J797=1,I797="SBJ"),AND(J797=1,I797=0)),"?IN_FOCUS",IF(J797&lt;=2,"?ACTIVATED",IF(J797&lt;&gt;"","?FAMILIAR",IF(F797="NEW",IF(ISNA(VLOOKUP(E797,#REF!,1,FALSE())),"?TYPE_IDENTIFIABLE","?REFERENTIAL"),"_")))))</f>
        <v/>
      </c>
      <c r="H797" s="23" t="str">
        <f t="shared" ca="1" si="83"/>
        <v/>
      </c>
      <c r="I797" s="24" t="str">
        <f>IF(OR(E797="",E797="!!!",F797="NEW"),"",INDEX(B$2:B796,-1+SUMPRODUCT(MAX(ROW(E$2:E796)*(E797=E$2:E796)))))</f>
        <v/>
      </c>
      <c r="J797" s="24" t="str">
        <f ca="1">IF(OR(E797="",E797="!!!",F797="NEW"),"",COUNTBLANK(OFFSET(A$1,,,SUMPRODUCT(MAX(ROW(E$2:E797)*(E797=E$2:E797)))))-COUNTBLANK(OFFSET(A$1,,,SUMPRODUCT(MAX(ROW(E$1:E796)*(E2=E$1:E796))))))</f>
        <v/>
      </c>
      <c r="K797" s="24" t="str">
        <f>IF(OR(E797="",E797="!!!",F797="NEW"),"",INDEX(J$1:J796,SUMPRODUCT(MAX(ROW(E$1:E796)*(E797=E$1:E796)))))</f>
        <v/>
      </c>
      <c r="L797" s="25"/>
    </row>
    <row r="798" spans="1:12" x14ac:dyDescent="0.3">
      <c r="A798" t="s">
        <v>551</v>
      </c>
      <c r="E798" s="20" t="str">
        <f t="shared" si="82"/>
        <v/>
      </c>
      <c r="F798" s="21" t="str">
        <f>IF(OR(E798="",E798="!!!"),"",IF(NOT(ISNA(VLOOKUP(E798,E$1:E797,1,FALSE()))),"OLD",IF(AND(E798&lt;&gt;"",E798&lt;&gt;"!!!"),"NEW","")))</f>
        <v/>
      </c>
      <c r="G798" s="22" t="str">
        <f>IF(OR(E798="",E798="!!!"),"",IF(OR(J798=0,AND(J798=1,K798=1),AND(J798=1,I798="SBJ"),AND(J798=1,I798=0)),"?IN_FOCUS",IF(J798&lt;=2,"?ACTIVATED",IF(J798&lt;&gt;"","?FAMILIAR",IF(F798="NEW",IF(ISNA(VLOOKUP(E798,#REF!,1,FALSE())),"?TYPE_IDENTIFIABLE","?REFERENTIAL"),"_")))))</f>
        <v/>
      </c>
      <c r="H798" s="23" t="str">
        <f t="shared" ca="1" si="83"/>
        <v/>
      </c>
      <c r="I798" s="24" t="str">
        <f>IF(OR(E798="",E798="!!!",F798="NEW"),"",INDEX(B$2:B797,-1+SUMPRODUCT(MAX(ROW(E$2:E797)*(E798=E$2:E797)))))</f>
        <v/>
      </c>
      <c r="J798" s="24" t="str">
        <f ca="1">IF(OR(E798="",E798="!!!",F798="NEW"),"",COUNTBLANK(OFFSET(A$1,,,SUMPRODUCT(MAX(ROW(E$2:E798)*(E798=E$2:E798)))))-COUNTBLANK(OFFSET(A$1,,,SUMPRODUCT(MAX(ROW(E$1:E797)*(E2=E$1:E797))))))</f>
        <v/>
      </c>
      <c r="K798" s="24" t="str">
        <f>IF(OR(E798="",E798="!!!",F798="NEW"),"",INDEX(J$1:J797,SUMPRODUCT(MAX(ROW(E$1:E797)*(E798=E$1:E797)))))</f>
        <v/>
      </c>
      <c r="L798" s="25"/>
    </row>
    <row r="799" spans="1:12" x14ac:dyDescent="0.3">
      <c r="A799" t="s">
        <v>611</v>
      </c>
      <c r="E799" s="20" t="str">
        <f t="shared" si="82"/>
        <v/>
      </c>
      <c r="F799" s="21" t="str">
        <f>IF(OR(E799="",E799="!!!"),"",IF(NOT(ISNA(VLOOKUP(E799,E$1:E798,1,FALSE()))),"OLD",IF(AND(E799&lt;&gt;"",E799&lt;&gt;"!!!"),"NEW","")))</f>
        <v/>
      </c>
      <c r="G799" s="22" t="str">
        <f>IF(OR(E799="",E799="!!!"),"",IF(OR(J799=0,AND(J799=1,K799=1),AND(J799=1,I799="SBJ"),AND(J799=1,I799=0)),"?IN_FOCUS",IF(J799&lt;=2,"?ACTIVATED",IF(J799&lt;&gt;"","?FAMILIAR",IF(F799="NEW",IF(ISNA(VLOOKUP(E799,#REF!,1,FALSE())),"?TYPE_IDENTIFIABLE","?REFERENTIAL"),"_")))))</f>
        <v/>
      </c>
      <c r="H799" s="23" t="str">
        <f t="shared" ca="1" si="83"/>
        <v/>
      </c>
      <c r="I799" s="24" t="str">
        <f>IF(OR(E799="",E799="!!!",F799="NEW"),"",INDEX(B$2:B798,-1+SUMPRODUCT(MAX(ROW(E$2:E798)*(E799=E$2:E798)))))</f>
        <v/>
      </c>
      <c r="J799" s="24" t="str">
        <f ca="1">IF(OR(E799="",E799="!!!",F799="NEW"),"",COUNTBLANK(OFFSET(A$1,,,SUMPRODUCT(MAX(ROW(E$2:E799)*(E799=E$2:E799)))))-COUNTBLANK(OFFSET(A$1,,,SUMPRODUCT(MAX(ROW(E$1:E798)*(E2=E$1:E798))))))</f>
        <v/>
      </c>
      <c r="K799" s="24" t="str">
        <f>IF(OR(E799="",E799="!!!",F799="NEW"),"",INDEX(J$1:J798,SUMPRODUCT(MAX(ROW(E$1:E798)*(E799=E$1:E798)))))</f>
        <v/>
      </c>
      <c r="L799" s="25"/>
    </row>
    <row r="800" spans="1:12" x14ac:dyDescent="0.3">
      <c r="A800" t="s">
        <v>347</v>
      </c>
      <c r="E800" s="20" t="str">
        <f t="shared" si="82"/>
        <v/>
      </c>
      <c r="F800" s="21" t="str">
        <f>IF(OR(E800="",E800="!!!"),"",IF(NOT(ISNA(VLOOKUP(E800,E$1:E799,1,FALSE()))),"OLD",IF(AND(E800&lt;&gt;"",E800&lt;&gt;"!!!"),"NEW","")))</f>
        <v/>
      </c>
      <c r="G800" s="22" t="str">
        <f>IF(OR(E800="",E800="!!!"),"",IF(OR(J800=0,AND(J800=1,K800=1),AND(J800=1,I800="SBJ"),AND(J800=1,I800=0)),"?IN_FOCUS",IF(J800&lt;=2,"?ACTIVATED",IF(J800&lt;&gt;"","?FAMILIAR",IF(F800="NEW",IF(ISNA(VLOOKUP(E800,#REF!,1,FALSE())),"?TYPE_IDENTIFIABLE","?REFERENTIAL"),"_")))))</f>
        <v/>
      </c>
      <c r="H800" s="23" t="str">
        <f t="shared" ca="1" si="83"/>
        <v/>
      </c>
      <c r="I800" s="24" t="str">
        <f>IF(OR(E800="",E800="!!!",F800="NEW"),"",INDEX(B$2:B799,-1+SUMPRODUCT(MAX(ROW(E$2:E799)*(E800=E$2:E799)))))</f>
        <v/>
      </c>
      <c r="J800" s="24" t="str">
        <f ca="1">IF(OR(E800="",E800="!!!",F800="NEW"),"",COUNTBLANK(OFFSET(A$1,,,SUMPRODUCT(MAX(ROW(E$2:E800)*(E800=E$2:E800)))))-COUNTBLANK(OFFSET(A$1,,,SUMPRODUCT(MAX(ROW(E$1:E799)*(E2=E$1:E799))))))</f>
        <v/>
      </c>
      <c r="K800" s="24" t="str">
        <f>IF(OR(E800="",E800="!!!",F800="NEW"),"",INDEX(J$1:J799,SUMPRODUCT(MAX(ROW(E$1:E799)*(E800=E$1:E799)))))</f>
        <v/>
      </c>
      <c r="L800" s="25"/>
    </row>
    <row r="801" spans="1:12" x14ac:dyDescent="0.3">
      <c r="A801" t="s">
        <v>303</v>
      </c>
      <c r="E801" s="20" t="str">
        <f t="shared" si="82"/>
        <v/>
      </c>
      <c r="F801" s="21" t="str">
        <f>IF(OR(E801="",E801="!!!"),"",IF(NOT(ISNA(VLOOKUP(E801,E$1:E800,1,FALSE()))),"OLD",IF(AND(E801&lt;&gt;"",E801&lt;&gt;"!!!"),"NEW","")))</f>
        <v/>
      </c>
      <c r="G801" s="22" t="str">
        <f>IF(OR(E801="",E801="!!!"),"",IF(OR(J801=0,AND(J801=1,K801=1),AND(J801=1,I801="SBJ"),AND(J801=1,I801=0)),"?IN_FOCUS",IF(J801&lt;=2,"?ACTIVATED",IF(J801&lt;&gt;"","?FAMILIAR",IF(F801="NEW",IF(ISNA(VLOOKUP(E801,#REF!,1,FALSE())),"?TYPE_IDENTIFIABLE","?REFERENTIAL"),"_")))))</f>
        <v/>
      </c>
      <c r="H801" s="23" t="str">
        <f t="shared" ca="1" si="83"/>
        <v/>
      </c>
      <c r="I801" s="24" t="str">
        <f>IF(OR(E801="",E801="!!!",F801="NEW"),"",INDEX(B$2:B800,-1+SUMPRODUCT(MAX(ROW(E$2:E800)*(E801=E$2:E800)))))</f>
        <v/>
      </c>
      <c r="J801" s="24" t="str">
        <f ca="1">IF(OR(E801="",E801="!!!",F801="NEW"),"",COUNTBLANK(OFFSET(A$1,,,SUMPRODUCT(MAX(ROW(E$2:E801)*(E801=E$2:E801)))))-COUNTBLANK(OFFSET(A$1,,,SUMPRODUCT(MAX(ROW(E$1:E800)*(E2=E$1:E800))))))</f>
        <v/>
      </c>
      <c r="K801" s="24" t="str">
        <f>IF(OR(E801="",E801="!!!",F801="NEW"),"",INDEX(J$1:J800,SUMPRODUCT(MAX(ROW(E$1:E800)*(E801=E$1:E800)))))</f>
        <v/>
      </c>
      <c r="L801" s="25"/>
    </row>
    <row r="802" spans="1:12" x14ac:dyDescent="0.3">
      <c r="A802" t="s">
        <v>484</v>
      </c>
      <c r="E802" s="20" t="str">
        <f t="shared" si="82"/>
        <v/>
      </c>
      <c r="F802" s="21" t="str">
        <f>IF(OR(E802="",E802="!!!"),"",IF(NOT(ISNA(VLOOKUP(E802,E$1:E801,1,FALSE()))),"OLD",IF(AND(E802&lt;&gt;"",E802&lt;&gt;"!!!"),"NEW","")))</f>
        <v/>
      </c>
      <c r="G802" s="22" t="str">
        <f>IF(OR(E802="",E802="!!!"),"",IF(OR(J802=0,AND(J802=1,K802=1),AND(J802=1,I802="SBJ"),AND(J802=1,I802=0)),"?IN_FOCUS",IF(J802&lt;=2,"?ACTIVATED",IF(J802&lt;&gt;"","?FAMILIAR",IF(F802="NEW",IF(ISNA(VLOOKUP(E802,#REF!,1,FALSE())),"?TYPE_IDENTIFIABLE","?REFERENTIAL"),"_")))))</f>
        <v/>
      </c>
      <c r="H802" s="23" t="str">
        <f t="shared" ca="1" si="83"/>
        <v/>
      </c>
      <c r="I802" s="24" t="str">
        <f>IF(OR(E802="",E802="!!!",F802="NEW"),"",INDEX(B$2:B801,-1+SUMPRODUCT(MAX(ROW(E$2:E801)*(E802=E$2:E801)))))</f>
        <v/>
      </c>
      <c r="J802" s="24" t="str">
        <f ca="1">IF(OR(E802="",E802="!!!",F802="NEW"),"",COUNTBLANK(OFFSET(A$1,,,SUMPRODUCT(MAX(ROW(E$2:E802)*(E802=E$2:E802)))))-COUNTBLANK(OFFSET(A$1,,,SUMPRODUCT(MAX(ROW(E$1:E801)*(E2=E$1:E801))))))</f>
        <v/>
      </c>
      <c r="K802" s="24" t="str">
        <f>IF(OR(E802="",E802="!!!",F802="NEW"),"",INDEX(J$1:J801,SUMPRODUCT(MAX(ROW(E$1:E801)*(E802=E$1:E801)))))</f>
        <v/>
      </c>
      <c r="L802" s="25"/>
    </row>
    <row r="803" spans="1:12" x14ac:dyDescent="0.3">
      <c r="A803" t="s">
        <v>601</v>
      </c>
      <c r="B803" s="26" t="s">
        <v>238</v>
      </c>
      <c r="C803" s="26" t="s">
        <v>239</v>
      </c>
      <c r="D803" s="26" t="s">
        <v>240</v>
      </c>
      <c r="E803" s="20" t="str">
        <f t="shared" si="82"/>
        <v>!!!</v>
      </c>
      <c r="F803" s="21" t="str">
        <f>IF(OR(E803="",E803="!!!"),"",IF(NOT(ISNA(VLOOKUP(E803,E$1:E802,1,FALSE()))),"OLD",IF(AND(E803&lt;&gt;"",E803&lt;&gt;"!!!"),"NEW","")))</f>
        <v/>
      </c>
      <c r="G803" s="22" t="str">
        <f>IF(OR(E803="",E803="!!!"),"",IF(OR(J803=0,AND(J803=1,K803=1),AND(J803=1,I803="SBJ"),AND(J803=1,I803=0)),"?IN_FOCUS",IF(J803&lt;=2,"?ACTIVATED",IF(J803&lt;&gt;"","?FAMILIAR",IF(F803="NEW",IF(ISNA(VLOOKUP(E803,#REF!,1,FALSE())),"?TYPE_IDENTIFIABLE","?REFERENTIAL"),"_")))))</f>
        <v/>
      </c>
      <c r="H803" s="23" t="str">
        <f t="shared" ca="1" si="83"/>
        <v/>
      </c>
      <c r="I803" s="24" t="str">
        <f>IF(OR(E803="",E803="!!!",F803="NEW"),"",INDEX(B$2:B802,-1+SUMPRODUCT(MAX(ROW(E$2:E802)*(E803=E$2:E802)))))</f>
        <v/>
      </c>
      <c r="J803" s="24" t="str">
        <f ca="1">IF(OR(E803="",E803="!!!",F803="NEW"),"",COUNTBLANK(OFFSET(A$1,,,SUMPRODUCT(MAX(ROW(E$2:E803)*(E803=E$2:E803)))))-COUNTBLANK(OFFSET(A$1,,,SUMPRODUCT(MAX(ROW(E$1:E802)*(E2=E$1:E802))))))</f>
        <v/>
      </c>
      <c r="K803" s="24" t="str">
        <f>IF(OR(E803="",E803="!!!",F803="NEW"),"",INDEX(J$1:J802,SUMPRODUCT(MAX(ROW(E$1:E802)*(E803=E$1:E802)))))</f>
        <v/>
      </c>
      <c r="L803" s="25"/>
    </row>
    <row r="804" spans="1:12" x14ac:dyDescent="0.3">
      <c r="A804" t="s">
        <v>11</v>
      </c>
      <c r="E804" s="20" t="str">
        <f t="shared" si="82"/>
        <v/>
      </c>
      <c r="F804" s="21" t="str">
        <f>IF(OR(E804="",E804="!!!"),"",IF(NOT(ISNA(VLOOKUP(E804,E$1:E803,1,FALSE()))),"OLD",IF(AND(E804&lt;&gt;"",E804&lt;&gt;"!!!"),"NEW","")))</f>
        <v/>
      </c>
      <c r="G804" s="22" t="str">
        <f>IF(OR(E804="",E804="!!!"),"",IF(OR(J804=0,AND(J804=1,K804=1),AND(J804=1,I804="SBJ"),AND(J804=1,I804=0)),"?IN_FOCUS",IF(J804&lt;=2,"?ACTIVATED",IF(J804&lt;&gt;"","?FAMILIAR",IF(F804="NEW",IF(ISNA(VLOOKUP(E804,#REF!,1,FALSE())),"?TYPE_IDENTIFIABLE","?REFERENTIAL"),"_")))))</f>
        <v/>
      </c>
      <c r="H804" s="23" t="str">
        <f t="shared" ca="1" si="83"/>
        <v/>
      </c>
      <c r="I804" s="24" t="str">
        <f>IF(OR(E804="",E804="!!!",F804="NEW"),"",INDEX(B$2:B803,-1+SUMPRODUCT(MAX(ROW(E$2:E803)*(E804=E$2:E803)))))</f>
        <v/>
      </c>
      <c r="J804" s="24" t="str">
        <f ca="1">IF(OR(E804="",E804="!!!",F804="NEW"),"",COUNTBLANK(OFFSET(A$1,,,SUMPRODUCT(MAX(ROW(E$2:E804)*(E804=E$2:E804)))))-COUNTBLANK(OFFSET(A$1,,,SUMPRODUCT(MAX(ROW(E$1:E803)*(E2=E$1:E803))))))</f>
        <v/>
      </c>
      <c r="K804" s="24" t="str">
        <f>IF(OR(E804="",E804="!!!",F804="NEW"),"",INDEX(J$1:J803,SUMPRODUCT(MAX(ROW(E$1:E803)*(E804=E$1:E803)))))</f>
        <v/>
      </c>
      <c r="L804" s="25"/>
    </row>
    <row r="805" spans="1:12" x14ac:dyDescent="0.3">
      <c r="A805" t="s">
        <v>278</v>
      </c>
      <c r="E805" s="20" t="str">
        <f t="shared" si="82"/>
        <v/>
      </c>
      <c r="F805" s="21" t="str">
        <f>IF(OR(E805="",E805="!!!"),"",IF(NOT(ISNA(VLOOKUP(E805,E$1:E804,1,FALSE()))),"OLD",IF(AND(E805&lt;&gt;"",E805&lt;&gt;"!!!"),"NEW","")))</f>
        <v/>
      </c>
      <c r="G805" s="22" t="str">
        <f>IF(OR(E805="",E805="!!!"),"",IF(OR(J805=0,AND(J805=1,K805=1),AND(J805=1,I805="SBJ"),AND(J805=1,I805=0)),"?IN_FOCUS",IF(J805&lt;=2,"?ACTIVATED",IF(J805&lt;&gt;"","?FAMILIAR",IF(F805="NEW",IF(ISNA(VLOOKUP(E805,#REF!,1,FALSE())),"?TYPE_IDENTIFIABLE","?REFERENTIAL"),"_")))))</f>
        <v/>
      </c>
      <c r="H805" s="23" t="str">
        <f t="shared" ca="1" si="83"/>
        <v/>
      </c>
      <c r="I805" s="24" t="str">
        <f>IF(OR(E805="",E805="!!!",F805="NEW"),"",INDEX(B$2:B804,-1+SUMPRODUCT(MAX(ROW(E$2:E804)*(E805=E$2:E804)))))</f>
        <v/>
      </c>
      <c r="J805" s="24" t="str">
        <f ca="1">IF(OR(E805="",E805="!!!",F805="NEW"),"",COUNTBLANK(OFFSET(A$1,,,SUMPRODUCT(MAX(ROW(E$2:E805)*(E805=E$2:E805)))))-COUNTBLANK(OFFSET(A$1,,,SUMPRODUCT(MAX(ROW(E$1:E804)*(E2=E$1:E804))))))</f>
        <v/>
      </c>
      <c r="K805" s="24" t="str">
        <f>IF(OR(E805="",E805="!!!",F805="NEW"),"",INDEX(J$1:J804,SUMPRODUCT(MAX(ROW(E$1:E804)*(E805=E$1:E804)))))</f>
        <v/>
      </c>
      <c r="L805" s="25"/>
    </row>
    <row r="806" spans="1:12" x14ac:dyDescent="0.3">
      <c r="A806" t="s">
        <v>242</v>
      </c>
      <c r="E806" s="20" t="str">
        <f t="shared" si="82"/>
        <v/>
      </c>
      <c r="F806" s="21" t="str">
        <f>IF(OR(E806="",E806="!!!"),"",IF(NOT(ISNA(VLOOKUP(E806,E$1:E805,1,FALSE()))),"OLD",IF(AND(E806&lt;&gt;"",E806&lt;&gt;"!!!"),"NEW","")))</f>
        <v/>
      </c>
      <c r="G806" s="22" t="str">
        <f>IF(OR(E806="",E806="!!!"),"",IF(OR(J806=0,AND(J806=1,K806=1),AND(J806=1,I806="SBJ"),AND(J806=1,I806=0)),"?IN_FOCUS",IF(J806&lt;=2,"?ACTIVATED",IF(J806&lt;&gt;"","?FAMILIAR",IF(F806="NEW",IF(ISNA(VLOOKUP(E806,#REF!,1,FALSE())),"?TYPE_IDENTIFIABLE","?REFERENTIAL"),"_")))))</f>
        <v/>
      </c>
      <c r="H806" s="23" t="str">
        <f t="shared" ca="1" si="83"/>
        <v/>
      </c>
      <c r="I806" s="24" t="str">
        <f>IF(OR(E806="",E806="!!!",F806="NEW"),"",INDEX(B$2:B805,-1+SUMPRODUCT(MAX(ROW(E$2:E805)*(E806=E$2:E805)))))</f>
        <v/>
      </c>
      <c r="J806" s="24" t="str">
        <f ca="1">IF(OR(E806="",E806="!!!",F806="NEW"),"",COUNTBLANK(OFFSET(A$1,,,SUMPRODUCT(MAX(ROW(E$2:E806)*(E806=E$2:E806)))))-COUNTBLANK(OFFSET(A$1,,,SUMPRODUCT(MAX(ROW(E$1:E805)*(E2=E$1:E805))))))</f>
        <v/>
      </c>
      <c r="K806" s="24" t="str">
        <f>IF(OR(E806="",E806="!!!",F806="NEW"),"",INDEX(J$1:J805,SUMPRODUCT(MAX(ROW(E$1:E805)*(E806=E$1:E805)))))</f>
        <v/>
      </c>
      <c r="L806" s="25"/>
    </row>
    <row r="807" spans="1:12" x14ac:dyDescent="0.3">
      <c r="A807" t="s">
        <v>379</v>
      </c>
      <c r="E807" s="20" t="str">
        <f t="shared" si="82"/>
        <v/>
      </c>
      <c r="F807" s="21" t="str">
        <f>IF(OR(E807="",E807="!!!"),"",IF(NOT(ISNA(VLOOKUP(E807,E$1:E806,1,FALSE()))),"OLD",IF(AND(E807&lt;&gt;"",E807&lt;&gt;"!!!"),"NEW","")))</f>
        <v/>
      </c>
      <c r="G807" s="22" t="str">
        <f>IF(OR(E807="",E807="!!!"),"",IF(OR(J807=0,AND(J807=1,K807=1),AND(J807=1,I807="SBJ"),AND(J807=1,I807=0)),"?IN_FOCUS",IF(J807&lt;=2,"?ACTIVATED",IF(J807&lt;&gt;"","?FAMILIAR",IF(F807="NEW",IF(ISNA(VLOOKUP(E807,#REF!,1,FALSE())),"?TYPE_IDENTIFIABLE","?REFERENTIAL"),"_")))))</f>
        <v/>
      </c>
      <c r="H807" s="23" t="str">
        <f t="shared" ca="1" si="83"/>
        <v/>
      </c>
      <c r="I807" s="24" t="str">
        <f>IF(OR(E807="",E807="!!!",F807="NEW"),"",INDEX(B$2:B806,-1+SUMPRODUCT(MAX(ROW(E$2:E806)*(E807=E$2:E806)))))</f>
        <v/>
      </c>
      <c r="J807" s="24" t="str">
        <f ca="1">IF(OR(E807="",E807="!!!",F807="NEW"),"",COUNTBLANK(OFFSET(A$1,,,SUMPRODUCT(MAX(ROW(E$2:E807)*(E807=E$2:E807)))))-COUNTBLANK(OFFSET(A$1,,,SUMPRODUCT(MAX(ROW(E$1:E806)*(E2=E$1:E806))))))</f>
        <v/>
      </c>
      <c r="K807" s="24" t="str">
        <f>IF(OR(E807="",E807="!!!",F807="NEW"),"",INDEX(J$1:J806,SUMPRODUCT(MAX(ROW(E$1:E806)*(E807=E$1:E806)))))</f>
        <v/>
      </c>
      <c r="L807" s="25"/>
    </row>
    <row r="808" spans="1:12" x14ac:dyDescent="0.3">
      <c r="A808" t="s">
        <v>441</v>
      </c>
      <c r="B808" s="26" t="s">
        <v>276</v>
      </c>
      <c r="C808" s="26" t="s">
        <v>256</v>
      </c>
      <c r="D808" s="26" t="s">
        <v>240</v>
      </c>
      <c r="E808" s="20" t="str">
        <f t="shared" si="82"/>
        <v>!!!</v>
      </c>
      <c r="F808" s="21" t="str">
        <f>IF(OR(E808="",E808="!!!"),"",IF(NOT(ISNA(VLOOKUP(E808,E$1:E807,1,FALSE()))),"OLD",IF(AND(E808&lt;&gt;"",E808&lt;&gt;"!!!"),"NEW","")))</f>
        <v/>
      </c>
      <c r="G808" s="22" t="str">
        <f>IF(OR(E808="",E808="!!!"),"",IF(OR(J808=0,AND(J808=1,K808=1),AND(J808=1,I808="SBJ"),AND(J808=1,I808=0)),"?IN_FOCUS",IF(J808&lt;=2,"?ACTIVATED",IF(J808&lt;&gt;"","?FAMILIAR",IF(F808="NEW",IF(ISNA(VLOOKUP(E808,#REF!,1,FALSE())),"?TYPE_IDENTIFIABLE","?REFERENTIAL"),"_")))))</f>
        <v/>
      </c>
      <c r="H808" s="23" t="str">
        <f t="shared" ca="1" si="83"/>
        <v/>
      </c>
      <c r="I808" s="24" t="str">
        <f>IF(OR(E808="",E808="!!!",F808="NEW"),"",INDEX(B$2:B807,-1+SUMPRODUCT(MAX(ROW(E$2:E807)*(E808=E$2:E807)))))</f>
        <v/>
      </c>
      <c r="J808" s="24" t="str">
        <f ca="1">IF(OR(E808="",E808="!!!",F808="NEW"),"",COUNTBLANK(OFFSET(A$1,,,SUMPRODUCT(MAX(ROW(E$2:E808)*(E808=E$2:E808)))))-COUNTBLANK(OFFSET(A$1,,,SUMPRODUCT(MAX(ROW(E$1:E807)*(E2=E$1:E807))))))</f>
        <v/>
      </c>
      <c r="K808" s="24" t="str">
        <f>IF(OR(E808="",E808="!!!",F808="NEW"),"",INDEX(J$1:J807,SUMPRODUCT(MAX(ROW(E$1:E807)*(E808=E$1:E807)))))</f>
        <v/>
      </c>
      <c r="L808" s="25"/>
    </row>
    <row r="809" spans="1:12" x14ac:dyDescent="0.3">
      <c r="A809" t="s">
        <v>246</v>
      </c>
      <c r="B809" s="26" t="s">
        <v>285</v>
      </c>
      <c r="C809" s="26" t="s">
        <v>307</v>
      </c>
      <c r="E809" s="20" t="str">
        <f t="shared" si="82"/>
        <v/>
      </c>
      <c r="F809" s="21" t="str">
        <f>IF(OR(E809="",E809="!!!"),"",IF(NOT(ISNA(VLOOKUP(E809,E$1:E808,1,FALSE()))),"OLD",IF(AND(E809&lt;&gt;"",E809&lt;&gt;"!!!"),"NEW","")))</f>
        <v/>
      </c>
      <c r="G809" s="22" t="str">
        <f>IF(OR(E809="",E809="!!!"),"",IF(OR(J809=0,AND(J809=1,K809=1),AND(J809=1,I809="SBJ"),AND(J809=1,I809=0)),"?IN_FOCUS",IF(J809&lt;=2,"?ACTIVATED",IF(J809&lt;&gt;"","?FAMILIAR",IF(F809="NEW",IF(ISNA(VLOOKUP(E809,#REF!,1,FALSE())),"?TYPE_IDENTIFIABLE","?REFERENTIAL"),"_")))))</f>
        <v/>
      </c>
      <c r="H809" s="23" t="str">
        <f t="shared" ca="1" si="83"/>
        <v/>
      </c>
      <c r="I809" s="24" t="str">
        <f>IF(OR(E809="",E809="!!!",F809="NEW"),"",INDEX(B$2:B808,-1+SUMPRODUCT(MAX(ROW(E$2:E808)*(E809=E$2:E808)))))</f>
        <v/>
      </c>
      <c r="J809" s="24" t="str">
        <f ca="1">IF(OR(E809="",E809="!!!",F809="NEW"),"",COUNTBLANK(OFFSET(A$1,,,SUMPRODUCT(MAX(ROW(E$2:E809)*(E809=E$2:E809)))))-COUNTBLANK(OFFSET(A$1,,,SUMPRODUCT(MAX(ROW(E$1:E808)*(E2=E$1:E808))))))</f>
        <v/>
      </c>
      <c r="K809" s="24" t="str">
        <f>IF(OR(E809="",E809="!!!",F809="NEW"),"",INDEX(J$1:J808,SUMPRODUCT(MAX(ROW(E$1:E808)*(E809=E$1:E808)))))</f>
        <v/>
      </c>
      <c r="L809" s="25"/>
    </row>
    <row r="810" spans="1:12" x14ac:dyDescent="0.3">
      <c r="A810" t="s">
        <v>248</v>
      </c>
      <c r="E810" s="20" t="str">
        <f t="shared" si="82"/>
        <v/>
      </c>
      <c r="F810" s="21" t="str">
        <f>IF(OR(E810="",E810="!!!"),"",IF(NOT(ISNA(VLOOKUP(E810,E$1:E809,1,FALSE()))),"OLD",IF(AND(E810&lt;&gt;"",E810&lt;&gt;"!!!"),"NEW","")))</f>
        <v/>
      </c>
      <c r="G810" s="22" t="str">
        <f>IF(OR(E810="",E810="!!!"),"",IF(OR(J810=0,AND(J810=1,K810=1),AND(J810=1,I810="SBJ"),AND(J810=1,I810=0)),"?IN_FOCUS",IF(J810&lt;=2,"?ACTIVATED",IF(J810&lt;&gt;"","?FAMILIAR",IF(F810="NEW",IF(ISNA(VLOOKUP(E810,#REF!,1,FALSE())),"?TYPE_IDENTIFIABLE","?REFERENTIAL"),"_")))))</f>
        <v/>
      </c>
      <c r="H810" s="23" t="str">
        <f t="shared" ca="1" si="83"/>
        <v/>
      </c>
      <c r="I810" s="24" t="str">
        <f>IF(OR(E810="",E810="!!!",F810="NEW"),"",INDEX(B$2:B809,-1+SUMPRODUCT(MAX(ROW(E$2:E809)*(E810=E$2:E809)))))</f>
        <v/>
      </c>
      <c r="J810" s="24" t="str">
        <f ca="1">IF(OR(E810="",E810="!!!",F810="NEW"),"",COUNTBLANK(OFFSET(A$1,,,SUMPRODUCT(MAX(ROW(E$2:E810)*(E810=E$2:E810)))))-COUNTBLANK(OFFSET(A$1,,,SUMPRODUCT(MAX(ROW(E$1:E809)*(E2=E$1:E809))))))</f>
        <v/>
      </c>
      <c r="K810" s="24" t="str">
        <f>IF(OR(E810="",E810="!!!",F810="NEW"),"",INDEX(J$1:J809,SUMPRODUCT(MAX(ROW(E$1:E809)*(E810=E$1:E809)))))</f>
        <v/>
      </c>
      <c r="L810" s="25"/>
    </row>
    <row r="812" spans="1:12" x14ac:dyDescent="0.3">
      <c r="A812" t="s">
        <v>612</v>
      </c>
    </row>
    <row r="813" spans="1:12" x14ac:dyDescent="0.3">
      <c r="A813" t="s">
        <v>613</v>
      </c>
      <c r="E813" s="20" t="str">
        <f t="shared" ref="E813:E843" si="84">IF(D813="?OLD","!!!","")</f>
        <v/>
      </c>
      <c r="F813" s="21" t="str">
        <f>IF(OR(E813="",E813="!!!"),"",IF(NOT(ISNA(VLOOKUP(E813,E$1:E812,1,FALSE()))),"OLD",IF(AND(E813&lt;&gt;"",E813&lt;&gt;"!!!"),"NEW","")))</f>
        <v/>
      </c>
      <c r="G813" s="22" t="str">
        <f>IF(OR(E813="",E813="!!!"),"",IF(OR(J813=0,AND(J813=1,K813=1),AND(J813=1,I813="SBJ"),AND(J813=1,I813=0)),"?IN_FOCUS",IF(J813&lt;=2,"?ACTIVATED",IF(J813&lt;&gt;"","?FAMILIAR",IF(F813="NEW",IF(ISNA(VLOOKUP(E813,#REF!,1,FALSE())),"?TYPE_IDENTIFIABLE","?REFERENTIAL"),"_")))))</f>
        <v/>
      </c>
      <c r="H813" s="23" t="str">
        <f t="shared" ref="H813:H843" ca="1" si="85">IF(J813&lt;&gt;1,"",IF(I813="SBJ","CB","?"))</f>
        <v/>
      </c>
      <c r="I813" s="24" t="str">
        <f>IF(OR(E813="",E813="!!!",F813="NEW"),"",INDEX(B$2:B812,-1+SUMPRODUCT(MAX(ROW(E$2:E812)*(E813=E$2:E812)))))</f>
        <v/>
      </c>
      <c r="J813" s="24" t="str">
        <f ca="1">IF(OR(E813="",E813="!!!",F813="NEW"),"",COUNTBLANK(OFFSET(A$1,,,SUMPRODUCT(MAX(ROW(E$2:E813)*(E813=E$2:E813)))))-COUNTBLANK(OFFSET(A$1,,,SUMPRODUCT(MAX(ROW(E$1:E812)*(E2=E$1:E812))))))</f>
        <v/>
      </c>
      <c r="K813" s="24" t="str">
        <f>IF(OR(E813="",E813="!!!",F813="NEW"),"",INDEX(J$1:J812,SUMPRODUCT(MAX(ROW(E$1:E812)*(E813=E$1:E812)))))</f>
        <v/>
      </c>
      <c r="L813" s="25"/>
    </row>
    <row r="814" spans="1:12" x14ac:dyDescent="0.3">
      <c r="A814" t="s">
        <v>614</v>
      </c>
      <c r="E814" s="20" t="str">
        <f t="shared" si="84"/>
        <v/>
      </c>
      <c r="F814" s="21" t="str">
        <f>IF(OR(E814="",E814="!!!"),"",IF(NOT(ISNA(VLOOKUP(E814,E$1:E813,1,FALSE()))),"OLD",IF(AND(E814&lt;&gt;"",E814&lt;&gt;"!!!"),"NEW","")))</f>
        <v/>
      </c>
      <c r="G814" s="22" t="str">
        <f>IF(OR(E814="",E814="!!!"),"",IF(OR(J814=0,AND(J814=1,K814=1),AND(J814=1,I814="SBJ"),AND(J814=1,I814=0)),"?IN_FOCUS",IF(J814&lt;=2,"?ACTIVATED",IF(J814&lt;&gt;"","?FAMILIAR",IF(F814="NEW",IF(ISNA(VLOOKUP(E814,#REF!,1,FALSE())),"?TYPE_IDENTIFIABLE","?REFERENTIAL"),"_")))))</f>
        <v/>
      </c>
      <c r="H814" s="23" t="str">
        <f t="shared" ca="1" si="85"/>
        <v/>
      </c>
      <c r="I814" s="24" t="str">
        <f>IF(OR(E814="",E814="!!!",F814="NEW"),"",INDEX(B$2:B813,-1+SUMPRODUCT(MAX(ROW(E$2:E813)*(E814=E$2:E813)))))</f>
        <v/>
      </c>
      <c r="J814" s="24" t="str">
        <f ca="1">IF(OR(E814="",E814="!!!",F814="NEW"),"",COUNTBLANK(OFFSET(A$1,,,SUMPRODUCT(MAX(ROW(E$2:E814)*(E814=E$2:E814)))))-COUNTBLANK(OFFSET(A$1,,,SUMPRODUCT(MAX(ROW(E$1:E813)*(E2=E$1:E813))))))</f>
        <v/>
      </c>
      <c r="K814" s="24" t="str">
        <f>IF(OR(E814="",E814="!!!",F814="NEW"),"",INDEX(J$1:J813,SUMPRODUCT(MAX(ROW(E$1:E813)*(E814=E$1:E813)))))</f>
        <v/>
      </c>
      <c r="L814" s="25"/>
    </row>
    <row r="815" spans="1:12" x14ac:dyDescent="0.3">
      <c r="A815" t="s">
        <v>615</v>
      </c>
      <c r="E815" s="20" t="str">
        <f t="shared" si="84"/>
        <v/>
      </c>
      <c r="F815" s="21" t="str">
        <f>IF(OR(E815="",E815="!!!"),"",IF(NOT(ISNA(VLOOKUP(E815,E$1:E814,1,FALSE()))),"OLD",IF(AND(E815&lt;&gt;"",E815&lt;&gt;"!!!"),"NEW","")))</f>
        <v/>
      </c>
      <c r="G815" s="22" t="str">
        <f>IF(OR(E815="",E815="!!!"),"",IF(OR(J815=0,AND(J815=1,K815=1),AND(J815=1,I815="SBJ"),AND(J815=1,I815=0)),"?IN_FOCUS",IF(J815&lt;=2,"?ACTIVATED",IF(J815&lt;&gt;"","?FAMILIAR",IF(F815="NEW",IF(ISNA(VLOOKUP(E815,#REF!,1,FALSE())),"?TYPE_IDENTIFIABLE","?REFERENTIAL"),"_")))))</f>
        <v/>
      </c>
      <c r="H815" s="23" t="str">
        <f t="shared" ca="1" si="85"/>
        <v/>
      </c>
      <c r="I815" s="24" t="str">
        <f>IF(OR(E815="",E815="!!!",F815="NEW"),"",INDEX(B$2:B814,-1+SUMPRODUCT(MAX(ROW(E$2:E814)*(E815=E$2:E814)))))</f>
        <v/>
      </c>
      <c r="J815" s="24" t="str">
        <f ca="1">IF(OR(E815="",E815="!!!",F815="NEW"),"",COUNTBLANK(OFFSET(A$1,,,SUMPRODUCT(MAX(ROW(E$2:E815)*(E815=E$2:E815)))))-COUNTBLANK(OFFSET(A$1,,,SUMPRODUCT(MAX(ROW(E$1:E814)*(E2=E$1:E814))))))</f>
        <v/>
      </c>
      <c r="K815" s="24" t="str">
        <f>IF(OR(E815="",E815="!!!",F815="NEW"),"",INDEX(J$1:J814,SUMPRODUCT(MAX(ROW(E$1:E814)*(E815=E$1:E814)))))</f>
        <v/>
      </c>
      <c r="L815" s="25"/>
    </row>
    <row r="816" spans="1:12" x14ac:dyDescent="0.3">
      <c r="A816" t="s">
        <v>267</v>
      </c>
      <c r="B816" s="26" t="s">
        <v>243</v>
      </c>
      <c r="C816" s="26" t="s">
        <v>256</v>
      </c>
      <c r="D816" s="26" t="s">
        <v>240</v>
      </c>
      <c r="E816" s="20" t="str">
        <f t="shared" si="84"/>
        <v>!!!</v>
      </c>
      <c r="F816" s="21" t="str">
        <f>IF(OR(E816="",E816="!!!"),"",IF(NOT(ISNA(VLOOKUP(E816,E$1:E815,1,FALSE()))),"OLD",IF(AND(E816&lt;&gt;"",E816&lt;&gt;"!!!"),"NEW","")))</f>
        <v/>
      </c>
      <c r="G816" s="22" t="str">
        <f>IF(OR(E816="",E816="!!!"),"",IF(OR(J816=0,AND(J816=1,K816=1),AND(J816=1,I816="SBJ"),AND(J816=1,I816=0)),"?IN_FOCUS",IF(J816&lt;=2,"?ACTIVATED",IF(J816&lt;&gt;"","?FAMILIAR",IF(F816="NEW",IF(ISNA(VLOOKUP(E816,#REF!,1,FALSE())),"?TYPE_IDENTIFIABLE","?REFERENTIAL"),"_")))))</f>
        <v/>
      </c>
      <c r="H816" s="23" t="str">
        <f t="shared" ca="1" si="85"/>
        <v/>
      </c>
      <c r="I816" s="24" t="str">
        <f>IF(OR(E816="",E816="!!!",F816="NEW"),"",INDEX(B$2:B815,-1+SUMPRODUCT(MAX(ROW(E$2:E815)*(E816=E$2:E815)))))</f>
        <v/>
      </c>
      <c r="J816" s="24" t="str">
        <f ca="1">IF(OR(E816="",E816="!!!",F816="NEW"),"",COUNTBLANK(OFFSET(A$1,,,SUMPRODUCT(MAX(ROW(E$2:E816)*(E816=E$2:E816)))))-COUNTBLANK(OFFSET(A$1,,,SUMPRODUCT(MAX(ROW(E$1:E815)*(E2=E$1:E815))))))</f>
        <v/>
      </c>
      <c r="K816" s="24" t="str">
        <f>IF(OR(E816="",E816="!!!",F816="NEW"),"",INDEX(J$1:J815,SUMPRODUCT(MAX(ROW(E$1:E815)*(E816=E$1:E815)))))</f>
        <v/>
      </c>
      <c r="L816" s="25"/>
    </row>
    <row r="817" spans="1:12" x14ac:dyDescent="0.3">
      <c r="A817" t="s">
        <v>431</v>
      </c>
      <c r="E817" s="20" t="str">
        <f t="shared" si="84"/>
        <v/>
      </c>
      <c r="F817" s="21" t="str">
        <f>IF(OR(E817="",E817="!!!"),"",IF(NOT(ISNA(VLOOKUP(E817,E$1:E816,1,FALSE()))),"OLD",IF(AND(E817&lt;&gt;"",E817&lt;&gt;"!!!"),"NEW","")))</f>
        <v/>
      </c>
      <c r="G817" s="22" t="str">
        <f>IF(OR(E817="",E817="!!!"),"",IF(OR(J817=0,AND(J817=1,K817=1),AND(J817=1,I817="SBJ"),AND(J817=1,I817=0)),"?IN_FOCUS",IF(J817&lt;=2,"?ACTIVATED",IF(J817&lt;&gt;"","?FAMILIAR",IF(F817="NEW",IF(ISNA(VLOOKUP(E817,#REF!,1,FALSE())),"?TYPE_IDENTIFIABLE","?REFERENTIAL"),"_")))))</f>
        <v/>
      </c>
      <c r="H817" s="23" t="str">
        <f t="shared" ca="1" si="85"/>
        <v/>
      </c>
      <c r="I817" s="24" t="str">
        <f>IF(OR(E817="",E817="!!!",F817="NEW"),"",INDEX(B$2:B816,-1+SUMPRODUCT(MAX(ROW(E$2:E816)*(E817=E$2:E816)))))</f>
        <v/>
      </c>
      <c r="J817" s="24" t="str">
        <f ca="1">IF(OR(E817="",E817="!!!",F817="NEW"),"",COUNTBLANK(OFFSET(A$1,,,SUMPRODUCT(MAX(ROW(E$2:E817)*(E817=E$2:E817)))))-COUNTBLANK(OFFSET(A$1,,,SUMPRODUCT(MAX(ROW(E$1:E816)*(E2=E$1:E816))))))</f>
        <v/>
      </c>
      <c r="K817" s="24" t="str">
        <f>IF(OR(E817="",E817="!!!",F817="NEW"),"",INDEX(J$1:J816,SUMPRODUCT(MAX(ROW(E$1:E816)*(E817=E$1:E816)))))</f>
        <v/>
      </c>
      <c r="L817" s="25"/>
    </row>
    <row r="818" spans="1:12" x14ac:dyDescent="0.3">
      <c r="A818" t="s">
        <v>380</v>
      </c>
      <c r="E818" s="20" t="str">
        <f t="shared" si="84"/>
        <v/>
      </c>
      <c r="F818" s="21" t="str">
        <f>IF(OR(E818="",E818="!!!"),"",IF(NOT(ISNA(VLOOKUP(E818,E$1:E817,1,FALSE()))),"OLD",IF(AND(E818&lt;&gt;"",E818&lt;&gt;"!!!"),"NEW","")))</f>
        <v/>
      </c>
      <c r="G818" s="22" t="str">
        <f>IF(OR(E818="",E818="!!!"),"",IF(OR(J818=0,AND(J818=1,K818=1),AND(J818=1,I818="SBJ"),AND(J818=1,I818=0)),"?IN_FOCUS",IF(J818&lt;=2,"?ACTIVATED",IF(J818&lt;&gt;"","?FAMILIAR",IF(F818="NEW",IF(ISNA(VLOOKUP(E818,#REF!,1,FALSE())),"?TYPE_IDENTIFIABLE","?REFERENTIAL"),"_")))))</f>
        <v/>
      </c>
      <c r="H818" s="23" t="str">
        <f t="shared" ca="1" si="85"/>
        <v/>
      </c>
      <c r="I818" s="24" t="str">
        <f>IF(OR(E818="",E818="!!!",F818="NEW"),"",INDEX(B$2:B817,-1+SUMPRODUCT(MAX(ROW(E$2:E817)*(E818=E$2:E817)))))</f>
        <v/>
      </c>
      <c r="J818" s="24" t="str">
        <f ca="1">IF(OR(E818="",E818="!!!",F818="NEW"),"",COUNTBLANK(OFFSET(A$1,,,SUMPRODUCT(MAX(ROW(E$2:E818)*(E818=E$2:E818)))))-COUNTBLANK(OFFSET(A$1,,,SUMPRODUCT(MAX(ROW(E$1:E817)*(E2=E$1:E817))))))</f>
        <v/>
      </c>
      <c r="K818" s="24" t="str">
        <f>IF(OR(E818="",E818="!!!",F818="NEW"),"",INDEX(J$1:J817,SUMPRODUCT(MAX(ROW(E$1:E817)*(E818=E$1:E817)))))</f>
        <v/>
      </c>
      <c r="L818" s="25"/>
    </row>
    <row r="819" spans="1:12" x14ac:dyDescent="0.3">
      <c r="A819" t="s">
        <v>503</v>
      </c>
      <c r="E819" s="20" t="str">
        <f t="shared" si="84"/>
        <v/>
      </c>
      <c r="F819" s="21" t="str">
        <f>IF(OR(E819="",E819="!!!"),"",IF(NOT(ISNA(VLOOKUP(E819,E$1:E818,1,FALSE()))),"OLD",IF(AND(E819&lt;&gt;"",E819&lt;&gt;"!!!"),"NEW","")))</f>
        <v/>
      </c>
      <c r="G819" s="22" t="str">
        <f>IF(OR(E819="",E819="!!!"),"",IF(OR(J819=0,AND(J819=1,K819=1),AND(J819=1,I819="SBJ"),AND(J819=1,I819=0)),"?IN_FOCUS",IF(J819&lt;=2,"?ACTIVATED",IF(J819&lt;&gt;"","?FAMILIAR",IF(F819="NEW",IF(ISNA(VLOOKUP(E819,#REF!,1,FALSE())),"?TYPE_IDENTIFIABLE","?REFERENTIAL"),"_")))))</f>
        <v/>
      </c>
      <c r="H819" s="23" t="str">
        <f t="shared" ca="1" si="85"/>
        <v/>
      </c>
      <c r="I819" s="24" t="str">
        <f>IF(OR(E819="",E819="!!!",F819="NEW"),"",INDEX(B$2:B818,-1+SUMPRODUCT(MAX(ROW(E$2:E818)*(E819=E$2:E818)))))</f>
        <v/>
      </c>
      <c r="J819" s="24" t="str">
        <f ca="1">IF(OR(E819="",E819="!!!",F819="NEW"),"",COUNTBLANK(OFFSET(A$1,,,SUMPRODUCT(MAX(ROW(E$2:E819)*(E819=E$2:E819)))))-COUNTBLANK(OFFSET(A$1,,,SUMPRODUCT(MAX(ROW(E$1:E818)*(E2=E$1:E818))))))</f>
        <v/>
      </c>
      <c r="K819" s="24" t="str">
        <f>IF(OR(E819="",E819="!!!",F819="NEW"),"",INDEX(J$1:J818,SUMPRODUCT(MAX(ROW(E$1:E818)*(E819=E$1:E818)))))</f>
        <v/>
      </c>
      <c r="L819" s="25"/>
    </row>
    <row r="820" spans="1:12" x14ac:dyDescent="0.3">
      <c r="A820" t="s">
        <v>616</v>
      </c>
      <c r="E820" s="20" t="str">
        <f t="shared" si="84"/>
        <v/>
      </c>
      <c r="F820" s="21" t="str">
        <f>IF(OR(E820="",E820="!!!"),"",IF(NOT(ISNA(VLOOKUP(E820,E$1:E819,1,FALSE()))),"OLD",IF(AND(E820&lt;&gt;"",E820&lt;&gt;"!!!"),"NEW","")))</f>
        <v/>
      </c>
      <c r="G820" s="22" t="str">
        <f>IF(OR(E820="",E820="!!!"),"",IF(OR(J820=0,AND(J820=1,K820=1),AND(J820=1,I820="SBJ"),AND(J820=1,I820=0)),"?IN_FOCUS",IF(J820&lt;=2,"?ACTIVATED",IF(J820&lt;&gt;"","?FAMILIAR",IF(F820="NEW",IF(ISNA(VLOOKUP(E820,#REF!,1,FALSE())),"?TYPE_IDENTIFIABLE","?REFERENTIAL"),"_")))))</f>
        <v/>
      </c>
      <c r="H820" s="23" t="str">
        <f t="shared" ca="1" si="85"/>
        <v/>
      </c>
      <c r="I820" s="24" t="str">
        <f>IF(OR(E820="",E820="!!!",F820="NEW"),"",INDEX(B$2:B819,-1+SUMPRODUCT(MAX(ROW(E$2:E819)*(E820=E$2:E819)))))</f>
        <v/>
      </c>
      <c r="J820" s="24" t="str">
        <f ca="1">IF(OR(E820="",E820="!!!",F820="NEW"),"",COUNTBLANK(OFFSET(A$1,,,SUMPRODUCT(MAX(ROW(E$2:E820)*(E820=E$2:E820)))))-COUNTBLANK(OFFSET(A$1,,,SUMPRODUCT(MAX(ROW(E$1:E819)*(E2=E$1:E819))))))</f>
        <v/>
      </c>
      <c r="K820" s="24" t="str">
        <f>IF(OR(E820="",E820="!!!",F820="NEW"),"",INDEX(J$1:J819,SUMPRODUCT(MAX(ROW(E$1:E819)*(E820=E$1:E819)))))</f>
        <v/>
      </c>
      <c r="L820" s="25"/>
    </row>
    <row r="821" spans="1:12" x14ac:dyDescent="0.3">
      <c r="A821" t="s">
        <v>252</v>
      </c>
      <c r="E821" s="20" t="str">
        <f t="shared" si="84"/>
        <v/>
      </c>
      <c r="F821" s="21" t="str">
        <f>IF(OR(E821="",E821="!!!"),"",IF(NOT(ISNA(VLOOKUP(E821,E$1:E820,1,FALSE()))),"OLD",IF(AND(E821&lt;&gt;"",E821&lt;&gt;"!!!"),"NEW","")))</f>
        <v/>
      </c>
      <c r="G821" s="22" t="str">
        <f>IF(OR(E821="",E821="!!!"),"",IF(OR(J821=0,AND(J821=1,K821=1),AND(J821=1,I821="SBJ"),AND(J821=1,I821=0)),"?IN_FOCUS",IF(J821&lt;=2,"?ACTIVATED",IF(J821&lt;&gt;"","?FAMILIAR",IF(F821="NEW",IF(ISNA(VLOOKUP(E821,#REF!,1,FALSE())),"?TYPE_IDENTIFIABLE","?REFERENTIAL"),"_")))))</f>
        <v/>
      </c>
      <c r="H821" s="23" t="str">
        <f t="shared" ca="1" si="85"/>
        <v/>
      </c>
      <c r="I821" s="24" t="str">
        <f>IF(OR(E821="",E821="!!!",F821="NEW"),"",INDEX(B$2:B820,-1+SUMPRODUCT(MAX(ROW(E$2:E820)*(E821=E$2:E820)))))</f>
        <v/>
      </c>
      <c r="J821" s="24" t="str">
        <f ca="1">IF(OR(E821="",E821="!!!",F821="NEW"),"",COUNTBLANK(OFFSET(A$1,,,SUMPRODUCT(MAX(ROW(E$2:E821)*(E821=E$2:E821)))))-COUNTBLANK(OFFSET(A$1,,,SUMPRODUCT(MAX(ROW(E$1:E820)*(E2=E$1:E820))))))</f>
        <v/>
      </c>
      <c r="K821" s="24" t="str">
        <f>IF(OR(E821="",E821="!!!",F821="NEW"),"",INDEX(J$1:J820,SUMPRODUCT(MAX(ROW(E$1:E820)*(E821=E$1:E820)))))</f>
        <v/>
      </c>
      <c r="L821" s="25"/>
    </row>
    <row r="822" spans="1:12" x14ac:dyDescent="0.3">
      <c r="A822" t="s">
        <v>402</v>
      </c>
      <c r="E822" s="20" t="str">
        <f t="shared" si="84"/>
        <v/>
      </c>
      <c r="F822" s="21" t="str">
        <f>IF(OR(E822="",E822="!!!"),"",IF(NOT(ISNA(VLOOKUP(E822,E$1:E821,1,FALSE()))),"OLD",IF(AND(E822&lt;&gt;"",E822&lt;&gt;"!!!"),"NEW","")))</f>
        <v/>
      </c>
      <c r="G822" s="22" t="str">
        <f>IF(OR(E822="",E822="!!!"),"",IF(OR(J822=0,AND(J822=1,K822=1),AND(J822=1,I822="SBJ"),AND(J822=1,I822=0)),"?IN_FOCUS",IF(J822&lt;=2,"?ACTIVATED",IF(J822&lt;&gt;"","?FAMILIAR",IF(F822="NEW",IF(ISNA(VLOOKUP(E822,#REF!,1,FALSE())),"?TYPE_IDENTIFIABLE","?REFERENTIAL"),"_")))))</f>
        <v/>
      </c>
      <c r="H822" s="23" t="str">
        <f t="shared" ca="1" si="85"/>
        <v/>
      </c>
      <c r="I822" s="24" t="str">
        <f>IF(OR(E822="",E822="!!!",F822="NEW"),"",INDEX(B$2:B821,-1+SUMPRODUCT(MAX(ROW(E$2:E821)*(E822=E$2:E821)))))</f>
        <v/>
      </c>
      <c r="J822" s="24" t="str">
        <f ca="1">IF(OR(E822="",E822="!!!",F822="NEW"),"",COUNTBLANK(OFFSET(A$1,,,SUMPRODUCT(MAX(ROW(E$2:E822)*(E822=E$2:E822)))))-COUNTBLANK(OFFSET(A$1,,,SUMPRODUCT(MAX(ROW(E$1:E821)*(E2=E$1:E821))))))</f>
        <v/>
      </c>
      <c r="K822" s="24" t="str">
        <f>IF(OR(E822="",E822="!!!",F822="NEW"),"",INDEX(J$1:J821,SUMPRODUCT(MAX(ROW(E$1:E821)*(E822=E$1:E821)))))</f>
        <v/>
      </c>
      <c r="L822" s="25"/>
    </row>
    <row r="823" spans="1:12" x14ac:dyDescent="0.3">
      <c r="A823" t="s">
        <v>303</v>
      </c>
      <c r="E823" s="20" t="str">
        <f t="shared" si="84"/>
        <v/>
      </c>
      <c r="F823" s="21" t="str">
        <f>IF(OR(E823="",E823="!!!"),"",IF(NOT(ISNA(VLOOKUP(E823,E$1:E822,1,FALSE()))),"OLD",IF(AND(E823&lt;&gt;"",E823&lt;&gt;"!!!"),"NEW","")))</f>
        <v/>
      </c>
      <c r="G823" s="22" t="str">
        <f>IF(OR(E823="",E823="!!!"),"",IF(OR(J823=0,AND(J823=1,K823=1),AND(J823=1,I823="SBJ"),AND(J823=1,I823=0)),"?IN_FOCUS",IF(J823&lt;=2,"?ACTIVATED",IF(J823&lt;&gt;"","?FAMILIAR",IF(F823="NEW",IF(ISNA(VLOOKUP(E823,#REF!,1,FALSE())),"?TYPE_IDENTIFIABLE","?REFERENTIAL"),"_")))))</f>
        <v/>
      </c>
      <c r="H823" s="23" t="str">
        <f t="shared" ca="1" si="85"/>
        <v/>
      </c>
      <c r="I823" s="24" t="str">
        <f>IF(OR(E823="",E823="!!!",F823="NEW"),"",INDEX(B$2:B822,-1+SUMPRODUCT(MAX(ROW(E$2:E822)*(E823=E$2:E822)))))</f>
        <v/>
      </c>
      <c r="J823" s="24" t="str">
        <f ca="1">IF(OR(E823="",E823="!!!",F823="NEW"),"",COUNTBLANK(OFFSET(A$1,,,SUMPRODUCT(MAX(ROW(E$2:E823)*(E823=E$2:E823)))))-COUNTBLANK(OFFSET(A$1,,,SUMPRODUCT(MAX(ROW(E$1:E822)*(E2=E$1:E822))))))</f>
        <v/>
      </c>
      <c r="K823" s="24" t="str">
        <f>IF(OR(E823="",E823="!!!",F823="NEW"),"",INDEX(J$1:J822,SUMPRODUCT(MAX(ROW(E$1:E822)*(E823=E$1:E822)))))</f>
        <v/>
      </c>
      <c r="L823" s="25"/>
    </row>
    <row r="824" spans="1:12" x14ac:dyDescent="0.3">
      <c r="A824" t="s">
        <v>617</v>
      </c>
      <c r="B824" s="26" t="s">
        <v>255</v>
      </c>
      <c r="C824" s="26" t="s">
        <v>239</v>
      </c>
      <c r="D824" s="26" t="s">
        <v>240</v>
      </c>
      <c r="E824" s="20" t="str">
        <f t="shared" si="84"/>
        <v>!!!</v>
      </c>
      <c r="F824" s="21" t="str">
        <f>IF(OR(E824="",E824="!!!"),"",IF(NOT(ISNA(VLOOKUP(E824,E$1:E823,1,FALSE()))),"OLD",IF(AND(E824&lt;&gt;"",E824&lt;&gt;"!!!"),"NEW","")))</f>
        <v/>
      </c>
      <c r="G824" s="22" t="str">
        <f>IF(OR(E824="",E824="!!!"),"",IF(OR(J824=0,AND(J824=1,K824=1),AND(J824=1,I824="SBJ"),AND(J824=1,I824=0)),"?IN_FOCUS",IF(J824&lt;=2,"?ACTIVATED",IF(J824&lt;&gt;"","?FAMILIAR",IF(F824="NEW",IF(ISNA(VLOOKUP(E824,#REF!,1,FALSE())),"?TYPE_IDENTIFIABLE","?REFERENTIAL"),"_")))))</f>
        <v/>
      </c>
      <c r="H824" s="23" t="str">
        <f t="shared" ca="1" si="85"/>
        <v/>
      </c>
      <c r="I824" s="24" t="str">
        <f>IF(OR(E824="",E824="!!!",F824="NEW"),"",INDEX(B$2:B823,-1+SUMPRODUCT(MAX(ROW(E$2:E823)*(E824=E$2:E823)))))</f>
        <v/>
      </c>
      <c r="J824" s="24" t="str">
        <f ca="1">IF(OR(E824="",E824="!!!",F824="NEW"),"",COUNTBLANK(OFFSET(A$1,,,SUMPRODUCT(MAX(ROW(E$2:E824)*(E824=E$2:E824)))))-COUNTBLANK(OFFSET(A$1,,,SUMPRODUCT(MAX(ROW(E$1:E823)*(E2=E$1:E823))))))</f>
        <v/>
      </c>
      <c r="K824" s="24" t="str">
        <f>IF(OR(E824="",E824="!!!",F824="NEW"),"",INDEX(J$1:J823,SUMPRODUCT(MAX(ROW(E$1:E823)*(E824=E$1:E823)))))</f>
        <v/>
      </c>
      <c r="L824" s="25"/>
    </row>
    <row r="825" spans="1:12" x14ac:dyDescent="0.3">
      <c r="A825" t="s">
        <v>363</v>
      </c>
      <c r="E825" s="20" t="str">
        <f t="shared" si="84"/>
        <v/>
      </c>
      <c r="F825" s="21" t="str">
        <f>IF(OR(E825="",E825="!!!"),"",IF(NOT(ISNA(VLOOKUP(E825,E$1:E824,1,FALSE()))),"OLD",IF(AND(E825&lt;&gt;"",E825&lt;&gt;"!!!"),"NEW","")))</f>
        <v/>
      </c>
      <c r="G825" s="22" t="str">
        <f>IF(OR(E825="",E825="!!!"),"",IF(OR(J825=0,AND(J825=1,K825=1),AND(J825=1,I825="SBJ"),AND(J825=1,I825=0)),"?IN_FOCUS",IF(J825&lt;=2,"?ACTIVATED",IF(J825&lt;&gt;"","?FAMILIAR",IF(F825="NEW",IF(ISNA(VLOOKUP(E825,#REF!,1,FALSE())),"?TYPE_IDENTIFIABLE","?REFERENTIAL"),"_")))))</f>
        <v/>
      </c>
      <c r="H825" s="23" t="str">
        <f t="shared" ca="1" si="85"/>
        <v/>
      </c>
      <c r="I825" s="24" t="str">
        <f>IF(OR(E825="",E825="!!!",F825="NEW"),"",INDEX(B$2:B824,-1+SUMPRODUCT(MAX(ROW(E$2:E824)*(E825=E$2:E824)))))</f>
        <v/>
      </c>
      <c r="J825" s="24" t="str">
        <f ca="1">IF(OR(E825="",E825="!!!",F825="NEW"),"",COUNTBLANK(OFFSET(A$1,,,SUMPRODUCT(MAX(ROW(E$2:E825)*(E825=E$2:E825)))))-COUNTBLANK(OFFSET(A$1,,,SUMPRODUCT(MAX(ROW(E$1:E824)*(E2=E$1:E824))))))</f>
        <v/>
      </c>
      <c r="K825" s="24" t="str">
        <f>IF(OR(E825="",E825="!!!",F825="NEW"),"",INDEX(J$1:J824,SUMPRODUCT(MAX(ROW(E$1:E824)*(E825=E$1:E824)))))</f>
        <v/>
      </c>
      <c r="L825" s="25"/>
    </row>
    <row r="826" spans="1:12" x14ac:dyDescent="0.3">
      <c r="A826" t="s">
        <v>560</v>
      </c>
      <c r="B826" s="26" t="s">
        <v>272</v>
      </c>
      <c r="C826" s="26" t="s">
        <v>239</v>
      </c>
      <c r="D826" s="26" t="s">
        <v>240</v>
      </c>
      <c r="E826" s="20" t="str">
        <f t="shared" si="84"/>
        <v>!!!</v>
      </c>
      <c r="F826" s="21" t="str">
        <f>IF(OR(E826="",E826="!!!"),"",IF(NOT(ISNA(VLOOKUP(E826,E$1:E825,1,FALSE()))),"OLD",IF(AND(E826&lt;&gt;"",E826&lt;&gt;"!!!"),"NEW","")))</f>
        <v/>
      </c>
      <c r="G826" s="22" t="str">
        <f>IF(OR(E826="",E826="!!!"),"",IF(OR(J826=0,AND(J826=1,K826=1),AND(J826=1,I826="SBJ"),AND(J826=1,I826=0)),"?IN_FOCUS",IF(J826&lt;=2,"?ACTIVATED",IF(J826&lt;&gt;"","?FAMILIAR",IF(F826="NEW",IF(ISNA(VLOOKUP(E826,#REF!,1,FALSE())),"?TYPE_IDENTIFIABLE","?REFERENTIAL"),"_")))))</f>
        <v/>
      </c>
      <c r="H826" s="23" t="str">
        <f t="shared" ca="1" si="85"/>
        <v/>
      </c>
      <c r="I826" s="24" t="str">
        <f>IF(OR(E826="",E826="!!!",F826="NEW"),"",INDEX(B$2:B825,-1+SUMPRODUCT(MAX(ROW(E$2:E825)*(E826=E$2:E825)))))</f>
        <v/>
      </c>
      <c r="J826" s="24" t="str">
        <f ca="1">IF(OR(E826="",E826="!!!",F826="NEW"),"",COUNTBLANK(OFFSET(A$1,,,SUMPRODUCT(MAX(ROW(E$2:E826)*(E826=E$2:E826)))))-COUNTBLANK(OFFSET(A$1,,,SUMPRODUCT(MAX(ROW(E$1:E825)*(E2=E$1:E825))))))</f>
        <v/>
      </c>
      <c r="K826" s="24" t="str">
        <f>IF(OR(E826="",E826="!!!",F826="NEW"),"",INDEX(J$1:J825,SUMPRODUCT(MAX(ROW(E$1:E825)*(E826=E$1:E825)))))</f>
        <v/>
      </c>
      <c r="L826" s="25"/>
    </row>
    <row r="827" spans="1:12" x14ac:dyDescent="0.3">
      <c r="A827" t="s">
        <v>278</v>
      </c>
      <c r="E827" s="20" t="str">
        <f t="shared" si="84"/>
        <v/>
      </c>
      <c r="F827" s="21" t="str">
        <f>IF(OR(E827="",E827="!!!"),"",IF(NOT(ISNA(VLOOKUP(E827,E$1:E826,1,FALSE()))),"OLD",IF(AND(E827&lt;&gt;"",E827&lt;&gt;"!!!"),"NEW","")))</f>
        <v/>
      </c>
      <c r="G827" s="22" t="str">
        <f>IF(OR(E827="",E827="!!!"),"",IF(OR(J827=0,AND(J827=1,K827=1),AND(J827=1,I827="SBJ"),AND(J827=1,I827=0)),"?IN_FOCUS",IF(J827&lt;=2,"?ACTIVATED",IF(J827&lt;&gt;"","?FAMILIAR",IF(F827="NEW",IF(ISNA(VLOOKUP(E827,#REF!,1,FALSE())),"?TYPE_IDENTIFIABLE","?REFERENTIAL"),"_")))))</f>
        <v/>
      </c>
      <c r="H827" s="23" t="str">
        <f t="shared" ca="1" si="85"/>
        <v/>
      </c>
      <c r="I827" s="24" t="str">
        <f>IF(OR(E827="",E827="!!!",F827="NEW"),"",INDEX(B$2:B826,-1+SUMPRODUCT(MAX(ROW(E$2:E826)*(E827=E$2:E826)))))</f>
        <v/>
      </c>
      <c r="J827" s="24" t="str">
        <f ca="1">IF(OR(E827="",E827="!!!",F827="NEW"),"",COUNTBLANK(OFFSET(A$1,,,SUMPRODUCT(MAX(ROW(E$2:E827)*(E827=E$2:E827)))))-COUNTBLANK(OFFSET(A$1,,,SUMPRODUCT(MAX(ROW(E$1:E826)*(E2=E$1:E826))))))</f>
        <v/>
      </c>
      <c r="K827" s="24" t="str">
        <f>IF(OR(E827="",E827="!!!",F827="NEW"),"",INDEX(J$1:J826,SUMPRODUCT(MAX(ROW(E$1:E826)*(E827=E$1:E826)))))</f>
        <v/>
      </c>
      <c r="L827" s="25"/>
    </row>
    <row r="828" spans="1:12" x14ac:dyDescent="0.3">
      <c r="A828" t="s">
        <v>303</v>
      </c>
      <c r="E828" s="20" t="str">
        <f t="shared" si="84"/>
        <v/>
      </c>
      <c r="F828" s="21" t="str">
        <f>IF(OR(E828="",E828="!!!"),"",IF(NOT(ISNA(VLOOKUP(E828,E$1:E827,1,FALSE()))),"OLD",IF(AND(E828&lt;&gt;"",E828&lt;&gt;"!!!"),"NEW","")))</f>
        <v/>
      </c>
      <c r="G828" s="22" t="str">
        <f>IF(OR(E828="",E828="!!!"),"",IF(OR(J828=0,AND(J828=1,K828=1),AND(J828=1,I828="SBJ"),AND(J828=1,I828=0)),"?IN_FOCUS",IF(J828&lt;=2,"?ACTIVATED",IF(J828&lt;&gt;"","?FAMILIAR",IF(F828="NEW",IF(ISNA(VLOOKUP(E828,#REF!,1,FALSE())),"?TYPE_IDENTIFIABLE","?REFERENTIAL"),"_")))))</f>
        <v/>
      </c>
      <c r="H828" s="23" t="str">
        <f t="shared" ca="1" si="85"/>
        <v/>
      </c>
      <c r="I828" s="24" t="str">
        <f>IF(OR(E828="",E828="!!!",F828="NEW"),"",INDEX(B$2:B827,-1+SUMPRODUCT(MAX(ROW(E$2:E827)*(E828=E$2:E827)))))</f>
        <v/>
      </c>
      <c r="J828" s="24" t="str">
        <f ca="1">IF(OR(E828="",E828="!!!",F828="NEW"),"",COUNTBLANK(OFFSET(A$1,,,SUMPRODUCT(MAX(ROW(E$2:E828)*(E828=E$2:E828)))))-COUNTBLANK(OFFSET(A$1,,,SUMPRODUCT(MAX(ROW(E$1:E827)*(E2=E$1:E827))))))</f>
        <v/>
      </c>
      <c r="K828" s="24" t="str">
        <f>IF(OR(E828="",E828="!!!",F828="NEW"),"",INDEX(J$1:J827,SUMPRODUCT(MAX(ROW(E$1:E827)*(E828=E$1:E827)))))</f>
        <v/>
      </c>
      <c r="L828" s="25"/>
    </row>
    <row r="829" spans="1:12" x14ac:dyDescent="0.3">
      <c r="A829" t="s">
        <v>618</v>
      </c>
      <c r="B829" s="26" t="s">
        <v>272</v>
      </c>
      <c r="C829" s="26" t="s">
        <v>239</v>
      </c>
      <c r="D829" s="26" t="s">
        <v>240</v>
      </c>
      <c r="E829" s="20" t="str">
        <f t="shared" si="84"/>
        <v>!!!</v>
      </c>
      <c r="F829" s="21" t="str">
        <f>IF(OR(E829="",E829="!!!"),"",IF(NOT(ISNA(VLOOKUP(E829,E$1:E828,1,FALSE()))),"OLD",IF(AND(E829&lt;&gt;"",E829&lt;&gt;"!!!"),"NEW","")))</f>
        <v/>
      </c>
      <c r="G829" s="22" t="str">
        <f>IF(OR(E829="",E829="!!!"),"",IF(OR(J829=0,AND(J829=1,K829=1),AND(J829=1,I829="SBJ"),AND(J829=1,I829=0)),"?IN_FOCUS",IF(J829&lt;=2,"?ACTIVATED",IF(J829&lt;&gt;"","?FAMILIAR",IF(F829="NEW",IF(ISNA(VLOOKUP(E829,#REF!,1,FALSE())),"?TYPE_IDENTIFIABLE","?REFERENTIAL"),"_")))))</f>
        <v/>
      </c>
      <c r="H829" s="23" t="str">
        <f t="shared" ca="1" si="85"/>
        <v/>
      </c>
      <c r="I829" s="24" t="str">
        <f>IF(OR(E829="",E829="!!!",F829="NEW"),"",INDEX(B$2:B828,-1+SUMPRODUCT(MAX(ROW(E$2:E828)*(E829=E$2:E828)))))</f>
        <v/>
      </c>
      <c r="J829" s="24" t="str">
        <f ca="1">IF(OR(E829="",E829="!!!",F829="NEW"),"",COUNTBLANK(OFFSET(A$1,,,SUMPRODUCT(MAX(ROW(E$2:E829)*(E829=E$2:E829)))))-COUNTBLANK(OFFSET(A$1,,,SUMPRODUCT(MAX(ROW(E$1:E828)*(E2=E$1:E828))))))</f>
        <v/>
      </c>
      <c r="K829" s="24" t="str">
        <f>IF(OR(E829="",E829="!!!",F829="NEW"),"",INDEX(J$1:J828,SUMPRODUCT(MAX(ROW(E$1:E828)*(E829=E$1:E828)))))</f>
        <v/>
      </c>
      <c r="L829" s="25"/>
    </row>
    <row r="830" spans="1:12" x14ac:dyDescent="0.3">
      <c r="A830" t="s">
        <v>366</v>
      </c>
      <c r="E830" s="20" t="str">
        <f t="shared" si="84"/>
        <v/>
      </c>
      <c r="F830" s="21" t="str">
        <f>IF(OR(E830="",E830="!!!"),"",IF(NOT(ISNA(VLOOKUP(E830,E$1:E829,1,FALSE()))),"OLD",IF(AND(E830&lt;&gt;"",E830&lt;&gt;"!!!"),"NEW","")))</f>
        <v/>
      </c>
      <c r="G830" s="22" t="str">
        <f>IF(OR(E830="",E830="!!!"),"",IF(OR(J830=0,AND(J830=1,K830=1),AND(J830=1,I830="SBJ"),AND(J830=1,I830=0)),"?IN_FOCUS",IF(J830&lt;=2,"?ACTIVATED",IF(J830&lt;&gt;"","?FAMILIAR",IF(F830="NEW",IF(ISNA(VLOOKUP(E830,#REF!,1,FALSE())),"?TYPE_IDENTIFIABLE","?REFERENTIAL"),"_")))))</f>
        <v/>
      </c>
      <c r="H830" s="23" t="str">
        <f t="shared" ca="1" si="85"/>
        <v/>
      </c>
      <c r="I830" s="24" t="str">
        <f>IF(OR(E830="",E830="!!!",F830="NEW"),"",INDEX(B$2:B829,-1+SUMPRODUCT(MAX(ROW(E$2:E829)*(E830=E$2:E829)))))</f>
        <v/>
      </c>
      <c r="J830" s="24" t="str">
        <f ca="1">IF(OR(E830="",E830="!!!",F830="NEW"),"",COUNTBLANK(OFFSET(A$1,,,SUMPRODUCT(MAX(ROW(E$2:E830)*(E830=E$2:E830)))))-COUNTBLANK(OFFSET(A$1,,,SUMPRODUCT(MAX(ROW(E$1:E829)*(E2=E$1:E829))))))</f>
        <v/>
      </c>
      <c r="K830" s="24" t="str">
        <f>IF(OR(E830="",E830="!!!",F830="NEW"),"",INDEX(J$1:J829,SUMPRODUCT(MAX(ROW(E$1:E829)*(E830=E$1:E829)))))</f>
        <v/>
      </c>
      <c r="L830" s="25"/>
    </row>
    <row r="831" spans="1:12" x14ac:dyDescent="0.3">
      <c r="A831" t="s">
        <v>303</v>
      </c>
      <c r="E831" s="20" t="str">
        <f t="shared" si="84"/>
        <v/>
      </c>
      <c r="F831" s="21" t="str">
        <f>IF(OR(E831="",E831="!!!"),"",IF(NOT(ISNA(VLOOKUP(E831,E$1:E830,1,FALSE()))),"OLD",IF(AND(E831&lt;&gt;"",E831&lt;&gt;"!!!"),"NEW","")))</f>
        <v/>
      </c>
      <c r="G831" s="22" t="str">
        <f>IF(OR(E831="",E831="!!!"),"",IF(OR(J831=0,AND(J831=1,K831=1),AND(J831=1,I831="SBJ"),AND(J831=1,I831=0)),"?IN_FOCUS",IF(J831&lt;=2,"?ACTIVATED",IF(J831&lt;&gt;"","?FAMILIAR",IF(F831="NEW",IF(ISNA(VLOOKUP(E831,#REF!,1,FALSE())),"?TYPE_IDENTIFIABLE","?REFERENTIAL"),"_")))))</f>
        <v/>
      </c>
      <c r="H831" s="23" t="str">
        <f t="shared" ca="1" si="85"/>
        <v/>
      </c>
      <c r="I831" s="24" t="str">
        <f>IF(OR(E831="",E831="!!!",F831="NEW"),"",INDEX(B$2:B830,-1+SUMPRODUCT(MAX(ROW(E$2:E830)*(E831=E$2:E830)))))</f>
        <v/>
      </c>
      <c r="J831" s="24" t="str">
        <f ca="1">IF(OR(E831="",E831="!!!",F831="NEW"),"",COUNTBLANK(OFFSET(A$1,,,SUMPRODUCT(MAX(ROW(E$2:E831)*(E831=E$2:E831)))))-COUNTBLANK(OFFSET(A$1,,,SUMPRODUCT(MAX(ROW(E$1:E830)*(E2=E$1:E830))))))</f>
        <v/>
      </c>
      <c r="K831" s="24" t="str">
        <f>IF(OR(E831="",E831="!!!",F831="NEW"),"",INDEX(J$1:J830,SUMPRODUCT(MAX(ROW(E$1:E830)*(E831=E$1:E830)))))</f>
        <v/>
      </c>
      <c r="L831" s="25"/>
    </row>
    <row r="832" spans="1:12" x14ac:dyDescent="0.3">
      <c r="A832" t="s">
        <v>601</v>
      </c>
      <c r="B832" s="26" t="s">
        <v>276</v>
      </c>
      <c r="C832" s="26" t="s">
        <v>239</v>
      </c>
      <c r="D832" s="26" t="s">
        <v>240</v>
      </c>
      <c r="E832" s="20" t="str">
        <f t="shared" si="84"/>
        <v>!!!</v>
      </c>
      <c r="F832" s="21" t="str">
        <f>IF(OR(E832="",E832="!!!"),"",IF(NOT(ISNA(VLOOKUP(E832,E$1:E831,1,FALSE()))),"OLD",IF(AND(E832&lt;&gt;"",E832&lt;&gt;"!!!"),"NEW","")))</f>
        <v/>
      </c>
      <c r="G832" s="22" t="str">
        <f>IF(OR(E832="",E832="!!!"),"",IF(OR(J832=0,AND(J832=1,K832=1),AND(J832=1,I832="SBJ"),AND(J832=1,I832=0)),"?IN_FOCUS",IF(J832&lt;=2,"?ACTIVATED",IF(J832&lt;&gt;"","?FAMILIAR",IF(F832="NEW",IF(ISNA(VLOOKUP(E832,#REF!,1,FALSE())),"?TYPE_IDENTIFIABLE","?REFERENTIAL"),"_")))))</f>
        <v/>
      </c>
      <c r="H832" s="23" t="str">
        <f t="shared" ca="1" si="85"/>
        <v/>
      </c>
      <c r="I832" s="24" t="str">
        <f>IF(OR(E832="",E832="!!!",F832="NEW"),"",INDEX(B$2:B831,-1+SUMPRODUCT(MAX(ROW(E$2:E831)*(E832=E$2:E831)))))</f>
        <v/>
      </c>
      <c r="J832" s="24" t="str">
        <f ca="1">IF(OR(E832="",E832="!!!",F832="NEW"),"",COUNTBLANK(OFFSET(A$1,,,SUMPRODUCT(MAX(ROW(E$2:E832)*(E832=E$2:E832)))))-COUNTBLANK(OFFSET(A$1,,,SUMPRODUCT(MAX(ROW(E$1:E831)*(E2=E$1:E831))))))</f>
        <v/>
      </c>
      <c r="K832" s="24" t="str">
        <f>IF(OR(E832="",E832="!!!",F832="NEW"),"",INDEX(J$1:J831,SUMPRODUCT(MAX(ROW(E$1:E831)*(E832=E$1:E831)))))</f>
        <v/>
      </c>
      <c r="L832" s="25"/>
    </row>
    <row r="833" spans="1:12" x14ac:dyDescent="0.3">
      <c r="A833" t="s">
        <v>498</v>
      </c>
      <c r="E833" s="20" t="str">
        <f t="shared" si="84"/>
        <v/>
      </c>
      <c r="F833" s="21" t="str">
        <f>IF(OR(E833="",E833="!!!"),"",IF(NOT(ISNA(VLOOKUP(E833,E$1:E832,1,FALSE()))),"OLD",IF(AND(E833&lt;&gt;"",E833&lt;&gt;"!!!"),"NEW","")))</f>
        <v/>
      </c>
      <c r="G833" s="22" t="str">
        <f>IF(OR(E833="",E833="!!!"),"",IF(OR(J833=0,AND(J833=1,K833=1),AND(J833=1,I833="SBJ"),AND(J833=1,I833=0)),"?IN_FOCUS",IF(J833&lt;=2,"?ACTIVATED",IF(J833&lt;&gt;"","?FAMILIAR",IF(F833="NEW",IF(ISNA(VLOOKUP(E833,#REF!,1,FALSE())),"?TYPE_IDENTIFIABLE","?REFERENTIAL"),"_")))))</f>
        <v/>
      </c>
      <c r="H833" s="23" t="str">
        <f t="shared" ca="1" si="85"/>
        <v/>
      </c>
      <c r="I833" s="24" t="str">
        <f>IF(OR(E833="",E833="!!!",F833="NEW"),"",INDEX(B$2:B832,-1+SUMPRODUCT(MAX(ROW(E$2:E832)*(E833=E$2:E832)))))</f>
        <v/>
      </c>
      <c r="J833" s="24" t="str">
        <f ca="1">IF(OR(E833="",E833="!!!",F833="NEW"),"",COUNTBLANK(OFFSET(A$1,,,SUMPRODUCT(MAX(ROW(E$2:E833)*(E833=E$2:E833)))))-COUNTBLANK(OFFSET(A$1,,,SUMPRODUCT(MAX(ROW(E$1:E832)*(E2=E$1:E832))))))</f>
        <v/>
      </c>
      <c r="K833" s="24" t="str">
        <f>IF(OR(E833="",E833="!!!",F833="NEW"),"",INDEX(J$1:J832,SUMPRODUCT(MAX(ROW(E$1:E832)*(E833=E$1:E832)))))</f>
        <v/>
      </c>
      <c r="L833" s="25"/>
    </row>
    <row r="834" spans="1:12" x14ac:dyDescent="0.3">
      <c r="A834" t="s">
        <v>619</v>
      </c>
      <c r="E834" s="20" t="str">
        <f t="shared" si="84"/>
        <v/>
      </c>
      <c r="F834" s="21" t="str">
        <f>IF(OR(E834="",E834="!!!"),"",IF(NOT(ISNA(VLOOKUP(E834,E$1:E833,1,FALSE()))),"OLD",IF(AND(E834&lt;&gt;"",E834&lt;&gt;"!!!"),"NEW","")))</f>
        <v/>
      </c>
      <c r="G834" s="22" t="str">
        <f>IF(OR(E834="",E834="!!!"),"",IF(OR(J834=0,AND(J834=1,K834=1),AND(J834=1,I834="SBJ"),AND(J834=1,I834=0)),"?IN_FOCUS",IF(J834&lt;=2,"?ACTIVATED",IF(J834&lt;&gt;"","?FAMILIAR",IF(F834="NEW",IF(ISNA(VLOOKUP(E834,#REF!,1,FALSE())),"?TYPE_IDENTIFIABLE","?REFERENTIAL"),"_")))))</f>
        <v/>
      </c>
      <c r="H834" s="23" t="str">
        <f t="shared" ca="1" si="85"/>
        <v/>
      </c>
      <c r="I834" s="24" t="str">
        <f>IF(OR(E834="",E834="!!!",F834="NEW"),"",INDEX(B$2:B833,-1+SUMPRODUCT(MAX(ROW(E$2:E833)*(E834=E$2:E833)))))</f>
        <v/>
      </c>
      <c r="J834" s="24" t="str">
        <f ca="1">IF(OR(E834="",E834="!!!",F834="NEW"),"",COUNTBLANK(OFFSET(A$1,,,SUMPRODUCT(MAX(ROW(E$2:E834)*(E834=E$2:E834)))))-COUNTBLANK(OFFSET(A$1,,,SUMPRODUCT(MAX(ROW(E$1:E833)*(E2=E$1:E833))))))</f>
        <v/>
      </c>
      <c r="K834" s="24" t="str">
        <f>IF(OR(E834="",E834="!!!",F834="NEW"),"",INDEX(J$1:J833,SUMPRODUCT(MAX(ROW(E$1:E833)*(E834=E$1:E833)))))</f>
        <v/>
      </c>
      <c r="L834" s="25"/>
    </row>
    <row r="835" spans="1:12" x14ac:dyDescent="0.3">
      <c r="A835" t="s">
        <v>252</v>
      </c>
      <c r="E835" s="20" t="str">
        <f t="shared" si="84"/>
        <v/>
      </c>
      <c r="F835" s="21" t="str">
        <f>IF(OR(E835="",E835="!!!"),"",IF(NOT(ISNA(VLOOKUP(E835,E$1:E834,1,FALSE()))),"OLD",IF(AND(E835&lt;&gt;"",E835&lt;&gt;"!!!"),"NEW","")))</f>
        <v/>
      </c>
      <c r="G835" s="22" t="str">
        <f>IF(OR(E835="",E835="!!!"),"",IF(OR(J835=0,AND(J835=1,K835=1),AND(J835=1,I835="SBJ"),AND(J835=1,I835=0)),"?IN_FOCUS",IF(J835&lt;=2,"?ACTIVATED",IF(J835&lt;&gt;"","?FAMILIAR",IF(F835="NEW",IF(ISNA(VLOOKUP(E835,#REF!,1,FALSE())),"?TYPE_IDENTIFIABLE","?REFERENTIAL"),"_")))))</f>
        <v/>
      </c>
      <c r="H835" s="23" t="str">
        <f t="shared" ca="1" si="85"/>
        <v/>
      </c>
      <c r="I835" s="24" t="str">
        <f>IF(OR(E835="",E835="!!!",F835="NEW"),"",INDEX(B$2:B834,-1+SUMPRODUCT(MAX(ROW(E$2:E834)*(E835=E$2:E834)))))</f>
        <v/>
      </c>
      <c r="J835" s="24" t="str">
        <f ca="1">IF(OR(E835="",E835="!!!",F835="NEW"),"",COUNTBLANK(OFFSET(A$1,,,SUMPRODUCT(MAX(ROW(E$2:E835)*(E835=E$2:E835)))))-COUNTBLANK(OFFSET(A$1,,,SUMPRODUCT(MAX(ROW(E$1:E834)*(E2=E$1:E834))))))</f>
        <v/>
      </c>
      <c r="K835" s="24" t="str">
        <f>IF(OR(E835="",E835="!!!",F835="NEW"),"",INDEX(J$1:J834,SUMPRODUCT(MAX(ROW(E$1:E834)*(E835=E$1:E834)))))</f>
        <v/>
      </c>
      <c r="L835" s="25"/>
    </row>
    <row r="836" spans="1:12" x14ac:dyDescent="0.3">
      <c r="A836" t="s">
        <v>331</v>
      </c>
      <c r="E836" s="20" t="str">
        <f t="shared" si="84"/>
        <v/>
      </c>
      <c r="F836" s="21" t="str">
        <f>IF(OR(E836="",E836="!!!"),"",IF(NOT(ISNA(VLOOKUP(E836,E$1:E835,1,FALSE()))),"OLD",IF(AND(E836&lt;&gt;"",E836&lt;&gt;"!!!"),"NEW","")))</f>
        <v/>
      </c>
      <c r="G836" s="22" t="str">
        <f>IF(OR(E836="",E836="!!!"),"",IF(OR(J836=0,AND(J836=1,K836=1),AND(J836=1,I836="SBJ"),AND(J836=1,I836=0)),"?IN_FOCUS",IF(J836&lt;=2,"?ACTIVATED",IF(J836&lt;&gt;"","?FAMILIAR",IF(F836="NEW",IF(ISNA(VLOOKUP(E836,#REF!,1,FALSE())),"?TYPE_IDENTIFIABLE","?REFERENTIAL"),"_")))))</f>
        <v/>
      </c>
      <c r="H836" s="23" t="str">
        <f t="shared" ca="1" si="85"/>
        <v/>
      </c>
      <c r="I836" s="24" t="str">
        <f>IF(OR(E836="",E836="!!!",F836="NEW"),"",INDEX(B$2:B835,-1+SUMPRODUCT(MAX(ROW(E$2:E835)*(E836=E$2:E835)))))</f>
        <v/>
      </c>
      <c r="J836" s="24" t="str">
        <f ca="1">IF(OR(E836="",E836="!!!",F836="NEW"),"",COUNTBLANK(OFFSET(A$1,,,SUMPRODUCT(MAX(ROW(E$2:E836)*(E836=E$2:E836)))))-COUNTBLANK(OFFSET(A$1,,,SUMPRODUCT(MAX(ROW(E$1:E835)*(E2=E$1:E835))))))</f>
        <v/>
      </c>
      <c r="K836" s="24" t="str">
        <f>IF(OR(E836="",E836="!!!",F836="NEW"),"",INDEX(J$1:J835,SUMPRODUCT(MAX(ROW(E$1:E835)*(E836=E$1:E835)))))</f>
        <v/>
      </c>
      <c r="L836" s="25"/>
    </row>
    <row r="837" spans="1:12" x14ac:dyDescent="0.3">
      <c r="A837" t="s">
        <v>620</v>
      </c>
      <c r="E837" s="20" t="str">
        <f t="shared" si="84"/>
        <v/>
      </c>
      <c r="F837" s="21" t="str">
        <f>IF(OR(E837="",E837="!!!"),"",IF(NOT(ISNA(VLOOKUP(E837,E$1:E836,1,FALSE()))),"OLD",IF(AND(E837&lt;&gt;"",E837&lt;&gt;"!!!"),"NEW","")))</f>
        <v/>
      </c>
      <c r="G837" s="22" t="str">
        <f>IF(OR(E837="",E837="!!!"),"",IF(OR(J837=0,AND(J837=1,K837=1),AND(J837=1,I837="SBJ"),AND(J837=1,I837=0)),"?IN_FOCUS",IF(J837&lt;=2,"?ACTIVATED",IF(J837&lt;&gt;"","?FAMILIAR",IF(F837="NEW",IF(ISNA(VLOOKUP(E837,#REF!,1,FALSE())),"?TYPE_IDENTIFIABLE","?REFERENTIAL"),"_")))))</f>
        <v/>
      </c>
      <c r="H837" s="23" t="str">
        <f t="shared" ca="1" si="85"/>
        <v/>
      </c>
      <c r="I837" s="24" t="str">
        <f>IF(OR(E837="",E837="!!!",F837="NEW"),"",INDEX(B$2:B836,-1+SUMPRODUCT(MAX(ROW(E$2:E836)*(E837=E$2:E836)))))</f>
        <v/>
      </c>
      <c r="J837" s="24" t="str">
        <f ca="1">IF(OR(E837="",E837="!!!",F837="NEW"),"",COUNTBLANK(OFFSET(A$1,,,SUMPRODUCT(MAX(ROW(E$2:E837)*(E837=E$2:E837)))))-COUNTBLANK(OFFSET(A$1,,,SUMPRODUCT(MAX(ROW(E$1:E836)*(E2=E$1:E836))))))</f>
        <v/>
      </c>
      <c r="K837" s="24" t="str">
        <f>IF(OR(E837="",E837="!!!",F837="NEW"),"",INDEX(J$1:J836,SUMPRODUCT(MAX(ROW(E$1:E836)*(E837=E$1:E836)))))</f>
        <v/>
      </c>
      <c r="L837" s="25"/>
    </row>
    <row r="838" spans="1:12" x14ac:dyDescent="0.3">
      <c r="A838" t="s">
        <v>621</v>
      </c>
      <c r="B838" s="26" t="s">
        <v>238</v>
      </c>
      <c r="C838" s="26" t="s">
        <v>247</v>
      </c>
      <c r="E838" s="20" t="str">
        <f t="shared" si="84"/>
        <v/>
      </c>
      <c r="F838" s="21" t="str">
        <f>IF(OR(E838="",E838="!!!"),"",IF(NOT(ISNA(VLOOKUP(E838,E$1:E837,1,FALSE()))),"OLD",IF(AND(E838&lt;&gt;"",E838&lt;&gt;"!!!"),"NEW","")))</f>
        <v/>
      </c>
      <c r="G838" s="22" t="str">
        <f>IF(OR(E838="",E838="!!!"),"",IF(OR(J838=0,AND(J838=1,K838=1),AND(J838=1,I838="SBJ"),AND(J838=1,I838=0)),"?IN_FOCUS",IF(J838&lt;=2,"?ACTIVATED",IF(J838&lt;&gt;"","?FAMILIAR",IF(F838="NEW",IF(ISNA(VLOOKUP(E838,#REF!,1,FALSE())),"?TYPE_IDENTIFIABLE","?REFERENTIAL"),"_")))))</f>
        <v/>
      </c>
      <c r="H838" s="23" t="str">
        <f t="shared" ca="1" si="85"/>
        <v/>
      </c>
      <c r="I838" s="24" t="str">
        <f>IF(OR(E838="",E838="!!!",F838="NEW"),"",INDEX(B$2:B837,-1+SUMPRODUCT(MAX(ROW(E$2:E837)*(E838=E$2:E837)))))</f>
        <v/>
      </c>
      <c r="J838" s="24" t="str">
        <f ca="1">IF(OR(E838="",E838="!!!",F838="NEW"),"",COUNTBLANK(OFFSET(A$1,,,SUMPRODUCT(MAX(ROW(E$2:E838)*(E838=E$2:E838)))))-COUNTBLANK(OFFSET(A$1,,,SUMPRODUCT(MAX(ROW(E$1:E837)*(E2=E$1:E837))))))</f>
        <v/>
      </c>
      <c r="K838" s="24" t="str">
        <f>IF(OR(E838="",E838="!!!",F838="NEW"),"",INDEX(J$1:J837,SUMPRODUCT(MAX(ROW(E$1:E837)*(E838=E$1:E837)))))</f>
        <v/>
      </c>
      <c r="L838" s="25"/>
    </row>
    <row r="839" spans="1:12" x14ac:dyDescent="0.3">
      <c r="A839" t="s">
        <v>461</v>
      </c>
      <c r="E839" s="20" t="str">
        <f t="shared" si="84"/>
        <v/>
      </c>
      <c r="F839" s="21" t="str">
        <f>IF(OR(E839="",E839="!!!"),"",IF(NOT(ISNA(VLOOKUP(E839,E$1:E838,1,FALSE()))),"OLD",IF(AND(E839&lt;&gt;"",E839&lt;&gt;"!!!"),"NEW","")))</f>
        <v/>
      </c>
      <c r="G839" s="22" t="str">
        <f>IF(OR(E839="",E839="!!!"),"",IF(OR(J839=0,AND(J839=1,K839=1),AND(J839=1,I839="SBJ"),AND(J839=1,I839=0)),"?IN_FOCUS",IF(J839&lt;=2,"?ACTIVATED",IF(J839&lt;&gt;"","?FAMILIAR",IF(F839="NEW",IF(ISNA(VLOOKUP(E839,#REF!,1,FALSE())),"?TYPE_IDENTIFIABLE","?REFERENTIAL"),"_")))))</f>
        <v/>
      </c>
      <c r="H839" s="23" t="str">
        <f t="shared" ca="1" si="85"/>
        <v/>
      </c>
      <c r="I839" s="24" t="str">
        <f>IF(OR(E839="",E839="!!!",F839="NEW"),"",INDEX(B$2:B838,-1+SUMPRODUCT(MAX(ROW(E$2:E838)*(E839=E$2:E838)))))</f>
        <v/>
      </c>
      <c r="J839" s="24" t="str">
        <f ca="1">IF(OR(E839="",E839="!!!",F839="NEW"),"",COUNTBLANK(OFFSET(A$1,,,SUMPRODUCT(MAX(ROW(E$2:E839)*(E839=E$2:E839)))))-COUNTBLANK(OFFSET(A$1,,,SUMPRODUCT(MAX(ROW(E$1:E838)*(E2=E$1:E838))))))</f>
        <v/>
      </c>
      <c r="K839" s="24" t="str">
        <f>IF(OR(E839="",E839="!!!",F839="NEW"),"",INDEX(J$1:J838,SUMPRODUCT(MAX(ROW(E$1:E838)*(E839=E$1:E838)))))</f>
        <v/>
      </c>
      <c r="L839" s="25"/>
    </row>
    <row r="840" spans="1:12" x14ac:dyDescent="0.3">
      <c r="A840" t="s">
        <v>257</v>
      </c>
      <c r="E840" s="20" t="str">
        <f t="shared" si="84"/>
        <v/>
      </c>
      <c r="F840" s="21" t="str">
        <f>IF(OR(E840="",E840="!!!"),"",IF(NOT(ISNA(VLOOKUP(E840,E$1:E839,1,FALSE()))),"OLD",IF(AND(E840&lt;&gt;"",E840&lt;&gt;"!!!"),"NEW","")))</f>
        <v/>
      </c>
      <c r="G840" s="22" t="str">
        <f>IF(OR(E840="",E840="!!!"),"",IF(OR(J840=0,AND(J840=1,K840=1),AND(J840=1,I840="SBJ"),AND(J840=1,I840=0)),"?IN_FOCUS",IF(J840&lt;=2,"?ACTIVATED",IF(J840&lt;&gt;"","?FAMILIAR",IF(F840="NEW",IF(ISNA(VLOOKUP(E840,#REF!,1,FALSE())),"?TYPE_IDENTIFIABLE","?REFERENTIAL"),"_")))))</f>
        <v/>
      </c>
      <c r="H840" s="23" t="str">
        <f t="shared" ca="1" si="85"/>
        <v/>
      </c>
      <c r="I840" s="24" t="str">
        <f>IF(OR(E840="",E840="!!!",F840="NEW"),"",INDEX(B$2:B839,-1+SUMPRODUCT(MAX(ROW(E$2:E839)*(E840=E$2:E839)))))</f>
        <v/>
      </c>
      <c r="J840" s="24" t="str">
        <f ca="1">IF(OR(E840="",E840="!!!",F840="NEW"),"",COUNTBLANK(OFFSET(A$1,,,SUMPRODUCT(MAX(ROW(E$2:E840)*(E840=E$2:E840)))))-COUNTBLANK(OFFSET(A$1,,,SUMPRODUCT(MAX(ROW(E$1:E839)*(E2=E$1:E839))))))</f>
        <v/>
      </c>
      <c r="K840" s="24" t="str">
        <f>IF(OR(E840="",E840="!!!",F840="NEW"),"",INDEX(J$1:J839,SUMPRODUCT(MAX(ROW(E$1:E839)*(E840=E$1:E839)))))</f>
        <v/>
      </c>
      <c r="L840" s="25"/>
    </row>
    <row r="841" spans="1:12" x14ac:dyDescent="0.3">
      <c r="A841" t="s">
        <v>236</v>
      </c>
      <c r="E841" s="20" t="str">
        <f t="shared" si="84"/>
        <v/>
      </c>
      <c r="F841" s="21" t="str">
        <f>IF(OR(E841="",E841="!!!"),"",IF(NOT(ISNA(VLOOKUP(E841,E$1:E840,1,FALSE()))),"OLD",IF(AND(E841&lt;&gt;"",E841&lt;&gt;"!!!"),"NEW","")))</f>
        <v/>
      </c>
      <c r="G841" s="22" t="str">
        <f>IF(OR(E841="",E841="!!!"),"",IF(OR(J841=0,AND(J841=1,K841=1),AND(J841=1,I841="SBJ"),AND(J841=1,I841=0)),"?IN_FOCUS",IF(J841&lt;=2,"?ACTIVATED",IF(J841&lt;&gt;"","?FAMILIAR",IF(F841="NEW",IF(ISNA(VLOOKUP(E841,#REF!,1,FALSE())),"?TYPE_IDENTIFIABLE","?REFERENTIAL"),"_")))))</f>
        <v/>
      </c>
      <c r="H841" s="23" t="str">
        <f t="shared" ca="1" si="85"/>
        <v/>
      </c>
      <c r="I841" s="24" t="str">
        <f>IF(OR(E841="",E841="!!!",F841="NEW"),"",INDEX(B$2:B840,-1+SUMPRODUCT(MAX(ROW(E$2:E840)*(E841=E$2:E840)))))</f>
        <v/>
      </c>
      <c r="J841" s="24" t="str">
        <f ca="1">IF(OR(E841="",E841="!!!",F841="NEW"),"",COUNTBLANK(OFFSET(A$1,,,SUMPRODUCT(MAX(ROW(E$2:E841)*(E841=E$2:E841)))))-COUNTBLANK(OFFSET(A$1,,,SUMPRODUCT(MAX(ROW(E$1:E840)*(E2=E$1:E840))))))</f>
        <v/>
      </c>
      <c r="K841" s="24" t="str">
        <f>IF(OR(E841="",E841="!!!",F841="NEW"),"",INDEX(J$1:J840,SUMPRODUCT(MAX(ROW(E$1:E840)*(E841=E$1:E840)))))</f>
        <v/>
      </c>
      <c r="L841" s="25"/>
    </row>
    <row r="842" spans="1:12" x14ac:dyDescent="0.3">
      <c r="A842" t="s">
        <v>405</v>
      </c>
      <c r="B842" s="26" t="s">
        <v>238</v>
      </c>
      <c r="C842" s="26" t="s">
        <v>239</v>
      </c>
      <c r="D842" s="26" t="s">
        <v>240</v>
      </c>
      <c r="E842" s="20" t="str">
        <f t="shared" si="84"/>
        <v>!!!</v>
      </c>
      <c r="F842" s="21" t="str">
        <f>IF(OR(E842="",E842="!!!"),"",IF(NOT(ISNA(VLOOKUP(E842,E$1:E841,1,FALSE()))),"OLD",IF(AND(E842&lt;&gt;"",E842&lt;&gt;"!!!"),"NEW","")))</f>
        <v/>
      </c>
      <c r="G842" s="22" t="str">
        <f>IF(OR(E842="",E842="!!!"),"",IF(OR(J842=0,AND(J842=1,K842=1),AND(J842=1,I842="SBJ"),AND(J842=1,I842=0)),"?IN_FOCUS",IF(J842&lt;=2,"?ACTIVATED",IF(J842&lt;&gt;"","?FAMILIAR",IF(F842="NEW",IF(ISNA(VLOOKUP(E842,#REF!,1,FALSE())),"?TYPE_IDENTIFIABLE","?REFERENTIAL"),"_")))))</f>
        <v/>
      </c>
      <c r="H842" s="23" t="str">
        <f t="shared" ca="1" si="85"/>
        <v/>
      </c>
      <c r="I842" s="24" t="str">
        <f>IF(OR(E842="",E842="!!!",F842="NEW"),"",INDEX(B$2:B841,-1+SUMPRODUCT(MAX(ROW(E$2:E841)*(E842=E$2:E841)))))</f>
        <v/>
      </c>
      <c r="J842" s="24" t="str">
        <f ca="1">IF(OR(E842="",E842="!!!",F842="NEW"),"",COUNTBLANK(OFFSET(A$1,,,SUMPRODUCT(MAX(ROW(E$2:E842)*(E842=E$2:E842)))))-COUNTBLANK(OFFSET(A$1,,,SUMPRODUCT(MAX(ROW(E$1:E841)*(E2=E$1:E841))))))</f>
        <v/>
      </c>
      <c r="K842" s="24" t="str">
        <f>IF(OR(E842="",E842="!!!",F842="NEW"),"",INDEX(J$1:J841,SUMPRODUCT(MAX(ROW(E$1:E841)*(E842=E$1:E841)))))</f>
        <v/>
      </c>
      <c r="L842" s="25"/>
    </row>
    <row r="843" spans="1:12" x14ac:dyDescent="0.3">
      <c r="A843" t="s">
        <v>248</v>
      </c>
      <c r="E843" s="20" t="str">
        <f t="shared" si="84"/>
        <v/>
      </c>
      <c r="F843" s="21" t="str">
        <f>IF(OR(E843="",E843="!!!"),"",IF(NOT(ISNA(VLOOKUP(E843,E$1:E842,1,FALSE()))),"OLD",IF(AND(E843&lt;&gt;"",E843&lt;&gt;"!!!"),"NEW","")))</f>
        <v/>
      </c>
      <c r="G843" s="22" t="str">
        <f>IF(OR(E843="",E843="!!!"),"",IF(OR(J843=0,AND(J843=1,K843=1),AND(J843=1,I843="SBJ"),AND(J843=1,I843=0)),"?IN_FOCUS",IF(J843&lt;=2,"?ACTIVATED",IF(J843&lt;&gt;"","?FAMILIAR",IF(F843="NEW",IF(ISNA(VLOOKUP(E843,#REF!,1,FALSE())),"?TYPE_IDENTIFIABLE","?REFERENTIAL"),"_")))))</f>
        <v/>
      </c>
      <c r="H843" s="23" t="str">
        <f t="shared" ca="1" si="85"/>
        <v/>
      </c>
      <c r="I843" s="24" t="str">
        <f>IF(OR(E843="",E843="!!!",F843="NEW"),"",INDEX(B$2:B842,-1+SUMPRODUCT(MAX(ROW(E$2:E842)*(E843=E$2:E842)))))</f>
        <v/>
      </c>
      <c r="J843" s="24" t="str">
        <f ca="1">IF(OR(E843="",E843="!!!",F843="NEW"),"",COUNTBLANK(OFFSET(A$1,,,SUMPRODUCT(MAX(ROW(E$2:E843)*(E843=E$2:E843)))))-COUNTBLANK(OFFSET(A$1,,,SUMPRODUCT(MAX(ROW(E$1:E842)*(E2=E$1:E842))))))</f>
        <v/>
      </c>
      <c r="K843" s="24" t="str">
        <f>IF(OR(E843="",E843="!!!",F843="NEW"),"",INDEX(J$1:J842,SUMPRODUCT(MAX(ROW(E$1:E842)*(E843=E$1:E842)))))</f>
        <v/>
      </c>
      <c r="L843" s="25"/>
    </row>
    <row r="845" spans="1:12" x14ac:dyDescent="0.3">
      <c r="A845" t="s">
        <v>622</v>
      </c>
    </row>
    <row r="846" spans="1:12" x14ac:dyDescent="0.3">
      <c r="A846" t="s">
        <v>439</v>
      </c>
      <c r="B846" s="26" t="s">
        <v>243</v>
      </c>
      <c r="C846" s="26" t="s">
        <v>244</v>
      </c>
      <c r="D846" s="26" t="s">
        <v>240</v>
      </c>
      <c r="E846" s="20" t="str">
        <f t="shared" ref="E846:E867" si="86">IF(D846="?OLD","!!!","")</f>
        <v>!!!</v>
      </c>
      <c r="F846" s="21" t="str">
        <f>IF(OR(E846="",E846="!!!"),"",IF(NOT(ISNA(VLOOKUP(E846,E$1:E845,1,FALSE()))),"OLD",IF(AND(E846&lt;&gt;"",E846&lt;&gt;"!!!"),"NEW","")))</f>
        <v/>
      </c>
      <c r="G846" s="22" t="str">
        <f>IF(OR(E846="",E846="!!!"),"",IF(OR(J846=0,AND(J846=1,K846=1),AND(J846=1,I846="SBJ"),AND(J846=1,I846=0)),"?IN_FOCUS",IF(J846&lt;=2,"?ACTIVATED",IF(J846&lt;&gt;"","?FAMILIAR",IF(F846="NEW",IF(ISNA(VLOOKUP(E846,#REF!,1,FALSE())),"?TYPE_IDENTIFIABLE","?REFERENTIAL"),"_")))))</f>
        <v/>
      </c>
      <c r="H846" s="23" t="str">
        <f t="shared" ref="H846:H867" ca="1" si="87">IF(J846&lt;&gt;1,"",IF(I846="SBJ","CB","?"))</f>
        <v/>
      </c>
      <c r="I846" s="24" t="str">
        <f>IF(OR(E846="",E846="!!!",F846="NEW"),"",INDEX(B$2:B845,-1+SUMPRODUCT(MAX(ROW(E$2:E845)*(E846=E$2:E845)))))</f>
        <v/>
      </c>
      <c r="J846" s="24" t="str">
        <f ca="1">IF(OR(E846="",E846="!!!",F846="NEW"),"",COUNTBLANK(OFFSET(A$1,,,SUMPRODUCT(MAX(ROW(E$2:E846)*(E846=E$2:E846)))))-COUNTBLANK(OFFSET(A$1,,,SUMPRODUCT(MAX(ROW(E$1:E845)*(E2=E$1:E845))))))</f>
        <v/>
      </c>
      <c r="K846" s="24" t="str">
        <f>IF(OR(E846="",E846="!!!",F846="NEW"),"",INDEX(J$1:J845,SUMPRODUCT(MAX(ROW(E$1:E845)*(E846=E$1:E845)))))</f>
        <v/>
      </c>
      <c r="L846" s="25"/>
    </row>
    <row r="847" spans="1:12" x14ac:dyDescent="0.3">
      <c r="A847" t="s">
        <v>347</v>
      </c>
      <c r="E847" s="20" t="str">
        <f t="shared" si="86"/>
        <v/>
      </c>
      <c r="F847" s="21" t="str">
        <f>IF(OR(E847="",E847="!!!"),"",IF(NOT(ISNA(VLOOKUP(E847,E$1:E846,1,FALSE()))),"OLD",IF(AND(E847&lt;&gt;"",E847&lt;&gt;"!!!"),"NEW","")))</f>
        <v/>
      </c>
      <c r="G847" s="22" t="str">
        <f>IF(OR(E847="",E847="!!!"),"",IF(OR(J847=0,AND(J847=1,K847=1),AND(J847=1,I847="SBJ"),AND(J847=1,I847=0)),"?IN_FOCUS",IF(J847&lt;=2,"?ACTIVATED",IF(J847&lt;&gt;"","?FAMILIAR",IF(F847="NEW",IF(ISNA(VLOOKUP(E847,#REF!,1,FALSE())),"?TYPE_IDENTIFIABLE","?REFERENTIAL"),"_")))))</f>
        <v/>
      </c>
      <c r="H847" s="23" t="str">
        <f t="shared" ca="1" si="87"/>
        <v/>
      </c>
      <c r="I847" s="24" t="str">
        <f>IF(OR(E847="",E847="!!!",F847="NEW"),"",INDEX(B$2:B846,-1+SUMPRODUCT(MAX(ROW(E$2:E846)*(E847=E$2:E846)))))</f>
        <v/>
      </c>
      <c r="J847" s="24" t="str">
        <f ca="1">IF(OR(E847="",E847="!!!",F847="NEW"),"",COUNTBLANK(OFFSET(A$1,,,SUMPRODUCT(MAX(ROW(E$2:E847)*(E847=E$2:E847)))))-COUNTBLANK(OFFSET(A$1,,,SUMPRODUCT(MAX(ROW(E$1:E846)*(E2=E$1:E846))))))</f>
        <v/>
      </c>
      <c r="K847" s="24" t="str">
        <f>IF(OR(E847="",E847="!!!",F847="NEW"),"",INDEX(J$1:J846,SUMPRODUCT(MAX(ROW(E$1:E846)*(E847=E$1:E846)))))</f>
        <v/>
      </c>
      <c r="L847" s="25"/>
    </row>
    <row r="848" spans="1:12" x14ac:dyDescent="0.3">
      <c r="A848" t="s">
        <v>461</v>
      </c>
      <c r="E848" s="20" t="str">
        <f t="shared" si="86"/>
        <v/>
      </c>
      <c r="F848" s="21" t="str">
        <f>IF(OR(E848="",E848="!!!"),"",IF(NOT(ISNA(VLOOKUP(E848,E$1:E847,1,FALSE()))),"OLD",IF(AND(E848&lt;&gt;"",E848&lt;&gt;"!!!"),"NEW","")))</f>
        <v/>
      </c>
      <c r="G848" s="22" t="str">
        <f>IF(OR(E848="",E848="!!!"),"",IF(OR(J848=0,AND(J848=1,K848=1),AND(J848=1,I848="SBJ"),AND(J848=1,I848=0)),"?IN_FOCUS",IF(J848&lt;=2,"?ACTIVATED",IF(J848&lt;&gt;"","?FAMILIAR",IF(F848="NEW",IF(ISNA(VLOOKUP(E848,#REF!,1,FALSE())),"?TYPE_IDENTIFIABLE","?REFERENTIAL"),"_")))))</f>
        <v/>
      </c>
      <c r="H848" s="23" t="str">
        <f t="shared" ca="1" si="87"/>
        <v/>
      </c>
      <c r="I848" s="24" t="str">
        <f>IF(OR(E848="",E848="!!!",F848="NEW"),"",INDEX(B$2:B847,-1+SUMPRODUCT(MAX(ROW(E$2:E847)*(E848=E$2:E847)))))</f>
        <v/>
      </c>
      <c r="J848" s="24" t="str">
        <f ca="1">IF(OR(E848="",E848="!!!",F848="NEW"),"",COUNTBLANK(OFFSET(A$1,,,SUMPRODUCT(MAX(ROW(E$2:E848)*(E848=E$2:E848)))))-COUNTBLANK(OFFSET(A$1,,,SUMPRODUCT(MAX(ROW(E$1:E847)*(E2=E$1:E847))))))</f>
        <v/>
      </c>
      <c r="K848" s="24" t="str">
        <f>IF(OR(E848="",E848="!!!",F848="NEW"),"",INDEX(J$1:J847,SUMPRODUCT(MAX(ROW(E$1:E847)*(E848=E$1:E847)))))</f>
        <v/>
      </c>
      <c r="L848" s="25"/>
    </row>
    <row r="849" spans="1:12" x14ac:dyDescent="0.3">
      <c r="A849" t="s">
        <v>623</v>
      </c>
      <c r="B849" s="26" t="s">
        <v>238</v>
      </c>
      <c r="C849" s="26" t="s">
        <v>247</v>
      </c>
      <c r="E849" s="20" t="str">
        <f t="shared" si="86"/>
        <v/>
      </c>
      <c r="F849" s="21" t="str">
        <f>IF(OR(E849="",E849="!!!"),"",IF(NOT(ISNA(VLOOKUP(E849,E$1:E848,1,FALSE()))),"OLD",IF(AND(E849&lt;&gt;"",E849&lt;&gt;"!!!"),"NEW","")))</f>
        <v/>
      </c>
      <c r="G849" s="22" t="str">
        <f>IF(OR(E849="",E849="!!!"),"",IF(OR(J849=0,AND(J849=1,K849=1),AND(J849=1,I849="SBJ"),AND(J849=1,I849=0)),"?IN_FOCUS",IF(J849&lt;=2,"?ACTIVATED",IF(J849&lt;&gt;"","?FAMILIAR",IF(F849="NEW",IF(ISNA(VLOOKUP(E849,#REF!,1,FALSE())),"?TYPE_IDENTIFIABLE","?REFERENTIAL"),"_")))))</f>
        <v/>
      </c>
      <c r="H849" s="23" t="str">
        <f t="shared" ca="1" si="87"/>
        <v/>
      </c>
      <c r="I849" s="24" t="str">
        <f>IF(OR(E849="",E849="!!!",F849="NEW"),"",INDEX(B$2:B848,-1+SUMPRODUCT(MAX(ROW(E$2:E848)*(E849=E$2:E848)))))</f>
        <v/>
      </c>
      <c r="J849" s="24" t="str">
        <f ca="1">IF(OR(E849="",E849="!!!",F849="NEW"),"",COUNTBLANK(OFFSET(A$1,,,SUMPRODUCT(MAX(ROW(E$2:E849)*(E849=E$2:E849)))))-COUNTBLANK(OFFSET(A$1,,,SUMPRODUCT(MAX(ROW(E$1:E848)*(E2=E$1:E848))))))</f>
        <v/>
      </c>
      <c r="K849" s="24" t="str">
        <f>IF(OR(E849="",E849="!!!",F849="NEW"),"",INDEX(J$1:J848,SUMPRODUCT(MAX(ROW(E$1:E848)*(E849=E$1:E848)))))</f>
        <v/>
      </c>
      <c r="L849" s="25"/>
    </row>
    <row r="850" spans="1:12" x14ac:dyDescent="0.3">
      <c r="A850" t="s">
        <v>252</v>
      </c>
      <c r="E850" s="20" t="str">
        <f t="shared" si="86"/>
        <v/>
      </c>
      <c r="F850" s="21" t="str">
        <f>IF(OR(E850="",E850="!!!"),"",IF(NOT(ISNA(VLOOKUP(E850,E$1:E849,1,FALSE()))),"OLD",IF(AND(E850&lt;&gt;"",E850&lt;&gt;"!!!"),"NEW","")))</f>
        <v/>
      </c>
      <c r="G850" s="22" t="str">
        <f>IF(OR(E850="",E850="!!!"),"",IF(OR(J850=0,AND(J850=1,K850=1),AND(J850=1,I850="SBJ"),AND(J850=1,I850=0)),"?IN_FOCUS",IF(J850&lt;=2,"?ACTIVATED",IF(J850&lt;&gt;"","?FAMILIAR",IF(F850="NEW",IF(ISNA(VLOOKUP(E850,#REF!,1,FALSE())),"?TYPE_IDENTIFIABLE","?REFERENTIAL"),"_")))))</f>
        <v/>
      </c>
      <c r="H850" s="23" t="str">
        <f t="shared" ca="1" si="87"/>
        <v/>
      </c>
      <c r="I850" s="24" t="str">
        <f>IF(OR(E850="",E850="!!!",F850="NEW"),"",INDEX(B$2:B849,-1+SUMPRODUCT(MAX(ROW(E$2:E849)*(E850=E$2:E849)))))</f>
        <v/>
      </c>
      <c r="J850" s="24" t="str">
        <f ca="1">IF(OR(E850="",E850="!!!",F850="NEW"),"",COUNTBLANK(OFFSET(A$1,,,SUMPRODUCT(MAX(ROW(E$2:E850)*(E850=E$2:E850)))))-COUNTBLANK(OFFSET(A$1,,,SUMPRODUCT(MAX(ROW(E$1:E849)*(E2=E$1:E849))))))</f>
        <v/>
      </c>
      <c r="K850" s="24" t="str">
        <f>IF(OR(E850="",E850="!!!",F850="NEW"),"",INDEX(J$1:J849,SUMPRODUCT(MAX(ROW(E$1:E849)*(E850=E$1:E849)))))</f>
        <v/>
      </c>
      <c r="L850" s="25"/>
    </row>
    <row r="851" spans="1:12" x14ac:dyDescent="0.3">
      <c r="A851" t="s">
        <v>267</v>
      </c>
      <c r="B851" s="26" t="s">
        <v>255</v>
      </c>
      <c r="E851" s="20" t="str">
        <f t="shared" si="86"/>
        <v/>
      </c>
      <c r="F851" s="21" t="str">
        <f>IF(OR(E851="",E851="!!!"),"",IF(NOT(ISNA(VLOOKUP(E851,E$1:E850,1,FALSE()))),"OLD",IF(AND(E851&lt;&gt;"",E851&lt;&gt;"!!!"),"NEW","")))</f>
        <v/>
      </c>
      <c r="G851" s="22" t="str">
        <f>IF(OR(E851="",E851="!!!"),"",IF(OR(J851=0,AND(J851=1,K851=1),AND(J851=1,I851="SBJ"),AND(J851=1,I851=0)),"?IN_FOCUS",IF(J851&lt;=2,"?ACTIVATED",IF(J851&lt;&gt;"","?FAMILIAR",IF(F851="NEW",IF(ISNA(VLOOKUP(E851,#REF!,1,FALSE())),"?TYPE_IDENTIFIABLE","?REFERENTIAL"),"_")))))</f>
        <v/>
      </c>
      <c r="H851" s="23" t="str">
        <f t="shared" ca="1" si="87"/>
        <v/>
      </c>
      <c r="I851" s="24" t="str">
        <f>IF(OR(E851="",E851="!!!",F851="NEW"),"",INDEX(B$2:B850,-1+SUMPRODUCT(MAX(ROW(E$2:E850)*(E851=E$2:E850)))))</f>
        <v/>
      </c>
      <c r="J851" s="24" t="str">
        <f ca="1">IF(OR(E851="",E851="!!!",F851="NEW"),"",COUNTBLANK(OFFSET(A$1,,,SUMPRODUCT(MAX(ROW(E$2:E851)*(E851=E$2:E851)))))-COUNTBLANK(OFFSET(A$1,,,SUMPRODUCT(MAX(ROW(E$1:E850)*(E2=E$1:E850))))))</f>
        <v/>
      </c>
      <c r="K851" s="24" t="str">
        <f>IF(OR(E851="",E851="!!!",F851="NEW"),"",INDEX(J$1:J850,SUMPRODUCT(MAX(ROW(E$1:E850)*(E851=E$1:E850)))))</f>
        <v/>
      </c>
      <c r="L851" s="25"/>
    </row>
    <row r="852" spans="1:12" x14ac:dyDescent="0.3">
      <c r="A852" t="s">
        <v>321</v>
      </c>
      <c r="E852" s="20" t="str">
        <f t="shared" si="86"/>
        <v/>
      </c>
      <c r="F852" s="21" t="str">
        <f>IF(OR(E852="",E852="!!!"),"",IF(NOT(ISNA(VLOOKUP(E852,E$1:E851,1,FALSE()))),"OLD",IF(AND(E852&lt;&gt;"",E852&lt;&gt;"!!!"),"NEW","")))</f>
        <v/>
      </c>
      <c r="G852" s="22" t="str">
        <f>IF(OR(E852="",E852="!!!"),"",IF(OR(J852=0,AND(J852=1,K852=1),AND(J852=1,I852="SBJ"),AND(J852=1,I852=0)),"?IN_FOCUS",IF(J852&lt;=2,"?ACTIVATED",IF(J852&lt;&gt;"","?FAMILIAR",IF(F852="NEW",IF(ISNA(VLOOKUP(E852,#REF!,1,FALSE())),"?TYPE_IDENTIFIABLE","?REFERENTIAL"),"_")))))</f>
        <v/>
      </c>
      <c r="H852" s="23" t="str">
        <f t="shared" ca="1" si="87"/>
        <v/>
      </c>
      <c r="I852" s="24" t="str">
        <f>IF(OR(E852="",E852="!!!",F852="NEW"),"",INDEX(B$2:B851,-1+SUMPRODUCT(MAX(ROW(E$2:E851)*(E852=E$2:E851)))))</f>
        <v/>
      </c>
      <c r="J852" s="24" t="str">
        <f ca="1">IF(OR(E852="",E852="!!!",F852="NEW"),"",COUNTBLANK(OFFSET(A$1,,,SUMPRODUCT(MAX(ROW(E$2:E852)*(E852=E$2:E852)))))-COUNTBLANK(OFFSET(A$1,,,SUMPRODUCT(MAX(ROW(E$1:E851)*(E2=E$1:E851))))))</f>
        <v/>
      </c>
      <c r="K852" s="24" t="str">
        <f>IF(OR(E852="",E852="!!!",F852="NEW"),"",INDEX(J$1:J851,SUMPRODUCT(MAX(ROW(E$1:E851)*(E852=E$1:E851)))))</f>
        <v/>
      </c>
      <c r="L852" s="25"/>
    </row>
    <row r="853" spans="1:12" x14ac:dyDescent="0.3">
      <c r="A853" t="s">
        <v>624</v>
      </c>
      <c r="B853" s="26" t="s">
        <v>265</v>
      </c>
      <c r="C853" s="26" t="s">
        <v>262</v>
      </c>
      <c r="E853" s="20" t="str">
        <f t="shared" si="86"/>
        <v/>
      </c>
      <c r="F853" s="21" t="str">
        <f>IF(OR(E853="",E853="!!!"),"",IF(NOT(ISNA(VLOOKUP(E853,E$1:E852,1,FALSE()))),"OLD",IF(AND(E853&lt;&gt;"",E853&lt;&gt;"!!!"),"NEW","")))</f>
        <v/>
      </c>
      <c r="G853" s="22" t="str">
        <f>IF(OR(E853="",E853="!!!"),"",IF(OR(J853=0,AND(J853=1,K853=1),AND(J853=1,I853="SBJ"),AND(J853=1,I853=0)),"?IN_FOCUS",IF(J853&lt;=2,"?ACTIVATED",IF(J853&lt;&gt;"","?FAMILIAR",IF(F853="NEW",IF(ISNA(VLOOKUP(E853,#REF!,1,FALSE())),"?TYPE_IDENTIFIABLE","?REFERENTIAL"),"_")))))</f>
        <v/>
      </c>
      <c r="H853" s="23" t="str">
        <f t="shared" ca="1" si="87"/>
        <v/>
      </c>
      <c r="I853" s="24" t="str">
        <f>IF(OR(E853="",E853="!!!",F853="NEW"),"",INDEX(B$2:B852,-1+SUMPRODUCT(MAX(ROW(E$2:E852)*(E853=E$2:E852)))))</f>
        <v/>
      </c>
      <c r="J853" s="24" t="str">
        <f ca="1">IF(OR(E853="",E853="!!!",F853="NEW"),"",COUNTBLANK(OFFSET(A$1,,,SUMPRODUCT(MAX(ROW(E$2:E853)*(E853=E$2:E853)))))-COUNTBLANK(OFFSET(A$1,,,SUMPRODUCT(MAX(ROW(E$1:E852)*(E2=E$1:E852))))))</f>
        <v/>
      </c>
      <c r="K853" s="24" t="str">
        <f>IF(OR(E853="",E853="!!!",F853="NEW"),"",INDEX(J$1:J852,SUMPRODUCT(MAX(ROW(E$1:E852)*(E853=E$1:E852)))))</f>
        <v/>
      </c>
      <c r="L853" s="25"/>
    </row>
    <row r="854" spans="1:12" x14ac:dyDescent="0.3">
      <c r="A854" t="s">
        <v>257</v>
      </c>
      <c r="E854" s="20" t="str">
        <f t="shared" si="86"/>
        <v/>
      </c>
      <c r="F854" s="21" t="str">
        <f>IF(OR(E854="",E854="!!!"),"",IF(NOT(ISNA(VLOOKUP(E854,E$1:E853,1,FALSE()))),"OLD",IF(AND(E854&lt;&gt;"",E854&lt;&gt;"!!!"),"NEW","")))</f>
        <v/>
      </c>
      <c r="G854" s="22" t="str">
        <f>IF(OR(E854="",E854="!!!"),"",IF(OR(J854=0,AND(J854=1,K854=1),AND(J854=1,I854="SBJ"),AND(J854=1,I854=0)),"?IN_FOCUS",IF(J854&lt;=2,"?ACTIVATED",IF(J854&lt;&gt;"","?FAMILIAR",IF(F854="NEW",IF(ISNA(VLOOKUP(E854,#REF!,1,FALSE())),"?TYPE_IDENTIFIABLE","?REFERENTIAL"),"_")))))</f>
        <v/>
      </c>
      <c r="H854" s="23" t="str">
        <f t="shared" ca="1" si="87"/>
        <v/>
      </c>
      <c r="I854" s="24" t="str">
        <f>IF(OR(E854="",E854="!!!",F854="NEW"),"",INDEX(B$2:B853,-1+SUMPRODUCT(MAX(ROW(E$2:E853)*(E854=E$2:E853)))))</f>
        <v/>
      </c>
      <c r="J854" s="24" t="str">
        <f ca="1">IF(OR(E854="",E854="!!!",F854="NEW"),"",COUNTBLANK(OFFSET(A$1,,,SUMPRODUCT(MAX(ROW(E$2:E854)*(E854=E$2:E854)))))-COUNTBLANK(OFFSET(A$1,,,SUMPRODUCT(MAX(ROW(E$1:E853)*(E2=E$1:E853))))))</f>
        <v/>
      </c>
      <c r="K854" s="24" t="str">
        <f>IF(OR(E854="",E854="!!!",F854="NEW"),"",INDEX(J$1:J853,SUMPRODUCT(MAX(ROW(E$1:E853)*(E854=E$1:E853)))))</f>
        <v/>
      </c>
      <c r="L854" s="25"/>
    </row>
    <row r="855" spans="1:12" x14ac:dyDescent="0.3">
      <c r="A855" t="s">
        <v>236</v>
      </c>
      <c r="E855" s="20" t="str">
        <f t="shared" si="86"/>
        <v/>
      </c>
      <c r="F855" s="21" t="str">
        <f>IF(OR(E855="",E855="!!!"),"",IF(NOT(ISNA(VLOOKUP(E855,E$1:E854,1,FALSE()))),"OLD",IF(AND(E855&lt;&gt;"",E855&lt;&gt;"!!!"),"NEW","")))</f>
        <v/>
      </c>
      <c r="G855" s="22" t="str">
        <f>IF(OR(E855="",E855="!!!"),"",IF(OR(J855=0,AND(J855=1,K855=1),AND(J855=1,I855="SBJ"),AND(J855=1,I855=0)),"?IN_FOCUS",IF(J855&lt;=2,"?ACTIVATED",IF(J855&lt;&gt;"","?FAMILIAR",IF(F855="NEW",IF(ISNA(VLOOKUP(E855,#REF!,1,FALSE())),"?TYPE_IDENTIFIABLE","?REFERENTIAL"),"_")))))</f>
        <v/>
      </c>
      <c r="H855" s="23" t="str">
        <f t="shared" ca="1" si="87"/>
        <v/>
      </c>
      <c r="I855" s="24" t="str">
        <f>IF(OR(E855="",E855="!!!",F855="NEW"),"",INDEX(B$2:B854,-1+SUMPRODUCT(MAX(ROW(E$2:E854)*(E855=E$2:E854)))))</f>
        <v/>
      </c>
      <c r="J855" s="24" t="str">
        <f ca="1">IF(OR(E855="",E855="!!!",F855="NEW"),"",COUNTBLANK(OFFSET(A$1,,,SUMPRODUCT(MAX(ROW(E$2:E855)*(E855=E$2:E855)))))-COUNTBLANK(OFFSET(A$1,,,SUMPRODUCT(MAX(ROW(E$1:E854)*(E2=E$1:E854))))))</f>
        <v/>
      </c>
      <c r="K855" s="24" t="str">
        <f>IF(OR(E855="",E855="!!!",F855="NEW"),"",INDEX(J$1:J854,SUMPRODUCT(MAX(ROW(E$1:E854)*(E855=E$1:E854)))))</f>
        <v/>
      </c>
      <c r="L855" s="25"/>
    </row>
    <row r="856" spans="1:12" x14ac:dyDescent="0.3">
      <c r="A856" t="s">
        <v>625</v>
      </c>
      <c r="B856" s="26" t="s">
        <v>261</v>
      </c>
      <c r="C856" s="26" t="s">
        <v>239</v>
      </c>
      <c r="D856" s="26" t="s">
        <v>240</v>
      </c>
      <c r="E856" s="20" t="str">
        <f t="shared" si="86"/>
        <v>!!!</v>
      </c>
      <c r="F856" s="21" t="str">
        <f>IF(OR(E856="",E856="!!!"),"",IF(NOT(ISNA(VLOOKUP(E856,E$1:E855,1,FALSE()))),"OLD",IF(AND(E856&lt;&gt;"",E856&lt;&gt;"!!!"),"NEW","")))</f>
        <v/>
      </c>
      <c r="G856" s="22" t="str">
        <f>IF(OR(E856="",E856="!!!"),"",IF(OR(J856=0,AND(J856=1,K856=1),AND(J856=1,I856="SBJ"),AND(J856=1,I856=0)),"?IN_FOCUS",IF(J856&lt;=2,"?ACTIVATED",IF(J856&lt;&gt;"","?FAMILIAR",IF(F856="NEW",IF(ISNA(VLOOKUP(E856,#REF!,1,FALSE())),"?TYPE_IDENTIFIABLE","?REFERENTIAL"),"_")))))</f>
        <v/>
      </c>
      <c r="H856" s="23" t="str">
        <f t="shared" ca="1" si="87"/>
        <v/>
      </c>
      <c r="I856" s="24" t="str">
        <f>IF(OR(E856="",E856="!!!",F856="NEW"),"",INDEX(B$2:B855,-1+SUMPRODUCT(MAX(ROW(E$2:E855)*(E856=E$2:E855)))))</f>
        <v/>
      </c>
      <c r="J856" s="24" t="str">
        <f ca="1">IF(OR(E856="",E856="!!!",F856="NEW"),"",COUNTBLANK(OFFSET(A$1,,,SUMPRODUCT(MAX(ROW(E$2:E856)*(E856=E$2:E856)))))-COUNTBLANK(OFFSET(A$1,,,SUMPRODUCT(MAX(ROW(E$1:E855)*(E2=E$1:E855))))))</f>
        <v/>
      </c>
      <c r="K856" s="24" t="str">
        <f>IF(OR(E856="",E856="!!!",F856="NEW"),"",INDEX(J$1:J855,SUMPRODUCT(MAX(ROW(E$1:E855)*(E856=E$1:E855)))))</f>
        <v/>
      </c>
      <c r="L856" s="25"/>
    </row>
    <row r="857" spans="1:12" x14ac:dyDescent="0.3">
      <c r="A857" t="s">
        <v>626</v>
      </c>
      <c r="E857" s="20" t="str">
        <f t="shared" si="86"/>
        <v/>
      </c>
      <c r="F857" s="21" t="str">
        <f>IF(OR(E857="",E857="!!!"),"",IF(NOT(ISNA(VLOOKUP(E857,E$1:E856,1,FALSE()))),"OLD",IF(AND(E857&lt;&gt;"",E857&lt;&gt;"!!!"),"NEW","")))</f>
        <v/>
      </c>
      <c r="G857" s="22" t="str">
        <f>IF(OR(E857="",E857="!!!"),"",IF(OR(J857=0,AND(J857=1,K857=1),AND(J857=1,I857="SBJ"),AND(J857=1,I857=0)),"?IN_FOCUS",IF(J857&lt;=2,"?ACTIVATED",IF(J857&lt;&gt;"","?FAMILIAR",IF(F857="NEW",IF(ISNA(VLOOKUP(E857,#REF!,1,FALSE())),"?TYPE_IDENTIFIABLE","?REFERENTIAL"),"_")))))</f>
        <v/>
      </c>
      <c r="H857" s="23" t="str">
        <f t="shared" ca="1" si="87"/>
        <v/>
      </c>
      <c r="I857" s="24" t="str">
        <f>IF(OR(E857="",E857="!!!",F857="NEW"),"",INDEX(B$2:B856,-1+SUMPRODUCT(MAX(ROW(E$2:E856)*(E857=E$2:E856)))))</f>
        <v/>
      </c>
      <c r="J857" s="24" t="str">
        <f ca="1">IF(OR(E857="",E857="!!!",F857="NEW"),"",COUNTBLANK(OFFSET(A$1,,,SUMPRODUCT(MAX(ROW(E$2:E857)*(E857=E$2:E857)))))-COUNTBLANK(OFFSET(A$1,,,SUMPRODUCT(MAX(ROW(E$1:E856)*(E2=E$1:E856))))))</f>
        <v/>
      </c>
      <c r="K857" s="24" t="str">
        <f>IF(OR(E857="",E857="!!!",F857="NEW"),"",INDEX(J$1:J856,SUMPRODUCT(MAX(ROW(E$1:E856)*(E857=E$1:E856)))))</f>
        <v/>
      </c>
      <c r="L857" s="25"/>
    </row>
    <row r="858" spans="1:12" x14ac:dyDescent="0.3">
      <c r="A858" t="s">
        <v>252</v>
      </c>
      <c r="E858" s="20" t="str">
        <f t="shared" si="86"/>
        <v/>
      </c>
      <c r="F858" s="21" t="str">
        <f>IF(OR(E858="",E858="!!!"),"",IF(NOT(ISNA(VLOOKUP(E858,E$1:E857,1,FALSE()))),"OLD",IF(AND(E858&lt;&gt;"",E858&lt;&gt;"!!!"),"NEW","")))</f>
        <v/>
      </c>
      <c r="G858" s="22" t="str">
        <f>IF(OR(E858="",E858="!!!"),"",IF(OR(J858=0,AND(J858=1,K858=1),AND(J858=1,I858="SBJ"),AND(J858=1,I858=0)),"?IN_FOCUS",IF(J858&lt;=2,"?ACTIVATED",IF(J858&lt;&gt;"","?FAMILIAR",IF(F858="NEW",IF(ISNA(VLOOKUP(E858,#REF!,1,FALSE())),"?TYPE_IDENTIFIABLE","?REFERENTIAL"),"_")))))</f>
        <v/>
      </c>
      <c r="H858" s="23" t="str">
        <f t="shared" ca="1" si="87"/>
        <v/>
      </c>
      <c r="I858" s="24" t="str">
        <f>IF(OR(E858="",E858="!!!",F858="NEW"),"",INDEX(B$2:B857,-1+SUMPRODUCT(MAX(ROW(E$2:E857)*(E858=E$2:E857)))))</f>
        <v/>
      </c>
      <c r="J858" s="24" t="str">
        <f ca="1">IF(OR(E858="",E858="!!!",F858="NEW"),"",COUNTBLANK(OFFSET(A$1,,,SUMPRODUCT(MAX(ROW(E$2:E858)*(E858=E$2:E858)))))-COUNTBLANK(OFFSET(A$1,,,SUMPRODUCT(MAX(ROW(E$1:E857)*(E2=E$1:E857))))))</f>
        <v/>
      </c>
      <c r="K858" s="24" t="str">
        <f>IF(OR(E858="",E858="!!!",F858="NEW"),"",INDEX(J$1:J857,SUMPRODUCT(MAX(ROW(E$1:E857)*(E858=E$1:E857)))))</f>
        <v/>
      </c>
      <c r="L858" s="25"/>
    </row>
    <row r="859" spans="1:12" x14ac:dyDescent="0.3">
      <c r="A859" t="s">
        <v>278</v>
      </c>
      <c r="E859" s="20" t="str">
        <f t="shared" si="86"/>
        <v/>
      </c>
      <c r="F859" s="21" t="str">
        <f>IF(OR(E859="",E859="!!!"),"",IF(NOT(ISNA(VLOOKUP(E859,E$1:E858,1,FALSE()))),"OLD",IF(AND(E859&lt;&gt;"",E859&lt;&gt;"!!!"),"NEW","")))</f>
        <v/>
      </c>
      <c r="G859" s="22" t="str">
        <f>IF(OR(E859="",E859="!!!"),"",IF(OR(J859=0,AND(J859=1,K859=1),AND(J859=1,I859="SBJ"),AND(J859=1,I859=0)),"?IN_FOCUS",IF(J859&lt;=2,"?ACTIVATED",IF(J859&lt;&gt;"","?FAMILIAR",IF(F859="NEW",IF(ISNA(VLOOKUP(E859,#REF!,1,FALSE())),"?TYPE_IDENTIFIABLE","?REFERENTIAL"),"_")))))</f>
        <v/>
      </c>
      <c r="H859" s="23" t="str">
        <f t="shared" ca="1" si="87"/>
        <v/>
      </c>
      <c r="I859" s="24" t="str">
        <f>IF(OR(E859="",E859="!!!",F859="NEW"),"",INDEX(B$2:B858,-1+SUMPRODUCT(MAX(ROW(E$2:E858)*(E859=E$2:E858)))))</f>
        <v/>
      </c>
      <c r="J859" s="24" t="str">
        <f ca="1">IF(OR(E859="",E859="!!!",F859="NEW"),"",COUNTBLANK(OFFSET(A$1,,,SUMPRODUCT(MAX(ROW(E$2:E859)*(E859=E$2:E859)))))-COUNTBLANK(OFFSET(A$1,,,SUMPRODUCT(MAX(ROW(E$1:E858)*(E2=E$1:E858))))))</f>
        <v/>
      </c>
      <c r="K859" s="24" t="str">
        <f>IF(OR(E859="",E859="!!!",F859="NEW"),"",INDEX(J$1:J858,SUMPRODUCT(MAX(ROW(E$1:E858)*(E859=E$1:E858)))))</f>
        <v/>
      </c>
      <c r="L859" s="25"/>
    </row>
    <row r="860" spans="1:12" x14ac:dyDescent="0.3">
      <c r="A860" t="s">
        <v>514</v>
      </c>
      <c r="B860" s="26" t="s">
        <v>255</v>
      </c>
      <c r="C860" s="26" t="s">
        <v>305</v>
      </c>
      <c r="E860" s="20" t="str">
        <f t="shared" si="86"/>
        <v/>
      </c>
      <c r="F860" s="21" t="str">
        <f>IF(OR(E860="",E860="!!!"),"",IF(NOT(ISNA(VLOOKUP(E860,E$1:E859,1,FALSE()))),"OLD",IF(AND(E860&lt;&gt;"",E860&lt;&gt;"!!!"),"NEW","")))</f>
        <v/>
      </c>
      <c r="G860" s="22" t="str">
        <f>IF(OR(E860="",E860="!!!"),"",IF(OR(J860=0,AND(J860=1,K860=1),AND(J860=1,I860="SBJ"),AND(J860=1,I860=0)),"?IN_FOCUS",IF(J860&lt;=2,"?ACTIVATED",IF(J860&lt;&gt;"","?FAMILIAR",IF(F860="NEW",IF(ISNA(VLOOKUP(E860,#REF!,1,FALSE())),"?TYPE_IDENTIFIABLE","?REFERENTIAL"),"_")))))</f>
        <v/>
      </c>
      <c r="H860" s="23" t="str">
        <f t="shared" ca="1" si="87"/>
        <v/>
      </c>
      <c r="I860" s="24" t="str">
        <f>IF(OR(E860="",E860="!!!",F860="NEW"),"",INDEX(B$2:B859,-1+SUMPRODUCT(MAX(ROW(E$2:E859)*(E860=E$2:E859)))))</f>
        <v/>
      </c>
      <c r="J860" s="24" t="str">
        <f ca="1">IF(OR(E860="",E860="!!!",F860="NEW"),"",COUNTBLANK(OFFSET(A$1,,,SUMPRODUCT(MAX(ROW(E$2:E860)*(E860=E$2:E860)))))-COUNTBLANK(OFFSET(A$1,,,SUMPRODUCT(MAX(ROW(E$1:E859)*(E2=E$1:E859))))))</f>
        <v/>
      </c>
      <c r="K860" s="24" t="str">
        <f>IF(OR(E860="",E860="!!!",F860="NEW"),"",INDEX(J$1:J859,SUMPRODUCT(MAX(ROW(E$1:E859)*(E860=E$1:E859)))))</f>
        <v/>
      </c>
      <c r="L860" s="25"/>
    </row>
    <row r="861" spans="1:12" x14ac:dyDescent="0.3">
      <c r="A861" t="s">
        <v>267</v>
      </c>
      <c r="E861" s="20" t="str">
        <f t="shared" si="86"/>
        <v/>
      </c>
      <c r="F861" s="21" t="str">
        <f>IF(OR(E861="",E861="!!!"),"",IF(NOT(ISNA(VLOOKUP(E861,E$1:E860,1,FALSE()))),"OLD",IF(AND(E861&lt;&gt;"",E861&lt;&gt;"!!!"),"NEW","")))</f>
        <v/>
      </c>
      <c r="G861" s="22" t="str">
        <f>IF(OR(E861="",E861="!!!"),"",IF(OR(J861=0,AND(J861=1,K861=1),AND(J861=1,I861="SBJ"),AND(J861=1,I861=0)),"?IN_FOCUS",IF(J861&lt;=2,"?ACTIVATED",IF(J861&lt;&gt;"","?FAMILIAR",IF(F861="NEW",IF(ISNA(VLOOKUP(E861,#REF!,1,FALSE())),"?TYPE_IDENTIFIABLE","?REFERENTIAL"),"_")))))</f>
        <v/>
      </c>
      <c r="H861" s="23" t="str">
        <f t="shared" ca="1" si="87"/>
        <v/>
      </c>
      <c r="I861" s="24" t="str">
        <f>IF(OR(E861="",E861="!!!",F861="NEW"),"",INDEX(B$2:B860,-1+SUMPRODUCT(MAX(ROW(E$2:E860)*(E861=E$2:E860)))))</f>
        <v/>
      </c>
      <c r="J861" s="24" t="str">
        <f ca="1">IF(OR(E861="",E861="!!!",F861="NEW"),"",COUNTBLANK(OFFSET(A$1,,,SUMPRODUCT(MAX(ROW(E$2:E861)*(E861=E$2:E861)))))-COUNTBLANK(OFFSET(A$1,,,SUMPRODUCT(MAX(ROW(E$1:E860)*(E2=E$1:E860))))))</f>
        <v/>
      </c>
      <c r="K861" s="24" t="str">
        <f>IF(OR(E861="",E861="!!!",F861="NEW"),"",INDEX(J$1:J860,SUMPRODUCT(MAX(ROW(E$1:E860)*(E861=E$1:E860)))))</f>
        <v/>
      </c>
      <c r="L861" s="25"/>
    </row>
    <row r="862" spans="1:12" x14ac:dyDescent="0.3">
      <c r="A862" t="s">
        <v>497</v>
      </c>
      <c r="B862" s="26" t="s">
        <v>265</v>
      </c>
      <c r="C862" s="26" t="s">
        <v>239</v>
      </c>
      <c r="D862" s="26" t="s">
        <v>240</v>
      </c>
      <c r="E862" s="20" t="str">
        <f t="shared" si="86"/>
        <v>!!!</v>
      </c>
      <c r="F862" s="21" t="str">
        <f>IF(OR(E862="",E862="!!!"),"",IF(NOT(ISNA(VLOOKUP(E862,E$1:E861,1,FALSE()))),"OLD",IF(AND(E862&lt;&gt;"",E862&lt;&gt;"!!!"),"NEW","")))</f>
        <v/>
      </c>
      <c r="G862" s="22" t="str">
        <f>IF(OR(E862="",E862="!!!"),"",IF(OR(J862=0,AND(J862=1,K862=1),AND(J862=1,I862="SBJ"),AND(J862=1,I862=0)),"?IN_FOCUS",IF(J862&lt;=2,"?ACTIVATED",IF(J862&lt;&gt;"","?FAMILIAR",IF(F862="NEW",IF(ISNA(VLOOKUP(E862,#REF!,1,FALSE())),"?TYPE_IDENTIFIABLE","?REFERENTIAL"),"_")))))</f>
        <v/>
      </c>
      <c r="H862" s="23" t="str">
        <f t="shared" ca="1" si="87"/>
        <v/>
      </c>
      <c r="I862" s="24" t="str">
        <f>IF(OR(E862="",E862="!!!",F862="NEW"),"",INDEX(B$2:B861,-1+SUMPRODUCT(MAX(ROW(E$2:E861)*(E862=E$2:E861)))))</f>
        <v/>
      </c>
      <c r="J862" s="24" t="str">
        <f ca="1">IF(OR(E862="",E862="!!!",F862="NEW"),"",COUNTBLANK(OFFSET(A$1,,,SUMPRODUCT(MAX(ROW(E$2:E862)*(E862=E$2:E862)))))-COUNTBLANK(OFFSET(A$1,,,SUMPRODUCT(MAX(ROW(E$1:E861)*(E2=E$1:E861))))))</f>
        <v/>
      </c>
      <c r="K862" s="24" t="str">
        <f>IF(OR(E862="",E862="!!!",F862="NEW"),"",INDEX(J$1:J861,SUMPRODUCT(MAX(ROW(E$1:E861)*(E862=E$1:E861)))))</f>
        <v/>
      </c>
      <c r="L862" s="25"/>
    </row>
    <row r="863" spans="1:12" x14ac:dyDescent="0.3">
      <c r="A863" t="s">
        <v>627</v>
      </c>
      <c r="E863" s="20" t="str">
        <f t="shared" si="86"/>
        <v/>
      </c>
      <c r="F863" s="21" t="str">
        <f>IF(OR(E863="",E863="!!!"),"",IF(NOT(ISNA(VLOOKUP(E863,E$1:E862,1,FALSE()))),"OLD",IF(AND(E863&lt;&gt;"",E863&lt;&gt;"!!!"),"NEW","")))</f>
        <v/>
      </c>
      <c r="G863" s="22" t="str">
        <f>IF(OR(E863="",E863="!!!"),"",IF(OR(J863=0,AND(J863=1,K863=1),AND(J863=1,I863="SBJ"),AND(J863=1,I863=0)),"?IN_FOCUS",IF(J863&lt;=2,"?ACTIVATED",IF(J863&lt;&gt;"","?FAMILIAR",IF(F863="NEW",IF(ISNA(VLOOKUP(E863,#REF!,1,FALSE())),"?TYPE_IDENTIFIABLE","?REFERENTIAL"),"_")))))</f>
        <v/>
      </c>
      <c r="H863" s="23" t="str">
        <f t="shared" ca="1" si="87"/>
        <v/>
      </c>
      <c r="I863" s="24" t="str">
        <f>IF(OR(E863="",E863="!!!",F863="NEW"),"",INDEX(B$2:B862,-1+SUMPRODUCT(MAX(ROW(E$2:E862)*(E863=E$2:E862)))))</f>
        <v/>
      </c>
      <c r="J863" s="24" t="str">
        <f ca="1">IF(OR(E863="",E863="!!!",F863="NEW"),"",COUNTBLANK(OFFSET(A$1,,,SUMPRODUCT(MAX(ROW(E$2:E863)*(E863=E$2:E863)))))-COUNTBLANK(OFFSET(A$1,,,SUMPRODUCT(MAX(ROW(E$1:E862)*(E2=E$1:E862))))))</f>
        <v/>
      </c>
      <c r="K863" s="24" t="str">
        <f>IF(OR(E863="",E863="!!!",F863="NEW"),"",INDEX(J$1:J862,SUMPRODUCT(MAX(ROW(E$1:E862)*(E863=E$1:E862)))))</f>
        <v/>
      </c>
      <c r="L863" s="25"/>
    </row>
    <row r="864" spans="1:12" x14ac:dyDescent="0.3">
      <c r="A864" t="s">
        <v>393</v>
      </c>
      <c r="E864" s="20" t="str">
        <f t="shared" si="86"/>
        <v/>
      </c>
      <c r="F864" s="21" t="str">
        <f>IF(OR(E864="",E864="!!!"),"",IF(NOT(ISNA(VLOOKUP(E864,E$1:E863,1,FALSE()))),"OLD",IF(AND(E864&lt;&gt;"",E864&lt;&gt;"!!!"),"NEW","")))</f>
        <v/>
      </c>
      <c r="G864" s="22" t="str">
        <f>IF(OR(E864="",E864="!!!"),"",IF(OR(J864=0,AND(J864=1,K864=1),AND(J864=1,I864="SBJ"),AND(J864=1,I864=0)),"?IN_FOCUS",IF(J864&lt;=2,"?ACTIVATED",IF(J864&lt;&gt;"","?FAMILIAR",IF(F864="NEW",IF(ISNA(VLOOKUP(E864,#REF!,1,FALSE())),"?TYPE_IDENTIFIABLE","?REFERENTIAL"),"_")))))</f>
        <v/>
      </c>
      <c r="H864" s="23" t="str">
        <f t="shared" ca="1" si="87"/>
        <v/>
      </c>
      <c r="I864" s="24" t="str">
        <f>IF(OR(E864="",E864="!!!",F864="NEW"),"",INDEX(B$2:B863,-1+SUMPRODUCT(MAX(ROW(E$2:E863)*(E864=E$2:E863)))))</f>
        <v/>
      </c>
      <c r="J864" s="24" t="str">
        <f ca="1">IF(OR(E864="",E864="!!!",F864="NEW"),"",COUNTBLANK(OFFSET(A$1,,,SUMPRODUCT(MAX(ROW(E$2:E864)*(E864=E$2:E864)))))-COUNTBLANK(OFFSET(A$1,,,SUMPRODUCT(MAX(ROW(E$1:E863)*(E2=E$1:E863))))))</f>
        <v/>
      </c>
      <c r="K864" s="24" t="str">
        <f>IF(OR(E864="",E864="!!!",F864="NEW"),"",INDEX(J$1:J863,SUMPRODUCT(MAX(ROW(E$1:E863)*(E864=E$1:E863)))))</f>
        <v/>
      </c>
      <c r="L864" s="25"/>
    </row>
    <row r="865" spans="1:12" x14ac:dyDescent="0.3">
      <c r="A865" t="s">
        <v>581</v>
      </c>
      <c r="B865" s="26" t="s">
        <v>265</v>
      </c>
      <c r="C865" s="26" t="s">
        <v>239</v>
      </c>
      <c r="D865" s="26" t="s">
        <v>240</v>
      </c>
      <c r="E865" s="20" t="str">
        <f t="shared" si="86"/>
        <v>!!!</v>
      </c>
      <c r="F865" s="21" t="str">
        <f>IF(OR(E865="",E865="!!!"),"",IF(NOT(ISNA(VLOOKUP(E865,E$1:E864,1,FALSE()))),"OLD",IF(AND(E865&lt;&gt;"",E865&lt;&gt;"!!!"),"NEW","")))</f>
        <v/>
      </c>
      <c r="G865" s="22" t="str">
        <f>IF(OR(E865="",E865="!!!"),"",IF(OR(J865=0,AND(J865=1,K865=1),AND(J865=1,I865="SBJ"),AND(J865=1,I865=0)),"?IN_FOCUS",IF(J865&lt;=2,"?ACTIVATED",IF(J865&lt;&gt;"","?FAMILIAR",IF(F865="NEW",IF(ISNA(VLOOKUP(E865,#REF!,1,FALSE())),"?TYPE_IDENTIFIABLE","?REFERENTIAL"),"_")))))</f>
        <v/>
      </c>
      <c r="H865" s="23" t="str">
        <f t="shared" ca="1" si="87"/>
        <v/>
      </c>
      <c r="I865" s="24" t="str">
        <f>IF(OR(E865="",E865="!!!",F865="NEW"),"",INDEX(B$2:B864,-1+SUMPRODUCT(MAX(ROW(E$2:E864)*(E865=E$2:E864)))))</f>
        <v/>
      </c>
      <c r="J865" s="24" t="str">
        <f ca="1">IF(OR(E865="",E865="!!!",F865="NEW"),"",COUNTBLANK(OFFSET(A$1,,,SUMPRODUCT(MAX(ROW(E$2:E865)*(E865=E$2:E865)))))-COUNTBLANK(OFFSET(A$1,,,SUMPRODUCT(MAX(ROW(E$1:E864)*(E2=E$1:E864))))))</f>
        <v/>
      </c>
      <c r="K865" s="24" t="str">
        <f>IF(OR(E865="",E865="!!!",F865="NEW"),"",INDEX(J$1:J864,SUMPRODUCT(MAX(ROW(E$1:E864)*(E865=E$1:E864)))))</f>
        <v/>
      </c>
      <c r="L865" s="25"/>
    </row>
    <row r="866" spans="1:12" x14ac:dyDescent="0.3">
      <c r="A866" t="s">
        <v>628</v>
      </c>
      <c r="E866" s="20" t="str">
        <f t="shared" si="86"/>
        <v/>
      </c>
      <c r="F866" s="21" t="str">
        <f>IF(OR(E866="",E866="!!!"),"",IF(NOT(ISNA(VLOOKUP(E866,E$1:E865,1,FALSE()))),"OLD",IF(AND(E866&lt;&gt;"",E866&lt;&gt;"!!!"),"NEW","")))</f>
        <v/>
      </c>
      <c r="G866" s="22" t="str">
        <f>IF(OR(E866="",E866="!!!"),"",IF(OR(J866=0,AND(J866=1,K866=1),AND(J866=1,I866="SBJ"),AND(J866=1,I866=0)),"?IN_FOCUS",IF(J866&lt;=2,"?ACTIVATED",IF(J866&lt;&gt;"","?FAMILIAR",IF(F866="NEW",IF(ISNA(VLOOKUP(E866,#REF!,1,FALSE())),"?TYPE_IDENTIFIABLE","?REFERENTIAL"),"_")))))</f>
        <v/>
      </c>
      <c r="H866" s="23" t="str">
        <f t="shared" ca="1" si="87"/>
        <v/>
      </c>
      <c r="I866" s="24" t="str">
        <f>IF(OR(E866="",E866="!!!",F866="NEW"),"",INDEX(B$2:B865,-1+SUMPRODUCT(MAX(ROW(E$2:E865)*(E866=E$2:E865)))))</f>
        <v/>
      </c>
      <c r="J866" s="24" t="str">
        <f ca="1">IF(OR(E866="",E866="!!!",F866="NEW"),"",COUNTBLANK(OFFSET(A$1,,,SUMPRODUCT(MAX(ROW(E$2:E866)*(E866=E$2:E866)))))-COUNTBLANK(OFFSET(A$1,,,SUMPRODUCT(MAX(ROW(E$1:E865)*(E2=E$1:E865))))))</f>
        <v/>
      </c>
      <c r="K866" s="24" t="str">
        <f>IF(OR(E866="",E866="!!!",F866="NEW"),"",INDEX(J$1:J865,SUMPRODUCT(MAX(ROW(E$1:E865)*(E866=E$1:E865)))))</f>
        <v/>
      </c>
      <c r="L866" s="25"/>
    </row>
    <row r="867" spans="1:12" x14ac:dyDescent="0.3">
      <c r="A867" t="s">
        <v>248</v>
      </c>
      <c r="E867" s="20" t="str">
        <f t="shared" si="86"/>
        <v/>
      </c>
      <c r="F867" s="21" t="str">
        <f>IF(OR(E867="",E867="!!!"),"",IF(NOT(ISNA(VLOOKUP(E867,E$1:E866,1,FALSE()))),"OLD",IF(AND(E867&lt;&gt;"",E867&lt;&gt;"!!!"),"NEW","")))</f>
        <v/>
      </c>
      <c r="G867" s="22" t="str">
        <f>IF(OR(E867="",E867="!!!"),"",IF(OR(J867=0,AND(J867=1,K867=1),AND(J867=1,I867="SBJ"),AND(J867=1,I867=0)),"?IN_FOCUS",IF(J867&lt;=2,"?ACTIVATED",IF(J867&lt;&gt;"","?FAMILIAR",IF(F867="NEW",IF(ISNA(VLOOKUP(E867,#REF!,1,FALSE())),"?TYPE_IDENTIFIABLE","?REFERENTIAL"),"_")))))</f>
        <v/>
      </c>
      <c r="H867" s="23" t="str">
        <f t="shared" ca="1" si="87"/>
        <v/>
      </c>
      <c r="I867" s="24" t="str">
        <f>IF(OR(E867="",E867="!!!",F867="NEW"),"",INDEX(B$2:B866,-1+SUMPRODUCT(MAX(ROW(E$2:E866)*(E867=E$2:E866)))))</f>
        <v/>
      </c>
      <c r="J867" s="24" t="str">
        <f ca="1">IF(OR(E867="",E867="!!!",F867="NEW"),"",COUNTBLANK(OFFSET(A$1,,,SUMPRODUCT(MAX(ROW(E$2:E867)*(E867=E$2:E867)))))-COUNTBLANK(OFFSET(A$1,,,SUMPRODUCT(MAX(ROW(E$1:E866)*(E2=E$1:E866))))))</f>
        <v/>
      </c>
      <c r="K867" s="24" t="str">
        <f>IF(OR(E867="",E867="!!!",F867="NEW"),"",INDEX(J$1:J866,SUMPRODUCT(MAX(ROW(E$1:E866)*(E867=E$1:E866)))))</f>
        <v/>
      </c>
      <c r="L867" s="25"/>
    </row>
    <row r="869" spans="1:12" x14ac:dyDescent="0.3">
      <c r="A869" t="s">
        <v>629</v>
      </c>
    </row>
    <row r="870" spans="1:12" x14ac:dyDescent="0.3">
      <c r="A870" t="s">
        <v>439</v>
      </c>
      <c r="B870" s="26" t="s">
        <v>255</v>
      </c>
      <c r="C870" s="26" t="s">
        <v>244</v>
      </c>
      <c r="D870" s="26" t="s">
        <v>240</v>
      </c>
      <c r="E870" s="20" t="str">
        <f t="shared" ref="E870:E880" si="88">IF(D870="?OLD","!!!","")</f>
        <v>!!!</v>
      </c>
      <c r="F870" s="21" t="str">
        <f>IF(OR(E870="",E870="!!!"),"",IF(NOT(ISNA(VLOOKUP(E870,E$1:E869,1,FALSE()))),"OLD",IF(AND(E870&lt;&gt;"",E870&lt;&gt;"!!!"),"NEW","")))</f>
        <v/>
      </c>
      <c r="G870" s="22" t="str">
        <f>IF(OR(E870="",E870="!!!"),"",IF(OR(J870=0,AND(J870=1,K870=1),AND(J870=1,I870="SBJ"),AND(J870=1,I870=0)),"?IN_FOCUS",IF(J870&lt;=2,"?ACTIVATED",IF(J870&lt;&gt;"","?FAMILIAR",IF(F870="NEW",IF(ISNA(VLOOKUP(E870,#REF!,1,FALSE())),"?TYPE_IDENTIFIABLE","?REFERENTIAL"),"_")))))</f>
        <v/>
      </c>
      <c r="H870" s="23" t="str">
        <f t="shared" ref="H870:H880" ca="1" si="89">IF(J870&lt;&gt;1,"",IF(I870="SBJ","CB","?"))</f>
        <v/>
      </c>
      <c r="I870" s="24" t="str">
        <f>IF(OR(E870="",E870="!!!",F870="NEW"),"",INDEX(B$2:B869,-1+SUMPRODUCT(MAX(ROW(E$2:E869)*(E870=E$2:E869)))))</f>
        <v/>
      </c>
      <c r="J870" s="24" t="str">
        <f ca="1">IF(OR(E870="",E870="!!!",F870="NEW"),"",COUNTBLANK(OFFSET(A$1,,,SUMPRODUCT(MAX(ROW(E$2:E870)*(E870=E$2:E870)))))-COUNTBLANK(OFFSET(A$1,,,SUMPRODUCT(MAX(ROW(E$1:E869)*(E2=E$1:E869))))))</f>
        <v/>
      </c>
      <c r="K870" s="24" t="str">
        <f>IF(OR(E870="",E870="!!!",F870="NEW"),"",INDEX(J$1:J869,SUMPRODUCT(MAX(ROW(E$1:E869)*(E870=E$1:E869)))))</f>
        <v/>
      </c>
      <c r="L870" s="25"/>
    </row>
    <row r="871" spans="1:12" x14ac:dyDescent="0.3">
      <c r="A871" t="s">
        <v>347</v>
      </c>
      <c r="E871" s="20" t="str">
        <f t="shared" si="88"/>
        <v/>
      </c>
      <c r="F871" s="21" t="str">
        <f>IF(OR(E871="",E871="!!!"),"",IF(NOT(ISNA(VLOOKUP(E871,E$1:E870,1,FALSE()))),"OLD",IF(AND(E871&lt;&gt;"",E871&lt;&gt;"!!!"),"NEW","")))</f>
        <v/>
      </c>
      <c r="G871" s="22" t="str">
        <f>IF(OR(E871="",E871="!!!"),"",IF(OR(J871=0,AND(J871=1,K871=1),AND(J871=1,I871="SBJ"),AND(J871=1,I871=0)),"?IN_FOCUS",IF(J871&lt;=2,"?ACTIVATED",IF(J871&lt;&gt;"","?FAMILIAR",IF(F871="NEW",IF(ISNA(VLOOKUP(E871,#REF!,1,FALSE())),"?TYPE_IDENTIFIABLE","?REFERENTIAL"),"_")))))</f>
        <v/>
      </c>
      <c r="H871" s="23" t="str">
        <f t="shared" ca="1" si="89"/>
        <v/>
      </c>
      <c r="I871" s="24" t="str">
        <f>IF(OR(E871="",E871="!!!",F871="NEW"),"",INDEX(B$2:B870,-1+SUMPRODUCT(MAX(ROW(E$2:E870)*(E871=E$2:E870)))))</f>
        <v/>
      </c>
      <c r="J871" s="24" t="str">
        <f ca="1">IF(OR(E871="",E871="!!!",F871="NEW"),"",COUNTBLANK(OFFSET(A$1,,,SUMPRODUCT(MAX(ROW(E$2:E871)*(E871=E$2:E871)))))-COUNTBLANK(OFFSET(A$1,,,SUMPRODUCT(MAX(ROW(E$1:E870)*(E2=E$1:E870))))))</f>
        <v/>
      </c>
      <c r="K871" s="24" t="str">
        <f>IF(OR(E871="",E871="!!!",F871="NEW"),"",INDEX(J$1:J870,SUMPRODUCT(MAX(ROW(E$1:E870)*(E871=E$1:E870)))))</f>
        <v/>
      </c>
      <c r="L871" s="25"/>
    </row>
    <row r="872" spans="1:12" x14ac:dyDescent="0.3">
      <c r="A872" t="s">
        <v>263</v>
      </c>
      <c r="E872" s="20" t="str">
        <f t="shared" si="88"/>
        <v/>
      </c>
      <c r="F872" s="21" t="str">
        <f>IF(OR(E872="",E872="!!!"),"",IF(NOT(ISNA(VLOOKUP(E872,E$1:E871,1,FALSE()))),"OLD",IF(AND(E872&lt;&gt;"",E872&lt;&gt;"!!!"),"NEW","")))</f>
        <v/>
      </c>
      <c r="G872" s="22" t="str">
        <f>IF(OR(E872="",E872="!!!"),"",IF(OR(J872=0,AND(J872=1,K872=1),AND(J872=1,I872="SBJ"),AND(J872=1,I872=0)),"?IN_FOCUS",IF(J872&lt;=2,"?ACTIVATED",IF(J872&lt;&gt;"","?FAMILIAR",IF(F872="NEW",IF(ISNA(VLOOKUP(E872,#REF!,1,FALSE())),"?TYPE_IDENTIFIABLE","?REFERENTIAL"),"_")))))</f>
        <v/>
      </c>
      <c r="H872" s="23" t="str">
        <f t="shared" ca="1" si="89"/>
        <v/>
      </c>
      <c r="I872" s="24" t="str">
        <f>IF(OR(E872="",E872="!!!",F872="NEW"),"",INDEX(B$2:B871,-1+SUMPRODUCT(MAX(ROW(E$2:E871)*(E872=E$2:E871)))))</f>
        <v/>
      </c>
      <c r="J872" s="24" t="str">
        <f ca="1">IF(OR(E872="",E872="!!!",F872="NEW"),"",COUNTBLANK(OFFSET(A$1,,,SUMPRODUCT(MAX(ROW(E$2:E872)*(E872=E$2:E872)))))-COUNTBLANK(OFFSET(A$1,,,SUMPRODUCT(MAX(ROW(E$1:E871)*(E2=E$1:E871))))))</f>
        <v/>
      </c>
      <c r="K872" s="24" t="str">
        <f>IF(OR(E872="",E872="!!!",F872="NEW"),"",INDEX(J$1:J871,SUMPRODUCT(MAX(ROW(E$1:E871)*(E872=E$1:E871)))))</f>
        <v/>
      </c>
      <c r="L872" s="25"/>
    </row>
    <row r="873" spans="1:12" x14ac:dyDescent="0.3">
      <c r="A873" t="s">
        <v>630</v>
      </c>
      <c r="E873" s="20" t="str">
        <f t="shared" si="88"/>
        <v/>
      </c>
      <c r="F873" s="21" t="str">
        <f>IF(OR(E873="",E873="!!!"),"",IF(NOT(ISNA(VLOOKUP(E873,E$1:E872,1,FALSE()))),"OLD",IF(AND(E873&lt;&gt;"",E873&lt;&gt;"!!!"),"NEW","")))</f>
        <v/>
      </c>
      <c r="G873" s="22" t="str">
        <f>IF(OR(E873="",E873="!!!"),"",IF(OR(J873=0,AND(J873=1,K873=1),AND(J873=1,I873="SBJ"),AND(J873=1,I873=0)),"?IN_FOCUS",IF(J873&lt;=2,"?ACTIVATED",IF(J873&lt;&gt;"","?FAMILIAR",IF(F873="NEW",IF(ISNA(VLOOKUP(E873,#REF!,1,FALSE())),"?TYPE_IDENTIFIABLE","?REFERENTIAL"),"_")))))</f>
        <v/>
      </c>
      <c r="H873" s="23" t="str">
        <f t="shared" ca="1" si="89"/>
        <v/>
      </c>
      <c r="I873" s="24" t="str">
        <f>IF(OR(E873="",E873="!!!",F873="NEW"),"",INDEX(B$2:B872,-1+SUMPRODUCT(MAX(ROW(E$2:E872)*(E873=E$2:E872)))))</f>
        <v/>
      </c>
      <c r="J873" s="24" t="str">
        <f ca="1">IF(OR(E873="",E873="!!!",F873="NEW"),"",COUNTBLANK(OFFSET(A$1,,,SUMPRODUCT(MAX(ROW(E$2:E873)*(E873=E$2:E873)))))-COUNTBLANK(OFFSET(A$1,,,SUMPRODUCT(MAX(ROW(E$1:E872)*(E2=E$1:E872))))))</f>
        <v/>
      </c>
      <c r="K873" s="24" t="str">
        <f>IF(OR(E873="",E873="!!!",F873="NEW"),"",INDEX(J$1:J872,SUMPRODUCT(MAX(ROW(E$1:E872)*(E873=E$1:E872)))))</f>
        <v/>
      </c>
      <c r="L873" s="25"/>
    </row>
    <row r="874" spans="1:12" x14ac:dyDescent="0.3">
      <c r="A874" t="s">
        <v>581</v>
      </c>
      <c r="B874" s="26" t="s">
        <v>243</v>
      </c>
      <c r="C874" s="26" t="s">
        <v>262</v>
      </c>
      <c r="E874" s="20" t="str">
        <f t="shared" si="88"/>
        <v/>
      </c>
      <c r="F874" s="21" t="str">
        <f>IF(OR(E874="",E874="!!!"),"",IF(NOT(ISNA(VLOOKUP(E874,E$1:E873,1,FALSE()))),"OLD",IF(AND(E874&lt;&gt;"",E874&lt;&gt;"!!!"),"NEW","")))</f>
        <v/>
      </c>
      <c r="G874" s="22" t="str">
        <f>IF(OR(E874="",E874="!!!"),"",IF(OR(J874=0,AND(J874=1,K874=1),AND(J874=1,I874="SBJ"),AND(J874=1,I874=0)),"?IN_FOCUS",IF(J874&lt;=2,"?ACTIVATED",IF(J874&lt;&gt;"","?FAMILIAR",IF(F874="NEW",IF(ISNA(VLOOKUP(E874,#REF!,1,FALSE())),"?TYPE_IDENTIFIABLE","?REFERENTIAL"),"_")))))</f>
        <v/>
      </c>
      <c r="H874" s="23" t="str">
        <f t="shared" ca="1" si="89"/>
        <v/>
      </c>
      <c r="I874" s="24" t="str">
        <f>IF(OR(E874="",E874="!!!",F874="NEW"),"",INDEX(B$2:B873,-1+SUMPRODUCT(MAX(ROW(E$2:E873)*(E874=E$2:E873)))))</f>
        <v/>
      </c>
      <c r="J874" s="24" t="str">
        <f ca="1">IF(OR(E874="",E874="!!!",F874="NEW"),"",COUNTBLANK(OFFSET(A$1,,,SUMPRODUCT(MAX(ROW(E$2:E874)*(E874=E$2:E874)))))-COUNTBLANK(OFFSET(A$1,,,SUMPRODUCT(MAX(ROW(E$1:E873)*(E2=E$1:E873))))))</f>
        <v/>
      </c>
      <c r="K874" s="24" t="str">
        <f>IF(OR(E874="",E874="!!!",F874="NEW"),"",INDEX(J$1:J873,SUMPRODUCT(MAX(ROW(E$1:E873)*(E874=E$1:E873)))))</f>
        <v/>
      </c>
      <c r="L874" s="25"/>
    </row>
    <row r="875" spans="1:12" x14ac:dyDescent="0.3">
      <c r="A875" t="s">
        <v>551</v>
      </c>
      <c r="E875" s="20" t="str">
        <f t="shared" si="88"/>
        <v/>
      </c>
      <c r="F875" s="21" t="str">
        <f>IF(OR(E875="",E875="!!!"),"",IF(NOT(ISNA(VLOOKUP(E875,E$1:E874,1,FALSE()))),"OLD",IF(AND(E875&lt;&gt;"",E875&lt;&gt;"!!!"),"NEW","")))</f>
        <v/>
      </c>
      <c r="G875" s="22" t="str">
        <f>IF(OR(E875="",E875="!!!"),"",IF(OR(J875=0,AND(J875=1,K875=1),AND(J875=1,I875="SBJ"),AND(J875=1,I875=0)),"?IN_FOCUS",IF(J875&lt;=2,"?ACTIVATED",IF(J875&lt;&gt;"","?FAMILIAR",IF(F875="NEW",IF(ISNA(VLOOKUP(E875,#REF!,1,FALSE())),"?TYPE_IDENTIFIABLE","?REFERENTIAL"),"_")))))</f>
        <v/>
      </c>
      <c r="H875" s="23" t="str">
        <f t="shared" ca="1" si="89"/>
        <v/>
      </c>
      <c r="I875" s="24" t="str">
        <f>IF(OR(E875="",E875="!!!",F875="NEW"),"",INDEX(B$2:B874,-1+SUMPRODUCT(MAX(ROW(E$2:E874)*(E875=E$2:E874)))))</f>
        <v/>
      </c>
      <c r="J875" s="24" t="str">
        <f ca="1">IF(OR(E875="",E875="!!!",F875="NEW"),"",COUNTBLANK(OFFSET(A$1,,,SUMPRODUCT(MAX(ROW(E$2:E875)*(E875=E$2:E875)))))-COUNTBLANK(OFFSET(A$1,,,SUMPRODUCT(MAX(ROW(E$1:E874)*(E2=E$1:E874))))))</f>
        <v/>
      </c>
      <c r="K875" s="24" t="str">
        <f>IF(OR(E875="",E875="!!!",F875="NEW"),"",INDEX(J$1:J874,SUMPRODUCT(MAX(ROW(E$1:E874)*(E875=E$1:E874)))))</f>
        <v/>
      </c>
      <c r="L875" s="25"/>
    </row>
    <row r="876" spans="1:12" x14ac:dyDescent="0.3">
      <c r="A876" t="s">
        <v>396</v>
      </c>
      <c r="B876" s="26" t="s">
        <v>261</v>
      </c>
      <c r="C876" s="26" t="s">
        <v>256</v>
      </c>
      <c r="D876" s="26" t="s">
        <v>240</v>
      </c>
      <c r="E876" s="20" t="str">
        <f t="shared" si="88"/>
        <v>!!!</v>
      </c>
      <c r="F876" s="21" t="str">
        <f>IF(OR(E876="",E876="!!!"),"",IF(NOT(ISNA(VLOOKUP(E876,E$1:E875,1,FALSE()))),"OLD",IF(AND(E876&lt;&gt;"",E876&lt;&gt;"!!!"),"NEW","")))</f>
        <v/>
      </c>
      <c r="G876" s="22" t="str">
        <f>IF(OR(E876="",E876="!!!"),"",IF(OR(J876=0,AND(J876=1,K876=1),AND(J876=1,I876="SBJ"),AND(J876=1,I876=0)),"?IN_FOCUS",IF(J876&lt;=2,"?ACTIVATED",IF(J876&lt;&gt;"","?FAMILIAR",IF(F876="NEW",IF(ISNA(VLOOKUP(E876,#REF!,1,FALSE())),"?TYPE_IDENTIFIABLE","?REFERENTIAL"),"_")))))</f>
        <v/>
      </c>
      <c r="H876" s="23" t="str">
        <f t="shared" ca="1" si="89"/>
        <v/>
      </c>
      <c r="I876" s="24" t="str">
        <f>IF(OR(E876="",E876="!!!",F876="NEW"),"",INDEX(B$2:B875,-1+SUMPRODUCT(MAX(ROW(E$2:E875)*(E876=E$2:E875)))))</f>
        <v/>
      </c>
      <c r="J876" s="24" t="str">
        <f ca="1">IF(OR(E876="",E876="!!!",F876="NEW"),"",COUNTBLANK(OFFSET(A$1,,,SUMPRODUCT(MAX(ROW(E$2:E876)*(E876=E$2:E876)))))-COUNTBLANK(OFFSET(A$1,,,SUMPRODUCT(MAX(ROW(E$1:E875)*(E2=E$1:E875))))))</f>
        <v/>
      </c>
      <c r="K876" s="24" t="str">
        <f>IF(OR(E876="",E876="!!!",F876="NEW"),"",INDEX(J$1:J875,SUMPRODUCT(MAX(ROW(E$1:E875)*(E876=E$1:E875)))))</f>
        <v/>
      </c>
      <c r="L876" s="25"/>
    </row>
    <row r="877" spans="1:12" x14ac:dyDescent="0.3">
      <c r="A877" t="s">
        <v>401</v>
      </c>
      <c r="E877" s="20" t="str">
        <f t="shared" si="88"/>
        <v/>
      </c>
      <c r="F877" s="21" t="str">
        <f>IF(OR(E877="",E877="!!!"),"",IF(NOT(ISNA(VLOOKUP(E877,E$1:E876,1,FALSE()))),"OLD",IF(AND(E877&lt;&gt;"",E877&lt;&gt;"!!!"),"NEW","")))</f>
        <v/>
      </c>
      <c r="G877" s="22" t="str">
        <f>IF(OR(E877="",E877="!!!"),"",IF(OR(J877=0,AND(J877=1,K877=1),AND(J877=1,I877="SBJ"),AND(J877=1,I877=0)),"?IN_FOCUS",IF(J877&lt;=2,"?ACTIVATED",IF(J877&lt;&gt;"","?FAMILIAR",IF(F877="NEW",IF(ISNA(VLOOKUP(E877,#REF!,1,FALSE())),"?TYPE_IDENTIFIABLE","?REFERENTIAL"),"_")))))</f>
        <v/>
      </c>
      <c r="H877" s="23" t="str">
        <f t="shared" ca="1" si="89"/>
        <v/>
      </c>
      <c r="I877" s="24" t="str">
        <f>IF(OR(E877="",E877="!!!",F877="NEW"),"",INDEX(B$2:B876,-1+SUMPRODUCT(MAX(ROW(E$2:E876)*(E877=E$2:E876)))))</f>
        <v/>
      </c>
      <c r="J877" s="24" t="str">
        <f ca="1">IF(OR(E877="",E877="!!!",F877="NEW"),"",COUNTBLANK(OFFSET(A$1,,,SUMPRODUCT(MAX(ROW(E$2:E877)*(E877=E$2:E877)))))-COUNTBLANK(OFFSET(A$1,,,SUMPRODUCT(MAX(ROW(E$1:E876)*(E2=E$1:E876))))))</f>
        <v/>
      </c>
      <c r="K877" s="24" t="str">
        <f>IF(OR(E877="",E877="!!!",F877="NEW"),"",INDEX(J$1:J876,SUMPRODUCT(MAX(ROW(E$1:E876)*(E877=E$1:E876)))))</f>
        <v/>
      </c>
      <c r="L877" s="25"/>
    </row>
    <row r="878" spans="1:12" x14ac:dyDescent="0.3">
      <c r="A878" t="s">
        <v>441</v>
      </c>
      <c r="B878" s="26" t="s">
        <v>261</v>
      </c>
      <c r="C878" s="26" t="s">
        <v>256</v>
      </c>
      <c r="D878" s="26" t="s">
        <v>240</v>
      </c>
      <c r="E878" s="20" t="str">
        <f t="shared" si="88"/>
        <v>!!!</v>
      </c>
      <c r="F878" s="21" t="str">
        <f>IF(OR(E878="",E878="!!!"),"",IF(NOT(ISNA(VLOOKUP(E878,E$1:E877,1,FALSE()))),"OLD",IF(AND(E878&lt;&gt;"",E878&lt;&gt;"!!!"),"NEW","")))</f>
        <v/>
      </c>
      <c r="G878" s="22" t="str">
        <f>IF(OR(E878="",E878="!!!"),"",IF(OR(J878=0,AND(J878=1,K878=1),AND(J878=1,I878="SBJ"),AND(J878=1,I878=0)),"?IN_FOCUS",IF(J878&lt;=2,"?ACTIVATED",IF(J878&lt;&gt;"","?FAMILIAR",IF(F878="NEW",IF(ISNA(VLOOKUP(E878,#REF!,1,FALSE())),"?TYPE_IDENTIFIABLE","?REFERENTIAL"),"_")))))</f>
        <v/>
      </c>
      <c r="H878" s="23" t="str">
        <f t="shared" ca="1" si="89"/>
        <v/>
      </c>
      <c r="I878" s="24" t="str">
        <f>IF(OR(E878="",E878="!!!",F878="NEW"),"",INDEX(B$2:B877,-1+SUMPRODUCT(MAX(ROW(E$2:E877)*(E878=E$2:E877)))))</f>
        <v/>
      </c>
      <c r="J878" s="24" t="str">
        <f ca="1">IF(OR(E878="",E878="!!!",F878="NEW"),"",COUNTBLANK(OFFSET(A$1,,,SUMPRODUCT(MAX(ROW(E$2:E878)*(E878=E$2:E878)))))-COUNTBLANK(OFFSET(A$1,,,SUMPRODUCT(MAX(ROW(E$1:E877)*(E2=E$1:E877))))))</f>
        <v/>
      </c>
      <c r="K878" s="24" t="str">
        <f>IF(OR(E878="",E878="!!!",F878="NEW"),"",INDEX(J$1:J877,SUMPRODUCT(MAX(ROW(E$1:E877)*(E878=E$1:E877)))))</f>
        <v/>
      </c>
      <c r="L878" s="25"/>
    </row>
    <row r="879" spans="1:12" x14ac:dyDescent="0.3">
      <c r="A879" t="s">
        <v>246</v>
      </c>
      <c r="B879" s="26" t="s">
        <v>292</v>
      </c>
      <c r="C879" s="26" t="s">
        <v>307</v>
      </c>
      <c r="E879" s="20" t="str">
        <f t="shared" si="88"/>
        <v/>
      </c>
      <c r="F879" s="21" t="str">
        <f>IF(OR(E879="",E879="!!!"),"",IF(NOT(ISNA(VLOOKUP(E879,E$1:E878,1,FALSE()))),"OLD",IF(AND(E879&lt;&gt;"",E879&lt;&gt;"!!!"),"NEW","")))</f>
        <v/>
      </c>
      <c r="G879" s="22" t="str">
        <f>IF(OR(E879="",E879="!!!"),"",IF(OR(J879=0,AND(J879=1,K879=1),AND(J879=1,I879="SBJ"),AND(J879=1,I879=0)),"?IN_FOCUS",IF(J879&lt;=2,"?ACTIVATED",IF(J879&lt;&gt;"","?FAMILIAR",IF(F879="NEW",IF(ISNA(VLOOKUP(E879,#REF!,1,FALSE())),"?TYPE_IDENTIFIABLE","?REFERENTIAL"),"_")))))</f>
        <v/>
      </c>
      <c r="H879" s="23" t="str">
        <f t="shared" ca="1" si="89"/>
        <v/>
      </c>
      <c r="I879" s="24" t="str">
        <f>IF(OR(E879="",E879="!!!",F879="NEW"),"",INDEX(B$2:B878,-1+SUMPRODUCT(MAX(ROW(E$2:E878)*(E879=E$2:E878)))))</f>
        <v/>
      </c>
      <c r="J879" s="24" t="str">
        <f ca="1">IF(OR(E879="",E879="!!!",F879="NEW"),"",COUNTBLANK(OFFSET(A$1,,,SUMPRODUCT(MAX(ROW(E$2:E879)*(E879=E$2:E879)))))-COUNTBLANK(OFFSET(A$1,,,SUMPRODUCT(MAX(ROW(E$1:E878)*(E2=E$1:E878))))))</f>
        <v/>
      </c>
      <c r="K879" s="24" t="str">
        <f>IF(OR(E879="",E879="!!!",F879="NEW"),"",INDEX(J$1:J878,SUMPRODUCT(MAX(ROW(E$1:E878)*(E879=E$1:E878)))))</f>
        <v/>
      </c>
      <c r="L879" s="25"/>
    </row>
    <row r="880" spans="1:12" x14ac:dyDescent="0.3">
      <c r="A880" t="s">
        <v>248</v>
      </c>
      <c r="E880" s="20" t="str">
        <f t="shared" si="88"/>
        <v/>
      </c>
      <c r="F880" s="21" t="str">
        <f>IF(OR(E880="",E880="!!!"),"",IF(NOT(ISNA(VLOOKUP(E880,E$1:E879,1,FALSE()))),"OLD",IF(AND(E880&lt;&gt;"",E880&lt;&gt;"!!!"),"NEW","")))</f>
        <v/>
      </c>
      <c r="G880" s="22" t="str">
        <f>IF(OR(E880="",E880="!!!"),"",IF(OR(J880=0,AND(J880=1,K880=1),AND(J880=1,I880="SBJ"),AND(J880=1,I880=0)),"?IN_FOCUS",IF(J880&lt;=2,"?ACTIVATED",IF(J880&lt;&gt;"","?FAMILIAR",IF(F880="NEW",IF(ISNA(VLOOKUP(E880,#REF!,1,FALSE())),"?TYPE_IDENTIFIABLE","?REFERENTIAL"),"_")))))</f>
        <v/>
      </c>
      <c r="H880" s="23" t="str">
        <f t="shared" ca="1" si="89"/>
        <v/>
      </c>
      <c r="I880" s="24" t="str">
        <f>IF(OR(E880="",E880="!!!",F880="NEW"),"",INDEX(B$2:B879,-1+SUMPRODUCT(MAX(ROW(E$2:E879)*(E880=E$2:E879)))))</f>
        <v/>
      </c>
      <c r="J880" s="24" t="str">
        <f ca="1">IF(OR(E880="",E880="!!!",F880="NEW"),"",COUNTBLANK(OFFSET(A$1,,,SUMPRODUCT(MAX(ROW(E$2:E880)*(E880=E$2:E880)))))-COUNTBLANK(OFFSET(A$1,,,SUMPRODUCT(MAX(ROW(E$1:E879)*(E2=E$1:E879))))))</f>
        <v/>
      </c>
      <c r="K880" s="24" t="str">
        <f>IF(OR(E880="",E880="!!!",F880="NEW"),"",INDEX(J$1:J879,SUMPRODUCT(MAX(ROW(E$1:E879)*(E880=E$1:E879)))))</f>
        <v/>
      </c>
      <c r="L880" s="25"/>
    </row>
    <row r="882" spans="1:12" x14ac:dyDescent="0.3">
      <c r="A882" t="s">
        <v>631</v>
      </c>
    </row>
    <row r="883" spans="1:12" x14ac:dyDescent="0.3">
      <c r="A883" t="s">
        <v>632</v>
      </c>
      <c r="E883" s="20" t="str">
        <f t="shared" ref="E883:E888" si="90">IF(D883="?OLD","!!!","")</f>
        <v/>
      </c>
      <c r="F883" s="21" t="str">
        <f>IF(OR(E883="",E883="!!!"),"",IF(NOT(ISNA(VLOOKUP(E883,E$1:E882,1,FALSE()))),"OLD",IF(AND(E883&lt;&gt;"",E883&lt;&gt;"!!!"),"NEW","")))</f>
        <v/>
      </c>
      <c r="G883" s="22" t="str">
        <f>IF(OR(E883="",E883="!!!"),"",IF(OR(J883=0,AND(J883=1,K883=1),AND(J883=1,I883="SBJ"),AND(J883=1,I883=0)),"?IN_FOCUS",IF(J883&lt;=2,"?ACTIVATED",IF(J883&lt;&gt;"","?FAMILIAR",IF(F883="NEW",IF(ISNA(VLOOKUP(E883,#REF!,1,FALSE())),"?TYPE_IDENTIFIABLE","?REFERENTIAL"),"_")))))</f>
        <v/>
      </c>
      <c r="H883" s="23" t="str">
        <f t="shared" ref="H883:H888" ca="1" si="91">IF(J883&lt;&gt;1,"",IF(I883="SBJ","CB","?"))</f>
        <v/>
      </c>
      <c r="I883" s="24" t="str">
        <f>IF(OR(E883="",E883="!!!",F883="NEW"),"",INDEX(B$2:B882,-1+SUMPRODUCT(MAX(ROW(E$2:E882)*(E883=E$2:E882)))))</f>
        <v/>
      </c>
      <c r="J883" s="24" t="str">
        <f ca="1">IF(OR(E883="",E883="!!!",F883="NEW"),"",COUNTBLANK(OFFSET(A$1,,,SUMPRODUCT(MAX(ROW(E$2:E883)*(E883=E$2:E883)))))-COUNTBLANK(OFFSET(A$1,,,SUMPRODUCT(MAX(ROW(E$1:E882)*(E2=E$1:E882))))))</f>
        <v/>
      </c>
      <c r="K883" s="24" t="str">
        <f>IF(OR(E883="",E883="!!!",F883="NEW"),"",INDEX(J$1:J882,SUMPRODUCT(MAX(ROW(E$1:E882)*(E883=E$1:E882)))))</f>
        <v/>
      </c>
      <c r="L883" s="25"/>
    </row>
    <row r="884" spans="1:12" x14ac:dyDescent="0.3">
      <c r="A884" t="s">
        <v>541</v>
      </c>
      <c r="B884" s="26" t="s">
        <v>243</v>
      </c>
      <c r="C884" s="26" t="s">
        <v>247</v>
      </c>
      <c r="E884" s="20" t="str">
        <f t="shared" si="90"/>
        <v/>
      </c>
      <c r="F884" s="21" t="str">
        <f>IF(OR(E884="",E884="!!!"),"",IF(NOT(ISNA(VLOOKUP(E884,E$1:E883,1,FALSE()))),"OLD",IF(AND(E884&lt;&gt;"",E884&lt;&gt;"!!!"),"NEW","")))</f>
        <v/>
      </c>
      <c r="G884" s="22" t="str">
        <f>IF(OR(E884="",E884="!!!"),"",IF(OR(J884=0,AND(J884=1,K884=1),AND(J884=1,I884="SBJ"),AND(J884=1,I884=0)),"?IN_FOCUS",IF(J884&lt;=2,"?ACTIVATED",IF(J884&lt;&gt;"","?FAMILIAR",IF(F884="NEW",IF(ISNA(VLOOKUP(E884,#REF!,1,FALSE())),"?TYPE_IDENTIFIABLE","?REFERENTIAL"),"_")))))</f>
        <v/>
      </c>
      <c r="H884" s="23" t="str">
        <f t="shared" ca="1" si="91"/>
        <v/>
      </c>
      <c r="I884" s="24" t="str">
        <f>IF(OR(E884="",E884="!!!",F884="NEW"),"",INDEX(B$2:B883,-1+SUMPRODUCT(MAX(ROW(E$2:E883)*(E884=E$2:E883)))))</f>
        <v/>
      </c>
      <c r="J884" s="24" t="str">
        <f ca="1">IF(OR(E884="",E884="!!!",F884="NEW"),"",COUNTBLANK(OFFSET(A$1,,,SUMPRODUCT(MAX(ROW(E$2:E884)*(E884=E$2:E884)))))-COUNTBLANK(OFFSET(A$1,,,SUMPRODUCT(MAX(ROW(E$1:E883)*(E2=E$1:E883))))))</f>
        <v/>
      </c>
      <c r="K884" s="24" t="str">
        <f>IF(OR(E884="",E884="!!!",F884="NEW"),"",INDEX(J$1:J883,SUMPRODUCT(MAX(ROW(E$1:E883)*(E884=E$1:E883)))))</f>
        <v/>
      </c>
      <c r="L884" s="25"/>
    </row>
    <row r="885" spans="1:12" x14ac:dyDescent="0.3">
      <c r="A885" t="s">
        <v>633</v>
      </c>
      <c r="E885" s="20" t="str">
        <f t="shared" si="90"/>
        <v/>
      </c>
      <c r="F885" s="21" t="str">
        <f>IF(OR(E885="",E885="!!!"),"",IF(NOT(ISNA(VLOOKUP(E885,E$1:E884,1,FALSE()))),"OLD",IF(AND(E885&lt;&gt;"",E885&lt;&gt;"!!!"),"NEW","")))</f>
        <v/>
      </c>
      <c r="G885" s="22" t="str">
        <f>IF(OR(E885="",E885="!!!"),"",IF(OR(J885=0,AND(J885=1,K885=1),AND(J885=1,I885="SBJ"),AND(J885=1,I885=0)),"?IN_FOCUS",IF(J885&lt;=2,"?ACTIVATED",IF(J885&lt;&gt;"","?FAMILIAR",IF(F885="NEW",IF(ISNA(VLOOKUP(E885,#REF!,1,FALSE())),"?TYPE_IDENTIFIABLE","?REFERENTIAL"),"_")))))</f>
        <v/>
      </c>
      <c r="H885" s="23" t="str">
        <f t="shared" ca="1" si="91"/>
        <v/>
      </c>
      <c r="I885" s="24" t="str">
        <f>IF(OR(E885="",E885="!!!",F885="NEW"),"",INDEX(B$2:B884,-1+SUMPRODUCT(MAX(ROW(E$2:E884)*(E885=E$2:E884)))))</f>
        <v/>
      </c>
      <c r="J885" s="24" t="str">
        <f ca="1">IF(OR(E885="",E885="!!!",F885="NEW"),"",COUNTBLANK(OFFSET(A$1,,,SUMPRODUCT(MAX(ROW(E$2:E885)*(E885=E$2:E885)))))-COUNTBLANK(OFFSET(A$1,,,SUMPRODUCT(MAX(ROW(E$1:E884)*(E2=E$1:E884))))))</f>
        <v/>
      </c>
      <c r="K885" s="24" t="str">
        <f>IF(OR(E885="",E885="!!!",F885="NEW"),"",INDEX(J$1:J884,SUMPRODUCT(MAX(ROW(E$1:E884)*(E885=E$1:E884)))))</f>
        <v/>
      </c>
      <c r="L885" s="25"/>
    </row>
    <row r="886" spans="1:12" x14ac:dyDescent="0.3">
      <c r="A886" t="s">
        <v>303</v>
      </c>
      <c r="E886" s="20" t="str">
        <f t="shared" si="90"/>
        <v/>
      </c>
      <c r="F886" s="21" t="str">
        <f>IF(OR(E886="",E886="!!!"),"",IF(NOT(ISNA(VLOOKUP(E886,E$1:E885,1,FALSE()))),"OLD",IF(AND(E886&lt;&gt;"",E886&lt;&gt;"!!!"),"NEW","")))</f>
        <v/>
      </c>
      <c r="G886" s="22" t="str">
        <f>IF(OR(E886="",E886="!!!"),"",IF(OR(J886=0,AND(J886=1,K886=1),AND(J886=1,I886="SBJ"),AND(J886=1,I886=0)),"?IN_FOCUS",IF(J886&lt;=2,"?ACTIVATED",IF(J886&lt;&gt;"","?FAMILIAR",IF(F886="NEW",IF(ISNA(VLOOKUP(E886,#REF!,1,FALSE())),"?TYPE_IDENTIFIABLE","?REFERENTIAL"),"_")))))</f>
        <v/>
      </c>
      <c r="H886" s="23" t="str">
        <f t="shared" ca="1" si="91"/>
        <v/>
      </c>
      <c r="I886" s="24" t="str">
        <f>IF(OR(E886="",E886="!!!",F886="NEW"),"",INDEX(B$2:B885,-1+SUMPRODUCT(MAX(ROW(E$2:E885)*(E886=E$2:E885)))))</f>
        <v/>
      </c>
      <c r="J886" s="24" t="str">
        <f ca="1">IF(OR(E886="",E886="!!!",F886="NEW"),"",COUNTBLANK(OFFSET(A$1,,,SUMPRODUCT(MAX(ROW(E$2:E886)*(E886=E$2:E886)))))-COUNTBLANK(OFFSET(A$1,,,SUMPRODUCT(MAX(ROW(E$1:E885)*(E2=E$1:E885))))))</f>
        <v/>
      </c>
      <c r="K886" s="24" t="str">
        <f>IF(OR(E886="",E886="!!!",F886="NEW"),"",INDEX(J$1:J885,SUMPRODUCT(MAX(ROW(E$1:E885)*(E886=E$1:E885)))))</f>
        <v/>
      </c>
      <c r="L886" s="25"/>
    </row>
    <row r="887" spans="1:12" x14ac:dyDescent="0.3">
      <c r="A887" t="s">
        <v>634</v>
      </c>
      <c r="B887" s="26" t="s">
        <v>292</v>
      </c>
      <c r="C887" s="26" t="s">
        <v>239</v>
      </c>
      <c r="D887" s="26" t="s">
        <v>240</v>
      </c>
      <c r="E887" s="20" t="str">
        <f t="shared" si="90"/>
        <v>!!!</v>
      </c>
      <c r="F887" s="21" t="str">
        <f>IF(OR(E887="",E887="!!!"),"",IF(NOT(ISNA(VLOOKUP(E887,E$1:E886,1,FALSE()))),"OLD",IF(AND(E887&lt;&gt;"",E887&lt;&gt;"!!!"),"NEW","")))</f>
        <v/>
      </c>
      <c r="G887" s="22" t="str">
        <f>IF(OR(E887="",E887="!!!"),"",IF(OR(J887=0,AND(J887=1,K887=1),AND(J887=1,I887="SBJ"),AND(J887=1,I887=0)),"?IN_FOCUS",IF(J887&lt;=2,"?ACTIVATED",IF(J887&lt;&gt;"","?FAMILIAR",IF(F887="NEW",IF(ISNA(VLOOKUP(E887,#REF!,1,FALSE())),"?TYPE_IDENTIFIABLE","?REFERENTIAL"),"_")))))</f>
        <v/>
      </c>
      <c r="H887" s="23" t="str">
        <f t="shared" ca="1" si="91"/>
        <v/>
      </c>
      <c r="I887" s="24" t="str">
        <f>IF(OR(E887="",E887="!!!",F887="NEW"),"",INDEX(B$2:B886,-1+SUMPRODUCT(MAX(ROW(E$2:E886)*(E887=E$2:E886)))))</f>
        <v/>
      </c>
      <c r="J887" s="24" t="str">
        <f ca="1">IF(OR(E887="",E887="!!!",F887="NEW"),"",COUNTBLANK(OFFSET(A$1,,,SUMPRODUCT(MAX(ROW(E$2:E887)*(E887=E$2:E887)))))-COUNTBLANK(OFFSET(A$1,,,SUMPRODUCT(MAX(ROW(E$1:E886)*(E2=E$1:E886))))))</f>
        <v/>
      </c>
      <c r="K887" s="24" t="str">
        <f>IF(OR(E887="",E887="!!!",F887="NEW"),"",INDEX(J$1:J886,SUMPRODUCT(MAX(ROW(E$1:E886)*(E887=E$1:E886)))))</f>
        <v/>
      </c>
      <c r="L887" s="25"/>
    </row>
    <row r="888" spans="1:12" x14ac:dyDescent="0.3">
      <c r="A888" t="s">
        <v>248</v>
      </c>
      <c r="E888" s="20" t="str">
        <f t="shared" si="90"/>
        <v/>
      </c>
      <c r="F888" s="21" t="str">
        <f>IF(OR(E888="",E888="!!!"),"",IF(NOT(ISNA(VLOOKUP(E888,E$1:E887,1,FALSE()))),"OLD",IF(AND(E888&lt;&gt;"",E888&lt;&gt;"!!!"),"NEW","")))</f>
        <v/>
      </c>
      <c r="G888" s="22" t="str">
        <f>IF(OR(E888="",E888="!!!"),"",IF(OR(J888=0,AND(J888=1,K888=1),AND(J888=1,I888="SBJ"),AND(J888=1,I888=0)),"?IN_FOCUS",IF(J888&lt;=2,"?ACTIVATED",IF(J888&lt;&gt;"","?FAMILIAR",IF(F888="NEW",IF(ISNA(VLOOKUP(E888,#REF!,1,FALSE())),"?TYPE_IDENTIFIABLE","?REFERENTIAL"),"_")))))</f>
        <v/>
      </c>
      <c r="H888" s="23" t="str">
        <f t="shared" ca="1" si="91"/>
        <v/>
      </c>
      <c r="I888" s="24" t="str">
        <f>IF(OR(E888="",E888="!!!",F888="NEW"),"",INDEX(B$2:B887,-1+SUMPRODUCT(MAX(ROW(E$2:E887)*(E888=E$2:E887)))))</f>
        <v/>
      </c>
      <c r="J888" s="24" t="str">
        <f ca="1">IF(OR(E888="",E888="!!!",F888="NEW"),"",COUNTBLANK(OFFSET(A$1,,,SUMPRODUCT(MAX(ROW(E$2:E888)*(E888=E$2:E888)))))-COUNTBLANK(OFFSET(A$1,,,SUMPRODUCT(MAX(ROW(E$1:E887)*(E2=E$1:E887))))))</f>
        <v/>
      </c>
      <c r="K888" s="24" t="str">
        <f>IF(OR(E888="",E888="!!!",F888="NEW"),"",INDEX(J$1:J887,SUMPRODUCT(MAX(ROW(E$1:E887)*(E888=E$1:E887)))))</f>
        <v/>
      </c>
      <c r="L888" s="25"/>
    </row>
    <row r="890" spans="1:12" x14ac:dyDescent="0.3">
      <c r="A890" t="s">
        <v>635</v>
      </c>
    </row>
    <row r="891" spans="1:12" x14ac:dyDescent="0.3">
      <c r="A891" t="s">
        <v>636</v>
      </c>
      <c r="E891" s="20" t="str">
        <f t="shared" ref="E891:E914" si="92">IF(D891="?OLD","!!!","")</f>
        <v/>
      </c>
      <c r="F891" s="21" t="str">
        <f>IF(OR(E891="",E891="!!!"),"",IF(NOT(ISNA(VLOOKUP(E891,E$1:E890,1,FALSE()))),"OLD",IF(AND(E891&lt;&gt;"",E891&lt;&gt;"!!!"),"NEW","")))</f>
        <v/>
      </c>
      <c r="G891" s="22" t="str">
        <f>IF(OR(E891="",E891="!!!"),"",IF(OR(J891=0,AND(J891=1,K891=1),AND(J891=1,I891="SBJ"),AND(J891=1,I891=0)),"?IN_FOCUS",IF(J891&lt;=2,"?ACTIVATED",IF(J891&lt;&gt;"","?FAMILIAR",IF(F891="NEW",IF(ISNA(VLOOKUP(E891,#REF!,1,FALSE())),"?TYPE_IDENTIFIABLE","?REFERENTIAL"),"_")))))</f>
        <v/>
      </c>
      <c r="H891" s="23" t="str">
        <f t="shared" ref="H891:H914" ca="1" si="93">IF(J891&lt;&gt;1,"",IF(I891="SBJ","CB","?"))</f>
        <v/>
      </c>
      <c r="I891" s="24" t="str">
        <f>IF(OR(E891="",E891="!!!",F891="NEW"),"",INDEX(B$2:B890,-1+SUMPRODUCT(MAX(ROW(E$2:E890)*(E891=E$2:E890)))))</f>
        <v/>
      </c>
      <c r="J891" s="24" t="str">
        <f ca="1">IF(OR(E891="",E891="!!!",F891="NEW"),"",COUNTBLANK(OFFSET(A$1,,,SUMPRODUCT(MAX(ROW(E$2:E891)*(E891=E$2:E891)))))-COUNTBLANK(OFFSET(A$1,,,SUMPRODUCT(MAX(ROW(E$1:E890)*(E2=E$1:E890))))))</f>
        <v/>
      </c>
      <c r="K891" s="24" t="str">
        <f>IF(OR(E891="",E891="!!!",F891="NEW"),"",INDEX(J$1:J890,SUMPRODUCT(MAX(ROW(E$1:E890)*(E891=E$1:E890)))))</f>
        <v/>
      </c>
      <c r="L891" s="25"/>
    </row>
    <row r="892" spans="1:12" x14ac:dyDescent="0.3">
      <c r="A892" t="s">
        <v>254</v>
      </c>
      <c r="B892" s="26" t="s">
        <v>255</v>
      </c>
      <c r="C892" s="26" t="s">
        <v>256</v>
      </c>
      <c r="D892" s="26" t="s">
        <v>240</v>
      </c>
      <c r="E892" s="20" t="str">
        <f t="shared" si="92"/>
        <v>!!!</v>
      </c>
      <c r="F892" s="21" t="str">
        <f>IF(OR(E892="",E892="!!!"),"",IF(NOT(ISNA(VLOOKUP(E892,E$1:E891,1,FALSE()))),"OLD",IF(AND(E892&lt;&gt;"",E892&lt;&gt;"!!!"),"NEW","")))</f>
        <v/>
      </c>
      <c r="G892" s="22" t="str">
        <f>IF(OR(E892="",E892="!!!"),"",IF(OR(J892=0,AND(J892=1,K892=1),AND(J892=1,I892="SBJ"),AND(J892=1,I892=0)),"?IN_FOCUS",IF(J892&lt;=2,"?ACTIVATED",IF(J892&lt;&gt;"","?FAMILIAR",IF(F892="NEW",IF(ISNA(VLOOKUP(E892,#REF!,1,FALSE())),"?TYPE_IDENTIFIABLE","?REFERENTIAL"),"_")))))</f>
        <v/>
      </c>
      <c r="H892" s="23" t="str">
        <f t="shared" ca="1" si="93"/>
        <v/>
      </c>
      <c r="I892" s="24" t="str">
        <f>IF(OR(E892="",E892="!!!",F892="NEW"),"",INDEX(B$2:B891,-1+SUMPRODUCT(MAX(ROW(E$2:E891)*(E892=E$2:E891)))))</f>
        <v/>
      </c>
      <c r="J892" s="24" t="str">
        <f ca="1">IF(OR(E892="",E892="!!!",F892="NEW"),"",COUNTBLANK(OFFSET(A$1,,,SUMPRODUCT(MAX(ROW(E$2:E892)*(E892=E$2:E892)))))-COUNTBLANK(OFFSET(A$1,,,SUMPRODUCT(MAX(ROW(E$1:E891)*(E2=E$1:E891))))))</f>
        <v/>
      </c>
      <c r="K892" s="24" t="str">
        <f>IF(OR(E892="",E892="!!!",F892="NEW"),"",INDEX(J$1:J891,SUMPRODUCT(MAX(ROW(E$1:E891)*(E892=E$1:E891)))))</f>
        <v/>
      </c>
      <c r="L892" s="25"/>
    </row>
    <row r="893" spans="1:12" x14ac:dyDescent="0.3">
      <c r="A893" t="s">
        <v>303</v>
      </c>
      <c r="E893" s="20" t="str">
        <f t="shared" si="92"/>
        <v/>
      </c>
      <c r="F893" s="21" t="str">
        <f>IF(OR(E893="",E893="!!!"),"",IF(NOT(ISNA(VLOOKUP(E893,E$1:E892,1,FALSE()))),"OLD",IF(AND(E893&lt;&gt;"",E893&lt;&gt;"!!!"),"NEW","")))</f>
        <v/>
      </c>
      <c r="G893" s="22" t="str">
        <f>IF(OR(E893="",E893="!!!"),"",IF(OR(J893=0,AND(J893=1,K893=1),AND(J893=1,I893="SBJ"),AND(J893=1,I893=0)),"?IN_FOCUS",IF(J893&lt;=2,"?ACTIVATED",IF(J893&lt;&gt;"","?FAMILIAR",IF(F893="NEW",IF(ISNA(VLOOKUP(E893,#REF!,1,FALSE())),"?TYPE_IDENTIFIABLE","?REFERENTIAL"),"_")))))</f>
        <v/>
      </c>
      <c r="H893" s="23" t="str">
        <f t="shared" ca="1" si="93"/>
        <v/>
      </c>
      <c r="I893" s="24" t="str">
        <f>IF(OR(E893="",E893="!!!",F893="NEW"),"",INDEX(B$2:B892,-1+SUMPRODUCT(MAX(ROW(E$2:E892)*(E893=E$2:E892)))))</f>
        <v/>
      </c>
      <c r="J893" s="24" t="str">
        <f ca="1">IF(OR(E893="",E893="!!!",F893="NEW"),"",COUNTBLANK(OFFSET(A$1,,,SUMPRODUCT(MAX(ROW(E$2:E893)*(E893=E$2:E893)))))-COUNTBLANK(OFFSET(A$1,,,SUMPRODUCT(MAX(ROW(E$1:E892)*(E2=E$1:E892))))))</f>
        <v/>
      </c>
      <c r="K893" s="24" t="str">
        <f>IF(OR(E893="",E893="!!!",F893="NEW"),"",INDEX(J$1:J892,SUMPRODUCT(MAX(ROW(E$1:E892)*(E893=E$1:E892)))))</f>
        <v/>
      </c>
      <c r="L893" s="25"/>
    </row>
    <row r="894" spans="1:12" x14ac:dyDescent="0.3">
      <c r="A894" t="s">
        <v>637</v>
      </c>
      <c r="B894" s="26" t="s">
        <v>265</v>
      </c>
      <c r="C894" s="26" t="s">
        <v>239</v>
      </c>
      <c r="D894" s="26" t="s">
        <v>240</v>
      </c>
      <c r="E894" s="20" t="str">
        <f t="shared" si="92"/>
        <v>!!!</v>
      </c>
      <c r="F894" s="21" t="str">
        <f>IF(OR(E894="",E894="!!!"),"",IF(NOT(ISNA(VLOOKUP(E894,E$1:E893,1,FALSE()))),"OLD",IF(AND(E894&lt;&gt;"",E894&lt;&gt;"!!!"),"NEW","")))</f>
        <v/>
      </c>
      <c r="G894" s="22" t="str">
        <f>IF(OR(E894="",E894="!!!"),"",IF(OR(J894=0,AND(J894=1,K894=1),AND(J894=1,I894="SBJ"),AND(J894=1,I894=0)),"?IN_FOCUS",IF(J894&lt;=2,"?ACTIVATED",IF(J894&lt;&gt;"","?FAMILIAR",IF(F894="NEW",IF(ISNA(VLOOKUP(E894,#REF!,1,FALSE())),"?TYPE_IDENTIFIABLE","?REFERENTIAL"),"_")))))</f>
        <v/>
      </c>
      <c r="H894" s="23" t="str">
        <f t="shared" ca="1" si="93"/>
        <v/>
      </c>
      <c r="I894" s="24" t="str">
        <f>IF(OR(E894="",E894="!!!",F894="NEW"),"",INDEX(B$2:B893,-1+SUMPRODUCT(MAX(ROW(E$2:E893)*(E894=E$2:E893)))))</f>
        <v/>
      </c>
      <c r="J894" s="24" t="str">
        <f ca="1">IF(OR(E894="",E894="!!!",F894="NEW"),"",COUNTBLANK(OFFSET(A$1,,,SUMPRODUCT(MAX(ROW(E$2:E894)*(E894=E$2:E894)))))-COUNTBLANK(OFFSET(A$1,,,SUMPRODUCT(MAX(ROW(E$1:E893)*(E2=E$1:E893))))))</f>
        <v/>
      </c>
      <c r="K894" s="24" t="str">
        <f>IF(OR(E894="",E894="!!!",F894="NEW"),"",INDEX(J$1:J893,SUMPRODUCT(MAX(ROW(E$1:E893)*(E894=E$1:E893)))))</f>
        <v/>
      </c>
      <c r="L894" s="25"/>
    </row>
    <row r="895" spans="1:12" x14ac:dyDescent="0.3">
      <c r="A895" t="s">
        <v>638</v>
      </c>
      <c r="E895" s="20" t="str">
        <f t="shared" si="92"/>
        <v/>
      </c>
      <c r="F895" s="21" t="str">
        <f>IF(OR(E895="",E895="!!!"),"",IF(NOT(ISNA(VLOOKUP(E895,E$1:E894,1,FALSE()))),"OLD",IF(AND(E895&lt;&gt;"",E895&lt;&gt;"!!!"),"NEW","")))</f>
        <v/>
      </c>
      <c r="G895" s="22" t="str">
        <f>IF(OR(E895="",E895="!!!"),"",IF(OR(J895=0,AND(J895=1,K895=1),AND(J895=1,I895="SBJ"),AND(J895=1,I895=0)),"?IN_FOCUS",IF(J895&lt;=2,"?ACTIVATED",IF(J895&lt;&gt;"","?FAMILIAR",IF(F895="NEW",IF(ISNA(VLOOKUP(E895,#REF!,1,FALSE())),"?TYPE_IDENTIFIABLE","?REFERENTIAL"),"_")))))</f>
        <v/>
      </c>
      <c r="H895" s="23" t="str">
        <f t="shared" ca="1" si="93"/>
        <v/>
      </c>
      <c r="I895" s="24" t="str">
        <f>IF(OR(E895="",E895="!!!",F895="NEW"),"",INDEX(B$2:B894,-1+SUMPRODUCT(MAX(ROW(E$2:E894)*(E895=E$2:E894)))))</f>
        <v/>
      </c>
      <c r="J895" s="24" t="str">
        <f ca="1">IF(OR(E895="",E895="!!!",F895="NEW"),"",COUNTBLANK(OFFSET(A$1,,,SUMPRODUCT(MAX(ROW(E$2:E895)*(E895=E$2:E895)))))-COUNTBLANK(OFFSET(A$1,,,SUMPRODUCT(MAX(ROW(E$1:E894)*(E2=E$1:E894))))))</f>
        <v/>
      </c>
      <c r="K895" s="24" t="str">
        <f>IF(OR(E895="",E895="!!!",F895="NEW"),"",INDEX(J$1:J894,SUMPRODUCT(MAX(ROW(E$1:E894)*(E895=E$1:E894)))))</f>
        <v/>
      </c>
      <c r="L895" s="25"/>
    </row>
    <row r="896" spans="1:12" x14ac:dyDescent="0.3">
      <c r="A896" t="s">
        <v>252</v>
      </c>
      <c r="E896" s="20" t="str">
        <f t="shared" si="92"/>
        <v/>
      </c>
      <c r="F896" s="21" t="str">
        <f>IF(OR(E896="",E896="!!!"),"",IF(NOT(ISNA(VLOOKUP(E896,E$1:E895,1,FALSE()))),"OLD",IF(AND(E896&lt;&gt;"",E896&lt;&gt;"!!!"),"NEW","")))</f>
        <v/>
      </c>
      <c r="G896" s="22" t="str">
        <f>IF(OR(E896="",E896="!!!"),"",IF(OR(J896=0,AND(J896=1,K896=1),AND(J896=1,I896="SBJ"),AND(J896=1,I896=0)),"?IN_FOCUS",IF(J896&lt;=2,"?ACTIVATED",IF(J896&lt;&gt;"","?FAMILIAR",IF(F896="NEW",IF(ISNA(VLOOKUP(E896,#REF!,1,FALSE())),"?TYPE_IDENTIFIABLE","?REFERENTIAL"),"_")))))</f>
        <v/>
      </c>
      <c r="H896" s="23" t="str">
        <f t="shared" ca="1" si="93"/>
        <v/>
      </c>
      <c r="I896" s="24" t="str">
        <f>IF(OR(E896="",E896="!!!",F896="NEW"),"",INDEX(B$2:B895,-1+SUMPRODUCT(MAX(ROW(E$2:E895)*(E896=E$2:E895)))))</f>
        <v/>
      </c>
      <c r="J896" s="24" t="str">
        <f ca="1">IF(OR(E896="",E896="!!!",F896="NEW"),"",COUNTBLANK(OFFSET(A$1,,,SUMPRODUCT(MAX(ROW(E$2:E896)*(E896=E$2:E896)))))-COUNTBLANK(OFFSET(A$1,,,SUMPRODUCT(MAX(ROW(E$1:E895)*(E2=E$1:E895))))))</f>
        <v/>
      </c>
      <c r="K896" s="24" t="str">
        <f>IF(OR(E896="",E896="!!!",F896="NEW"),"",INDEX(J$1:J895,SUMPRODUCT(MAX(ROW(E$1:E895)*(E896=E$1:E895)))))</f>
        <v/>
      </c>
      <c r="L896" s="25"/>
    </row>
    <row r="897" spans="1:12" x14ac:dyDescent="0.3">
      <c r="A897" t="s">
        <v>341</v>
      </c>
      <c r="B897" s="26" t="s">
        <v>243</v>
      </c>
      <c r="C897" s="26" t="s">
        <v>256</v>
      </c>
      <c r="D897" s="26" t="s">
        <v>240</v>
      </c>
      <c r="E897" s="20" t="str">
        <f t="shared" si="92"/>
        <v>!!!</v>
      </c>
      <c r="F897" s="21" t="str">
        <f>IF(OR(E897="",E897="!!!"),"",IF(NOT(ISNA(VLOOKUP(E897,E$1:E896,1,FALSE()))),"OLD",IF(AND(E897&lt;&gt;"",E897&lt;&gt;"!!!"),"NEW","")))</f>
        <v/>
      </c>
      <c r="G897" s="22" t="str">
        <f>IF(OR(E897="",E897="!!!"),"",IF(OR(J897=0,AND(J897=1,K897=1),AND(J897=1,I897="SBJ"),AND(J897=1,I897=0)),"?IN_FOCUS",IF(J897&lt;=2,"?ACTIVATED",IF(J897&lt;&gt;"","?FAMILIAR",IF(F897="NEW",IF(ISNA(VLOOKUP(E897,#REF!,1,FALSE())),"?TYPE_IDENTIFIABLE","?REFERENTIAL"),"_")))))</f>
        <v/>
      </c>
      <c r="H897" s="23" t="str">
        <f t="shared" ca="1" si="93"/>
        <v/>
      </c>
      <c r="I897" s="24" t="str">
        <f>IF(OR(E897="",E897="!!!",F897="NEW"),"",INDEX(B$2:B896,-1+SUMPRODUCT(MAX(ROW(E$2:E896)*(E897=E$2:E896)))))</f>
        <v/>
      </c>
      <c r="J897" s="24" t="str">
        <f ca="1">IF(OR(E897="",E897="!!!",F897="NEW"),"",COUNTBLANK(OFFSET(A$1,,,SUMPRODUCT(MAX(ROW(E$2:E897)*(E897=E$2:E897)))))-COUNTBLANK(OFFSET(A$1,,,SUMPRODUCT(MAX(ROW(E$1:E896)*(E2=E$1:E896))))))</f>
        <v/>
      </c>
      <c r="K897" s="24" t="str">
        <f>IF(OR(E897="",E897="!!!",F897="NEW"),"",INDEX(J$1:J896,SUMPRODUCT(MAX(ROW(E$1:E896)*(E897=E$1:E896)))))</f>
        <v/>
      </c>
      <c r="L897" s="25"/>
    </row>
    <row r="898" spans="1:12" x14ac:dyDescent="0.3">
      <c r="A898" t="s">
        <v>639</v>
      </c>
      <c r="B898" s="26" t="s">
        <v>292</v>
      </c>
      <c r="C898" s="26" t="s">
        <v>256</v>
      </c>
      <c r="D898" s="26" t="s">
        <v>240</v>
      </c>
      <c r="E898" s="20" t="str">
        <f t="shared" si="92"/>
        <v>!!!</v>
      </c>
      <c r="F898" s="21" t="str">
        <f>IF(OR(E898="",E898="!!!"),"",IF(NOT(ISNA(VLOOKUP(E898,E$1:E897,1,FALSE()))),"OLD",IF(AND(E898&lt;&gt;"",E898&lt;&gt;"!!!"),"NEW","")))</f>
        <v/>
      </c>
      <c r="G898" s="22" t="str">
        <f>IF(OR(E898="",E898="!!!"),"",IF(OR(J898=0,AND(J898=1,K898=1),AND(J898=1,I898="SBJ"),AND(J898=1,I898=0)),"?IN_FOCUS",IF(J898&lt;=2,"?ACTIVATED",IF(J898&lt;&gt;"","?FAMILIAR",IF(F898="NEW",IF(ISNA(VLOOKUP(E898,#REF!,1,FALSE())),"?TYPE_IDENTIFIABLE","?REFERENTIAL"),"_")))))</f>
        <v/>
      </c>
      <c r="H898" s="23" t="str">
        <f t="shared" ca="1" si="93"/>
        <v/>
      </c>
      <c r="I898" s="24" t="str">
        <f>IF(OR(E898="",E898="!!!",F898="NEW"),"",INDEX(B$2:B897,-1+SUMPRODUCT(MAX(ROW(E$2:E897)*(E898=E$2:E897)))))</f>
        <v/>
      </c>
      <c r="J898" s="24" t="str">
        <f ca="1">IF(OR(E898="",E898="!!!",F898="NEW"),"",COUNTBLANK(OFFSET(A$1,,,SUMPRODUCT(MAX(ROW(E$2:E898)*(E898=E$2:E898)))))-COUNTBLANK(OFFSET(A$1,,,SUMPRODUCT(MAX(ROW(E$1:E897)*(E2=E$1:E897))))))</f>
        <v/>
      </c>
      <c r="K898" s="24" t="str">
        <f>IF(OR(E898="",E898="!!!",F898="NEW"),"",INDEX(J$1:J897,SUMPRODUCT(MAX(ROW(E$1:E897)*(E898=E$1:E897)))))</f>
        <v/>
      </c>
      <c r="L898" s="25"/>
    </row>
    <row r="899" spans="1:12" x14ac:dyDescent="0.3">
      <c r="A899" t="s">
        <v>373</v>
      </c>
      <c r="E899" s="20" t="str">
        <f t="shared" si="92"/>
        <v/>
      </c>
      <c r="F899" s="21" t="str">
        <f>IF(OR(E899="",E899="!!!"),"",IF(NOT(ISNA(VLOOKUP(E899,E$1:E898,1,FALSE()))),"OLD",IF(AND(E899&lt;&gt;"",E899&lt;&gt;"!!!"),"NEW","")))</f>
        <v/>
      </c>
      <c r="G899" s="22" t="str">
        <f>IF(OR(E899="",E899="!!!"),"",IF(OR(J899=0,AND(J899=1,K899=1),AND(J899=1,I899="SBJ"),AND(J899=1,I899=0)),"?IN_FOCUS",IF(J899&lt;=2,"?ACTIVATED",IF(J899&lt;&gt;"","?FAMILIAR",IF(F899="NEW",IF(ISNA(VLOOKUP(E899,#REF!,1,FALSE())),"?TYPE_IDENTIFIABLE","?REFERENTIAL"),"_")))))</f>
        <v/>
      </c>
      <c r="H899" s="23" t="str">
        <f t="shared" ca="1" si="93"/>
        <v/>
      </c>
      <c r="I899" s="24" t="str">
        <f>IF(OR(E899="",E899="!!!",F899="NEW"),"",INDEX(B$2:B898,-1+SUMPRODUCT(MAX(ROW(E$2:E898)*(E899=E$2:E898)))))</f>
        <v/>
      </c>
      <c r="J899" s="24" t="str">
        <f ca="1">IF(OR(E899="",E899="!!!",F899="NEW"),"",COUNTBLANK(OFFSET(A$1,,,SUMPRODUCT(MAX(ROW(E$2:E899)*(E899=E$2:E899)))))-COUNTBLANK(OFFSET(A$1,,,SUMPRODUCT(MAX(ROW(E$1:E898)*(E2=E$1:E898))))))</f>
        <v/>
      </c>
      <c r="K899" s="24" t="str">
        <f>IF(OR(E899="",E899="!!!",F899="NEW"),"",INDEX(J$1:J898,SUMPRODUCT(MAX(ROW(E$1:E898)*(E899=E$1:E898)))))</f>
        <v/>
      </c>
      <c r="L899" s="25"/>
    </row>
    <row r="900" spans="1:12" x14ac:dyDescent="0.3">
      <c r="A900" t="s">
        <v>640</v>
      </c>
      <c r="E900" s="20" t="str">
        <f t="shared" si="92"/>
        <v/>
      </c>
      <c r="F900" s="21" t="str">
        <f>IF(OR(E900="",E900="!!!"),"",IF(NOT(ISNA(VLOOKUP(E900,E$1:E899,1,FALSE()))),"OLD",IF(AND(E900&lt;&gt;"",E900&lt;&gt;"!!!"),"NEW","")))</f>
        <v/>
      </c>
      <c r="G900" s="22" t="str">
        <f>IF(OR(E900="",E900="!!!"),"",IF(OR(J900=0,AND(J900=1,K900=1),AND(J900=1,I900="SBJ"),AND(J900=1,I900=0)),"?IN_FOCUS",IF(J900&lt;=2,"?ACTIVATED",IF(J900&lt;&gt;"","?FAMILIAR",IF(F900="NEW",IF(ISNA(VLOOKUP(E900,#REF!,1,FALSE())),"?TYPE_IDENTIFIABLE","?REFERENTIAL"),"_")))))</f>
        <v/>
      </c>
      <c r="H900" s="23" t="str">
        <f t="shared" ca="1" si="93"/>
        <v/>
      </c>
      <c r="I900" s="24" t="str">
        <f>IF(OR(E900="",E900="!!!",F900="NEW"),"",INDEX(B$2:B899,-1+SUMPRODUCT(MAX(ROW(E$2:E899)*(E900=E$2:E899)))))</f>
        <v/>
      </c>
      <c r="J900" s="24" t="str">
        <f ca="1">IF(OR(E900="",E900="!!!",F900="NEW"),"",COUNTBLANK(OFFSET(A$1,,,SUMPRODUCT(MAX(ROW(E$2:E900)*(E900=E$2:E900)))))-COUNTBLANK(OFFSET(A$1,,,SUMPRODUCT(MAX(ROW(E$1:E899)*(E2=E$1:E899))))))</f>
        <v/>
      </c>
      <c r="K900" s="24" t="str">
        <f>IF(OR(E900="",E900="!!!",F900="NEW"),"",INDEX(J$1:J899,SUMPRODUCT(MAX(ROW(E$1:E899)*(E900=E$1:E899)))))</f>
        <v/>
      </c>
      <c r="L900" s="25"/>
    </row>
    <row r="901" spans="1:12" x14ac:dyDescent="0.3">
      <c r="A901" t="s">
        <v>252</v>
      </c>
      <c r="E901" s="20" t="str">
        <f t="shared" si="92"/>
        <v/>
      </c>
      <c r="F901" s="21" t="str">
        <f>IF(OR(E901="",E901="!!!"),"",IF(NOT(ISNA(VLOOKUP(E901,E$1:E900,1,FALSE()))),"OLD",IF(AND(E901&lt;&gt;"",E901&lt;&gt;"!!!"),"NEW","")))</f>
        <v/>
      </c>
      <c r="G901" s="22" t="str">
        <f>IF(OR(E901="",E901="!!!"),"",IF(OR(J901=0,AND(J901=1,K901=1),AND(J901=1,I901="SBJ"),AND(J901=1,I901=0)),"?IN_FOCUS",IF(J901&lt;=2,"?ACTIVATED",IF(J901&lt;&gt;"","?FAMILIAR",IF(F901="NEW",IF(ISNA(VLOOKUP(E901,#REF!,1,FALSE())),"?TYPE_IDENTIFIABLE","?REFERENTIAL"),"_")))))</f>
        <v/>
      </c>
      <c r="H901" s="23" t="str">
        <f t="shared" ca="1" si="93"/>
        <v/>
      </c>
      <c r="I901" s="24" t="str">
        <f>IF(OR(E901="",E901="!!!",F901="NEW"),"",INDEX(B$2:B900,-1+SUMPRODUCT(MAX(ROW(E$2:E900)*(E901=E$2:E900)))))</f>
        <v/>
      </c>
      <c r="J901" s="24" t="str">
        <f ca="1">IF(OR(E901="",E901="!!!",F901="NEW"),"",COUNTBLANK(OFFSET(A$1,,,SUMPRODUCT(MAX(ROW(E$2:E901)*(E901=E$2:E901)))))-COUNTBLANK(OFFSET(A$1,,,SUMPRODUCT(MAX(ROW(E$1:E900)*(E2=E$1:E900))))))</f>
        <v/>
      </c>
      <c r="K901" s="24" t="str">
        <f>IF(OR(E901="",E901="!!!",F901="NEW"),"",INDEX(J$1:J900,SUMPRODUCT(MAX(ROW(E$1:E900)*(E901=E$1:E900)))))</f>
        <v/>
      </c>
      <c r="L901" s="25"/>
    </row>
    <row r="902" spans="1:12" x14ac:dyDescent="0.3">
      <c r="A902" t="s">
        <v>366</v>
      </c>
      <c r="E902" s="20" t="str">
        <f t="shared" si="92"/>
        <v/>
      </c>
      <c r="F902" s="21" t="str">
        <f>IF(OR(E902="",E902="!!!"),"",IF(NOT(ISNA(VLOOKUP(E902,E$1:E901,1,FALSE()))),"OLD",IF(AND(E902&lt;&gt;"",E902&lt;&gt;"!!!"),"NEW","")))</f>
        <v/>
      </c>
      <c r="G902" s="22" t="str">
        <f>IF(OR(E902="",E902="!!!"),"",IF(OR(J902=0,AND(J902=1,K902=1),AND(J902=1,I902="SBJ"),AND(J902=1,I902=0)),"?IN_FOCUS",IF(J902&lt;=2,"?ACTIVATED",IF(J902&lt;&gt;"","?FAMILIAR",IF(F902="NEW",IF(ISNA(VLOOKUP(E902,#REF!,1,FALSE())),"?TYPE_IDENTIFIABLE","?REFERENTIAL"),"_")))))</f>
        <v/>
      </c>
      <c r="H902" s="23" t="str">
        <f t="shared" ca="1" si="93"/>
        <v/>
      </c>
      <c r="I902" s="24" t="str">
        <f>IF(OR(E902="",E902="!!!",F902="NEW"),"",INDEX(B$2:B901,-1+SUMPRODUCT(MAX(ROW(E$2:E901)*(E902=E$2:E901)))))</f>
        <v/>
      </c>
      <c r="J902" s="24" t="str">
        <f ca="1">IF(OR(E902="",E902="!!!",F902="NEW"),"",COUNTBLANK(OFFSET(A$1,,,SUMPRODUCT(MAX(ROW(E$2:E902)*(E902=E$2:E902)))))-COUNTBLANK(OFFSET(A$1,,,SUMPRODUCT(MAX(ROW(E$1:E901)*(E2=E$1:E901))))))</f>
        <v/>
      </c>
      <c r="K902" s="24" t="str">
        <f>IF(OR(E902="",E902="!!!",F902="NEW"),"",INDEX(J$1:J901,SUMPRODUCT(MAX(ROW(E$1:E901)*(E902=E$1:E901)))))</f>
        <v/>
      </c>
      <c r="L902" s="25"/>
    </row>
    <row r="903" spans="1:12" x14ac:dyDescent="0.3">
      <c r="A903" t="s">
        <v>303</v>
      </c>
      <c r="E903" s="20" t="str">
        <f t="shared" si="92"/>
        <v/>
      </c>
      <c r="F903" s="21" t="str">
        <f>IF(OR(E903="",E903="!!!"),"",IF(NOT(ISNA(VLOOKUP(E903,E$1:E902,1,FALSE()))),"OLD",IF(AND(E903&lt;&gt;"",E903&lt;&gt;"!!!"),"NEW","")))</f>
        <v/>
      </c>
      <c r="G903" s="22" t="str">
        <f>IF(OR(E903="",E903="!!!"),"",IF(OR(J903=0,AND(J903=1,K903=1),AND(J903=1,I903="SBJ"),AND(J903=1,I903=0)),"?IN_FOCUS",IF(J903&lt;=2,"?ACTIVATED",IF(J903&lt;&gt;"","?FAMILIAR",IF(F903="NEW",IF(ISNA(VLOOKUP(E903,#REF!,1,FALSE())),"?TYPE_IDENTIFIABLE","?REFERENTIAL"),"_")))))</f>
        <v/>
      </c>
      <c r="H903" s="23" t="str">
        <f t="shared" ca="1" si="93"/>
        <v/>
      </c>
      <c r="I903" s="24" t="str">
        <f>IF(OR(E903="",E903="!!!",F903="NEW"),"",INDEX(B$2:B902,-1+SUMPRODUCT(MAX(ROW(E$2:E902)*(E903=E$2:E902)))))</f>
        <v/>
      </c>
      <c r="J903" s="24" t="str">
        <f ca="1">IF(OR(E903="",E903="!!!",F903="NEW"),"",COUNTBLANK(OFFSET(A$1,,,SUMPRODUCT(MAX(ROW(E$2:E903)*(E903=E$2:E903)))))-COUNTBLANK(OFFSET(A$1,,,SUMPRODUCT(MAX(ROW(E$1:E902)*(E2=E$1:E902))))))</f>
        <v/>
      </c>
      <c r="K903" s="24" t="str">
        <f>IF(OR(E903="",E903="!!!",F903="NEW"),"",INDEX(J$1:J902,SUMPRODUCT(MAX(ROW(E$1:E902)*(E903=E$1:E902)))))</f>
        <v/>
      </c>
      <c r="L903" s="25"/>
    </row>
    <row r="904" spans="1:12" x14ac:dyDescent="0.3">
      <c r="A904" t="s">
        <v>641</v>
      </c>
      <c r="B904" s="26" t="s">
        <v>265</v>
      </c>
      <c r="C904" s="26" t="s">
        <v>239</v>
      </c>
      <c r="D904" s="26" t="s">
        <v>240</v>
      </c>
      <c r="E904" s="20" t="str">
        <f t="shared" si="92"/>
        <v>!!!</v>
      </c>
      <c r="F904" s="21" t="str">
        <f>IF(OR(E904="",E904="!!!"),"",IF(NOT(ISNA(VLOOKUP(E904,E$1:E903,1,FALSE()))),"OLD",IF(AND(E904&lt;&gt;"",E904&lt;&gt;"!!!"),"NEW","")))</f>
        <v/>
      </c>
      <c r="G904" s="22" t="str">
        <f>IF(OR(E904="",E904="!!!"),"",IF(OR(J904=0,AND(J904=1,K904=1),AND(J904=1,I904="SBJ"),AND(J904=1,I904=0)),"?IN_FOCUS",IF(J904&lt;=2,"?ACTIVATED",IF(J904&lt;&gt;"","?FAMILIAR",IF(F904="NEW",IF(ISNA(VLOOKUP(E904,#REF!,1,FALSE())),"?TYPE_IDENTIFIABLE","?REFERENTIAL"),"_")))))</f>
        <v/>
      </c>
      <c r="H904" s="23" t="str">
        <f t="shared" ca="1" si="93"/>
        <v/>
      </c>
      <c r="I904" s="24" t="str">
        <f>IF(OR(E904="",E904="!!!",F904="NEW"),"",INDEX(B$2:B903,-1+SUMPRODUCT(MAX(ROW(E$2:E903)*(E904=E$2:E903)))))</f>
        <v/>
      </c>
      <c r="J904" s="24" t="str">
        <f ca="1">IF(OR(E904="",E904="!!!",F904="NEW"),"",COUNTBLANK(OFFSET(A$1,,,SUMPRODUCT(MAX(ROW(E$2:E904)*(E904=E$2:E904)))))-COUNTBLANK(OFFSET(A$1,,,SUMPRODUCT(MAX(ROW(E$1:E903)*(E2=E$1:E903))))))</f>
        <v/>
      </c>
      <c r="K904" s="24" t="str">
        <f>IF(OR(E904="",E904="!!!",F904="NEW"),"",INDEX(J$1:J903,SUMPRODUCT(MAX(ROW(E$1:E903)*(E904=E$1:E903)))))</f>
        <v/>
      </c>
      <c r="L904" s="25"/>
    </row>
    <row r="905" spans="1:12" x14ac:dyDescent="0.3">
      <c r="A905" t="s">
        <v>327</v>
      </c>
      <c r="E905" s="20" t="str">
        <f t="shared" si="92"/>
        <v/>
      </c>
      <c r="F905" s="21" t="str">
        <f>IF(OR(E905="",E905="!!!"),"",IF(NOT(ISNA(VLOOKUP(E905,E$1:E904,1,FALSE()))),"OLD",IF(AND(E905&lt;&gt;"",E905&lt;&gt;"!!!"),"NEW","")))</f>
        <v/>
      </c>
      <c r="G905" s="22" t="str">
        <f>IF(OR(E905="",E905="!!!"),"",IF(OR(J905=0,AND(J905=1,K905=1),AND(J905=1,I905="SBJ"),AND(J905=1,I905=0)),"?IN_FOCUS",IF(J905&lt;=2,"?ACTIVATED",IF(J905&lt;&gt;"","?FAMILIAR",IF(F905="NEW",IF(ISNA(VLOOKUP(E905,#REF!,1,FALSE())),"?TYPE_IDENTIFIABLE","?REFERENTIAL"),"_")))))</f>
        <v/>
      </c>
      <c r="H905" s="23" t="str">
        <f t="shared" ca="1" si="93"/>
        <v/>
      </c>
      <c r="I905" s="24" t="str">
        <f>IF(OR(E905="",E905="!!!",F905="NEW"),"",INDEX(B$2:B904,-1+SUMPRODUCT(MAX(ROW(E$2:E904)*(E905=E$2:E904)))))</f>
        <v/>
      </c>
      <c r="J905" s="24" t="str">
        <f ca="1">IF(OR(E905="",E905="!!!",F905="NEW"),"",COUNTBLANK(OFFSET(A$1,,,SUMPRODUCT(MAX(ROW(E$2:E905)*(E905=E$2:E905)))))-COUNTBLANK(OFFSET(A$1,,,SUMPRODUCT(MAX(ROW(E$1:E904)*(E2=E$1:E904))))))</f>
        <v/>
      </c>
      <c r="K905" s="24" t="str">
        <f>IF(OR(E905="",E905="!!!",F905="NEW"),"",INDEX(J$1:J904,SUMPRODUCT(MAX(ROW(E$1:E904)*(E905=E$1:E904)))))</f>
        <v/>
      </c>
      <c r="L905" s="25"/>
    </row>
    <row r="906" spans="1:12" x14ac:dyDescent="0.3">
      <c r="A906" t="s">
        <v>642</v>
      </c>
      <c r="E906" s="20" t="str">
        <f t="shared" si="92"/>
        <v/>
      </c>
      <c r="F906" s="21" t="str">
        <f>IF(OR(E906="",E906="!!!"),"",IF(NOT(ISNA(VLOOKUP(E906,E$1:E905,1,FALSE()))),"OLD",IF(AND(E906&lt;&gt;"",E906&lt;&gt;"!!!"),"NEW","")))</f>
        <v/>
      </c>
      <c r="G906" s="22" t="str">
        <f>IF(OR(E906="",E906="!!!"),"",IF(OR(J906=0,AND(J906=1,K906=1),AND(J906=1,I906="SBJ"),AND(J906=1,I906=0)),"?IN_FOCUS",IF(J906&lt;=2,"?ACTIVATED",IF(J906&lt;&gt;"","?FAMILIAR",IF(F906="NEW",IF(ISNA(VLOOKUP(E906,#REF!,1,FALSE())),"?TYPE_IDENTIFIABLE","?REFERENTIAL"),"_")))))</f>
        <v/>
      </c>
      <c r="H906" s="23" t="str">
        <f t="shared" ca="1" si="93"/>
        <v/>
      </c>
      <c r="I906" s="24" t="str">
        <f>IF(OR(E906="",E906="!!!",F906="NEW"),"",INDEX(B$2:B905,-1+SUMPRODUCT(MAX(ROW(E$2:E905)*(E906=E$2:E905)))))</f>
        <v/>
      </c>
      <c r="J906" s="24" t="str">
        <f ca="1">IF(OR(E906="",E906="!!!",F906="NEW"),"",COUNTBLANK(OFFSET(A$1,,,SUMPRODUCT(MAX(ROW(E$2:E906)*(E906=E$2:E906)))))-COUNTBLANK(OFFSET(A$1,,,SUMPRODUCT(MAX(ROW(E$1:E905)*(E2=E$1:E905))))))</f>
        <v/>
      </c>
      <c r="K906" s="24" t="str">
        <f>IF(OR(E906="",E906="!!!",F906="NEW"),"",INDEX(J$1:J905,SUMPRODUCT(MAX(ROW(E$1:E905)*(E906=E$1:E905)))))</f>
        <v/>
      </c>
      <c r="L906" s="25"/>
    </row>
    <row r="907" spans="1:12" x14ac:dyDescent="0.3">
      <c r="A907" t="s">
        <v>252</v>
      </c>
      <c r="E907" s="20" t="str">
        <f t="shared" si="92"/>
        <v/>
      </c>
      <c r="F907" s="21" t="str">
        <f>IF(OR(E907="",E907="!!!"),"",IF(NOT(ISNA(VLOOKUP(E907,E$1:E906,1,FALSE()))),"OLD",IF(AND(E907&lt;&gt;"",E907&lt;&gt;"!!!"),"NEW","")))</f>
        <v/>
      </c>
      <c r="G907" s="22" t="str">
        <f>IF(OR(E907="",E907="!!!"),"",IF(OR(J907=0,AND(J907=1,K907=1),AND(J907=1,I907="SBJ"),AND(J907=1,I907=0)),"?IN_FOCUS",IF(J907&lt;=2,"?ACTIVATED",IF(J907&lt;&gt;"","?FAMILIAR",IF(F907="NEW",IF(ISNA(VLOOKUP(E907,#REF!,1,FALSE())),"?TYPE_IDENTIFIABLE","?REFERENTIAL"),"_")))))</f>
        <v/>
      </c>
      <c r="H907" s="23" t="str">
        <f t="shared" ca="1" si="93"/>
        <v/>
      </c>
      <c r="I907" s="24" t="str">
        <f>IF(OR(E907="",E907="!!!",F907="NEW"),"",INDEX(B$2:B906,-1+SUMPRODUCT(MAX(ROW(E$2:E906)*(E907=E$2:E906)))))</f>
        <v/>
      </c>
      <c r="J907" s="24" t="str">
        <f ca="1">IF(OR(E907="",E907="!!!",F907="NEW"),"",COUNTBLANK(OFFSET(A$1,,,SUMPRODUCT(MAX(ROW(E$2:E907)*(E907=E$2:E907)))))-COUNTBLANK(OFFSET(A$1,,,SUMPRODUCT(MAX(ROW(E$1:E906)*(E2=E$1:E906))))))</f>
        <v/>
      </c>
      <c r="K907" s="24" t="str">
        <f>IF(OR(E907="",E907="!!!",F907="NEW"),"",INDEX(J$1:J906,SUMPRODUCT(MAX(ROW(E$1:E906)*(E907=E$1:E906)))))</f>
        <v/>
      </c>
      <c r="L907" s="25"/>
    </row>
    <row r="908" spans="1:12" x14ac:dyDescent="0.3">
      <c r="A908" t="s">
        <v>643</v>
      </c>
      <c r="E908" s="20" t="str">
        <f t="shared" si="92"/>
        <v/>
      </c>
      <c r="F908" s="21" t="str">
        <f>IF(OR(E908="",E908="!!!"),"",IF(NOT(ISNA(VLOOKUP(E908,E$1:E907,1,FALSE()))),"OLD",IF(AND(E908&lt;&gt;"",E908&lt;&gt;"!!!"),"NEW","")))</f>
        <v/>
      </c>
      <c r="G908" s="22" t="str">
        <f>IF(OR(E908="",E908="!!!"),"",IF(OR(J908=0,AND(J908=1,K908=1),AND(J908=1,I908="SBJ"),AND(J908=1,I908=0)),"?IN_FOCUS",IF(J908&lt;=2,"?ACTIVATED",IF(J908&lt;&gt;"","?FAMILIAR",IF(F908="NEW",IF(ISNA(VLOOKUP(E908,#REF!,1,FALSE())),"?TYPE_IDENTIFIABLE","?REFERENTIAL"),"_")))))</f>
        <v/>
      </c>
      <c r="H908" s="23" t="str">
        <f t="shared" ca="1" si="93"/>
        <v/>
      </c>
      <c r="I908" s="24" t="str">
        <f>IF(OR(E908="",E908="!!!",F908="NEW"),"",INDEX(B$2:B907,-1+SUMPRODUCT(MAX(ROW(E$2:E907)*(E908=E$2:E907)))))</f>
        <v/>
      </c>
      <c r="J908" s="24" t="str">
        <f ca="1">IF(OR(E908="",E908="!!!",F908="NEW"),"",COUNTBLANK(OFFSET(A$1,,,SUMPRODUCT(MAX(ROW(E$2:E908)*(E908=E$2:E908)))))-COUNTBLANK(OFFSET(A$1,,,SUMPRODUCT(MAX(ROW(E$1:E907)*(E2=E$1:E907))))))</f>
        <v/>
      </c>
      <c r="K908" s="24" t="str">
        <f>IF(OR(E908="",E908="!!!",F908="NEW"),"",INDEX(J$1:J907,SUMPRODUCT(MAX(ROW(E$1:E907)*(E908=E$1:E907)))))</f>
        <v/>
      </c>
      <c r="L908" s="25"/>
    </row>
    <row r="909" spans="1:12" x14ac:dyDescent="0.3">
      <c r="A909" t="s">
        <v>591</v>
      </c>
      <c r="E909" s="20" t="str">
        <f t="shared" si="92"/>
        <v/>
      </c>
      <c r="F909" s="21" t="str">
        <f>IF(OR(E909="",E909="!!!"),"",IF(NOT(ISNA(VLOOKUP(E909,E$1:E908,1,FALSE()))),"OLD",IF(AND(E909&lt;&gt;"",E909&lt;&gt;"!!!"),"NEW","")))</f>
        <v/>
      </c>
      <c r="G909" s="22" t="str">
        <f>IF(OR(E909="",E909="!!!"),"",IF(OR(J909=0,AND(J909=1,K909=1),AND(J909=1,I909="SBJ"),AND(J909=1,I909=0)),"?IN_FOCUS",IF(J909&lt;=2,"?ACTIVATED",IF(J909&lt;&gt;"","?FAMILIAR",IF(F909="NEW",IF(ISNA(VLOOKUP(E909,#REF!,1,FALSE())),"?TYPE_IDENTIFIABLE","?REFERENTIAL"),"_")))))</f>
        <v/>
      </c>
      <c r="H909" s="23" t="str">
        <f t="shared" ca="1" si="93"/>
        <v/>
      </c>
      <c r="I909" s="24" t="str">
        <f>IF(OR(E909="",E909="!!!",F909="NEW"),"",INDEX(B$2:B908,-1+SUMPRODUCT(MAX(ROW(E$2:E908)*(E909=E$2:E908)))))</f>
        <v/>
      </c>
      <c r="J909" s="24" t="str">
        <f ca="1">IF(OR(E909="",E909="!!!",F909="NEW"),"",COUNTBLANK(OFFSET(A$1,,,SUMPRODUCT(MAX(ROW(E$2:E909)*(E909=E$2:E909)))))-COUNTBLANK(OFFSET(A$1,,,SUMPRODUCT(MAX(ROW(E$1:E908)*(E2=E$1:E908))))))</f>
        <v/>
      </c>
      <c r="K909" s="24" t="str">
        <f>IF(OR(E909="",E909="!!!",F909="NEW"),"",INDEX(J$1:J908,SUMPRODUCT(MAX(ROW(E$1:E908)*(E909=E$1:E908)))))</f>
        <v/>
      </c>
      <c r="L909" s="25"/>
    </row>
    <row r="910" spans="1:12" x14ac:dyDescent="0.3">
      <c r="A910" t="s">
        <v>254</v>
      </c>
      <c r="B910" s="26" t="s">
        <v>255</v>
      </c>
      <c r="C910" s="26" t="s">
        <v>256</v>
      </c>
      <c r="D910" s="26" t="s">
        <v>240</v>
      </c>
      <c r="E910" s="20" t="str">
        <f t="shared" si="92"/>
        <v>!!!</v>
      </c>
      <c r="F910" s="21" t="str">
        <f>IF(OR(E910="",E910="!!!"),"",IF(NOT(ISNA(VLOOKUP(E910,E$1:E909,1,FALSE()))),"OLD",IF(AND(E910&lt;&gt;"",E910&lt;&gt;"!!!"),"NEW","")))</f>
        <v/>
      </c>
      <c r="G910" s="22" t="str">
        <f>IF(OR(E910="",E910="!!!"),"",IF(OR(J910=0,AND(J910=1,K910=1),AND(J910=1,I910="SBJ"),AND(J910=1,I910=0)),"?IN_FOCUS",IF(J910&lt;=2,"?ACTIVATED",IF(J910&lt;&gt;"","?FAMILIAR",IF(F910="NEW",IF(ISNA(VLOOKUP(E910,#REF!,1,FALSE())),"?TYPE_IDENTIFIABLE","?REFERENTIAL"),"_")))))</f>
        <v/>
      </c>
      <c r="H910" s="23" t="str">
        <f t="shared" ca="1" si="93"/>
        <v/>
      </c>
      <c r="I910" s="24" t="str">
        <f>IF(OR(E910="",E910="!!!",F910="NEW"),"",INDEX(B$2:B909,-1+SUMPRODUCT(MAX(ROW(E$2:E909)*(E910=E$2:E909)))))</f>
        <v/>
      </c>
      <c r="J910" s="24" t="str">
        <f ca="1">IF(OR(E910="",E910="!!!",F910="NEW"),"",COUNTBLANK(OFFSET(A$1,,,SUMPRODUCT(MAX(ROW(E$2:E910)*(E910=E$2:E910)))))-COUNTBLANK(OFFSET(A$1,,,SUMPRODUCT(MAX(ROW(E$1:E909)*(E2=E$1:E909))))))</f>
        <v/>
      </c>
      <c r="K910" s="24" t="str">
        <f>IF(OR(E910="",E910="!!!",F910="NEW"),"",INDEX(J$1:J909,SUMPRODUCT(MAX(ROW(E$1:E909)*(E910=E$1:E909)))))</f>
        <v/>
      </c>
      <c r="L910" s="25"/>
    </row>
    <row r="911" spans="1:12" x14ac:dyDescent="0.3">
      <c r="A911" t="s">
        <v>321</v>
      </c>
      <c r="E911" s="20" t="str">
        <f t="shared" si="92"/>
        <v/>
      </c>
      <c r="F911" s="21" t="str">
        <f>IF(OR(E911="",E911="!!!"),"",IF(NOT(ISNA(VLOOKUP(E911,E$1:E910,1,FALSE()))),"OLD",IF(AND(E911&lt;&gt;"",E911&lt;&gt;"!!!"),"NEW","")))</f>
        <v/>
      </c>
      <c r="G911" s="22" t="str">
        <f>IF(OR(E911="",E911="!!!"),"",IF(OR(J911=0,AND(J911=1,K911=1),AND(J911=1,I911="SBJ"),AND(J911=1,I911=0)),"?IN_FOCUS",IF(J911&lt;=2,"?ACTIVATED",IF(J911&lt;&gt;"","?FAMILIAR",IF(F911="NEW",IF(ISNA(VLOOKUP(E911,#REF!,1,FALSE())),"?TYPE_IDENTIFIABLE","?REFERENTIAL"),"_")))))</f>
        <v/>
      </c>
      <c r="H911" s="23" t="str">
        <f t="shared" ca="1" si="93"/>
        <v/>
      </c>
      <c r="I911" s="24" t="str">
        <f>IF(OR(E911="",E911="!!!",F911="NEW"),"",INDEX(B$2:B910,-1+SUMPRODUCT(MAX(ROW(E$2:E910)*(E911=E$2:E910)))))</f>
        <v/>
      </c>
      <c r="J911" s="24" t="str">
        <f ca="1">IF(OR(E911="",E911="!!!",F911="NEW"),"",COUNTBLANK(OFFSET(A$1,,,SUMPRODUCT(MAX(ROW(E$2:E911)*(E911=E$2:E911)))))-COUNTBLANK(OFFSET(A$1,,,SUMPRODUCT(MAX(ROW(E$1:E910)*(E2=E$1:E910))))))</f>
        <v/>
      </c>
      <c r="K911" s="24" t="str">
        <f>IF(OR(E911="",E911="!!!",F911="NEW"),"",INDEX(J$1:J910,SUMPRODUCT(MAX(ROW(E$1:E910)*(E911=E$1:E910)))))</f>
        <v/>
      </c>
      <c r="L911" s="25"/>
    </row>
    <row r="912" spans="1:12" x14ac:dyDescent="0.3">
      <c r="A912" t="s">
        <v>246</v>
      </c>
      <c r="B912" s="26" t="s">
        <v>265</v>
      </c>
      <c r="C912" s="26" t="s">
        <v>262</v>
      </c>
      <c r="E912" s="20" t="str">
        <f t="shared" si="92"/>
        <v/>
      </c>
      <c r="F912" s="21" t="str">
        <f>IF(OR(E912="",E912="!!!"),"",IF(NOT(ISNA(VLOOKUP(E912,E$1:E911,1,FALSE()))),"OLD",IF(AND(E912&lt;&gt;"",E912&lt;&gt;"!!!"),"NEW","")))</f>
        <v/>
      </c>
      <c r="G912" s="22" t="str">
        <f>IF(OR(E912="",E912="!!!"),"",IF(OR(J912=0,AND(J912=1,K912=1),AND(J912=1,I912="SBJ"),AND(J912=1,I912=0)),"?IN_FOCUS",IF(J912&lt;=2,"?ACTIVATED",IF(J912&lt;&gt;"","?FAMILIAR",IF(F912="NEW",IF(ISNA(VLOOKUP(E912,#REF!,1,FALSE())),"?TYPE_IDENTIFIABLE","?REFERENTIAL"),"_")))))</f>
        <v/>
      </c>
      <c r="H912" s="23" t="str">
        <f t="shared" ca="1" si="93"/>
        <v/>
      </c>
      <c r="I912" s="24" t="str">
        <f>IF(OR(E912="",E912="!!!",F912="NEW"),"",INDEX(B$2:B911,-1+SUMPRODUCT(MAX(ROW(E$2:E911)*(E912=E$2:E911)))))</f>
        <v/>
      </c>
      <c r="J912" s="24" t="str">
        <f ca="1">IF(OR(E912="",E912="!!!",F912="NEW"),"",COUNTBLANK(OFFSET(A$1,,,SUMPRODUCT(MAX(ROW(E$2:E912)*(E912=E$2:E912)))))-COUNTBLANK(OFFSET(A$1,,,SUMPRODUCT(MAX(ROW(E$1:E911)*(E2=E$1:E911))))))</f>
        <v/>
      </c>
      <c r="K912" s="24" t="str">
        <f>IF(OR(E912="",E912="!!!",F912="NEW"),"",INDEX(J$1:J911,SUMPRODUCT(MAX(ROW(E$1:E911)*(E912=E$1:E911)))))</f>
        <v/>
      </c>
      <c r="L912" s="25"/>
    </row>
    <row r="913" spans="1:12" x14ac:dyDescent="0.3">
      <c r="A913" t="s">
        <v>401</v>
      </c>
      <c r="E913" s="20" t="str">
        <f t="shared" si="92"/>
        <v/>
      </c>
      <c r="F913" s="21" t="str">
        <f>IF(OR(E913="",E913="!!!"),"",IF(NOT(ISNA(VLOOKUP(E913,E$1:E912,1,FALSE()))),"OLD",IF(AND(E913&lt;&gt;"",E913&lt;&gt;"!!!"),"NEW","")))</f>
        <v/>
      </c>
      <c r="G913" s="22" t="str">
        <f>IF(OR(E913="",E913="!!!"),"",IF(OR(J913=0,AND(J913=1,K913=1),AND(J913=1,I913="SBJ"),AND(J913=1,I913=0)),"?IN_FOCUS",IF(J913&lt;=2,"?ACTIVATED",IF(J913&lt;&gt;"","?FAMILIAR",IF(F913="NEW",IF(ISNA(VLOOKUP(E913,#REF!,1,FALSE())),"?TYPE_IDENTIFIABLE","?REFERENTIAL"),"_")))))</f>
        <v/>
      </c>
      <c r="H913" s="23" t="str">
        <f t="shared" ca="1" si="93"/>
        <v/>
      </c>
      <c r="I913" s="24" t="str">
        <f>IF(OR(E913="",E913="!!!",F913="NEW"),"",INDEX(B$2:B912,-1+SUMPRODUCT(MAX(ROW(E$2:E912)*(E913=E$2:E912)))))</f>
        <v/>
      </c>
      <c r="J913" s="24" t="str">
        <f ca="1">IF(OR(E913="",E913="!!!",F913="NEW"),"",COUNTBLANK(OFFSET(A$1,,,SUMPRODUCT(MAX(ROW(E$2:E913)*(E913=E$2:E913)))))-COUNTBLANK(OFFSET(A$1,,,SUMPRODUCT(MAX(ROW(E$1:E912)*(E2=E$1:E912))))))</f>
        <v/>
      </c>
      <c r="K913" s="24" t="str">
        <f>IF(OR(E913="",E913="!!!",F913="NEW"),"",INDEX(J$1:J912,SUMPRODUCT(MAX(ROW(E$1:E912)*(E913=E$1:E912)))))</f>
        <v/>
      </c>
      <c r="L913" s="25"/>
    </row>
    <row r="914" spans="1:12" x14ac:dyDescent="0.3">
      <c r="A914" t="s">
        <v>248</v>
      </c>
      <c r="E914" s="20" t="str">
        <f t="shared" si="92"/>
        <v/>
      </c>
      <c r="F914" s="21" t="str">
        <f>IF(OR(E914="",E914="!!!"),"",IF(NOT(ISNA(VLOOKUP(E914,E$1:E913,1,FALSE()))),"OLD",IF(AND(E914&lt;&gt;"",E914&lt;&gt;"!!!"),"NEW","")))</f>
        <v/>
      </c>
      <c r="G914" s="22" t="str">
        <f>IF(OR(E914="",E914="!!!"),"",IF(OR(J914=0,AND(J914=1,K914=1),AND(J914=1,I914="SBJ"),AND(J914=1,I914=0)),"?IN_FOCUS",IF(J914&lt;=2,"?ACTIVATED",IF(J914&lt;&gt;"","?FAMILIAR",IF(F914="NEW",IF(ISNA(VLOOKUP(E914,#REF!,1,FALSE())),"?TYPE_IDENTIFIABLE","?REFERENTIAL"),"_")))))</f>
        <v/>
      </c>
      <c r="H914" s="23" t="str">
        <f t="shared" ca="1" si="93"/>
        <v/>
      </c>
      <c r="I914" s="24" t="str">
        <f>IF(OR(E914="",E914="!!!",F914="NEW"),"",INDEX(B$2:B913,-1+SUMPRODUCT(MAX(ROW(E$2:E913)*(E914=E$2:E913)))))</f>
        <v/>
      </c>
      <c r="J914" s="24" t="str">
        <f ca="1">IF(OR(E914="",E914="!!!",F914="NEW"),"",COUNTBLANK(OFFSET(A$1,,,SUMPRODUCT(MAX(ROW(E$2:E914)*(E914=E$2:E914)))))-COUNTBLANK(OFFSET(A$1,,,SUMPRODUCT(MAX(ROW(E$1:E913)*(E2=E$1:E913))))))</f>
        <v/>
      </c>
      <c r="K914" s="24" t="str">
        <f>IF(OR(E914="",E914="!!!",F914="NEW"),"",INDEX(J$1:J913,SUMPRODUCT(MAX(ROW(E$1:E913)*(E914=E$1:E913)))))</f>
        <v/>
      </c>
      <c r="L914" s="25"/>
    </row>
    <row r="916" spans="1:12" x14ac:dyDescent="0.3">
      <c r="A916" t="s">
        <v>644</v>
      </c>
    </row>
    <row r="917" spans="1:12" x14ac:dyDescent="0.3">
      <c r="A917" t="s">
        <v>235</v>
      </c>
      <c r="E917" s="20" t="str">
        <f t="shared" ref="E917:E931" si="94">IF(D917="?OLD","!!!","")</f>
        <v/>
      </c>
      <c r="F917" s="21" t="str">
        <f>IF(OR(E917="",E917="!!!"),"",IF(NOT(ISNA(VLOOKUP(E917,E$1:E916,1,FALSE()))),"OLD",IF(AND(E917&lt;&gt;"",E917&lt;&gt;"!!!"),"NEW","")))</f>
        <v/>
      </c>
      <c r="G917" s="22" t="str">
        <f>IF(OR(E917="",E917="!!!"),"",IF(OR(J917=0,AND(J917=1,K917=1),AND(J917=1,I917="SBJ"),AND(J917=1,I917=0)),"?IN_FOCUS",IF(J917&lt;=2,"?ACTIVATED",IF(J917&lt;&gt;"","?FAMILIAR",IF(F917="NEW",IF(ISNA(VLOOKUP(E917,#REF!,1,FALSE())),"?TYPE_IDENTIFIABLE","?REFERENTIAL"),"_")))))</f>
        <v/>
      </c>
      <c r="H917" s="23" t="str">
        <f t="shared" ref="H917:H931" ca="1" si="95">IF(J917&lt;&gt;1,"",IF(I917="SBJ","CB","?"))</f>
        <v/>
      </c>
      <c r="I917" s="24" t="str">
        <f>IF(OR(E917="",E917="!!!",F917="NEW"),"",INDEX(B$2:B916,-1+SUMPRODUCT(MAX(ROW(E$2:E916)*(E917=E$2:E916)))))</f>
        <v/>
      </c>
      <c r="J917" s="24" t="str">
        <f ca="1">IF(OR(E917="",E917="!!!",F917="NEW"),"",COUNTBLANK(OFFSET(A$1,,,SUMPRODUCT(MAX(ROW(E$2:E917)*(E917=E$2:E917)))))-COUNTBLANK(OFFSET(A$1,,,SUMPRODUCT(MAX(ROW(E$1:E916)*(E2=E$1:E916))))))</f>
        <v/>
      </c>
      <c r="K917" s="24" t="str">
        <f>IF(OR(E917="",E917="!!!",F917="NEW"),"",INDEX(J$1:J916,SUMPRODUCT(MAX(ROW(E$1:E916)*(E917=E$1:E916)))))</f>
        <v/>
      </c>
      <c r="L917" s="25"/>
    </row>
    <row r="918" spans="1:12" x14ac:dyDescent="0.3">
      <c r="A918" t="s">
        <v>393</v>
      </c>
      <c r="E918" s="20" t="str">
        <f t="shared" si="94"/>
        <v/>
      </c>
      <c r="F918" s="21" t="str">
        <f>IF(OR(E918="",E918="!!!"),"",IF(NOT(ISNA(VLOOKUP(E918,E$1:E917,1,FALSE()))),"OLD",IF(AND(E918&lt;&gt;"",E918&lt;&gt;"!!!"),"NEW","")))</f>
        <v/>
      </c>
      <c r="G918" s="22" t="str">
        <f>IF(OR(E918="",E918="!!!"),"",IF(OR(J918=0,AND(J918=1,K918=1),AND(J918=1,I918="SBJ"),AND(J918=1,I918=0)),"?IN_FOCUS",IF(J918&lt;=2,"?ACTIVATED",IF(J918&lt;&gt;"","?FAMILIAR",IF(F918="NEW",IF(ISNA(VLOOKUP(E918,#REF!,1,FALSE())),"?TYPE_IDENTIFIABLE","?REFERENTIAL"),"_")))))</f>
        <v/>
      </c>
      <c r="H918" s="23" t="str">
        <f t="shared" ca="1" si="95"/>
        <v/>
      </c>
      <c r="I918" s="24" t="str">
        <f>IF(OR(E918="",E918="!!!",F918="NEW"),"",INDEX(B$2:B917,-1+SUMPRODUCT(MAX(ROW(E$2:E917)*(E918=E$2:E917)))))</f>
        <v/>
      </c>
      <c r="J918" s="24" t="str">
        <f ca="1">IF(OR(E918="",E918="!!!",F918="NEW"),"",COUNTBLANK(OFFSET(A$1,,,SUMPRODUCT(MAX(ROW(E$2:E918)*(E918=E$2:E918)))))-COUNTBLANK(OFFSET(A$1,,,SUMPRODUCT(MAX(ROW(E$1:E917)*(E2=E$1:E917))))))</f>
        <v/>
      </c>
      <c r="K918" s="24" t="str">
        <f>IF(OR(E918="",E918="!!!",F918="NEW"),"",INDEX(J$1:J917,SUMPRODUCT(MAX(ROW(E$1:E917)*(E918=E$1:E917)))))</f>
        <v/>
      </c>
      <c r="L918" s="25"/>
    </row>
    <row r="919" spans="1:12" x14ac:dyDescent="0.3">
      <c r="A919" t="s">
        <v>645</v>
      </c>
      <c r="E919" s="20" t="str">
        <f t="shared" si="94"/>
        <v/>
      </c>
      <c r="F919" s="21" t="str">
        <f>IF(OR(E919="",E919="!!!"),"",IF(NOT(ISNA(VLOOKUP(E919,E$1:E918,1,FALSE()))),"OLD",IF(AND(E919&lt;&gt;"",E919&lt;&gt;"!!!"),"NEW","")))</f>
        <v/>
      </c>
      <c r="G919" s="22" t="str">
        <f>IF(OR(E919="",E919="!!!"),"",IF(OR(J919=0,AND(J919=1,K919=1),AND(J919=1,I919="SBJ"),AND(J919=1,I919=0)),"?IN_FOCUS",IF(J919&lt;=2,"?ACTIVATED",IF(J919&lt;&gt;"","?FAMILIAR",IF(F919="NEW",IF(ISNA(VLOOKUP(E919,#REF!,1,FALSE())),"?TYPE_IDENTIFIABLE","?REFERENTIAL"),"_")))))</f>
        <v/>
      </c>
      <c r="H919" s="23" t="str">
        <f t="shared" ca="1" si="95"/>
        <v/>
      </c>
      <c r="I919" s="24" t="str">
        <f>IF(OR(E919="",E919="!!!",F919="NEW"),"",INDEX(B$2:B918,-1+SUMPRODUCT(MAX(ROW(E$2:E918)*(E919=E$2:E918)))))</f>
        <v/>
      </c>
      <c r="J919" s="24" t="str">
        <f ca="1">IF(OR(E919="",E919="!!!",F919="NEW"),"",COUNTBLANK(OFFSET(A$1,,,SUMPRODUCT(MAX(ROW(E$2:E919)*(E919=E$2:E919)))))-COUNTBLANK(OFFSET(A$1,,,SUMPRODUCT(MAX(ROW(E$1:E918)*(E2=E$1:E918))))))</f>
        <v/>
      </c>
      <c r="K919" s="24" t="str">
        <f>IF(OR(E919="",E919="!!!",F919="NEW"),"",INDEX(J$1:J918,SUMPRODUCT(MAX(ROW(E$1:E918)*(E919=E$1:E918)))))</f>
        <v/>
      </c>
      <c r="L919" s="25"/>
    </row>
    <row r="920" spans="1:12" x14ac:dyDescent="0.3">
      <c r="A920" t="s">
        <v>252</v>
      </c>
      <c r="E920" s="20" t="str">
        <f t="shared" si="94"/>
        <v/>
      </c>
      <c r="F920" s="21" t="str">
        <f>IF(OR(E920="",E920="!!!"),"",IF(NOT(ISNA(VLOOKUP(E920,E$1:E919,1,FALSE()))),"OLD",IF(AND(E920&lt;&gt;"",E920&lt;&gt;"!!!"),"NEW","")))</f>
        <v/>
      </c>
      <c r="G920" s="22" t="str">
        <f>IF(OR(E920="",E920="!!!"),"",IF(OR(J920=0,AND(J920=1,K920=1),AND(J920=1,I920="SBJ"),AND(J920=1,I920=0)),"?IN_FOCUS",IF(J920&lt;=2,"?ACTIVATED",IF(J920&lt;&gt;"","?FAMILIAR",IF(F920="NEW",IF(ISNA(VLOOKUP(E920,#REF!,1,FALSE())),"?TYPE_IDENTIFIABLE","?REFERENTIAL"),"_")))))</f>
        <v/>
      </c>
      <c r="H920" s="23" t="str">
        <f t="shared" ca="1" si="95"/>
        <v/>
      </c>
      <c r="I920" s="24" t="str">
        <f>IF(OR(E920="",E920="!!!",F920="NEW"),"",INDEX(B$2:B919,-1+SUMPRODUCT(MAX(ROW(E$2:E919)*(E920=E$2:E919)))))</f>
        <v/>
      </c>
      <c r="J920" s="24" t="str">
        <f ca="1">IF(OR(E920="",E920="!!!",F920="NEW"),"",COUNTBLANK(OFFSET(A$1,,,SUMPRODUCT(MAX(ROW(E$2:E920)*(E920=E$2:E920)))))-COUNTBLANK(OFFSET(A$1,,,SUMPRODUCT(MAX(ROW(E$1:E919)*(E2=E$1:E919))))))</f>
        <v/>
      </c>
      <c r="K920" s="24" t="str">
        <f>IF(OR(E920="",E920="!!!",F920="NEW"),"",INDEX(J$1:J919,SUMPRODUCT(MAX(ROW(E$1:E919)*(E920=E$1:E919)))))</f>
        <v/>
      </c>
      <c r="L920" s="25"/>
    </row>
    <row r="921" spans="1:12" x14ac:dyDescent="0.3">
      <c r="A921" t="s">
        <v>646</v>
      </c>
      <c r="E921" s="20" t="str">
        <f t="shared" si="94"/>
        <v/>
      </c>
      <c r="F921" s="21" t="str">
        <f>IF(OR(E921="",E921="!!!"),"",IF(NOT(ISNA(VLOOKUP(E921,E$1:E920,1,FALSE()))),"OLD",IF(AND(E921&lt;&gt;"",E921&lt;&gt;"!!!"),"NEW","")))</f>
        <v/>
      </c>
      <c r="G921" s="22" t="str">
        <f>IF(OR(E921="",E921="!!!"),"",IF(OR(J921=0,AND(J921=1,K921=1),AND(J921=1,I921="SBJ"),AND(J921=1,I921=0)),"?IN_FOCUS",IF(J921&lt;=2,"?ACTIVATED",IF(J921&lt;&gt;"","?FAMILIAR",IF(F921="NEW",IF(ISNA(VLOOKUP(E921,#REF!,1,FALSE())),"?TYPE_IDENTIFIABLE","?REFERENTIAL"),"_")))))</f>
        <v/>
      </c>
      <c r="H921" s="23" t="str">
        <f t="shared" ca="1" si="95"/>
        <v/>
      </c>
      <c r="I921" s="24" t="str">
        <f>IF(OR(E921="",E921="!!!",F921="NEW"),"",INDEX(B$2:B920,-1+SUMPRODUCT(MAX(ROW(E$2:E920)*(E921=E$2:E920)))))</f>
        <v/>
      </c>
      <c r="J921" s="24" t="str">
        <f ca="1">IF(OR(E921="",E921="!!!",F921="NEW"),"",COUNTBLANK(OFFSET(A$1,,,SUMPRODUCT(MAX(ROW(E$2:E921)*(E921=E$2:E921)))))-COUNTBLANK(OFFSET(A$1,,,SUMPRODUCT(MAX(ROW(E$1:E920)*(E2=E$1:E920))))))</f>
        <v/>
      </c>
      <c r="K921" s="24" t="str">
        <f>IF(OR(E921="",E921="!!!",F921="NEW"),"",INDEX(J$1:J920,SUMPRODUCT(MAX(ROW(E$1:E920)*(E921=E$1:E920)))))</f>
        <v/>
      </c>
      <c r="L921" s="25"/>
    </row>
    <row r="922" spans="1:12" x14ac:dyDescent="0.3">
      <c r="A922" t="s">
        <v>647</v>
      </c>
      <c r="E922" s="20" t="str">
        <f t="shared" si="94"/>
        <v/>
      </c>
      <c r="F922" s="21" t="str">
        <f>IF(OR(E922="",E922="!!!"),"",IF(NOT(ISNA(VLOOKUP(E922,E$1:E921,1,FALSE()))),"OLD",IF(AND(E922&lt;&gt;"",E922&lt;&gt;"!!!"),"NEW","")))</f>
        <v/>
      </c>
      <c r="G922" s="22" t="str">
        <f>IF(OR(E922="",E922="!!!"),"",IF(OR(J922=0,AND(J922=1,K922=1),AND(J922=1,I922="SBJ"),AND(J922=1,I922=0)),"?IN_FOCUS",IF(J922&lt;=2,"?ACTIVATED",IF(J922&lt;&gt;"","?FAMILIAR",IF(F922="NEW",IF(ISNA(VLOOKUP(E922,#REF!,1,FALSE())),"?TYPE_IDENTIFIABLE","?REFERENTIAL"),"_")))))</f>
        <v/>
      </c>
      <c r="H922" s="23" t="str">
        <f t="shared" ca="1" si="95"/>
        <v/>
      </c>
      <c r="I922" s="24" t="str">
        <f>IF(OR(E922="",E922="!!!",F922="NEW"),"",INDEX(B$2:B921,-1+SUMPRODUCT(MAX(ROW(E$2:E921)*(E922=E$2:E921)))))</f>
        <v/>
      </c>
      <c r="J922" s="24" t="str">
        <f ca="1">IF(OR(E922="",E922="!!!",F922="NEW"),"",COUNTBLANK(OFFSET(A$1,,,SUMPRODUCT(MAX(ROW(E$2:E922)*(E922=E$2:E922)))))-COUNTBLANK(OFFSET(A$1,,,SUMPRODUCT(MAX(ROW(E$1:E921)*(E2=E$1:E921))))))</f>
        <v/>
      </c>
      <c r="K922" s="24" t="str">
        <f>IF(OR(E922="",E922="!!!",F922="NEW"),"",INDEX(J$1:J921,SUMPRODUCT(MAX(ROW(E$1:E921)*(E922=E$1:E921)))))</f>
        <v/>
      </c>
      <c r="L922" s="25"/>
    </row>
    <row r="923" spans="1:12" x14ac:dyDescent="0.3">
      <c r="A923" t="s">
        <v>306</v>
      </c>
      <c r="B923" s="26" t="s">
        <v>238</v>
      </c>
      <c r="C923" s="26" t="s">
        <v>454</v>
      </c>
      <c r="D923" s="26" t="s">
        <v>240</v>
      </c>
      <c r="E923" s="20" t="str">
        <f t="shared" si="94"/>
        <v>!!!</v>
      </c>
      <c r="F923" s="21" t="str">
        <f>IF(OR(E923="",E923="!!!"),"",IF(NOT(ISNA(VLOOKUP(E923,E$1:E922,1,FALSE()))),"OLD",IF(AND(E923&lt;&gt;"",E923&lt;&gt;"!!!"),"NEW","")))</f>
        <v/>
      </c>
      <c r="G923" s="22" t="str">
        <f>IF(OR(E923="",E923="!!!"),"",IF(OR(J923=0,AND(J923=1,K923=1),AND(J923=1,I923="SBJ"),AND(J923=1,I923=0)),"?IN_FOCUS",IF(J923&lt;=2,"?ACTIVATED",IF(J923&lt;&gt;"","?FAMILIAR",IF(F923="NEW",IF(ISNA(VLOOKUP(E923,#REF!,1,FALSE())),"?TYPE_IDENTIFIABLE","?REFERENTIAL"),"_")))))</f>
        <v/>
      </c>
      <c r="H923" s="23" t="str">
        <f t="shared" ca="1" si="95"/>
        <v/>
      </c>
      <c r="I923" s="24" t="str">
        <f>IF(OR(E923="",E923="!!!",F923="NEW"),"",INDEX(B$2:B922,-1+SUMPRODUCT(MAX(ROW(E$2:E922)*(E923=E$2:E922)))))</f>
        <v/>
      </c>
      <c r="J923" s="24" t="str">
        <f ca="1">IF(OR(E923="",E923="!!!",F923="NEW"),"",COUNTBLANK(OFFSET(A$1,,,SUMPRODUCT(MAX(ROW(E$2:E923)*(E923=E$2:E923)))))-COUNTBLANK(OFFSET(A$1,,,SUMPRODUCT(MAX(ROW(E$1:E922)*(E2=E$1:E922))))))</f>
        <v/>
      </c>
      <c r="K923" s="24" t="str">
        <f>IF(OR(E923="",E923="!!!",F923="NEW"),"",INDEX(J$1:J922,SUMPRODUCT(MAX(ROW(E$1:E922)*(E923=E$1:E922)))))</f>
        <v/>
      </c>
      <c r="L923" s="25"/>
    </row>
    <row r="924" spans="1:12" x14ac:dyDescent="0.3">
      <c r="A924" t="s">
        <v>337</v>
      </c>
      <c r="E924" s="20" t="str">
        <f t="shared" si="94"/>
        <v/>
      </c>
      <c r="F924" s="21" t="str">
        <f>IF(OR(E924="",E924="!!!"),"",IF(NOT(ISNA(VLOOKUP(E924,E$1:E923,1,FALSE()))),"OLD",IF(AND(E924&lt;&gt;"",E924&lt;&gt;"!!!"),"NEW","")))</f>
        <v/>
      </c>
      <c r="G924" s="22" t="str">
        <f>IF(OR(E924="",E924="!!!"),"",IF(OR(J924=0,AND(J924=1,K924=1),AND(J924=1,I924="SBJ"),AND(J924=1,I924=0)),"?IN_FOCUS",IF(J924&lt;=2,"?ACTIVATED",IF(J924&lt;&gt;"","?FAMILIAR",IF(F924="NEW",IF(ISNA(VLOOKUP(E924,#REF!,1,FALSE())),"?TYPE_IDENTIFIABLE","?REFERENTIAL"),"_")))))</f>
        <v/>
      </c>
      <c r="H924" s="23" t="str">
        <f t="shared" ca="1" si="95"/>
        <v/>
      </c>
      <c r="I924" s="24" t="str">
        <f>IF(OR(E924="",E924="!!!",F924="NEW"),"",INDEX(B$2:B923,-1+SUMPRODUCT(MAX(ROW(E$2:E923)*(E924=E$2:E923)))))</f>
        <v/>
      </c>
      <c r="J924" s="24" t="str">
        <f ca="1">IF(OR(E924="",E924="!!!",F924="NEW"),"",COUNTBLANK(OFFSET(A$1,,,SUMPRODUCT(MAX(ROW(E$2:E924)*(E924=E$2:E924)))))-COUNTBLANK(OFFSET(A$1,,,SUMPRODUCT(MAX(ROW(E$1:E923)*(E2=E$1:E923))))))</f>
        <v/>
      </c>
      <c r="K924" s="24" t="str">
        <f>IF(OR(E924="",E924="!!!",F924="NEW"),"",INDEX(J$1:J923,SUMPRODUCT(MAX(ROW(E$1:E923)*(E924=E$1:E923)))))</f>
        <v/>
      </c>
      <c r="L924" s="25"/>
    </row>
    <row r="925" spans="1:12" x14ac:dyDescent="0.3">
      <c r="A925" t="s">
        <v>254</v>
      </c>
      <c r="B925" s="26" t="s">
        <v>243</v>
      </c>
      <c r="C925" s="26" t="s">
        <v>256</v>
      </c>
      <c r="D925" s="26" t="s">
        <v>240</v>
      </c>
      <c r="E925" s="20" t="str">
        <f t="shared" si="94"/>
        <v>!!!</v>
      </c>
      <c r="F925" s="21" t="str">
        <f>IF(OR(E925="",E925="!!!"),"",IF(NOT(ISNA(VLOOKUP(E925,E$1:E924,1,FALSE()))),"OLD",IF(AND(E925&lt;&gt;"",E925&lt;&gt;"!!!"),"NEW","")))</f>
        <v/>
      </c>
      <c r="G925" s="22" t="str">
        <f>IF(OR(E925="",E925="!!!"),"",IF(OR(J925=0,AND(J925=1,K925=1),AND(J925=1,I925="SBJ"),AND(J925=1,I925=0)),"?IN_FOCUS",IF(J925&lt;=2,"?ACTIVATED",IF(J925&lt;&gt;"","?FAMILIAR",IF(F925="NEW",IF(ISNA(VLOOKUP(E925,#REF!,1,FALSE())),"?TYPE_IDENTIFIABLE","?REFERENTIAL"),"_")))))</f>
        <v/>
      </c>
      <c r="H925" s="23" t="str">
        <f t="shared" ca="1" si="95"/>
        <v/>
      </c>
      <c r="I925" s="24" t="str">
        <f>IF(OR(E925="",E925="!!!",F925="NEW"),"",INDEX(B$2:B924,-1+SUMPRODUCT(MAX(ROW(E$2:E924)*(E925=E$2:E924)))))</f>
        <v/>
      </c>
      <c r="J925" s="24" t="str">
        <f ca="1">IF(OR(E925="",E925="!!!",F925="NEW"),"",COUNTBLANK(OFFSET(A$1,,,SUMPRODUCT(MAX(ROW(E$2:E925)*(E925=E$2:E925)))))-COUNTBLANK(OFFSET(A$1,,,SUMPRODUCT(MAX(ROW(E$1:E924)*(E2=E$1:E924))))))</f>
        <v/>
      </c>
      <c r="K925" s="24" t="str">
        <f>IF(OR(E925="",E925="!!!",F925="NEW"),"",INDEX(J$1:J924,SUMPRODUCT(MAX(ROW(E$1:E924)*(E925=E$1:E924)))))</f>
        <v/>
      </c>
      <c r="L925" s="25"/>
    </row>
    <row r="926" spans="1:12" x14ac:dyDescent="0.3">
      <c r="A926" t="s">
        <v>308</v>
      </c>
      <c r="E926" s="20" t="str">
        <f t="shared" si="94"/>
        <v/>
      </c>
      <c r="F926" s="21" t="str">
        <f>IF(OR(E926="",E926="!!!"),"",IF(NOT(ISNA(VLOOKUP(E926,E$1:E925,1,FALSE()))),"OLD",IF(AND(E926&lt;&gt;"",E926&lt;&gt;"!!!"),"NEW","")))</f>
        <v/>
      </c>
      <c r="G926" s="22" t="str">
        <f>IF(OR(E926="",E926="!!!"),"",IF(OR(J926=0,AND(J926=1,K926=1),AND(J926=1,I926="SBJ"),AND(J926=1,I926=0)),"?IN_FOCUS",IF(J926&lt;=2,"?ACTIVATED",IF(J926&lt;&gt;"","?FAMILIAR",IF(F926="NEW",IF(ISNA(VLOOKUP(E926,#REF!,1,FALSE())),"?TYPE_IDENTIFIABLE","?REFERENTIAL"),"_")))))</f>
        <v/>
      </c>
      <c r="H926" s="23" t="str">
        <f t="shared" ca="1" si="95"/>
        <v/>
      </c>
      <c r="I926" s="24" t="str">
        <f>IF(OR(E926="",E926="!!!",F926="NEW"),"",INDEX(B$2:B925,-1+SUMPRODUCT(MAX(ROW(E$2:E925)*(E926=E$2:E925)))))</f>
        <v/>
      </c>
      <c r="J926" s="24" t="str">
        <f ca="1">IF(OR(E926="",E926="!!!",F926="NEW"),"",COUNTBLANK(OFFSET(A$1,,,SUMPRODUCT(MAX(ROW(E$2:E926)*(E926=E$2:E926)))))-COUNTBLANK(OFFSET(A$1,,,SUMPRODUCT(MAX(ROW(E$1:E925)*(E2=E$1:E925))))))</f>
        <v/>
      </c>
      <c r="K926" s="24" t="str">
        <f>IF(OR(E926="",E926="!!!",F926="NEW"),"",INDEX(J$1:J925,SUMPRODUCT(MAX(ROW(E$1:E925)*(E926=E$1:E925)))))</f>
        <v/>
      </c>
      <c r="L926" s="25"/>
    </row>
    <row r="927" spans="1:12" x14ac:dyDescent="0.3">
      <c r="A927" t="s">
        <v>648</v>
      </c>
      <c r="E927" s="20" t="str">
        <f t="shared" si="94"/>
        <v/>
      </c>
      <c r="F927" s="21" t="str">
        <f>IF(OR(E927="",E927="!!!"),"",IF(NOT(ISNA(VLOOKUP(E927,E$1:E926,1,FALSE()))),"OLD",IF(AND(E927&lt;&gt;"",E927&lt;&gt;"!!!"),"NEW","")))</f>
        <v/>
      </c>
      <c r="G927" s="22" t="str">
        <f>IF(OR(E927="",E927="!!!"),"",IF(OR(J927=0,AND(J927=1,K927=1),AND(J927=1,I927="SBJ"),AND(J927=1,I927=0)),"?IN_FOCUS",IF(J927&lt;=2,"?ACTIVATED",IF(J927&lt;&gt;"","?FAMILIAR",IF(F927="NEW",IF(ISNA(VLOOKUP(E927,#REF!,1,FALSE())),"?TYPE_IDENTIFIABLE","?REFERENTIAL"),"_")))))</f>
        <v/>
      </c>
      <c r="H927" s="23" t="str">
        <f t="shared" ca="1" si="95"/>
        <v/>
      </c>
      <c r="I927" s="24" t="str">
        <f>IF(OR(E927="",E927="!!!",F927="NEW"),"",INDEX(B$2:B926,-1+SUMPRODUCT(MAX(ROW(E$2:E926)*(E927=E$2:E926)))))</f>
        <v/>
      </c>
      <c r="J927" s="24" t="str">
        <f ca="1">IF(OR(E927="",E927="!!!",F927="NEW"),"",COUNTBLANK(OFFSET(A$1,,,SUMPRODUCT(MAX(ROW(E$2:E927)*(E927=E$2:E927)))))-COUNTBLANK(OFFSET(A$1,,,SUMPRODUCT(MAX(ROW(E$1:E926)*(E2=E$1:E926))))))</f>
        <v/>
      </c>
      <c r="K927" s="24" t="str">
        <f>IF(OR(E927="",E927="!!!",F927="NEW"),"",INDEX(J$1:J926,SUMPRODUCT(MAX(ROW(E$1:E926)*(E927=E$1:E926)))))</f>
        <v/>
      </c>
      <c r="L927" s="25"/>
    </row>
    <row r="928" spans="1:12" x14ac:dyDescent="0.3">
      <c r="A928" t="s">
        <v>649</v>
      </c>
      <c r="E928" s="20" t="str">
        <f t="shared" si="94"/>
        <v/>
      </c>
      <c r="F928" s="21" t="str">
        <f>IF(OR(E928="",E928="!!!"),"",IF(NOT(ISNA(VLOOKUP(E928,E$1:E927,1,FALSE()))),"OLD",IF(AND(E928&lt;&gt;"",E928&lt;&gt;"!!!"),"NEW","")))</f>
        <v/>
      </c>
      <c r="G928" s="22" t="str">
        <f>IF(OR(E928="",E928="!!!"),"",IF(OR(J928=0,AND(J928=1,K928=1),AND(J928=1,I928="SBJ"),AND(J928=1,I928=0)),"?IN_FOCUS",IF(J928&lt;=2,"?ACTIVATED",IF(J928&lt;&gt;"","?FAMILIAR",IF(F928="NEW",IF(ISNA(VLOOKUP(E928,#REF!,1,FALSE())),"?TYPE_IDENTIFIABLE","?REFERENTIAL"),"_")))))</f>
        <v/>
      </c>
      <c r="H928" s="23" t="str">
        <f t="shared" ca="1" si="95"/>
        <v/>
      </c>
      <c r="I928" s="24" t="str">
        <f>IF(OR(E928="",E928="!!!",F928="NEW"),"",INDEX(B$2:B927,-1+SUMPRODUCT(MAX(ROW(E$2:E927)*(E928=E$2:E927)))))</f>
        <v/>
      </c>
      <c r="J928" s="24" t="str">
        <f ca="1">IF(OR(E928="",E928="!!!",F928="NEW"),"",COUNTBLANK(OFFSET(A$1,,,SUMPRODUCT(MAX(ROW(E$2:E928)*(E928=E$2:E928)))))-COUNTBLANK(OFFSET(A$1,,,SUMPRODUCT(MAX(ROW(E$1:E927)*(E2=E$1:E927))))))</f>
        <v/>
      </c>
      <c r="K928" s="24" t="str">
        <f>IF(OR(E928="",E928="!!!",F928="NEW"),"",INDEX(J$1:J927,SUMPRODUCT(MAX(ROW(E$1:E927)*(E928=E$1:E927)))))</f>
        <v/>
      </c>
      <c r="L928" s="25"/>
    </row>
    <row r="929" spans="1:12" x14ac:dyDescent="0.3">
      <c r="A929" t="s">
        <v>650</v>
      </c>
      <c r="B929" s="26" t="s">
        <v>292</v>
      </c>
      <c r="C929" s="26" t="s">
        <v>247</v>
      </c>
      <c r="E929" s="20" t="str">
        <f t="shared" si="94"/>
        <v/>
      </c>
      <c r="F929" s="21" t="str">
        <f>IF(OR(E929="",E929="!!!"),"",IF(NOT(ISNA(VLOOKUP(E929,E$1:E928,1,FALSE()))),"OLD",IF(AND(E929&lt;&gt;"",E929&lt;&gt;"!!!"),"NEW","")))</f>
        <v/>
      </c>
      <c r="G929" s="22" t="str">
        <f>IF(OR(E929="",E929="!!!"),"",IF(OR(J929=0,AND(J929=1,K929=1),AND(J929=1,I929="SBJ"),AND(J929=1,I929=0)),"?IN_FOCUS",IF(J929&lt;=2,"?ACTIVATED",IF(J929&lt;&gt;"","?FAMILIAR",IF(F929="NEW",IF(ISNA(VLOOKUP(E929,#REF!,1,FALSE())),"?TYPE_IDENTIFIABLE","?REFERENTIAL"),"_")))))</f>
        <v/>
      </c>
      <c r="H929" s="23" t="str">
        <f t="shared" ca="1" si="95"/>
        <v/>
      </c>
      <c r="I929" s="24" t="str">
        <f>IF(OR(E929="",E929="!!!",F929="NEW"),"",INDEX(B$2:B928,-1+SUMPRODUCT(MAX(ROW(E$2:E928)*(E929=E$2:E928)))))</f>
        <v/>
      </c>
      <c r="J929" s="24" t="str">
        <f ca="1">IF(OR(E929="",E929="!!!",F929="NEW"),"",COUNTBLANK(OFFSET(A$1,,,SUMPRODUCT(MAX(ROW(E$2:E929)*(E929=E$2:E929)))))-COUNTBLANK(OFFSET(A$1,,,SUMPRODUCT(MAX(ROW(E$1:E928)*(E2=E$1:E928))))))</f>
        <v/>
      </c>
      <c r="K929" s="24" t="str">
        <f>IF(OR(E929="",E929="!!!",F929="NEW"),"",INDEX(J$1:J928,SUMPRODUCT(MAX(ROW(E$1:E928)*(E929=E$1:E928)))))</f>
        <v/>
      </c>
      <c r="L929" s="25"/>
    </row>
    <row r="930" spans="1:12" x14ac:dyDescent="0.3">
      <c r="A930" t="s">
        <v>651</v>
      </c>
      <c r="E930" s="20" t="str">
        <f t="shared" si="94"/>
        <v/>
      </c>
      <c r="F930" s="21" t="str">
        <f>IF(OR(E930="",E930="!!!"),"",IF(NOT(ISNA(VLOOKUP(E930,E$1:E929,1,FALSE()))),"OLD",IF(AND(E930&lt;&gt;"",E930&lt;&gt;"!!!"),"NEW","")))</f>
        <v/>
      </c>
      <c r="G930" s="22" t="str">
        <f>IF(OR(E930="",E930="!!!"),"",IF(OR(J930=0,AND(J930=1,K930=1),AND(J930=1,I930="SBJ"),AND(J930=1,I930=0)),"?IN_FOCUS",IF(J930&lt;=2,"?ACTIVATED",IF(J930&lt;&gt;"","?FAMILIAR",IF(F930="NEW",IF(ISNA(VLOOKUP(E930,#REF!,1,FALSE())),"?TYPE_IDENTIFIABLE","?REFERENTIAL"),"_")))))</f>
        <v/>
      </c>
      <c r="H930" s="23" t="str">
        <f t="shared" ca="1" si="95"/>
        <v/>
      </c>
      <c r="I930" s="24" t="str">
        <f>IF(OR(E930="",E930="!!!",F930="NEW"),"",INDEX(B$2:B929,-1+SUMPRODUCT(MAX(ROW(E$2:E929)*(E930=E$2:E929)))))</f>
        <v/>
      </c>
      <c r="J930" s="24" t="str">
        <f ca="1">IF(OR(E930="",E930="!!!",F930="NEW"),"",COUNTBLANK(OFFSET(A$1,,,SUMPRODUCT(MAX(ROW(E$2:E930)*(E930=E$2:E930)))))-COUNTBLANK(OFFSET(A$1,,,SUMPRODUCT(MAX(ROW(E$1:E929)*(E2=E$1:E929))))))</f>
        <v/>
      </c>
      <c r="K930" s="24" t="str">
        <f>IF(OR(E930="",E930="!!!",F930="NEW"),"",INDEX(J$1:J929,SUMPRODUCT(MAX(ROW(E$1:E929)*(E930=E$1:E929)))))</f>
        <v/>
      </c>
      <c r="L930" s="25"/>
    </row>
    <row r="931" spans="1:12" x14ac:dyDescent="0.3">
      <c r="A931" t="s">
        <v>248</v>
      </c>
      <c r="E931" s="20" t="str">
        <f t="shared" si="94"/>
        <v/>
      </c>
      <c r="F931" s="21" t="str">
        <f>IF(OR(E931="",E931="!!!"),"",IF(NOT(ISNA(VLOOKUP(E931,E$1:E930,1,FALSE()))),"OLD",IF(AND(E931&lt;&gt;"",E931&lt;&gt;"!!!"),"NEW","")))</f>
        <v/>
      </c>
      <c r="G931" s="22" t="str">
        <f>IF(OR(E931="",E931="!!!"),"",IF(OR(J931=0,AND(J931=1,K931=1),AND(J931=1,I931="SBJ"),AND(J931=1,I931=0)),"?IN_FOCUS",IF(J931&lt;=2,"?ACTIVATED",IF(J931&lt;&gt;"","?FAMILIAR",IF(F931="NEW",IF(ISNA(VLOOKUP(E931,#REF!,1,FALSE())),"?TYPE_IDENTIFIABLE","?REFERENTIAL"),"_")))))</f>
        <v/>
      </c>
      <c r="H931" s="23" t="str">
        <f t="shared" ca="1" si="95"/>
        <v/>
      </c>
      <c r="I931" s="24" t="str">
        <f>IF(OR(E931="",E931="!!!",F931="NEW"),"",INDEX(B$2:B930,-1+SUMPRODUCT(MAX(ROW(E$2:E930)*(E931=E$2:E930)))))</f>
        <v/>
      </c>
      <c r="J931" s="24" t="str">
        <f ca="1">IF(OR(E931="",E931="!!!",F931="NEW"),"",COUNTBLANK(OFFSET(A$1,,,SUMPRODUCT(MAX(ROW(E$2:E931)*(E931=E$2:E931)))))-COUNTBLANK(OFFSET(A$1,,,SUMPRODUCT(MAX(ROW(E$1:E930)*(E2=E$1:E930))))))</f>
        <v/>
      </c>
      <c r="K931" s="24" t="str">
        <f>IF(OR(E931="",E931="!!!",F931="NEW"),"",INDEX(J$1:J930,SUMPRODUCT(MAX(ROW(E$1:E930)*(E931=E$1:E930)))))</f>
        <v/>
      </c>
      <c r="L931" s="25"/>
    </row>
    <row r="933" spans="1:12" x14ac:dyDescent="0.3">
      <c r="A933" t="s">
        <v>599</v>
      </c>
      <c r="E933" s="20" t="str">
        <f>IF(D933="?OLD","!!!","")</f>
        <v/>
      </c>
      <c r="F933" s="21" t="str">
        <f>IF(OR(E933="",E933="!!!"),"",IF(NOT(ISNA(VLOOKUP(E933,E$1:E932,1,FALSE()))),"OLD",IF(AND(E933&lt;&gt;"",E933&lt;&gt;"!!!"),"NEW","")))</f>
        <v/>
      </c>
      <c r="G933" s="22" t="str">
        <f>IF(OR(E933="",E933="!!!"),"",IF(OR(J933=0,AND(J933=1,K933=1),AND(J933=1,I933="SBJ"),AND(J933=1,I933=0)),"?IN_FOCUS",IF(J933&lt;=2,"?ACTIVATED",IF(J933&lt;&gt;"","?FAMILIAR",IF(F933="NEW",IF(ISNA(VLOOKUP(E933,#REF!,1,FALSE())),"?TYPE_IDENTIFIABLE","?REFERENTIAL"),"_")))))</f>
        <v/>
      </c>
      <c r="H933" s="23" t="str">
        <f ca="1">IF(J933&lt;&gt;1,"",IF(I933="SBJ","CB","?"))</f>
        <v/>
      </c>
      <c r="I933" s="24" t="str">
        <f>IF(OR(E933="",E933="!!!",F933="NEW"),"",INDEX(B$2:B932,-1+SUMPRODUCT(MAX(ROW(E$2:E932)*(E933=E$2:E932)))))</f>
        <v/>
      </c>
      <c r="J933" s="24" t="str">
        <f ca="1">IF(OR(E933="",E933="!!!",F933="NEW"),"",COUNTBLANK(OFFSET(A$1,,,SUMPRODUCT(MAX(ROW(E$2:E933)*(E933=E$2:E933)))))-COUNTBLANK(OFFSET(A$1,,,SUMPRODUCT(MAX(ROW(E$1:E932)*(E2=E$1:E932))))))</f>
        <v/>
      </c>
      <c r="K933" s="24" t="str">
        <f>IF(OR(E933="",E933="!!!",F933="NEW"),"",INDEX(J$1:J932,SUMPRODUCT(MAX(ROW(E$1:E932)*(E933=E$1:E932)))))</f>
        <v/>
      </c>
      <c r="L933" s="25"/>
    </row>
    <row r="934" spans="1:12" x14ac:dyDescent="0.3">
      <c r="A934" t="s">
        <v>652</v>
      </c>
    </row>
    <row r="935" spans="1:12" x14ac:dyDescent="0.3">
      <c r="A935" t="s">
        <v>653</v>
      </c>
      <c r="B935" s="26" t="s">
        <v>243</v>
      </c>
      <c r="C935" s="26" t="s">
        <v>305</v>
      </c>
      <c r="E935" s="20" t="str">
        <f t="shared" ref="E935:E952" si="96">IF(D935="?OLD","!!!","")</f>
        <v/>
      </c>
      <c r="F935" s="21" t="str">
        <f>IF(OR(E935="",E935="!!!"),"",IF(NOT(ISNA(VLOOKUP(E935,E$1:E934,1,FALSE()))),"OLD",IF(AND(E935&lt;&gt;"",E935&lt;&gt;"!!!"),"NEW","")))</f>
        <v/>
      </c>
      <c r="G935" s="22" t="str">
        <f>IF(OR(E935="",E935="!!!"),"",IF(OR(J935=0,AND(J935=1,K935=1),AND(J935=1,I935="SBJ"),AND(J935=1,I935=0)),"?IN_FOCUS",IF(J935&lt;=2,"?ACTIVATED",IF(J935&lt;&gt;"","?FAMILIAR",IF(F935="NEW",IF(ISNA(VLOOKUP(E935,#REF!,1,FALSE())),"?TYPE_IDENTIFIABLE","?REFERENTIAL"),"_")))))</f>
        <v/>
      </c>
      <c r="H935" s="23" t="str">
        <f t="shared" ref="H935:H952" ca="1" si="97">IF(J935&lt;&gt;1,"",IF(I935="SBJ","CB","?"))</f>
        <v/>
      </c>
      <c r="I935" s="24" t="str">
        <f>IF(OR(E935="",E935="!!!",F935="NEW"),"",INDEX(B$2:B934,-1+SUMPRODUCT(MAX(ROW(E$2:E934)*(E935=E$2:E934)))))</f>
        <v/>
      </c>
      <c r="J935" s="24" t="str">
        <f ca="1">IF(OR(E935="",E935="!!!",F935="NEW"),"",COUNTBLANK(OFFSET(A$1,,,SUMPRODUCT(MAX(ROW(E$2:E935)*(E935=E$2:E935)))))-COUNTBLANK(OFFSET(A$1,,,SUMPRODUCT(MAX(ROW(E$1:E934)*(E2=E$1:E934))))))</f>
        <v/>
      </c>
      <c r="K935" s="24" t="str">
        <f>IF(OR(E935="",E935="!!!",F935="NEW"),"",INDEX(J$1:J934,SUMPRODUCT(MAX(ROW(E$1:E934)*(E935=E$1:E934)))))</f>
        <v/>
      </c>
      <c r="L935" s="25"/>
    </row>
    <row r="936" spans="1:12" x14ac:dyDescent="0.3">
      <c r="A936" t="s">
        <v>329</v>
      </c>
      <c r="E936" s="20" t="str">
        <f t="shared" si="96"/>
        <v/>
      </c>
      <c r="F936" s="21" t="str">
        <f>IF(OR(E936="",E936="!!!"),"",IF(NOT(ISNA(VLOOKUP(E936,E$1:E935,1,FALSE()))),"OLD",IF(AND(E936&lt;&gt;"",E936&lt;&gt;"!!!"),"NEW","")))</f>
        <v/>
      </c>
      <c r="G936" s="22" t="str">
        <f>IF(OR(E936="",E936="!!!"),"",IF(OR(J936=0,AND(J936=1,K936=1),AND(J936=1,I936="SBJ"),AND(J936=1,I936=0)),"?IN_FOCUS",IF(J936&lt;=2,"?ACTIVATED",IF(J936&lt;&gt;"","?FAMILIAR",IF(F936="NEW",IF(ISNA(VLOOKUP(E936,#REF!,1,FALSE())),"?TYPE_IDENTIFIABLE","?REFERENTIAL"),"_")))))</f>
        <v/>
      </c>
      <c r="H936" s="23" t="str">
        <f t="shared" ca="1" si="97"/>
        <v/>
      </c>
      <c r="I936" s="24" t="str">
        <f>IF(OR(E936="",E936="!!!",F936="NEW"),"",INDEX(B$2:B935,-1+SUMPRODUCT(MAX(ROW(E$2:E935)*(E936=E$2:E935)))))</f>
        <v/>
      </c>
      <c r="J936" s="24" t="str">
        <f ca="1">IF(OR(E936="",E936="!!!",F936="NEW"),"",COUNTBLANK(OFFSET(A$1,,,SUMPRODUCT(MAX(ROW(E$2:E936)*(E936=E$2:E936)))))-COUNTBLANK(OFFSET(A$1,,,SUMPRODUCT(MAX(ROW(E$1:E935)*(E2=E$1:E935))))))</f>
        <v/>
      </c>
      <c r="K936" s="24" t="str">
        <f>IF(OR(E936="",E936="!!!",F936="NEW"),"",INDEX(J$1:J935,SUMPRODUCT(MAX(ROW(E$1:E935)*(E936=E$1:E935)))))</f>
        <v/>
      </c>
      <c r="L936" s="25"/>
    </row>
    <row r="937" spans="1:12" x14ac:dyDescent="0.3">
      <c r="A937" t="s">
        <v>424</v>
      </c>
      <c r="E937" s="20" t="str">
        <f t="shared" si="96"/>
        <v/>
      </c>
      <c r="F937" s="21" t="str">
        <f>IF(OR(E937="",E937="!!!"),"",IF(NOT(ISNA(VLOOKUP(E937,E$1:E936,1,FALSE()))),"OLD",IF(AND(E937&lt;&gt;"",E937&lt;&gt;"!!!"),"NEW","")))</f>
        <v/>
      </c>
      <c r="G937" s="22" t="str">
        <f>IF(OR(E937="",E937="!!!"),"",IF(OR(J937=0,AND(J937=1,K937=1),AND(J937=1,I937="SBJ"),AND(J937=1,I937=0)),"?IN_FOCUS",IF(J937&lt;=2,"?ACTIVATED",IF(J937&lt;&gt;"","?FAMILIAR",IF(F937="NEW",IF(ISNA(VLOOKUP(E937,#REF!,1,FALSE())),"?TYPE_IDENTIFIABLE","?REFERENTIAL"),"_")))))</f>
        <v/>
      </c>
      <c r="H937" s="23" t="str">
        <f t="shared" ca="1" si="97"/>
        <v/>
      </c>
      <c r="I937" s="24" t="str">
        <f>IF(OR(E937="",E937="!!!",F937="NEW"),"",INDEX(B$2:B936,-1+SUMPRODUCT(MAX(ROW(E$2:E936)*(E937=E$2:E936)))))</f>
        <v/>
      </c>
      <c r="J937" s="24" t="str">
        <f ca="1">IF(OR(E937="",E937="!!!",F937="NEW"),"",COUNTBLANK(OFFSET(A$1,,,SUMPRODUCT(MAX(ROW(E$2:E937)*(E937=E$2:E937)))))-COUNTBLANK(OFFSET(A$1,,,SUMPRODUCT(MAX(ROW(E$1:E936)*(E2=E$1:E936))))))</f>
        <v/>
      </c>
      <c r="K937" s="24" t="str">
        <f>IF(OR(E937="",E937="!!!",F937="NEW"),"",INDEX(J$1:J936,SUMPRODUCT(MAX(ROW(E$1:E936)*(E937=E$1:E936)))))</f>
        <v/>
      </c>
      <c r="L937" s="25"/>
    </row>
    <row r="938" spans="1:12" x14ac:dyDescent="0.3">
      <c r="A938" t="s">
        <v>610</v>
      </c>
      <c r="E938" s="20" t="str">
        <f t="shared" si="96"/>
        <v/>
      </c>
      <c r="F938" s="21" t="str">
        <f>IF(OR(E938="",E938="!!!"),"",IF(NOT(ISNA(VLOOKUP(E938,E$1:E937,1,FALSE()))),"OLD",IF(AND(E938&lt;&gt;"",E938&lt;&gt;"!!!"),"NEW","")))</f>
        <v/>
      </c>
      <c r="G938" s="22" t="str">
        <f>IF(OR(E938="",E938="!!!"),"",IF(OR(J938=0,AND(J938=1,K938=1),AND(J938=1,I938="SBJ"),AND(J938=1,I938=0)),"?IN_FOCUS",IF(J938&lt;=2,"?ACTIVATED",IF(J938&lt;&gt;"","?FAMILIAR",IF(F938="NEW",IF(ISNA(VLOOKUP(E938,#REF!,1,FALSE())),"?TYPE_IDENTIFIABLE","?REFERENTIAL"),"_")))))</f>
        <v/>
      </c>
      <c r="H938" s="23" t="str">
        <f t="shared" ca="1" si="97"/>
        <v/>
      </c>
      <c r="I938" s="24" t="str">
        <f>IF(OR(E938="",E938="!!!",F938="NEW"),"",INDEX(B$2:B937,-1+SUMPRODUCT(MAX(ROW(E$2:E937)*(E938=E$2:E937)))))</f>
        <v/>
      </c>
      <c r="J938" s="24" t="str">
        <f ca="1">IF(OR(E938="",E938="!!!",F938="NEW"),"",COUNTBLANK(OFFSET(A$1,,,SUMPRODUCT(MAX(ROW(E$2:E938)*(E938=E$2:E938)))))-COUNTBLANK(OFFSET(A$1,,,SUMPRODUCT(MAX(ROW(E$1:E937)*(E2=E$1:E937))))))</f>
        <v/>
      </c>
      <c r="K938" s="24" t="str">
        <f>IF(OR(E938="",E938="!!!",F938="NEW"),"",INDEX(J$1:J937,SUMPRODUCT(MAX(ROW(E$1:E937)*(E938=E$1:E937)))))</f>
        <v/>
      </c>
      <c r="L938" s="25"/>
    </row>
    <row r="939" spans="1:12" x14ac:dyDescent="0.3">
      <c r="A939" t="s">
        <v>431</v>
      </c>
      <c r="E939" s="20" t="str">
        <f t="shared" si="96"/>
        <v/>
      </c>
      <c r="F939" s="21" t="str">
        <f>IF(OR(E939="",E939="!!!"),"",IF(NOT(ISNA(VLOOKUP(E939,E$1:E938,1,FALSE()))),"OLD",IF(AND(E939&lt;&gt;"",E939&lt;&gt;"!!!"),"NEW","")))</f>
        <v/>
      </c>
      <c r="G939" s="22" t="str">
        <f>IF(OR(E939="",E939="!!!"),"",IF(OR(J939=0,AND(J939=1,K939=1),AND(J939=1,I939="SBJ"),AND(J939=1,I939=0)),"?IN_FOCUS",IF(J939&lt;=2,"?ACTIVATED",IF(J939&lt;&gt;"","?FAMILIAR",IF(F939="NEW",IF(ISNA(VLOOKUP(E939,#REF!,1,FALSE())),"?TYPE_IDENTIFIABLE","?REFERENTIAL"),"_")))))</f>
        <v/>
      </c>
      <c r="H939" s="23" t="str">
        <f t="shared" ca="1" si="97"/>
        <v/>
      </c>
      <c r="I939" s="24" t="str">
        <f>IF(OR(E939="",E939="!!!",F939="NEW"),"",INDEX(B$2:B938,-1+SUMPRODUCT(MAX(ROW(E$2:E938)*(E939=E$2:E938)))))</f>
        <v/>
      </c>
      <c r="J939" s="24" t="str">
        <f ca="1">IF(OR(E939="",E939="!!!",F939="NEW"),"",COUNTBLANK(OFFSET(A$1,,,SUMPRODUCT(MAX(ROW(E$2:E939)*(E939=E$2:E939)))))-COUNTBLANK(OFFSET(A$1,,,SUMPRODUCT(MAX(ROW(E$1:E938)*(E2=E$1:E938))))))</f>
        <v/>
      </c>
      <c r="K939" s="24" t="str">
        <f>IF(OR(E939="",E939="!!!",F939="NEW"),"",INDEX(J$1:J938,SUMPRODUCT(MAX(ROW(E$1:E938)*(E939=E$1:E938)))))</f>
        <v/>
      </c>
      <c r="L939" s="25"/>
    </row>
    <row r="940" spans="1:12" x14ac:dyDescent="0.3">
      <c r="A940" t="s">
        <v>367</v>
      </c>
      <c r="E940" s="20" t="str">
        <f t="shared" si="96"/>
        <v/>
      </c>
      <c r="F940" s="21" t="str">
        <f>IF(OR(E940="",E940="!!!"),"",IF(NOT(ISNA(VLOOKUP(E940,E$1:E939,1,FALSE()))),"OLD",IF(AND(E940&lt;&gt;"",E940&lt;&gt;"!!!"),"NEW","")))</f>
        <v/>
      </c>
      <c r="G940" s="22" t="str">
        <f>IF(OR(E940="",E940="!!!"),"",IF(OR(J940=0,AND(J940=1,K940=1),AND(J940=1,I940="SBJ"),AND(J940=1,I940=0)),"?IN_FOCUS",IF(J940&lt;=2,"?ACTIVATED",IF(J940&lt;&gt;"","?FAMILIAR",IF(F940="NEW",IF(ISNA(VLOOKUP(E940,#REF!,1,FALSE())),"?TYPE_IDENTIFIABLE","?REFERENTIAL"),"_")))))</f>
        <v/>
      </c>
      <c r="H940" s="23" t="str">
        <f t="shared" ca="1" si="97"/>
        <v/>
      </c>
      <c r="I940" s="24" t="str">
        <f>IF(OR(E940="",E940="!!!",F940="NEW"),"",INDEX(B$2:B939,-1+SUMPRODUCT(MAX(ROW(E$2:E939)*(E940=E$2:E939)))))</f>
        <v/>
      </c>
      <c r="J940" s="24" t="str">
        <f ca="1">IF(OR(E940="",E940="!!!",F940="NEW"),"",COUNTBLANK(OFFSET(A$1,,,SUMPRODUCT(MAX(ROW(E$2:E940)*(E940=E$2:E940)))))-COUNTBLANK(OFFSET(A$1,,,SUMPRODUCT(MAX(ROW(E$1:E939)*(E2=E$1:E939))))))</f>
        <v/>
      </c>
      <c r="K940" s="24" t="str">
        <f>IF(OR(E940="",E940="!!!",F940="NEW"),"",INDEX(J$1:J939,SUMPRODUCT(MAX(ROW(E$1:E939)*(E940=E$1:E939)))))</f>
        <v/>
      </c>
      <c r="L940" s="25"/>
    </row>
    <row r="941" spans="1:12" x14ac:dyDescent="0.3">
      <c r="A941" t="s">
        <v>551</v>
      </c>
      <c r="E941" s="20" t="str">
        <f t="shared" si="96"/>
        <v/>
      </c>
      <c r="F941" s="21" t="str">
        <f>IF(OR(E941="",E941="!!!"),"",IF(NOT(ISNA(VLOOKUP(E941,E$1:E940,1,FALSE()))),"OLD",IF(AND(E941&lt;&gt;"",E941&lt;&gt;"!!!"),"NEW","")))</f>
        <v/>
      </c>
      <c r="G941" s="22" t="str">
        <f>IF(OR(E941="",E941="!!!"),"",IF(OR(J941=0,AND(J941=1,K941=1),AND(J941=1,I941="SBJ"),AND(J941=1,I941=0)),"?IN_FOCUS",IF(J941&lt;=2,"?ACTIVATED",IF(J941&lt;&gt;"","?FAMILIAR",IF(F941="NEW",IF(ISNA(VLOOKUP(E941,#REF!,1,FALSE())),"?TYPE_IDENTIFIABLE","?REFERENTIAL"),"_")))))</f>
        <v/>
      </c>
      <c r="H941" s="23" t="str">
        <f t="shared" ca="1" si="97"/>
        <v/>
      </c>
      <c r="I941" s="24" t="str">
        <f>IF(OR(E941="",E941="!!!",F941="NEW"),"",INDEX(B$2:B940,-1+SUMPRODUCT(MAX(ROW(E$2:E940)*(E941=E$2:E940)))))</f>
        <v/>
      </c>
      <c r="J941" s="24" t="str">
        <f ca="1">IF(OR(E941="",E941="!!!",F941="NEW"),"",COUNTBLANK(OFFSET(A$1,,,SUMPRODUCT(MAX(ROW(E$2:E941)*(E941=E$2:E941)))))-COUNTBLANK(OFFSET(A$1,,,SUMPRODUCT(MAX(ROW(E$1:E940)*(E2=E$1:E940))))))</f>
        <v/>
      </c>
      <c r="K941" s="24" t="str">
        <f>IF(OR(E941="",E941="!!!",F941="NEW"),"",INDEX(J$1:J940,SUMPRODUCT(MAX(ROW(E$1:E940)*(E941=E$1:E940)))))</f>
        <v/>
      </c>
      <c r="L941" s="25"/>
    </row>
    <row r="942" spans="1:12" x14ac:dyDescent="0.3">
      <c r="A942" t="s">
        <v>396</v>
      </c>
      <c r="B942" s="26" t="s">
        <v>255</v>
      </c>
      <c r="C942" s="26" t="s">
        <v>256</v>
      </c>
      <c r="D942" s="26" t="s">
        <v>240</v>
      </c>
      <c r="E942" s="20" t="str">
        <f t="shared" si="96"/>
        <v>!!!</v>
      </c>
      <c r="F942" s="21" t="str">
        <f>IF(OR(E942="",E942="!!!"),"",IF(NOT(ISNA(VLOOKUP(E942,E$1:E941,1,FALSE()))),"OLD",IF(AND(E942&lt;&gt;"",E942&lt;&gt;"!!!"),"NEW","")))</f>
        <v/>
      </c>
      <c r="G942" s="22" t="str">
        <f>IF(OR(E942="",E942="!!!"),"",IF(OR(J942=0,AND(J942=1,K942=1),AND(J942=1,I942="SBJ"),AND(J942=1,I942=0)),"?IN_FOCUS",IF(J942&lt;=2,"?ACTIVATED",IF(J942&lt;&gt;"","?FAMILIAR",IF(F942="NEW",IF(ISNA(VLOOKUP(E942,#REF!,1,FALSE())),"?TYPE_IDENTIFIABLE","?REFERENTIAL"),"_")))))</f>
        <v/>
      </c>
      <c r="H942" s="23" t="str">
        <f t="shared" ca="1" si="97"/>
        <v/>
      </c>
      <c r="I942" s="24" t="str">
        <f>IF(OR(E942="",E942="!!!",F942="NEW"),"",INDEX(B$2:B941,-1+SUMPRODUCT(MAX(ROW(E$2:E941)*(E942=E$2:E941)))))</f>
        <v/>
      </c>
      <c r="J942" s="24" t="str">
        <f ca="1">IF(OR(E942="",E942="!!!",F942="NEW"),"",COUNTBLANK(OFFSET(A$1,,,SUMPRODUCT(MAX(ROW(E$2:E942)*(E942=E$2:E942)))))-COUNTBLANK(OFFSET(A$1,,,SUMPRODUCT(MAX(ROW(E$1:E941)*(E2=E$1:E941))))))</f>
        <v/>
      </c>
      <c r="K942" s="24" t="str">
        <f>IF(OR(E942="",E942="!!!",F942="NEW"),"",INDEX(J$1:J941,SUMPRODUCT(MAX(ROW(E$1:E941)*(E942=E$1:E941)))))</f>
        <v/>
      </c>
      <c r="L942" s="25"/>
    </row>
    <row r="943" spans="1:12" x14ac:dyDescent="0.3">
      <c r="A943" t="s">
        <v>654</v>
      </c>
      <c r="E943" s="20" t="str">
        <f t="shared" si="96"/>
        <v/>
      </c>
      <c r="F943" s="21" t="str">
        <f>IF(OR(E943="",E943="!!!"),"",IF(NOT(ISNA(VLOOKUP(E943,E$1:E942,1,FALSE()))),"OLD",IF(AND(E943&lt;&gt;"",E943&lt;&gt;"!!!"),"NEW","")))</f>
        <v/>
      </c>
      <c r="G943" s="22" t="str">
        <f>IF(OR(E943="",E943="!!!"),"",IF(OR(J943=0,AND(J943=1,K943=1),AND(J943=1,I943="SBJ"),AND(J943=1,I943=0)),"?IN_FOCUS",IF(J943&lt;=2,"?ACTIVATED",IF(J943&lt;&gt;"","?FAMILIAR",IF(F943="NEW",IF(ISNA(VLOOKUP(E943,#REF!,1,FALSE())),"?TYPE_IDENTIFIABLE","?REFERENTIAL"),"_")))))</f>
        <v/>
      </c>
      <c r="H943" s="23" t="str">
        <f t="shared" ca="1" si="97"/>
        <v/>
      </c>
      <c r="I943" s="24" t="str">
        <f>IF(OR(E943="",E943="!!!",F943="NEW"),"",INDEX(B$2:B942,-1+SUMPRODUCT(MAX(ROW(E$2:E942)*(E943=E$2:E942)))))</f>
        <v/>
      </c>
      <c r="J943" s="24" t="str">
        <f ca="1">IF(OR(E943="",E943="!!!",F943="NEW"),"",COUNTBLANK(OFFSET(A$1,,,SUMPRODUCT(MAX(ROW(E$2:E943)*(E943=E$2:E943)))))-COUNTBLANK(OFFSET(A$1,,,SUMPRODUCT(MAX(ROW(E$1:E942)*(E2=E$1:E942))))))</f>
        <v/>
      </c>
      <c r="K943" s="24" t="str">
        <f>IF(OR(E943="",E943="!!!",F943="NEW"),"",INDEX(J$1:J942,SUMPRODUCT(MAX(ROW(E$1:E942)*(E943=E$1:E942)))))</f>
        <v/>
      </c>
      <c r="L943" s="25"/>
    </row>
    <row r="944" spans="1:12" x14ac:dyDescent="0.3">
      <c r="A944" t="s">
        <v>341</v>
      </c>
      <c r="B944" s="26" t="s">
        <v>255</v>
      </c>
      <c r="C944" s="26" t="s">
        <v>256</v>
      </c>
      <c r="D944" s="26" t="s">
        <v>240</v>
      </c>
      <c r="E944" s="20" t="str">
        <f t="shared" si="96"/>
        <v>!!!</v>
      </c>
      <c r="F944" s="21" t="str">
        <f>IF(OR(E944="",E944="!!!"),"",IF(NOT(ISNA(VLOOKUP(E944,E$1:E943,1,FALSE()))),"OLD",IF(AND(E944&lt;&gt;"",E944&lt;&gt;"!!!"),"NEW","")))</f>
        <v/>
      </c>
      <c r="G944" s="22" t="str">
        <f>IF(OR(E944="",E944="!!!"),"",IF(OR(J944=0,AND(J944=1,K944=1),AND(J944=1,I944="SBJ"),AND(J944=1,I944=0)),"?IN_FOCUS",IF(J944&lt;=2,"?ACTIVATED",IF(J944&lt;&gt;"","?FAMILIAR",IF(F944="NEW",IF(ISNA(VLOOKUP(E944,#REF!,1,FALSE())),"?TYPE_IDENTIFIABLE","?REFERENTIAL"),"_")))))</f>
        <v/>
      </c>
      <c r="H944" s="23" t="str">
        <f t="shared" ca="1" si="97"/>
        <v/>
      </c>
      <c r="I944" s="24" t="str">
        <f>IF(OR(E944="",E944="!!!",F944="NEW"),"",INDEX(B$2:B943,-1+SUMPRODUCT(MAX(ROW(E$2:E943)*(E944=E$2:E943)))))</f>
        <v/>
      </c>
      <c r="J944" s="24" t="str">
        <f ca="1">IF(OR(E944="",E944="!!!",F944="NEW"),"",COUNTBLANK(OFFSET(A$1,,,SUMPRODUCT(MAX(ROW(E$2:E944)*(E944=E$2:E944)))))-COUNTBLANK(OFFSET(A$1,,,SUMPRODUCT(MAX(ROW(E$1:E943)*(E2=E$1:E943))))))</f>
        <v/>
      </c>
      <c r="K944" s="24" t="str">
        <f>IF(OR(E944="",E944="!!!",F944="NEW"),"",INDEX(J$1:J943,SUMPRODUCT(MAX(ROW(E$1:E943)*(E944=E$1:E943)))))</f>
        <v/>
      </c>
      <c r="L944" s="25"/>
    </row>
    <row r="945" spans="1:12" x14ac:dyDescent="0.3">
      <c r="A945" t="s">
        <v>655</v>
      </c>
      <c r="E945" s="20" t="str">
        <f t="shared" si="96"/>
        <v/>
      </c>
      <c r="F945" s="21" t="str">
        <f>IF(OR(E945="",E945="!!!"),"",IF(NOT(ISNA(VLOOKUP(E945,E$1:E944,1,FALSE()))),"OLD",IF(AND(E945&lt;&gt;"",E945&lt;&gt;"!!!"),"NEW","")))</f>
        <v/>
      </c>
      <c r="G945" s="22" t="str">
        <f>IF(OR(E945="",E945="!!!"),"",IF(OR(J945=0,AND(J945=1,K945=1),AND(J945=1,I945="SBJ"),AND(J945=1,I945=0)),"?IN_FOCUS",IF(J945&lt;=2,"?ACTIVATED",IF(J945&lt;&gt;"","?FAMILIAR",IF(F945="NEW",IF(ISNA(VLOOKUP(E945,#REF!,1,FALSE())),"?TYPE_IDENTIFIABLE","?REFERENTIAL"),"_")))))</f>
        <v/>
      </c>
      <c r="H945" s="23" t="str">
        <f t="shared" ca="1" si="97"/>
        <v/>
      </c>
      <c r="I945" s="24" t="str">
        <f>IF(OR(E945="",E945="!!!",F945="NEW"),"",INDEX(B$2:B944,-1+SUMPRODUCT(MAX(ROW(E$2:E944)*(E945=E$2:E944)))))</f>
        <v/>
      </c>
      <c r="J945" s="24" t="str">
        <f ca="1">IF(OR(E945="",E945="!!!",F945="NEW"),"",COUNTBLANK(OFFSET(A$1,,,SUMPRODUCT(MAX(ROW(E$2:E945)*(E945=E$2:E945)))))-COUNTBLANK(OFFSET(A$1,,,SUMPRODUCT(MAX(ROW(E$1:E944)*(E2=E$1:E944))))))</f>
        <v/>
      </c>
      <c r="K945" s="24" t="str">
        <f>IF(OR(E945="",E945="!!!",F945="NEW"),"",INDEX(J$1:J944,SUMPRODUCT(MAX(ROW(E$1:E944)*(E945=E$1:E944)))))</f>
        <v/>
      </c>
      <c r="L945" s="25"/>
    </row>
    <row r="946" spans="1:12" x14ac:dyDescent="0.3">
      <c r="A946" t="s">
        <v>656</v>
      </c>
      <c r="B946" s="26" t="s">
        <v>265</v>
      </c>
      <c r="C946" s="26" t="s">
        <v>247</v>
      </c>
      <c r="E946" s="20" t="str">
        <f t="shared" si="96"/>
        <v/>
      </c>
      <c r="F946" s="21" t="str">
        <f>IF(OR(E946="",E946="!!!"),"",IF(NOT(ISNA(VLOOKUP(E946,E$1:E945,1,FALSE()))),"OLD",IF(AND(E946&lt;&gt;"",E946&lt;&gt;"!!!"),"NEW","")))</f>
        <v/>
      </c>
      <c r="G946" s="22" t="str">
        <f>IF(OR(E946="",E946="!!!"),"",IF(OR(J946=0,AND(J946=1,K946=1),AND(J946=1,I946="SBJ"),AND(J946=1,I946=0)),"?IN_FOCUS",IF(J946&lt;=2,"?ACTIVATED",IF(J946&lt;&gt;"","?FAMILIAR",IF(F946="NEW",IF(ISNA(VLOOKUP(E946,#REF!,1,FALSE())),"?TYPE_IDENTIFIABLE","?REFERENTIAL"),"_")))))</f>
        <v/>
      </c>
      <c r="H946" s="23" t="str">
        <f t="shared" ca="1" si="97"/>
        <v/>
      </c>
      <c r="I946" s="24" t="str">
        <f>IF(OR(E946="",E946="!!!",F946="NEW"),"",INDEX(B$2:B945,-1+SUMPRODUCT(MAX(ROW(E$2:E945)*(E946=E$2:E945)))))</f>
        <v/>
      </c>
      <c r="J946" s="24" t="str">
        <f ca="1">IF(OR(E946="",E946="!!!",F946="NEW"),"",COUNTBLANK(OFFSET(A$1,,,SUMPRODUCT(MAX(ROW(E$2:E946)*(E946=E$2:E946)))))-COUNTBLANK(OFFSET(A$1,,,SUMPRODUCT(MAX(ROW(E$1:E945)*(E2=E$1:E945))))))</f>
        <v/>
      </c>
      <c r="K946" s="24" t="str">
        <f>IF(OR(E946="",E946="!!!",F946="NEW"),"",INDEX(J$1:J945,SUMPRODUCT(MAX(ROW(E$1:E945)*(E946=E$1:E945)))))</f>
        <v/>
      </c>
      <c r="L946" s="25"/>
    </row>
    <row r="947" spans="1:12" x14ac:dyDescent="0.3">
      <c r="A947" t="s">
        <v>657</v>
      </c>
      <c r="E947" s="20" t="str">
        <f t="shared" si="96"/>
        <v/>
      </c>
      <c r="F947" s="21" t="str">
        <f>IF(OR(E947="",E947="!!!"),"",IF(NOT(ISNA(VLOOKUP(E947,E$1:E946,1,FALSE()))),"OLD",IF(AND(E947&lt;&gt;"",E947&lt;&gt;"!!!"),"NEW","")))</f>
        <v/>
      </c>
      <c r="G947" s="22" t="str">
        <f>IF(OR(E947="",E947="!!!"),"",IF(OR(J947=0,AND(J947=1,K947=1),AND(J947=1,I947="SBJ"),AND(J947=1,I947=0)),"?IN_FOCUS",IF(J947&lt;=2,"?ACTIVATED",IF(J947&lt;&gt;"","?FAMILIAR",IF(F947="NEW",IF(ISNA(VLOOKUP(E947,#REF!,1,FALSE())),"?TYPE_IDENTIFIABLE","?REFERENTIAL"),"_")))))</f>
        <v/>
      </c>
      <c r="H947" s="23" t="str">
        <f t="shared" ca="1" si="97"/>
        <v/>
      </c>
      <c r="I947" s="24" t="str">
        <f>IF(OR(E947="",E947="!!!",F947="NEW"),"",INDEX(B$2:B946,-1+SUMPRODUCT(MAX(ROW(E$2:E946)*(E947=E$2:E946)))))</f>
        <v/>
      </c>
      <c r="J947" s="24" t="str">
        <f ca="1">IF(OR(E947="",E947="!!!",F947="NEW"),"",COUNTBLANK(OFFSET(A$1,,,SUMPRODUCT(MAX(ROW(E$2:E947)*(E947=E$2:E947)))))-COUNTBLANK(OFFSET(A$1,,,SUMPRODUCT(MAX(ROW(E$1:E946)*(E2=E$1:E946))))))</f>
        <v/>
      </c>
      <c r="K947" s="24" t="str">
        <f>IF(OR(E947="",E947="!!!",F947="NEW"),"",INDEX(J$1:J946,SUMPRODUCT(MAX(ROW(E$1:E946)*(E947=E$1:E946)))))</f>
        <v/>
      </c>
      <c r="L947" s="25"/>
    </row>
    <row r="948" spans="1:12" x14ac:dyDescent="0.3">
      <c r="A948" t="s">
        <v>605</v>
      </c>
      <c r="E948" s="20" t="str">
        <f t="shared" si="96"/>
        <v/>
      </c>
      <c r="F948" s="21" t="str">
        <f>IF(OR(E948="",E948="!!!"),"",IF(NOT(ISNA(VLOOKUP(E948,E$1:E947,1,FALSE()))),"OLD",IF(AND(E948&lt;&gt;"",E948&lt;&gt;"!!!"),"NEW","")))</f>
        <v/>
      </c>
      <c r="G948" s="22" t="str">
        <f>IF(OR(E948="",E948="!!!"),"",IF(OR(J948=0,AND(J948=1,K948=1),AND(J948=1,I948="SBJ"),AND(J948=1,I948=0)),"?IN_FOCUS",IF(J948&lt;=2,"?ACTIVATED",IF(J948&lt;&gt;"","?FAMILIAR",IF(F948="NEW",IF(ISNA(VLOOKUP(E948,#REF!,1,FALSE())),"?TYPE_IDENTIFIABLE","?REFERENTIAL"),"_")))))</f>
        <v/>
      </c>
      <c r="H948" s="23" t="str">
        <f t="shared" ca="1" si="97"/>
        <v/>
      </c>
      <c r="I948" s="24" t="str">
        <f>IF(OR(E948="",E948="!!!",F948="NEW"),"",INDEX(B$2:B947,-1+SUMPRODUCT(MAX(ROW(E$2:E947)*(E948=E$2:E947)))))</f>
        <v/>
      </c>
      <c r="J948" s="24" t="str">
        <f ca="1">IF(OR(E948="",E948="!!!",F948="NEW"),"",COUNTBLANK(OFFSET(A$1,,,SUMPRODUCT(MAX(ROW(E$2:E948)*(E948=E$2:E948)))))-COUNTBLANK(OFFSET(A$1,,,SUMPRODUCT(MAX(ROW(E$1:E947)*(E2=E$1:E947))))))</f>
        <v/>
      </c>
      <c r="K948" s="24" t="str">
        <f>IF(OR(E948="",E948="!!!",F948="NEW"),"",INDEX(J$1:J947,SUMPRODUCT(MAX(ROW(E$1:E947)*(E948=E$1:E947)))))</f>
        <v/>
      </c>
      <c r="L948" s="25"/>
    </row>
    <row r="949" spans="1:12" x14ac:dyDescent="0.3">
      <c r="A949" t="s">
        <v>658</v>
      </c>
      <c r="B949" s="26" t="s">
        <v>272</v>
      </c>
      <c r="C949" s="26" t="s">
        <v>247</v>
      </c>
      <c r="E949" s="20" t="str">
        <f t="shared" si="96"/>
        <v/>
      </c>
      <c r="F949" s="21" t="str">
        <f>IF(OR(E949="",E949="!!!"),"",IF(NOT(ISNA(VLOOKUP(E949,E$1:E948,1,FALSE()))),"OLD",IF(AND(E949&lt;&gt;"",E949&lt;&gt;"!!!"),"NEW","")))</f>
        <v/>
      </c>
      <c r="G949" s="22" t="str">
        <f>IF(OR(E949="",E949="!!!"),"",IF(OR(J949=0,AND(J949=1,K949=1),AND(J949=1,I949="SBJ"),AND(J949=1,I949=0)),"?IN_FOCUS",IF(J949&lt;=2,"?ACTIVATED",IF(J949&lt;&gt;"","?FAMILIAR",IF(F949="NEW",IF(ISNA(VLOOKUP(E949,#REF!,1,FALSE())),"?TYPE_IDENTIFIABLE","?REFERENTIAL"),"_")))))</f>
        <v/>
      </c>
      <c r="H949" s="23" t="str">
        <f t="shared" ca="1" si="97"/>
        <v/>
      </c>
      <c r="I949" s="24" t="str">
        <f>IF(OR(E949="",E949="!!!",F949="NEW"),"",INDEX(B$2:B948,-1+SUMPRODUCT(MAX(ROW(E$2:E948)*(E949=E$2:E948)))))</f>
        <v/>
      </c>
      <c r="J949" s="24" t="str">
        <f ca="1">IF(OR(E949="",E949="!!!",F949="NEW"),"",COUNTBLANK(OFFSET(A$1,,,SUMPRODUCT(MAX(ROW(E$2:E949)*(E949=E$2:E949)))))-COUNTBLANK(OFFSET(A$1,,,SUMPRODUCT(MAX(ROW(E$1:E948)*(E2=E$1:E948))))))</f>
        <v/>
      </c>
      <c r="K949" s="24" t="str">
        <f>IF(OR(E949="",E949="!!!",F949="NEW"),"",INDEX(J$1:J948,SUMPRODUCT(MAX(ROW(E$1:E948)*(E949=E$1:E948)))))</f>
        <v/>
      </c>
      <c r="L949" s="25"/>
    </row>
    <row r="950" spans="1:12" x14ac:dyDescent="0.3">
      <c r="A950" t="s">
        <v>605</v>
      </c>
      <c r="E950" s="20" t="str">
        <f t="shared" si="96"/>
        <v/>
      </c>
      <c r="F950" s="21" t="str">
        <f>IF(OR(E950="",E950="!!!"),"",IF(NOT(ISNA(VLOOKUP(E950,E$1:E949,1,FALSE()))),"OLD",IF(AND(E950&lt;&gt;"",E950&lt;&gt;"!!!"),"NEW","")))</f>
        <v/>
      </c>
      <c r="G950" s="22" t="str">
        <f>IF(OR(E950="",E950="!!!"),"",IF(OR(J950=0,AND(J950=1,K950=1),AND(J950=1,I950="SBJ"),AND(J950=1,I950=0)),"?IN_FOCUS",IF(J950&lt;=2,"?ACTIVATED",IF(J950&lt;&gt;"","?FAMILIAR",IF(F950="NEW",IF(ISNA(VLOOKUP(E950,#REF!,1,FALSE())),"?TYPE_IDENTIFIABLE","?REFERENTIAL"),"_")))))</f>
        <v/>
      </c>
      <c r="H950" s="23" t="str">
        <f t="shared" ca="1" si="97"/>
        <v/>
      </c>
      <c r="I950" s="24" t="str">
        <f>IF(OR(E950="",E950="!!!",F950="NEW"),"",INDEX(B$2:B949,-1+SUMPRODUCT(MAX(ROW(E$2:E949)*(E950=E$2:E949)))))</f>
        <v/>
      </c>
      <c r="J950" s="24" t="str">
        <f ca="1">IF(OR(E950="",E950="!!!",F950="NEW"),"",COUNTBLANK(OFFSET(A$1,,,SUMPRODUCT(MAX(ROW(E$2:E950)*(E950=E$2:E950)))))-COUNTBLANK(OFFSET(A$1,,,SUMPRODUCT(MAX(ROW(E$1:E949)*(E2=E$1:E949))))))</f>
        <v/>
      </c>
      <c r="K950" s="24" t="str">
        <f>IF(OR(E950="",E950="!!!",F950="NEW"),"",INDEX(J$1:J949,SUMPRODUCT(MAX(ROW(E$1:E949)*(E950=E$1:E949)))))</f>
        <v/>
      </c>
      <c r="L950" s="25"/>
    </row>
    <row r="951" spans="1:12" x14ac:dyDescent="0.3">
      <c r="A951" t="s">
        <v>659</v>
      </c>
      <c r="E951" s="20" t="str">
        <f t="shared" si="96"/>
        <v/>
      </c>
      <c r="F951" s="21" t="str">
        <f>IF(OR(E951="",E951="!!!"),"",IF(NOT(ISNA(VLOOKUP(E951,E$1:E950,1,FALSE()))),"OLD",IF(AND(E951&lt;&gt;"",E951&lt;&gt;"!!!"),"NEW","")))</f>
        <v/>
      </c>
      <c r="G951" s="22" t="str">
        <f>IF(OR(E951="",E951="!!!"),"",IF(OR(J951=0,AND(J951=1,K951=1),AND(J951=1,I951="SBJ"),AND(J951=1,I951=0)),"?IN_FOCUS",IF(J951&lt;=2,"?ACTIVATED",IF(J951&lt;&gt;"","?FAMILIAR",IF(F951="NEW",IF(ISNA(VLOOKUP(E951,#REF!,1,FALSE())),"?TYPE_IDENTIFIABLE","?REFERENTIAL"),"_")))))</f>
        <v/>
      </c>
      <c r="H951" s="23" t="str">
        <f t="shared" ca="1" si="97"/>
        <v/>
      </c>
      <c r="I951" s="24" t="str">
        <f>IF(OR(E951="",E951="!!!",F951="NEW"),"",INDEX(B$2:B950,-1+SUMPRODUCT(MAX(ROW(E$2:E950)*(E951=E$2:E950)))))</f>
        <v/>
      </c>
      <c r="J951" s="24" t="str">
        <f ca="1">IF(OR(E951="",E951="!!!",F951="NEW"),"",COUNTBLANK(OFFSET(A$1,,,SUMPRODUCT(MAX(ROW(E$2:E951)*(E951=E$2:E951)))))-COUNTBLANK(OFFSET(A$1,,,SUMPRODUCT(MAX(ROW(E$1:E950)*(E2=E$1:E950))))))</f>
        <v/>
      </c>
      <c r="K951" s="24" t="str">
        <f>IF(OR(E951="",E951="!!!",F951="NEW"),"",INDEX(J$1:J950,SUMPRODUCT(MAX(ROW(E$1:E950)*(E951=E$1:E950)))))</f>
        <v/>
      </c>
      <c r="L951" s="25"/>
    </row>
    <row r="952" spans="1:12" x14ac:dyDescent="0.3">
      <c r="A952" t="s">
        <v>248</v>
      </c>
      <c r="E952" s="20" t="str">
        <f t="shared" si="96"/>
        <v/>
      </c>
      <c r="F952" s="21" t="str">
        <f>IF(OR(E952="",E952="!!!"),"",IF(NOT(ISNA(VLOOKUP(E952,E$1:E951,1,FALSE()))),"OLD",IF(AND(E952&lt;&gt;"",E952&lt;&gt;"!!!"),"NEW","")))</f>
        <v/>
      </c>
      <c r="G952" s="22" t="str">
        <f>IF(OR(E952="",E952="!!!"),"",IF(OR(J952=0,AND(J952=1,K952=1),AND(J952=1,I952="SBJ"),AND(J952=1,I952=0)),"?IN_FOCUS",IF(J952&lt;=2,"?ACTIVATED",IF(J952&lt;&gt;"","?FAMILIAR",IF(F952="NEW",IF(ISNA(VLOOKUP(E952,#REF!,1,FALSE())),"?TYPE_IDENTIFIABLE","?REFERENTIAL"),"_")))))</f>
        <v/>
      </c>
      <c r="H952" s="23" t="str">
        <f t="shared" ca="1" si="97"/>
        <v/>
      </c>
      <c r="I952" s="24" t="str">
        <f>IF(OR(E952="",E952="!!!",F952="NEW"),"",INDEX(B$2:B951,-1+SUMPRODUCT(MAX(ROW(E$2:E951)*(E952=E$2:E951)))))</f>
        <v/>
      </c>
      <c r="J952" s="24" t="str">
        <f ca="1">IF(OR(E952="",E952="!!!",F952="NEW"),"",COUNTBLANK(OFFSET(A$1,,,SUMPRODUCT(MAX(ROW(E$2:E952)*(E952=E$2:E952)))))-COUNTBLANK(OFFSET(A$1,,,SUMPRODUCT(MAX(ROW(E$1:E951)*(E2=E$1:E951))))))</f>
        <v/>
      </c>
      <c r="K952" s="24" t="str">
        <f>IF(OR(E952="",E952="!!!",F952="NEW"),"",INDEX(J$1:J951,SUMPRODUCT(MAX(ROW(E$1:E951)*(E952=E$1:E951)))))</f>
        <v/>
      </c>
      <c r="L952" s="25"/>
    </row>
    <row r="954" spans="1:12" x14ac:dyDescent="0.3">
      <c r="A954" t="s">
        <v>660</v>
      </c>
    </row>
    <row r="955" spans="1:12" x14ac:dyDescent="0.3">
      <c r="A955" t="s">
        <v>636</v>
      </c>
      <c r="E955" s="20" t="str">
        <f t="shared" ref="E955:E976" si="98">IF(D955="?OLD","!!!","")</f>
        <v/>
      </c>
      <c r="F955" s="21" t="str">
        <f>IF(OR(E955="",E955="!!!"),"",IF(NOT(ISNA(VLOOKUP(E955,E$1:E954,1,FALSE()))),"OLD",IF(AND(E955&lt;&gt;"",E955&lt;&gt;"!!!"),"NEW","")))</f>
        <v/>
      </c>
      <c r="G955" s="22" t="str">
        <f>IF(OR(E955="",E955="!!!"),"",IF(OR(J955=0,AND(J955=1,K955=1),AND(J955=1,I955="SBJ"),AND(J955=1,I955=0)),"?IN_FOCUS",IF(J955&lt;=2,"?ACTIVATED",IF(J955&lt;&gt;"","?FAMILIAR",IF(F955="NEW",IF(ISNA(VLOOKUP(E955,#REF!,1,FALSE())),"?TYPE_IDENTIFIABLE","?REFERENTIAL"),"_")))))</f>
        <v/>
      </c>
      <c r="H955" s="23" t="str">
        <f t="shared" ref="H955:H976" ca="1" si="99">IF(J955&lt;&gt;1,"",IF(I955="SBJ","CB","?"))</f>
        <v/>
      </c>
      <c r="I955" s="24" t="str">
        <f>IF(OR(E955="",E955="!!!",F955="NEW"),"",INDEX(B$2:B954,-1+SUMPRODUCT(MAX(ROW(E$2:E954)*(E955=E$2:E954)))))</f>
        <v/>
      </c>
      <c r="J955" s="24" t="str">
        <f ca="1">IF(OR(E955="",E955="!!!",F955="NEW"),"",COUNTBLANK(OFFSET(A$1,,,SUMPRODUCT(MAX(ROW(E$2:E955)*(E955=E$2:E955)))))-COUNTBLANK(OFFSET(A$1,,,SUMPRODUCT(MAX(ROW(E$1:E954)*(E2=E$1:E954))))))</f>
        <v/>
      </c>
      <c r="K955" s="24" t="str">
        <f>IF(OR(E955="",E955="!!!",F955="NEW"),"",INDEX(J$1:J954,SUMPRODUCT(MAX(ROW(E$1:E954)*(E955=E$1:E954)))))</f>
        <v/>
      </c>
      <c r="L955" s="25"/>
    </row>
    <row r="956" spans="1:12" x14ac:dyDescent="0.3">
      <c r="A956" t="s">
        <v>254</v>
      </c>
      <c r="B956" s="26" t="s">
        <v>255</v>
      </c>
      <c r="C956" s="26" t="s">
        <v>256</v>
      </c>
      <c r="D956" s="26" t="s">
        <v>240</v>
      </c>
      <c r="E956" s="20" t="str">
        <f t="shared" si="98"/>
        <v>!!!</v>
      </c>
      <c r="F956" s="21" t="str">
        <f>IF(OR(E956="",E956="!!!"),"",IF(NOT(ISNA(VLOOKUP(E956,E$1:E955,1,FALSE()))),"OLD",IF(AND(E956&lt;&gt;"",E956&lt;&gt;"!!!"),"NEW","")))</f>
        <v/>
      </c>
      <c r="G956" s="22" t="str">
        <f>IF(OR(E956="",E956="!!!"),"",IF(OR(J956=0,AND(J956=1,K956=1),AND(J956=1,I956="SBJ"),AND(J956=1,I956=0)),"?IN_FOCUS",IF(J956&lt;=2,"?ACTIVATED",IF(J956&lt;&gt;"","?FAMILIAR",IF(F956="NEW",IF(ISNA(VLOOKUP(E956,#REF!,1,FALSE())),"?TYPE_IDENTIFIABLE","?REFERENTIAL"),"_")))))</f>
        <v/>
      </c>
      <c r="H956" s="23" t="str">
        <f t="shared" ca="1" si="99"/>
        <v/>
      </c>
      <c r="I956" s="24" t="str">
        <f>IF(OR(E956="",E956="!!!",F956="NEW"),"",INDEX(B$2:B955,-1+SUMPRODUCT(MAX(ROW(E$2:E955)*(E956=E$2:E955)))))</f>
        <v/>
      </c>
      <c r="J956" s="24" t="str">
        <f ca="1">IF(OR(E956="",E956="!!!",F956="NEW"),"",COUNTBLANK(OFFSET(A$1,,,SUMPRODUCT(MAX(ROW(E$2:E956)*(E956=E$2:E956)))))-COUNTBLANK(OFFSET(A$1,,,SUMPRODUCT(MAX(ROW(E$1:E955)*(E2=E$1:E955))))))</f>
        <v/>
      </c>
      <c r="K956" s="24" t="str">
        <f>IF(OR(E956="",E956="!!!",F956="NEW"),"",INDEX(J$1:J955,SUMPRODUCT(MAX(ROW(E$1:E955)*(E956=E$1:E955)))))</f>
        <v/>
      </c>
      <c r="L956" s="25"/>
    </row>
    <row r="957" spans="1:12" x14ac:dyDescent="0.3">
      <c r="A957" t="s">
        <v>303</v>
      </c>
      <c r="E957" s="20" t="str">
        <f t="shared" si="98"/>
        <v/>
      </c>
      <c r="F957" s="21" t="str">
        <f>IF(OR(E957="",E957="!!!"),"",IF(NOT(ISNA(VLOOKUP(E957,E$1:E956,1,FALSE()))),"OLD",IF(AND(E957&lt;&gt;"",E957&lt;&gt;"!!!"),"NEW","")))</f>
        <v/>
      </c>
      <c r="G957" s="22" t="str">
        <f>IF(OR(E957="",E957="!!!"),"",IF(OR(J957=0,AND(J957=1,K957=1),AND(J957=1,I957="SBJ"),AND(J957=1,I957=0)),"?IN_FOCUS",IF(J957&lt;=2,"?ACTIVATED",IF(J957&lt;&gt;"","?FAMILIAR",IF(F957="NEW",IF(ISNA(VLOOKUP(E957,#REF!,1,FALSE())),"?TYPE_IDENTIFIABLE","?REFERENTIAL"),"_")))))</f>
        <v/>
      </c>
      <c r="H957" s="23" t="str">
        <f t="shared" ca="1" si="99"/>
        <v/>
      </c>
      <c r="I957" s="24" t="str">
        <f>IF(OR(E957="",E957="!!!",F957="NEW"),"",INDEX(B$2:B956,-1+SUMPRODUCT(MAX(ROW(E$2:E956)*(E957=E$2:E956)))))</f>
        <v/>
      </c>
      <c r="J957" s="24" t="str">
        <f ca="1">IF(OR(E957="",E957="!!!",F957="NEW"),"",COUNTBLANK(OFFSET(A$1,,,SUMPRODUCT(MAX(ROW(E$2:E957)*(E957=E$2:E957)))))-COUNTBLANK(OFFSET(A$1,,,SUMPRODUCT(MAX(ROW(E$1:E956)*(E2=E$1:E956))))))</f>
        <v/>
      </c>
      <c r="K957" s="24" t="str">
        <f>IF(OR(E957="",E957="!!!",F957="NEW"),"",INDEX(J$1:J956,SUMPRODUCT(MAX(ROW(E$1:E956)*(E957=E$1:E956)))))</f>
        <v/>
      </c>
      <c r="L957" s="25"/>
    </row>
    <row r="958" spans="1:12" x14ac:dyDescent="0.3">
      <c r="A958" t="s">
        <v>637</v>
      </c>
      <c r="B958" s="26" t="s">
        <v>255</v>
      </c>
      <c r="C958" s="26" t="s">
        <v>239</v>
      </c>
      <c r="D958" s="26" t="s">
        <v>240</v>
      </c>
      <c r="E958" s="20" t="str">
        <f t="shared" si="98"/>
        <v>!!!</v>
      </c>
      <c r="F958" s="21" t="str">
        <f>IF(OR(E958="",E958="!!!"),"",IF(NOT(ISNA(VLOOKUP(E958,E$1:E957,1,FALSE()))),"OLD",IF(AND(E958&lt;&gt;"",E958&lt;&gt;"!!!"),"NEW","")))</f>
        <v/>
      </c>
      <c r="G958" s="22" t="str">
        <f>IF(OR(E958="",E958="!!!"),"",IF(OR(J958=0,AND(J958=1,K958=1),AND(J958=1,I958="SBJ"),AND(J958=1,I958=0)),"?IN_FOCUS",IF(J958&lt;=2,"?ACTIVATED",IF(J958&lt;&gt;"","?FAMILIAR",IF(F958="NEW",IF(ISNA(VLOOKUP(E958,#REF!,1,FALSE())),"?TYPE_IDENTIFIABLE","?REFERENTIAL"),"_")))))</f>
        <v/>
      </c>
      <c r="H958" s="23" t="str">
        <f t="shared" ca="1" si="99"/>
        <v/>
      </c>
      <c r="I958" s="24" t="str">
        <f>IF(OR(E958="",E958="!!!",F958="NEW"),"",INDEX(B$2:B957,-1+SUMPRODUCT(MAX(ROW(E$2:E957)*(E958=E$2:E957)))))</f>
        <v/>
      </c>
      <c r="J958" s="24" t="str">
        <f ca="1">IF(OR(E958="",E958="!!!",F958="NEW"),"",COUNTBLANK(OFFSET(A$1,,,SUMPRODUCT(MAX(ROW(E$2:E958)*(E958=E$2:E958)))))-COUNTBLANK(OFFSET(A$1,,,SUMPRODUCT(MAX(ROW(E$1:E957)*(E2=E$1:E957))))))</f>
        <v/>
      </c>
      <c r="K958" s="24" t="str">
        <f>IF(OR(E958="",E958="!!!",F958="NEW"),"",INDEX(J$1:J957,SUMPRODUCT(MAX(ROW(E$1:E957)*(E958=E$1:E957)))))</f>
        <v/>
      </c>
      <c r="L958" s="25"/>
    </row>
    <row r="959" spans="1:12" x14ac:dyDescent="0.3">
      <c r="A959" t="s">
        <v>310</v>
      </c>
      <c r="E959" s="20" t="str">
        <f t="shared" si="98"/>
        <v/>
      </c>
      <c r="F959" s="21" t="str">
        <f>IF(OR(E959="",E959="!!!"),"",IF(NOT(ISNA(VLOOKUP(E959,E$1:E958,1,FALSE()))),"OLD",IF(AND(E959&lt;&gt;"",E959&lt;&gt;"!!!"),"NEW","")))</f>
        <v/>
      </c>
      <c r="G959" s="22" t="str">
        <f>IF(OR(E959="",E959="!!!"),"",IF(OR(J959=0,AND(J959=1,K959=1),AND(J959=1,I959="SBJ"),AND(J959=1,I959=0)),"?IN_FOCUS",IF(J959&lt;=2,"?ACTIVATED",IF(J959&lt;&gt;"","?FAMILIAR",IF(F959="NEW",IF(ISNA(VLOOKUP(E959,#REF!,1,FALSE())),"?TYPE_IDENTIFIABLE","?REFERENTIAL"),"_")))))</f>
        <v/>
      </c>
      <c r="H959" s="23" t="str">
        <f t="shared" ca="1" si="99"/>
        <v/>
      </c>
      <c r="I959" s="24" t="str">
        <f>IF(OR(E959="",E959="!!!",F959="NEW"),"",INDEX(B$2:B958,-1+SUMPRODUCT(MAX(ROW(E$2:E958)*(E959=E$2:E958)))))</f>
        <v/>
      </c>
      <c r="J959" s="24" t="str">
        <f ca="1">IF(OR(E959="",E959="!!!",F959="NEW"),"",COUNTBLANK(OFFSET(A$1,,,SUMPRODUCT(MAX(ROW(E$2:E959)*(E959=E$2:E959)))))-COUNTBLANK(OFFSET(A$1,,,SUMPRODUCT(MAX(ROW(E$1:E958)*(E2=E$1:E958))))))</f>
        <v/>
      </c>
      <c r="K959" s="24" t="str">
        <f>IF(OR(E959="",E959="!!!",F959="NEW"),"",INDEX(J$1:J958,SUMPRODUCT(MAX(ROW(E$1:E958)*(E959=E$1:E958)))))</f>
        <v/>
      </c>
      <c r="L959" s="25"/>
    </row>
    <row r="960" spans="1:12" x14ac:dyDescent="0.3">
      <c r="A960" t="s">
        <v>661</v>
      </c>
      <c r="B960" s="26" t="s">
        <v>272</v>
      </c>
      <c r="C960" s="26" t="s">
        <v>239</v>
      </c>
      <c r="D960" s="26" t="s">
        <v>240</v>
      </c>
      <c r="E960" s="20" t="str">
        <f t="shared" si="98"/>
        <v>!!!</v>
      </c>
      <c r="F960" s="21" t="str">
        <f>IF(OR(E960="",E960="!!!"),"",IF(NOT(ISNA(VLOOKUP(E960,E$1:E959,1,FALSE()))),"OLD",IF(AND(E960&lt;&gt;"",E960&lt;&gt;"!!!"),"NEW","")))</f>
        <v/>
      </c>
      <c r="G960" s="22" t="str">
        <f>IF(OR(E960="",E960="!!!"),"",IF(OR(J960=0,AND(J960=1,K960=1),AND(J960=1,I960="SBJ"),AND(J960=1,I960=0)),"?IN_FOCUS",IF(J960&lt;=2,"?ACTIVATED",IF(J960&lt;&gt;"","?FAMILIAR",IF(F960="NEW",IF(ISNA(VLOOKUP(E960,#REF!,1,FALSE())),"?TYPE_IDENTIFIABLE","?REFERENTIAL"),"_")))))</f>
        <v/>
      </c>
      <c r="H960" s="23" t="str">
        <f t="shared" ca="1" si="99"/>
        <v/>
      </c>
      <c r="I960" s="24" t="str">
        <f>IF(OR(E960="",E960="!!!",F960="NEW"),"",INDEX(B$2:B959,-1+SUMPRODUCT(MAX(ROW(E$2:E959)*(E960=E$2:E959)))))</f>
        <v/>
      </c>
      <c r="J960" s="24" t="str">
        <f ca="1">IF(OR(E960="",E960="!!!",F960="NEW"),"",COUNTBLANK(OFFSET(A$1,,,SUMPRODUCT(MAX(ROW(E$2:E960)*(E960=E$2:E960)))))-COUNTBLANK(OFFSET(A$1,,,SUMPRODUCT(MAX(ROW(E$1:E959)*(E2=E$1:E959))))))</f>
        <v/>
      </c>
      <c r="K960" s="24" t="str">
        <f>IF(OR(E960="",E960="!!!",F960="NEW"),"",INDEX(J$1:J959,SUMPRODUCT(MAX(ROW(E$1:E959)*(E960=E$1:E959)))))</f>
        <v/>
      </c>
      <c r="L960" s="25"/>
    </row>
    <row r="961" spans="1:12" x14ac:dyDescent="0.3">
      <c r="A961" t="s">
        <v>308</v>
      </c>
      <c r="E961" s="20" t="str">
        <f t="shared" si="98"/>
        <v/>
      </c>
      <c r="F961" s="21" t="str">
        <f>IF(OR(E961="",E961="!!!"),"",IF(NOT(ISNA(VLOOKUP(E961,E$1:E960,1,FALSE()))),"OLD",IF(AND(E961&lt;&gt;"",E961&lt;&gt;"!!!"),"NEW","")))</f>
        <v/>
      </c>
      <c r="G961" s="22" t="str">
        <f>IF(OR(E961="",E961="!!!"),"",IF(OR(J961=0,AND(J961=1,K961=1),AND(J961=1,I961="SBJ"),AND(J961=1,I961=0)),"?IN_FOCUS",IF(J961&lt;=2,"?ACTIVATED",IF(J961&lt;&gt;"","?FAMILIAR",IF(F961="NEW",IF(ISNA(VLOOKUP(E961,#REF!,1,FALSE())),"?TYPE_IDENTIFIABLE","?REFERENTIAL"),"_")))))</f>
        <v/>
      </c>
      <c r="H961" s="23" t="str">
        <f t="shared" ca="1" si="99"/>
        <v/>
      </c>
      <c r="I961" s="24" t="str">
        <f>IF(OR(E961="",E961="!!!",F961="NEW"),"",INDEX(B$2:B960,-1+SUMPRODUCT(MAX(ROW(E$2:E960)*(E961=E$2:E960)))))</f>
        <v/>
      </c>
      <c r="J961" s="24" t="str">
        <f ca="1">IF(OR(E961="",E961="!!!",F961="NEW"),"",COUNTBLANK(OFFSET(A$1,,,SUMPRODUCT(MAX(ROW(E$2:E961)*(E961=E$2:E961)))))-COUNTBLANK(OFFSET(A$1,,,SUMPRODUCT(MAX(ROW(E$1:E960)*(E2=E$1:E960))))))</f>
        <v/>
      </c>
      <c r="K961" s="24" t="str">
        <f>IF(OR(E961="",E961="!!!",F961="NEW"),"",INDEX(J$1:J960,SUMPRODUCT(MAX(ROW(E$1:E960)*(E961=E$1:E960)))))</f>
        <v/>
      </c>
      <c r="L961" s="25"/>
    </row>
    <row r="962" spans="1:12" x14ac:dyDescent="0.3">
      <c r="A962" t="s">
        <v>662</v>
      </c>
      <c r="E962" s="20" t="str">
        <f t="shared" si="98"/>
        <v/>
      </c>
      <c r="F962" s="21" t="str">
        <f>IF(OR(E962="",E962="!!!"),"",IF(NOT(ISNA(VLOOKUP(E962,E$1:E961,1,FALSE()))),"OLD",IF(AND(E962&lt;&gt;"",E962&lt;&gt;"!!!"),"NEW","")))</f>
        <v/>
      </c>
      <c r="G962" s="22" t="str">
        <f>IF(OR(E962="",E962="!!!"),"",IF(OR(J962=0,AND(J962=1,K962=1),AND(J962=1,I962="SBJ"),AND(J962=1,I962=0)),"?IN_FOCUS",IF(J962&lt;=2,"?ACTIVATED",IF(J962&lt;&gt;"","?FAMILIAR",IF(F962="NEW",IF(ISNA(VLOOKUP(E962,#REF!,1,FALSE())),"?TYPE_IDENTIFIABLE","?REFERENTIAL"),"_")))))</f>
        <v/>
      </c>
      <c r="H962" s="23" t="str">
        <f t="shared" ca="1" si="99"/>
        <v/>
      </c>
      <c r="I962" s="24" t="str">
        <f>IF(OR(E962="",E962="!!!",F962="NEW"),"",INDEX(B$2:B961,-1+SUMPRODUCT(MAX(ROW(E$2:E961)*(E962=E$2:E961)))))</f>
        <v/>
      </c>
      <c r="J962" s="24" t="str">
        <f ca="1">IF(OR(E962="",E962="!!!",F962="NEW"),"",COUNTBLANK(OFFSET(A$1,,,SUMPRODUCT(MAX(ROW(E$2:E962)*(E962=E$2:E962)))))-COUNTBLANK(OFFSET(A$1,,,SUMPRODUCT(MAX(ROW(E$1:E961)*(E2=E$1:E961))))))</f>
        <v/>
      </c>
      <c r="K962" s="24" t="str">
        <f>IF(OR(E962="",E962="!!!",F962="NEW"),"",INDEX(J$1:J961,SUMPRODUCT(MAX(ROW(E$1:E961)*(E962=E$1:E961)))))</f>
        <v/>
      </c>
      <c r="L962" s="25"/>
    </row>
    <row r="963" spans="1:12" x14ac:dyDescent="0.3">
      <c r="A963" t="s">
        <v>663</v>
      </c>
      <c r="E963" s="20" t="str">
        <f t="shared" si="98"/>
        <v/>
      </c>
      <c r="F963" s="21" t="str">
        <f>IF(OR(E963="",E963="!!!"),"",IF(NOT(ISNA(VLOOKUP(E963,E$1:E962,1,FALSE()))),"OLD",IF(AND(E963&lt;&gt;"",E963&lt;&gt;"!!!"),"NEW","")))</f>
        <v/>
      </c>
      <c r="G963" s="22" t="str">
        <f>IF(OR(E963="",E963="!!!"),"",IF(OR(J963=0,AND(J963=1,K963=1),AND(J963=1,I963="SBJ"),AND(J963=1,I963=0)),"?IN_FOCUS",IF(J963&lt;=2,"?ACTIVATED",IF(J963&lt;&gt;"","?FAMILIAR",IF(F963="NEW",IF(ISNA(VLOOKUP(E963,#REF!,1,FALSE())),"?TYPE_IDENTIFIABLE","?REFERENTIAL"),"_")))))</f>
        <v/>
      </c>
      <c r="H963" s="23" t="str">
        <f t="shared" ca="1" si="99"/>
        <v/>
      </c>
      <c r="I963" s="24" t="str">
        <f>IF(OR(E963="",E963="!!!",F963="NEW"),"",INDEX(B$2:B962,-1+SUMPRODUCT(MAX(ROW(E$2:E962)*(E963=E$2:E962)))))</f>
        <v/>
      </c>
      <c r="J963" s="24" t="str">
        <f ca="1">IF(OR(E963="",E963="!!!",F963="NEW"),"",COUNTBLANK(OFFSET(A$1,,,SUMPRODUCT(MAX(ROW(E$2:E963)*(E963=E$2:E963)))))-COUNTBLANK(OFFSET(A$1,,,SUMPRODUCT(MAX(ROW(E$1:E962)*(E2=E$1:E962))))))</f>
        <v/>
      </c>
      <c r="K963" s="24" t="str">
        <f>IF(OR(E963="",E963="!!!",F963="NEW"),"",INDEX(J$1:J962,SUMPRODUCT(MAX(ROW(E$1:E962)*(E963=E$1:E962)))))</f>
        <v/>
      </c>
      <c r="L963" s="25"/>
    </row>
    <row r="964" spans="1:12" x14ac:dyDescent="0.3">
      <c r="A964" t="s">
        <v>252</v>
      </c>
      <c r="E964" s="20" t="str">
        <f t="shared" si="98"/>
        <v/>
      </c>
      <c r="F964" s="21" t="str">
        <f>IF(OR(E964="",E964="!!!"),"",IF(NOT(ISNA(VLOOKUP(E964,E$1:E963,1,FALSE()))),"OLD",IF(AND(E964&lt;&gt;"",E964&lt;&gt;"!!!"),"NEW","")))</f>
        <v/>
      </c>
      <c r="G964" s="22" t="str">
        <f>IF(OR(E964="",E964="!!!"),"",IF(OR(J964=0,AND(J964=1,K964=1),AND(J964=1,I964="SBJ"),AND(J964=1,I964=0)),"?IN_FOCUS",IF(J964&lt;=2,"?ACTIVATED",IF(J964&lt;&gt;"","?FAMILIAR",IF(F964="NEW",IF(ISNA(VLOOKUP(E964,#REF!,1,FALSE())),"?TYPE_IDENTIFIABLE","?REFERENTIAL"),"_")))))</f>
        <v/>
      </c>
      <c r="H964" s="23" t="str">
        <f t="shared" ca="1" si="99"/>
        <v/>
      </c>
      <c r="I964" s="24" t="str">
        <f>IF(OR(E964="",E964="!!!",F964="NEW"),"",INDEX(B$2:B963,-1+SUMPRODUCT(MAX(ROW(E$2:E963)*(E964=E$2:E963)))))</f>
        <v/>
      </c>
      <c r="J964" s="24" t="str">
        <f ca="1">IF(OR(E964="",E964="!!!",F964="NEW"),"",COUNTBLANK(OFFSET(A$1,,,SUMPRODUCT(MAX(ROW(E$2:E964)*(E964=E$2:E964)))))-COUNTBLANK(OFFSET(A$1,,,SUMPRODUCT(MAX(ROW(E$1:E963)*(E2=E$1:E963))))))</f>
        <v/>
      </c>
      <c r="K964" s="24" t="str">
        <f>IF(OR(E964="",E964="!!!",F964="NEW"),"",INDEX(J$1:J963,SUMPRODUCT(MAX(ROW(E$1:E963)*(E964=E$1:E963)))))</f>
        <v/>
      </c>
      <c r="L964" s="25"/>
    </row>
    <row r="965" spans="1:12" x14ac:dyDescent="0.3">
      <c r="A965" t="s">
        <v>664</v>
      </c>
      <c r="E965" s="20" t="str">
        <f t="shared" si="98"/>
        <v/>
      </c>
      <c r="F965" s="21" t="str">
        <f>IF(OR(E965="",E965="!!!"),"",IF(NOT(ISNA(VLOOKUP(E965,E$1:E964,1,FALSE()))),"OLD",IF(AND(E965&lt;&gt;"",E965&lt;&gt;"!!!"),"NEW","")))</f>
        <v/>
      </c>
      <c r="G965" s="22" t="str">
        <f>IF(OR(E965="",E965="!!!"),"",IF(OR(J965=0,AND(J965=1,K965=1),AND(J965=1,I965="SBJ"),AND(J965=1,I965=0)),"?IN_FOCUS",IF(J965&lt;=2,"?ACTIVATED",IF(J965&lt;&gt;"","?FAMILIAR",IF(F965="NEW",IF(ISNA(VLOOKUP(E965,#REF!,1,FALSE())),"?TYPE_IDENTIFIABLE","?REFERENTIAL"),"_")))))</f>
        <v/>
      </c>
      <c r="H965" s="23" t="str">
        <f t="shared" ca="1" si="99"/>
        <v/>
      </c>
      <c r="I965" s="24" t="str">
        <f>IF(OR(E965="",E965="!!!",F965="NEW"),"",INDEX(B$2:B964,-1+SUMPRODUCT(MAX(ROW(E$2:E964)*(E965=E$2:E964)))))</f>
        <v/>
      </c>
      <c r="J965" s="24" t="str">
        <f ca="1">IF(OR(E965="",E965="!!!",F965="NEW"),"",COUNTBLANK(OFFSET(A$1,,,SUMPRODUCT(MAX(ROW(E$2:E965)*(E965=E$2:E965)))))-COUNTBLANK(OFFSET(A$1,,,SUMPRODUCT(MAX(ROW(E$1:E964)*(E2=E$1:E964))))))</f>
        <v/>
      </c>
      <c r="K965" s="24" t="str">
        <f>IF(OR(E965="",E965="!!!",F965="NEW"),"",INDEX(J$1:J964,SUMPRODUCT(MAX(ROW(E$1:E964)*(E965=E$1:E964)))))</f>
        <v/>
      </c>
      <c r="L965" s="25"/>
    </row>
    <row r="966" spans="1:12" x14ac:dyDescent="0.3">
      <c r="A966" t="s">
        <v>254</v>
      </c>
      <c r="B966" s="26" t="s">
        <v>243</v>
      </c>
      <c r="C966" s="26" t="s">
        <v>256</v>
      </c>
      <c r="D966" s="26" t="s">
        <v>240</v>
      </c>
      <c r="E966" s="20" t="str">
        <f t="shared" si="98"/>
        <v>!!!</v>
      </c>
      <c r="F966" s="21" t="str">
        <f>IF(OR(E966="",E966="!!!"),"",IF(NOT(ISNA(VLOOKUP(E966,E$1:E965,1,FALSE()))),"OLD",IF(AND(E966&lt;&gt;"",E966&lt;&gt;"!!!"),"NEW","")))</f>
        <v/>
      </c>
      <c r="G966" s="22" t="str">
        <f>IF(OR(E966="",E966="!!!"),"",IF(OR(J966=0,AND(J966=1,K966=1),AND(J966=1,I966="SBJ"),AND(J966=1,I966=0)),"?IN_FOCUS",IF(J966&lt;=2,"?ACTIVATED",IF(J966&lt;&gt;"","?FAMILIAR",IF(F966="NEW",IF(ISNA(VLOOKUP(E966,#REF!,1,FALSE())),"?TYPE_IDENTIFIABLE","?REFERENTIAL"),"_")))))</f>
        <v/>
      </c>
      <c r="H966" s="23" t="str">
        <f t="shared" ca="1" si="99"/>
        <v/>
      </c>
      <c r="I966" s="24" t="str">
        <f>IF(OR(E966="",E966="!!!",F966="NEW"),"",INDEX(B$2:B965,-1+SUMPRODUCT(MAX(ROW(E$2:E965)*(E966=E$2:E965)))))</f>
        <v/>
      </c>
      <c r="J966" s="24" t="str">
        <f ca="1">IF(OR(E966="",E966="!!!",F966="NEW"),"",COUNTBLANK(OFFSET(A$1,,,SUMPRODUCT(MAX(ROW(E$2:E966)*(E966=E$2:E966)))))-COUNTBLANK(OFFSET(A$1,,,SUMPRODUCT(MAX(ROW(E$1:E965)*(E2=E$1:E965))))))</f>
        <v/>
      </c>
      <c r="K966" s="24" t="str">
        <f>IF(OR(E966="",E966="!!!",F966="NEW"),"",INDEX(J$1:J965,SUMPRODUCT(MAX(ROW(E$1:E965)*(E966=E$1:E965)))))</f>
        <v/>
      </c>
      <c r="L966" s="25"/>
    </row>
    <row r="967" spans="1:12" x14ac:dyDescent="0.3">
      <c r="A967" t="s">
        <v>665</v>
      </c>
      <c r="E967" s="20" t="str">
        <f t="shared" si="98"/>
        <v/>
      </c>
      <c r="F967" s="21" t="str">
        <f>IF(OR(E967="",E967="!!!"),"",IF(NOT(ISNA(VLOOKUP(E967,E$1:E966,1,FALSE()))),"OLD",IF(AND(E967&lt;&gt;"",E967&lt;&gt;"!!!"),"NEW","")))</f>
        <v/>
      </c>
      <c r="G967" s="22" t="str">
        <f>IF(OR(E967="",E967="!!!"),"",IF(OR(J967=0,AND(J967=1,K967=1),AND(J967=1,I967="SBJ"),AND(J967=1,I967=0)),"?IN_FOCUS",IF(J967&lt;=2,"?ACTIVATED",IF(J967&lt;&gt;"","?FAMILIAR",IF(F967="NEW",IF(ISNA(VLOOKUP(E967,#REF!,1,FALSE())),"?TYPE_IDENTIFIABLE","?REFERENTIAL"),"_")))))</f>
        <v/>
      </c>
      <c r="H967" s="23" t="str">
        <f t="shared" ca="1" si="99"/>
        <v/>
      </c>
      <c r="I967" s="24" t="str">
        <f>IF(OR(E967="",E967="!!!",F967="NEW"),"",INDEX(B$2:B966,-1+SUMPRODUCT(MAX(ROW(E$2:E966)*(E967=E$2:E966)))))</f>
        <v/>
      </c>
      <c r="J967" s="24" t="str">
        <f ca="1">IF(OR(E967="",E967="!!!",F967="NEW"),"",COUNTBLANK(OFFSET(A$1,,,SUMPRODUCT(MAX(ROW(E$2:E967)*(E967=E$2:E967)))))-COUNTBLANK(OFFSET(A$1,,,SUMPRODUCT(MAX(ROW(E$1:E966)*(E2=E$1:E966))))))</f>
        <v/>
      </c>
      <c r="K967" s="24" t="str">
        <f>IF(OR(E967="",E967="!!!",F967="NEW"),"",INDEX(J$1:J966,SUMPRODUCT(MAX(ROW(E$1:E966)*(E967=E$1:E966)))))</f>
        <v/>
      </c>
      <c r="L967" s="25"/>
    </row>
    <row r="968" spans="1:12" x14ac:dyDescent="0.3">
      <c r="A968" t="s">
        <v>666</v>
      </c>
      <c r="B968" s="26" t="s">
        <v>292</v>
      </c>
      <c r="C968" s="26" t="s">
        <v>480</v>
      </c>
      <c r="E968" s="20" t="str">
        <f t="shared" si="98"/>
        <v/>
      </c>
      <c r="F968" s="21" t="str">
        <f>IF(OR(E968="",E968="!!!"),"",IF(NOT(ISNA(VLOOKUP(E968,E$1:E967,1,FALSE()))),"OLD",IF(AND(E968&lt;&gt;"",E968&lt;&gt;"!!!"),"NEW","")))</f>
        <v/>
      </c>
      <c r="G968" s="22" t="str">
        <f>IF(OR(E968="",E968="!!!"),"",IF(OR(J968=0,AND(J968=1,K968=1),AND(J968=1,I968="SBJ"),AND(J968=1,I968=0)),"?IN_FOCUS",IF(J968&lt;=2,"?ACTIVATED",IF(J968&lt;&gt;"","?FAMILIAR",IF(F968="NEW",IF(ISNA(VLOOKUP(E968,#REF!,1,FALSE())),"?TYPE_IDENTIFIABLE","?REFERENTIAL"),"_")))))</f>
        <v/>
      </c>
      <c r="H968" s="23" t="str">
        <f t="shared" ca="1" si="99"/>
        <v/>
      </c>
      <c r="I968" s="24" t="str">
        <f>IF(OR(E968="",E968="!!!",F968="NEW"),"",INDEX(B$2:B967,-1+SUMPRODUCT(MAX(ROW(E$2:E967)*(E968=E$2:E967)))))</f>
        <v/>
      </c>
      <c r="J968" s="24" t="str">
        <f ca="1">IF(OR(E968="",E968="!!!",F968="NEW"),"",COUNTBLANK(OFFSET(A$1,,,SUMPRODUCT(MAX(ROW(E$2:E968)*(E968=E$2:E968)))))-COUNTBLANK(OFFSET(A$1,,,SUMPRODUCT(MAX(ROW(E$1:E967)*(E2=E$1:E967))))))</f>
        <v/>
      </c>
      <c r="K968" s="24" t="str">
        <f>IF(OR(E968="",E968="!!!",F968="NEW"),"",INDEX(J$1:J967,SUMPRODUCT(MAX(ROW(E$1:E967)*(E968=E$1:E967)))))</f>
        <v/>
      </c>
      <c r="L968" s="25"/>
    </row>
    <row r="969" spans="1:12" x14ac:dyDescent="0.3">
      <c r="A969" t="s">
        <v>431</v>
      </c>
      <c r="E969" s="20" t="str">
        <f t="shared" si="98"/>
        <v/>
      </c>
      <c r="F969" s="21" t="str">
        <f>IF(OR(E969="",E969="!!!"),"",IF(NOT(ISNA(VLOOKUP(E969,E$1:E968,1,FALSE()))),"OLD",IF(AND(E969&lt;&gt;"",E969&lt;&gt;"!!!"),"NEW","")))</f>
        <v/>
      </c>
      <c r="G969" s="22" t="str">
        <f>IF(OR(E969="",E969="!!!"),"",IF(OR(J969=0,AND(J969=1,K969=1),AND(J969=1,I969="SBJ"),AND(J969=1,I969=0)),"?IN_FOCUS",IF(J969&lt;=2,"?ACTIVATED",IF(J969&lt;&gt;"","?FAMILIAR",IF(F969="NEW",IF(ISNA(VLOOKUP(E969,#REF!,1,FALSE())),"?TYPE_IDENTIFIABLE","?REFERENTIAL"),"_")))))</f>
        <v/>
      </c>
      <c r="H969" s="23" t="str">
        <f t="shared" ca="1" si="99"/>
        <v/>
      </c>
      <c r="I969" s="24" t="str">
        <f>IF(OR(E969="",E969="!!!",F969="NEW"),"",INDEX(B$2:B968,-1+SUMPRODUCT(MAX(ROW(E$2:E968)*(E969=E$2:E968)))))</f>
        <v/>
      </c>
      <c r="J969" s="24" t="str">
        <f ca="1">IF(OR(E969="",E969="!!!",F969="NEW"),"",COUNTBLANK(OFFSET(A$1,,,SUMPRODUCT(MAX(ROW(E$2:E969)*(E969=E$2:E969)))))-COUNTBLANK(OFFSET(A$1,,,SUMPRODUCT(MAX(ROW(E$1:E968)*(E2=E$1:E968))))))</f>
        <v/>
      </c>
      <c r="K969" s="24" t="str">
        <f>IF(OR(E969="",E969="!!!",F969="NEW"),"",INDEX(J$1:J968,SUMPRODUCT(MAX(ROW(E$1:E968)*(E969=E$1:E968)))))</f>
        <v/>
      </c>
      <c r="L969" s="25"/>
    </row>
    <row r="970" spans="1:12" x14ac:dyDescent="0.3">
      <c r="A970" t="s">
        <v>252</v>
      </c>
      <c r="E970" s="20" t="str">
        <f t="shared" si="98"/>
        <v/>
      </c>
      <c r="F970" s="21" t="str">
        <f>IF(OR(E970="",E970="!!!"),"",IF(NOT(ISNA(VLOOKUP(E970,E$1:E969,1,FALSE()))),"OLD",IF(AND(E970&lt;&gt;"",E970&lt;&gt;"!!!"),"NEW","")))</f>
        <v/>
      </c>
      <c r="G970" s="22" t="str">
        <f>IF(OR(E970="",E970="!!!"),"",IF(OR(J970=0,AND(J970=1,K970=1),AND(J970=1,I970="SBJ"),AND(J970=1,I970=0)),"?IN_FOCUS",IF(J970&lt;=2,"?ACTIVATED",IF(J970&lt;&gt;"","?FAMILIAR",IF(F970="NEW",IF(ISNA(VLOOKUP(E970,#REF!,1,FALSE())),"?TYPE_IDENTIFIABLE","?REFERENTIAL"),"_")))))</f>
        <v/>
      </c>
      <c r="H970" s="23" t="str">
        <f t="shared" ca="1" si="99"/>
        <v/>
      </c>
      <c r="I970" s="24" t="str">
        <f>IF(OR(E970="",E970="!!!",F970="NEW"),"",INDEX(B$2:B969,-1+SUMPRODUCT(MAX(ROW(E$2:E969)*(E970=E$2:E969)))))</f>
        <v/>
      </c>
      <c r="J970" s="24" t="str">
        <f ca="1">IF(OR(E970="",E970="!!!",F970="NEW"),"",COUNTBLANK(OFFSET(A$1,,,SUMPRODUCT(MAX(ROW(E$2:E970)*(E970=E$2:E970)))))-COUNTBLANK(OFFSET(A$1,,,SUMPRODUCT(MAX(ROW(E$1:E969)*(E2=E$1:E969))))))</f>
        <v/>
      </c>
      <c r="K970" s="24" t="str">
        <f>IF(OR(E970="",E970="!!!",F970="NEW"),"",INDEX(J$1:J969,SUMPRODUCT(MAX(ROW(E$1:E969)*(E970=E$1:E969)))))</f>
        <v/>
      </c>
      <c r="L970" s="25"/>
    </row>
    <row r="971" spans="1:12" x14ac:dyDescent="0.3">
      <c r="A971" t="s">
        <v>253</v>
      </c>
      <c r="E971" s="20" t="str">
        <f t="shared" si="98"/>
        <v/>
      </c>
      <c r="F971" s="21" t="str">
        <f>IF(OR(E971="",E971="!!!"),"",IF(NOT(ISNA(VLOOKUP(E971,E$1:E970,1,FALSE()))),"OLD",IF(AND(E971&lt;&gt;"",E971&lt;&gt;"!!!"),"NEW","")))</f>
        <v/>
      </c>
      <c r="G971" s="22" t="str">
        <f>IF(OR(E971="",E971="!!!"),"",IF(OR(J971=0,AND(J971=1,K971=1),AND(J971=1,I971="SBJ"),AND(J971=1,I971=0)),"?IN_FOCUS",IF(J971&lt;=2,"?ACTIVATED",IF(J971&lt;&gt;"","?FAMILIAR",IF(F971="NEW",IF(ISNA(VLOOKUP(E971,#REF!,1,FALSE())),"?TYPE_IDENTIFIABLE","?REFERENTIAL"),"_")))))</f>
        <v/>
      </c>
      <c r="H971" s="23" t="str">
        <f t="shared" ca="1" si="99"/>
        <v/>
      </c>
      <c r="I971" s="24" t="str">
        <f>IF(OR(E971="",E971="!!!",F971="NEW"),"",INDEX(B$2:B970,-1+SUMPRODUCT(MAX(ROW(E$2:E970)*(E971=E$2:E970)))))</f>
        <v/>
      </c>
      <c r="J971" s="24" t="str">
        <f ca="1">IF(OR(E971="",E971="!!!",F971="NEW"),"",COUNTBLANK(OFFSET(A$1,,,SUMPRODUCT(MAX(ROW(E$2:E971)*(E971=E$2:E971)))))-COUNTBLANK(OFFSET(A$1,,,SUMPRODUCT(MAX(ROW(E$1:E970)*(E2=E$1:E970))))))</f>
        <v/>
      </c>
      <c r="K971" s="24" t="str">
        <f>IF(OR(E971="",E971="!!!",F971="NEW"),"",INDEX(J$1:J970,SUMPRODUCT(MAX(ROW(E$1:E970)*(E971=E$1:E970)))))</f>
        <v/>
      </c>
      <c r="L971" s="25"/>
    </row>
    <row r="972" spans="1:12" x14ac:dyDescent="0.3">
      <c r="A972" t="s">
        <v>254</v>
      </c>
      <c r="B972" s="26" t="s">
        <v>255</v>
      </c>
      <c r="C972" s="26" t="s">
        <v>256</v>
      </c>
      <c r="D972" s="26" t="s">
        <v>240</v>
      </c>
      <c r="E972" s="20" t="str">
        <f t="shared" si="98"/>
        <v>!!!</v>
      </c>
      <c r="F972" s="21" t="str">
        <f>IF(OR(E972="",E972="!!!"),"",IF(NOT(ISNA(VLOOKUP(E972,E$1:E971,1,FALSE()))),"OLD",IF(AND(E972&lt;&gt;"",E972&lt;&gt;"!!!"),"NEW","")))</f>
        <v/>
      </c>
      <c r="G972" s="22" t="str">
        <f>IF(OR(E972="",E972="!!!"),"",IF(OR(J972=0,AND(J972=1,K972=1),AND(J972=1,I972="SBJ"),AND(J972=1,I972=0)),"?IN_FOCUS",IF(J972&lt;=2,"?ACTIVATED",IF(J972&lt;&gt;"","?FAMILIAR",IF(F972="NEW",IF(ISNA(VLOOKUP(E972,#REF!,1,FALSE())),"?TYPE_IDENTIFIABLE","?REFERENTIAL"),"_")))))</f>
        <v/>
      </c>
      <c r="H972" s="23" t="str">
        <f t="shared" ca="1" si="99"/>
        <v/>
      </c>
      <c r="I972" s="24" t="str">
        <f>IF(OR(E972="",E972="!!!",F972="NEW"),"",INDEX(B$2:B971,-1+SUMPRODUCT(MAX(ROW(E$2:E971)*(E972=E$2:E971)))))</f>
        <v/>
      </c>
      <c r="J972" s="24" t="str">
        <f ca="1">IF(OR(E972="",E972="!!!",F972="NEW"),"",COUNTBLANK(OFFSET(A$1,,,SUMPRODUCT(MAX(ROW(E$2:E972)*(E972=E$2:E972)))))-COUNTBLANK(OFFSET(A$1,,,SUMPRODUCT(MAX(ROW(E$1:E971)*(E2=E$1:E971))))))</f>
        <v/>
      </c>
      <c r="K972" s="24" t="str">
        <f>IF(OR(E972="",E972="!!!",F972="NEW"),"",INDEX(J$1:J971,SUMPRODUCT(MAX(ROW(E$1:E971)*(E972=E$1:E971)))))</f>
        <v/>
      </c>
      <c r="L972" s="25"/>
    </row>
    <row r="973" spans="1:12" x14ac:dyDescent="0.3">
      <c r="A973" t="s">
        <v>303</v>
      </c>
      <c r="E973" s="20" t="str">
        <f t="shared" si="98"/>
        <v/>
      </c>
      <c r="F973" s="21" t="str">
        <f>IF(OR(E973="",E973="!!!"),"",IF(NOT(ISNA(VLOOKUP(E973,E$1:E972,1,FALSE()))),"OLD",IF(AND(E973&lt;&gt;"",E973&lt;&gt;"!!!"),"NEW","")))</f>
        <v/>
      </c>
      <c r="G973" s="22" t="str">
        <f>IF(OR(E973="",E973="!!!"),"",IF(OR(J973=0,AND(J973=1,K973=1),AND(J973=1,I973="SBJ"),AND(J973=1,I973=0)),"?IN_FOCUS",IF(J973&lt;=2,"?ACTIVATED",IF(J973&lt;&gt;"","?FAMILIAR",IF(F973="NEW",IF(ISNA(VLOOKUP(E973,#REF!,1,FALSE())),"?TYPE_IDENTIFIABLE","?REFERENTIAL"),"_")))))</f>
        <v/>
      </c>
      <c r="H973" s="23" t="str">
        <f t="shared" ca="1" si="99"/>
        <v/>
      </c>
      <c r="I973" s="24" t="str">
        <f>IF(OR(E973="",E973="!!!",F973="NEW"),"",INDEX(B$2:B972,-1+SUMPRODUCT(MAX(ROW(E$2:E972)*(E973=E$2:E972)))))</f>
        <v/>
      </c>
      <c r="J973" s="24" t="str">
        <f ca="1">IF(OR(E973="",E973="!!!",F973="NEW"),"",COUNTBLANK(OFFSET(A$1,,,SUMPRODUCT(MAX(ROW(E$2:E973)*(E973=E$2:E973)))))-COUNTBLANK(OFFSET(A$1,,,SUMPRODUCT(MAX(ROW(E$1:E972)*(E2=E$1:E972))))))</f>
        <v/>
      </c>
      <c r="K973" s="24" t="str">
        <f>IF(OR(E973="",E973="!!!",F973="NEW"),"",INDEX(J$1:J972,SUMPRODUCT(MAX(ROW(E$1:E972)*(E973=E$1:E972)))))</f>
        <v/>
      </c>
      <c r="L973" s="25"/>
    </row>
    <row r="974" spans="1:12" x14ac:dyDescent="0.3">
      <c r="A974" t="s">
        <v>641</v>
      </c>
      <c r="B974" s="26" t="s">
        <v>265</v>
      </c>
      <c r="C974" s="26" t="s">
        <v>239</v>
      </c>
      <c r="D974" s="26" t="s">
        <v>240</v>
      </c>
      <c r="E974" s="20" t="str">
        <f t="shared" si="98"/>
        <v>!!!</v>
      </c>
      <c r="F974" s="21" t="str">
        <f>IF(OR(E974="",E974="!!!"),"",IF(NOT(ISNA(VLOOKUP(E974,E$1:E973,1,FALSE()))),"OLD",IF(AND(E974&lt;&gt;"",E974&lt;&gt;"!!!"),"NEW","")))</f>
        <v/>
      </c>
      <c r="G974" s="22" t="str">
        <f>IF(OR(E974="",E974="!!!"),"",IF(OR(J974=0,AND(J974=1,K974=1),AND(J974=1,I974="SBJ"),AND(J974=1,I974=0)),"?IN_FOCUS",IF(J974&lt;=2,"?ACTIVATED",IF(J974&lt;&gt;"","?FAMILIAR",IF(F974="NEW",IF(ISNA(VLOOKUP(E974,#REF!,1,FALSE())),"?TYPE_IDENTIFIABLE","?REFERENTIAL"),"_")))))</f>
        <v/>
      </c>
      <c r="H974" s="23" t="str">
        <f t="shared" ca="1" si="99"/>
        <v/>
      </c>
      <c r="I974" s="24" t="str">
        <f>IF(OR(E974="",E974="!!!",F974="NEW"),"",INDEX(B$2:B973,-1+SUMPRODUCT(MAX(ROW(E$2:E973)*(E974=E$2:E973)))))</f>
        <v/>
      </c>
      <c r="J974" s="24" t="str">
        <f ca="1">IF(OR(E974="",E974="!!!",F974="NEW"),"",COUNTBLANK(OFFSET(A$1,,,SUMPRODUCT(MAX(ROW(E$2:E974)*(E974=E$2:E974)))))-COUNTBLANK(OFFSET(A$1,,,SUMPRODUCT(MAX(ROW(E$1:E973)*(E2=E$1:E973))))))</f>
        <v/>
      </c>
      <c r="K974" s="24" t="str">
        <f>IF(OR(E974="",E974="!!!",F974="NEW"),"",INDEX(J$1:J973,SUMPRODUCT(MAX(ROW(E$1:E973)*(E974=E$1:E973)))))</f>
        <v/>
      </c>
      <c r="L974" s="25"/>
    </row>
    <row r="975" spans="1:12" x14ac:dyDescent="0.3">
      <c r="A975" t="s">
        <v>642</v>
      </c>
      <c r="E975" s="20" t="str">
        <f t="shared" si="98"/>
        <v/>
      </c>
      <c r="F975" s="21" t="str">
        <f>IF(OR(E975="",E975="!!!"),"",IF(NOT(ISNA(VLOOKUP(E975,E$1:E974,1,FALSE()))),"OLD",IF(AND(E975&lt;&gt;"",E975&lt;&gt;"!!!"),"NEW","")))</f>
        <v/>
      </c>
      <c r="G975" s="22" t="str">
        <f>IF(OR(E975="",E975="!!!"),"",IF(OR(J975=0,AND(J975=1,K975=1),AND(J975=1,I975="SBJ"),AND(J975=1,I975=0)),"?IN_FOCUS",IF(J975&lt;=2,"?ACTIVATED",IF(J975&lt;&gt;"","?FAMILIAR",IF(F975="NEW",IF(ISNA(VLOOKUP(E975,#REF!,1,FALSE())),"?TYPE_IDENTIFIABLE","?REFERENTIAL"),"_")))))</f>
        <v/>
      </c>
      <c r="H975" s="23" t="str">
        <f t="shared" ca="1" si="99"/>
        <v/>
      </c>
      <c r="I975" s="24" t="str">
        <f>IF(OR(E975="",E975="!!!",F975="NEW"),"",INDEX(B$2:B974,-1+SUMPRODUCT(MAX(ROW(E$2:E974)*(E975=E$2:E974)))))</f>
        <v/>
      </c>
      <c r="J975" s="24" t="str">
        <f ca="1">IF(OR(E975="",E975="!!!",F975="NEW"),"",COUNTBLANK(OFFSET(A$1,,,SUMPRODUCT(MAX(ROW(E$2:E975)*(E975=E$2:E975)))))-COUNTBLANK(OFFSET(A$1,,,SUMPRODUCT(MAX(ROW(E$1:E974)*(E2=E$1:E974))))))</f>
        <v/>
      </c>
      <c r="K975" s="24" t="str">
        <f>IF(OR(E975="",E975="!!!",F975="NEW"),"",INDEX(J$1:J974,SUMPRODUCT(MAX(ROW(E$1:E974)*(E975=E$1:E974)))))</f>
        <v/>
      </c>
      <c r="L975" s="25"/>
    </row>
    <row r="976" spans="1:12" x14ac:dyDescent="0.3">
      <c r="A976" t="s">
        <v>248</v>
      </c>
      <c r="E976" s="20" t="str">
        <f t="shared" si="98"/>
        <v/>
      </c>
      <c r="F976" s="21" t="str">
        <f>IF(OR(E976="",E976="!!!"),"",IF(NOT(ISNA(VLOOKUP(E976,E$1:E975,1,FALSE()))),"OLD",IF(AND(E976&lt;&gt;"",E976&lt;&gt;"!!!"),"NEW","")))</f>
        <v/>
      </c>
      <c r="G976" s="22" t="str">
        <f>IF(OR(E976="",E976="!!!"),"",IF(OR(J976=0,AND(J976=1,K976=1),AND(J976=1,I976="SBJ"),AND(J976=1,I976=0)),"?IN_FOCUS",IF(J976&lt;=2,"?ACTIVATED",IF(J976&lt;&gt;"","?FAMILIAR",IF(F976="NEW",IF(ISNA(VLOOKUP(E976,#REF!,1,FALSE())),"?TYPE_IDENTIFIABLE","?REFERENTIAL"),"_")))))</f>
        <v/>
      </c>
      <c r="H976" s="23" t="str">
        <f t="shared" ca="1" si="99"/>
        <v/>
      </c>
      <c r="I976" s="24" t="str">
        <f>IF(OR(E976="",E976="!!!",F976="NEW"),"",INDEX(B$2:B975,-1+SUMPRODUCT(MAX(ROW(E$2:E975)*(E976=E$2:E975)))))</f>
        <v/>
      </c>
      <c r="J976" s="24" t="str">
        <f ca="1">IF(OR(E976="",E976="!!!",F976="NEW"),"",COUNTBLANK(OFFSET(A$1,,,SUMPRODUCT(MAX(ROW(E$2:E976)*(E976=E$2:E976)))))-COUNTBLANK(OFFSET(A$1,,,SUMPRODUCT(MAX(ROW(E$1:E975)*(E2=E$1:E975))))))</f>
        <v/>
      </c>
      <c r="K976" s="24" t="str">
        <f>IF(OR(E976="",E976="!!!",F976="NEW"),"",INDEX(J$1:J975,SUMPRODUCT(MAX(ROW(E$1:E975)*(E976=E$1:E975)))))</f>
        <v/>
      </c>
      <c r="L976" s="25"/>
    </row>
    <row r="978" spans="1:12" x14ac:dyDescent="0.3">
      <c r="A978" t="s">
        <v>667</v>
      </c>
    </row>
    <row r="979" spans="1:12" x14ac:dyDescent="0.3">
      <c r="A979" t="s">
        <v>408</v>
      </c>
      <c r="E979" s="20" t="str">
        <f t="shared" ref="E979:E985" si="100">IF(D979="?OLD","!!!","")</f>
        <v/>
      </c>
      <c r="F979" s="21" t="str">
        <f>IF(OR(E979="",E979="!!!"),"",IF(NOT(ISNA(VLOOKUP(E979,E$1:E978,1,FALSE()))),"OLD",IF(AND(E979&lt;&gt;"",E979&lt;&gt;"!!!"),"NEW","")))</f>
        <v/>
      </c>
      <c r="G979" s="22" t="str">
        <f>IF(OR(E979="",E979="!!!"),"",IF(OR(J979=0,AND(J979=1,K979=1),AND(J979=1,I979="SBJ"),AND(J979=1,I979=0)),"?IN_FOCUS",IF(J979&lt;=2,"?ACTIVATED",IF(J979&lt;&gt;"","?FAMILIAR",IF(F979="NEW",IF(ISNA(VLOOKUP(E979,#REF!,1,FALSE())),"?TYPE_IDENTIFIABLE","?REFERENTIAL"),"_")))))</f>
        <v/>
      </c>
      <c r="H979" s="23" t="str">
        <f t="shared" ref="H979:H985" ca="1" si="101">IF(J979&lt;&gt;1,"",IF(I979="SBJ","CB","?"))</f>
        <v/>
      </c>
      <c r="I979" s="24" t="str">
        <f>IF(OR(E979="",E979="!!!",F979="NEW"),"",INDEX(B$2:B978,-1+SUMPRODUCT(MAX(ROW(E$2:E978)*(E979=E$2:E978)))))</f>
        <v/>
      </c>
      <c r="J979" s="24" t="str">
        <f ca="1">IF(OR(E979="",E979="!!!",F979="NEW"),"",COUNTBLANK(OFFSET(A$1,,,SUMPRODUCT(MAX(ROW(E$2:E979)*(E979=E$2:E979)))))-COUNTBLANK(OFFSET(A$1,,,SUMPRODUCT(MAX(ROW(E$1:E978)*(E2=E$1:E978))))))</f>
        <v/>
      </c>
      <c r="K979" s="24" t="str">
        <f>IF(OR(E979="",E979="!!!",F979="NEW"),"",INDEX(J$1:J978,SUMPRODUCT(MAX(ROW(E$1:E978)*(E979=E$1:E978)))))</f>
        <v/>
      </c>
      <c r="L979" s="25"/>
    </row>
    <row r="980" spans="1:12" x14ac:dyDescent="0.3">
      <c r="A980" t="s">
        <v>347</v>
      </c>
      <c r="E980" s="20" t="str">
        <f t="shared" si="100"/>
        <v/>
      </c>
      <c r="F980" s="21" t="str">
        <f>IF(OR(E980="",E980="!!!"),"",IF(NOT(ISNA(VLOOKUP(E980,E$1:E979,1,FALSE()))),"OLD",IF(AND(E980&lt;&gt;"",E980&lt;&gt;"!!!"),"NEW","")))</f>
        <v/>
      </c>
      <c r="G980" s="22" t="str">
        <f>IF(OR(E980="",E980="!!!"),"",IF(OR(J980=0,AND(J980=1,K980=1),AND(J980=1,I980="SBJ"),AND(J980=1,I980=0)),"?IN_FOCUS",IF(J980&lt;=2,"?ACTIVATED",IF(J980&lt;&gt;"","?FAMILIAR",IF(F980="NEW",IF(ISNA(VLOOKUP(E980,#REF!,1,FALSE())),"?TYPE_IDENTIFIABLE","?REFERENTIAL"),"_")))))</f>
        <v/>
      </c>
      <c r="H980" s="23" t="str">
        <f t="shared" ca="1" si="101"/>
        <v/>
      </c>
      <c r="I980" s="24" t="str">
        <f>IF(OR(E980="",E980="!!!",F980="NEW"),"",INDEX(B$2:B979,-1+SUMPRODUCT(MAX(ROW(E$2:E979)*(E980=E$2:E979)))))</f>
        <v/>
      </c>
      <c r="J980" s="24" t="str">
        <f ca="1">IF(OR(E980="",E980="!!!",F980="NEW"),"",COUNTBLANK(OFFSET(A$1,,,SUMPRODUCT(MAX(ROW(E$2:E980)*(E980=E$2:E980)))))-COUNTBLANK(OFFSET(A$1,,,SUMPRODUCT(MAX(ROW(E$1:E979)*(E2=E$1:E979))))))</f>
        <v/>
      </c>
      <c r="K980" s="24" t="str">
        <f>IF(OR(E980="",E980="!!!",F980="NEW"),"",INDEX(J$1:J979,SUMPRODUCT(MAX(ROW(E$1:E979)*(E980=E$1:E979)))))</f>
        <v/>
      </c>
      <c r="L980" s="25"/>
    </row>
    <row r="981" spans="1:12" x14ac:dyDescent="0.3">
      <c r="A981" t="s">
        <v>242</v>
      </c>
      <c r="B981" s="26" t="s">
        <v>243</v>
      </c>
      <c r="C981" s="26" t="s">
        <v>244</v>
      </c>
      <c r="D981" s="26" t="s">
        <v>240</v>
      </c>
      <c r="E981" s="20" t="str">
        <f t="shared" si="100"/>
        <v>!!!</v>
      </c>
      <c r="F981" s="21" t="str">
        <f>IF(OR(E981="",E981="!!!"),"",IF(NOT(ISNA(VLOOKUP(E981,E$1:E980,1,FALSE()))),"OLD",IF(AND(E981&lt;&gt;"",E981&lt;&gt;"!!!"),"NEW","")))</f>
        <v/>
      </c>
      <c r="G981" s="22" t="str">
        <f>IF(OR(E981="",E981="!!!"),"",IF(OR(J981=0,AND(J981=1,K981=1),AND(J981=1,I981="SBJ"),AND(J981=1,I981=0)),"?IN_FOCUS",IF(J981&lt;=2,"?ACTIVATED",IF(J981&lt;&gt;"","?FAMILIAR",IF(F981="NEW",IF(ISNA(VLOOKUP(E981,#REF!,1,FALSE())),"?TYPE_IDENTIFIABLE","?REFERENTIAL"),"_")))))</f>
        <v/>
      </c>
      <c r="H981" s="23" t="str">
        <f t="shared" ca="1" si="101"/>
        <v/>
      </c>
      <c r="I981" s="24" t="str">
        <f>IF(OR(E981="",E981="!!!",F981="NEW"),"",INDEX(B$2:B980,-1+SUMPRODUCT(MAX(ROW(E$2:E980)*(E981=E$2:E980)))))</f>
        <v/>
      </c>
      <c r="J981" s="24" t="str">
        <f ca="1">IF(OR(E981="",E981="!!!",F981="NEW"),"",COUNTBLANK(OFFSET(A$1,,,SUMPRODUCT(MAX(ROW(E$2:E981)*(E981=E$2:E981)))))-COUNTBLANK(OFFSET(A$1,,,SUMPRODUCT(MAX(ROW(E$1:E980)*(E2=E$1:E980))))))</f>
        <v/>
      </c>
      <c r="K981" s="24" t="str">
        <f>IF(OR(E981="",E981="!!!",F981="NEW"),"",INDEX(J$1:J980,SUMPRODUCT(MAX(ROW(E$1:E980)*(E981=E$1:E980)))))</f>
        <v/>
      </c>
      <c r="L981" s="25"/>
    </row>
    <row r="982" spans="1:12" x14ac:dyDescent="0.3">
      <c r="A982" t="s">
        <v>263</v>
      </c>
      <c r="E982" s="20" t="str">
        <f t="shared" si="100"/>
        <v/>
      </c>
      <c r="F982" s="21" t="str">
        <f>IF(OR(E982="",E982="!!!"),"",IF(NOT(ISNA(VLOOKUP(E982,E$1:E981,1,FALSE()))),"OLD",IF(AND(E982&lt;&gt;"",E982&lt;&gt;"!!!"),"NEW","")))</f>
        <v/>
      </c>
      <c r="G982" s="22" t="str">
        <f>IF(OR(E982="",E982="!!!"),"",IF(OR(J982=0,AND(J982=1,K982=1),AND(J982=1,I982="SBJ"),AND(J982=1,I982=0)),"?IN_FOCUS",IF(J982&lt;=2,"?ACTIVATED",IF(J982&lt;&gt;"","?FAMILIAR",IF(F982="NEW",IF(ISNA(VLOOKUP(E982,#REF!,1,FALSE())),"?TYPE_IDENTIFIABLE","?REFERENTIAL"),"_")))))</f>
        <v/>
      </c>
      <c r="H982" s="23" t="str">
        <f t="shared" ca="1" si="101"/>
        <v/>
      </c>
      <c r="I982" s="24" t="str">
        <f>IF(OR(E982="",E982="!!!",F982="NEW"),"",INDEX(B$2:B981,-1+SUMPRODUCT(MAX(ROW(E$2:E981)*(E982=E$2:E981)))))</f>
        <v/>
      </c>
      <c r="J982" s="24" t="str">
        <f ca="1">IF(OR(E982="",E982="!!!",F982="NEW"),"",COUNTBLANK(OFFSET(A$1,,,SUMPRODUCT(MAX(ROW(E$2:E982)*(E982=E$2:E982)))))-COUNTBLANK(OFFSET(A$1,,,SUMPRODUCT(MAX(ROW(E$1:E981)*(E2=E$1:E981))))))</f>
        <v/>
      </c>
      <c r="K982" s="24" t="str">
        <f>IF(OR(E982="",E982="!!!",F982="NEW"),"",INDEX(J$1:J981,SUMPRODUCT(MAX(ROW(E$1:E981)*(E982=E$1:E981)))))</f>
        <v/>
      </c>
      <c r="L982" s="25"/>
    </row>
    <row r="983" spans="1:12" x14ac:dyDescent="0.3">
      <c r="A983" t="s">
        <v>668</v>
      </c>
      <c r="E983" s="20" t="str">
        <f t="shared" si="100"/>
        <v/>
      </c>
      <c r="F983" s="21" t="str">
        <f>IF(OR(E983="",E983="!!!"),"",IF(NOT(ISNA(VLOOKUP(E983,E$1:E982,1,FALSE()))),"OLD",IF(AND(E983&lt;&gt;"",E983&lt;&gt;"!!!"),"NEW","")))</f>
        <v/>
      </c>
      <c r="G983" s="22" t="str">
        <f>IF(OR(E983="",E983="!!!"),"",IF(OR(J983=0,AND(J983=1,K983=1),AND(J983=1,I983="SBJ"),AND(J983=1,I983=0)),"?IN_FOCUS",IF(J983&lt;=2,"?ACTIVATED",IF(J983&lt;&gt;"","?FAMILIAR",IF(F983="NEW",IF(ISNA(VLOOKUP(E983,#REF!,1,FALSE())),"?TYPE_IDENTIFIABLE","?REFERENTIAL"),"_")))))</f>
        <v/>
      </c>
      <c r="H983" s="23" t="str">
        <f t="shared" ca="1" si="101"/>
        <v/>
      </c>
      <c r="I983" s="24" t="str">
        <f>IF(OR(E983="",E983="!!!",F983="NEW"),"",INDEX(B$2:B982,-1+SUMPRODUCT(MAX(ROW(E$2:E982)*(E983=E$2:E982)))))</f>
        <v/>
      </c>
      <c r="J983" s="24" t="str">
        <f ca="1">IF(OR(E983="",E983="!!!",F983="NEW"),"",COUNTBLANK(OFFSET(A$1,,,SUMPRODUCT(MAX(ROW(E$2:E983)*(E983=E$2:E983)))))-COUNTBLANK(OFFSET(A$1,,,SUMPRODUCT(MAX(ROW(E$1:E982)*(E2=E$1:E982))))))</f>
        <v/>
      </c>
      <c r="K983" s="24" t="str">
        <f>IF(OR(E983="",E983="!!!",F983="NEW"),"",INDEX(J$1:J982,SUMPRODUCT(MAX(ROW(E$1:E982)*(E983=E$1:E982)))))</f>
        <v/>
      </c>
      <c r="L983" s="25"/>
    </row>
    <row r="984" spans="1:12" x14ac:dyDescent="0.3">
      <c r="A984" t="s">
        <v>581</v>
      </c>
      <c r="B984" s="26" t="s">
        <v>238</v>
      </c>
      <c r="C984" s="26" t="s">
        <v>262</v>
      </c>
      <c r="E984" s="20" t="str">
        <f t="shared" si="100"/>
        <v/>
      </c>
      <c r="F984" s="21" t="str">
        <f>IF(OR(E984="",E984="!!!"),"",IF(NOT(ISNA(VLOOKUP(E984,E$1:E983,1,FALSE()))),"OLD",IF(AND(E984&lt;&gt;"",E984&lt;&gt;"!!!"),"NEW","")))</f>
        <v/>
      </c>
      <c r="G984" s="22" t="str">
        <f>IF(OR(E984="",E984="!!!"),"",IF(OR(J984=0,AND(J984=1,K984=1),AND(J984=1,I984="SBJ"),AND(J984=1,I984=0)),"?IN_FOCUS",IF(J984&lt;=2,"?ACTIVATED",IF(J984&lt;&gt;"","?FAMILIAR",IF(F984="NEW",IF(ISNA(VLOOKUP(E984,#REF!,1,FALSE())),"?TYPE_IDENTIFIABLE","?REFERENTIAL"),"_")))))</f>
        <v/>
      </c>
      <c r="H984" s="23" t="str">
        <f t="shared" ca="1" si="101"/>
        <v/>
      </c>
      <c r="I984" s="24" t="str">
        <f>IF(OR(E984="",E984="!!!",F984="NEW"),"",INDEX(B$2:B983,-1+SUMPRODUCT(MAX(ROW(E$2:E983)*(E984=E$2:E983)))))</f>
        <v/>
      </c>
      <c r="J984" s="24" t="str">
        <f ca="1">IF(OR(E984="",E984="!!!",F984="NEW"),"",COUNTBLANK(OFFSET(A$1,,,SUMPRODUCT(MAX(ROW(E$2:E984)*(E984=E$2:E984)))))-COUNTBLANK(OFFSET(A$1,,,SUMPRODUCT(MAX(ROW(E$1:E983)*(E2=E$1:E983))))))</f>
        <v/>
      </c>
      <c r="K984" s="24" t="str">
        <f>IF(OR(E984="",E984="!!!",F984="NEW"),"",INDEX(J$1:J983,SUMPRODUCT(MAX(ROW(E$1:E983)*(E984=E$1:E983)))))</f>
        <v/>
      </c>
      <c r="L984" s="25"/>
    </row>
    <row r="985" spans="1:12" x14ac:dyDescent="0.3">
      <c r="A985" t="s">
        <v>248</v>
      </c>
      <c r="E985" s="20" t="str">
        <f t="shared" si="100"/>
        <v/>
      </c>
      <c r="F985" s="21" t="str">
        <f>IF(OR(E985="",E985="!!!"),"",IF(NOT(ISNA(VLOOKUP(E985,E$1:E984,1,FALSE()))),"OLD",IF(AND(E985&lt;&gt;"",E985&lt;&gt;"!!!"),"NEW","")))</f>
        <v/>
      </c>
      <c r="G985" s="22" t="str">
        <f>IF(OR(E985="",E985="!!!"),"",IF(OR(J985=0,AND(J985=1,K985=1),AND(J985=1,I985="SBJ"),AND(J985=1,I985=0)),"?IN_FOCUS",IF(J985&lt;=2,"?ACTIVATED",IF(J985&lt;&gt;"","?FAMILIAR",IF(F985="NEW",IF(ISNA(VLOOKUP(E985,#REF!,1,FALSE())),"?TYPE_IDENTIFIABLE","?REFERENTIAL"),"_")))))</f>
        <v/>
      </c>
      <c r="H985" s="23" t="str">
        <f t="shared" ca="1" si="101"/>
        <v/>
      </c>
      <c r="I985" s="24" t="str">
        <f>IF(OR(E985="",E985="!!!",F985="NEW"),"",INDEX(B$2:B984,-1+SUMPRODUCT(MAX(ROW(E$2:E984)*(E985=E$2:E984)))))</f>
        <v/>
      </c>
      <c r="J985" s="24" t="str">
        <f ca="1">IF(OR(E985="",E985="!!!",F985="NEW"),"",COUNTBLANK(OFFSET(A$1,,,SUMPRODUCT(MAX(ROW(E$2:E985)*(E985=E$2:E985)))))-COUNTBLANK(OFFSET(A$1,,,SUMPRODUCT(MAX(ROW(E$1:E984)*(E2=E$1:E984))))))</f>
        <v/>
      </c>
      <c r="K985" s="24" t="str">
        <f>IF(OR(E985="",E985="!!!",F985="NEW"),"",INDEX(J$1:J984,SUMPRODUCT(MAX(ROW(E$1:E984)*(E985=E$1:E984)))))</f>
        <v/>
      </c>
      <c r="L985" s="25"/>
    </row>
    <row r="987" spans="1:12" x14ac:dyDescent="0.3">
      <c r="A987" t="s">
        <v>669</v>
      </c>
    </row>
    <row r="988" spans="1:12" x14ac:dyDescent="0.3">
      <c r="A988" t="s">
        <v>557</v>
      </c>
      <c r="B988" s="26" t="s">
        <v>243</v>
      </c>
      <c r="C988" s="26" t="s">
        <v>244</v>
      </c>
      <c r="D988" s="26" t="s">
        <v>240</v>
      </c>
      <c r="E988" s="20" t="str">
        <f t="shared" ref="E988:E1007" si="102">IF(D988="?OLD","!!!","")</f>
        <v>!!!</v>
      </c>
      <c r="F988" s="21" t="str">
        <f>IF(OR(E988="",E988="!!!"),"",IF(NOT(ISNA(VLOOKUP(E988,E$1:E987,1,FALSE()))),"OLD",IF(AND(E988&lt;&gt;"",E988&lt;&gt;"!!!"),"NEW","")))</f>
        <v/>
      </c>
      <c r="G988" s="22" t="str">
        <f>IF(OR(E988="",E988="!!!"),"",IF(OR(J988=0,AND(J988=1,K988=1),AND(J988=1,I988="SBJ"),AND(J988=1,I988=0)),"?IN_FOCUS",IF(J988&lt;=2,"?ACTIVATED",IF(J988&lt;&gt;"","?FAMILIAR",IF(F988="NEW",IF(ISNA(VLOOKUP(E988,#REF!,1,FALSE())),"?TYPE_IDENTIFIABLE","?REFERENTIAL"),"_")))))</f>
        <v/>
      </c>
      <c r="H988" s="23" t="str">
        <f t="shared" ref="H988:H1007" ca="1" si="103">IF(J988&lt;&gt;1,"",IF(I988="SBJ","CB","?"))</f>
        <v/>
      </c>
      <c r="I988" s="24" t="str">
        <f>IF(OR(E988="",E988="!!!",F988="NEW"),"",INDEX(B$2:B987,-1+SUMPRODUCT(MAX(ROW(E$2:E987)*(E988=E$2:E987)))))</f>
        <v/>
      </c>
      <c r="J988" s="24" t="str">
        <f ca="1">IF(OR(E988="",E988="!!!",F988="NEW"),"",COUNTBLANK(OFFSET(A$1,,,SUMPRODUCT(MAX(ROW(E$2:E988)*(E988=E$2:E988)))))-COUNTBLANK(OFFSET(A$1,,,SUMPRODUCT(MAX(ROW(E$1:E987)*(E2=E$1:E987))))))</f>
        <v/>
      </c>
      <c r="K988" s="24" t="str">
        <f>IF(OR(E988="",E988="!!!",F988="NEW"),"",INDEX(J$1:J987,SUMPRODUCT(MAX(ROW(E$1:E987)*(E988=E$1:E987)))))</f>
        <v/>
      </c>
      <c r="L988" s="25"/>
    </row>
    <row r="989" spans="1:12" x14ac:dyDescent="0.3">
      <c r="A989" t="s">
        <v>347</v>
      </c>
      <c r="E989" s="20" t="str">
        <f t="shared" si="102"/>
        <v/>
      </c>
      <c r="F989" s="21" t="str">
        <f>IF(OR(E989="",E989="!!!"),"",IF(NOT(ISNA(VLOOKUP(E989,E$1:E988,1,FALSE()))),"OLD",IF(AND(E989&lt;&gt;"",E989&lt;&gt;"!!!"),"NEW","")))</f>
        <v/>
      </c>
      <c r="G989" s="22" t="str">
        <f>IF(OR(E989="",E989="!!!"),"",IF(OR(J989=0,AND(J989=1,K989=1),AND(J989=1,I989="SBJ"),AND(J989=1,I989=0)),"?IN_FOCUS",IF(J989&lt;=2,"?ACTIVATED",IF(J989&lt;&gt;"","?FAMILIAR",IF(F989="NEW",IF(ISNA(VLOOKUP(E989,#REF!,1,FALSE())),"?TYPE_IDENTIFIABLE","?REFERENTIAL"),"_")))))</f>
        <v/>
      </c>
      <c r="H989" s="23" t="str">
        <f t="shared" ca="1" si="103"/>
        <v/>
      </c>
      <c r="I989" s="24" t="str">
        <f>IF(OR(E989="",E989="!!!",F989="NEW"),"",INDEX(B$2:B988,-1+SUMPRODUCT(MAX(ROW(E$2:E988)*(E989=E$2:E988)))))</f>
        <v/>
      </c>
      <c r="J989" s="24" t="str">
        <f ca="1">IF(OR(E989="",E989="!!!",F989="NEW"),"",COUNTBLANK(OFFSET(A$1,,,SUMPRODUCT(MAX(ROW(E$2:E989)*(E989=E$2:E989)))))-COUNTBLANK(OFFSET(A$1,,,SUMPRODUCT(MAX(ROW(E$1:E988)*(E2=E$1:E988))))))</f>
        <v/>
      </c>
      <c r="K989" s="24" t="str">
        <f>IF(OR(E989="",E989="!!!",F989="NEW"),"",INDEX(J$1:J988,SUMPRODUCT(MAX(ROW(E$1:E988)*(E989=E$1:E988)))))</f>
        <v/>
      </c>
      <c r="L989" s="25"/>
    </row>
    <row r="990" spans="1:12" x14ac:dyDescent="0.3">
      <c r="A990" t="s">
        <v>670</v>
      </c>
      <c r="E990" s="20" t="str">
        <f t="shared" si="102"/>
        <v/>
      </c>
      <c r="F990" s="21" t="str">
        <f>IF(OR(E990="",E990="!!!"),"",IF(NOT(ISNA(VLOOKUP(E990,E$1:E989,1,FALSE()))),"OLD",IF(AND(E990&lt;&gt;"",E990&lt;&gt;"!!!"),"NEW","")))</f>
        <v/>
      </c>
      <c r="G990" s="22" t="str">
        <f>IF(OR(E990="",E990="!!!"),"",IF(OR(J990=0,AND(J990=1,K990=1),AND(J990=1,I990="SBJ"),AND(J990=1,I990=0)),"?IN_FOCUS",IF(J990&lt;=2,"?ACTIVATED",IF(J990&lt;&gt;"","?FAMILIAR",IF(F990="NEW",IF(ISNA(VLOOKUP(E990,#REF!,1,FALSE())),"?TYPE_IDENTIFIABLE","?REFERENTIAL"),"_")))))</f>
        <v/>
      </c>
      <c r="H990" s="23" t="str">
        <f t="shared" ca="1" si="103"/>
        <v/>
      </c>
      <c r="I990" s="24" t="str">
        <f>IF(OR(E990="",E990="!!!",F990="NEW"),"",INDEX(B$2:B989,-1+SUMPRODUCT(MAX(ROW(E$2:E989)*(E990=E$2:E989)))))</f>
        <v/>
      </c>
      <c r="J990" s="24" t="str">
        <f ca="1">IF(OR(E990="",E990="!!!",F990="NEW"),"",COUNTBLANK(OFFSET(A$1,,,SUMPRODUCT(MAX(ROW(E$2:E990)*(E990=E$2:E990)))))-COUNTBLANK(OFFSET(A$1,,,SUMPRODUCT(MAX(ROW(E$1:E989)*(E2=E$1:E989))))))</f>
        <v/>
      </c>
      <c r="K990" s="24" t="str">
        <f>IF(OR(E990="",E990="!!!",F990="NEW"),"",INDEX(J$1:J989,SUMPRODUCT(MAX(ROW(E$1:E989)*(E990=E$1:E989)))))</f>
        <v/>
      </c>
      <c r="L990" s="25"/>
    </row>
    <row r="991" spans="1:12" x14ac:dyDescent="0.3">
      <c r="A991" t="s">
        <v>40</v>
      </c>
      <c r="E991" s="20" t="str">
        <f t="shared" si="102"/>
        <v/>
      </c>
      <c r="F991" s="21" t="str">
        <f>IF(OR(E991="",E991="!!!"),"",IF(NOT(ISNA(VLOOKUP(E991,E$1:E990,1,FALSE()))),"OLD",IF(AND(E991&lt;&gt;"",E991&lt;&gt;"!!!"),"NEW","")))</f>
        <v/>
      </c>
      <c r="G991" s="22" t="str">
        <f>IF(OR(E991="",E991="!!!"),"",IF(OR(J991=0,AND(J991=1,K991=1),AND(J991=1,I991="SBJ"),AND(J991=1,I991=0)),"?IN_FOCUS",IF(J991&lt;=2,"?ACTIVATED",IF(J991&lt;&gt;"","?FAMILIAR",IF(F991="NEW",IF(ISNA(VLOOKUP(E991,#REF!,1,FALSE())),"?TYPE_IDENTIFIABLE","?REFERENTIAL"),"_")))))</f>
        <v/>
      </c>
      <c r="H991" s="23" t="str">
        <f t="shared" ca="1" si="103"/>
        <v/>
      </c>
      <c r="I991" s="24" t="str">
        <f>IF(OR(E991="",E991="!!!",F991="NEW"),"",INDEX(B$2:B990,-1+SUMPRODUCT(MAX(ROW(E$2:E990)*(E991=E$2:E990)))))</f>
        <v/>
      </c>
      <c r="J991" s="24" t="str">
        <f ca="1">IF(OR(E991="",E991="!!!",F991="NEW"),"",COUNTBLANK(OFFSET(A$1,,,SUMPRODUCT(MAX(ROW(E$2:E991)*(E991=E$2:E991)))))-COUNTBLANK(OFFSET(A$1,,,SUMPRODUCT(MAX(ROW(E$1:E990)*(E2=E$1:E990))))))</f>
        <v/>
      </c>
      <c r="K991" s="24" t="str">
        <f>IF(OR(E991="",E991="!!!",F991="NEW"),"",INDEX(J$1:J990,SUMPRODUCT(MAX(ROW(E$1:E990)*(E991=E$1:E990)))))</f>
        <v/>
      </c>
      <c r="L991" s="25"/>
    </row>
    <row r="992" spans="1:12" x14ac:dyDescent="0.3">
      <c r="A992" t="s">
        <v>11</v>
      </c>
      <c r="E992" s="20" t="str">
        <f t="shared" si="102"/>
        <v/>
      </c>
      <c r="F992" s="21" t="str">
        <f>IF(OR(E992="",E992="!!!"),"",IF(NOT(ISNA(VLOOKUP(E992,E$1:E991,1,FALSE()))),"OLD",IF(AND(E992&lt;&gt;"",E992&lt;&gt;"!!!"),"NEW","")))</f>
        <v/>
      </c>
      <c r="G992" s="22" t="str">
        <f>IF(OR(E992="",E992="!!!"),"",IF(OR(J992=0,AND(J992=1,K992=1),AND(J992=1,I992="SBJ"),AND(J992=1,I992=0)),"?IN_FOCUS",IF(J992&lt;=2,"?ACTIVATED",IF(J992&lt;&gt;"","?FAMILIAR",IF(F992="NEW",IF(ISNA(VLOOKUP(E992,#REF!,1,FALSE())),"?TYPE_IDENTIFIABLE","?REFERENTIAL"),"_")))))</f>
        <v/>
      </c>
      <c r="H992" s="23" t="str">
        <f t="shared" ca="1" si="103"/>
        <v/>
      </c>
      <c r="I992" s="24" t="str">
        <f>IF(OR(E992="",E992="!!!",F992="NEW"),"",INDEX(B$2:B991,-1+SUMPRODUCT(MAX(ROW(E$2:E991)*(E992=E$2:E991)))))</f>
        <v/>
      </c>
      <c r="J992" s="24" t="str">
        <f ca="1">IF(OR(E992="",E992="!!!",F992="NEW"),"",COUNTBLANK(OFFSET(A$1,,,SUMPRODUCT(MAX(ROW(E$2:E992)*(E992=E$2:E992)))))-COUNTBLANK(OFFSET(A$1,,,SUMPRODUCT(MAX(ROW(E$1:E991)*(E2=E$1:E991))))))</f>
        <v/>
      </c>
      <c r="K992" s="24" t="str">
        <f>IF(OR(E992="",E992="!!!",F992="NEW"),"",INDEX(J$1:J991,SUMPRODUCT(MAX(ROW(E$1:E991)*(E992=E$1:E991)))))</f>
        <v/>
      </c>
      <c r="L992" s="25"/>
    </row>
    <row r="993" spans="1:12" x14ac:dyDescent="0.3">
      <c r="A993" t="s">
        <v>486</v>
      </c>
      <c r="B993" s="26" t="s">
        <v>238</v>
      </c>
      <c r="C993" s="26" t="s">
        <v>307</v>
      </c>
      <c r="E993" s="20" t="str">
        <f t="shared" si="102"/>
        <v/>
      </c>
      <c r="F993" s="21" t="str">
        <f>IF(OR(E993="",E993="!!!"),"",IF(NOT(ISNA(VLOOKUP(E993,E$1:E992,1,FALSE()))),"OLD",IF(AND(E993&lt;&gt;"",E993&lt;&gt;"!!!"),"NEW","")))</f>
        <v/>
      </c>
      <c r="G993" s="22" t="str">
        <f>IF(OR(E993="",E993="!!!"),"",IF(OR(J993=0,AND(J993=1,K993=1),AND(J993=1,I993="SBJ"),AND(J993=1,I993=0)),"?IN_FOCUS",IF(J993&lt;=2,"?ACTIVATED",IF(J993&lt;&gt;"","?FAMILIAR",IF(F993="NEW",IF(ISNA(VLOOKUP(E993,#REF!,1,FALSE())),"?TYPE_IDENTIFIABLE","?REFERENTIAL"),"_")))))</f>
        <v/>
      </c>
      <c r="H993" s="23" t="str">
        <f t="shared" ca="1" si="103"/>
        <v/>
      </c>
      <c r="I993" s="24" t="str">
        <f>IF(OR(E993="",E993="!!!",F993="NEW"),"",INDEX(B$2:B992,-1+SUMPRODUCT(MAX(ROW(E$2:E992)*(E993=E$2:E992)))))</f>
        <v/>
      </c>
      <c r="J993" s="24" t="str">
        <f ca="1">IF(OR(E993="",E993="!!!",F993="NEW"),"",COUNTBLANK(OFFSET(A$1,,,SUMPRODUCT(MAX(ROW(E$2:E993)*(E993=E$2:E993)))))-COUNTBLANK(OFFSET(A$1,,,SUMPRODUCT(MAX(ROW(E$1:E992)*(E2=E$1:E992))))))</f>
        <v/>
      </c>
      <c r="K993" s="24" t="str">
        <f>IF(OR(E993="",E993="!!!",F993="NEW"),"",INDEX(J$1:J992,SUMPRODUCT(MAX(ROW(E$1:E992)*(E993=E$1:E992)))))</f>
        <v/>
      </c>
      <c r="L993" s="25"/>
    </row>
    <row r="994" spans="1:12" x14ac:dyDescent="0.3">
      <c r="A994" t="s">
        <v>671</v>
      </c>
      <c r="E994" s="20" t="str">
        <f t="shared" si="102"/>
        <v/>
      </c>
      <c r="F994" s="21" t="str">
        <f>IF(OR(E994="",E994="!!!"),"",IF(NOT(ISNA(VLOOKUP(E994,E$1:E993,1,FALSE()))),"OLD",IF(AND(E994&lt;&gt;"",E994&lt;&gt;"!!!"),"NEW","")))</f>
        <v/>
      </c>
      <c r="G994" s="22" t="str">
        <f>IF(OR(E994="",E994="!!!"),"",IF(OR(J994=0,AND(J994=1,K994=1),AND(J994=1,I994="SBJ"),AND(J994=1,I994=0)),"?IN_FOCUS",IF(J994&lt;=2,"?ACTIVATED",IF(J994&lt;&gt;"","?FAMILIAR",IF(F994="NEW",IF(ISNA(VLOOKUP(E994,#REF!,1,FALSE())),"?TYPE_IDENTIFIABLE","?REFERENTIAL"),"_")))))</f>
        <v/>
      </c>
      <c r="H994" s="23" t="str">
        <f t="shared" ca="1" si="103"/>
        <v/>
      </c>
      <c r="I994" s="24" t="str">
        <f>IF(OR(E994="",E994="!!!",F994="NEW"),"",INDEX(B$2:B993,-1+SUMPRODUCT(MAX(ROW(E$2:E993)*(E994=E$2:E993)))))</f>
        <v/>
      </c>
      <c r="J994" s="24" t="str">
        <f ca="1">IF(OR(E994="",E994="!!!",F994="NEW"),"",COUNTBLANK(OFFSET(A$1,,,SUMPRODUCT(MAX(ROW(E$2:E994)*(E994=E$2:E994)))))-COUNTBLANK(OFFSET(A$1,,,SUMPRODUCT(MAX(ROW(E$1:E993)*(E2=E$1:E993))))))</f>
        <v/>
      </c>
      <c r="K994" s="24" t="str">
        <f>IF(OR(E994="",E994="!!!",F994="NEW"),"",INDEX(J$1:J993,SUMPRODUCT(MAX(ROW(E$1:E993)*(E994=E$1:E993)))))</f>
        <v/>
      </c>
      <c r="L994" s="25"/>
    </row>
    <row r="995" spans="1:12" x14ac:dyDescent="0.3">
      <c r="A995" t="s">
        <v>359</v>
      </c>
      <c r="E995" s="20" t="str">
        <f t="shared" si="102"/>
        <v/>
      </c>
      <c r="F995" s="21" t="str">
        <f>IF(OR(E995="",E995="!!!"),"",IF(NOT(ISNA(VLOOKUP(E995,E$1:E994,1,FALSE()))),"OLD",IF(AND(E995&lt;&gt;"",E995&lt;&gt;"!!!"),"NEW","")))</f>
        <v/>
      </c>
      <c r="G995" s="22" t="str">
        <f>IF(OR(E995="",E995="!!!"),"",IF(OR(J995=0,AND(J995=1,K995=1),AND(J995=1,I995="SBJ"),AND(J995=1,I995=0)),"?IN_FOCUS",IF(J995&lt;=2,"?ACTIVATED",IF(J995&lt;&gt;"","?FAMILIAR",IF(F995="NEW",IF(ISNA(VLOOKUP(E995,#REF!,1,FALSE())),"?TYPE_IDENTIFIABLE","?REFERENTIAL"),"_")))))</f>
        <v/>
      </c>
      <c r="H995" s="23" t="str">
        <f t="shared" ca="1" si="103"/>
        <v/>
      </c>
      <c r="I995" s="24" t="str">
        <f>IF(OR(E995="",E995="!!!",F995="NEW"),"",INDEX(B$2:B994,-1+SUMPRODUCT(MAX(ROW(E$2:E994)*(E995=E$2:E994)))))</f>
        <v/>
      </c>
      <c r="J995" s="24" t="str">
        <f ca="1">IF(OR(E995="",E995="!!!",F995="NEW"),"",COUNTBLANK(OFFSET(A$1,,,SUMPRODUCT(MAX(ROW(E$2:E995)*(E995=E$2:E995)))))-COUNTBLANK(OFFSET(A$1,,,SUMPRODUCT(MAX(ROW(E$1:E994)*(E2=E$1:E994))))))</f>
        <v/>
      </c>
      <c r="K995" s="24" t="str">
        <f>IF(OR(E995="",E995="!!!",F995="NEW"),"",INDEX(J$1:J994,SUMPRODUCT(MAX(ROW(E$1:E994)*(E995=E$1:E994)))))</f>
        <v/>
      </c>
      <c r="L995" s="25"/>
    </row>
    <row r="996" spans="1:12" x14ac:dyDescent="0.3">
      <c r="A996" t="s">
        <v>672</v>
      </c>
      <c r="E996" s="20" t="str">
        <f t="shared" si="102"/>
        <v/>
      </c>
      <c r="F996" s="21" t="str">
        <f>IF(OR(E996="",E996="!!!"),"",IF(NOT(ISNA(VLOOKUP(E996,E$1:E995,1,FALSE()))),"OLD",IF(AND(E996&lt;&gt;"",E996&lt;&gt;"!!!"),"NEW","")))</f>
        <v/>
      </c>
      <c r="G996" s="22" t="str">
        <f>IF(OR(E996="",E996="!!!"),"",IF(OR(J996=0,AND(J996=1,K996=1),AND(J996=1,I996="SBJ"),AND(J996=1,I996=0)),"?IN_FOCUS",IF(J996&lt;=2,"?ACTIVATED",IF(J996&lt;&gt;"","?FAMILIAR",IF(F996="NEW",IF(ISNA(VLOOKUP(E996,#REF!,1,FALSE())),"?TYPE_IDENTIFIABLE","?REFERENTIAL"),"_")))))</f>
        <v/>
      </c>
      <c r="H996" s="23" t="str">
        <f t="shared" ca="1" si="103"/>
        <v/>
      </c>
      <c r="I996" s="24" t="str">
        <f>IF(OR(E996="",E996="!!!",F996="NEW"),"",INDEX(B$2:B995,-1+SUMPRODUCT(MAX(ROW(E$2:E995)*(E996=E$2:E995)))))</f>
        <v/>
      </c>
      <c r="J996" s="24" t="str">
        <f ca="1">IF(OR(E996="",E996="!!!",F996="NEW"),"",COUNTBLANK(OFFSET(A$1,,,SUMPRODUCT(MAX(ROW(E$2:E996)*(E996=E$2:E996)))))-COUNTBLANK(OFFSET(A$1,,,SUMPRODUCT(MAX(ROW(E$1:E995)*(E2=E$1:E995))))))</f>
        <v/>
      </c>
      <c r="K996" s="24" t="str">
        <f>IF(OR(E996="",E996="!!!",F996="NEW"),"",INDEX(J$1:J995,SUMPRODUCT(MAX(ROW(E$1:E995)*(E996=E$1:E995)))))</f>
        <v/>
      </c>
      <c r="L996" s="25"/>
    </row>
    <row r="997" spans="1:12" x14ac:dyDescent="0.3">
      <c r="A997" t="s">
        <v>252</v>
      </c>
      <c r="E997" s="20" t="str">
        <f t="shared" si="102"/>
        <v/>
      </c>
      <c r="F997" s="21" t="str">
        <f>IF(OR(E997="",E997="!!!"),"",IF(NOT(ISNA(VLOOKUP(E997,E$1:E996,1,FALSE()))),"OLD",IF(AND(E997&lt;&gt;"",E997&lt;&gt;"!!!"),"NEW","")))</f>
        <v/>
      </c>
      <c r="G997" s="22" t="str">
        <f>IF(OR(E997="",E997="!!!"),"",IF(OR(J997=0,AND(J997=1,K997=1),AND(J997=1,I997="SBJ"),AND(J997=1,I997=0)),"?IN_FOCUS",IF(J997&lt;=2,"?ACTIVATED",IF(J997&lt;&gt;"","?FAMILIAR",IF(F997="NEW",IF(ISNA(VLOOKUP(E997,#REF!,1,FALSE())),"?TYPE_IDENTIFIABLE","?REFERENTIAL"),"_")))))</f>
        <v/>
      </c>
      <c r="H997" s="23" t="str">
        <f t="shared" ca="1" si="103"/>
        <v/>
      </c>
      <c r="I997" s="24" t="str">
        <f>IF(OR(E997="",E997="!!!",F997="NEW"),"",INDEX(B$2:B996,-1+SUMPRODUCT(MAX(ROW(E$2:E996)*(E997=E$2:E996)))))</f>
        <v/>
      </c>
      <c r="J997" s="24" t="str">
        <f ca="1">IF(OR(E997="",E997="!!!",F997="NEW"),"",COUNTBLANK(OFFSET(A$1,,,SUMPRODUCT(MAX(ROW(E$2:E997)*(E997=E$2:E997)))))-COUNTBLANK(OFFSET(A$1,,,SUMPRODUCT(MAX(ROW(E$1:E996)*(E2=E$1:E996))))))</f>
        <v/>
      </c>
      <c r="K997" s="24" t="str">
        <f>IF(OR(E997="",E997="!!!",F997="NEW"),"",INDEX(J$1:J996,SUMPRODUCT(MAX(ROW(E$1:E996)*(E997=E$1:E996)))))</f>
        <v/>
      </c>
      <c r="L997" s="25"/>
    </row>
    <row r="998" spans="1:12" x14ac:dyDescent="0.3">
      <c r="A998" t="s">
        <v>278</v>
      </c>
      <c r="E998" s="20" t="str">
        <f t="shared" si="102"/>
        <v/>
      </c>
      <c r="F998" s="21" t="str">
        <f>IF(OR(E998="",E998="!!!"),"",IF(NOT(ISNA(VLOOKUP(E998,E$1:E997,1,FALSE()))),"OLD",IF(AND(E998&lt;&gt;"",E998&lt;&gt;"!!!"),"NEW","")))</f>
        <v/>
      </c>
      <c r="G998" s="22" t="str">
        <f>IF(OR(E998="",E998="!!!"),"",IF(OR(J998=0,AND(J998=1,K998=1),AND(J998=1,I998="SBJ"),AND(J998=1,I998=0)),"?IN_FOCUS",IF(J998&lt;=2,"?ACTIVATED",IF(J998&lt;&gt;"","?FAMILIAR",IF(F998="NEW",IF(ISNA(VLOOKUP(E998,#REF!,1,FALSE())),"?TYPE_IDENTIFIABLE","?REFERENTIAL"),"_")))))</f>
        <v/>
      </c>
      <c r="H998" s="23" t="str">
        <f t="shared" ca="1" si="103"/>
        <v/>
      </c>
      <c r="I998" s="24" t="str">
        <f>IF(OR(E998="",E998="!!!",F998="NEW"),"",INDEX(B$2:B997,-1+SUMPRODUCT(MAX(ROW(E$2:E997)*(E998=E$2:E997)))))</f>
        <v/>
      </c>
      <c r="J998" s="24" t="str">
        <f ca="1">IF(OR(E998="",E998="!!!",F998="NEW"),"",COUNTBLANK(OFFSET(A$1,,,SUMPRODUCT(MAX(ROW(E$2:E998)*(E998=E$2:E998)))))-COUNTBLANK(OFFSET(A$1,,,SUMPRODUCT(MAX(ROW(E$1:E997)*(E2=E$1:E997))))))</f>
        <v/>
      </c>
      <c r="K998" s="24" t="str">
        <f>IF(OR(E998="",E998="!!!",F998="NEW"),"",INDEX(J$1:J997,SUMPRODUCT(MAX(ROW(E$1:E997)*(E998=E$1:E997)))))</f>
        <v/>
      </c>
      <c r="L998" s="25"/>
    </row>
    <row r="999" spans="1:12" x14ac:dyDescent="0.3">
      <c r="A999" t="s">
        <v>254</v>
      </c>
      <c r="B999" s="26" t="s">
        <v>255</v>
      </c>
      <c r="C999" s="26" t="s">
        <v>256</v>
      </c>
      <c r="D999" s="26" t="s">
        <v>240</v>
      </c>
      <c r="E999" s="20" t="str">
        <f t="shared" si="102"/>
        <v>!!!</v>
      </c>
      <c r="F999" s="21" t="str">
        <f>IF(OR(E999="",E999="!!!"),"",IF(NOT(ISNA(VLOOKUP(E999,E$1:E998,1,FALSE()))),"OLD",IF(AND(E999&lt;&gt;"",E999&lt;&gt;"!!!"),"NEW","")))</f>
        <v/>
      </c>
      <c r="G999" s="22" t="str">
        <f>IF(OR(E999="",E999="!!!"),"",IF(OR(J999=0,AND(J999=1,K999=1),AND(J999=1,I999="SBJ"),AND(J999=1,I999=0)),"?IN_FOCUS",IF(J999&lt;=2,"?ACTIVATED",IF(J999&lt;&gt;"","?FAMILIAR",IF(F999="NEW",IF(ISNA(VLOOKUP(E999,#REF!,1,FALSE())),"?TYPE_IDENTIFIABLE","?REFERENTIAL"),"_")))))</f>
        <v/>
      </c>
      <c r="H999" s="23" t="str">
        <f t="shared" ca="1" si="103"/>
        <v/>
      </c>
      <c r="I999" s="24" t="str">
        <f>IF(OR(E999="",E999="!!!",F999="NEW"),"",INDEX(B$2:B998,-1+SUMPRODUCT(MAX(ROW(E$2:E998)*(E999=E$2:E998)))))</f>
        <v/>
      </c>
      <c r="J999" s="24" t="str">
        <f ca="1">IF(OR(E999="",E999="!!!",F999="NEW"),"",COUNTBLANK(OFFSET(A$1,,,SUMPRODUCT(MAX(ROW(E$2:E999)*(E999=E$2:E999)))))-COUNTBLANK(OFFSET(A$1,,,SUMPRODUCT(MAX(ROW(E$1:E998)*(E2=E$1:E998))))))</f>
        <v/>
      </c>
      <c r="K999" s="24" t="str">
        <f>IF(OR(E999="",E999="!!!",F999="NEW"),"",INDEX(J$1:J998,SUMPRODUCT(MAX(ROW(E$1:E998)*(E999=E$1:E998)))))</f>
        <v/>
      </c>
      <c r="L999" s="25"/>
    </row>
    <row r="1000" spans="1:12" x14ac:dyDescent="0.3">
      <c r="A1000" t="s">
        <v>594</v>
      </c>
      <c r="E1000" s="20" t="str">
        <f t="shared" si="102"/>
        <v/>
      </c>
      <c r="F1000" s="21" t="str">
        <f>IF(OR(E1000="",E1000="!!!"),"",IF(NOT(ISNA(VLOOKUP(E1000,E$1:E999,1,FALSE()))),"OLD",IF(AND(E1000&lt;&gt;"",E1000&lt;&gt;"!!!"),"NEW","")))</f>
        <v/>
      </c>
      <c r="G1000" s="22" t="str">
        <f>IF(OR(E1000="",E1000="!!!"),"",IF(OR(J1000=0,AND(J1000=1,K1000=1),AND(J1000=1,I1000="SBJ"),AND(J1000=1,I1000=0)),"?IN_FOCUS",IF(J1000&lt;=2,"?ACTIVATED",IF(J1000&lt;&gt;"","?FAMILIAR",IF(F1000="NEW",IF(ISNA(VLOOKUP(E1000,#REF!,1,FALSE())),"?TYPE_IDENTIFIABLE","?REFERENTIAL"),"_")))))</f>
        <v/>
      </c>
      <c r="H1000" s="23" t="str">
        <f t="shared" ca="1" si="103"/>
        <v/>
      </c>
      <c r="I1000" s="24" t="str">
        <f>IF(OR(E1000="",E1000="!!!",F1000="NEW"),"",INDEX(B$2:B999,-1+SUMPRODUCT(MAX(ROW(E$2:E999)*(E1000=E$2:E999)))))</f>
        <v/>
      </c>
      <c r="J1000" s="24" t="str">
        <f ca="1">IF(OR(E1000="",E1000="!!!",F1000="NEW"),"",COUNTBLANK(OFFSET(A$1,,,SUMPRODUCT(MAX(ROW(E$2:E1000)*(E1000=E$2:E1000)))))-COUNTBLANK(OFFSET(A$1,,,SUMPRODUCT(MAX(ROW(E$1:E999)*(E2=E$1:E999))))))</f>
        <v/>
      </c>
      <c r="K1000" s="24" t="str">
        <f>IF(OR(E1000="",E1000="!!!",F1000="NEW"),"",INDEX(J$1:J999,SUMPRODUCT(MAX(ROW(E$1:E999)*(E1000=E$1:E999)))))</f>
        <v/>
      </c>
      <c r="L1000" s="25"/>
    </row>
    <row r="1001" spans="1:12" x14ac:dyDescent="0.3">
      <c r="A1001" t="s">
        <v>303</v>
      </c>
      <c r="E1001" s="20" t="str">
        <f t="shared" si="102"/>
        <v/>
      </c>
      <c r="F1001" s="21" t="str">
        <f>IF(OR(E1001="",E1001="!!!"),"",IF(NOT(ISNA(VLOOKUP(E1001,E$1:E1000,1,FALSE()))),"OLD",IF(AND(E1001&lt;&gt;"",E1001&lt;&gt;"!!!"),"NEW","")))</f>
        <v/>
      </c>
      <c r="G1001" s="22" t="str">
        <f>IF(OR(E1001="",E1001="!!!"),"",IF(OR(J1001=0,AND(J1001=1,K1001=1),AND(J1001=1,I1001="SBJ"),AND(J1001=1,I1001=0)),"?IN_FOCUS",IF(J1001&lt;=2,"?ACTIVATED",IF(J1001&lt;&gt;"","?FAMILIAR",IF(F1001="NEW",IF(ISNA(VLOOKUP(E1001,#REF!,1,FALSE())),"?TYPE_IDENTIFIABLE","?REFERENTIAL"),"_")))))</f>
        <v/>
      </c>
      <c r="H1001" s="23" t="str">
        <f t="shared" ca="1" si="103"/>
        <v/>
      </c>
      <c r="I1001" s="24" t="str">
        <f>IF(OR(E1001="",E1001="!!!",F1001="NEW"),"",INDEX(B$2:B1000,-1+SUMPRODUCT(MAX(ROW(E$2:E1000)*(E1001=E$2:E1000)))))</f>
        <v/>
      </c>
      <c r="J1001" s="24" t="str">
        <f ca="1">IF(OR(E1001="",E1001="!!!",F1001="NEW"),"",COUNTBLANK(OFFSET(A$1,,,SUMPRODUCT(MAX(ROW(E$2:E1001)*(E1001=E$2:E1001)))))-COUNTBLANK(OFFSET(A$1,,,SUMPRODUCT(MAX(ROW(E$1:E1000)*(E2=E$1:E1000))))))</f>
        <v/>
      </c>
      <c r="K1001" s="24" t="str">
        <f>IF(OR(E1001="",E1001="!!!",F1001="NEW"),"",INDEX(J$1:J1000,SUMPRODUCT(MAX(ROW(E$1:E1000)*(E1001=E$1:E1000)))))</f>
        <v/>
      </c>
      <c r="L1001" s="25"/>
    </row>
    <row r="1002" spans="1:12" x14ac:dyDescent="0.3">
      <c r="A1002" t="s">
        <v>673</v>
      </c>
      <c r="E1002" s="20" t="str">
        <f t="shared" si="102"/>
        <v/>
      </c>
      <c r="F1002" s="21" t="str">
        <f>IF(OR(E1002="",E1002="!!!"),"",IF(NOT(ISNA(VLOOKUP(E1002,E$1:E1001,1,FALSE()))),"OLD",IF(AND(E1002&lt;&gt;"",E1002&lt;&gt;"!!!"),"NEW","")))</f>
        <v/>
      </c>
      <c r="G1002" s="22" t="str">
        <f>IF(OR(E1002="",E1002="!!!"),"",IF(OR(J1002=0,AND(J1002=1,K1002=1),AND(J1002=1,I1002="SBJ"),AND(J1002=1,I1002=0)),"?IN_FOCUS",IF(J1002&lt;=2,"?ACTIVATED",IF(J1002&lt;&gt;"","?FAMILIAR",IF(F1002="NEW",IF(ISNA(VLOOKUP(E1002,#REF!,1,FALSE())),"?TYPE_IDENTIFIABLE","?REFERENTIAL"),"_")))))</f>
        <v/>
      </c>
      <c r="H1002" s="23" t="str">
        <f t="shared" ca="1" si="103"/>
        <v/>
      </c>
      <c r="I1002" s="24" t="str">
        <f>IF(OR(E1002="",E1002="!!!",F1002="NEW"),"",INDEX(B$2:B1001,-1+SUMPRODUCT(MAX(ROW(E$2:E1001)*(E1002=E$2:E1001)))))</f>
        <v/>
      </c>
      <c r="J1002" s="24" t="str">
        <f ca="1">IF(OR(E1002="",E1002="!!!",F1002="NEW"),"",COUNTBLANK(OFFSET(A$1,,,SUMPRODUCT(MAX(ROW(E$2:E1002)*(E1002=E$2:E1002)))))-COUNTBLANK(OFFSET(A$1,,,SUMPRODUCT(MAX(ROW(E$1:E1001)*(E2=E$1:E1001))))))</f>
        <v/>
      </c>
      <c r="K1002" s="24" t="str">
        <f>IF(OR(E1002="",E1002="!!!",F1002="NEW"),"",INDEX(J$1:J1001,SUMPRODUCT(MAX(ROW(E$1:E1001)*(E1002=E$1:E1001)))))</f>
        <v/>
      </c>
      <c r="L1002" s="25"/>
    </row>
    <row r="1003" spans="1:12" x14ac:dyDescent="0.3">
      <c r="A1003" t="s">
        <v>246</v>
      </c>
      <c r="B1003" s="26" t="s">
        <v>265</v>
      </c>
      <c r="C1003" s="26" t="s">
        <v>239</v>
      </c>
      <c r="D1003" s="26" t="s">
        <v>240</v>
      </c>
      <c r="E1003" s="20" t="str">
        <f t="shared" si="102"/>
        <v>!!!</v>
      </c>
      <c r="F1003" s="21" t="str">
        <f>IF(OR(E1003="",E1003="!!!"),"",IF(NOT(ISNA(VLOOKUP(E1003,E$1:E1002,1,FALSE()))),"OLD",IF(AND(E1003&lt;&gt;"",E1003&lt;&gt;"!!!"),"NEW","")))</f>
        <v/>
      </c>
      <c r="G1003" s="22" t="str">
        <f>IF(OR(E1003="",E1003="!!!"),"",IF(OR(J1003=0,AND(J1003=1,K1003=1),AND(J1003=1,I1003="SBJ"),AND(J1003=1,I1003=0)),"?IN_FOCUS",IF(J1003&lt;=2,"?ACTIVATED",IF(J1003&lt;&gt;"","?FAMILIAR",IF(F1003="NEW",IF(ISNA(VLOOKUP(E1003,#REF!,1,FALSE())),"?TYPE_IDENTIFIABLE","?REFERENTIAL"),"_")))))</f>
        <v/>
      </c>
      <c r="H1003" s="23" t="str">
        <f t="shared" ca="1" si="103"/>
        <v/>
      </c>
      <c r="I1003" s="24" t="str">
        <f>IF(OR(E1003="",E1003="!!!",F1003="NEW"),"",INDEX(B$2:B1002,-1+SUMPRODUCT(MAX(ROW(E$2:E1002)*(E1003=E$2:E1002)))))</f>
        <v/>
      </c>
      <c r="J1003" s="24" t="str">
        <f ca="1">IF(OR(E1003="",E1003="!!!",F1003="NEW"),"",COUNTBLANK(OFFSET(A$1,,,SUMPRODUCT(MAX(ROW(E$2:E1003)*(E1003=E$2:E1003)))))-COUNTBLANK(OFFSET(A$1,,,SUMPRODUCT(MAX(ROW(E$1:E1002)*(E2=E$1:E1002))))))</f>
        <v/>
      </c>
      <c r="K1003" s="24" t="str">
        <f>IF(OR(E1003="",E1003="!!!",F1003="NEW"),"",INDEX(J$1:J1002,SUMPRODUCT(MAX(ROW(E$1:E1002)*(E1003=E$1:E1002)))))</f>
        <v/>
      </c>
      <c r="L1003" s="25"/>
    </row>
    <row r="1004" spans="1:12" x14ac:dyDescent="0.3">
      <c r="A1004" t="s">
        <v>11</v>
      </c>
      <c r="E1004" s="20" t="str">
        <f t="shared" si="102"/>
        <v/>
      </c>
      <c r="F1004" s="21" t="str">
        <f>IF(OR(E1004="",E1004="!!!"),"",IF(NOT(ISNA(VLOOKUP(E1004,E$1:E1003,1,FALSE()))),"OLD",IF(AND(E1004&lt;&gt;"",E1004&lt;&gt;"!!!"),"NEW","")))</f>
        <v/>
      </c>
      <c r="G1004" s="22" t="str">
        <f>IF(OR(E1004="",E1004="!!!"),"",IF(OR(J1004=0,AND(J1004=1,K1004=1),AND(J1004=1,I1004="SBJ"),AND(J1004=1,I1004=0)),"?IN_FOCUS",IF(J1004&lt;=2,"?ACTIVATED",IF(J1004&lt;&gt;"","?FAMILIAR",IF(F1004="NEW",IF(ISNA(VLOOKUP(E1004,#REF!,1,FALSE())),"?TYPE_IDENTIFIABLE","?REFERENTIAL"),"_")))))</f>
        <v/>
      </c>
      <c r="H1004" s="23" t="str">
        <f t="shared" ca="1" si="103"/>
        <v/>
      </c>
      <c r="I1004" s="24" t="str">
        <f>IF(OR(E1004="",E1004="!!!",F1004="NEW"),"",INDEX(B$2:B1003,-1+SUMPRODUCT(MAX(ROW(E$2:E1003)*(E1004=E$2:E1003)))))</f>
        <v/>
      </c>
      <c r="J1004" s="24" t="str">
        <f ca="1">IF(OR(E1004="",E1004="!!!",F1004="NEW"),"",COUNTBLANK(OFFSET(A$1,,,SUMPRODUCT(MAX(ROW(E$2:E1004)*(E1004=E$2:E1004)))))-COUNTBLANK(OFFSET(A$1,,,SUMPRODUCT(MAX(ROW(E$1:E1003)*(E2=E$1:E1003))))))</f>
        <v/>
      </c>
      <c r="K1004" s="24" t="str">
        <f>IF(OR(E1004="",E1004="!!!",F1004="NEW"),"",INDEX(J$1:J1003,SUMPRODUCT(MAX(ROW(E$1:E1003)*(E1004=E$1:E1003)))))</f>
        <v/>
      </c>
      <c r="L1004" s="25"/>
    </row>
    <row r="1005" spans="1:12" x14ac:dyDescent="0.3">
      <c r="A1005" t="s">
        <v>628</v>
      </c>
      <c r="E1005" s="20" t="str">
        <f t="shared" si="102"/>
        <v/>
      </c>
      <c r="F1005" s="21" t="str">
        <f>IF(OR(E1005="",E1005="!!!"),"",IF(NOT(ISNA(VLOOKUP(E1005,E$1:E1004,1,FALSE()))),"OLD",IF(AND(E1005&lt;&gt;"",E1005&lt;&gt;"!!!"),"NEW","")))</f>
        <v/>
      </c>
      <c r="G1005" s="22" t="str">
        <f>IF(OR(E1005="",E1005="!!!"),"",IF(OR(J1005=0,AND(J1005=1,K1005=1),AND(J1005=1,I1005="SBJ"),AND(J1005=1,I1005=0)),"?IN_FOCUS",IF(J1005&lt;=2,"?ACTIVATED",IF(J1005&lt;&gt;"","?FAMILIAR",IF(F1005="NEW",IF(ISNA(VLOOKUP(E1005,#REF!,1,FALSE())),"?TYPE_IDENTIFIABLE","?REFERENTIAL"),"_")))))</f>
        <v/>
      </c>
      <c r="H1005" s="23" t="str">
        <f t="shared" ca="1" si="103"/>
        <v/>
      </c>
      <c r="I1005" s="24" t="str">
        <f>IF(OR(E1005="",E1005="!!!",F1005="NEW"),"",INDEX(B$2:B1004,-1+SUMPRODUCT(MAX(ROW(E$2:E1004)*(E1005=E$2:E1004)))))</f>
        <v/>
      </c>
      <c r="J1005" s="24" t="str">
        <f ca="1">IF(OR(E1005="",E1005="!!!",F1005="NEW"),"",COUNTBLANK(OFFSET(A$1,,,SUMPRODUCT(MAX(ROW(E$2:E1005)*(E1005=E$2:E1005)))))-COUNTBLANK(OFFSET(A$1,,,SUMPRODUCT(MAX(ROW(E$1:E1004)*(E2=E$1:E1004))))))</f>
        <v/>
      </c>
      <c r="K1005" s="24" t="str">
        <f>IF(OR(E1005="",E1005="!!!",F1005="NEW"),"",INDEX(J$1:J1004,SUMPRODUCT(MAX(ROW(E$1:E1004)*(E1005=E$1:E1004)))))</f>
        <v/>
      </c>
      <c r="L1005" s="25"/>
    </row>
    <row r="1006" spans="1:12" x14ac:dyDescent="0.3">
      <c r="A1006" t="s">
        <v>431</v>
      </c>
      <c r="E1006" s="20" t="str">
        <f t="shared" si="102"/>
        <v/>
      </c>
      <c r="F1006" s="21" t="str">
        <f>IF(OR(E1006="",E1006="!!!"),"",IF(NOT(ISNA(VLOOKUP(E1006,E$1:E1005,1,FALSE()))),"OLD",IF(AND(E1006&lt;&gt;"",E1006&lt;&gt;"!!!"),"NEW","")))</f>
        <v/>
      </c>
      <c r="G1006" s="22" t="str">
        <f>IF(OR(E1006="",E1006="!!!"),"",IF(OR(J1006=0,AND(J1006=1,K1006=1),AND(J1006=1,I1006="SBJ"),AND(J1006=1,I1006=0)),"?IN_FOCUS",IF(J1006&lt;=2,"?ACTIVATED",IF(J1006&lt;&gt;"","?FAMILIAR",IF(F1006="NEW",IF(ISNA(VLOOKUP(E1006,#REF!,1,FALSE())),"?TYPE_IDENTIFIABLE","?REFERENTIAL"),"_")))))</f>
        <v/>
      </c>
      <c r="H1006" s="23" t="str">
        <f t="shared" ca="1" si="103"/>
        <v/>
      </c>
      <c r="I1006" s="24" t="str">
        <f>IF(OR(E1006="",E1006="!!!",F1006="NEW"),"",INDEX(B$2:B1005,-1+SUMPRODUCT(MAX(ROW(E$2:E1005)*(E1006=E$2:E1005)))))</f>
        <v/>
      </c>
      <c r="J1006" s="24" t="str">
        <f ca="1">IF(OR(E1006="",E1006="!!!",F1006="NEW"),"",COUNTBLANK(OFFSET(A$1,,,SUMPRODUCT(MAX(ROW(E$2:E1006)*(E1006=E$2:E1006)))))-COUNTBLANK(OFFSET(A$1,,,SUMPRODUCT(MAX(ROW(E$1:E1005)*(E2=E$1:E1005))))))</f>
        <v/>
      </c>
      <c r="K1006" s="24" t="str">
        <f>IF(OR(E1006="",E1006="!!!",F1006="NEW"),"",INDEX(J$1:J1005,SUMPRODUCT(MAX(ROW(E$1:E1005)*(E1006=E$1:E1005)))))</f>
        <v/>
      </c>
      <c r="L1006" s="25"/>
    </row>
    <row r="1007" spans="1:12" x14ac:dyDescent="0.3">
      <c r="A1007" t="s">
        <v>248</v>
      </c>
      <c r="E1007" s="20" t="str">
        <f t="shared" si="102"/>
        <v/>
      </c>
      <c r="F1007" s="21" t="str">
        <f>IF(OR(E1007="",E1007="!!!"),"",IF(NOT(ISNA(VLOOKUP(E1007,E$1:E1006,1,FALSE()))),"OLD",IF(AND(E1007&lt;&gt;"",E1007&lt;&gt;"!!!"),"NEW","")))</f>
        <v/>
      </c>
      <c r="G1007" s="22" t="str">
        <f>IF(OR(E1007="",E1007="!!!"),"",IF(OR(J1007=0,AND(J1007=1,K1007=1),AND(J1007=1,I1007="SBJ"),AND(J1007=1,I1007=0)),"?IN_FOCUS",IF(J1007&lt;=2,"?ACTIVATED",IF(J1007&lt;&gt;"","?FAMILIAR",IF(F1007="NEW",IF(ISNA(VLOOKUP(E1007,#REF!,1,FALSE())),"?TYPE_IDENTIFIABLE","?REFERENTIAL"),"_")))))</f>
        <v/>
      </c>
      <c r="H1007" s="23" t="str">
        <f t="shared" ca="1" si="103"/>
        <v/>
      </c>
      <c r="I1007" s="24" t="str">
        <f>IF(OR(E1007="",E1007="!!!",F1007="NEW"),"",INDEX(B$2:B1006,-1+SUMPRODUCT(MAX(ROW(E$2:E1006)*(E1007=E$2:E1006)))))</f>
        <v/>
      </c>
      <c r="J1007" s="24" t="str">
        <f ca="1">IF(OR(E1007="",E1007="!!!",F1007="NEW"),"",COUNTBLANK(OFFSET(A$1,,,SUMPRODUCT(MAX(ROW(E$2:E1007)*(E1007=E$2:E1007)))))-COUNTBLANK(OFFSET(A$1,,,SUMPRODUCT(MAX(ROW(E$1:E1006)*(E2=E$1:E1006))))))</f>
        <v/>
      </c>
      <c r="K1007" s="24" t="str">
        <f>IF(OR(E1007="",E1007="!!!",F1007="NEW"),"",INDEX(J$1:J1006,SUMPRODUCT(MAX(ROW(E$1:E1006)*(E1007=E$1:E1006)))))</f>
        <v/>
      </c>
      <c r="L1007" s="25"/>
    </row>
    <row r="1009" spans="1:12" x14ac:dyDescent="0.3">
      <c r="A1009" t="s">
        <v>674</v>
      </c>
    </row>
    <row r="1010" spans="1:12" x14ac:dyDescent="0.3">
      <c r="A1010" t="s">
        <v>324</v>
      </c>
      <c r="B1010" s="26" t="s">
        <v>243</v>
      </c>
      <c r="C1010" s="26" t="s">
        <v>244</v>
      </c>
      <c r="D1010" s="26" t="s">
        <v>240</v>
      </c>
      <c r="E1010" s="20" t="str">
        <f t="shared" ref="E1010:E1018" si="104">IF(D1010="?OLD","!!!","")</f>
        <v>!!!</v>
      </c>
      <c r="F1010" s="21" t="str">
        <f>IF(OR(E1010="",E1010="!!!"),"",IF(NOT(ISNA(VLOOKUP(E1010,E$1:E1009,1,FALSE()))),"OLD",IF(AND(E1010&lt;&gt;"",E1010&lt;&gt;"!!!"),"NEW","")))</f>
        <v/>
      </c>
      <c r="G1010" s="22" t="str">
        <f>IF(OR(E1010="",E1010="!!!"),"",IF(OR(J1010=0,AND(J1010=1,K1010=1),AND(J1010=1,I1010="SBJ"),AND(J1010=1,I1010=0)),"?IN_FOCUS",IF(J1010&lt;=2,"?ACTIVATED",IF(J1010&lt;&gt;"","?FAMILIAR",IF(F1010="NEW",IF(ISNA(VLOOKUP(E1010,#REF!,1,FALSE())),"?TYPE_IDENTIFIABLE","?REFERENTIAL"),"_")))))</f>
        <v/>
      </c>
      <c r="H1010" s="23" t="str">
        <f t="shared" ref="H1010:H1018" ca="1" si="105">IF(J1010&lt;&gt;1,"",IF(I1010="SBJ","CB","?"))</f>
        <v/>
      </c>
      <c r="I1010" s="24" t="str">
        <f>IF(OR(E1010="",E1010="!!!",F1010="NEW"),"",INDEX(B$2:B1009,-1+SUMPRODUCT(MAX(ROW(E$2:E1009)*(E1010=E$2:E1009)))))</f>
        <v/>
      </c>
      <c r="J1010" s="24" t="str">
        <f ca="1">IF(OR(E1010="",E1010="!!!",F1010="NEW"),"",COUNTBLANK(OFFSET(A$1,,,SUMPRODUCT(MAX(ROW(E$2:E1010)*(E1010=E$2:E1010)))))-COUNTBLANK(OFFSET(A$1,,,SUMPRODUCT(MAX(ROW(E$1:E1009)*(E2=E$1:E1009))))))</f>
        <v/>
      </c>
      <c r="K1010" s="24" t="str">
        <f>IF(OR(E1010="",E1010="!!!",F1010="NEW"),"",INDEX(J$1:J1009,SUMPRODUCT(MAX(ROW(E$1:E1009)*(E1010=E$1:E1009)))))</f>
        <v/>
      </c>
      <c r="L1010" s="25"/>
    </row>
    <row r="1011" spans="1:12" x14ac:dyDescent="0.3">
      <c r="A1011" t="s">
        <v>675</v>
      </c>
      <c r="E1011" s="20" t="str">
        <f t="shared" si="104"/>
        <v/>
      </c>
      <c r="F1011" s="21" t="str">
        <f>IF(OR(E1011="",E1011="!!!"),"",IF(NOT(ISNA(VLOOKUP(E1011,E$1:E1010,1,FALSE()))),"OLD",IF(AND(E1011&lt;&gt;"",E1011&lt;&gt;"!!!"),"NEW","")))</f>
        <v/>
      </c>
      <c r="G1011" s="22" t="str">
        <f>IF(OR(E1011="",E1011="!!!"),"",IF(OR(J1011=0,AND(J1011=1,K1011=1),AND(J1011=1,I1011="SBJ"),AND(J1011=1,I1011=0)),"?IN_FOCUS",IF(J1011&lt;=2,"?ACTIVATED",IF(J1011&lt;&gt;"","?FAMILIAR",IF(F1011="NEW",IF(ISNA(VLOOKUP(E1011,#REF!,1,FALSE())),"?TYPE_IDENTIFIABLE","?REFERENTIAL"),"_")))))</f>
        <v/>
      </c>
      <c r="H1011" s="23" t="str">
        <f t="shared" ca="1" si="105"/>
        <v/>
      </c>
      <c r="I1011" s="24" t="str">
        <f>IF(OR(E1011="",E1011="!!!",F1011="NEW"),"",INDEX(B$2:B1010,-1+SUMPRODUCT(MAX(ROW(E$2:E1010)*(E1011=E$2:E1010)))))</f>
        <v/>
      </c>
      <c r="J1011" s="24" t="str">
        <f ca="1">IF(OR(E1011="",E1011="!!!",F1011="NEW"),"",COUNTBLANK(OFFSET(A$1,,,SUMPRODUCT(MAX(ROW(E$2:E1011)*(E1011=E$2:E1011)))))-COUNTBLANK(OFFSET(A$1,,,SUMPRODUCT(MAX(ROW(E$1:E1010)*(E2=E$1:E1010))))))</f>
        <v/>
      </c>
      <c r="K1011" s="24" t="str">
        <f>IF(OR(E1011="",E1011="!!!",F1011="NEW"),"",INDEX(J$1:J1010,SUMPRODUCT(MAX(ROW(E$1:E1010)*(E1011=E$1:E1010)))))</f>
        <v/>
      </c>
      <c r="L1011" s="25"/>
    </row>
    <row r="1012" spans="1:12" x14ac:dyDescent="0.3">
      <c r="A1012" t="s">
        <v>676</v>
      </c>
      <c r="E1012" s="20" t="str">
        <f t="shared" si="104"/>
        <v/>
      </c>
      <c r="F1012" s="21" t="str">
        <f>IF(OR(E1012="",E1012="!!!"),"",IF(NOT(ISNA(VLOOKUP(E1012,E$1:E1011,1,FALSE()))),"OLD",IF(AND(E1012&lt;&gt;"",E1012&lt;&gt;"!!!"),"NEW","")))</f>
        <v/>
      </c>
      <c r="G1012" s="22" t="str">
        <f>IF(OR(E1012="",E1012="!!!"),"",IF(OR(J1012=0,AND(J1012=1,K1012=1),AND(J1012=1,I1012="SBJ"),AND(J1012=1,I1012=0)),"?IN_FOCUS",IF(J1012&lt;=2,"?ACTIVATED",IF(J1012&lt;&gt;"","?FAMILIAR",IF(F1012="NEW",IF(ISNA(VLOOKUP(E1012,#REF!,1,FALSE())),"?TYPE_IDENTIFIABLE","?REFERENTIAL"),"_")))))</f>
        <v/>
      </c>
      <c r="H1012" s="23" t="str">
        <f t="shared" ca="1" si="105"/>
        <v/>
      </c>
      <c r="I1012" s="24" t="str">
        <f>IF(OR(E1012="",E1012="!!!",F1012="NEW"),"",INDEX(B$2:B1011,-1+SUMPRODUCT(MAX(ROW(E$2:E1011)*(E1012=E$2:E1011)))))</f>
        <v/>
      </c>
      <c r="J1012" s="24" t="str">
        <f ca="1">IF(OR(E1012="",E1012="!!!",F1012="NEW"),"",COUNTBLANK(OFFSET(A$1,,,SUMPRODUCT(MAX(ROW(E$2:E1012)*(E1012=E$2:E1012)))))-COUNTBLANK(OFFSET(A$1,,,SUMPRODUCT(MAX(ROW(E$1:E1011)*(E2=E$1:E1011))))))</f>
        <v/>
      </c>
      <c r="K1012" s="24" t="str">
        <f>IF(OR(E1012="",E1012="!!!",F1012="NEW"),"",INDEX(J$1:J1011,SUMPRODUCT(MAX(ROW(E$1:E1011)*(E1012=E$1:E1011)))))</f>
        <v/>
      </c>
      <c r="L1012" s="25"/>
    </row>
    <row r="1013" spans="1:12" x14ac:dyDescent="0.3">
      <c r="A1013" t="s">
        <v>677</v>
      </c>
      <c r="E1013" s="20" t="str">
        <f t="shared" si="104"/>
        <v/>
      </c>
      <c r="F1013" s="21" t="str">
        <f>IF(OR(E1013="",E1013="!!!"),"",IF(NOT(ISNA(VLOOKUP(E1013,E$1:E1012,1,FALSE()))),"OLD",IF(AND(E1013&lt;&gt;"",E1013&lt;&gt;"!!!"),"NEW","")))</f>
        <v/>
      </c>
      <c r="G1013" s="22" t="str">
        <f>IF(OR(E1013="",E1013="!!!"),"",IF(OR(J1013=0,AND(J1013=1,K1013=1),AND(J1013=1,I1013="SBJ"),AND(J1013=1,I1013=0)),"?IN_FOCUS",IF(J1013&lt;=2,"?ACTIVATED",IF(J1013&lt;&gt;"","?FAMILIAR",IF(F1013="NEW",IF(ISNA(VLOOKUP(E1013,#REF!,1,FALSE())),"?TYPE_IDENTIFIABLE","?REFERENTIAL"),"_")))))</f>
        <v/>
      </c>
      <c r="H1013" s="23" t="str">
        <f t="shared" ca="1" si="105"/>
        <v/>
      </c>
      <c r="I1013" s="24" t="str">
        <f>IF(OR(E1013="",E1013="!!!",F1013="NEW"),"",INDEX(B$2:B1012,-1+SUMPRODUCT(MAX(ROW(E$2:E1012)*(E1013=E$2:E1012)))))</f>
        <v/>
      </c>
      <c r="J1013" s="24" t="str">
        <f ca="1">IF(OR(E1013="",E1013="!!!",F1013="NEW"),"",COUNTBLANK(OFFSET(A$1,,,SUMPRODUCT(MAX(ROW(E$2:E1013)*(E1013=E$2:E1013)))))-COUNTBLANK(OFFSET(A$1,,,SUMPRODUCT(MAX(ROW(E$1:E1012)*(E2=E$1:E1012))))))</f>
        <v/>
      </c>
      <c r="K1013" s="24" t="str">
        <f>IF(OR(E1013="",E1013="!!!",F1013="NEW"),"",INDEX(J$1:J1012,SUMPRODUCT(MAX(ROW(E$1:E1012)*(E1013=E$1:E1012)))))</f>
        <v/>
      </c>
      <c r="L1013" s="25"/>
    </row>
    <row r="1014" spans="1:12" x14ac:dyDescent="0.3">
      <c r="A1014" t="s">
        <v>312</v>
      </c>
      <c r="E1014" s="20" t="str">
        <f t="shared" si="104"/>
        <v/>
      </c>
      <c r="F1014" s="21" t="str">
        <f>IF(OR(E1014="",E1014="!!!"),"",IF(NOT(ISNA(VLOOKUP(E1014,E$1:E1013,1,FALSE()))),"OLD",IF(AND(E1014&lt;&gt;"",E1014&lt;&gt;"!!!"),"NEW","")))</f>
        <v/>
      </c>
      <c r="G1014" s="22" t="str">
        <f>IF(OR(E1014="",E1014="!!!"),"",IF(OR(J1014=0,AND(J1014=1,K1014=1),AND(J1014=1,I1014="SBJ"),AND(J1014=1,I1014=0)),"?IN_FOCUS",IF(J1014&lt;=2,"?ACTIVATED",IF(J1014&lt;&gt;"","?FAMILIAR",IF(F1014="NEW",IF(ISNA(VLOOKUP(E1014,#REF!,1,FALSE())),"?TYPE_IDENTIFIABLE","?REFERENTIAL"),"_")))))</f>
        <v/>
      </c>
      <c r="H1014" s="23" t="str">
        <f t="shared" ca="1" si="105"/>
        <v/>
      </c>
      <c r="I1014" s="24" t="str">
        <f>IF(OR(E1014="",E1014="!!!",F1014="NEW"),"",INDEX(B$2:B1013,-1+SUMPRODUCT(MAX(ROW(E$2:E1013)*(E1014=E$2:E1013)))))</f>
        <v/>
      </c>
      <c r="J1014" s="24" t="str">
        <f ca="1">IF(OR(E1014="",E1014="!!!",F1014="NEW"),"",COUNTBLANK(OFFSET(A$1,,,SUMPRODUCT(MAX(ROW(E$2:E1014)*(E1014=E$2:E1014)))))-COUNTBLANK(OFFSET(A$1,,,SUMPRODUCT(MAX(ROW(E$1:E1013)*(E2=E$1:E1013))))))</f>
        <v/>
      </c>
      <c r="K1014" s="24" t="str">
        <f>IF(OR(E1014="",E1014="!!!",F1014="NEW"),"",INDEX(J$1:J1013,SUMPRODUCT(MAX(ROW(E$1:E1013)*(E1014=E$1:E1013)))))</f>
        <v/>
      </c>
      <c r="L1014" s="25"/>
    </row>
    <row r="1015" spans="1:12" x14ac:dyDescent="0.3">
      <c r="A1015" t="s">
        <v>359</v>
      </c>
      <c r="E1015" s="20" t="str">
        <f t="shared" si="104"/>
        <v/>
      </c>
      <c r="F1015" s="21" t="str">
        <f>IF(OR(E1015="",E1015="!!!"),"",IF(NOT(ISNA(VLOOKUP(E1015,E$1:E1014,1,FALSE()))),"OLD",IF(AND(E1015&lt;&gt;"",E1015&lt;&gt;"!!!"),"NEW","")))</f>
        <v/>
      </c>
      <c r="G1015" s="22" t="str">
        <f>IF(OR(E1015="",E1015="!!!"),"",IF(OR(J1015=0,AND(J1015=1,K1015=1),AND(J1015=1,I1015="SBJ"),AND(J1015=1,I1015=0)),"?IN_FOCUS",IF(J1015&lt;=2,"?ACTIVATED",IF(J1015&lt;&gt;"","?FAMILIAR",IF(F1015="NEW",IF(ISNA(VLOOKUP(E1015,#REF!,1,FALSE())),"?TYPE_IDENTIFIABLE","?REFERENTIAL"),"_")))))</f>
        <v/>
      </c>
      <c r="H1015" s="23" t="str">
        <f t="shared" ca="1" si="105"/>
        <v/>
      </c>
      <c r="I1015" s="24" t="str">
        <f>IF(OR(E1015="",E1015="!!!",F1015="NEW"),"",INDEX(B$2:B1014,-1+SUMPRODUCT(MAX(ROW(E$2:E1014)*(E1015=E$2:E1014)))))</f>
        <v/>
      </c>
      <c r="J1015" s="24" t="str">
        <f ca="1">IF(OR(E1015="",E1015="!!!",F1015="NEW"),"",COUNTBLANK(OFFSET(A$1,,,SUMPRODUCT(MAX(ROW(E$2:E1015)*(E1015=E$2:E1015)))))-COUNTBLANK(OFFSET(A$1,,,SUMPRODUCT(MAX(ROW(E$1:E1014)*(E2=E$1:E1014))))))</f>
        <v/>
      </c>
      <c r="K1015" s="24" t="str">
        <f>IF(OR(E1015="",E1015="!!!",F1015="NEW"),"",INDEX(J$1:J1014,SUMPRODUCT(MAX(ROW(E$1:E1014)*(E1015=E$1:E1014)))))</f>
        <v/>
      </c>
      <c r="L1015" s="25"/>
    </row>
    <row r="1016" spans="1:12" x14ac:dyDescent="0.3">
      <c r="A1016" t="s">
        <v>678</v>
      </c>
      <c r="B1016" s="26" t="s">
        <v>261</v>
      </c>
      <c r="C1016" s="26" t="s">
        <v>290</v>
      </c>
      <c r="D1016" s="26" t="s">
        <v>240</v>
      </c>
      <c r="E1016" s="20" t="str">
        <f t="shared" si="104"/>
        <v>!!!</v>
      </c>
      <c r="F1016" s="21" t="str">
        <f>IF(OR(E1016="",E1016="!!!"),"",IF(NOT(ISNA(VLOOKUP(E1016,E$1:E1015,1,FALSE()))),"OLD",IF(AND(E1016&lt;&gt;"",E1016&lt;&gt;"!!!"),"NEW","")))</f>
        <v/>
      </c>
      <c r="G1016" s="22" t="str">
        <f>IF(OR(E1016="",E1016="!!!"),"",IF(OR(J1016=0,AND(J1016=1,K1016=1),AND(J1016=1,I1016="SBJ"),AND(J1016=1,I1016=0)),"?IN_FOCUS",IF(J1016&lt;=2,"?ACTIVATED",IF(J1016&lt;&gt;"","?FAMILIAR",IF(F1016="NEW",IF(ISNA(VLOOKUP(E1016,#REF!,1,FALSE())),"?TYPE_IDENTIFIABLE","?REFERENTIAL"),"_")))))</f>
        <v/>
      </c>
      <c r="H1016" s="23" t="str">
        <f t="shared" ca="1" si="105"/>
        <v/>
      </c>
      <c r="I1016" s="24" t="str">
        <f>IF(OR(E1016="",E1016="!!!",F1016="NEW"),"",INDEX(B$2:B1015,-1+SUMPRODUCT(MAX(ROW(E$2:E1015)*(E1016=E$2:E1015)))))</f>
        <v/>
      </c>
      <c r="J1016" s="24" t="str">
        <f ca="1">IF(OR(E1016="",E1016="!!!",F1016="NEW"),"",COUNTBLANK(OFFSET(A$1,,,SUMPRODUCT(MAX(ROW(E$2:E1016)*(E1016=E$2:E1016)))))-COUNTBLANK(OFFSET(A$1,,,SUMPRODUCT(MAX(ROW(E$1:E1015)*(E2=E$1:E1015))))))</f>
        <v/>
      </c>
      <c r="K1016" s="24" t="str">
        <f>IF(OR(E1016="",E1016="!!!",F1016="NEW"),"",INDEX(J$1:J1015,SUMPRODUCT(MAX(ROW(E$1:E1015)*(E1016=E$1:E1015)))))</f>
        <v/>
      </c>
      <c r="L1016" s="25"/>
    </row>
    <row r="1017" spans="1:12" x14ac:dyDescent="0.3">
      <c r="A1017" t="s">
        <v>567</v>
      </c>
      <c r="B1017" s="26" t="s">
        <v>238</v>
      </c>
      <c r="C1017" s="26" t="s">
        <v>247</v>
      </c>
      <c r="E1017" s="20" t="str">
        <f t="shared" si="104"/>
        <v/>
      </c>
      <c r="F1017" s="21" t="str">
        <f>IF(OR(E1017="",E1017="!!!"),"",IF(NOT(ISNA(VLOOKUP(E1017,E$1:E1016,1,FALSE()))),"OLD",IF(AND(E1017&lt;&gt;"",E1017&lt;&gt;"!!!"),"NEW","")))</f>
        <v/>
      </c>
      <c r="G1017" s="22" t="str">
        <f>IF(OR(E1017="",E1017="!!!"),"",IF(OR(J1017=0,AND(J1017=1,K1017=1),AND(J1017=1,I1017="SBJ"),AND(J1017=1,I1017=0)),"?IN_FOCUS",IF(J1017&lt;=2,"?ACTIVATED",IF(J1017&lt;&gt;"","?FAMILIAR",IF(F1017="NEW",IF(ISNA(VLOOKUP(E1017,#REF!,1,FALSE())),"?TYPE_IDENTIFIABLE","?REFERENTIAL"),"_")))))</f>
        <v/>
      </c>
      <c r="H1017" s="23" t="str">
        <f t="shared" ca="1" si="105"/>
        <v/>
      </c>
      <c r="I1017" s="24" t="str">
        <f>IF(OR(E1017="",E1017="!!!",F1017="NEW"),"",INDEX(B$2:B1016,-1+SUMPRODUCT(MAX(ROW(E$2:E1016)*(E1017=E$2:E1016)))))</f>
        <v/>
      </c>
      <c r="J1017" s="24" t="str">
        <f ca="1">IF(OR(E1017="",E1017="!!!",F1017="NEW"),"",COUNTBLANK(OFFSET(A$1,,,SUMPRODUCT(MAX(ROW(E$2:E1017)*(E1017=E$2:E1017)))))-COUNTBLANK(OFFSET(A$1,,,SUMPRODUCT(MAX(ROW(E$1:E1016)*(E2=E$1:E1016))))))</f>
        <v/>
      </c>
      <c r="K1017" s="24" t="str">
        <f>IF(OR(E1017="",E1017="!!!",F1017="NEW"),"",INDEX(J$1:J1016,SUMPRODUCT(MAX(ROW(E$1:E1016)*(E1017=E$1:E1016)))))</f>
        <v/>
      </c>
      <c r="L1017" s="25"/>
    </row>
    <row r="1018" spans="1:12" x14ac:dyDescent="0.3">
      <c r="A1018" t="s">
        <v>248</v>
      </c>
      <c r="E1018" s="20" t="str">
        <f t="shared" si="104"/>
        <v/>
      </c>
      <c r="F1018" s="21" t="str">
        <f>IF(OR(E1018="",E1018="!!!"),"",IF(NOT(ISNA(VLOOKUP(E1018,E$1:E1017,1,FALSE()))),"OLD",IF(AND(E1018&lt;&gt;"",E1018&lt;&gt;"!!!"),"NEW","")))</f>
        <v/>
      </c>
      <c r="G1018" s="22" t="str">
        <f>IF(OR(E1018="",E1018="!!!"),"",IF(OR(J1018=0,AND(J1018=1,K1018=1),AND(J1018=1,I1018="SBJ"),AND(J1018=1,I1018=0)),"?IN_FOCUS",IF(J1018&lt;=2,"?ACTIVATED",IF(J1018&lt;&gt;"","?FAMILIAR",IF(F1018="NEW",IF(ISNA(VLOOKUP(E1018,#REF!,1,FALSE())),"?TYPE_IDENTIFIABLE","?REFERENTIAL"),"_")))))</f>
        <v/>
      </c>
      <c r="H1018" s="23" t="str">
        <f t="shared" ca="1" si="105"/>
        <v/>
      </c>
      <c r="I1018" s="24" t="str">
        <f>IF(OR(E1018="",E1018="!!!",F1018="NEW"),"",INDEX(B$2:B1017,-1+SUMPRODUCT(MAX(ROW(E$2:E1017)*(E1018=E$2:E1017)))))</f>
        <v/>
      </c>
      <c r="J1018" s="24" t="str">
        <f ca="1">IF(OR(E1018="",E1018="!!!",F1018="NEW"),"",COUNTBLANK(OFFSET(A$1,,,SUMPRODUCT(MAX(ROW(E$2:E1018)*(E1018=E$2:E1018)))))-COUNTBLANK(OFFSET(A$1,,,SUMPRODUCT(MAX(ROW(E$1:E1017)*(E2=E$1:E1017))))))</f>
        <v/>
      </c>
      <c r="K1018" s="24" t="str">
        <f>IF(OR(E1018="",E1018="!!!",F1018="NEW"),"",INDEX(J$1:J1017,SUMPRODUCT(MAX(ROW(E$1:E1017)*(E1018=E$1:E1017)))))</f>
        <v/>
      </c>
      <c r="L1018" s="25"/>
    </row>
    <row r="1020" spans="1:12" x14ac:dyDescent="0.3">
      <c r="A1020" t="s">
        <v>679</v>
      </c>
    </row>
    <row r="1021" spans="1:12" x14ac:dyDescent="0.3">
      <c r="A1021" t="s">
        <v>658</v>
      </c>
      <c r="B1021" s="26" t="s">
        <v>243</v>
      </c>
      <c r="C1021" s="26" t="s">
        <v>247</v>
      </c>
      <c r="E1021" s="20" t="str">
        <f t="shared" ref="E1021:E1029" si="106">IF(D1021="?OLD","!!!","")</f>
        <v/>
      </c>
      <c r="F1021" s="21" t="str">
        <f>IF(OR(E1021="",E1021="!!!"),"",IF(NOT(ISNA(VLOOKUP(E1021,E$1:E1020,1,FALSE()))),"OLD",IF(AND(E1021&lt;&gt;"",E1021&lt;&gt;"!!!"),"NEW","")))</f>
        <v/>
      </c>
      <c r="G1021" s="22" t="str">
        <f>IF(OR(E1021="",E1021="!!!"),"",IF(OR(J1021=0,AND(J1021=1,K1021=1),AND(J1021=1,I1021="SBJ"),AND(J1021=1,I1021=0)),"?IN_FOCUS",IF(J1021&lt;=2,"?ACTIVATED",IF(J1021&lt;&gt;"","?FAMILIAR",IF(F1021="NEW",IF(ISNA(VLOOKUP(E1021,#REF!,1,FALSE())),"?TYPE_IDENTIFIABLE","?REFERENTIAL"),"_")))))</f>
        <v/>
      </c>
      <c r="H1021" s="23" t="str">
        <f t="shared" ref="H1021:H1029" ca="1" si="107">IF(J1021&lt;&gt;1,"",IF(I1021="SBJ","CB","?"))</f>
        <v/>
      </c>
      <c r="I1021" s="24" t="str">
        <f>IF(OR(E1021="",E1021="!!!",F1021="NEW"),"",INDEX(B$2:B1020,-1+SUMPRODUCT(MAX(ROW(E$2:E1020)*(E1021=E$2:E1020)))))</f>
        <v/>
      </c>
      <c r="J1021" s="24" t="str">
        <f ca="1">IF(OR(E1021="",E1021="!!!",F1021="NEW"),"",COUNTBLANK(OFFSET(A$1,,,SUMPRODUCT(MAX(ROW(E$2:E1021)*(E1021=E$2:E1021)))))-COUNTBLANK(OFFSET(A$1,,,SUMPRODUCT(MAX(ROW(E$1:E1020)*(E2=E$1:E1020))))))</f>
        <v/>
      </c>
      <c r="K1021" s="24" t="str">
        <f>IF(OR(E1021="",E1021="!!!",F1021="NEW"),"",INDEX(J$1:J1020,SUMPRODUCT(MAX(ROW(E$1:E1020)*(E1021=E$1:E1020)))))</f>
        <v/>
      </c>
      <c r="L1021" s="25"/>
    </row>
    <row r="1022" spans="1:12" x14ac:dyDescent="0.3">
      <c r="A1022" t="s">
        <v>347</v>
      </c>
      <c r="E1022" s="20" t="str">
        <f t="shared" si="106"/>
        <v/>
      </c>
      <c r="F1022" s="21" t="str">
        <f>IF(OR(E1022="",E1022="!!!"),"",IF(NOT(ISNA(VLOOKUP(E1022,E$1:E1021,1,FALSE()))),"OLD",IF(AND(E1022&lt;&gt;"",E1022&lt;&gt;"!!!"),"NEW","")))</f>
        <v/>
      </c>
      <c r="G1022" s="22" t="str">
        <f>IF(OR(E1022="",E1022="!!!"),"",IF(OR(J1022=0,AND(J1022=1,K1022=1),AND(J1022=1,I1022="SBJ"),AND(J1022=1,I1022=0)),"?IN_FOCUS",IF(J1022&lt;=2,"?ACTIVATED",IF(J1022&lt;&gt;"","?FAMILIAR",IF(F1022="NEW",IF(ISNA(VLOOKUP(E1022,#REF!,1,FALSE())),"?TYPE_IDENTIFIABLE","?REFERENTIAL"),"_")))))</f>
        <v/>
      </c>
      <c r="H1022" s="23" t="str">
        <f t="shared" ca="1" si="107"/>
        <v/>
      </c>
      <c r="I1022" s="24" t="str">
        <f>IF(OR(E1022="",E1022="!!!",F1022="NEW"),"",INDEX(B$2:B1021,-1+SUMPRODUCT(MAX(ROW(E$2:E1021)*(E1022=E$2:E1021)))))</f>
        <v/>
      </c>
      <c r="J1022" s="24" t="str">
        <f ca="1">IF(OR(E1022="",E1022="!!!",F1022="NEW"),"",COUNTBLANK(OFFSET(A$1,,,SUMPRODUCT(MAX(ROW(E$2:E1022)*(E1022=E$2:E1022)))))-COUNTBLANK(OFFSET(A$1,,,SUMPRODUCT(MAX(ROW(E$1:E1021)*(E2=E$1:E1021))))))</f>
        <v/>
      </c>
      <c r="K1022" s="24" t="str">
        <f>IF(OR(E1022="",E1022="!!!",F1022="NEW"),"",INDEX(J$1:J1021,SUMPRODUCT(MAX(ROW(E$1:E1021)*(E1022=E$1:E1021)))))</f>
        <v/>
      </c>
      <c r="L1022" s="25"/>
    </row>
    <row r="1023" spans="1:12" x14ac:dyDescent="0.3">
      <c r="A1023" t="s">
        <v>680</v>
      </c>
      <c r="E1023" s="20" t="str">
        <f t="shared" si="106"/>
        <v/>
      </c>
      <c r="F1023" s="21" t="str">
        <f>IF(OR(E1023="",E1023="!!!"),"",IF(NOT(ISNA(VLOOKUP(E1023,E$1:E1022,1,FALSE()))),"OLD",IF(AND(E1023&lt;&gt;"",E1023&lt;&gt;"!!!"),"NEW","")))</f>
        <v/>
      </c>
      <c r="G1023" s="22" t="str">
        <f>IF(OR(E1023="",E1023="!!!"),"",IF(OR(J1023=0,AND(J1023=1,K1023=1),AND(J1023=1,I1023="SBJ"),AND(J1023=1,I1023=0)),"?IN_FOCUS",IF(J1023&lt;=2,"?ACTIVATED",IF(J1023&lt;&gt;"","?FAMILIAR",IF(F1023="NEW",IF(ISNA(VLOOKUP(E1023,#REF!,1,FALSE())),"?TYPE_IDENTIFIABLE","?REFERENTIAL"),"_")))))</f>
        <v/>
      </c>
      <c r="H1023" s="23" t="str">
        <f t="shared" ca="1" si="107"/>
        <v/>
      </c>
      <c r="I1023" s="24" t="str">
        <f>IF(OR(E1023="",E1023="!!!",F1023="NEW"),"",INDEX(B$2:B1022,-1+SUMPRODUCT(MAX(ROW(E$2:E1022)*(E1023=E$2:E1022)))))</f>
        <v/>
      </c>
      <c r="J1023" s="24" t="str">
        <f ca="1">IF(OR(E1023="",E1023="!!!",F1023="NEW"),"",COUNTBLANK(OFFSET(A$1,,,SUMPRODUCT(MAX(ROW(E$2:E1023)*(E1023=E$2:E1023)))))-COUNTBLANK(OFFSET(A$1,,,SUMPRODUCT(MAX(ROW(E$1:E1022)*(E2=E$1:E1022))))))</f>
        <v/>
      </c>
      <c r="K1023" s="24" t="str">
        <f>IF(OR(E1023="",E1023="!!!",F1023="NEW"),"",INDEX(J$1:J1022,SUMPRODUCT(MAX(ROW(E$1:E1022)*(E1023=E$1:E1022)))))</f>
        <v/>
      </c>
      <c r="L1023" s="25"/>
    </row>
    <row r="1024" spans="1:12" x14ac:dyDescent="0.3">
      <c r="A1024" t="s">
        <v>431</v>
      </c>
      <c r="E1024" s="20" t="str">
        <f t="shared" si="106"/>
        <v/>
      </c>
      <c r="F1024" s="21" t="str">
        <f>IF(OR(E1024="",E1024="!!!"),"",IF(NOT(ISNA(VLOOKUP(E1024,E$1:E1023,1,FALSE()))),"OLD",IF(AND(E1024&lt;&gt;"",E1024&lt;&gt;"!!!"),"NEW","")))</f>
        <v/>
      </c>
      <c r="G1024" s="22" t="str">
        <f>IF(OR(E1024="",E1024="!!!"),"",IF(OR(J1024=0,AND(J1024=1,K1024=1),AND(J1024=1,I1024="SBJ"),AND(J1024=1,I1024=0)),"?IN_FOCUS",IF(J1024&lt;=2,"?ACTIVATED",IF(J1024&lt;&gt;"","?FAMILIAR",IF(F1024="NEW",IF(ISNA(VLOOKUP(E1024,#REF!,1,FALSE())),"?TYPE_IDENTIFIABLE","?REFERENTIAL"),"_")))))</f>
        <v/>
      </c>
      <c r="H1024" s="23" t="str">
        <f t="shared" ca="1" si="107"/>
        <v/>
      </c>
      <c r="I1024" s="24" t="str">
        <f>IF(OR(E1024="",E1024="!!!",F1024="NEW"),"",INDEX(B$2:B1023,-1+SUMPRODUCT(MAX(ROW(E$2:E1023)*(E1024=E$2:E1023)))))</f>
        <v/>
      </c>
      <c r="J1024" s="24" t="str">
        <f ca="1">IF(OR(E1024="",E1024="!!!",F1024="NEW"),"",COUNTBLANK(OFFSET(A$1,,,SUMPRODUCT(MAX(ROW(E$2:E1024)*(E1024=E$2:E1024)))))-COUNTBLANK(OFFSET(A$1,,,SUMPRODUCT(MAX(ROW(E$1:E1023)*(E2=E$1:E1023))))))</f>
        <v/>
      </c>
      <c r="K1024" s="24" t="str">
        <f>IF(OR(E1024="",E1024="!!!",F1024="NEW"),"",INDEX(J$1:J1023,SUMPRODUCT(MAX(ROW(E$1:E1023)*(E1024=E$1:E1023)))))</f>
        <v/>
      </c>
      <c r="L1024" s="25"/>
    </row>
    <row r="1025" spans="1:12" x14ac:dyDescent="0.3">
      <c r="A1025" t="s">
        <v>681</v>
      </c>
      <c r="E1025" s="20" t="str">
        <f t="shared" si="106"/>
        <v/>
      </c>
      <c r="F1025" s="21" t="str">
        <f>IF(OR(E1025="",E1025="!!!"),"",IF(NOT(ISNA(VLOOKUP(E1025,E$1:E1024,1,FALSE()))),"OLD",IF(AND(E1025&lt;&gt;"",E1025&lt;&gt;"!!!"),"NEW","")))</f>
        <v/>
      </c>
      <c r="G1025" s="22" t="str">
        <f>IF(OR(E1025="",E1025="!!!"),"",IF(OR(J1025=0,AND(J1025=1,K1025=1),AND(J1025=1,I1025="SBJ"),AND(J1025=1,I1025=0)),"?IN_FOCUS",IF(J1025&lt;=2,"?ACTIVATED",IF(J1025&lt;&gt;"","?FAMILIAR",IF(F1025="NEW",IF(ISNA(VLOOKUP(E1025,#REF!,1,FALSE())),"?TYPE_IDENTIFIABLE","?REFERENTIAL"),"_")))))</f>
        <v/>
      </c>
      <c r="H1025" s="23" t="str">
        <f t="shared" ca="1" si="107"/>
        <v/>
      </c>
      <c r="I1025" s="24" t="str">
        <f>IF(OR(E1025="",E1025="!!!",F1025="NEW"),"",INDEX(B$2:B1024,-1+SUMPRODUCT(MAX(ROW(E$2:E1024)*(E1025=E$2:E1024)))))</f>
        <v/>
      </c>
      <c r="J1025" s="24" t="str">
        <f ca="1">IF(OR(E1025="",E1025="!!!",F1025="NEW"),"",COUNTBLANK(OFFSET(A$1,,,SUMPRODUCT(MAX(ROW(E$2:E1025)*(E1025=E$2:E1025)))))-COUNTBLANK(OFFSET(A$1,,,SUMPRODUCT(MAX(ROW(E$1:E1024)*(E2=E$1:E1024))))))</f>
        <v/>
      </c>
      <c r="K1025" s="24" t="str">
        <f>IF(OR(E1025="",E1025="!!!",F1025="NEW"),"",INDEX(J$1:J1024,SUMPRODUCT(MAX(ROW(E$1:E1024)*(E1025=E$1:E1024)))))</f>
        <v/>
      </c>
      <c r="L1025" s="25"/>
    </row>
    <row r="1026" spans="1:12" x14ac:dyDescent="0.3">
      <c r="A1026" t="s">
        <v>461</v>
      </c>
      <c r="E1026" s="20" t="str">
        <f t="shared" si="106"/>
        <v/>
      </c>
      <c r="F1026" s="21" t="str">
        <f>IF(OR(E1026="",E1026="!!!"),"",IF(NOT(ISNA(VLOOKUP(E1026,E$1:E1025,1,FALSE()))),"OLD",IF(AND(E1026&lt;&gt;"",E1026&lt;&gt;"!!!"),"NEW","")))</f>
        <v/>
      </c>
      <c r="G1026" s="22" t="str">
        <f>IF(OR(E1026="",E1026="!!!"),"",IF(OR(J1026=0,AND(J1026=1,K1026=1),AND(J1026=1,I1026="SBJ"),AND(J1026=1,I1026=0)),"?IN_FOCUS",IF(J1026&lt;=2,"?ACTIVATED",IF(J1026&lt;&gt;"","?FAMILIAR",IF(F1026="NEW",IF(ISNA(VLOOKUP(E1026,#REF!,1,FALSE())),"?TYPE_IDENTIFIABLE","?REFERENTIAL"),"_")))))</f>
        <v/>
      </c>
      <c r="H1026" s="23" t="str">
        <f t="shared" ca="1" si="107"/>
        <v/>
      </c>
      <c r="I1026" s="24" t="str">
        <f>IF(OR(E1026="",E1026="!!!",F1026="NEW"),"",INDEX(B$2:B1025,-1+SUMPRODUCT(MAX(ROW(E$2:E1025)*(E1026=E$2:E1025)))))</f>
        <v/>
      </c>
      <c r="J1026" s="24" t="str">
        <f ca="1">IF(OR(E1026="",E1026="!!!",F1026="NEW"),"",COUNTBLANK(OFFSET(A$1,,,SUMPRODUCT(MAX(ROW(E$2:E1026)*(E1026=E$2:E1026)))))-COUNTBLANK(OFFSET(A$1,,,SUMPRODUCT(MAX(ROW(E$1:E1025)*(E2=E$1:E1025))))))</f>
        <v/>
      </c>
      <c r="K1026" s="24" t="str">
        <f>IF(OR(E1026="",E1026="!!!",F1026="NEW"),"",INDEX(J$1:J1025,SUMPRODUCT(MAX(ROW(E$1:E1025)*(E1026=E$1:E1025)))))</f>
        <v/>
      </c>
      <c r="L1026" s="25"/>
    </row>
    <row r="1027" spans="1:12" x14ac:dyDescent="0.3">
      <c r="A1027" t="s">
        <v>263</v>
      </c>
      <c r="E1027" s="20" t="str">
        <f t="shared" si="106"/>
        <v/>
      </c>
      <c r="F1027" s="21" t="str">
        <f>IF(OR(E1027="",E1027="!!!"),"",IF(NOT(ISNA(VLOOKUP(E1027,E$1:E1026,1,FALSE()))),"OLD",IF(AND(E1027&lt;&gt;"",E1027&lt;&gt;"!!!"),"NEW","")))</f>
        <v/>
      </c>
      <c r="G1027" s="22" t="str">
        <f>IF(OR(E1027="",E1027="!!!"),"",IF(OR(J1027=0,AND(J1027=1,K1027=1),AND(J1027=1,I1027="SBJ"),AND(J1027=1,I1027=0)),"?IN_FOCUS",IF(J1027&lt;=2,"?ACTIVATED",IF(J1027&lt;&gt;"","?FAMILIAR",IF(F1027="NEW",IF(ISNA(VLOOKUP(E1027,#REF!,1,FALSE())),"?TYPE_IDENTIFIABLE","?REFERENTIAL"),"_")))))</f>
        <v/>
      </c>
      <c r="H1027" s="23" t="str">
        <f t="shared" ca="1" si="107"/>
        <v/>
      </c>
      <c r="I1027" s="24" t="str">
        <f>IF(OR(E1027="",E1027="!!!",F1027="NEW"),"",INDEX(B$2:B1026,-1+SUMPRODUCT(MAX(ROW(E$2:E1026)*(E1027=E$2:E1026)))))</f>
        <v/>
      </c>
      <c r="J1027" s="24" t="str">
        <f ca="1">IF(OR(E1027="",E1027="!!!",F1027="NEW"),"",COUNTBLANK(OFFSET(A$1,,,SUMPRODUCT(MAX(ROW(E$2:E1027)*(E1027=E$2:E1027)))))-COUNTBLANK(OFFSET(A$1,,,SUMPRODUCT(MAX(ROW(E$1:E1026)*(E2=E$1:E1026))))))</f>
        <v/>
      </c>
      <c r="K1027" s="24" t="str">
        <f>IF(OR(E1027="",E1027="!!!",F1027="NEW"),"",INDEX(J$1:J1026,SUMPRODUCT(MAX(ROW(E$1:E1026)*(E1027=E$1:E1026)))))</f>
        <v/>
      </c>
      <c r="L1027" s="25"/>
    </row>
    <row r="1028" spans="1:12" x14ac:dyDescent="0.3">
      <c r="A1028" t="s">
        <v>682</v>
      </c>
      <c r="B1028" s="26" t="s">
        <v>238</v>
      </c>
      <c r="C1028" s="26" t="s">
        <v>262</v>
      </c>
      <c r="E1028" s="20" t="str">
        <f t="shared" si="106"/>
        <v/>
      </c>
      <c r="F1028" s="21" t="str">
        <f>IF(OR(E1028="",E1028="!!!"),"",IF(NOT(ISNA(VLOOKUP(E1028,E$1:E1027,1,FALSE()))),"OLD",IF(AND(E1028&lt;&gt;"",E1028&lt;&gt;"!!!"),"NEW","")))</f>
        <v/>
      </c>
      <c r="G1028" s="22" t="str">
        <f>IF(OR(E1028="",E1028="!!!"),"",IF(OR(J1028=0,AND(J1028=1,K1028=1),AND(J1028=1,I1028="SBJ"),AND(J1028=1,I1028=0)),"?IN_FOCUS",IF(J1028&lt;=2,"?ACTIVATED",IF(J1028&lt;&gt;"","?FAMILIAR",IF(F1028="NEW",IF(ISNA(VLOOKUP(E1028,#REF!,1,FALSE())),"?TYPE_IDENTIFIABLE","?REFERENTIAL"),"_")))))</f>
        <v/>
      </c>
      <c r="H1028" s="23" t="str">
        <f t="shared" ca="1" si="107"/>
        <v/>
      </c>
      <c r="I1028" s="24" t="str">
        <f>IF(OR(E1028="",E1028="!!!",F1028="NEW"),"",INDEX(B$2:B1027,-1+SUMPRODUCT(MAX(ROW(E$2:E1027)*(E1028=E$2:E1027)))))</f>
        <v/>
      </c>
      <c r="J1028" s="24" t="str">
        <f ca="1">IF(OR(E1028="",E1028="!!!",F1028="NEW"),"",COUNTBLANK(OFFSET(A$1,,,SUMPRODUCT(MAX(ROW(E$2:E1028)*(E1028=E$2:E1028)))))-COUNTBLANK(OFFSET(A$1,,,SUMPRODUCT(MAX(ROW(E$1:E1027)*(E2=E$1:E1027))))))</f>
        <v/>
      </c>
      <c r="K1028" s="24" t="str">
        <f>IF(OR(E1028="",E1028="!!!",F1028="NEW"),"",INDEX(J$1:J1027,SUMPRODUCT(MAX(ROW(E$1:E1027)*(E1028=E$1:E1027)))))</f>
        <v/>
      </c>
      <c r="L1028" s="25"/>
    </row>
    <row r="1029" spans="1:12" x14ac:dyDescent="0.3">
      <c r="A1029" t="s">
        <v>248</v>
      </c>
      <c r="E1029" s="20" t="str">
        <f t="shared" si="106"/>
        <v/>
      </c>
      <c r="F1029" s="21" t="str">
        <f>IF(OR(E1029="",E1029="!!!"),"",IF(NOT(ISNA(VLOOKUP(E1029,E$1:E1028,1,FALSE()))),"OLD",IF(AND(E1029&lt;&gt;"",E1029&lt;&gt;"!!!"),"NEW","")))</f>
        <v/>
      </c>
      <c r="G1029" s="22" t="str">
        <f>IF(OR(E1029="",E1029="!!!"),"",IF(OR(J1029=0,AND(J1029=1,K1029=1),AND(J1029=1,I1029="SBJ"),AND(J1029=1,I1029=0)),"?IN_FOCUS",IF(J1029&lt;=2,"?ACTIVATED",IF(J1029&lt;&gt;"","?FAMILIAR",IF(F1029="NEW",IF(ISNA(VLOOKUP(E1029,#REF!,1,FALSE())),"?TYPE_IDENTIFIABLE","?REFERENTIAL"),"_")))))</f>
        <v/>
      </c>
      <c r="H1029" s="23" t="str">
        <f t="shared" ca="1" si="107"/>
        <v/>
      </c>
      <c r="I1029" s="24" t="str">
        <f>IF(OR(E1029="",E1029="!!!",F1029="NEW"),"",INDEX(B$2:B1028,-1+SUMPRODUCT(MAX(ROW(E$2:E1028)*(E1029=E$2:E1028)))))</f>
        <v/>
      </c>
      <c r="J1029" s="24" t="str">
        <f ca="1">IF(OR(E1029="",E1029="!!!",F1029="NEW"),"",COUNTBLANK(OFFSET(A$1,,,SUMPRODUCT(MAX(ROW(E$2:E1029)*(E1029=E$2:E1029)))))-COUNTBLANK(OFFSET(A$1,,,SUMPRODUCT(MAX(ROW(E$1:E1028)*(E2=E$1:E1028))))))</f>
        <v/>
      </c>
      <c r="K1029" s="24" t="str">
        <f>IF(OR(E1029="",E1029="!!!",F1029="NEW"),"",INDEX(J$1:J1028,SUMPRODUCT(MAX(ROW(E$1:E1028)*(E1029=E$1:E1028)))))</f>
        <v/>
      </c>
      <c r="L1029" s="25"/>
    </row>
    <row r="1031" spans="1:12" x14ac:dyDescent="0.3">
      <c r="A1031" t="s">
        <v>683</v>
      </c>
    </row>
    <row r="1032" spans="1:12" x14ac:dyDescent="0.3">
      <c r="A1032" t="s">
        <v>324</v>
      </c>
      <c r="B1032" s="26" t="s">
        <v>243</v>
      </c>
      <c r="C1032" s="26" t="s">
        <v>244</v>
      </c>
      <c r="D1032" s="26" t="s">
        <v>240</v>
      </c>
      <c r="E1032" s="20" t="str">
        <f t="shared" ref="E1032:E1057" si="108">IF(D1032="?OLD","!!!","")</f>
        <v>!!!</v>
      </c>
      <c r="F1032" s="21" t="str">
        <f>IF(OR(E1032="",E1032="!!!"),"",IF(NOT(ISNA(VLOOKUP(E1032,E$1:E1031,1,FALSE()))),"OLD",IF(AND(E1032&lt;&gt;"",E1032&lt;&gt;"!!!"),"NEW","")))</f>
        <v/>
      </c>
      <c r="G1032" s="22" t="str">
        <f>IF(OR(E1032="",E1032="!!!"),"",IF(OR(J1032=0,AND(J1032=1,K1032=1),AND(J1032=1,I1032="SBJ"),AND(J1032=1,I1032=0)),"?IN_FOCUS",IF(J1032&lt;=2,"?ACTIVATED",IF(J1032&lt;&gt;"","?FAMILIAR",IF(F1032="NEW",IF(ISNA(VLOOKUP(E1032,#REF!,1,FALSE())),"?TYPE_IDENTIFIABLE","?REFERENTIAL"),"_")))))</f>
        <v/>
      </c>
      <c r="H1032" s="23" t="str">
        <f t="shared" ref="H1032:H1057" ca="1" si="109">IF(J1032&lt;&gt;1,"",IF(I1032="SBJ","CB","?"))</f>
        <v/>
      </c>
      <c r="I1032" s="24" t="str">
        <f>IF(OR(E1032="",E1032="!!!",F1032="NEW"),"",INDEX(B$2:B1031,-1+SUMPRODUCT(MAX(ROW(E$2:E1031)*(E1032=E$2:E1031)))))</f>
        <v/>
      </c>
      <c r="J1032" s="24" t="str">
        <f ca="1">IF(OR(E1032="",E1032="!!!",F1032="NEW"),"",COUNTBLANK(OFFSET(A$1,,,SUMPRODUCT(MAX(ROW(E$2:E1032)*(E1032=E$2:E1032)))))-COUNTBLANK(OFFSET(A$1,,,SUMPRODUCT(MAX(ROW(E$1:E1031)*(E2=E$1:E1031))))))</f>
        <v/>
      </c>
      <c r="K1032" s="24" t="str">
        <f>IF(OR(E1032="",E1032="!!!",F1032="NEW"),"",INDEX(J$1:J1031,SUMPRODUCT(MAX(ROW(E$1:E1031)*(E1032=E$1:E1031)))))</f>
        <v/>
      </c>
      <c r="L1032" s="25"/>
    </row>
    <row r="1033" spans="1:12" x14ac:dyDescent="0.3">
      <c r="A1033" t="s">
        <v>675</v>
      </c>
      <c r="E1033" s="20" t="str">
        <f t="shared" si="108"/>
        <v/>
      </c>
      <c r="F1033" s="21" t="str">
        <f>IF(OR(E1033="",E1033="!!!"),"",IF(NOT(ISNA(VLOOKUP(E1033,E$1:E1032,1,FALSE()))),"OLD",IF(AND(E1033&lt;&gt;"",E1033&lt;&gt;"!!!"),"NEW","")))</f>
        <v/>
      </c>
      <c r="G1033" s="22" t="str">
        <f>IF(OR(E1033="",E1033="!!!"),"",IF(OR(J1033=0,AND(J1033=1,K1033=1),AND(J1033=1,I1033="SBJ"),AND(J1033=1,I1033=0)),"?IN_FOCUS",IF(J1033&lt;=2,"?ACTIVATED",IF(J1033&lt;&gt;"","?FAMILIAR",IF(F1033="NEW",IF(ISNA(VLOOKUP(E1033,#REF!,1,FALSE())),"?TYPE_IDENTIFIABLE","?REFERENTIAL"),"_")))))</f>
        <v/>
      </c>
      <c r="H1033" s="23" t="str">
        <f t="shared" ca="1" si="109"/>
        <v/>
      </c>
      <c r="I1033" s="24" t="str">
        <f>IF(OR(E1033="",E1033="!!!",F1033="NEW"),"",INDEX(B$2:B1032,-1+SUMPRODUCT(MAX(ROW(E$2:E1032)*(E1033=E$2:E1032)))))</f>
        <v/>
      </c>
      <c r="J1033" s="24" t="str">
        <f ca="1">IF(OR(E1033="",E1033="!!!",F1033="NEW"),"",COUNTBLANK(OFFSET(A$1,,,SUMPRODUCT(MAX(ROW(E$2:E1033)*(E1033=E$2:E1033)))))-COUNTBLANK(OFFSET(A$1,,,SUMPRODUCT(MAX(ROW(E$1:E1032)*(E2=E$1:E1032))))))</f>
        <v/>
      </c>
      <c r="K1033" s="24" t="str">
        <f>IF(OR(E1033="",E1033="!!!",F1033="NEW"),"",INDEX(J$1:J1032,SUMPRODUCT(MAX(ROW(E$1:E1032)*(E1033=E$1:E1032)))))</f>
        <v/>
      </c>
      <c r="L1033" s="25"/>
    </row>
    <row r="1034" spans="1:12" x14ac:dyDescent="0.3">
      <c r="A1034" t="s">
        <v>140</v>
      </c>
      <c r="E1034" s="20" t="str">
        <f t="shared" si="108"/>
        <v/>
      </c>
      <c r="F1034" s="21" t="str">
        <f>IF(OR(E1034="",E1034="!!!"),"",IF(NOT(ISNA(VLOOKUP(E1034,E$1:E1033,1,FALSE()))),"OLD",IF(AND(E1034&lt;&gt;"",E1034&lt;&gt;"!!!"),"NEW","")))</f>
        <v/>
      </c>
      <c r="G1034" s="22" t="str">
        <f>IF(OR(E1034="",E1034="!!!"),"",IF(OR(J1034=0,AND(J1034=1,K1034=1),AND(J1034=1,I1034="SBJ"),AND(J1034=1,I1034=0)),"?IN_FOCUS",IF(J1034&lt;=2,"?ACTIVATED",IF(J1034&lt;&gt;"","?FAMILIAR",IF(F1034="NEW",IF(ISNA(VLOOKUP(E1034,#REF!,1,FALSE())),"?TYPE_IDENTIFIABLE","?REFERENTIAL"),"_")))))</f>
        <v/>
      </c>
      <c r="H1034" s="23" t="str">
        <f t="shared" ca="1" si="109"/>
        <v/>
      </c>
      <c r="I1034" s="24" t="str">
        <f>IF(OR(E1034="",E1034="!!!",F1034="NEW"),"",INDEX(B$2:B1033,-1+SUMPRODUCT(MAX(ROW(E$2:E1033)*(E1034=E$2:E1033)))))</f>
        <v/>
      </c>
      <c r="J1034" s="24" t="str">
        <f ca="1">IF(OR(E1034="",E1034="!!!",F1034="NEW"),"",COUNTBLANK(OFFSET(A$1,,,SUMPRODUCT(MAX(ROW(E$2:E1034)*(E1034=E$2:E1034)))))-COUNTBLANK(OFFSET(A$1,,,SUMPRODUCT(MAX(ROW(E$1:E1033)*(E2=E$1:E1033))))))</f>
        <v/>
      </c>
      <c r="K1034" s="24" t="str">
        <f>IF(OR(E1034="",E1034="!!!",F1034="NEW"),"",INDEX(J$1:J1033,SUMPRODUCT(MAX(ROW(E$1:E1033)*(E1034=E$1:E1033)))))</f>
        <v/>
      </c>
      <c r="L1034" s="25"/>
    </row>
    <row r="1035" spans="1:12" x14ac:dyDescent="0.3">
      <c r="A1035" t="s">
        <v>684</v>
      </c>
      <c r="E1035" s="20" t="str">
        <f t="shared" si="108"/>
        <v/>
      </c>
      <c r="F1035" s="21" t="str">
        <f>IF(OR(E1035="",E1035="!!!"),"",IF(NOT(ISNA(VLOOKUP(E1035,E$1:E1034,1,FALSE()))),"OLD",IF(AND(E1035&lt;&gt;"",E1035&lt;&gt;"!!!"),"NEW","")))</f>
        <v/>
      </c>
      <c r="G1035" s="22" t="str">
        <f>IF(OR(E1035="",E1035="!!!"),"",IF(OR(J1035=0,AND(J1035=1,K1035=1),AND(J1035=1,I1035="SBJ"),AND(J1035=1,I1035=0)),"?IN_FOCUS",IF(J1035&lt;=2,"?ACTIVATED",IF(J1035&lt;&gt;"","?FAMILIAR",IF(F1035="NEW",IF(ISNA(VLOOKUP(E1035,#REF!,1,FALSE())),"?TYPE_IDENTIFIABLE","?REFERENTIAL"),"_")))))</f>
        <v/>
      </c>
      <c r="H1035" s="23" t="str">
        <f t="shared" ca="1" si="109"/>
        <v/>
      </c>
      <c r="I1035" s="24" t="str">
        <f>IF(OR(E1035="",E1035="!!!",F1035="NEW"),"",INDEX(B$2:B1034,-1+SUMPRODUCT(MAX(ROW(E$2:E1034)*(E1035=E$2:E1034)))))</f>
        <v/>
      </c>
      <c r="J1035" s="24" t="str">
        <f ca="1">IF(OR(E1035="",E1035="!!!",F1035="NEW"),"",COUNTBLANK(OFFSET(A$1,,,SUMPRODUCT(MAX(ROW(E$2:E1035)*(E1035=E$2:E1035)))))-COUNTBLANK(OFFSET(A$1,,,SUMPRODUCT(MAX(ROW(E$1:E1034)*(E2=E$1:E1034))))))</f>
        <v/>
      </c>
      <c r="K1035" s="24" t="str">
        <f>IF(OR(E1035="",E1035="!!!",F1035="NEW"),"",INDEX(J$1:J1034,SUMPRODUCT(MAX(ROW(E$1:E1034)*(E1035=E$1:E1034)))))</f>
        <v/>
      </c>
      <c r="L1035" s="25"/>
    </row>
    <row r="1036" spans="1:12" x14ac:dyDescent="0.3">
      <c r="A1036" t="s">
        <v>685</v>
      </c>
      <c r="B1036" s="26" t="s">
        <v>238</v>
      </c>
      <c r="C1036" s="26" t="s">
        <v>307</v>
      </c>
      <c r="E1036" s="20" t="str">
        <f t="shared" si="108"/>
        <v/>
      </c>
      <c r="F1036" s="21" t="str">
        <f>IF(OR(E1036="",E1036="!!!"),"",IF(NOT(ISNA(VLOOKUP(E1036,E$1:E1035,1,FALSE()))),"OLD",IF(AND(E1036&lt;&gt;"",E1036&lt;&gt;"!!!"),"NEW","")))</f>
        <v/>
      </c>
      <c r="G1036" s="22" t="str">
        <f>IF(OR(E1036="",E1036="!!!"),"",IF(OR(J1036=0,AND(J1036=1,K1036=1),AND(J1036=1,I1036="SBJ"),AND(J1036=1,I1036=0)),"?IN_FOCUS",IF(J1036&lt;=2,"?ACTIVATED",IF(J1036&lt;&gt;"","?FAMILIAR",IF(F1036="NEW",IF(ISNA(VLOOKUP(E1036,#REF!,1,FALSE())),"?TYPE_IDENTIFIABLE","?REFERENTIAL"),"_")))))</f>
        <v/>
      </c>
      <c r="H1036" s="23" t="str">
        <f t="shared" ca="1" si="109"/>
        <v/>
      </c>
      <c r="I1036" s="24" t="str">
        <f>IF(OR(E1036="",E1036="!!!",F1036="NEW"),"",INDEX(B$2:B1035,-1+SUMPRODUCT(MAX(ROW(E$2:E1035)*(E1036=E$2:E1035)))))</f>
        <v/>
      </c>
      <c r="J1036" s="24" t="str">
        <f ca="1">IF(OR(E1036="",E1036="!!!",F1036="NEW"),"",COUNTBLANK(OFFSET(A$1,,,SUMPRODUCT(MAX(ROW(E$2:E1036)*(E1036=E$2:E1036)))))-COUNTBLANK(OFFSET(A$1,,,SUMPRODUCT(MAX(ROW(E$1:E1035)*(E2=E$1:E1035))))))</f>
        <v/>
      </c>
      <c r="K1036" s="24" t="str">
        <f>IF(OR(E1036="",E1036="!!!",F1036="NEW"),"",INDEX(J$1:J1035,SUMPRODUCT(MAX(ROW(E$1:E1035)*(E1036=E$1:E1035)))))</f>
        <v/>
      </c>
      <c r="L1036" s="25"/>
    </row>
    <row r="1037" spans="1:12" x14ac:dyDescent="0.3">
      <c r="A1037" t="s">
        <v>245</v>
      </c>
      <c r="E1037" s="20" t="str">
        <f t="shared" si="108"/>
        <v/>
      </c>
      <c r="F1037" s="21" t="str">
        <f>IF(OR(E1037="",E1037="!!!"),"",IF(NOT(ISNA(VLOOKUP(E1037,E$1:E1036,1,FALSE()))),"OLD",IF(AND(E1037&lt;&gt;"",E1037&lt;&gt;"!!!"),"NEW","")))</f>
        <v/>
      </c>
      <c r="G1037" s="22" t="str">
        <f>IF(OR(E1037="",E1037="!!!"),"",IF(OR(J1037=0,AND(J1037=1,K1037=1),AND(J1037=1,I1037="SBJ"),AND(J1037=1,I1037=0)),"?IN_FOCUS",IF(J1037&lt;=2,"?ACTIVATED",IF(J1037&lt;&gt;"","?FAMILIAR",IF(F1037="NEW",IF(ISNA(VLOOKUP(E1037,#REF!,1,FALSE())),"?TYPE_IDENTIFIABLE","?REFERENTIAL"),"_")))))</f>
        <v/>
      </c>
      <c r="H1037" s="23" t="str">
        <f t="shared" ca="1" si="109"/>
        <v/>
      </c>
      <c r="I1037" s="24" t="str">
        <f>IF(OR(E1037="",E1037="!!!",F1037="NEW"),"",INDEX(B$2:B1036,-1+SUMPRODUCT(MAX(ROW(E$2:E1036)*(E1037=E$2:E1036)))))</f>
        <v/>
      </c>
      <c r="J1037" s="24" t="str">
        <f ca="1">IF(OR(E1037="",E1037="!!!",F1037="NEW"),"",COUNTBLANK(OFFSET(A$1,,,SUMPRODUCT(MAX(ROW(E$2:E1037)*(E1037=E$2:E1037)))))-COUNTBLANK(OFFSET(A$1,,,SUMPRODUCT(MAX(ROW(E$1:E1036)*(E2=E$1:E1036))))))</f>
        <v/>
      </c>
      <c r="K1037" s="24" t="str">
        <f>IF(OR(E1037="",E1037="!!!",F1037="NEW"),"",INDEX(J$1:J1036,SUMPRODUCT(MAX(ROW(E$1:E1036)*(E1037=E$1:E1036)))))</f>
        <v/>
      </c>
      <c r="L1037" s="25"/>
    </row>
    <row r="1038" spans="1:12" x14ac:dyDescent="0.3">
      <c r="A1038" t="s">
        <v>236</v>
      </c>
      <c r="E1038" s="20" t="str">
        <f t="shared" si="108"/>
        <v/>
      </c>
      <c r="F1038" s="21" t="str">
        <f>IF(OR(E1038="",E1038="!!!"),"",IF(NOT(ISNA(VLOOKUP(E1038,E$1:E1037,1,FALSE()))),"OLD",IF(AND(E1038&lt;&gt;"",E1038&lt;&gt;"!!!"),"NEW","")))</f>
        <v/>
      </c>
      <c r="G1038" s="22" t="str">
        <f>IF(OR(E1038="",E1038="!!!"),"",IF(OR(J1038=0,AND(J1038=1,K1038=1),AND(J1038=1,I1038="SBJ"),AND(J1038=1,I1038=0)),"?IN_FOCUS",IF(J1038&lt;=2,"?ACTIVATED",IF(J1038&lt;&gt;"","?FAMILIAR",IF(F1038="NEW",IF(ISNA(VLOOKUP(E1038,#REF!,1,FALSE())),"?TYPE_IDENTIFIABLE","?REFERENTIAL"),"_")))))</f>
        <v/>
      </c>
      <c r="H1038" s="23" t="str">
        <f t="shared" ca="1" si="109"/>
        <v/>
      </c>
      <c r="I1038" s="24" t="str">
        <f>IF(OR(E1038="",E1038="!!!",F1038="NEW"),"",INDEX(B$2:B1037,-1+SUMPRODUCT(MAX(ROW(E$2:E1037)*(E1038=E$2:E1037)))))</f>
        <v/>
      </c>
      <c r="J1038" s="24" t="str">
        <f ca="1">IF(OR(E1038="",E1038="!!!",F1038="NEW"),"",COUNTBLANK(OFFSET(A$1,,,SUMPRODUCT(MAX(ROW(E$2:E1038)*(E1038=E$2:E1038)))))-COUNTBLANK(OFFSET(A$1,,,SUMPRODUCT(MAX(ROW(E$1:E1037)*(E2=E$1:E1037))))))</f>
        <v/>
      </c>
      <c r="K1038" s="24" t="str">
        <f>IF(OR(E1038="",E1038="!!!",F1038="NEW"),"",INDEX(J$1:J1037,SUMPRODUCT(MAX(ROW(E$1:E1037)*(E1038=E$1:E1037)))))</f>
        <v/>
      </c>
      <c r="L1038" s="25"/>
    </row>
    <row r="1039" spans="1:12" x14ac:dyDescent="0.3">
      <c r="A1039" t="s">
        <v>405</v>
      </c>
      <c r="B1039" s="26" t="s">
        <v>238</v>
      </c>
      <c r="C1039" s="26" t="s">
        <v>239</v>
      </c>
      <c r="D1039" s="26" t="s">
        <v>240</v>
      </c>
      <c r="E1039" s="20" t="str">
        <f t="shared" si="108"/>
        <v>!!!</v>
      </c>
      <c r="F1039" s="21" t="str">
        <f>IF(OR(E1039="",E1039="!!!"),"",IF(NOT(ISNA(VLOOKUP(E1039,E$1:E1038,1,FALSE()))),"OLD",IF(AND(E1039&lt;&gt;"",E1039&lt;&gt;"!!!"),"NEW","")))</f>
        <v/>
      </c>
      <c r="G1039" s="22" t="str">
        <f>IF(OR(E1039="",E1039="!!!"),"",IF(OR(J1039=0,AND(J1039=1,K1039=1),AND(J1039=1,I1039="SBJ"),AND(J1039=1,I1039=0)),"?IN_FOCUS",IF(J1039&lt;=2,"?ACTIVATED",IF(J1039&lt;&gt;"","?FAMILIAR",IF(F1039="NEW",IF(ISNA(VLOOKUP(E1039,#REF!,1,FALSE())),"?TYPE_IDENTIFIABLE","?REFERENTIAL"),"_")))))</f>
        <v/>
      </c>
      <c r="H1039" s="23" t="str">
        <f t="shared" ca="1" si="109"/>
        <v/>
      </c>
      <c r="I1039" s="24" t="str">
        <f>IF(OR(E1039="",E1039="!!!",F1039="NEW"),"",INDEX(B$2:B1038,-1+SUMPRODUCT(MAX(ROW(E$2:E1038)*(E1039=E$2:E1038)))))</f>
        <v/>
      </c>
      <c r="J1039" s="24" t="str">
        <f ca="1">IF(OR(E1039="",E1039="!!!",F1039="NEW"),"",COUNTBLANK(OFFSET(A$1,,,SUMPRODUCT(MAX(ROW(E$2:E1039)*(E1039=E$2:E1039)))))-COUNTBLANK(OFFSET(A$1,,,SUMPRODUCT(MAX(ROW(E$1:E1038)*(E2=E$1:E1038))))))</f>
        <v/>
      </c>
      <c r="K1039" s="24" t="str">
        <f>IF(OR(E1039="",E1039="!!!",F1039="NEW"),"",INDEX(J$1:J1038,SUMPRODUCT(MAX(ROW(E$1:E1038)*(E1039=E$1:E1038)))))</f>
        <v/>
      </c>
      <c r="L1039" s="25"/>
    </row>
    <row r="1040" spans="1:12" x14ac:dyDescent="0.3">
      <c r="A1040" t="s">
        <v>686</v>
      </c>
      <c r="E1040" s="20" t="str">
        <f t="shared" si="108"/>
        <v/>
      </c>
      <c r="F1040" s="21" t="str">
        <f>IF(OR(E1040="",E1040="!!!"),"",IF(NOT(ISNA(VLOOKUP(E1040,E$1:E1039,1,FALSE()))),"OLD",IF(AND(E1040&lt;&gt;"",E1040&lt;&gt;"!!!"),"NEW","")))</f>
        <v/>
      </c>
      <c r="G1040" s="22" t="str">
        <f>IF(OR(E1040="",E1040="!!!"),"",IF(OR(J1040=0,AND(J1040=1,K1040=1),AND(J1040=1,I1040="SBJ"),AND(J1040=1,I1040=0)),"?IN_FOCUS",IF(J1040&lt;=2,"?ACTIVATED",IF(J1040&lt;&gt;"","?FAMILIAR",IF(F1040="NEW",IF(ISNA(VLOOKUP(E1040,#REF!,1,FALSE())),"?TYPE_IDENTIFIABLE","?REFERENTIAL"),"_")))))</f>
        <v/>
      </c>
      <c r="H1040" s="23" t="str">
        <f t="shared" ca="1" si="109"/>
        <v/>
      </c>
      <c r="I1040" s="24" t="str">
        <f>IF(OR(E1040="",E1040="!!!",F1040="NEW"),"",INDEX(B$2:B1039,-1+SUMPRODUCT(MAX(ROW(E$2:E1039)*(E1040=E$2:E1039)))))</f>
        <v/>
      </c>
      <c r="J1040" s="24" t="str">
        <f ca="1">IF(OR(E1040="",E1040="!!!",F1040="NEW"),"",COUNTBLANK(OFFSET(A$1,,,SUMPRODUCT(MAX(ROW(E$2:E1040)*(E1040=E$2:E1040)))))-COUNTBLANK(OFFSET(A$1,,,SUMPRODUCT(MAX(ROW(E$1:E1039)*(E2=E$1:E1039))))))</f>
        <v/>
      </c>
      <c r="K1040" s="24" t="str">
        <f>IF(OR(E1040="",E1040="!!!",F1040="NEW"),"",INDEX(J$1:J1039,SUMPRODUCT(MAX(ROW(E$1:E1039)*(E1040=E$1:E1039)))))</f>
        <v/>
      </c>
      <c r="L1040" s="25"/>
    </row>
    <row r="1041" spans="1:12" x14ac:dyDescent="0.3">
      <c r="A1041" t="s">
        <v>252</v>
      </c>
      <c r="E1041" s="20" t="str">
        <f t="shared" si="108"/>
        <v/>
      </c>
      <c r="F1041" s="21" t="str">
        <f>IF(OR(E1041="",E1041="!!!"),"",IF(NOT(ISNA(VLOOKUP(E1041,E$1:E1040,1,FALSE()))),"OLD",IF(AND(E1041&lt;&gt;"",E1041&lt;&gt;"!!!"),"NEW","")))</f>
        <v/>
      </c>
      <c r="G1041" s="22" t="str">
        <f>IF(OR(E1041="",E1041="!!!"),"",IF(OR(J1041=0,AND(J1041=1,K1041=1),AND(J1041=1,I1041="SBJ"),AND(J1041=1,I1041=0)),"?IN_FOCUS",IF(J1041&lt;=2,"?ACTIVATED",IF(J1041&lt;&gt;"","?FAMILIAR",IF(F1041="NEW",IF(ISNA(VLOOKUP(E1041,#REF!,1,FALSE())),"?TYPE_IDENTIFIABLE","?REFERENTIAL"),"_")))))</f>
        <v/>
      </c>
      <c r="H1041" s="23" t="str">
        <f t="shared" ca="1" si="109"/>
        <v/>
      </c>
      <c r="I1041" s="24" t="str">
        <f>IF(OR(E1041="",E1041="!!!",F1041="NEW"),"",INDEX(B$2:B1040,-1+SUMPRODUCT(MAX(ROW(E$2:E1040)*(E1041=E$2:E1040)))))</f>
        <v/>
      </c>
      <c r="J1041" s="24" t="str">
        <f ca="1">IF(OR(E1041="",E1041="!!!",F1041="NEW"),"",COUNTBLANK(OFFSET(A$1,,,SUMPRODUCT(MAX(ROW(E$2:E1041)*(E1041=E$2:E1041)))))-COUNTBLANK(OFFSET(A$1,,,SUMPRODUCT(MAX(ROW(E$1:E1040)*(E2=E$1:E1040))))))</f>
        <v/>
      </c>
      <c r="K1041" s="24" t="str">
        <f>IF(OR(E1041="",E1041="!!!",F1041="NEW"),"",INDEX(J$1:J1040,SUMPRODUCT(MAX(ROW(E$1:E1040)*(E1041=E$1:E1040)))))</f>
        <v/>
      </c>
      <c r="L1041" s="25"/>
    </row>
    <row r="1042" spans="1:12" x14ac:dyDescent="0.3">
      <c r="A1042" t="s">
        <v>267</v>
      </c>
      <c r="B1042" s="26" t="s">
        <v>255</v>
      </c>
      <c r="E1042" s="20" t="str">
        <f t="shared" si="108"/>
        <v/>
      </c>
      <c r="F1042" s="21" t="str">
        <f>IF(OR(E1042="",E1042="!!!"),"",IF(NOT(ISNA(VLOOKUP(E1042,E$1:E1041,1,FALSE()))),"OLD",IF(AND(E1042&lt;&gt;"",E1042&lt;&gt;"!!!"),"NEW","")))</f>
        <v/>
      </c>
      <c r="G1042" s="22" t="str">
        <f>IF(OR(E1042="",E1042="!!!"),"",IF(OR(J1042=0,AND(J1042=1,K1042=1),AND(J1042=1,I1042="SBJ"),AND(J1042=1,I1042=0)),"?IN_FOCUS",IF(J1042&lt;=2,"?ACTIVATED",IF(J1042&lt;&gt;"","?FAMILIAR",IF(F1042="NEW",IF(ISNA(VLOOKUP(E1042,#REF!,1,FALSE())),"?TYPE_IDENTIFIABLE","?REFERENTIAL"),"_")))))</f>
        <v/>
      </c>
      <c r="H1042" s="23" t="str">
        <f t="shared" ca="1" si="109"/>
        <v/>
      </c>
      <c r="I1042" s="24" t="str">
        <f>IF(OR(E1042="",E1042="!!!",F1042="NEW"),"",INDEX(B$2:B1041,-1+SUMPRODUCT(MAX(ROW(E$2:E1041)*(E1042=E$2:E1041)))))</f>
        <v/>
      </c>
      <c r="J1042" s="24" t="str">
        <f ca="1">IF(OR(E1042="",E1042="!!!",F1042="NEW"),"",COUNTBLANK(OFFSET(A$1,,,SUMPRODUCT(MAX(ROW(E$2:E1042)*(E1042=E$2:E1042)))))-COUNTBLANK(OFFSET(A$1,,,SUMPRODUCT(MAX(ROW(E$1:E1041)*(E2=E$1:E1041))))))</f>
        <v/>
      </c>
      <c r="K1042" s="24" t="str">
        <f>IF(OR(E1042="",E1042="!!!",F1042="NEW"),"",INDEX(J$1:J1041,SUMPRODUCT(MAX(ROW(E$1:E1041)*(E1042=E$1:E1041)))))</f>
        <v/>
      </c>
      <c r="L1042" s="25"/>
    </row>
    <row r="1043" spans="1:12" x14ac:dyDescent="0.3">
      <c r="A1043" t="s">
        <v>687</v>
      </c>
      <c r="E1043" s="20" t="str">
        <f t="shared" si="108"/>
        <v/>
      </c>
      <c r="F1043" s="21" t="str">
        <f>IF(OR(E1043="",E1043="!!!"),"",IF(NOT(ISNA(VLOOKUP(E1043,E$1:E1042,1,FALSE()))),"OLD",IF(AND(E1043&lt;&gt;"",E1043&lt;&gt;"!!!"),"NEW","")))</f>
        <v/>
      </c>
      <c r="G1043" s="22" t="str">
        <f>IF(OR(E1043="",E1043="!!!"),"",IF(OR(J1043=0,AND(J1043=1,K1043=1),AND(J1043=1,I1043="SBJ"),AND(J1043=1,I1043=0)),"?IN_FOCUS",IF(J1043&lt;=2,"?ACTIVATED",IF(J1043&lt;&gt;"","?FAMILIAR",IF(F1043="NEW",IF(ISNA(VLOOKUP(E1043,#REF!,1,FALSE())),"?TYPE_IDENTIFIABLE","?REFERENTIAL"),"_")))))</f>
        <v/>
      </c>
      <c r="H1043" s="23" t="str">
        <f t="shared" ca="1" si="109"/>
        <v/>
      </c>
      <c r="I1043" s="24" t="str">
        <f>IF(OR(E1043="",E1043="!!!",F1043="NEW"),"",INDEX(B$2:B1042,-1+SUMPRODUCT(MAX(ROW(E$2:E1042)*(E1043=E$2:E1042)))))</f>
        <v/>
      </c>
      <c r="J1043" s="24" t="str">
        <f ca="1">IF(OR(E1043="",E1043="!!!",F1043="NEW"),"",COUNTBLANK(OFFSET(A$1,,,SUMPRODUCT(MAX(ROW(E$2:E1043)*(E1043=E$2:E1043)))))-COUNTBLANK(OFFSET(A$1,,,SUMPRODUCT(MAX(ROW(E$1:E1042)*(E2=E$1:E1042))))))</f>
        <v/>
      </c>
      <c r="K1043" s="24" t="str">
        <f>IF(OR(E1043="",E1043="!!!",F1043="NEW"),"",INDEX(J$1:J1042,SUMPRODUCT(MAX(ROW(E$1:E1042)*(E1043=E$1:E1042)))))</f>
        <v/>
      </c>
      <c r="L1043" s="25"/>
    </row>
    <row r="1044" spans="1:12" x14ac:dyDescent="0.3">
      <c r="A1044" t="s">
        <v>257</v>
      </c>
      <c r="E1044" s="20" t="str">
        <f t="shared" si="108"/>
        <v/>
      </c>
      <c r="F1044" s="21" t="str">
        <f>IF(OR(E1044="",E1044="!!!"),"",IF(NOT(ISNA(VLOOKUP(E1044,E$1:E1043,1,FALSE()))),"OLD",IF(AND(E1044&lt;&gt;"",E1044&lt;&gt;"!!!"),"NEW","")))</f>
        <v/>
      </c>
      <c r="G1044" s="22" t="str">
        <f>IF(OR(E1044="",E1044="!!!"),"",IF(OR(J1044=0,AND(J1044=1,K1044=1),AND(J1044=1,I1044="SBJ"),AND(J1044=1,I1044=0)),"?IN_FOCUS",IF(J1044&lt;=2,"?ACTIVATED",IF(J1044&lt;&gt;"","?FAMILIAR",IF(F1044="NEW",IF(ISNA(VLOOKUP(E1044,#REF!,1,FALSE())),"?TYPE_IDENTIFIABLE","?REFERENTIAL"),"_")))))</f>
        <v/>
      </c>
      <c r="H1044" s="23" t="str">
        <f t="shared" ca="1" si="109"/>
        <v/>
      </c>
      <c r="I1044" s="24" t="str">
        <f>IF(OR(E1044="",E1044="!!!",F1044="NEW"),"",INDEX(B$2:B1043,-1+SUMPRODUCT(MAX(ROW(E$2:E1043)*(E1044=E$2:E1043)))))</f>
        <v/>
      </c>
      <c r="J1044" s="24" t="str">
        <f ca="1">IF(OR(E1044="",E1044="!!!",F1044="NEW"),"",COUNTBLANK(OFFSET(A$1,,,SUMPRODUCT(MAX(ROW(E$2:E1044)*(E1044=E$2:E1044)))))-COUNTBLANK(OFFSET(A$1,,,SUMPRODUCT(MAX(ROW(E$1:E1043)*(E2=E$1:E1043))))))</f>
        <v/>
      </c>
      <c r="K1044" s="24" t="str">
        <f>IF(OR(E1044="",E1044="!!!",F1044="NEW"),"",INDEX(J$1:J1043,SUMPRODUCT(MAX(ROW(E$1:E1043)*(E1044=E$1:E1043)))))</f>
        <v/>
      </c>
      <c r="L1044" s="25"/>
    </row>
    <row r="1045" spans="1:12" x14ac:dyDescent="0.3">
      <c r="A1045" t="s">
        <v>688</v>
      </c>
      <c r="E1045" s="20" t="str">
        <f t="shared" si="108"/>
        <v/>
      </c>
      <c r="F1045" s="21" t="str">
        <f>IF(OR(E1045="",E1045="!!!"),"",IF(NOT(ISNA(VLOOKUP(E1045,E$1:E1044,1,FALSE()))),"OLD",IF(AND(E1045&lt;&gt;"",E1045&lt;&gt;"!!!"),"NEW","")))</f>
        <v/>
      </c>
      <c r="G1045" s="22" t="str">
        <f>IF(OR(E1045="",E1045="!!!"),"",IF(OR(J1045=0,AND(J1045=1,K1045=1),AND(J1045=1,I1045="SBJ"),AND(J1045=1,I1045=0)),"?IN_FOCUS",IF(J1045&lt;=2,"?ACTIVATED",IF(J1045&lt;&gt;"","?FAMILIAR",IF(F1045="NEW",IF(ISNA(VLOOKUP(E1045,#REF!,1,FALSE())),"?TYPE_IDENTIFIABLE","?REFERENTIAL"),"_")))))</f>
        <v/>
      </c>
      <c r="H1045" s="23" t="str">
        <f t="shared" ca="1" si="109"/>
        <v/>
      </c>
      <c r="I1045" s="24" t="str">
        <f>IF(OR(E1045="",E1045="!!!",F1045="NEW"),"",INDEX(B$2:B1044,-1+SUMPRODUCT(MAX(ROW(E$2:E1044)*(E1045=E$2:E1044)))))</f>
        <v/>
      </c>
      <c r="J1045" s="24" t="str">
        <f ca="1">IF(OR(E1045="",E1045="!!!",F1045="NEW"),"",COUNTBLANK(OFFSET(A$1,,,SUMPRODUCT(MAX(ROW(E$2:E1045)*(E1045=E$2:E1045)))))-COUNTBLANK(OFFSET(A$1,,,SUMPRODUCT(MAX(ROW(E$1:E1044)*(E2=E$1:E1044))))))</f>
        <v/>
      </c>
      <c r="K1045" s="24" t="str">
        <f>IF(OR(E1045="",E1045="!!!",F1045="NEW"),"",INDEX(J$1:J1044,SUMPRODUCT(MAX(ROW(E$1:E1044)*(E1045=E$1:E1044)))))</f>
        <v/>
      </c>
      <c r="L1045" s="25"/>
    </row>
    <row r="1046" spans="1:12" x14ac:dyDescent="0.3">
      <c r="A1046" t="s">
        <v>581</v>
      </c>
      <c r="B1046" s="26" t="s">
        <v>261</v>
      </c>
      <c r="C1046" s="26" t="s">
        <v>480</v>
      </c>
      <c r="E1046" s="20" t="str">
        <f t="shared" si="108"/>
        <v/>
      </c>
      <c r="F1046" s="21" t="str">
        <f>IF(OR(E1046="",E1046="!!!"),"",IF(NOT(ISNA(VLOOKUP(E1046,E$1:E1045,1,FALSE()))),"OLD",IF(AND(E1046&lt;&gt;"",E1046&lt;&gt;"!!!"),"NEW","")))</f>
        <v/>
      </c>
      <c r="G1046" s="22" t="str">
        <f>IF(OR(E1046="",E1046="!!!"),"",IF(OR(J1046=0,AND(J1046=1,K1046=1),AND(J1046=1,I1046="SBJ"),AND(J1046=1,I1046=0)),"?IN_FOCUS",IF(J1046&lt;=2,"?ACTIVATED",IF(J1046&lt;&gt;"","?FAMILIAR",IF(F1046="NEW",IF(ISNA(VLOOKUP(E1046,#REF!,1,FALSE())),"?TYPE_IDENTIFIABLE","?REFERENTIAL"),"_")))))</f>
        <v/>
      </c>
      <c r="H1046" s="23" t="str">
        <f t="shared" ca="1" si="109"/>
        <v/>
      </c>
      <c r="I1046" s="24" t="str">
        <f>IF(OR(E1046="",E1046="!!!",F1046="NEW"),"",INDEX(B$2:B1045,-1+SUMPRODUCT(MAX(ROW(E$2:E1045)*(E1046=E$2:E1045)))))</f>
        <v/>
      </c>
      <c r="J1046" s="24" t="str">
        <f ca="1">IF(OR(E1046="",E1046="!!!",F1046="NEW"),"",COUNTBLANK(OFFSET(A$1,,,SUMPRODUCT(MAX(ROW(E$2:E1046)*(E1046=E$2:E1046)))))-COUNTBLANK(OFFSET(A$1,,,SUMPRODUCT(MAX(ROW(E$1:E1045)*(E2=E$1:E1045))))))</f>
        <v/>
      </c>
      <c r="K1046" s="24" t="str">
        <f>IF(OR(E1046="",E1046="!!!",F1046="NEW"),"",INDEX(J$1:J1045,SUMPRODUCT(MAX(ROW(E$1:E1045)*(E1046=E$1:E1045)))))</f>
        <v/>
      </c>
      <c r="L1046" s="25"/>
    </row>
    <row r="1047" spans="1:12" x14ac:dyDescent="0.3">
      <c r="A1047" t="s">
        <v>689</v>
      </c>
      <c r="E1047" s="20" t="str">
        <f t="shared" si="108"/>
        <v/>
      </c>
      <c r="F1047" s="21" t="str">
        <f>IF(OR(E1047="",E1047="!!!"),"",IF(NOT(ISNA(VLOOKUP(E1047,E$1:E1046,1,FALSE()))),"OLD",IF(AND(E1047&lt;&gt;"",E1047&lt;&gt;"!!!"),"NEW","")))</f>
        <v/>
      </c>
      <c r="G1047" s="22" t="str">
        <f>IF(OR(E1047="",E1047="!!!"),"",IF(OR(J1047=0,AND(J1047=1,K1047=1),AND(J1047=1,I1047="SBJ"),AND(J1047=1,I1047=0)),"?IN_FOCUS",IF(J1047&lt;=2,"?ACTIVATED",IF(J1047&lt;&gt;"","?FAMILIAR",IF(F1047="NEW",IF(ISNA(VLOOKUP(E1047,#REF!,1,FALSE())),"?TYPE_IDENTIFIABLE","?REFERENTIAL"),"_")))))</f>
        <v/>
      </c>
      <c r="H1047" s="23" t="str">
        <f t="shared" ca="1" si="109"/>
        <v/>
      </c>
      <c r="I1047" s="24" t="str">
        <f>IF(OR(E1047="",E1047="!!!",F1047="NEW"),"",INDEX(B$2:B1046,-1+SUMPRODUCT(MAX(ROW(E$2:E1046)*(E1047=E$2:E1046)))))</f>
        <v/>
      </c>
      <c r="J1047" s="24" t="str">
        <f ca="1">IF(OR(E1047="",E1047="!!!",F1047="NEW"),"",COUNTBLANK(OFFSET(A$1,,,SUMPRODUCT(MAX(ROW(E$2:E1047)*(E1047=E$2:E1047)))))-COUNTBLANK(OFFSET(A$1,,,SUMPRODUCT(MAX(ROW(E$1:E1046)*(E2=E$1:E1046))))))</f>
        <v/>
      </c>
      <c r="K1047" s="24" t="str">
        <f>IF(OR(E1047="",E1047="!!!",F1047="NEW"),"",INDEX(J$1:J1046,SUMPRODUCT(MAX(ROW(E$1:E1046)*(E1047=E$1:E1046)))))</f>
        <v/>
      </c>
      <c r="L1047" s="25"/>
    </row>
    <row r="1048" spans="1:12" x14ac:dyDescent="0.3">
      <c r="A1048" t="s">
        <v>675</v>
      </c>
      <c r="E1048" s="20" t="str">
        <f t="shared" si="108"/>
        <v/>
      </c>
      <c r="F1048" s="21" t="str">
        <f>IF(OR(E1048="",E1048="!!!"),"",IF(NOT(ISNA(VLOOKUP(E1048,E$1:E1047,1,FALSE()))),"OLD",IF(AND(E1048&lt;&gt;"",E1048&lt;&gt;"!!!"),"NEW","")))</f>
        <v/>
      </c>
      <c r="G1048" s="22" t="str">
        <f>IF(OR(E1048="",E1048="!!!"),"",IF(OR(J1048=0,AND(J1048=1,K1048=1),AND(J1048=1,I1048="SBJ"),AND(J1048=1,I1048=0)),"?IN_FOCUS",IF(J1048&lt;=2,"?ACTIVATED",IF(J1048&lt;&gt;"","?FAMILIAR",IF(F1048="NEW",IF(ISNA(VLOOKUP(E1048,#REF!,1,FALSE())),"?TYPE_IDENTIFIABLE","?REFERENTIAL"),"_")))))</f>
        <v/>
      </c>
      <c r="H1048" s="23" t="str">
        <f t="shared" ca="1" si="109"/>
        <v/>
      </c>
      <c r="I1048" s="24" t="str">
        <f>IF(OR(E1048="",E1048="!!!",F1048="NEW"),"",INDEX(B$2:B1047,-1+SUMPRODUCT(MAX(ROW(E$2:E1047)*(E1048=E$2:E1047)))))</f>
        <v/>
      </c>
      <c r="J1048" s="24" t="str">
        <f ca="1">IF(OR(E1048="",E1048="!!!",F1048="NEW"),"",COUNTBLANK(OFFSET(A$1,,,SUMPRODUCT(MAX(ROW(E$2:E1048)*(E1048=E$2:E1048)))))-COUNTBLANK(OFFSET(A$1,,,SUMPRODUCT(MAX(ROW(E$1:E1047)*(E2=E$1:E1047))))))</f>
        <v/>
      </c>
      <c r="K1048" s="24" t="str">
        <f>IF(OR(E1048="",E1048="!!!",F1048="NEW"),"",INDEX(J$1:J1047,SUMPRODUCT(MAX(ROW(E$1:E1047)*(E1048=E$1:E1047)))))</f>
        <v/>
      </c>
      <c r="L1048" s="25"/>
    </row>
    <row r="1049" spans="1:12" x14ac:dyDescent="0.3">
      <c r="A1049" t="s">
        <v>252</v>
      </c>
      <c r="E1049" s="20" t="str">
        <f t="shared" si="108"/>
        <v/>
      </c>
      <c r="F1049" s="21" t="str">
        <f>IF(OR(E1049="",E1049="!!!"),"",IF(NOT(ISNA(VLOOKUP(E1049,E$1:E1048,1,FALSE()))),"OLD",IF(AND(E1049&lt;&gt;"",E1049&lt;&gt;"!!!"),"NEW","")))</f>
        <v/>
      </c>
      <c r="G1049" s="22" t="str">
        <f>IF(OR(E1049="",E1049="!!!"),"",IF(OR(J1049=0,AND(J1049=1,K1049=1),AND(J1049=1,I1049="SBJ"),AND(J1049=1,I1049=0)),"?IN_FOCUS",IF(J1049&lt;=2,"?ACTIVATED",IF(J1049&lt;&gt;"","?FAMILIAR",IF(F1049="NEW",IF(ISNA(VLOOKUP(E1049,#REF!,1,FALSE())),"?TYPE_IDENTIFIABLE","?REFERENTIAL"),"_")))))</f>
        <v/>
      </c>
      <c r="H1049" s="23" t="str">
        <f t="shared" ca="1" si="109"/>
        <v/>
      </c>
      <c r="I1049" s="24" t="str">
        <f>IF(OR(E1049="",E1049="!!!",F1049="NEW"),"",INDEX(B$2:B1048,-1+SUMPRODUCT(MAX(ROW(E$2:E1048)*(E1049=E$2:E1048)))))</f>
        <v/>
      </c>
      <c r="J1049" s="24" t="str">
        <f ca="1">IF(OR(E1049="",E1049="!!!",F1049="NEW"),"",COUNTBLANK(OFFSET(A$1,,,SUMPRODUCT(MAX(ROW(E$2:E1049)*(E1049=E$2:E1049)))))-COUNTBLANK(OFFSET(A$1,,,SUMPRODUCT(MAX(ROW(E$1:E1048)*(E2=E$1:E1048))))))</f>
        <v/>
      </c>
      <c r="K1049" s="24" t="str">
        <f>IF(OR(E1049="",E1049="!!!",F1049="NEW"),"",INDEX(J$1:J1048,SUMPRODUCT(MAX(ROW(E$1:E1048)*(E1049=E$1:E1048)))))</f>
        <v/>
      </c>
      <c r="L1049" s="25"/>
    </row>
    <row r="1050" spans="1:12" x14ac:dyDescent="0.3">
      <c r="A1050" t="s">
        <v>278</v>
      </c>
      <c r="E1050" s="20" t="str">
        <f t="shared" si="108"/>
        <v/>
      </c>
      <c r="F1050" s="21" t="str">
        <f>IF(OR(E1050="",E1050="!!!"),"",IF(NOT(ISNA(VLOOKUP(E1050,E$1:E1049,1,FALSE()))),"OLD",IF(AND(E1050&lt;&gt;"",E1050&lt;&gt;"!!!"),"NEW","")))</f>
        <v/>
      </c>
      <c r="G1050" s="22" t="str">
        <f>IF(OR(E1050="",E1050="!!!"),"",IF(OR(J1050=0,AND(J1050=1,K1050=1),AND(J1050=1,I1050="SBJ"),AND(J1050=1,I1050=0)),"?IN_FOCUS",IF(J1050&lt;=2,"?ACTIVATED",IF(J1050&lt;&gt;"","?FAMILIAR",IF(F1050="NEW",IF(ISNA(VLOOKUP(E1050,#REF!,1,FALSE())),"?TYPE_IDENTIFIABLE","?REFERENTIAL"),"_")))))</f>
        <v/>
      </c>
      <c r="H1050" s="23" t="str">
        <f t="shared" ca="1" si="109"/>
        <v/>
      </c>
      <c r="I1050" s="24" t="str">
        <f>IF(OR(E1050="",E1050="!!!",F1050="NEW"),"",INDEX(B$2:B1049,-1+SUMPRODUCT(MAX(ROW(E$2:E1049)*(E1050=E$2:E1049)))))</f>
        <v/>
      </c>
      <c r="J1050" s="24" t="str">
        <f ca="1">IF(OR(E1050="",E1050="!!!",F1050="NEW"),"",COUNTBLANK(OFFSET(A$1,,,SUMPRODUCT(MAX(ROW(E$2:E1050)*(E1050=E$2:E1050)))))-COUNTBLANK(OFFSET(A$1,,,SUMPRODUCT(MAX(ROW(E$1:E1049)*(E2=E$1:E1049))))))</f>
        <v/>
      </c>
      <c r="K1050" s="24" t="str">
        <f>IF(OR(E1050="",E1050="!!!",F1050="NEW"),"",INDEX(J$1:J1049,SUMPRODUCT(MAX(ROW(E$1:E1049)*(E1050=E$1:E1049)))))</f>
        <v/>
      </c>
      <c r="L1050" s="25"/>
    </row>
    <row r="1051" spans="1:12" x14ac:dyDescent="0.3">
      <c r="A1051" t="s">
        <v>643</v>
      </c>
      <c r="E1051" s="20" t="str">
        <f t="shared" si="108"/>
        <v/>
      </c>
      <c r="F1051" s="21" t="str">
        <f>IF(OR(E1051="",E1051="!!!"),"",IF(NOT(ISNA(VLOOKUP(E1051,E$1:E1050,1,FALSE()))),"OLD",IF(AND(E1051&lt;&gt;"",E1051&lt;&gt;"!!!"),"NEW","")))</f>
        <v/>
      </c>
      <c r="G1051" s="22" t="str">
        <f>IF(OR(E1051="",E1051="!!!"),"",IF(OR(J1051=0,AND(J1051=1,K1051=1),AND(J1051=1,I1051="SBJ"),AND(J1051=1,I1051=0)),"?IN_FOCUS",IF(J1051&lt;=2,"?ACTIVATED",IF(J1051&lt;&gt;"","?FAMILIAR",IF(F1051="NEW",IF(ISNA(VLOOKUP(E1051,#REF!,1,FALSE())),"?TYPE_IDENTIFIABLE","?REFERENTIAL"),"_")))))</f>
        <v/>
      </c>
      <c r="H1051" s="23" t="str">
        <f t="shared" ca="1" si="109"/>
        <v/>
      </c>
      <c r="I1051" s="24" t="str">
        <f>IF(OR(E1051="",E1051="!!!",F1051="NEW"),"",INDEX(B$2:B1050,-1+SUMPRODUCT(MAX(ROW(E$2:E1050)*(E1051=E$2:E1050)))))</f>
        <v/>
      </c>
      <c r="J1051" s="24" t="str">
        <f ca="1">IF(OR(E1051="",E1051="!!!",F1051="NEW"),"",COUNTBLANK(OFFSET(A$1,,,SUMPRODUCT(MAX(ROW(E$2:E1051)*(E1051=E$2:E1051)))))-COUNTBLANK(OFFSET(A$1,,,SUMPRODUCT(MAX(ROW(E$1:E1050)*(E2=E$1:E1050))))))</f>
        <v/>
      </c>
      <c r="K1051" s="24" t="str">
        <f>IF(OR(E1051="",E1051="!!!",F1051="NEW"),"",INDEX(J$1:J1050,SUMPRODUCT(MAX(ROW(E$1:E1050)*(E1051=E$1:E1050)))))</f>
        <v/>
      </c>
      <c r="L1051" s="25"/>
    </row>
    <row r="1052" spans="1:12" x14ac:dyDescent="0.3">
      <c r="A1052" t="s">
        <v>591</v>
      </c>
      <c r="E1052" s="20" t="str">
        <f t="shared" si="108"/>
        <v/>
      </c>
      <c r="F1052" s="21" t="str">
        <f>IF(OR(E1052="",E1052="!!!"),"",IF(NOT(ISNA(VLOOKUP(E1052,E$1:E1051,1,FALSE()))),"OLD",IF(AND(E1052&lt;&gt;"",E1052&lt;&gt;"!!!"),"NEW","")))</f>
        <v/>
      </c>
      <c r="G1052" s="22" t="str">
        <f>IF(OR(E1052="",E1052="!!!"),"",IF(OR(J1052=0,AND(J1052=1,K1052=1),AND(J1052=1,I1052="SBJ"),AND(J1052=1,I1052=0)),"?IN_FOCUS",IF(J1052&lt;=2,"?ACTIVATED",IF(J1052&lt;&gt;"","?FAMILIAR",IF(F1052="NEW",IF(ISNA(VLOOKUP(E1052,#REF!,1,FALSE())),"?TYPE_IDENTIFIABLE","?REFERENTIAL"),"_")))))</f>
        <v/>
      </c>
      <c r="H1052" s="23" t="str">
        <f t="shared" ca="1" si="109"/>
        <v/>
      </c>
      <c r="I1052" s="24" t="str">
        <f>IF(OR(E1052="",E1052="!!!",F1052="NEW"),"",INDEX(B$2:B1051,-1+SUMPRODUCT(MAX(ROW(E$2:E1051)*(E1052=E$2:E1051)))))</f>
        <v/>
      </c>
      <c r="J1052" s="24" t="str">
        <f ca="1">IF(OR(E1052="",E1052="!!!",F1052="NEW"),"",COUNTBLANK(OFFSET(A$1,,,SUMPRODUCT(MAX(ROW(E$2:E1052)*(E1052=E$2:E1052)))))-COUNTBLANK(OFFSET(A$1,,,SUMPRODUCT(MAX(ROW(E$1:E1051)*(E2=E$1:E1051))))))</f>
        <v/>
      </c>
      <c r="K1052" s="24" t="str">
        <f>IF(OR(E1052="",E1052="!!!",F1052="NEW"),"",INDEX(J$1:J1051,SUMPRODUCT(MAX(ROW(E$1:E1051)*(E1052=E$1:E1051)))))</f>
        <v/>
      </c>
      <c r="L1052" s="25"/>
    </row>
    <row r="1053" spans="1:12" x14ac:dyDescent="0.3">
      <c r="A1053" t="s">
        <v>254</v>
      </c>
      <c r="B1053" s="26" t="s">
        <v>282</v>
      </c>
      <c r="C1053" s="26" t="s">
        <v>256</v>
      </c>
      <c r="D1053" s="26" t="s">
        <v>240</v>
      </c>
      <c r="E1053" s="20" t="str">
        <f t="shared" si="108"/>
        <v>!!!</v>
      </c>
      <c r="F1053" s="21" t="str">
        <f>IF(OR(E1053="",E1053="!!!"),"",IF(NOT(ISNA(VLOOKUP(E1053,E$1:E1052,1,FALSE()))),"OLD",IF(AND(E1053&lt;&gt;"",E1053&lt;&gt;"!!!"),"NEW","")))</f>
        <v/>
      </c>
      <c r="G1053" s="22" t="str">
        <f>IF(OR(E1053="",E1053="!!!"),"",IF(OR(J1053=0,AND(J1053=1,K1053=1),AND(J1053=1,I1053="SBJ"),AND(J1053=1,I1053=0)),"?IN_FOCUS",IF(J1053&lt;=2,"?ACTIVATED",IF(J1053&lt;&gt;"","?FAMILIAR",IF(F1053="NEW",IF(ISNA(VLOOKUP(E1053,#REF!,1,FALSE())),"?TYPE_IDENTIFIABLE","?REFERENTIAL"),"_")))))</f>
        <v/>
      </c>
      <c r="H1053" s="23" t="str">
        <f t="shared" ca="1" si="109"/>
        <v/>
      </c>
      <c r="I1053" s="24" t="str">
        <f>IF(OR(E1053="",E1053="!!!",F1053="NEW"),"",INDEX(B$2:B1052,-1+SUMPRODUCT(MAX(ROW(E$2:E1052)*(E1053=E$2:E1052)))))</f>
        <v/>
      </c>
      <c r="J1053" s="24" t="str">
        <f ca="1">IF(OR(E1053="",E1053="!!!",F1053="NEW"),"",COUNTBLANK(OFFSET(A$1,,,SUMPRODUCT(MAX(ROW(E$2:E1053)*(E1053=E$2:E1053)))))-COUNTBLANK(OFFSET(A$1,,,SUMPRODUCT(MAX(ROW(E$1:E1052)*(E2=E$1:E1052))))))</f>
        <v/>
      </c>
      <c r="K1053" s="24" t="str">
        <f>IF(OR(E1053="",E1053="!!!",F1053="NEW"),"",INDEX(J$1:J1052,SUMPRODUCT(MAX(ROW(E$1:E1052)*(E1053=E$1:E1052)))))</f>
        <v/>
      </c>
      <c r="L1053" s="25"/>
    </row>
    <row r="1054" spans="1:12" x14ac:dyDescent="0.3">
      <c r="A1054" t="s">
        <v>690</v>
      </c>
      <c r="B1054" s="26" t="s">
        <v>276</v>
      </c>
      <c r="C1054" s="26" t="s">
        <v>346</v>
      </c>
      <c r="D1054" s="26" t="s">
        <v>240</v>
      </c>
      <c r="E1054" s="20" t="str">
        <f t="shared" si="108"/>
        <v>!!!</v>
      </c>
      <c r="F1054" s="21" t="str">
        <f>IF(OR(E1054="",E1054="!!!"),"",IF(NOT(ISNA(VLOOKUP(E1054,E$1:E1053,1,FALSE()))),"OLD",IF(AND(E1054&lt;&gt;"",E1054&lt;&gt;"!!!"),"NEW","")))</f>
        <v/>
      </c>
      <c r="G1054" s="22" t="str">
        <f>IF(OR(E1054="",E1054="!!!"),"",IF(OR(J1054=0,AND(J1054=1,K1054=1),AND(J1054=1,I1054="SBJ"),AND(J1054=1,I1054=0)),"?IN_FOCUS",IF(J1054&lt;=2,"?ACTIVATED",IF(J1054&lt;&gt;"","?FAMILIAR",IF(F1054="NEW",IF(ISNA(VLOOKUP(E1054,#REF!,1,FALSE())),"?TYPE_IDENTIFIABLE","?REFERENTIAL"),"_")))))</f>
        <v/>
      </c>
      <c r="H1054" s="23" t="str">
        <f t="shared" ca="1" si="109"/>
        <v/>
      </c>
      <c r="I1054" s="24" t="str">
        <f>IF(OR(E1054="",E1054="!!!",F1054="NEW"),"",INDEX(B$2:B1053,-1+SUMPRODUCT(MAX(ROW(E$2:E1053)*(E1054=E$2:E1053)))))</f>
        <v/>
      </c>
      <c r="J1054" s="24" t="str">
        <f ca="1">IF(OR(E1054="",E1054="!!!",F1054="NEW"),"",COUNTBLANK(OFFSET(A$1,,,SUMPRODUCT(MAX(ROW(E$2:E1054)*(E1054=E$2:E1054)))))-COUNTBLANK(OFFSET(A$1,,,SUMPRODUCT(MAX(ROW(E$1:E1053)*(E2=E$1:E1053))))))</f>
        <v/>
      </c>
      <c r="K1054" s="24" t="str">
        <f>IF(OR(E1054="",E1054="!!!",F1054="NEW"),"",INDEX(J$1:J1053,SUMPRODUCT(MAX(ROW(E$1:E1053)*(E1054=E$1:E1053)))))</f>
        <v/>
      </c>
      <c r="L1054" s="25"/>
    </row>
    <row r="1055" spans="1:12" x14ac:dyDescent="0.3">
      <c r="A1055" t="s">
        <v>246</v>
      </c>
      <c r="B1055" s="26" t="s">
        <v>285</v>
      </c>
      <c r="C1055" s="26" t="s">
        <v>587</v>
      </c>
      <c r="D1055" s="26" t="s">
        <v>240</v>
      </c>
      <c r="E1055" s="20" t="str">
        <f t="shared" si="108"/>
        <v>!!!</v>
      </c>
      <c r="F1055" s="21" t="str">
        <f>IF(OR(E1055="",E1055="!!!"),"",IF(NOT(ISNA(VLOOKUP(E1055,E$1:E1054,1,FALSE()))),"OLD",IF(AND(E1055&lt;&gt;"",E1055&lt;&gt;"!!!"),"NEW","")))</f>
        <v/>
      </c>
      <c r="G1055" s="22" t="str">
        <f>IF(OR(E1055="",E1055="!!!"),"",IF(OR(J1055=0,AND(J1055=1,K1055=1),AND(J1055=1,I1055="SBJ"),AND(J1055=1,I1055=0)),"?IN_FOCUS",IF(J1055&lt;=2,"?ACTIVATED",IF(J1055&lt;&gt;"","?FAMILIAR",IF(F1055="NEW",IF(ISNA(VLOOKUP(E1055,#REF!,1,FALSE())),"?TYPE_IDENTIFIABLE","?REFERENTIAL"),"_")))))</f>
        <v/>
      </c>
      <c r="H1055" s="23" t="str">
        <f t="shared" ca="1" si="109"/>
        <v/>
      </c>
      <c r="I1055" s="24" t="str">
        <f>IF(OR(E1055="",E1055="!!!",F1055="NEW"),"",INDEX(B$2:B1054,-1+SUMPRODUCT(MAX(ROW(E$2:E1054)*(E1055=E$2:E1054)))))</f>
        <v/>
      </c>
      <c r="J1055" s="24" t="str">
        <f ca="1">IF(OR(E1055="",E1055="!!!",F1055="NEW"),"",COUNTBLANK(OFFSET(A$1,,,SUMPRODUCT(MAX(ROW(E$2:E1055)*(E1055=E$2:E1055)))))-COUNTBLANK(OFFSET(A$1,,,SUMPRODUCT(MAX(ROW(E$1:E1054)*(E2=E$1:E1054))))))</f>
        <v/>
      </c>
      <c r="K1055" s="24" t="str">
        <f>IF(OR(E1055="",E1055="!!!",F1055="NEW"),"",INDEX(J$1:J1054,SUMPRODUCT(MAX(ROW(E$1:E1054)*(E1055=E$1:E1054)))))</f>
        <v/>
      </c>
      <c r="L1055" s="25"/>
    </row>
    <row r="1056" spans="1:12" x14ac:dyDescent="0.3">
      <c r="A1056" t="s">
        <v>401</v>
      </c>
      <c r="E1056" s="20" t="str">
        <f t="shared" si="108"/>
        <v/>
      </c>
      <c r="F1056" s="21" t="str">
        <f>IF(OR(E1056="",E1056="!!!"),"",IF(NOT(ISNA(VLOOKUP(E1056,E$1:E1055,1,FALSE()))),"OLD",IF(AND(E1056&lt;&gt;"",E1056&lt;&gt;"!!!"),"NEW","")))</f>
        <v/>
      </c>
      <c r="G1056" s="22" t="str">
        <f>IF(OR(E1056="",E1056="!!!"),"",IF(OR(J1056=0,AND(J1056=1,K1056=1),AND(J1056=1,I1056="SBJ"),AND(J1056=1,I1056=0)),"?IN_FOCUS",IF(J1056&lt;=2,"?ACTIVATED",IF(J1056&lt;&gt;"","?FAMILIAR",IF(F1056="NEW",IF(ISNA(VLOOKUP(E1056,#REF!,1,FALSE())),"?TYPE_IDENTIFIABLE","?REFERENTIAL"),"_")))))</f>
        <v/>
      </c>
      <c r="H1056" s="23" t="str">
        <f t="shared" ca="1" si="109"/>
        <v/>
      </c>
      <c r="I1056" s="24" t="str">
        <f>IF(OR(E1056="",E1056="!!!",F1056="NEW"),"",INDEX(B$2:B1055,-1+SUMPRODUCT(MAX(ROW(E$2:E1055)*(E1056=E$2:E1055)))))</f>
        <v/>
      </c>
      <c r="J1056" s="24" t="str">
        <f ca="1">IF(OR(E1056="",E1056="!!!",F1056="NEW"),"",COUNTBLANK(OFFSET(A$1,,,SUMPRODUCT(MAX(ROW(E$2:E1056)*(E1056=E$2:E1056)))))-COUNTBLANK(OFFSET(A$1,,,SUMPRODUCT(MAX(ROW(E$1:E1055)*(E2=E$1:E1055))))))</f>
        <v/>
      </c>
      <c r="K1056" s="24" t="str">
        <f>IF(OR(E1056="",E1056="!!!",F1056="NEW"),"",INDEX(J$1:J1055,SUMPRODUCT(MAX(ROW(E$1:E1055)*(E1056=E$1:E1055)))))</f>
        <v/>
      </c>
      <c r="L1056" s="25"/>
    </row>
    <row r="1057" spans="1:12" x14ac:dyDescent="0.3">
      <c r="A1057" t="s">
        <v>248</v>
      </c>
      <c r="E1057" s="20" t="str">
        <f t="shared" si="108"/>
        <v/>
      </c>
      <c r="F1057" s="21" t="str">
        <f>IF(OR(E1057="",E1057="!!!"),"",IF(NOT(ISNA(VLOOKUP(E1057,E$1:E1056,1,FALSE()))),"OLD",IF(AND(E1057&lt;&gt;"",E1057&lt;&gt;"!!!"),"NEW","")))</f>
        <v/>
      </c>
      <c r="G1057" s="22" t="str">
        <f>IF(OR(E1057="",E1057="!!!"),"",IF(OR(J1057=0,AND(J1057=1,K1057=1),AND(J1057=1,I1057="SBJ"),AND(J1057=1,I1057=0)),"?IN_FOCUS",IF(J1057&lt;=2,"?ACTIVATED",IF(J1057&lt;&gt;"","?FAMILIAR",IF(F1057="NEW",IF(ISNA(VLOOKUP(E1057,#REF!,1,FALSE())),"?TYPE_IDENTIFIABLE","?REFERENTIAL"),"_")))))</f>
        <v/>
      </c>
      <c r="H1057" s="23" t="str">
        <f t="shared" ca="1" si="109"/>
        <v/>
      </c>
      <c r="I1057" s="24" t="str">
        <f>IF(OR(E1057="",E1057="!!!",F1057="NEW"),"",INDEX(B$2:B1056,-1+SUMPRODUCT(MAX(ROW(E$2:E1056)*(E1057=E$2:E1056)))))</f>
        <v/>
      </c>
      <c r="J1057" s="24" t="str">
        <f ca="1">IF(OR(E1057="",E1057="!!!",F1057="NEW"),"",COUNTBLANK(OFFSET(A$1,,,SUMPRODUCT(MAX(ROW(E$2:E1057)*(E1057=E$2:E1057)))))-COUNTBLANK(OFFSET(A$1,,,SUMPRODUCT(MAX(ROW(E$1:E1056)*(E2=E$1:E1056))))))</f>
        <v/>
      </c>
      <c r="K1057" s="24" t="str">
        <f>IF(OR(E1057="",E1057="!!!",F1057="NEW"),"",INDEX(J$1:J1056,SUMPRODUCT(MAX(ROW(E$1:E1056)*(E1057=E$1:E1056)))))</f>
        <v/>
      </c>
      <c r="L1057" s="25"/>
    </row>
    <row r="1059" spans="1:12" x14ac:dyDescent="0.3">
      <c r="A1059" t="s">
        <v>691</v>
      </c>
    </row>
    <row r="1060" spans="1:12" x14ac:dyDescent="0.3">
      <c r="A1060" t="s">
        <v>417</v>
      </c>
      <c r="B1060" s="26" t="s">
        <v>243</v>
      </c>
      <c r="C1060" s="26" t="s">
        <v>346</v>
      </c>
      <c r="D1060" s="26" t="s">
        <v>240</v>
      </c>
      <c r="E1060" s="20" t="str">
        <f t="shared" ref="E1060:E1084" si="110">IF(D1060="?OLD","!!!","")</f>
        <v>!!!</v>
      </c>
      <c r="F1060" s="21" t="str">
        <f>IF(OR(E1060="",E1060="!!!"),"",IF(NOT(ISNA(VLOOKUP(E1060,E$1:E1059,1,FALSE()))),"OLD",IF(AND(E1060&lt;&gt;"",E1060&lt;&gt;"!!!"),"NEW","")))</f>
        <v/>
      </c>
      <c r="G1060" s="22" t="str">
        <f>IF(OR(E1060="",E1060="!!!"),"",IF(OR(J1060=0,AND(J1060=1,K1060=1),AND(J1060=1,I1060="SBJ"),AND(J1060=1,I1060=0)),"?IN_FOCUS",IF(J1060&lt;=2,"?ACTIVATED",IF(J1060&lt;&gt;"","?FAMILIAR",IF(F1060="NEW",IF(ISNA(VLOOKUP(E1060,#REF!,1,FALSE())),"?TYPE_IDENTIFIABLE","?REFERENTIAL"),"_")))))</f>
        <v/>
      </c>
      <c r="H1060" s="23" t="str">
        <f t="shared" ref="H1060:H1084" ca="1" si="111">IF(J1060&lt;&gt;1,"",IF(I1060="SBJ","CB","?"))</f>
        <v/>
      </c>
      <c r="I1060" s="24" t="str">
        <f>IF(OR(E1060="",E1060="!!!",F1060="NEW"),"",INDEX(B$2:B1059,-1+SUMPRODUCT(MAX(ROW(E$2:E1059)*(E1060=E$2:E1059)))))</f>
        <v/>
      </c>
      <c r="J1060" s="24" t="str">
        <f ca="1">IF(OR(E1060="",E1060="!!!",F1060="NEW"),"",COUNTBLANK(OFFSET(A$1,,,SUMPRODUCT(MAX(ROW(E$2:E1060)*(E1060=E$2:E1060)))))-COUNTBLANK(OFFSET(A$1,,,SUMPRODUCT(MAX(ROW(E$1:E1059)*(E2=E$1:E1059))))))</f>
        <v/>
      </c>
      <c r="K1060" s="24" t="str">
        <f>IF(OR(E1060="",E1060="!!!",F1060="NEW"),"",INDEX(J$1:J1059,SUMPRODUCT(MAX(ROW(E$1:E1059)*(E1060=E$1:E1059)))))</f>
        <v/>
      </c>
      <c r="L1060" s="25"/>
    </row>
    <row r="1061" spans="1:12" x14ac:dyDescent="0.3">
      <c r="A1061" t="s">
        <v>692</v>
      </c>
      <c r="E1061" s="20" t="str">
        <f t="shared" si="110"/>
        <v/>
      </c>
      <c r="F1061" s="21" t="str">
        <f>IF(OR(E1061="",E1061="!!!"),"",IF(NOT(ISNA(VLOOKUP(E1061,E$1:E1060,1,FALSE()))),"OLD",IF(AND(E1061&lt;&gt;"",E1061&lt;&gt;"!!!"),"NEW","")))</f>
        <v/>
      </c>
      <c r="G1061" s="22" t="str">
        <f>IF(OR(E1061="",E1061="!!!"),"",IF(OR(J1061=0,AND(J1061=1,K1061=1),AND(J1061=1,I1061="SBJ"),AND(J1061=1,I1061=0)),"?IN_FOCUS",IF(J1061&lt;=2,"?ACTIVATED",IF(J1061&lt;&gt;"","?FAMILIAR",IF(F1061="NEW",IF(ISNA(VLOOKUP(E1061,#REF!,1,FALSE())),"?TYPE_IDENTIFIABLE","?REFERENTIAL"),"_")))))</f>
        <v/>
      </c>
      <c r="H1061" s="23" t="str">
        <f t="shared" ca="1" si="111"/>
        <v/>
      </c>
      <c r="I1061" s="24" t="str">
        <f>IF(OR(E1061="",E1061="!!!",F1061="NEW"),"",INDEX(B$2:B1060,-1+SUMPRODUCT(MAX(ROW(E$2:E1060)*(E1061=E$2:E1060)))))</f>
        <v/>
      </c>
      <c r="J1061" s="24" t="str">
        <f ca="1">IF(OR(E1061="",E1061="!!!",F1061="NEW"),"",COUNTBLANK(OFFSET(A$1,,,SUMPRODUCT(MAX(ROW(E$2:E1061)*(E1061=E$2:E1061)))))-COUNTBLANK(OFFSET(A$1,,,SUMPRODUCT(MAX(ROW(E$1:E1060)*(E2=E$1:E1060))))))</f>
        <v/>
      </c>
      <c r="K1061" s="24" t="str">
        <f>IF(OR(E1061="",E1061="!!!",F1061="NEW"),"",INDEX(J$1:J1060,SUMPRODUCT(MAX(ROW(E$1:E1060)*(E1061=E$1:E1060)))))</f>
        <v/>
      </c>
      <c r="L1061" s="25"/>
    </row>
    <row r="1062" spans="1:12" x14ac:dyDescent="0.3">
      <c r="A1062" t="s">
        <v>693</v>
      </c>
      <c r="E1062" s="20" t="str">
        <f t="shared" si="110"/>
        <v/>
      </c>
      <c r="F1062" s="21" t="str">
        <f>IF(OR(E1062="",E1062="!!!"),"",IF(NOT(ISNA(VLOOKUP(E1062,E$1:E1061,1,FALSE()))),"OLD",IF(AND(E1062&lt;&gt;"",E1062&lt;&gt;"!!!"),"NEW","")))</f>
        <v/>
      </c>
      <c r="G1062" s="22" t="str">
        <f>IF(OR(E1062="",E1062="!!!"),"",IF(OR(J1062=0,AND(J1062=1,K1062=1),AND(J1062=1,I1062="SBJ"),AND(J1062=1,I1062=0)),"?IN_FOCUS",IF(J1062&lt;=2,"?ACTIVATED",IF(J1062&lt;&gt;"","?FAMILIAR",IF(F1062="NEW",IF(ISNA(VLOOKUP(E1062,#REF!,1,FALSE())),"?TYPE_IDENTIFIABLE","?REFERENTIAL"),"_")))))</f>
        <v/>
      </c>
      <c r="H1062" s="23" t="str">
        <f t="shared" ca="1" si="111"/>
        <v/>
      </c>
      <c r="I1062" s="24" t="str">
        <f>IF(OR(E1062="",E1062="!!!",F1062="NEW"),"",INDEX(B$2:B1061,-1+SUMPRODUCT(MAX(ROW(E$2:E1061)*(E1062=E$2:E1061)))))</f>
        <v/>
      </c>
      <c r="J1062" s="24" t="str">
        <f ca="1">IF(OR(E1062="",E1062="!!!",F1062="NEW"),"",COUNTBLANK(OFFSET(A$1,,,SUMPRODUCT(MAX(ROW(E$2:E1062)*(E1062=E$2:E1062)))))-COUNTBLANK(OFFSET(A$1,,,SUMPRODUCT(MAX(ROW(E$1:E1061)*(E2=E$1:E1061))))))</f>
        <v/>
      </c>
      <c r="K1062" s="24" t="str">
        <f>IF(OR(E1062="",E1062="!!!",F1062="NEW"),"",INDEX(J$1:J1061,SUMPRODUCT(MAX(ROW(E$1:E1061)*(E1062=E$1:E1061)))))</f>
        <v/>
      </c>
      <c r="L1062" s="25"/>
    </row>
    <row r="1063" spans="1:12" x14ac:dyDescent="0.3">
      <c r="A1063" t="s">
        <v>252</v>
      </c>
      <c r="E1063" s="20" t="str">
        <f t="shared" si="110"/>
        <v/>
      </c>
      <c r="F1063" s="21" t="str">
        <f>IF(OR(E1063="",E1063="!!!"),"",IF(NOT(ISNA(VLOOKUP(E1063,E$1:E1062,1,FALSE()))),"OLD",IF(AND(E1063&lt;&gt;"",E1063&lt;&gt;"!!!"),"NEW","")))</f>
        <v/>
      </c>
      <c r="G1063" s="22" t="str">
        <f>IF(OR(E1063="",E1063="!!!"),"",IF(OR(J1063=0,AND(J1063=1,K1063=1),AND(J1063=1,I1063="SBJ"),AND(J1063=1,I1063=0)),"?IN_FOCUS",IF(J1063&lt;=2,"?ACTIVATED",IF(J1063&lt;&gt;"","?FAMILIAR",IF(F1063="NEW",IF(ISNA(VLOOKUP(E1063,#REF!,1,FALSE())),"?TYPE_IDENTIFIABLE","?REFERENTIAL"),"_")))))</f>
        <v/>
      </c>
      <c r="H1063" s="23" t="str">
        <f t="shared" ca="1" si="111"/>
        <v/>
      </c>
      <c r="I1063" s="24" t="str">
        <f>IF(OR(E1063="",E1063="!!!",F1063="NEW"),"",INDEX(B$2:B1062,-1+SUMPRODUCT(MAX(ROW(E$2:E1062)*(E1063=E$2:E1062)))))</f>
        <v/>
      </c>
      <c r="J1063" s="24" t="str">
        <f ca="1">IF(OR(E1063="",E1063="!!!",F1063="NEW"),"",COUNTBLANK(OFFSET(A$1,,,SUMPRODUCT(MAX(ROW(E$2:E1063)*(E1063=E$2:E1063)))))-COUNTBLANK(OFFSET(A$1,,,SUMPRODUCT(MAX(ROW(E$1:E1062)*(E2=E$1:E1062))))))</f>
        <v/>
      </c>
      <c r="K1063" s="24" t="str">
        <f>IF(OR(E1063="",E1063="!!!",F1063="NEW"),"",INDEX(J$1:J1062,SUMPRODUCT(MAX(ROW(E$1:E1062)*(E1063=E$1:E1062)))))</f>
        <v/>
      </c>
      <c r="L1063" s="25"/>
    </row>
    <row r="1064" spans="1:12" x14ac:dyDescent="0.3">
      <c r="A1064" t="s">
        <v>336</v>
      </c>
      <c r="E1064" s="20" t="str">
        <f t="shared" si="110"/>
        <v/>
      </c>
      <c r="F1064" s="21" t="str">
        <f>IF(OR(E1064="",E1064="!!!"),"",IF(NOT(ISNA(VLOOKUP(E1064,E$1:E1063,1,FALSE()))),"OLD",IF(AND(E1064&lt;&gt;"",E1064&lt;&gt;"!!!"),"NEW","")))</f>
        <v/>
      </c>
      <c r="G1064" s="22" t="str">
        <f>IF(OR(E1064="",E1064="!!!"),"",IF(OR(J1064=0,AND(J1064=1,K1064=1),AND(J1064=1,I1064="SBJ"),AND(J1064=1,I1064=0)),"?IN_FOCUS",IF(J1064&lt;=2,"?ACTIVATED",IF(J1064&lt;&gt;"","?FAMILIAR",IF(F1064="NEW",IF(ISNA(VLOOKUP(E1064,#REF!,1,FALSE())),"?TYPE_IDENTIFIABLE","?REFERENTIAL"),"_")))))</f>
        <v/>
      </c>
      <c r="H1064" s="23" t="str">
        <f t="shared" ca="1" si="111"/>
        <v/>
      </c>
      <c r="I1064" s="24" t="str">
        <f>IF(OR(E1064="",E1064="!!!",F1064="NEW"),"",INDEX(B$2:B1063,-1+SUMPRODUCT(MAX(ROW(E$2:E1063)*(E1064=E$2:E1063)))))</f>
        <v/>
      </c>
      <c r="J1064" s="24" t="str">
        <f ca="1">IF(OR(E1064="",E1064="!!!",F1064="NEW"),"",COUNTBLANK(OFFSET(A$1,,,SUMPRODUCT(MAX(ROW(E$2:E1064)*(E1064=E$2:E1064)))))-COUNTBLANK(OFFSET(A$1,,,SUMPRODUCT(MAX(ROW(E$1:E1063)*(E2=E$1:E1063))))))</f>
        <v/>
      </c>
      <c r="K1064" s="24" t="str">
        <f>IF(OR(E1064="",E1064="!!!",F1064="NEW"),"",INDEX(J$1:J1063,SUMPRODUCT(MAX(ROW(E$1:E1063)*(E1064=E$1:E1063)))))</f>
        <v/>
      </c>
      <c r="L1064" s="25"/>
    </row>
    <row r="1065" spans="1:12" x14ac:dyDescent="0.3">
      <c r="A1065" t="s">
        <v>694</v>
      </c>
      <c r="E1065" s="20" t="str">
        <f t="shared" si="110"/>
        <v/>
      </c>
      <c r="F1065" s="21" t="str">
        <f>IF(OR(E1065="",E1065="!!!"),"",IF(NOT(ISNA(VLOOKUP(E1065,E$1:E1064,1,FALSE()))),"OLD",IF(AND(E1065&lt;&gt;"",E1065&lt;&gt;"!!!"),"NEW","")))</f>
        <v/>
      </c>
      <c r="G1065" s="22" t="str">
        <f>IF(OR(E1065="",E1065="!!!"),"",IF(OR(J1065=0,AND(J1065=1,K1065=1),AND(J1065=1,I1065="SBJ"),AND(J1065=1,I1065=0)),"?IN_FOCUS",IF(J1065&lt;=2,"?ACTIVATED",IF(J1065&lt;&gt;"","?FAMILIAR",IF(F1065="NEW",IF(ISNA(VLOOKUP(E1065,#REF!,1,FALSE())),"?TYPE_IDENTIFIABLE","?REFERENTIAL"),"_")))))</f>
        <v/>
      </c>
      <c r="H1065" s="23" t="str">
        <f t="shared" ca="1" si="111"/>
        <v/>
      </c>
      <c r="I1065" s="24" t="str">
        <f>IF(OR(E1065="",E1065="!!!",F1065="NEW"),"",INDEX(B$2:B1064,-1+SUMPRODUCT(MAX(ROW(E$2:E1064)*(E1065=E$2:E1064)))))</f>
        <v/>
      </c>
      <c r="J1065" s="24" t="str">
        <f ca="1">IF(OR(E1065="",E1065="!!!",F1065="NEW"),"",COUNTBLANK(OFFSET(A$1,,,SUMPRODUCT(MAX(ROW(E$2:E1065)*(E1065=E$2:E1065)))))-COUNTBLANK(OFFSET(A$1,,,SUMPRODUCT(MAX(ROW(E$1:E1064)*(E2=E$1:E1064))))))</f>
        <v/>
      </c>
      <c r="K1065" s="24" t="str">
        <f>IF(OR(E1065="",E1065="!!!",F1065="NEW"),"",INDEX(J$1:J1064,SUMPRODUCT(MAX(ROW(E$1:E1064)*(E1065=E$1:E1064)))))</f>
        <v/>
      </c>
      <c r="L1065" s="25"/>
    </row>
    <row r="1066" spans="1:12" x14ac:dyDescent="0.3">
      <c r="A1066" t="s">
        <v>695</v>
      </c>
      <c r="B1066" s="26" t="s">
        <v>238</v>
      </c>
      <c r="C1066" s="26" t="s">
        <v>247</v>
      </c>
      <c r="E1066" s="20" t="str">
        <f t="shared" si="110"/>
        <v/>
      </c>
      <c r="F1066" s="21" t="str">
        <f>IF(OR(E1066="",E1066="!!!"),"",IF(NOT(ISNA(VLOOKUP(E1066,E$1:E1065,1,FALSE()))),"OLD",IF(AND(E1066&lt;&gt;"",E1066&lt;&gt;"!!!"),"NEW","")))</f>
        <v/>
      </c>
      <c r="G1066" s="22" t="str">
        <f>IF(OR(E1066="",E1066="!!!"),"",IF(OR(J1066=0,AND(J1066=1,K1066=1),AND(J1066=1,I1066="SBJ"),AND(J1066=1,I1066=0)),"?IN_FOCUS",IF(J1066&lt;=2,"?ACTIVATED",IF(J1066&lt;&gt;"","?FAMILIAR",IF(F1066="NEW",IF(ISNA(VLOOKUP(E1066,#REF!,1,FALSE())),"?TYPE_IDENTIFIABLE","?REFERENTIAL"),"_")))))</f>
        <v/>
      </c>
      <c r="H1066" s="23" t="str">
        <f t="shared" ca="1" si="111"/>
        <v/>
      </c>
      <c r="I1066" s="24" t="str">
        <f>IF(OR(E1066="",E1066="!!!",F1066="NEW"),"",INDEX(B$2:B1065,-1+SUMPRODUCT(MAX(ROW(E$2:E1065)*(E1066=E$2:E1065)))))</f>
        <v/>
      </c>
      <c r="J1066" s="24" t="str">
        <f ca="1">IF(OR(E1066="",E1066="!!!",F1066="NEW"),"",COUNTBLANK(OFFSET(A$1,,,SUMPRODUCT(MAX(ROW(E$2:E1066)*(E1066=E$2:E1066)))))-COUNTBLANK(OFFSET(A$1,,,SUMPRODUCT(MAX(ROW(E$1:E1065)*(E2=E$1:E1065))))))</f>
        <v/>
      </c>
      <c r="K1066" s="24" t="str">
        <f>IF(OR(E1066="",E1066="!!!",F1066="NEW"),"",INDEX(J$1:J1065,SUMPRODUCT(MAX(ROW(E$1:E1065)*(E1066=E$1:E1065)))))</f>
        <v/>
      </c>
      <c r="L1066" s="25"/>
    </row>
    <row r="1067" spans="1:12" x14ac:dyDescent="0.3">
      <c r="A1067" t="s">
        <v>252</v>
      </c>
      <c r="E1067" s="20" t="str">
        <f t="shared" si="110"/>
        <v/>
      </c>
      <c r="F1067" s="21" t="str">
        <f>IF(OR(E1067="",E1067="!!!"),"",IF(NOT(ISNA(VLOOKUP(E1067,E$1:E1066,1,FALSE()))),"OLD",IF(AND(E1067&lt;&gt;"",E1067&lt;&gt;"!!!"),"NEW","")))</f>
        <v/>
      </c>
      <c r="G1067" s="22" t="str">
        <f>IF(OR(E1067="",E1067="!!!"),"",IF(OR(J1067=0,AND(J1067=1,K1067=1),AND(J1067=1,I1067="SBJ"),AND(J1067=1,I1067=0)),"?IN_FOCUS",IF(J1067&lt;=2,"?ACTIVATED",IF(J1067&lt;&gt;"","?FAMILIAR",IF(F1067="NEW",IF(ISNA(VLOOKUP(E1067,#REF!,1,FALSE())),"?TYPE_IDENTIFIABLE","?REFERENTIAL"),"_")))))</f>
        <v/>
      </c>
      <c r="H1067" s="23" t="str">
        <f t="shared" ca="1" si="111"/>
        <v/>
      </c>
      <c r="I1067" s="24" t="str">
        <f>IF(OR(E1067="",E1067="!!!",F1067="NEW"),"",INDEX(B$2:B1066,-1+SUMPRODUCT(MAX(ROW(E$2:E1066)*(E1067=E$2:E1066)))))</f>
        <v/>
      </c>
      <c r="J1067" s="24" t="str">
        <f ca="1">IF(OR(E1067="",E1067="!!!",F1067="NEW"),"",COUNTBLANK(OFFSET(A$1,,,SUMPRODUCT(MAX(ROW(E$2:E1067)*(E1067=E$2:E1067)))))-COUNTBLANK(OFFSET(A$1,,,SUMPRODUCT(MAX(ROW(E$1:E1066)*(E2=E$1:E1066))))))</f>
        <v/>
      </c>
      <c r="K1067" s="24" t="str">
        <f>IF(OR(E1067="",E1067="!!!",F1067="NEW"),"",INDEX(J$1:J1066,SUMPRODUCT(MAX(ROW(E$1:E1066)*(E1067=E$1:E1066)))))</f>
        <v/>
      </c>
      <c r="L1067" s="25"/>
    </row>
    <row r="1068" spans="1:12" x14ac:dyDescent="0.3">
      <c r="A1068" t="s">
        <v>696</v>
      </c>
      <c r="B1068" s="26" t="s">
        <v>272</v>
      </c>
      <c r="C1068" s="26" t="s">
        <v>290</v>
      </c>
      <c r="D1068" s="26" t="s">
        <v>240</v>
      </c>
      <c r="E1068" s="20" t="str">
        <f t="shared" si="110"/>
        <v>!!!</v>
      </c>
      <c r="F1068" s="21" t="str">
        <f>IF(OR(E1068="",E1068="!!!"),"",IF(NOT(ISNA(VLOOKUP(E1068,E$1:E1067,1,FALSE()))),"OLD",IF(AND(E1068&lt;&gt;"",E1068&lt;&gt;"!!!"),"NEW","")))</f>
        <v/>
      </c>
      <c r="G1068" s="22" t="str">
        <f>IF(OR(E1068="",E1068="!!!"),"",IF(OR(J1068=0,AND(J1068=1,K1068=1),AND(J1068=1,I1068="SBJ"),AND(J1068=1,I1068=0)),"?IN_FOCUS",IF(J1068&lt;=2,"?ACTIVATED",IF(J1068&lt;&gt;"","?FAMILIAR",IF(F1068="NEW",IF(ISNA(VLOOKUP(E1068,#REF!,1,FALSE())),"?TYPE_IDENTIFIABLE","?REFERENTIAL"),"_")))))</f>
        <v/>
      </c>
      <c r="H1068" s="23" t="str">
        <f t="shared" ca="1" si="111"/>
        <v/>
      </c>
      <c r="I1068" s="24" t="str">
        <f>IF(OR(E1068="",E1068="!!!",F1068="NEW"),"",INDEX(B$2:B1067,-1+SUMPRODUCT(MAX(ROW(E$2:E1067)*(E1068=E$2:E1067)))))</f>
        <v/>
      </c>
      <c r="J1068" s="24" t="str">
        <f ca="1">IF(OR(E1068="",E1068="!!!",F1068="NEW"),"",COUNTBLANK(OFFSET(A$1,,,SUMPRODUCT(MAX(ROW(E$2:E1068)*(E1068=E$2:E1068)))))-COUNTBLANK(OFFSET(A$1,,,SUMPRODUCT(MAX(ROW(E$1:E1067)*(E2=E$1:E1067))))))</f>
        <v/>
      </c>
      <c r="K1068" s="24" t="str">
        <f>IF(OR(E1068="",E1068="!!!",F1068="NEW"),"",INDEX(J$1:J1067,SUMPRODUCT(MAX(ROW(E$1:E1067)*(E1068=E$1:E1067)))))</f>
        <v/>
      </c>
      <c r="L1068" s="25"/>
    </row>
    <row r="1069" spans="1:12" x14ac:dyDescent="0.3">
      <c r="A1069" t="s">
        <v>291</v>
      </c>
      <c r="B1069" s="26" t="s">
        <v>261</v>
      </c>
      <c r="C1069" s="26" t="s">
        <v>247</v>
      </c>
      <c r="E1069" s="20" t="str">
        <f t="shared" si="110"/>
        <v/>
      </c>
      <c r="F1069" s="21" t="str">
        <f>IF(OR(E1069="",E1069="!!!"),"",IF(NOT(ISNA(VLOOKUP(E1069,E$1:E1068,1,FALSE()))),"OLD",IF(AND(E1069&lt;&gt;"",E1069&lt;&gt;"!!!"),"NEW","")))</f>
        <v/>
      </c>
      <c r="G1069" s="22" t="str">
        <f>IF(OR(E1069="",E1069="!!!"),"",IF(OR(J1069=0,AND(J1069=1,K1069=1),AND(J1069=1,I1069="SBJ"),AND(J1069=1,I1069=0)),"?IN_FOCUS",IF(J1069&lt;=2,"?ACTIVATED",IF(J1069&lt;&gt;"","?FAMILIAR",IF(F1069="NEW",IF(ISNA(VLOOKUP(E1069,#REF!,1,FALSE())),"?TYPE_IDENTIFIABLE","?REFERENTIAL"),"_")))))</f>
        <v/>
      </c>
      <c r="H1069" s="23" t="str">
        <f t="shared" ca="1" si="111"/>
        <v/>
      </c>
      <c r="I1069" s="24" t="str">
        <f>IF(OR(E1069="",E1069="!!!",F1069="NEW"),"",INDEX(B$2:B1068,-1+SUMPRODUCT(MAX(ROW(E$2:E1068)*(E1069=E$2:E1068)))))</f>
        <v/>
      </c>
      <c r="J1069" s="24" t="str">
        <f ca="1">IF(OR(E1069="",E1069="!!!",F1069="NEW"),"",COUNTBLANK(OFFSET(A$1,,,SUMPRODUCT(MAX(ROW(E$2:E1069)*(E1069=E$2:E1069)))))-COUNTBLANK(OFFSET(A$1,,,SUMPRODUCT(MAX(ROW(E$1:E1068)*(E2=E$1:E1068))))))</f>
        <v/>
      </c>
      <c r="K1069" s="24" t="str">
        <f>IF(OR(E1069="",E1069="!!!",F1069="NEW"),"",INDEX(J$1:J1068,SUMPRODUCT(MAX(ROW(E$1:E1068)*(E1069=E$1:E1068)))))</f>
        <v/>
      </c>
      <c r="L1069" s="25"/>
    </row>
    <row r="1070" spans="1:12" x14ac:dyDescent="0.3">
      <c r="A1070" t="s">
        <v>361</v>
      </c>
      <c r="E1070" s="20" t="str">
        <f t="shared" si="110"/>
        <v/>
      </c>
      <c r="F1070" s="21" t="str">
        <f>IF(OR(E1070="",E1070="!!!"),"",IF(NOT(ISNA(VLOOKUP(E1070,E$1:E1069,1,FALSE()))),"OLD",IF(AND(E1070&lt;&gt;"",E1070&lt;&gt;"!!!"),"NEW","")))</f>
        <v/>
      </c>
      <c r="G1070" s="22" t="str">
        <f>IF(OR(E1070="",E1070="!!!"),"",IF(OR(J1070=0,AND(J1070=1,K1070=1),AND(J1070=1,I1070="SBJ"),AND(J1070=1,I1070=0)),"?IN_FOCUS",IF(J1070&lt;=2,"?ACTIVATED",IF(J1070&lt;&gt;"","?FAMILIAR",IF(F1070="NEW",IF(ISNA(VLOOKUP(E1070,#REF!,1,FALSE())),"?TYPE_IDENTIFIABLE","?REFERENTIAL"),"_")))))</f>
        <v/>
      </c>
      <c r="H1070" s="23" t="str">
        <f t="shared" ca="1" si="111"/>
        <v/>
      </c>
      <c r="I1070" s="24" t="str">
        <f>IF(OR(E1070="",E1070="!!!",F1070="NEW"),"",INDEX(B$2:B1069,-1+SUMPRODUCT(MAX(ROW(E$2:E1069)*(E1070=E$2:E1069)))))</f>
        <v/>
      </c>
      <c r="J1070" s="24" t="str">
        <f ca="1">IF(OR(E1070="",E1070="!!!",F1070="NEW"),"",COUNTBLANK(OFFSET(A$1,,,SUMPRODUCT(MAX(ROW(E$2:E1070)*(E1070=E$2:E1070)))))-COUNTBLANK(OFFSET(A$1,,,SUMPRODUCT(MAX(ROW(E$1:E1069)*(E2=E$1:E1069))))))</f>
        <v/>
      </c>
      <c r="K1070" s="24" t="str">
        <f>IF(OR(E1070="",E1070="!!!",F1070="NEW"),"",INDEX(J$1:J1069,SUMPRODUCT(MAX(ROW(E$1:E1069)*(E1070=E$1:E1069)))))</f>
        <v/>
      </c>
      <c r="L1070" s="25"/>
    </row>
    <row r="1071" spans="1:12" x14ac:dyDescent="0.3">
      <c r="A1071" t="s">
        <v>697</v>
      </c>
      <c r="B1071" s="26" t="s">
        <v>272</v>
      </c>
      <c r="C1071" s="26" t="s">
        <v>294</v>
      </c>
      <c r="D1071" s="26" t="s">
        <v>240</v>
      </c>
      <c r="E1071" s="20" t="str">
        <f t="shared" si="110"/>
        <v>!!!</v>
      </c>
      <c r="F1071" s="21" t="str">
        <f>IF(OR(E1071="",E1071="!!!"),"",IF(NOT(ISNA(VLOOKUP(E1071,E$1:E1070,1,FALSE()))),"OLD",IF(AND(E1071&lt;&gt;"",E1071&lt;&gt;"!!!"),"NEW","")))</f>
        <v/>
      </c>
      <c r="G1071" s="22" t="str">
        <f>IF(OR(E1071="",E1071="!!!"),"",IF(OR(J1071=0,AND(J1071=1,K1071=1),AND(J1071=1,I1071="SBJ"),AND(J1071=1,I1071=0)),"?IN_FOCUS",IF(J1071&lt;=2,"?ACTIVATED",IF(J1071&lt;&gt;"","?FAMILIAR",IF(F1071="NEW",IF(ISNA(VLOOKUP(E1071,#REF!,1,FALSE())),"?TYPE_IDENTIFIABLE","?REFERENTIAL"),"_")))))</f>
        <v/>
      </c>
      <c r="H1071" s="23" t="str">
        <f t="shared" ca="1" si="111"/>
        <v/>
      </c>
      <c r="I1071" s="24" t="str">
        <f>IF(OR(E1071="",E1071="!!!",F1071="NEW"),"",INDEX(B$2:B1070,-1+SUMPRODUCT(MAX(ROW(E$2:E1070)*(E1071=E$2:E1070)))))</f>
        <v/>
      </c>
      <c r="J1071" s="24" t="str">
        <f ca="1">IF(OR(E1071="",E1071="!!!",F1071="NEW"),"",COUNTBLANK(OFFSET(A$1,,,SUMPRODUCT(MAX(ROW(E$2:E1071)*(E1071=E$2:E1071)))))-COUNTBLANK(OFFSET(A$1,,,SUMPRODUCT(MAX(ROW(E$1:E1070)*(E2=E$1:E1070))))))</f>
        <v/>
      </c>
      <c r="K1071" s="24" t="str">
        <f>IF(OR(E1071="",E1071="!!!",F1071="NEW"),"",INDEX(J$1:J1070,SUMPRODUCT(MAX(ROW(E$1:E1070)*(E1071=E$1:E1070)))))</f>
        <v/>
      </c>
      <c r="L1071" s="25"/>
    </row>
    <row r="1072" spans="1:12" x14ac:dyDescent="0.3">
      <c r="A1072" t="s">
        <v>252</v>
      </c>
      <c r="E1072" s="20" t="str">
        <f t="shared" si="110"/>
        <v/>
      </c>
      <c r="F1072" s="21" t="str">
        <f>IF(OR(E1072="",E1072="!!!"),"",IF(NOT(ISNA(VLOOKUP(E1072,E$1:E1071,1,FALSE()))),"OLD",IF(AND(E1072&lt;&gt;"",E1072&lt;&gt;"!!!"),"NEW","")))</f>
        <v/>
      </c>
      <c r="G1072" s="22" t="str">
        <f>IF(OR(E1072="",E1072="!!!"),"",IF(OR(J1072=0,AND(J1072=1,K1072=1),AND(J1072=1,I1072="SBJ"),AND(J1072=1,I1072=0)),"?IN_FOCUS",IF(J1072&lt;=2,"?ACTIVATED",IF(J1072&lt;&gt;"","?FAMILIAR",IF(F1072="NEW",IF(ISNA(VLOOKUP(E1072,#REF!,1,FALSE())),"?TYPE_IDENTIFIABLE","?REFERENTIAL"),"_")))))</f>
        <v/>
      </c>
      <c r="H1072" s="23" t="str">
        <f t="shared" ca="1" si="111"/>
        <v/>
      </c>
      <c r="I1072" s="24" t="str">
        <f>IF(OR(E1072="",E1072="!!!",F1072="NEW"),"",INDEX(B$2:B1071,-1+SUMPRODUCT(MAX(ROW(E$2:E1071)*(E1072=E$2:E1071)))))</f>
        <v/>
      </c>
      <c r="J1072" s="24" t="str">
        <f ca="1">IF(OR(E1072="",E1072="!!!",F1072="NEW"),"",COUNTBLANK(OFFSET(A$1,,,SUMPRODUCT(MAX(ROW(E$2:E1072)*(E1072=E$2:E1072)))))-COUNTBLANK(OFFSET(A$1,,,SUMPRODUCT(MAX(ROW(E$1:E1071)*(E2=E$1:E1071))))))</f>
        <v/>
      </c>
      <c r="K1072" s="24" t="str">
        <f>IF(OR(E1072="",E1072="!!!",F1072="NEW"),"",INDEX(J$1:J1071,SUMPRODUCT(MAX(ROW(E$1:E1071)*(E1072=E$1:E1071)))))</f>
        <v/>
      </c>
      <c r="L1072" s="25"/>
    </row>
    <row r="1073" spans="1:12" x14ac:dyDescent="0.3">
      <c r="A1073" t="s">
        <v>337</v>
      </c>
      <c r="E1073" s="20" t="str">
        <f t="shared" si="110"/>
        <v/>
      </c>
      <c r="F1073" s="21" t="str">
        <f>IF(OR(E1073="",E1073="!!!"),"",IF(NOT(ISNA(VLOOKUP(E1073,E$1:E1072,1,FALSE()))),"OLD",IF(AND(E1073&lt;&gt;"",E1073&lt;&gt;"!!!"),"NEW","")))</f>
        <v/>
      </c>
      <c r="G1073" s="22" t="str">
        <f>IF(OR(E1073="",E1073="!!!"),"",IF(OR(J1073=0,AND(J1073=1,K1073=1),AND(J1073=1,I1073="SBJ"),AND(J1073=1,I1073=0)),"?IN_FOCUS",IF(J1073&lt;=2,"?ACTIVATED",IF(J1073&lt;&gt;"","?FAMILIAR",IF(F1073="NEW",IF(ISNA(VLOOKUP(E1073,#REF!,1,FALSE())),"?TYPE_IDENTIFIABLE","?REFERENTIAL"),"_")))))</f>
        <v/>
      </c>
      <c r="H1073" s="23" t="str">
        <f t="shared" ca="1" si="111"/>
        <v/>
      </c>
      <c r="I1073" s="24" t="str">
        <f>IF(OR(E1073="",E1073="!!!",F1073="NEW"),"",INDEX(B$2:B1072,-1+SUMPRODUCT(MAX(ROW(E$2:E1072)*(E1073=E$2:E1072)))))</f>
        <v/>
      </c>
      <c r="J1073" s="24" t="str">
        <f ca="1">IF(OR(E1073="",E1073="!!!",F1073="NEW"),"",COUNTBLANK(OFFSET(A$1,,,SUMPRODUCT(MAX(ROW(E$2:E1073)*(E1073=E$2:E1073)))))-COUNTBLANK(OFFSET(A$1,,,SUMPRODUCT(MAX(ROW(E$1:E1072)*(E2=E$1:E1072))))))</f>
        <v/>
      </c>
      <c r="K1073" s="24" t="str">
        <f>IF(OR(E1073="",E1073="!!!",F1073="NEW"),"",INDEX(J$1:J1072,SUMPRODUCT(MAX(ROW(E$1:E1072)*(E1073=E$1:E1072)))))</f>
        <v/>
      </c>
      <c r="L1073" s="25"/>
    </row>
    <row r="1074" spans="1:12" x14ac:dyDescent="0.3">
      <c r="A1074" t="s">
        <v>263</v>
      </c>
      <c r="E1074" s="20" t="str">
        <f t="shared" si="110"/>
        <v/>
      </c>
      <c r="F1074" s="21" t="str">
        <f>IF(OR(E1074="",E1074="!!!"),"",IF(NOT(ISNA(VLOOKUP(E1074,E$1:E1073,1,FALSE()))),"OLD",IF(AND(E1074&lt;&gt;"",E1074&lt;&gt;"!!!"),"NEW","")))</f>
        <v/>
      </c>
      <c r="G1074" s="22" t="str">
        <f>IF(OR(E1074="",E1074="!!!"),"",IF(OR(J1074=0,AND(J1074=1,K1074=1),AND(J1074=1,I1074="SBJ"),AND(J1074=1,I1074=0)),"?IN_FOCUS",IF(J1074&lt;=2,"?ACTIVATED",IF(J1074&lt;&gt;"","?FAMILIAR",IF(F1074="NEW",IF(ISNA(VLOOKUP(E1074,#REF!,1,FALSE())),"?TYPE_IDENTIFIABLE","?REFERENTIAL"),"_")))))</f>
        <v/>
      </c>
      <c r="H1074" s="23" t="str">
        <f t="shared" ca="1" si="111"/>
        <v/>
      </c>
      <c r="I1074" s="24" t="str">
        <f>IF(OR(E1074="",E1074="!!!",F1074="NEW"),"",INDEX(B$2:B1073,-1+SUMPRODUCT(MAX(ROW(E$2:E1073)*(E1074=E$2:E1073)))))</f>
        <v/>
      </c>
      <c r="J1074" s="24" t="str">
        <f ca="1">IF(OR(E1074="",E1074="!!!",F1074="NEW"),"",COUNTBLANK(OFFSET(A$1,,,SUMPRODUCT(MAX(ROW(E$2:E1074)*(E1074=E$2:E1074)))))-COUNTBLANK(OFFSET(A$1,,,SUMPRODUCT(MAX(ROW(E$1:E1073)*(E2=E$1:E1073))))))</f>
        <v/>
      </c>
      <c r="K1074" s="24" t="str">
        <f>IF(OR(E1074="",E1074="!!!",F1074="NEW"),"",INDEX(J$1:J1073,SUMPRODUCT(MAX(ROW(E$1:E1073)*(E1074=E$1:E1073)))))</f>
        <v/>
      </c>
      <c r="L1074" s="25"/>
    </row>
    <row r="1075" spans="1:12" x14ac:dyDescent="0.3">
      <c r="A1075" t="s">
        <v>698</v>
      </c>
      <c r="E1075" s="20" t="str">
        <f t="shared" si="110"/>
        <v/>
      </c>
      <c r="F1075" s="21" t="str">
        <f>IF(OR(E1075="",E1075="!!!"),"",IF(NOT(ISNA(VLOOKUP(E1075,E$1:E1074,1,FALSE()))),"OLD",IF(AND(E1075&lt;&gt;"",E1075&lt;&gt;"!!!"),"NEW","")))</f>
        <v/>
      </c>
      <c r="G1075" s="22" t="str">
        <f>IF(OR(E1075="",E1075="!!!"),"",IF(OR(J1075=0,AND(J1075=1,K1075=1),AND(J1075=1,I1075="SBJ"),AND(J1075=1,I1075=0)),"?IN_FOCUS",IF(J1075&lt;=2,"?ACTIVATED",IF(J1075&lt;&gt;"","?FAMILIAR",IF(F1075="NEW",IF(ISNA(VLOOKUP(E1075,#REF!,1,FALSE())),"?TYPE_IDENTIFIABLE","?REFERENTIAL"),"_")))))</f>
        <v/>
      </c>
      <c r="H1075" s="23" t="str">
        <f t="shared" ca="1" si="111"/>
        <v/>
      </c>
      <c r="I1075" s="24" t="str">
        <f>IF(OR(E1075="",E1075="!!!",F1075="NEW"),"",INDEX(B$2:B1074,-1+SUMPRODUCT(MAX(ROW(E$2:E1074)*(E1075=E$2:E1074)))))</f>
        <v/>
      </c>
      <c r="J1075" s="24" t="str">
        <f ca="1">IF(OR(E1075="",E1075="!!!",F1075="NEW"),"",COUNTBLANK(OFFSET(A$1,,,SUMPRODUCT(MAX(ROW(E$2:E1075)*(E1075=E$2:E1075)))))-COUNTBLANK(OFFSET(A$1,,,SUMPRODUCT(MAX(ROW(E$1:E1074)*(E2=E$1:E1074))))))</f>
        <v/>
      </c>
      <c r="K1075" s="24" t="str">
        <f>IF(OR(E1075="",E1075="!!!",F1075="NEW"),"",INDEX(J$1:J1074,SUMPRODUCT(MAX(ROW(E$1:E1074)*(E1075=E$1:E1074)))))</f>
        <v/>
      </c>
      <c r="L1075" s="25"/>
    </row>
    <row r="1076" spans="1:12" x14ac:dyDescent="0.3">
      <c r="A1076" t="s">
        <v>699</v>
      </c>
      <c r="B1076" s="26" t="s">
        <v>265</v>
      </c>
      <c r="C1076" s="26" t="s">
        <v>262</v>
      </c>
      <c r="E1076" s="20" t="str">
        <f t="shared" si="110"/>
        <v/>
      </c>
      <c r="F1076" s="21" t="str">
        <f>IF(OR(E1076="",E1076="!!!"),"",IF(NOT(ISNA(VLOOKUP(E1076,E$1:E1075,1,FALSE()))),"OLD",IF(AND(E1076&lt;&gt;"",E1076&lt;&gt;"!!!"),"NEW","")))</f>
        <v/>
      </c>
      <c r="G1076" s="22" t="str">
        <f>IF(OR(E1076="",E1076="!!!"),"",IF(OR(J1076=0,AND(J1076=1,K1076=1),AND(J1076=1,I1076="SBJ"),AND(J1076=1,I1076=0)),"?IN_FOCUS",IF(J1076&lt;=2,"?ACTIVATED",IF(J1076&lt;&gt;"","?FAMILIAR",IF(F1076="NEW",IF(ISNA(VLOOKUP(E1076,#REF!,1,FALSE())),"?TYPE_IDENTIFIABLE","?REFERENTIAL"),"_")))))</f>
        <v/>
      </c>
      <c r="H1076" s="23" t="str">
        <f t="shared" ca="1" si="111"/>
        <v/>
      </c>
      <c r="I1076" s="24" t="str">
        <f>IF(OR(E1076="",E1076="!!!",F1076="NEW"),"",INDEX(B$2:B1075,-1+SUMPRODUCT(MAX(ROW(E$2:E1075)*(E1076=E$2:E1075)))))</f>
        <v/>
      </c>
      <c r="J1076" s="24" t="str">
        <f ca="1">IF(OR(E1076="",E1076="!!!",F1076="NEW"),"",COUNTBLANK(OFFSET(A$1,,,SUMPRODUCT(MAX(ROW(E$2:E1076)*(E1076=E$2:E1076)))))-COUNTBLANK(OFFSET(A$1,,,SUMPRODUCT(MAX(ROW(E$1:E1075)*(E2=E$1:E1075))))))</f>
        <v/>
      </c>
      <c r="K1076" s="24" t="str">
        <f>IF(OR(E1076="",E1076="!!!",F1076="NEW"),"",INDEX(J$1:J1075,SUMPRODUCT(MAX(ROW(E$1:E1075)*(E1076=E$1:E1075)))))</f>
        <v/>
      </c>
      <c r="L1076" s="25"/>
    </row>
    <row r="1077" spans="1:12" x14ac:dyDescent="0.3">
      <c r="A1077" t="s">
        <v>700</v>
      </c>
      <c r="E1077" s="20" t="str">
        <f t="shared" si="110"/>
        <v/>
      </c>
      <c r="F1077" s="21" t="str">
        <f>IF(OR(E1077="",E1077="!!!"),"",IF(NOT(ISNA(VLOOKUP(E1077,E$1:E1076,1,FALSE()))),"OLD",IF(AND(E1077&lt;&gt;"",E1077&lt;&gt;"!!!"),"NEW","")))</f>
        <v/>
      </c>
      <c r="G1077" s="22" t="str">
        <f>IF(OR(E1077="",E1077="!!!"),"",IF(OR(J1077=0,AND(J1077=1,K1077=1),AND(J1077=1,I1077="SBJ"),AND(J1077=1,I1077=0)),"?IN_FOCUS",IF(J1077&lt;=2,"?ACTIVATED",IF(J1077&lt;&gt;"","?FAMILIAR",IF(F1077="NEW",IF(ISNA(VLOOKUP(E1077,#REF!,1,FALSE())),"?TYPE_IDENTIFIABLE","?REFERENTIAL"),"_")))))</f>
        <v/>
      </c>
      <c r="H1077" s="23" t="str">
        <f t="shared" ca="1" si="111"/>
        <v/>
      </c>
      <c r="I1077" s="24" t="str">
        <f>IF(OR(E1077="",E1077="!!!",F1077="NEW"),"",INDEX(B$2:B1076,-1+SUMPRODUCT(MAX(ROW(E$2:E1076)*(E1077=E$2:E1076)))))</f>
        <v/>
      </c>
      <c r="J1077" s="24" t="str">
        <f ca="1">IF(OR(E1077="",E1077="!!!",F1077="NEW"),"",COUNTBLANK(OFFSET(A$1,,,SUMPRODUCT(MAX(ROW(E$2:E1077)*(E1077=E$2:E1077)))))-COUNTBLANK(OFFSET(A$1,,,SUMPRODUCT(MAX(ROW(E$1:E1076)*(E2=E$1:E1076))))))</f>
        <v/>
      </c>
      <c r="K1077" s="24" t="str">
        <f>IF(OR(E1077="",E1077="!!!",F1077="NEW"),"",INDEX(J$1:J1076,SUMPRODUCT(MAX(ROW(E$1:E1076)*(E1077=E$1:E1076)))))</f>
        <v/>
      </c>
      <c r="L1077" s="25"/>
    </row>
    <row r="1078" spans="1:12" x14ac:dyDescent="0.3">
      <c r="A1078" t="s">
        <v>252</v>
      </c>
      <c r="E1078" s="20" t="str">
        <f t="shared" si="110"/>
        <v/>
      </c>
      <c r="F1078" s="21" t="str">
        <f>IF(OR(E1078="",E1078="!!!"),"",IF(NOT(ISNA(VLOOKUP(E1078,E$1:E1077,1,FALSE()))),"OLD",IF(AND(E1078&lt;&gt;"",E1078&lt;&gt;"!!!"),"NEW","")))</f>
        <v/>
      </c>
      <c r="G1078" s="22" t="str">
        <f>IF(OR(E1078="",E1078="!!!"),"",IF(OR(J1078=0,AND(J1078=1,K1078=1),AND(J1078=1,I1078="SBJ"),AND(J1078=1,I1078=0)),"?IN_FOCUS",IF(J1078&lt;=2,"?ACTIVATED",IF(J1078&lt;&gt;"","?FAMILIAR",IF(F1078="NEW",IF(ISNA(VLOOKUP(E1078,#REF!,1,FALSE())),"?TYPE_IDENTIFIABLE","?REFERENTIAL"),"_")))))</f>
        <v/>
      </c>
      <c r="H1078" s="23" t="str">
        <f t="shared" ca="1" si="111"/>
        <v/>
      </c>
      <c r="I1078" s="24" t="str">
        <f>IF(OR(E1078="",E1078="!!!",F1078="NEW"),"",INDEX(B$2:B1077,-1+SUMPRODUCT(MAX(ROW(E$2:E1077)*(E1078=E$2:E1077)))))</f>
        <v/>
      </c>
      <c r="J1078" s="24" t="str">
        <f ca="1">IF(OR(E1078="",E1078="!!!",F1078="NEW"),"",COUNTBLANK(OFFSET(A$1,,,SUMPRODUCT(MAX(ROW(E$2:E1078)*(E1078=E$2:E1078)))))-COUNTBLANK(OFFSET(A$1,,,SUMPRODUCT(MAX(ROW(E$1:E1077)*(E2=E$1:E1077))))))</f>
        <v/>
      </c>
      <c r="K1078" s="24" t="str">
        <f>IF(OR(E1078="",E1078="!!!",F1078="NEW"),"",INDEX(J$1:J1077,SUMPRODUCT(MAX(ROW(E$1:E1077)*(E1078=E$1:E1077)))))</f>
        <v/>
      </c>
      <c r="L1078" s="25"/>
    </row>
    <row r="1079" spans="1:12" x14ac:dyDescent="0.3">
      <c r="A1079" t="s">
        <v>278</v>
      </c>
      <c r="E1079" s="20" t="str">
        <f t="shared" si="110"/>
        <v/>
      </c>
      <c r="F1079" s="21" t="str">
        <f>IF(OR(E1079="",E1079="!!!"),"",IF(NOT(ISNA(VLOOKUP(E1079,E$1:E1078,1,FALSE()))),"OLD",IF(AND(E1079&lt;&gt;"",E1079&lt;&gt;"!!!"),"NEW","")))</f>
        <v/>
      </c>
      <c r="G1079" s="22" t="str">
        <f>IF(OR(E1079="",E1079="!!!"),"",IF(OR(J1079=0,AND(J1079=1,K1079=1),AND(J1079=1,I1079="SBJ"),AND(J1079=1,I1079=0)),"?IN_FOCUS",IF(J1079&lt;=2,"?ACTIVATED",IF(J1079&lt;&gt;"","?FAMILIAR",IF(F1079="NEW",IF(ISNA(VLOOKUP(E1079,#REF!,1,FALSE())),"?TYPE_IDENTIFIABLE","?REFERENTIAL"),"_")))))</f>
        <v/>
      </c>
      <c r="H1079" s="23" t="str">
        <f t="shared" ca="1" si="111"/>
        <v/>
      </c>
      <c r="I1079" s="24" t="str">
        <f>IF(OR(E1079="",E1079="!!!",F1079="NEW"),"",INDEX(B$2:B1078,-1+SUMPRODUCT(MAX(ROW(E$2:E1078)*(E1079=E$2:E1078)))))</f>
        <v/>
      </c>
      <c r="J1079" s="24" t="str">
        <f ca="1">IF(OR(E1079="",E1079="!!!",F1079="NEW"),"",COUNTBLANK(OFFSET(A$1,,,SUMPRODUCT(MAX(ROW(E$2:E1079)*(E1079=E$2:E1079)))))-COUNTBLANK(OFFSET(A$1,,,SUMPRODUCT(MAX(ROW(E$1:E1078)*(E2=E$1:E1078))))))</f>
        <v/>
      </c>
      <c r="K1079" s="24" t="str">
        <f>IF(OR(E1079="",E1079="!!!",F1079="NEW"),"",INDEX(J$1:J1078,SUMPRODUCT(MAX(ROW(E$1:E1078)*(E1079=E$1:E1078)))))</f>
        <v/>
      </c>
      <c r="L1079" s="25"/>
    </row>
    <row r="1080" spans="1:12" x14ac:dyDescent="0.3">
      <c r="A1080" t="s">
        <v>267</v>
      </c>
      <c r="E1080" s="20" t="str">
        <f t="shared" si="110"/>
        <v/>
      </c>
      <c r="F1080" s="21" t="str">
        <f>IF(OR(E1080="",E1080="!!!"),"",IF(NOT(ISNA(VLOOKUP(E1080,E$1:E1079,1,FALSE()))),"OLD",IF(AND(E1080&lt;&gt;"",E1080&lt;&gt;"!!!"),"NEW","")))</f>
        <v/>
      </c>
      <c r="G1080" s="22" t="str">
        <f>IF(OR(E1080="",E1080="!!!"),"",IF(OR(J1080=0,AND(J1080=1,K1080=1),AND(J1080=1,I1080="SBJ"),AND(J1080=1,I1080=0)),"?IN_FOCUS",IF(J1080&lt;=2,"?ACTIVATED",IF(J1080&lt;&gt;"","?FAMILIAR",IF(F1080="NEW",IF(ISNA(VLOOKUP(E1080,#REF!,1,FALSE())),"?TYPE_IDENTIFIABLE","?REFERENTIAL"),"_")))))</f>
        <v/>
      </c>
      <c r="H1080" s="23" t="str">
        <f t="shared" ca="1" si="111"/>
        <v/>
      </c>
      <c r="I1080" s="24" t="str">
        <f>IF(OR(E1080="",E1080="!!!",F1080="NEW"),"",INDEX(B$2:B1079,-1+SUMPRODUCT(MAX(ROW(E$2:E1079)*(E1080=E$2:E1079)))))</f>
        <v/>
      </c>
      <c r="J1080" s="24" t="str">
        <f ca="1">IF(OR(E1080="",E1080="!!!",F1080="NEW"),"",COUNTBLANK(OFFSET(A$1,,,SUMPRODUCT(MAX(ROW(E$2:E1080)*(E1080=E$2:E1080)))))-COUNTBLANK(OFFSET(A$1,,,SUMPRODUCT(MAX(ROW(E$1:E1079)*(E2=E$1:E1079))))))</f>
        <v/>
      </c>
      <c r="K1080" s="24" t="str">
        <f>IF(OR(E1080="",E1080="!!!",F1080="NEW"),"",INDEX(J$1:J1079,SUMPRODUCT(MAX(ROW(E$1:E1079)*(E1080=E$1:E1079)))))</f>
        <v/>
      </c>
      <c r="L1080" s="25"/>
    </row>
    <row r="1081" spans="1:12" x14ac:dyDescent="0.3">
      <c r="A1081" t="s">
        <v>424</v>
      </c>
      <c r="B1081" s="26" t="s">
        <v>238</v>
      </c>
      <c r="C1081" s="26" t="s">
        <v>587</v>
      </c>
      <c r="D1081" s="26" t="s">
        <v>240</v>
      </c>
      <c r="E1081" s="20" t="str">
        <f t="shared" si="110"/>
        <v>!!!</v>
      </c>
      <c r="F1081" s="21" t="str">
        <f>IF(OR(E1081="",E1081="!!!"),"",IF(NOT(ISNA(VLOOKUP(E1081,E$1:E1080,1,FALSE()))),"OLD",IF(AND(E1081&lt;&gt;"",E1081&lt;&gt;"!!!"),"NEW","")))</f>
        <v/>
      </c>
      <c r="G1081" s="22" t="str">
        <f>IF(OR(E1081="",E1081="!!!"),"",IF(OR(J1081=0,AND(J1081=1,K1081=1),AND(J1081=1,I1081="SBJ"),AND(J1081=1,I1081=0)),"?IN_FOCUS",IF(J1081&lt;=2,"?ACTIVATED",IF(J1081&lt;&gt;"","?FAMILIAR",IF(F1081="NEW",IF(ISNA(VLOOKUP(E1081,#REF!,1,FALSE())),"?TYPE_IDENTIFIABLE","?REFERENTIAL"),"_")))))</f>
        <v/>
      </c>
      <c r="H1081" s="23" t="str">
        <f t="shared" ca="1" si="111"/>
        <v/>
      </c>
      <c r="I1081" s="24" t="str">
        <f>IF(OR(E1081="",E1081="!!!",F1081="NEW"),"",INDEX(B$2:B1080,-1+SUMPRODUCT(MAX(ROW(E$2:E1080)*(E1081=E$2:E1080)))))</f>
        <v/>
      </c>
      <c r="J1081" s="24" t="str">
        <f ca="1">IF(OR(E1081="",E1081="!!!",F1081="NEW"),"",COUNTBLANK(OFFSET(A$1,,,SUMPRODUCT(MAX(ROW(E$2:E1081)*(E1081=E$2:E1081)))))-COUNTBLANK(OFFSET(A$1,,,SUMPRODUCT(MAX(ROW(E$1:E1080)*(E2=E$1:E1080))))))</f>
        <v/>
      </c>
      <c r="K1081" s="24" t="str">
        <f>IF(OR(E1081="",E1081="!!!",F1081="NEW"),"",INDEX(J$1:J1080,SUMPRODUCT(MAX(ROW(E$1:E1080)*(E1081=E$1:E1080)))))</f>
        <v/>
      </c>
      <c r="L1081" s="25"/>
    </row>
    <row r="1082" spans="1:12" x14ac:dyDescent="0.3">
      <c r="A1082" t="s">
        <v>431</v>
      </c>
      <c r="E1082" s="20" t="str">
        <f t="shared" si="110"/>
        <v/>
      </c>
      <c r="F1082" s="21" t="str">
        <f>IF(OR(E1082="",E1082="!!!"),"",IF(NOT(ISNA(VLOOKUP(E1082,E$1:E1081,1,FALSE()))),"OLD",IF(AND(E1082&lt;&gt;"",E1082&lt;&gt;"!!!"),"NEW","")))</f>
        <v/>
      </c>
      <c r="G1082" s="22" t="str">
        <f>IF(OR(E1082="",E1082="!!!"),"",IF(OR(J1082=0,AND(J1082=1,K1082=1),AND(J1082=1,I1082="SBJ"),AND(J1082=1,I1082=0)),"?IN_FOCUS",IF(J1082&lt;=2,"?ACTIVATED",IF(J1082&lt;&gt;"","?FAMILIAR",IF(F1082="NEW",IF(ISNA(VLOOKUP(E1082,#REF!,1,FALSE())),"?TYPE_IDENTIFIABLE","?REFERENTIAL"),"_")))))</f>
        <v/>
      </c>
      <c r="H1082" s="23" t="str">
        <f t="shared" ca="1" si="111"/>
        <v/>
      </c>
      <c r="I1082" s="24" t="str">
        <f>IF(OR(E1082="",E1082="!!!",F1082="NEW"),"",INDEX(B$2:B1081,-1+SUMPRODUCT(MAX(ROW(E$2:E1081)*(E1082=E$2:E1081)))))</f>
        <v/>
      </c>
      <c r="J1082" s="24" t="str">
        <f ca="1">IF(OR(E1082="",E1082="!!!",F1082="NEW"),"",COUNTBLANK(OFFSET(A$1,,,SUMPRODUCT(MAX(ROW(E$2:E1082)*(E1082=E$2:E1082)))))-COUNTBLANK(OFFSET(A$1,,,SUMPRODUCT(MAX(ROW(E$1:E1081)*(E2=E$1:E1081))))))</f>
        <v/>
      </c>
      <c r="K1082" s="24" t="str">
        <f>IF(OR(E1082="",E1082="!!!",F1082="NEW"),"",INDEX(J$1:J1081,SUMPRODUCT(MAX(ROW(E$1:E1081)*(E1082=E$1:E1081)))))</f>
        <v/>
      </c>
      <c r="L1082" s="25"/>
    </row>
    <row r="1083" spans="1:12" x14ac:dyDescent="0.3">
      <c r="A1083" t="s">
        <v>367</v>
      </c>
      <c r="E1083" s="20" t="str">
        <f t="shared" si="110"/>
        <v/>
      </c>
      <c r="F1083" s="21" t="str">
        <f>IF(OR(E1083="",E1083="!!!"),"",IF(NOT(ISNA(VLOOKUP(E1083,E$1:E1082,1,FALSE()))),"OLD",IF(AND(E1083&lt;&gt;"",E1083&lt;&gt;"!!!"),"NEW","")))</f>
        <v/>
      </c>
      <c r="G1083" s="22" t="str">
        <f>IF(OR(E1083="",E1083="!!!"),"",IF(OR(J1083=0,AND(J1083=1,K1083=1),AND(J1083=1,I1083="SBJ"),AND(J1083=1,I1083=0)),"?IN_FOCUS",IF(J1083&lt;=2,"?ACTIVATED",IF(J1083&lt;&gt;"","?FAMILIAR",IF(F1083="NEW",IF(ISNA(VLOOKUP(E1083,#REF!,1,FALSE())),"?TYPE_IDENTIFIABLE","?REFERENTIAL"),"_")))))</f>
        <v/>
      </c>
      <c r="H1083" s="23" t="str">
        <f t="shared" ca="1" si="111"/>
        <v/>
      </c>
      <c r="I1083" s="24" t="str">
        <f>IF(OR(E1083="",E1083="!!!",F1083="NEW"),"",INDEX(B$2:B1082,-1+SUMPRODUCT(MAX(ROW(E$2:E1082)*(E1083=E$2:E1082)))))</f>
        <v/>
      </c>
      <c r="J1083" s="24" t="str">
        <f ca="1">IF(OR(E1083="",E1083="!!!",F1083="NEW"),"",COUNTBLANK(OFFSET(A$1,,,SUMPRODUCT(MAX(ROW(E$2:E1083)*(E1083=E$2:E1083)))))-COUNTBLANK(OFFSET(A$1,,,SUMPRODUCT(MAX(ROW(E$1:E1082)*(E2=E$1:E1082))))))</f>
        <v/>
      </c>
      <c r="K1083" s="24" t="str">
        <f>IF(OR(E1083="",E1083="!!!",F1083="NEW"),"",INDEX(J$1:J1082,SUMPRODUCT(MAX(ROW(E$1:E1082)*(E1083=E$1:E1082)))))</f>
        <v/>
      </c>
      <c r="L1083" s="25"/>
    </row>
    <row r="1084" spans="1:12" x14ac:dyDescent="0.3">
      <c r="A1084" t="s">
        <v>248</v>
      </c>
      <c r="E1084" s="20" t="str">
        <f t="shared" si="110"/>
        <v/>
      </c>
      <c r="F1084" s="21" t="str">
        <f>IF(OR(E1084="",E1084="!!!"),"",IF(NOT(ISNA(VLOOKUP(E1084,E$1:E1083,1,FALSE()))),"OLD",IF(AND(E1084&lt;&gt;"",E1084&lt;&gt;"!!!"),"NEW","")))</f>
        <v/>
      </c>
      <c r="G1084" s="22" t="str">
        <f>IF(OR(E1084="",E1084="!!!"),"",IF(OR(J1084=0,AND(J1084=1,K1084=1),AND(J1084=1,I1084="SBJ"),AND(J1084=1,I1084=0)),"?IN_FOCUS",IF(J1084&lt;=2,"?ACTIVATED",IF(J1084&lt;&gt;"","?FAMILIAR",IF(F1084="NEW",IF(ISNA(VLOOKUP(E1084,#REF!,1,FALSE())),"?TYPE_IDENTIFIABLE","?REFERENTIAL"),"_")))))</f>
        <v/>
      </c>
      <c r="H1084" s="23" t="str">
        <f t="shared" ca="1" si="111"/>
        <v/>
      </c>
      <c r="I1084" s="24" t="str">
        <f>IF(OR(E1084="",E1084="!!!",F1084="NEW"),"",INDEX(B$2:B1083,-1+SUMPRODUCT(MAX(ROW(E$2:E1083)*(E1084=E$2:E1083)))))</f>
        <v/>
      </c>
      <c r="J1084" s="24" t="str">
        <f ca="1">IF(OR(E1084="",E1084="!!!",F1084="NEW"),"",COUNTBLANK(OFFSET(A$1,,,SUMPRODUCT(MAX(ROW(E$2:E1084)*(E1084=E$2:E1084)))))-COUNTBLANK(OFFSET(A$1,,,SUMPRODUCT(MAX(ROW(E$1:E1083)*(E2=E$1:E1083))))))</f>
        <v/>
      </c>
      <c r="K1084" s="24" t="str">
        <f>IF(OR(E1084="",E1084="!!!",F1084="NEW"),"",INDEX(J$1:J1083,SUMPRODUCT(MAX(ROW(E$1:E1083)*(E1084=E$1:E1083)))))</f>
        <v/>
      </c>
      <c r="L1084" s="25"/>
    </row>
    <row r="1086" spans="1:12" x14ac:dyDescent="0.3">
      <c r="A1086" t="s">
        <v>701</v>
      </c>
    </row>
    <row r="1087" spans="1:12" x14ac:dyDescent="0.3">
      <c r="A1087" t="s">
        <v>324</v>
      </c>
      <c r="B1087" s="26" t="s">
        <v>243</v>
      </c>
      <c r="C1087" s="26" t="s">
        <v>244</v>
      </c>
      <c r="D1087" s="26" t="s">
        <v>240</v>
      </c>
      <c r="E1087" s="20" t="str">
        <f t="shared" ref="E1087:E1094" si="112">IF(D1087="?OLD","!!!","")</f>
        <v>!!!</v>
      </c>
      <c r="F1087" s="21" t="str">
        <f>IF(OR(E1087="",E1087="!!!"),"",IF(NOT(ISNA(VLOOKUP(E1087,E$1:E1086,1,FALSE()))),"OLD",IF(AND(E1087&lt;&gt;"",E1087&lt;&gt;"!!!"),"NEW","")))</f>
        <v/>
      </c>
      <c r="G1087" s="22" t="str">
        <f>IF(OR(E1087="",E1087="!!!"),"",IF(OR(J1087=0,AND(J1087=1,K1087=1),AND(J1087=1,I1087="SBJ"),AND(J1087=1,I1087=0)),"?IN_FOCUS",IF(J1087&lt;=2,"?ACTIVATED",IF(J1087&lt;&gt;"","?FAMILIAR",IF(F1087="NEW",IF(ISNA(VLOOKUP(E1087,#REF!,1,FALSE())),"?TYPE_IDENTIFIABLE","?REFERENTIAL"),"_")))))</f>
        <v/>
      </c>
      <c r="H1087" s="23" t="str">
        <f t="shared" ref="H1087:H1094" ca="1" si="113">IF(J1087&lt;&gt;1,"",IF(I1087="SBJ","CB","?"))</f>
        <v/>
      </c>
      <c r="I1087" s="24" t="str">
        <f>IF(OR(E1087="",E1087="!!!",F1087="NEW"),"",INDEX(B$2:B1086,-1+SUMPRODUCT(MAX(ROW(E$2:E1086)*(E1087=E$2:E1086)))))</f>
        <v/>
      </c>
      <c r="J1087" s="24" t="str">
        <f ca="1">IF(OR(E1087="",E1087="!!!",F1087="NEW"),"",COUNTBLANK(OFFSET(A$1,,,SUMPRODUCT(MAX(ROW(E$2:E1087)*(E1087=E$2:E1087)))))-COUNTBLANK(OFFSET(A$1,,,SUMPRODUCT(MAX(ROW(E$1:E1086)*(E2=E$1:E1086))))))</f>
        <v/>
      </c>
      <c r="K1087" s="24" t="str">
        <f>IF(OR(E1087="",E1087="!!!",F1087="NEW"),"",INDEX(J$1:J1086,SUMPRODUCT(MAX(ROW(E$1:E1086)*(E1087=E$1:E1086)))))</f>
        <v/>
      </c>
      <c r="L1087" s="25"/>
    </row>
    <row r="1088" spans="1:12" x14ac:dyDescent="0.3">
      <c r="A1088" t="s">
        <v>347</v>
      </c>
      <c r="E1088" s="20" t="str">
        <f t="shared" si="112"/>
        <v/>
      </c>
      <c r="F1088" s="21" t="str">
        <f>IF(OR(E1088="",E1088="!!!"),"",IF(NOT(ISNA(VLOOKUP(E1088,E$1:E1087,1,FALSE()))),"OLD",IF(AND(E1088&lt;&gt;"",E1088&lt;&gt;"!!!"),"NEW","")))</f>
        <v/>
      </c>
      <c r="G1088" s="22" t="str">
        <f>IF(OR(E1088="",E1088="!!!"),"",IF(OR(J1088=0,AND(J1088=1,K1088=1),AND(J1088=1,I1088="SBJ"),AND(J1088=1,I1088=0)),"?IN_FOCUS",IF(J1088&lt;=2,"?ACTIVATED",IF(J1088&lt;&gt;"","?FAMILIAR",IF(F1088="NEW",IF(ISNA(VLOOKUP(E1088,#REF!,1,FALSE())),"?TYPE_IDENTIFIABLE","?REFERENTIAL"),"_")))))</f>
        <v/>
      </c>
      <c r="H1088" s="23" t="str">
        <f t="shared" ca="1" si="113"/>
        <v/>
      </c>
      <c r="I1088" s="24" t="str">
        <f>IF(OR(E1088="",E1088="!!!",F1088="NEW"),"",INDEX(B$2:B1087,-1+SUMPRODUCT(MAX(ROW(E$2:E1087)*(E1088=E$2:E1087)))))</f>
        <v/>
      </c>
      <c r="J1088" s="24" t="str">
        <f ca="1">IF(OR(E1088="",E1088="!!!",F1088="NEW"),"",COUNTBLANK(OFFSET(A$1,,,SUMPRODUCT(MAX(ROW(E$2:E1088)*(E1088=E$2:E1088)))))-COUNTBLANK(OFFSET(A$1,,,SUMPRODUCT(MAX(ROW(E$1:E1087)*(E2=E$1:E1087))))))</f>
        <v/>
      </c>
      <c r="K1088" s="24" t="str">
        <f>IF(OR(E1088="",E1088="!!!",F1088="NEW"),"",INDEX(J$1:J1087,SUMPRODUCT(MAX(ROW(E$1:E1087)*(E1088=E$1:E1087)))))</f>
        <v/>
      </c>
      <c r="L1088" s="25"/>
    </row>
    <row r="1089" spans="1:12" x14ac:dyDescent="0.3">
      <c r="A1089" t="s">
        <v>702</v>
      </c>
      <c r="E1089" s="20" t="str">
        <f t="shared" si="112"/>
        <v/>
      </c>
      <c r="F1089" s="21" t="str">
        <f>IF(OR(E1089="",E1089="!!!"),"",IF(NOT(ISNA(VLOOKUP(E1089,E$1:E1088,1,FALSE()))),"OLD",IF(AND(E1089&lt;&gt;"",E1089&lt;&gt;"!!!"),"NEW","")))</f>
        <v/>
      </c>
      <c r="G1089" s="22" t="str">
        <f>IF(OR(E1089="",E1089="!!!"),"",IF(OR(J1089=0,AND(J1089=1,K1089=1),AND(J1089=1,I1089="SBJ"),AND(J1089=1,I1089=0)),"?IN_FOCUS",IF(J1089&lt;=2,"?ACTIVATED",IF(J1089&lt;&gt;"","?FAMILIAR",IF(F1089="NEW",IF(ISNA(VLOOKUP(E1089,#REF!,1,FALSE())),"?TYPE_IDENTIFIABLE","?REFERENTIAL"),"_")))))</f>
        <v/>
      </c>
      <c r="H1089" s="23" t="str">
        <f t="shared" ca="1" si="113"/>
        <v/>
      </c>
      <c r="I1089" s="24" t="str">
        <f>IF(OR(E1089="",E1089="!!!",F1089="NEW"),"",INDEX(B$2:B1088,-1+SUMPRODUCT(MAX(ROW(E$2:E1088)*(E1089=E$2:E1088)))))</f>
        <v/>
      </c>
      <c r="J1089" s="24" t="str">
        <f ca="1">IF(OR(E1089="",E1089="!!!",F1089="NEW"),"",COUNTBLANK(OFFSET(A$1,,,SUMPRODUCT(MAX(ROW(E$2:E1089)*(E1089=E$2:E1089)))))-COUNTBLANK(OFFSET(A$1,,,SUMPRODUCT(MAX(ROW(E$1:E1088)*(E2=E$1:E1088))))))</f>
        <v/>
      </c>
      <c r="K1089" s="24" t="str">
        <f>IF(OR(E1089="",E1089="!!!",F1089="NEW"),"",INDEX(J$1:J1088,SUMPRODUCT(MAX(ROW(E$1:E1088)*(E1089=E$1:E1088)))))</f>
        <v/>
      </c>
      <c r="L1089" s="25"/>
    </row>
    <row r="1090" spans="1:12" x14ac:dyDescent="0.3">
      <c r="A1090" t="s">
        <v>366</v>
      </c>
      <c r="E1090" s="20" t="str">
        <f t="shared" si="112"/>
        <v/>
      </c>
      <c r="F1090" s="21" t="str">
        <f>IF(OR(E1090="",E1090="!!!"),"",IF(NOT(ISNA(VLOOKUP(E1090,E$1:E1089,1,FALSE()))),"OLD",IF(AND(E1090&lt;&gt;"",E1090&lt;&gt;"!!!"),"NEW","")))</f>
        <v/>
      </c>
      <c r="G1090" s="22" t="str">
        <f>IF(OR(E1090="",E1090="!!!"),"",IF(OR(J1090=0,AND(J1090=1,K1090=1),AND(J1090=1,I1090="SBJ"),AND(J1090=1,I1090=0)),"?IN_FOCUS",IF(J1090&lt;=2,"?ACTIVATED",IF(J1090&lt;&gt;"","?FAMILIAR",IF(F1090="NEW",IF(ISNA(VLOOKUP(E1090,#REF!,1,FALSE())),"?TYPE_IDENTIFIABLE","?REFERENTIAL"),"_")))))</f>
        <v/>
      </c>
      <c r="H1090" s="23" t="str">
        <f t="shared" ca="1" si="113"/>
        <v/>
      </c>
      <c r="I1090" s="24" t="str">
        <f>IF(OR(E1090="",E1090="!!!",F1090="NEW"),"",INDEX(B$2:B1089,-1+SUMPRODUCT(MAX(ROW(E$2:E1089)*(E1090=E$2:E1089)))))</f>
        <v/>
      </c>
      <c r="J1090" s="24" t="str">
        <f ca="1">IF(OR(E1090="",E1090="!!!",F1090="NEW"),"",COUNTBLANK(OFFSET(A$1,,,SUMPRODUCT(MAX(ROW(E$2:E1090)*(E1090=E$2:E1090)))))-COUNTBLANK(OFFSET(A$1,,,SUMPRODUCT(MAX(ROW(E$1:E1089)*(E2=E$1:E1089))))))</f>
        <v/>
      </c>
      <c r="K1090" s="24" t="str">
        <f>IF(OR(E1090="",E1090="!!!",F1090="NEW"),"",INDEX(J$1:J1089,SUMPRODUCT(MAX(ROW(E$1:E1089)*(E1090=E$1:E1089)))))</f>
        <v/>
      </c>
      <c r="L1090" s="25"/>
    </row>
    <row r="1091" spans="1:12" x14ac:dyDescent="0.3">
      <c r="A1091" t="s">
        <v>372</v>
      </c>
      <c r="E1091" s="20" t="str">
        <f t="shared" si="112"/>
        <v/>
      </c>
      <c r="F1091" s="21" t="str">
        <f>IF(OR(E1091="",E1091="!!!"),"",IF(NOT(ISNA(VLOOKUP(E1091,E$1:E1090,1,FALSE()))),"OLD",IF(AND(E1091&lt;&gt;"",E1091&lt;&gt;"!!!"),"NEW","")))</f>
        <v/>
      </c>
      <c r="G1091" s="22" t="str">
        <f>IF(OR(E1091="",E1091="!!!"),"",IF(OR(J1091=0,AND(J1091=1,K1091=1),AND(J1091=1,I1091="SBJ"),AND(J1091=1,I1091=0)),"?IN_FOCUS",IF(J1091&lt;=2,"?ACTIVATED",IF(J1091&lt;&gt;"","?FAMILIAR",IF(F1091="NEW",IF(ISNA(VLOOKUP(E1091,#REF!,1,FALSE())),"?TYPE_IDENTIFIABLE","?REFERENTIAL"),"_")))))</f>
        <v/>
      </c>
      <c r="H1091" s="23" t="str">
        <f t="shared" ca="1" si="113"/>
        <v/>
      </c>
      <c r="I1091" s="24" t="str">
        <f>IF(OR(E1091="",E1091="!!!",F1091="NEW"),"",INDEX(B$2:B1090,-1+SUMPRODUCT(MAX(ROW(E$2:E1090)*(E1091=E$2:E1090)))))</f>
        <v/>
      </c>
      <c r="J1091" s="24" t="str">
        <f ca="1">IF(OR(E1091="",E1091="!!!",F1091="NEW"),"",COUNTBLANK(OFFSET(A$1,,,SUMPRODUCT(MAX(ROW(E$2:E1091)*(E1091=E$2:E1091)))))-COUNTBLANK(OFFSET(A$1,,,SUMPRODUCT(MAX(ROW(E$1:E1090)*(E2=E$1:E1090))))))</f>
        <v/>
      </c>
      <c r="K1091" s="24" t="str">
        <f>IF(OR(E1091="",E1091="!!!",F1091="NEW"),"",INDEX(J$1:J1090,SUMPRODUCT(MAX(ROW(E$1:E1090)*(E1091=E$1:E1090)))))</f>
        <v/>
      </c>
      <c r="L1091" s="25"/>
    </row>
    <row r="1092" spans="1:12" x14ac:dyDescent="0.3">
      <c r="A1092" t="s">
        <v>703</v>
      </c>
      <c r="B1092" s="26" t="s">
        <v>238</v>
      </c>
      <c r="C1092" s="26" t="s">
        <v>262</v>
      </c>
      <c r="E1092" s="20" t="str">
        <f t="shared" si="112"/>
        <v/>
      </c>
      <c r="F1092" s="21" t="str">
        <f>IF(OR(E1092="",E1092="!!!"),"",IF(NOT(ISNA(VLOOKUP(E1092,E$1:E1091,1,FALSE()))),"OLD",IF(AND(E1092&lt;&gt;"",E1092&lt;&gt;"!!!"),"NEW","")))</f>
        <v/>
      </c>
      <c r="G1092" s="22" t="str">
        <f>IF(OR(E1092="",E1092="!!!"),"",IF(OR(J1092=0,AND(J1092=1,K1092=1),AND(J1092=1,I1092="SBJ"),AND(J1092=1,I1092=0)),"?IN_FOCUS",IF(J1092&lt;=2,"?ACTIVATED",IF(J1092&lt;&gt;"","?FAMILIAR",IF(F1092="NEW",IF(ISNA(VLOOKUP(E1092,#REF!,1,FALSE())),"?TYPE_IDENTIFIABLE","?REFERENTIAL"),"_")))))</f>
        <v/>
      </c>
      <c r="H1092" s="23" t="str">
        <f t="shared" ca="1" si="113"/>
        <v/>
      </c>
      <c r="I1092" s="24" t="str">
        <f>IF(OR(E1092="",E1092="!!!",F1092="NEW"),"",INDEX(B$2:B1091,-1+SUMPRODUCT(MAX(ROW(E$2:E1091)*(E1092=E$2:E1091)))))</f>
        <v/>
      </c>
      <c r="J1092" s="24" t="str">
        <f ca="1">IF(OR(E1092="",E1092="!!!",F1092="NEW"),"",COUNTBLANK(OFFSET(A$1,,,SUMPRODUCT(MAX(ROW(E$2:E1092)*(E1092=E$2:E1092)))))-COUNTBLANK(OFFSET(A$1,,,SUMPRODUCT(MAX(ROW(E$1:E1091)*(E2=E$1:E1091))))))</f>
        <v/>
      </c>
      <c r="K1092" s="24" t="str">
        <f>IF(OR(E1092="",E1092="!!!",F1092="NEW"),"",INDEX(J$1:J1091,SUMPRODUCT(MAX(ROW(E$1:E1091)*(E1092=E$1:E1091)))))</f>
        <v/>
      </c>
      <c r="L1092" s="25"/>
    </row>
    <row r="1093" spans="1:12" x14ac:dyDescent="0.3">
      <c r="A1093" t="s">
        <v>704</v>
      </c>
      <c r="E1093" s="20" t="str">
        <f t="shared" si="112"/>
        <v/>
      </c>
      <c r="F1093" s="21" t="str">
        <f>IF(OR(E1093="",E1093="!!!"),"",IF(NOT(ISNA(VLOOKUP(E1093,E$1:E1092,1,FALSE()))),"OLD",IF(AND(E1093&lt;&gt;"",E1093&lt;&gt;"!!!"),"NEW","")))</f>
        <v/>
      </c>
      <c r="G1093" s="22" t="str">
        <f>IF(OR(E1093="",E1093="!!!"),"",IF(OR(J1093=0,AND(J1093=1,K1093=1),AND(J1093=1,I1093="SBJ"),AND(J1093=1,I1093=0)),"?IN_FOCUS",IF(J1093&lt;=2,"?ACTIVATED",IF(J1093&lt;&gt;"","?FAMILIAR",IF(F1093="NEW",IF(ISNA(VLOOKUP(E1093,#REF!,1,FALSE())),"?TYPE_IDENTIFIABLE","?REFERENTIAL"),"_")))))</f>
        <v/>
      </c>
      <c r="H1093" s="23" t="str">
        <f t="shared" ca="1" si="113"/>
        <v/>
      </c>
      <c r="I1093" s="24" t="str">
        <f>IF(OR(E1093="",E1093="!!!",F1093="NEW"),"",INDEX(B$2:B1092,-1+SUMPRODUCT(MAX(ROW(E$2:E1092)*(E1093=E$2:E1092)))))</f>
        <v/>
      </c>
      <c r="J1093" s="24" t="str">
        <f ca="1">IF(OR(E1093="",E1093="!!!",F1093="NEW"),"",COUNTBLANK(OFFSET(A$1,,,SUMPRODUCT(MAX(ROW(E$2:E1093)*(E1093=E$2:E1093)))))-COUNTBLANK(OFFSET(A$1,,,SUMPRODUCT(MAX(ROW(E$1:E1092)*(E2=E$1:E1092))))))</f>
        <v/>
      </c>
      <c r="K1093" s="24" t="str">
        <f>IF(OR(E1093="",E1093="!!!",F1093="NEW"),"",INDEX(J$1:J1092,SUMPRODUCT(MAX(ROW(E$1:E1092)*(E1093=E$1:E1092)))))</f>
        <v/>
      </c>
      <c r="L1093" s="25"/>
    </row>
    <row r="1094" spans="1:12" x14ac:dyDescent="0.3">
      <c r="A1094" t="s">
        <v>248</v>
      </c>
      <c r="E1094" s="20" t="str">
        <f t="shared" si="112"/>
        <v/>
      </c>
      <c r="F1094" s="21" t="str">
        <f>IF(OR(E1094="",E1094="!!!"),"",IF(NOT(ISNA(VLOOKUP(E1094,E$1:E1093,1,FALSE()))),"OLD",IF(AND(E1094&lt;&gt;"",E1094&lt;&gt;"!!!"),"NEW","")))</f>
        <v/>
      </c>
      <c r="G1094" s="22" t="str">
        <f>IF(OR(E1094="",E1094="!!!"),"",IF(OR(J1094=0,AND(J1094=1,K1094=1),AND(J1094=1,I1094="SBJ"),AND(J1094=1,I1094=0)),"?IN_FOCUS",IF(J1094&lt;=2,"?ACTIVATED",IF(J1094&lt;&gt;"","?FAMILIAR",IF(F1094="NEW",IF(ISNA(VLOOKUP(E1094,#REF!,1,FALSE())),"?TYPE_IDENTIFIABLE","?REFERENTIAL"),"_")))))</f>
        <v/>
      </c>
      <c r="H1094" s="23" t="str">
        <f t="shared" ca="1" si="113"/>
        <v/>
      </c>
      <c r="I1094" s="24" t="str">
        <f>IF(OR(E1094="",E1094="!!!",F1094="NEW"),"",INDEX(B$2:B1093,-1+SUMPRODUCT(MAX(ROW(E$2:E1093)*(E1094=E$2:E1093)))))</f>
        <v/>
      </c>
      <c r="J1094" s="24" t="str">
        <f ca="1">IF(OR(E1094="",E1094="!!!",F1094="NEW"),"",COUNTBLANK(OFFSET(A$1,,,SUMPRODUCT(MAX(ROW(E$2:E1094)*(E1094=E$2:E1094)))))-COUNTBLANK(OFFSET(A$1,,,SUMPRODUCT(MAX(ROW(E$1:E1093)*(E2=E$1:E1093))))))</f>
        <v/>
      </c>
      <c r="K1094" s="24" t="str">
        <f>IF(OR(E1094="",E1094="!!!",F1094="NEW"),"",INDEX(J$1:J1093,SUMPRODUCT(MAX(ROW(E$1:E1093)*(E1094=E$1:E1093)))))</f>
        <v/>
      </c>
      <c r="L1094" s="25"/>
    </row>
    <row r="1096" spans="1:12" x14ac:dyDescent="0.3">
      <c r="A1096" t="s">
        <v>705</v>
      </c>
    </row>
    <row r="1097" spans="1:12" x14ac:dyDescent="0.3">
      <c r="A1097" t="s">
        <v>324</v>
      </c>
      <c r="B1097" s="26" t="s">
        <v>243</v>
      </c>
      <c r="C1097" s="26" t="s">
        <v>244</v>
      </c>
      <c r="D1097" s="26" t="s">
        <v>240</v>
      </c>
      <c r="E1097" s="20" t="str">
        <f t="shared" ref="E1097:E1103" si="114">IF(D1097="?OLD","!!!","")</f>
        <v>!!!</v>
      </c>
      <c r="F1097" s="21" t="str">
        <f>IF(OR(E1097="",E1097="!!!"),"",IF(NOT(ISNA(VLOOKUP(E1097,E$1:E1096,1,FALSE()))),"OLD",IF(AND(E1097&lt;&gt;"",E1097&lt;&gt;"!!!"),"NEW","")))</f>
        <v/>
      </c>
      <c r="G1097" s="22" t="str">
        <f>IF(OR(E1097="",E1097="!!!"),"",IF(OR(J1097=0,AND(J1097=1,K1097=1),AND(J1097=1,I1097="SBJ"),AND(J1097=1,I1097=0)),"?IN_FOCUS",IF(J1097&lt;=2,"?ACTIVATED",IF(J1097&lt;&gt;"","?FAMILIAR",IF(F1097="NEW",IF(ISNA(VLOOKUP(E1097,#REF!,1,FALSE())),"?TYPE_IDENTIFIABLE","?REFERENTIAL"),"_")))))</f>
        <v/>
      </c>
      <c r="H1097" s="23" t="str">
        <f t="shared" ref="H1097:H1103" ca="1" si="115">IF(J1097&lt;&gt;1,"",IF(I1097="SBJ","CB","?"))</f>
        <v/>
      </c>
      <c r="I1097" s="24" t="str">
        <f>IF(OR(E1097="",E1097="!!!",F1097="NEW"),"",INDEX(B$2:B1096,-1+SUMPRODUCT(MAX(ROW(E$2:E1096)*(E1097=E$2:E1096)))))</f>
        <v/>
      </c>
      <c r="J1097" s="24" t="str">
        <f ca="1">IF(OR(E1097="",E1097="!!!",F1097="NEW"),"",COUNTBLANK(OFFSET(A$1,,,SUMPRODUCT(MAX(ROW(E$2:E1097)*(E1097=E$2:E1097)))))-COUNTBLANK(OFFSET(A$1,,,SUMPRODUCT(MAX(ROW(E$1:E1096)*(E2=E$1:E1096))))))</f>
        <v/>
      </c>
      <c r="K1097" s="24" t="str">
        <f>IF(OR(E1097="",E1097="!!!",F1097="NEW"),"",INDEX(J$1:J1096,SUMPRODUCT(MAX(ROW(E$1:E1096)*(E1097=E$1:E1096)))))</f>
        <v/>
      </c>
      <c r="L1097" s="25"/>
    </row>
    <row r="1098" spans="1:12" x14ac:dyDescent="0.3">
      <c r="A1098" t="s">
        <v>706</v>
      </c>
      <c r="E1098" s="20" t="str">
        <f t="shared" si="114"/>
        <v/>
      </c>
      <c r="F1098" s="21" t="str">
        <f>IF(OR(E1098="",E1098="!!!"),"",IF(NOT(ISNA(VLOOKUP(E1098,E$1:E1097,1,FALSE()))),"OLD",IF(AND(E1098&lt;&gt;"",E1098&lt;&gt;"!!!"),"NEW","")))</f>
        <v/>
      </c>
      <c r="G1098" s="22" t="str">
        <f>IF(OR(E1098="",E1098="!!!"),"",IF(OR(J1098=0,AND(J1098=1,K1098=1),AND(J1098=1,I1098="SBJ"),AND(J1098=1,I1098=0)),"?IN_FOCUS",IF(J1098&lt;=2,"?ACTIVATED",IF(J1098&lt;&gt;"","?FAMILIAR",IF(F1098="NEW",IF(ISNA(VLOOKUP(E1098,#REF!,1,FALSE())),"?TYPE_IDENTIFIABLE","?REFERENTIAL"),"_")))))</f>
        <v/>
      </c>
      <c r="H1098" s="23" t="str">
        <f t="shared" ca="1" si="115"/>
        <v/>
      </c>
      <c r="I1098" s="24" t="str">
        <f>IF(OR(E1098="",E1098="!!!",F1098="NEW"),"",INDEX(B$2:B1097,-1+SUMPRODUCT(MAX(ROW(E$2:E1097)*(E1098=E$2:E1097)))))</f>
        <v/>
      </c>
      <c r="J1098" s="24" t="str">
        <f ca="1">IF(OR(E1098="",E1098="!!!",F1098="NEW"),"",COUNTBLANK(OFFSET(A$1,,,SUMPRODUCT(MAX(ROW(E$2:E1098)*(E1098=E$2:E1098)))))-COUNTBLANK(OFFSET(A$1,,,SUMPRODUCT(MAX(ROW(E$1:E1097)*(E2=E$1:E1097))))))</f>
        <v/>
      </c>
      <c r="K1098" s="24" t="str">
        <f>IF(OR(E1098="",E1098="!!!",F1098="NEW"),"",INDEX(J$1:J1097,SUMPRODUCT(MAX(ROW(E$1:E1097)*(E1098=E$1:E1097)))))</f>
        <v/>
      </c>
      <c r="L1098" s="25"/>
    </row>
    <row r="1099" spans="1:12" x14ac:dyDescent="0.3">
      <c r="A1099" t="s">
        <v>386</v>
      </c>
      <c r="B1099" s="26" t="s">
        <v>292</v>
      </c>
      <c r="E1099" s="20" t="str">
        <f t="shared" si="114"/>
        <v/>
      </c>
      <c r="F1099" s="21" t="str">
        <f>IF(OR(E1099="",E1099="!!!"),"",IF(NOT(ISNA(VLOOKUP(E1099,E$1:E1098,1,FALSE()))),"OLD",IF(AND(E1099&lt;&gt;"",E1099&lt;&gt;"!!!"),"NEW","")))</f>
        <v/>
      </c>
      <c r="G1099" s="22" t="str">
        <f>IF(OR(E1099="",E1099="!!!"),"",IF(OR(J1099=0,AND(J1099=1,K1099=1),AND(J1099=1,I1099="SBJ"),AND(J1099=1,I1099=0)),"?IN_FOCUS",IF(J1099&lt;=2,"?ACTIVATED",IF(J1099&lt;&gt;"","?FAMILIAR",IF(F1099="NEW",IF(ISNA(VLOOKUP(E1099,#REF!,1,FALSE())),"?TYPE_IDENTIFIABLE","?REFERENTIAL"),"_")))))</f>
        <v/>
      </c>
      <c r="H1099" s="23" t="str">
        <f t="shared" ca="1" si="115"/>
        <v/>
      </c>
      <c r="I1099" s="24" t="str">
        <f>IF(OR(E1099="",E1099="!!!",F1099="NEW"),"",INDEX(B$2:B1098,-1+SUMPRODUCT(MAX(ROW(E$2:E1098)*(E1099=E$2:E1098)))))</f>
        <v/>
      </c>
      <c r="J1099" s="24" t="str">
        <f ca="1">IF(OR(E1099="",E1099="!!!",F1099="NEW"),"",COUNTBLANK(OFFSET(A$1,,,SUMPRODUCT(MAX(ROW(E$2:E1099)*(E1099=E$2:E1099)))))-COUNTBLANK(OFFSET(A$1,,,SUMPRODUCT(MAX(ROW(E$1:E1098)*(E2=E$1:E1098))))))</f>
        <v/>
      </c>
      <c r="K1099" s="24" t="str">
        <f>IF(OR(E1099="",E1099="!!!",F1099="NEW"),"",INDEX(J$1:J1098,SUMPRODUCT(MAX(ROW(E$1:E1098)*(E1099=E$1:E1098)))))</f>
        <v/>
      </c>
      <c r="L1099" s="25"/>
    </row>
    <row r="1100" spans="1:12" x14ac:dyDescent="0.3">
      <c r="A1100" t="s">
        <v>245</v>
      </c>
      <c r="E1100" s="20" t="str">
        <f t="shared" si="114"/>
        <v/>
      </c>
      <c r="F1100" s="21" t="str">
        <f>IF(OR(E1100="",E1100="!!!"),"",IF(NOT(ISNA(VLOOKUP(E1100,E$1:E1099,1,FALSE()))),"OLD",IF(AND(E1100&lt;&gt;"",E1100&lt;&gt;"!!!"),"NEW","")))</f>
        <v/>
      </c>
      <c r="G1100" s="22" t="str">
        <f>IF(OR(E1100="",E1100="!!!"),"",IF(OR(J1100=0,AND(J1100=1,K1100=1),AND(J1100=1,I1100="SBJ"),AND(J1100=1,I1100=0)),"?IN_FOCUS",IF(J1100&lt;=2,"?ACTIVATED",IF(J1100&lt;&gt;"","?FAMILIAR",IF(F1100="NEW",IF(ISNA(VLOOKUP(E1100,#REF!,1,FALSE())),"?TYPE_IDENTIFIABLE","?REFERENTIAL"),"_")))))</f>
        <v/>
      </c>
      <c r="H1100" s="23" t="str">
        <f t="shared" ca="1" si="115"/>
        <v/>
      </c>
      <c r="I1100" s="24" t="str">
        <f>IF(OR(E1100="",E1100="!!!",F1100="NEW"),"",INDEX(B$2:B1099,-1+SUMPRODUCT(MAX(ROW(E$2:E1099)*(E1100=E$2:E1099)))))</f>
        <v/>
      </c>
      <c r="J1100" s="24" t="str">
        <f ca="1">IF(OR(E1100="",E1100="!!!",F1100="NEW"),"",COUNTBLANK(OFFSET(A$1,,,SUMPRODUCT(MAX(ROW(E$2:E1100)*(E1100=E$2:E1100)))))-COUNTBLANK(OFFSET(A$1,,,SUMPRODUCT(MAX(ROW(E$1:E1099)*(E2=E$1:E1099))))))</f>
        <v/>
      </c>
      <c r="K1100" s="24" t="str">
        <f>IF(OR(E1100="",E1100="!!!",F1100="NEW"),"",INDEX(J$1:J1099,SUMPRODUCT(MAX(ROW(E$1:E1099)*(E1100=E$1:E1099)))))</f>
        <v/>
      </c>
      <c r="L1100" s="25"/>
    </row>
    <row r="1101" spans="1:12" x14ac:dyDescent="0.3">
      <c r="A1101" t="s">
        <v>236</v>
      </c>
      <c r="E1101" s="20" t="str">
        <f t="shared" si="114"/>
        <v/>
      </c>
      <c r="F1101" s="21" t="str">
        <f>IF(OR(E1101="",E1101="!!!"),"",IF(NOT(ISNA(VLOOKUP(E1101,E$1:E1100,1,FALSE()))),"OLD",IF(AND(E1101&lt;&gt;"",E1101&lt;&gt;"!!!"),"NEW","")))</f>
        <v/>
      </c>
      <c r="G1101" s="22" t="str">
        <f>IF(OR(E1101="",E1101="!!!"),"",IF(OR(J1101=0,AND(J1101=1,K1101=1),AND(J1101=1,I1101="SBJ"),AND(J1101=1,I1101=0)),"?IN_FOCUS",IF(J1101&lt;=2,"?ACTIVATED",IF(J1101&lt;&gt;"","?FAMILIAR",IF(F1101="NEW",IF(ISNA(VLOOKUP(E1101,#REF!,1,FALSE())),"?TYPE_IDENTIFIABLE","?REFERENTIAL"),"_")))))</f>
        <v/>
      </c>
      <c r="H1101" s="23" t="str">
        <f t="shared" ca="1" si="115"/>
        <v/>
      </c>
      <c r="I1101" s="24" t="str">
        <f>IF(OR(E1101="",E1101="!!!",F1101="NEW"),"",INDEX(B$2:B1100,-1+SUMPRODUCT(MAX(ROW(E$2:E1100)*(E1101=E$2:E1100)))))</f>
        <v/>
      </c>
      <c r="J1101" s="24" t="str">
        <f ca="1">IF(OR(E1101="",E1101="!!!",F1101="NEW"),"",COUNTBLANK(OFFSET(A$1,,,SUMPRODUCT(MAX(ROW(E$2:E1101)*(E1101=E$2:E1101)))))-COUNTBLANK(OFFSET(A$1,,,SUMPRODUCT(MAX(ROW(E$1:E1100)*(E2=E$1:E1100))))))</f>
        <v/>
      </c>
      <c r="K1101" s="24" t="str">
        <f>IF(OR(E1101="",E1101="!!!",F1101="NEW"),"",INDEX(J$1:J1100,SUMPRODUCT(MAX(ROW(E$1:E1100)*(E1101=E$1:E1100)))))</f>
        <v/>
      </c>
      <c r="L1101" s="25"/>
    </row>
    <row r="1102" spans="1:12" x14ac:dyDescent="0.3">
      <c r="A1102" t="s">
        <v>405</v>
      </c>
      <c r="B1102" s="26" t="s">
        <v>238</v>
      </c>
      <c r="C1102" s="26" t="s">
        <v>239</v>
      </c>
      <c r="D1102" s="26" t="s">
        <v>240</v>
      </c>
      <c r="E1102" s="20" t="str">
        <f t="shared" si="114"/>
        <v>!!!</v>
      </c>
      <c r="F1102" s="21" t="str">
        <f>IF(OR(E1102="",E1102="!!!"),"",IF(NOT(ISNA(VLOOKUP(E1102,E$1:E1101,1,FALSE()))),"OLD",IF(AND(E1102&lt;&gt;"",E1102&lt;&gt;"!!!"),"NEW","")))</f>
        <v/>
      </c>
      <c r="G1102" s="22" t="str">
        <f>IF(OR(E1102="",E1102="!!!"),"",IF(OR(J1102=0,AND(J1102=1,K1102=1),AND(J1102=1,I1102="SBJ"),AND(J1102=1,I1102=0)),"?IN_FOCUS",IF(J1102&lt;=2,"?ACTIVATED",IF(J1102&lt;&gt;"","?FAMILIAR",IF(F1102="NEW",IF(ISNA(VLOOKUP(E1102,#REF!,1,FALSE())),"?TYPE_IDENTIFIABLE","?REFERENTIAL"),"_")))))</f>
        <v/>
      </c>
      <c r="H1102" s="23" t="str">
        <f t="shared" ca="1" si="115"/>
        <v/>
      </c>
      <c r="I1102" s="24" t="str">
        <f>IF(OR(E1102="",E1102="!!!",F1102="NEW"),"",INDEX(B$2:B1101,-1+SUMPRODUCT(MAX(ROW(E$2:E1101)*(E1102=E$2:E1101)))))</f>
        <v/>
      </c>
      <c r="J1102" s="24" t="str">
        <f ca="1">IF(OR(E1102="",E1102="!!!",F1102="NEW"),"",COUNTBLANK(OFFSET(A$1,,,SUMPRODUCT(MAX(ROW(E$2:E1102)*(E1102=E$2:E1102)))))-COUNTBLANK(OFFSET(A$1,,,SUMPRODUCT(MAX(ROW(E$1:E1101)*(E2=E$1:E1101))))))</f>
        <v/>
      </c>
      <c r="K1102" s="24" t="str">
        <f>IF(OR(E1102="",E1102="!!!",F1102="NEW"),"",INDEX(J$1:J1101,SUMPRODUCT(MAX(ROW(E$1:E1101)*(E1102=E$1:E1101)))))</f>
        <v/>
      </c>
      <c r="L1102" s="25"/>
    </row>
    <row r="1103" spans="1:12" x14ac:dyDescent="0.3">
      <c r="A1103" t="s">
        <v>248</v>
      </c>
      <c r="E1103" s="20" t="str">
        <f t="shared" si="114"/>
        <v/>
      </c>
      <c r="F1103" s="21" t="str">
        <f>IF(OR(E1103="",E1103="!!!"),"",IF(NOT(ISNA(VLOOKUP(E1103,E$1:E1102,1,FALSE()))),"OLD",IF(AND(E1103&lt;&gt;"",E1103&lt;&gt;"!!!"),"NEW","")))</f>
        <v/>
      </c>
      <c r="G1103" s="22" t="str">
        <f>IF(OR(E1103="",E1103="!!!"),"",IF(OR(J1103=0,AND(J1103=1,K1103=1),AND(J1103=1,I1103="SBJ"),AND(J1103=1,I1103=0)),"?IN_FOCUS",IF(J1103&lt;=2,"?ACTIVATED",IF(J1103&lt;&gt;"","?FAMILIAR",IF(F1103="NEW",IF(ISNA(VLOOKUP(E1103,#REF!,1,FALSE())),"?TYPE_IDENTIFIABLE","?REFERENTIAL"),"_")))))</f>
        <v/>
      </c>
      <c r="H1103" s="23" t="str">
        <f t="shared" ca="1" si="115"/>
        <v/>
      </c>
      <c r="I1103" s="24" t="str">
        <f>IF(OR(E1103="",E1103="!!!",F1103="NEW"),"",INDEX(B$2:B1102,-1+SUMPRODUCT(MAX(ROW(E$2:E1102)*(E1103=E$2:E1102)))))</f>
        <v/>
      </c>
      <c r="J1103" s="24" t="str">
        <f ca="1">IF(OR(E1103="",E1103="!!!",F1103="NEW"),"",COUNTBLANK(OFFSET(A$1,,,SUMPRODUCT(MAX(ROW(E$2:E1103)*(E1103=E$2:E1103)))))-COUNTBLANK(OFFSET(A$1,,,SUMPRODUCT(MAX(ROW(E$1:E1102)*(E2=E$1:E1102))))))</f>
        <v/>
      </c>
      <c r="K1103" s="24" t="str">
        <f>IF(OR(E1103="",E1103="!!!",F1103="NEW"),"",INDEX(J$1:J1102,SUMPRODUCT(MAX(ROW(E$1:E1102)*(E1103=E$1:E1102)))))</f>
        <v/>
      </c>
      <c r="L1103" s="25"/>
    </row>
    <row r="1105" spans="1:12" x14ac:dyDescent="0.3">
      <c r="A1105" t="s">
        <v>707</v>
      </c>
    </row>
    <row r="1106" spans="1:12" x14ac:dyDescent="0.3">
      <c r="A1106" t="s">
        <v>445</v>
      </c>
      <c r="E1106" s="20" t="str">
        <f t="shared" ref="E1106:E1113" si="116">IF(D1106="?OLD","!!!","")</f>
        <v/>
      </c>
      <c r="F1106" s="21" t="str">
        <f>IF(OR(E1106="",E1106="!!!"),"",IF(NOT(ISNA(VLOOKUP(E1106,E$1:E1105,1,FALSE()))),"OLD",IF(AND(E1106&lt;&gt;"",E1106&lt;&gt;"!!!"),"NEW","")))</f>
        <v/>
      </c>
      <c r="G1106" s="22" t="str">
        <f>IF(OR(E1106="",E1106="!!!"),"",IF(OR(J1106=0,AND(J1106=1,K1106=1),AND(J1106=1,I1106="SBJ"),AND(J1106=1,I1106=0)),"?IN_FOCUS",IF(J1106&lt;=2,"?ACTIVATED",IF(J1106&lt;&gt;"","?FAMILIAR",IF(F1106="NEW",IF(ISNA(VLOOKUP(E1106,#REF!,1,FALSE())),"?TYPE_IDENTIFIABLE","?REFERENTIAL"),"_")))))</f>
        <v/>
      </c>
      <c r="H1106" s="23" t="str">
        <f t="shared" ref="H1106:H1113" ca="1" si="117">IF(J1106&lt;&gt;1,"",IF(I1106="SBJ","CB","?"))</f>
        <v/>
      </c>
      <c r="I1106" s="24" t="str">
        <f>IF(OR(E1106="",E1106="!!!",F1106="NEW"),"",INDEX(B$2:B1105,-1+SUMPRODUCT(MAX(ROW(E$2:E1105)*(E1106=E$2:E1105)))))</f>
        <v/>
      </c>
      <c r="J1106" s="24" t="str">
        <f ca="1">IF(OR(E1106="",E1106="!!!",F1106="NEW"),"",COUNTBLANK(OFFSET(A$1,,,SUMPRODUCT(MAX(ROW(E$2:E1106)*(E1106=E$2:E1106)))))-COUNTBLANK(OFFSET(A$1,,,SUMPRODUCT(MAX(ROW(E$1:E1105)*(E2=E$1:E1105))))))</f>
        <v/>
      </c>
      <c r="K1106" s="24" t="str">
        <f>IF(OR(E1106="",E1106="!!!",F1106="NEW"),"",INDEX(J$1:J1105,SUMPRODUCT(MAX(ROW(E$1:E1105)*(E1106=E$1:E1105)))))</f>
        <v/>
      </c>
      <c r="L1106" s="25"/>
    </row>
    <row r="1107" spans="1:12" x14ac:dyDescent="0.3">
      <c r="A1107" t="s">
        <v>661</v>
      </c>
      <c r="B1107" s="26" t="s">
        <v>243</v>
      </c>
      <c r="C1107" s="26" t="s">
        <v>239</v>
      </c>
      <c r="D1107" s="26" t="s">
        <v>240</v>
      </c>
      <c r="E1107" s="20" t="str">
        <f t="shared" si="116"/>
        <v>!!!</v>
      </c>
      <c r="F1107" s="21" t="str">
        <f>IF(OR(E1107="",E1107="!!!"),"",IF(NOT(ISNA(VLOOKUP(E1107,E$1:E1106,1,FALSE()))),"OLD",IF(AND(E1107&lt;&gt;"",E1107&lt;&gt;"!!!"),"NEW","")))</f>
        <v/>
      </c>
      <c r="G1107" s="22" t="str">
        <f>IF(OR(E1107="",E1107="!!!"),"",IF(OR(J1107=0,AND(J1107=1,K1107=1),AND(J1107=1,I1107="SBJ"),AND(J1107=1,I1107=0)),"?IN_FOCUS",IF(J1107&lt;=2,"?ACTIVATED",IF(J1107&lt;&gt;"","?FAMILIAR",IF(F1107="NEW",IF(ISNA(VLOOKUP(E1107,#REF!,1,FALSE())),"?TYPE_IDENTIFIABLE","?REFERENTIAL"),"_")))))</f>
        <v/>
      </c>
      <c r="H1107" s="23" t="str">
        <f t="shared" ca="1" si="117"/>
        <v/>
      </c>
      <c r="I1107" s="24" t="str">
        <f>IF(OR(E1107="",E1107="!!!",F1107="NEW"),"",INDEX(B$2:B1106,-1+SUMPRODUCT(MAX(ROW(E$2:E1106)*(E1107=E$2:E1106)))))</f>
        <v/>
      </c>
      <c r="J1107" s="24" t="str">
        <f ca="1">IF(OR(E1107="",E1107="!!!",F1107="NEW"),"",COUNTBLANK(OFFSET(A$1,,,SUMPRODUCT(MAX(ROW(E$2:E1107)*(E1107=E$2:E1107)))))-COUNTBLANK(OFFSET(A$1,,,SUMPRODUCT(MAX(ROW(E$1:E1106)*(E2=E$1:E1106))))))</f>
        <v/>
      </c>
      <c r="K1107" s="24" t="str">
        <f>IF(OR(E1107="",E1107="!!!",F1107="NEW"),"",INDEX(J$1:J1106,SUMPRODUCT(MAX(ROW(E$1:E1106)*(E1107=E$1:E1106)))))</f>
        <v/>
      </c>
      <c r="L1107" s="25"/>
    </row>
    <row r="1108" spans="1:12" x14ac:dyDescent="0.3">
      <c r="A1108" t="s">
        <v>708</v>
      </c>
      <c r="E1108" s="20" t="str">
        <f t="shared" si="116"/>
        <v/>
      </c>
      <c r="F1108" s="21" t="str">
        <f>IF(OR(E1108="",E1108="!!!"),"",IF(NOT(ISNA(VLOOKUP(E1108,E$1:E1107,1,FALSE()))),"OLD",IF(AND(E1108&lt;&gt;"",E1108&lt;&gt;"!!!"),"NEW","")))</f>
        <v/>
      </c>
      <c r="G1108" s="22" t="str">
        <f>IF(OR(E1108="",E1108="!!!"),"",IF(OR(J1108=0,AND(J1108=1,K1108=1),AND(J1108=1,I1108="SBJ"),AND(J1108=1,I1108=0)),"?IN_FOCUS",IF(J1108&lt;=2,"?ACTIVATED",IF(J1108&lt;&gt;"","?FAMILIAR",IF(F1108="NEW",IF(ISNA(VLOOKUP(E1108,#REF!,1,FALSE())),"?TYPE_IDENTIFIABLE","?REFERENTIAL"),"_")))))</f>
        <v/>
      </c>
      <c r="H1108" s="23" t="str">
        <f t="shared" ca="1" si="117"/>
        <v/>
      </c>
      <c r="I1108" s="24" t="str">
        <f>IF(OR(E1108="",E1108="!!!",F1108="NEW"),"",INDEX(B$2:B1107,-1+SUMPRODUCT(MAX(ROW(E$2:E1107)*(E1108=E$2:E1107)))))</f>
        <v/>
      </c>
      <c r="J1108" s="24" t="str">
        <f ca="1">IF(OR(E1108="",E1108="!!!",F1108="NEW"),"",COUNTBLANK(OFFSET(A$1,,,SUMPRODUCT(MAX(ROW(E$2:E1108)*(E1108=E$2:E1108)))))-COUNTBLANK(OFFSET(A$1,,,SUMPRODUCT(MAX(ROW(E$1:E1107)*(E2=E$1:E1107))))))</f>
        <v/>
      </c>
      <c r="K1108" s="24" t="str">
        <f>IF(OR(E1108="",E1108="!!!",F1108="NEW"),"",INDEX(J$1:J1107,SUMPRODUCT(MAX(ROW(E$1:E1107)*(E1108=E$1:E1107)))))</f>
        <v/>
      </c>
      <c r="L1108" s="25"/>
    </row>
    <row r="1109" spans="1:12" x14ac:dyDescent="0.3">
      <c r="A1109" t="s">
        <v>386</v>
      </c>
      <c r="B1109" s="26" t="s">
        <v>292</v>
      </c>
      <c r="E1109" s="20" t="str">
        <f t="shared" si="116"/>
        <v/>
      </c>
      <c r="F1109" s="21" t="str">
        <f>IF(OR(E1109="",E1109="!!!"),"",IF(NOT(ISNA(VLOOKUP(E1109,E$1:E1108,1,FALSE()))),"OLD",IF(AND(E1109&lt;&gt;"",E1109&lt;&gt;"!!!"),"NEW","")))</f>
        <v/>
      </c>
      <c r="G1109" s="22" t="str">
        <f>IF(OR(E1109="",E1109="!!!"),"",IF(OR(J1109=0,AND(J1109=1,K1109=1),AND(J1109=1,I1109="SBJ"),AND(J1109=1,I1109=0)),"?IN_FOCUS",IF(J1109&lt;=2,"?ACTIVATED",IF(J1109&lt;&gt;"","?FAMILIAR",IF(F1109="NEW",IF(ISNA(VLOOKUP(E1109,#REF!,1,FALSE())),"?TYPE_IDENTIFIABLE","?REFERENTIAL"),"_")))))</f>
        <v/>
      </c>
      <c r="H1109" s="23" t="str">
        <f t="shared" ca="1" si="117"/>
        <v/>
      </c>
      <c r="I1109" s="24" t="str">
        <f>IF(OR(E1109="",E1109="!!!",F1109="NEW"),"",INDEX(B$2:B1108,-1+SUMPRODUCT(MAX(ROW(E$2:E1108)*(E1109=E$2:E1108)))))</f>
        <v/>
      </c>
      <c r="J1109" s="24" t="str">
        <f ca="1">IF(OR(E1109="",E1109="!!!",F1109="NEW"),"",COUNTBLANK(OFFSET(A$1,,,SUMPRODUCT(MAX(ROW(E$2:E1109)*(E1109=E$2:E1109)))))-COUNTBLANK(OFFSET(A$1,,,SUMPRODUCT(MAX(ROW(E$1:E1108)*(E2=E$1:E1108))))))</f>
        <v/>
      </c>
      <c r="K1109" s="24" t="str">
        <f>IF(OR(E1109="",E1109="!!!",F1109="NEW"),"",INDEX(J$1:J1108,SUMPRODUCT(MAX(ROW(E$1:E1108)*(E1109=E$1:E1108)))))</f>
        <v/>
      </c>
      <c r="L1109" s="25"/>
    </row>
    <row r="1110" spans="1:12" x14ac:dyDescent="0.3">
      <c r="A1110" t="s">
        <v>11</v>
      </c>
      <c r="E1110" s="20" t="str">
        <f t="shared" si="116"/>
        <v/>
      </c>
      <c r="F1110" s="21" t="str">
        <f>IF(OR(E1110="",E1110="!!!"),"",IF(NOT(ISNA(VLOOKUP(E1110,E$1:E1109,1,FALSE()))),"OLD",IF(AND(E1110&lt;&gt;"",E1110&lt;&gt;"!!!"),"NEW","")))</f>
        <v/>
      </c>
      <c r="G1110" s="22" t="str">
        <f>IF(OR(E1110="",E1110="!!!"),"",IF(OR(J1110=0,AND(J1110=1,K1110=1),AND(J1110=1,I1110="SBJ"),AND(J1110=1,I1110=0)),"?IN_FOCUS",IF(J1110&lt;=2,"?ACTIVATED",IF(J1110&lt;&gt;"","?FAMILIAR",IF(F1110="NEW",IF(ISNA(VLOOKUP(E1110,#REF!,1,FALSE())),"?TYPE_IDENTIFIABLE","?REFERENTIAL"),"_")))))</f>
        <v/>
      </c>
      <c r="H1110" s="23" t="str">
        <f t="shared" ca="1" si="117"/>
        <v/>
      </c>
      <c r="I1110" s="24" t="str">
        <f>IF(OR(E1110="",E1110="!!!",F1110="NEW"),"",INDEX(B$2:B1109,-1+SUMPRODUCT(MAX(ROW(E$2:E1109)*(E1110=E$2:E1109)))))</f>
        <v/>
      </c>
      <c r="J1110" s="24" t="str">
        <f ca="1">IF(OR(E1110="",E1110="!!!",F1110="NEW"),"",COUNTBLANK(OFFSET(A$1,,,SUMPRODUCT(MAX(ROW(E$2:E1110)*(E1110=E$2:E1110)))))-COUNTBLANK(OFFSET(A$1,,,SUMPRODUCT(MAX(ROW(E$1:E1109)*(E2=E$1:E1109))))))</f>
        <v/>
      </c>
      <c r="K1110" s="24" t="str">
        <f>IF(OR(E1110="",E1110="!!!",F1110="NEW"),"",INDEX(J$1:J1109,SUMPRODUCT(MAX(ROW(E$1:E1109)*(E1110=E$1:E1109)))))</f>
        <v/>
      </c>
      <c r="L1110" s="25"/>
    </row>
    <row r="1111" spans="1:12" x14ac:dyDescent="0.3">
      <c r="A1111" t="s">
        <v>709</v>
      </c>
      <c r="E1111" s="20" t="str">
        <f t="shared" si="116"/>
        <v/>
      </c>
      <c r="F1111" s="21" t="str">
        <f>IF(OR(E1111="",E1111="!!!"),"",IF(NOT(ISNA(VLOOKUP(E1111,E$1:E1110,1,FALSE()))),"OLD",IF(AND(E1111&lt;&gt;"",E1111&lt;&gt;"!!!"),"NEW","")))</f>
        <v/>
      </c>
      <c r="G1111" s="22" t="str">
        <f>IF(OR(E1111="",E1111="!!!"),"",IF(OR(J1111=0,AND(J1111=1,K1111=1),AND(J1111=1,I1111="SBJ"),AND(J1111=1,I1111=0)),"?IN_FOCUS",IF(J1111&lt;=2,"?ACTIVATED",IF(J1111&lt;&gt;"","?FAMILIAR",IF(F1111="NEW",IF(ISNA(VLOOKUP(E1111,#REF!,1,FALSE())),"?TYPE_IDENTIFIABLE","?REFERENTIAL"),"_")))))</f>
        <v/>
      </c>
      <c r="H1111" s="23" t="str">
        <f t="shared" ca="1" si="117"/>
        <v/>
      </c>
      <c r="I1111" s="24" t="str">
        <f>IF(OR(E1111="",E1111="!!!",F1111="NEW"),"",INDEX(B$2:B1110,-1+SUMPRODUCT(MAX(ROW(E$2:E1110)*(E1111=E$2:E1110)))))</f>
        <v/>
      </c>
      <c r="J1111" s="24" t="str">
        <f ca="1">IF(OR(E1111="",E1111="!!!",F1111="NEW"),"",COUNTBLANK(OFFSET(A$1,,,SUMPRODUCT(MAX(ROW(E$2:E1111)*(E1111=E$2:E1111)))))-COUNTBLANK(OFFSET(A$1,,,SUMPRODUCT(MAX(ROW(E$1:E1110)*(E2=E$1:E1110))))))</f>
        <v/>
      </c>
      <c r="K1111" s="24" t="str">
        <f>IF(OR(E1111="",E1111="!!!",F1111="NEW"),"",INDEX(J$1:J1110,SUMPRODUCT(MAX(ROW(E$1:E1110)*(E1111=E$1:E1110)))))</f>
        <v/>
      </c>
      <c r="L1111" s="25"/>
    </row>
    <row r="1112" spans="1:12" x14ac:dyDescent="0.3">
      <c r="A1112" t="s">
        <v>386</v>
      </c>
      <c r="B1112" s="26" t="s">
        <v>265</v>
      </c>
      <c r="E1112" s="20" t="str">
        <f t="shared" si="116"/>
        <v/>
      </c>
      <c r="F1112" s="21" t="str">
        <f>IF(OR(E1112="",E1112="!!!"),"",IF(NOT(ISNA(VLOOKUP(E1112,E$1:E1111,1,FALSE()))),"OLD",IF(AND(E1112&lt;&gt;"",E1112&lt;&gt;"!!!"),"NEW","")))</f>
        <v/>
      </c>
      <c r="G1112" s="22" t="str">
        <f>IF(OR(E1112="",E1112="!!!"),"",IF(OR(J1112=0,AND(J1112=1,K1112=1),AND(J1112=1,I1112="SBJ"),AND(J1112=1,I1112=0)),"?IN_FOCUS",IF(J1112&lt;=2,"?ACTIVATED",IF(J1112&lt;&gt;"","?FAMILIAR",IF(F1112="NEW",IF(ISNA(VLOOKUP(E1112,#REF!,1,FALSE())),"?TYPE_IDENTIFIABLE","?REFERENTIAL"),"_")))))</f>
        <v/>
      </c>
      <c r="H1112" s="23" t="str">
        <f t="shared" ca="1" si="117"/>
        <v/>
      </c>
      <c r="I1112" s="24" t="str">
        <f>IF(OR(E1112="",E1112="!!!",F1112="NEW"),"",INDEX(B$2:B1111,-1+SUMPRODUCT(MAX(ROW(E$2:E1111)*(E1112=E$2:E1111)))))</f>
        <v/>
      </c>
      <c r="J1112" s="24" t="str">
        <f ca="1">IF(OR(E1112="",E1112="!!!",F1112="NEW"),"",COUNTBLANK(OFFSET(A$1,,,SUMPRODUCT(MAX(ROW(E$2:E1112)*(E1112=E$2:E1112)))))-COUNTBLANK(OFFSET(A$1,,,SUMPRODUCT(MAX(ROW(E$1:E1111)*(E2=E$1:E1111))))))</f>
        <v/>
      </c>
      <c r="K1112" s="24" t="str">
        <f>IF(OR(E1112="",E1112="!!!",F1112="NEW"),"",INDEX(J$1:J1111,SUMPRODUCT(MAX(ROW(E$1:E1111)*(E1112=E$1:E1111)))))</f>
        <v/>
      </c>
      <c r="L1112" s="25"/>
    </row>
    <row r="1113" spans="1:12" x14ac:dyDescent="0.3">
      <c r="A1113" t="s">
        <v>248</v>
      </c>
      <c r="E1113" s="20" t="str">
        <f t="shared" si="116"/>
        <v/>
      </c>
      <c r="F1113" s="21" t="str">
        <f>IF(OR(E1113="",E1113="!!!"),"",IF(NOT(ISNA(VLOOKUP(E1113,E$1:E1112,1,FALSE()))),"OLD",IF(AND(E1113&lt;&gt;"",E1113&lt;&gt;"!!!"),"NEW","")))</f>
        <v/>
      </c>
      <c r="G1113" s="22" t="str">
        <f>IF(OR(E1113="",E1113="!!!"),"",IF(OR(J1113=0,AND(J1113=1,K1113=1),AND(J1113=1,I1113="SBJ"),AND(J1113=1,I1113=0)),"?IN_FOCUS",IF(J1113&lt;=2,"?ACTIVATED",IF(J1113&lt;&gt;"","?FAMILIAR",IF(F1113="NEW",IF(ISNA(VLOOKUP(E1113,#REF!,1,FALSE())),"?TYPE_IDENTIFIABLE","?REFERENTIAL"),"_")))))</f>
        <v/>
      </c>
      <c r="H1113" s="23" t="str">
        <f t="shared" ca="1" si="117"/>
        <v/>
      </c>
      <c r="I1113" s="24" t="str">
        <f>IF(OR(E1113="",E1113="!!!",F1113="NEW"),"",INDEX(B$2:B1112,-1+SUMPRODUCT(MAX(ROW(E$2:E1112)*(E1113=E$2:E1112)))))</f>
        <v/>
      </c>
      <c r="J1113" s="24" t="str">
        <f ca="1">IF(OR(E1113="",E1113="!!!",F1113="NEW"),"",COUNTBLANK(OFFSET(A$1,,,SUMPRODUCT(MAX(ROW(E$2:E1113)*(E1113=E$2:E1113)))))-COUNTBLANK(OFFSET(A$1,,,SUMPRODUCT(MAX(ROW(E$1:E1112)*(E2=E$1:E1112))))))</f>
        <v/>
      </c>
      <c r="K1113" s="24" t="str">
        <f>IF(OR(E1113="",E1113="!!!",F1113="NEW"),"",INDEX(J$1:J1112,SUMPRODUCT(MAX(ROW(E$1:E1112)*(E1113=E$1:E1112)))))</f>
        <v/>
      </c>
      <c r="L1113" s="25"/>
    </row>
    <row r="1115" spans="1:12" x14ac:dyDescent="0.3">
      <c r="A1115" t="s">
        <v>710</v>
      </c>
    </row>
    <row r="1116" spans="1:12" x14ac:dyDescent="0.3">
      <c r="A1116" t="s">
        <v>417</v>
      </c>
      <c r="E1116" s="20" t="str">
        <f t="shared" ref="E1116:E1121" si="118">IF(D1116="?OLD","!!!","")</f>
        <v/>
      </c>
      <c r="F1116" s="21" t="str">
        <f>IF(OR(E1116="",E1116="!!!"),"",IF(NOT(ISNA(VLOOKUP(E1116,E$1:E1115,1,FALSE()))),"OLD",IF(AND(E1116&lt;&gt;"",E1116&lt;&gt;"!!!"),"NEW","")))</f>
        <v/>
      </c>
      <c r="G1116" s="22" t="str">
        <f>IF(OR(E1116="",E1116="!!!"),"",IF(OR(J1116=0,AND(J1116=1,K1116=1),AND(J1116=1,I1116="SBJ"),AND(J1116=1,I1116=0)),"?IN_FOCUS",IF(J1116&lt;=2,"?ACTIVATED",IF(J1116&lt;&gt;"","?FAMILIAR",IF(F1116="NEW",IF(ISNA(VLOOKUP(E1116,#REF!,1,FALSE())),"?TYPE_IDENTIFIABLE","?REFERENTIAL"),"_")))))</f>
        <v/>
      </c>
      <c r="H1116" s="23" t="str">
        <f t="shared" ref="H1116:H1121" ca="1" si="119">IF(J1116&lt;&gt;1,"",IF(I1116="SBJ","CB","?"))</f>
        <v/>
      </c>
      <c r="I1116" s="24" t="str">
        <f>IF(OR(E1116="",E1116="!!!",F1116="NEW"),"",INDEX(B$2:B1115,-1+SUMPRODUCT(MAX(ROW(E$2:E1115)*(E1116=E$2:E1115)))))</f>
        <v/>
      </c>
      <c r="J1116" s="24" t="str">
        <f ca="1">IF(OR(E1116="",E1116="!!!",F1116="NEW"),"",COUNTBLANK(OFFSET(A$1,,,SUMPRODUCT(MAX(ROW(E$2:E1116)*(E1116=E$2:E1116)))))-COUNTBLANK(OFFSET(A$1,,,SUMPRODUCT(MAX(ROW(E$1:E1115)*(E2=E$1:E1115))))))</f>
        <v/>
      </c>
      <c r="K1116" s="24" t="str">
        <f>IF(OR(E1116="",E1116="!!!",F1116="NEW"),"",INDEX(J$1:J1115,SUMPRODUCT(MAX(ROW(E$1:E1115)*(E1116=E$1:E1115)))))</f>
        <v/>
      </c>
      <c r="L1116" s="25"/>
    </row>
    <row r="1117" spans="1:12" x14ac:dyDescent="0.3">
      <c r="A1117" t="s">
        <v>405</v>
      </c>
      <c r="B1117" s="26" t="s">
        <v>243</v>
      </c>
      <c r="C1117" s="26" t="s">
        <v>239</v>
      </c>
      <c r="D1117" s="26" t="s">
        <v>240</v>
      </c>
      <c r="E1117" s="20" t="str">
        <f t="shared" si="118"/>
        <v>!!!</v>
      </c>
      <c r="F1117" s="21" t="str">
        <f>IF(OR(E1117="",E1117="!!!"),"",IF(NOT(ISNA(VLOOKUP(E1117,E$1:E1116,1,FALSE()))),"OLD",IF(AND(E1117&lt;&gt;"",E1117&lt;&gt;"!!!"),"NEW","")))</f>
        <v/>
      </c>
      <c r="G1117" s="22" t="str">
        <f>IF(OR(E1117="",E1117="!!!"),"",IF(OR(J1117=0,AND(J1117=1,K1117=1),AND(J1117=1,I1117="SBJ"),AND(J1117=1,I1117=0)),"?IN_FOCUS",IF(J1117&lt;=2,"?ACTIVATED",IF(J1117&lt;&gt;"","?FAMILIAR",IF(F1117="NEW",IF(ISNA(VLOOKUP(E1117,#REF!,1,FALSE())),"?TYPE_IDENTIFIABLE","?REFERENTIAL"),"_")))))</f>
        <v/>
      </c>
      <c r="H1117" s="23" t="str">
        <f t="shared" ca="1" si="119"/>
        <v/>
      </c>
      <c r="I1117" s="24" t="str">
        <f>IF(OR(E1117="",E1117="!!!",F1117="NEW"),"",INDEX(B$2:B1116,-1+SUMPRODUCT(MAX(ROW(E$2:E1116)*(E1117=E$2:E1116)))))</f>
        <v/>
      </c>
      <c r="J1117" s="24" t="str">
        <f ca="1">IF(OR(E1117="",E1117="!!!",F1117="NEW"),"",COUNTBLANK(OFFSET(A$1,,,SUMPRODUCT(MAX(ROW(E$2:E1117)*(E1117=E$2:E1117)))))-COUNTBLANK(OFFSET(A$1,,,SUMPRODUCT(MAX(ROW(E$1:E1116)*(E2=E$1:E1116))))))</f>
        <v/>
      </c>
      <c r="K1117" s="24" t="str">
        <f>IF(OR(E1117="",E1117="!!!",F1117="NEW"),"",INDEX(J$1:J1116,SUMPRODUCT(MAX(ROW(E$1:E1116)*(E1117=E$1:E1116)))))</f>
        <v/>
      </c>
      <c r="L1117" s="25"/>
    </row>
    <row r="1118" spans="1:12" x14ac:dyDescent="0.3">
      <c r="A1118" t="s">
        <v>711</v>
      </c>
      <c r="E1118" s="20" t="str">
        <f t="shared" si="118"/>
        <v/>
      </c>
      <c r="F1118" s="21" t="str">
        <f>IF(OR(E1118="",E1118="!!!"),"",IF(NOT(ISNA(VLOOKUP(E1118,E$1:E1117,1,FALSE()))),"OLD",IF(AND(E1118&lt;&gt;"",E1118&lt;&gt;"!!!"),"NEW","")))</f>
        <v/>
      </c>
      <c r="G1118" s="22" t="str">
        <f>IF(OR(E1118="",E1118="!!!"),"",IF(OR(J1118=0,AND(J1118=1,K1118=1),AND(J1118=1,I1118="SBJ"),AND(J1118=1,I1118=0)),"?IN_FOCUS",IF(J1118&lt;=2,"?ACTIVATED",IF(J1118&lt;&gt;"","?FAMILIAR",IF(F1118="NEW",IF(ISNA(VLOOKUP(E1118,#REF!,1,FALSE())),"?TYPE_IDENTIFIABLE","?REFERENTIAL"),"_")))))</f>
        <v/>
      </c>
      <c r="H1118" s="23" t="str">
        <f t="shared" ca="1" si="119"/>
        <v/>
      </c>
      <c r="I1118" s="24" t="str">
        <f>IF(OR(E1118="",E1118="!!!",F1118="NEW"),"",INDEX(B$2:B1117,-1+SUMPRODUCT(MAX(ROW(E$2:E1117)*(E1118=E$2:E1117)))))</f>
        <v/>
      </c>
      <c r="J1118" s="24" t="str">
        <f ca="1">IF(OR(E1118="",E1118="!!!",F1118="NEW"),"",COUNTBLANK(OFFSET(A$1,,,SUMPRODUCT(MAX(ROW(E$2:E1118)*(E1118=E$2:E1118)))))-COUNTBLANK(OFFSET(A$1,,,SUMPRODUCT(MAX(ROW(E$1:E1117)*(E2=E$1:E1117))))))</f>
        <v/>
      </c>
      <c r="K1118" s="24" t="str">
        <f>IF(OR(E1118="",E1118="!!!",F1118="NEW"),"",INDEX(J$1:J1117,SUMPRODUCT(MAX(ROW(E$1:E1117)*(E1118=E$1:E1117)))))</f>
        <v/>
      </c>
      <c r="L1118" s="25"/>
    </row>
    <row r="1119" spans="1:12" x14ac:dyDescent="0.3">
      <c r="A1119" t="s">
        <v>386</v>
      </c>
      <c r="B1119" s="26" t="s">
        <v>292</v>
      </c>
      <c r="E1119" s="20" t="str">
        <f t="shared" si="118"/>
        <v/>
      </c>
      <c r="F1119" s="21" t="str">
        <f>IF(OR(E1119="",E1119="!!!"),"",IF(NOT(ISNA(VLOOKUP(E1119,E$1:E1118,1,FALSE()))),"OLD",IF(AND(E1119&lt;&gt;"",E1119&lt;&gt;"!!!"),"NEW","")))</f>
        <v/>
      </c>
      <c r="G1119" s="22" t="str">
        <f>IF(OR(E1119="",E1119="!!!"),"",IF(OR(J1119=0,AND(J1119=1,K1119=1),AND(J1119=1,I1119="SBJ"),AND(J1119=1,I1119=0)),"?IN_FOCUS",IF(J1119&lt;=2,"?ACTIVATED",IF(J1119&lt;&gt;"","?FAMILIAR",IF(F1119="NEW",IF(ISNA(VLOOKUP(E1119,#REF!,1,FALSE())),"?TYPE_IDENTIFIABLE","?REFERENTIAL"),"_")))))</f>
        <v/>
      </c>
      <c r="H1119" s="23" t="str">
        <f t="shared" ca="1" si="119"/>
        <v/>
      </c>
      <c r="I1119" s="24" t="str">
        <f>IF(OR(E1119="",E1119="!!!",F1119="NEW"),"",INDEX(B$2:B1118,-1+SUMPRODUCT(MAX(ROW(E$2:E1118)*(E1119=E$2:E1118)))))</f>
        <v/>
      </c>
      <c r="J1119" s="24" t="str">
        <f ca="1">IF(OR(E1119="",E1119="!!!",F1119="NEW"),"",COUNTBLANK(OFFSET(A$1,,,SUMPRODUCT(MAX(ROW(E$2:E1119)*(E1119=E$2:E1119)))))-COUNTBLANK(OFFSET(A$1,,,SUMPRODUCT(MAX(ROW(E$1:E1118)*(E2=E$1:E1118))))))</f>
        <v/>
      </c>
      <c r="K1119" s="24" t="str">
        <f>IF(OR(E1119="",E1119="!!!",F1119="NEW"),"",INDEX(J$1:J1118,SUMPRODUCT(MAX(ROW(E$1:E1118)*(E1119=E$1:E1118)))))</f>
        <v/>
      </c>
      <c r="L1119" s="25"/>
    </row>
    <row r="1120" spans="1:12" x14ac:dyDescent="0.3">
      <c r="A1120" t="s">
        <v>562</v>
      </c>
      <c r="E1120" s="20" t="str">
        <f t="shared" si="118"/>
        <v/>
      </c>
      <c r="F1120" s="21" t="str">
        <f>IF(OR(E1120="",E1120="!!!"),"",IF(NOT(ISNA(VLOOKUP(E1120,E$1:E1119,1,FALSE()))),"OLD",IF(AND(E1120&lt;&gt;"",E1120&lt;&gt;"!!!"),"NEW","")))</f>
        <v/>
      </c>
      <c r="G1120" s="22" t="str">
        <f>IF(OR(E1120="",E1120="!!!"),"",IF(OR(J1120=0,AND(J1120=1,K1120=1),AND(J1120=1,I1120="SBJ"),AND(J1120=1,I1120=0)),"?IN_FOCUS",IF(J1120&lt;=2,"?ACTIVATED",IF(J1120&lt;&gt;"","?FAMILIAR",IF(F1120="NEW",IF(ISNA(VLOOKUP(E1120,#REF!,1,FALSE())),"?TYPE_IDENTIFIABLE","?REFERENTIAL"),"_")))))</f>
        <v/>
      </c>
      <c r="H1120" s="23" t="str">
        <f t="shared" ca="1" si="119"/>
        <v/>
      </c>
      <c r="I1120" s="24" t="str">
        <f>IF(OR(E1120="",E1120="!!!",F1120="NEW"),"",INDEX(B$2:B1119,-1+SUMPRODUCT(MAX(ROW(E$2:E1119)*(E1120=E$2:E1119)))))</f>
        <v/>
      </c>
      <c r="J1120" s="24" t="str">
        <f ca="1">IF(OR(E1120="",E1120="!!!",F1120="NEW"),"",COUNTBLANK(OFFSET(A$1,,,SUMPRODUCT(MAX(ROW(E$2:E1120)*(E1120=E$2:E1120)))))-COUNTBLANK(OFFSET(A$1,,,SUMPRODUCT(MAX(ROW(E$1:E1119)*(E2=E$1:E1119))))))</f>
        <v/>
      </c>
      <c r="K1120" s="24" t="str">
        <f>IF(OR(E1120="",E1120="!!!",F1120="NEW"),"",INDEX(J$1:J1119,SUMPRODUCT(MAX(ROW(E$1:E1119)*(E1120=E$1:E1119)))))</f>
        <v/>
      </c>
      <c r="L1120" s="25"/>
    </row>
    <row r="1121" spans="1:12" x14ac:dyDescent="0.3">
      <c r="A1121" t="s">
        <v>248</v>
      </c>
      <c r="E1121" s="20" t="str">
        <f t="shared" si="118"/>
        <v/>
      </c>
      <c r="F1121" s="21" t="str">
        <f>IF(OR(E1121="",E1121="!!!"),"",IF(NOT(ISNA(VLOOKUP(E1121,E$1:E1120,1,FALSE()))),"OLD",IF(AND(E1121&lt;&gt;"",E1121&lt;&gt;"!!!"),"NEW","")))</f>
        <v/>
      </c>
      <c r="G1121" s="22" t="str">
        <f>IF(OR(E1121="",E1121="!!!"),"",IF(OR(J1121=0,AND(J1121=1,K1121=1),AND(J1121=1,I1121="SBJ"),AND(J1121=1,I1121=0)),"?IN_FOCUS",IF(J1121&lt;=2,"?ACTIVATED",IF(J1121&lt;&gt;"","?FAMILIAR",IF(F1121="NEW",IF(ISNA(VLOOKUP(E1121,#REF!,1,FALSE())),"?TYPE_IDENTIFIABLE","?REFERENTIAL"),"_")))))</f>
        <v/>
      </c>
      <c r="H1121" s="23" t="str">
        <f t="shared" ca="1" si="119"/>
        <v/>
      </c>
      <c r="I1121" s="24" t="str">
        <f>IF(OR(E1121="",E1121="!!!",F1121="NEW"),"",INDEX(B$2:B1120,-1+SUMPRODUCT(MAX(ROW(E$2:E1120)*(E1121=E$2:E1120)))))</f>
        <v/>
      </c>
      <c r="J1121" s="24" t="str">
        <f ca="1">IF(OR(E1121="",E1121="!!!",F1121="NEW"),"",COUNTBLANK(OFFSET(A$1,,,SUMPRODUCT(MAX(ROW(E$2:E1121)*(E1121=E$2:E1121)))))-COUNTBLANK(OFFSET(A$1,,,SUMPRODUCT(MAX(ROW(E$1:E1120)*(E2=E$1:E1120))))))</f>
        <v/>
      </c>
      <c r="K1121" s="24" t="str">
        <f>IF(OR(E1121="",E1121="!!!",F1121="NEW"),"",INDEX(J$1:J1120,SUMPRODUCT(MAX(ROW(E$1:E1120)*(E1121=E$1:E1120)))))</f>
        <v/>
      </c>
      <c r="L1121" s="25"/>
    </row>
    <row r="1123" spans="1:12" x14ac:dyDescent="0.3">
      <c r="A1123" t="s">
        <v>712</v>
      </c>
    </row>
    <row r="1124" spans="1:12" x14ac:dyDescent="0.3">
      <c r="A1124" t="s">
        <v>324</v>
      </c>
      <c r="B1124" s="26" t="s">
        <v>243</v>
      </c>
      <c r="C1124" s="26" t="s">
        <v>244</v>
      </c>
      <c r="D1124" s="26" t="s">
        <v>240</v>
      </c>
      <c r="E1124" s="20" t="str">
        <f t="shared" ref="E1124:E1138" si="120">IF(D1124="?OLD","!!!","")</f>
        <v>!!!</v>
      </c>
      <c r="F1124" s="21" t="str">
        <f>IF(OR(E1124="",E1124="!!!"),"",IF(NOT(ISNA(VLOOKUP(E1124,E$1:E1123,1,FALSE()))),"OLD",IF(AND(E1124&lt;&gt;"",E1124&lt;&gt;"!!!"),"NEW","")))</f>
        <v/>
      </c>
      <c r="G1124" s="22" t="str">
        <f>IF(OR(E1124="",E1124="!!!"),"",IF(OR(J1124=0,AND(J1124=1,K1124=1),AND(J1124=1,I1124="SBJ"),AND(J1124=1,I1124=0)),"?IN_FOCUS",IF(J1124&lt;=2,"?ACTIVATED",IF(J1124&lt;&gt;"","?FAMILIAR",IF(F1124="NEW",IF(ISNA(VLOOKUP(E1124,#REF!,1,FALSE())),"?TYPE_IDENTIFIABLE","?REFERENTIAL"),"_")))))</f>
        <v/>
      </c>
      <c r="H1124" s="23" t="str">
        <f t="shared" ref="H1124:H1138" ca="1" si="121">IF(J1124&lt;&gt;1,"",IF(I1124="SBJ","CB","?"))</f>
        <v/>
      </c>
      <c r="I1124" s="24" t="str">
        <f>IF(OR(E1124="",E1124="!!!",F1124="NEW"),"",INDEX(B$2:B1123,-1+SUMPRODUCT(MAX(ROW(E$2:E1123)*(E1124=E$2:E1123)))))</f>
        <v/>
      </c>
      <c r="J1124" s="24" t="str">
        <f ca="1">IF(OR(E1124="",E1124="!!!",F1124="NEW"),"",COUNTBLANK(OFFSET(A$1,,,SUMPRODUCT(MAX(ROW(E$2:E1124)*(E1124=E$2:E1124)))))-COUNTBLANK(OFFSET(A$1,,,SUMPRODUCT(MAX(ROW(E$1:E1123)*(E2=E$1:E1123))))))</f>
        <v/>
      </c>
      <c r="K1124" s="24" t="str">
        <f>IF(OR(E1124="",E1124="!!!",F1124="NEW"),"",INDEX(J$1:J1123,SUMPRODUCT(MAX(ROW(E$1:E1123)*(E1124=E$1:E1123)))))</f>
        <v/>
      </c>
      <c r="L1124" s="25"/>
    </row>
    <row r="1125" spans="1:12" x14ac:dyDescent="0.3">
      <c r="A1125" t="s">
        <v>401</v>
      </c>
      <c r="E1125" s="20" t="str">
        <f t="shared" si="120"/>
        <v/>
      </c>
      <c r="F1125" s="21" t="str">
        <f>IF(OR(E1125="",E1125="!!!"),"",IF(NOT(ISNA(VLOOKUP(E1125,E$1:E1124,1,FALSE()))),"OLD",IF(AND(E1125&lt;&gt;"",E1125&lt;&gt;"!!!"),"NEW","")))</f>
        <v/>
      </c>
      <c r="G1125" s="22" t="str">
        <f>IF(OR(E1125="",E1125="!!!"),"",IF(OR(J1125=0,AND(J1125=1,K1125=1),AND(J1125=1,I1125="SBJ"),AND(J1125=1,I1125=0)),"?IN_FOCUS",IF(J1125&lt;=2,"?ACTIVATED",IF(J1125&lt;&gt;"","?FAMILIAR",IF(F1125="NEW",IF(ISNA(VLOOKUP(E1125,#REF!,1,FALSE())),"?TYPE_IDENTIFIABLE","?REFERENTIAL"),"_")))))</f>
        <v/>
      </c>
      <c r="H1125" s="23" t="str">
        <f t="shared" ca="1" si="121"/>
        <v/>
      </c>
      <c r="I1125" s="24" t="str">
        <f>IF(OR(E1125="",E1125="!!!",F1125="NEW"),"",INDEX(B$2:B1124,-1+SUMPRODUCT(MAX(ROW(E$2:E1124)*(E1125=E$2:E1124)))))</f>
        <v/>
      </c>
      <c r="J1125" s="24" t="str">
        <f ca="1">IF(OR(E1125="",E1125="!!!",F1125="NEW"),"",COUNTBLANK(OFFSET(A$1,,,SUMPRODUCT(MAX(ROW(E$2:E1125)*(E1125=E$2:E1125)))))-COUNTBLANK(OFFSET(A$1,,,SUMPRODUCT(MAX(ROW(E$1:E1124)*(E2=E$1:E1124))))))</f>
        <v/>
      </c>
      <c r="K1125" s="24" t="str">
        <f>IF(OR(E1125="",E1125="!!!",F1125="NEW"),"",INDEX(J$1:J1124,SUMPRODUCT(MAX(ROW(E$1:E1124)*(E1125=E$1:E1124)))))</f>
        <v/>
      </c>
      <c r="L1125" s="25"/>
    </row>
    <row r="1126" spans="1:12" x14ac:dyDescent="0.3">
      <c r="A1126" t="s">
        <v>252</v>
      </c>
      <c r="E1126" s="20" t="str">
        <f t="shared" si="120"/>
        <v/>
      </c>
      <c r="F1126" s="21" t="str">
        <f>IF(OR(E1126="",E1126="!!!"),"",IF(NOT(ISNA(VLOOKUP(E1126,E$1:E1125,1,FALSE()))),"OLD",IF(AND(E1126&lt;&gt;"",E1126&lt;&gt;"!!!"),"NEW","")))</f>
        <v/>
      </c>
      <c r="G1126" s="22" t="str">
        <f>IF(OR(E1126="",E1126="!!!"),"",IF(OR(J1126=0,AND(J1126=1,K1126=1),AND(J1126=1,I1126="SBJ"),AND(J1126=1,I1126=0)),"?IN_FOCUS",IF(J1126&lt;=2,"?ACTIVATED",IF(J1126&lt;&gt;"","?FAMILIAR",IF(F1126="NEW",IF(ISNA(VLOOKUP(E1126,#REF!,1,FALSE())),"?TYPE_IDENTIFIABLE","?REFERENTIAL"),"_")))))</f>
        <v/>
      </c>
      <c r="H1126" s="23" t="str">
        <f t="shared" ca="1" si="121"/>
        <v/>
      </c>
      <c r="I1126" s="24" t="str">
        <f>IF(OR(E1126="",E1126="!!!",F1126="NEW"),"",INDEX(B$2:B1125,-1+SUMPRODUCT(MAX(ROW(E$2:E1125)*(E1126=E$2:E1125)))))</f>
        <v/>
      </c>
      <c r="J1126" s="24" t="str">
        <f ca="1">IF(OR(E1126="",E1126="!!!",F1126="NEW"),"",COUNTBLANK(OFFSET(A$1,,,SUMPRODUCT(MAX(ROW(E$2:E1126)*(E1126=E$2:E1126)))))-COUNTBLANK(OFFSET(A$1,,,SUMPRODUCT(MAX(ROW(E$1:E1125)*(E2=E$1:E1125))))))</f>
        <v/>
      </c>
      <c r="K1126" s="24" t="str">
        <f>IF(OR(E1126="",E1126="!!!",F1126="NEW"),"",INDEX(J$1:J1125,SUMPRODUCT(MAX(ROW(E$1:E1125)*(E1126=E$1:E1125)))))</f>
        <v/>
      </c>
      <c r="L1126" s="25"/>
    </row>
    <row r="1127" spans="1:12" x14ac:dyDescent="0.3">
      <c r="A1127" t="s">
        <v>461</v>
      </c>
      <c r="E1127" s="20" t="str">
        <f t="shared" si="120"/>
        <v/>
      </c>
      <c r="F1127" s="21" t="str">
        <f>IF(OR(E1127="",E1127="!!!"),"",IF(NOT(ISNA(VLOOKUP(E1127,E$1:E1126,1,FALSE()))),"OLD",IF(AND(E1127&lt;&gt;"",E1127&lt;&gt;"!!!"),"NEW","")))</f>
        <v/>
      </c>
      <c r="G1127" s="22" t="str">
        <f>IF(OR(E1127="",E1127="!!!"),"",IF(OR(J1127=0,AND(J1127=1,K1127=1),AND(J1127=1,I1127="SBJ"),AND(J1127=1,I1127=0)),"?IN_FOCUS",IF(J1127&lt;=2,"?ACTIVATED",IF(J1127&lt;&gt;"","?FAMILIAR",IF(F1127="NEW",IF(ISNA(VLOOKUP(E1127,#REF!,1,FALSE())),"?TYPE_IDENTIFIABLE","?REFERENTIAL"),"_")))))</f>
        <v/>
      </c>
      <c r="H1127" s="23" t="str">
        <f t="shared" ca="1" si="121"/>
        <v/>
      </c>
      <c r="I1127" s="24" t="str">
        <f>IF(OR(E1127="",E1127="!!!",F1127="NEW"),"",INDEX(B$2:B1126,-1+SUMPRODUCT(MAX(ROW(E$2:E1126)*(E1127=E$2:E1126)))))</f>
        <v/>
      </c>
      <c r="J1127" s="24" t="str">
        <f ca="1">IF(OR(E1127="",E1127="!!!",F1127="NEW"),"",COUNTBLANK(OFFSET(A$1,,,SUMPRODUCT(MAX(ROW(E$2:E1127)*(E1127=E$2:E1127)))))-COUNTBLANK(OFFSET(A$1,,,SUMPRODUCT(MAX(ROW(E$1:E1126)*(E2=E$1:E1126))))))</f>
        <v/>
      </c>
      <c r="K1127" s="24" t="str">
        <f>IF(OR(E1127="",E1127="!!!",F1127="NEW"),"",INDEX(J$1:J1126,SUMPRODUCT(MAX(ROW(E$1:E1126)*(E1127=E$1:E1126)))))</f>
        <v/>
      </c>
      <c r="L1127" s="25"/>
    </row>
    <row r="1128" spans="1:12" x14ac:dyDescent="0.3">
      <c r="A1128" t="s">
        <v>658</v>
      </c>
      <c r="B1128" s="26" t="s">
        <v>261</v>
      </c>
      <c r="C1128" s="26" t="s">
        <v>247</v>
      </c>
      <c r="E1128" s="20" t="str">
        <f t="shared" si="120"/>
        <v/>
      </c>
      <c r="F1128" s="21" t="str">
        <f>IF(OR(E1128="",E1128="!!!"),"",IF(NOT(ISNA(VLOOKUP(E1128,E$1:E1127,1,FALSE()))),"OLD",IF(AND(E1128&lt;&gt;"",E1128&lt;&gt;"!!!"),"NEW","")))</f>
        <v/>
      </c>
      <c r="G1128" s="22" t="str">
        <f>IF(OR(E1128="",E1128="!!!"),"",IF(OR(J1128=0,AND(J1128=1,K1128=1),AND(J1128=1,I1128="SBJ"),AND(J1128=1,I1128=0)),"?IN_FOCUS",IF(J1128&lt;=2,"?ACTIVATED",IF(J1128&lt;&gt;"","?FAMILIAR",IF(F1128="NEW",IF(ISNA(VLOOKUP(E1128,#REF!,1,FALSE())),"?TYPE_IDENTIFIABLE","?REFERENTIAL"),"_")))))</f>
        <v/>
      </c>
      <c r="H1128" s="23" t="str">
        <f t="shared" ca="1" si="121"/>
        <v/>
      </c>
      <c r="I1128" s="24" t="str">
        <f>IF(OR(E1128="",E1128="!!!",F1128="NEW"),"",INDEX(B$2:B1127,-1+SUMPRODUCT(MAX(ROW(E$2:E1127)*(E1128=E$2:E1127)))))</f>
        <v/>
      </c>
      <c r="J1128" s="24" t="str">
        <f ca="1">IF(OR(E1128="",E1128="!!!",F1128="NEW"),"",COUNTBLANK(OFFSET(A$1,,,SUMPRODUCT(MAX(ROW(E$2:E1128)*(E1128=E$2:E1128)))))-COUNTBLANK(OFFSET(A$1,,,SUMPRODUCT(MAX(ROW(E$1:E1127)*(E2=E$1:E1127))))))</f>
        <v/>
      </c>
      <c r="K1128" s="24" t="str">
        <f>IF(OR(E1128="",E1128="!!!",F1128="NEW"),"",INDEX(J$1:J1127,SUMPRODUCT(MAX(ROW(E$1:E1127)*(E1128=E$1:E1127)))))</f>
        <v/>
      </c>
      <c r="L1128" s="25"/>
    </row>
    <row r="1129" spans="1:12" x14ac:dyDescent="0.3">
      <c r="A1129" t="s">
        <v>713</v>
      </c>
      <c r="E1129" s="20" t="str">
        <f t="shared" si="120"/>
        <v/>
      </c>
      <c r="F1129" s="21" t="str">
        <f>IF(OR(E1129="",E1129="!!!"),"",IF(NOT(ISNA(VLOOKUP(E1129,E$1:E1128,1,FALSE()))),"OLD",IF(AND(E1129&lt;&gt;"",E1129&lt;&gt;"!!!"),"NEW","")))</f>
        <v/>
      </c>
      <c r="G1129" s="22" t="str">
        <f>IF(OR(E1129="",E1129="!!!"),"",IF(OR(J1129=0,AND(J1129=1,K1129=1),AND(J1129=1,I1129="SBJ"),AND(J1129=1,I1129=0)),"?IN_FOCUS",IF(J1129&lt;=2,"?ACTIVATED",IF(J1129&lt;&gt;"","?FAMILIAR",IF(F1129="NEW",IF(ISNA(VLOOKUP(E1129,#REF!,1,FALSE())),"?TYPE_IDENTIFIABLE","?REFERENTIAL"),"_")))))</f>
        <v/>
      </c>
      <c r="H1129" s="23" t="str">
        <f t="shared" ca="1" si="121"/>
        <v/>
      </c>
      <c r="I1129" s="24" t="str">
        <f>IF(OR(E1129="",E1129="!!!",F1129="NEW"),"",INDEX(B$2:B1128,-1+SUMPRODUCT(MAX(ROW(E$2:E1128)*(E1129=E$2:E1128)))))</f>
        <v/>
      </c>
      <c r="J1129" s="24" t="str">
        <f ca="1">IF(OR(E1129="",E1129="!!!",F1129="NEW"),"",COUNTBLANK(OFFSET(A$1,,,SUMPRODUCT(MAX(ROW(E$2:E1129)*(E1129=E$2:E1129)))))-COUNTBLANK(OFFSET(A$1,,,SUMPRODUCT(MAX(ROW(E$1:E1128)*(E2=E$1:E1128))))))</f>
        <v/>
      </c>
      <c r="K1129" s="24" t="str">
        <f>IF(OR(E1129="",E1129="!!!",F1129="NEW"),"",INDEX(J$1:J1128,SUMPRODUCT(MAX(ROW(E$1:E1128)*(E1129=E$1:E1128)))))</f>
        <v/>
      </c>
      <c r="L1129" s="25"/>
    </row>
    <row r="1130" spans="1:12" x14ac:dyDescent="0.3">
      <c r="A1130" t="s">
        <v>278</v>
      </c>
      <c r="E1130" s="20" t="str">
        <f t="shared" si="120"/>
        <v/>
      </c>
      <c r="F1130" s="21" t="str">
        <f>IF(OR(E1130="",E1130="!!!"),"",IF(NOT(ISNA(VLOOKUP(E1130,E$1:E1129,1,FALSE()))),"OLD",IF(AND(E1130&lt;&gt;"",E1130&lt;&gt;"!!!"),"NEW","")))</f>
        <v/>
      </c>
      <c r="G1130" s="22" t="str">
        <f>IF(OR(E1130="",E1130="!!!"),"",IF(OR(J1130=0,AND(J1130=1,K1130=1),AND(J1130=1,I1130="SBJ"),AND(J1130=1,I1130=0)),"?IN_FOCUS",IF(J1130&lt;=2,"?ACTIVATED",IF(J1130&lt;&gt;"","?FAMILIAR",IF(F1130="NEW",IF(ISNA(VLOOKUP(E1130,#REF!,1,FALSE())),"?TYPE_IDENTIFIABLE","?REFERENTIAL"),"_")))))</f>
        <v/>
      </c>
      <c r="H1130" s="23" t="str">
        <f t="shared" ca="1" si="121"/>
        <v/>
      </c>
      <c r="I1130" s="24" t="str">
        <f>IF(OR(E1130="",E1130="!!!",F1130="NEW"),"",INDEX(B$2:B1129,-1+SUMPRODUCT(MAX(ROW(E$2:E1129)*(E1130=E$2:E1129)))))</f>
        <v/>
      </c>
      <c r="J1130" s="24" t="str">
        <f ca="1">IF(OR(E1130="",E1130="!!!",F1130="NEW"),"",COUNTBLANK(OFFSET(A$1,,,SUMPRODUCT(MAX(ROW(E$2:E1130)*(E1130=E$2:E1130)))))-COUNTBLANK(OFFSET(A$1,,,SUMPRODUCT(MAX(ROW(E$1:E1129)*(E2=E$1:E1129))))))</f>
        <v/>
      </c>
      <c r="K1130" s="24" t="str">
        <f>IF(OR(E1130="",E1130="!!!",F1130="NEW"),"",INDEX(J$1:J1129,SUMPRODUCT(MAX(ROW(E$1:E1129)*(E1130=E$1:E1129)))))</f>
        <v/>
      </c>
      <c r="L1130" s="25"/>
    </row>
    <row r="1131" spans="1:12" x14ac:dyDescent="0.3">
      <c r="A1131" t="s">
        <v>140</v>
      </c>
      <c r="E1131" s="20" t="str">
        <f t="shared" si="120"/>
        <v/>
      </c>
      <c r="F1131" s="21" t="str">
        <f>IF(OR(E1131="",E1131="!!!"),"",IF(NOT(ISNA(VLOOKUP(E1131,E$1:E1130,1,FALSE()))),"OLD",IF(AND(E1131&lt;&gt;"",E1131&lt;&gt;"!!!"),"NEW","")))</f>
        <v/>
      </c>
      <c r="G1131" s="22" t="str">
        <f>IF(OR(E1131="",E1131="!!!"),"",IF(OR(J1131=0,AND(J1131=1,K1131=1),AND(J1131=1,I1131="SBJ"),AND(J1131=1,I1131=0)),"?IN_FOCUS",IF(J1131&lt;=2,"?ACTIVATED",IF(J1131&lt;&gt;"","?FAMILIAR",IF(F1131="NEW",IF(ISNA(VLOOKUP(E1131,#REF!,1,FALSE())),"?TYPE_IDENTIFIABLE","?REFERENTIAL"),"_")))))</f>
        <v/>
      </c>
      <c r="H1131" s="23" t="str">
        <f t="shared" ca="1" si="121"/>
        <v/>
      </c>
      <c r="I1131" s="24" t="str">
        <f>IF(OR(E1131="",E1131="!!!",F1131="NEW"),"",INDEX(B$2:B1130,-1+SUMPRODUCT(MAX(ROW(E$2:E1130)*(E1131=E$2:E1130)))))</f>
        <v/>
      </c>
      <c r="J1131" s="24" t="str">
        <f ca="1">IF(OR(E1131="",E1131="!!!",F1131="NEW"),"",COUNTBLANK(OFFSET(A$1,,,SUMPRODUCT(MAX(ROW(E$2:E1131)*(E1131=E$2:E1131)))))-COUNTBLANK(OFFSET(A$1,,,SUMPRODUCT(MAX(ROW(E$1:E1130)*(E2=E$1:E1130))))))</f>
        <v/>
      </c>
      <c r="K1131" s="24" t="str">
        <f>IF(OR(E1131="",E1131="!!!",F1131="NEW"),"",INDEX(J$1:J1130,SUMPRODUCT(MAX(ROW(E$1:E1130)*(E1131=E$1:E1130)))))</f>
        <v/>
      </c>
      <c r="L1131" s="25"/>
    </row>
    <row r="1132" spans="1:12" x14ac:dyDescent="0.3">
      <c r="A1132" t="s">
        <v>684</v>
      </c>
      <c r="E1132" s="20" t="str">
        <f t="shared" si="120"/>
        <v/>
      </c>
      <c r="F1132" s="21" t="str">
        <f>IF(OR(E1132="",E1132="!!!"),"",IF(NOT(ISNA(VLOOKUP(E1132,E$1:E1131,1,FALSE()))),"OLD",IF(AND(E1132&lt;&gt;"",E1132&lt;&gt;"!!!"),"NEW","")))</f>
        <v/>
      </c>
      <c r="G1132" s="22" t="str">
        <f>IF(OR(E1132="",E1132="!!!"),"",IF(OR(J1132=0,AND(J1132=1,K1132=1),AND(J1132=1,I1132="SBJ"),AND(J1132=1,I1132=0)),"?IN_FOCUS",IF(J1132&lt;=2,"?ACTIVATED",IF(J1132&lt;&gt;"","?FAMILIAR",IF(F1132="NEW",IF(ISNA(VLOOKUP(E1132,#REF!,1,FALSE())),"?TYPE_IDENTIFIABLE","?REFERENTIAL"),"_")))))</f>
        <v/>
      </c>
      <c r="H1132" s="23" t="str">
        <f t="shared" ca="1" si="121"/>
        <v/>
      </c>
      <c r="I1132" s="24" t="str">
        <f>IF(OR(E1132="",E1132="!!!",F1132="NEW"),"",INDEX(B$2:B1131,-1+SUMPRODUCT(MAX(ROW(E$2:E1131)*(E1132=E$2:E1131)))))</f>
        <v/>
      </c>
      <c r="J1132" s="24" t="str">
        <f ca="1">IF(OR(E1132="",E1132="!!!",F1132="NEW"),"",COUNTBLANK(OFFSET(A$1,,,SUMPRODUCT(MAX(ROW(E$2:E1132)*(E1132=E$2:E1132)))))-COUNTBLANK(OFFSET(A$1,,,SUMPRODUCT(MAX(ROW(E$1:E1131)*(E2=E$1:E1131))))))</f>
        <v/>
      </c>
      <c r="K1132" s="24" t="str">
        <f>IF(OR(E1132="",E1132="!!!",F1132="NEW"),"",INDEX(J$1:J1131,SUMPRODUCT(MAX(ROW(E$1:E1131)*(E1132=E$1:E1131)))))</f>
        <v/>
      </c>
      <c r="L1132" s="25"/>
    </row>
    <row r="1133" spans="1:12" x14ac:dyDescent="0.3">
      <c r="A1133" t="s">
        <v>685</v>
      </c>
      <c r="B1133" s="26" t="s">
        <v>261</v>
      </c>
      <c r="C1133" s="26" t="s">
        <v>307</v>
      </c>
      <c r="E1133" s="20" t="str">
        <f t="shared" si="120"/>
        <v/>
      </c>
      <c r="F1133" s="21" t="str">
        <f>IF(OR(E1133="",E1133="!!!"),"",IF(NOT(ISNA(VLOOKUP(E1133,E$1:E1132,1,FALSE()))),"OLD",IF(AND(E1133&lt;&gt;"",E1133&lt;&gt;"!!!"),"NEW","")))</f>
        <v/>
      </c>
      <c r="G1133" s="22" t="str">
        <f>IF(OR(E1133="",E1133="!!!"),"",IF(OR(J1133=0,AND(J1133=1,K1133=1),AND(J1133=1,I1133="SBJ"),AND(J1133=1,I1133=0)),"?IN_FOCUS",IF(J1133&lt;=2,"?ACTIVATED",IF(J1133&lt;&gt;"","?FAMILIAR",IF(F1133="NEW",IF(ISNA(VLOOKUP(E1133,#REF!,1,FALSE())),"?TYPE_IDENTIFIABLE","?REFERENTIAL"),"_")))))</f>
        <v/>
      </c>
      <c r="H1133" s="23" t="str">
        <f t="shared" ca="1" si="121"/>
        <v/>
      </c>
      <c r="I1133" s="24" t="str">
        <f>IF(OR(E1133="",E1133="!!!",F1133="NEW"),"",INDEX(B$2:B1132,-1+SUMPRODUCT(MAX(ROW(E$2:E1132)*(E1133=E$2:E1132)))))</f>
        <v/>
      </c>
      <c r="J1133" s="24" t="str">
        <f ca="1">IF(OR(E1133="",E1133="!!!",F1133="NEW"),"",COUNTBLANK(OFFSET(A$1,,,SUMPRODUCT(MAX(ROW(E$2:E1133)*(E1133=E$2:E1133)))))-COUNTBLANK(OFFSET(A$1,,,SUMPRODUCT(MAX(ROW(E$1:E1132)*(E2=E$1:E1132))))))</f>
        <v/>
      </c>
      <c r="K1133" s="24" t="str">
        <f>IF(OR(E1133="",E1133="!!!",F1133="NEW"),"",INDEX(J$1:J1132,SUMPRODUCT(MAX(ROW(E$1:E1132)*(E1133=E$1:E1132)))))</f>
        <v/>
      </c>
      <c r="L1133" s="25"/>
    </row>
    <row r="1134" spans="1:12" x14ac:dyDescent="0.3">
      <c r="A1134" t="s">
        <v>245</v>
      </c>
      <c r="E1134" s="20" t="str">
        <f t="shared" si="120"/>
        <v/>
      </c>
      <c r="F1134" s="21" t="str">
        <f>IF(OR(E1134="",E1134="!!!"),"",IF(NOT(ISNA(VLOOKUP(E1134,E$1:E1133,1,FALSE()))),"OLD",IF(AND(E1134&lt;&gt;"",E1134&lt;&gt;"!!!"),"NEW","")))</f>
        <v/>
      </c>
      <c r="G1134" s="22" t="str">
        <f>IF(OR(E1134="",E1134="!!!"),"",IF(OR(J1134=0,AND(J1134=1,K1134=1),AND(J1134=1,I1134="SBJ"),AND(J1134=1,I1134=0)),"?IN_FOCUS",IF(J1134&lt;=2,"?ACTIVATED",IF(J1134&lt;&gt;"","?FAMILIAR",IF(F1134="NEW",IF(ISNA(VLOOKUP(E1134,#REF!,1,FALSE())),"?TYPE_IDENTIFIABLE","?REFERENTIAL"),"_")))))</f>
        <v/>
      </c>
      <c r="H1134" s="23" t="str">
        <f t="shared" ca="1" si="121"/>
        <v/>
      </c>
      <c r="I1134" s="24" t="str">
        <f>IF(OR(E1134="",E1134="!!!",F1134="NEW"),"",INDEX(B$2:B1133,-1+SUMPRODUCT(MAX(ROW(E$2:E1133)*(E1134=E$2:E1133)))))</f>
        <v/>
      </c>
      <c r="J1134" s="24" t="str">
        <f ca="1">IF(OR(E1134="",E1134="!!!",F1134="NEW"),"",COUNTBLANK(OFFSET(A$1,,,SUMPRODUCT(MAX(ROW(E$2:E1134)*(E1134=E$2:E1134)))))-COUNTBLANK(OFFSET(A$1,,,SUMPRODUCT(MAX(ROW(E$1:E1133)*(E2=E$1:E1133))))))</f>
        <v/>
      </c>
      <c r="K1134" s="24" t="str">
        <f>IF(OR(E1134="",E1134="!!!",F1134="NEW"),"",INDEX(J$1:J1133,SUMPRODUCT(MAX(ROW(E$1:E1133)*(E1134=E$1:E1133)))))</f>
        <v/>
      </c>
      <c r="L1134" s="25"/>
    </row>
    <row r="1135" spans="1:12" x14ac:dyDescent="0.3">
      <c r="A1135" t="s">
        <v>236</v>
      </c>
      <c r="E1135" s="20" t="str">
        <f t="shared" si="120"/>
        <v/>
      </c>
      <c r="F1135" s="21" t="str">
        <f>IF(OR(E1135="",E1135="!!!"),"",IF(NOT(ISNA(VLOOKUP(E1135,E$1:E1134,1,FALSE()))),"OLD",IF(AND(E1135&lt;&gt;"",E1135&lt;&gt;"!!!"),"NEW","")))</f>
        <v/>
      </c>
      <c r="G1135" s="22" t="str">
        <f>IF(OR(E1135="",E1135="!!!"),"",IF(OR(J1135=0,AND(J1135=1,K1135=1),AND(J1135=1,I1135="SBJ"),AND(J1135=1,I1135=0)),"?IN_FOCUS",IF(J1135&lt;=2,"?ACTIVATED",IF(J1135&lt;&gt;"","?FAMILIAR",IF(F1135="NEW",IF(ISNA(VLOOKUP(E1135,#REF!,1,FALSE())),"?TYPE_IDENTIFIABLE","?REFERENTIAL"),"_")))))</f>
        <v/>
      </c>
      <c r="H1135" s="23" t="str">
        <f t="shared" ca="1" si="121"/>
        <v/>
      </c>
      <c r="I1135" s="24" t="str">
        <f>IF(OR(E1135="",E1135="!!!",F1135="NEW"),"",INDEX(B$2:B1134,-1+SUMPRODUCT(MAX(ROW(E$2:E1134)*(E1135=E$2:E1134)))))</f>
        <v/>
      </c>
      <c r="J1135" s="24" t="str">
        <f ca="1">IF(OR(E1135="",E1135="!!!",F1135="NEW"),"",COUNTBLANK(OFFSET(A$1,,,SUMPRODUCT(MAX(ROW(E$2:E1135)*(E1135=E$2:E1135)))))-COUNTBLANK(OFFSET(A$1,,,SUMPRODUCT(MAX(ROW(E$1:E1134)*(E2=E$1:E1134))))))</f>
        <v/>
      </c>
      <c r="K1135" s="24" t="str">
        <f>IF(OR(E1135="",E1135="!!!",F1135="NEW"),"",INDEX(J$1:J1134,SUMPRODUCT(MAX(ROW(E$1:E1134)*(E1135=E$1:E1134)))))</f>
        <v/>
      </c>
      <c r="L1135" s="25"/>
    </row>
    <row r="1136" spans="1:12" x14ac:dyDescent="0.3">
      <c r="A1136" t="s">
        <v>405</v>
      </c>
      <c r="B1136" s="26" t="s">
        <v>261</v>
      </c>
      <c r="C1136" s="26" t="s">
        <v>239</v>
      </c>
      <c r="D1136" s="26" t="s">
        <v>240</v>
      </c>
      <c r="E1136" s="20" t="str">
        <f t="shared" si="120"/>
        <v>!!!</v>
      </c>
      <c r="F1136" s="21" t="str">
        <f>IF(OR(E1136="",E1136="!!!"),"",IF(NOT(ISNA(VLOOKUP(E1136,E$1:E1135,1,FALSE()))),"OLD",IF(AND(E1136&lt;&gt;"",E1136&lt;&gt;"!!!"),"NEW","")))</f>
        <v/>
      </c>
      <c r="G1136" s="22" t="str">
        <f>IF(OR(E1136="",E1136="!!!"),"",IF(OR(J1136=0,AND(J1136=1,K1136=1),AND(J1136=1,I1136="SBJ"),AND(J1136=1,I1136=0)),"?IN_FOCUS",IF(J1136&lt;=2,"?ACTIVATED",IF(J1136&lt;&gt;"","?FAMILIAR",IF(F1136="NEW",IF(ISNA(VLOOKUP(E1136,#REF!,1,FALSE())),"?TYPE_IDENTIFIABLE","?REFERENTIAL"),"_")))))</f>
        <v/>
      </c>
      <c r="H1136" s="23" t="str">
        <f t="shared" ca="1" si="121"/>
        <v/>
      </c>
      <c r="I1136" s="24" t="str">
        <f>IF(OR(E1136="",E1136="!!!",F1136="NEW"),"",INDEX(B$2:B1135,-1+SUMPRODUCT(MAX(ROW(E$2:E1135)*(E1136=E$2:E1135)))))</f>
        <v/>
      </c>
      <c r="J1136" s="24" t="str">
        <f ca="1">IF(OR(E1136="",E1136="!!!",F1136="NEW"),"",COUNTBLANK(OFFSET(A$1,,,SUMPRODUCT(MAX(ROW(E$2:E1136)*(E1136=E$2:E1136)))))-COUNTBLANK(OFFSET(A$1,,,SUMPRODUCT(MAX(ROW(E$1:E1135)*(E2=E$1:E1135))))))</f>
        <v/>
      </c>
      <c r="K1136" s="24" t="str">
        <f>IF(OR(E1136="",E1136="!!!",F1136="NEW"),"",INDEX(J$1:J1135,SUMPRODUCT(MAX(ROW(E$1:E1135)*(E1136=E$1:E1135)))))</f>
        <v/>
      </c>
      <c r="L1136" s="25"/>
    </row>
    <row r="1137" spans="1:12" x14ac:dyDescent="0.3">
      <c r="A1137" t="s">
        <v>714</v>
      </c>
      <c r="E1137" s="20" t="str">
        <f t="shared" si="120"/>
        <v/>
      </c>
      <c r="F1137" s="21" t="str">
        <f>IF(OR(E1137="",E1137="!!!"),"",IF(NOT(ISNA(VLOOKUP(E1137,E$1:E1136,1,FALSE()))),"OLD",IF(AND(E1137&lt;&gt;"",E1137&lt;&gt;"!!!"),"NEW","")))</f>
        <v/>
      </c>
      <c r="G1137" s="22" t="str">
        <f>IF(OR(E1137="",E1137="!!!"),"",IF(OR(J1137=0,AND(J1137=1,K1137=1),AND(J1137=1,I1137="SBJ"),AND(J1137=1,I1137=0)),"?IN_FOCUS",IF(J1137&lt;=2,"?ACTIVATED",IF(J1137&lt;&gt;"","?FAMILIAR",IF(F1137="NEW",IF(ISNA(VLOOKUP(E1137,#REF!,1,FALSE())),"?TYPE_IDENTIFIABLE","?REFERENTIAL"),"_")))))</f>
        <v/>
      </c>
      <c r="H1137" s="23" t="str">
        <f t="shared" ca="1" si="121"/>
        <v/>
      </c>
      <c r="I1137" s="24" t="str">
        <f>IF(OR(E1137="",E1137="!!!",F1137="NEW"),"",INDEX(B$2:B1136,-1+SUMPRODUCT(MAX(ROW(E$2:E1136)*(E1137=E$2:E1136)))))</f>
        <v/>
      </c>
      <c r="J1137" s="24" t="str">
        <f ca="1">IF(OR(E1137="",E1137="!!!",F1137="NEW"),"",COUNTBLANK(OFFSET(A$1,,,SUMPRODUCT(MAX(ROW(E$2:E1137)*(E1137=E$2:E1137)))))-COUNTBLANK(OFFSET(A$1,,,SUMPRODUCT(MAX(ROW(E$1:E1136)*(E2=E$1:E1136))))))</f>
        <v/>
      </c>
      <c r="K1137" s="24" t="str">
        <f>IF(OR(E1137="",E1137="!!!",F1137="NEW"),"",INDEX(J$1:J1136,SUMPRODUCT(MAX(ROW(E$1:E1136)*(E1137=E$1:E1136)))))</f>
        <v/>
      </c>
      <c r="L1137" s="25"/>
    </row>
    <row r="1138" spans="1:12" x14ac:dyDescent="0.3">
      <c r="A1138" t="s">
        <v>248</v>
      </c>
      <c r="E1138" s="20" t="str">
        <f t="shared" si="120"/>
        <v/>
      </c>
      <c r="F1138" s="21" t="str">
        <f>IF(OR(E1138="",E1138="!!!"),"",IF(NOT(ISNA(VLOOKUP(E1138,E$1:E1137,1,FALSE()))),"OLD",IF(AND(E1138&lt;&gt;"",E1138&lt;&gt;"!!!"),"NEW","")))</f>
        <v/>
      </c>
      <c r="G1138" s="22" t="str">
        <f>IF(OR(E1138="",E1138="!!!"),"",IF(OR(J1138=0,AND(J1138=1,K1138=1),AND(J1138=1,I1138="SBJ"),AND(J1138=1,I1138=0)),"?IN_FOCUS",IF(J1138&lt;=2,"?ACTIVATED",IF(J1138&lt;&gt;"","?FAMILIAR",IF(F1138="NEW",IF(ISNA(VLOOKUP(E1138,#REF!,1,FALSE())),"?TYPE_IDENTIFIABLE","?REFERENTIAL"),"_")))))</f>
        <v/>
      </c>
      <c r="H1138" s="23" t="str">
        <f t="shared" ca="1" si="121"/>
        <v/>
      </c>
      <c r="I1138" s="24" t="str">
        <f>IF(OR(E1138="",E1138="!!!",F1138="NEW"),"",INDEX(B$2:B1137,-1+SUMPRODUCT(MAX(ROW(E$2:E1137)*(E1138=E$2:E1137)))))</f>
        <v/>
      </c>
      <c r="J1138" s="24" t="str">
        <f ca="1">IF(OR(E1138="",E1138="!!!",F1138="NEW"),"",COUNTBLANK(OFFSET(A$1,,,SUMPRODUCT(MAX(ROW(E$2:E1138)*(E1138=E$2:E1138)))))-COUNTBLANK(OFFSET(A$1,,,SUMPRODUCT(MAX(ROW(E$1:E1137)*(E2=E$1:E1137))))))</f>
        <v/>
      </c>
      <c r="K1138" s="24" t="str">
        <f>IF(OR(E1138="",E1138="!!!",F1138="NEW"),"",INDEX(J$1:J1137,SUMPRODUCT(MAX(ROW(E$1:E1137)*(E1138=E$1:E1137)))))</f>
        <v/>
      </c>
      <c r="L1138" s="25"/>
    </row>
    <row r="1140" spans="1:12" x14ac:dyDescent="0.3">
      <c r="A1140" t="s">
        <v>715</v>
      </c>
    </row>
    <row r="1141" spans="1:12" x14ac:dyDescent="0.3">
      <c r="A1141" t="s">
        <v>324</v>
      </c>
      <c r="B1141" s="26" t="s">
        <v>243</v>
      </c>
      <c r="C1141" s="26" t="s">
        <v>244</v>
      </c>
      <c r="D1141" s="26" t="s">
        <v>240</v>
      </c>
      <c r="E1141" s="20" t="str">
        <f t="shared" ref="E1141:E1157" si="122">IF(D1141="?OLD","!!!","")</f>
        <v>!!!</v>
      </c>
      <c r="F1141" s="21" t="str">
        <f>IF(OR(E1141="",E1141="!!!"),"",IF(NOT(ISNA(VLOOKUP(E1141,E$1:E1140,1,FALSE()))),"OLD",IF(AND(E1141&lt;&gt;"",E1141&lt;&gt;"!!!"),"NEW","")))</f>
        <v/>
      </c>
      <c r="G1141" s="22" t="str">
        <f>IF(OR(E1141="",E1141="!!!"),"",IF(OR(J1141=0,AND(J1141=1,K1141=1),AND(J1141=1,I1141="SBJ"),AND(J1141=1,I1141=0)),"?IN_FOCUS",IF(J1141&lt;=2,"?ACTIVATED",IF(J1141&lt;&gt;"","?FAMILIAR",IF(F1141="NEW",IF(ISNA(VLOOKUP(E1141,#REF!,1,FALSE())),"?TYPE_IDENTIFIABLE","?REFERENTIAL"),"_")))))</f>
        <v/>
      </c>
      <c r="H1141" s="23" t="str">
        <f t="shared" ref="H1141:H1157" ca="1" si="123">IF(J1141&lt;&gt;1,"",IF(I1141="SBJ","CB","?"))</f>
        <v/>
      </c>
      <c r="I1141" s="24" t="str">
        <f>IF(OR(E1141="",E1141="!!!",F1141="NEW"),"",INDEX(B$2:B1140,-1+SUMPRODUCT(MAX(ROW(E$2:E1140)*(E1141=E$2:E1140)))))</f>
        <v/>
      </c>
      <c r="J1141" s="24" t="str">
        <f ca="1">IF(OR(E1141="",E1141="!!!",F1141="NEW"),"",COUNTBLANK(OFFSET(A$1,,,SUMPRODUCT(MAX(ROW(E$2:E1141)*(E1141=E$2:E1141)))))-COUNTBLANK(OFFSET(A$1,,,SUMPRODUCT(MAX(ROW(E$1:E1140)*(E2=E$1:E1140))))))</f>
        <v/>
      </c>
      <c r="K1141" s="24" t="str">
        <f>IF(OR(E1141="",E1141="!!!",F1141="NEW"),"",INDEX(J$1:J1140,SUMPRODUCT(MAX(ROW(E$1:E1140)*(E1141=E$1:E1140)))))</f>
        <v/>
      </c>
      <c r="L1141" s="25"/>
    </row>
    <row r="1142" spans="1:12" x14ac:dyDescent="0.3">
      <c r="A1142" t="s">
        <v>313</v>
      </c>
      <c r="E1142" s="20" t="str">
        <f t="shared" si="122"/>
        <v/>
      </c>
      <c r="F1142" s="21" t="str">
        <f>IF(OR(E1142="",E1142="!!!"),"",IF(NOT(ISNA(VLOOKUP(E1142,E$1:E1141,1,FALSE()))),"OLD",IF(AND(E1142&lt;&gt;"",E1142&lt;&gt;"!!!"),"NEW","")))</f>
        <v/>
      </c>
      <c r="G1142" s="22" t="str">
        <f>IF(OR(E1142="",E1142="!!!"),"",IF(OR(J1142=0,AND(J1142=1,K1142=1),AND(J1142=1,I1142="SBJ"),AND(J1142=1,I1142=0)),"?IN_FOCUS",IF(J1142&lt;=2,"?ACTIVATED",IF(J1142&lt;&gt;"","?FAMILIAR",IF(F1142="NEW",IF(ISNA(VLOOKUP(E1142,#REF!,1,FALSE())),"?TYPE_IDENTIFIABLE","?REFERENTIAL"),"_")))))</f>
        <v/>
      </c>
      <c r="H1142" s="23" t="str">
        <f t="shared" ca="1" si="123"/>
        <v/>
      </c>
      <c r="I1142" s="24" t="str">
        <f>IF(OR(E1142="",E1142="!!!",F1142="NEW"),"",INDEX(B$2:B1141,-1+SUMPRODUCT(MAX(ROW(E$2:E1141)*(E1142=E$2:E1141)))))</f>
        <v/>
      </c>
      <c r="J1142" s="24" t="str">
        <f ca="1">IF(OR(E1142="",E1142="!!!",F1142="NEW"),"",COUNTBLANK(OFFSET(A$1,,,SUMPRODUCT(MAX(ROW(E$2:E1142)*(E1142=E$2:E1142)))))-COUNTBLANK(OFFSET(A$1,,,SUMPRODUCT(MAX(ROW(E$1:E1141)*(E2=E$1:E1141))))))</f>
        <v/>
      </c>
      <c r="K1142" s="24" t="str">
        <f>IF(OR(E1142="",E1142="!!!",F1142="NEW"),"",INDEX(J$1:J1141,SUMPRODUCT(MAX(ROW(E$1:E1141)*(E1142=E$1:E1141)))))</f>
        <v/>
      </c>
      <c r="L1142" s="25"/>
    </row>
    <row r="1143" spans="1:12" x14ac:dyDescent="0.3">
      <c r="A1143" t="s">
        <v>386</v>
      </c>
      <c r="B1143" s="26" t="s">
        <v>292</v>
      </c>
      <c r="E1143" s="20" t="str">
        <f t="shared" si="122"/>
        <v/>
      </c>
      <c r="F1143" s="21" t="str">
        <f>IF(OR(E1143="",E1143="!!!"),"",IF(NOT(ISNA(VLOOKUP(E1143,E$1:E1142,1,FALSE()))),"OLD",IF(AND(E1143&lt;&gt;"",E1143&lt;&gt;"!!!"),"NEW","")))</f>
        <v/>
      </c>
      <c r="G1143" s="22" t="str">
        <f>IF(OR(E1143="",E1143="!!!"),"",IF(OR(J1143=0,AND(J1143=1,K1143=1),AND(J1143=1,I1143="SBJ"),AND(J1143=1,I1143=0)),"?IN_FOCUS",IF(J1143&lt;=2,"?ACTIVATED",IF(J1143&lt;&gt;"","?FAMILIAR",IF(F1143="NEW",IF(ISNA(VLOOKUP(E1143,#REF!,1,FALSE())),"?TYPE_IDENTIFIABLE","?REFERENTIAL"),"_")))))</f>
        <v/>
      </c>
      <c r="H1143" s="23" t="str">
        <f t="shared" ca="1" si="123"/>
        <v/>
      </c>
      <c r="I1143" s="24" t="str">
        <f>IF(OR(E1143="",E1143="!!!",F1143="NEW"),"",INDEX(B$2:B1142,-1+SUMPRODUCT(MAX(ROW(E$2:E1142)*(E1143=E$2:E1142)))))</f>
        <v/>
      </c>
      <c r="J1143" s="24" t="str">
        <f ca="1">IF(OR(E1143="",E1143="!!!",F1143="NEW"),"",COUNTBLANK(OFFSET(A$1,,,SUMPRODUCT(MAX(ROW(E$2:E1143)*(E1143=E$2:E1143)))))-COUNTBLANK(OFFSET(A$1,,,SUMPRODUCT(MAX(ROW(E$1:E1142)*(E2=E$1:E1142))))))</f>
        <v/>
      </c>
      <c r="K1143" s="24" t="str">
        <f>IF(OR(E1143="",E1143="!!!",F1143="NEW"),"",INDEX(J$1:J1142,SUMPRODUCT(MAX(ROW(E$1:E1142)*(E1143=E$1:E1142)))))</f>
        <v/>
      </c>
      <c r="L1143" s="25"/>
    </row>
    <row r="1144" spans="1:12" x14ac:dyDescent="0.3">
      <c r="A1144" t="s">
        <v>387</v>
      </c>
      <c r="E1144" s="20" t="str">
        <f t="shared" si="122"/>
        <v/>
      </c>
      <c r="F1144" s="21" t="str">
        <f>IF(OR(E1144="",E1144="!!!"),"",IF(NOT(ISNA(VLOOKUP(E1144,E$1:E1143,1,FALSE()))),"OLD",IF(AND(E1144&lt;&gt;"",E1144&lt;&gt;"!!!"),"NEW","")))</f>
        <v/>
      </c>
      <c r="G1144" s="22" t="str">
        <f>IF(OR(E1144="",E1144="!!!"),"",IF(OR(J1144=0,AND(J1144=1,K1144=1),AND(J1144=1,I1144="SBJ"),AND(J1144=1,I1144=0)),"?IN_FOCUS",IF(J1144&lt;=2,"?ACTIVATED",IF(J1144&lt;&gt;"","?FAMILIAR",IF(F1144="NEW",IF(ISNA(VLOOKUP(E1144,#REF!,1,FALSE())),"?TYPE_IDENTIFIABLE","?REFERENTIAL"),"_")))))</f>
        <v/>
      </c>
      <c r="H1144" s="23" t="str">
        <f t="shared" ca="1" si="123"/>
        <v/>
      </c>
      <c r="I1144" s="24" t="str">
        <f>IF(OR(E1144="",E1144="!!!",F1144="NEW"),"",INDEX(B$2:B1143,-1+SUMPRODUCT(MAX(ROW(E$2:E1143)*(E1144=E$2:E1143)))))</f>
        <v/>
      </c>
      <c r="J1144" s="24" t="str">
        <f ca="1">IF(OR(E1144="",E1144="!!!",F1144="NEW"),"",COUNTBLANK(OFFSET(A$1,,,SUMPRODUCT(MAX(ROW(E$2:E1144)*(E1144=E$2:E1144)))))-COUNTBLANK(OFFSET(A$1,,,SUMPRODUCT(MAX(ROW(E$1:E1143)*(E2=E$1:E1143))))))</f>
        <v/>
      </c>
      <c r="K1144" s="24" t="str">
        <f>IF(OR(E1144="",E1144="!!!",F1144="NEW"),"",INDEX(J$1:J1143,SUMPRODUCT(MAX(ROW(E$1:E1143)*(E1144=E$1:E1143)))))</f>
        <v/>
      </c>
      <c r="L1144" s="25"/>
    </row>
    <row r="1145" spans="1:12" x14ac:dyDescent="0.3">
      <c r="A1145" t="s">
        <v>393</v>
      </c>
      <c r="E1145" s="20" t="str">
        <f t="shared" si="122"/>
        <v/>
      </c>
      <c r="F1145" s="21" t="str">
        <f>IF(OR(E1145="",E1145="!!!"),"",IF(NOT(ISNA(VLOOKUP(E1145,E$1:E1144,1,FALSE()))),"OLD",IF(AND(E1145&lt;&gt;"",E1145&lt;&gt;"!!!"),"NEW","")))</f>
        <v/>
      </c>
      <c r="G1145" s="22" t="str">
        <f>IF(OR(E1145="",E1145="!!!"),"",IF(OR(J1145=0,AND(J1145=1,K1145=1),AND(J1145=1,I1145="SBJ"),AND(J1145=1,I1145=0)),"?IN_FOCUS",IF(J1145&lt;=2,"?ACTIVATED",IF(J1145&lt;&gt;"","?FAMILIAR",IF(F1145="NEW",IF(ISNA(VLOOKUP(E1145,#REF!,1,FALSE())),"?TYPE_IDENTIFIABLE","?REFERENTIAL"),"_")))))</f>
        <v/>
      </c>
      <c r="H1145" s="23" t="str">
        <f t="shared" ca="1" si="123"/>
        <v/>
      </c>
      <c r="I1145" s="24" t="str">
        <f>IF(OR(E1145="",E1145="!!!",F1145="NEW"),"",INDEX(B$2:B1144,-1+SUMPRODUCT(MAX(ROW(E$2:E1144)*(E1145=E$2:E1144)))))</f>
        <v/>
      </c>
      <c r="J1145" s="24" t="str">
        <f ca="1">IF(OR(E1145="",E1145="!!!",F1145="NEW"),"",COUNTBLANK(OFFSET(A$1,,,SUMPRODUCT(MAX(ROW(E$2:E1145)*(E1145=E$2:E1145)))))-COUNTBLANK(OFFSET(A$1,,,SUMPRODUCT(MAX(ROW(E$1:E1144)*(E2=E$1:E1144))))))</f>
        <v/>
      </c>
      <c r="K1145" s="24" t="str">
        <f>IF(OR(E1145="",E1145="!!!",F1145="NEW"),"",INDEX(J$1:J1144,SUMPRODUCT(MAX(ROW(E$1:E1144)*(E1145=E$1:E1144)))))</f>
        <v/>
      </c>
      <c r="L1145" s="25"/>
    </row>
    <row r="1146" spans="1:12" x14ac:dyDescent="0.3">
      <c r="A1146" t="s">
        <v>319</v>
      </c>
      <c r="B1146" s="26" t="s">
        <v>238</v>
      </c>
      <c r="C1146" s="26" t="s">
        <v>239</v>
      </c>
      <c r="D1146" s="26" t="s">
        <v>240</v>
      </c>
      <c r="E1146" s="20" t="str">
        <f t="shared" si="122"/>
        <v>!!!</v>
      </c>
      <c r="F1146" s="21" t="str">
        <f>IF(OR(E1146="",E1146="!!!"),"",IF(NOT(ISNA(VLOOKUP(E1146,E$1:E1145,1,FALSE()))),"OLD",IF(AND(E1146&lt;&gt;"",E1146&lt;&gt;"!!!"),"NEW","")))</f>
        <v/>
      </c>
      <c r="G1146" s="22" t="str">
        <f>IF(OR(E1146="",E1146="!!!"),"",IF(OR(J1146=0,AND(J1146=1,K1146=1),AND(J1146=1,I1146="SBJ"),AND(J1146=1,I1146=0)),"?IN_FOCUS",IF(J1146&lt;=2,"?ACTIVATED",IF(J1146&lt;&gt;"","?FAMILIAR",IF(F1146="NEW",IF(ISNA(VLOOKUP(E1146,#REF!,1,FALSE())),"?TYPE_IDENTIFIABLE","?REFERENTIAL"),"_")))))</f>
        <v/>
      </c>
      <c r="H1146" s="23" t="str">
        <f t="shared" ca="1" si="123"/>
        <v/>
      </c>
      <c r="I1146" s="24" t="str">
        <f>IF(OR(E1146="",E1146="!!!",F1146="NEW"),"",INDEX(B$2:B1145,-1+SUMPRODUCT(MAX(ROW(E$2:E1145)*(E1146=E$2:E1145)))))</f>
        <v/>
      </c>
      <c r="J1146" s="24" t="str">
        <f ca="1">IF(OR(E1146="",E1146="!!!",F1146="NEW"),"",COUNTBLANK(OFFSET(A$1,,,SUMPRODUCT(MAX(ROW(E$2:E1146)*(E1146=E$2:E1146)))))-COUNTBLANK(OFFSET(A$1,,,SUMPRODUCT(MAX(ROW(E$1:E1145)*(E2=E$1:E1145))))))</f>
        <v/>
      </c>
      <c r="K1146" s="24" t="str">
        <f>IF(OR(E1146="",E1146="!!!",F1146="NEW"),"",INDEX(J$1:J1145,SUMPRODUCT(MAX(ROW(E$1:E1145)*(E1146=E$1:E1145)))))</f>
        <v/>
      </c>
      <c r="L1146" s="25"/>
    </row>
    <row r="1147" spans="1:12" x14ac:dyDescent="0.3">
      <c r="A1147" t="s">
        <v>583</v>
      </c>
      <c r="E1147" s="20" t="str">
        <f t="shared" si="122"/>
        <v/>
      </c>
      <c r="F1147" s="21" t="str">
        <f>IF(OR(E1147="",E1147="!!!"),"",IF(NOT(ISNA(VLOOKUP(E1147,E$1:E1146,1,FALSE()))),"OLD",IF(AND(E1147&lt;&gt;"",E1147&lt;&gt;"!!!"),"NEW","")))</f>
        <v/>
      </c>
      <c r="G1147" s="22" t="str">
        <f>IF(OR(E1147="",E1147="!!!"),"",IF(OR(J1147=0,AND(J1147=1,K1147=1),AND(J1147=1,I1147="SBJ"),AND(J1147=1,I1147=0)),"?IN_FOCUS",IF(J1147&lt;=2,"?ACTIVATED",IF(J1147&lt;&gt;"","?FAMILIAR",IF(F1147="NEW",IF(ISNA(VLOOKUP(E1147,#REF!,1,FALSE())),"?TYPE_IDENTIFIABLE","?REFERENTIAL"),"_")))))</f>
        <v/>
      </c>
      <c r="H1147" s="23" t="str">
        <f t="shared" ca="1" si="123"/>
        <v/>
      </c>
      <c r="I1147" s="24" t="str">
        <f>IF(OR(E1147="",E1147="!!!",F1147="NEW"),"",INDEX(B$2:B1146,-1+SUMPRODUCT(MAX(ROW(E$2:E1146)*(E1147=E$2:E1146)))))</f>
        <v/>
      </c>
      <c r="J1147" s="24" t="str">
        <f ca="1">IF(OR(E1147="",E1147="!!!",F1147="NEW"),"",COUNTBLANK(OFFSET(A$1,,,SUMPRODUCT(MAX(ROW(E$2:E1147)*(E1147=E$2:E1147)))))-COUNTBLANK(OFFSET(A$1,,,SUMPRODUCT(MAX(ROW(E$1:E1146)*(E2=E$1:E1146))))))</f>
        <v/>
      </c>
      <c r="K1147" s="24" t="str">
        <f>IF(OR(E1147="",E1147="!!!",F1147="NEW"),"",INDEX(J$1:J1146,SUMPRODUCT(MAX(ROW(E$1:E1146)*(E1147=E$1:E1146)))))</f>
        <v/>
      </c>
      <c r="L1147" s="25"/>
    </row>
    <row r="1148" spans="1:12" x14ac:dyDescent="0.3">
      <c r="A1148" t="s">
        <v>278</v>
      </c>
      <c r="E1148" s="20" t="str">
        <f t="shared" si="122"/>
        <v/>
      </c>
      <c r="F1148" s="21" t="str">
        <f>IF(OR(E1148="",E1148="!!!"),"",IF(NOT(ISNA(VLOOKUP(E1148,E$1:E1147,1,FALSE()))),"OLD",IF(AND(E1148&lt;&gt;"",E1148&lt;&gt;"!!!"),"NEW","")))</f>
        <v/>
      </c>
      <c r="G1148" s="22" t="str">
        <f>IF(OR(E1148="",E1148="!!!"),"",IF(OR(J1148=0,AND(J1148=1,K1148=1),AND(J1148=1,I1148="SBJ"),AND(J1148=1,I1148=0)),"?IN_FOCUS",IF(J1148&lt;=2,"?ACTIVATED",IF(J1148&lt;&gt;"","?FAMILIAR",IF(F1148="NEW",IF(ISNA(VLOOKUP(E1148,#REF!,1,FALSE())),"?TYPE_IDENTIFIABLE","?REFERENTIAL"),"_")))))</f>
        <v/>
      </c>
      <c r="H1148" s="23" t="str">
        <f t="shared" ca="1" si="123"/>
        <v/>
      </c>
      <c r="I1148" s="24" t="str">
        <f>IF(OR(E1148="",E1148="!!!",F1148="NEW"),"",INDEX(B$2:B1147,-1+SUMPRODUCT(MAX(ROW(E$2:E1147)*(E1148=E$2:E1147)))))</f>
        <v/>
      </c>
      <c r="J1148" s="24" t="str">
        <f ca="1">IF(OR(E1148="",E1148="!!!",F1148="NEW"),"",COUNTBLANK(OFFSET(A$1,,,SUMPRODUCT(MAX(ROW(E$2:E1148)*(E1148=E$2:E1148)))))-COUNTBLANK(OFFSET(A$1,,,SUMPRODUCT(MAX(ROW(E$1:E1147)*(E2=E$1:E1147))))))</f>
        <v/>
      </c>
      <c r="K1148" s="24" t="str">
        <f>IF(OR(E1148="",E1148="!!!",F1148="NEW"),"",INDEX(J$1:J1147,SUMPRODUCT(MAX(ROW(E$1:E1147)*(E1148=E$1:E1147)))))</f>
        <v/>
      </c>
      <c r="L1148" s="25"/>
    </row>
    <row r="1149" spans="1:12" x14ac:dyDescent="0.3">
      <c r="A1149" t="s">
        <v>252</v>
      </c>
      <c r="E1149" s="20" t="str">
        <f t="shared" si="122"/>
        <v/>
      </c>
      <c r="F1149" s="21" t="str">
        <f>IF(OR(E1149="",E1149="!!!"),"",IF(NOT(ISNA(VLOOKUP(E1149,E$1:E1148,1,FALSE()))),"OLD",IF(AND(E1149&lt;&gt;"",E1149&lt;&gt;"!!!"),"NEW","")))</f>
        <v/>
      </c>
      <c r="G1149" s="22" t="str">
        <f>IF(OR(E1149="",E1149="!!!"),"",IF(OR(J1149=0,AND(J1149=1,K1149=1),AND(J1149=1,I1149="SBJ"),AND(J1149=1,I1149=0)),"?IN_FOCUS",IF(J1149&lt;=2,"?ACTIVATED",IF(J1149&lt;&gt;"","?FAMILIAR",IF(F1149="NEW",IF(ISNA(VLOOKUP(E1149,#REF!,1,FALSE())),"?TYPE_IDENTIFIABLE","?REFERENTIAL"),"_")))))</f>
        <v/>
      </c>
      <c r="H1149" s="23" t="str">
        <f t="shared" ca="1" si="123"/>
        <v/>
      </c>
      <c r="I1149" s="24" t="str">
        <f>IF(OR(E1149="",E1149="!!!",F1149="NEW"),"",INDEX(B$2:B1148,-1+SUMPRODUCT(MAX(ROW(E$2:E1148)*(E1149=E$2:E1148)))))</f>
        <v/>
      </c>
      <c r="J1149" s="24" t="str">
        <f ca="1">IF(OR(E1149="",E1149="!!!",F1149="NEW"),"",COUNTBLANK(OFFSET(A$1,,,SUMPRODUCT(MAX(ROW(E$2:E1149)*(E1149=E$2:E1149)))))-COUNTBLANK(OFFSET(A$1,,,SUMPRODUCT(MAX(ROW(E$1:E1148)*(E2=E$1:E1148))))))</f>
        <v/>
      </c>
      <c r="K1149" s="24" t="str">
        <f>IF(OR(E1149="",E1149="!!!",F1149="NEW"),"",INDEX(J$1:J1148,SUMPRODUCT(MAX(ROW(E$1:E1148)*(E1149=E$1:E1148)))))</f>
        <v/>
      </c>
      <c r="L1149" s="25"/>
    </row>
    <row r="1150" spans="1:12" x14ac:dyDescent="0.3">
      <c r="A1150" t="s">
        <v>628</v>
      </c>
      <c r="E1150" s="20" t="str">
        <f t="shared" si="122"/>
        <v/>
      </c>
      <c r="F1150" s="21" t="str">
        <f>IF(OR(E1150="",E1150="!!!"),"",IF(NOT(ISNA(VLOOKUP(E1150,E$1:E1149,1,FALSE()))),"OLD",IF(AND(E1150&lt;&gt;"",E1150&lt;&gt;"!!!"),"NEW","")))</f>
        <v/>
      </c>
      <c r="G1150" s="22" t="str">
        <f>IF(OR(E1150="",E1150="!!!"),"",IF(OR(J1150=0,AND(J1150=1,K1150=1),AND(J1150=1,I1150="SBJ"),AND(J1150=1,I1150=0)),"?IN_FOCUS",IF(J1150&lt;=2,"?ACTIVATED",IF(J1150&lt;&gt;"","?FAMILIAR",IF(F1150="NEW",IF(ISNA(VLOOKUP(E1150,#REF!,1,FALSE())),"?TYPE_IDENTIFIABLE","?REFERENTIAL"),"_")))))</f>
        <v/>
      </c>
      <c r="H1150" s="23" t="str">
        <f t="shared" ca="1" si="123"/>
        <v/>
      </c>
      <c r="I1150" s="24" t="str">
        <f>IF(OR(E1150="",E1150="!!!",F1150="NEW"),"",INDEX(B$2:B1149,-1+SUMPRODUCT(MAX(ROW(E$2:E1149)*(E1150=E$2:E1149)))))</f>
        <v/>
      </c>
      <c r="J1150" s="24" t="str">
        <f ca="1">IF(OR(E1150="",E1150="!!!",F1150="NEW"),"",COUNTBLANK(OFFSET(A$1,,,SUMPRODUCT(MAX(ROW(E$2:E1150)*(E1150=E$2:E1150)))))-COUNTBLANK(OFFSET(A$1,,,SUMPRODUCT(MAX(ROW(E$1:E1149)*(E2=E$1:E1149))))))</f>
        <v/>
      </c>
      <c r="K1150" s="24" t="str">
        <f>IF(OR(E1150="",E1150="!!!",F1150="NEW"),"",INDEX(J$1:J1149,SUMPRODUCT(MAX(ROW(E$1:E1149)*(E1150=E$1:E1149)))))</f>
        <v/>
      </c>
      <c r="L1150" s="25"/>
    </row>
    <row r="1151" spans="1:12" x14ac:dyDescent="0.3">
      <c r="A1151" t="s">
        <v>431</v>
      </c>
      <c r="E1151" s="20" t="str">
        <f t="shared" si="122"/>
        <v/>
      </c>
      <c r="F1151" s="21" t="str">
        <f>IF(OR(E1151="",E1151="!!!"),"",IF(NOT(ISNA(VLOOKUP(E1151,E$1:E1150,1,FALSE()))),"OLD",IF(AND(E1151&lt;&gt;"",E1151&lt;&gt;"!!!"),"NEW","")))</f>
        <v/>
      </c>
      <c r="G1151" s="22" t="str">
        <f>IF(OR(E1151="",E1151="!!!"),"",IF(OR(J1151=0,AND(J1151=1,K1151=1),AND(J1151=1,I1151="SBJ"),AND(J1151=1,I1151=0)),"?IN_FOCUS",IF(J1151&lt;=2,"?ACTIVATED",IF(J1151&lt;&gt;"","?FAMILIAR",IF(F1151="NEW",IF(ISNA(VLOOKUP(E1151,#REF!,1,FALSE())),"?TYPE_IDENTIFIABLE","?REFERENTIAL"),"_")))))</f>
        <v/>
      </c>
      <c r="H1151" s="23" t="str">
        <f t="shared" ca="1" si="123"/>
        <v/>
      </c>
      <c r="I1151" s="24" t="str">
        <f>IF(OR(E1151="",E1151="!!!",F1151="NEW"),"",INDEX(B$2:B1150,-1+SUMPRODUCT(MAX(ROW(E$2:E1150)*(E1151=E$2:E1150)))))</f>
        <v/>
      </c>
      <c r="J1151" s="24" t="str">
        <f ca="1">IF(OR(E1151="",E1151="!!!",F1151="NEW"),"",COUNTBLANK(OFFSET(A$1,,,SUMPRODUCT(MAX(ROW(E$2:E1151)*(E1151=E$2:E1151)))))-COUNTBLANK(OFFSET(A$1,,,SUMPRODUCT(MAX(ROW(E$1:E1150)*(E2=E$1:E1150))))))</f>
        <v/>
      </c>
      <c r="K1151" s="24" t="str">
        <f>IF(OR(E1151="",E1151="!!!",F1151="NEW"),"",INDEX(J$1:J1150,SUMPRODUCT(MAX(ROW(E$1:E1150)*(E1151=E$1:E1150)))))</f>
        <v/>
      </c>
      <c r="L1151" s="25"/>
    </row>
    <row r="1152" spans="1:12" x14ac:dyDescent="0.3">
      <c r="A1152" t="s">
        <v>252</v>
      </c>
      <c r="E1152" s="20" t="str">
        <f t="shared" si="122"/>
        <v/>
      </c>
      <c r="F1152" s="21" t="str">
        <f>IF(OR(E1152="",E1152="!!!"),"",IF(NOT(ISNA(VLOOKUP(E1152,E$1:E1151,1,FALSE()))),"OLD",IF(AND(E1152&lt;&gt;"",E1152&lt;&gt;"!!!"),"NEW","")))</f>
        <v/>
      </c>
      <c r="G1152" s="22" t="str">
        <f>IF(OR(E1152="",E1152="!!!"),"",IF(OR(J1152=0,AND(J1152=1,K1152=1),AND(J1152=1,I1152="SBJ"),AND(J1152=1,I1152=0)),"?IN_FOCUS",IF(J1152&lt;=2,"?ACTIVATED",IF(J1152&lt;&gt;"","?FAMILIAR",IF(F1152="NEW",IF(ISNA(VLOOKUP(E1152,#REF!,1,FALSE())),"?TYPE_IDENTIFIABLE","?REFERENTIAL"),"_")))))</f>
        <v/>
      </c>
      <c r="H1152" s="23" t="str">
        <f t="shared" ca="1" si="123"/>
        <v/>
      </c>
      <c r="I1152" s="24" t="str">
        <f>IF(OR(E1152="",E1152="!!!",F1152="NEW"),"",INDEX(B$2:B1151,-1+SUMPRODUCT(MAX(ROW(E$2:E1151)*(E1152=E$2:E1151)))))</f>
        <v/>
      </c>
      <c r="J1152" s="24" t="str">
        <f ca="1">IF(OR(E1152="",E1152="!!!",F1152="NEW"),"",COUNTBLANK(OFFSET(A$1,,,SUMPRODUCT(MAX(ROW(E$2:E1152)*(E1152=E$2:E1152)))))-COUNTBLANK(OFFSET(A$1,,,SUMPRODUCT(MAX(ROW(E$1:E1151)*(E2=E$1:E1151))))))</f>
        <v/>
      </c>
      <c r="K1152" s="24" t="str">
        <f>IF(OR(E1152="",E1152="!!!",F1152="NEW"),"",INDEX(J$1:J1151,SUMPRODUCT(MAX(ROW(E$1:E1151)*(E1152=E$1:E1151)))))</f>
        <v/>
      </c>
      <c r="L1152" s="25"/>
    </row>
    <row r="1153" spans="1:12" x14ac:dyDescent="0.3">
      <c r="A1153" t="s">
        <v>321</v>
      </c>
      <c r="E1153" s="20" t="str">
        <f t="shared" si="122"/>
        <v/>
      </c>
      <c r="F1153" s="21" t="str">
        <f>IF(OR(E1153="",E1153="!!!"),"",IF(NOT(ISNA(VLOOKUP(E1153,E$1:E1152,1,FALSE()))),"OLD",IF(AND(E1153&lt;&gt;"",E1153&lt;&gt;"!!!"),"NEW","")))</f>
        <v/>
      </c>
      <c r="G1153" s="22" t="str">
        <f>IF(OR(E1153="",E1153="!!!"),"",IF(OR(J1153=0,AND(J1153=1,K1153=1),AND(J1153=1,I1153="SBJ"),AND(J1153=1,I1153=0)),"?IN_FOCUS",IF(J1153&lt;=2,"?ACTIVATED",IF(J1153&lt;&gt;"","?FAMILIAR",IF(F1153="NEW",IF(ISNA(VLOOKUP(E1153,#REF!,1,FALSE())),"?TYPE_IDENTIFIABLE","?REFERENTIAL"),"_")))))</f>
        <v/>
      </c>
      <c r="H1153" s="23" t="str">
        <f t="shared" ca="1" si="123"/>
        <v/>
      </c>
      <c r="I1153" s="24" t="str">
        <f>IF(OR(E1153="",E1153="!!!",F1153="NEW"),"",INDEX(B$2:B1152,-1+SUMPRODUCT(MAX(ROW(E$2:E1152)*(E1153=E$2:E1152)))))</f>
        <v/>
      </c>
      <c r="J1153" s="24" t="str">
        <f ca="1">IF(OR(E1153="",E1153="!!!",F1153="NEW"),"",COUNTBLANK(OFFSET(A$1,,,SUMPRODUCT(MAX(ROW(E$2:E1153)*(E1153=E$2:E1153)))))-COUNTBLANK(OFFSET(A$1,,,SUMPRODUCT(MAX(ROW(E$1:E1152)*(E2=E$1:E1152))))))</f>
        <v/>
      </c>
      <c r="K1153" s="24" t="str">
        <f>IF(OR(E1153="",E1153="!!!",F1153="NEW"),"",INDEX(J$1:J1152,SUMPRODUCT(MAX(ROW(E$1:E1152)*(E1153=E$1:E1152)))))</f>
        <v/>
      </c>
      <c r="L1153" s="25"/>
    </row>
    <row r="1154" spans="1:12" x14ac:dyDescent="0.3">
      <c r="A1154" t="s">
        <v>716</v>
      </c>
      <c r="E1154" s="20" t="str">
        <f t="shared" si="122"/>
        <v/>
      </c>
      <c r="F1154" s="21" t="str">
        <f>IF(OR(E1154="",E1154="!!!"),"",IF(NOT(ISNA(VLOOKUP(E1154,E$1:E1153,1,FALSE()))),"OLD",IF(AND(E1154&lt;&gt;"",E1154&lt;&gt;"!!!"),"NEW","")))</f>
        <v/>
      </c>
      <c r="G1154" s="22" t="str">
        <f>IF(OR(E1154="",E1154="!!!"),"",IF(OR(J1154=0,AND(J1154=1,K1154=1),AND(J1154=1,I1154="SBJ"),AND(J1154=1,I1154=0)),"?IN_FOCUS",IF(J1154&lt;=2,"?ACTIVATED",IF(J1154&lt;&gt;"","?FAMILIAR",IF(F1154="NEW",IF(ISNA(VLOOKUP(E1154,#REF!,1,FALSE())),"?TYPE_IDENTIFIABLE","?REFERENTIAL"),"_")))))</f>
        <v/>
      </c>
      <c r="H1154" s="23" t="str">
        <f t="shared" ca="1" si="123"/>
        <v/>
      </c>
      <c r="I1154" s="24" t="str">
        <f>IF(OR(E1154="",E1154="!!!",F1154="NEW"),"",INDEX(B$2:B1153,-1+SUMPRODUCT(MAX(ROW(E$2:E1153)*(E1154=E$2:E1153)))))</f>
        <v/>
      </c>
      <c r="J1154" s="24" t="str">
        <f ca="1">IF(OR(E1154="",E1154="!!!",F1154="NEW"),"",COUNTBLANK(OFFSET(A$1,,,SUMPRODUCT(MAX(ROW(E$2:E1154)*(E1154=E$2:E1154)))))-COUNTBLANK(OFFSET(A$1,,,SUMPRODUCT(MAX(ROW(E$1:E1153)*(E2=E$1:E1153))))))</f>
        <v/>
      </c>
      <c r="K1154" s="24" t="str">
        <f>IF(OR(E1154="",E1154="!!!",F1154="NEW"),"",INDEX(J$1:J1153,SUMPRODUCT(MAX(ROW(E$1:E1153)*(E1154=E$1:E1153)))))</f>
        <v/>
      </c>
      <c r="L1154" s="25"/>
    </row>
    <row r="1155" spans="1:12" x14ac:dyDescent="0.3">
      <c r="A1155" t="s">
        <v>581</v>
      </c>
      <c r="B1155" s="26" t="s">
        <v>265</v>
      </c>
      <c r="C1155" s="26" t="s">
        <v>262</v>
      </c>
      <c r="E1155" s="20" t="str">
        <f t="shared" si="122"/>
        <v/>
      </c>
      <c r="F1155" s="21" t="str">
        <f>IF(OR(E1155="",E1155="!!!"),"",IF(NOT(ISNA(VLOOKUP(E1155,E$1:E1154,1,FALSE()))),"OLD",IF(AND(E1155&lt;&gt;"",E1155&lt;&gt;"!!!"),"NEW","")))</f>
        <v/>
      </c>
      <c r="G1155" s="22" t="str">
        <f>IF(OR(E1155="",E1155="!!!"),"",IF(OR(J1155=0,AND(J1155=1,K1155=1),AND(J1155=1,I1155="SBJ"),AND(J1155=1,I1155=0)),"?IN_FOCUS",IF(J1155&lt;=2,"?ACTIVATED",IF(J1155&lt;&gt;"","?FAMILIAR",IF(F1155="NEW",IF(ISNA(VLOOKUP(E1155,#REF!,1,FALSE())),"?TYPE_IDENTIFIABLE","?REFERENTIAL"),"_")))))</f>
        <v/>
      </c>
      <c r="H1155" s="23" t="str">
        <f t="shared" ca="1" si="123"/>
        <v/>
      </c>
      <c r="I1155" s="24" t="str">
        <f>IF(OR(E1155="",E1155="!!!",F1155="NEW"),"",INDEX(B$2:B1154,-1+SUMPRODUCT(MAX(ROW(E$2:E1154)*(E1155=E$2:E1154)))))</f>
        <v/>
      </c>
      <c r="J1155" s="24" t="str">
        <f ca="1">IF(OR(E1155="",E1155="!!!",F1155="NEW"),"",COUNTBLANK(OFFSET(A$1,,,SUMPRODUCT(MAX(ROW(E$2:E1155)*(E1155=E$2:E1155)))))-COUNTBLANK(OFFSET(A$1,,,SUMPRODUCT(MAX(ROW(E$1:E1154)*(E2=E$1:E1154))))))</f>
        <v/>
      </c>
      <c r="K1155" s="24" t="str">
        <f>IF(OR(E1155="",E1155="!!!",F1155="NEW"),"",INDEX(J$1:J1154,SUMPRODUCT(MAX(ROW(E$1:E1154)*(E1155=E$1:E1154)))))</f>
        <v/>
      </c>
      <c r="L1155" s="25"/>
    </row>
    <row r="1156" spans="1:12" x14ac:dyDescent="0.3">
      <c r="A1156" t="s">
        <v>717</v>
      </c>
      <c r="E1156" s="20" t="str">
        <f t="shared" si="122"/>
        <v/>
      </c>
      <c r="F1156" s="21" t="str">
        <f>IF(OR(E1156="",E1156="!!!"),"",IF(NOT(ISNA(VLOOKUP(E1156,E$1:E1155,1,FALSE()))),"OLD",IF(AND(E1156&lt;&gt;"",E1156&lt;&gt;"!!!"),"NEW","")))</f>
        <v/>
      </c>
      <c r="G1156" s="22" t="str">
        <f>IF(OR(E1156="",E1156="!!!"),"",IF(OR(J1156=0,AND(J1156=1,K1156=1),AND(J1156=1,I1156="SBJ"),AND(J1156=1,I1156=0)),"?IN_FOCUS",IF(J1156&lt;=2,"?ACTIVATED",IF(J1156&lt;&gt;"","?FAMILIAR",IF(F1156="NEW",IF(ISNA(VLOOKUP(E1156,#REF!,1,FALSE())),"?TYPE_IDENTIFIABLE","?REFERENTIAL"),"_")))))</f>
        <v/>
      </c>
      <c r="H1156" s="23" t="str">
        <f t="shared" ca="1" si="123"/>
        <v/>
      </c>
      <c r="I1156" s="24" t="str">
        <f>IF(OR(E1156="",E1156="!!!",F1156="NEW"),"",INDEX(B$2:B1155,-1+SUMPRODUCT(MAX(ROW(E$2:E1155)*(E1156=E$2:E1155)))))</f>
        <v/>
      </c>
      <c r="J1156" s="24" t="str">
        <f ca="1">IF(OR(E1156="",E1156="!!!",F1156="NEW"),"",COUNTBLANK(OFFSET(A$1,,,SUMPRODUCT(MAX(ROW(E$2:E1156)*(E1156=E$2:E1156)))))-COUNTBLANK(OFFSET(A$1,,,SUMPRODUCT(MAX(ROW(E$1:E1155)*(E2=E$1:E1155))))))</f>
        <v/>
      </c>
      <c r="K1156" s="24" t="str">
        <f>IF(OR(E1156="",E1156="!!!",F1156="NEW"),"",INDEX(J$1:J1155,SUMPRODUCT(MAX(ROW(E$1:E1155)*(E1156=E$1:E1155)))))</f>
        <v/>
      </c>
      <c r="L1156" s="25"/>
    </row>
    <row r="1157" spans="1:12" x14ac:dyDescent="0.3">
      <c r="A1157" t="s">
        <v>248</v>
      </c>
      <c r="E1157" s="20" t="str">
        <f t="shared" si="122"/>
        <v/>
      </c>
      <c r="F1157" s="21" t="str">
        <f>IF(OR(E1157="",E1157="!!!"),"",IF(NOT(ISNA(VLOOKUP(E1157,E$1:E1156,1,FALSE()))),"OLD",IF(AND(E1157&lt;&gt;"",E1157&lt;&gt;"!!!"),"NEW","")))</f>
        <v/>
      </c>
      <c r="G1157" s="22" t="str">
        <f>IF(OR(E1157="",E1157="!!!"),"",IF(OR(J1157=0,AND(J1157=1,K1157=1),AND(J1157=1,I1157="SBJ"),AND(J1157=1,I1157=0)),"?IN_FOCUS",IF(J1157&lt;=2,"?ACTIVATED",IF(J1157&lt;&gt;"","?FAMILIAR",IF(F1157="NEW",IF(ISNA(VLOOKUP(E1157,#REF!,1,FALSE())),"?TYPE_IDENTIFIABLE","?REFERENTIAL"),"_")))))</f>
        <v/>
      </c>
      <c r="H1157" s="23" t="str">
        <f t="shared" ca="1" si="123"/>
        <v/>
      </c>
      <c r="I1157" s="24" t="str">
        <f>IF(OR(E1157="",E1157="!!!",F1157="NEW"),"",INDEX(B$2:B1156,-1+SUMPRODUCT(MAX(ROW(E$2:E1156)*(E1157=E$2:E1156)))))</f>
        <v/>
      </c>
      <c r="J1157" s="24" t="str">
        <f ca="1">IF(OR(E1157="",E1157="!!!",F1157="NEW"),"",COUNTBLANK(OFFSET(A$1,,,SUMPRODUCT(MAX(ROW(E$2:E1157)*(E1157=E$2:E1157)))))-COUNTBLANK(OFFSET(A$1,,,SUMPRODUCT(MAX(ROW(E$1:E1156)*(E2=E$1:E1156))))))</f>
        <v/>
      </c>
      <c r="K1157" s="24" t="str">
        <f>IF(OR(E1157="",E1157="!!!",F1157="NEW"),"",INDEX(J$1:J1156,SUMPRODUCT(MAX(ROW(E$1:E1156)*(E1157=E$1:E1156)))))</f>
        <v/>
      </c>
      <c r="L1157" s="25"/>
    </row>
    <row r="1159" spans="1:12" x14ac:dyDescent="0.3">
      <c r="A1159" t="s">
        <v>718</v>
      </c>
    </row>
    <row r="1160" spans="1:12" x14ac:dyDescent="0.3">
      <c r="A1160" t="s">
        <v>606</v>
      </c>
      <c r="B1160" s="26" t="s">
        <v>238</v>
      </c>
      <c r="C1160" s="26" t="s">
        <v>294</v>
      </c>
      <c r="D1160" s="26" t="s">
        <v>240</v>
      </c>
      <c r="E1160" s="20" t="str">
        <f t="shared" ref="E1160:E1169" si="124">IF(D1160="?OLD","!!!","")</f>
        <v>!!!</v>
      </c>
      <c r="F1160" s="21" t="str">
        <f>IF(OR(E1160="",E1160="!!!"),"",IF(NOT(ISNA(VLOOKUP(E1160,E$1:E1159,1,FALSE()))),"OLD",IF(AND(E1160&lt;&gt;"",E1160&lt;&gt;"!!!"),"NEW","")))</f>
        <v/>
      </c>
      <c r="G1160" s="22" t="str">
        <f>IF(OR(E1160="",E1160="!!!"),"",IF(OR(J1160=0,AND(J1160=1,K1160=1),AND(J1160=1,I1160="SBJ"),AND(J1160=1,I1160=0)),"?IN_FOCUS",IF(J1160&lt;=2,"?ACTIVATED",IF(J1160&lt;&gt;"","?FAMILIAR",IF(F1160="NEW",IF(ISNA(VLOOKUP(E1160,#REF!,1,FALSE())),"?TYPE_IDENTIFIABLE","?REFERENTIAL"),"_")))))</f>
        <v/>
      </c>
      <c r="H1160" s="23" t="str">
        <f t="shared" ref="H1160:H1169" ca="1" si="125">IF(J1160&lt;&gt;1,"",IF(I1160="SBJ","CB","?"))</f>
        <v/>
      </c>
      <c r="I1160" s="24" t="str">
        <f>IF(OR(E1160="",E1160="!!!",F1160="NEW"),"",INDEX(B$2:B1159,-1+SUMPRODUCT(MAX(ROW(E$2:E1159)*(E1160=E$2:E1159)))))</f>
        <v/>
      </c>
      <c r="J1160" s="24" t="str">
        <f ca="1">IF(OR(E1160="",E1160="!!!",F1160="NEW"),"",COUNTBLANK(OFFSET(A$1,,,SUMPRODUCT(MAX(ROW(E$2:E1160)*(E1160=E$2:E1160)))))-COUNTBLANK(OFFSET(A$1,,,SUMPRODUCT(MAX(ROW(E$1:E1159)*(E2=E$1:E1159))))))</f>
        <v/>
      </c>
      <c r="K1160" s="24" t="str">
        <f>IF(OR(E1160="",E1160="!!!",F1160="NEW"),"",INDEX(J$1:J1159,SUMPRODUCT(MAX(ROW(E$1:E1159)*(E1160=E$1:E1159)))))</f>
        <v/>
      </c>
      <c r="L1160" s="25"/>
    </row>
    <row r="1161" spans="1:12" x14ac:dyDescent="0.3">
      <c r="A1161" t="s">
        <v>252</v>
      </c>
      <c r="E1161" s="20" t="str">
        <f t="shared" si="124"/>
        <v/>
      </c>
      <c r="F1161" s="21" t="str">
        <f>IF(OR(E1161="",E1161="!!!"),"",IF(NOT(ISNA(VLOOKUP(E1161,E$1:E1160,1,FALSE()))),"OLD",IF(AND(E1161&lt;&gt;"",E1161&lt;&gt;"!!!"),"NEW","")))</f>
        <v/>
      </c>
      <c r="G1161" s="22" t="str">
        <f>IF(OR(E1161="",E1161="!!!"),"",IF(OR(J1161=0,AND(J1161=1,K1161=1),AND(J1161=1,I1161="SBJ"),AND(J1161=1,I1161=0)),"?IN_FOCUS",IF(J1161&lt;=2,"?ACTIVATED",IF(J1161&lt;&gt;"","?FAMILIAR",IF(F1161="NEW",IF(ISNA(VLOOKUP(E1161,#REF!,1,FALSE())),"?TYPE_IDENTIFIABLE","?REFERENTIAL"),"_")))))</f>
        <v/>
      </c>
      <c r="H1161" s="23" t="str">
        <f t="shared" ca="1" si="125"/>
        <v/>
      </c>
      <c r="I1161" s="24" t="str">
        <f>IF(OR(E1161="",E1161="!!!",F1161="NEW"),"",INDEX(B$2:B1160,-1+SUMPRODUCT(MAX(ROW(E$2:E1160)*(E1161=E$2:E1160)))))</f>
        <v/>
      </c>
      <c r="J1161" s="24" t="str">
        <f ca="1">IF(OR(E1161="",E1161="!!!",F1161="NEW"),"",COUNTBLANK(OFFSET(A$1,,,SUMPRODUCT(MAX(ROW(E$2:E1161)*(E1161=E$2:E1161)))))-COUNTBLANK(OFFSET(A$1,,,SUMPRODUCT(MAX(ROW(E$1:E1160)*(E2=E$1:E1160))))))</f>
        <v/>
      </c>
      <c r="K1161" s="24" t="str">
        <f>IF(OR(E1161="",E1161="!!!",F1161="NEW"),"",INDEX(J$1:J1160,SUMPRODUCT(MAX(ROW(E$1:E1160)*(E1161=E$1:E1160)))))</f>
        <v/>
      </c>
      <c r="L1161" s="25"/>
    </row>
    <row r="1162" spans="1:12" x14ac:dyDescent="0.3">
      <c r="A1162" t="s">
        <v>254</v>
      </c>
      <c r="B1162" s="26" t="s">
        <v>255</v>
      </c>
      <c r="C1162" s="26" t="s">
        <v>256</v>
      </c>
      <c r="D1162" s="26" t="s">
        <v>240</v>
      </c>
      <c r="E1162" s="20" t="str">
        <f t="shared" si="124"/>
        <v>!!!</v>
      </c>
      <c r="F1162" s="21" t="str">
        <f>IF(OR(E1162="",E1162="!!!"),"",IF(NOT(ISNA(VLOOKUP(E1162,E$1:E1161,1,FALSE()))),"OLD",IF(AND(E1162&lt;&gt;"",E1162&lt;&gt;"!!!"),"NEW","")))</f>
        <v/>
      </c>
      <c r="G1162" s="22" t="str">
        <f>IF(OR(E1162="",E1162="!!!"),"",IF(OR(J1162=0,AND(J1162=1,K1162=1),AND(J1162=1,I1162="SBJ"),AND(J1162=1,I1162=0)),"?IN_FOCUS",IF(J1162&lt;=2,"?ACTIVATED",IF(J1162&lt;&gt;"","?FAMILIAR",IF(F1162="NEW",IF(ISNA(VLOOKUP(E1162,#REF!,1,FALSE())),"?TYPE_IDENTIFIABLE","?REFERENTIAL"),"_")))))</f>
        <v/>
      </c>
      <c r="H1162" s="23" t="str">
        <f t="shared" ca="1" si="125"/>
        <v/>
      </c>
      <c r="I1162" s="24" t="str">
        <f>IF(OR(E1162="",E1162="!!!",F1162="NEW"),"",INDEX(B$2:B1161,-1+SUMPRODUCT(MAX(ROW(E$2:E1161)*(E1162=E$2:E1161)))))</f>
        <v/>
      </c>
      <c r="J1162" s="24" t="str">
        <f ca="1">IF(OR(E1162="",E1162="!!!",F1162="NEW"),"",COUNTBLANK(OFFSET(A$1,,,SUMPRODUCT(MAX(ROW(E$2:E1162)*(E1162=E$2:E1162)))))-COUNTBLANK(OFFSET(A$1,,,SUMPRODUCT(MAX(ROW(E$1:E1161)*(E2=E$1:E1161))))))</f>
        <v/>
      </c>
      <c r="K1162" s="24" t="str">
        <f>IF(OR(E1162="",E1162="!!!",F1162="NEW"),"",INDEX(J$1:J1161,SUMPRODUCT(MAX(ROW(E$1:E1161)*(E1162=E$1:E1161)))))</f>
        <v/>
      </c>
      <c r="L1162" s="25"/>
    </row>
    <row r="1163" spans="1:12" x14ac:dyDescent="0.3">
      <c r="A1163" t="s">
        <v>719</v>
      </c>
      <c r="E1163" s="20" t="str">
        <f t="shared" si="124"/>
        <v/>
      </c>
      <c r="F1163" s="21" t="str">
        <f>IF(OR(E1163="",E1163="!!!"),"",IF(NOT(ISNA(VLOOKUP(E1163,E$1:E1162,1,FALSE()))),"OLD",IF(AND(E1163&lt;&gt;"",E1163&lt;&gt;"!!!"),"NEW","")))</f>
        <v/>
      </c>
      <c r="G1163" s="22" t="str">
        <f>IF(OR(E1163="",E1163="!!!"),"",IF(OR(J1163=0,AND(J1163=1,K1163=1),AND(J1163=1,I1163="SBJ"),AND(J1163=1,I1163=0)),"?IN_FOCUS",IF(J1163&lt;=2,"?ACTIVATED",IF(J1163&lt;&gt;"","?FAMILIAR",IF(F1163="NEW",IF(ISNA(VLOOKUP(E1163,#REF!,1,FALSE())),"?TYPE_IDENTIFIABLE","?REFERENTIAL"),"_")))))</f>
        <v/>
      </c>
      <c r="H1163" s="23" t="str">
        <f t="shared" ca="1" si="125"/>
        <v/>
      </c>
      <c r="I1163" s="24" t="str">
        <f>IF(OR(E1163="",E1163="!!!",F1163="NEW"),"",INDEX(B$2:B1162,-1+SUMPRODUCT(MAX(ROW(E$2:E1162)*(E1163=E$2:E1162)))))</f>
        <v/>
      </c>
      <c r="J1163" s="24" t="str">
        <f ca="1">IF(OR(E1163="",E1163="!!!",F1163="NEW"),"",COUNTBLANK(OFFSET(A$1,,,SUMPRODUCT(MAX(ROW(E$2:E1163)*(E1163=E$2:E1163)))))-COUNTBLANK(OFFSET(A$1,,,SUMPRODUCT(MAX(ROW(E$1:E1162)*(E2=E$1:E1162))))))</f>
        <v/>
      </c>
      <c r="K1163" s="24" t="str">
        <f>IF(OR(E1163="",E1163="!!!",F1163="NEW"),"",INDEX(J$1:J1162,SUMPRODUCT(MAX(ROW(E$1:E1162)*(E1163=E$1:E1162)))))</f>
        <v/>
      </c>
      <c r="L1163" s="25"/>
    </row>
    <row r="1164" spans="1:12" x14ac:dyDescent="0.3">
      <c r="A1164" t="s">
        <v>303</v>
      </c>
      <c r="E1164" s="20" t="str">
        <f t="shared" si="124"/>
        <v/>
      </c>
      <c r="F1164" s="21" t="str">
        <f>IF(OR(E1164="",E1164="!!!"),"",IF(NOT(ISNA(VLOOKUP(E1164,E$1:E1163,1,FALSE()))),"OLD",IF(AND(E1164&lt;&gt;"",E1164&lt;&gt;"!!!"),"NEW","")))</f>
        <v/>
      </c>
      <c r="G1164" s="22" t="str">
        <f>IF(OR(E1164="",E1164="!!!"),"",IF(OR(J1164=0,AND(J1164=1,K1164=1),AND(J1164=1,I1164="SBJ"),AND(J1164=1,I1164=0)),"?IN_FOCUS",IF(J1164&lt;=2,"?ACTIVATED",IF(J1164&lt;&gt;"","?FAMILIAR",IF(F1164="NEW",IF(ISNA(VLOOKUP(E1164,#REF!,1,FALSE())),"?TYPE_IDENTIFIABLE","?REFERENTIAL"),"_")))))</f>
        <v/>
      </c>
      <c r="H1164" s="23" t="str">
        <f t="shared" ca="1" si="125"/>
        <v/>
      </c>
      <c r="I1164" s="24" t="str">
        <f>IF(OR(E1164="",E1164="!!!",F1164="NEW"),"",INDEX(B$2:B1163,-1+SUMPRODUCT(MAX(ROW(E$2:E1163)*(E1164=E$2:E1163)))))</f>
        <v/>
      </c>
      <c r="J1164" s="24" t="str">
        <f ca="1">IF(OR(E1164="",E1164="!!!",F1164="NEW"),"",COUNTBLANK(OFFSET(A$1,,,SUMPRODUCT(MAX(ROW(E$2:E1164)*(E1164=E$2:E1164)))))-COUNTBLANK(OFFSET(A$1,,,SUMPRODUCT(MAX(ROW(E$1:E1163)*(E2=E$1:E1163))))))</f>
        <v/>
      </c>
      <c r="K1164" s="24" t="str">
        <f>IF(OR(E1164="",E1164="!!!",F1164="NEW"),"",INDEX(J$1:J1163,SUMPRODUCT(MAX(ROW(E$1:E1163)*(E1164=E$1:E1163)))))</f>
        <v/>
      </c>
      <c r="L1164" s="25"/>
    </row>
    <row r="1165" spans="1:12" x14ac:dyDescent="0.3">
      <c r="A1165" t="s">
        <v>246</v>
      </c>
      <c r="B1165" s="26" t="s">
        <v>265</v>
      </c>
      <c r="C1165" s="26" t="s">
        <v>239</v>
      </c>
      <c r="D1165" s="26" t="s">
        <v>240</v>
      </c>
      <c r="E1165" s="20" t="str">
        <f t="shared" si="124"/>
        <v>!!!</v>
      </c>
      <c r="F1165" s="21" t="str">
        <f>IF(OR(E1165="",E1165="!!!"),"",IF(NOT(ISNA(VLOOKUP(E1165,E$1:E1164,1,FALSE()))),"OLD",IF(AND(E1165&lt;&gt;"",E1165&lt;&gt;"!!!"),"NEW","")))</f>
        <v/>
      </c>
      <c r="G1165" s="22" t="str">
        <f>IF(OR(E1165="",E1165="!!!"),"",IF(OR(J1165=0,AND(J1165=1,K1165=1),AND(J1165=1,I1165="SBJ"),AND(J1165=1,I1165=0)),"?IN_FOCUS",IF(J1165&lt;=2,"?ACTIVATED",IF(J1165&lt;&gt;"","?FAMILIAR",IF(F1165="NEW",IF(ISNA(VLOOKUP(E1165,#REF!,1,FALSE())),"?TYPE_IDENTIFIABLE","?REFERENTIAL"),"_")))))</f>
        <v/>
      </c>
      <c r="H1165" s="23" t="str">
        <f t="shared" ca="1" si="125"/>
        <v/>
      </c>
      <c r="I1165" s="24" t="str">
        <f>IF(OR(E1165="",E1165="!!!",F1165="NEW"),"",INDEX(B$2:B1164,-1+SUMPRODUCT(MAX(ROW(E$2:E1164)*(E1165=E$2:E1164)))))</f>
        <v/>
      </c>
      <c r="J1165" s="24" t="str">
        <f ca="1">IF(OR(E1165="",E1165="!!!",F1165="NEW"),"",COUNTBLANK(OFFSET(A$1,,,SUMPRODUCT(MAX(ROW(E$2:E1165)*(E1165=E$2:E1165)))))-COUNTBLANK(OFFSET(A$1,,,SUMPRODUCT(MAX(ROW(E$1:E1164)*(E2=E$1:E1164))))))</f>
        <v/>
      </c>
      <c r="K1165" s="24" t="str">
        <f>IF(OR(E1165="",E1165="!!!",F1165="NEW"),"",INDEX(J$1:J1164,SUMPRODUCT(MAX(ROW(E$1:E1164)*(E1165=E$1:E1164)))))</f>
        <v/>
      </c>
      <c r="L1165" s="25"/>
    </row>
    <row r="1166" spans="1:12" x14ac:dyDescent="0.3">
      <c r="A1166" t="s">
        <v>257</v>
      </c>
      <c r="E1166" s="20" t="str">
        <f t="shared" si="124"/>
        <v/>
      </c>
      <c r="F1166" s="21" t="str">
        <f>IF(OR(E1166="",E1166="!!!"),"",IF(NOT(ISNA(VLOOKUP(E1166,E$1:E1165,1,FALSE()))),"OLD",IF(AND(E1166&lt;&gt;"",E1166&lt;&gt;"!!!"),"NEW","")))</f>
        <v/>
      </c>
      <c r="G1166" s="22" t="str">
        <f>IF(OR(E1166="",E1166="!!!"),"",IF(OR(J1166=0,AND(J1166=1,K1166=1),AND(J1166=1,I1166="SBJ"),AND(J1166=1,I1166=0)),"?IN_FOCUS",IF(J1166&lt;=2,"?ACTIVATED",IF(J1166&lt;&gt;"","?FAMILIAR",IF(F1166="NEW",IF(ISNA(VLOOKUP(E1166,#REF!,1,FALSE())),"?TYPE_IDENTIFIABLE","?REFERENTIAL"),"_")))))</f>
        <v/>
      </c>
      <c r="H1166" s="23" t="str">
        <f t="shared" ca="1" si="125"/>
        <v/>
      </c>
      <c r="I1166" s="24" t="str">
        <f>IF(OR(E1166="",E1166="!!!",F1166="NEW"),"",INDEX(B$2:B1165,-1+SUMPRODUCT(MAX(ROW(E$2:E1165)*(E1166=E$2:E1165)))))</f>
        <v/>
      </c>
      <c r="J1166" s="24" t="str">
        <f ca="1">IF(OR(E1166="",E1166="!!!",F1166="NEW"),"",COUNTBLANK(OFFSET(A$1,,,SUMPRODUCT(MAX(ROW(E$2:E1166)*(E1166=E$2:E1166)))))-COUNTBLANK(OFFSET(A$1,,,SUMPRODUCT(MAX(ROW(E$1:E1165)*(E2=E$1:E1165))))))</f>
        <v/>
      </c>
      <c r="K1166" s="24" t="str">
        <f>IF(OR(E1166="",E1166="!!!",F1166="NEW"),"",INDEX(J$1:J1165,SUMPRODUCT(MAX(ROW(E$1:E1165)*(E1166=E$1:E1165)))))</f>
        <v/>
      </c>
      <c r="L1166" s="25"/>
    </row>
    <row r="1167" spans="1:12" x14ac:dyDescent="0.3">
      <c r="A1167" t="s">
        <v>720</v>
      </c>
      <c r="E1167" s="20" t="str">
        <f t="shared" si="124"/>
        <v/>
      </c>
      <c r="F1167" s="21" t="str">
        <f>IF(OR(E1167="",E1167="!!!"),"",IF(NOT(ISNA(VLOOKUP(E1167,E$1:E1166,1,FALSE()))),"OLD",IF(AND(E1167&lt;&gt;"",E1167&lt;&gt;"!!!"),"NEW","")))</f>
        <v/>
      </c>
      <c r="G1167" s="22" t="str">
        <f>IF(OR(E1167="",E1167="!!!"),"",IF(OR(J1167=0,AND(J1167=1,K1167=1),AND(J1167=1,I1167="SBJ"),AND(J1167=1,I1167=0)),"?IN_FOCUS",IF(J1167&lt;=2,"?ACTIVATED",IF(J1167&lt;&gt;"","?FAMILIAR",IF(F1167="NEW",IF(ISNA(VLOOKUP(E1167,#REF!,1,FALSE())),"?TYPE_IDENTIFIABLE","?REFERENTIAL"),"_")))))</f>
        <v/>
      </c>
      <c r="H1167" s="23" t="str">
        <f t="shared" ca="1" si="125"/>
        <v/>
      </c>
      <c r="I1167" s="24" t="str">
        <f>IF(OR(E1167="",E1167="!!!",F1167="NEW"),"",INDEX(B$2:B1166,-1+SUMPRODUCT(MAX(ROW(E$2:E1166)*(E1167=E$2:E1166)))))</f>
        <v/>
      </c>
      <c r="J1167" s="24" t="str">
        <f ca="1">IF(OR(E1167="",E1167="!!!",F1167="NEW"),"",COUNTBLANK(OFFSET(A$1,,,SUMPRODUCT(MAX(ROW(E$2:E1167)*(E1167=E$2:E1167)))))-COUNTBLANK(OFFSET(A$1,,,SUMPRODUCT(MAX(ROW(E$1:E1166)*(E2=E$1:E1166))))))</f>
        <v/>
      </c>
      <c r="K1167" s="24" t="str">
        <f>IF(OR(E1167="",E1167="!!!",F1167="NEW"),"",INDEX(J$1:J1166,SUMPRODUCT(MAX(ROW(E$1:E1166)*(E1167=E$1:E1166)))))</f>
        <v/>
      </c>
      <c r="L1167" s="25"/>
    </row>
    <row r="1168" spans="1:12" x14ac:dyDescent="0.3">
      <c r="A1168" t="s">
        <v>392</v>
      </c>
      <c r="B1168" s="26" t="s">
        <v>272</v>
      </c>
      <c r="C1168" s="26" t="s">
        <v>480</v>
      </c>
      <c r="E1168" s="20" t="str">
        <f t="shared" si="124"/>
        <v/>
      </c>
      <c r="F1168" s="21" t="str">
        <f>IF(OR(E1168="",E1168="!!!"),"",IF(NOT(ISNA(VLOOKUP(E1168,E$1:E1167,1,FALSE()))),"OLD",IF(AND(E1168&lt;&gt;"",E1168&lt;&gt;"!!!"),"NEW","")))</f>
        <v/>
      </c>
      <c r="G1168" s="22" t="str">
        <f>IF(OR(E1168="",E1168="!!!"),"",IF(OR(J1168=0,AND(J1168=1,K1168=1),AND(J1168=1,I1168="SBJ"),AND(J1168=1,I1168=0)),"?IN_FOCUS",IF(J1168&lt;=2,"?ACTIVATED",IF(J1168&lt;&gt;"","?FAMILIAR",IF(F1168="NEW",IF(ISNA(VLOOKUP(E1168,#REF!,1,FALSE())),"?TYPE_IDENTIFIABLE","?REFERENTIAL"),"_")))))</f>
        <v/>
      </c>
      <c r="H1168" s="23" t="str">
        <f t="shared" ca="1" si="125"/>
        <v/>
      </c>
      <c r="I1168" s="24" t="str">
        <f>IF(OR(E1168="",E1168="!!!",F1168="NEW"),"",INDEX(B$2:B1167,-1+SUMPRODUCT(MAX(ROW(E$2:E1167)*(E1168=E$2:E1167)))))</f>
        <v/>
      </c>
      <c r="J1168" s="24" t="str">
        <f ca="1">IF(OR(E1168="",E1168="!!!",F1168="NEW"),"",COUNTBLANK(OFFSET(A$1,,,SUMPRODUCT(MAX(ROW(E$2:E1168)*(E1168=E$2:E1168)))))-COUNTBLANK(OFFSET(A$1,,,SUMPRODUCT(MAX(ROW(E$1:E1167)*(E2=E$1:E1167))))))</f>
        <v/>
      </c>
      <c r="K1168" s="24" t="str">
        <f>IF(OR(E1168="",E1168="!!!",F1168="NEW"),"",INDEX(J$1:J1167,SUMPRODUCT(MAX(ROW(E$1:E1167)*(E1168=E$1:E1167)))))</f>
        <v/>
      </c>
      <c r="L1168" s="25"/>
    </row>
    <row r="1169" spans="1:12" x14ac:dyDescent="0.3">
      <c r="A1169" t="s">
        <v>248</v>
      </c>
      <c r="E1169" s="20" t="str">
        <f t="shared" si="124"/>
        <v/>
      </c>
      <c r="F1169" s="21" t="str">
        <f>IF(OR(E1169="",E1169="!!!"),"",IF(NOT(ISNA(VLOOKUP(E1169,E$1:E1168,1,FALSE()))),"OLD",IF(AND(E1169&lt;&gt;"",E1169&lt;&gt;"!!!"),"NEW","")))</f>
        <v/>
      </c>
      <c r="G1169" s="22" t="str">
        <f>IF(OR(E1169="",E1169="!!!"),"",IF(OR(J1169=0,AND(J1169=1,K1169=1),AND(J1169=1,I1169="SBJ"),AND(J1169=1,I1169=0)),"?IN_FOCUS",IF(J1169&lt;=2,"?ACTIVATED",IF(J1169&lt;&gt;"","?FAMILIAR",IF(F1169="NEW",IF(ISNA(VLOOKUP(E1169,#REF!,1,FALSE())),"?TYPE_IDENTIFIABLE","?REFERENTIAL"),"_")))))</f>
        <v/>
      </c>
      <c r="H1169" s="23" t="str">
        <f t="shared" ca="1" si="125"/>
        <v/>
      </c>
      <c r="I1169" s="24" t="str">
        <f>IF(OR(E1169="",E1169="!!!",F1169="NEW"),"",INDEX(B$2:B1168,-1+SUMPRODUCT(MAX(ROW(E$2:E1168)*(E1169=E$2:E1168)))))</f>
        <v/>
      </c>
      <c r="J1169" s="24" t="str">
        <f ca="1">IF(OR(E1169="",E1169="!!!",F1169="NEW"),"",COUNTBLANK(OFFSET(A$1,,,SUMPRODUCT(MAX(ROW(E$2:E1169)*(E1169=E$2:E1169)))))-COUNTBLANK(OFFSET(A$1,,,SUMPRODUCT(MAX(ROW(E$1:E1168)*(E2=E$1:E1168))))))</f>
        <v/>
      </c>
      <c r="K1169" s="24" t="str">
        <f>IF(OR(E1169="",E1169="!!!",F1169="NEW"),"",INDEX(J$1:J1168,SUMPRODUCT(MAX(ROW(E$1:E1168)*(E1169=E$1:E1168)))))</f>
        <v/>
      </c>
      <c r="L1169" s="25"/>
    </row>
    <row r="1171" spans="1:12" x14ac:dyDescent="0.3">
      <c r="A1171" t="s">
        <v>721</v>
      </c>
    </row>
    <row r="1172" spans="1:12" x14ac:dyDescent="0.3">
      <c r="A1172" t="s">
        <v>657</v>
      </c>
      <c r="E1172" s="20" t="str">
        <f t="shared" ref="E1172:E1177" si="126">IF(D1172="?OLD","!!!","")</f>
        <v/>
      </c>
      <c r="F1172" s="21" t="str">
        <f>IF(OR(E1172="",E1172="!!!"),"",IF(NOT(ISNA(VLOOKUP(E1172,E$1:E1171,1,FALSE()))),"OLD",IF(AND(E1172&lt;&gt;"",E1172&lt;&gt;"!!!"),"NEW","")))</f>
        <v/>
      </c>
      <c r="G1172" s="22" t="str">
        <f>IF(OR(E1172="",E1172="!!!"),"",IF(OR(J1172=0,AND(J1172=1,K1172=1),AND(J1172=1,I1172="SBJ"),AND(J1172=1,I1172=0)),"?IN_FOCUS",IF(J1172&lt;=2,"?ACTIVATED",IF(J1172&lt;&gt;"","?FAMILIAR",IF(F1172="NEW",IF(ISNA(VLOOKUP(E1172,#REF!,1,FALSE())),"?TYPE_IDENTIFIABLE","?REFERENTIAL"),"_")))))</f>
        <v/>
      </c>
      <c r="H1172" s="23" t="str">
        <f t="shared" ref="H1172:H1177" ca="1" si="127">IF(J1172&lt;&gt;1,"",IF(I1172="SBJ","CB","?"))</f>
        <v/>
      </c>
      <c r="I1172" s="24" t="str">
        <f>IF(OR(E1172="",E1172="!!!",F1172="NEW"),"",INDEX(B$2:B1171,-1+SUMPRODUCT(MAX(ROW(E$2:E1171)*(E1172=E$2:E1171)))))</f>
        <v/>
      </c>
      <c r="J1172" s="24" t="str">
        <f ca="1">IF(OR(E1172="",E1172="!!!",F1172="NEW"),"",COUNTBLANK(OFFSET(A$1,,,SUMPRODUCT(MAX(ROW(E$2:E1172)*(E1172=E$2:E1172)))))-COUNTBLANK(OFFSET(A$1,,,SUMPRODUCT(MAX(ROW(E$1:E1171)*(E2=E$1:E1171))))))</f>
        <v/>
      </c>
      <c r="K1172" s="24" t="str">
        <f>IF(OR(E1172="",E1172="!!!",F1172="NEW"),"",INDEX(J$1:J1171,SUMPRODUCT(MAX(ROW(E$1:E1171)*(E1172=E$1:E1171)))))</f>
        <v/>
      </c>
      <c r="L1172" s="25"/>
    </row>
    <row r="1173" spans="1:12" x14ac:dyDescent="0.3">
      <c r="A1173" t="s">
        <v>722</v>
      </c>
      <c r="B1173" s="26" t="s">
        <v>238</v>
      </c>
      <c r="C1173" s="26" t="s">
        <v>294</v>
      </c>
      <c r="D1173" s="26" t="s">
        <v>240</v>
      </c>
      <c r="E1173" s="20" t="str">
        <f t="shared" si="126"/>
        <v>!!!</v>
      </c>
      <c r="F1173" s="21" t="str">
        <f>IF(OR(E1173="",E1173="!!!"),"",IF(NOT(ISNA(VLOOKUP(E1173,E$1:E1172,1,FALSE()))),"OLD",IF(AND(E1173&lt;&gt;"",E1173&lt;&gt;"!!!"),"NEW","")))</f>
        <v/>
      </c>
      <c r="G1173" s="22" t="str">
        <f>IF(OR(E1173="",E1173="!!!"),"",IF(OR(J1173=0,AND(J1173=1,K1173=1),AND(J1173=1,I1173="SBJ"),AND(J1173=1,I1173=0)),"?IN_FOCUS",IF(J1173&lt;=2,"?ACTIVATED",IF(J1173&lt;&gt;"","?FAMILIAR",IF(F1173="NEW",IF(ISNA(VLOOKUP(E1173,#REF!,1,FALSE())),"?TYPE_IDENTIFIABLE","?REFERENTIAL"),"_")))))</f>
        <v/>
      </c>
      <c r="H1173" s="23" t="str">
        <f t="shared" ca="1" si="127"/>
        <v/>
      </c>
      <c r="I1173" s="24" t="str">
        <f>IF(OR(E1173="",E1173="!!!",F1173="NEW"),"",INDEX(B$2:B1172,-1+SUMPRODUCT(MAX(ROW(E$2:E1172)*(E1173=E$2:E1172)))))</f>
        <v/>
      </c>
      <c r="J1173" s="24" t="str">
        <f ca="1">IF(OR(E1173="",E1173="!!!",F1173="NEW"),"",COUNTBLANK(OFFSET(A$1,,,SUMPRODUCT(MAX(ROW(E$2:E1173)*(E1173=E$2:E1173)))))-COUNTBLANK(OFFSET(A$1,,,SUMPRODUCT(MAX(ROW(E$1:E1172)*(E2=E$1:E1172))))))</f>
        <v/>
      </c>
      <c r="K1173" s="24" t="str">
        <f>IF(OR(E1173="",E1173="!!!",F1173="NEW"),"",INDEX(J$1:J1172,SUMPRODUCT(MAX(ROW(E$1:E1172)*(E1173=E$1:E1172)))))</f>
        <v/>
      </c>
      <c r="L1173" s="25"/>
    </row>
    <row r="1174" spans="1:12" x14ac:dyDescent="0.3">
      <c r="A1174" t="s">
        <v>659</v>
      </c>
      <c r="E1174" s="20" t="str">
        <f t="shared" si="126"/>
        <v/>
      </c>
      <c r="F1174" s="21" t="str">
        <f>IF(OR(E1174="",E1174="!!!"),"",IF(NOT(ISNA(VLOOKUP(E1174,E$1:E1173,1,FALSE()))),"OLD",IF(AND(E1174&lt;&gt;"",E1174&lt;&gt;"!!!"),"NEW","")))</f>
        <v/>
      </c>
      <c r="G1174" s="22" t="str">
        <f>IF(OR(E1174="",E1174="!!!"),"",IF(OR(J1174=0,AND(J1174=1,K1174=1),AND(J1174=1,I1174="SBJ"),AND(J1174=1,I1174=0)),"?IN_FOCUS",IF(J1174&lt;=2,"?ACTIVATED",IF(J1174&lt;&gt;"","?FAMILIAR",IF(F1174="NEW",IF(ISNA(VLOOKUP(E1174,#REF!,1,FALSE())),"?TYPE_IDENTIFIABLE","?REFERENTIAL"),"_")))))</f>
        <v/>
      </c>
      <c r="H1174" s="23" t="str">
        <f t="shared" ca="1" si="127"/>
        <v/>
      </c>
      <c r="I1174" s="24" t="str">
        <f>IF(OR(E1174="",E1174="!!!",F1174="NEW"),"",INDEX(B$2:B1173,-1+SUMPRODUCT(MAX(ROW(E$2:E1173)*(E1174=E$2:E1173)))))</f>
        <v/>
      </c>
      <c r="J1174" s="24" t="str">
        <f ca="1">IF(OR(E1174="",E1174="!!!",F1174="NEW"),"",COUNTBLANK(OFFSET(A$1,,,SUMPRODUCT(MAX(ROW(E$2:E1174)*(E1174=E$2:E1174)))))-COUNTBLANK(OFFSET(A$1,,,SUMPRODUCT(MAX(ROW(E$1:E1173)*(E2=E$1:E1173))))))</f>
        <v/>
      </c>
      <c r="K1174" s="24" t="str">
        <f>IF(OR(E1174="",E1174="!!!",F1174="NEW"),"",INDEX(J$1:J1173,SUMPRODUCT(MAX(ROW(E$1:E1173)*(E1174=E$1:E1173)))))</f>
        <v/>
      </c>
      <c r="L1174" s="25"/>
    </row>
    <row r="1175" spans="1:12" x14ac:dyDescent="0.3">
      <c r="A1175" t="s">
        <v>723</v>
      </c>
      <c r="E1175" s="20" t="str">
        <f t="shared" si="126"/>
        <v/>
      </c>
      <c r="F1175" s="21" t="str">
        <f>IF(OR(E1175="",E1175="!!!"),"",IF(NOT(ISNA(VLOOKUP(E1175,E$1:E1174,1,FALSE()))),"OLD",IF(AND(E1175&lt;&gt;"",E1175&lt;&gt;"!!!"),"NEW","")))</f>
        <v/>
      </c>
      <c r="G1175" s="22" t="str">
        <f>IF(OR(E1175="",E1175="!!!"),"",IF(OR(J1175=0,AND(J1175=1,K1175=1),AND(J1175=1,I1175="SBJ"),AND(J1175=1,I1175=0)),"?IN_FOCUS",IF(J1175&lt;=2,"?ACTIVATED",IF(J1175&lt;&gt;"","?FAMILIAR",IF(F1175="NEW",IF(ISNA(VLOOKUP(E1175,#REF!,1,FALSE())),"?TYPE_IDENTIFIABLE","?REFERENTIAL"),"_")))))</f>
        <v/>
      </c>
      <c r="H1175" s="23" t="str">
        <f t="shared" ca="1" si="127"/>
        <v/>
      </c>
      <c r="I1175" s="24" t="str">
        <f>IF(OR(E1175="",E1175="!!!",F1175="NEW"),"",INDEX(B$2:B1174,-1+SUMPRODUCT(MAX(ROW(E$2:E1174)*(E1175=E$2:E1174)))))</f>
        <v/>
      </c>
      <c r="J1175" s="24" t="str">
        <f ca="1">IF(OR(E1175="",E1175="!!!",F1175="NEW"),"",COUNTBLANK(OFFSET(A$1,,,SUMPRODUCT(MAX(ROW(E$2:E1175)*(E1175=E$2:E1175)))))-COUNTBLANK(OFFSET(A$1,,,SUMPRODUCT(MAX(ROW(E$1:E1174)*(E2=E$1:E1174))))))</f>
        <v/>
      </c>
      <c r="K1175" s="24" t="str">
        <f>IF(OR(E1175="",E1175="!!!",F1175="NEW"),"",INDEX(J$1:J1174,SUMPRODUCT(MAX(ROW(E$1:E1174)*(E1175=E$1:E1174)))))</f>
        <v/>
      </c>
      <c r="L1175" s="25"/>
    </row>
    <row r="1176" spans="1:12" x14ac:dyDescent="0.3">
      <c r="A1176" t="s">
        <v>724</v>
      </c>
      <c r="B1176" s="26" t="s">
        <v>238</v>
      </c>
      <c r="C1176" s="26" t="s">
        <v>294</v>
      </c>
      <c r="D1176" s="26" t="s">
        <v>240</v>
      </c>
      <c r="E1176" s="20" t="str">
        <f t="shared" si="126"/>
        <v>!!!</v>
      </c>
      <c r="F1176" s="21" t="str">
        <f>IF(OR(E1176="",E1176="!!!"),"",IF(NOT(ISNA(VLOOKUP(E1176,E$1:E1175,1,FALSE()))),"OLD",IF(AND(E1176&lt;&gt;"",E1176&lt;&gt;"!!!"),"NEW","")))</f>
        <v/>
      </c>
      <c r="G1176" s="22" t="str">
        <f>IF(OR(E1176="",E1176="!!!"),"",IF(OR(J1176=0,AND(J1176=1,K1176=1),AND(J1176=1,I1176="SBJ"),AND(J1176=1,I1176=0)),"?IN_FOCUS",IF(J1176&lt;=2,"?ACTIVATED",IF(J1176&lt;&gt;"","?FAMILIAR",IF(F1176="NEW",IF(ISNA(VLOOKUP(E1176,#REF!,1,FALSE())),"?TYPE_IDENTIFIABLE","?REFERENTIAL"),"_")))))</f>
        <v/>
      </c>
      <c r="H1176" s="23" t="str">
        <f t="shared" ca="1" si="127"/>
        <v/>
      </c>
      <c r="I1176" s="24" t="str">
        <f>IF(OR(E1176="",E1176="!!!",F1176="NEW"),"",INDEX(B$2:B1175,-1+SUMPRODUCT(MAX(ROW(E$2:E1175)*(E1176=E$2:E1175)))))</f>
        <v/>
      </c>
      <c r="J1176" s="24" t="str">
        <f ca="1">IF(OR(E1176="",E1176="!!!",F1176="NEW"),"",COUNTBLANK(OFFSET(A$1,,,SUMPRODUCT(MAX(ROW(E$2:E1176)*(E1176=E$2:E1176)))))-COUNTBLANK(OFFSET(A$1,,,SUMPRODUCT(MAX(ROW(E$1:E1175)*(E2=E$1:E1175))))))</f>
        <v/>
      </c>
      <c r="K1176" s="24" t="str">
        <f>IF(OR(E1176="",E1176="!!!",F1176="NEW"),"",INDEX(J$1:J1175,SUMPRODUCT(MAX(ROW(E$1:E1175)*(E1176=E$1:E1175)))))</f>
        <v/>
      </c>
      <c r="L1176" s="25"/>
    </row>
    <row r="1177" spans="1:12" x14ac:dyDescent="0.3">
      <c r="A1177" t="s">
        <v>248</v>
      </c>
      <c r="E1177" s="20" t="str">
        <f t="shared" si="126"/>
        <v/>
      </c>
      <c r="F1177" s="21" t="str">
        <f>IF(OR(E1177="",E1177="!!!"),"",IF(NOT(ISNA(VLOOKUP(E1177,E$1:E1176,1,FALSE()))),"OLD",IF(AND(E1177&lt;&gt;"",E1177&lt;&gt;"!!!"),"NEW","")))</f>
        <v/>
      </c>
      <c r="G1177" s="22" t="str">
        <f>IF(OR(E1177="",E1177="!!!"),"",IF(OR(J1177=0,AND(J1177=1,K1177=1),AND(J1177=1,I1177="SBJ"),AND(J1177=1,I1177=0)),"?IN_FOCUS",IF(J1177&lt;=2,"?ACTIVATED",IF(J1177&lt;&gt;"","?FAMILIAR",IF(F1177="NEW",IF(ISNA(VLOOKUP(E1177,#REF!,1,FALSE())),"?TYPE_IDENTIFIABLE","?REFERENTIAL"),"_")))))</f>
        <v/>
      </c>
      <c r="H1177" s="23" t="str">
        <f t="shared" ca="1" si="127"/>
        <v/>
      </c>
      <c r="I1177" s="24" t="str">
        <f>IF(OR(E1177="",E1177="!!!",F1177="NEW"),"",INDEX(B$2:B1176,-1+SUMPRODUCT(MAX(ROW(E$2:E1176)*(E1177=E$2:E1176)))))</f>
        <v/>
      </c>
      <c r="J1177" s="24" t="str">
        <f ca="1">IF(OR(E1177="",E1177="!!!",F1177="NEW"),"",COUNTBLANK(OFFSET(A$1,,,SUMPRODUCT(MAX(ROW(E$2:E1177)*(E1177=E$2:E1177)))))-COUNTBLANK(OFFSET(A$1,,,SUMPRODUCT(MAX(ROW(E$1:E1176)*(E2=E$1:E1176))))))</f>
        <v/>
      </c>
      <c r="K1177" s="24" t="str">
        <f>IF(OR(E1177="",E1177="!!!",F1177="NEW"),"",INDEX(J$1:J1176,SUMPRODUCT(MAX(ROW(E$1:E1176)*(E1177=E$1:E1176)))))</f>
        <v/>
      </c>
      <c r="L1177" s="25"/>
    </row>
    <row r="1179" spans="1:12" x14ac:dyDescent="0.3">
      <c r="A1179" t="s">
        <v>725</v>
      </c>
    </row>
    <row r="1180" spans="1:12" x14ac:dyDescent="0.3">
      <c r="A1180" t="s">
        <v>417</v>
      </c>
      <c r="B1180" s="26" t="s">
        <v>243</v>
      </c>
      <c r="C1180" s="26" t="s">
        <v>346</v>
      </c>
      <c r="D1180" s="26" t="s">
        <v>240</v>
      </c>
      <c r="E1180" s="20" t="str">
        <f t="shared" ref="E1180:E1186" si="128">IF(D1180="?OLD","!!!","")</f>
        <v>!!!</v>
      </c>
      <c r="F1180" s="21" t="str">
        <f>IF(OR(E1180="",E1180="!!!"),"",IF(NOT(ISNA(VLOOKUP(E1180,E$1:E1179,1,FALSE()))),"OLD",IF(AND(E1180&lt;&gt;"",E1180&lt;&gt;"!!!"),"NEW","")))</f>
        <v/>
      </c>
      <c r="G1180" s="22" t="str">
        <f>IF(OR(E1180="",E1180="!!!"),"",IF(OR(J1180=0,AND(J1180=1,K1180=1),AND(J1180=1,I1180="SBJ"),AND(J1180=1,I1180=0)),"?IN_FOCUS",IF(J1180&lt;=2,"?ACTIVATED",IF(J1180&lt;&gt;"","?FAMILIAR",IF(F1180="NEW",IF(ISNA(VLOOKUP(E1180,#REF!,1,FALSE())),"?TYPE_IDENTIFIABLE","?REFERENTIAL"),"_")))))</f>
        <v/>
      </c>
      <c r="H1180" s="23" t="str">
        <f t="shared" ref="H1180:H1186" ca="1" si="129">IF(J1180&lt;&gt;1,"",IF(I1180="SBJ","CB","?"))</f>
        <v/>
      </c>
      <c r="I1180" s="24" t="str">
        <f>IF(OR(E1180="",E1180="!!!",F1180="NEW"),"",INDEX(B$2:B1179,-1+SUMPRODUCT(MAX(ROW(E$2:E1179)*(E1180=E$2:E1179)))))</f>
        <v/>
      </c>
      <c r="J1180" s="24" t="str">
        <f ca="1">IF(OR(E1180="",E1180="!!!",F1180="NEW"),"",COUNTBLANK(OFFSET(A$1,,,SUMPRODUCT(MAX(ROW(E$2:E1180)*(E1180=E$2:E1180)))))-COUNTBLANK(OFFSET(A$1,,,SUMPRODUCT(MAX(ROW(E$1:E1179)*(E2=E$1:E1179))))))</f>
        <v/>
      </c>
      <c r="K1180" s="24" t="str">
        <f>IF(OR(E1180="",E1180="!!!",F1180="NEW"),"",INDEX(J$1:J1179,SUMPRODUCT(MAX(ROW(E$1:E1179)*(E1180=E$1:E1179)))))</f>
        <v/>
      </c>
      <c r="L1180" s="25"/>
    </row>
    <row r="1181" spans="1:12" x14ac:dyDescent="0.3">
      <c r="A1181" t="s">
        <v>347</v>
      </c>
      <c r="E1181" s="20" t="str">
        <f t="shared" si="128"/>
        <v/>
      </c>
      <c r="F1181" s="21" t="str">
        <f>IF(OR(E1181="",E1181="!!!"),"",IF(NOT(ISNA(VLOOKUP(E1181,E$1:E1180,1,FALSE()))),"OLD",IF(AND(E1181&lt;&gt;"",E1181&lt;&gt;"!!!"),"NEW","")))</f>
        <v/>
      </c>
      <c r="G1181" s="22" t="str">
        <f>IF(OR(E1181="",E1181="!!!"),"",IF(OR(J1181=0,AND(J1181=1,K1181=1),AND(J1181=1,I1181="SBJ"),AND(J1181=1,I1181=0)),"?IN_FOCUS",IF(J1181&lt;=2,"?ACTIVATED",IF(J1181&lt;&gt;"","?FAMILIAR",IF(F1181="NEW",IF(ISNA(VLOOKUP(E1181,#REF!,1,FALSE())),"?TYPE_IDENTIFIABLE","?REFERENTIAL"),"_")))))</f>
        <v/>
      </c>
      <c r="H1181" s="23" t="str">
        <f t="shared" ca="1" si="129"/>
        <v/>
      </c>
      <c r="I1181" s="24" t="str">
        <f>IF(OR(E1181="",E1181="!!!",F1181="NEW"),"",INDEX(B$2:B1180,-1+SUMPRODUCT(MAX(ROW(E$2:E1180)*(E1181=E$2:E1180)))))</f>
        <v/>
      </c>
      <c r="J1181" s="24" t="str">
        <f ca="1">IF(OR(E1181="",E1181="!!!",F1181="NEW"),"",COUNTBLANK(OFFSET(A$1,,,SUMPRODUCT(MAX(ROW(E$2:E1181)*(E1181=E$2:E1181)))))-COUNTBLANK(OFFSET(A$1,,,SUMPRODUCT(MAX(ROW(E$1:E1180)*(E2=E$1:E1180))))))</f>
        <v/>
      </c>
      <c r="K1181" s="24" t="str">
        <f>IF(OR(E1181="",E1181="!!!",F1181="NEW"),"",INDEX(J$1:J1180,SUMPRODUCT(MAX(ROW(E$1:E1180)*(E1181=E$1:E1180)))))</f>
        <v/>
      </c>
      <c r="L1181" s="25"/>
    </row>
    <row r="1182" spans="1:12" x14ac:dyDescent="0.3">
      <c r="A1182" t="s">
        <v>726</v>
      </c>
      <c r="B1182" s="26" t="s">
        <v>238</v>
      </c>
      <c r="C1182" s="26" t="s">
        <v>256</v>
      </c>
      <c r="D1182" s="26" t="s">
        <v>240</v>
      </c>
      <c r="E1182" s="20" t="str">
        <f t="shared" si="128"/>
        <v>!!!</v>
      </c>
      <c r="F1182" s="21" t="str">
        <f>IF(OR(E1182="",E1182="!!!"),"",IF(NOT(ISNA(VLOOKUP(E1182,E$1:E1181,1,FALSE()))),"OLD",IF(AND(E1182&lt;&gt;"",E1182&lt;&gt;"!!!"),"NEW","")))</f>
        <v/>
      </c>
      <c r="G1182" s="22" t="str">
        <f>IF(OR(E1182="",E1182="!!!"),"",IF(OR(J1182=0,AND(J1182=1,K1182=1),AND(J1182=1,I1182="SBJ"),AND(J1182=1,I1182=0)),"?IN_FOCUS",IF(J1182&lt;=2,"?ACTIVATED",IF(J1182&lt;&gt;"","?FAMILIAR",IF(F1182="NEW",IF(ISNA(VLOOKUP(E1182,#REF!,1,FALSE())),"?TYPE_IDENTIFIABLE","?REFERENTIAL"),"_")))))</f>
        <v/>
      </c>
      <c r="H1182" s="23" t="str">
        <f t="shared" ca="1" si="129"/>
        <v/>
      </c>
      <c r="I1182" s="24" t="str">
        <f>IF(OR(E1182="",E1182="!!!",F1182="NEW"),"",INDEX(B$2:B1181,-1+SUMPRODUCT(MAX(ROW(E$2:E1181)*(E1182=E$2:E1181)))))</f>
        <v/>
      </c>
      <c r="J1182" s="24" t="str">
        <f ca="1">IF(OR(E1182="",E1182="!!!",F1182="NEW"),"",COUNTBLANK(OFFSET(A$1,,,SUMPRODUCT(MAX(ROW(E$2:E1182)*(E1182=E$2:E1182)))))-COUNTBLANK(OFFSET(A$1,,,SUMPRODUCT(MAX(ROW(E$1:E1181)*(E2=E$1:E1181))))))</f>
        <v/>
      </c>
      <c r="K1182" s="24" t="str">
        <f>IF(OR(E1182="",E1182="!!!",F1182="NEW"),"",INDEX(J$1:J1181,SUMPRODUCT(MAX(ROW(E$1:E1181)*(E1182=E$1:E1181)))))</f>
        <v/>
      </c>
      <c r="L1182" s="25"/>
    </row>
    <row r="1183" spans="1:12" x14ac:dyDescent="0.3">
      <c r="A1183" t="s">
        <v>727</v>
      </c>
      <c r="B1183" s="26" t="s">
        <v>238</v>
      </c>
      <c r="C1183" s="26" t="s">
        <v>294</v>
      </c>
      <c r="D1183" s="26" t="s">
        <v>240</v>
      </c>
      <c r="E1183" s="20" t="str">
        <f t="shared" si="128"/>
        <v>!!!</v>
      </c>
      <c r="F1183" s="21" t="str">
        <f>IF(OR(E1183="",E1183="!!!"),"",IF(NOT(ISNA(VLOOKUP(E1183,E$1:E1182,1,FALSE()))),"OLD",IF(AND(E1183&lt;&gt;"",E1183&lt;&gt;"!!!"),"NEW","")))</f>
        <v/>
      </c>
      <c r="G1183" s="22" t="str">
        <f>IF(OR(E1183="",E1183="!!!"),"",IF(OR(J1183=0,AND(J1183=1,K1183=1),AND(J1183=1,I1183="SBJ"),AND(J1183=1,I1183=0)),"?IN_FOCUS",IF(J1183&lt;=2,"?ACTIVATED",IF(J1183&lt;&gt;"","?FAMILIAR",IF(F1183="NEW",IF(ISNA(VLOOKUP(E1183,#REF!,1,FALSE())),"?TYPE_IDENTIFIABLE","?REFERENTIAL"),"_")))))</f>
        <v/>
      </c>
      <c r="H1183" s="23" t="str">
        <f t="shared" ca="1" si="129"/>
        <v/>
      </c>
      <c r="I1183" s="24" t="str">
        <f>IF(OR(E1183="",E1183="!!!",F1183="NEW"),"",INDEX(B$2:B1182,-1+SUMPRODUCT(MAX(ROW(E$2:E1182)*(E1183=E$2:E1182)))))</f>
        <v/>
      </c>
      <c r="J1183" s="24" t="str">
        <f ca="1">IF(OR(E1183="",E1183="!!!",F1183="NEW"),"",COUNTBLANK(OFFSET(A$1,,,SUMPRODUCT(MAX(ROW(E$2:E1183)*(E1183=E$2:E1183)))))-COUNTBLANK(OFFSET(A$1,,,SUMPRODUCT(MAX(ROW(E$1:E1182)*(E2=E$1:E1182))))))</f>
        <v/>
      </c>
      <c r="K1183" s="24" t="str">
        <f>IF(OR(E1183="",E1183="!!!",F1183="NEW"),"",INDEX(J$1:J1182,SUMPRODUCT(MAX(ROW(E$1:E1182)*(E1183=E$1:E1182)))))</f>
        <v/>
      </c>
      <c r="L1183" s="25"/>
    </row>
    <row r="1184" spans="1:12" x14ac:dyDescent="0.3">
      <c r="A1184" t="s">
        <v>11</v>
      </c>
      <c r="E1184" s="20" t="str">
        <f t="shared" si="128"/>
        <v/>
      </c>
      <c r="F1184" s="21" t="str">
        <f>IF(OR(E1184="",E1184="!!!"),"",IF(NOT(ISNA(VLOOKUP(E1184,E$1:E1183,1,FALSE()))),"OLD",IF(AND(E1184&lt;&gt;"",E1184&lt;&gt;"!!!"),"NEW","")))</f>
        <v/>
      </c>
      <c r="G1184" s="22" t="str">
        <f>IF(OR(E1184="",E1184="!!!"),"",IF(OR(J1184=0,AND(J1184=1,K1184=1),AND(J1184=1,I1184="SBJ"),AND(J1184=1,I1184=0)),"?IN_FOCUS",IF(J1184&lt;=2,"?ACTIVATED",IF(J1184&lt;&gt;"","?FAMILIAR",IF(F1184="NEW",IF(ISNA(VLOOKUP(E1184,#REF!,1,FALSE())),"?TYPE_IDENTIFIABLE","?REFERENTIAL"),"_")))))</f>
        <v/>
      </c>
      <c r="H1184" s="23" t="str">
        <f t="shared" ca="1" si="129"/>
        <v/>
      </c>
      <c r="I1184" s="24" t="str">
        <f>IF(OR(E1184="",E1184="!!!",F1184="NEW"),"",INDEX(B$2:B1183,-1+SUMPRODUCT(MAX(ROW(E$2:E1183)*(E1184=E$2:E1183)))))</f>
        <v/>
      </c>
      <c r="J1184" s="24" t="str">
        <f ca="1">IF(OR(E1184="",E1184="!!!",F1184="NEW"),"",COUNTBLANK(OFFSET(A$1,,,SUMPRODUCT(MAX(ROW(E$2:E1184)*(E1184=E$2:E1184)))))-COUNTBLANK(OFFSET(A$1,,,SUMPRODUCT(MAX(ROW(E$1:E1183)*(E2=E$1:E1183))))))</f>
        <v/>
      </c>
      <c r="K1184" s="24" t="str">
        <f>IF(OR(E1184="",E1184="!!!",F1184="NEW"),"",INDEX(J$1:J1183,SUMPRODUCT(MAX(ROW(E$1:E1183)*(E1184=E$1:E1183)))))</f>
        <v/>
      </c>
      <c r="L1184" s="25"/>
    </row>
    <row r="1185" spans="1:12" x14ac:dyDescent="0.3">
      <c r="A1185" t="s">
        <v>728</v>
      </c>
      <c r="E1185" s="20" t="str">
        <f t="shared" si="128"/>
        <v/>
      </c>
      <c r="F1185" s="21" t="str">
        <f>IF(OR(E1185="",E1185="!!!"),"",IF(NOT(ISNA(VLOOKUP(E1185,E$1:E1184,1,FALSE()))),"OLD",IF(AND(E1185&lt;&gt;"",E1185&lt;&gt;"!!!"),"NEW","")))</f>
        <v/>
      </c>
      <c r="G1185" s="22" t="str">
        <f>IF(OR(E1185="",E1185="!!!"),"",IF(OR(J1185=0,AND(J1185=1,K1185=1),AND(J1185=1,I1185="SBJ"),AND(J1185=1,I1185=0)),"?IN_FOCUS",IF(J1185&lt;=2,"?ACTIVATED",IF(J1185&lt;&gt;"","?FAMILIAR",IF(F1185="NEW",IF(ISNA(VLOOKUP(E1185,#REF!,1,FALSE())),"?TYPE_IDENTIFIABLE","?REFERENTIAL"),"_")))))</f>
        <v/>
      </c>
      <c r="H1185" s="23" t="str">
        <f t="shared" ca="1" si="129"/>
        <v/>
      </c>
      <c r="I1185" s="24" t="str">
        <f>IF(OR(E1185="",E1185="!!!",F1185="NEW"),"",INDEX(B$2:B1184,-1+SUMPRODUCT(MAX(ROW(E$2:E1184)*(E1185=E$2:E1184)))))</f>
        <v/>
      </c>
      <c r="J1185" s="24" t="str">
        <f ca="1">IF(OR(E1185="",E1185="!!!",F1185="NEW"),"",COUNTBLANK(OFFSET(A$1,,,SUMPRODUCT(MAX(ROW(E$2:E1185)*(E1185=E$2:E1185)))))-COUNTBLANK(OFFSET(A$1,,,SUMPRODUCT(MAX(ROW(E$1:E1184)*(E2=E$1:E1184))))))</f>
        <v/>
      </c>
      <c r="K1185" s="24" t="str">
        <f>IF(OR(E1185="",E1185="!!!",F1185="NEW"),"",INDEX(J$1:J1184,SUMPRODUCT(MAX(ROW(E$1:E1184)*(E1185=E$1:E1184)))))</f>
        <v/>
      </c>
      <c r="L1185" s="25"/>
    </row>
    <row r="1186" spans="1:12" x14ac:dyDescent="0.3">
      <c r="A1186" t="s">
        <v>248</v>
      </c>
      <c r="E1186" s="20" t="str">
        <f t="shared" si="128"/>
        <v/>
      </c>
      <c r="F1186" s="21" t="str">
        <f>IF(OR(E1186="",E1186="!!!"),"",IF(NOT(ISNA(VLOOKUP(E1186,E$1:E1185,1,FALSE()))),"OLD",IF(AND(E1186&lt;&gt;"",E1186&lt;&gt;"!!!"),"NEW","")))</f>
        <v/>
      </c>
      <c r="G1186" s="22" t="str">
        <f>IF(OR(E1186="",E1186="!!!"),"",IF(OR(J1186=0,AND(J1186=1,K1186=1),AND(J1186=1,I1186="SBJ"),AND(J1186=1,I1186=0)),"?IN_FOCUS",IF(J1186&lt;=2,"?ACTIVATED",IF(J1186&lt;&gt;"","?FAMILIAR",IF(F1186="NEW",IF(ISNA(VLOOKUP(E1186,#REF!,1,FALSE())),"?TYPE_IDENTIFIABLE","?REFERENTIAL"),"_")))))</f>
        <v/>
      </c>
      <c r="H1186" s="23" t="str">
        <f t="shared" ca="1" si="129"/>
        <v/>
      </c>
      <c r="I1186" s="24" t="str">
        <f>IF(OR(E1186="",E1186="!!!",F1186="NEW"),"",INDEX(B$2:B1185,-1+SUMPRODUCT(MAX(ROW(E$2:E1185)*(E1186=E$2:E1185)))))</f>
        <v/>
      </c>
      <c r="J1186" s="24" t="str">
        <f ca="1">IF(OR(E1186="",E1186="!!!",F1186="NEW"),"",COUNTBLANK(OFFSET(A$1,,,SUMPRODUCT(MAX(ROW(E$2:E1186)*(E1186=E$2:E1186)))))-COUNTBLANK(OFFSET(A$1,,,SUMPRODUCT(MAX(ROW(E$1:E1185)*(E2=E$1:E1185))))))</f>
        <v/>
      </c>
      <c r="K1186" s="24" t="str">
        <f>IF(OR(E1186="",E1186="!!!",F1186="NEW"),"",INDEX(J$1:J1185,SUMPRODUCT(MAX(ROW(E$1:E1185)*(E1186=E$1:E1185)))))</f>
        <v/>
      </c>
      <c r="L1186" s="25"/>
    </row>
    <row r="1188" spans="1:12" x14ac:dyDescent="0.3">
      <c r="A1188" t="s">
        <v>729</v>
      </c>
    </row>
    <row r="1189" spans="1:12" x14ac:dyDescent="0.3">
      <c r="A1189" t="s">
        <v>396</v>
      </c>
      <c r="B1189" s="26" t="s">
        <v>243</v>
      </c>
      <c r="C1189" s="26" t="s">
        <v>256</v>
      </c>
      <c r="D1189" s="26" t="s">
        <v>240</v>
      </c>
      <c r="E1189" s="20" t="str">
        <f t="shared" ref="E1189:E1197" si="130">IF(D1189="?OLD","!!!","")</f>
        <v>!!!</v>
      </c>
      <c r="F1189" s="21" t="str">
        <f>IF(OR(E1189="",E1189="!!!"),"",IF(NOT(ISNA(VLOOKUP(E1189,E$1:E1188,1,FALSE()))),"OLD",IF(AND(E1189&lt;&gt;"",E1189&lt;&gt;"!!!"),"NEW","")))</f>
        <v/>
      </c>
      <c r="G1189" s="22" t="str">
        <f>IF(OR(E1189="",E1189="!!!"),"",IF(OR(J1189=0,AND(J1189=1,K1189=1),AND(J1189=1,I1189="SBJ"),AND(J1189=1,I1189=0)),"?IN_FOCUS",IF(J1189&lt;=2,"?ACTIVATED",IF(J1189&lt;&gt;"","?FAMILIAR",IF(F1189="NEW",IF(ISNA(VLOOKUP(E1189,#REF!,1,FALSE())),"?TYPE_IDENTIFIABLE","?REFERENTIAL"),"_")))))</f>
        <v/>
      </c>
      <c r="H1189" s="23" t="str">
        <f t="shared" ref="H1189:H1197" ca="1" si="131">IF(J1189&lt;&gt;1,"",IF(I1189="SBJ","CB","?"))</f>
        <v/>
      </c>
      <c r="I1189" s="24" t="str">
        <f>IF(OR(E1189="",E1189="!!!",F1189="NEW"),"",INDEX(B$2:B1188,-1+SUMPRODUCT(MAX(ROW(E$2:E1188)*(E1189=E$2:E1188)))))</f>
        <v/>
      </c>
      <c r="J1189" s="24" t="str">
        <f ca="1">IF(OR(E1189="",E1189="!!!",F1189="NEW"),"",COUNTBLANK(OFFSET(A$1,,,SUMPRODUCT(MAX(ROW(E$2:E1189)*(E1189=E$2:E1189)))))-COUNTBLANK(OFFSET(A$1,,,SUMPRODUCT(MAX(ROW(E$1:E1188)*(E2=E$1:E1188))))))</f>
        <v/>
      </c>
      <c r="K1189" s="24" t="str">
        <f>IF(OR(E1189="",E1189="!!!",F1189="NEW"),"",INDEX(J$1:J1188,SUMPRODUCT(MAX(ROW(E$1:E1188)*(E1189=E$1:E1188)))))</f>
        <v/>
      </c>
      <c r="L1189" s="25"/>
    </row>
    <row r="1190" spans="1:12" x14ac:dyDescent="0.3">
      <c r="A1190" t="s">
        <v>300</v>
      </c>
      <c r="E1190" s="20" t="str">
        <f t="shared" si="130"/>
        <v/>
      </c>
      <c r="F1190" s="21" t="str">
        <f>IF(OR(E1190="",E1190="!!!"),"",IF(NOT(ISNA(VLOOKUP(E1190,E$1:E1189,1,FALSE()))),"OLD",IF(AND(E1190&lt;&gt;"",E1190&lt;&gt;"!!!"),"NEW","")))</f>
        <v/>
      </c>
      <c r="G1190" s="22" t="str">
        <f>IF(OR(E1190="",E1190="!!!"),"",IF(OR(J1190=0,AND(J1190=1,K1190=1),AND(J1190=1,I1190="SBJ"),AND(J1190=1,I1190=0)),"?IN_FOCUS",IF(J1190&lt;=2,"?ACTIVATED",IF(J1190&lt;&gt;"","?FAMILIAR",IF(F1190="NEW",IF(ISNA(VLOOKUP(E1190,#REF!,1,FALSE())),"?TYPE_IDENTIFIABLE","?REFERENTIAL"),"_")))))</f>
        <v/>
      </c>
      <c r="H1190" s="23" t="str">
        <f t="shared" ca="1" si="131"/>
        <v/>
      </c>
      <c r="I1190" s="24" t="str">
        <f>IF(OR(E1190="",E1190="!!!",F1190="NEW"),"",INDEX(B$2:B1189,-1+SUMPRODUCT(MAX(ROW(E$2:E1189)*(E1190=E$2:E1189)))))</f>
        <v/>
      </c>
      <c r="J1190" s="24" t="str">
        <f ca="1">IF(OR(E1190="",E1190="!!!",F1190="NEW"),"",COUNTBLANK(OFFSET(A$1,,,SUMPRODUCT(MAX(ROW(E$2:E1190)*(E1190=E$2:E1190)))))-COUNTBLANK(OFFSET(A$1,,,SUMPRODUCT(MAX(ROW(E$1:E1189)*(E2=E$1:E1189))))))</f>
        <v/>
      </c>
      <c r="K1190" s="24" t="str">
        <f>IF(OR(E1190="",E1190="!!!",F1190="NEW"),"",INDEX(J$1:J1189,SUMPRODUCT(MAX(ROW(E$1:E1189)*(E1190=E$1:E1189)))))</f>
        <v/>
      </c>
      <c r="L1190" s="25"/>
    </row>
    <row r="1191" spans="1:12" x14ac:dyDescent="0.3">
      <c r="A1191" t="s">
        <v>730</v>
      </c>
      <c r="E1191" s="20" t="str">
        <f t="shared" si="130"/>
        <v/>
      </c>
      <c r="F1191" s="21" t="str">
        <f>IF(OR(E1191="",E1191="!!!"),"",IF(NOT(ISNA(VLOOKUP(E1191,E$1:E1190,1,FALSE()))),"OLD",IF(AND(E1191&lt;&gt;"",E1191&lt;&gt;"!!!"),"NEW","")))</f>
        <v/>
      </c>
      <c r="G1191" s="22" t="str">
        <f>IF(OR(E1191="",E1191="!!!"),"",IF(OR(J1191=0,AND(J1191=1,K1191=1),AND(J1191=1,I1191="SBJ"),AND(J1191=1,I1191=0)),"?IN_FOCUS",IF(J1191&lt;=2,"?ACTIVATED",IF(J1191&lt;&gt;"","?FAMILIAR",IF(F1191="NEW",IF(ISNA(VLOOKUP(E1191,#REF!,1,FALSE())),"?TYPE_IDENTIFIABLE","?REFERENTIAL"),"_")))))</f>
        <v/>
      </c>
      <c r="H1191" s="23" t="str">
        <f t="shared" ca="1" si="131"/>
        <v/>
      </c>
      <c r="I1191" s="24" t="str">
        <f>IF(OR(E1191="",E1191="!!!",F1191="NEW"),"",INDEX(B$2:B1190,-1+SUMPRODUCT(MAX(ROW(E$2:E1190)*(E1191=E$2:E1190)))))</f>
        <v/>
      </c>
      <c r="J1191" s="24" t="str">
        <f ca="1">IF(OR(E1191="",E1191="!!!",F1191="NEW"),"",COUNTBLANK(OFFSET(A$1,,,SUMPRODUCT(MAX(ROW(E$2:E1191)*(E1191=E$2:E1191)))))-COUNTBLANK(OFFSET(A$1,,,SUMPRODUCT(MAX(ROW(E$1:E1190)*(E2=E$1:E1190))))))</f>
        <v/>
      </c>
      <c r="K1191" s="24" t="str">
        <f>IF(OR(E1191="",E1191="!!!",F1191="NEW"),"",INDEX(J$1:J1190,SUMPRODUCT(MAX(ROW(E$1:E1190)*(E1191=E$1:E1190)))))</f>
        <v/>
      </c>
      <c r="L1191" s="25"/>
    </row>
    <row r="1192" spans="1:12" x14ac:dyDescent="0.3">
      <c r="A1192" t="s">
        <v>25</v>
      </c>
      <c r="E1192" s="20" t="str">
        <f t="shared" si="130"/>
        <v/>
      </c>
      <c r="F1192" s="21" t="str">
        <f>IF(OR(E1192="",E1192="!!!"),"",IF(NOT(ISNA(VLOOKUP(E1192,E$1:E1191,1,FALSE()))),"OLD",IF(AND(E1192&lt;&gt;"",E1192&lt;&gt;"!!!"),"NEW","")))</f>
        <v/>
      </c>
      <c r="G1192" s="22" t="str">
        <f>IF(OR(E1192="",E1192="!!!"),"",IF(OR(J1192=0,AND(J1192=1,K1192=1),AND(J1192=1,I1192="SBJ"),AND(J1192=1,I1192=0)),"?IN_FOCUS",IF(J1192&lt;=2,"?ACTIVATED",IF(J1192&lt;&gt;"","?FAMILIAR",IF(F1192="NEW",IF(ISNA(VLOOKUP(E1192,#REF!,1,FALSE())),"?TYPE_IDENTIFIABLE","?REFERENTIAL"),"_")))))</f>
        <v/>
      </c>
      <c r="H1192" s="23" t="str">
        <f t="shared" ca="1" si="131"/>
        <v/>
      </c>
      <c r="I1192" s="24" t="str">
        <f>IF(OR(E1192="",E1192="!!!",F1192="NEW"),"",INDEX(B$2:B1191,-1+SUMPRODUCT(MAX(ROW(E$2:E1191)*(E1192=E$2:E1191)))))</f>
        <v/>
      </c>
      <c r="J1192" s="24" t="str">
        <f ca="1">IF(OR(E1192="",E1192="!!!",F1192="NEW"),"",COUNTBLANK(OFFSET(A$1,,,SUMPRODUCT(MAX(ROW(E$2:E1192)*(E1192=E$2:E1192)))))-COUNTBLANK(OFFSET(A$1,,,SUMPRODUCT(MAX(ROW(E$1:E1191)*(E2=E$1:E1191))))))</f>
        <v/>
      </c>
      <c r="K1192" s="24" t="str">
        <f>IF(OR(E1192="",E1192="!!!",F1192="NEW"),"",INDEX(J$1:J1191,SUMPRODUCT(MAX(ROW(E$1:E1191)*(E1192=E$1:E1191)))))</f>
        <v/>
      </c>
      <c r="L1192" s="25"/>
    </row>
    <row r="1193" spans="1:12" x14ac:dyDescent="0.3">
      <c r="A1193" t="s">
        <v>584</v>
      </c>
      <c r="E1193" s="20" t="str">
        <f t="shared" si="130"/>
        <v/>
      </c>
      <c r="F1193" s="21" t="str">
        <f>IF(OR(E1193="",E1193="!!!"),"",IF(NOT(ISNA(VLOOKUP(E1193,E$1:E1192,1,FALSE()))),"OLD",IF(AND(E1193&lt;&gt;"",E1193&lt;&gt;"!!!"),"NEW","")))</f>
        <v/>
      </c>
      <c r="G1193" s="22" t="str">
        <f>IF(OR(E1193="",E1193="!!!"),"",IF(OR(J1193=0,AND(J1193=1,K1193=1),AND(J1193=1,I1193="SBJ"),AND(J1193=1,I1193=0)),"?IN_FOCUS",IF(J1193&lt;=2,"?ACTIVATED",IF(J1193&lt;&gt;"","?FAMILIAR",IF(F1193="NEW",IF(ISNA(VLOOKUP(E1193,#REF!,1,FALSE())),"?TYPE_IDENTIFIABLE","?REFERENTIAL"),"_")))))</f>
        <v/>
      </c>
      <c r="H1193" s="23" t="str">
        <f t="shared" ca="1" si="131"/>
        <v/>
      </c>
      <c r="I1193" s="24" t="str">
        <f>IF(OR(E1193="",E1193="!!!",F1193="NEW"),"",INDEX(B$2:B1192,-1+SUMPRODUCT(MAX(ROW(E$2:E1192)*(E1193=E$2:E1192)))))</f>
        <v/>
      </c>
      <c r="J1193" s="24" t="str">
        <f ca="1">IF(OR(E1193="",E1193="!!!",F1193="NEW"),"",COUNTBLANK(OFFSET(A$1,,,SUMPRODUCT(MAX(ROW(E$2:E1193)*(E1193=E$2:E1193)))))-COUNTBLANK(OFFSET(A$1,,,SUMPRODUCT(MAX(ROW(E$1:E1192)*(E2=E$1:E1192))))))</f>
        <v/>
      </c>
      <c r="K1193" s="24" t="str">
        <f>IF(OR(E1193="",E1193="!!!",F1193="NEW"),"",INDEX(J$1:J1192,SUMPRODUCT(MAX(ROW(E$1:E1192)*(E1193=E$1:E1192)))))</f>
        <v/>
      </c>
      <c r="L1193" s="25"/>
    </row>
    <row r="1194" spans="1:12" x14ac:dyDescent="0.3">
      <c r="A1194" t="s">
        <v>30</v>
      </c>
      <c r="E1194" s="20" t="str">
        <f t="shared" si="130"/>
        <v/>
      </c>
      <c r="F1194" s="21" t="str">
        <f>IF(OR(E1194="",E1194="!!!"),"",IF(NOT(ISNA(VLOOKUP(E1194,E$1:E1193,1,FALSE()))),"OLD",IF(AND(E1194&lt;&gt;"",E1194&lt;&gt;"!!!"),"NEW","")))</f>
        <v/>
      </c>
      <c r="G1194" s="22" t="str">
        <f>IF(OR(E1194="",E1194="!!!"),"",IF(OR(J1194=0,AND(J1194=1,K1194=1),AND(J1194=1,I1194="SBJ"),AND(J1194=1,I1194=0)),"?IN_FOCUS",IF(J1194&lt;=2,"?ACTIVATED",IF(J1194&lt;&gt;"","?FAMILIAR",IF(F1194="NEW",IF(ISNA(VLOOKUP(E1194,#REF!,1,FALSE())),"?TYPE_IDENTIFIABLE","?REFERENTIAL"),"_")))))</f>
        <v/>
      </c>
      <c r="H1194" s="23" t="str">
        <f t="shared" ca="1" si="131"/>
        <v/>
      </c>
      <c r="I1194" s="24" t="str">
        <f>IF(OR(E1194="",E1194="!!!",F1194="NEW"),"",INDEX(B$2:B1193,-1+SUMPRODUCT(MAX(ROW(E$2:E1193)*(E1194=E$2:E1193)))))</f>
        <v/>
      </c>
      <c r="J1194" s="24" t="str">
        <f ca="1">IF(OR(E1194="",E1194="!!!",F1194="NEW"),"",COUNTBLANK(OFFSET(A$1,,,SUMPRODUCT(MAX(ROW(E$2:E1194)*(E1194=E$2:E1194)))))-COUNTBLANK(OFFSET(A$1,,,SUMPRODUCT(MAX(ROW(E$1:E1193)*(E2=E$1:E1193))))))</f>
        <v/>
      </c>
      <c r="K1194" s="24" t="str">
        <f>IF(OR(E1194="",E1194="!!!",F1194="NEW"),"",INDEX(J$1:J1193,SUMPRODUCT(MAX(ROW(E$1:E1193)*(E1194=E$1:E1193)))))</f>
        <v/>
      </c>
      <c r="L1194" s="25"/>
    </row>
    <row r="1195" spans="1:12" x14ac:dyDescent="0.3">
      <c r="A1195" t="s">
        <v>306</v>
      </c>
      <c r="B1195" s="26" t="s">
        <v>238</v>
      </c>
      <c r="C1195" s="26" t="s">
        <v>307</v>
      </c>
      <c r="E1195" s="20" t="str">
        <f t="shared" si="130"/>
        <v/>
      </c>
      <c r="F1195" s="21" t="str">
        <f>IF(OR(E1195="",E1195="!!!"),"",IF(NOT(ISNA(VLOOKUP(E1195,E$1:E1194,1,FALSE()))),"OLD",IF(AND(E1195&lt;&gt;"",E1195&lt;&gt;"!!!"),"NEW","")))</f>
        <v/>
      </c>
      <c r="G1195" s="22" t="str">
        <f>IF(OR(E1195="",E1195="!!!"),"",IF(OR(J1195=0,AND(J1195=1,K1195=1),AND(J1195=1,I1195="SBJ"),AND(J1195=1,I1195=0)),"?IN_FOCUS",IF(J1195&lt;=2,"?ACTIVATED",IF(J1195&lt;&gt;"","?FAMILIAR",IF(F1195="NEW",IF(ISNA(VLOOKUP(E1195,#REF!,1,FALSE())),"?TYPE_IDENTIFIABLE","?REFERENTIAL"),"_")))))</f>
        <v/>
      </c>
      <c r="H1195" s="23" t="str">
        <f t="shared" ca="1" si="131"/>
        <v/>
      </c>
      <c r="I1195" s="24" t="str">
        <f>IF(OR(E1195="",E1195="!!!",F1195="NEW"),"",INDEX(B$2:B1194,-1+SUMPRODUCT(MAX(ROW(E$2:E1194)*(E1195=E$2:E1194)))))</f>
        <v/>
      </c>
      <c r="J1195" s="24" t="str">
        <f ca="1">IF(OR(E1195="",E1195="!!!",F1195="NEW"),"",COUNTBLANK(OFFSET(A$1,,,SUMPRODUCT(MAX(ROW(E$2:E1195)*(E1195=E$2:E1195)))))-COUNTBLANK(OFFSET(A$1,,,SUMPRODUCT(MAX(ROW(E$1:E1194)*(E2=E$1:E1194))))))</f>
        <v/>
      </c>
      <c r="K1195" s="24" t="str">
        <f>IF(OR(E1195="",E1195="!!!",F1195="NEW"),"",INDEX(J$1:J1194,SUMPRODUCT(MAX(ROW(E$1:E1194)*(E1195=E$1:E1194)))))</f>
        <v/>
      </c>
      <c r="L1195" s="25"/>
    </row>
    <row r="1196" spans="1:12" x14ac:dyDescent="0.3">
      <c r="A1196" t="s">
        <v>731</v>
      </c>
      <c r="E1196" s="20" t="str">
        <f t="shared" si="130"/>
        <v/>
      </c>
      <c r="F1196" s="21" t="str">
        <f>IF(OR(E1196="",E1196="!!!"),"",IF(NOT(ISNA(VLOOKUP(E1196,E$1:E1195,1,FALSE()))),"OLD",IF(AND(E1196&lt;&gt;"",E1196&lt;&gt;"!!!"),"NEW","")))</f>
        <v/>
      </c>
      <c r="G1196" s="22" t="str">
        <f>IF(OR(E1196="",E1196="!!!"),"",IF(OR(J1196=0,AND(J1196=1,K1196=1),AND(J1196=1,I1196="SBJ"),AND(J1196=1,I1196=0)),"?IN_FOCUS",IF(J1196&lt;=2,"?ACTIVATED",IF(J1196&lt;&gt;"","?FAMILIAR",IF(F1196="NEW",IF(ISNA(VLOOKUP(E1196,#REF!,1,FALSE())),"?TYPE_IDENTIFIABLE","?REFERENTIAL"),"_")))))</f>
        <v/>
      </c>
      <c r="H1196" s="23" t="str">
        <f t="shared" ca="1" si="131"/>
        <v/>
      </c>
      <c r="I1196" s="24" t="str">
        <f>IF(OR(E1196="",E1196="!!!",F1196="NEW"),"",INDEX(B$2:B1195,-1+SUMPRODUCT(MAX(ROW(E$2:E1195)*(E1196=E$2:E1195)))))</f>
        <v/>
      </c>
      <c r="J1196" s="24" t="str">
        <f ca="1">IF(OR(E1196="",E1196="!!!",F1196="NEW"),"",COUNTBLANK(OFFSET(A$1,,,SUMPRODUCT(MAX(ROW(E$2:E1196)*(E1196=E$2:E1196)))))-COUNTBLANK(OFFSET(A$1,,,SUMPRODUCT(MAX(ROW(E$1:E1195)*(E2=E$1:E1195))))))</f>
        <v/>
      </c>
      <c r="K1196" s="24" t="str">
        <f>IF(OR(E1196="",E1196="!!!",F1196="NEW"),"",INDEX(J$1:J1195,SUMPRODUCT(MAX(ROW(E$1:E1195)*(E1196=E$1:E1195)))))</f>
        <v/>
      </c>
      <c r="L1196" s="25"/>
    </row>
    <row r="1197" spans="1:12" x14ac:dyDescent="0.3">
      <c r="A1197" t="s">
        <v>248</v>
      </c>
      <c r="E1197" s="20" t="str">
        <f t="shared" si="130"/>
        <v/>
      </c>
      <c r="F1197" s="21" t="str">
        <f>IF(OR(E1197="",E1197="!!!"),"",IF(NOT(ISNA(VLOOKUP(E1197,E$1:E1196,1,FALSE()))),"OLD",IF(AND(E1197&lt;&gt;"",E1197&lt;&gt;"!!!"),"NEW","")))</f>
        <v/>
      </c>
      <c r="G1197" s="22" t="str">
        <f>IF(OR(E1197="",E1197="!!!"),"",IF(OR(J1197=0,AND(J1197=1,K1197=1),AND(J1197=1,I1197="SBJ"),AND(J1197=1,I1197=0)),"?IN_FOCUS",IF(J1197&lt;=2,"?ACTIVATED",IF(J1197&lt;&gt;"","?FAMILIAR",IF(F1197="NEW",IF(ISNA(VLOOKUP(E1197,#REF!,1,FALSE())),"?TYPE_IDENTIFIABLE","?REFERENTIAL"),"_")))))</f>
        <v/>
      </c>
      <c r="H1197" s="23" t="str">
        <f t="shared" ca="1" si="131"/>
        <v/>
      </c>
      <c r="I1197" s="24" t="str">
        <f>IF(OR(E1197="",E1197="!!!",F1197="NEW"),"",INDEX(B$2:B1196,-1+SUMPRODUCT(MAX(ROW(E$2:E1196)*(E1197=E$2:E1196)))))</f>
        <v/>
      </c>
      <c r="J1197" s="24" t="str">
        <f ca="1">IF(OR(E1197="",E1197="!!!",F1197="NEW"),"",COUNTBLANK(OFFSET(A$1,,,SUMPRODUCT(MAX(ROW(E$2:E1197)*(E1197=E$2:E1197)))))-COUNTBLANK(OFFSET(A$1,,,SUMPRODUCT(MAX(ROW(E$1:E1196)*(E2=E$1:E1196))))))</f>
        <v/>
      </c>
      <c r="K1197" s="24" t="str">
        <f>IF(OR(E1197="",E1197="!!!",F1197="NEW"),"",INDEX(J$1:J1196,SUMPRODUCT(MAX(ROW(E$1:E1196)*(E1197=E$1:E1196)))))</f>
        <v/>
      </c>
      <c r="L1197" s="25"/>
    </row>
    <row r="1199" spans="1:12" x14ac:dyDescent="0.3">
      <c r="A1199" t="s">
        <v>732</v>
      </c>
    </row>
    <row r="1200" spans="1:12" x14ac:dyDescent="0.3">
      <c r="A1200" t="s">
        <v>733</v>
      </c>
      <c r="E1200" s="20" t="str">
        <f t="shared" ref="E1200:E1214" si="132">IF(D1200="?OLD","!!!","")</f>
        <v/>
      </c>
      <c r="F1200" s="21" t="str">
        <f>IF(OR(E1200="",E1200="!!!"),"",IF(NOT(ISNA(VLOOKUP(E1200,E$1:E1199,1,FALSE()))),"OLD",IF(AND(E1200&lt;&gt;"",E1200&lt;&gt;"!!!"),"NEW","")))</f>
        <v/>
      </c>
      <c r="G1200" s="22" t="str">
        <f>IF(OR(E1200="",E1200="!!!"),"",IF(OR(J1200=0,AND(J1200=1,K1200=1),AND(J1200=1,I1200="SBJ"),AND(J1200=1,I1200=0)),"?IN_FOCUS",IF(J1200&lt;=2,"?ACTIVATED",IF(J1200&lt;&gt;"","?FAMILIAR",IF(F1200="NEW",IF(ISNA(VLOOKUP(E1200,#REF!,1,FALSE())),"?TYPE_IDENTIFIABLE","?REFERENTIAL"),"_")))))</f>
        <v/>
      </c>
      <c r="H1200" s="23" t="str">
        <f t="shared" ref="H1200:H1214" ca="1" si="133">IF(J1200&lt;&gt;1,"",IF(I1200="SBJ","CB","?"))</f>
        <v/>
      </c>
      <c r="I1200" s="24" t="str">
        <f>IF(OR(E1200="",E1200="!!!",F1200="NEW"),"",INDEX(B$2:B1199,-1+SUMPRODUCT(MAX(ROW(E$2:E1199)*(E1200=E$2:E1199)))))</f>
        <v/>
      </c>
      <c r="J1200" s="24" t="str">
        <f ca="1">IF(OR(E1200="",E1200="!!!",F1200="NEW"),"",COUNTBLANK(OFFSET(A$1,,,SUMPRODUCT(MAX(ROW(E$2:E1200)*(E1200=E$2:E1200)))))-COUNTBLANK(OFFSET(A$1,,,SUMPRODUCT(MAX(ROW(E$1:E1199)*(E2=E$1:E1199))))))</f>
        <v/>
      </c>
      <c r="K1200" s="24" t="str">
        <f>IF(OR(E1200="",E1200="!!!",F1200="NEW"),"",INDEX(J$1:J1199,SUMPRODUCT(MAX(ROW(E$1:E1199)*(E1200=E$1:E1199)))))</f>
        <v/>
      </c>
      <c r="L1200" s="25"/>
    </row>
    <row r="1201" spans="1:12" x14ac:dyDescent="0.3">
      <c r="A1201" t="s">
        <v>734</v>
      </c>
      <c r="B1201" s="26" t="s">
        <v>243</v>
      </c>
      <c r="C1201" s="26" t="s">
        <v>247</v>
      </c>
      <c r="E1201" s="20" t="str">
        <f t="shared" si="132"/>
        <v/>
      </c>
      <c r="F1201" s="21" t="str">
        <f>IF(OR(E1201="",E1201="!!!"),"",IF(NOT(ISNA(VLOOKUP(E1201,E$1:E1200,1,FALSE()))),"OLD",IF(AND(E1201&lt;&gt;"",E1201&lt;&gt;"!!!"),"NEW","")))</f>
        <v/>
      </c>
      <c r="G1201" s="22" t="str">
        <f>IF(OR(E1201="",E1201="!!!"),"",IF(OR(J1201=0,AND(J1201=1,K1201=1),AND(J1201=1,I1201="SBJ"),AND(J1201=1,I1201=0)),"?IN_FOCUS",IF(J1201&lt;=2,"?ACTIVATED",IF(J1201&lt;&gt;"","?FAMILIAR",IF(F1201="NEW",IF(ISNA(VLOOKUP(E1201,#REF!,1,FALSE())),"?TYPE_IDENTIFIABLE","?REFERENTIAL"),"_")))))</f>
        <v/>
      </c>
      <c r="H1201" s="23" t="str">
        <f t="shared" ca="1" si="133"/>
        <v/>
      </c>
      <c r="I1201" s="24" t="str">
        <f>IF(OR(E1201="",E1201="!!!",F1201="NEW"),"",INDEX(B$2:B1200,-1+SUMPRODUCT(MAX(ROW(E$2:E1200)*(E1201=E$2:E1200)))))</f>
        <v/>
      </c>
      <c r="J1201" s="24" t="str">
        <f ca="1">IF(OR(E1201="",E1201="!!!",F1201="NEW"),"",COUNTBLANK(OFFSET(A$1,,,SUMPRODUCT(MAX(ROW(E$2:E1201)*(E1201=E$2:E1201)))))-COUNTBLANK(OFFSET(A$1,,,SUMPRODUCT(MAX(ROW(E$1:E1200)*(E2=E$1:E1200))))))</f>
        <v/>
      </c>
      <c r="K1201" s="24" t="str">
        <f>IF(OR(E1201="",E1201="!!!",F1201="NEW"),"",INDEX(J$1:J1200,SUMPRODUCT(MAX(ROW(E$1:E1200)*(E1201=E$1:E1200)))))</f>
        <v/>
      </c>
      <c r="L1201" s="25"/>
    </row>
    <row r="1202" spans="1:12" x14ac:dyDescent="0.3">
      <c r="A1202" t="s">
        <v>337</v>
      </c>
      <c r="E1202" s="20" t="str">
        <f t="shared" si="132"/>
        <v/>
      </c>
      <c r="F1202" s="21" t="str">
        <f>IF(OR(E1202="",E1202="!!!"),"",IF(NOT(ISNA(VLOOKUP(E1202,E$1:E1201,1,FALSE()))),"OLD",IF(AND(E1202&lt;&gt;"",E1202&lt;&gt;"!!!"),"NEW","")))</f>
        <v/>
      </c>
      <c r="G1202" s="22" t="str">
        <f>IF(OR(E1202="",E1202="!!!"),"",IF(OR(J1202=0,AND(J1202=1,K1202=1),AND(J1202=1,I1202="SBJ"),AND(J1202=1,I1202=0)),"?IN_FOCUS",IF(J1202&lt;=2,"?ACTIVATED",IF(J1202&lt;&gt;"","?FAMILIAR",IF(F1202="NEW",IF(ISNA(VLOOKUP(E1202,#REF!,1,FALSE())),"?TYPE_IDENTIFIABLE","?REFERENTIAL"),"_")))))</f>
        <v/>
      </c>
      <c r="H1202" s="23" t="str">
        <f t="shared" ca="1" si="133"/>
        <v/>
      </c>
      <c r="I1202" s="24" t="str">
        <f>IF(OR(E1202="",E1202="!!!",F1202="NEW"),"",INDEX(B$2:B1201,-1+SUMPRODUCT(MAX(ROW(E$2:E1201)*(E1202=E$2:E1201)))))</f>
        <v/>
      </c>
      <c r="J1202" s="24" t="str">
        <f ca="1">IF(OR(E1202="",E1202="!!!",F1202="NEW"),"",COUNTBLANK(OFFSET(A$1,,,SUMPRODUCT(MAX(ROW(E$2:E1202)*(E1202=E$2:E1202)))))-COUNTBLANK(OFFSET(A$1,,,SUMPRODUCT(MAX(ROW(E$1:E1201)*(E2=E$1:E1201))))))</f>
        <v/>
      </c>
      <c r="K1202" s="24" t="str">
        <f>IF(OR(E1202="",E1202="!!!",F1202="NEW"),"",INDEX(J$1:J1201,SUMPRODUCT(MAX(ROW(E$1:E1201)*(E1202=E$1:E1201)))))</f>
        <v/>
      </c>
      <c r="L1202" s="25"/>
    </row>
    <row r="1203" spans="1:12" x14ac:dyDescent="0.3">
      <c r="A1203" t="s">
        <v>254</v>
      </c>
      <c r="B1203" s="26" t="s">
        <v>255</v>
      </c>
      <c r="C1203" s="26" t="s">
        <v>256</v>
      </c>
      <c r="D1203" s="26" t="s">
        <v>240</v>
      </c>
      <c r="E1203" s="20" t="str">
        <f t="shared" si="132"/>
        <v>!!!</v>
      </c>
      <c r="F1203" s="21" t="str">
        <f>IF(OR(E1203="",E1203="!!!"),"",IF(NOT(ISNA(VLOOKUP(E1203,E$1:E1202,1,FALSE()))),"OLD",IF(AND(E1203&lt;&gt;"",E1203&lt;&gt;"!!!"),"NEW","")))</f>
        <v/>
      </c>
      <c r="G1203" s="22" t="str">
        <f>IF(OR(E1203="",E1203="!!!"),"",IF(OR(J1203=0,AND(J1203=1,K1203=1),AND(J1203=1,I1203="SBJ"),AND(J1203=1,I1203=0)),"?IN_FOCUS",IF(J1203&lt;=2,"?ACTIVATED",IF(J1203&lt;&gt;"","?FAMILIAR",IF(F1203="NEW",IF(ISNA(VLOOKUP(E1203,#REF!,1,FALSE())),"?TYPE_IDENTIFIABLE","?REFERENTIAL"),"_")))))</f>
        <v/>
      </c>
      <c r="H1203" s="23" t="str">
        <f t="shared" ca="1" si="133"/>
        <v/>
      </c>
      <c r="I1203" s="24" t="str">
        <f>IF(OR(E1203="",E1203="!!!",F1203="NEW"),"",INDEX(B$2:B1202,-1+SUMPRODUCT(MAX(ROW(E$2:E1202)*(E1203=E$2:E1202)))))</f>
        <v/>
      </c>
      <c r="J1203" s="24" t="str">
        <f ca="1">IF(OR(E1203="",E1203="!!!",F1203="NEW"),"",COUNTBLANK(OFFSET(A$1,,,SUMPRODUCT(MAX(ROW(E$2:E1203)*(E1203=E$2:E1203)))))-COUNTBLANK(OFFSET(A$1,,,SUMPRODUCT(MAX(ROW(E$1:E1202)*(E2=E$1:E1202))))))</f>
        <v/>
      </c>
      <c r="K1203" s="24" t="str">
        <f>IF(OR(E1203="",E1203="!!!",F1203="NEW"),"",INDEX(J$1:J1202,SUMPRODUCT(MAX(ROW(E$1:E1202)*(E1203=E$1:E1202)))))</f>
        <v/>
      </c>
      <c r="L1203" s="25"/>
    </row>
    <row r="1204" spans="1:12" x14ac:dyDescent="0.3">
      <c r="A1204" t="s">
        <v>321</v>
      </c>
      <c r="E1204" s="20" t="str">
        <f t="shared" si="132"/>
        <v/>
      </c>
      <c r="F1204" s="21" t="str">
        <f>IF(OR(E1204="",E1204="!!!"),"",IF(NOT(ISNA(VLOOKUP(E1204,E$1:E1203,1,FALSE()))),"OLD",IF(AND(E1204&lt;&gt;"",E1204&lt;&gt;"!!!"),"NEW","")))</f>
        <v/>
      </c>
      <c r="G1204" s="22" t="str">
        <f>IF(OR(E1204="",E1204="!!!"),"",IF(OR(J1204=0,AND(J1204=1,K1204=1),AND(J1204=1,I1204="SBJ"),AND(J1204=1,I1204=0)),"?IN_FOCUS",IF(J1204&lt;=2,"?ACTIVATED",IF(J1204&lt;&gt;"","?FAMILIAR",IF(F1204="NEW",IF(ISNA(VLOOKUP(E1204,#REF!,1,FALSE())),"?TYPE_IDENTIFIABLE","?REFERENTIAL"),"_")))))</f>
        <v/>
      </c>
      <c r="H1204" s="23" t="str">
        <f t="shared" ca="1" si="133"/>
        <v/>
      </c>
      <c r="I1204" s="24" t="str">
        <f>IF(OR(E1204="",E1204="!!!",F1204="NEW"),"",INDEX(B$2:B1203,-1+SUMPRODUCT(MAX(ROW(E$2:E1203)*(E1204=E$2:E1203)))))</f>
        <v/>
      </c>
      <c r="J1204" s="24" t="str">
        <f ca="1">IF(OR(E1204="",E1204="!!!",F1204="NEW"),"",COUNTBLANK(OFFSET(A$1,,,SUMPRODUCT(MAX(ROW(E$2:E1204)*(E1204=E$2:E1204)))))-COUNTBLANK(OFFSET(A$1,,,SUMPRODUCT(MAX(ROW(E$1:E1203)*(E2=E$1:E1203))))))</f>
        <v/>
      </c>
      <c r="K1204" s="24" t="str">
        <f>IF(OR(E1204="",E1204="!!!",F1204="NEW"),"",INDEX(J$1:J1203,SUMPRODUCT(MAX(ROW(E$1:E1203)*(E1204=E$1:E1203)))))</f>
        <v/>
      </c>
      <c r="L1204" s="25"/>
    </row>
    <row r="1205" spans="1:12" x14ac:dyDescent="0.3">
      <c r="A1205" t="s">
        <v>735</v>
      </c>
      <c r="E1205" s="20" t="str">
        <f t="shared" si="132"/>
        <v/>
      </c>
      <c r="F1205" s="21" t="str">
        <f>IF(OR(E1205="",E1205="!!!"),"",IF(NOT(ISNA(VLOOKUP(E1205,E$1:E1204,1,FALSE()))),"OLD",IF(AND(E1205&lt;&gt;"",E1205&lt;&gt;"!!!"),"NEW","")))</f>
        <v/>
      </c>
      <c r="G1205" s="22" t="str">
        <f>IF(OR(E1205="",E1205="!!!"),"",IF(OR(J1205=0,AND(J1205=1,K1205=1),AND(J1205=1,I1205="SBJ"),AND(J1205=1,I1205=0)),"?IN_FOCUS",IF(J1205&lt;=2,"?ACTIVATED",IF(J1205&lt;&gt;"","?FAMILIAR",IF(F1205="NEW",IF(ISNA(VLOOKUP(E1205,#REF!,1,FALSE())),"?TYPE_IDENTIFIABLE","?REFERENTIAL"),"_")))))</f>
        <v/>
      </c>
      <c r="H1205" s="23" t="str">
        <f t="shared" ca="1" si="133"/>
        <v/>
      </c>
      <c r="I1205" s="24" t="str">
        <f>IF(OR(E1205="",E1205="!!!",F1205="NEW"),"",INDEX(B$2:B1204,-1+SUMPRODUCT(MAX(ROW(E$2:E1204)*(E1205=E$2:E1204)))))</f>
        <v/>
      </c>
      <c r="J1205" s="24" t="str">
        <f ca="1">IF(OR(E1205="",E1205="!!!",F1205="NEW"),"",COUNTBLANK(OFFSET(A$1,,,SUMPRODUCT(MAX(ROW(E$2:E1205)*(E1205=E$2:E1205)))))-COUNTBLANK(OFFSET(A$1,,,SUMPRODUCT(MAX(ROW(E$1:E1204)*(E2=E$1:E1204))))))</f>
        <v/>
      </c>
      <c r="K1205" s="24" t="str">
        <f>IF(OR(E1205="",E1205="!!!",F1205="NEW"),"",INDEX(J$1:J1204,SUMPRODUCT(MAX(ROW(E$1:E1204)*(E1205=E$1:E1204)))))</f>
        <v/>
      </c>
      <c r="L1205" s="25"/>
    </row>
    <row r="1206" spans="1:12" x14ac:dyDescent="0.3">
      <c r="A1206" t="s">
        <v>736</v>
      </c>
      <c r="B1206" s="26" t="s">
        <v>292</v>
      </c>
      <c r="C1206" s="26" t="s">
        <v>262</v>
      </c>
      <c r="E1206" s="20" t="str">
        <f t="shared" si="132"/>
        <v/>
      </c>
      <c r="F1206" s="21" t="str">
        <f>IF(OR(E1206="",E1206="!!!"),"",IF(NOT(ISNA(VLOOKUP(E1206,E$1:E1205,1,FALSE()))),"OLD",IF(AND(E1206&lt;&gt;"",E1206&lt;&gt;"!!!"),"NEW","")))</f>
        <v/>
      </c>
      <c r="G1206" s="22" t="str">
        <f>IF(OR(E1206="",E1206="!!!"),"",IF(OR(J1206=0,AND(J1206=1,K1206=1),AND(J1206=1,I1206="SBJ"),AND(J1206=1,I1206=0)),"?IN_FOCUS",IF(J1206&lt;=2,"?ACTIVATED",IF(J1206&lt;&gt;"","?FAMILIAR",IF(F1206="NEW",IF(ISNA(VLOOKUP(E1206,#REF!,1,FALSE())),"?TYPE_IDENTIFIABLE","?REFERENTIAL"),"_")))))</f>
        <v/>
      </c>
      <c r="H1206" s="23" t="str">
        <f t="shared" ca="1" si="133"/>
        <v/>
      </c>
      <c r="I1206" s="24" t="str">
        <f>IF(OR(E1206="",E1206="!!!",F1206="NEW"),"",INDEX(B$2:B1205,-1+SUMPRODUCT(MAX(ROW(E$2:E1205)*(E1206=E$2:E1205)))))</f>
        <v/>
      </c>
      <c r="J1206" s="24" t="str">
        <f ca="1">IF(OR(E1206="",E1206="!!!",F1206="NEW"),"",COUNTBLANK(OFFSET(A$1,,,SUMPRODUCT(MAX(ROW(E$2:E1206)*(E1206=E$2:E1206)))))-COUNTBLANK(OFFSET(A$1,,,SUMPRODUCT(MAX(ROW(E$1:E1205)*(E2=E$1:E1205))))))</f>
        <v/>
      </c>
      <c r="K1206" s="24" t="str">
        <f>IF(OR(E1206="",E1206="!!!",F1206="NEW"),"",INDEX(J$1:J1205,SUMPRODUCT(MAX(ROW(E$1:E1205)*(E1206=E$1:E1205)))))</f>
        <v/>
      </c>
      <c r="L1206" s="25"/>
    </row>
    <row r="1207" spans="1:12" x14ac:dyDescent="0.3">
      <c r="A1207" t="s">
        <v>737</v>
      </c>
      <c r="E1207" s="20" t="str">
        <f t="shared" si="132"/>
        <v/>
      </c>
      <c r="F1207" s="21" t="str">
        <f>IF(OR(E1207="",E1207="!!!"),"",IF(NOT(ISNA(VLOOKUP(E1207,E$1:E1206,1,FALSE()))),"OLD",IF(AND(E1207&lt;&gt;"",E1207&lt;&gt;"!!!"),"NEW","")))</f>
        <v/>
      </c>
      <c r="G1207" s="22" t="str">
        <f>IF(OR(E1207="",E1207="!!!"),"",IF(OR(J1207=0,AND(J1207=1,K1207=1),AND(J1207=1,I1207="SBJ"),AND(J1207=1,I1207=0)),"?IN_FOCUS",IF(J1207&lt;=2,"?ACTIVATED",IF(J1207&lt;&gt;"","?FAMILIAR",IF(F1207="NEW",IF(ISNA(VLOOKUP(E1207,#REF!,1,FALSE())),"?TYPE_IDENTIFIABLE","?REFERENTIAL"),"_")))))</f>
        <v/>
      </c>
      <c r="H1207" s="23" t="str">
        <f t="shared" ca="1" si="133"/>
        <v/>
      </c>
      <c r="I1207" s="24" t="str">
        <f>IF(OR(E1207="",E1207="!!!",F1207="NEW"),"",INDEX(B$2:B1206,-1+SUMPRODUCT(MAX(ROW(E$2:E1206)*(E1207=E$2:E1206)))))</f>
        <v/>
      </c>
      <c r="J1207" s="24" t="str">
        <f ca="1">IF(OR(E1207="",E1207="!!!",F1207="NEW"),"",COUNTBLANK(OFFSET(A$1,,,SUMPRODUCT(MAX(ROW(E$2:E1207)*(E1207=E$2:E1207)))))-COUNTBLANK(OFFSET(A$1,,,SUMPRODUCT(MAX(ROW(E$1:E1206)*(E2=E$1:E1206))))))</f>
        <v/>
      </c>
      <c r="K1207" s="24" t="str">
        <f>IF(OR(E1207="",E1207="!!!",F1207="NEW"),"",INDEX(J$1:J1206,SUMPRODUCT(MAX(ROW(E$1:E1206)*(E1207=E$1:E1206)))))</f>
        <v/>
      </c>
      <c r="L1207" s="25"/>
    </row>
    <row r="1208" spans="1:12" x14ac:dyDescent="0.3">
      <c r="A1208" t="s">
        <v>252</v>
      </c>
      <c r="E1208" s="20" t="str">
        <f t="shared" si="132"/>
        <v/>
      </c>
      <c r="F1208" s="21" t="str">
        <f>IF(OR(E1208="",E1208="!!!"),"",IF(NOT(ISNA(VLOOKUP(E1208,E$1:E1207,1,FALSE()))),"OLD",IF(AND(E1208&lt;&gt;"",E1208&lt;&gt;"!!!"),"NEW","")))</f>
        <v/>
      </c>
      <c r="G1208" s="22" t="str">
        <f>IF(OR(E1208="",E1208="!!!"),"",IF(OR(J1208=0,AND(J1208=1,K1208=1),AND(J1208=1,I1208="SBJ"),AND(J1208=1,I1208=0)),"?IN_FOCUS",IF(J1208&lt;=2,"?ACTIVATED",IF(J1208&lt;&gt;"","?FAMILIAR",IF(F1208="NEW",IF(ISNA(VLOOKUP(E1208,#REF!,1,FALSE())),"?TYPE_IDENTIFIABLE","?REFERENTIAL"),"_")))))</f>
        <v/>
      </c>
      <c r="H1208" s="23" t="str">
        <f t="shared" ca="1" si="133"/>
        <v/>
      </c>
      <c r="I1208" s="24" t="str">
        <f>IF(OR(E1208="",E1208="!!!",F1208="NEW"),"",INDEX(B$2:B1207,-1+SUMPRODUCT(MAX(ROW(E$2:E1207)*(E1208=E$2:E1207)))))</f>
        <v/>
      </c>
      <c r="J1208" s="24" t="str">
        <f ca="1">IF(OR(E1208="",E1208="!!!",F1208="NEW"),"",COUNTBLANK(OFFSET(A$1,,,SUMPRODUCT(MAX(ROW(E$2:E1208)*(E1208=E$2:E1208)))))-COUNTBLANK(OFFSET(A$1,,,SUMPRODUCT(MAX(ROW(E$1:E1207)*(E2=E$1:E1207))))))</f>
        <v/>
      </c>
      <c r="K1208" s="24" t="str">
        <f>IF(OR(E1208="",E1208="!!!",F1208="NEW"),"",INDEX(J$1:J1207,SUMPRODUCT(MAX(ROW(E$1:E1207)*(E1208=E$1:E1207)))))</f>
        <v/>
      </c>
      <c r="L1208" s="25"/>
    </row>
    <row r="1209" spans="1:12" x14ac:dyDescent="0.3">
      <c r="A1209" t="s">
        <v>257</v>
      </c>
      <c r="E1209" s="20" t="str">
        <f t="shared" si="132"/>
        <v/>
      </c>
      <c r="F1209" s="21" t="str">
        <f>IF(OR(E1209="",E1209="!!!"),"",IF(NOT(ISNA(VLOOKUP(E1209,E$1:E1208,1,FALSE()))),"OLD",IF(AND(E1209&lt;&gt;"",E1209&lt;&gt;"!!!"),"NEW","")))</f>
        <v/>
      </c>
      <c r="G1209" s="22" t="str">
        <f>IF(OR(E1209="",E1209="!!!"),"",IF(OR(J1209=0,AND(J1209=1,K1209=1),AND(J1209=1,I1209="SBJ"),AND(J1209=1,I1209=0)),"?IN_FOCUS",IF(J1209&lt;=2,"?ACTIVATED",IF(J1209&lt;&gt;"","?FAMILIAR",IF(F1209="NEW",IF(ISNA(VLOOKUP(E1209,#REF!,1,FALSE())),"?TYPE_IDENTIFIABLE","?REFERENTIAL"),"_")))))</f>
        <v/>
      </c>
      <c r="H1209" s="23" t="str">
        <f t="shared" ca="1" si="133"/>
        <v/>
      </c>
      <c r="I1209" s="24" t="str">
        <f>IF(OR(E1209="",E1209="!!!",F1209="NEW"),"",INDEX(B$2:B1208,-1+SUMPRODUCT(MAX(ROW(E$2:E1208)*(E1209=E$2:E1208)))))</f>
        <v/>
      </c>
      <c r="J1209" s="24" t="str">
        <f ca="1">IF(OR(E1209="",E1209="!!!",F1209="NEW"),"",COUNTBLANK(OFFSET(A$1,,,SUMPRODUCT(MAX(ROW(E$2:E1209)*(E1209=E$2:E1209)))))-COUNTBLANK(OFFSET(A$1,,,SUMPRODUCT(MAX(ROW(E$1:E1208)*(E2=E$1:E1208))))))</f>
        <v/>
      </c>
      <c r="K1209" s="24" t="str">
        <f>IF(OR(E1209="",E1209="!!!",F1209="NEW"),"",INDEX(J$1:J1208,SUMPRODUCT(MAX(ROW(E$1:E1208)*(E1209=E$1:E1208)))))</f>
        <v/>
      </c>
      <c r="L1209" s="25"/>
    </row>
    <row r="1210" spans="1:12" x14ac:dyDescent="0.3">
      <c r="A1210" t="s">
        <v>738</v>
      </c>
      <c r="B1210" s="26" t="s">
        <v>238</v>
      </c>
      <c r="C1210" s="26" t="s">
        <v>294</v>
      </c>
      <c r="D1210" s="26" t="s">
        <v>240</v>
      </c>
      <c r="E1210" s="20" t="str">
        <f t="shared" si="132"/>
        <v>!!!</v>
      </c>
      <c r="F1210" s="21" t="str">
        <f>IF(OR(E1210="",E1210="!!!"),"",IF(NOT(ISNA(VLOOKUP(E1210,E$1:E1209,1,FALSE()))),"OLD",IF(AND(E1210&lt;&gt;"",E1210&lt;&gt;"!!!"),"NEW","")))</f>
        <v/>
      </c>
      <c r="G1210" s="22" t="str">
        <f>IF(OR(E1210="",E1210="!!!"),"",IF(OR(J1210=0,AND(J1210=1,K1210=1),AND(J1210=1,I1210="SBJ"),AND(J1210=1,I1210=0)),"?IN_FOCUS",IF(J1210&lt;=2,"?ACTIVATED",IF(J1210&lt;&gt;"","?FAMILIAR",IF(F1210="NEW",IF(ISNA(VLOOKUP(E1210,#REF!,1,FALSE())),"?TYPE_IDENTIFIABLE","?REFERENTIAL"),"_")))))</f>
        <v/>
      </c>
      <c r="H1210" s="23" t="str">
        <f t="shared" ca="1" si="133"/>
        <v/>
      </c>
      <c r="I1210" s="24" t="str">
        <f>IF(OR(E1210="",E1210="!!!",F1210="NEW"),"",INDEX(B$2:B1209,-1+SUMPRODUCT(MAX(ROW(E$2:E1209)*(E1210=E$2:E1209)))))</f>
        <v/>
      </c>
      <c r="J1210" s="24" t="str">
        <f ca="1">IF(OR(E1210="",E1210="!!!",F1210="NEW"),"",COUNTBLANK(OFFSET(A$1,,,SUMPRODUCT(MAX(ROW(E$2:E1210)*(E1210=E$2:E1210)))))-COUNTBLANK(OFFSET(A$1,,,SUMPRODUCT(MAX(ROW(E$1:E1209)*(E2=E$1:E1209))))))</f>
        <v/>
      </c>
      <c r="K1210" s="24" t="str">
        <f>IF(OR(E1210="",E1210="!!!",F1210="NEW"),"",INDEX(J$1:J1209,SUMPRODUCT(MAX(ROW(E$1:E1209)*(E1210=E$1:E1209)))))</f>
        <v/>
      </c>
      <c r="L1210" s="25"/>
    </row>
    <row r="1211" spans="1:12" x14ac:dyDescent="0.3">
      <c r="A1211" t="s">
        <v>361</v>
      </c>
      <c r="E1211" s="20" t="str">
        <f t="shared" si="132"/>
        <v/>
      </c>
      <c r="F1211" s="21" t="str">
        <f>IF(OR(E1211="",E1211="!!!"),"",IF(NOT(ISNA(VLOOKUP(E1211,E$1:E1210,1,FALSE()))),"OLD",IF(AND(E1211&lt;&gt;"",E1211&lt;&gt;"!!!"),"NEW","")))</f>
        <v/>
      </c>
      <c r="G1211" s="22" t="str">
        <f>IF(OR(E1211="",E1211="!!!"),"",IF(OR(J1211=0,AND(J1211=1,K1211=1),AND(J1211=1,I1211="SBJ"),AND(J1211=1,I1211=0)),"?IN_FOCUS",IF(J1211&lt;=2,"?ACTIVATED",IF(J1211&lt;&gt;"","?FAMILIAR",IF(F1211="NEW",IF(ISNA(VLOOKUP(E1211,#REF!,1,FALSE())),"?TYPE_IDENTIFIABLE","?REFERENTIAL"),"_")))))</f>
        <v/>
      </c>
      <c r="H1211" s="23" t="str">
        <f t="shared" ca="1" si="133"/>
        <v/>
      </c>
      <c r="I1211" s="24" t="str">
        <f>IF(OR(E1211="",E1211="!!!",F1211="NEW"),"",INDEX(B$2:B1210,-1+SUMPRODUCT(MAX(ROW(E$2:E1210)*(E1211=E$2:E1210)))))</f>
        <v/>
      </c>
      <c r="J1211" s="24" t="str">
        <f ca="1">IF(OR(E1211="",E1211="!!!",F1211="NEW"),"",COUNTBLANK(OFFSET(A$1,,,SUMPRODUCT(MAX(ROW(E$2:E1211)*(E1211=E$2:E1211)))))-COUNTBLANK(OFFSET(A$1,,,SUMPRODUCT(MAX(ROW(E$1:E1210)*(E2=E$1:E1210))))))</f>
        <v/>
      </c>
      <c r="K1211" s="24" t="str">
        <f>IF(OR(E1211="",E1211="!!!",F1211="NEW"),"",INDEX(J$1:J1210,SUMPRODUCT(MAX(ROW(E$1:E1210)*(E1211=E$1:E1210)))))</f>
        <v/>
      </c>
      <c r="L1211" s="25"/>
    </row>
    <row r="1212" spans="1:12" x14ac:dyDescent="0.3">
      <c r="A1212" t="s">
        <v>739</v>
      </c>
      <c r="B1212" s="26" t="s">
        <v>261</v>
      </c>
      <c r="C1212" s="26" t="s">
        <v>294</v>
      </c>
      <c r="D1212" s="26" t="s">
        <v>240</v>
      </c>
      <c r="E1212" s="20" t="str">
        <f t="shared" si="132"/>
        <v>!!!</v>
      </c>
      <c r="F1212" s="21" t="str">
        <f>IF(OR(E1212="",E1212="!!!"),"",IF(NOT(ISNA(VLOOKUP(E1212,E$1:E1211,1,FALSE()))),"OLD",IF(AND(E1212&lt;&gt;"",E1212&lt;&gt;"!!!"),"NEW","")))</f>
        <v/>
      </c>
      <c r="G1212" s="22" t="str">
        <f>IF(OR(E1212="",E1212="!!!"),"",IF(OR(J1212=0,AND(J1212=1,K1212=1),AND(J1212=1,I1212="SBJ"),AND(J1212=1,I1212=0)),"?IN_FOCUS",IF(J1212&lt;=2,"?ACTIVATED",IF(J1212&lt;&gt;"","?FAMILIAR",IF(F1212="NEW",IF(ISNA(VLOOKUP(E1212,#REF!,1,FALSE())),"?TYPE_IDENTIFIABLE","?REFERENTIAL"),"_")))))</f>
        <v/>
      </c>
      <c r="H1212" s="23" t="str">
        <f t="shared" ca="1" si="133"/>
        <v/>
      </c>
      <c r="I1212" s="24" t="str">
        <f>IF(OR(E1212="",E1212="!!!",F1212="NEW"),"",INDEX(B$2:B1211,-1+SUMPRODUCT(MAX(ROW(E$2:E1211)*(E1212=E$2:E1211)))))</f>
        <v/>
      </c>
      <c r="J1212" s="24" t="str">
        <f ca="1">IF(OR(E1212="",E1212="!!!",F1212="NEW"),"",COUNTBLANK(OFFSET(A$1,,,SUMPRODUCT(MAX(ROW(E$2:E1212)*(E1212=E$2:E1212)))))-COUNTBLANK(OFFSET(A$1,,,SUMPRODUCT(MAX(ROW(E$1:E1211)*(E2=E$1:E1211))))))</f>
        <v/>
      </c>
      <c r="K1212" s="24" t="str">
        <f>IF(OR(E1212="",E1212="!!!",F1212="NEW"),"",INDEX(J$1:J1211,SUMPRODUCT(MAX(ROW(E$1:E1211)*(E1212=E$1:E1211)))))</f>
        <v/>
      </c>
      <c r="L1212" s="25"/>
    </row>
    <row r="1213" spans="1:12" x14ac:dyDescent="0.3">
      <c r="A1213" t="s">
        <v>740</v>
      </c>
      <c r="E1213" s="20" t="str">
        <f t="shared" si="132"/>
        <v/>
      </c>
      <c r="F1213" s="21" t="str">
        <f>IF(OR(E1213="",E1213="!!!"),"",IF(NOT(ISNA(VLOOKUP(E1213,E$1:E1212,1,FALSE()))),"OLD",IF(AND(E1213&lt;&gt;"",E1213&lt;&gt;"!!!"),"NEW","")))</f>
        <v/>
      </c>
      <c r="G1213" s="22" t="str">
        <f>IF(OR(E1213="",E1213="!!!"),"",IF(OR(J1213=0,AND(J1213=1,K1213=1),AND(J1213=1,I1213="SBJ"),AND(J1213=1,I1213=0)),"?IN_FOCUS",IF(J1213&lt;=2,"?ACTIVATED",IF(J1213&lt;&gt;"","?FAMILIAR",IF(F1213="NEW",IF(ISNA(VLOOKUP(E1213,#REF!,1,FALSE())),"?TYPE_IDENTIFIABLE","?REFERENTIAL"),"_")))))</f>
        <v/>
      </c>
      <c r="H1213" s="23" t="str">
        <f t="shared" ca="1" si="133"/>
        <v/>
      </c>
      <c r="I1213" s="24" t="str">
        <f>IF(OR(E1213="",E1213="!!!",F1213="NEW"),"",INDEX(B$2:B1212,-1+SUMPRODUCT(MAX(ROW(E$2:E1212)*(E1213=E$2:E1212)))))</f>
        <v/>
      </c>
      <c r="J1213" s="24" t="str">
        <f ca="1">IF(OR(E1213="",E1213="!!!",F1213="NEW"),"",COUNTBLANK(OFFSET(A$1,,,SUMPRODUCT(MAX(ROW(E$2:E1213)*(E1213=E$2:E1213)))))-COUNTBLANK(OFFSET(A$1,,,SUMPRODUCT(MAX(ROW(E$1:E1212)*(E2=E$1:E1212))))))</f>
        <v/>
      </c>
      <c r="K1213" s="24" t="str">
        <f>IF(OR(E1213="",E1213="!!!",F1213="NEW"),"",INDEX(J$1:J1212,SUMPRODUCT(MAX(ROW(E$1:E1212)*(E1213=E$1:E1212)))))</f>
        <v/>
      </c>
      <c r="L1213" s="25"/>
    </row>
    <row r="1214" spans="1:12" x14ac:dyDescent="0.3">
      <c r="A1214" t="s">
        <v>248</v>
      </c>
      <c r="E1214" s="20" t="str">
        <f t="shared" si="132"/>
        <v/>
      </c>
      <c r="F1214" s="21" t="str">
        <f>IF(OR(E1214="",E1214="!!!"),"",IF(NOT(ISNA(VLOOKUP(E1214,E$1:E1213,1,FALSE()))),"OLD",IF(AND(E1214&lt;&gt;"",E1214&lt;&gt;"!!!"),"NEW","")))</f>
        <v/>
      </c>
      <c r="G1214" s="22" t="str">
        <f>IF(OR(E1214="",E1214="!!!"),"",IF(OR(J1214=0,AND(J1214=1,K1214=1),AND(J1214=1,I1214="SBJ"),AND(J1214=1,I1214=0)),"?IN_FOCUS",IF(J1214&lt;=2,"?ACTIVATED",IF(J1214&lt;&gt;"","?FAMILIAR",IF(F1214="NEW",IF(ISNA(VLOOKUP(E1214,#REF!,1,FALSE())),"?TYPE_IDENTIFIABLE","?REFERENTIAL"),"_")))))</f>
        <v/>
      </c>
      <c r="H1214" s="23" t="str">
        <f t="shared" ca="1" si="133"/>
        <v/>
      </c>
      <c r="I1214" s="24" t="str">
        <f>IF(OR(E1214="",E1214="!!!",F1214="NEW"),"",INDEX(B$2:B1213,-1+SUMPRODUCT(MAX(ROW(E$2:E1213)*(E1214=E$2:E1213)))))</f>
        <v/>
      </c>
      <c r="J1214" s="24" t="str">
        <f ca="1">IF(OR(E1214="",E1214="!!!",F1214="NEW"),"",COUNTBLANK(OFFSET(A$1,,,SUMPRODUCT(MAX(ROW(E$2:E1214)*(E1214=E$2:E1214)))))-COUNTBLANK(OFFSET(A$1,,,SUMPRODUCT(MAX(ROW(E$1:E1213)*(E2=E$1:E1213))))))</f>
        <v/>
      </c>
      <c r="K1214" s="24" t="str">
        <f>IF(OR(E1214="",E1214="!!!",F1214="NEW"),"",INDEX(J$1:J1213,SUMPRODUCT(MAX(ROW(E$1:E1213)*(E1214=E$1:E1213)))))</f>
        <v/>
      </c>
      <c r="L1214" s="25"/>
    </row>
    <row r="1216" spans="1:12" x14ac:dyDescent="0.3">
      <c r="A1216" t="s">
        <v>741</v>
      </c>
    </row>
    <row r="1217" spans="1:12" x14ac:dyDescent="0.3">
      <c r="A1217" t="s">
        <v>345</v>
      </c>
      <c r="B1217" s="26" t="s">
        <v>243</v>
      </c>
      <c r="C1217" s="26" t="s">
        <v>346</v>
      </c>
      <c r="D1217" s="26" t="s">
        <v>240</v>
      </c>
      <c r="E1217" s="20" t="str">
        <f t="shared" ref="E1217:E1227" si="134">IF(D1217="?OLD","!!!","")</f>
        <v>!!!</v>
      </c>
      <c r="F1217" s="21" t="str">
        <f>IF(OR(E1217="",E1217="!!!"),"",IF(NOT(ISNA(VLOOKUP(E1217,E$1:E1216,1,FALSE()))),"OLD",IF(AND(E1217&lt;&gt;"",E1217&lt;&gt;"!!!"),"NEW","")))</f>
        <v/>
      </c>
      <c r="G1217" s="22" t="str">
        <f>IF(OR(E1217="",E1217="!!!"),"",IF(OR(J1217=0,AND(J1217=1,K1217=1),AND(J1217=1,I1217="SBJ"),AND(J1217=1,I1217=0)),"?IN_FOCUS",IF(J1217&lt;=2,"?ACTIVATED",IF(J1217&lt;&gt;"","?FAMILIAR",IF(F1217="NEW",IF(ISNA(VLOOKUP(E1217,#REF!,1,FALSE())),"?TYPE_IDENTIFIABLE","?REFERENTIAL"),"_")))))</f>
        <v/>
      </c>
      <c r="H1217" s="23" t="str">
        <f t="shared" ref="H1217:H1227" ca="1" si="135">IF(J1217&lt;&gt;1,"",IF(I1217="SBJ","CB","?"))</f>
        <v/>
      </c>
      <c r="I1217" s="24" t="str">
        <f>IF(OR(E1217="",E1217="!!!",F1217="NEW"),"",INDEX(B$2:B1216,-1+SUMPRODUCT(MAX(ROW(E$2:E1216)*(E1217=E$2:E1216)))))</f>
        <v/>
      </c>
      <c r="J1217" s="24" t="str">
        <f ca="1">IF(OR(E1217="",E1217="!!!",F1217="NEW"),"",COUNTBLANK(OFFSET(A$1,,,SUMPRODUCT(MAX(ROW(E$2:E1217)*(E1217=E$2:E1217)))))-COUNTBLANK(OFFSET(A$1,,,SUMPRODUCT(MAX(ROW(E$1:E1216)*(E2=E$1:E1216))))))</f>
        <v/>
      </c>
      <c r="K1217" s="24" t="str">
        <f>IF(OR(E1217="",E1217="!!!",F1217="NEW"),"",INDEX(J$1:J1216,SUMPRODUCT(MAX(ROW(E$1:E1216)*(E1217=E$1:E1216)))))</f>
        <v/>
      </c>
      <c r="L1217" s="25"/>
    </row>
    <row r="1218" spans="1:12" x14ac:dyDescent="0.3">
      <c r="A1218" t="s">
        <v>406</v>
      </c>
      <c r="E1218" s="20" t="str">
        <f t="shared" si="134"/>
        <v/>
      </c>
      <c r="F1218" s="21" t="str">
        <f>IF(OR(E1218="",E1218="!!!"),"",IF(NOT(ISNA(VLOOKUP(E1218,E$1:E1217,1,FALSE()))),"OLD",IF(AND(E1218&lt;&gt;"",E1218&lt;&gt;"!!!"),"NEW","")))</f>
        <v/>
      </c>
      <c r="G1218" s="22" t="str">
        <f>IF(OR(E1218="",E1218="!!!"),"",IF(OR(J1218=0,AND(J1218=1,K1218=1),AND(J1218=1,I1218="SBJ"),AND(J1218=1,I1218=0)),"?IN_FOCUS",IF(J1218&lt;=2,"?ACTIVATED",IF(J1218&lt;&gt;"","?FAMILIAR",IF(F1218="NEW",IF(ISNA(VLOOKUP(E1218,#REF!,1,FALSE())),"?TYPE_IDENTIFIABLE","?REFERENTIAL"),"_")))))</f>
        <v/>
      </c>
      <c r="H1218" s="23" t="str">
        <f t="shared" ca="1" si="135"/>
        <v/>
      </c>
      <c r="I1218" s="24" t="str">
        <f>IF(OR(E1218="",E1218="!!!",F1218="NEW"),"",INDEX(B$2:B1217,-1+SUMPRODUCT(MAX(ROW(E$2:E1217)*(E1218=E$2:E1217)))))</f>
        <v/>
      </c>
      <c r="J1218" s="24" t="str">
        <f ca="1">IF(OR(E1218="",E1218="!!!",F1218="NEW"),"",COUNTBLANK(OFFSET(A$1,,,SUMPRODUCT(MAX(ROW(E$2:E1218)*(E1218=E$2:E1218)))))-COUNTBLANK(OFFSET(A$1,,,SUMPRODUCT(MAX(ROW(E$1:E1217)*(E2=E$1:E1217))))))</f>
        <v/>
      </c>
      <c r="K1218" s="24" t="str">
        <f>IF(OR(E1218="",E1218="!!!",F1218="NEW"),"",INDEX(J$1:J1217,SUMPRODUCT(MAX(ROW(E$1:E1217)*(E1218=E$1:E1217)))))</f>
        <v/>
      </c>
      <c r="L1218" s="25"/>
    </row>
    <row r="1219" spans="1:12" x14ac:dyDescent="0.3">
      <c r="A1219" t="s">
        <v>742</v>
      </c>
      <c r="E1219" s="20" t="str">
        <f t="shared" si="134"/>
        <v/>
      </c>
      <c r="F1219" s="21" t="str">
        <f>IF(OR(E1219="",E1219="!!!"),"",IF(NOT(ISNA(VLOOKUP(E1219,E$1:E1218,1,FALSE()))),"OLD",IF(AND(E1219&lt;&gt;"",E1219&lt;&gt;"!!!"),"NEW","")))</f>
        <v/>
      </c>
      <c r="G1219" s="22" t="str">
        <f>IF(OR(E1219="",E1219="!!!"),"",IF(OR(J1219=0,AND(J1219=1,K1219=1),AND(J1219=1,I1219="SBJ"),AND(J1219=1,I1219=0)),"?IN_FOCUS",IF(J1219&lt;=2,"?ACTIVATED",IF(J1219&lt;&gt;"","?FAMILIAR",IF(F1219="NEW",IF(ISNA(VLOOKUP(E1219,#REF!,1,FALSE())),"?TYPE_IDENTIFIABLE","?REFERENTIAL"),"_")))))</f>
        <v/>
      </c>
      <c r="H1219" s="23" t="str">
        <f t="shared" ca="1" si="135"/>
        <v/>
      </c>
      <c r="I1219" s="24" t="str">
        <f>IF(OR(E1219="",E1219="!!!",F1219="NEW"),"",INDEX(B$2:B1218,-1+SUMPRODUCT(MAX(ROW(E$2:E1218)*(E1219=E$2:E1218)))))</f>
        <v/>
      </c>
      <c r="J1219" s="24" t="str">
        <f ca="1">IF(OR(E1219="",E1219="!!!",F1219="NEW"),"",COUNTBLANK(OFFSET(A$1,,,SUMPRODUCT(MAX(ROW(E$2:E1219)*(E1219=E$2:E1219)))))-COUNTBLANK(OFFSET(A$1,,,SUMPRODUCT(MAX(ROW(E$1:E1218)*(E2=E$1:E1218))))))</f>
        <v/>
      </c>
      <c r="K1219" s="24" t="str">
        <f>IF(OR(E1219="",E1219="!!!",F1219="NEW"),"",INDEX(J$1:J1218,SUMPRODUCT(MAX(ROW(E$1:E1218)*(E1219=E$1:E1218)))))</f>
        <v/>
      </c>
      <c r="L1219" s="25"/>
    </row>
    <row r="1220" spans="1:12" x14ac:dyDescent="0.3">
      <c r="A1220" t="s">
        <v>661</v>
      </c>
      <c r="B1220" s="26" t="s">
        <v>238</v>
      </c>
      <c r="C1220" s="26" t="s">
        <v>307</v>
      </c>
      <c r="E1220" s="20" t="str">
        <f t="shared" si="134"/>
        <v/>
      </c>
      <c r="F1220" s="21" t="str">
        <f>IF(OR(E1220="",E1220="!!!"),"",IF(NOT(ISNA(VLOOKUP(E1220,E$1:E1219,1,FALSE()))),"OLD",IF(AND(E1220&lt;&gt;"",E1220&lt;&gt;"!!!"),"NEW","")))</f>
        <v/>
      </c>
      <c r="G1220" s="22" t="str">
        <f>IF(OR(E1220="",E1220="!!!"),"",IF(OR(J1220=0,AND(J1220=1,K1220=1),AND(J1220=1,I1220="SBJ"),AND(J1220=1,I1220=0)),"?IN_FOCUS",IF(J1220&lt;=2,"?ACTIVATED",IF(J1220&lt;&gt;"","?FAMILIAR",IF(F1220="NEW",IF(ISNA(VLOOKUP(E1220,#REF!,1,FALSE())),"?TYPE_IDENTIFIABLE","?REFERENTIAL"),"_")))))</f>
        <v/>
      </c>
      <c r="H1220" s="23" t="str">
        <f t="shared" ca="1" si="135"/>
        <v/>
      </c>
      <c r="I1220" s="24" t="str">
        <f>IF(OR(E1220="",E1220="!!!",F1220="NEW"),"",INDEX(B$2:B1219,-1+SUMPRODUCT(MAX(ROW(E$2:E1219)*(E1220=E$2:E1219)))))</f>
        <v/>
      </c>
      <c r="J1220" s="24" t="str">
        <f ca="1">IF(OR(E1220="",E1220="!!!",F1220="NEW"),"",COUNTBLANK(OFFSET(A$1,,,SUMPRODUCT(MAX(ROW(E$2:E1220)*(E1220=E$2:E1220)))))-COUNTBLANK(OFFSET(A$1,,,SUMPRODUCT(MAX(ROW(E$1:E1219)*(E2=E$1:E1219))))))</f>
        <v/>
      </c>
      <c r="K1220" s="24" t="str">
        <f>IF(OR(E1220="",E1220="!!!",F1220="NEW"),"",INDEX(J$1:J1219,SUMPRODUCT(MAX(ROW(E$1:E1219)*(E1220=E$1:E1219)))))</f>
        <v/>
      </c>
      <c r="L1220" s="25"/>
    </row>
    <row r="1221" spans="1:12" x14ac:dyDescent="0.3">
      <c r="A1221" t="s">
        <v>269</v>
      </c>
      <c r="E1221" s="20" t="str">
        <f t="shared" si="134"/>
        <v/>
      </c>
      <c r="F1221" s="21" t="str">
        <f>IF(OR(E1221="",E1221="!!!"),"",IF(NOT(ISNA(VLOOKUP(E1221,E$1:E1220,1,FALSE()))),"OLD",IF(AND(E1221&lt;&gt;"",E1221&lt;&gt;"!!!"),"NEW","")))</f>
        <v/>
      </c>
      <c r="G1221" s="22" t="str">
        <f>IF(OR(E1221="",E1221="!!!"),"",IF(OR(J1221=0,AND(J1221=1,K1221=1),AND(J1221=1,I1221="SBJ"),AND(J1221=1,I1221=0)),"?IN_FOCUS",IF(J1221&lt;=2,"?ACTIVATED",IF(J1221&lt;&gt;"","?FAMILIAR",IF(F1221="NEW",IF(ISNA(VLOOKUP(E1221,#REF!,1,FALSE())),"?TYPE_IDENTIFIABLE","?REFERENTIAL"),"_")))))</f>
        <v/>
      </c>
      <c r="H1221" s="23" t="str">
        <f t="shared" ca="1" si="135"/>
        <v/>
      </c>
      <c r="I1221" s="24" t="str">
        <f>IF(OR(E1221="",E1221="!!!",F1221="NEW"),"",INDEX(B$2:B1220,-1+SUMPRODUCT(MAX(ROW(E$2:E1220)*(E1221=E$2:E1220)))))</f>
        <v/>
      </c>
      <c r="J1221" s="24" t="str">
        <f ca="1">IF(OR(E1221="",E1221="!!!",F1221="NEW"),"",COUNTBLANK(OFFSET(A$1,,,SUMPRODUCT(MAX(ROW(E$2:E1221)*(E1221=E$2:E1221)))))-COUNTBLANK(OFFSET(A$1,,,SUMPRODUCT(MAX(ROW(E$1:E1220)*(E2=E$1:E1220))))))</f>
        <v/>
      </c>
      <c r="K1221" s="24" t="str">
        <f>IF(OR(E1221="",E1221="!!!",F1221="NEW"),"",INDEX(J$1:J1220,SUMPRODUCT(MAX(ROW(E$1:E1220)*(E1221=E$1:E1220)))))</f>
        <v/>
      </c>
      <c r="L1221" s="25"/>
    </row>
    <row r="1222" spans="1:12" x14ac:dyDescent="0.3">
      <c r="A1222" t="s">
        <v>658</v>
      </c>
      <c r="B1222" s="26" t="s">
        <v>238</v>
      </c>
      <c r="C1222" s="26" t="s">
        <v>262</v>
      </c>
      <c r="E1222" s="20" t="str">
        <f t="shared" si="134"/>
        <v/>
      </c>
      <c r="F1222" s="21" t="str">
        <f>IF(OR(E1222="",E1222="!!!"),"",IF(NOT(ISNA(VLOOKUP(E1222,E$1:E1221,1,FALSE()))),"OLD",IF(AND(E1222&lt;&gt;"",E1222&lt;&gt;"!!!"),"NEW","")))</f>
        <v/>
      </c>
      <c r="G1222" s="22" t="str">
        <f>IF(OR(E1222="",E1222="!!!"),"",IF(OR(J1222=0,AND(J1222=1,K1222=1),AND(J1222=1,I1222="SBJ"),AND(J1222=1,I1222=0)),"?IN_FOCUS",IF(J1222&lt;=2,"?ACTIVATED",IF(J1222&lt;&gt;"","?FAMILIAR",IF(F1222="NEW",IF(ISNA(VLOOKUP(E1222,#REF!,1,FALSE())),"?TYPE_IDENTIFIABLE","?REFERENTIAL"),"_")))))</f>
        <v/>
      </c>
      <c r="H1222" s="23" t="str">
        <f t="shared" ca="1" si="135"/>
        <v/>
      </c>
      <c r="I1222" s="24" t="str">
        <f>IF(OR(E1222="",E1222="!!!",F1222="NEW"),"",INDEX(B$2:B1221,-1+SUMPRODUCT(MAX(ROW(E$2:E1221)*(E1222=E$2:E1221)))))</f>
        <v/>
      </c>
      <c r="J1222" s="24" t="str">
        <f ca="1">IF(OR(E1222="",E1222="!!!",F1222="NEW"),"",COUNTBLANK(OFFSET(A$1,,,SUMPRODUCT(MAX(ROW(E$2:E1222)*(E1222=E$2:E1222)))))-COUNTBLANK(OFFSET(A$1,,,SUMPRODUCT(MAX(ROW(E$1:E1221)*(E2=E$1:E1221))))))</f>
        <v/>
      </c>
      <c r="K1222" s="24" t="str">
        <f>IF(OR(E1222="",E1222="!!!",F1222="NEW"),"",INDEX(J$1:J1221,SUMPRODUCT(MAX(ROW(E$1:E1221)*(E1222=E$1:E1221)))))</f>
        <v/>
      </c>
      <c r="L1222" s="25"/>
    </row>
    <row r="1223" spans="1:12" x14ac:dyDescent="0.3">
      <c r="A1223" t="s">
        <v>257</v>
      </c>
      <c r="E1223" s="20" t="str">
        <f t="shared" si="134"/>
        <v/>
      </c>
      <c r="F1223" s="21" t="str">
        <f>IF(OR(E1223="",E1223="!!!"),"",IF(NOT(ISNA(VLOOKUP(E1223,E$1:E1222,1,FALSE()))),"OLD",IF(AND(E1223&lt;&gt;"",E1223&lt;&gt;"!!!"),"NEW","")))</f>
        <v/>
      </c>
      <c r="G1223" s="22" t="str">
        <f>IF(OR(E1223="",E1223="!!!"),"",IF(OR(J1223=0,AND(J1223=1,K1223=1),AND(J1223=1,I1223="SBJ"),AND(J1223=1,I1223=0)),"?IN_FOCUS",IF(J1223&lt;=2,"?ACTIVATED",IF(J1223&lt;&gt;"","?FAMILIAR",IF(F1223="NEW",IF(ISNA(VLOOKUP(E1223,#REF!,1,FALSE())),"?TYPE_IDENTIFIABLE","?REFERENTIAL"),"_")))))</f>
        <v/>
      </c>
      <c r="H1223" s="23" t="str">
        <f t="shared" ca="1" si="135"/>
        <v/>
      </c>
      <c r="I1223" s="24" t="str">
        <f>IF(OR(E1223="",E1223="!!!",F1223="NEW"),"",INDEX(B$2:B1222,-1+SUMPRODUCT(MAX(ROW(E$2:E1222)*(E1223=E$2:E1222)))))</f>
        <v/>
      </c>
      <c r="J1223" s="24" t="str">
        <f ca="1">IF(OR(E1223="",E1223="!!!",F1223="NEW"),"",COUNTBLANK(OFFSET(A$1,,,SUMPRODUCT(MAX(ROW(E$2:E1223)*(E1223=E$2:E1223)))))-COUNTBLANK(OFFSET(A$1,,,SUMPRODUCT(MAX(ROW(E$1:E1222)*(E2=E$1:E1222))))))</f>
        <v/>
      </c>
      <c r="K1223" s="24" t="str">
        <f>IF(OR(E1223="",E1223="!!!",F1223="NEW"),"",INDEX(J$1:J1222,SUMPRODUCT(MAX(ROW(E$1:E1222)*(E1223=E$1:E1222)))))</f>
        <v/>
      </c>
      <c r="L1223" s="25"/>
    </row>
    <row r="1224" spans="1:12" x14ac:dyDescent="0.3">
      <c r="A1224" t="s">
        <v>236</v>
      </c>
      <c r="E1224" s="20" t="str">
        <f t="shared" si="134"/>
        <v/>
      </c>
      <c r="F1224" s="21" t="str">
        <f>IF(OR(E1224="",E1224="!!!"),"",IF(NOT(ISNA(VLOOKUP(E1224,E$1:E1223,1,FALSE()))),"OLD",IF(AND(E1224&lt;&gt;"",E1224&lt;&gt;"!!!"),"NEW","")))</f>
        <v/>
      </c>
      <c r="G1224" s="22" t="str">
        <f>IF(OR(E1224="",E1224="!!!"),"",IF(OR(J1224=0,AND(J1224=1,K1224=1),AND(J1224=1,I1224="SBJ"),AND(J1224=1,I1224=0)),"?IN_FOCUS",IF(J1224&lt;=2,"?ACTIVATED",IF(J1224&lt;&gt;"","?FAMILIAR",IF(F1224="NEW",IF(ISNA(VLOOKUP(E1224,#REF!,1,FALSE())),"?TYPE_IDENTIFIABLE","?REFERENTIAL"),"_")))))</f>
        <v/>
      </c>
      <c r="H1224" s="23" t="str">
        <f t="shared" ca="1" si="135"/>
        <v/>
      </c>
      <c r="I1224" s="24" t="str">
        <f>IF(OR(E1224="",E1224="!!!",F1224="NEW"),"",INDEX(B$2:B1223,-1+SUMPRODUCT(MAX(ROW(E$2:E1223)*(E1224=E$2:E1223)))))</f>
        <v/>
      </c>
      <c r="J1224" s="24" t="str">
        <f ca="1">IF(OR(E1224="",E1224="!!!",F1224="NEW"),"",COUNTBLANK(OFFSET(A$1,,,SUMPRODUCT(MAX(ROW(E$2:E1224)*(E1224=E$2:E1224)))))-COUNTBLANK(OFFSET(A$1,,,SUMPRODUCT(MAX(ROW(E$1:E1223)*(E2=E$1:E1223))))))</f>
        <v/>
      </c>
      <c r="K1224" s="24" t="str">
        <f>IF(OR(E1224="",E1224="!!!",F1224="NEW"),"",INDEX(J$1:J1223,SUMPRODUCT(MAX(ROW(E$1:E1223)*(E1224=E$1:E1223)))))</f>
        <v/>
      </c>
      <c r="L1224" s="25"/>
    </row>
    <row r="1225" spans="1:12" x14ac:dyDescent="0.3">
      <c r="A1225" t="s">
        <v>425</v>
      </c>
      <c r="E1225" s="20" t="str">
        <f t="shared" si="134"/>
        <v/>
      </c>
      <c r="F1225" s="21" t="str">
        <f>IF(OR(E1225="",E1225="!!!"),"",IF(NOT(ISNA(VLOOKUP(E1225,E$1:E1224,1,FALSE()))),"OLD",IF(AND(E1225&lt;&gt;"",E1225&lt;&gt;"!!!"),"NEW","")))</f>
        <v/>
      </c>
      <c r="G1225" s="22" t="str">
        <f>IF(OR(E1225="",E1225="!!!"),"",IF(OR(J1225=0,AND(J1225=1,K1225=1),AND(J1225=1,I1225="SBJ"),AND(J1225=1,I1225=0)),"?IN_FOCUS",IF(J1225&lt;=2,"?ACTIVATED",IF(J1225&lt;&gt;"","?FAMILIAR",IF(F1225="NEW",IF(ISNA(VLOOKUP(E1225,#REF!,1,FALSE())),"?TYPE_IDENTIFIABLE","?REFERENTIAL"),"_")))))</f>
        <v/>
      </c>
      <c r="H1225" s="23" t="str">
        <f t="shared" ca="1" si="135"/>
        <v/>
      </c>
      <c r="I1225" s="24" t="str">
        <f>IF(OR(E1225="",E1225="!!!",F1225="NEW"),"",INDEX(B$2:B1224,-1+SUMPRODUCT(MAX(ROW(E$2:E1224)*(E1225=E$2:E1224)))))</f>
        <v/>
      </c>
      <c r="J1225" s="24" t="str">
        <f ca="1">IF(OR(E1225="",E1225="!!!",F1225="NEW"),"",COUNTBLANK(OFFSET(A$1,,,SUMPRODUCT(MAX(ROW(E$2:E1225)*(E1225=E$2:E1225)))))-COUNTBLANK(OFFSET(A$1,,,SUMPRODUCT(MAX(ROW(E$1:E1224)*(E2=E$1:E1224))))))</f>
        <v/>
      </c>
      <c r="K1225" s="24" t="str">
        <f>IF(OR(E1225="",E1225="!!!",F1225="NEW"),"",INDEX(J$1:J1224,SUMPRODUCT(MAX(ROW(E$1:E1224)*(E1225=E$1:E1224)))))</f>
        <v/>
      </c>
      <c r="L1225" s="25"/>
    </row>
    <row r="1226" spans="1:12" x14ac:dyDescent="0.3">
      <c r="A1226" t="s">
        <v>743</v>
      </c>
      <c r="B1226" s="26" t="s">
        <v>261</v>
      </c>
      <c r="C1226" s="26" t="s">
        <v>239</v>
      </c>
      <c r="D1226" s="26" t="s">
        <v>240</v>
      </c>
      <c r="E1226" s="20" t="str">
        <f t="shared" si="134"/>
        <v>!!!</v>
      </c>
      <c r="F1226" s="21" t="str">
        <f>IF(OR(E1226="",E1226="!!!"),"",IF(NOT(ISNA(VLOOKUP(E1226,E$1:E1225,1,FALSE()))),"OLD",IF(AND(E1226&lt;&gt;"",E1226&lt;&gt;"!!!"),"NEW","")))</f>
        <v/>
      </c>
      <c r="G1226" s="22" t="str">
        <f>IF(OR(E1226="",E1226="!!!"),"",IF(OR(J1226=0,AND(J1226=1,K1226=1),AND(J1226=1,I1226="SBJ"),AND(J1226=1,I1226=0)),"?IN_FOCUS",IF(J1226&lt;=2,"?ACTIVATED",IF(J1226&lt;&gt;"","?FAMILIAR",IF(F1226="NEW",IF(ISNA(VLOOKUP(E1226,#REF!,1,FALSE())),"?TYPE_IDENTIFIABLE","?REFERENTIAL"),"_")))))</f>
        <v/>
      </c>
      <c r="H1226" s="23" t="str">
        <f t="shared" ca="1" si="135"/>
        <v/>
      </c>
      <c r="I1226" s="24" t="str">
        <f>IF(OR(E1226="",E1226="!!!",F1226="NEW"),"",INDEX(B$2:B1225,-1+SUMPRODUCT(MAX(ROW(E$2:E1225)*(E1226=E$2:E1225)))))</f>
        <v/>
      </c>
      <c r="J1226" s="24" t="str">
        <f ca="1">IF(OR(E1226="",E1226="!!!",F1226="NEW"),"",COUNTBLANK(OFFSET(A$1,,,SUMPRODUCT(MAX(ROW(E$2:E1226)*(E1226=E$2:E1226)))))-COUNTBLANK(OFFSET(A$1,,,SUMPRODUCT(MAX(ROW(E$1:E1225)*(E2=E$1:E1225))))))</f>
        <v/>
      </c>
      <c r="K1226" s="24" t="str">
        <f>IF(OR(E1226="",E1226="!!!",F1226="NEW"),"",INDEX(J$1:J1225,SUMPRODUCT(MAX(ROW(E$1:E1225)*(E1226=E$1:E1225)))))</f>
        <v/>
      </c>
      <c r="L1226" s="25"/>
    </row>
    <row r="1227" spans="1:12" x14ac:dyDescent="0.3">
      <c r="A1227" t="s">
        <v>248</v>
      </c>
      <c r="E1227" s="20" t="str">
        <f t="shared" si="134"/>
        <v/>
      </c>
      <c r="F1227" s="21" t="str">
        <f>IF(OR(E1227="",E1227="!!!"),"",IF(NOT(ISNA(VLOOKUP(E1227,E$1:E1226,1,FALSE()))),"OLD",IF(AND(E1227&lt;&gt;"",E1227&lt;&gt;"!!!"),"NEW","")))</f>
        <v/>
      </c>
      <c r="G1227" s="22" t="str">
        <f>IF(OR(E1227="",E1227="!!!"),"",IF(OR(J1227=0,AND(J1227=1,K1227=1),AND(J1227=1,I1227="SBJ"),AND(J1227=1,I1227=0)),"?IN_FOCUS",IF(J1227&lt;=2,"?ACTIVATED",IF(J1227&lt;&gt;"","?FAMILIAR",IF(F1227="NEW",IF(ISNA(VLOOKUP(E1227,#REF!,1,FALSE())),"?TYPE_IDENTIFIABLE","?REFERENTIAL"),"_")))))</f>
        <v/>
      </c>
      <c r="H1227" s="23" t="str">
        <f t="shared" ca="1" si="135"/>
        <v/>
      </c>
      <c r="I1227" s="24" t="str">
        <f>IF(OR(E1227="",E1227="!!!",F1227="NEW"),"",INDEX(B$2:B1226,-1+SUMPRODUCT(MAX(ROW(E$2:E1226)*(E1227=E$2:E1226)))))</f>
        <v/>
      </c>
      <c r="J1227" s="24" t="str">
        <f ca="1">IF(OR(E1227="",E1227="!!!",F1227="NEW"),"",COUNTBLANK(OFFSET(A$1,,,SUMPRODUCT(MAX(ROW(E$2:E1227)*(E1227=E$2:E1227)))))-COUNTBLANK(OFFSET(A$1,,,SUMPRODUCT(MAX(ROW(E$1:E1226)*(E2=E$1:E1226))))))</f>
        <v/>
      </c>
      <c r="K1227" s="24" t="str">
        <f>IF(OR(E1227="",E1227="!!!",F1227="NEW"),"",INDEX(J$1:J1226,SUMPRODUCT(MAX(ROW(E$1:E1226)*(E1227=E$1:E1226)))))</f>
        <v/>
      </c>
      <c r="L1227" s="25"/>
    </row>
    <row r="1229" spans="1:12" x14ac:dyDescent="0.3">
      <c r="A1229" t="s">
        <v>744</v>
      </c>
    </row>
    <row r="1230" spans="1:12" x14ac:dyDescent="0.3">
      <c r="A1230" t="s">
        <v>324</v>
      </c>
      <c r="B1230" s="26" t="s">
        <v>243</v>
      </c>
      <c r="C1230" s="26" t="s">
        <v>244</v>
      </c>
      <c r="D1230" s="26" t="s">
        <v>240</v>
      </c>
      <c r="E1230" s="20" t="str">
        <f t="shared" ref="E1230:E1244" si="136">IF(D1230="?OLD","!!!","")</f>
        <v>!!!</v>
      </c>
      <c r="F1230" s="21" t="str">
        <f>IF(OR(E1230="",E1230="!!!"),"",IF(NOT(ISNA(VLOOKUP(E1230,E$1:E1229,1,FALSE()))),"OLD",IF(AND(E1230&lt;&gt;"",E1230&lt;&gt;"!!!"),"NEW","")))</f>
        <v/>
      </c>
      <c r="G1230" s="22" t="str">
        <f>IF(OR(E1230="",E1230="!!!"),"",IF(OR(J1230=0,AND(J1230=1,K1230=1),AND(J1230=1,I1230="SBJ"),AND(J1230=1,I1230=0)),"?IN_FOCUS",IF(J1230&lt;=2,"?ACTIVATED",IF(J1230&lt;&gt;"","?FAMILIAR",IF(F1230="NEW",IF(ISNA(VLOOKUP(E1230,#REF!,1,FALSE())),"?TYPE_IDENTIFIABLE","?REFERENTIAL"),"_")))))</f>
        <v/>
      </c>
      <c r="H1230" s="23" t="str">
        <f t="shared" ref="H1230:H1244" ca="1" si="137">IF(J1230&lt;&gt;1,"",IF(I1230="SBJ","CB","?"))</f>
        <v/>
      </c>
      <c r="I1230" s="24" t="str">
        <f>IF(OR(E1230="",E1230="!!!",F1230="NEW"),"",INDEX(B$2:B1229,-1+SUMPRODUCT(MAX(ROW(E$2:E1229)*(E1230=E$2:E1229)))))</f>
        <v/>
      </c>
      <c r="J1230" s="24" t="str">
        <f ca="1">IF(OR(E1230="",E1230="!!!",F1230="NEW"),"",COUNTBLANK(OFFSET(A$1,,,SUMPRODUCT(MAX(ROW(E$2:E1230)*(E1230=E$2:E1230)))))-COUNTBLANK(OFFSET(A$1,,,SUMPRODUCT(MAX(ROW(E$1:E1229)*(E2=E$1:E1229))))))</f>
        <v/>
      </c>
      <c r="K1230" s="24" t="str">
        <f>IF(OR(E1230="",E1230="!!!",F1230="NEW"),"",INDEX(J$1:J1229,SUMPRODUCT(MAX(ROW(E$1:E1229)*(E1230=E$1:E1229)))))</f>
        <v/>
      </c>
      <c r="L1230" s="25"/>
    </row>
    <row r="1231" spans="1:12" x14ac:dyDescent="0.3">
      <c r="A1231" t="s">
        <v>347</v>
      </c>
      <c r="E1231" s="20" t="str">
        <f t="shared" si="136"/>
        <v/>
      </c>
      <c r="F1231" s="21" t="str">
        <f>IF(OR(E1231="",E1231="!!!"),"",IF(NOT(ISNA(VLOOKUP(E1231,E$1:E1230,1,FALSE()))),"OLD",IF(AND(E1231&lt;&gt;"",E1231&lt;&gt;"!!!"),"NEW","")))</f>
        <v/>
      </c>
      <c r="G1231" s="22" t="str">
        <f>IF(OR(E1231="",E1231="!!!"),"",IF(OR(J1231=0,AND(J1231=1,K1231=1),AND(J1231=1,I1231="SBJ"),AND(J1231=1,I1231=0)),"?IN_FOCUS",IF(J1231&lt;=2,"?ACTIVATED",IF(J1231&lt;&gt;"","?FAMILIAR",IF(F1231="NEW",IF(ISNA(VLOOKUP(E1231,#REF!,1,FALSE())),"?TYPE_IDENTIFIABLE","?REFERENTIAL"),"_")))))</f>
        <v/>
      </c>
      <c r="H1231" s="23" t="str">
        <f t="shared" ca="1" si="137"/>
        <v/>
      </c>
      <c r="I1231" s="24" t="str">
        <f>IF(OR(E1231="",E1231="!!!",F1231="NEW"),"",INDEX(B$2:B1230,-1+SUMPRODUCT(MAX(ROW(E$2:E1230)*(E1231=E$2:E1230)))))</f>
        <v/>
      </c>
      <c r="J1231" s="24" t="str">
        <f ca="1">IF(OR(E1231="",E1231="!!!",F1231="NEW"),"",COUNTBLANK(OFFSET(A$1,,,SUMPRODUCT(MAX(ROW(E$2:E1231)*(E1231=E$2:E1231)))))-COUNTBLANK(OFFSET(A$1,,,SUMPRODUCT(MAX(ROW(E$1:E1230)*(E2=E$1:E1230))))))</f>
        <v/>
      </c>
      <c r="K1231" s="24" t="str">
        <f>IF(OR(E1231="",E1231="!!!",F1231="NEW"),"",INDEX(J$1:J1230,SUMPRODUCT(MAX(ROW(E$1:E1230)*(E1231=E$1:E1230)))))</f>
        <v/>
      </c>
      <c r="L1231" s="25"/>
    </row>
    <row r="1232" spans="1:12" x14ac:dyDescent="0.3">
      <c r="A1232" t="s">
        <v>745</v>
      </c>
      <c r="E1232" s="20" t="str">
        <f t="shared" si="136"/>
        <v/>
      </c>
      <c r="F1232" s="21" t="str">
        <f>IF(OR(E1232="",E1232="!!!"),"",IF(NOT(ISNA(VLOOKUP(E1232,E$1:E1231,1,FALSE()))),"OLD",IF(AND(E1232&lt;&gt;"",E1232&lt;&gt;"!!!"),"NEW","")))</f>
        <v/>
      </c>
      <c r="G1232" s="22" t="str">
        <f>IF(OR(E1232="",E1232="!!!"),"",IF(OR(J1232=0,AND(J1232=1,K1232=1),AND(J1232=1,I1232="SBJ"),AND(J1232=1,I1232=0)),"?IN_FOCUS",IF(J1232&lt;=2,"?ACTIVATED",IF(J1232&lt;&gt;"","?FAMILIAR",IF(F1232="NEW",IF(ISNA(VLOOKUP(E1232,#REF!,1,FALSE())),"?TYPE_IDENTIFIABLE","?REFERENTIAL"),"_")))))</f>
        <v/>
      </c>
      <c r="H1232" s="23" t="str">
        <f t="shared" ca="1" si="137"/>
        <v/>
      </c>
      <c r="I1232" s="24" t="str">
        <f>IF(OR(E1232="",E1232="!!!",F1232="NEW"),"",INDEX(B$2:B1231,-1+SUMPRODUCT(MAX(ROW(E$2:E1231)*(E1232=E$2:E1231)))))</f>
        <v/>
      </c>
      <c r="J1232" s="24" t="str">
        <f ca="1">IF(OR(E1232="",E1232="!!!",F1232="NEW"),"",COUNTBLANK(OFFSET(A$1,,,SUMPRODUCT(MAX(ROW(E$2:E1232)*(E1232=E$2:E1232)))))-COUNTBLANK(OFFSET(A$1,,,SUMPRODUCT(MAX(ROW(E$1:E1231)*(E2=E$1:E1231))))))</f>
        <v/>
      </c>
      <c r="K1232" s="24" t="str">
        <f>IF(OR(E1232="",E1232="!!!",F1232="NEW"),"",INDEX(J$1:J1231,SUMPRODUCT(MAX(ROW(E$1:E1231)*(E1232=E$1:E1231)))))</f>
        <v/>
      </c>
      <c r="L1232" s="25"/>
    </row>
    <row r="1233" spans="1:12" x14ac:dyDescent="0.3">
      <c r="A1233" t="s">
        <v>248</v>
      </c>
      <c r="E1233" s="20" t="str">
        <f t="shared" si="136"/>
        <v/>
      </c>
      <c r="F1233" s="21" t="str">
        <f>IF(OR(E1233="",E1233="!!!"),"",IF(NOT(ISNA(VLOOKUP(E1233,E$1:E1232,1,FALSE()))),"OLD",IF(AND(E1233&lt;&gt;"",E1233&lt;&gt;"!!!"),"NEW","")))</f>
        <v/>
      </c>
      <c r="G1233" s="22" t="str">
        <f>IF(OR(E1233="",E1233="!!!"),"",IF(OR(J1233=0,AND(J1233=1,K1233=1),AND(J1233=1,I1233="SBJ"),AND(J1233=1,I1233=0)),"?IN_FOCUS",IF(J1233&lt;=2,"?ACTIVATED",IF(J1233&lt;&gt;"","?FAMILIAR",IF(F1233="NEW",IF(ISNA(VLOOKUP(E1233,#REF!,1,FALSE())),"?TYPE_IDENTIFIABLE","?REFERENTIAL"),"_")))))</f>
        <v/>
      </c>
      <c r="H1233" s="23" t="str">
        <f t="shared" ca="1" si="137"/>
        <v/>
      </c>
      <c r="I1233" s="24" t="str">
        <f>IF(OR(E1233="",E1233="!!!",F1233="NEW"),"",INDEX(B$2:B1232,-1+SUMPRODUCT(MAX(ROW(E$2:E1232)*(E1233=E$2:E1232)))))</f>
        <v/>
      </c>
      <c r="J1233" s="24" t="str">
        <f ca="1">IF(OR(E1233="",E1233="!!!",F1233="NEW"),"",COUNTBLANK(OFFSET(A$1,,,SUMPRODUCT(MAX(ROW(E$2:E1233)*(E1233=E$2:E1233)))))-COUNTBLANK(OFFSET(A$1,,,SUMPRODUCT(MAX(ROW(E$1:E1232)*(E2=E$1:E1232))))))</f>
        <v/>
      </c>
      <c r="K1233" s="24" t="str">
        <f>IF(OR(E1233="",E1233="!!!",F1233="NEW"),"",INDEX(J$1:J1232,SUMPRODUCT(MAX(ROW(E$1:E1232)*(E1233=E$1:E1232)))))</f>
        <v/>
      </c>
      <c r="L1233" s="25"/>
    </row>
    <row r="1234" spans="1:12" x14ac:dyDescent="0.3">
      <c r="A1234" t="s">
        <v>680</v>
      </c>
      <c r="E1234" s="20" t="str">
        <f t="shared" si="136"/>
        <v/>
      </c>
      <c r="F1234" s="21" t="str">
        <f>IF(OR(E1234="",E1234="!!!"),"",IF(NOT(ISNA(VLOOKUP(E1234,E$1:E1233,1,FALSE()))),"OLD",IF(AND(E1234&lt;&gt;"",E1234&lt;&gt;"!!!"),"NEW","")))</f>
        <v/>
      </c>
      <c r="G1234" s="22" t="str">
        <f>IF(OR(E1234="",E1234="!!!"),"",IF(OR(J1234=0,AND(J1234=1,K1234=1),AND(J1234=1,I1234="SBJ"),AND(J1234=1,I1234=0)),"?IN_FOCUS",IF(J1234&lt;=2,"?ACTIVATED",IF(J1234&lt;&gt;"","?FAMILIAR",IF(F1234="NEW",IF(ISNA(VLOOKUP(E1234,#REF!,1,FALSE())),"?TYPE_IDENTIFIABLE","?REFERENTIAL"),"_")))))</f>
        <v/>
      </c>
      <c r="H1234" s="23" t="str">
        <f t="shared" ca="1" si="137"/>
        <v/>
      </c>
      <c r="I1234" s="24" t="str">
        <f>IF(OR(E1234="",E1234="!!!",F1234="NEW"),"",INDEX(B$2:B1233,-1+SUMPRODUCT(MAX(ROW(E$2:E1233)*(E1234=E$2:E1233)))))</f>
        <v/>
      </c>
      <c r="J1234" s="24" t="str">
        <f ca="1">IF(OR(E1234="",E1234="!!!",F1234="NEW"),"",COUNTBLANK(OFFSET(A$1,,,SUMPRODUCT(MAX(ROW(E$2:E1234)*(E1234=E$2:E1234)))))-COUNTBLANK(OFFSET(A$1,,,SUMPRODUCT(MAX(ROW(E$1:E1233)*(E2=E$1:E1233))))))</f>
        <v/>
      </c>
      <c r="K1234" s="24" t="str">
        <f>IF(OR(E1234="",E1234="!!!",F1234="NEW"),"",INDEX(J$1:J1233,SUMPRODUCT(MAX(ROW(E$1:E1233)*(E1234=E$1:E1233)))))</f>
        <v/>
      </c>
      <c r="L1234" s="25"/>
    </row>
    <row r="1235" spans="1:12" x14ac:dyDescent="0.3">
      <c r="A1235" t="s">
        <v>431</v>
      </c>
      <c r="E1235" s="20" t="str">
        <f t="shared" si="136"/>
        <v/>
      </c>
      <c r="F1235" s="21" t="str">
        <f>IF(OR(E1235="",E1235="!!!"),"",IF(NOT(ISNA(VLOOKUP(E1235,E$1:E1234,1,FALSE()))),"OLD",IF(AND(E1235&lt;&gt;"",E1235&lt;&gt;"!!!"),"NEW","")))</f>
        <v/>
      </c>
      <c r="G1235" s="22" t="str">
        <f>IF(OR(E1235="",E1235="!!!"),"",IF(OR(J1235=0,AND(J1235=1,K1235=1),AND(J1235=1,I1235="SBJ"),AND(J1235=1,I1235=0)),"?IN_FOCUS",IF(J1235&lt;=2,"?ACTIVATED",IF(J1235&lt;&gt;"","?FAMILIAR",IF(F1235="NEW",IF(ISNA(VLOOKUP(E1235,#REF!,1,FALSE())),"?TYPE_IDENTIFIABLE","?REFERENTIAL"),"_")))))</f>
        <v/>
      </c>
      <c r="H1235" s="23" t="str">
        <f t="shared" ca="1" si="137"/>
        <v/>
      </c>
      <c r="I1235" s="24" t="str">
        <f>IF(OR(E1235="",E1235="!!!",F1235="NEW"),"",INDEX(B$2:B1234,-1+SUMPRODUCT(MAX(ROW(E$2:E1234)*(E1235=E$2:E1234)))))</f>
        <v/>
      </c>
      <c r="J1235" s="24" t="str">
        <f ca="1">IF(OR(E1235="",E1235="!!!",F1235="NEW"),"",COUNTBLANK(OFFSET(A$1,,,SUMPRODUCT(MAX(ROW(E$2:E1235)*(E1235=E$2:E1235)))))-COUNTBLANK(OFFSET(A$1,,,SUMPRODUCT(MAX(ROW(E$1:E1234)*(E2=E$1:E1234))))))</f>
        <v/>
      </c>
      <c r="K1235" s="24" t="str">
        <f>IF(OR(E1235="",E1235="!!!",F1235="NEW"),"",INDEX(J$1:J1234,SUMPRODUCT(MAX(ROW(E$1:E1234)*(E1235=E$1:E1234)))))</f>
        <v/>
      </c>
      <c r="L1235" s="25"/>
    </row>
    <row r="1236" spans="1:12" x14ac:dyDescent="0.3">
      <c r="A1236" t="s">
        <v>681</v>
      </c>
      <c r="E1236" s="20" t="str">
        <f t="shared" si="136"/>
        <v/>
      </c>
      <c r="F1236" s="21" t="str">
        <f>IF(OR(E1236="",E1236="!!!"),"",IF(NOT(ISNA(VLOOKUP(E1236,E$1:E1235,1,FALSE()))),"OLD",IF(AND(E1236&lt;&gt;"",E1236&lt;&gt;"!!!"),"NEW","")))</f>
        <v/>
      </c>
      <c r="G1236" s="22" t="str">
        <f>IF(OR(E1236="",E1236="!!!"),"",IF(OR(J1236=0,AND(J1236=1,K1236=1),AND(J1236=1,I1236="SBJ"),AND(J1236=1,I1236=0)),"?IN_FOCUS",IF(J1236&lt;=2,"?ACTIVATED",IF(J1236&lt;&gt;"","?FAMILIAR",IF(F1236="NEW",IF(ISNA(VLOOKUP(E1236,#REF!,1,FALSE())),"?TYPE_IDENTIFIABLE","?REFERENTIAL"),"_")))))</f>
        <v/>
      </c>
      <c r="H1236" s="23" t="str">
        <f t="shared" ca="1" si="137"/>
        <v/>
      </c>
      <c r="I1236" s="24" t="str">
        <f>IF(OR(E1236="",E1236="!!!",F1236="NEW"),"",INDEX(B$2:B1235,-1+SUMPRODUCT(MAX(ROW(E$2:E1235)*(E1236=E$2:E1235)))))</f>
        <v/>
      </c>
      <c r="J1236" s="24" t="str">
        <f ca="1">IF(OR(E1236="",E1236="!!!",F1236="NEW"),"",COUNTBLANK(OFFSET(A$1,,,SUMPRODUCT(MAX(ROW(E$2:E1236)*(E1236=E$2:E1236)))))-COUNTBLANK(OFFSET(A$1,,,SUMPRODUCT(MAX(ROW(E$1:E1235)*(E2=E$1:E1235))))))</f>
        <v/>
      </c>
      <c r="K1236" s="24" t="str">
        <f>IF(OR(E1236="",E1236="!!!",F1236="NEW"),"",INDEX(J$1:J1235,SUMPRODUCT(MAX(ROW(E$1:E1235)*(E1236=E$1:E1235)))))</f>
        <v/>
      </c>
      <c r="L1236" s="25"/>
    </row>
    <row r="1237" spans="1:12" x14ac:dyDescent="0.3">
      <c r="A1237" t="s">
        <v>461</v>
      </c>
      <c r="E1237" s="20" t="str">
        <f t="shared" si="136"/>
        <v/>
      </c>
      <c r="F1237" s="21" t="str">
        <f>IF(OR(E1237="",E1237="!!!"),"",IF(NOT(ISNA(VLOOKUP(E1237,E$1:E1236,1,FALSE()))),"OLD",IF(AND(E1237&lt;&gt;"",E1237&lt;&gt;"!!!"),"NEW","")))</f>
        <v/>
      </c>
      <c r="G1237" s="22" t="str">
        <f>IF(OR(E1237="",E1237="!!!"),"",IF(OR(J1237=0,AND(J1237=1,K1237=1),AND(J1237=1,I1237="SBJ"),AND(J1237=1,I1237=0)),"?IN_FOCUS",IF(J1237&lt;=2,"?ACTIVATED",IF(J1237&lt;&gt;"","?FAMILIAR",IF(F1237="NEW",IF(ISNA(VLOOKUP(E1237,#REF!,1,FALSE())),"?TYPE_IDENTIFIABLE","?REFERENTIAL"),"_")))))</f>
        <v/>
      </c>
      <c r="H1237" s="23" t="str">
        <f t="shared" ca="1" si="137"/>
        <v/>
      </c>
      <c r="I1237" s="24" t="str">
        <f>IF(OR(E1237="",E1237="!!!",F1237="NEW"),"",INDEX(B$2:B1236,-1+SUMPRODUCT(MAX(ROW(E$2:E1236)*(E1237=E$2:E1236)))))</f>
        <v/>
      </c>
      <c r="J1237" s="24" t="str">
        <f ca="1">IF(OR(E1237="",E1237="!!!",F1237="NEW"),"",COUNTBLANK(OFFSET(A$1,,,SUMPRODUCT(MAX(ROW(E$2:E1237)*(E1237=E$2:E1237)))))-COUNTBLANK(OFFSET(A$1,,,SUMPRODUCT(MAX(ROW(E$1:E1236)*(E2=E$1:E1236))))))</f>
        <v/>
      </c>
      <c r="K1237" s="24" t="str">
        <f>IF(OR(E1237="",E1237="!!!",F1237="NEW"),"",INDEX(J$1:J1236,SUMPRODUCT(MAX(ROW(E$1:E1236)*(E1237=E$1:E1236)))))</f>
        <v/>
      </c>
      <c r="L1237" s="25"/>
    </row>
    <row r="1238" spans="1:12" x14ac:dyDescent="0.3">
      <c r="A1238" t="s">
        <v>303</v>
      </c>
      <c r="E1238" s="20" t="str">
        <f t="shared" si="136"/>
        <v/>
      </c>
      <c r="F1238" s="21" t="str">
        <f>IF(OR(E1238="",E1238="!!!"),"",IF(NOT(ISNA(VLOOKUP(E1238,E$1:E1237,1,FALSE()))),"OLD",IF(AND(E1238&lt;&gt;"",E1238&lt;&gt;"!!!"),"NEW","")))</f>
        <v/>
      </c>
      <c r="G1238" s="22" t="str">
        <f>IF(OR(E1238="",E1238="!!!"),"",IF(OR(J1238=0,AND(J1238=1,K1238=1),AND(J1238=1,I1238="SBJ"),AND(J1238=1,I1238=0)),"?IN_FOCUS",IF(J1238&lt;=2,"?ACTIVATED",IF(J1238&lt;&gt;"","?FAMILIAR",IF(F1238="NEW",IF(ISNA(VLOOKUP(E1238,#REF!,1,FALSE())),"?TYPE_IDENTIFIABLE","?REFERENTIAL"),"_")))))</f>
        <v/>
      </c>
      <c r="H1238" s="23" t="str">
        <f t="shared" ca="1" si="137"/>
        <v/>
      </c>
      <c r="I1238" s="24" t="str">
        <f>IF(OR(E1238="",E1238="!!!",F1238="NEW"),"",INDEX(B$2:B1237,-1+SUMPRODUCT(MAX(ROW(E$2:E1237)*(E1238=E$2:E1237)))))</f>
        <v/>
      </c>
      <c r="J1238" s="24" t="str">
        <f ca="1">IF(OR(E1238="",E1238="!!!",F1238="NEW"),"",COUNTBLANK(OFFSET(A$1,,,SUMPRODUCT(MAX(ROW(E$2:E1238)*(E1238=E$2:E1238)))))-COUNTBLANK(OFFSET(A$1,,,SUMPRODUCT(MAX(ROW(E$1:E1237)*(E2=E$1:E1237))))))</f>
        <v/>
      </c>
      <c r="K1238" s="24" t="str">
        <f>IF(OR(E1238="",E1238="!!!",F1238="NEW"),"",INDEX(J$1:J1237,SUMPRODUCT(MAX(ROW(E$1:E1237)*(E1238=E$1:E1237)))))</f>
        <v/>
      </c>
      <c r="L1238" s="25"/>
    </row>
    <row r="1239" spans="1:12" x14ac:dyDescent="0.3">
      <c r="A1239" t="s">
        <v>252</v>
      </c>
      <c r="E1239" s="20" t="str">
        <f t="shared" si="136"/>
        <v/>
      </c>
      <c r="F1239" s="21" t="str">
        <f>IF(OR(E1239="",E1239="!!!"),"",IF(NOT(ISNA(VLOOKUP(E1239,E$1:E1238,1,FALSE()))),"OLD",IF(AND(E1239&lt;&gt;"",E1239&lt;&gt;"!!!"),"NEW","")))</f>
        <v/>
      </c>
      <c r="G1239" s="22" t="str">
        <f>IF(OR(E1239="",E1239="!!!"),"",IF(OR(J1239=0,AND(J1239=1,K1239=1),AND(J1239=1,I1239="SBJ"),AND(J1239=1,I1239=0)),"?IN_FOCUS",IF(J1239&lt;=2,"?ACTIVATED",IF(J1239&lt;&gt;"","?FAMILIAR",IF(F1239="NEW",IF(ISNA(VLOOKUP(E1239,#REF!,1,FALSE())),"?TYPE_IDENTIFIABLE","?REFERENTIAL"),"_")))))</f>
        <v/>
      </c>
      <c r="H1239" s="23" t="str">
        <f t="shared" ca="1" si="137"/>
        <v/>
      </c>
      <c r="I1239" s="24" t="str">
        <f>IF(OR(E1239="",E1239="!!!",F1239="NEW"),"",INDEX(B$2:B1238,-1+SUMPRODUCT(MAX(ROW(E$2:E1238)*(E1239=E$2:E1238)))))</f>
        <v/>
      </c>
      <c r="J1239" s="24" t="str">
        <f ca="1">IF(OR(E1239="",E1239="!!!",F1239="NEW"),"",COUNTBLANK(OFFSET(A$1,,,SUMPRODUCT(MAX(ROW(E$2:E1239)*(E1239=E$2:E1239)))))-COUNTBLANK(OFFSET(A$1,,,SUMPRODUCT(MAX(ROW(E$1:E1238)*(E2=E$1:E1238))))))</f>
        <v/>
      </c>
      <c r="K1239" s="24" t="str">
        <f>IF(OR(E1239="",E1239="!!!",F1239="NEW"),"",INDEX(J$1:J1238,SUMPRODUCT(MAX(ROW(E$1:E1238)*(E1239=E$1:E1238)))))</f>
        <v/>
      </c>
      <c r="L1239" s="25"/>
    </row>
    <row r="1240" spans="1:12" x14ac:dyDescent="0.3">
      <c r="A1240" t="s">
        <v>303</v>
      </c>
      <c r="B1240" s="26" t="s">
        <v>282</v>
      </c>
      <c r="E1240" s="20" t="str">
        <f t="shared" si="136"/>
        <v/>
      </c>
      <c r="F1240" s="21" t="str">
        <f>IF(OR(E1240="",E1240="!!!"),"",IF(NOT(ISNA(VLOOKUP(E1240,E$1:E1239,1,FALSE()))),"OLD",IF(AND(E1240&lt;&gt;"",E1240&lt;&gt;"!!!"),"NEW","")))</f>
        <v/>
      </c>
      <c r="G1240" s="22" t="str">
        <f>IF(OR(E1240="",E1240="!!!"),"",IF(OR(J1240=0,AND(J1240=1,K1240=1),AND(J1240=1,I1240="SBJ"),AND(J1240=1,I1240=0)),"?IN_FOCUS",IF(J1240&lt;=2,"?ACTIVATED",IF(J1240&lt;&gt;"","?FAMILIAR",IF(F1240="NEW",IF(ISNA(VLOOKUP(E1240,#REF!,1,FALSE())),"?TYPE_IDENTIFIABLE","?REFERENTIAL"),"_")))))</f>
        <v/>
      </c>
      <c r="H1240" s="23" t="str">
        <f t="shared" ca="1" si="137"/>
        <v/>
      </c>
      <c r="I1240" s="24" t="str">
        <f>IF(OR(E1240="",E1240="!!!",F1240="NEW"),"",INDEX(B$2:B1239,-1+SUMPRODUCT(MAX(ROW(E$2:E1239)*(E1240=E$2:E1239)))))</f>
        <v/>
      </c>
      <c r="J1240" s="24" t="str">
        <f ca="1">IF(OR(E1240="",E1240="!!!",F1240="NEW"),"",COUNTBLANK(OFFSET(A$1,,,SUMPRODUCT(MAX(ROW(E$2:E1240)*(E1240=E$2:E1240)))))-COUNTBLANK(OFFSET(A$1,,,SUMPRODUCT(MAX(ROW(E$1:E1239)*(E2=E$1:E1239))))))</f>
        <v/>
      </c>
      <c r="K1240" s="24" t="str">
        <f>IF(OR(E1240="",E1240="!!!",F1240="NEW"),"",INDEX(J$1:J1239,SUMPRODUCT(MAX(ROW(E$1:E1239)*(E1240=E$1:E1239)))))</f>
        <v/>
      </c>
      <c r="L1240" s="25"/>
    </row>
    <row r="1241" spans="1:12" x14ac:dyDescent="0.3">
      <c r="A1241" t="s">
        <v>324</v>
      </c>
      <c r="B1241" s="26" t="s">
        <v>282</v>
      </c>
      <c r="C1241" s="26" t="s">
        <v>244</v>
      </c>
      <c r="D1241" s="26" t="s">
        <v>240</v>
      </c>
      <c r="E1241" s="20" t="str">
        <f t="shared" si="136"/>
        <v>!!!</v>
      </c>
      <c r="F1241" s="21" t="str">
        <f>IF(OR(E1241="",E1241="!!!"),"",IF(NOT(ISNA(VLOOKUP(E1241,E$1:E1240,1,FALSE()))),"OLD",IF(AND(E1241&lt;&gt;"",E1241&lt;&gt;"!!!"),"NEW","")))</f>
        <v/>
      </c>
      <c r="G1241" s="22" t="str">
        <f>IF(OR(E1241="",E1241="!!!"),"",IF(OR(J1241=0,AND(J1241=1,K1241=1),AND(J1241=1,I1241="SBJ"),AND(J1241=1,I1241=0)),"?IN_FOCUS",IF(J1241&lt;=2,"?ACTIVATED",IF(J1241&lt;&gt;"","?FAMILIAR",IF(F1241="NEW",IF(ISNA(VLOOKUP(E1241,#REF!,1,FALSE())),"?TYPE_IDENTIFIABLE","?REFERENTIAL"),"_")))))</f>
        <v/>
      </c>
      <c r="H1241" s="23" t="str">
        <f t="shared" ca="1" si="137"/>
        <v/>
      </c>
      <c r="I1241" s="24" t="str">
        <f>IF(OR(E1241="",E1241="!!!",F1241="NEW"),"",INDEX(B$2:B1240,-1+SUMPRODUCT(MAX(ROW(E$2:E1240)*(E1241=E$2:E1240)))))</f>
        <v/>
      </c>
      <c r="J1241" s="24" t="str">
        <f ca="1">IF(OR(E1241="",E1241="!!!",F1241="NEW"),"",COUNTBLANK(OFFSET(A$1,,,SUMPRODUCT(MAX(ROW(E$2:E1241)*(E1241=E$2:E1241)))))-COUNTBLANK(OFFSET(A$1,,,SUMPRODUCT(MAX(ROW(E$1:E1240)*(E2=E$1:E1240))))))</f>
        <v/>
      </c>
      <c r="K1241" s="24" t="str">
        <f>IF(OR(E1241="",E1241="!!!",F1241="NEW"),"",INDEX(J$1:J1240,SUMPRODUCT(MAX(ROW(E$1:E1240)*(E1241=E$1:E1240)))))</f>
        <v/>
      </c>
      <c r="L1241" s="25"/>
    </row>
    <row r="1242" spans="1:12" x14ac:dyDescent="0.3">
      <c r="A1242" t="s">
        <v>746</v>
      </c>
      <c r="E1242" s="20" t="str">
        <f t="shared" si="136"/>
        <v/>
      </c>
      <c r="F1242" s="21" t="str">
        <f>IF(OR(E1242="",E1242="!!!"),"",IF(NOT(ISNA(VLOOKUP(E1242,E$1:E1241,1,FALSE()))),"OLD",IF(AND(E1242&lt;&gt;"",E1242&lt;&gt;"!!!"),"NEW","")))</f>
        <v/>
      </c>
      <c r="G1242" s="22" t="str">
        <f>IF(OR(E1242="",E1242="!!!"),"",IF(OR(J1242=0,AND(J1242=1,K1242=1),AND(J1242=1,I1242="SBJ"),AND(J1242=1,I1242=0)),"?IN_FOCUS",IF(J1242&lt;=2,"?ACTIVATED",IF(J1242&lt;&gt;"","?FAMILIAR",IF(F1242="NEW",IF(ISNA(VLOOKUP(E1242,#REF!,1,FALSE())),"?TYPE_IDENTIFIABLE","?REFERENTIAL"),"_")))))</f>
        <v/>
      </c>
      <c r="H1242" s="23" t="str">
        <f t="shared" ca="1" si="137"/>
        <v/>
      </c>
      <c r="I1242" s="24" t="str">
        <f>IF(OR(E1242="",E1242="!!!",F1242="NEW"),"",INDEX(B$2:B1241,-1+SUMPRODUCT(MAX(ROW(E$2:E1241)*(E1242=E$2:E1241)))))</f>
        <v/>
      </c>
      <c r="J1242" s="24" t="str">
        <f ca="1">IF(OR(E1242="",E1242="!!!",F1242="NEW"),"",COUNTBLANK(OFFSET(A$1,,,SUMPRODUCT(MAX(ROW(E$2:E1242)*(E1242=E$2:E1242)))))-COUNTBLANK(OFFSET(A$1,,,SUMPRODUCT(MAX(ROW(E$1:E1241)*(E2=E$1:E1241))))))</f>
        <v/>
      </c>
      <c r="K1242" s="24" t="str">
        <f>IF(OR(E1242="",E1242="!!!",F1242="NEW"),"",INDEX(J$1:J1241,SUMPRODUCT(MAX(ROW(E$1:E1241)*(E1242=E$1:E1241)))))</f>
        <v/>
      </c>
      <c r="L1242" s="25"/>
    </row>
    <row r="1243" spans="1:12" x14ac:dyDescent="0.3">
      <c r="A1243" t="s">
        <v>747</v>
      </c>
      <c r="E1243" s="20" t="str">
        <f t="shared" si="136"/>
        <v/>
      </c>
      <c r="F1243" s="21" t="str">
        <f>IF(OR(E1243="",E1243="!!!"),"",IF(NOT(ISNA(VLOOKUP(E1243,E$1:E1242,1,FALSE()))),"OLD",IF(AND(E1243&lt;&gt;"",E1243&lt;&gt;"!!!"),"NEW","")))</f>
        <v/>
      </c>
      <c r="G1243" s="22" t="str">
        <f>IF(OR(E1243="",E1243="!!!"),"",IF(OR(J1243=0,AND(J1243=1,K1243=1),AND(J1243=1,I1243="SBJ"),AND(J1243=1,I1243=0)),"?IN_FOCUS",IF(J1243&lt;=2,"?ACTIVATED",IF(J1243&lt;&gt;"","?FAMILIAR",IF(F1243="NEW",IF(ISNA(VLOOKUP(E1243,#REF!,1,FALSE())),"?TYPE_IDENTIFIABLE","?REFERENTIAL"),"_")))))</f>
        <v/>
      </c>
      <c r="H1243" s="23" t="str">
        <f t="shared" ca="1" si="137"/>
        <v/>
      </c>
      <c r="I1243" s="24" t="str">
        <f>IF(OR(E1243="",E1243="!!!",F1243="NEW"),"",INDEX(B$2:B1242,-1+SUMPRODUCT(MAX(ROW(E$2:E1242)*(E1243=E$2:E1242)))))</f>
        <v/>
      </c>
      <c r="J1243" s="24" t="str">
        <f ca="1">IF(OR(E1243="",E1243="!!!",F1243="NEW"),"",COUNTBLANK(OFFSET(A$1,,,SUMPRODUCT(MAX(ROW(E$2:E1243)*(E1243=E$2:E1243)))))-COUNTBLANK(OFFSET(A$1,,,SUMPRODUCT(MAX(ROW(E$1:E1242)*(E2=E$1:E1242))))))</f>
        <v/>
      </c>
      <c r="K1243" s="24" t="str">
        <f>IF(OR(E1243="",E1243="!!!",F1243="NEW"),"",INDEX(J$1:J1242,SUMPRODUCT(MAX(ROW(E$1:E1242)*(E1243=E$1:E1242)))))</f>
        <v/>
      </c>
      <c r="L1243" s="25"/>
    </row>
    <row r="1244" spans="1:12" x14ac:dyDescent="0.3">
      <c r="A1244" t="s">
        <v>248</v>
      </c>
      <c r="E1244" s="20" t="str">
        <f t="shared" si="136"/>
        <v/>
      </c>
      <c r="F1244" s="21" t="str">
        <f>IF(OR(E1244="",E1244="!!!"),"",IF(NOT(ISNA(VLOOKUP(E1244,E$1:E1243,1,FALSE()))),"OLD",IF(AND(E1244&lt;&gt;"",E1244&lt;&gt;"!!!"),"NEW","")))</f>
        <v/>
      </c>
      <c r="G1244" s="22" t="str">
        <f>IF(OR(E1244="",E1244="!!!"),"",IF(OR(J1244=0,AND(J1244=1,K1244=1),AND(J1244=1,I1244="SBJ"),AND(J1244=1,I1244=0)),"?IN_FOCUS",IF(J1244&lt;=2,"?ACTIVATED",IF(J1244&lt;&gt;"","?FAMILIAR",IF(F1244="NEW",IF(ISNA(VLOOKUP(E1244,#REF!,1,FALSE())),"?TYPE_IDENTIFIABLE","?REFERENTIAL"),"_")))))</f>
        <v/>
      </c>
      <c r="H1244" s="23" t="str">
        <f t="shared" ca="1" si="137"/>
        <v/>
      </c>
      <c r="I1244" s="24" t="str">
        <f>IF(OR(E1244="",E1244="!!!",F1244="NEW"),"",INDEX(B$2:B1243,-1+SUMPRODUCT(MAX(ROW(E$2:E1243)*(E1244=E$2:E1243)))))</f>
        <v/>
      </c>
      <c r="J1244" s="24" t="str">
        <f ca="1">IF(OR(E1244="",E1244="!!!",F1244="NEW"),"",COUNTBLANK(OFFSET(A$1,,,SUMPRODUCT(MAX(ROW(E$2:E1244)*(E1244=E$2:E1244)))))-COUNTBLANK(OFFSET(A$1,,,SUMPRODUCT(MAX(ROW(E$1:E1243)*(E2=E$1:E1243))))))</f>
        <v/>
      </c>
      <c r="K1244" s="24" t="str">
        <f>IF(OR(E1244="",E1244="!!!",F1244="NEW"),"",INDEX(J$1:J1243,SUMPRODUCT(MAX(ROW(E$1:E1243)*(E1244=E$1:E1243)))))</f>
        <v/>
      </c>
      <c r="L1244" s="25"/>
    </row>
    <row r="1246" spans="1:12" x14ac:dyDescent="0.3">
      <c r="A1246" t="s">
        <v>748</v>
      </c>
    </row>
    <row r="1247" spans="1:12" x14ac:dyDescent="0.3">
      <c r="A1247" t="s">
        <v>414</v>
      </c>
      <c r="E1247" s="20" t="str">
        <f t="shared" ref="E1247:E1252" si="138">IF(D1247="?OLD","!!!","")</f>
        <v/>
      </c>
      <c r="F1247" s="21" t="str">
        <f>IF(OR(E1247="",E1247="!!!"),"",IF(NOT(ISNA(VLOOKUP(E1247,E$1:E1246,1,FALSE()))),"OLD",IF(AND(E1247&lt;&gt;"",E1247&lt;&gt;"!!!"),"NEW","")))</f>
        <v/>
      </c>
      <c r="G1247" s="22" t="str">
        <f>IF(OR(E1247="",E1247="!!!"),"",IF(OR(J1247=0,AND(J1247=1,K1247=1),AND(J1247=1,I1247="SBJ"),AND(J1247=1,I1247=0)),"?IN_FOCUS",IF(J1247&lt;=2,"?ACTIVATED",IF(J1247&lt;&gt;"","?FAMILIAR",IF(F1247="NEW",IF(ISNA(VLOOKUP(E1247,#REF!,1,FALSE())),"?TYPE_IDENTIFIABLE","?REFERENTIAL"),"_")))))</f>
        <v/>
      </c>
      <c r="H1247" s="23" t="str">
        <f t="shared" ref="H1247:H1252" ca="1" si="139">IF(J1247&lt;&gt;1,"",IF(I1247="SBJ","CB","?"))</f>
        <v/>
      </c>
      <c r="I1247" s="24" t="str">
        <f>IF(OR(E1247="",E1247="!!!",F1247="NEW"),"",INDEX(B$2:B1246,-1+SUMPRODUCT(MAX(ROW(E$2:E1246)*(E1247=E$2:E1246)))))</f>
        <v/>
      </c>
      <c r="J1247" s="24" t="str">
        <f ca="1">IF(OR(E1247="",E1247="!!!",F1247="NEW"),"",COUNTBLANK(OFFSET(A$1,,,SUMPRODUCT(MAX(ROW(E$2:E1247)*(E1247=E$2:E1247)))))-COUNTBLANK(OFFSET(A$1,,,SUMPRODUCT(MAX(ROW(E$1:E1246)*(E2=E$1:E1246))))))</f>
        <v/>
      </c>
      <c r="K1247" s="24" t="str">
        <f>IF(OR(E1247="",E1247="!!!",F1247="NEW"),"",INDEX(J$1:J1246,SUMPRODUCT(MAX(ROW(E$1:E1246)*(E1247=E$1:E1246)))))</f>
        <v/>
      </c>
      <c r="L1247" s="25"/>
    </row>
    <row r="1248" spans="1:12" x14ac:dyDescent="0.3">
      <c r="A1248" t="s">
        <v>708</v>
      </c>
      <c r="E1248" s="20" t="str">
        <f t="shared" si="138"/>
        <v/>
      </c>
      <c r="F1248" s="21" t="str">
        <f>IF(OR(E1248="",E1248="!!!"),"",IF(NOT(ISNA(VLOOKUP(E1248,E$1:E1247,1,FALSE()))),"OLD",IF(AND(E1248&lt;&gt;"",E1248&lt;&gt;"!!!"),"NEW","")))</f>
        <v/>
      </c>
      <c r="G1248" s="22" t="str">
        <f>IF(OR(E1248="",E1248="!!!"),"",IF(OR(J1248=0,AND(J1248=1,K1248=1),AND(J1248=1,I1248="SBJ"),AND(J1248=1,I1248=0)),"?IN_FOCUS",IF(J1248&lt;=2,"?ACTIVATED",IF(J1248&lt;&gt;"","?FAMILIAR",IF(F1248="NEW",IF(ISNA(VLOOKUP(E1248,#REF!,1,FALSE())),"?TYPE_IDENTIFIABLE","?REFERENTIAL"),"_")))))</f>
        <v/>
      </c>
      <c r="H1248" s="23" t="str">
        <f t="shared" ca="1" si="139"/>
        <v/>
      </c>
      <c r="I1248" s="24" t="str">
        <f>IF(OR(E1248="",E1248="!!!",F1248="NEW"),"",INDEX(B$2:B1247,-1+SUMPRODUCT(MAX(ROW(E$2:E1247)*(E1248=E$2:E1247)))))</f>
        <v/>
      </c>
      <c r="J1248" s="24" t="str">
        <f ca="1">IF(OR(E1248="",E1248="!!!",F1248="NEW"),"",COUNTBLANK(OFFSET(A$1,,,SUMPRODUCT(MAX(ROW(E$2:E1248)*(E1248=E$2:E1248)))))-COUNTBLANK(OFFSET(A$1,,,SUMPRODUCT(MAX(ROW(E$1:E1247)*(E2=E$1:E1247))))))</f>
        <v/>
      </c>
      <c r="K1248" s="24" t="str">
        <f>IF(OR(E1248="",E1248="!!!",F1248="NEW"),"",INDEX(J$1:J1247,SUMPRODUCT(MAX(ROW(E$1:E1247)*(E1248=E$1:E1247)))))</f>
        <v/>
      </c>
      <c r="L1248" s="25"/>
    </row>
    <row r="1249" spans="1:12" x14ac:dyDescent="0.3">
      <c r="A1249" t="s">
        <v>386</v>
      </c>
      <c r="B1249" s="26" t="s">
        <v>292</v>
      </c>
      <c r="E1249" s="20" t="str">
        <f t="shared" si="138"/>
        <v/>
      </c>
      <c r="F1249" s="21" t="str">
        <f>IF(OR(E1249="",E1249="!!!"),"",IF(NOT(ISNA(VLOOKUP(E1249,E$1:E1248,1,FALSE()))),"OLD",IF(AND(E1249&lt;&gt;"",E1249&lt;&gt;"!!!"),"NEW","")))</f>
        <v/>
      </c>
      <c r="G1249" s="22" t="str">
        <f>IF(OR(E1249="",E1249="!!!"),"",IF(OR(J1249=0,AND(J1249=1,K1249=1),AND(J1249=1,I1249="SBJ"),AND(J1249=1,I1249=0)),"?IN_FOCUS",IF(J1249&lt;=2,"?ACTIVATED",IF(J1249&lt;&gt;"","?FAMILIAR",IF(F1249="NEW",IF(ISNA(VLOOKUP(E1249,#REF!,1,FALSE())),"?TYPE_IDENTIFIABLE","?REFERENTIAL"),"_")))))</f>
        <v/>
      </c>
      <c r="H1249" s="23" t="str">
        <f t="shared" ca="1" si="139"/>
        <v/>
      </c>
      <c r="I1249" s="24" t="str">
        <f>IF(OR(E1249="",E1249="!!!",F1249="NEW"),"",INDEX(B$2:B1248,-1+SUMPRODUCT(MAX(ROW(E$2:E1248)*(E1249=E$2:E1248)))))</f>
        <v/>
      </c>
      <c r="J1249" s="24" t="str">
        <f ca="1">IF(OR(E1249="",E1249="!!!",F1249="NEW"),"",COUNTBLANK(OFFSET(A$1,,,SUMPRODUCT(MAX(ROW(E$2:E1249)*(E1249=E$2:E1249)))))-COUNTBLANK(OFFSET(A$1,,,SUMPRODUCT(MAX(ROW(E$1:E1248)*(E2=E$1:E1248))))))</f>
        <v/>
      </c>
      <c r="K1249" s="24" t="str">
        <f>IF(OR(E1249="",E1249="!!!",F1249="NEW"),"",INDEX(J$1:J1248,SUMPRODUCT(MAX(ROW(E$1:E1248)*(E1249=E$1:E1248)))))</f>
        <v/>
      </c>
      <c r="L1249" s="25"/>
    </row>
    <row r="1250" spans="1:12" x14ac:dyDescent="0.3">
      <c r="A1250" t="s">
        <v>303</v>
      </c>
      <c r="E1250" s="20" t="str">
        <f t="shared" si="138"/>
        <v/>
      </c>
      <c r="F1250" s="21" t="str">
        <f>IF(OR(E1250="",E1250="!!!"),"",IF(NOT(ISNA(VLOOKUP(E1250,E$1:E1249,1,FALSE()))),"OLD",IF(AND(E1250&lt;&gt;"",E1250&lt;&gt;"!!!"),"NEW","")))</f>
        <v/>
      </c>
      <c r="G1250" s="22" t="str">
        <f>IF(OR(E1250="",E1250="!!!"),"",IF(OR(J1250=0,AND(J1250=1,K1250=1),AND(J1250=1,I1250="SBJ"),AND(J1250=1,I1250=0)),"?IN_FOCUS",IF(J1250&lt;=2,"?ACTIVATED",IF(J1250&lt;&gt;"","?FAMILIAR",IF(F1250="NEW",IF(ISNA(VLOOKUP(E1250,#REF!,1,FALSE())),"?TYPE_IDENTIFIABLE","?REFERENTIAL"),"_")))))</f>
        <v/>
      </c>
      <c r="H1250" s="23" t="str">
        <f t="shared" ca="1" si="139"/>
        <v/>
      </c>
      <c r="I1250" s="24" t="str">
        <f>IF(OR(E1250="",E1250="!!!",F1250="NEW"),"",INDEX(B$2:B1249,-1+SUMPRODUCT(MAX(ROW(E$2:E1249)*(E1250=E$2:E1249)))))</f>
        <v/>
      </c>
      <c r="J1250" s="24" t="str">
        <f ca="1">IF(OR(E1250="",E1250="!!!",F1250="NEW"),"",COUNTBLANK(OFFSET(A$1,,,SUMPRODUCT(MAX(ROW(E$2:E1250)*(E1250=E$2:E1250)))))-COUNTBLANK(OFFSET(A$1,,,SUMPRODUCT(MAX(ROW(E$1:E1249)*(E2=E$1:E1249))))))</f>
        <v/>
      </c>
      <c r="K1250" s="24" t="str">
        <f>IF(OR(E1250="",E1250="!!!",F1250="NEW"),"",INDEX(J$1:J1249,SUMPRODUCT(MAX(ROW(E$1:E1249)*(E1250=E$1:E1249)))))</f>
        <v/>
      </c>
      <c r="L1250" s="25"/>
    </row>
    <row r="1251" spans="1:12" x14ac:dyDescent="0.3">
      <c r="A1251" t="s">
        <v>749</v>
      </c>
      <c r="B1251" s="26" t="s">
        <v>243</v>
      </c>
      <c r="C1251" s="26" t="s">
        <v>239</v>
      </c>
      <c r="D1251" s="26" t="s">
        <v>240</v>
      </c>
      <c r="E1251" s="20" t="str">
        <f t="shared" si="138"/>
        <v>!!!</v>
      </c>
      <c r="F1251" s="21" t="str">
        <f>IF(OR(E1251="",E1251="!!!"),"",IF(NOT(ISNA(VLOOKUP(E1251,E$1:E1250,1,FALSE()))),"OLD",IF(AND(E1251&lt;&gt;"",E1251&lt;&gt;"!!!"),"NEW","")))</f>
        <v/>
      </c>
      <c r="G1251" s="22" t="str">
        <f>IF(OR(E1251="",E1251="!!!"),"",IF(OR(J1251=0,AND(J1251=1,K1251=1),AND(J1251=1,I1251="SBJ"),AND(J1251=1,I1251=0)),"?IN_FOCUS",IF(J1251&lt;=2,"?ACTIVATED",IF(J1251&lt;&gt;"","?FAMILIAR",IF(F1251="NEW",IF(ISNA(VLOOKUP(E1251,#REF!,1,FALSE())),"?TYPE_IDENTIFIABLE","?REFERENTIAL"),"_")))))</f>
        <v/>
      </c>
      <c r="H1251" s="23" t="str">
        <f t="shared" ca="1" si="139"/>
        <v/>
      </c>
      <c r="I1251" s="24" t="str">
        <f>IF(OR(E1251="",E1251="!!!",F1251="NEW"),"",INDEX(B$2:B1250,-1+SUMPRODUCT(MAX(ROW(E$2:E1250)*(E1251=E$2:E1250)))))</f>
        <v/>
      </c>
      <c r="J1251" s="24" t="str">
        <f ca="1">IF(OR(E1251="",E1251="!!!",F1251="NEW"),"",COUNTBLANK(OFFSET(A$1,,,SUMPRODUCT(MAX(ROW(E$2:E1251)*(E1251=E$2:E1251)))))-COUNTBLANK(OFFSET(A$1,,,SUMPRODUCT(MAX(ROW(E$1:E1250)*(E2=E$1:E1250))))))</f>
        <v/>
      </c>
      <c r="K1251" s="24" t="str">
        <f>IF(OR(E1251="",E1251="!!!",F1251="NEW"),"",INDEX(J$1:J1250,SUMPRODUCT(MAX(ROW(E$1:E1250)*(E1251=E$1:E1250)))))</f>
        <v/>
      </c>
      <c r="L1251" s="25"/>
    </row>
    <row r="1252" spans="1:12" x14ac:dyDescent="0.3">
      <c r="A1252" t="s">
        <v>248</v>
      </c>
      <c r="E1252" s="20" t="str">
        <f t="shared" si="138"/>
        <v/>
      </c>
      <c r="F1252" s="21" t="str">
        <f>IF(OR(E1252="",E1252="!!!"),"",IF(NOT(ISNA(VLOOKUP(E1252,E$1:E1251,1,FALSE()))),"OLD",IF(AND(E1252&lt;&gt;"",E1252&lt;&gt;"!!!"),"NEW","")))</f>
        <v/>
      </c>
      <c r="G1252" s="22" t="str">
        <f>IF(OR(E1252="",E1252="!!!"),"",IF(OR(J1252=0,AND(J1252=1,K1252=1),AND(J1252=1,I1252="SBJ"),AND(J1252=1,I1252=0)),"?IN_FOCUS",IF(J1252&lt;=2,"?ACTIVATED",IF(J1252&lt;&gt;"","?FAMILIAR",IF(F1252="NEW",IF(ISNA(VLOOKUP(E1252,#REF!,1,FALSE())),"?TYPE_IDENTIFIABLE","?REFERENTIAL"),"_")))))</f>
        <v/>
      </c>
      <c r="H1252" s="23" t="str">
        <f t="shared" ca="1" si="139"/>
        <v/>
      </c>
      <c r="I1252" s="24" t="str">
        <f>IF(OR(E1252="",E1252="!!!",F1252="NEW"),"",INDEX(B$2:B1251,-1+SUMPRODUCT(MAX(ROW(E$2:E1251)*(E1252=E$2:E1251)))))</f>
        <v/>
      </c>
      <c r="J1252" s="24" t="str">
        <f ca="1">IF(OR(E1252="",E1252="!!!",F1252="NEW"),"",COUNTBLANK(OFFSET(A$1,,,SUMPRODUCT(MAX(ROW(E$2:E1252)*(E1252=E$2:E1252)))))-COUNTBLANK(OFFSET(A$1,,,SUMPRODUCT(MAX(ROW(E$1:E1251)*(E2=E$1:E1251))))))</f>
        <v/>
      </c>
      <c r="K1252" s="24" t="str">
        <f>IF(OR(E1252="",E1252="!!!",F1252="NEW"),"",INDEX(J$1:J1251,SUMPRODUCT(MAX(ROW(E$1:E1251)*(E1252=E$1:E1251)))))</f>
        <v/>
      </c>
      <c r="L1252" s="25"/>
    </row>
    <row r="1254" spans="1:12" x14ac:dyDescent="0.3">
      <c r="A1254" t="s">
        <v>750</v>
      </c>
    </row>
    <row r="1255" spans="1:12" x14ac:dyDescent="0.3">
      <c r="A1255" t="s">
        <v>751</v>
      </c>
      <c r="E1255" s="20" t="str">
        <f t="shared" ref="E1255:E1267" si="140">IF(D1255="?OLD","!!!","")</f>
        <v/>
      </c>
      <c r="F1255" s="21" t="str">
        <f>IF(OR(E1255="",E1255="!!!"),"",IF(NOT(ISNA(VLOOKUP(E1255,E$1:E1254,1,FALSE()))),"OLD",IF(AND(E1255&lt;&gt;"",E1255&lt;&gt;"!!!"),"NEW","")))</f>
        <v/>
      </c>
      <c r="G1255" s="22" t="str">
        <f>IF(OR(E1255="",E1255="!!!"),"",IF(OR(J1255=0,AND(J1255=1,K1255=1),AND(J1255=1,I1255="SBJ"),AND(J1255=1,I1255=0)),"?IN_FOCUS",IF(J1255&lt;=2,"?ACTIVATED",IF(J1255&lt;&gt;"","?FAMILIAR",IF(F1255="NEW",IF(ISNA(VLOOKUP(E1255,#REF!,1,FALSE())),"?TYPE_IDENTIFIABLE","?REFERENTIAL"),"_")))))</f>
        <v/>
      </c>
      <c r="H1255" s="23" t="str">
        <f t="shared" ref="H1255:H1267" ca="1" si="141">IF(J1255&lt;&gt;1,"",IF(I1255="SBJ","CB","?"))</f>
        <v/>
      </c>
      <c r="I1255" s="24" t="str">
        <f>IF(OR(E1255="",E1255="!!!",F1255="NEW"),"",INDEX(B$2:B1254,-1+SUMPRODUCT(MAX(ROW(E$2:E1254)*(E1255=E$2:E1254)))))</f>
        <v/>
      </c>
      <c r="J1255" s="24" t="str">
        <f ca="1">IF(OR(E1255="",E1255="!!!",F1255="NEW"),"",COUNTBLANK(OFFSET(A$1,,,SUMPRODUCT(MAX(ROW(E$2:E1255)*(E1255=E$2:E1255)))))-COUNTBLANK(OFFSET(A$1,,,SUMPRODUCT(MAX(ROW(E$1:E1254)*(E2=E$1:E1254))))))</f>
        <v/>
      </c>
      <c r="K1255" s="24" t="str">
        <f>IF(OR(E1255="",E1255="!!!",F1255="NEW"),"",INDEX(J$1:J1254,SUMPRODUCT(MAX(ROW(E$1:E1254)*(E1255=E$1:E1254)))))</f>
        <v/>
      </c>
      <c r="L1255" s="25"/>
    </row>
    <row r="1256" spans="1:12" x14ac:dyDescent="0.3">
      <c r="A1256" t="s">
        <v>752</v>
      </c>
      <c r="B1256" s="26" t="s">
        <v>243</v>
      </c>
      <c r="C1256" s="26" t="s">
        <v>307</v>
      </c>
      <c r="E1256" s="20" t="str">
        <f t="shared" si="140"/>
        <v/>
      </c>
      <c r="F1256" s="21" t="str">
        <f>IF(OR(E1256="",E1256="!!!"),"",IF(NOT(ISNA(VLOOKUP(E1256,E$1:E1255,1,FALSE()))),"OLD",IF(AND(E1256&lt;&gt;"",E1256&lt;&gt;"!!!"),"NEW","")))</f>
        <v/>
      </c>
      <c r="G1256" s="22" t="str">
        <f>IF(OR(E1256="",E1256="!!!"),"",IF(OR(J1256=0,AND(J1256=1,K1256=1),AND(J1256=1,I1256="SBJ"),AND(J1256=1,I1256=0)),"?IN_FOCUS",IF(J1256&lt;=2,"?ACTIVATED",IF(J1256&lt;&gt;"","?FAMILIAR",IF(F1256="NEW",IF(ISNA(VLOOKUP(E1256,#REF!,1,FALSE())),"?TYPE_IDENTIFIABLE","?REFERENTIAL"),"_")))))</f>
        <v/>
      </c>
      <c r="H1256" s="23" t="str">
        <f t="shared" ca="1" si="141"/>
        <v/>
      </c>
      <c r="I1256" s="24" t="str">
        <f>IF(OR(E1256="",E1256="!!!",F1256="NEW"),"",INDEX(B$2:B1255,-1+SUMPRODUCT(MAX(ROW(E$2:E1255)*(E1256=E$2:E1255)))))</f>
        <v/>
      </c>
      <c r="J1256" s="24" t="str">
        <f ca="1">IF(OR(E1256="",E1256="!!!",F1256="NEW"),"",COUNTBLANK(OFFSET(A$1,,,SUMPRODUCT(MAX(ROW(E$2:E1256)*(E1256=E$2:E1256)))))-COUNTBLANK(OFFSET(A$1,,,SUMPRODUCT(MAX(ROW(E$1:E1255)*(E2=E$1:E1255))))))</f>
        <v/>
      </c>
      <c r="K1256" s="24" t="str">
        <f>IF(OR(E1256="",E1256="!!!",F1256="NEW"),"",INDEX(J$1:J1255,SUMPRODUCT(MAX(ROW(E$1:E1255)*(E1256=E$1:E1255)))))</f>
        <v/>
      </c>
      <c r="L1256" s="25"/>
    </row>
    <row r="1257" spans="1:12" x14ac:dyDescent="0.3">
      <c r="A1257" t="s">
        <v>337</v>
      </c>
      <c r="E1257" s="20" t="str">
        <f t="shared" si="140"/>
        <v/>
      </c>
      <c r="F1257" s="21" t="str">
        <f>IF(OR(E1257="",E1257="!!!"),"",IF(NOT(ISNA(VLOOKUP(E1257,E$1:E1256,1,FALSE()))),"OLD",IF(AND(E1257&lt;&gt;"",E1257&lt;&gt;"!!!"),"NEW","")))</f>
        <v/>
      </c>
      <c r="G1257" s="22" t="str">
        <f>IF(OR(E1257="",E1257="!!!"),"",IF(OR(J1257=0,AND(J1257=1,K1257=1),AND(J1257=1,I1257="SBJ"),AND(J1257=1,I1257=0)),"?IN_FOCUS",IF(J1257&lt;=2,"?ACTIVATED",IF(J1257&lt;&gt;"","?FAMILIAR",IF(F1257="NEW",IF(ISNA(VLOOKUP(E1257,#REF!,1,FALSE())),"?TYPE_IDENTIFIABLE","?REFERENTIAL"),"_")))))</f>
        <v/>
      </c>
      <c r="H1257" s="23" t="str">
        <f t="shared" ca="1" si="141"/>
        <v/>
      </c>
      <c r="I1257" s="24" t="str">
        <f>IF(OR(E1257="",E1257="!!!",F1257="NEW"),"",INDEX(B$2:B1256,-1+SUMPRODUCT(MAX(ROW(E$2:E1256)*(E1257=E$2:E1256)))))</f>
        <v/>
      </c>
      <c r="J1257" s="24" t="str">
        <f ca="1">IF(OR(E1257="",E1257="!!!",F1257="NEW"),"",COUNTBLANK(OFFSET(A$1,,,SUMPRODUCT(MAX(ROW(E$2:E1257)*(E1257=E$2:E1257)))))-COUNTBLANK(OFFSET(A$1,,,SUMPRODUCT(MAX(ROW(E$1:E1256)*(E2=E$1:E1256))))))</f>
        <v/>
      </c>
      <c r="K1257" s="24" t="str">
        <f>IF(OR(E1257="",E1257="!!!",F1257="NEW"),"",INDEX(J$1:J1256,SUMPRODUCT(MAX(ROW(E$1:E1256)*(E1257=E$1:E1256)))))</f>
        <v/>
      </c>
      <c r="L1257" s="25"/>
    </row>
    <row r="1258" spans="1:12" x14ac:dyDescent="0.3">
      <c r="A1258" t="s">
        <v>690</v>
      </c>
      <c r="B1258" s="26" t="s">
        <v>261</v>
      </c>
      <c r="C1258" s="26" t="s">
        <v>346</v>
      </c>
      <c r="D1258" s="26" t="s">
        <v>240</v>
      </c>
      <c r="E1258" s="20" t="str">
        <f t="shared" si="140"/>
        <v>!!!</v>
      </c>
      <c r="F1258" s="21" t="str">
        <f>IF(OR(E1258="",E1258="!!!"),"",IF(NOT(ISNA(VLOOKUP(E1258,E$1:E1257,1,FALSE()))),"OLD",IF(AND(E1258&lt;&gt;"",E1258&lt;&gt;"!!!"),"NEW","")))</f>
        <v/>
      </c>
      <c r="G1258" s="22" t="str">
        <f>IF(OR(E1258="",E1258="!!!"),"",IF(OR(J1258=0,AND(J1258=1,K1258=1),AND(J1258=1,I1258="SBJ"),AND(J1258=1,I1258=0)),"?IN_FOCUS",IF(J1258&lt;=2,"?ACTIVATED",IF(J1258&lt;&gt;"","?FAMILIAR",IF(F1258="NEW",IF(ISNA(VLOOKUP(E1258,#REF!,1,FALSE())),"?TYPE_IDENTIFIABLE","?REFERENTIAL"),"_")))))</f>
        <v/>
      </c>
      <c r="H1258" s="23" t="str">
        <f t="shared" ca="1" si="141"/>
        <v/>
      </c>
      <c r="I1258" s="24" t="str">
        <f>IF(OR(E1258="",E1258="!!!",F1258="NEW"),"",INDEX(B$2:B1257,-1+SUMPRODUCT(MAX(ROW(E$2:E1257)*(E1258=E$2:E1257)))))</f>
        <v/>
      </c>
      <c r="J1258" s="24" t="str">
        <f ca="1">IF(OR(E1258="",E1258="!!!",F1258="NEW"),"",COUNTBLANK(OFFSET(A$1,,,SUMPRODUCT(MAX(ROW(E$2:E1258)*(E1258=E$2:E1258)))))-COUNTBLANK(OFFSET(A$1,,,SUMPRODUCT(MAX(ROW(E$1:E1257)*(E2=E$1:E1257))))))</f>
        <v/>
      </c>
      <c r="K1258" s="24" t="str">
        <f>IF(OR(E1258="",E1258="!!!",F1258="NEW"),"",INDEX(J$1:J1257,SUMPRODUCT(MAX(ROW(E$1:E1257)*(E1258=E$1:E1257)))))</f>
        <v/>
      </c>
      <c r="L1258" s="25"/>
    </row>
    <row r="1259" spans="1:12" x14ac:dyDescent="0.3">
      <c r="A1259" t="s">
        <v>742</v>
      </c>
      <c r="E1259" s="20" t="str">
        <f t="shared" si="140"/>
        <v/>
      </c>
      <c r="F1259" s="21" t="str">
        <f>IF(OR(E1259="",E1259="!!!"),"",IF(NOT(ISNA(VLOOKUP(E1259,E$1:E1258,1,FALSE()))),"OLD",IF(AND(E1259&lt;&gt;"",E1259&lt;&gt;"!!!"),"NEW","")))</f>
        <v/>
      </c>
      <c r="G1259" s="22" t="str">
        <f>IF(OR(E1259="",E1259="!!!"),"",IF(OR(J1259=0,AND(J1259=1,K1259=1),AND(J1259=1,I1259="SBJ"),AND(J1259=1,I1259=0)),"?IN_FOCUS",IF(J1259&lt;=2,"?ACTIVATED",IF(J1259&lt;&gt;"","?FAMILIAR",IF(F1259="NEW",IF(ISNA(VLOOKUP(E1259,#REF!,1,FALSE())),"?TYPE_IDENTIFIABLE","?REFERENTIAL"),"_")))))</f>
        <v/>
      </c>
      <c r="H1259" s="23" t="str">
        <f t="shared" ca="1" si="141"/>
        <v/>
      </c>
      <c r="I1259" s="24" t="str">
        <f>IF(OR(E1259="",E1259="!!!",F1259="NEW"),"",INDEX(B$2:B1258,-1+SUMPRODUCT(MAX(ROW(E$2:E1258)*(E1259=E$2:E1258)))))</f>
        <v/>
      </c>
      <c r="J1259" s="24" t="str">
        <f ca="1">IF(OR(E1259="",E1259="!!!",F1259="NEW"),"",COUNTBLANK(OFFSET(A$1,,,SUMPRODUCT(MAX(ROW(E$2:E1259)*(E1259=E$2:E1259)))))-COUNTBLANK(OFFSET(A$1,,,SUMPRODUCT(MAX(ROW(E$1:E1258)*(E2=E$1:E1258))))))</f>
        <v/>
      </c>
      <c r="K1259" s="24" t="str">
        <f>IF(OR(E1259="",E1259="!!!",F1259="NEW"),"",INDEX(J$1:J1258,SUMPRODUCT(MAX(ROW(E$1:E1258)*(E1259=E$1:E1258)))))</f>
        <v/>
      </c>
      <c r="L1259" s="25"/>
    </row>
    <row r="1260" spans="1:12" x14ac:dyDescent="0.3">
      <c r="A1260" t="s">
        <v>749</v>
      </c>
      <c r="B1260" s="26" t="s">
        <v>243</v>
      </c>
      <c r="C1260" s="26" t="s">
        <v>587</v>
      </c>
      <c r="D1260" s="26" t="s">
        <v>240</v>
      </c>
      <c r="E1260" s="20" t="str">
        <f t="shared" si="140"/>
        <v>!!!</v>
      </c>
      <c r="F1260" s="21" t="str">
        <f>IF(OR(E1260="",E1260="!!!"),"",IF(NOT(ISNA(VLOOKUP(E1260,E$1:E1259,1,FALSE()))),"OLD",IF(AND(E1260&lt;&gt;"",E1260&lt;&gt;"!!!"),"NEW","")))</f>
        <v/>
      </c>
      <c r="G1260" s="22" t="str">
        <f>IF(OR(E1260="",E1260="!!!"),"",IF(OR(J1260=0,AND(J1260=1,K1260=1),AND(J1260=1,I1260="SBJ"),AND(J1260=1,I1260=0)),"?IN_FOCUS",IF(J1260&lt;=2,"?ACTIVATED",IF(J1260&lt;&gt;"","?FAMILIAR",IF(F1260="NEW",IF(ISNA(VLOOKUP(E1260,#REF!,1,FALSE())),"?TYPE_IDENTIFIABLE","?REFERENTIAL"),"_")))))</f>
        <v/>
      </c>
      <c r="H1260" s="23" t="str">
        <f t="shared" ca="1" si="141"/>
        <v/>
      </c>
      <c r="I1260" s="24" t="str">
        <f>IF(OR(E1260="",E1260="!!!",F1260="NEW"),"",INDEX(B$2:B1259,-1+SUMPRODUCT(MAX(ROW(E$2:E1259)*(E1260=E$2:E1259)))))</f>
        <v/>
      </c>
      <c r="J1260" s="24" t="str">
        <f ca="1">IF(OR(E1260="",E1260="!!!",F1260="NEW"),"",COUNTBLANK(OFFSET(A$1,,,SUMPRODUCT(MAX(ROW(E$2:E1260)*(E1260=E$2:E1260)))))-COUNTBLANK(OFFSET(A$1,,,SUMPRODUCT(MAX(ROW(E$1:E1259)*(E2=E$1:E1259))))))</f>
        <v/>
      </c>
      <c r="K1260" s="24" t="str">
        <f>IF(OR(E1260="",E1260="!!!",F1260="NEW"),"",INDEX(J$1:J1259,SUMPRODUCT(MAX(ROW(E$1:E1259)*(E1260=E$1:E1259)))))</f>
        <v/>
      </c>
      <c r="L1260" s="25"/>
    </row>
    <row r="1261" spans="1:12" x14ac:dyDescent="0.3">
      <c r="A1261" t="s">
        <v>257</v>
      </c>
      <c r="E1261" s="20" t="str">
        <f t="shared" si="140"/>
        <v/>
      </c>
      <c r="F1261" s="21" t="str">
        <f>IF(OR(E1261="",E1261="!!!"),"",IF(NOT(ISNA(VLOOKUP(E1261,E$1:E1260,1,FALSE()))),"OLD",IF(AND(E1261&lt;&gt;"",E1261&lt;&gt;"!!!"),"NEW","")))</f>
        <v/>
      </c>
      <c r="G1261" s="22" t="str">
        <f>IF(OR(E1261="",E1261="!!!"),"",IF(OR(J1261=0,AND(J1261=1,K1261=1),AND(J1261=1,I1261="SBJ"),AND(J1261=1,I1261=0)),"?IN_FOCUS",IF(J1261&lt;=2,"?ACTIVATED",IF(J1261&lt;&gt;"","?FAMILIAR",IF(F1261="NEW",IF(ISNA(VLOOKUP(E1261,#REF!,1,FALSE())),"?TYPE_IDENTIFIABLE","?REFERENTIAL"),"_")))))</f>
        <v/>
      </c>
      <c r="H1261" s="23" t="str">
        <f t="shared" ca="1" si="141"/>
        <v/>
      </c>
      <c r="I1261" s="24" t="str">
        <f>IF(OR(E1261="",E1261="!!!",F1261="NEW"),"",INDEX(B$2:B1260,-1+SUMPRODUCT(MAX(ROW(E$2:E1260)*(E1261=E$2:E1260)))))</f>
        <v/>
      </c>
      <c r="J1261" s="24" t="str">
        <f ca="1">IF(OR(E1261="",E1261="!!!",F1261="NEW"),"",COUNTBLANK(OFFSET(A$1,,,SUMPRODUCT(MAX(ROW(E$2:E1261)*(E1261=E$2:E1261)))))-COUNTBLANK(OFFSET(A$1,,,SUMPRODUCT(MAX(ROW(E$1:E1260)*(E2=E$1:E1260))))))</f>
        <v/>
      </c>
      <c r="K1261" s="24" t="str">
        <f>IF(OR(E1261="",E1261="!!!",F1261="NEW"),"",INDEX(J$1:J1260,SUMPRODUCT(MAX(ROW(E$1:E1260)*(E1261=E$1:E1260)))))</f>
        <v/>
      </c>
      <c r="L1261" s="25"/>
    </row>
    <row r="1262" spans="1:12" x14ac:dyDescent="0.3">
      <c r="A1262" t="s">
        <v>236</v>
      </c>
      <c r="E1262" s="20" t="str">
        <f t="shared" si="140"/>
        <v/>
      </c>
      <c r="F1262" s="21" t="str">
        <f>IF(OR(E1262="",E1262="!!!"),"",IF(NOT(ISNA(VLOOKUP(E1262,E$1:E1261,1,FALSE()))),"OLD",IF(AND(E1262&lt;&gt;"",E1262&lt;&gt;"!!!"),"NEW","")))</f>
        <v/>
      </c>
      <c r="G1262" s="22" t="str">
        <f>IF(OR(E1262="",E1262="!!!"),"",IF(OR(J1262=0,AND(J1262=1,K1262=1),AND(J1262=1,I1262="SBJ"),AND(J1262=1,I1262=0)),"?IN_FOCUS",IF(J1262&lt;=2,"?ACTIVATED",IF(J1262&lt;&gt;"","?FAMILIAR",IF(F1262="NEW",IF(ISNA(VLOOKUP(E1262,#REF!,1,FALSE())),"?TYPE_IDENTIFIABLE","?REFERENTIAL"),"_")))))</f>
        <v/>
      </c>
      <c r="H1262" s="23" t="str">
        <f t="shared" ca="1" si="141"/>
        <v/>
      </c>
      <c r="I1262" s="24" t="str">
        <f>IF(OR(E1262="",E1262="!!!",F1262="NEW"),"",INDEX(B$2:B1261,-1+SUMPRODUCT(MAX(ROW(E$2:E1261)*(E1262=E$2:E1261)))))</f>
        <v/>
      </c>
      <c r="J1262" s="24" t="str">
        <f ca="1">IF(OR(E1262="",E1262="!!!",F1262="NEW"),"",COUNTBLANK(OFFSET(A$1,,,SUMPRODUCT(MAX(ROW(E$2:E1262)*(E1262=E$2:E1262)))))-COUNTBLANK(OFFSET(A$1,,,SUMPRODUCT(MAX(ROW(E$1:E1261)*(E2=E$1:E1261))))))</f>
        <v/>
      </c>
      <c r="K1262" s="24" t="str">
        <f>IF(OR(E1262="",E1262="!!!",F1262="NEW"),"",INDEX(J$1:J1261,SUMPRODUCT(MAX(ROW(E$1:E1261)*(E1262=E$1:E1261)))))</f>
        <v/>
      </c>
      <c r="L1262" s="25"/>
    </row>
    <row r="1263" spans="1:12" x14ac:dyDescent="0.3">
      <c r="A1263" t="s">
        <v>753</v>
      </c>
      <c r="B1263" s="26" t="s">
        <v>238</v>
      </c>
      <c r="C1263" s="26" t="s">
        <v>239</v>
      </c>
      <c r="D1263" s="26" t="s">
        <v>240</v>
      </c>
      <c r="E1263" s="20" t="str">
        <f t="shared" si="140"/>
        <v>!!!</v>
      </c>
      <c r="F1263" s="21" t="str">
        <f>IF(OR(E1263="",E1263="!!!"),"",IF(NOT(ISNA(VLOOKUP(E1263,E$1:E1262,1,FALSE()))),"OLD",IF(AND(E1263&lt;&gt;"",E1263&lt;&gt;"!!!"),"NEW","")))</f>
        <v/>
      </c>
      <c r="G1263" s="22" t="str">
        <f>IF(OR(E1263="",E1263="!!!"),"",IF(OR(J1263=0,AND(J1263=1,K1263=1),AND(J1263=1,I1263="SBJ"),AND(J1263=1,I1263=0)),"?IN_FOCUS",IF(J1263&lt;=2,"?ACTIVATED",IF(J1263&lt;&gt;"","?FAMILIAR",IF(F1263="NEW",IF(ISNA(VLOOKUP(E1263,#REF!,1,FALSE())),"?TYPE_IDENTIFIABLE","?REFERENTIAL"),"_")))))</f>
        <v/>
      </c>
      <c r="H1263" s="23" t="str">
        <f t="shared" ca="1" si="141"/>
        <v/>
      </c>
      <c r="I1263" s="24" t="str">
        <f>IF(OR(E1263="",E1263="!!!",F1263="NEW"),"",INDEX(B$2:B1262,-1+SUMPRODUCT(MAX(ROW(E$2:E1262)*(E1263=E$2:E1262)))))</f>
        <v/>
      </c>
      <c r="J1263" s="24" t="str">
        <f ca="1">IF(OR(E1263="",E1263="!!!",F1263="NEW"),"",COUNTBLANK(OFFSET(A$1,,,SUMPRODUCT(MAX(ROW(E$2:E1263)*(E1263=E$2:E1263)))))-COUNTBLANK(OFFSET(A$1,,,SUMPRODUCT(MAX(ROW(E$1:E1262)*(E2=E$1:E1262))))))</f>
        <v/>
      </c>
      <c r="K1263" s="24" t="str">
        <f>IF(OR(E1263="",E1263="!!!",F1263="NEW"),"",INDEX(J$1:J1262,SUMPRODUCT(MAX(ROW(E$1:E1262)*(E1263=E$1:E1262)))))</f>
        <v/>
      </c>
      <c r="L1263" s="25"/>
    </row>
    <row r="1264" spans="1:12" x14ac:dyDescent="0.3">
      <c r="A1264" t="s">
        <v>361</v>
      </c>
      <c r="E1264" s="20" t="str">
        <f t="shared" si="140"/>
        <v/>
      </c>
      <c r="F1264" s="21" t="str">
        <f>IF(OR(E1264="",E1264="!!!"),"",IF(NOT(ISNA(VLOOKUP(E1264,E$1:E1263,1,FALSE()))),"OLD",IF(AND(E1264&lt;&gt;"",E1264&lt;&gt;"!!!"),"NEW","")))</f>
        <v/>
      </c>
      <c r="G1264" s="22" t="str">
        <f>IF(OR(E1264="",E1264="!!!"),"",IF(OR(J1264=0,AND(J1264=1,K1264=1),AND(J1264=1,I1264="SBJ"),AND(J1264=1,I1264=0)),"?IN_FOCUS",IF(J1264&lt;=2,"?ACTIVATED",IF(J1264&lt;&gt;"","?FAMILIAR",IF(F1264="NEW",IF(ISNA(VLOOKUP(E1264,#REF!,1,FALSE())),"?TYPE_IDENTIFIABLE","?REFERENTIAL"),"_")))))</f>
        <v/>
      </c>
      <c r="H1264" s="23" t="str">
        <f t="shared" ca="1" si="141"/>
        <v/>
      </c>
      <c r="I1264" s="24" t="str">
        <f>IF(OR(E1264="",E1264="!!!",F1264="NEW"),"",INDEX(B$2:B1263,-1+SUMPRODUCT(MAX(ROW(E$2:E1263)*(E1264=E$2:E1263)))))</f>
        <v/>
      </c>
      <c r="J1264" s="24" t="str">
        <f ca="1">IF(OR(E1264="",E1264="!!!",F1264="NEW"),"",COUNTBLANK(OFFSET(A$1,,,SUMPRODUCT(MAX(ROW(E$2:E1264)*(E1264=E$2:E1264)))))-COUNTBLANK(OFFSET(A$1,,,SUMPRODUCT(MAX(ROW(E$1:E1263)*(E2=E$1:E1263))))))</f>
        <v/>
      </c>
      <c r="K1264" s="24" t="str">
        <f>IF(OR(E1264="",E1264="!!!",F1264="NEW"),"",INDEX(J$1:J1263,SUMPRODUCT(MAX(ROW(E$1:E1263)*(E1264=E$1:E1263)))))</f>
        <v/>
      </c>
      <c r="L1264" s="25"/>
    </row>
    <row r="1265" spans="1:12" x14ac:dyDescent="0.3">
      <c r="A1265" t="s">
        <v>697</v>
      </c>
      <c r="B1265" s="26" t="s">
        <v>238</v>
      </c>
      <c r="C1265" s="26" t="s">
        <v>294</v>
      </c>
      <c r="D1265" s="26" t="s">
        <v>240</v>
      </c>
      <c r="E1265" s="20" t="str">
        <f t="shared" si="140"/>
        <v>!!!</v>
      </c>
      <c r="F1265" s="21" t="str">
        <f>IF(OR(E1265="",E1265="!!!"),"",IF(NOT(ISNA(VLOOKUP(E1265,E$1:E1264,1,FALSE()))),"OLD",IF(AND(E1265&lt;&gt;"",E1265&lt;&gt;"!!!"),"NEW","")))</f>
        <v/>
      </c>
      <c r="G1265" s="22" t="str">
        <f>IF(OR(E1265="",E1265="!!!"),"",IF(OR(J1265=0,AND(J1265=1,K1265=1),AND(J1265=1,I1265="SBJ"),AND(J1265=1,I1265=0)),"?IN_FOCUS",IF(J1265&lt;=2,"?ACTIVATED",IF(J1265&lt;&gt;"","?FAMILIAR",IF(F1265="NEW",IF(ISNA(VLOOKUP(E1265,#REF!,1,FALSE())),"?TYPE_IDENTIFIABLE","?REFERENTIAL"),"_")))))</f>
        <v/>
      </c>
      <c r="H1265" s="23" t="str">
        <f t="shared" ca="1" si="141"/>
        <v/>
      </c>
      <c r="I1265" s="24" t="str">
        <f>IF(OR(E1265="",E1265="!!!",F1265="NEW"),"",INDEX(B$2:B1264,-1+SUMPRODUCT(MAX(ROW(E$2:E1264)*(E1265=E$2:E1264)))))</f>
        <v/>
      </c>
      <c r="J1265" s="24" t="str">
        <f ca="1">IF(OR(E1265="",E1265="!!!",F1265="NEW"),"",COUNTBLANK(OFFSET(A$1,,,SUMPRODUCT(MAX(ROW(E$2:E1265)*(E1265=E$2:E1265)))))-COUNTBLANK(OFFSET(A$1,,,SUMPRODUCT(MAX(ROW(E$1:E1264)*(E2=E$1:E1264))))))</f>
        <v/>
      </c>
      <c r="K1265" s="24" t="str">
        <f>IF(OR(E1265="",E1265="!!!",F1265="NEW"),"",INDEX(J$1:J1264,SUMPRODUCT(MAX(ROW(E$1:E1264)*(E1265=E$1:E1264)))))</f>
        <v/>
      </c>
      <c r="L1265" s="25"/>
    </row>
    <row r="1266" spans="1:12" x14ac:dyDescent="0.3">
      <c r="A1266" t="s">
        <v>754</v>
      </c>
      <c r="E1266" s="20" t="str">
        <f t="shared" si="140"/>
        <v/>
      </c>
      <c r="F1266" s="21" t="str">
        <f>IF(OR(E1266="",E1266="!!!"),"",IF(NOT(ISNA(VLOOKUP(E1266,E$1:E1265,1,FALSE()))),"OLD",IF(AND(E1266&lt;&gt;"",E1266&lt;&gt;"!!!"),"NEW","")))</f>
        <v/>
      </c>
      <c r="G1266" s="22" t="str">
        <f>IF(OR(E1266="",E1266="!!!"),"",IF(OR(J1266=0,AND(J1266=1,K1266=1),AND(J1266=1,I1266="SBJ"),AND(J1266=1,I1266=0)),"?IN_FOCUS",IF(J1266&lt;=2,"?ACTIVATED",IF(J1266&lt;&gt;"","?FAMILIAR",IF(F1266="NEW",IF(ISNA(VLOOKUP(E1266,#REF!,1,FALSE())),"?TYPE_IDENTIFIABLE","?REFERENTIAL"),"_")))))</f>
        <v/>
      </c>
      <c r="H1266" s="23" t="str">
        <f t="shared" ca="1" si="141"/>
        <v/>
      </c>
      <c r="I1266" s="24" t="str">
        <f>IF(OR(E1266="",E1266="!!!",F1266="NEW"),"",INDEX(B$2:B1265,-1+SUMPRODUCT(MAX(ROW(E$2:E1265)*(E1266=E$2:E1265)))))</f>
        <v/>
      </c>
      <c r="J1266" s="24" t="str">
        <f ca="1">IF(OR(E1266="",E1266="!!!",F1266="NEW"),"",COUNTBLANK(OFFSET(A$1,,,SUMPRODUCT(MAX(ROW(E$2:E1266)*(E1266=E$2:E1266)))))-COUNTBLANK(OFFSET(A$1,,,SUMPRODUCT(MAX(ROW(E$1:E1265)*(E2=E$1:E1265))))))</f>
        <v/>
      </c>
      <c r="K1266" s="24" t="str">
        <f>IF(OR(E1266="",E1266="!!!",F1266="NEW"),"",INDEX(J$1:J1265,SUMPRODUCT(MAX(ROW(E$1:E1265)*(E1266=E$1:E1265)))))</f>
        <v/>
      </c>
      <c r="L1266" s="25"/>
    </row>
    <row r="1267" spans="1:12" x14ac:dyDescent="0.3">
      <c r="A1267" t="s">
        <v>248</v>
      </c>
      <c r="E1267" s="20" t="str">
        <f t="shared" si="140"/>
        <v/>
      </c>
      <c r="F1267" s="21" t="str">
        <f>IF(OR(E1267="",E1267="!!!"),"",IF(NOT(ISNA(VLOOKUP(E1267,E$1:E1266,1,FALSE()))),"OLD",IF(AND(E1267&lt;&gt;"",E1267&lt;&gt;"!!!"),"NEW","")))</f>
        <v/>
      </c>
      <c r="G1267" s="22" t="str">
        <f>IF(OR(E1267="",E1267="!!!"),"",IF(OR(J1267=0,AND(J1267=1,K1267=1),AND(J1267=1,I1267="SBJ"),AND(J1267=1,I1267=0)),"?IN_FOCUS",IF(J1267&lt;=2,"?ACTIVATED",IF(J1267&lt;&gt;"","?FAMILIAR",IF(F1267="NEW",IF(ISNA(VLOOKUP(E1267,#REF!,1,FALSE())),"?TYPE_IDENTIFIABLE","?REFERENTIAL"),"_")))))</f>
        <v/>
      </c>
      <c r="H1267" s="23" t="str">
        <f t="shared" ca="1" si="141"/>
        <v/>
      </c>
      <c r="I1267" s="24" t="str">
        <f>IF(OR(E1267="",E1267="!!!",F1267="NEW"),"",INDEX(B$2:B1266,-1+SUMPRODUCT(MAX(ROW(E$2:E1266)*(E1267=E$2:E1266)))))</f>
        <v/>
      </c>
      <c r="J1267" s="24" t="str">
        <f ca="1">IF(OR(E1267="",E1267="!!!",F1267="NEW"),"",COUNTBLANK(OFFSET(A$1,,,SUMPRODUCT(MAX(ROW(E$2:E1267)*(E1267=E$2:E1267)))))-COUNTBLANK(OFFSET(A$1,,,SUMPRODUCT(MAX(ROW(E$1:E1266)*(E2=E$1:E1266))))))</f>
        <v/>
      </c>
      <c r="K1267" s="24" t="str">
        <f>IF(OR(E1267="",E1267="!!!",F1267="NEW"),"",INDEX(J$1:J1266,SUMPRODUCT(MAX(ROW(E$1:E1266)*(E1267=E$1:E1266)))))</f>
        <v/>
      </c>
      <c r="L1267" s="25"/>
    </row>
    <row r="1269" spans="1:12" x14ac:dyDescent="0.3">
      <c r="A1269" t="s">
        <v>755</v>
      </c>
    </row>
    <row r="1270" spans="1:12" x14ac:dyDescent="0.3">
      <c r="A1270" t="s">
        <v>324</v>
      </c>
      <c r="B1270" s="26" t="s">
        <v>243</v>
      </c>
      <c r="C1270" s="26" t="s">
        <v>244</v>
      </c>
      <c r="D1270" s="26" t="s">
        <v>240</v>
      </c>
      <c r="E1270" s="20" t="str">
        <f t="shared" ref="E1270:E1276" si="142">IF(D1270="?OLD","!!!","")</f>
        <v>!!!</v>
      </c>
      <c r="F1270" s="21" t="str">
        <f>IF(OR(E1270="",E1270="!!!"),"",IF(NOT(ISNA(VLOOKUP(E1270,E$1:E1269,1,FALSE()))),"OLD",IF(AND(E1270&lt;&gt;"",E1270&lt;&gt;"!!!"),"NEW","")))</f>
        <v/>
      </c>
      <c r="G1270" s="22" t="str">
        <f>IF(OR(E1270="",E1270="!!!"),"",IF(OR(J1270=0,AND(J1270=1,K1270=1),AND(J1270=1,I1270="SBJ"),AND(J1270=1,I1270=0)),"?IN_FOCUS",IF(J1270&lt;=2,"?ACTIVATED",IF(J1270&lt;&gt;"","?FAMILIAR",IF(F1270="NEW",IF(ISNA(VLOOKUP(E1270,#REF!,1,FALSE())),"?TYPE_IDENTIFIABLE","?REFERENTIAL"),"_")))))</f>
        <v/>
      </c>
      <c r="H1270" s="23" t="str">
        <f t="shared" ref="H1270:H1276" ca="1" si="143">IF(J1270&lt;&gt;1,"",IF(I1270="SBJ","CB","?"))</f>
        <v/>
      </c>
      <c r="I1270" s="24" t="str">
        <f>IF(OR(E1270="",E1270="!!!",F1270="NEW"),"",INDEX(B$2:B1269,-1+SUMPRODUCT(MAX(ROW(E$2:E1269)*(E1270=E$2:E1269)))))</f>
        <v/>
      </c>
      <c r="J1270" s="24" t="str">
        <f ca="1">IF(OR(E1270="",E1270="!!!",F1270="NEW"),"",COUNTBLANK(OFFSET(A$1,,,SUMPRODUCT(MAX(ROW(E$2:E1270)*(E1270=E$2:E1270)))))-COUNTBLANK(OFFSET(A$1,,,SUMPRODUCT(MAX(ROW(E$1:E1269)*(E2=E$1:E1269))))))</f>
        <v/>
      </c>
      <c r="K1270" s="24" t="str">
        <f>IF(OR(E1270="",E1270="!!!",F1270="NEW"),"",INDEX(J$1:J1269,SUMPRODUCT(MAX(ROW(E$1:E1269)*(E1270=E$1:E1269)))))</f>
        <v/>
      </c>
      <c r="L1270" s="25"/>
    </row>
    <row r="1271" spans="1:12" x14ac:dyDescent="0.3">
      <c r="A1271" t="s">
        <v>401</v>
      </c>
      <c r="E1271" s="20" t="str">
        <f t="shared" si="142"/>
        <v/>
      </c>
      <c r="F1271" s="21" t="str">
        <f>IF(OR(E1271="",E1271="!!!"),"",IF(NOT(ISNA(VLOOKUP(E1271,E$1:E1270,1,FALSE()))),"OLD",IF(AND(E1271&lt;&gt;"",E1271&lt;&gt;"!!!"),"NEW","")))</f>
        <v/>
      </c>
      <c r="G1271" s="22" t="str">
        <f>IF(OR(E1271="",E1271="!!!"),"",IF(OR(J1271=0,AND(J1271=1,K1271=1),AND(J1271=1,I1271="SBJ"),AND(J1271=1,I1271=0)),"?IN_FOCUS",IF(J1271&lt;=2,"?ACTIVATED",IF(J1271&lt;&gt;"","?FAMILIAR",IF(F1271="NEW",IF(ISNA(VLOOKUP(E1271,#REF!,1,FALSE())),"?TYPE_IDENTIFIABLE","?REFERENTIAL"),"_")))))</f>
        <v/>
      </c>
      <c r="H1271" s="23" t="str">
        <f t="shared" ca="1" si="143"/>
        <v/>
      </c>
      <c r="I1271" s="24" t="str">
        <f>IF(OR(E1271="",E1271="!!!",F1271="NEW"),"",INDEX(B$2:B1270,-1+SUMPRODUCT(MAX(ROW(E$2:E1270)*(E1271=E$2:E1270)))))</f>
        <v/>
      </c>
      <c r="J1271" s="24" t="str">
        <f ca="1">IF(OR(E1271="",E1271="!!!",F1271="NEW"),"",COUNTBLANK(OFFSET(A$1,,,SUMPRODUCT(MAX(ROW(E$2:E1271)*(E1271=E$2:E1271)))))-COUNTBLANK(OFFSET(A$1,,,SUMPRODUCT(MAX(ROW(E$1:E1270)*(E2=E$1:E1270))))))</f>
        <v/>
      </c>
      <c r="K1271" s="24" t="str">
        <f>IF(OR(E1271="",E1271="!!!",F1271="NEW"),"",INDEX(J$1:J1270,SUMPRODUCT(MAX(ROW(E$1:E1270)*(E1271=E$1:E1270)))))</f>
        <v/>
      </c>
      <c r="L1271" s="25"/>
    </row>
    <row r="1272" spans="1:12" x14ac:dyDescent="0.3">
      <c r="A1272" t="s">
        <v>252</v>
      </c>
      <c r="E1272" s="20" t="str">
        <f t="shared" si="142"/>
        <v/>
      </c>
      <c r="F1272" s="21" t="str">
        <f>IF(OR(E1272="",E1272="!!!"),"",IF(NOT(ISNA(VLOOKUP(E1272,E$1:E1271,1,FALSE()))),"OLD",IF(AND(E1272&lt;&gt;"",E1272&lt;&gt;"!!!"),"NEW","")))</f>
        <v/>
      </c>
      <c r="G1272" s="22" t="str">
        <f>IF(OR(E1272="",E1272="!!!"),"",IF(OR(J1272=0,AND(J1272=1,K1272=1),AND(J1272=1,I1272="SBJ"),AND(J1272=1,I1272=0)),"?IN_FOCUS",IF(J1272&lt;=2,"?ACTIVATED",IF(J1272&lt;&gt;"","?FAMILIAR",IF(F1272="NEW",IF(ISNA(VLOOKUP(E1272,#REF!,1,FALSE())),"?TYPE_IDENTIFIABLE","?REFERENTIAL"),"_")))))</f>
        <v/>
      </c>
      <c r="H1272" s="23" t="str">
        <f t="shared" ca="1" si="143"/>
        <v/>
      </c>
      <c r="I1272" s="24" t="str">
        <f>IF(OR(E1272="",E1272="!!!",F1272="NEW"),"",INDEX(B$2:B1271,-1+SUMPRODUCT(MAX(ROW(E$2:E1271)*(E1272=E$2:E1271)))))</f>
        <v/>
      </c>
      <c r="J1272" s="24" t="str">
        <f ca="1">IF(OR(E1272="",E1272="!!!",F1272="NEW"),"",COUNTBLANK(OFFSET(A$1,,,SUMPRODUCT(MAX(ROW(E$2:E1272)*(E1272=E$2:E1272)))))-COUNTBLANK(OFFSET(A$1,,,SUMPRODUCT(MAX(ROW(E$1:E1271)*(E2=E$1:E1271))))))</f>
        <v/>
      </c>
      <c r="K1272" s="24" t="str">
        <f>IF(OR(E1272="",E1272="!!!",F1272="NEW"),"",INDEX(J$1:J1271,SUMPRODUCT(MAX(ROW(E$1:E1271)*(E1272=E$1:E1271)))))</f>
        <v/>
      </c>
      <c r="L1272" s="25"/>
    </row>
    <row r="1273" spans="1:12" x14ac:dyDescent="0.3">
      <c r="A1273" t="s">
        <v>461</v>
      </c>
      <c r="E1273" s="20" t="str">
        <f t="shared" si="142"/>
        <v/>
      </c>
      <c r="F1273" s="21" t="str">
        <f>IF(OR(E1273="",E1273="!!!"),"",IF(NOT(ISNA(VLOOKUP(E1273,E$1:E1272,1,FALSE()))),"OLD",IF(AND(E1273&lt;&gt;"",E1273&lt;&gt;"!!!"),"NEW","")))</f>
        <v/>
      </c>
      <c r="G1273" s="22" t="str">
        <f>IF(OR(E1273="",E1273="!!!"),"",IF(OR(J1273=0,AND(J1273=1,K1273=1),AND(J1273=1,I1273="SBJ"),AND(J1273=1,I1273=0)),"?IN_FOCUS",IF(J1273&lt;=2,"?ACTIVATED",IF(J1273&lt;&gt;"","?FAMILIAR",IF(F1273="NEW",IF(ISNA(VLOOKUP(E1273,#REF!,1,FALSE())),"?TYPE_IDENTIFIABLE","?REFERENTIAL"),"_")))))</f>
        <v/>
      </c>
      <c r="H1273" s="23" t="str">
        <f t="shared" ca="1" si="143"/>
        <v/>
      </c>
      <c r="I1273" s="24" t="str">
        <f>IF(OR(E1273="",E1273="!!!",F1273="NEW"),"",INDEX(B$2:B1272,-1+SUMPRODUCT(MAX(ROW(E$2:E1272)*(E1273=E$2:E1272)))))</f>
        <v/>
      </c>
      <c r="J1273" s="24" t="str">
        <f ca="1">IF(OR(E1273="",E1273="!!!",F1273="NEW"),"",COUNTBLANK(OFFSET(A$1,,,SUMPRODUCT(MAX(ROW(E$2:E1273)*(E1273=E$2:E1273)))))-COUNTBLANK(OFFSET(A$1,,,SUMPRODUCT(MAX(ROW(E$1:E1272)*(E2=E$1:E1272))))))</f>
        <v/>
      </c>
      <c r="K1273" s="24" t="str">
        <f>IF(OR(E1273="",E1273="!!!",F1273="NEW"),"",INDEX(J$1:J1272,SUMPRODUCT(MAX(ROW(E$1:E1272)*(E1273=E$1:E1272)))))</f>
        <v/>
      </c>
      <c r="L1273" s="25"/>
    </row>
    <row r="1274" spans="1:12" x14ac:dyDescent="0.3">
      <c r="A1274" t="s">
        <v>341</v>
      </c>
      <c r="B1274" s="26" t="s">
        <v>255</v>
      </c>
      <c r="C1274" s="26" t="s">
        <v>256</v>
      </c>
      <c r="D1274" s="26" t="s">
        <v>240</v>
      </c>
      <c r="E1274" s="20" t="str">
        <f t="shared" si="142"/>
        <v>!!!</v>
      </c>
      <c r="F1274" s="21" t="str">
        <f>IF(OR(E1274="",E1274="!!!"),"",IF(NOT(ISNA(VLOOKUP(E1274,E$1:E1273,1,FALSE()))),"OLD",IF(AND(E1274&lt;&gt;"",E1274&lt;&gt;"!!!"),"NEW","")))</f>
        <v/>
      </c>
      <c r="G1274" s="22" t="str">
        <f>IF(OR(E1274="",E1274="!!!"),"",IF(OR(J1274=0,AND(J1274=1,K1274=1),AND(J1274=1,I1274="SBJ"),AND(J1274=1,I1274=0)),"?IN_FOCUS",IF(J1274&lt;=2,"?ACTIVATED",IF(J1274&lt;&gt;"","?FAMILIAR",IF(F1274="NEW",IF(ISNA(VLOOKUP(E1274,#REF!,1,FALSE())),"?TYPE_IDENTIFIABLE","?REFERENTIAL"),"_")))))</f>
        <v/>
      </c>
      <c r="H1274" s="23" t="str">
        <f t="shared" ca="1" si="143"/>
        <v/>
      </c>
      <c r="I1274" s="24" t="str">
        <f>IF(OR(E1274="",E1274="!!!",F1274="NEW"),"",INDEX(B$2:B1273,-1+SUMPRODUCT(MAX(ROW(E$2:E1273)*(E1274=E$2:E1273)))))</f>
        <v/>
      </c>
      <c r="J1274" s="24" t="str">
        <f ca="1">IF(OR(E1274="",E1274="!!!",F1274="NEW"),"",COUNTBLANK(OFFSET(A$1,,,SUMPRODUCT(MAX(ROW(E$2:E1274)*(E1274=E$2:E1274)))))-COUNTBLANK(OFFSET(A$1,,,SUMPRODUCT(MAX(ROW(E$1:E1273)*(E2=E$1:E1273))))))</f>
        <v/>
      </c>
      <c r="K1274" s="24" t="str">
        <f>IF(OR(E1274="",E1274="!!!",F1274="NEW"),"",INDEX(J$1:J1273,SUMPRODUCT(MAX(ROW(E$1:E1273)*(E1274=E$1:E1273)))))</f>
        <v/>
      </c>
      <c r="L1274" s="25"/>
    </row>
    <row r="1275" spans="1:12" x14ac:dyDescent="0.3">
      <c r="A1275" t="s">
        <v>756</v>
      </c>
      <c r="E1275" s="20" t="str">
        <f t="shared" si="142"/>
        <v/>
      </c>
      <c r="F1275" s="21" t="str">
        <f>IF(OR(E1275="",E1275="!!!"),"",IF(NOT(ISNA(VLOOKUP(E1275,E$1:E1274,1,FALSE()))),"OLD",IF(AND(E1275&lt;&gt;"",E1275&lt;&gt;"!!!"),"NEW","")))</f>
        <v/>
      </c>
      <c r="G1275" s="22" t="str">
        <f>IF(OR(E1275="",E1275="!!!"),"",IF(OR(J1275=0,AND(J1275=1,K1275=1),AND(J1275=1,I1275="SBJ"),AND(J1275=1,I1275=0)),"?IN_FOCUS",IF(J1275&lt;=2,"?ACTIVATED",IF(J1275&lt;&gt;"","?FAMILIAR",IF(F1275="NEW",IF(ISNA(VLOOKUP(E1275,#REF!,1,FALSE())),"?TYPE_IDENTIFIABLE","?REFERENTIAL"),"_")))))</f>
        <v/>
      </c>
      <c r="H1275" s="23" t="str">
        <f t="shared" ca="1" si="143"/>
        <v/>
      </c>
      <c r="I1275" s="24" t="str">
        <f>IF(OR(E1275="",E1275="!!!",F1275="NEW"),"",INDEX(B$2:B1274,-1+SUMPRODUCT(MAX(ROW(E$2:E1274)*(E1275=E$2:E1274)))))</f>
        <v/>
      </c>
      <c r="J1275" s="24" t="str">
        <f ca="1">IF(OR(E1275="",E1275="!!!",F1275="NEW"),"",COUNTBLANK(OFFSET(A$1,,,SUMPRODUCT(MAX(ROW(E$2:E1275)*(E1275=E$2:E1275)))))-COUNTBLANK(OFFSET(A$1,,,SUMPRODUCT(MAX(ROW(E$1:E1274)*(E2=E$1:E1274))))))</f>
        <v/>
      </c>
      <c r="K1275" s="24" t="str">
        <f>IF(OR(E1275="",E1275="!!!",F1275="NEW"),"",INDEX(J$1:J1274,SUMPRODUCT(MAX(ROW(E$1:E1274)*(E1275=E$1:E1274)))))</f>
        <v/>
      </c>
      <c r="L1275" s="25"/>
    </row>
    <row r="1276" spans="1:12" x14ac:dyDescent="0.3">
      <c r="A1276" t="s">
        <v>248</v>
      </c>
      <c r="E1276" s="20" t="str">
        <f t="shared" si="142"/>
        <v/>
      </c>
      <c r="F1276" s="21" t="str">
        <f>IF(OR(E1276="",E1276="!!!"),"",IF(NOT(ISNA(VLOOKUP(E1276,E$1:E1275,1,FALSE()))),"OLD",IF(AND(E1276&lt;&gt;"",E1276&lt;&gt;"!!!"),"NEW","")))</f>
        <v/>
      </c>
      <c r="G1276" s="22" t="str">
        <f>IF(OR(E1276="",E1276="!!!"),"",IF(OR(J1276=0,AND(J1276=1,K1276=1),AND(J1276=1,I1276="SBJ"),AND(J1276=1,I1276=0)),"?IN_FOCUS",IF(J1276&lt;=2,"?ACTIVATED",IF(J1276&lt;&gt;"","?FAMILIAR",IF(F1276="NEW",IF(ISNA(VLOOKUP(E1276,#REF!,1,FALSE())),"?TYPE_IDENTIFIABLE","?REFERENTIAL"),"_")))))</f>
        <v/>
      </c>
      <c r="H1276" s="23" t="str">
        <f t="shared" ca="1" si="143"/>
        <v/>
      </c>
      <c r="I1276" s="24" t="str">
        <f>IF(OR(E1276="",E1276="!!!",F1276="NEW"),"",INDEX(B$2:B1275,-1+SUMPRODUCT(MAX(ROW(E$2:E1275)*(E1276=E$2:E1275)))))</f>
        <v/>
      </c>
      <c r="J1276" s="24" t="str">
        <f ca="1">IF(OR(E1276="",E1276="!!!",F1276="NEW"),"",COUNTBLANK(OFFSET(A$1,,,SUMPRODUCT(MAX(ROW(E$2:E1276)*(E1276=E$2:E1276)))))-COUNTBLANK(OFFSET(A$1,,,SUMPRODUCT(MAX(ROW(E$1:E1275)*(E2=E$1:E1275))))))</f>
        <v/>
      </c>
      <c r="K1276" s="24" t="str">
        <f>IF(OR(E1276="",E1276="!!!",F1276="NEW"),"",INDEX(J$1:J1275,SUMPRODUCT(MAX(ROW(E$1:E1275)*(E1276=E$1:E1275)))))</f>
        <v/>
      </c>
      <c r="L1276" s="25"/>
    </row>
    <row r="1278" spans="1:12" x14ac:dyDescent="0.3">
      <c r="A1278" t="s">
        <v>757</v>
      </c>
    </row>
    <row r="1279" spans="1:12" x14ac:dyDescent="0.3">
      <c r="A1279" t="s">
        <v>445</v>
      </c>
      <c r="E1279" s="20" t="str">
        <f t="shared" ref="E1279:E1285" si="144">IF(D1279="?OLD","!!!","")</f>
        <v/>
      </c>
      <c r="F1279" s="21" t="str">
        <f>IF(OR(E1279="",E1279="!!!"),"",IF(NOT(ISNA(VLOOKUP(E1279,E$1:E1278,1,FALSE()))),"OLD",IF(AND(E1279&lt;&gt;"",E1279&lt;&gt;"!!!"),"NEW","")))</f>
        <v/>
      </c>
      <c r="G1279" s="22" t="str">
        <f>IF(OR(E1279="",E1279="!!!"),"",IF(OR(J1279=0,AND(J1279=1,K1279=1),AND(J1279=1,I1279="SBJ"),AND(J1279=1,I1279=0)),"?IN_FOCUS",IF(J1279&lt;=2,"?ACTIVATED",IF(J1279&lt;&gt;"","?FAMILIAR",IF(F1279="NEW",IF(ISNA(VLOOKUP(E1279,#REF!,1,FALSE())),"?TYPE_IDENTIFIABLE","?REFERENTIAL"),"_")))))</f>
        <v/>
      </c>
      <c r="H1279" s="23" t="str">
        <f t="shared" ref="H1279:H1285" ca="1" si="145">IF(J1279&lt;&gt;1,"",IF(I1279="SBJ","CB","?"))</f>
        <v/>
      </c>
      <c r="I1279" s="24" t="str">
        <f>IF(OR(E1279="",E1279="!!!",F1279="NEW"),"",INDEX(B$2:B1278,-1+SUMPRODUCT(MAX(ROW(E$2:E1278)*(E1279=E$2:E1278)))))</f>
        <v/>
      </c>
      <c r="J1279" s="24" t="str">
        <f ca="1">IF(OR(E1279="",E1279="!!!",F1279="NEW"),"",COUNTBLANK(OFFSET(A$1,,,SUMPRODUCT(MAX(ROW(E$2:E1279)*(E1279=E$2:E1279)))))-COUNTBLANK(OFFSET(A$1,,,SUMPRODUCT(MAX(ROW(E$1:E1278)*(E2=E$1:E1278))))))</f>
        <v/>
      </c>
      <c r="K1279" s="24" t="str">
        <f>IF(OR(E1279="",E1279="!!!",F1279="NEW"),"",INDEX(J$1:J1278,SUMPRODUCT(MAX(ROW(E$1:E1278)*(E1279=E$1:E1278)))))</f>
        <v/>
      </c>
      <c r="L1279" s="25"/>
    </row>
    <row r="1280" spans="1:12" x14ac:dyDescent="0.3">
      <c r="A1280" t="s">
        <v>749</v>
      </c>
      <c r="B1280" s="26" t="s">
        <v>243</v>
      </c>
      <c r="C1280" s="26" t="s">
        <v>239</v>
      </c>
      <c r="D1280" s="26" t="s">
        <v>240</v>
      </c>
      <c r="E1280" s="20" t="str">
        <f t="shared" si="144"/>
        <v>!!!</v>
      </c>
      <c r="F1280" s="21" t="str">
        <f>IF(OR(E1280="",E1280="!!!"),"",IF(NOT(ISNA(VLOOKUP(E1280,E$1:E1279,1,FALSE()))),"OLD",IF(AND(E1280&lt;&gt;"",E1280&lt;&gt;"!!!"),"NEW","")))</f>
        <v/>
      </c>
      <c r="G1280" s="22" t="str">
        <f>IF(OR(E1280="",E1280="!!!"),"",IF(OR(J1280=0,AND(J1280=1,K1280=1),AND(J1280=1,I1280="SBJ"),AND(J1280=1,I1280=0)),"?IN_FOCUS",IF(J1280&lt;=2,"?ACTIVATED",IF(J1280&lt;&gt;"","?FAMILIAR",IF(F1280="NEW",IF(ISNA(VLOOKUP(E1280,#REF!,1,FALSE())),"?TYPE_IDENTIFIABLE","?REFERENTIAL"),"_")))))</f>
        <v/>
      </c>
      <c r="H1280" s="23" t="str">
        <f t="shared" ca="1" si="145"/>
        <v/>
      </c>
      <c r="I1280" s="24" t="str">
        <f>IF(OR(E1280="",E1280="!!!",F1280="NEW"),"",INDEX(B$2:B1279,-1+SUMPRODUCT(MAX(ROW(E$2:E1279)*(E1280=E$2:E1279)))))</f>
        <v/>
      </c>
      <c r="J1280" s="24" t="str">
        <f ca="1">IF(OR(E1280="",E1280="!!!",F1280="NEW"),"",COUNTBLANK(OFFSET(A$1,,,SUMPRODUCT(MAX(ROW(E$2:E1280)*(E1280=E$2:E1280)))))-COUNTBLANK(OFFSET(A$1,,,SUMPRODUCT(MAX(ROW(E$1:E1279)*(E2=E$1:E1279))))))</f>
        <v/>
      </c>
      <c r="K1280" s="24" t="str">
        <f>IF(OR(E1280="",E1280="!!!",F1280="NEW"),"",INDEX(J$1:J1279,SUMPRODUCT(MAX(ROW(E$1:E1279)*(E1280=E$1:E1279)))))</f>
        <v/>
      </c>
      <c r="L1280" s="25"/>
    </row>
    <row r="1281" spans="1:12" x14ac:dyDescent="0.3">
      <c r="A1281" t="s">
        <v>511</v>
      </c>
      <c r="E1281" s="20" t="str">
        <f t="shared" si="144"/>
        <v/>
      </c>
      <c r="F1281" s="21" t="str">
        <f>IF(OR(E1281="",E1281="!!!"),"",IF(NOT(ISNA(VLOOKUP(E1281,E$1:E1280,1,FALSE()))),"OLD",IF(AND(E1281&lt;&gt;"",E1281&lt;&gt;"!!!"),"NEW","")))</f>
        <v/>
      </c>
      <c r="G1281" s="22" t="str">
        <f>IF(OR(E1281="",E1281="!!!"),"",IF(OR(J1281=0,AND(J1281=1,K1281=1),AND(J1281=1,I1281="SBJ"),AND(J1281=1,I1281=0)),"?IN_FOCUS",IF(J1281&lt;=2,"?ACTIVATED",IF(J1281&lt;&gt;"","?FAMILIAR",IF(F1281="NEW",IF(ISNA(VLOOKUP(E1281,#REF!,1,FALSE())),"?TYPE_IDENTIFIABLE","?REFERENTIAL"),"_")))))</f>
        <v/>
      </c>
      <c r="H1281" s="23" t="str">
        <f t="shared" ca="1" si="145"/>
        <v/>
      </c>
      <c r="I1281" s="24" t="str">
        <f>IF(OR(E1281="",E1281="!!!",F1281="NEW"),"",INDEX(B$2:B1280,-1+SUMPRODUCT(MAX(ROW(E$2:E1280)*(E1281=E$2:E1280)))))</f>
        <v/>
      </c>
      <c r="J1281" s="24" t="str">
        <f ca="1">IF(OR(E1281="",E1281="!!!",F1281="NEW"),"",COUNTBLANK(OFFSET(A$1,,,SUMPRODUCT(MAX(ROW(E$2:E1281)*(E1281=E$2:E1281)))))-COUNTBLANK(OFFSET(A$1,,,SUMPRODUCT(MAX(ROW(E$1:E1280)*(E2=E$1:E1280))))))</f>
        <v/>
      </c>
      <c r="K1281" s="24" t="str">
        <f>IF(OR(E1281="",E1281="!!!",F1281="NEW"),"",INDEX(J$1:J1280,SUMPRODUCT(MAX(ROW(E$1:E1280)*(E1281=E$1:E1280)))))</f>
        <v/>
      </c>
      <c r="L1281" s="25"/>
    </row>
    <row r="1282" spans="1:12" x14ac:dyDescent="0.3">
      <c r="A1282" t="s">
        <v>386</v>
      </c>
      <c r="B1282" s="26" t="s">
        <v>292</v>
      </c>
      <c r="E1282" s="20" t="str">
        <f t="shared" si="144"/>
        <v/>
      </c>
      <c r="F1282" s="21" t="str">
        <f>IF(OR(E1282="",E1282="!!!"),"",IF(NOT(ISNA(VLOOKUP(E1282,E$1:E1281,1,FALSE()))),"OLD",IF(AND(E1282&lt;&gt;"",E1282&lt;&gt;"!!!"),"NEW","")))</f>
        <v/>
      </c>
      <c r="G1282" s="22" t="str">
        <f>IF(OR(E1282="",E1282="!!!"),"",IF(OR(J1282=0,AND(J1282=1,K1282=1),AND(J1282=1,I1282="SBJ"),AND(J1282=1,I1282=0)),"?IN_FOCUS",IF(J1282&lt;=2,"?ACTIVATED",IF(J1282&lt;&gt;"","?FAMILIAR",IF(F1282="NEW",IF(ISNA(VLOOKUP(E1282,#REF!,1,FALSE())),"?TYPE_IDENTIFIABLE","?REFERENTIAL"),"_")))))</f>
        <v/>
      </c>
      <c r="H1282" s="23" t="str">
        <f t="shared" ca="1" si="145"/>
        <v/>
      </c>
      <c r="I1282" s="24" t="str">
        <f>IF(OR(E1282="",E1282="!!!",F1282="NEW"),"",INDEX(B$2:B1281,-1+SUMPRODUCT(MAX(ROW(E$2:E1281)*(E1282=E$2:E1281)))))</f>
        <v/>
      </c>
      <c r="J1282" s="24" t="str">
        <f ca="1">IF(OR(E1282="",E1282="!!!",F1282="NEW"),"",COUNTBLANK(OFFSET(A$1,,,SUMPRODUCT(MAX(ROW(E$2:E1282)*(E1282=E$2:E1282)))))-COUNTBLANK(OFFSET(A$1,,,SUMPRODUCT(MAX(ROW(E$1:E1281)*(E2=E$1:E1281))))))</f>
        <v/>
      </c>
      <c r="K1282" s="24" t="str">
        <f>IF(OR(E1282="",E1282="!!!",F1282="NEW"),"",INDEX(J$1:J1281,SUMPRODUCT(MAX(ROW(E$1:E1281)*(E1282=E$1:E1281)))))</f>
        <v/>
      </c>
      <c r="L1282" s="25"/>
    </row>
    <row r="1283" spans="1:12" x14ac:dyDescent="0.3">
      <c r="A1283" t="s">
        <v>662</v>
      </c>
      <c r="E1283" s="20" t="str">
        <f t="shared" si="144"/>
        <v/>
      </c>
      <c r="F1283" s="21" t="str">
        <f>IF(OR(E1283="",E1283="!!!"),"",IF(NOT(ISNA(VLOOKUP(E1283,E$1:E1282,1,FALSE()))),"OLD",IF(AND(E1283&lt;&gt;"",E1283&lt;&gt;"!!!"),"NEW","")))</f>
        <v/>
      </c>
      <c r="G1283" s="22" t="str">
        <f>IF(OR(E1283="",E1283="!!!"),"",IF(OR(J1283=0,AND(J1283=1,K1283=1),AND(J1283=1,I1283="SBJ"),AND(J1283=1,I1283=0)),"?IN_FOCUS",IF(J1283&lt;=2,"?ACTIVATED",IF(J1283&lt;&gt;"","?FAMILIAR",IF(F1283="NEW",IF(ISNA(VLOOKUP(E1283,#REF!,1,FALSE())),"?TYPE_IDENTIFIABLE","?REFERENTIAL"),"_")))))</f>
        <v/>
      </c>
      <c r="H1283" s="23" t="str">
        <f t="shared" ca="1" si="145"/>
        <v/>
      </c>
      <c r="I1283" s="24" t="str">
        <f>IF(OR(E1283="",E1283="!!!",F1283="NEW"),"",INDEX(B$2:B1282,-1+SUMPRODUCT(MAX(ROW(E$2:E1282)*(E1283=E$2:E1282)))))</f>
        <v/>
      </c>
      <c r="J1283" s="24" t="str">
        <f ca="1">IF(OR(E1283="",E1283="!!!",F1283="NEW"),"",COUNTBLANK(OFFSET(A$1,,,SUMPRODUCT(MAX(ROW(E$2:E1283)*(E1283=E$2:E1283)))))-COUNTBLANK(OFFSET(A$1,,,SUMPRODUCT(MAX(ROW(E$1:E1282)*(E2=E$1:E1282))))))</f>
        <v/>
      </c>
      <c r="K1283" s="24" t="str">
        <f>IF(OR(E1283="",E1283="!!!",F1283="NEW"),"",INDEX(J$1:J1282,SUMPRODUCT(MAX(ROW(E$1:E1282)*(E1283=E$1:E1282)))))</f>
        <v/>
      </c>
      <c r="L1283" s="25"/>
    </row>
    <row r="1284" spans="1:12" x14ac:dyDescent="0.3">
      <c r="A1284" t="s">
        <v>758</v>
      </c>
      <c r="E1284" s="20" t="str">
        <f t="shared" si="144"/>
        <v/>
      </c>
      <c r="F1284" s="21" t="str">
        <f>IF(OR(E1284="",E1284="!!!"),"",IF(NOT(ISNA(VLOOKUP(E1284,E$1:E1283,1,FALSE()))),"OLD",IF(AND(E1284&lt;&gt;"",E1284&lt;&gt;"!!!"),"NEW","")))</f>
        <v/>
      </c>
      <c r="G1284" s="22" t="str">
        <f>IF(OR(E1284="",E1284="!!!"),"",IF(OR(J1284=0,AND(J1284=1,K1284=1),AND(J1284=1,I1284="SBJ"),AND(J1284=1,I1284=0)),"?IN_FOCUS",IF(J1284&lt;=2,"?ACTIVATED",IF(J1284&lt;&gt;"","?FAMILIAR",IF(F1284="NEW",IF(ISNA(VLOOKUP(E1284,#REF!,1,FALSE())),"?TYPE_IDENTIFIABLE","?REFERENTIAL"),"_")))))</f>
        <v/>
      </c>
      <c r="H1284" s="23" t="str">
        <f t="shared" ca="1" si="145"/>
        <v/>
      </c>
      <c r="I1284" s="24" t="str">
        <f>IF(OR(E1284="",E1284="!!!",F1284="NEW"),"",INDEX(B$2:B1283,-1+SUMPRODUCT(MAX(ROW(E$2:E1283)*(E1284=E$2:E1283)))))</f>
        <v/>
      </c>
      <c r="J1284" s="24" t="str">
        <f ca="1">IF(OR(E1284="",E1284="!!!",F1284="NEW"),"",COUNTBLANK(OFFSET(A$1,,,SUMPRODUCT(MAX(ROW(E$2:E1284)*(E1284=E$2:E1284)))))-COUNTBLANK(OFFSET(A$1,,,SUMPRODUCT(MAX(ROW(E$1:E1283)*(E2=E$1:E1283))))))</f>
        <v/>
      </c>
      <c r="K1284" s="24" t="str">
        <f>IF(OR(E1284="",E1284="!!!",F1284="NEW"),"",INDEX(J$1:J1283,SUMPRODUCT(MAX(ROW(E$1:E1283)*(E1284=E$1:E1283)))))</f>
        <v/>
      </c>
      <c r="L1284" s="25"/>
    </row>
    <row r="1285" spans="1:12" x14ac:dyDescent="0.3">
      <c r="A1285" t="s">
        <v>248</v>
      </c>
      <c r="E1285" s="20" t="str">
        <f t="shared" si="144"/>
        <v/>
      </c>
      <c r="F1285" s="21" t="str">
        <f>IF(OR(E1285="",E1285="!!!"),"",IF(NOT(ISNA(VLOOKUP(E1285,E$1:E1284,1,FALSE()))),"OLD",IF(AND(E1285&lt;&gt;"",E1285&lt;&gt;"!!!"),"NEW","")))</f>
        <v/>
      </c>
      <c r="G1285" s="22" t="str">
        <f>IF(OR(E1285="",E1285="!!!"),"",IF(OR(J1285=0,AND(J1285=1,K1285=1),AND(J1285=1,I1285="SBJ"),AND(J1285=1,I1285=0)),"?IN_FOCUS",IF(J1285&lt;=2,"?ACTIVATED",IF(J1285&lt;&gt;"","?FAMILIAR",IF(F1285="NEW",IF(ISNA(VLOOKUP(E1285,#REF!,1,FALSE())),"?TYPE_IDENTIFIABLE","?REFERENTIAL"),"_")))))</f>
        <v/>
      </c>
      <c r="H1285" s="23" t="str">
        <f t="shared" ca="1" si="145"/>
        <v/>
      </c>
      <c r="I1285" s="24" t="str">
        <f>IF(OR(E1285="",E1285="!!!",F1285="NEW"),"",INDEX(B$2:B1284,-1+SUMPRODUCT(MAX(ROW(E$2:E1284)*(E1285=E$2:E1284)))))</f>
        <v/>
      </c>
      <c r="J1285" s="24" t="str">
        <f ca="1">IF(OR(E1285="",E1285="!!!",F1285="NEW"),"",COUNTBLANK(OFFSET(A$1,,,SUMPRODUCT(MAX(ROW(E$2:E1285)*(E1285=E$2:E1285)))))-COUNTBLANK(OFFSET(A$1,,,SUMPRODUCT(MAX(ROW(E$1:E1284)*(E2=E$1:E1284))))))</f>
        <v/>
      </c>
      <c r="K1285" s="24" t="str">
        <f>IF(OR(E1285="",E1285="!!!",F1285="NEW"),"",INDEX(J$1:J1284,SUMPRODUCT(MAX(ROW(E$1:E1284)*(E1285=E$1:E1284)))))</f>
        <v/>
      </c>
      <c r="L1285" s="25"/>
    </row>
    <row r="1287" spans="1:12" x14ac:dyDescent="0.3">
      <c r="A1287" t="s">
        <v>759</v>
      </c>
    </row>
    <row r="1288" spans="1:12" x14ac:dyDescent="0.3">
      <c r="A1288" t="s">
        <v>417</v>
      </c>
      <c r="E1288" s="20" t="str">
        <f t="shared" ref="E1288:E1307" si="146">IF(D1288="?OLD","!!!","")</f>
        <v/>
      </c>
      <c r="F1288" s="21" t="str">
        <f>IF(OR(E1288="",E1288="!!!"),"",IF(NOT(ISNA(VLOOKUP(E1288,E$1:E1287,1,FALSE()))),"OLD",IF(AND(E1288&lt;&gt;"",E1288&lt;&gt;"!!!"),"NEW","")))</f>
        <v/>
      </c>
      <c r="G1288" s="22" t="str">
        <f>IF(OR(E1288="",E1288="!!!"),"",IF(OR(J1288=0,AND(J1288=1,K1288=1),AND(J1288=1,I1288="SBJ"),AND(J1288=1,I1288=0)),"?IN_FOCUS",IF(J1288&lt;=2,"?ACTIVATED",IF(J1288&lt;&gt;"","?FAMILIAR",IF(F1288="NEW",IF(ISNA(VLOOKUP(E1288,#REF!,1,FALSE())),"?TYPE_IDENTIFIABLE","?REFERENTIAL"),"_")))))</f>
        <v/>
      </c>
      <c r="H1288" s="23" t="str">
        <f t="shared" ref="H1288:H1307" ca="1" si="147">IF(J1288&lt;&gt;1,"",IF(I1288="SBJ","CB","?"))</f>
        <v/>
      </c>
      <c r="I1288" s="24" t="str">
        <f>IF(OR(E1288="",E1288="!!!",F1288="NEW"),"",INDEX(B$2:B1287,-1+SUMPRODUCT(MAX(ROW(E$2:E1287)*(E1288=E$2:E1287)))))</f>
        <v/>
      </c>
      <c r="J1288" s="24" t="str">
        <f ca="1">IF(OR(E1288="",E1288="!!!",F1288="NEW"),"",COUNTBLANK(OFFSET(A$1,,,SUMPRODUCT(MAX(ROW(E$2:E1288)*(E1288=E$2:E1288)))))-COUNTBLANK(OFFSET(A$1,,,SUMPRODUCT(MAX(ROW(E$1:E1287)*(E2=E$1:E1287))))))</f>
        <v/>
      </c>
      <c r="K1288" s="24" t="str">
        <f>IF(OR(E1288="",E1288="!!!",F1288="NEW"),"",INDEX(J$1:J1287,SUMPRODUCT(MAX(ROW(E$1:E1287)*(E1288=E$1:E1287)))))</f>
        <v/>
      </c>
      <c r="L1288" s="25"/>
    </row>
    <row r="1289" spans="1:12" x14ac:dyDescent="0.3">
      <c r="A1289" t="s">
        <v>760</v>
      </c>
      <c r="B1289" s="26" t="s">
        <v>243</v>
      </c>
      <c r="C1289" s="26" t="s">
        <v>239</v>
      </c>
      <c r="D1289" s="26" t="s">
        <v>240</v>
      </c>
      <c r="E1289" s="20" t="str">
        <f t="shared" si="146"/>
        <v>!!!</v>
      </c>
      <c r="F1289" s="21" t="str">
        <f>IF(OR(E1289="",E1289="!!!"),"",IF(NOT(ISNA(VLOOKUP(E1289,E$1:E1288,1,FALSE()))),"OLD",IF(AND(E1289&lt;&gt;"",E1289&lt;&gt;"!!!"),"NEW","")))</f>
        <v/>
      </c>
      <c r="G1289" s="22" t="str">
        <f>IF(OR(E1289="",E1289="!!!"),"",IF(OR(J1289=0,AND(J1289=1,K1289=1),AND(J1289=1,I1289="SBJ"),AND(J1289=1,I1289=0)),"?IN_FOCUS",IF(J1289&lt;=2,"?ACTIVATED",IF(J1289&lt;&gt;"","?FAMILIAR",IF(F1289="NEW",IF(ISNA(VLOOKUP(E1289,#REF!,1,FALSE())),"?TYPE_IDENTIFIABLE","?REFERENTIAL"),"_")))))</f>
        <v/>
      </c>
      <c r="H1289" s="23" t="str">
        <f t="shared" ca="1" si="147"/>
        <v/>
      </c>
      <c r="I1289" s="24" t="str">
        <f>IF(OR(E1289="",E1289="!!!",F1289="NEW"),"",INDEX(B$2:B1288,-1+SUMPRODUCT(MAX(ROW(E$2:E1288)*(E1289=E$2:E1288)))))</f>
        <v/>
      </c>
      <c r="J1289" s="24" t="str">
        <f ca="1">IF(OR(E1289="",E1289="!!!",F1289="NEW"),"",COUNTBLANK(OFFSET(A$1,,,SUMPRODUCT(MAX(ROW(E$2:E1289)*(E1289=E$2:E1289)))))-COUNTBLANK(OFFSET(A$1,,,SUMPRODUCT(MAX(ROW(E$1:E1288)*(E2=E$1:E1288))))))</f>
        <v/>
      </c>
      <c r="K1289" s="24" t="str">
        <f>IF(OR(E1289="",E1289="!!!",F1289="NEW"),"",INDEX(J$1:J1288,SUMPRODUCT(MAX(ROW(E$1:E1288)*(E1289=E$1:E1288)))))</f>
        <v/>
      </c>
      <c r="L1289" s="25"/>
    </row>
    <row r="1290" spans="1:12" x14ac:dyDescent="0.3">
      <c r="A1290" t="s">
        <v>310</v>
      </c>
      <c r="E1290" s="20" t="str">
        <f t="shared" si="146"/>
        <v/>
      </c>
      <c r="F1290" s="21" t="str">
        <f>IF(OR(E1290="",E1290="!!!"),"",IF(NOT(ISNA(VLOOKUP(E1290,E$1:E1289,1,FALSE()))),"OLD",IF(AND(E1290&lt;&gt;"",E1290&lt;&gt;"!!!"),"NEW","")))</f>
        <v/>
      </c>
      <c r="G1290" s="22" t="str">
        <f>IF(OR(E1290="",E1290="!!!"),"",IF(OR(J1290=0,AND(J1290=1,K1290=1),AND(J1290=1,I1290="SBJ"),AND(J1290=1,I1290=0)),"?IN_FOCUS",IF(J1290&lt;=2,"?ACTIVATED",IF(J1290&lt;&gt;"","?FAMILIAR",IF(F1290="NEW",IF(ISNA(VLOOKUP(E1290,#REF!,1,FALSE())),"?TYPE_IDENTIFIABLE","?REFERENTIAL"),"_")))))</f>
        <v/>
      </c>
      <c r="H1290" s="23" t="str">
        <f t="shared" ca="1" si="147"/>
        <v/>
      </c>
      <c r="I1290" s="24" t="str">
        <f>IF(OR(E1290="",E1290="!!!",F1290="NEW"),"",INDEX(B$2:B1289,-1+SUMPRODUCT(MAX(ROW(E$2:E1289)*(E1290=E$2:E1289)))))</f>
        <v/>
      </c>
      <c r="J1290" s="24" t="str">
        <f ca="1">IF(OR(E1290="",E1290="!!!",F1290="NEW"),"",COUNTBLANK(OFFSET(A$1,,,SUMPRODUCT(MAX(ROW(E$2:E1290)*(E1290=E$2:E1290)))))-COUNTBLANK(OFFSET(A$1,,,SUMPRODUCT(MAX(ROW(E$1:E1289)*(E2=E$1:E1289))))))</f>
        <v/>
      </c>
      <c r="K1290" s="24" t="str">
        <f>IF(OR(E1290="",E1290="!!!",F1290="NEW"),"",INDEX(J$1:J1289,SUMPRODUCT(MAX(ROW(E$1:E1289)*(E1290=E$1:E1289)))))</f>
        <v/>
      </c>
      <c r="L1290" s="25"/>
    </row>
    <row r="1291" spans="1:12" x14ac:dyDescent="0.3">
      <c r="A1291" t="s">
        <v>749</v>
      </c>
      <c r="B1291" s="26" t="s">
        <v>261</v>
      </c>
      <c r="C1291" s="26" t="s">
        <v>239</v>
      </c>
      <c r="D1291" s="26" t="s">
        <v>240</v>
      </c>
      <c r="E1291" s="20" t="str">
        <f t="shared" si="146"/>
        <v>!!!</v>
      </c>
      <c r="F1291" s="21" t="str">
        <f>IF(OR(E1291="",E1291="!!!"),"",IF(NOT(ISNA(VLOOKUP(E1291,E$1:E1290,1,FALSE()))),"OLD",IF(AND(E1291&lt;&gt;"",E1291&lt;&gt;"!!!"),"NEW","")))</f>
        <v/>
      </c>
      <c r="G1291" s="22" t="str">
        <f>IF(OR(E1291="",E1291="!!!"),"",IF(OR(J1291=0,AND(J1291=1,K1291=1),AND(J1291=1,I1291="SBJ"),AND(J1291=1,I1291=0)),"?IN_FOCUS",IF(J1291&lt;=2,"?ACTIVATED",IF(J1291&lt;&gt;"","?FAMILIAR",IF(F1291="NEW",IF(ISNA(VLOOKUP(E1291,#REF!,1,FALSE())),"?TYPE_IDENTIFIABLE","?REFERENTIAL"),"_")))))</f>
        <v/>
      </c>
      <c r="H1291" s="23" t="str">
        <f t="shared" ca="1" si="147"/>
        <v/>
      </c>
      <c r="I1291" s="24" t="str">
        <f>IF(OR(E1291="",E1291="!!!",F1291="NEW"),"",INDEX(B$2:B1290,-1+SUMPRODUCT(MAX(ROW(E$2:E1290)*(E1291=E$2:E1290)))))</f>
        <v/>
      </c>
      <c r="J1291" s="24" t="str">
        <f ca="1">IF(OR(E1291="",E1291="!!!",F1291="NEW"),"",COUNTBLANK(OFFSET(A$1,,,SUMPRODUCT(MAX(ROW(E$2:E1291)*(E1291=E$2:E1291)))))-COUNTBLANK(OFFSET(A$1,,,SUMPRODUCT(MAX(ROW(E$1:E1290)*(E2=E$1:E1290))))))</f>
        <v/>
      </c>
      <c r="K1291" s="24" t="str">
        <f>IF(OR(E1291="",E1291="!!!",F1291="NEW"),"",INDEX(J$1:J1290,SUMPRODUCT(MAX(ROW(E$1:E1290)*(E1291=E$1:E1290)))))</f>
        <v/>
      </c>
      <c r="L1291" s="25"/>
    </row>
    <row r="1292" spans="1:12" x14ac:dyDescent="0.3">
      <c r="A1292" t="s">
        <v>675</v>
      </c>
      <c r="E1292" s="20" t="str">
        <f t="shared" si="146"/>
        <v/>
      </c>
      <c r="F1292" s="21" t="str">
        <f>IF(OR(E1292="",E1292="!!!"),"",IF(NOT(ISNA(VLOOKUP(E1292,E$1:E1291,1,FALSE()))),"OLD",IF(AND(E1292&lt;&gt;"",E1292&lt;&gt;"!!!"),"NEW","")))</f>
        <v/>
      </c>
      <c r="G1292" s="22" t="str">
        <f>IF(OR(E1292="",E1292="!!!"),"",IF(OR(J1292=0,AND(J1292=1,K1292=1),AND(J1292=1,I1292="SBJ"),AND(J1292=1,I1292=0)),"?IN_FOCUS",IF(J1292&lt;=2,"?ACTIVATED",IF(J1292&lt;&gt;"","?FAMILIAR",IF(F1292="NEW",IF(ISNA(VLOOKUP(E1292,#REF!,1,FALSE())),"?TYPE_IDENTIFIABLE","?REFERENTIAL"),"_")))))</f>
        <v/>
      </c>
      <c r="H1292" s="23" t="str">
        <f t="shared" ca="1" si="147"/>
        <v/>
      </c>
      <c r="I1292" s="24" t="str">
        <f>IF(OR(E1292="",E1292="!!!",F1292="NEW"),"",INDEX(B$2:B1291,-1+SUMPRODUCT(MAX(ROW(E$2:E1291)*(E1292=E$2:E1291)))))</f>
        <v/>
      </c>
      <c r="J1292" s="24" t="str">
        <f ca="1">IF(OR(E1292="",E1292="!!!",F1292="NEW"),"",COUNTBLANK(OFFSET(A$1,,,SUMPRODUCT(MAX(ROW(E$2:E1292)*(E1292=E$2:E1292)))))-COUNTBLANK(OFFSET(A$1,,,SUMPRODUCT(MAX(ROW(E$1:E1291)*(E2=E$1:E1291))))))</f>
        <v/>
      </c>
      <c r="K1292" s="24" t="str">
        <f>IF(OR(E1292="",E1292="!!!",F1292="NEW"),"",INDEX(J$1:J1291,SUMPRODUCT(MAX(ROW(E$1:E1291)*(E1292=E$1:E1291)))))</f>
        <v/>
      </c>
      <c r="L1292" s="25"/>
    </row>
    <row r="1293" spans="1:12" x14ac:dyDescent="0.3">
      <c r="A1293" t="s">
        <v>761</v>
      </c>
      <c r="B1293" s="26" t="s">
        <v>261</v>
      </c>
      <c r="C1293" s="26" t="s">
        <v>305</v>
      </c>
      <c r="E1293" s="20" t="str">
        <f t="shared" si="146"/>
        <v/>
      </c>
      <c r="F1293" s="21" t="str">
        <f>IF(OR(E1293="",E1293="!!!"),"",IF(NOT(ISNA(VLOOKUP(E1293,E$1:E1292,1,FALSE()))),"OLD",IF(AND(E1293&lt;&gt;"",E1293&lt;&gt;"!!!"),"NEW","")))</f>
        <v/>
      </c>
      <c r="G1293" s="22" t="str">
        <f>IF(OR(E1293="",E1293="!!!"),"",IF(OR(J1293=0,AND(J1293=1,K1293=1),AND(J1293=1,I1293="SBJ"),AND(J1293=1,I1293=0)),"?IN_FOCUS",IF(J1293&lt;=2,"?ACTIVATED",IF(J1293&lt;&gt;"","?FAMILIAR",IF(F1293="NEW",IF(ISNA(VLOOKUP(E1293,#REF!,1,FALSE())),"?TYPE_IDENTIFIABLE","?REFERENTIAL"),"_")))))</f>
        <v/>
      </c>
      <c r="H1293" s="23" t="str">
        <f t="shared" ca="1" si="147"/>
        <v/>
      </c>
      <c r="I1293" s="24" t="str">
        <f>IF(OR(E1293="",E1293="!!!",F1293="NEW"),"",INDEX(B$2:B1292,-1+SUMPRODUCT(MAX(ROW(E$2:E1292)*(E1293=E$2:E1292)))))</f>
        <v/>
      </c>
      <c r="J1293" s="24" t="str">
        <f ca="1">IF(OR(E1293="",E1293="!!!",F1293="NEW"),"",COUNTBLANK(OFFSET(A$1,,,SUMPRODUCT(MAX(ROW(E$2:E1293)*(E1293=E$2:E1293)))))-COUNTBLANK(OFFSET(A$1,,,SUMPRODUCT(MAX(ROW(E$1:E1292)*(E2=E$1:E1292))))))</f>
        <v/>
      </c>
      <c r="K1293" s="24" t="str">
        <f>IF(OR(E1293="",E1293="!!!",F1293="NEW"),"",INDEX(J$1:J1292,SUMPRODUCT(MAX(ROW(E$1:E1292)*(E1293=E$1:E1292)))))</f>
        <v/>
      </c>
      <c r="L1293" s="25"/>
    </row>
    <row r="1294" spans="1:12" x14ac:dyDescent="0.3">
      <c r="A1294" t="s">
        <v>762</v>
      </c>
      <c r="B1294" s="26" t="s">
        <v>238</v>
      </c>
      <c r="C1294" s="26" t="s">
        <v>247</v>
      </c>
      <c r="E1294" s="20" t="str">
        <f t="shared" si="146"/>
        <v/>
      </c>
      <c r="F1294" s="21" t="str">
        <f>IF(OR(E1294="",E1294="!!!"),"",IF(NOT(ISNA(VLOOKUP(E1294,E$1:E1293,1,FALSE()))),"OLD",IF(AND(E1294&lt;&gt;"",E1294&lt;&gt;"!!!"),"NEW","")))</f>
        <v/>
      </c>
      <c r="G1294" s="22" t="str">
        <f>IF(OR(E1294="",E1294="!!!"),"",IF(OR(J1294=0,AND(J1294=1,K1294=1),AND(J1294=1,I1294="SBJ"),AND(J1294=1,I1294=0)),"?IN_FOCUS",IF(J1294&lt;=2,"?ACTIVATED",IF(J1294&lt;&gt;"","?FAMILIAR",IF(F1294="NEW",IF(ISNA(VLOOKUP(E1294,#REF!,1,FALSE())),"?TYPE_IDENTIFIABLE","?REFERENTIAL"),"_")))))</f>
        <v/>
      </c>
      <c r="H1294" s="23" t="str">
        <f t="shared" ca="1" si="147"/>
        <v/>
      </c>
      <c r="I1294" s="24" t="str">
        <f>IF(OR(E1294="",E1294="!!!",F1294="NEW"),"",INDEX(B$2:B1293,-1+SUMPRODUCT(MAX(ROW(E$2:E1293)*(E1294=E$2:E1293)))))</f>
        <v/>
      </c>
      <c r="J1294" s="24" t="str">
        <f ca="1">IF(OR(E1294="",E1294="!!!",F1294="NEW"),"",COUNTBLANK(OFFSET(A$1,,,SUMPRODUCT(MAX(ROW(E$2:E1294)*(E1294=E$2:E1294)))))-COUNTBLANK(OFFSET(A$1,,,SUMPRODUCT(MAX(ROW(E$1:E1293)*(E2=E$1:E1293))))))</f>
        <v/>
      </c>
      <c r="K1294" s="24" t="str">
        <f>IF(OR(E1294="",E1294="!!!",F1294="NEW"),"",INDEX(J$1:J1293,SUMPRODUCT(MAX(ROW(E$1:E1293)*(E1294=E$1:E1293)))))</f>
        <v/>
      </c>
      <c r="L1294" s="25"/>
    </row>
    <row r="1295" spans="1:12" x14ac:dyDescent="0.3">
      <c r="A1295" t="s">
        <v>687</v>
      </c>
      <c r="E1295" s="20" t="str">
        <f t="shared" si="146"/>
        <v/>
      </c>
      <c r="F1295" s="21" t="str">
        <f>IF(OR(E1295="",E1295="!!!"),"",IF(NOT(ISNA(VLOOKUP(E1295,E$1:E1294,1,FALSE()))),"OLD",IF(AND(E1295&lt;&gt;"",E1295&lt;&gt;"!!!"),"NEW","")))</f>
        <v/>
      </c>
      <c r="G1295" s="22" t="str">
        <f>IF(OR(E1295="",E1295="!!!"),"",IF(OR(J1295=0,AND(J1295=1,K1295=1),AND(J1295=1,I1295="SBJ"),AND(J1295=1,I1295=0)),"?IN_FOCUS",IF(J1295&lt;=2,"?ACTIVATED",IF(J1295&lt;&gt;"","?FAMILIAR",IF(F1295="NEW",IF(ISNA(VLOOKUP(E1295,#REF!,1,FALSE())),"?TYPE_IDENTIFIABLE","?REFERENTIAL"),"_")))))</f>
        <v/>
      </c>
      <c r="H1295" s="23" t="str">
        <f t="shared" ca="1" si="147"/>
        <v/>
      </c>
      <c r="I1295" s="24" t="str">
        <f>IF(OR(E1295="",E1295="!!!",F1295="NEW"),"",INDEX(B$2:B1294,-1+SUMPRODUCT(MAX(ROW(E$2:E1294)*(E1295=E$2:E1294)))))</f>
        <v/>
      </c>
      <c r="J1295" s="24" t="str">
        <f ca="1">IF(OR(E1295="",E1295="!!!",F1295="NEW"),"",COUNTBLANK(OFFSET(A$1,,,SUMPRODUCT(MAX(ROW(E$2:E1295)*(E1295=E$2:E1295)))))-COUNTBLANK(OFFSET(A$1,,,SUMPRODUCT(MAX(ROW(E$1:E1294)*(E2=E$1:E1294))))))</f>
        <v/>
      </c>
      <c r="K1295" s="24" t="str">
        <f>IF(OR(E1295="",E1295="!!!",F1295="NEW"),"",INDEX(J$1:J1294,SUMPRODUCT(MAX(ROW(E$1:E1294)*(E1295=E$1:E1294)))))</f>
        <v/>
      </c>
      <c r="L1295" s="25"/>
    </row>
    <row r="1296" spans="1:12" x14ac:dyDescent="0.3">
      <c r="A1296" t="s">
        <v>327</v>
      </c>
      <c r="B1296" s="26" t="s">
        <v>261</v>
      </c>
      <c r="C1296" s="26" t="s">
        <v>305</v>
      </c>
      <c r="E1296" s="20" t="str">
        <f t="shared" si="146"/>
        <v/>
      </c>
      <c r="F1296" s="21" t="str">
        <f>IF(OR(E1296="",E1296="!!!"),"",IF(NOT(ISNA(VLOOKUP(E1296,E$1:E1295,1,FALSE()))),"OLD",IF(AND(E1296&lt;&gt;"",E1296&lt;&gt;"!!!"),"NEW","")))</f>
        <v/>
      </c>
      <c r="G1296" s="22" t="str">
        <f>IF(OR(E1296="",E1296="!!!"),"",IF(OR(J1296=0,AND(J1296=1,K1296=1),AND(J1296=1,I1296="SBJ"),AND(J1296=1,I1296=0)),"?IN_FOCUS",IF(J1296&lt;=2,"?ACTIVATED",IF(J1296&lt;&gt;"","?FAMILIAR",IF(F1296="NEW",IF(ISNA(VLOOKUP(E1296,#REF!,1,FALSE())),"?TYPE_IDENTIFIABLE","?REFERENTIAL"),"_")))))</f>
        <v/>
      </c>
      <c r="H1296" s="23" t="str">
        <f t="shared" ca="1" si="147"/>
        <v/>
      </c>
      <c r="I1296" s="24" t="str">
        <f>IF(OR(E1296="",E1296="!!!",F1296="NEW"),"",INDEX(B$2:B1295,-1+SUMPRODUCT(MAX(ROW(E$2:E1295)*(E1296=E$2:E1295)))))</f>
        <v/>
      </c>
      <c r="J1296" s="24" t="str">
        <f ca="1">IF(OR(E1296="",E1296="!!!",F1296="NEW"),"",COUNTBLANK(OFFSET(A$1,,,SUMPRODUCT(MAX(ROW(E$2:E1296)*(E1296=E$2:E1296)))))-COUNTBLANK(OFFSET(A$1,,,SUMPRODUCT(MAX(ROW(E$1:E1295)*(E2=E$1:E1295))))))</f>
        <v/>
      </c>
      <c r="K1296" s="24" t="str">
        <f>IF(OR(E1296="",E1296="!!!",F1296="NEW"),"",INDEX(J$1:J1295,SUMPRODUCT(MAX(ROW(E$1:E1295)*(E1296=E$1:E1295)))))</f>
        <v/>
      </c>
      <c r="L1296" s="25"/>
    </row>
    <row r="1297" spans="1:12" x14ac:dyDescent="0.3">
      <c r="A1297" t="s">
        <v>310</v>
      </c>
      <c r="E1297" s="20" t="str">
        <f t="shared" si="146"/>
        <v/>
      </c>
      <c r="F1297" s="21" t="str">
        <f>IF(OR(E1297="",E1297="!!!"),"",IF(NOT(ISNA(VLOOKUP(E1297,E$1:E1296,1,FALSE()))),"OLD",IF(AND(E1297&lt;&gt;"",E1297&lt;&gt;"!!!"),"NEW","")))</f>
        <v/>
      </c>
      <c r="G1297" s="22" t="str">
        <f>IF(OR(E1297="",E1297="!!!"),"",IF(OR(J1297=0,AND(J1297=1,K1297=1),AND(J1297=1,I1297="SBJ"),AND(J1297=1,I1297=0)),"?IN_FOCUS",IF(J1297&lt;=2,"?ACTIVATED",IF(J1297&lt;&gt;"","?FAMILIAR",IF(F1297="NEW",IF(ISNA(VLOOKUP(E1297,#REF!,1,FALSE())),"?TYPE_IDENTIFIABLE","?REFERENTIAL"),"_")))))</f>
        <v/>
      </c>
      <c r="H1297" s="23" t="str">
        <f t="shared" ca="1" si="147"/>
        <v/>
      </c>
      <c r="I1297" s="24" t="str">
        <f>IF(OR(E1297="",E1297="!!!",F1297="NEW"),"",INDEX(B$2:B1296,-1+SUMPRODUCT(MAX(ROW(E$2:E1296)*(E1297=E$2:E1296)))))</f>
        <v/>
      </c>
      <c r="J1297" s="24" t="str">
        <f ca="1">IF(OR(E1297="",E1297="!!!",F1297="NEW"),"",COUNTBLANK(OFFSET(A$1,,,SUMPRODUCT(MAX(ROW(E$2:E1297)*(E1297=E$2:E1297)))))-COUNTBLANK(OFFSET(A$1,,,SUMPRODUCT(MAX(ROW(E$1:E1296)*(E2=E$1:E1296))))))</f>
        <v/>
      </c>
      <c r="K1297" s="24" t="str">
        <f>IF(OR(E1297="",E1297="!!!",F1297="NEW"),"",INDEX(J$1:J1296,SUMPRODUCT(MAX(ROW(E$1:E1296)*(E1297=E$1:E1296)))))</f>
        <v/>
      </c>
      <c r="L1297" s="25"/>
    </row>
    <row r="1298" spans="1:12" x14ac:dyDescent="0.3">
      <c r="A1298" t="s">
        <v>763</v>
      </c>
      <c r="E1298" s="20" t="str">
        <f t="shared" si="146"/>
        <v/>
      </c>
      <c r="F1298" s="21" t="str">
        <f>IF(OR(E1298="",E1298="!!!"),"",IF(NOT(ISNA(VLOOKUP(E1298,E$1:E1297,1,FALSE()))),"OLD",IF(AND(E1298&lt;&gt;"",E1298&lt;&gt;"!!!"),"NEW","")))</f>
        <v/>
      </c>
      <c r="G1298" s="22" t="str">
        <f>IF(OR(E1298="",E1298="!!!"),"",IF(OR(J1298=0,AND(J1298=1,K1298=1),AND(J1298=1,I1298="SBJ"),AND(J1298=1,I1298=0)),"?IN_FOCUS",IF(J1298&lt;=2,"?ACTIVATED",IF(J1298&lt;&gt;"","?FAMILIAR",IF(F1298="NEW",IF(ISNA(VLOOKUP(E1298,#REF!,1,FALSE())),"?TYPE_IDENTIFIABLE","?REFERENTIAL"),"_")))))</f>
        <v/>
      </c>
      <c r="H1298" s="23" t="str">
        <f t="shared" ca="1" si="147"/>
        <v/>
      </c>
      <c r="I1298" s="24" t="str">
        <f>IF(OR(E1298="",E1298="!!!",F1298="NEW"),"",INDEX(B$2:B1297,-1+SUMPRODUCT(MAX(ROW(E$2:E1297)*(E1298=E$2:E1297)))))</f>
        <v/>
      </c>
      <c r="J1298" s="24" t="str">
        <f ca="1">IF(OR(E1298="",E1298="!!!",F1298="NEW"),"",COUNTBLANK(OFFSET(A$1,,,SUMPRODUCT(MAX(ROW(E$2:E1298)*(E1298=E$2:E1298)))))-COUNTBLANK(OFFSET(A$1,,,SUMPRODUCT(MAX(ROW(E$1:E1297)*(E2=E$1:E1297))))))</f>
        <v/>
      </c>
      <c r="K1298" s="24" t="str">
        <f>IF(OR(E1298="",E1298="!!!",F1298="NEW"),"",INDEX(J$1:J1297,SUMPRODUCT(MAX(ROW(E$1:E1297)*(E1298=E$1:E1297)))))</f>
        <v/>
      </c>
      <c r="L1298" s="25"/>
    </row>
    <row r="1299" spans="1:12" x14ac:dyDescent="0.3">
      <c r="A1299" t="s">
        <v>764</v>
      </c>
      <c r="B1299" s="26" t="s">
        <v>238</v>
      </c>
      <c r="C1299" s="26" t="s">
        <v>239</v>
      </c>
      <c r="D1299" s="26" t="s">
        <v>240</v>
      </c>
      <c r="E1299" s="20" t="str">
        <f t="shared" si="146"/>
        <v>!!!</v>
      </c>
      <c r="F1299" s="21" t="str">
        <f>IF(OR(E1299="",E1299="!!!"),"",IF(NOT(ISNA(VLOOKUP(E1299,E$1:E1298,1,FALSE()))),"OLD",IF(AND(E1299&lt;&gt;"",E1299&lt;&gt;"!!!"),"NEW","")))</f>
        <v/>
      </c>
      <c r="G1299" s="22" t="str">
        <f>IF(OR(E1299="",E1299="!!!"),"",IF(OR(J1299=0,AND(J1299=1,K1299=1),AND(J1299=1,I1299="SBJ"),AND(J1299=1,I1299=0)),"?IN_FOCUS",IF(J1299&lt;=2,"?ACTIVATED",IF(J1299&lt;&gt;"","?FAMILIAR",IF(F1299="NEW",IF(ISNA(VLOOKUP(E1299,#REF!,1,FALSE())),"?TYPE_IDENTIFIABLE","?REFERENTIAL"),"_")))))</f>
        <v/>
      </c>
      <c r="H1299" s="23" t="str">
        <f t="shared" ca="1" si="147"/>
        <v/>
      </c>
      <c r="I1299" s="24" t="str">
        <f>IF(OR(E1299="",E1299="!!!",F1299="NEW"),"",INDEX(B$2:B1298,-1+SUMPRODUCT(MAX(ROW(E$2:E1298)*(E1299=E$2:E1298)))))</f>
        <v/>
      </c>
      <c r="J1299" s="24" t="str">
        <f ca="1">IF(OR(E1299="",E1299="!!!",F1299="NEW"),"",COUNTBLANK(OFFSET(A$1,,,SUMPRODUCT(MAX(ROW(E$2:E1299)*(E1299=E$2:E1299)))))-COUNTBLANK(OFFSET(A$1,,,SUMPRODUCT(MAX(ROW(E$1:E1298)*(E2=E$1:E1298))))))</f>
        <v/>
      </c>
      <c r="K1299" s="24" t="str">
        <f>IF(OR(E1299="",E1299="!!!",F1299="NEW"),"",INDEX(J$1:J1298,SUMPRODUCT(MAX(ROW(E$1:E1298)*(E1299=E$1:E1298)))))</f>
        <v/>
      </c>
      <c r="L1299" s="25"/>
    </row>
    <row r="1300" spans="1:12" x14ac:dyDescent="0.3">
      <c r="A1300" t="s">
        <v>756</v>
      </c>
      <c r="E1300" s="20" t="str">
        <f t="shared" si="146"/>
        <v/>
      </c>
      <c r="F1300" s="21" t="str">
        <f>IF(OR(E1300="",E1300="!!!"),"",IF(NOT(ISNA(VLOOKUP(E1300,E$1:E1299,1,FALSE()))),"OLD",IF(AND(E1300&lt;&gt;"",E1300&lt;&gt;"!!!"),"NEW","")))</f>
        <v/>
      </c>
      <c r="G1300" s="22" t="str">
        <f>IF(OR(E1300="",E1300="!!!"),"",IF(OR(J1300=0,AND(J1300=1,K1300=1),AND(J1300=1,I1300="SBJ"),AND(J1300=1,I1300=0)),"?IN_FOCUS",IF(J1300&lt;=2,"?ACTIVATED",IF(J1300&lt;&gt;"","?FAMILIAR",IF(F1300="NEW",IF(ISNA(VLOOKUP(E1300,#REF!,1,FALSE())),"?TYPE_IDENTIFIABLE","?REFERENTIAL"),"_")))))</f>
        <v/>
      </c>
      <c r="H1300" s="23" t="str">
        <f t="shared" ca="1" si="147"/>
        <v/>
      </c>
      <c r="I1300" s="24" t="str">
        <f>IF(OR(E1300="",E1300="!!!",F1300="NEW"),"",INDEX(B$2:B1299,-1+SUMPRODUCT(MAX(ROW(E$2:E1299)*(E1300=E$2:E1299)))))</f>
        <v/>
      </c>
      <c r="J1300" s="24" t="str">
        <f ca="1">IF(OR(E1300="",E1300="!!!",F1300="NEW"),"",COUNTBLANK(OFFSET(A$1,,,SUMPRODUCT(MAX(ROW(E$2:E1300)*(E1300=E$2:E1300)))))-COUNTBLANK(OFFSET(A$1,,,SUMPRODUCT(MAX(ROW(E$1:E1299)*(E2=E$1:E1299))))))</f>
        <v/>
      </c>
      <c r="K1300" s="24" t="str">
        <f>IF(OR(E1300="",E1300="!!!",F1300="NEW"),"",INDEX(J$1:J1299,SUMPRODUCT(MAX(ROW(E$1:E1299)*(E1300=E$1:E1299)))))</f>
        <v/>
      </c>
      <c r="L1300" s="25"/>
    </row>
    <row r="1301" spans="1:12" x14ac:dyDescent="0.3">
      <c r="A1301" t="s">
        <v>252</v>
      </c>
      <c r="E1301" s="20" t="str">
        <f t="shared" si="146"/>
        <v/>
      </c>
      <c r="F1301" s="21" t="str">
        <f>IF(OR(E1301="",E1301="!!!"),"",IF(NOT(ISNA(VLOOKUP(E1301,E$1:E1300,1,FALSE()))),"OLD",IF(AND(E1301&lt;&gt;"",E1301&lt;&gt;"!!!"),"NEW","")))</f>
        <v/>
      </c>
      <c r="G1301" s="22" t="str">
        <f>IF(OR(E1301="",E1301="!!!"),"",IF(OR(J1301=0,AND(J1301=1,K1301=1),AND(J1301=1,I1301="SBJ"),AND(J1301=1,I1301=0)),"?IN_FOCUS",IF(J1301&lt;=2,"?ACTIVATED",IF(J1301&lt;&gt;"","?FAMILIAR",IF(F1301="NEW",IF(ISNA(VLOOKUP(E1301,#REF!,1,FALSE())),"?TYPE_IDENTIFIABLE","?REFERENTIAL"),"_")))))</f>
        <v/>
      </c>
      <c r="H1301" s="23" t="str">
        <f t="shared" ca="1" si="147"/>
        <v/>
      </c>
      <c r="I1301" s="24" t="str">
        <f>IF(OR(E1301="",E1301="!!!",F1301="NEW"),"",INDEX(B$2:B1300,-1+SUMPRODUCT(MAX(ROW(E$2:E1300)*(E1301=E$2:E1300)))))</f>
        <v/>
      </c>
      <c r="J1301" s="24" t="str">
        <f ca="1">IF(OR(E1301="",E1301="!!!",F1301="NEW"),"",COUNTBLANK(OFFSET(A$1,,,SUMPRODUCT(MAX(ROW(E$2:E1301)*(E1301=E$2:E1301)))))-COUNTBLANK(OFFSET(A$1,,,SUMPRODUCT(MAX(ROW(E$1:E1300)*(E2=E$1:E1300))))))</f>
        <v/>
      </c>
      <c r="K1301" s="24" t="str">
        <f>IF(OR(E1301="",E1301="!!!",F1301="NEW"),"",INDEX(J$1:J1300,SUMPRODUCT(MAX(ROW(E$1:E1300)*(E1301=E$1:E1300)))))</f>
        <v/>
      </c>
      <c r="L1301" s="25"/>
    </row>
    <row r="1302" spans="1:12" x14ac:dyDescent="0.3">
      <c r="A1302" t="s">
        <v>331</v>
      </c>
      <c r="E1302" s="20" t="str">
        <f t="shared" si="146"/>
        <v/>
      </c>
      <c r="F1302" s="21" t="str">
        <f>IF(OR(E1302="",E1302="!!!"),"",IF(NOT(ISNA(VLOOKUP(E1302,E$1:E1301,1,FALSE()))),"OLD",IF(AND(E1302&lt;&gt;"",E1302&lt;&gt;"!!!"),"NEW","")))</f>
        <v/>
      </c>
      <c r="G1302" s="22" t="str">
        <f>IF(OR(E1302="",E1302="!!!"),"",IF(OR(J1302=0,AND(J1302=1,K1302=1),AND(J1302=1,I1302="SBJ"),AND(J1302=1,I1302=0)),"?IN_FOCUS",IF(J1302&lt;=2,"?ACTIVATED",IF(J1302&lt;&gt;"","?FAMILIAR",IF(F1302="NEW",IF(ISNA(VLOOKUP(E1302,#REF!,1,FALSE())),"?TYPE_IDENTIFIABLE","?REFERENTIAL"),"_")))))</f>
        <v/>
      </c>
      <c r="H1302" s="23" t="str">
        <f t="shared" ca="1" si="147"/>
        <v/>
      </c>
      <c r="I1302" s="24" t="str">
        <f>IF(OR(E1302="",E1302="!!!",F1302="NEW"),"",INDEX(B$2:B1301,-1+SUMPRODUCT(MAX(ROW(E$2:E1301)*(E1302=E$2:E1301)))))</f>
        <v/>
      </c>
      <c r="J1302" s="24" t="str">
        <f ca="1">IF(OR(E1302="",E1302="!!!",F1302="NEW"),"",COUNTBLANK(OFFSET(A$1,,,SUMPRODUCT(MAX(ROW(E$2:E1302)*(E1302=E$2:E1302)))))-COUNTBLANK(OFFSET(A$1,,,SUMPRODUCT(MAX(ROW(E$1:E1301)*(E2=E$1:E1301))))))</f>
        <v/>
      </c>
      <c r="K1302" s="24" t="str">
        <f>IF(OR(E1302="",E1302="!!!",F1302="NEW"),"",INDEX(J$1:J1301,SUMPRODUCT(MAX(ROW(E$1:E1301)*(E1302=E$1:E1301)))))</f>
        <v/>
      </c>
      <c r="L1302" s="25"/>
    </row>
    <row r="1303" spans="1:12" x14ac:dyDescent="0.3">
      <c r="A1303" t="s">
        <v>263</v>
      </c>
      <c r="E1303" s="20" t="str">
        <f t="shared" si="146"/>
        <v/>
      </c>
      <c r="F1303" s="21" t="str">
        <f>IF(OR(E1303="",E1303="!!!"),"",IF(NOT(ISNA(VLOOKUP(E1303,E$1:E1302,1,FALSE()))),"OLD",IF(AND(E1303&lt;&gt;"",E1303&lt;&gt;"!!!"),"NEW","")))</f>
        <v/>
      </c>
      <c r="G1303" s="22" t="str">
        <f>IF(OR(E1303="",E1303="!!!"),"",IF(OR(J1303=0,AND(J1303=1,K1303=1),AND(J1303=1,I1303="SBJ"),AND(J1303=1,I1303=0)),"?IN_FOCUS",IF(J1303&lt;=2,"?ACTIVATED",IF(J1303&lt;&gt;"","?FAMILIAR",IF(F1303="NEW",IF(ISNA(VLOOKUP(E1303,#REF!,1,FALSE())),"?TYPE_IDENTIFIABLE","?REFERENTIAL"),"_")))))</f>
        <v/>
      </c>
      <c r="H1303" s="23" t="str">
        <f t="shared" ca="1" si="147"/>
        <v/>
      </c>
      <c r="I1303" s="24" t="str">
        <f>IF(OR(E1303="",E1303="!!!",F1303="NEW"),"",INDEX(B$2:B1302,-1+SUMPRODUCT(MAX(ROW(E$2:E1302)*(E1303=E$2:E1302)))))</f>
        <v/>
      </c>
      <c r="J1303" s="24" t="str">
        <f ca="1">IF(OR(E1303="",E1303="!!!",F1303="NEW"),"",COUNTBLANK(OFFSET(A$1,,,SUMPRODUCT(MAX(ROW(E$2:E1303)*(E1303=E$2:E1303)))))-COUNTBLANK(OFFSET(A$1,,,SUMPRODUCT(MAX(ROW(E$1:E1302)*(E2=E$1:E1302))))))</f>
        <v/>
      </c>
      <c r="K1303" s="24" t="str">
        <f>IF(OR(E1303="",E1303="!!!",F1303="NEW"),"",INDEX(J$1:J1302,SUMPRODUCT(MAX(ROW(E$1:E1302)*(E1303=E$1:E1302)))))</f>
        <v/>
      </c>
      <c r="L1303" s="25"/>
    </row>
    <row r="1304" spans="1:12" x14ac:dyDescent="0.3">
      <c r="A1304" t="s">
        <v>765</v>
      </c>
      <c r="B1304" s="26" t="s">
        <v>238</v>
      </c>
      <c r="C1304" s="26" t="s">
        <v>262</v>
      </c>
      <c r="E1304" s="20" t="str">
        <f t="shared" si="146"/>
        <v/>
      </c>
      <c r="F1304" s="21" t="str">
        <f>IF(OR(E1304="",E1304="!!!"),"",IF(NOT(ISNA(VLOOKUP(E1304,E$1:E1303,1,FALSE()))),"OLD",IF(AND(E1304&lt;&gt;"",E1304&lt;&gt;"!!!"),"NEW","")))</f>
        <v/>
      </c>
      <c r="G1304" s="22" t="str">
        <f>IF(OR(E1304="",E1304="!!!"),"",IF(OR(J1304=0,AND(J1304=1,K1304=1),AND(J1304=1,I1304="SBJ"),AND(J1304=1,I1304=0)),"?IN_FOCUS",IF(J1304&lt;=2,"?ACTIVATED",IF(J1304&lt;&gt;"","?FAMILIAR",IF(F1304="NEW",IF(ISNA(VLOOKUP(E1304,#REF!,1,FALSE())),"?TYPE_IDENTIFIABLE","?REFERENTIAL"),"_")))))</f>
        <v/>
      </c>
      <c r="H1304" s="23" t="str">
        <f t="shared" ca="1" si="147"/>
        <v/>
      </c>
      <c r="I1304" s="24" t="str">
        <f>IF(OR(E1304="",E1304="!!!",F1304="NEW"),"",INDEX(B$2:B1303,-1+SUMPRODUCT(MAX(ROW(E$2:E1303)*(E1304=E$2:E1303)))))</f>
        <v/>
      </c>
      <c r="J1304" s="24" t="str">
        <f ca="1">IF(OR(E1304="",E1304="!!!",F1304="NEW"),"",COUNTBLANK(OFFSET(A$1,,,SUMPRODUCT(MAX(ROW(E$2:E1304)*(E1304=E$2:E1304)))))-COUNTBLANK(OFFSET(A$1,,,SUMPRODUCT(MAX(ROW(E$1:E1303)*(E2=E$1:E1303))))))</f>
        <v/>
      </c>
      <c r="K1304" s="24" t="str">
        <f>IF(OR(E1304="",E1304="!!!",F1304="NEW"),"",INDEX(J$1:J1303,SUMPRODUCT(MAX(ROW(E$1:E1303)*(E1304=E$1:E1303)))))</f>
        <v/>
      </c>
      <c r="L1304" s="25"/>
    </row>
    <row r="1305" spans="1:12" x14ac:dyDescent="0.3">
      <c r="A1305" t="s">
        <v>766</v>
      </c>
      <c r="B1305" s="26" t="s">
        <v>261</v>
      </c>
      <c r="C1305" s="26" t="s">
        <v>247</v>
      </c>
      <c r="E1305" s="20" t="str">
        <f t="shared" si="146"/>
        <v/>
      </c>
      <c r="F1305" s="21" t="str">
        <f>IF(OR(E1305="",E1305="!!!"),"",IF(NOT(ISNA(VLOOKUP(E1305,E$1:E1304,1,FALSE()))),"OLD",IF(AND(E1305&lt;&gt;"",E1305&lt;&gt;"!!!"),"NEW","")))</f>
        <v/>
      </c>
      <c r="G1305" s="22" t="str">
        <f>IF(OR(E1305="",E1305="!!!"),"",IF(OR(J1305=0,AND(J1305=1,K1305=1),AND(J1305=1,I1305="SBJ"),AND(J1305=1,I1305=0)),"?IN_FOCUS",IF(J1305&lt;=2,"?ACTIVATED",IF(J1305&lt;&gt;"","?FAMILIAR",IF(F1305="NEW",IF(ISNA(VLOOKUP(E1305,#REF!,1,FALSE())),"?TYPE_IDENTIFIABLE","?REFERENTIAL"),"_")))))</f>
        <v/>
      </c>
      <c r="H1305" s="23" t="str">
        <f t="shared" ca="1" si="147"/>
        <v/>
      </c>
      <c r="I1305" s="24" t="str">
        <f>IF(OR(E1305="",E1305="!!!",F1305="NEW"),"",INDEX(B$2:B1304,-1+SUMPRODUCT(MAX(ROW(E$2:E1304)*(E1305=E$2:E1304)))))</f>
        <v/>
      </c>
      <c r="J1305" s="24" t="str">
        <f ca="1">IF(OR(E1305="",E1305="!!!",F1305="NEW"),"",COUNTBLANK(OFFSET(A$1,,,SUMPRODUCT(MAX(ROW(E$2:E1305)*(E1305=E$2:E1305)))))-COUNTBLANK(OFFSET(A$1,,,SUMPRODUCT(MAX(ROW(E$1:E1304)*(E2=E$1:E1304))))))</f>
        <v/>
      </c>
      <c r="K1305" s="24" t="str">
        <f>IF(OR(E1305="",E1305="!!!",F1305="NEW"),"",INDEX(J$1:J1304,SUMPRODUCT(MAX(ROW(E$1:E1304)*(E1305=E$1:E1304)))))</f>
        <v/>
      </c>
      <c r="L1305" s="25"/>
    </row>
    <row r="1306" spans="1:12" x14ac:dyDescent="0.3">
      <c r="A1306" t="s">
        <v>308</v>
      </c>
      <c r="E1306" s="20" t="str">
        <f t="shared" si="146"/>
        <v/>
      </c>
      <c r="F1306" s="21" t="str">
        <f>IF(OR(E1306="",E1306="!!!"),"",IF(NOT(ISNA(VLOOKUP(E1306,E$1:E1305,1,FALSE()))),"OLD",IF(AND(E1306&lt;&gt;"",E1306&lt;&gt;"!!!"),"NEW","")))</f>
        <v/>
      </c>
      <c r="G1306" s="22" t="str">
        <f>IF(OR(E1306="",E1306="!!!"),"",IF(OR(J1306=0,AND(J1306=1,K1306=1),AND(J1306=1,I1306="SBJ"),AND(J1306=1,I1306=0)),"?IN_FOCUS",IF(J1306&lt;=2,"?ACTIVATED",IF(J1306&lt;&gt;"","?FAMILIAR",IF(F1306="NEW",IF(ISNA(VLOOKUP(E1306,#REF!,1,FALSE())),"?TYPE_IDENTIFIABLE","?REFERENTIAL"),"_")))))</f>
        <v/>
      </c>
      <c r="H1306" s="23" t="str">
        <f t="shared" ca="1" si="147"/>
        <v/>
      </c>
      <c r="I1306" s="24" t="str">
        <f>IF(OR(E1306="",E1306="!!!",F1306="NEW"),"",INDEX(B$2:B1305,-1+SUMPRODUCT(MAX(ROW(E$2:E1305)*(E1306=E$2:E1305)))))</f>
        <v/>
      </c>
      <c r="J1306" s="24" t="str">
        <f ca="1">IF(OR(E1306="",E1306="!!!",F1306="NEW"),"",COUNTBLANK(OFFSET(A$1,,,SUMPRODUCT(MAX(ROW(E$2:E1306)*(E1306=E$2:E1306)))))-COUNTBLANK(OFFSET(A$1,,,SUMPRODUCT(MAX(ROW(E$1:E1305)*(E2=E$1:E1305))))))</f>
        <v/>
      </c>
      <c r="K1306" s="24" t="str">
        <f>IF(OR(E1306="",E1306="!!!",F1306="NEW"),"",INDEX(J$1:J1305,SUMPRODUCT(MAX(ROW(E$1:E1305)*(E1306=E$1:E1305)))))</f>
        <v/>
      </c>
      <c r="L1306" s="25"/>
    </row>
    <row r="1307" spans="1:12" x14ac:dyDescent="0.3">
      <c r="A1307" t="s">
        <v>248</v>
      </c>
      <c r="E1307" s="20" t="str">
        <f t="shared" si="146"/>
        <v/>
      </c>
      <c r="F1307" s="21" t="str">
        <f>IF(OR(E1307="",E1307="!!!"),"",IF(NOT(ISNA(VLOOKUP(E1307,E$1:E1306,1,FALSE()))),"OLD",IF(AND(E1307&lt;&gt;"",E1307&lt;&gt;"!!!"),"NEW","")))</f>
        <v/>
      </c>
      <c r="G1307" s="22" t="str">
        <f>IF(OR(E1307="",E1307="!!!"),"",IF(OR(J1307=0,AND(J1307=1,K1307=1),AND(J1307=1,I1307="SBJ"),AND(J1307=1,I1307=0)),"?IN_FOCUS",IF(J1307&lt;=2,"?ACTIVATED",IF(J1307&lt;&gt;"","?FAMILIAR",IF(F1307="NEW",IF(ISNA(VLOOKUP(E1307,#REF!,1,FALSE())),"?TYPE_IDENTIFIABLE","?REFERENTIAL"),"_")))))</f>
        <v/>
      </c>
      <c r="H1307" s="23" t="str">
        <f t="shared" ca="1" si="147"/>
        <v/>
      </c>
      <c r="I1307" s="24" t="str">
        <f>IF(OR(E1307="",E1307="!!!",F1307="NEW"),"",INDEX(B$2:B1306,-1+SUMPRODUCT(MAX(ROW(E$2:E1306)*(E1307=E$2:E1306)))))</f>
        <v/>
      </c>
      <c r="J1307" s="24" t="str">
        <f ca="1">IF(OR(E1307="",E1307="!!!",F1307="NEW"),"",COUNTBLANK(OFFSET(A$1,,,SUMPRODUCT(MAX(ROW(E$2:E1307)*(E1307=E$2:E1307)))))-COUNTBLANK(OFFSET(A$1,,,SUMPRODUCT(MAX(ROW(E$1:E1306)*(E2=E$1:E1306))))))</f>
        <v/>
      </c>
      <c r="K1307" s="24" t="str">
        <f>IF(OR(E1307="",E1307="!!!",F1307="NEW"),"",INDEX(J$1:J1306,SUMPRODUCT(MAX(ROW(E$1:E1306)*(E1307=E$1:E1306)))))</f>
        <v/>
      </c>
      <c r="L1307" s="25"/>
    </row>
    <row r="1309" spans="1:12" x14ac:dyDescent="0.3">
      <c r="A1309" t="s">
        <v>767</v>
      </c>
    </row>
    <row r="1310" spans="1:12" x14ac:dyDescent="0.3">
      <c r="A1310" t="s">
        <v>396</v>
      </c>
      <c r="B1310" s="26" t="s">
        <v>243</v>
      </c>
      <c r="C1310" s="26" t="s">
        <v>256</v>
      </c>
      <c r="D1310" s="26" t="s">
        <v>240</v>
      </c>
      <c r="E1310" s="20" t="str">
        <f t="shared" ref="E1310:E1332" si="148">IF(D1310="?OLD","!!!","")</f>
        <v>!!!</v>
      </c>
      <c r="F1310" s="21" t="str">
        <f>IF(OR(E1310="",E1310="!!!"),"",IF(NOT(ISNA(VLOOKUP(E1310,E$1:E1309,1,FALSE()))),"OLD",IF(AND(E1310&lt;&gt;"",E1310&lt;&gt;"!!!"),"NEW","")))</f>
        <v/>
      </c>
      <c r="G1310" s="22" t="str">
        <f>IF(OR(E1310="",E1310="!!!"),"",IF(OR(J1310=0,AND(J1310=1,K1310=1),AND(J1310=1,I1310="SBJ"),AND(J1310=1,I1310=0)),"?IN_FOCUS",IF(J1310&lt;=2,"?ACTIVATED",IF(J1310&lt;&gt;"","?FAMILIAR",IF(F1310="NEW",IF(ISNA(VLOOKUP(E1310,#REF!,1,FALSE())),"?TYPE_IDENTIFIABLE","?REFERENTIAL"),"_")))))</f>
        <v/>
      </c>
      <c r="H1310" s="23" t="str">
        <f t="shared" ref="H1310:H1332" ca="1" si="149">IF(J1310&lt;&gt;1,"",IF(I1310="SBJ","CB","?"))</f>
        <v/>
      </c>
      <c r="I1310" s="24" t="str">
        <f>IF(OR(E1310="",E1310="!!!",F1310="NEW"),"",INDEX(B$2:B1309,-1+SUMPRODUCT(MAX(ROW(E$2:E1309)*(E1310=E$2:E1309)))))</f>
        <v/>
      </c>
      <c r="J1310" s="24" t="str">
        <f ca="1">IF(OR(E1310="",E1310="!!!",F1310="NEW"),"",COUNTBLANK(OFFSET(A$1,,,SUMPRODUCT(MAX(ROW(E$2:E1310)*(E1310=E$2:E1310)))))-COUNTBLANK(OFFSET(A$1,,,SUMPRODUCT(MAX(ROW(E$1:E1309)*(E2=E$1:E1309))))))</f>
        <v/>
      </c>
      <c r="K1310" s="24" t="str">
        <f>IF(OR(E1310="",E1310="!!!",F1310="NEW"),"",INDEX(J$1:J1309,SUMPRODUCT(MAX(ROW(E$1:E1309)*(E1310=E$1:E1309)))))</f>
        <v/>
      </c>
      <c r="L1310" s="25"/>
    </row>
    <row r="1311" spans="1:12" x14ac:dyDescent="0.3">
      <c r="A1311" t="s">
        <v>337</v>
      </c>
      <c r="E1311" s="20" t="str">
        <f t="shared" si="148"/>
        <v/>
      </c>
      <c r="F1311" s="21" t="str">
        <f>IF(OR(E1311="",E1311="!!!"),"",IF(NOT(ISNA(VLOOKUP(E1311,E$1:E1310,1,FALSE()))),"OLD",IF(AND(E1311&lt;&gt;"",E1311&lt;&gt;"!!!"),"NEW","")))</f>
        <v/>
      </c>
      <c r="G1311" s="22" t="str">
        <f>IF(OR(E1311="",E1311="!!!"),"",IF(OR(J1311=0,AND(J1311=1,K1311=1),AND(J1311=1,I1311="SBJ"),AND(J1311=1,I1311=0)),"?IN_FOCUS",IF(J1311&lt;=2,"?ACTIVATED",IF(J1311&lt;&gt;"","?FAMILIAR",IF(F1311="NEW",IF(ISNA(VLOOKUP(E1311,#REF!,1,FALSE())),"?TYPE_IDENTIFIABLE","?REFERENTIAL"),"_")))))</f>
        <v/>
      </c>
      <c r="H1311" s="23" t="str">
        <f t="shared" ca="1" si="149"/>
        <v/>
      </c>
      <c r="I1311" s="24" t="str">
        <f>IF(OR(E1311="",E1311="!!!",F1311="NEW"),"",INDEX(B$2:B1310,-1+SUMPRODUCT(MAX(ROW(E$2:E1310)*(E1311=E$2:E1310)))))</f>
        <v/>
      </c>
      <c r="J1311" s="24" t="str">
        <f ca="1">IF(OR(E1311="",E1311="!!!",F1311="NEW"),"",COUNTBLANK(OFFSET(A$1,,,SUMPRODUCT(MAX(ROW(E$2:E1311)*(E1311=E$2:E1311)))))-COUNTBLANK(OFFSET(A$1,,,SUMPRODUCT(MAX(ROW(E$1:E1310)*(E2=E$1:E1310))))))</f>
        <v/>
      </c>
      <c r="K1311" s="24" t="str">
        <f>IF(OR(E1311="",E1311="!!!",F1311="NEW"),"",INDEX(J$1:J1310,SUMPRODUCT(MAX(ROW(E$1:E1310)*(E1311=E$1:E1310)))))</f>
        <v/>
      </c>
      <c r="L1311" s="25"/>
    </row>
    <row r="1312" spans="1:12" x14ac:dyDescent="0.3">
      <c r="A1312" t="s">
        <v>393</v>
      </c>
      <c r="E1312" s="20" t="str">
        <f t="shared" si="148"/>
        <v/>
      </c>
      <c r="F1312" s="21" t="str">
        <f>IF(OR(E1312="",E1312="!!!"),"",IF(NOT(ISNA(VLOOKUP(E1312,E$1:E1311,1,FALSE()))),"OLD",IF(AND(E1312&lt;&gt;"",E1312&lt;&gt;"!!!"),"NEW","")))</f>
        <v/>
      </c>
      <c r="G1312" s="22" t="str">
        <f>IF(OR(E1312="",E1312="!!!"),"",IF(OR(J1312=0,AND(J1312=1,K1312=1),AND(J1312=1,I1312="SBJ"),AND(J1312=1,I1312=0)),"?IN_FOCUS",IF(J1312&lt;=2,"?ACTIVATED",IF(J1312&lt;&gt;"","?FAMILIAR",IF(F1312="NEW",IF(ISNA(VLOOKUP(E1312,#REF!,1,FALSE())),"?TYPE_IDENTIFIABLE","?REFERENTIAL"),"_")))))</f>
        <v/>
      </c>
      <c r="H1312" s="23" t="str">
        <f t="shared" ca="1" si="149"/>
        <v/>
      </c>
      <c r="I1312" s="24" t="str">
        <f>IF(OR(E1312="",E1312="!!!",F1312="NEW"),"",INDEX(B$2:B1311,-1+SUMPRODUCT(MAX(ROW(E$2:E1311)*(E1312=E$2:E1311)))))</f>
        <v/>
      </c>
      <c r="J1312" s="24" t="str">
        <f ca="1">IF(OR(E1312="",E1312="!!!",F1312="NEW"),"",COUNTBLANK(OFFSET(A$1,,,SUMPRODUCT(MAX(ROW(E$2:E1312)*(E1312=E$2:E1312)))))-COUNTBLANK(OFFSET(A$1,,,SUMPRODUCT(MAX(ROW(E$1:E1311)*(E2=E$1:E1311))))))</f>
        <v/>
      </c>
      <c r="K1312" s="24" t="str">
        <f>IF(OR(E1312="",E1312="!!!",F1312="NEW"),"",INDEX(J$1:J1311,SUMPRODUCT(MAX(ROW(E$1:E1311)*(E1312=E$1:E1311)))))</f>
        <v/>
      </c>
      <c r="L1312" s="25"/>
    </row>
    <row r="1313" spans="1:12" x14ac:dyDescent="0.3">
      <c r="A1313" t="s">
        <v>736</v>
      </c>
      <c r="B1313" s="26" t="s">
        <v>292</v>
      </c>
      <c r="C1313" s="26" t="s">
        <v>239</v>
      </c>
      <c r="D1313" s="26" t="s">
        <v>240</v>
      </c>
      <c r="E1313" s="20" t="str">
        <f t="shared" si="148"/>
        <v>!!!</v>
      </c>
      <c r="F1313" s="21" t="str">
        <f>IF(OR(E1313="",E1313="!!!"),"",IF(NOT(ISNA(VLOOKUP(E1313,E$1:E1312,1,FALSE()))),"OLD",IF(AND(E1313&lt;&gt;"",E1313&lt;&gt;"!!!"),"NEW","")))</f>
        <v/>
      </c>
      <c r="G1313" s="22" t="str">
        <f>IF(OR(E1313="",E1313="!!!"),"",IF(OR(J1313=0,AND(J1313=1,K1313=1),AND(J1313=1,I1313="SBJ"),AND(J1313=1,I1313=0)),"?IN_FOCUS",IF(J1313&lt;=2,"?ACTIVATED",IF(J1313&lt;&gt;"","?FAMILIAR",IF(F1313="NEW",IF(ISNA(VLOOKUP(E1313,#REF!,1,FALSE())),"?TYPE_IDENTIFIABLE","?REFERENTIAL"),"_")))))</f>
        <v/>
      </c>
      <c r="H1313" s="23" t="str">
        <f t="shared" ca="1" si="149"/>
        <v/>
      </c>
      <c r="I1313" s="24" t="str">
        <f>IF(OR(E1313="",E1313="!!!",F1313="NEW"),"",INDEX(B$2:B1312,-1+SUMPRODUCT(MAX(ROW(E$2:E1312)*(E1313=E$2:E1312)))))</f>
        <v/>
      </c>
      <c r="J1313" s="24" t="str">
        <f ca="1">IF(OR(E1313="",E1313="!!!",F1313="NEW"),"",COUNTBLANK(OFFSET(A$1,,,SUMPRODUCT(MAX(ROW(E$2:E1313)*(E1313=E$2:E1313)))))-COUNTBLANK(OFFSET(A$1,,,SUMPRODUCT(MAX(ROW(E$1:E1312)*(E2=E$1:E1312))))))</f>
        <v/>
      </c>
      <c r="K1313" s="24" t="str">
        <f>IF(OR(E1313="",E1313="!!!",F1313="NEW"),"",INDEX(J$1:J1312,SUMPRODUCT(MAX(ROW(E$1:E1312)*(E1313=E$1:E1312)))))</f>
        <v/>
      </c>
      <c r="L1313" s="25"/>
    </row>
    <row r="1314" spans="1:12" x14ac:dyDescent="0.3">
      <c r="A1314" t="s">
        <v>768</v>
      </c>
      <c r="E1314" s="20" t="str">
        <f t="shared" si="148"/>
        <v/>
      </c>
      <c r="F1314" s="21" t="str">
        <f>IF(OR(E1314="",E1314="!!!"),"",IF(NOT(ISNA(VLOOKUP(E1314,E$1:E1313,1,FALSE()))),"OLD",IF(AND(E1314&lt;&gt;"",E1314&lt;&gt;"!!!"),"NEW","")))</f>
        <v/>
      </c>
      <c r="G1314" s="22" t="str">
        <f>IF(OR(E1314="",E1314="!!!"),"",IF(OR(J1314=0,AND(J1314=1,K1314=1),AND(J1314=1,I1314="SBJ"),AND(J1314=1,I1314=0)),"?IN_FOCUS",IF(J1314&lt;=2,"?ACTIVATED",IF(J1314&lt;&gt;"","?FAMILIAR",IF(F1314="NEW",IF(ISNA(VLOOKUP(E1314,#REF!,1,FALSE())),"?TYPE_IDENTIFIABLE","?REFERENTIAL"),"_")))))</f>
        <v/>
      </c>
      <c r="H1314" s="23" t="str">
        <f t="shared" ca="1" si="149"/>
        <v/>
      </c>
      <c r="I1314" s="24" t="str">
        <f>IF(OR(E1314="",E1314="!!!",F1314="NEW"),"",INDEX(B$2:B1313,-1+SUMPRODUCT(MAX(ROW(E$2:E1313)*(E1314=E$2:E1313)))))</f>
        <v/>
      </c>
      <c r="J1314" s="24" t="str">
        <f ca="1">IF(OR(E1314="",E1314="!!!",F1314="NEW"),"",COUNTBLANK(OFFSET(A$1,,,SUMPRODUCT(MAX(ROW(E$2:E1314)*(E1314=E$2:E1314)))))-COUNTBLANK(OFFSET(A$1,,,SUMPRODUCT(MAX(ROW(E$1:E1313)*(E2=E$1:E1313))))))</f>
        <v/>
      </c>
      <c r="K1314" s="24" t="str">
        <f>IF(OR(E1314="",E1314="!!!",F1314="NEW"),"",INDEX(J$1:J1313,SUMPRODUCT(MAX(ROW(E$1:E1313)*(E1314=E$1:E1313)))))</f>
        <v/>
      </c>
      <c r="L1314" s="25"/>
    </row>
    <row r="1315" spans="1:12" x14ac:dyDescent="0.3">
      <c r="A1315" t="s">
        <v>769</v>
      </c>
      <c r="E1315" s="20" t="str">
        <f t="shared" si="148"/>
        <v/>
      </c>
      <c r="F1315" s="21" t="str">
        <f>IF(OR(E1315="",E1315="!!!"),"",IF(NOT(ISNA(VLOOKUP(E1315,E$1:E1314,1,FALSE()))),"OLD",IF(AND(E1315&lt;&gt;"",E1315&lt;&gt;"!!!"),"NEW","")))</f>
        <v/>
      </c>
      <c r="G1315" s="22" t="str">
        <f>IF(OR(E1315="",E1315="!!!"),"",IF(OR(J1315=0,AND(J1315=1,K1315=1),AND(J1315=1,I1315="SBJ"),AND(J1315=1,I1315=0)),"?IN_FOCUS",IF(J1315&lt;=2,"?ACTIVATED",IF(J1315&lt;&gt;"","?FAMILIAR",IF(F1315="NEW",IF(ISNA(VLOOKUP(E1315,#REF!,1,FALSE())),"?TYPE_IDENTIFIABLE","?REFERENTIAL"),"_")))))</f>
        <v/>
      </c>
      <c r="H1315" s="23" t="str">
        <f t="shared" ca="1" si="149"/>
        <v/>
      </c>
      <c r="I1315" s="24" t="str">
        <f>IF(OR(E1315="",E1315="!!!",F1315="NEW"),"",INDEX(B$2:B1314,-1+SUMPRODUCT(MAX(ROW(E$2:E1314)*(E1315=E$2:E1314)))))</f>
        <v/>
      </c>
      <c r="J1315" s="24" t="str">
        <f ca="1">IF(OR(E1315="",E1315="!!!",F1315="NEW"),"",COUNTBLANK(OFFSET(A$1,,,SUMPRODUCT(MAX(ROW(E$2:E1315)*(E1315=E$2:E1315)))))-COUNTBLANK(OFFSET(A$1,,,SUMPRODUCT(MAX(ROW(E$1:E1314)*(E2=E$1:E1314))))))</f>
        <v/>
      </c>
      <c r="K1315" s="24" t="str">
        <f>IF(OR(E1315="",E1315="!!!",F1315="NEW"),"",INDEX(J$1:J1314,SUMPRODUCT(MAX(ROW(E$1:E1314)*(E1315=E$1:E1314)))))</f>
        <v/>
      </c>
      <c r="L1315" s="25"/>
    </row>
    <row r="1316" spans="1:12" x14ac:dyDescent="0.3">
      <c r="A1316" t="s">
        <v>252</v>
      </c>
      <c r="E1316" s="20" t="str">
        <f t="shared" si="148"/>
        <v/>
      </c>
      <c r="F1316" s="21" t="str">
        <f>IF(OR(E1316="",E1316="!!!"),"",IF(NOT(ISNA(VLOOKUP(E1316,E$1:E1315,1,FALSE()))),"OLD",IF(AND(E1316&lt;&gt;"",E1316&lt;&gt;"!!!"),"NEW","")))</f>
        <v/>
      </c>
      <c r="G1316" s="22" t="str">
        <f>IF(OR(E1316="",E1316="!!!"),"",IF(OR(J1316=0,AND(J1316=1,K1316=1),AND(J1316=1,I1316="SBJ"),AND(J1316=1,I1316=0)),"?IN_FOCUS",IF(J1316&lt;=2,"?ACTIVATED",IF(J1316&lt;&gt;"","?FAMILIAR",IF(F1316="NEW",IF(ISNA(VLOOKUP(E1316,#REF!,1,FALSE())),"?TYPE_IDENTIFIABLE","?REFERENTIAL"),"_")))))</f>
        <v/>
      </c>
      <c r="H1316" s="23" t="str">
        <f t="shared" ca="1" si="149"/>
        <v/>
      </c>
      <c r="I1316" s="24" t="str">
        <f>IF(OR(E1316="",E1316="!!!",F1316="NEW"),"",INDEX(B$2:B1315,-1+SUMPRODUCT(MAX(ROW(E$2:E1315)*(E1316=E$2:E1315)))))</f>
        <v/>
      </c>
      <c r="J1316" s="24" t="str">
        <f ca="1">IF(OR(E1316="",E1316="!!!",F1316="NEW"),"",COUNTBLANK(OFFSET(A$1,,,SUMPRODUCT(MAX(ROW(E$2:E1316)*(E1316=E$2:E1316)))))-COUNTBLANK(OFFSET(A$1,,,SUMPRODUCT(MAX(ROW(E$1:E1315)*(E2=E$1:E1315))))))</f>
        <v/>
      </c>
      <c r="K1316" s="24" t="str">
        <f>IF(OR(E1316="",E1316="!!!",F1316="NEW"),"",INDEX(J$1:J1315,SUMPRODUCT(MAX(ROW(E$1:E1315)*(E1316=E$1:E1315)))))</f>
        <v/>
      </c>
      <c r="L1316" s="25"/>
    </row>
    <row r="1317" spans="1:12" x14ac:dyDescent="0.3">
      <c r="A1317" t="s">
        <v>278</v>
      </c>
      <c r="E1317" s="20" t="str">
        <f t="shared" si="148"/>
        <v/>
      </c>
      <c r="F1317" s="21" t="str">
        <f>IF(OR(E1317="",E1317="!!!"),"",IF(NOT(ISNA(VLOOKUP(E1317,E$1:E1316,1,FALSE()))),"OLD",IF(AND(E1317&lt;&gt;"",E1317&lt;&gt;"!!!"),"NEW","")))</f>
        <v/>
      </c>
      <c r="G1317" s="22" t="str">
        <f>IF(OR(E1317="",E1317="!!!"),"",IF(OR(J1317=0,AND(J1317=1,K1317=1),AND(J1317=1,I1317="SBJ"),AND(J1317=1,I1317=0)),"?IN_FOCUS",IF(J1317&lt;=2,"?ACTIVATED",IF(J1317&lt;&gt;"","?FAMILIAR",IF(F1317="NEW",IF(ISNA(VLOOKUP(E1317,#REF!,1,FALSE())),"?TYPE_IDENTIFIABLE","?REFERENTIAL"),"_")))))</f>
        <v/>
      </c>
      <c r="H1317" s="23" t="str">
        <f t="shared" ca="1" si="149"/>
        <v/>
      </c>
      <c r="I1317" s="24" t="str">
        <f>IF(OR(E1317="",E1317="!!!",F1317="NEW"),"",INDEX(B$2:B1316,-1+SUMPRODUCT(MAX(ROW(E$2:E1316)*(E1317=E$2:E1316)))))</f>
        <v/>
      </c>
      <c r="J1317" s="24" t="str">
        <f ca="1">IF(OR(E1317="",E1317="!!!",F1317="NEW"),"",COUNTBLANK(OFFSET(A$1,,,SUMPRODUCT(MAX(ROW(E$2:E1317)*(E1317=E$2:E1317)))))-COUNTBLANK(OFFSET(A$1,,,SUMPRODUCT(MAX(ROW(E$1:E1316)*(E2=E$1:E1316))))))</f>
        <v/>
      </c>
      <c r="K1317" s="24" t="str">
        <f>IF(OR(E1317="",E1317="!!!",F1317="NEW"),"",INDEX(J$1:J1316,SUMPRODUCT(MAX(ROW(E$1:E1316)*(E1317=E$1:E1316)))))</f>
        <v/>
      </c>
      <c r="L1317" s="25"/>
    </row>
    <row r="1318" spans="1:12" x14ac:dyDescent="0.3">
      <c r="A1318" t="s">
        <v>768</v>
      </c>
      <c r="E1318" s="20" t="str">
        <f t="shared" si="148"/>
        <v/>
      </c>
      <c r="F1318" s="21" t="str">
        <f>IF(OR(E1318="",E1318="!!!"),"",IF(NOT(ISNA(VLOOKUP(E1318,E$1:E1317,1,FALSE()))),"OLD",IF(AND(E1318&lt;&gt;"",E1318&lt;&gt;"!!!"),"NEW","")))</f>
        <v/>
      </c>
      <c r="G1318" s="22" t="str">
        <f>IF(OR(E1318="",E1318="!!!"),"",IF(OR(J1318=0,AND(J1318=1,K1318=1),AND(J1318=1,I1318="SBJ"),AND(J1318=1,I1318=0)),"?IN_FOCUS",IF(J1318&lt;=2,"?ACTIVATED",IF(J1318&lt;&gt;"","?FAMILIAR",IF(F1318="NEW",IF(ISNA(VLOOKUP(E1318,#REF!,1,FALSE())),"?TYPE_IDENTIFIABLE","?REFERENTIAL"),"_")))))</f>
        <v/>
      </c>
      <c r="H1318" s="23" t="str">
        <f t="shared" ca="1" si="149"/>
        <v/>
      </c>
      <c r="I1318" s="24" t="str">
        <f>IF(OR(E1318="",E1318="!!!",F1318="NEW"),"",INDEX(B$2:B1317,-1+SUMPRODUCT(MAX(ROW(E$2:E1317)*(E1318=E$2:E1317)))))</f>
        <v/>
      </c>
      <c r="J1318" s="24" t="str">
        <f ca="1">IF(OR(E1318="",E1318="!!!",F1318="NEW"),"",COUNTBLANK(OFFSET(A$1,,,SUMPRODUCT(MAX(ROW(E$2:E1318)*(E1318=E$2:E1318)))))-COUNTBLANK(OFFSET(A$1,,,SUMPRODUCT(MAX(ROW(E$1:E1317)*(E2=E$1:E1317))))))</f>
        <v/>
      </c>
      <c r="K1318" s="24" t="str">
        <f>IF(OR(E1318="",E1318="!!!",F1318="NEW"),"",INDEX(J$1:J1317,SUMPRODUCT(MAX(ROW(E$1:E1317)*(E1318=E$1:E1317)))))</f>
        <v/>
      </c>
      <c r="L1318" s="25"/>
    </row>
    <row r="1319" spans="1:12" x14ac:dyDescent="0.3">
      <c r="A1319" t="s">
        <v>770</v>
      </c>
      <c r="E1319" s="20" t="str">
        <f t="shared" si="148"/>
        <v/>
      </c>
      <c r="F1319" s="21" t="str">
        <f>IF(OR(E1319="",E1319="!!!"),"",IF(NOT(ISNA(VLOOKUP(E1319,E$1:E1318,1,FALSE()))),"OLD",IF(AND(E1319&lt;&gt;"",E1319&lt;&gt;"!!!"),"NEW","")))</f>
        <v/>
      </c>
      <c r="G1319" s="22" t="str">
        <f>IF(OR(E1319="",E1319="!!!"),"",IF(OR(J1319=0,AND(J1319=1,K1319=1),AND(J1319=1,I1319="SBJ"),AND(J1319=1,I1319=0)),"?IN_FOCUS",IF(J1319&lt;=2,"?ACTIVATED",IF(J1319&lt;&gt;"","?FAMILIAR",IF(F1319="NEW",IF(ISNA(VLOOKUP(E1319,#REF!,1,FALSE())),"?TYPE_IDENTIFIABLE","?REFERENTIAL"),"_")))))</f>
        <v/>
      </c>
      <c r="H1319" s="23" t="str">
        <f t="shared" ca="1" si="149"/>
        <v/>
      </c>
      <c r="I1319" s="24" t="str">
        <f>IF(OR(E1319="",E1319="!!!",F1319="NEW"),"",INDEX(B$2:B1318,-1+SUMPRODUCT(MAX(ROW(E$2:E1318)*(E1319=E$2:E1318)))))</f>
        <v/>
      </c>
      <c r="J1319" s="24" t="str">
        <f ca="1">IF(OR(E1319="",E1319="!!!",F1319="NEW"),"",COUNTBLANK(OFFSET(A$1,,,SUMPRODUCT(MAX(ROW(E$2:E1319)*(E1319=E$2:E1319)))))-COUNTBLANK(OFFSET(A$1,,,SUMPRODUCT(MAX(ROW(E$1:E1318)*(E2=E$1:E1318))))))</f>
        <v/>
      </c>
      <c r="K1319" s="24" t="str">
        <f>IF(OR(E1319="",E1319="!!!",F1319="NEW"),"",INDEX(J$1:J1318,SUMPRODUCT(MAX(ROW(E$1:E1318)*(E1319=E$1:E1318)))))</f>
        <v/>
      </c>
      <c r="L1319" s="25"/>
    </row>
    <row r="1320" spans="1:12" x14ac:dyDescent="0.3">
      <c r="A1320" t="s">
        <v>242</v>
      </c>
      <c r="B1320" s="26" t="s">
        <v>255</v>
      </c>
      <c r="C1320" s="26" t="s">
        <v>244</v>
      </c>
      <c r="D1320" s="26" t="s">
        <v>240</v>
      </c>
      <c r="E1320" s="20" t="str">
        <f t="shared" si="148"/>
        <v>!!!</v>
      </c>
      <c r="F1320" s="21" t="str">
        <f>IF(OR(E1320="",E1320="!!!"),"",IF(NOT(ISNA(VLOOKUP(E1320,E$1:E1319,1,FALSE()))),"OLD",IF(AND(E1320&lt;&gt;"",E1320&lt;&gt;"!!!"),"NEW","")))</f>
        <v/>
      </c>
      <c r="G1320" s="22" t="str">
        <f>IF(OR(E1320="",E1320="!!!"),"",IF(OR(J1320=0,AND(J1320=1,K1320=1),AND(J1320=1,I1320="SBJ"),AND(J1320=1,I1320=0)),"?IN_FOCUS",IF(J1320&lt;=2,"?ACTIVATED",IF(J1320&lt;&gt;"","?FAMILIAR",IF(F1320="NEW",IF(ISNA(VLOOKUP(E1320,#REF!,1,FALSE())),"?TYPE_IDENTIFIABLE","?REFERENTIAL"),"_")))))</f>
        <v/>
      </c>
      <c r="H1320" s="23" t="str">
        <f t="shared" ca="1" si="149"/>
        <v/>
      </c>
      <c r="I1320" s="24" t="str">
        <f>IF(OR(E1320="",E1320="!!!",F1320="NEW"),"",INDEX(B$2:B1319,-1+SUMPRODUCT(MAX(ROW(E$2:E1319)*(E1320=E$2:E1319)))))</f>
        <v/>
      </c>
      <c r="J1320" s="24" t="str">
        <f ca="1">IF(OR(E1320="",E1320="!!!",F1320="NEW"),"",COUNTBLANK(OFFSET(A$1,,,SUMPRODUCT(MAX(ROW(E$2:E1320)*(E1320=E$2:E1320)))))-COUNTBLANK(OFFSET(A$1,,,SUMPRODUCT(MAX(ROW(E$1:E1319)*(E2=E$1:E1319))))))</f>
        <v/>
      </c>
      <c r="K1320" s="24" t="str">
        <f>IF(OR(E1320="",E1320="!!!",F1320="NEW"),"",INDEX(J$1:J1319,SUMPRODUCT(MAX(ROW(E$1:E1319)*(E1320=E$1:E1319)))))</f>
        <v/>
      </c>
      <c r="L1320" s="25"/>
    </row>
    <row r="1321" spans="1:12" x14ac:dyDescent="0.3">
      <c r="A1321" t="s">
        <v>687</v>
      </c>
      <c r="E1321" s="20" t="str">
        <f t="shared" si="148"/>
        <v/>
      </c>
      <c r="F1321" s="21" t="str">
        <f>IF(OR(E1321="",E1321="!!!"),"",IF(NOT(ISNA(VLOOKUP(E1321,E$1:E1320,1,FALSE()))),"OLD",IF(AND(E1321&lt;&gt;"",E1321&lt;&gt;"!!!"),"NEW","")))</f>
        <v/>
      </c>
      <c r="G1321" s="22" t="str">
        <f>IF(OR(E1321="",E1321="!!!"),"",IF(OR(J1321=0,AND(J1321=1,K1321=1),AND(J1321=1,I1321="SBJ"),AND(J1321=1,I1321=0)),"?IN_FOCUS",IF(J1321&lt;=2,"?ACTIVATED",IF(J1321&lt;&gt;"","?FAMILIAR",IF(F1321="NEW",IF(ISNA(VLOOKUP(E1321,#REF!,1,FALSE())),"?TYPE_IDENTIFIABLE","?REFERENTIAL"),"_")))))</f>
        <v/>
      </c>
      <c r="H1321" s="23" t="str">
        <f t="shared" ca="1" si="149"/>
        <v/>
      </c>
      <c r="I1321" s="24" t="str">
        <f>IF(OR(E1321="",E1321="!!!",F1321="NEW"),"",INDEX(B$2:B1320,-1+SUMPRODUCT(MAX(ROW(E$2:E1320)*(E1321=E$2:E1320)))))</f>
        <v/>
      </c>
      <c r="J1321" s="24" t="str">
        <f ca="1">IF(OR(E1321="",E1321="!!!",F1321="NEW"),"",COUNTBLANK(OFFSET(A$1,,,SUMPRODUCT(MAX(ROW(E$2:E1321)*(E1321=E$2:E1321)))))-COUNTBLANK(OFFSET(A$1,,,SUMPRODUCT(MAX(ROW(E$1:E1320)*(E2=E$1:E1320))))))</f>
        <v/>
      </c>
      <c r="K1321" s="24" t="str">
        <f>IF(OR(E1321="",E1321="!!!",F1321="NEW"),"",INDEX(J$1:J1320,SUMPRODUCT(MAX(ROW(E$1:E1320)*(E1321=E$1:E1320)))))</f>
        <v/>
      </c>
      <c r="L1321" s="25"/>
    </row>
    <row r="1322" spans="1:12" x14ac:dyDescent="0.3">
      <c r="A1322" t="s">
        <v>301</v>
      </c>
      <c r="E1322" s="20" t="str">
        <f t="shared" si="148"/>
        <v/>
      </c>
      <c r="F1322" s="21" t="str">
        <f>IF(OR(E1322="",E1322="!!!"),"",IF(NOT(ISNA(VLOOKUP(E1322,E$1:E1321,1,FALSE()))),"OLD",IF(AND(E1322&lt;&gt;"",E1322&lt;&gt;"!!!"),"NEW","")))</f>
        <v/>
      </c>
      <c r="G1322" s="22" t="str">
        <f>IF(OR(E1322="",E1322="!!!"),"",IF(OR(J1322=0,AND(J1322=1,K1322=1),AND(J1322=1,I1322="SBJ"),AND(J1322=1,I1322=0)),"?IN_FOCUS",IF(J1322&lt;=2,"?ACTIVATED",IF(J1322&lt;&gt;"","?FAMILIAR",IF(F1322="NEW",IF(ISNA(VLOOKUP(E1322,#REF!,1,FALSE())),"?TYPE_IDENTIFIABLE","?REFERENTIAL"),"_")))))</f>
        <v/>
      </c>
      <c r="H1322" s="23" t="str">
        <f t="shared" ca="1" si="149"/>
        <v/>
      </c>
      <c r="I1322" s="24" t="str">
        <f>IF(OR(E1322="",E1322="!!!",F1322="NEW"),"",INDEX(B$2:B1321,-1+SUMPRODUCT(MAX(ROW(E$2:E1321)*(E1322=E$2:E1321)))))</f>
        <v/>
      </c>
      <c r="J1322" s="24" t="str">
        <f ca="1">IF(OR(E1322="",E1322="!!!",F1322="NEW"),"",COUNTBLANK(OFFSET(A$1,,,SUMPRODUCT(MAX(ROW(E$2:E1322)*(E1322=E$2:E1322)))))-COUNTBLANK(OFFSET(A$1,,,SUMPRODUCT(MAX(ROW(E$1:E1321)*(E2=E$1:E1321))))))</f>
        <v/>
      </c>
      <c r="K1322" s="24" t="str">
        <f>IF(OR(E1322="",E1322="!!!",F1322="NEW"),"",INDEX(J$1:J1321,SUMPRODUCT(MAX(ROW(E$1:E1321)*(E1322=E$1:E1321)))))</f>
        <v/>
      </c>
      <c r="L1322" s="25"/>
    </row>
    <row r="1323" spans="1:12" x14ac:dyDescent="0.3">
      <c r="A1323" t="s">
        <v>771</v>
      </c>
      <c r="E1323" s="20" t="str">
        <f t="shared" si="148"/>
        <v/>
      </c>
      <c r="F1323" s="21" t="str">
        <f>IF(OR(E1323="",E1323="!!!"),"",IF(NOT(ISNA(VLOOKUP(E1323,E$1:E1322,1,FALSE()))),"OLD",IF(AND(E1323&lt;&gt;"",E1323&lt;&gt;"!!!"),"NEW","")))</f>
        <v/>
      </c>
      <c r="G1323" s="22" t="str">
        <f>IF(OR(E1323="",E1323="!!!"),"",IF(OR(J1323=0,AND(J1323=1,K1323=1),AND(J1323=1,I1323="SBJ"),AND(J1323=1,I1323=0)),"?IN_FOCUS",IF(J1323&lt;=2,"?ACTIVATED",IF(J1323&lt;&gt;"","?FAMILIAR",IF(F1323="NEW",IF(ISNA(VLOOKUP(E1323,#REF!,1,FALSE())),"?TYPE_IDENTIFIABLE","?REFERENTIAL"),"_")))))</f>
        <v/>
      </c>
      <c r="H1323" s="23" t="str">
        <f t="shared" ca="1" si="149"/>
        <v/>
      </c>
      <c r="I1323" s="24" t="str">
        <f>IF(OR(E1323="",E1323="!!!",F1323="NEW"),"",INDEX(B$2:B1322,-1+SUMPRODUCT(MAX(ROW(E$2:E1322)*(E1323=E$2:E1322)))))</f>
        <v/>
      </c>
      <c r="J1323" s="24" t="str">
        <f ca="1">IF(OR(E1323="",E1323="!!!",F1323="NEW"),"",COUNTBLANK(OFFSET(A$1,,,SUMPRODUCT(MAX(ROW(E$2:E1323)*(E1323=E$2:E1323)))))-COUNTBLANK(OFFSET(A$1,,,SUMPRODUCT(MAX(ROW(E$1:E1322)*(E2=E$1:E1322))))))</f>
        <v/>
      </c>
      <c r="K1323" s="24" t="str">
        <f>IF(OR(E1323="",E1323="!!!",F1323="NEW"),"",INDEX(J$1:J1322,SUMPRODUCT(MAX(ROW(E$1:E1322)*(E1323=E$1:E1322)))))</f>
        <v/>
      </c>
      <c r="L1323" s="25"/>
    </row>
    <row r="1324" spans="1:12" x14ac:dyDescent="0.3">
      <c r="A1324" t="s">
        <v>764</v>
      </c>
      <c r="B1324" s="26" t="s">
        <v>272</v>
      </c>
      <c r="C1324" s="26" t="s">
        <v>480</v>
      </c>
      <c r="E1324" s="20" t="str">
        <f t="shared" si="148"/>
        <v/>
      </c>
      <c r="F1324" s="21" t="str">
        <f>IF(OR(E1324="",E1324="!!!"),"",IF(NOT(ISNA(VLOOKUP(E1324,E$1:E1323,1,FALSE()))),"OLD",IF(AND(E1324&lt;&gt;"",E1324&lt;&gt;"!!!"),"NEW","")))</f>
        <v/>
      </c>
      <c r="G1324" s="22" t="str">
        <f>IF(OR(E1324="",E1324="!!!"),"",IF(OR(J1324=0,AND(J1324=1,K1324=1),AND(J1324=1,I1324="SBJ"),AND(J1324=1,I1324=0)),"?IN_FOCUS",IF(J1324&lt;=2,"?ACTIVATED",IF(J1324&lt;&gt;"","?FAMILIAR",IF(F1324="NEW",IF(ISNA(VLOOKUP(E1324,#REF!,1,FALSE())),"?TYPE_IDENTIFIABLE","?REFERENTIAL"),"_")))))</f>
        <v/>
      </c>
      <c r="H1324" s="23" t="str">
        <f t="shared" ca="1" si="149"/>
        <v/>
      </c>
      <c r="I1324" s="24" t="str">
        <f>IF(OR(E1324="",E1324="!!!",F1324="NEW"),"",INDEX(B$2:B1323,-1+SUMPRODUCT(MAX(ROW(E$2:E1323)*(E1324=E$2:E1323)))))</f>
        <v/>
      </c>
      <c r="J1324" s="24" t="str">
        <f ca="1">IF(OR(E1324="",E1324="!!!",F1324="NEW"),"",COUNTBLANK(OFFSET(A$1,,,SUMPRODUCT(MAX(ROW(E$2:E1324)*(E1324=E$2:E1324)))))-COUNTBLANK(OFFSET(A$1,,,SUMPRODUCT(MAX(ROW(E$1:E1323)*(E2=E$1:E1323))))))</f>
        <v/>
      </c>
      <c r="K1324" s="24" t="str">
        <f>IF(OR(E1324="",E1324="!!!",F1324="NEW"),"",INDEX(J$1:J1323,SUMPRODUCT(MAX(ROW(E$1:E1323)*(E1324=E$1:E1323)))))</f>
        <v/>
      </c>
      <c r="L1324" s="25"/>
    </row>
    <row r="1325" spans="1:12" x14ac:dyDescent="0.3">
      <c r="A1325" t="s">
        <v>772</v>
      </c>
      <c r="E1325" s="20" t="str">
        <f t="shared" si="148"/>
        <v/>
      </c>
      <c r="F1325" s="21" t="str">
        <f>IF(OR(E1325="",E1325="!!!"),"",IF(NOT(ISNA(VLOOKUP(E1325,E$1:E1324,1,FALSE()))),"OLD",IF(AND(E1325&lt;&gt;"",E1325&lt;&gt;"!!!"),"NEW","")))</f>
        <v/>
      </c>
      <c r="G1325" s="22" t="str">
        <f>IF(OR(E1325="",E1325="!!!"),"",IF(OR(J1325=0,AND(J1325=1,K1325=1),AND(J1325=1,I1325="SBJ"),AND(J1325=1,I1325=0)),"?IN_FOCUS",IF(J1325&lt;=2,"?ACTIVATED",IF(J1325&lt;&gt;"","?FAMILIAR",IF(F1325="NEW",IF(ISNA(VLOOKUP(E1325,#REF!,1,FALSE())),"?TYPE_IDENTIFIABLE","?REFERENTIAL"),"_")))))</f>
        <v/>
      </c>
      <c r="H1325" s="23" t="str">
        <f t="shared" ca="1" si="149"/>
        <v/>
      </c>
      <c r="I1325" s="24" t="str">
        <f>IF(OR(E1325="",E1325="!!!",F1325="NEW"),"",INDEX(B$2:B1324,-1+SUMPRODUCT(MAX(ROW(E$2:E1324)*(E1325=E$2:E1324)))))</f>
        <v/>
      </c>
      <c r="J1325" s="24" t="str">
        <f ca="1">IF(OR(E1325="",E1325="!!!",F1325="NEW"),"",COUNTBLANK(OFFSET(A$1,,,SUMPRODUCT(MAX(ROW(E$2:E1325)*(E1325=E$2:E1325)))))-COUNTBLANK(OFFSET(A$1,,,SUMPRODUCT(MAX(ROW(E$1:E1324)*(E2=E$1:E1324))))))</f>
        <v/>
      </c>
      <c r="K1325" s="24" t="str">
        <f>IF(OR(E1325="",E1325="!!!",F1325="NEW"),"",INDEX(J$1:J1324,SUMPRODUCT(MAX(ROW(E$1:E1324)*(E1325=E$1:E1324)))))</f>
        <v/>
      </c>
      <c r="L1325" s="25"/>
    </row>
    <row r="1326" spans="1:12" x14ac:dyDescent="0.3">
      <c r="A1326" t="s">
        <v>252</v>
      </c>
      <c r="E1326" s="20" t="str">
        <f t="shared" si="148"/>
        <v/>
      </c>
      <c r="F1326" s="21" t="str">
        <f>IF(OR(E1326="",E1326="!!!"),"",IF(NOT(ISNA(VLOOKUP(E1326,E$1:E1325,1,FALSE()))),"OLD",IF(AND(E1326&lt;&gt;"",E1326&lt;&gt;"!!!"),"NEW","")))</f>
        <v/>
      </c>
      <c r="G1326" s="22" t="str">
        <f>IF(OR(E1326="",E1326="!!!"),"",IF(OR(J1326=0,AND(J1326=1,K1326=1),AND(J1326=1,I1326="SBJ"),AND(J1326=1,I1326=0)),"?IN_FOCUS",IF(J1326&lt;=2,"?ACTIVATED",IF(J1326&lt;&gt;"","?FAMILIAR",IF(F1326="NEW",IF(ISNA(VLOOKUP(E1326,#REF!,1,FALSE())),"?TYPE_IDENTIFIABLE","?REFERENTIAL"),"_")))))</f>
        <v/>
      </c>
      <c r="H1326" s="23" t="str">
        <f t="shared" ca="1" si="149"/>
        <v/>
      </c>
      <c r="I1326" s="24" t="str">
        <f>IF(OR(E1326="",E1326="!!!",F1326="NEW"),"",INDEX(B$2:B1325,-1+SUMPRODUCT(MAX(ROW(E$2:E1325)*(E1326=E$2:E1325)))))</f>
        <v/>
      </c>
      <c r="J1326" s="24" t="str">
        <f ca="1">IF(OR(E1326="",E1326="!!!",F1326="NEW"),"",COUNTBLANK(OFFSET(A$1,,,SUMPRODUCT(MAX(ROW(E$2:E1326)*(E1326=E$2:E1326)))))-COUNTBLANK(OFFSET(A$1,,,SUMPRODUCT(MAX(ROW(E$1:E1325)*(E2=E$1:E1325))))))</f>
        <v/>
      </c>
      <c r="K1326" s="24" t="str">
        <f>IF(OR(E1326="",E1326="!!!",F1326="NEW"),"",INDEX(J$1:J1325,SUMPRODUCT(MAX(ROW(E$1:E1325)*(E1326=E$1:E1325)))))</f>
        <v/>
      </c>
      <c r="L1326" s="25"/>
    </row>
    <row r="1327" spans="1:12" x14ac:dyDescent="0.3">
      <c r="A1327" t="s">
        <v>331</v>
      </c>
      <c r="E1327" s="20" t="str">
        <f t="shared" si="148"/>
        <v/>
      </c>
      <c r="F1327" s="21" t="str">
        <f>IF(OR(E1327="",E1327="!!!"),"",IF(NOT(ISNA(VLOOKUP(E1327,E$1:E1326,1,FALSE()))),"OLD",IF(AND(E1327&lt;&gt;"",E1327&lt;&gt;"!!!"),"NEW","")))</f>
        <v/>
      </c>
      <c r="G1327" s="22" t="str">
        <f>IF(OR(E1327="",E1327="!!!"),"",IF(OR(J1327=0,AND(J1327=1,K1327=1),AND(J1327=1,I1327="SBJ"),AND(J1327=1,I1327=0)),"?IN_FOCUS",IF(J1327&lt;=2,"?ACTIVATED",IF(J1327&lt;&gt;"","?FAMILIAR",IF(F1327="NEW",IF(ISNA(VLOOKUP(E1327,#REF!,1,FALSE())),"?TYPE_IDENTIFIABLE","?REFERENTIAL"),"_")))))</f>
        <v/>
      </c>
      <c r="H1327" s="23" t="str">
        <f t="shared" ca="1" si="149"/>
        <v/>
      </c>
      <c r="I1327" s="24" t="str">
        <f>IF(OR(E1327="",E1327="!!!",F1327="NEW"),"",INDEX(B$2:B1326,-1+SUMPRODUCT(MAX(ROW(E$2:E1326)*(E1327=E$2:E1326)))))</f>
        <v/>
      </c>
      <c r="J1327" s="24" t="str">
        <f ca="1">IF(OR(E1327="",E1327="!!!",F1327="NEW"),"",COUNTBLANK(OFFSET(A$1,,,SUMPRODUCT(MAX(ROW(E$2:E1327)*(E1327=E$2:E1327)))))-COUNTBLANK(OFFSET(A$1,,,SUMPRODUCT(MAX(ROW(E$1:E1326)*(E2=E$1:E1326))))))</f>
        <v/>
      </c>
      <c r="K1327" s="24" t="str">
        <f>IF(OR(E1327="",E1327="!!!",F1327="NEW"),"",INDEX(J$1:J1326,SUMPRODUCT(MAX(ROW(E$1:E1326)*(E1327=E$1:E1326)))))</f>
        <v/>
      </c>
      <c r="L1327" s="25"/>
    </row>
    <row r="1328" spans="1:12" x14ac:dyDescent="0.3">
      <c r="A1328" t="s">
        <v>263</v>
      </c>
      <c r="E1328" s="20" t="str">
        <f t="shared" si="148"/>
        <v/>
      </c>
      <c r="F1328" s="21" t="str">
        <f>IF(OR(E1328="",E1328="!!!"),"",IF(NOT(ISNA(VLOOKUP(E1328,E$1:E1327,1,FALSE()))),"OLD",IF(AND(E1328&lt;&gt;"",E1328&lt;&gt;"!!!"),"NEW","")))</f>
        <v/>
      </c>
      <c r="G1328" s="22" t="str">
        <f>IF(OR(E1328="",E1328="!!!"),"",IF(OR(J1328=0,AND(J1328=1,K1328=1),AND(J1328=1,I1328="SBJ"),AND(J1328=1,I1328=0)),"?IN_FOCUS",IF(J1328&lt;=2,"?ACTIVATED",IF(J1328&lt;&gt;"","?FAMILIAR",IF(F1328="NEW",IF(ISNA(VLOOKUP(E1328,#REF!,1,FALSE())),"?TYPE_IDENTIFIABLE","?REFERENTIAL"),"_")))))</f>
        <v/>
      </c>
      <c r="H1328" s="23" t="str">
        <f t="shared" ca="1" si="149"/>
        <v/>
      </c>
      <c r="I1328" s="24" t="str">
        <f>IF(OR(E1328="",E1328="!!!",F1328="NEW"),"",INDEX(B$2:B1327,-1+SUMPRODUCT(MAX(ROW(E$2:E1327)*(E1328=E$2:E1327)))))</f>
        <v/>
      </c>
      <c r="J1328" s="24" t="str">
        <f ca="1">IF(OR(E1328="",E1328="!!!",F1328="NEW"),"",COUNTBLANK(OFFSET(A$1,,,SUMPRODUCT(MAX(ROW(E$2:E1328)*(E1328=E$2:E1328)))))-COUNTBLANK(OFFSET(A$1,,,SUMPRODUCT(MAX(ROW(E$1:E1327)*(E2=E$1:E1327))))))</f>
        <v/>
      </c>
      <c r="K1328" s="24" t="str">
        <f>IF(OR(E1328="",E1328="!!!",F1328="NEW"),"",INDEX(J$1:J1327,SUMPRODUCT(MAX(ROW(E$1:E1327)*(E1328=E$1:E1327)))))</f>
        <v/>
      </c>
      <c r="L1328" s="25"/>
    </row>
    <row r="1329" spans="1:12" x14ac:dyDescent="0.3">
      <c r="A1329" t="s">
        <v>765</v>
      </c>
      <c r="B1329" s="26" t="s">
        <v>238</v>
      </c>
      <c r="C1329" s="26" t="s">
        <v>262</v>
      </c>
      <c r="E1329" s="20" t="str">
        <f t="shared" si="148"/>
        <v/>
      </c>
      <c r="F1329" s="21" t="str">
        <f>IF(OR(E1329="",E1329="!!!"),"",IF(NOT(ISNA(VLOOKUP(E1329,E$1:E1328,1,FALSE()))),"OLD",IF(AND(E1329&lt;&gt;"",E1329&lt;&gt;"!!!"),"NEW","")))</f>
        <v/>
      </c>
      <c r="G1329" s="22" t="str">
        <f>IF(OR(E1329="",E1329="!!!"),"",IF(OR(J1329=0,AND(J1329=1,K1329=1),AND(J1329=1,I1329="SBJ"),AND(J1329=1,I1329=0)),"?IN_FOCUS",IF(J1329&lt;=2,"?ACTIVATED",IF(J1329&lt;&gt;"","?FAMILIAR",IF(F1329="NEW",IF(ISNA(VLOOKUP(E1329,#REF!,1,FALSE())),"?TYPE_IDENTIFIABLE","?REFERENTIAL"),"_")))))</f>
        <v/>
      </c>
      <c r="H1329" s="23" t="str">
        <f t="shared" ca="1" si="149"/>
        <v/>
      </c>
      <c r="I1329" s="24" t="str">
        <f>IF(OR(E1329="",E1329="!!!",F1329="NEW"),"",INDEX(B$2:B1328,-1+SUMPRODUCT(MAX(ROW(E$2:E1328)*(E1329=E$2:E1328)))))</f>
        <v/>
      </c>
      <c r="J1329" s="24" t="str">
        <f ca="1">IF(OR(E1329="",E1329="!!!",F1329="NEW"),"",COUNTBLANK(OFFSET(A$1,,,SUMPRODUCT(MAX(ROW(E$2:E1329)*(E1329=E$2:E1329)))))-COUNTBLANK(OFFSET(A$1,,,SUMPRODUCT(MAX(ROW(E$1:E1328)*(E2=E$1:E1328))))))</f>
        <v/>
      </c>
      <c r="K1329" s="24" t="str">
        <f>IF(OR(E1329="",E1329="!!!",F1329="NEW"),"",INDEX(J$1:J1328,SUMPRODUCT(MAX(ROW(E$1:E1328)*(E1329=E$1:E1328)))))</f>
        <v/>
      </c>
      <c r="L1329" s="25"/>
    </row>
    <row r="1330" spans="1:12" x14ac:dyDescent="0.3">
      <c r="A1330" t="s">
        <v>766</v>
      </c>
      <c r="B1330" s="26" t="s">
        <v>261</v>
      </c>
      <c r="C1330" s="26" t="s">
        <v>247</v>
      </c>
      <c r="E1330" s="20" t="str">
        <f t="shared" si="148"/>
        <v/>
      </c>
      <c r="F1330" s="21" t="str">
        <f>IF(OR(E1330="",E1330="!!!"),"",IF(NOT(ISNA(VLOOKUP(E1330,E$1:E1329,1,FALSE()))),"OLD",IF(AND(E1330&lt;&gt;"",E1330&lt;&gt;"!!!"),"NEW","")))</f>
        <v/>
      </c>
      <c r="G1330" s="22" t="str">
        <f>IF(OR(E1330="",E1330="!!!"),"",IF(OR(J1330=0,AND(J1330=1,K1330=1),AND(J1330=1,I1330="SBJ"),AND(J1330=1,I1330=0)),"?IN_FOCUS",IF(J1330&lt;=2,"?ACTIVATED",IF(J1330&lt;&gt;"","?FAMILIAR",IF(F1330="NEW",IF(ISNA(VLOOKUP(E1330,#REF!,1,FALSE())),"?TYPE_IDENTIFIABLE","?REFERENTIAL"),"_")))))</f>
        <v/>
      </c>
      <c r="H1330" s="23" t="str">
        <f t="shared" ca="1" si="149"/>
        <v/>
      </c>
      <c r="I1330" s="24" t="str">
        <f>IF(OR(E1330="",E1330="!!!",F1330="NEW"),"",INDEX(B$2:B1329,-1+SUMPRODUCT(MAX(ROW(E$2:E1329)*(E1330=E$2:E1329)))))</f>
        <v/>
      </c>
      <c r="J1330" s="24" t="str">
        <f ca="1">IF(OR(E1330="",E1330="!!!",F1330="NEW"),"",COUNTBLANK(OFFSET(A$1,,,SUMPRODUCT(MAX(ROW(E$2:E1330)*(E1330=E$2:E1330)))))-COUNTBLANK(OFFSET(A$1,,,SUMPRODUCT(MAX(ROW(E$1:E1329)*(E2=E$1:E1329))))))</f>
        <v/>
      </c>
      <c r="K1330" s="24" t="str">
        <f>IF(OR(E1330="",E1330="!!!",F1330="NEW"),"",INDEX(J$1:J1329,SUMPRODUCT(MAX(ROW(E$1:E1329)*(E1330=E$1:E1329)))))</f>
        <v/>
      </c>
      <c r="L1330" s="25"/>
    </row>
    <row r="1331" spans="1:12" x14ac:dyDescent="0.3">
      <c r="A1331" t="s">
        <v>308</v>
      </c>
      <c r="E1331" s="20" t="str">
        <f t="shared" si="148"/>
        <v/>
      </c>
      <c r="F1331" s="21" t="str">
        <f>IF(OR(E1331="",E1331="!!!"),"",IF(NOT(ISNA(VLOOKUP(E1331,E$1:E1330,1,FALSE()))),"OLD",IF(AND(E1331&lt;&gt;"",E1331&lt;&gt;"!!!"),"NEW","")))</f>
        <v/>
      </c>
      <c r="G1331" s="22" t="str">
        <f>IF(OR(E1331="",E1331="!!!"),"",IF(OR(J1331=0,AND(J1331=1,K1331=1),AND(J1331=1,I1331="SBJ"),AND(J1331=1,I1331=0)),"?IN_FOCUS",IF(J1331&lt;=2,"?ACTIVATED",IF(J1331&lt;&gt;"","?FAMILIAR",IF(F1331="NEW",IF(ISNA(VLOOKUP(E1331,#REF!,1,FALSE())),"?TYPE_IDENTIFIABLE","?REFERENTIAL"),"_")))))</f>
        <v/>
      </c>
      <c r="H1331" s="23" t="str">
        <f t="shared" ca="1" si="149"/>
        <v/>
      </c>
      <c r="I1331" s="24" t="str">
        <f>IF(OR(E1331="",E1331="!!!",F1331="NEW"),"",INDEX(B$2:B1330,-1+SUMPRODUCT(MAX(ROW(E$2:E1330)*(E1331=E$2:E1330)))))</f>
        <v/>
      </c>
      <c r="J1331" s="24" t="str">
        <f ca="1">IF(OR(E1331="",E1331="!!!",F1331="NEW"),"",COUNTBLANK(OFFSET(A$1,,,SUMPRODUCT(MAX(ROW(E$2:E1331)*(E1331=E$2:E1331)))))-COUNTBLANK(OFFSET(A$1,,,SUMPRODUCT(MAX(ROW(E$1:E1330)*(E2=E$1:E1330))))))</f>
        <v/>
      </c>
      <c r="K1331" s="24" t="str">
        <f>IF(OR(E1331="",E1331="!!!",F1331="NEW"),"",INDEX(J$1:J1330,SUMPRODUCT(MAX(ROW(E$1:E1330)*(E1331=E$1:E1330)))))</f>
        <v/>
      </c>
      <c r="L1331" s="25"/>
    </row>
    <row r="1332" spans="1:12" x14ac:dyDescent="0.3">
      <c r="A1332" t="s">
        <v>248</v>
      </c>
      <c r="E1332" s="20" t="str">
        <f t="shared" si="148"/>
        <v/>
      </c>
      <c r="F1332" s="21" t="str">
        <f>IF(OR(E1332="",E1332="!!!"),"",IF(NOT(ISNA(VLOOKUP(E1332,E$1:E1331,1,FALSE()))),"OLD",IF(AND(E1332&lt;&gt;"",E1332&lt;&gt;"!!!"),"NEW","")))</f>
        <v/>
      </c>
      <c r="G1332" s="22" t="str">
        <f>IF(OR(E1332="",E1332="!!!"),"",IF(OR(J1332=0,AND(J1332=1,K1332=1),AND(J1332=1,I1332="SBJ"),AND(J1332=1,I1332=0)),"?IN_FOCUS",IF(J1332&lt;=2,"?ACTIVATED",IF(J1332&lt;&gt;"","?FAMILIAR",IF(F1332="NEW",IF(ISNA(VLOOKUP(E1332,#REF!,1,FALSE())),"?TYPE_IDENTIFIABLE","?REFERENTIAL"),"_")))))</f>
        <v/>
      </c>
      <c r="H1332" s="23" t="str">
        <f t="shared" ca="1" si="149"/>
        <v/>
      </c>
      <c r="I1332" s="24" t="str">
        <f>IF(OR(E1332="",E1332="!!!",F1332="NEW"),"",INDEX(B$2:B1331,-1+SUMPRODUCT(MAX(ROW(E$2:E1331)*(E1332=E$2:E1331)))))</f>
        <v/>
      </c>
      <c r="J1332" s="24" t="str">
        <f ca="1">IF(OR(E1332="",E1332="!!!",F1332="NEW"),"",COUNTBLANK(OFFSET(A$1,,,SUMPRODUCT(MAX(ROW(E$2:E1332)*(E1332=E$2:E1332)))))-COUNTBLANK(OFFSET(A$1,,,SUMPRODUCT(MAX(ROW(E$1:E1331)*(E2=E$1:E1331))))))</f>
        <v/>
      </c>
      <c r="K1332" s="24" t="str">
        <f>IF(OR(E1332="",E1332="!!!",F1332="NEW"),"",INDEX(J$1:J1331,SUMPRODUCT(MAX(ROW(E$1:E1331)*(E1332=E$1:E1331)))))</f>
        <v/>
      </c>
      <c r="L1332" s="25"/>
    </row>
    <row r="1334" spans="1:12" x14ac:dyDescent="0.3">
      <c r="A1334" t="s">
        <v>773</v>
      </c>
    </row>
    <row r="1335" spans="1:12" x14ac:dyDescent="0.3">
      <c r="A1335" t="s">
        <v>345</v>
      </c>
      <c r="B1335" s="26" t="s">
        <v>243</v>
      </c>
      <c r="C1335" s="26" t="s">
        <v>346</v>
      </c>
      <c r="D1335" s="26" t="s">
        <v>240</v>
      </c>
      <c r="E1335" s="20" t="str">
        <f t="shared" ref="E1335:E1377" si="150">IF(D1335="?OLD","!!!","")</f>
        <v>!!!</v>
      </c>
      <c r="F1335" s="21" t="str">
        <f>IF(OR(E1335="",E1335="!!!"),"",IF(NOT(ISNA(VLOOKUP(E1335,E$1:E1334,1,FALSE()))),"OLD",IF(AND(E1335&lt;&gt;"",E1335&lt;&gt;"!!!"),"NEW","")))</f>
        <v/>
      </c>
      <c r="G1335" s="22" t="str">
        <f>IF(OR(E1335="",E1335="!!!"),"",IF(OR(J1335=0,AND(J1335=1,K1335=1),AND(J1335=1,I1335="SBJ"),AND(J1335=1,I1335=0)),"?IN_FOCUS",IF(J1335&lt;=2,"?ACTIVATED",IF(J1335&lt;&gt;"","?FAMILIAR",IF(F1335="NEW",IF(ISNA(VLOOKUP(E1335,#REF!,1,FALSE())),"?TYPE_IDENTIFIABLE","?REFERENTIAL"),"_")))))</f>
        <v/>
      </c>
      <c r="H1335" s="23" t="str">
        <f t="shared" ref="H1335:H1377" ca="1" si="151">IF(J1335&lt;&gt;1,"",IF(I1335="SBJ","CB","?"))</f>
        <v/>
      </c>
      <c r="I1335" s="24" t="str">
        <f>IF(OR(E1335="",E1335="!!!",F1335="NEW"),"",INDEX(B$2:B1334,-1+SUMPRODUCT(MAX(ROW(E$2:E1334)*(E1335=E$2:E1334)))))</f>
        <v/>
      </c>
      <c r="J1335" s="24" t="str">
        <f ca="1">IF(OR(E1335="",E1335="!!!",F1335="NEW"),"",COUNTBLANK(OFFSET(A$1,,,SUMPRODUCT(MAX(ROW(E$2:E1335)*(E1335=E$2:E1335)))))-COUNTBLANK(OFFSET(A$1,,,SUMPRODUCT(MAX(ROW(E$1:E1334)*(E2=E$1:E1334))))))</f>
        <v/>
      </c>
      <c r="K1335" s="24" t="str">
        <f>IF(OR(E1335="",E1335="!!!",F1335="NEW"),"",INDEX(J$1:J1334,SUMPRODUCT(MAX(ROW(E$1:E1334)*(E1335=E$1:E1334)))))</f>
        <v/>
      </c>
      <c r="L1335" s="25"/>
    </row>
    <row r="1336" spans="1:12" x14ac:dyDescent="0.3">
      <c r="A1336" t="s">
        <v>675</v>
      </c>
      <c r="E1336" s="20" t="str">
        <f t="shared" si="150"/>
        <v/>
      </c>
      <c r="F1336" s="21" t="str">
        <f>IF(OR(E1336="",E1336="!!!"),"",IF(NOT(ISNA(VLOOKUP(E1336,E$1:E1335,1,FALSE()))),"OLD",IF(AND(E1336&lt;&gt;"",E1336&lt;&gt;"!!!"),"NEW","")))</f>
        <v/>
      </c>
      <c r="G1336" s="22" t="str">
        <f>IF(OR(E1336="",E1336="!!!"),"",IF(OR(J1336=0,AND(J1336=1,K1336=1),AND(J1336=1,I1336="SBJ"),AND(J1336=1,I1336=0)),"?IN_FOCUS",IF(J1336&lt;=2,"?ACTIVATED",IF(J1336&lt;&gt;"","?FAMILIAR",IF(F1336="NEW",IF(ISNA(VLOOKUP(E1336,#REF!,1,FALSE())),"?TYPE_IDENTIFIABLE","?REFERENTIAL"),"_")))))</f>
        <v/>
      </c>
      <c r="H1336" s="23" t="str">
        <f t="shared" ca="1" si="151"/>
        <v/>
      </c>
      <c r="I1336" s="24" t="str">
        <f>IF(OR(E1336="",E1336="!!!",F1336="NEW"),"",INDEX(B$2:B1335,-1+SUMPRODUCT(MAX(ROW(E$2:E1335)*(E1336=E$2:E1335)))))</f>
        <v/>
      </c>
      <c r="J1336" s="24" t="str">
        <f ca="1">IF(OR(E1336="",E1336="!!!",F1336="NEW"),"",COUNTBLANK(OFFSET(A$1,,,SUMPRODUCT(MAX(ROW(E$2:E1336)*(E1336=E$2:E1336)))))-COUNTBLANK(OFFSET(A$1,,,SUMPRODUCT(MAX(ROW(E$1:E1335)*(E2=E$1:E1335))))))</f>
        <v/>
      </c>
      <c r="K1336" s="24" t="str">
        <f>IF(OR(E1336="",E1336="!!!",F1336="NEW"),"",INDEX(J$1:J1335,SUMPRODUCT(MAX(ROW(E$1:E1335)*(E1336=E$1:E1335)))))</f>
        <v/>
      </c>
      <c r="L1336" s="25"/>
    </row>
    <row r="1337" spans="1:12" x14ac:dyDescent="0.3">
      <c r="A1337" t="s">
        <v>774</v>
      </c>
      <c r="E1337" s="20" t="str">
        <f t="shared" si="150"/>
        <v/>
      </c>
      <c r="F1337" s="21" t="str">
        <f>IF(OR(E1337="",E1337="!!!"),"",IF(NOT(ISNA(VLOOKUP(E1337,E$1:E1336,1,FALSE()))),"OLD",IF(AND(E1337&lt;&gt;"",E1337&lt;&gt;"!!!"),"NEW","")))</f>
        <v/>
      </c>
      <c r="G1337" s="22" t="str">
        <f>IF(OR(E1337="",E1337="!!!"),"",IF(OR(J1337=0,AND(J1337=1,K1337=1),AND(J1337=1,I1337="SBJ"),AND(J1337=1,I1337=0)),"?IN_FOCUS",IF(J1337&lt;=2,"?ACTIVATED",IF(J1337&lt;&gt;"","?FAMILIAR",IF(F1337="NEW",IF(ISNA(VLOOKUP(E1337,#REF!,1,FALSE())),"?TYPE_IDENTIFIABLE","?REFERENTIAL"),"_")))))</f>
        <v/>
      </c>
      <c r="H1337" s="23" t="str">
        <f t="shared" ca="1" si="151"/>
        <v/>
      </c>
      <c r="I1337" s="24" t="str">
        <f>IF(OR(E1337="",E1337="!!!",F1337="NEW"),"",INDEX(B$2:B1336,-1+SUMPRODUCT(MAX(ROW(E$2:E1336)*(E1337=E$2:E1336)))))</f>
        <v/>
      </c>
      <c r="J1337" s="24" t="str">
        <f ca="1">IF(OR(E1337="",E1337="!!!",F1337="NEW"),"",COUNTBLANK(OFFSET(A$1,,,SUMPRODUCT(MAX(ROW(E$2:E1337)*(E1337=E$2:E1337)))))-COUNTBLANK(OFFSET(A$1,,,SUMPRODUCT(MAX(ROW(E$1:E1336)*(E2=E$1:E1336))))))</f>
        <v/>
      </c>
      <c r="K1337" s="24" t="str">
        <f>IF(OR(E1337="",E1337="!!!",F1337="NEW"),"",INDEX(J$1:J1336,SUMPRODUCT(MAX(ROW(E$1:E1336)*(E1337=E$1:E1336)))))</f>
        <v/>
      </c>
      <c r="L1337" s="25"/>
    </row>
    <row r="1338" spans="1:12" x14ac:dyDescent="0.3">
      <c r="A1338" t="s">
        <v>775</v>
      </c>
      <c r="E1338" s="20" t="str">
        <f t="shared" si="150"/>
        <v/>
      </c>
      <c r="F1338" s="21" t="str">
        <f>IF(OR(E1338="",E1338="!!!"),"",IF(NOT(ISNA(VLOOKUP(E1338,E$1:E1337,1,FALSE()))),"OLD",IF(AND(E1338&lt;&gt;"",E1338&lt;&gt;"!!!"),"NEW","")))</f>
        <v/>
      </c>
      <c r="G1338" s="22" t="str">
        <f>IF(OR(E1338="",E1338="!!!"),"",IF(OR(J1338=0,AND(J1338=1,K1338=1),AND(J1338=1,I1338="SBJ"),AND(J1338=1,I1338=0)),"?IN_FOCUS",IF(J1338&lt;=2,"?ACTIVATED",IF(J1338&lt;&gt;"","?FAMILIAR",IF(F1338="NEW",IF(ISNA(VLOOKUP(E1338,#REF!,1,FALSE())),"?TYPE_IDENTIFIABLE","?REFERENTIAL"),"_")))))</f>
        <v/>
      </c>
      <c r="H1338" s="23" t="str">
        <f t="shared" ca="1" si="151"/>
        <v/>
      </c>
      <c r="I1338" s="24" t="str">
        <f>IF(OR(E1338="",E1338="!!!",F1338="NEW"),"",INDEX(B$2:B1337,-1+SUMPRODUCT(MAX(ROW(E$2:E1337)*(E1338=E$2:E1337)))))</f>
        <v/>
      </c>
      <c r="J1338" s="24" t="str">
        <f ca="1">IF(OR(E1338="",E1338="!!!",F1338="NEW"),"",COUNTBLANK(OFFSET(A$1,,,SUMPRODUCT(MAX(ROW(E$2:E1338)*(E1338=E$2:E1338)))))-COUNTBLANK(OFFSET(A$1,,,SUMPRODUCT(MAX(ROW(E$1:E1337)*(E2=E$1:E1337))))))</f>
        <v/>
      </c>
      <c r="K1338" s="24" t="str">
        <f>IF(OR(E1338="",E1338="!!!",F1338="NEW"),"",INDEX(J$1:J1337,SUMPRODUCT(MAX(ROW(E$1:E1337)*(E1338=E$1:E1337)))))</f>
        <v/>
      </c>
      <c r="L1338" s="25"/>
    </row>
    <row r="1339" spans="1:12" x14ac:dyDescent="0.3">
      <c r="A1339" t="s">
        <v>776</v>
      </c>
      <c r="B1339" s="26" t="s">
        <v>238</v>
      </c>
      <c r="C1339" s="26" t="s">
        <v>247</v>
      </c>
      <c r="E1339" s="20" t="str">
        <f t="shared" si="150"/>
        <v/>
      </c>
      <c r="F1339" s="21" t="str">
        <f>IF(OR(E1339="",E1339="!!!"),"",IF(NOT(ISNA(VLOOKUP(E1339,E$1:E1338,1,FALSE()))),"OLD",IF(AND(E1339&lt;&gt;"",E1339&lt;&gt;"!!!"),"NEW","")))</f>
        <v/>
      </c>
      <c r="G1339" s="22" t="str">
        <f>IF(OR(E1339="",E1339="!!!"),"",IF(OR(J1339=0,AND(J1339=1,K1339=1),AND(J1339=1,I1339="SBJ"),AND(J1339=1,I1339=0)),"?IN_FOCUS",IF(J1339&lt;=2,"?ACTIVATED",IF(J1339&lt;&gt;"","?FAMILIAR",IF(F1339="NEW",IF(ISNA(VLOOKUP(E1339,#REF!,1,FALSE())),"?TYPE_IDENTIFIABLE","?REFERENTIAL"),"_")))))</f>
        <v/>
      </c>
      <c r="H1339" s="23" t="str">
        <f t="shared" ca="1" si="151"/>
        <v/>
      </c>
      <c r="I1339" s="24" t="str">
        <f>IF(OR(E1339="",E1339="!!!",F1339="NEW"),"",INDEX(B$2:B1338,-1+SUMPRODUCT(MAX(ROW(E$2:E1338)*(E1339=E$2:E1338)))))</f>
        <v/>
      </c>
      <c r="J1339" s="24" t="str">
        <f ca="1">IF(OR(E1339="",E1339="!!!",F1339="NEW"),"",COUNTBLANK(OFFSET(A$1,,,SUMPRODUCT(MAX(ROW(E$2:E1339)*(E1339=E$2:E1339)))))-COUNTBLANK(OFFSET(A$1,,,SUMPRODUCT(MAX(ROW(E$1:E1338)*(E2=E$1:E1338))))))</f>
        <v/>
      </c>
      <c r="K1339" s="24" t="str">
        <f>IF(OR(E1339="",E1339="!!!",F1339="NEW"),"",INDEX(J$1:J1338,SUMPRODUCT(MAX(ROW(E$1:E1338)*(E1339=E$1:E1338)))))</f>
        <v/>
      </c>
      <c r="L1339" s="25"/>
    </row>
    <row r="1340" spans="1:12" x14ac:dyDescent="0.3">
      <c r="A1340" t="s">
        <v>777</v>
      </c>
      <c r="E1340" s="20" t="str">
        <f t="shared" si="150"/>
        <v/>
      </c>
      <c r="F1340" s="21" t="str">
        <f>IF(OR(E1340="",E1340="!!!"),"",IF(NOT(ISNA(VLOOKUP(E1340,E$1:E1339,1,FALSE()))),"OLD",IF(AND(E1340&lt;&gt;"",E1340&lt;&gt;"!!!"),"NEW","")))</f>
        <v/>
      </c>
      <c r="G1340" s="22" t="str">
        <f>IF(OR(E1340="",E1340="!!!"),"",IF(OR(J1340=0,AND(J1340=1,K1340=1),AND(J1340=1,I1340="SBJ"),AND(J1340=1,I1340=0)),"?IN_FOCUS",IF(J1340&lt;=2,"?ACTIVATED",IF(J1340&lt;&gt;"","?FAMILIAR",IF(F1340="NEW",IF(ISNA(VLOOKUP(E1340,#REF!,1,FALSE())),"?TYPE_IDENTIFIABLE","?REFERENTIAL"),"_")))))</f>
        <v/>
      </c>
      <c r="H1340" s="23" t="str">
        <f t="shared" ca="1" si="151"/>
        <v/>
      </c>
      <c r="I1340" s="24" t="str">
        <f>IF(OR(E1340="",E1340="!!!",F1340="NEW"),"",INDEX(B$2:B1339,-1+SUMPRODUCT(MAX(ROW(E$2:E1339)*(E1340=E$2:E1339)))))</f>
        <v/>
      </c>
      <c r="J1340" s="24" t="str">
        <f ca="1">IF(OR(E1340="",E1340="!!!",F1340="NEW"),"",COUNTBLANK(OFFSET(A$1,,,SUMPRODUCT(MAX(ROW(E$2:E1340)*(E1340=E$2:E1340)))))-COUNTBLANK(OFFSET(A$1,,,SUMPRODUCT(MAX(ROW(E$1:E1339)*(E2=E$1:E1339))))))</f>
        <v/>
      </c>
      <c r="K1340" s="24" t="str">
        <f>IF(OR(E1340="",E1340="!!!",F1340="NEW"),"",INDEX(J$1:J1339,SUMPRODUCT(MAX(ROW(E$1:E1339)*(E1340=E$1:E1339)))))</f>
        <v/>
      </c>
      <c r="L1340" s="25"/>
    </row>
    <row r="1341" spans="1:12" x14ac:dyDescent="0.3">
      <c r="A1341" t="s">
        <v>252</v>
      </c>
      <c r="E1341" s="20" t="str">
        <f t="shared" si="150"/>
        <v/>
      </c>
      <c r="F1341" s="21" t="str">
        <f>IF(OR(E1341="",E1341="!!!"),"",IF(NOT(ISNA(VLOOKUP(E1341,E$1:E1340,1,FALSE()))),"OLD",IF(AND(E1341&lt;&gt;"",E1341&lt;&gt;"!!!"),"NEW","")))</f>
        <v/>
      </c>
      <c r="G1341" s="22" t="str">
        <f>IF(OR(E1341="",E1341="!!!"),"",IF(OR(J1341=0,AND(J1341=1,K1341=1),AND(J1341=1,I1341="SBJ"),AND(J1341=1,I1341=0)),"?IN_FOCUS",IF(J1341&lt;=2,"?ACTIVATED",IF(J1341&lt;&gt;"","?FAMILIAR",IF(F1341="NEW",IF(ISNA(VLOOKUP(E1341,#REF!,1,FALSE())),"?TYPE_IDENTIFIABLE","?REFERENTIAL"),"_")))))</f>
        <v/>
      </c>
      <c r="H1341" s="23" t="str">
        <f t="shared" ca="1" si="151"/>
        <v/>
      </c>
      <c r="I1341" s="24" t="str">
        <f>IF(OR(E1341="",E1341="!!!",F1341="NEW"),"",INDEX(B$2:B1340,-1+SUMPRODUCT(MAX(ROW(E$2:E1340)*(E1341=E$2:E1340)))))</f>
        <v/>
      </c>
      <c r="J1341" s="24" t="str">
        <f ca="1">IF(OR(E1341="",E1341="!!!",F1341="NEW"),"",COUNTBLANK(OFFSET(A$1,,,SUMPRODUCT(MAX(ROW(E$2:E1341)*(E1341=E$2:E1341)))))-COUNTBLANK(OFFSET(A$1,,,SUMPRODUCT(MAX(ROW(E$1:E1340)*(E2=E$1:E1340))))))</f>
        <v/>
      </c>
      <c r="K1341" s="24" t="str">
        <f>IF(OR(E1341="",E1341="!!!",F1341="NEW"),"",INDEX(J$1:J1340,SUMPRODUCT(MAX(ROW(E$1:E1340)*(E1341=E$1:E1340)))))</f>
        <v/>
      </c>
      <c r="L1341" s="25"/>
    </row>
    <row r="1342" spans="1:12" x14ac:dyDescent="0.3">
      <c r="A1342" t="s">
        <v>336</v>
      </c>
      <c r="E1342" s="20" t="str">
        <f t="shared" si="150"/>
        <v/>
      </c>
      <c r="F1342" s="21" t="str">
        <f>IF(OR(E1342="",E1342="!!!"),"",IF(NOT(ISNA(VLOOKUP(E1342,E$1:E1341,1,FALSE()))),"OLD",IF(AND(E1342&lt;&gt;"",E1342&lt;&gt;"!!!"),"NEW","")))</f>
        <v/>
      </c>
      <c r="G1342" s="22" t="str">
        <f>IF(OR(E1342="",E1342="!!!"),"",IF(OR(J1342=0,AND(J1342=1,K1342=1),AND(J1342=1,I1342="SBJ"),AND(J1342=1,I1342=0)),"?IN_FOCUS",IF(J1342&lt;=2,"?ACTIVATED",IF(J1342&lt;&gt;"","?FAMILIAR",IF(F1342="NEW",IF(ISNA(VLOOKUP(E1342,#REF!,1,FALSE())),"?TYPE_IDENTIFIABLE","?REFERENTIAL"),"_")))))</f>
        <v/>
      </c>
      <c r="H1342" s="23" t="str">
        <f t="shared" ca="1" si="151"/>
        <v/>
      </c>
      <c r="I1342" s="24" t="str">
        <f>IF(OR(E1342="",E1342="!!!",F1342="NEW"),"",INDEX(B$2:B1341,-1+SUMPRODUCT(MAX(ROW(E$2:E1341)*(E1342=E$2:E1341)))))</f>
        <v/>
      </c>
      <c r="J1342" s="24" t="str">
        <f ca="1">IF(OR(E1342="",E1342="!!!",F1342="NEW"),"",COUNTBLANK(OFFSET(A$1,,,SUMPRODUCT(MAX(ROW(E$2:E1342)*(E1342=E$2:E1342)))))-COUNTBLANK(OFFSET(A$1,,,SUMPRODUCT(MAX(ROW(E$1:E1341)*(E2=E$1:E1341))))))</f>
        <v/>
      </c>
      <c r="K1342" s="24" t="str">
        <f>IF(OR(E1342="",E1342="!!!",F1342="NEW"),"",INDEX(J$1:J1341,SUMPRODUCT(MAX(ROW(E$1:E1341)*(E1342=E$1:E1341)))))</f>
        <v/>
      </c>
      <c r="L1342" s="25"/>
    </row>
    <row r="1343" spans="1:12" x14ac:dyDescent="0.3">
      <c r="A1343" t="s">
        <v>566</v>
      </c>
      <c r="E1343" s="20" t="str">
        <f t="shared" si="150"/>
        <v/>
      </c>
      <c r="F1343" s="21" t="str">
        <f>IF(OR(E1343="",E1343="!!!"),"",IF(NOT(ISNA(VLOOKUP(E1343,E$1:E1342,1,FALSE()))),"OLD",IF(AND(E1343&lt;&gt;"",E1343&lt;&gt;"!!!"),"NEW","")))</f>
        <v/>
      </c>
      <c r="G1343" s="22" t="str">
        <f>IF(OR(E1343="",E1343="!!!"),"",IF(OR(J1343=0,AND(J1343=1,K1343=1),AND(J1343=1,I1343="SBJ"),AND(J1343=1,I1343=0)),"?IN_FOCUS",IF(J1343&lt;=2,"?ACTIVATED",IF(J1343&lt;&gt;"","?FAMILIAR",IF(F1343="NEW",IF(ISNA(VLOOKUP(E1343,#REF!,1,FALSE())),"?TYPE_IDENTIFIABLE","?REFERENTIAL"),"_")))))</f>
        <v/>
      </c>
      <c r="H1343" s="23" t="str">
        <f t="shared" ca="1" si="151"/>
        <v/>
      </c>
      <c r="I1343" s="24" t="str">
        <f>IF(OR(E1343="",E1343="!!!",F1343="NEW"),"",INDEX(B$2:B1342,-1+SUMPRODUCT(MAX(ROW(E$2:E1342)*(E1343=E$2:E1342)))))</f>
        <v/>
      </c>
      <c r="J1343" s="24" t="str">
        <f ca="1">IF(OR(E1343="",E1343="!!!",F1343="NEW"),"",COUNTBLANK(OFFSET(A$1,,,SUMPRODUCT(MAX(ROW(E$2:E1343)*(E1343=E$2:E1343)))))-COUNTBLANK(OFFSET(A$1,,,SUMPRODUCT(MAX(ROW(E$1:E1342)*(E2=E$1:E1342))))))</f>
        <v/>
      </c>
      <c r="K1343" s="24" t="str">
        <f>IF(OR(E1343="",E1343="!!!",F1343="NEW"),"",INDEX(J$1:J1342,SUMPRODUCT(MAX(ROW(E$1:E1342)*(E1343=E$1:E1342)))))</f>
        <v/>
      </c>
      <c r="L1343" s="25"/>
    </row>
    <row r="1344" spans="1:12" x14ac:dyDescent="0.3">
      <c r="A1344" t="s">
        <v>242</v>
      </c>
      <c r="E1344" s="20" t="str">
        <f t="shared" si="150"/>
        <v/>
      </c>
      <c r="F1344" s="21" t="str">
        <f>IF(OR(E1344="",E1344="!!!"),"",IF(NOT(ISNA(VLOOKUP(E1344,E$1:E1343,1,FALSE()))),"OLD",IF(AND(E1344&lt;&gt;"",E1344&lt;&gt;"!!!"),"NEW","")))</f>
        <v/>
      </c>
      <c r="G1344" s="22" t="str">
        <f>IF(OR(E1344="",E1344="!!!"),"",IF(OR(J1344=0,AND(J1344=1,K1344=1),AND(J1344=1,I1344="SBJ"),AND(J1344=1,I1344=0)),"?IN_FOCUS",IF(J1344&lt;=2,"?ACTIVATED",IF(J1344&lt;&gt;"","?FAMILIAR",IF(F1344="NEW",IF(ISNA(VLOOKUP(E1344,#REF!,1,FALSE())),"?TYPE_IDENTIFIABLE","?REFERENTIAL"),"_")))))</f>
        <v/>
      </c>
      <c r="H1344" s="23" t="str">
        <f t="shared" ca="1" si="151"/>
        <v/>
      </c>
      <c r="I1344" s="24" t="str">
        <f>IF(OR(E1344="",E1344="!!!",F1344="NEW"),"",INDEX(B$2:B1343,-1+SUMPRODUCT(MAX(ROW(E$2:E1343)*(E1344=E$2:E1343)))))</f>
        <v/>
      </c>
      <c r="J1344" s="24" t="str">
        <f ca="1">IF(OR(E1344="",E1344="!!!",F1344="NEW"),"",COUNTBLANK(OFFSET(A$1,,,SUMPRODUCT(MAX(ROW(E$2:E1344)*(E1344=E$2:E1344)))))-COUNTBLANK(OFFSET(A$1,,,SUMPRODUCT(MAX(ROW(E$1:E1343)*(E2=E$1:E1343))))))</f>
        <v/>
      </c>
      <c r="K1344" s="24" t="str">
        <f>IF(OR(E1344="",E1344="!!!",F1344="NEW"),"",INDEX(J$1:J1343,SUMPRODUCT(MAX(ROW(E$1:E1343)*(E1344=E$1:E1343)))))</f>
        <v/>
      </c>
      <c r="L1344" s="25"/>
    </row>
    <row r="1345" spans="1:12" x14ac:dyDescent="0.3">
      <c r="A1345" t="s">
        <v>778</v>
      </c>
      <c r="E1345" s="20" t="str">
        <f t="shared" si="150"/>
        <v/>
      </c>
      <c r="F1345" s="21" t="str">
        <f>IF(OR(E1345="",E1345="!!!"),"",IF(NOT(ISNA(VLOOKUP(E1345,E$1:E1344,1,FALSE()))),"OLD",IF(AND(E1345&lt;&gt;"",E1345&lt;&gt;"!!!"),"NEW","")))</f>
        <v/>
      </c>
      <c r="G1345" s="22" t="str">
        <f>IF(OR(E1345="",E1345="!!!"),"",IF(OR(J1345=0,AND(J1345=1,K1345=1),AND(J1345=1,I1345="SBJ"),AND(J1345=1,I1345=0)),"?IN_FOCUS",IF(J1345&lt;=2,"?ACTIVATED",IF(J1345&lt;&gt;"","?FAMILIAR",IF(F1345="NEW",IF(ISNA(VLOOKUP(E1345,#REF!,1,FALSE())),"?TYPE_IDENTIFIABLE","?REFERENTIAL"),"_")))))</f>
        <v/>
      </c>
      <c r="H1345" s="23" t="str">
        <f t="shared" ca="1" si="151"/>
        <v/>
      </c>
      <c r="I1345" s="24" t="str">
        <f>IF(OR(E1345="",E1345="!!!",F1345="NEW"),"",INDEX(B$2:B1344,-1+SUMPRODUCT(MAX(ROW(E$2:E1344)*(E1345=E$2:E1344)))))</f>
        <v/>
      </c>
      <c r="J1345" s="24" t="str">
        <f ca="1">IF(OR(E1345="",E1345="!!!",F1345="NEW"),"",COUNTBLANK(OFFSET(A$1,,,SUMPRODUCT(MAX(ROW(E$2:E1345)*(E1345=E$2:E1345)))))-COUNTBLANK(OFFSET(A$1,,,SUMPRODUCT(MAX(ROW(E$1:E1344)*(E2=E$1:E1344))))))</f>
        <v/>
      </c>
      <c r="K1345" s="24" t="str">
        <f>IF(OR(E1345="",E1345="!!!",F1345="NEW"),"",INDEX(J$1:J1344,SUMPRODUCT(MAX(ROW(E$1:E1344)*(E1345=E$1:E1344)))))</f>
        <v/>
      </c>
      <c r="L1345" s="25"/>
    </row>
    <row r="1346" spans="1:12" x14ac:dyDescent="0.3">
      <c r="A1346" t="s">
        <v>252</v>
      </c>
      <c r="E1346" s="20" t="str">
        <f t="shared" si="150"/>
        <v/>
      </c>
      <c r="F1346" s="21" t="str">
        <f>IF(OR(E1346="",E1346="!!!"),"",IF(NOT(ISNA(VLOOKUP(E1346,E$1:E1345,1,FALSE()))),"OLD",IF(AND(E1346&lt;&gt;"",E1346&lt;&gt;"!!!"),"NEW","")))</f>
        <v/>
      </c>
      <c r="G1346" s="22" t="str">
        <f>IF(OR(E1346="",E1346="!!!"),"",IF(OR(J1346=0,AND(J1346=1,K1346=1),AND(J1346=1,I1346="SBJ"),AND(J1346=1,I1346=0)),"?IN_FOCUS",IF(J1346&lt;=2,"?ACTIVATED",IF(J1346&lt;&gt;"","?FAMILIAR",IF(F1346="NEW",IF(ISNA(VLOOKUP(E1346,#REF!,1,FALSE())),"?TYPE_IDENTIFIABLE","?REFERENTIAL"),"_")))))</f>
        <v/>
      </c>
      <c r="H1346" s="23" t="str">
        <f t="shared" ca="1" si="151"/>
        <v/>
      </c>
      <c r="I1346" s="24" t="str">
        <f>IF(OR(E1346="",E1346="!!!",F1346="NEW"),"",INDEX(B$2:B1345,-1+SUMPRODUCT(MAX(ROW(E$2:E1345)*(E1346=E$2:E1345)))))</f>
        <v/>
      </c>
      <c r="J1346" s="24" t="str">
        <f ca="1">IF(OR(E1346="",E1346="!!!",F1346="NEW"),"",COUNTBLANK(OFFSET(A$1,,,SUMPRODUCT(MAX(ROW(E$2:E1346)*(E1346=E$2:E1346)))))-COUNTBLANK(OFFSET(A$1,,,SUMPRODUCT(MAX(ROW(E$1:E1345)*(E2=E$1:E1345))))))</f>
        <v/>
      </c>
      <c r="K1346" s="24" t="str">
        <f>IF(OR(E1346="",E1346="!!!",F1346="NEW"),"",INDEX(J$1:J1345,SUMPRODUCT(MAX(ROW(E$1:E1345)*(E1346=E$1:E1345)))))</f>
        <v/>
      </c>
      <c r="L1346" s="25"/>
    </row>
    <row r="1347" spans="1:12" x14ac:dyDescent="0.3">
      <c r="A1347" t="s">
        <v>690</v>
      </c>
      <c r="B1347" s="26" t="s">
        <v>276</v>
      </c>
      <c r="C1347" s="26" t="s">
        <v>346</v>
      </c>
      <c r="D1347" s="26" t="s">
        <v>240</v>
      </c>
      <c r="E1347" s="20" t="str">
        <f t="shared" si="150"/>
        <v>!!!</v>
      </c>
      <c r="F1347" s="21" t="str">
        <f>IF(OR(E1347="",E1347="!!!"),"",IF(NOT(ISNA(VLOOKUP(E1347,E$1:E1346,1,FALSE()))),"OLD",IF(AND(E1347&lt;&gt;"",E1347&lt;&gt;"!!!"),"NEW","")))</f>
        <v/>
      </c>
      <c r="G1347" s="22" t="str">
        <f>IF(OR(E1347="",E1347="!!!"),"",IF(OR(J1347=0,AND(J1347=1,K1347=1),AND(J1347=1,I1347="SBJ"),AND(J1347=1,I1347=0)),"?IN_FOCUS",IF(J1347&lt;=2,"?ACTIVATED",IF(J1347&lt;&gt;"","?FAMILIAR",IF(F1347="NEW",IF(ISNA(VLOOKUP(E1347,#REF!,1,FALSE())),"?TYPE_IDENTIFIABLE","?REFERENTIAL"),"_")))))</f>
        <v/>
      </c>
      <c r="H1347" s="23" t="str">
        <f t="shared" ca="1" si="151"/>
        <v/>
      </c>
      <c r="I1347" s="24" t="str">
        <f>IF(OR(E1347="",E1347="!!!",F1347="NEW"),"",INDEX(B$2:B1346,-1+SUMPRODUCT(MAX(ROW(E$2:E1346)*(E1347=E$2:E1346)))))</f>
        <v/>
      </c>
      <c r="J1347" s="24" t="str">
        <f ca="1">IF(OR(E1347="",E1347="!!!",F1347="NEW"),"",COUNTBLANK(OFFSET(A$1,,,SUMPRODUCT(MAX(ROW(E$2:E1347)*(E1347=E$2:E1347)))))-COUNTBLANK(OFFSET(A$1,,,SUMPRODUCT(MAX(ROW(E$1:E1346)*(E2=E$1:E1346))))))</f>
        <v/>
      </c>
      <c r="K1347" s="24" t="str">
        <f>IF(OR(E1347="",E1347="!!!",F1347="NEW"),"",INDEX(J$1:J1346,SUMPRODUCT(MAX(ROW(E$1:E1346)*(E1347=E$1:E1346)))))</f>
        <v/>
      </c>
      <c r="L1347" s="25"/>
    </row>
    <row r="1348" spans="1:12" x14ac:dyDescent="0.3">
      <c r="A1348" t="s">
        <v>302</v>
      </c>
      <c r="B1348" s="26" t="s">
        <v>285</v>
      </c>
      <c r="C1348" s="26" t="s">
        <v>587</v>
      </c>
      <c r="D1348" s="26" t="s">
        <v>240</v>
      </c>
      <c r="E1348" s="20" t="str">
        <f t="shared" si="150"/>
        <v>!!!</v>
      </c>
      <c r="F1348" s="21" t="str">
        <f>IF(OR(E1348="",E1348="!!!"),"",IF(NOT(ISNA(VLOOKUP(E1348,E$1:E1347,1,FALSE()))),"OLD",IF(AND(E1348&lt;&gt;"",E1348&lt;&gt;"!!!"),"NEW","")))</f>
        <v/>
      </c>
      <c r="G1348" s="22" t="str">
        <f>IF(OR(E1348="",E1348="!!!"),"",IF(OR(J1348=0,AND(J1348=1,K1348=1),AND(J1348=1,I1348="SBJ"),AND(J1348=1,I1348=0)),"?IN_FOCUS",IF(J1348&lt;=2,"?ACTIVATED",IF(J1348&lt;&gt;"","?FAMILIAR",IF(F1348="NEW",IF(ISNA(VLOOKUP(E1348,#REF!,1,FALSE())),"?TYPE_IDENTIFIABLE","?REFERENTIAL"),"_")))))</f>
        <v/>
      </c>
      <c r="H1348" s="23" t="str">
        <f t="shared" ca="1" si="151"/>
        <v/>
      </c>
      <c r="I1348" s="24" t="str">
        <f>IF(OR(E1348="",E1348="!!!",F1348="NEW"),"",INDEX(B$2:B1347,-1+SUMPRODUCT(MAX(ROW(E$2:E1347)*(E1348=E$2:E1347)))))</f>
        <v/>
      </c>
      <c r="J1348" s="24" t="str">
        <f ca="1">IF(OR(E1348="",E1348="!!!",F1348="NEW"),"",COUNTBLANK(OFFSET(A$1,,,SUMPRODUCT(MAX(ROW(E$2:E1348)*(E1348=E$2:E1348)))))-COUNTBLANK(OFFSET(A$1,,,SUMPRODUCT(MAX(ROW(E$1:E1347)*(E2=E$1:E1347))))))</f>
        <v/>
      </c>
      <c r="K1348" s="24" t="str">
        <f>IF(OR(E1348="",E1348="!!!",F1348="NEW"),"",INDEX(J$1:J1347,SUMPRODUCT(MAX(ROW(E$1:E1347)*(E1348=E$1:E1347)))))</f>
        <v/>
      </c>
      <c r="L1348" s="25"/>
    </row>
    <row r="1349" spans="1:12" x14ac:dyDescent="0.3">
      <c r="A1349" t="s">
        <v>327</v>
      </c>
      <c r="E1349" s="20" t="str">
        <f t="shared" si="150"/>
        <v/>
      </c>
      <c r="F1349" s="21" t="str">
        <f>IF(OR(E1349="",E1349="!!!"),"",IF(NOT(ISNA(VLOOKUP(E1349,E$1:E1348,1,FALSE()))),"OLD",IF(AND(E1349&lt;&gt;"",E1349&lt;&gt;"!!!"),"NEW","")))</f>
        <v/>
      </c>
      <c r="G1349" s="22" t="str">
        <f>IF(OR(E1349="",E1349="!!!"),"",IF(OR(J1349=0,AND(J1349=1,K1349=1),AND(J1349=1,I1349="SBJ"),AND(J1349=1,I1349=0)),"?IN_FOCUS",IF(J1349&lt;=2,"?ACTIVATED",IF(J1349&lt;&gt;"","?FAMILIAR",IF(F1349="NEW",IF(ISNA(VLOOKUP(E1349,#REF!,1,FALSE())),"?TYPE_IDENTIFIABLE","?REFERENTIAL"),"_")))))</f>
        <v/>
      </c>
      <c r="H1349" s="23" t="str">
        <f t="shared" ca="1" si="151"/>
        <v/>
      </c>
      <c r="I1349" s="24" t="str">
        <f>IF(OR(E1349="",E1349="!!!",F1349="NEW"),"",INDEX(B$2:B1348,-1+SUMPRODUCT(MAX(ROW(E$2:E1348)*(E1349=E$2:E1348)))))</f>
        <v/>
      </c>
      <c r="J1349" s="24" t="str">
        <f ca="1">IF(OR(E1349="",E1349="!!!",F1349="NEW"),"",COUNTBLANK(OFFSET(A$1,,,SUMPRODUCT(MAX(ROW(E$2:E1349)*(E1349=E$2:E1349)))))-COUNTBLANK(OFFSET(A$1,,,SUMPRODUCT(MAX(ROW(E$1:E1348)*(E2=E$1:E1348))))))</f>
        <v/>
      </c>
      <c r="K1349" s="24" t="str">
        <f>IF(OR(E1349="",E1349="!!!",F1349="NEW"),"",INDEX(J$1:J1348,SUMPRODUCT(MAX(ROW(E$1:E1348)*(E1349=E$1:E1348)))))</f>
        <v/>
      </c>
      <c r="L1349" s="25"/>
    </row>
    <row r="1350" spans="1:12" x14ac:dyDescent="0.3">
      <c r="A1350" t="s">
        <v>266</v>
      </c>
      <c r="E1350" s="20" t="str">
        <f t="shared" si="150"/>
        <v/>
      </c>
      <c r="F1350" s="21" t="str">
        <f>IF(OR(E1350="",E1350="!!!"),"",IF(NOT(ISNA(VLOOKUP(E1350,E$1:E1349,1,FALSE()))),"OLD",IF(AND(E1350&lt;&gt;"",E1350&lt;&gt;"!!!"),"NEW","")))</f>
        <v/>
      </c>
      <c r="G1350" s="22" t="str">
        <f>IF(OR(E1350="",E1350="!!!"),"",IF(OR(J1350=0,AND(J1350=1,K1350=1),AND(J1350=1,I1350="SBJ"),AND(J1350=1,I1350=0)),"?IN_FOCUS",IF(J1350&lt;=2,"?ACTIVATED",IF(J1350&lt;&gt;"","?FAMILIAR",IF(F1350="NEW",IF(ISNA(VLOOKUP(E1350,#REF!,1,FALSE())),"?TYPE_IDENTIFIABLE","?REFERENTIAL"),"_")))))</f>
        <v/>
      </c>
      <c r="H1350" s="23" t="str">
        <f t="shared" ca="1" si="151"/>
        <v/>
      </c>
      <c r="I1350" s="24" t="str">
        <f>IF(OR(E1350="",E1350="!!!",F1350="NEW"),"",INDEX(B$2:B1349,-1+SUMPRODUCT(MAX(ROW(E$2:E1349)*(E1350=E$2:E1349)))))</f>
        <v/>
      </c>
      <c r="J1350" s="24" t="str">
        <f ca="1">IF(OR(E1350="",E1350="!!!",F1350="NEW"),"",COUNTBLANK(OFFSET(A$1,,,SUMPRODUCT(MAX(ROW(E$2:E1350)*(E1350=E$2:E1350)))))-COUNTBLANK(OFFSET(A$1,,,SUMPRODUCT(MAX(ROW(E$1:E1349)*(E2=E$1:E1349))))))</f>
        <v/>
      </c>
      <c r="K1350" s="24" t="str">
        <f>IF(OR(E1350="",E1350="!!!",F1350="NEW"),"",INDEX(J$1:J1349,SUMPRODUCT(MAX(ROW(E$1:E1349)*(E1350=E$1:E1349)))))</f>
        <v/>
      </c>
      <c r="L1350" s="25"/>
    </row>
    <row r="1351" spans="1:12" x14ac:dyDescent="0.3">
      <c r="A1351" t="s">
        <v>278</v>
      </c>
      <c r="E1351" s="20" t="str">
        <f t="shared" si="150"/>
        <v/>
      </c>
      <c r="F1351" s="21" t="str">
        <f>IF(OR(E1351="",E1351="!!!"),"",IF(NOT(ISNA(VLOOKUP(E1351,E$1:E1350,1,FALSE()))),"OLD",IF(AND(E1351&lt;&gt;"",E1351&lt;&gt;"!!!"),"NEW","")))</f>
        <v/>
      </c>
      <c r="G1351" s="22" t="str">
        <f>IF(OR(E1351="",E1351="!!!"),"",IF(OR(J1351=0,AND(J1351=1,K1351=1),AND(J1351=1,I1351="SBJ"),AND(J1351=1,I1351=0)),"?IN_FOCUS",IF(J1351&lt;=2,"?ACTIVATED",IF(J1351&lt;&gt;"","?FAMILIAR",IF(F1351="NEW",IF(ISNA(VLOOKUP(E1351,#REF!,1,FALSE())),"?TYPE_IDENTIFIABLE","?REFERENTIAL"),"_")))))</f>
        <v/>
      </c>
      <c r="H1351" s="23" t="str">
        <f t="shared" ca="1" si="151"/>
        <v/>
      </c>
      <c r="I1351" s="24" t="str">
        <f>IF(OR(E1351="",E1351="!!!",F1351="NEW"),"",INDEX(B$2:B1350,-1+SUMPRODUCT(MAX(ROW(E$2:E1350)*(E1351=E$2:E1350)))))</f>
        <v/>
      </c>
      <c r="J1351" s="24" t="str">
        <f ca="1">IF(OR(E1351="",E1351="!!!",F1351="NEW"),"",COUNTBLANK(OFFSET(A$1,,,SUMPRODUCT(MAX(ROW(E$2:E1351)*(E1351=E$2:E1351)))))-COUNTBLANK(OFFSET(A$1,,,SUMPRODUCT(MAX(ROW(E$1:E1350)*(E2=E$1:E1350))))))</f>
        <v/>
      </c>
      <c r="K1351" s="24" t="str">
        <f>IF(OR(E1351="",E1351="!!!",F1351="NEW"),"",INDEX(J$1:J1350,SUMPRODUCT(MAX(ROW(E$1:E1350)*(E1351=E$1:E1350)))))</f>
        <v/>
      </c>
      <c r="L1351" s="25"/>
    </row>
    <row r="1352" spans="1:12" x14ac:dyDescent="0.3">
      <c r="A1352" t="s">
        <v>257</v>
      </c>
      <c r="E1352" s="20" t="str">
        <f t="shared" si="150"/>
        <v/>
      </c>
      <c r="F1352" s="21" t="str">
        <f>IF(OR(E1352="",E1352="!!!"),"",IF(NOT(ISNA(VLOOKUP(E1352,E$1:E1351,1,FALSE()))),"OLD",IF(AND(E1352&lt;&gt;"",E1352&lt;&gt;"!!!"),"NEW","")))</f>
        <v/>
      </c>
      <c r="G1352" s="22" t="str">
        <f>IF(OR(E1352="",E1352="!!!"),"",IF(OR(J1352=0,AND(J1352=1,K1352=1),AND(J1352=1,I1352="SBJ"),AND(J1352=1,I1352=0)),"?IN_FOCUS",IF(J1352&lt;=2,"?ACTIVATED",IF(J1352&lt;&gt;"","?FAMILIAR",IF(F1352="NEW",IF(ISNA(VLOOKUP(E1352,#REF!,1,FALSE())),"?TYPE_IDENTIFIABLE","?REFERENTIAL"),"_")))))</f>
        <v/>
      </c>
      <c r="H1352" s="23" t="str">
        <f t="shared" ca="1" si="151"/>
        <v/>
      </c>
      <c r="I1352" s="24" t="str">
        <f>IF(OR(E1352="",E1352="!!!",F1352="NEW"),"",INDEX(B$2:B1351,-1+SUMPRODUCT(MAX(ROW(E$2:E1351)*(E1352=E$2:E1351)))))</f>
        <v/>
      </c>
      <c r="J1352" s="24" t="str">
        <f ca="1">IF(OR(E1352="",E1352="!!!",F1352="NEW"),"",COUNTBLANK(OFFSET(A$1,,,SUMPRODUCT(MAX(ROW(E$2:E1352)*(E1352=E$2:E1352)))))-COUNTBLANK(OFFSET(A$1,,,SUMPRODUCT(MAX(ROW(E$1:E1351)*(E2=E$1:E1351))))))</f>
        <v/>
      </c>
      <c r="K1352" s="24" t="str">
        <f>IF(OR(E1352="",E1352="!!!",F1352="NEW"),"",INDEX(J$1:J1351,SUMPRODUCT(MAX(ROW(E$1:E1351)*(E1352=E$1:E1351)))))</f>
        <v/>
      </c>
      <c r="L1352" s="25"/>
    </row>
    <row r="1353" spans="1:12" x14ac:dyDescent="0.3">
      <c r="A1353" t="s">
        <v>267</v>
      </c>
      <c r="E1353" s="20" t="str">
        <f t="shared" si="150"/>
        <v/>
      </c>
      <c r="F1353" s="21" t="str">
        <f>IF(OR(E1353="",E1353="!!!"),"",IF(NOT(ISNA(VLOOKUP(E1353,E$1:E1352,1,FALSE()))),"OLD",IF(AND(E1353&lt;&gt;"",E1353&lt;&gt;"!!!"),"NEW","")))</f>
        <v/>
      </c>
      <c r="G1353" s="22" t="str">
        <f>IF(OR(E1353="",E1353="!!!"),"",IF(OR(J1353=0,AND(J1353=1,K1353=1),AND(J1353=1,I1353="SBJ"),AND(J1353=1,I1353=0)),"?IN_FOCUS",IF(J1353&lt;=2,"?ACTIVATED",IF(J1353&lt;&gt;"","?FAMILIAR",IF(F1353="NEW",IF(ISNA(VLOOKUP(E1353,#REF!,1,FALSE())),"?TYPE_IDENTIFIABLE","?REFERENTIAL"),"_")))))</f>
        <v/>
      </c>
      <c r="H1353" s="23" t="str">
        <f t="shared" ca="1" si="151"/>
        <v/>
      </c>
      <c r="I1353" s="24" t="str">
        <f>IF(OR(E1353="",E1353="!!!",F1353="NEW"),"",INDEX(B$2:B1352,-1+SUMPRODUCT(MAX(ROW(E$2:E1352)*(E1353=E$2:E1352)))))</f>
        <v/>
      </c>
      <c r="J1353" s="24" t="str">
        <f ca="1">IF(OR(E1353="",E1353="!!!",F1353="NEW"),"",COUNTBLANK(OFFSET(A$1,,,SUMPRODUCT(MAX(ROW(E$2:E1353)*(E1353=E$2:E1353)))))-COUNTBLANK(OFFSET(A$1,,,SUMPRODUCT(MAX(ROW(E$1:E1352)*(E2=E$1:E1352))))))</f>
        <v/>
      </c>
      <c r="K1353" s="24" t="str">
        <f>IF(OR(E1353="",E1353="!!!",F1353="NEW"),"",INDEX(J$1:J1352,SUMPRODUCT(MAX(ROW(E$1:E1352)*(E1353=E$1:E1352)))))</f>
        <v/>
      </c>
      <c r="L1353" s="25"/>
    </row>
    <row r="1354" spans="1:12" x14ac:dyDescent="0.3">
      <c r="A1354" t="s">
        <v>237</v>
      </c>
      <c r="B1354" s="26" t="s">
        <v>276</v>
      </c>
      <c r="C1354" s="26" t="s">
        <v>239</v>
      </c>
      <c r="D1354" s="26" t="s">
        <v>240</v>
      </c>
      <c r="E1354" s="20" t="str">
        <f t="shared" si="150"/>
        <v>!!!</v>
      </c>
      <c r="F1354" s="21" t="str">
        <f>IF(OR(E1354="",E1354="!!!"),"",IF(NOT(ISNA(VLOOKUP(E1354,E$1:E1353,1,FALSE()))),"OLD",IF(AND(E1354&lt;&gt;"",E1354&lt;&gt;"!!!"),"NEW","")))</f>
        <v/>
      </c>
      <c r="G1354" s="22" t="str">
        <f>IF(OR(E1354="",E1354="!!!"),"",IF(OR(J1354=0,AND(J1354=1,K1354=1),AND(J1354=1,I1354="SBJ"),AND(J1354=1,I1354=0)),"?IN_FOCUS",IF(J1354&lt;=2,"?ACTIVATED",IF(J1354&lt;&gt;"","?FAMILIAR",IF(F1354="NEW",IF(ISNA(VLOOKUP(E1354,#REF!,1,FALSE())),"?TYPE_IDENTIFIABLE","?REFERENTIAL"),"_")))))</f>
        <v/>
      </c>
      <c r="H1354" s="23" t="str">
        <f t="shared" ca="1" si="151"/>
        <v/>
      </c>
      <c r="I1354" s="24" t="str">
        <f>IF(OR(E1354="",E1354="!!!",F1354="NEW"),"",INDEX(B$2:B1353,-1+SUMPRODUCT(MAX(ROW(E$2:E1353)*(E1354=E$2:E1353)))))</f>
        <v/>
      </c>
      <c r="J1354" s="24" t="str">
        <f ca="1">IF(OR(E1354="",E1354="!!!",F1354="NEW"),"",COUNTBLANK(OFFSET(A$1,,,SUMPRODUCT(MAX(ROW(E$2:E1354)*(E1354=E$2:E1354)))))-COUNTBLANK(OFFSET(A$1,,,SUMPRODUCT(MAX(ROW(E$1:E1353)*(E2=E$1:E1353))))))</f>
        <v/>
      </c>
      <c r="K1354" s="24" t="str">
        <f>IF(OR(E1354="",E1354="!!!",F1354="NEW"),"",INDEX(J$1:J1353,SUMPRODUCT(MAX(ROW(E$1:E1353)*(E1354=E$1:E1353)))))</f>
        <v/>
      </c>
      <c r="L1354" s="25"/>
    </row>
    <row r="1355" spans="1:12" x14ac:dyDescent="0.3">
      <c r="A1355" t="s">
        <v>327</v>
      </c>
      <c r="E1355" s="20" t="str">
        <f t="shared" si="150"/>
        <v/>
      </c>
      <c r="F1355" s="21" t="str">
        <f>IF(OR(E1355="",E1355="!!!"),"",IF(NOT(ISNA(VLOOKUP(E1355,E$1:E1354,1,FALSE()))),"OLD",IF(AND(E1355&lt;&gt;"",E1355&lt;&gt;"!!!"),"NEW","")))</f>
        <v/>
      </c>
      <c r="G1355" s="22" t="str">
        <f>IF(OR(E1355="",E1355="!!!"),"",IF(OR(J1355=0,AND(J1355=1,K1355=1),AND(J1355=1,I1355="SBJ"),AND(J1355=1,I1355=0)),"?IN_FOCUS",IF(J1355&lt;=2,"?ACTIVATED",IF(J1355&lt;&gt;"","?FAMILIAR",IF(F1355="NEW",IF(ISNA(VLOOKUP(E1355,#REF!,1,FALSE())),"?TYPE_IDENTIFIABLE","?REFERENTIAL"),"_")))))</f>
        <v/>
      </c>
      <c r="H1355" s="23" t="str">
        <f t="shared" ca="1" si="151"/>
        <v/>
      </c>
      <c r="I1355" s="24" t="str">
        <f>IF(OR(E1355="",E1355="!!!",F1355="NEW"),"",INDEX(B$2:B1354,-1+SUMPRODUCT(MAX(ROW(E$2:E1354)*(E1355=E$2:E1354)))))</f>
        <v/>
      </c>
      <c r="J1355" s="24" t="str">
        <f ca="1">IF(OR(E1355="",E1355="!!!",F1355="NEW"),"",COUNTBLANK(OFFSET(A$1,,,SUMPRODUCT(MAX(ROW(E$2:E1355)*(E1355=E$2:E1355)))))-COUNTBLANK(OFFSET(A$1,,,SUMPRODUCT(MAX(ROW(E$1:E1354)*(E2=E$1:E1354))))))</f>
        <v/>
      </c>
      <c r="K1355" s="24" t="str">
        <f>IF(OR(E1355="",E1355="!!!",F1355="NEW"),"",INDEX(J$1:J1354,SUMPRODUCT(MAX(ROW(E$1:E1354)*(E1355=E$1:E1354)))))</f>
        <v/>
      </c>
      <c r="L1355" s="25"/>
    </row>
    <row r="1356" spans="1:12" x14ac:dyDescent="0.3">
      <c r="A1356" t="s">
        <v>779</v>
      </c>
      <c r="E1356" s="20" t="str">
        <f t="shared" si="150"/>
        <v/>
      </c>
      <c r="F1356" s="21" t="str">
        <f>IF(OR(E1356="",E1356="!!!"),"",IF(NOT(ISNA(VLOOKUP(E1356,E$1:E1355,1,FALSE()))),"OLD",IF(AND(E1356&lt;&gt;"",E1356&lt;&gt;"!!!"),"NEW","")))</f>
        <v/>
      </c>
      <c r="G1356" s="22" t="str">
        <f>IF(OR(E1356="",E1356="!!!"),"",IF(OR(J1356=0,AND(J1356=1,K1356=1),AND(J1356=1,I1356="SBJ"),AND(J1356=1,I1356=0)),"?IN_FOCUS",IF(J1356&lt;=2,"?ACTIVATED",IF(J1356&lt;&gt;"","?FAMILIAR",IF(F1356="NEW",IF(ISNA(VLOOKUP(E1356,#REF!,1,FALSE())),"?TYPE_IDENTIFIABLE","?REFERENTIAL"),"_")))))</f>
        <v/>
      </c>
      <c r="H1356" s="23" t="str">
        <f t="shared" ca="1" si="151"/>
        <v/>
      </c>
      <c r="I1356" s="24" t="str">
        <f>IF(OR(E1356="",E1356="!!!",F1356="NEW"),"",INDEX(B$2:B1355,-1+SUMPRODUCT(MAX(ROW(E$2:E1355)*(E1356=E$2:E1355)))))</f>
        <v/>
      </c>
      <c r="J1356" s="24" t="str">
        <f ca="1">IF(OR(E1356="",E1356="!!!",F1356="NEW"),"",COUNTBLANK(OFFSET(A$1,,,SUMPRODUCT(MAX(ROW(E$2:E1356)*(E1356=E$2:E1356)))))-COUNTBLANK(OFFSET(A$1,,,SUMPRODUCT(MAX(ROW(E$1:E1355)*(E2=E$1:E1355))))))</f>
        <v/>
      </c>
      <c r="K1356" s="24" t="str">
        <f>IF(OR(E1356="",E1356="!!!",F1356="NEW"),"",INDEX(J$1:J1355,SUMPRODUCT(MAX(ROW(E$1:E1355)*(E1356=E$1:E1355)))))</f>
        <v/>
      </c>
      <c r="L1356" s="25"/>
    </row>
    <row r="1357" spans="1:12" x14ac:dyDescent="0.3">
      <c r="A1357" t="s">
        <v>252</v>
      </c>
      <c r="E1357" s="20" t="str">
        <f t="shared" si="150"/>
        <v/>
      </c>
      <c r="F1357" s="21" t="str">
        <f>IF(OR(E1357="",E1357="!!!"),"",IF(NOT(ISNA(VLOOKUP(E1357,E$1:E1356,1,FALSE()))),"OLD",IF(AND(E1357&lt;&gt;"",E1357&lt;&gt;"!!!"),"NEW","")))</f>
        <v/>
      </c>
      <c r="G1357" s="22" t="str">
        <f>IF(OR(E1357="",E1357="!!!"),"",IF(OR(J1357=0,AND(J1357=1,K1357=1),AND(J1357=1,I1357="SBJ"),AND(J1357=1,I1357=0)),"?IN_FOCUS",IF(J1357&lt;=2,"?ACTIVATED",IF(J1357&lt;&gt;"","?FAMILIAR",IF(F1357="NEW",IF(ISNA(VLOOKUP(E1357,#REF!,1,FALSE())),"?TYPE_IDENTIFIABLE","?REFERENTIAL"),"_")))))</f>
        <v/>
      </c>
      <c r="H1357" s="23" t="str">
        <f t="shared" ca="1" si="151"/>
        <v/>
      </c>
      <c r="I1357" s="24" t="str">
        <f>IF(OR(E1357="",E1357="!!!",F1357="NEW"),"",INDEX(B$2:B1356,-1+SUMPRODUCT(MAX(ROW(E$2:E1356)*(E1357=E$2:E1356)))))</f>
        <v/>
      </c>
      <c r="J1357" s="24" t="str">
        <f ca="1">IF(OR(E1357="",E1357="!!!",F1357="NEW"),"",COUNTBLANK(OFFSET(A$1,,,SUMPRODUCT(MAX(ROW(E$2:E1357)*(E1357=E$2:E1357)))))-COUNTBLANK(OFFSET(A$1,,,SUMPRODUCT(MAX(ROW(E$1:E1356)*(E2=E$1:E1356))))))</f>
        <v/>
      </c>
      <c r="K1357" s="24" t="str">
        <f>IF(OR(E1357="",E1357="!!!",F1357="NEW"),"",INDEX(J$1:J1356,SUMPRODUCT(MAX(ROW(E$1:E1356)*(E1357=E$1:E1356)))))</f>
        <v/>
      </c>
      <c r="L1357" s="25"/>
    </row>
    <row r="1358" spans="1:12" x14ac:dyDescent="0.3">
      <c r="A1358" t="s">
        <v>643</v>
      </c>
      <c r="E1358" s="20" t="str">
        <f t="shared" si="150"/>
        <v/>
      </c>
      <c r="F1358" s="21" t="str">
        <f>IF(OR(E1358="",E1358="!!!"),"",IF(NOT(ISNA(VLOOKUP(E1358,E$1:E1357,1,FALSE()))),"OLD",IF(AND(E1358&lt;&gt;"",E1358&lt;&gt;"!!!"),"NEW","")))</f>
        <v/>
      </c>
      <c r="G1358" s="22" t="str">
        <f>IF(OR(E1358="",E1358="!!!"),"",IF(OR(J1358=0,AND(J1358=1,K1358=1),AND(J1358=1,I1358="SBJ"),AND(J1358=1,I1358=0)),"?IN_FOCUS",IF(J1358&lt;=2,"?ACTIVATED",IF(J1358&lt;&gt;"","?FAMILIAR",IF(F1358="NEW",IF(ISNA(VLOOKUP(E1358,#REF!,1,FALSE())),"?TYPE_IDENTIFIABLE","?REFERENTIAL"),"_")))))</f>
        <v/>
      </c>
      <c r="H1358" s="23" t="str">
        <f t="shared" ca="1" si="151"/>
        <v/>
      </c>
      <c r="I1358" s="24" t="str">
        <f>IF(OR(E1358="",E1358="!!!",F1358="NEW"),"",INDEX(B$2:B1357,-1+SUMPRODUCT(MAX(ROW(E$2:E1357)*(E1358=E$2:E1357)))))</f>
        <v/>
      </c>
      <c r="J1358" s="24" t="str">
        <f ca="1">IF(OR(E1358="",E1358="!!!",F1358="NEW"),"",COUNTBLANK(OFFSET(A$1,,,SUMPRODUCT(MAX(ROW(E$2:E1358)*(E1358=E$2:E1358)))))-COUNTBLANK(OFFSET(A$1,,,SUMPRODUCT(MAX(ROW(E$1:E1357)*(E2=E$1:E1357))))))</f>
        <v/>
      </c>
      <c r="K1358" s="24" t="str">
        <f>IF(OR(E1358="",E1358="!!!",F1358="NEW"),"",INDEX(J$1:J1357,SUMPRODUCT(MAX(ROW(E$1:E1357)*(E1358=E$1:E1357)))))</f>
        <v/>
      </c>
      <c r="L1358" s="25"/>
    </row>
    <row r="1359" spans="1:12" x14ac:dyDescent="0.3">
      <c r="A1359" t="s">
        <v>287</v>
      </c>
      <c r="E1359" s="20" t="str">
        <f t="shared" si="150"/>
        <v/>
      </c>
      <c r="F1359" s="21" t="str">
        <f>IF(OR(E1359="",E1359="!!!"),"",IF(NOT(ISNA(VLOOKUP(E1359,E$1:E1358,1,FALSE()))),"OLD",IF(AND(E1359&lt;&gt;"",E1359&lt;&gt;"!!!"),"NEW","")))</f>
        <v/>
      </c>
      <c r="G1359" s="22" t="str">
        <f>IF(OR(E1359="",E1359="!!!"),"",IF(OR(J1359=0,AND(J1359=1,K1359=1),AND(J1359=1,I1359="SBJ"),AND(J1359=1,I1359=0)),"?IN_FOCUS",IF(J1359&lt;=2,"?ACTIVATED",IF(J1359&lt;&gt;"","?FAMILIAR",IF(F1359="NEW",IF(ISNA(VLOOKUP(E1359,#REF!,1,FALSE())),"?TYPE_IDENTIFIABLE","?REFERENTIAL"),"_")))))</f>
        <v/>
      </c>
      <c r="H1359" s="23" t="str">
        <f t="shared" ca="1" si="151"/>
        <v/>
      </c>
      <c r="I1359" s="24" t="str">
        <f>IF(OR(E1359="",E1359="!!!",F1359="NEW"),"",INDEX(B$2:B1358,-1+SUMPRODUCT(MAX(ROW(E$2:E1358)*(E1359=E$2:E1358)))))</f>
        <v/>
      </c>
      <c r="J1359" s="24" t="str">
        <f ca="1">IF(OR(E1359="",E1359="!!!",F1359="NEW"),"",COUNTBLANK(OFFSET(A$1,,,SUMPRODUCT(MAX(ROW(E$2:E1359)*(E1359=E$2:E1359)))))-COUNTBLANK(OFFSET(A$1,,,SUMPRODUCT(MAX(ROW(E$1:E1358)*(E2=E$1:E1358))))))</f>
        <v/>
      </c>
      <c r="K1359" s="24" t="str">
        <f>IF(OR(E1359="",E1359="!!!",F1359="NEW"),"",INDEX(J$1:J1358,SUMPRODUCT(MAX(ROW(E$1:E1358)*(E1359=E$1:E1358)))))</f>
        <v/>
      </c>
      <c r="L1359" s="25"/>
    </row>
    <row r="1360" spans="1:12" x14ac:dyDescent="0.3">
      <c r="A1360" t="s">
        <v>360</v>
      </c>
      <c r="B1360" s="26" t="s">
        <v>255</v>
      </c>
      <c r="C1360" s="26" t="s">
        <v>305</v>
      </c>
      <c r="E1360" s="20" t="str">
        <f t="shared" si="150"/>
        <v/>
      </c>
      <c r="F1360" s="21" t="str">
        <f>IF(OR(E1360="",E1360="!!!"),"",IF(NOT(ISNA(VLOOKUP(E1360,E$1:E1359,1,FALSE()))),"OLD",IF(AND(E1360&lt;&gt;"",E1360&lt;&gt;"!!!"),"NEW","")))</f>
        <v/>
      </c>
      <c r="G1360" s="22" t="str">
        <f>IF(OR(E1360="",E1360="!!!"),"",IF(OR(J1360=0,AND(J1360=1,K1360=1),AND(J1360=1,I1360="SBJ"),AND(J1360=1,I1360=0)),"?IN_FOCUS",IF(J1360&lt;=2,"?ACTIVATED",IF(J1360&lt;&gt;"","?FAMILIAR",IF(F1360="NEW",IF(ISNA(VLOOKUP(E1360,#REF!,1,FALSE())),"?TYPE_IDENTIFIABLE","?REFERENTIAL"),"_")))))</f>
        <v/>
      </c>
      <c r="H1360" s="23" t="str">
        <f t="shared" ca="1" si="151"/>
        <v/>
      </c>
      <c r="I1360" s="24" t="str">
        <f>IF(OR(E1360="",E1360="!!!",F1360="NEW"),"",INDEX(B$2:B1359,-1+SUMPRODUCT(MAX(ROW(E$2:E1359)*(E1360=E$2:E1359)))))</f>
        <v/>
      </c>
      <c r="J1360" s="24" t="str">
        <f ca="1">IF(OR(E1360="",E1360="!!!",F1360="NEW"),"",COUNTBLANK(OFFSET(A$1,,,SUMPRODUCT(MAX(ROW(E$2:E1360)*(E1360=E$2:E1360)))))-COUNTBLANK(OFFSET(A$1,,,SUMPRODUCT(MAX(ROW(E$1:E1359)*(E2=E$1:E1359))))))</f>
        <v/>
      </c>
      <c r="K1360" s="24" t="str">
        <f>IF(OR(E1360="",E1360="!!!",F1360="NEW"),"",INDEX(J$1:J1359,SUMPRODUCT(MAX(ROW(E$1:E1359)*(E1360=E$1:E1359)))))</f>
        <v/>
      </c>
      <c r="L1360" s="25"/>
    </row>
    <row r="1361" spans="1:12" x14ac:dyDescent="0.3">
      <c r="A1361" t="s">
        <v>431</v>
      </c>
      <c r="E1361" s="20" t="str">
        <f t="shared" si="150"/>
        <v/>
      </c>
      <c r="F1361" s="21" t="str">
        <f>IF(OR(E1361="",E1361="!!!"),"",IF(NOT(ISNA(VLOOKUP(E1361,E$1:E1360,1,FALSE()))),"OLD",IF(AND(E1361&lt;&gt;"",E1361&lt;&gt;"!!!"),"NEW","")))</f>
        <v/>
      </c>
      <c r="G1361" s="22" t="str">
        <f>IF(OR(E1361="",E1361="!!!"),"",IF(OR(J1361=0,AND(J1361=1,K1361=1),AND(J1361=1,I1361="SBJ"),AND(J1361=1,I1361=0)),"?IN_FOCUS",IF(J1361&lt;=2,"?ACTIVATED",IF(J1361&lt;&gt;"","?FAMILIAR",IF(F1361="NEW",IF(ISNA(VLOOKUP(E1361,#REF!,1,FALSE())),"?TYPE_IDENTIFIABLE","?REFERENTIAL"),"_")))))</f>
        <v/>
      </c>
      <c r="H1361" s="23" t="str">
        <f t="shared" ca="1" si="151"/>
        <v/>
      </c>
      <c r="I1361" s="24" t="str">
        <f>IF(OR(E1361="",E1361="!!!",F1361="NEW"),"",INDEX(B$2:B1360,-1+SUMPRODUCT(MAX(ROW(E$2:E1360)*(E1361=E$2:E1360)))))</f>
        <v/>
      </c>
      <c r="J1361" s="24" t="str">
        <f ca="1">IF(OR(E1361="",E1361="!!!",F1361="NEW"),"",COUNTBLANK(OFFSET(A$1,,,SUMPRODUCT(MAX(ROW(E$2:E1361)*(E1361=E$2:E1361)))))-COUNTBLANK(OFFSET(A$1,,,SUMPRODUCT(MAX(ROW(E$1:E1360)*(E2=E$1:E1360))))))</f>
        <v/>
      </c>
      <c r="K1361" s="24" t="str">
        <f>IF(OR(E1361="",E1361="!!!",F1361="NEW"),"",INDEX(J$1:J1360,SUMPRODUCT(MAX(ROW(E$1:E1360)*(E1361=E$1:E1360)))))</f>
        <v/>
      </c>
      <c r="L1361" s="25"/>
    </row>
    <row r="1362" spans="1:12" x14ac:dyDescent="0.3">
      <c r="A1362" t="s">
        <v>512</v>
      </c>
      <c r="E1362" s="20" t="str">
        <f t="shared" si="150"/>
        <v/>
      </c>
      <c r="F1362" s="21" t="str">
        <f>IF(OR(E1362="",E1362="!!!"),"",IF(NOT(ISNA(VLOOKUP(E1362,E$1:E1361,1,FALSE()))),"OLD",IF(AND(E1362&lt;&gt;"",E1362&lt;&gt;"!!!"),"NEW","")))</f>
        <v/>
      </c>
      <c r="G1362" s="22" t="str">
        <f>IF(OR(E1362="",E1362="!!!"),"",IF(OR(J1362=0,AND(J1362=1,K1362=1),AND(J1362=1,I1362="SBJ"),AND(J1362=1,I1362=0)),"?IN_FOCUS",IF(J1362&lt;=2,"?ACTIVATED",IF(J1362&lt;&gt;"","?FAMILIAR",IF(F1362="NEW",IF(ISNA(VLOOKUP(E1362,#REF!,1,FALSE())),"?TYPE_IDENTIFIABLE","?REFERENTIAL"),"_")))))</f>
        <v/>
      </c>
      <c r="H1362" s="23" t="str">
        <f t="shared" ca="1" si="151"/>
        <v/>
      </c>
      <c r="I1362" s="24" t="str">
        <f>IF(OR(E1362="",E1362="!!!",F1362="NEW"),"",INDEX(B$2:B1361,-1+SUMPRODUCT(MAX(ROW(E$2:E1361)*(E1362=E$2:E1361)))))</f>
        <v/>
      </c>
      <c r="J1362" s="24" t="str">
        <f ca="1">IF(OR(E1362="",E1362="!!!",F1362="NEW"),"",COUNTBLANK(OFFSET(A$1,,,SUMPRODUCT(MAX(ROW(E$2:E1362)*(E1362=E$2:E1362)))))-COUNTBLANK(OFFSET(A$1,,,SUMPRODUCT(MAX(ROW(E$1:E1361)*(E2=E$1:E1361))))))</f>
        <v/>
      </c>
      <c r="K1362" s="24" t="str">
        <f>IF(OR(E1362="",E1362="!!!",F1362="NEW"),"",INDEX(J$1:J1361,SUMPRODUCT(MAX(ROW(E$1:E1361)*(E1362=E$1:E1361)))))</f>
        <v/>
      </c>
      <c r="L1362" s="25"/>
    </row>
    <row r="1363" spans="1:12" x14ac:dyDescent="0.3">
      <c r="A1363" t="s">
        <v>780</v>
      </c>
      <c r="E1363" s="20" t="str">
        <f t="shared" si="150"/>
        <v/>
      </c>
      <c r="F1363" s="21" t="str">
        <f>IF(OR(E1363="",E1363="!!!"),"",IF(NOT(ISNA(VLOOKUP(E1363,E$1:E1362,1,FALSE()))),"OLD",IF(AND(E1363&lt;&gt;"",E1363&lt;&gt;"!!!"),"NEW","")))</f>
        <v/>
      </c>
      <c r="G1363" s="22" t="str">
        <f>IF(OR(E1363="",E1363="!!!"),"",IF(OR(J1363=0,AND(J1363=1,K1363=1),AND(J1363=1,I1363="SBJ"),AND(J1363=1,I1363=0)),"?IN_FOCUS",IF(J1363&lt;=2,"?ACTIVATED",IF(J1363&lt;&gt;"","?FAMILIAR",IF(F1363="NEW",IF(ISNA(VLOOKUP(E1363,#REF!,1,FALSE())),"?TYPE_IDENTIFIABLE","?REFERENTIAL"),"_")))))</f>
        <v/>
      </c>
      <c r="H1363" s="23" t="str">
        <f t="shared" ca="1" si="151"/>
        <v/>
      </c>
      <c r="I1363" s="24" t="str">
        <f>IF(OR(E1363="",E1363="!!!",F1363="NEW"),"",INDEX(B$2:B1362,-1+SUMPRODUCT(MAX(ROW(E$2:E1362)*(E1363=E$2:E1362)))))</f>
        <v/>
      </c>
      <c r="J1363" s="24" t="str">
        <f ca="1">IF(OR(E1363="",E1363="!!!",F1363="NEW"),"",COUNTBLANK(OFFSET(A$1,,,SUMPRODUCT(MAX(ROW(E$2:E1363)*(E1363=E$2:E1363)))))-COUNTBLANK(OFFSET(A$1,,,SUMPRODUCT(MAX(ROW(E$1:E1362)*(E2=E$1:E1362))))))</f>
        <v/>
      </c>
      <c r="K1363" s="24" t="str">
        <f>IF(OR(E1363="",E1363="!!!",F1363="NEW"),"",INDEX(J$1:J1362,SUMPRODUCT(MAX(ROW(E$1:E1362)*(E1363=E$1:E1362)))))</f>
        <v/>
      </c>
      <c r="L1363" s="25"/>
    </row>
    <row r="1364" spans="1:12" x14ac:dyDescent="0.3">
      <c r="A1364" t="s">
        <v>551</v>
      </c>
      <c r="E1364" s="20" t="str">
        <f t="shared" si="150"/>
        <v/>
      </c>
      <c r="F1364" s="21" t="str">
        <f>IF(OR(E1364="",E1364="!!!"),"",IF(NOT(ISNA(VLOOKUP(E1364,E$1:E1363,1,FALSE()))),"OLD",IF(AND(E1364&lt;&gt;"",E1364&lt;&gt;"!!!"),"NEW","")))</f>
        <v/>
      </c>
      <c r="G1364" s="22" t="str">
        <f>IF(OR(E1364="",E1364="!!!"),"",IF(OR(J1364=0,AND(J1364=1,K1364=1),AND(J1364=1,I1364="SBJ"),AND(J1364=1,I1364=0)),"?IN_FOCUS",IF(J1364&lt;=2,"?ACTIVATED",IF(J1364&lt;&gt;"","?FAMILIAR",IF(F1364="NEW",IF(ISNA(VLOOKUP(E1364,#REF!,1,FALSE())),"?TYPE_IDENTIFIABLE","?REFERENTIAL"),"_")))))</f>
        <v/>
      </c>
      <c r="H1364" s="23" t="str">
        <f t="shared" ca="1" si="151"/>
        <v/>
      </c>
      <c r="I1364" s="24" t="str">
        <f>IF(OR(E1364="",E1364="!!!",F1364="NEW"),"",INDEX(B$2:B1363,-1+SUMPRODUCT(MAX(ROW(E$2:E1363)*(E1364=E$2:E1363)))))</f>
        <v/>
      </c>
      <c r="J1364" s="24" t="str">
        <f ca="1">IF(OR(E1364="",E1364="!!!",F1364="NEW"),"",COUNTBLANK(OFFSET(A$1,,,SUMPRODUCT(MAX(ROW(E$2:E1364)*(E1364=E$2:E1364)))))-COUNTBLANK(OFFSET(A$1,,,SUMPRODUCT(MAX(ROW(E$1:E1363)*(E2=E$1:E1363))))))</f>
        <v/>
      </c>
      <c r="K1364" s="24" t="str">
        <f>IF(OR(E1364="",E1364="!!!",F1364="NEW"),"",INDEX(J$1:J1363,SUMPRODUCT(MAX(ROW(E$1:E1363)*(E1364=E$1:E1363)))))</f>
        <v/>
      </c>
      <c r="L1364" s="25"/>
    </row>
    <row r="1365" spans="1:12" x14ac:dyDescent="0.3">
      <c r="A1365" t="s">
        <v>345</v>
      </c>
      <c r="B1365" s="26" t="s">
        <v>255</v>
      </c>
      <c r="C1365" s="26" t="s">
        <v>346</v>
      </c>
      <c r="D1365" s="26" t="s">
        <v>240</v>
      </c>
      <c r="E1365" s="20" t="str">
        <f t="shared" si="150"/>
        <v>!!!</v>
      </c>
      <c r="F1365" s="21" t="str">
        <f>IF(OR(E1365="",E1365="!!!"),"",IF(NOT(ISNA(VLOOKUP(E1365,E$1:E1364,1,FALSE()))),"OLD",IF(AND(E1365&lt;&gt;"",E1365&lt;&gt;"!!!"),"NEW","")))</f>
        <v/>
      </c>
      <c r="G1365" s="22" t="str">
        <f>IF(OR(E1365="",E1365="!!!"),"",IF(OR(J1365=0,AND(J1365=1,K1365=1),AND(J1365=1,I1365="SBJ"),AND(J1365=1,I1365=0)),"?IN_FOCUS",IF(J1365&lt;=2,"?ACTIVATED",IF(J1365&lt;&gt;"","?FAMILIAR",IF(F1365="NEW",IF(ISNA(VLOOKUP(E1365,#REF!,1,FALSE())),"?TYPE_IDENTIFIABLE","?REFERENTIAL"),"_")))))</f>
        <v/>
      </c>
      <c r="H1365" s="23" t="str">
        <f t="shared" ca="1" si="151"/>
        <v/>
      </c>
      <c r="I1365" s="24" t="str">
        <f>IF(OR(E1365="",E1365="!!!",F1365="NEW"),"",INDEX(B$2:B1364,-1+SUMPRODUCT(MAX(ROW(E$2:E1364)*(E1365=E$2:E1364)))))</f>
        <v/>
      </c>
      <c r="J1365" s="24" t="str">
        <f ca="1">IF(OR(E1365="",E1365="!!!",F1365="NEW"),"",COUNTBLANK(OFFSET(A$1,,,SUMPRODUCT(MAX(ROW(E$2:E1365)*(E1365=E$2:E1365)))))-COUNTBLANK(OFFSET(A$1,,,SUMPRODUCT(MAX(ROW(E$1:E1364)*(E2=E$1:E1364))))))</f>
        <v/>
      </c>
      <c r="K1365" s="24" t="str">
        <f>IF(OR(E1365="",E1365="!!!",F1365="NEW"),"",INDEX(J$1:J1364,SUMPRODUCT(MAX(ROW(E$1:E1364)*(E1365=E$1:E1364)))))</f>
        <v/>
      </c>
      <c r="L1365" s="25"/>
    </row>
    <row r="1366" spans="1:12" x14ac:dyDescent="0.3">
      <c r="A1366" t="s">
        <v>347</v>
      </c>
      <c r="E1366" s="20" t="str">
        <f t="shared" si="150"/>
        <v/>
      </c>
      <c r="F1366" s="21" t="str">
        <f>IF(OR(E1366="",E1366="!!!"),"",IF(NOT(ISNA(VLOOKUP(E1366,E$1:E1365,1,FALSE()))),"OLD",IF(AND(E1366&lt;&gt;"",E1366&lt;&gt;"!!!"),"NEW","")))</f>
        <v/>
      </c>
      <c r="G1366" s="22" t="str">
        <f>IF(OR(E1366="",E1366="!!!"),"",IF(OR(J1366=0,AND(J1366=1,K1366=1),AND(J1366=1,I1366="SBJ"),AND(J1366=1,I1366=0)),"?IN_FOCUS",IF(J1366&lt;=2,"?ACTIVATED",IF(J1366&lt;&gt;"","?FAMILIAR",IF(F1366="NEW",IF(ISNA(VLOOKUP(E1366,#REF!,1,FALSE())),"?TYPE_IDENTIFIABLE","?REFERENTIAL"),"_")))))</f>
        <v/>
      </c>
      <c r="H1366" s="23" t="str">
        <f t="shared" ca="1" si="151"/>
        <v/>
      </c>
      <c r="I1366" s="24" t="str">
        <f>IF(OR(E1366="",E1366="!!!",F1366="NEW"),"",INDEX(B$2:B1365,-1+SUMPRODUCT(MAX(ROW(E$2:E1365)*(E1366=E$2:E1365)))))</f>
        <v/>
      </c>
      <c r="J1366" s="24" t="str">
        <f ca="1">IF(OR(E1366="",E1366="!!!",F1366="NEW"),"",COUNTBLANK(OFFSET(A$1,,,SUMPRODUCT(MAX(ROW(E$2:E1366)*(E1366=E$2:E1366)))))-COUNTBLANK(OFFSET(A$1,,,SUMPRODUCT(MAX(ROW(E$1:E1365)*(E2=E$1:E1365))))))</f>
        <v/>
      </c>
      <c r="K1366" s="24" t="str">
        <f>IF(OR(E1366="",E1366="!!!",F1366="NEW"),"",INDEX(J$1:J1365,SUMPRODUCT(MAX(ROW(E$1:E1365)*(E1366=E$1:E1365)))))</f>
        <v/>
      </c>
      <c r="L1366" s="25"/>
    </row>
    <row r="1367" spans="1:12" x14ac:dyDescent="0.3">
      <c r="A1367" t="s">
        <v>263</v>
      </c>
      <c r="E1367" s="20" t="str">
        <f t="shared" si="150"/>
        <v/>
      </c>
      <c r="F1367" s="21" t="str">
        <f>IF(OR(E1367="",E1367="!!!"),"",IF(NOT(ISNA(VLOOKUP(E1367,E$1:E1366,1,FALSE()))),"OLD",IF(AND(E1367&lt;&gt;"",E1367&lt;&gt;"!!!"),"NEW","")))</f>
        <v/>
      </c>
      <c r="G1367" s="22" t="str">
        <f>IF(OR(E1367="",E1367="!!!"),"",IF(OR(J1367=0,AND(J1367=1,K1367=1),AND(J1367=1,I1367="SBJ"),AND(J1367=1,I1367=0)),"?IN_FOCUS",IF(J1367&lt;=2,"?ACTIVATED",IF(J1367&lt;&gt;"","?FAMILIAR",IF(F1367="NEW",IF(ISNA(VLOOKUP(E1367,#REF!,1,FALSE())),"?TYPE_IDENTIFIABLE","?REFERENTIAL"),"_")))))</f>
        <v/>
      </c>
      <c r="H1367" s="23" t="str">
        <f t="shared" ca="1" si="151"/>
        <v/>
      </c>
      <c r="I1367" s="24" t="str">
        <f>IF(OR(E1367="",E1367="!!!",F1367="NEW"),"",INDEX(B$2:B1366,-1+SUMPRODUCT(MAX(ROW(E$2:E1366)*(E1367=E$2:E1366)))))</f>
        <v/>
      </c>
      <c r="J1367" s="24" t="str">
        <f ca="1">IF(OR(E1367="",E1367="!!!",F1367="NEW"),"",COUNTBLANK(OFFSET(A$1,,,SUMPRODUCT(MAX(ROW(E$2:E1367)*(E1367=E$2:E1367)))))-COUNTBLANK(OFFSET(A$1,,,SUMPRODUCT(MAX(ROW(E$1:E1366)*(E2=E$1:E1366))))))</f>
        <v/>
      </c>
      <c r="K1367" s="24" t="str">
        <f>IF(OR(E1367="",E1367="!!!",F1367="NEW"),"",INDEX(J$1:J1366,SUMPRODUCT(MAX(ROW(E$1:E1366)*(E1367=E$1:E1366)))))</f>
        <v/>
      </c>
      <c r="L1367" s="25"/>
    </row>
    <row r="1368" spans="1:12" x14ac:dyDescent="0.3">
      <c r="A1368" t="s">
        <v>268</v>
      </c>
      <c r="B1368" s="26" t="s">
        <v>238</v>
      </c>
      <c r="C1368" s="26" t="s">
        <v>262</v>
      </c>
      <c r="E1368" s="20" t="str">
        <f t="shared" si="150"/>
        <v/>
      </c>
      <c r="F1368" s="21" t="str">
        <f>IF(OR(E1368="",E1368="!!!"),"",IF(NOT(ISNA(VLOOKUP(E1368,E$1:E1367,1,FALSE()))),"OLD",IF(AND(E1368&lt;&gt;"",E1368&lt;&gt;"!!!"),"NEW","")))</f>
        <v/>
      </c>
      <c r="G1368" s="22" t="str">
        <f>IF(OR(E1368="",E1368="!!!"),"",IF(OR(J1368=0,AND(J1368=1,K1368=1),AND(J1368=1,I1368="SBJ"),AND(J1368=1,I1368=0)),"?IN_FOCUS",IF(J1368&lt;=2,"?ACTIVATED",IF(J1368&lt;&gt;"","?FAMILIAR",IF(F1368="NEW",IF(ISNA(VLOOKUP(E1368,#REF!,1,FALSE())),"?TYPE_IDENTIFIABLE","?REFERENTIAL"),"_")))))</f>
        <v/>
      </c>
      <c r="H1368" s="23" t="str">
        <f t="shared" ca="1" si="151"/>
        <v/>
      </c>
      <c r="I1368" s="24" t="str">
        <f>IF(OR(E1368="",E1368="!!!",F1368="NEW"),"",INDEX(B$2:B1367,-1+SUMPRODUCT(MAX(ROW(E$2:E1367)*(E1368=E$2:E1367)))))</f>
        <v/>
      </c>
      <c r="J1368" s="24" t="str">
        <f ca="1">IF(OR(E1368="",E1368="!!!",F1368="NEW"),"",COUNTBLANK(OFFSET(A$1,,,SUMPRODUCT(MAX(ROW(E$2:E1368)*(E1368=E$2:E1368)))))-COUNTBLANK(OFFSET(A$1,,,SUMPRODUCT(MAX(ROW(E$1:E1367)*(E2=E$1:E1367))))))</f>
        <v/>
      </c>
      <c r="K1368" s="24" t="str">
        <f>IF(OR(E1368="",E1368="!!!",F1368="NEW"),"",INDEX(J$1:J1367,SUMPRODUCT(MAX(ROW(E$1:E1367)*(E1368=E$1:E1367)))))</f>
        <v/>
      </c>
      <c r="L1368" s="25"/>
    </row>
    <row r="1369" spans="1:12" x14ac:dyDescent="0.3">
      <c r="A1369" t="s">
        <v>273</v>
      </c>
      <c r="E1369" s="20" t="str">
        <f t="shared" si="150"/>
        <v/>
      </c>
      <c r="F1369" s="21" t="str">
        <f>IF(OR(E1369="",E1369="!!!"),"",IF(NOT(ISNA(VLOOKUP(E1369,E$1:E1368,1,FALSE()))),"OLD",IF(AND(E1369&lt;&gt;"",E1369&lt;&gt;"!!!"),"NEW","")))</f>
        <v/>
      </c>
      <c r="G1369" s="22" t="str">
        <f>IF(OR(E1369="",E1369="!!!"),"",IF(OR(J1369=0,AND(J1369=1,K1369=1),AND(J1369=1,I1369="SBJ"),AND(J1369=1,I1369=0)),"?IN_FOCUS",IF(J1369&lt;=2,"?ACTIVATED",IF(J1369&lt;&gt;"","?FAMILIAR",IF(F1369="NEW",IF(ISNA(VLOOKUP(E1369,#REF!,1,FALSE())),"?TYPE_IDENTIFIABLE","?REFERENTIAL"),"_")))))</f>
        <v/>
      </c>
      <c r="H1369" s="23" t="str">
        <f t="shared" ca="1" si="151"/>
        <v/>
      </c>
      <c r="I1369" s="24" t="str">
        <f>IF(OR(E1369="",E1369="!!!",F1369="NEW"),"",INDEX(B$2:B1368,-1+SUMPRODUCT(MAX(ROW(E$2:E1368)*(E1369=E$2:E1368)))))</f>
        <v/>
      </c>
      <c r="J1369" s="24" t="str">
        <f ca="1">IF(OR(E1369="",E1369="!!!",F1369="NEW"),"",COUNTBLANK(OFFSET(A$1,,,SUMPRODUCT(MAX(ROW(E$2:E1369)*(E1369=E$2:E1369)))))-COUNTBLANK(OFFSET(A$1,,,SUMPRODUCT(MAX(ROW(E$1:E1368)*(E2=E$1:E1368))))))</f>
        <v/>
      </c>
      <c r="K1369" s="24" t="str">
        <f>IF(OR(E1369="",E1369="!!!",F1369="NEW"),"",INDEX(J$1:J1368,SUMPRODUCT(MAX(ROW(E$1:E1368)*(E1369=E$1:E1368)))))</f>
        <v/>
      </c>
      <c r="L1369" s="25"/>
    </row>
    <row r="1370" spans="1:12" x14ac:dyDescent="0.3">
      <c r="A1370" t="s">
        <v>781</v>
      </c>
      <c r="E1370" s="20" t="str">
        <f t="shared" si="150"/>
        <v/>
      </c>
      <c r="F1370" s="21" t="str">
        <f>IF(OR(E1370="",E1370="!!!"),"",IF(NOT(ISNA(VLOOKUP(E1370,E$1:E1369,1,FALSE()))),"OLD",IF(AND(E1370&lt;&gt;"",E1370&lt;&gt;"!!!"),"NEW","")))</f>
        <v/>
      </c>
      <c r="G1370" s="22" t="str">
        <f>IF(OR(E1370="",E1370="!!!"),"",IF(OR(J1370=0,AND(J1370=1,K1370=1),AND(J1370=1,I1370="SBJ"),AND(J1370=1,I1370=0)),"?IN_FOCUS",IF(J1370&lt;=2,"?ACTIVATED",IF(J1370&lt;&gt;"","?FAMILIAR",IF(F1370="NEW",IF(ISNA(VLOOKUP(E1370,#REF!,1,FALSE())),"?TYPE_IDENTIFIABLE","?REFERENTIAL"),"_")))))</f>
        <v/>
      </c>
      <c r="H1370" s="23" t="str">
        <f t="shared" ca="1" si="151"/>
        <v/>
      </c>
      <c r="I1370" s="24" t="str">
        <f>IF(OR(E1370="",E1370="!!!",F1370="NEW"),"",INDEX(B$2:B1369,-1+SUMPRODUCT(MAX(ROW(E$2:E1369)*(E1370=E$2:E1369)))))</f>
        <v/>
      </c>
      <c r="J1370" s="24" t="str">
        <f ca="1">IF(OR(E1370="",E1370="!!!",F1370="NEW"),"",COUNTBLANK(OFFSET(A$1,,,SUMPRODUCT(MAX(ROW(E$2:E1370)*(E1370=E$2:E1370)))))-COUNTBLANK(OFFSET(A$1,,,SUMPRODUCT(MAX(ROW(E$1:E1369)*(E2=E$1:E1369))))))</f>
        <v/>
      </c>
      <c r="K1370" s="24" t="str">
        <f>IF(OR(E1370="",E1370="!!!",F1370="NEW"),"",INDEX(J$1:J1369,SUMPRODUCT(MAX(ROW(E$1:E1369)*(E1370=E$1:E1369)))))</f>
        <v/>
      </c>
      <c r="L1370" s="25"/>
    </row>
    <row r="1371" spans="1:12" x14ac:dyDescent="0.3">
      <c r="A1371" t="s">
        <v>782</v>
      </c>
      <c r="B1371" s="26" t="s">
        <v>261</v>
      </c>
      <c r="C1371" s="26" t="s">
        <v>262</v>
      </c>
      <c r="E1371" s="20" t="str">
        <f t="shared" si="150"/>
        <v/>
      </c>
      <c r="F1371" s="21" t="str">
        <f>IF(OR(E1371="",E1371="!!!"),"",IF(NOT(ISNA(VLOOKUP(E1371,E$1:E1370,1,FALSE()))),"OLD",IF(AND(E1371&lt;&gt;"",E1371&lt;&gt;"!!!"),"NEW","")))</f>
        <v/>
      </c>
      <c r="G1371" s="22" t="str">
        <f>IF(OR(E1371="",E1371="!!!"),"",IF(OR(J1371=0,AND(J1371=1,K1371=1),AND(J1371=1,I1371="SBJ"),AND(J1371=1,I1371=0)),"?IN_FOCUS",IF(J1371&lt;=2,"?ACTIVATED",IF(J1371&lt;&gt;"","?FAMILIAR",IF(F1371="NEW",IF(ISNA(VLOOKUP(E1371,#REF!,1,FALSE())),"?TYPE_IDENTIFIABLE","?REFERENTIAL"),"_")))))</f>
        <v/>
      </c>
      <c r="H1371" s="23" t="str">
        <f t="shared" ca="1" si="151"/>
        <v/>
      </c>
      <c r="I1371" s="24" t="str">
        <f>IF(OR(E1371="",E1371="!!!",F1371="NEW"),"",INDEX(B$2:B1370,-1+SUMPRODUCT(MAX(ROW(E$2:E1370)*(E1371=E$2:E1370)))))</f>
        <v/>
      </c>
      <c r="J1371" s="24" t="str">
        <f ca="1">IF(OR(E1371="",E1371="!!!",F1371="NEW"),"",COUNTBLANK(OFFSET(A$1,,,SUMPRODUCT(MAX(ROW(E$2:E1371)*(E1371=E$2:E1371)))))-COUNTBLANK(OFFSET(A$1,,,SUMPRODUCT(MAX(ROW(E$1:E1370)*(E2=E$1:E1370))))))</f>
        <v/>
      </c>
      <c r="K1371" s="24" t="str">
        <f>IF(OR(E1371="",E1371="!!!",F1371="NEW"),"",INDEX(J$1:J1370,SUMPRODUCT(MAX(ROW(E$1:E1370)*(E1371=E$1:E1370)))))</f>
        <v/>
      </c>
      <c r="L1371" s="25"/>
    </row>
    <row r="1372" spans="1:12" x14ac:dyDescent="0.3">
      <c r="A1372" t="s">
        <v>245</v>
      </c>
      <c r="E1372" s="20" t="str">
        <f t="shared" si="150"/>
        <v/>
      </c>
      <c r="F1372" s="21" t="str">
        <f>IF(OR(E1372="",E1372="!!!"),"",IF(NOT(ISNA(VLOOKUP(E1372,E$1:E1371,1,FALSE()))),"OLD",IF(AND(E1372&lt;&gt;"",E1372&lt;&gt;"!!!"),"NEW","")))</f>
        <v/>
      </c>
      <c r="G1372" s="22" t="str">
        <f>IF(OR(E1372="",E1372="!!!"),"",IF(OR(J1372=0,AND(J1372=1,K1372=1),AND(J1372=1,I1372="SBJ"),AND(J1372=1,I1372=0)),"?IN_FOCUS",IF(J1372&lt;=2,"?ACTIVATED",IF(J1372&lt;&gt;"","?FAMILIAR",IF(F1372="NEW",IF(ISNA(VLOOKUP(E1372,#REF!,1,FALSE())),"?TYPE_IDENTIFIABLE","?REFERENTIAL"),"_")))))</f>
        <v/>
      </c>
      <c r="H1372" s="23" t="str">
        <f t="shared" ca="1" si="151"/>
        <v/>
      </c>
      <c r="I1372" s="24" t="str">
        <f>IF(OR(E1372="",E1372="!!!",F1372="NEW"),"",INDEX(B$2:B1371,-1+SUMPRODUCT(MAX(ROW(E$2:E1371)*(E1372=E$2:E1371)))))</f>
        <v/>
      </c>
      <c r="J1372" s="24" t="str">
        <f ca="1">IF(OR(E1372="",E1372="!!!",F1372="NEW"),"",COUNTBLANK(OFFSET(A$1,,,SUMPRODUCT(MAX(ROW(E$2:E1372)*(E1372=E$2:E1372)))))-COUNTBLANK(OFFSET(A$1,,,SUMPRODUCT(MAX(ROW(E$1:E1371)*(E2=E$1:E1371))))))</f>
        <v/>
      </c>
      <c r="K1372" s="24" t="str">
        <f>IF(OR(E1372="",E1372="!!!",F1372="NEW"),"",INDEX(J$1:J1371,SUMPRODUCT(MAX(ROW(E$1:E1371)*(E1372=E$1:E1371)))))</f>
        <v/>
      </c>
      <c r="L1372" s="25"/>
    </row>
    <row r="1373" spans="1:12" x14ac:dyDescent="0.3">
      <c r="A1373" t="s">
        <v>236</v>
      </c>
      <c r="E1373" s="20" t="str">
        <f t="shared" si="150"/>
        <v/>
      </c>
      <c r="F1373" s="21" t="str">
        <f>IF(OR(E1373="",E1373="!!!"),"",IF(NOT(ISNA(VLOOKUP(E1373,E$1:E1372,1,FALSE()))),"OLD",IF(AND(E1373&lt;&gt;"",E1373&lt;&gt;"!!!"),"NEW","")))</f>
        <v/>
      </c>
      <c r="G1373" s="22" t="str">
        <f>IF(OR(E1373="",E1373="!!!"),"",IF(OR(J1373=0,AND(J1373=1,K1373=1),AND(J1373=1,I1373="SBJ"),AND(J1373=1,I1373=0)),"?IN_FOCUS",IF(J1373&lt;=2,"?ACTIVATED",IF(J1373&lt;&gt;"","?FAMILIAR",IF(F1373="NEW",IF(ISNA(VLOOKUP(E1373,#REF!,1,FALSE())),"?TYPE_IDENTIFIABLE","?REFERENTIAL"),"_")))))</f>
        <v/>
      </c>
      <c r="H1373" s="23" t="str">
        <f t="shared" ca="1" si="151"/>
        <v/>
      </c>
      <c r="I1373" s="24" t="str">
        <f>IF(OR(E1373="",E1373="!!!",F1373="NEW"),"",INDEX(B$2:B1372,-1+SUMPRODUCT(MAX(ROW(E$2:E1372)*(E1373=E$2:E1372)))))</f>
        <v/>
      </c>
      <c r="J1373" s="24" t="str">
        <f ca="1">IF(OR(E1373="",E1373="!!!",F1373="NEW"),"",COUNTBLANK(OFFSET(A$1,,,SUMPRODUCT(MAX(ROW(E$2:E1373)*(E1373=E$2:E1373)))))-COUNTBLANK(OFFSET(A$1,,,SUMPRODUCT(MAX(ROW(E$1:E1372)*(E2=E$1:E1372))))))</f>
        <v/>
      </c>
      <c r="K1373" s="24" t="str">
        <f>IF(OR(E1373="",E1373="!!!",F1373="NEW"),"",INDEX(J$1:J1372,SUMPRODUCT(MAX(ROW(E$1:E1372)*(E1373=E$1:E1372)))))</f>
        <v/>
      </c>
      <c r="L1373" s="25"/>
    </row>
    <row r="1374" spans="1:12" x14ac:dyDescent="0.3">
      <c r="A1374" t="s">
        <v>389</v>
      </c>
      <c r="E1374" s="20" t="str">
        <f t="shared" si="150"/>
        <v/>
      </c>
      <c r="F1374" s="21" t="str">
        <f>IF(OR(E1374="",E1374="!!!"),"",IF(NOT(ISNA(VLOOKUP(E1374,E$1:E1373,1,FALSE()))),"OLD",IF(AND(E1374&lt;&gt;"",E1374&lt;&gt;"!!!"),"NEW","")))</f>
        <v/>
      </c>
      <c r="G1374" s="22" t="str">
        <f>IF(OR(E1374="",E1374="!!!"),"",IF(OR(J1374=0,AND(J1374=1,K1374=1),AND(J1374=1,I1374="SBJ"),AND(J1374=1,I1374=0)),"?IN_FOCUS",IF(J1374&lt;=2,"?ACTIVATED",IF(J1374&lt;&gt;"","?FAMILIAR",IF(F1374="NEW",IF(ISNA(VLOOKUP(E1374,#REF!,1,FALSE())),"?TYPE_IDENTIFIABLE","?REFERENTIAL"),"_")))))</f>
        <v/>
      </c>
      <c r="H1374" s="23" t="str">
        <f t="shared" ca="1" si="151"/>
        <v/>
      </c>
      <c r="I1374" s="24" t="str">
        <f>IF(OR(E1374="",E1374="!!!",F1374="NEW"),"",INDEX(B$2:B1373,-1+SUMPRODUCT(MAX(ROW(E$2:E1373)*(E1374=E$2:E1373)))))</f>
        <v/>
      </c>
      <c r="J1374" s="24" t="str">
        <f ca="1">IF(OR(E1374="",E1374="!!!",F1374="NEW"),"",COUNTBLANK(OFFSET(A$1,,,SUMPRODUCT(MAX(ROW(E$2:E1374)*(E1374=E$2:E1374)))))-COUNTBLANK(OFFSET(A$1,,,SUMPRODUCT(MAX(ROW(E$1:E1373)*(E2=E$1:E1373))))))</f>
        <v/>
      </c>
      <c r="K1374" s="24" t="str">
        <f>IF(OR(E1374="",E1374="!!!",F1374="NEW"),"",INDEX(J$1:J1373,SUMPRODUCT(MAX(ROW(E$1:E1373)*(E1374=E$1:E1373)))))</f>
        <v/>
      </c>
      <c r="L1374" s="25"/>
    </row>
    <row r="1375" spans="1:12" x14ac:dyDescent="0.3">
      <c r="A1375" t="s">
        <v>11</v>
      </c>
      <c r="E1375" s="20" t="str">
        <f t="shared" si="150"/>
        <v/>
      </c>
      <c r="F1375" s="21" t="str">
        <f>IF(OR(E1375="",E1375="!!!"),"",IF(NOT(ISNA(VLOOKUP(E1375,E$1:E1374,1,FALSE()))),"OLD",IF(AND(E1375&lt;&gt;"",E1375&lt;&gt;"!!!"),"NEW","")))</f>
        <v/>
      </c>
      <c r="G1375" s="22" t="str">
        <f>IF(OR(E1375="",E1375="!!!"),"",IF(OR(J1375=0,AND(J1375=1,K1375=1),AND(J1375=1,I1375="SBJ"),AND(J1375=1,I1375=0)),"?IN_FOCUS",IF(J1375&lt;=2,"?ACTIVATED",IF(J1375&lt;&gt;"","?FAMILIAR",IF(F1375="NEW",IF(ISNA(VLOOKUP(E1375,#REF!,1,FALSE())),"?TYPE_IDENTIFIABLE","?REFERENTIAL"),"_")))))</f>
        <v/>
      </c>
      <c r="H1375" s="23" t="str">
        <f t="shared" ca="1" si="151"/>
        <v/>
      </c>
      <c r="I1375" s="24" t="str">
        <f>IF(OR(E1375="",E1375="!!!",F1375="NEW"),"",INDEX(B$2:B1374,-1+SUMPRODUCT(MAX(ROW(E$2:E1374)*(E1375=E$2:E1374)))))</f>
        <v/>
      </c>
      <c r="J1375" s="24" t="str">
        <f ca="1">IF(OR(E1375="",E1375="!!!",F1375="NEW"),"",COUNTBLANK(OFFSET(A$1,,,SUMPRODUCT(MAX(ROW(E$2:E1375)*(E1375=E$2:E1375)))))-COUNTBLANK(OFFSET(A$1,,,SUMPRODUCT(MAX(ROW(E$1:E1374)*(E2=E$1:E1374))))))</f>
        <v/>
      </c>
      <c r="K1375" s="24" t="str">
        <f>IF(OR(E1375="",E1375="!!!",F1375="NEW"),"",INDEX(J$1:J1374,SUMPRODUCT(MAX(ROW(E$1:E1374)*(E1375=E$1:E1374)))))</f>
        <v/>
      </c>
      <c r="L1375" s="25"/>
    </row>
    <row r="1376" spans="1:12" x14ac:dyDescent="0.3">
      <c r="A1376" t="s">
        <v>264</v>
      </c>
      <c r="B1376" s="26" t="s">
        <v>272</v>
      </c>
      <c r="C1376" s="26" t="s">
        <v>239</v>
      </c>
      <c r="D1376" s="26" t="s">
        <v>240</v>
      </c>
      <c r="E1376" s="20" t="str">
        <f t="shared" si="150"/>
        <v>!!!</v>
      </c>
      <c r="F1376" s="21" t="str">
        <f>IF(OR(E1376="",E1376="!!!"),"",IF(NOT(ISNA(VLOOKUP(E1376,E$1:E1375,1,FALSE()))),"OLD",IF(AND(E1376&lt;&gt;"",E1376&lt;&gt;"!!!"),"NEW","")))</f>
        <v/>
      </c>
      <c r="G1376" s="22" t="str">
        <f>IF(OR(E1376="",E1376="!!!"),"",IF(OR(J1376=0,AND(J1376=1,K1376=1),AND(J1376=1,I1376="SBJ"),AND(J1376=1,I1376=0)),"?IN_FOCUS",IF(J1376&lt;=2,"?ACTIVATED",IF(J1376&lt;&gt;"","?FAMILIAR",IF(F1376="NEW",IF(ISNA(VLOOKUP(E1376,#REF!,1,FALSE())),"?TYPE_IDENTIFIABLE","?REFERENTIAL"),"_")))))</f>
        <v/>
      </c>
      <c r="H1376" s="23" t="str">
        <f t="shared" ca="1" si="151"/>
        <v/>
      </c>
      <c r="I1376" s="24" t="str">
        <f>IF(OR(E1376="",E1376="!!!",F1376="NEW"),"",INDEX(B$2:B1375,-1+SUMPRODUCT(MAX(ROW(E$2:E1375)*(E1376=E$2:E1375)))))</f>
        <v/>
      </c>
      <c r="J1376" s="24" t="str">
        <f ca="1">IF(OR(E1376="",E1376="!!!",F1376="NEW"),"",COUNTBLANK(OFFSET(A$1,,,SUMPRODUCT(MAX(ROW(E$2:E1376)*(E1376=E$2:E1376)))))-COUNTBLANK(OFFSET(A$1,,,SUMPRODUCT(MAX(ROW(E$1:E1375)*(E2=E$1:E1375))))))</f>
        <v/>
      </c>
      <c r="K1376" s="24" t="str">
        <f>IF(OR(E1376="",E1376="!!!",F1376="NEW"),"",INDEX(J$1:J1375,SUMPRODUCT(MAX(ROW(E$1:E1375)*(E1376=E$1:E1375)))))</f>
        <v/>
      </c>
      <c r="L1376" s="25"/>
    </row>
    <row r="1377" spans="1:12" x14ac:dyDescent="0.3">
      <c r="A1377" t="s">
        <v>248</v>
      </c>
      <c r="E1377" s="20" t="str">
        <f t="shared" si="150"/>
        <v/>
      </c>
      <c r="F1377" s="21" t="str">
        <f>IF(OR(E1377="",E1377="!!!"),"",IF(NOT(ISNA(VLOOKUP(E1377,E$1:E1376,1,FALSE()))),"OLD",IF(AND(E1377&lt;&gt;"",E1377&lt;&gt;"!!!"),"NEW","")))</f>
        <v/>
      </c>
      <c r="G1377" s="22" t="str">
        <f>IF(OR(E1377="",E1377="!!!"),"",IF(OR(J1377=0,AND(J1377=1,K1377=1),AND(J1377=1,I1377="SBJ"),AND(J1377=1,I1377=0)),"?IN_FOCUS",IF(J1377&lt;=2,"?ACTIVATED",IF(J1377&lt;&gt;"","?FAMILIAR",IF(F1377="NEW",IF(ISNA(VLOOKUP(E1377,#REF!,1,FALSE())),"?TYPE_IDENTIFIABLE","?REFERENTIAL"),"_")))))</f>
        <v/>
      </c>
      <c r="H1377" s="23" t="str">
        <f t="shared" ca="1" si="151"/>
        <v/>
      </c>
      <c r="I1377" s="24" t="str">
        <f>IF(OR(E1377="",E1377="!!!",F1377="NEW"),"",INDEX(B$2:B1376,-1+SUMPRODUCT(MAX(ROW(E$2:E1376)*(E1377=E$2:E1376)))))</f>
        <v/>
      </c>
      <c r="J1377" s="24" t="str">
        <f ca="1">IF(OR(E1377="",E1377="!!!",F1377="NEW"),"",COUNTBLANK(OFFSET(A$1,,,SUMPRODUCT(MAX(ROW(E$2:E1377)*(E1377=E$2:E1377)))))-COUNTBLANK(OFFSET(A$1,,,SUMPRODUCT(MAX(ROW(E$1:E1376)*(E2=E$1:E1376))))))</f>
        <v/>
      </c>
      <c r="K1377" s="24" t="str">
        <f>IF(OR(E1377="",E1377="!!!",F1377="NEW"),"",INDEX(J$1:J1376,SUMPRODUCT(MAX(ROW(E$1:E1376)*(E1377=E$1:E1376)))))</f>
        <v/>
      </c>
      <c r="L1377" s="25"/>
    </row>
    <row r="1379" spans="1:12" x14ac:dyDescent="0.3">
      <c r="A1379" t="s">
        <v>783</v>
      </c>
    </row>
    <row r="1380" spans="1:12" x14ac:dyDescent="0.3">
      <c r="A1380" t="s">
        <v>636</v>
      </c>
      <c r="E1380" s="20" t="str">
        <f t="shared" ref="E1380:E1404" si="152">IF(D1380="?OLD","!!!","")</f>
        <v/>
      </c>
      <c r="F1380" s="21" t="str">
        <f>IF(OR(E1380="",E1380="!!!"),"",IF(NOT(ISNA(VLOOKUP(E1380,E$1:E1379,1,FALSE()))),"OLD",IF(AND(E1380&lt;&gt;"",E1380&lt;&gt;"!!!"),"NEW","")))</f>
        <v/>
      </c>
      <c r="G1380" s="22" t="str">
        <f>IF(OR(E1380="",E1380="!!!"),"",IF(OR(J1380=0,AND(J1380=1,K1380=1),AND(J1380=1,I1380="SBJ"),AND(J1380=1,I1380=0)),"?IN_FOCUS",IF(J1380&lt;=2,"?ACTIVATED",IF(J1380&lt;&gt;"","?FAMILIAR",IF(F1380="NEW",IF(ISNA(VLOOKUP(E1380,#REF!,1,FALSE())),"?TYPE_IDENTIFIABLE","?REFERENTIAL"),"_")))))</f>
        <v/>
      </c>
      <c r="H1380" s="23" t="str">
        <f t="shared" ref="H1380:H1404" ca="1" si="153">IF(J1380&lt;&gt;1,"",IF(I1380="SBJ","CB","?"))</f>
        <v/>
      </c>
      <c r="I1380" s="24" t="str">
        <f>IF(OR(E1380="",E1380="!!!",F1380="NEW"),"",INDEX(B$2:B1379,-1+SUMPRODUCT(MAX(ROW(E$2:E1379)*(E1380=E$2:E1379)))))</f>
        <v/>
      </c>
      <c r="J1380" s="24" t="str">
        <f ca="1">IF(OR(E1380="",E1380="!!!",F1380="NEW"),"",COUNTBLANK(OFFSET(A$1,,,SUMPRODUCT(MAX(ROW(E$2:E1380)*(E1380=E$2:E1380)))))-COUNTBLANK(OFFSET(A$1,,,SUMPRODUCT(MAX(ROW(E$1:E1379)*(E2=E$1:E1379))))))</f>
        <v/>
      </c>
      <c r="K1380" s="24" t="str">
        <f>IF(OR(E1380="",E1380="!!!",F1380="NEW"),"",INDEX(J$1:J1379,SUMPRODUCT(MAX(ROW(E$1:E1379)*(E1380=E$1:E1379)))))</f>
        <v/>
      </c>
      <c r="L1380" s="25"/>
    </row>
    <row r="1381" spans="1:12" x14ac:dyDescent="0.3">
      <c r="A1381" t="s">
        <v>254</v>
      </c>
      <c r="B1381" s="26" t="s">
        <v>255</v>
      </c>
      <c r="C1381" s="26" t="s">
        <v>256</v>
      </c>
      <c r="D1381" s="26" t="s">
        <v>240</v>
      </c>
      <c r="E1381" s="20" t="str">
        <f t="shared" si="152"/>
        <v>!!!</v>
      </c>
      <c r="F1381" s="21" t="str">
        <f>IF(OR(E1381="",E1381="!!!"),"",IF(NOT(ISNA(VLOOKUP(E1381,E$1:E1380,1,FALSE()))),"OLD",IF(AND(E1381&lt;&gt;"",E1381&lt;&gt;"!!!"),"NEW","")))</f>
        <v/>
      </c>
      <c r="G1381" s="22" t="str">
        <f>IF(OR(E1381="",E1381="!!!"),"",IF(OR(J1381=0,AND(J1381=1,K1381=1),AND(J1381=1,I1381="SBJ"),AND(J1381=1,I1381=0)),"?IN_FOCUS",IF(J1381&lt;=2,"?ACTIVATED",IF(J1381&lt;&gt;"","?FAMILIAR",IF(F1381="NEW",IF(ISNA(VLOOKUP(E1381,#REF!,1,FALSE())),"?TYPE_IDENTIFIABLE","?REFERENTIAL"),"_")))))</f>
        <v/>
      </c>
      <c r="H1381" s="23" t="str">
        <f t="shared" ca="1" si="153"/>
        <v/>
      </c>
      <c r="I1381" s="24" t="str">
        <f>IF(OR(E1381="",E1381="!!!",F1381="NEW"),"",INDEX(B$2:B1380,-1+SUMPRODUCT(MAX(ROW(E$2:E1380)*(E1381=E$2:E1380)))))</f>
        <v/>
      </c>
      <c r="J1381" s="24" t="str">
        <f ca="1">IF(OR(E1381="",E1381="!!!",F1381="NEW"),"",COUNTBLANK(OFFSET(A$1,,,SUMPRODUCT(MAX(ROW(E$2:E1381)*(E1381=E$2:E1381)))))-COUNTBLANK(OFFSET(A$1,,,SUMPRODUCT(MAX(ROW(E$1:E1380)*(E2=E$1:E1380))))))</f>
        <v/>
      </c>
      <c r="K1381" s="24" t="str">
        <f>IF(OR(E1381="",E1381="!!!",F1381="NEW"),"",INDEX(J$1:J1380,SUMPRODUCT(MAX(ROW(E$1:E1380)*(E1381=E$1:E1380)))))</f>
        <v/>
      </c>
      <c r="L1381" s="25"/>
    </row>
    <row r="1382" spans="1:12" x14ac:dyDescent="0.3">
      <c r="A1382" t="s">
        <v>263</v>
      </c>
      <c r="E1382" s="20" t="str">
        <f t="shared" si="152"/>
        <v/>
      </c>
      <c r="F1382" s="21" t="str">
        <f>IF(OR(E1382="",E1382="!!!"),"",IF(NOT(ISNA(VLOOKUP(E1382,E$1:E1381,1,FALSE()))),"OLD",IF(AND(E1382&lt;&gt;"",E1382&lt;&gt;"!!!"),"NEW","")))</f>
        <v/>
      </c>
      <c r="G1382" s="22" t="str">
        <f>IF(OR(E1382="",E1382="!!!"),"",IF(OR(J1382=0,AND(J1382=1,K1382=1),AND(J1382=1,I1382="SBJ"),AND(J1382=1,I1382=0)),"?IN_FOCUS",IF(J1382&lt;=2,"?ACTIVATED",IF(J1382&lt;&gt;"","?FAMILIAR",IF(F1382="NEW",IF(ISNA(VLOOKUP(E1382,#REF!,1,FALSE())),"?TYPE_IDENTIFIABLE","?REFERENTIAL"),"_")))))</f>
        <v/>
      </c>
      <c r="H1382" s="23" t="str">
        <f t="shared" ca="1" si="153"/>
        <v/>
      </c>
      <c r="I1382" s="24" t="str">
        <f>IF(OR(E1382="",E1382="!!!",F1382="NEW"),"",INDEX(B$2:B1381,-1+SUMPRODUCT(MAX(ROW(E$2:E1381)*(E1382=E$2:E1381)))))</f>
        <v/>
      </c>
      <c r="J1382" s="24" t="str">
        <f ca="1">IF(OR(E1382="",E1382="!!!",F1382="NEW"),"",COUNTBLANK(OFFSET(A$1,,,SUMPRODUCT(MAX(ROW(E$2:E1382)*(E1382=E$2:E1382)))))-COUNTBLANK(OFFSET(A$1,,,SUMPRODUCT(MAX(ROW(E$1:E1381)*(E2=E$1:E1381))))))</f>
        <v/>
      </c>
      <c r="K1382" s="24" t="str">
        <f>IF(OR(E1382="",E1382="!!!",F1382="NEW"),"",INDEX(J$1:J1381,SUMPRODUCT(MAX(ROW(E$1:E1381)*(E1382=E$1:E1381)))))</f>
        <v/>
      </c>
      <c r="L1382" s="25"/>
    </row>
    <row r="1383" spans="1:12" x14ac:dyDescent="0.3">
      <c r="A1383" t="s">
        <v>784</v>
      </c>
      <c r="E1383" s="20" t="str">
        <f t="shared" si="152"/>
        <v/>
      </c>
      <c r="F1383" s="21" t="str">
        <f>IF(OR(E1383="",E1383="!!!"),"",IF(NOT(ISNA(VLOOKUP(E1383,E$1:E1382,1,FALSE()))),"OLD",IF(AND(E1383&lt;&gt;"",E1383&lt;&gt;"!!!"),"NEW","")))</f>
        <v/>
      </c>
      <c r="G1383" s="22" t="str">
        <f>IF(OR(E1383="",E1383="!!!"),"",IF(OR(J1383=0,AND(J1383=1,K1383=1),AND(J1383=1,I1383="SBJ"),AND(J1383=1,I1383=0)),"?IN_FOCUS",IF(J1383&lt;=2,"?ACTIVATED",IF(J1383&lt;&gt;"","?FAMILIAR",IF(F1383="NEW",IF(ISNA(VLOOKUP(E1383,#REF!,1,FALSE())),"?TYPE_IDENTIFIABLE","?REFERENTIAL"),"_")))))</f>
        <v/>
      </c>
      <c r="H1383" s="23" t="str">
        <f t="shared" ca="1" si="153"/>
        <v/>
      </c>
      <c r="I1383" s="24" t="str">
        <f>IF(OR(E1383="",E1383="!!!",F1383="NEW"),"",INDEX(B$2:B1382,-1+SUMPRODUCT(MAX(ROW(E$2:E1382)*(E1383=E$2:E1382)))))</f>
        <v/>
      </c>
      <c r="J1383" s="24" t="str">
        <f ca="1">IF(OR(E1383="",E1383="!!!",F1383="NEW"),"",COUNTBLANK(OFFSET(A$1,,,SUMPRODUCT(MAX(ROW(E$2:E1383)*(E1383=E$2:E1383)))))-COUNTBLANK(OFFSET(A$1,,,SUMPRODUCT(MAX(ROW(E$1:E1382)*(E2=E$1:E1382))))))</f>
        <v/>
      </c>
      <c r="K1383" s="24" t="str">
        <f>IF(OR(E1383="",E1383="!!!",F1383="NEW"),"",INDEX(J$1:J1382,SUMPRODUCT(MAX(ROW(E$1:E1382)*(E1383=E$1:E1382)))))</f>
        <v/>
      </c>
      <c r="L1383" s="25"/>
    </row>
    <row r="1384" spans="1:12" x14ac:dyDescent="0.3">
      <c r="A1384" t="s">
        <v>264</v>
      </c>
      <c r="B1384" s="26" t="s">
        <v>265</v>
      </c>
      <c r="C1384" s="26" t="s">
        <v>262</v>
      </c>
      <c r="E1384" s="20" t="str">
        <f t="shared" si="152"/>
        <v/>
      </c>
      <c r="F1384" s="21" t="str">
        <f>IF(OR(E1384="",E1384="!!!"),"",IF(NOT(ISNA(VLOOKUP(E1384,E$1:E1383,1,FALSE()))),"OLD",IF(AND(E1384&lt;&gt;"",E1384&lt;&gt;"!!!"),"NEW","")))</f>
        <v/>
      </c>
      <c r="G1384" s="22" t="str">
        <f>IF(OR(E1384="",E1384="!!!"),"",IF(OR(J1384=0,AND(J1384=1,K1384=1),AND(J1384=1,I1384="SBJ"),AND(J1384=1,I1384=0)),"?IN_FOCUS",IF(J1384&lt;=2,"?ACTIVATED",IF(J1384&lt;&gt;"","?FAMILIAR",IF(F1384="NEW",IF(ISNA(VLOOKUP(E1384,#REF!,1,FALSE())),"?TYPE_IDENTIFIABLE","?REFERENTIAL"),"_")))))</f>
        <v/>
      </c>
      <c r="H1384" s="23" t="str">
        <f t="shared" ca="1" si="153"/>
        <v/>
      </c>
      <c r="I1384" s="24" t="str">
        <f>IF(OR(E1384="",E1384="!!!",F1384="NEW"),"",INDEX(B$2:B1383,-1+SUMPRODUCT(MAX(ROW(E$2:E1383)*(E1384=E$2:E1383)))))</f>
        <v/>
      </c>
      <c r="J1384" s="24" t="str">
        <f ca="1">IF(OR(E1384="",E1384="!!!",F1384="NEW"),"",COUNTBLANK(OFFSET(A$1,,,SUMPRODUCT(MAX(ROW(E$2:E1384)*(E1384=E$2:E1384)))))-COUNTBLANK(OFFSET(A$1,,,SUMPRODUCT(MAX(ROW(E$1:E1383)*(E2=E$1:E1383))))))</f>
        <v/>
      </c>
      <c r="K1384" s="24" t="str">
        <f>IF(OR(E1384="",E1384="!!!",F1384="NEW"),"",INDEX(J$1:J1383,SUMPRODUCT(MAX(ROW(E$1:E1383)*(E1384=E$1:E1383)))))</f>
        <v/>
      </c>
      <c r="L1384" s="25"/>
    </row>
    <row r="1385" spans="1:12" x14ac:dyDescent="0.3">
      <c r="A1385" t="s">
        <v>252</v>
      </c>
      <c r="E1385" s="20" t="str">
        <f t="shared" si="152"/>
        <v/>
      </c>
      <c r="F1385" s="21" t="str">
        <f>IF(OR(E1385="",E1385="!!!"),"",IF(NOT(ISNA(VLOOKUP(E1385,E$1:E1384,1,FALSE()))),"OLD",IF(AND(E1385&lt;&gt;"",E1385&lt;&gt;"!!!"),"NEW","")))</f>
        <v/>
      </c>
      <c r="G1385" s="22" t="str">
        <f>IF(OR(E1385="",E1385="!!!"),"",IF(OR(J1385=0,AND(J1385=1,K1385=1),AND(J1385=1,I1385="SBJ"),AND(J1385=1,I1385=0)),"?IN_FOCUS",IF(J1385&lt;=2,"?ACTIVATED",IF(J1385&lt;&gt;"","?FAMILIAR",IF(F1385="NEW",IF(ISNA(VLOOKUP(E1385,#REF!,1,FALSE())),"?TYPE_IDENTIFIABLE","?REFERENTIAL"),"_")))))</f>
        <v/>
      </c>
      <c r="H1385" s="23" t="str">
        <f t="shared" ca="1" si="153"/>
        <v/>
      </c>
      <c r="I1385" s="24" t="str">
        <f>IF(OR(E1385="",E1385="!!!",F1385="NEW"),"",INDEX(B$2:B1384,-1+SUMPRODUCT(MAX(ROW(E$2:E1384)*(E1385=E$2:E1384)))))</f>
        <v/>
      </c>
      <c r="J1385" s="24" t="str">
        <f ca="1">IF(OR(E1385="",E1385="!!!",F1385="NEW"),"",COUNTBLANK(OFFSET(A$1,,,SUMPRODUCT(MAX(ROW(E$2:E1385)*(E1385=E$2:E1385)))))-COUNTBLANK(OFFSET(A$1,,,SUMPRODUCT(MAX(ROW(E$1:E1384)*(E2=E$1:E1384))))))</f>
        <v/>
      </c>
      <c r="K1385" s="24" t="str">
        <f>IF(OR(E1385="",E1385="!!!",F1385="NEW"),"",INDEX(J$1:J1384,SUMPRODUCT(MAX(ROW(E$1:E1384)*(E1385=E$1:E1384)))))</f>
        <v/>
      </c>
      <c r="L1385" s="25"/>
    </row>
    <row r="1386" spans="1:12" x14ac:dyDescent="0.3">
      <c r="A1386" t="s">
        <v>263</v>
      </c>
      <c r="E1386" s="20" t="str">
        <f t="shared" si="152"/>
        <v/>
      </c>
      <c r="F1386" s="21" t="str">
        <f>IF(OR(E1386="",E1386="!!!"),"",IF(NOT(ISNA(VLOOKUP(E1386,E$1:E1385,1,FALSE()))),"OLD",IF(AND(E1386&lt;&gt;"",E1386&lt;&gt;"!!!"),"NEW","")))</f>
        <v/>
      </c>
      <c r="G1386" s="22" t="str">
        <f>IF(OR(E1386="",E1386="!!!"),"",IF(OR(J1386=0,AND(J1386=1,K1386=1),AND(J1386=1,I1386="SBJ"),AND(J1386=1,I1386=0)),"?IN_FOCUS",IF(J1386&lt;=2,"?ACTIVATED",IF(J1386&lt;&gt;"","?FAMILIAR",IF(F1386="NEW",IF(ISNA(VLOOKUP(E1386,#REF!,1,FALSE())),"?TYPE_IDENTIFIABLE","?REFERENTIAL"),"_")))))</f>
        <v/>
      </c>
      <c r="H1386" s="23" t="str">
        <f t="shared" ca="1" si="153"/>
        <v/>
      </c>
      <c r="I1386" s="24" t="str">
        <f>IF(OR(E1386="",E1386="!!!",F1386="NEW"),"",INDEX(B$2:B1385,-1+SUMPRODUCT(MAX(ROW(E$2:E1385)*(E1386=E$2:E1385)))))</f>
        <v/>
      </c>
      <c r="J1386" s="24" t="str">
        <f ca="1">IF(OR(E1386="",E1386="!!!",F1386="NEW"),"",COUNTBLANK(OFFSET(A$1,,,SUMPRODUCT(MAX(ROW(E$2:E1386)*(E1386=E$2:E1386)))))-COUNTBLANK(OFFSET(A$1,,,SUMPRODUCT(MAX(ROW(E$1:E1385)*(E2=E$1:E1385))))))</f>
        <v/>
      </c>
      <c r="K1386" s="24" t="str">
        <f>IF(OR(E1386="",E1386="!!!",F1386="NEW"),"",INDEX(J$1:J1385,SUMPRODUCT(MAX(ROW(E$1:E1385)*(E1386=E$1:E1385)))))</f>
        <v/>
      </c>
      <c r="L1386" s="25"/>
    </row>
    <row r="1387" spans="1:12" x14ac:dyDescent="0.3">
      <c r="A1387" t="s">
        <v>512</v>
      </c>
      <c r="E1387" s="20" t="str">
        <f t="shared" si="152"/>
        <v/>
      </c>
      <c r="F1387" s="21" t="str">
        <f>IF(OR(E1387="",E1387="!!!"),"",IF(NOT(ISNA(VLOOKUP(E1387,E$1:E1386,1,FALSE()))),"OLD",IF(AND(E1387&lt;&gt;"",E1387&lt;&gt;"!!!"),"NEW","")))</f>
        <v/>
      </c>
      <c r="G1387" s="22" t="str">
        <f>IF(OR(E1387="",E1387="!!!"),"",IF(OR(J1387=0,AND(J1387=1,K1387=1),AND(J1387=1,I1387="SBJ"),AND(J1387=1,I1387=0)),"?IN_FOCUS",IF(J1387&lt;=2,"?ACTIVATED",IF(J1387&lt;&gt;"","?FAMILIAR",IF(F1387="NEW",IF(ISNA(VLOOKUP(E1387,#REF!,1,FALSE())),"?TYPE_IDENTIFIABLE","?REFERENTIAL"),"_")))))</f>
        <v/>
      </c>
      <c r="H1387" s="23" t="str">
        <f t="shared" ca="1" si="153"/>
        <v/>
      </c>
      <c r="I1387" s="24" t="str">
        <f>IF(OR(E1387="",E1387="!!!",F1387="NEW"),"",INDEX(B$2:B1386,-1+SUMPRODUCT(MAX(ROW(E$2:E1386)*(E1387=E$2:E1386)))))</f>
        <v/>
      </c>
      <c r="J1387" s="24" t="str">
        <f ca="1">IF(OR(E1387="",E1387="!!!",F1387="NEW"),"",COUNTBLANK(OFFSET(A$1,,,SUMPRODUCT(MAX(ROW(E$2:E1387)*(E1387=E$2:E1387)))))-COUNTBLANK(OFFSET(A$1,,,SUMPRODUCT(MAX(ROW(E$1:E1386)*(E2=E$1:E1386))))))</f>
        <v/>
      </c>
      <c r="K1387" s="24" t="str">
        <f>IF(OR(E1387="",E1387="!!!",F1387="NEW"),"",INDEX(J$1:J1386,SUMPRODUCT(MAX(ROW(E$1:E1386)*(E1387=E$1:E1386)))))</f>
        <v/>
      </c>
      <c r="L1387" s="25"/>
    </row>
    <row r="1388" spans="1:12" x14ac:dyDescent="0.3">
      <c r="A1388" t="s">
        <v>785</v>
      </c>
      <c r="E1388" s="20" t="str">
        <f t="shared" si="152"/>
        <v/>
      </c>
      <c r="F1388" s="21" t="str">
        <f>IF(OR(E1388="",E1388="!!!"),"",IF(NOT(ISNA(VLOOKUP(E1388,E$1:E1387,1,FALSE()))),"OLD",IF(AND(E1388&lt;&gt;"",E1388&lt;&gt;"!!!"),"NEW","")))</f>
        <v/>
      </c>
      <c r="G1388" s="22" t="str">
        <f>IF(OR(E1388="",E1388="!!!"),"",IF(OR(J1388=0,AND(J1388=1,K1388=1),AND(J1388=1,I1388="SBJ"),AND(J1388=1,I1388=0)),"?IN_FOCUS",IF(J1388&lt;=2,"?ACTIVATED",IF(J1388&lt;&gt;"","?FAMILIAR",IF(F1388="NEW",IF(ISNA(VLOOKUP(E1388,#REF!,1,FALSE())),"?TYPE_IDENTIFIABLE","?REFERENTIAL"),"_")))))</f>
        <v/>
      </c>
      <c r="H1388" s="23" t="str">
        <f t="shared" ca="1" si="153"/>
        <v/>
      </c>
      <c r="I1388" s="24" t="str">
        <f>IF(OR(E1388="",E1388="!!!",F1388="NEW"),"",INDEX(B$2:B1387,-1+SUMPRODUCT(MAX(ROW(E$2:E1387)*(E1388=E$2:E1387)))))</f>
        <v/>
      </c>
      <c r="J1388" s="24" t="str">
        <f ca="1">IF(OR(E1388="",E1388="!!!",F1388="NEW"),"",COUNTBLANK(OFFSET(A$1,,,SUMPRODUCT(MAX(ROW(E$2:E1388)*(E1388=E$2:E1388)))))-COUNTBLANK(OFFSET(A$1,,,SUMPRODUCT(MAX(ROW(E$1:E1387)*(E2=E$1:E1387))))))</f>
        <v/>
      </c>
      <c r="K1388" s="24" t="str">
        <f>IF(OR(E1388="",E1388="!!!",F1388="NEW"),"",INDEX(J$1:J1387,SUMPRODUCT(MAX(ROW(E$1:E1387)*(E1388=E$1:E1387)))))</f>
        <v/>
      </c>
      <c r="L1388" s="25"/>
    </row>
    <row r="1389" spans="1:12" x14ac:dyDescent="0.3">
      <c r="A1389" t="s">
        <v>252</v>
      </c>
      <c r="E1389" s="20" t="str">
        <f t="shared" si="152"/>
        <v/>
      </c>
      <c r="F1389" s="21" t="str">
        <f>IF(OR(E1389="",E1389="!!!"),"",IF(NOT(ISNA(VLOOKUP(E1389,E$1:E1388,1,FALSE()))),"OLD",IF(AND(E1389&lt;&gt;"",E1389&lt;&gt;"!!!"),"NEW","")))</f>
        <v/>
      </c>
      <c r="G1389" s="22" t="str">
        <f>IF(OR(E1389="",E1389="!!!"),"",IF(OR(J1389=0,AND(J1389=1,K1389=1),AND(J1389=1,I1389="SBJ"),AND(J1389=1,I1389=0)),"?IN_FOCUS",IF(J1389&lt;=2,"?ACTIVATED",IF(J1389&lt;&gt;"","?FAMILIAR",IF(F1389="NEW",IF(ISNA(VLOOKUP(E1389,#REF!,1,FALSE())),"?TYPE_IDENTIFIABLE","?REFERENTIAL"),"_")))))</f>
        <v/>
      </c>
      <c r="H1389" s="23" t="str">
        <f t="shared" ca="1" si="153"/>
        <v/>
      </c>
      <c r="I1389" s="24" t="str">
        <f>IF(OR(E1389="",E1389="!!!",F1389="NEW"),"",INDEX(B$2:B1388,-1+SUMPRODUCT(MAX(ROW(E$2:E1388)*(E1389=E$2:E1388)))))</f>
        <v/>
      </c>
      <c r="J1389" s="24" t="str">
        <f ca="1">IF(OR(E1389="",E1389="!!!",F1389="NEW"),"",COUNTBLANK(OFFSET(A$1,,,SUMPRODUCT(MAX(ROW(E$2:E1389)*(E1389=E$2:E1389)))))-COUNTBLANK(OFFSET(A$1,,,SUMPRODUCT(MAX(ROW(E$1:E1388)*(E2=E$1:E1388))))))</f>
        <v/>
      </c>
      <c r="K1389" s="24" t="str">
        <f>IF(OR(E1389="",E1389="!!!",F1389="NEW"),"",INDEX(J$1:J1388,SUMPRODUCT(MAX(ROW(E$1:E1388)*(E1389=E$1:E1388)))))</f>
        <v/>
      </c>
      <c r="L1389" s="25"/>
    </row>
    <row r="1390" spans="1:12" x14ac:dyDescent="0.3">
      <c r="A1390" t="s">
        <v>283</v>
      </c>
      <c r="E1390" s="20" t="str">
        <f t="shared" si="152"/>
        <v/>
      </c>
      <c r="F1390" s="21" t="str">
        <f>IF(OR(E1390="",E1390="!!!"),"",IF(NOT(ISNA(VLOOKUP(E1390,E$1:E1389,1,FALSE()))),"OLD",IF(AND(E1390&lt;&gt;"",E1390&lt;&gt;"!!!"),"NEW","")))</f>
        <v/>
      </c>
      <c r="G1390" s="22" t="str">
        <f>IF(OR(E1390="",E1390="!!!"),"",IF(OR(J1390=0,AND(J1390=1,K1390=1),AND(J1390=1,I1390="SBJ"),AND(J1390=1,I1390=0)),"?IN_FOCUS",IF(J1390&lt;=2,"?ACTIVATED",IF(J1390&lt;&gt;"","?FAMILIAR",IF(F1390="NEW",IF(ISNA(VLOOKUP(E1390,#REF!,1,FALSE())),"?TYPE_IDENTIFIABLE","?REFERENTIAL"),"_")))))</f>
        <v/>
      </c>
      <c r="H1390" s="23" t="str">
        <f t="shared" ca="1" si="153"/>
        <v/>
      </c>
      <c r="I1390" s="24" t="str">
        <f>IF(OR(E1390="",E1390="!!!",F1390="NEW"),"",INDEX(B$2:B1389,-1+SUMPRODUCT(MAX(ROW(E$2:E1389)*(E1390=E$2:E1389)))))</f>
        <v/>
      </c>
      <c r="J1390" s="24" t="str">
        <f ca="1">IF(OR(E1390="",E1390="!!!",F1390="NEW"),"",COUNTBLANK(OFFSET(A$1,,,SUMPRODUCT(MAX(ROW(E$2:E1390)*(E1390=E$2:E1390)))))-COUNTBLANK(OFFSET(A$1,,,SUMPRODUCT(MAX(ROW(E$1:E1389)*(E2=E$1:E1389))))))</f>
        <v/>
      </c>
      <c r="K1390" s="24" t="str">
        <f>IF(OR(E1390="",E1390="!!!",F1390="NEW"),"",INDEX(J$1:J1389,SUMPRODUCT(MAX(ROW(E$1:E1389)*(E1390=E$1:E1389)))))</f>
        <v/>
      </c>
      <c r="L1390" s="25"/>
    </row>
    <row r="1391" spans="1:12" x14ac:dyDescent="0.3">
      <c r="A1391" t="s">
        <v>786</v>
      </c>
      <c r="E1391" s="20" t="str">
        <f t="shared" si="152"/>
        <v/>
      </c>
      <c r="F1391" s="21" t="str">
        <f>IF(OR(E1391="",E1391="!!!"),"",IF(NOT(ISNA(VLOOKUP(E1391,E$1:E1390,1,FALSE()))),"OLD",IF(AND(E1391&lt;&gt;"",E1391&lt;&gt;"!!!"),"NEW","")))</f>
        <v/>
      </c>
      <c r="G1391" s="22" t="str">
        <f>IF(OR(E1391="",E1391="!!!"),"",IF(OR(J1391=0,AND(J1391=1,K1391=1),AND(J1391=1,I1391="SBJ"),AND(J1391=1,I1391=0)),"?IN_FOCUS",IF(J1391&lt;=2,"?ACTIVATED",IF(J1391&lt;&gt;"","?FAMILIAR",IF(F1391="NEW",IF(ISNA(VLOOKUP(E1391,#REF!,1,FALSE())),"?TYPE_IDENTIFIABLE","?REFERENTIAL"),"_")))))</f>
        <v/>
      </c>
      <c r="H1391" s="23" t="str">
        <f t="shared" ca="1" si="153"/>
        <v/>
      </c>
      <c r="I1391" s="24" t="str">
        <f>IF(OR(E1391="",E1391="!!!",F1391="NEW"),"",INDEX(B$2:B1390,-1+SUMPRODUCT(MAX(ROW(E$2:E1390)*(E1391=E$2:E1390)))))</f>
        <v/>
      </c>
      <c r="J1391" s="24" t="str">
        <f ca="1">IF(OR(E1391="",E1391="!!!",F1391="NEW"),"",COUNTBLANK(OFFSET(A$1,,,SUMPRODUCT(MAX(ROW(E$2:E1391)*(E1391=E$2:E1391)))))-COUNTBLANK(OFFSET(A$1,,,SUMPRODUCT(MAX(ROW(E$1:E1390)*(E2=E$1:E1390))))))</f>
        <v/>
      </c>
      <c r="K1391" s="24" t="str">
        <f>IF(OR(E1391="",E1391="!!!",F1391="NEW"),"",INDEX(J$1:J1390,SUMPRODUCT(MAX(ROW(E$1:E1390)*(E1391=E$1:E1390)))))</f>
        <v/>
      </c>
      <c r="L1391" s="25"/>
    </row>
    <row r="1392" spans="1:12" x14ac:dyDescent="0.3">
      <c r="A1392" t="s">
        <v>278</v>
      </c>
      <c r="E1392" s="20" t="str">
        <f t="shared" si="152"/>
        <v/>
      </c>
      <c r="F1392" s="21" t="str">
        <f>IF(OR(E1392="",E1392="!!!"),"",IF(NOT(ISNA(VLOOKUP(E1392,E$1:E1391,1,FALSE()))),"OLD",IF(AND(E1392&lt;&gt;"",E1392&lt;&gt;"!!!"),"NEW","")))</f>
        <v/>
      </c>
      <c r="G1392" s="22" t="str">
        <f>IF(OR(E1392="",E1392="!!!"),"",IF(OR(J1392=0,AND(J1392=1,K1392=1),AND(J1392=1,I1392="SBJ"),AND(J1392=1,I1392=0)),"?IN_FOCUS",IF(J1392&lt;=2,"?ACTIVATED",IF(J1392&lt;&gt;"","?FAMILIAR",IF(F1392="NEW",IF(ISNA(VLOOKUP(E1392,#REF!,1,FALSE())),"?TYPE_IDENTIFIABLE","?REFERENTIAL"),"_")))))</f>
        <v/>
      </c>
      <c r="H1392" s="23" t="str">
        <f t="shared" ca="1" si="153"/>
        <v/>
      </c>
      <c r="I1392" s="24" t="str">
        <f>IF(OR(E1392="",E1392="!!!",F1392="NEW"),"",INDEX(B$2:B1391,-1+SUMPRODUCT(MAX(ROW(E$2:E1391)*(E1392=E$2:E1391)))))</f>
        <v/>
      </c>
      <c r="J1392" s="24" t="str">
        <f ca="1">IF(OR(E1392="",E1392="!!!",F1392="NEW"),"",COUNTBLANK(OFFSET(A$1,,,SUMPRODUCT(MAX(ROW(E$2:E1392)*(E1392=E$2:E1392)))))-COUNTBLANK(OFFSET(A$1,,,SUMPRODUCT(MAX(ROW(E$1:E1391)*(E2=E$1:E1391))))))</f>
        <v/>
      </c>
      <c r="K1392" s="24" t="str">
        <f>IF(OR(E1392="",E1392="!!!",F1392="NEW"),"",INDEX(J$1:J1391,SUMPRODUCT(MAX(ROW(E$1:E1391)*(E1392=E$1:E1391)))))</f>
        <v/>
      </c>
      <c r="L1392" s="25"/>
    </row>
    <row r="1393" spans="1:12" x14ac:dyDescent="0.3">
      <c r="A1393" t="s">
        <v>372</v>
      </c>
      <c r="E1393" s="20" t="str">
        <f t="shared" si="152"/>
        <v/>
      </c>
      <c r="F1393" s="21" t="str">
        <f>IF(OR(E1393="",E1393="!!!"),"",IF(NOT(ISNA(VLOOKUP(E1393,E$1:E1392,1,FALSE()))),"OLD",IF(AND(E1393&lt;&gt;"",E1393&lt;&gt;"!!!"),"NEW","")))</f>
        <v/>
      </c>
      <c r="G1393" s="22" t="str">
        <f>IF(OR(E1393="",E1393="!!!"),"",IF(OR(J1393=0,AND(J1393=1,K1393=1),AND(J1393=1,I1393="SBJ"),AND(J1393=1,I1393=0)),"?IN_FOCUS",IF(J1393&lt;=2,"?ACTIVATED",IF(J1393&lt;&gt;"","?FAMILIAR",IF(F1393="NEW",IF(ISNA(VLOOKUP(E1393,#REF!,1,FALSE())),"?TYPE_IDENTIFIABLE","?REFERENTIAL"),"_")))))</f>
        <v/>
      </c>
      <c r="H1393" s="23" t="str">
        <f t="shared" ca="1" si="153"/>
        <v/>
      </c>
      <c r="I1393" s="24" t="str">
        <f>IF(OR(E1393="",E1393="!!!",F1393="NEW"),"",INDEX(B$2:B1392,-1+SUMPRODUCT(MAX(ROW(E$2:E1392)*(E1393=E$2:E1392)))))</f>
        <v/>
      </c>
      <c r="J1393" s="24" t="str">
        <f ca="1">IF(OR(E1393="",E1393="!!!",F1393="NEW"),"",COUNTBLANK(OFFSET(A$1,,,SUMPRODUCT(MAX(ROW(E$2:E1393)*(E1393=E$2:E1393)))))-COUNTBLANK(OFFSET(A$1,,,SUMPRODUCT(MAX(ROW(E$1:E1392)*(E2=E$1:E1392))))))</f>
        <v/>
      </c>
      <c r="K1393" s="24" t="str">
        <f>IF(OR(E1393="",E1393="!!!",F1393="NEW"),"",INDEX(J$1:J1392,SUMPRODUCT(MAX(ROW(E$1:E1392)*(E1393=E$1:E1392)))))</f>
        <v/>
      </c>
      <c r="L1393" s="25"/>
    </row>
    <row r="1394" spans="1:12" x14ac:dyDescent="0.3">
      <c r="A1394" t="s">
        <v>787</v>
      </c>
      <c r="B1394" s="26" t="s">
        <v>285</v>
      </c>
      <c r="C1394" s="26" t="s">
        <v>262</v>
      </c>
      <c r="E1394" s="20" t="str">
        <f t="shared" si="152"/>
        <v/>
      </c>
      <c r="F1394" s="21" t="str">
        <f>IF(OR(E1394="",E1394="!!!"),"",IF(NOT(ISNA(VLOOKUP(E1394,E$1:E1393,1,FALSE()))),"OLD",IF(AND(E1394&lt;&gt;"",E1394&lt;&gt;"!!!"),"NEW","")))</f>
        <v/>
      </c>
      <c r="G1394" s="22" t="str">
        <f>IF(OR(E1394="",E1394="!!!"),"",IF(OR(J1394=0,AND(J1394=1,K1394=1),AND(J1394=1,I1394="SBJ"),AND(J1394=1,I1394=0)),"?IN_FOCUS",IF(J1394&lt;=2,"?ACTIVATED",IF(J1394&lt;&gt;"","?FAMILIAR",IF(F1394="NEW",IF(ISNA(VLOOKUP(E1394,#REF!,1,FALSE())),"?TYPE_IDENTIFIABLE","?REFERENTIAL"),"_")))))</f>
        <v/>
      </c>
      <c r="H1394" s="23" t="str">
        <f t="shared" ca="1" si="153"/>
        <v/>
      </c>
      <c r="I1394" s="24" t="str">
        <f>IF(OR(E1394="",E1394="!!!",F1394="NEW"),"",INDEX(B$2:B1393,-1+SUMPRODUCT(MAX(ROW(E$2:E1393)*(E1394=E$2:E1393)))))</f>
        <v/>
      </c>
      <c r="J1394" s="24" t="str">
        <f ca="1">IF(OR(E1394="",E1394="!!!",F1394="NEW"),"",COUNTBLANK(OFFSET(A$1,,,SUMPRODUCT(MAX(ROW(E$2:E1394)*(E1394=E$2:E1394)))))-COUNTBLANK(OFFSET(A$1,,,SUMPRODUCT(MAX(ROW(E$1:E1393)*(E2=E$1:E1393))))))</f>
        <v/>
      </c>
      <c r="K1394" s="24" t="str">
        <f>IF(OR(E1394="",E1394="!!!",F1394="NEW"),"",INDEX(J$1:J1393,SUMPRODUCT(MAX(ROW(E$1:E1393)*(E1394=E$1:E1393)))))</f>
        <v/>
      </c>
      <c r="L1394" s="25"/>
    </row>
    <row r="1395" spans="1:12" x14ac:dyDescent="0.3">
      <c r="A1395" t="s">
        <v>788</v>
      </c>
      <c r="E1395" s="20" t="str">
        <f t="shared" si="152"/>
        <v/>
      </c>
      <c r="F1395" s="21" t="str">
        <f>IF(OR(E1395="",E1395="!!!"),"",IF(NOT(ISNA(VLOOKUP(E1395,E$1:E1394,1,FALSE()))),"OLD",IF(AND(E1395&lt;&gt;"",E1395&lt;&gt;"!!!"),"NEW","")))</f>
        <v/>
      </c>
      <c r="G1395" s="22" t="str">
        <f>IF(OR(E1395="",E1395="!!!"),"",IF(OR(J1395=0,AND(J1395=1,K1395=1),AND(J1395=1,I1395="SBJ"),AND(J1395=1,I1395=0)),"?IN_FOCUS",IF(J1395&lt;=2,"?ACTIVATED",IF(J1395&lt;&gt;"","?FAMILIAR",IF(F1395="NEW",IF(ISNA(VLOOKUP(E1395,#REF!,1,FALSE())),"?TYPE_IDENTIFIABLE","?REFERENTIAL"),"_")))))</f>
        <v/>
      </c>
      <c r="H1395" s="23" t="str">
        <f t="shared" ca="1" si="153"/>
        <v/>
      </c>
      <c r="I1395" s="24" t="str">
        <f>IF(OR(E1395="",E1395="!!!",F1395="NEW"),"",INDEX(B$2:B1394,-1+SUMPRODUCT(MAX(ROW(E$2:E1394)*(E1395=E$2:E1394)))))</f>
        <v/>
      </c>
      <c r="J1395" s="24" t="str">
        <f ca="1">IF(OR(E1395="",E1395="!!!",F1395="NEW"),"",COUNTBLANK(OFFSET(A$1,,,SUMPRODUCT(MAX(ROW(E$2:E1395)*(E1395=E$2:E1395)))))-COUNTBLANK(OFFSET(A$1,,,SUMPRODUCT(MAX(ROW(E$1:E1394)*(E2=E$1:E1394))))))</f>
        <v/>
      </c>
      <c r="K1395" s="24" t="str">
        <f>IF(OR(E1395="",E1395="!!!",F1395="NEW"),"",INDEX(J$1:J1394,SUMPRODUCT(MAX(ROW(E$1:E1394)*(E1395=E$1:E1394)))))</f>
        <v/>
      </c>
      <c r="L1395" s="25"/>
    </row>
    <row r="1396" spans="1:12" x14ac:dyDescent="0.3">
      <c r="A1396" t="s">
        <v>640</v>
      </c>
      <c r="E1396" s="20" t="str">
        <f t="shared" si="152"/>
        <v/>
      </c>
      <c r="F1396" s="21" t="str">
        <f>IF(OR(E1396="",E1396="!!!"),"",IF(NOT(ISNA(VLOOKUP(E1396,E$1:E1395,1,FALSE()))),"OLD",IF(AND(E1396&lt;&gt;"",E1396&lt;&gt;"!!!"),"NEW","")))</f>
        <v/>
      </c>
      <c r="G1396" s="22" t="str">
        <f>IF(OR(E1396="",E1396="!!!"),"",IF(OR(J1396=0,AND(J1396=1,K1396=1),AND(J1396=1,I1396="SBJ"),AND(J1396=1,I1396=0)),"?IN_FOCUS",IF(J1396&lt;=2,"?ACTIVATED",IF(J1396&lt;&gt;"","?FAMILIAR",IF(F1396="NEW",IF(ISNA(VLOOKUP(E1396,#REF!,1,FALSE())),"?TYPE_IDENTIFIABLE","?REFERENTIAL"),"_")))))</f>
        <v/>
      </c>
      <c r="H1396" s="23" t="str">
        <f t="shared" ca="1" si="153"/>
        <v/>
      </c>
      <c r="I1396" s="24" t="str">
        <f>IF(OR(E1396="",E1396="!!!",F1396="NEW"),"",INDEX(B$2:B1395,-1+SUMPRODUCT(MAX(ROW(E$2:E1395)*(E1396=E$2:E1395)))))</f>
        <v/>
      </c>
      <c r="J1396" s="24" t="str">
        <f ca="1">IF(OR(E1396="",E1396="!!!",F1396="NEW"),"",COUNTBLANK(OFFSET(A$1,,,SUMPRODUCT(MAX(ROW(E$2:E1396)*(E1396=E$2:E1396)))))-COUNTBLANK(OFFSET(A$1,,,SUMPRODUCT(MAX(ROW(E$1:E1395)*(E2=E$1:E1395))))))</f>
        <v/>
      </c>
      <c r="K1396" s="24" t="str">
        <f>IF(OR(E1396="",E1396="!!!",F1396="NEW"),"",INDEX(J$1:J1395,SUMPRODUCT(MAX(ROW(E$1:E1395)*(E1396=E$1:E1395)))))</f>
        <v/>
      </c>
      <c r="L1396" s="25"/>
    </row>
    <row r="1397" spans="1:12" x14ac:dyDescent="0.3">
      <c r="A1397" t="s">
        <v>252</v>
      </c>
      <c r="E1397" s="20" t="str">
        <f t="shared" si="152"/>
        <v/>
      </c>
      <c r="F1397" s="21" t="str">
        <f>IF(OR(E1397="",E1397="!!!"),"",IF(NOT(ISNA(VLOOKUP(E1397,E$1:E1396,1,FALSE()))),"OLD",IF(AND(E1397&lt;&gt;"",E1397&lt;&gt;"!!!"),"NEW","")))</f>
        <v/>
      </c>
      <c r="G1397" s="22" t="str">
        <f>IF(OR(E1397="",E1397="!!!"),"",IF(OR(J1397=0,AND(J1397=1,K1397=1),AND(J1397=1,I1397="SBJ"),AND(J1397=1,I1397=0)),"?IN_FOCUS",IF(J1397&lt;=2,"?ACTIVATED",IF(J1397&lt;&gt;"","?FAMILIAR",IF(F1397="NEW",IF(ISNA(VLOOKUP(E1397,#REF!,1,FALSE())),"?TYPE_IDENTIFIABLE","?REFERENTIAL"),"_")))))</f>
        <v/>
      </c>
      <c r="H1397" s="23" t="str">
        <f t="shared" ca="1" si="153"/>
        <v/>
      </c>
      <c r="I1397" s="24" t="str">
        <f>IF(OR(E1397="",E1397="!!!",F1397="NEW"),"",INDEX(B$2:B1396,-1+SUMPRODUCT(MAX(ROW(E$2:E1396)*(E1397=E$2:E1396)))))</f>
        <v/>
      </c>
      <c r="J1397" s="24" t="str">
        <f ca="1">IF(OR(E1397="",E1397="!!!",F1397="NEW"),"",COUNTBLANK(OFFSET(A$1,,,SUMPRODUCT(MAX(ROW(E$2:E1397)*(E1397=E$2:E1397)))))-COUNTBLANK(OFFSET(A$1,,,SUMPRODUCT(MAX(ROW(E$1:E1396)*(E2=E$1:E1396))))))</f>
        <v/>
      </c>
      <c r="K1397" s="24" t="str">
        <f>IF(OR(E1397="",E1397="!!!",F1397="NEW"),"",INDEX(J$1:J1396,SUMPRODUCT(MAX(ROW(E$1:E1396)*(E1397=E$1:E1396)))))</f>
        <v/>
      </c>
      <c r="L1397" s="25"/>
    </row>
    <row r="1398" spans="1:12" x14ac:dyDescent="0.3">
      <c r="A1398" t="s">
        <v>643</v>
      </c>
      <c r="E1398" s="20" t="str">
        <f t="shared" si="152"/>
        <v/>
      </c>
      <c r="F1398" s="21" t="str">
        <f>IF(OR(E1398="",E1398="!!!"),"",IF(NOT(ISNA(VLOOKUP(E1398,E$1:E1397,1,FALSE()))),"OLD",IF(AND(E1398&lt;&gt;"",E1398&lt;&gt;"!!!"),"NEW","")))</f>
        <v/>
      </c>
      <c r="G1398" s="22" t="str">
        <f>IF(OR(E1398="",E1398="!!!"),"",IF(OR(J1398=0,AND(J1398=1,K1398=1),AND(J1398=1,I1398="SBJ"),AND(J1398=1,I1398=0)),"?IN_FOCUS",IF(J1398&lt;=2,"?ACTIVATED",IF(J1398&lt;&gt;"","?FAMILIAR",IF(F1398="NEW",IF(ISNA(VLOOKUP(E1398,#REF!,1,FALSE())),"?TYPE_IDENTIFIABLE","?REFERENTIAL"),"_")))))</f>
        <v/>
      </c>
      <c r="H1398" s="23" t="str">
        <f t="shared" ca="1" si="153"/>
        <v/>
      </c>
      <c r="I1398" s="24" t="str">
        <f>IF(OR(E1398="",E1398="!!!",F1398="NEW"),"",INDEX(B$2:B1397,-1+SUMPRODUCT(MAX(ROW(E$2:E1397)*(E1398=E$2:E1397)))))</f>
        <v/>
      </c>
      <c r="J1398" s="24" t="str">
        <f ca="1">IF(OR(E1398="",E1398="!!!",F1398="NEW"),"",COUNTBLANK(OFFSET(A$1,,,SUMPRODUCT(MAX(ROW(E$2:E1398)*(E1398=E$2:E1398)))))-COUNTBLANK(OFFSET(A$1,,,SUMPRODUCT(MAX(ROW(E$1:E1397)*(E2=E$1:E1397))))))</f>
        <v/>
      </c>
      <c r="K1398" s="24" t="str">
        <f>IF(OR(E1398="",E1398="!!!",F1398="NEW"),"",INDEX(J$1:J1397,SUMPRODUCT(MAX(ROW(E$1:E1397)*(E1398=E$1:E1397)))))</f>
        <v/>
      </c>
      <c r="L1398" s="25"/>
    </row>
    <row r="1399" spans="1:12" x14ac:dyDescent="0.3">
      <c r="A1399" t="s">
        <v>789</v>
      </c>
      <c r="E1399" s="20" t="str">
        <f t="shared" si="152"/>
        <v/>
      </c>
      <c r="F1399" s="21" t="str">
        <f>IF(OR(E1399="",E1399="!!!"),"",IF(NOT(ISNA(VLOOKUP(E1399,E$1:E1398,1,FALSE()))),"OLD",IF(AND(E1399&lt;&gt;"",E1399&lt;&gt;"!!!"),"NEW","")))</f>
        <v/>
      </c>
      <c r="G1399" s="22" t="str">
        <f>IF(OR(E1399="",E1399="!!!"),"",IF(OR(J1399=0,AND(J1399=1,K1399=1),AND(J1399=1,I1399="SBJ"),AND(J1399=1,I1399=0)),"?IN_FOCUS",IF(J1399&lt;=2,"?ACTIVATED",IF(J1399&lt;&gt;"","?FAMILIAR",IF(F1399="NEW",IF(ISNA(VLOOKUP(E1399,#REF!,1,FALSE())),"?TYPE_IDENTIFIABLE","?REFERENTIAL"),"_")))))</f>
        <v/>
      </c>
      <c r="H1399" s="23" t="str">
        <f t="shared" ca="1" si="153"/>
        <v/>
      </c>
      <c r="I1399" s="24" t="str">
        <f>IF(OR(E1399="",E1399="!!!",F1399="NEW"),"",INDEX(B$2:B1398,-1+SUMPRODUCT(MAX(ROW(E$2:E1398)*(E1399=E$2:E1398)))))</f>
        <v/>
      </c>
      <c r="J1399" s="24" t="str">
        <f ca="1">IF(OR(E1399="",E1399="!!!",F1399="NEW"),"",COUNTBLANK(OFFSET(A$1,,,SUMPRODUCT(MAX(ROW(E$2:E1399)*(E1399=E$2:E1399)))))-COUNTBLANK(OFFSET(A$1,,,SUMPRODUCT(MAX(ROW(E$1:E1398)*(E2=E$1:E1398))))))</f>
        <v/>
      </c>
      <c r="K1399" s="24" t="str">
        <f>IF(OR(E1399="",E1399="!!!",F1399="NEW"),"",INDEX(J$1:J1398,SUMPRODUCT(MAX(ROW(E$1:E1398)*(E1399=E$1:E1398)))))</f>
        <v/>
      </c>
      <c r="L1399" s="25"/>
    </row>
    <row r="1400" spans="1:12" x14ac:dyDescent="0.3">
      <c r="A1400" t="s">
        <v>254</v>
      </c>
      <c r="B1400" s="26" t="s">
        <v>243</v>
      </c>
      <c r="C1400" s="26" t="s">
        <v>256</v>
      </c>
      <c r="D1400" s="26" t="s">
        <v>240</v>
      </c>
      <c r="E1400" s="20" t="str">
        <f t="shared" si="152"/>
        <v>!!!</v>
      </c>
      <c r="F1400" s="21" t="str">
        <f>IF(OR(E1400="",E1400="!!!"),"",IF(NOT(ISNA(VLOOKUP(E1400,E$1:E1399,1,FALSE()))),"OLD",IF(AND(E1400&lt;&gt;"",E1400&lt;&gt;"!!!"),"NEW","")))</f>
        <v/>
      </c>
      <c r="G1400" s="22" t="str">
        <f>IF(OR(E1400="",E1400="!!!"),"",IF(OR(J1400=0,AND(J1400=1,K1400=1),AND(J1400=1,I1400="SBJ"),AND(J1400=1,I1400=0)),"?IN_FOCUS",IF(J1400&lt;=2,"?ACTIVATED",IF(J1400&lt;&gt;"","?FAMILIAR",IF(F1400="NEW",IF(ISNA(VLOOKUP(E1400,#REF!,1,FALSE())),"?TYPE_IDENTIFIABLE","?REFERENTIAL"),"_")))))</f>
        <v/>
      </c>
      <c r="H1400" s="23" t="str">
        <f t="shared" ca="1" si="153"/>
        <v/>
      </c>
      <c r="I1400" s="24" t="str">
        <f>IF(OR(E1400="",E1400="!!!",F1400="NEW"),"",INDEX(B$2:B1399,-1+SUMPRODUCT(MAX(ROW(E$2:E1399)*(E1400=E$2:E1399)))))</f>
        <v/>
      </c>
      <c r="J1400" s="24" t="str">
        <f ca="1">IF(OR(E1400="",E1400="!!!",F1400="NEW"),"",COUNTBLANK(OFFSET(A$1,,,SUMPRODUCT(MAX(ROW(E$2:E1400)*(E1400=E$2:E1400)))))-COUNTBLANK(OFFSET(A$1,,,SUMPRODUCT(MAX(ROW(E$1:E1399)*(E2=E$1:E1399))))))</f>
        <v/>
      </c>
      <c r="K1400" s="24" t="str">
        <f>IF(OR(E1400="",E1400="!!!",F1400="NEW"),"",INDEX(J$1:J1399,SUMPRODUCT(MAX(ROW(E$1:E1399)*(E1400=E$1:E1399)))))</f>
        <v/>
      </c>
      <c r="L1400" s="25"/>
    </row>
    <row r="1401" spans="1:12" x14ac:dyDescent="0.3">
      <c r="A1401" t="s">
        <v>790</v>
      </c>
      <c r="E1401" s="20" t="str">
        <f t="shared" si="152"/>
        <v/>
      </c>
      <c r="F1401" s="21" t="str">
        <f>IF(OR(E1401="",E1401="!!!"),"",IF(NOT(ISNA(VLOOKUP(E1401,E$1:E1400,1,FALSE()))),"OLD",IF(AND(E1401&lt;&gt;"",E1401&lt;&gt;"!!!"),"NEW","")))</f>
        <v/>
      </c>
      <c r="G1401" s="22" t="str">
        <f>IF(OR(E1401="",E1401="!!!"),"",IF(OR(J1401=0,AND(J1401=1,K1401=1),AND(J1401=1,I1401="SBJ"),AND(J1401=1,I1401=0)),"?IN_FOCUS",IF(J1401&lt;=2,"?ACTIVATED",IF(J1401&lt;&gt;"","?FAMILIAR",IF(F1401="NEW",IF(ISNA(VLOOKUP(E1401,#REF!,1,FALSE())),"?TYPE_IDENTIFIABLE","?REFERENTIAL"),"_")))))</f>
        <v/>
      </c>
      <c r="H1401" s="23" t="str">
        <f t="shared" ca="1" si="153"/>
        <v/>
      </c>
      <c r="I1401" s="24" t="str">
        <f>IF(OR(E1401="",E1401="!!!",F1401="NEW"),"",INDEX(B$2:B1400,-1+SUMPRODUCT(MAX(ROW(E$2:E1400)*(E1401=E$2:E1400)))))</f>
        <v/>
      </c>
      <c r="J1401" s="24" t="str">
        <f ca="1">IF(OR(E1401="",E1401="!!!",F1401="NEW"),"",COUNTBLANK(OFFSET(A$1,,,SUMPRODUCT(MAX(ROW(E$2:E1401)*(E1401=E$2:E1401)))))-COUNTBLANK(OFFSET(A$1,,,SUMPRODUCT(MAX(ROW(E$1:E1400)*(E2=E$1:E1400))))))</f>
        <v/>
      </c>
      <c r="K1401" s="24" t="str">
        <f>IF(OR(E1401="",E1401="!!!",F1401="NEW"),"",INDEX(J$1:J1400,SUMPRODUCT(MAX(ROW(E$1:E1400)*(E1401=E$1:E1400)))))</f>
        <v/>
      </c>
      <c r="L1401" s="25"/>
    </row>
    <row r="1402" spans="1:12" x14ac:dyDescent="0.3">
      <c r="A1402" t="s">
        <v>431</v>
      </c>
      <c r="E1402" s="20" t="str">
        <f t="shared" si="152"/>
        <v/>
      </c>
      <c r="F1402" s="21" t="str">
        <f>IF(OR(E1402="",E1402="!!!"),"",IF(NOT(ISNA(VLOOKUP(E1402,E$1:E1401,1,FALSE()))),"OLD",IF(AND(E1402&lt;&gt;"",E1402&lt;&gt;"!!!"),"NEW","")))</f>
        <v/>
      </c>
      <c r="G1402" s="22" t="str">
        <f>IF(OR(E1402="",E1402="!!!"),"",IF(OR(J1402=0,AND(J1402=1,K1402=1),AND(J1402=1,I1402="SBJ"),AND(J1402=1,I1402=0)),"?IN_FOCUS",IF(J1402&lt;=2,"?ACTIVATED",IF(J1402&lt;&gt;"","?FAMILIAR",IF(F1402="NEW",IF(ISNA(VLOOKUP(E1402,#REF!,1,FALSE())),"?TYPE_IDENTIFIABLE","?REFERENTIAL"),"_")))))</f>
        <v/>
      </c>
      <c r="H1402" s="23" t="str">
        <f t="shared" ca="1" si="153"/>
        <v/>
      </c>
      <c r="I1402" s="24" t="str">
        <f>IF(OR(E1402="",E1402="!!!",F1402="NEW"),"",INDEX(B$2:B1401,-1+SUMPRODUCT(MAX(ROW(E$2:E1401)*(E1402=E$2:E1401)))))</f>
        <v/>
      </c>
      <c r="J1402" s="24" t="str">
        <f ca="1">IF(OR(E1402="",E1402="!!!",F1402="NEW"),"",COUNTBLANK(OFFSET(A$1,,,SUMPRODUCT(MAX(ROW(E$2:E1402)*(E1402=E$2:E1402)))))-COUNTBLANK(OFFSET(A$1,,,SUMPRODUCT(MAX(ROW(E$1:E1401)*(E2=E$1:E1401))))))</f>
        <v/>
      </c>
      <c r="K1402" s="24" t="str">
        <f>IF(OR(E1402="",E1402="!!!",F1402="NEW"),"",INDEX(J$1:J1401,SUMPRODUCT(MAX(ROW(E$1:E1401)*(E1402=E$1:E1401)))))</f>
        <v/>
      </c>
      <c r="L1402" s="25"/>
    </row>
    <row r="1403" spans="1:12" x14ac:dyDescent="0.3">
      <c r="A1403" t="s">
        <v>512</v>
      </c>
      <c r="E1403" s="20" t="str">
        <f t="shared" si="152"/>
        <v/>
      </c>
      <c r="F1403" s="21" t="str">
        <f>IF(OR(E1403="",E1403="!!!"),"",IF(NOT(ISNA(VLOOKUP(E1403,E$1:E1402,1,FALSE()))),"OLD",IF(AND(E1403&lt;&gt;"",E1403&lt;&gt;"!!!"),"NEW","")))</f>
        <v/>
      </c>
      <c r="G1403" s="22" t="str">
        <f>IF(OR(E1403="",E1403="!!!"),"",IF(OR(J1403=0,AND(J1403=1,K1403=1),AND(J1403=1,I1403="SBJ"),AND(J1403=1,I1403=0)),"?IN_FOCUS",IF(J1403&lt;=2,"?ACTIVATED",IF(J1403&lt;&gt;"","?FAMILIAR",IF(F1403="NEW",IF(ISNA(VLOOKUP(E1403,#REF!,1,FALSE())),"?TYPE_IDENTIFIABLE","?REFERENTIAL"),"_")))))</f>
        <v/>
      </c>
      <c r="H1403" s="23" t="str">
        <f t="shared" ca="1" si="153"/>
        <v/>
      </c>
      <c r="I1403" s="24" t="str">
        <f>IF(OR(E1403="",E1403="!!!",F1403="NEW"),"",INDEX(B$2:B1402,-1+SUMPRODUCT(MAX(ROW(E$2:E1402)*(E1403=E$2:E1402)))))</f>
        <v/>
      </c>
      <c r="J1403" s="24" t="str">
        <f ca="1">IF(OR(E1403="",E1403="!!!",F1403="NEW"),"",COUNTBLANK(OFFSET(A$1,,,SUMPRODUCT(MAX(ROW(E$2:E1403)*(E1403=E$2:E1403)))))-COUNTBLANK(OFFSET(A$1,,,SUMPRODUCT(MAX(ROW(E$1:E1402)*(E2=E$1:E1402))))))</f>
        <v/>
      </c>
      <c r="K1403" s="24" t="str">
        <f>IF(OR(E1403="",E1403="!!!",F1403="NEW"),"",INDEX(J$1:J1402,SUMPRODUCT(MAX(ROW(E$1:E1402)*(E1403=E$1:E1402)))))</f>
        <v/>
      </c>
      <c r="L1403" s="25"/>
    </row>
    <row r="1404" spans="1:12" x14ac:dyDescent="0.3">
      <c r="A1404" t="s">
        <v>791</v>
      </c>
      <c r="E1404" s="20" t="str">
        <f t="shared" si="152"/>
        <v/>
      </c>
      <c r="F1404" s="21" t="str">
        <f>IF(OR(E1404="",E1404="!!!"),"",IF(NOT(ISNA(VLOOKUP(E1404,E$1:E1403,1,FALSE()))),"OLD",IF(AND(E1404&lt;&gt;"",E1404&lt;&gt;"!!!"),"NEW","")))</f>
        <v/>
      </c>
      <c r="G1404" s="22" t="str">
        <f>IF(OR(E1404="",E1404="!!!"),"",IF(OR(J1404=0,AND(J1404=1,K1404=1),AND(J1404=1,I1404="SBJ"),AND(J1404=1,I1404=0)),"?IN_FOCUS",IF(J1404&lt;=2,"?ACTIVATED",IF(J1404&lt;&gt;"","?FAMILIAR",IF(F1404="NEW",IF(ISNA(VLOOKUP(E1404,#REF!,1,FALSE())),"?TYPE_IDENTIFIABLE","?REFERENTIAL"),"_")))))</f>
        <v/>
      </c>
      <c r="H1404" s="23" t="str">
        <f t="shared" ca="1" si="153"/>
        <v/>
      </c>
      <c r="I1404" s="24" t="str">
        <f>IF(OR(E1404="",E1404="!!!",F1404="NEW"),"",INDEX(B$2:B1403,-1+SUMPRODUCT(MAX(ROW(E$2:E1403)*(E1404=E$2:E1403)))))</f>
        <v/>
      </c>
      <c r="J1404" s="24" t="str">
        <f ca="1">IF(OR(E1404="",E1404="!!!",F1404="NEW"),"",COUNTBLANK(OFFSET(A$1,,,SUMPRODUCT(MAX(ROW(E$2:E1404)*(E1404=E$2:E1404)))))-COUNTBLANK(OFFSET(A$1,,,SUMPRODUCT(MAX(ROW(E$1:E1403)*(E2=E$1:E1403))))))</f>
        <v/>
      </c>
      <c r="K1404" s="24" t="str">
        <f>IF(OR(E1404="",E1404="!!!",F1404="NEW"),"",INDEX(J$1:J1403,SUMPRODUCT(MAX(ROW(E$1:E1403)*(E1404=E$1:E1403)))))</f>
        <v/>
      </c>
      <c r="L1404" s="25"/>
    </row>
    <row r="1406" spans="1:12" x14ac:dyDescent="0.3">
      <c r="A1406" t="s">
        <v>792</v>
      </c>
    </row>
    <row r="1407" spans="1:12" x14ac:dyDescent="0.3">
      <c r="A1407" t="s">
        <v>417</v>
      </c>
      <c r="B1407" s="26" t="s">
        <v>243</v>
      </c>
      <c r="C1407" s="26" t="s">
        <v>346</v>
      </c>
      <c r="D1407" s="26" t="s">
        <v>240</v>
      </c>
      <c r="E1407" s="20" t="str">
        <f t="shared" ref="E1407:E1435" si="154">IF(D1407="?OLD","!!!","")</f>
        <v>!!!</v>
      </c>
      <c r="F1407" s="21" t="str">
        <f>IF(OR(E1407="",E1407="!!!"),"",IF(NOT(ISNA(VLOOKUP(E1407,E$1:E1406,1,FALSE()))),"OLD",IF(AND(E1407&lt;&gt;"",E1407&lt;&gt;"!!!"),"NEW","")))</f>
        <v/>
      </c>
      <c r="G1407" s="22" t="str">
        <f>IF(OR(E1407="",E1407="!!!"),"",IF(OR(J1407=0,AND(J1407=1,K1407=1),AND(J1407=1,I1407="SBJ"),AND(J1407=1,I1407=0)),"?IN_FOCUS",IF(J1407&lt;=2,"?ACTIVATED",IF(J1407&lt;&gt;"","?FAMILIAR",IF(F1407="NEW",IF(ISNA(VLOOKUP(E1407,#REF!,1,FALSE())),"?TYPE_IDENTIFIABLE","?REFERENTIAL"),"_")))))</f>
        <v/>
      </c>
      <c r="H1407" s="23" t="str">
        <f t="shared" ref="H1407:H1435" ca="1" si="155">IF(J1407&lt;&gt;1,"",IF(I1407="SBJ","CB","?"))</f>
        <v/>
      </c>
      <c r="I1407" s="24" t="str">
        <f>IF(OR(E1407="",E1407="!!!",F1407="NEW"),"",INDEX(B$2:B1406,-1+SUMPRODUCT(MAX(ROW(E$2:E1406)*(E1407=E$2:E1406)))))</f>
        <v/>
      </c>
      <c r="J1407" s="24" t="str">
        <f ca="1">IF(OR(E1407="",E1407="!!!",F1407="NEW"),"",COUNTBLANK(OFFSET(A$1,,,SUMPRODUCT(MAX(ROW(E$2:E1407)*(E1407=E$2:E1407)))))-COUNTBLANK(OFFSET(A$1,,,SUMPRODUCT(MAX(ROW(E$1:E1406)*(E2=E$1:E1406))))))</f>
        <v/>
      </c>
      <c r="K1407" s="24" t="str">
        <f>IF(OR(E1407="",E1407="!!!",F1407="NEW"),"",INDEX(J$1:J1406,SUMPRODUCT(MAX(ROW(E$1:E1406)*(E1407=E$1:E1406)))))</f>
        <v/>
      </c>
      <c r="L1407" s="25"/>
    </row>
    <row r="1408" spans="1:12" x14ac:dyDescent="0.3">
      <c r="A1408" t="s">
        <v>347</v>
      </c>
      <c r="E1408" s="20" t="str">
        <f t="shared" si="154"/>
        <v/>
      </c>
      <c r="F1408" s="21" t="str">
        <f>IF(OR(E1408="",E1408="!!!"),"",IF(NOT(ISNA(VLOOKUP(E1408,E$1:E1407,1,FALSE()))),"OLD",IF(AND(E1408&lt;&gt;"",E1408&lt;&gt;"!!!"),"NEW","")))</f>
        <v/>
      </c>
      <c r="G1408" s="22" t="str">
        <f>IF(OR(E1408="",E1408="!!!"),"",IF(OR(J1408=0,AND(J1408=1,K1408=1),AND(J1408=1,I1408="SBJ"),AND(J1408=1,I1408=0)),"?IN_FOCUS",IF(J1408&lt;=2,"?ACTIVATED",IF(J1408&lt;&gt;"","?FAMILIAR",IF(F1408="NEW",IF(ISNA(VLOOKUP(E1408,#REF!,1,FALSE())),"?TYPE_IDENTIFIABLE","?REFERENTIAL"),"_")))))</f>
        <v/>
      </c>
      <c r="H1408" s="23" t="str">
        <f t="shared" ca="1" si="155"/>
        <v/>
      </c>
      <c r="I1408" s="24" t="str">
        <f>IF(OR(E1408="",E1408="!!!",F1408="NEW"),"",INDEX(B$2:B1407,-1+SUMPRODUCT(MAX(ROW(E$2:E1407)*(E1408=E$2:E1407)))))</f>
        <v/>
      </c>
      <c r="J1408" s="24" t="str">
        <f ca="1">IF(OR(E1408="",E1408="!!!",F1408="NEW"),"",COUNTBLANK(OFFSET(A$1,,,SUMPRODUCT(MAX(ROW(E$2:E1408)*(E1408=E$2:E1408)))))-COUNTBLANK(OFFSET(A$1,,,SUMPRODUCT(MAX(ROW(E$1:E1407)*(E2=E$1:E1407))))))</f>
        <v/>
      </c>
      <c r="K1408" s="24" t="str">
        <f>IF(OR(E1408="",E1408="!!!",F1408="NEW"),"",INDEX(J$1:J1407,SUMPRODUCT(MAX(ROW(E$1:E1407)*(E1408=E$1:E1407)))))</f>
        <v/>
      </c>
      <c r="L1408" s="25"/>
    </row>
    <row r="1409" spans="1:12" x14ac:dyDescent="0.3">
      <c r="A1409" t="s">
        <v>263</v>
      </c>
      <c r="E1409" s="20" t="str">
        <f t="shared" si="154"/>
        <v/>
      </c>
      <c r="F1409" s="21" t="str">
        <f>IF(OR(E1409="",E1409="!!!"),"",IF(NOT(ISNA(VLOOKUP(E1409,E$1:E1408,1,FALSE()))),"OLD",IF(AND(E1409&lt;&gt;"",E1409&lt;&gt;"!!!"),"NEW","")))</f>
        <v/>
      </c>
      <c r="G1409" s="22" t="str">
        <f>IF(OR(E1409="",E1409="!!!"),"",IF(OR(J1409=0,AND(J1409=1,K1409=1),AND(J1409=1,I1409="SBJ"),AND(J1409=1,I1409=0)),"?IN_FOCUS",IF(J1409&lt;=2,"?ACTIVATED",IF(J1409&lt;&gt;"","?FAMILIAR",IF(F1409="NEW",IF(ISNA(VLOOKUP(E1409,#REF!,1,FALSE())),"?TYPE_IDENTIFIABLE","?REFERENTIAL"),"_")))))</f>
        <v/>
      </c>
      <c r="H1409" s="23" t="str">
        <f t="shared" ca="1" si="155"/>
        <v/>
      </c>
      <c r="I1409" s="24" t="str">
        <f>IF(OR(E1409="",E1409="!!!",F1409="NEW"),"",INDEX(B$2:B1408,-1+SUMPRODUCT(MAX(ROW(E$2:E1408)*(E1409=E$2:E1408)))))</f>
        <v/>
      </c>
      <c r="J1409" s="24" t="str">
        <f ca="1">IF(OR(E1409="",E1409="!!!",F1409="NEW"),"",COUNTBLANK(OFFSET(A$1,,,SUMPRODUCT(MAX(ROW(E$2:E1409)*(E1409=E$2:E1409)))))-COUNTBLANK(OFFSET(A$1,,,SUMPRODUCT(MAX(ROW(E$1:E1408)*(E2=E$1:E1408))))))</f>
        <v/>
      </c>
      <c r="K1409" s="24" t="str">
        <f>IF(OR(E1409="",E1409="!!!",F1409="NEW"),"",INDEX(J$1:J1408,SUMPRODUCT(MAX(ROW(E$1:E1408)*(E1409=E$1:E1408)))))</f>
        <v/>
      </c>
      <c r="L1409" s="25"/>
    </row>
    <row r="1410" spans="1:12" x14ac:dyDescent="0.3">
      <c r="A1410" t="s">
        <v>793</v>
      </c>
      <c r="B1410" s="26" t="s">
        <v>238</v>
      </c>
      <c r="C1410" s="26" t="s">
        <v>262</v>
      </c>
      <c r="E1410" s="20" t="str">
        <f t="shared" si="154"/>
        <v/>
      </c>
      <c r="F1410" s="21" t="str">
        <f>IF(OR(E1410="",E1410="!!!"),"",IF(NOT(ISNA(VLOOKUP(E1410,E$1:E1409,1,FALSE()))),"OLD",IF(AND(E1410&lt;&gt;"",E1410&lt;&gt;"!!!"),"NEW","")))</f>
        <v/>
      </c>
      <c r="G1410" s="22" t="str">
        <f>IF(OR(E1410="",E1410="!!!"),"",IF(OR(J1410=0,AND(J1410=1,K1410=1),AND(J1410=1,I1410="SBJ"),AND(J1410=1,I1410=0)),"?IN_FOCUS",IF(J1410&lt;=2,"?ACTIVATED",IF(J1410&lt;&gt;"","?FAMILIAR",IF(F1410="NEW",IF(ISNA(VLOOKUP(E1410,#REF!,1,FALSE())),"?TYPE_IDENTIFIABLE","?REFERENTIAL"),"_")))))</f>
        <v/>
      </c>
      <c r="H1410" s="23" t="str">
        <f t="shared" ca="1" si="155"/>
        <v/>
      </c>
      <c r="I1410" s="24" t="str">
        <f>IF(OR(E1410="",E1410="!!!",F1410="NEW"),"",INDEX(B$2:B1409,-1+SUMPRODUCT(MAX(ROW(E$2:E1409)*(E1410=E$2:E1409)))))</f>
        <v/>
      </c>
      <c r="J1410" s="24" t="str">
        <f ca="1">IF(OR(E1410="",E1410="!!!",F1410="NEW"),"",COUNTBLANK(OFFSET(A$1,,,SUMPRODUCT(MAX(ROW(E$2:E1410)*(E1410=E$2:E1410)))))-COUNTBLANK(OFFSET(A$1,,,SUMPRODUCT(MAX(ROW(E$1:E1409)*(E2=E$1:E1409))))))</f>
        <v/>
      </c>
      <c r="K1410" s="24" t="str">
        <f>IF(OR(E1410="",E1410="!!!",F1410="NEW"),"",INDEX(J$1:J1409,SUMPRODUCT(MAX(ROW(E$1:E1409)*(E1410=E$1:E1409)))))</f>
        <v/>
      </c>
      <c r="L1410" s="25"/>
    </row>
    <row r="1411" spans="1:12" x14ac:dyDescent="0.3">
      <c r="A1411" t="s">
        <v>363</v>
      </c>
      <c r="E1411" s="20" t="str">
        <f t="shared" si="154"/>
        <v/>
      </c>
      <c r="F1411" s="21" t="str">
        <f>IF(OR(E1411="",E1411="!!!"),"",IF(NOT(ISNA(VLOOKUP(E1411,E$1:E1410,1,FALSE()))),"OLD",IF(AND(E1411&lt;&gt;"",E1411&lt;&gt;"!!!"),"NEW","")))</f>
        <v/>
      </c>
      <c r="G1411" s="22" t="str">
        <f>IF(OR(E1411="",E1411="!!!"),"",IF(OR(J1411=0,AND(J1411=1,K1411=1),AND(J1411=1,I1411="SBJ"),AND(J1411=1,I1411=0)),"?IN_FOCUS",IF(J1411&lt;=2,"?ACTIVATED",IF(J1411&lt;&gt;"","?FAMILIAR",IF(F1411="NEW",IF(ISNA(VLOOKUP(E1411,#REF!,1,FALSE())),"?TYPE_IDENTIFIABLE","?REFERENTIAL"),"_")))))</f>
        <v/>
      </c>
      <c r="H1411" s="23" t="str">
        <f t="shared" ca="1" si="155"/>
        <v/>
      </c>
      <c r="I1411" s="24" t="str">
        <f>IF(OR(E1411="",E1411="!!!",F1411="NEW"),"",INDEX(B$2:B1410,-1+SUMPRODUCT(MAX(ROW(E$2:E1410)*(E1411=E$2:E1410)))))</f>
        <v/>
      </c>
      <c r="J1411" s="24" t="str">
        <f ca="1">IF(OR(E1411="",E1411="!!!",F1411="NEW"),"",COUNTBLANK(OFFSET(A$1,,,SUMPRODUCT(MAX(ROW(E$2:E1411)*(E1411=E$2:E1411)))))-COUNTBLANK(OFFSET(A$1,,,SUMPRODUCT(MAX(ROW(E$1:E1410)*(E2=E$1:E1410))))))</f>
        <v/>
      </c>
      <c r="K1411" s="24" t="str">
        <f>IF(OR(E1411="",E1411="!!!",F1411="NEW"),"",INDEX(J$1:J1410,SUMPRODUCT(MAX(ROW(E$1:E1410)*(E1411=E$1:E1410)))))</f>
        <v/>
      </c>
      <c r="L1411" s="25"/>
    </row>
    <row r="1412" spans="1:12" x14ac:dyDescent="0.3">
      <c r="A1412" t="s">
        <v>364</v>
      </c>
      <c r="B1412" s="26" t="s">
        <v>238</v>
      </c>
      <c r="C1412" s="26" t="s">
        <v>239</v>
      </c>
      <c r="D1412" s="26" t="s">
        <v>240</v>
      </c>
      <c r="E1412" s="20" t="str">
        <f t="shared" si="154"/>
        <v>!!!</v>
      </c>
      <c r="F1412" s="21" t="str">
        <f>IF(OR(E1412="",E1412="!!!"),"",IF(NOT(ISNA(VLOOKUP(E1412,E$1:E1411,1,FALSE()))),"OLD",IF(AND(E1412&lt;&gt;"",E1412&lt;&gt;"!!!"),"NEW","")))</f>
        <v/>
      </c>
      <c r="G1412" s="22" t="str">
        <f>IF(OR(E1412="",E1412="!!!"),"",IF(OR(J1412=0,AND(J1412=1,K1412=1),AND(J1412=1,I1412="SBJ"),AND(J1412=1,I1412=0)),"?IN_FOCUS",IF(J1412&lt;=2,"?ACTIVATED",IF(J1412&lt;&gt;"","?FAMILIAR",IF(F1412="NEW",IF(ISNA(VLOOKUP(E1412,#REF!,1,FALSE())),"?TYPE_IDENTIFIABLE","?REFERENTIAL"),"_")))))</f>
        <v/>
      </c>
      <c r="H1412" s="23" t="str">
        <f t="shared" ca="1" si="155"/>
        <v/>
      </c>
      <c r="I1412" s="24" t="str">
        <f>IF(OR(E1412="",E1412="!!!",F1412="NEW"),"",INDEX(B$2:B1411,-1+SUMPRODUCT(MAX(ROW(E$2:E1411)*(E1412=E$2:E1411)))))</f>
        <v/>
      </c>
      <c r="J1412" s="24" t="str">
        <f ca="1">IF(OR(E1412="",E1412="!!!",F1412="NEW"),"",COUNTBLANK(OFFSET(A$1,,,SUMPRODUCT(MAX(ROW(E$2:E1412)*(E1412=E$2:E1412)))))-COUNTBLANK(OFFSET(A$1,,,SUMPRODUCT(MAX(ROW(E$1:E1411)*(E2=E$1:E1411))))))</f>
        <v/>
      </c>
      <c r="K1412" s="24" t="str">
        <f>IF(OR(E1412="",E1412="!!!",F1412="NEW"),"",INDEX(J$1:J1411,SUMPRODUCT(MAX(ROW(E$1:E1411)*(E1412=E$1:E1411)))))</f>
        <v/>
      </c>
      <c r="L1412" s="25"/>
    </row>
    <row r="1413" spans="1:12" x14ac:dyDescent="0.3">
      <c r="A1413" t="s">
        <v>11</v>
      </c>
      <c r="E1413" s="20" t="str">
        <f t="shared" si="154"/>
        <v/>
      </c>
      <c r="F1413" s="21" t="str">
        <f>IF(OR(E1413="",E1413="!!!"),"",IF(NOT(ISNA(VLOOKUP(E1413,E$1:E1412,1,FALSE()))),"OLD",IF(AND(E1413&lt;&gt;"",E1413&lt;&gt;"!!!"),"NEW","")))</f>
        <v/>
      </c>
      <c r="G1413" s="22" t="str">
        <f>IF(OR(E1413="",E1413="!!!"),"",IF(OR(J1413=0,AND(J1413=1,K1413=1),AND(J1413=1,I1413="SBJ"),AND(J1413=1,I1413=0)),"?IN_FOCUS",IF(J1413&lt;=2,"?ACTIVATED",IF(J1413&lt;&gt;"","?FAMILIAR",IF(F1413="NEW",IF(ISNA(VLOOKUP(E1413,#REF!,1,FALSE())),"?TYPE_IDENTIFIABLE","?REFERENTIAL"),"_")))))</f>
        <v/>
      </c>
      <c r="H1413" s="23" t="str">
        <f t="shared" ca="1" si="155"/>
        <v/>
      </c>
      <c r="I1413" s="24" t="str">
        <f>IF(OR(E1413="",E1413="!!!",F1413="NEW"),"",INDEX(B$2:B1412,-1+SUMPRODUCT(MAX(ROW(E$2:E1412)*(E1413=E$2:E1412)))))</f>
        <v/>
      </c>
      <c r="J1413" s="24" t="str">
        <f ca="1">IF(OR(E1413="",E1413="!!!",F1413="NEW"),"",COUNTBLANK(OFFSET(A$1,,,SUMPRODUCT(MAX(ROW(E$2:E1413)*(E1413=E$2:E1413)))))-COUNTBLANK(OFFSET(A$1,,,SUMPRODUCT(MAX(ROW(E$1:E1412)*(E2=E$1:E1412))))))</f>
        <v/>
      </c>
      <c r="K1413" s="24" t="str">
        <f>IF(OR(E1413="",E1413="!!!",F1413="NEW"),"",INDEX(J$1:J1412,SUMPRODUCT(MAX(ROW(E$1:E1412)*(E1413=E$1:E1412)))))</f>
        <v/>
      </c>
      <c r="L1413" s="25"/>
    </row>
    <row r="1414" spans="1:12" x14ac:dyDescent="0.3">
      <c r="A1414" t="s">
        <v>336</v>
      </c>
      <c r="E1414" s="20" t="str">
        <f t="shared" si="154"/>
        <v/>
      </c>
      <c r="F1414" s="21" t="str">
        <f>IF(OR(E1414="",E1414="!!!"),"",IF(NOT(ISNA(VLOOKUP(E1414,E$1:E1413,1,FALSE()))),"OLD",IF(AND(E1414&lt;&gt;"",E1414&lt;&gt;"!!!"),"NEW","")))</f>
        <v/>
      </c>
      <c r="G1414" s="22" t="str">
        <f>IF(OR(E1414="",E1414="!!!"),"",IF(OR(J1414=0,AND(J1414=1,K1414=1),AND(J1414=1,I1414="SBJ"),AND(J1414=1,I1414=0)),"?IN_FOCUS",IF(J1414&lt;=2,"?ACTIVATED",IF(J1414&lt;&gt;"","?FAMILIAR",IF(F1414="NEW",IF(ISNA(VLOOKUP(E1414,#REF!,1,FALSE())),"?TYPE_IDENTIFIABLE","?REFERENTIAL"),"_")))))</f>
        <v/>
      </c>
      <c r="H1414" s="23" t="str">
        <f t="shared" ca="1" si="155"/>
        <v/>
      </c>
      <c r="I1414" s="24" t="str">
        <f>IF(OR(E1414="",E1414="!!!",F1414="NEW"),"",INDEX(B$2:B1413,-1+SUMPRODUCT(MAX(ROW(E$2:E1413)*(E1414=E$2:E1413)))))</f>
        <v/>
      </c>
      <c r="J1414" s="24" t="str">
        <f ca="1">IF(OR(E1414="",E1414="!!!",F1414="NEW"),"",COUNTBLANK(OFFSET(A$1,,,SUMPRODUCT(MAX(ROW(E$2:E1414)*(E1414=E$2:E1414)))))-COUNTBLANK(OFFSET(A$1,,,SUMPRODUCT(MAX(ROW(E$1:E1413)*(E2=E$1:E1413))))))</f>
        <v/>
      </c>
      <c r="K1414" s="24" t="str">
        <f>IF(OR(E1414="",E1414="!!!",F1414="NEW"),"",INDEX(J$1:J1413,SUMPRODUCT(MAX(ROW(E$1:E1413)*(E1414=E$1:E1413)))))</f>
        <v/>
      </c>
      <c r="L1414" s="25"/>
    </row>
    <row r="1415" spans="1:12" x14ac:dyDescent="0.3">
      <c r="A1415" t="s">
        <v>380</v>
      </c>
      <c r="E1415" s="20" t="str">
        <f t="shared" si="154"/>
        <v/>
      </c>
      <c r="F1415" s="21" t="str">
        <f>IF(OR(E1415="",E1415="!!!"),"",IF(NOT(ISNA(VLOOKUP(E1415,E$1:E1414,1,FALSE()))),"OLD",IF(AND(E1415&lt;&gt;"",E1415&lt;&gt;"!!!"),"NEW","")))</f>
        <v/>
      </c>
      <c r="G1415" s="22" t="str">
        <f>IF(OR(E1415="",E1415="!!!"),"",IF(OR(J1415=0,AND(J1415=1,K1415=1),AND(J1415=1,I1415="SBJ"),AND(J1415=1,I1415=0)),"?IN_FOCUS",IF(J1415&lt;=2,"?ACTIVATED",IF(J1415&lt;&gt;"","?FAMILIAR",IF(F1415="NEW",IF(ISNA(VLOOKUP(E1415,#REF!,1,FALSE())),"?TYPE_IDENTIFIABLE","?REFERENTIAL"),"_")))))</f>
        <v/>
      </c>
      <c r="H1415" s="23" t="str">
        <f t="shared" ca="1" si="155"/>
        <v/>
      </c>
      <c r="I1415" s="24" t="str">
        <f>IF(OR(E1415="",E1415="!!!",F1415="NEW"),"",INDEX(B$2:B1414,-1+SUMPRODUCT(MAX(ROW(E$2:E1414)*(E1415=E$2:E1414)))))</f>
        <v/>
      </c>
      <c r="J1415" s="24" t="str">
        <f ca="1">IF(OR(E1415="",E1415="!!!",F1415="NEW"),"",COUNTBLANK(OFFSET(A$1,,,SUMPRODUCT(MAX(ROW(E$2:E1415)*(E1415=E$2:E1415)))))-COUNTBLANK(OFFSET(A$1,,,SUMPRODUCT(MAX(ROW(E$1:E1414)*(E2=E$1:E1414))))))</f>
        <v/>
      </c>
      <c r="K1415" s="24" t="str">
        <f>IF(OR(E1415="",E1415="!!!",F1415="NEW"),"",INDEX(J$1:J1414,SUMPRODUCT(MAX(ROW(E$1:E1414)*(E1415=E$1:E1414)))))</f>
        <v/>
      </c>
      <c r="L1415" s="25"/>
    </row>
    <row r="1416" spans="1:12" x14ac:dyDescent="0.3">
      <c r="A1416" t="s">
        <v>794</v>
      </c>
      <c r="E1416" s="20" t="str">
        <f t="shared" si="154"/>
        <v/>
      </c>
      <c r="F1416" s="21" t="str">
        <f>IF(OR(E1416="",E1416="!!!"),"",IF(NOT(ISNA(VLOOKUP(E1416,E$1:E1415,1,FALSE()))),"OLD",IF(AND(E1416&lt;&gt;"",E1416&lt;&gt;"!!!"),"NEW","")))</f>
        <v/>
      </c>
      <c r="G1416" s="22" t="str">
        <f>IF(OR(E1416="",E1416="!!!"),"",IF(OR(J1416=0,AND(J1416=1,K1416=1),AND(J1416=1,I1416="SBJ"),AND(J1416=1,I1416=0)),"?IN_FOCUS",IF(J1416&lt;=2,"?ACTIVATED",IF(J1416&lt;&gt;"","?FAMILIAR",IF(F1416="NEW",IF(ISNA(VLOOKUP(E1416,#REF!,1,FALSE())),"?TYPE_IDENTIFIABLE","?REFERENTIAL"),"_")))))</f>
        <v/>
      </c>
      <c r="H1416" s="23" t="str">
        <f t="shared" ca="1" si="155"/>
        <v/>
      </c>
      <c r="I1416" s="24" t="str">
        <f>IF(OR(E1416="",E1416="!!!",F1416="NEW"),"",INDEX(B$2:B1415,-1+SUMPRODUCT(MAX(ROW(E$2:E1415)*(E1416=E$2:E1415)))))</f>
        <v/>
      </c>
      <c r="J1416" s="24" t="str">
        <f ca="1">IF(OR(E1416="",E1416="!!!",F1416="NEW"),"",COUNTBLANK(OFFSET(A$1,,,SUMPRODUCT(MAX(ROW(E$2:E1416)*(E1416=E$2:E1416)))))-COUNTBLANK(OFFSET(A$1,,,SUMPRODUCT(MAX(ROW(E$1:E1415)*(E2=E$1:E1415))))))</f>
        <v/>
      </c>
      <c r="K1416" s="24" t="str">
        <f>IF(OR(E1416="",E1416="!!!",F1416="NEW"),"",INDEX(J$1:J1415,SUMPRODUCT(MAX(ROW(E$1:E1415)*(E1416=E$1:E1415)))))</f>
        <v/>
      </c>
      <c r="L1416" s="25"/>
    </row>
    <row r="1417" spans="1:12" x14ac:dyDescent="0.3">
      <c r="A1417" t="s">
        <v>340</v>
      </c>
      <c r="E1417" s="20" t="str">
        <f t="shared" si="154"/>
        <v/>
      </c>
      <c r="F1417" s="21" t="str">
        <f>IF(OR(E1417="",E1417="!!!"),"",IF(NOT(ISNA(VLOOKUP(E1417,E$1:E1416,1,FALSE()))),"OLD",IF(AND(E1417&lt;&gt;"",E1417&lt;&gt;"!!!"),"NEW","")))</f>
        <v/>
      </c>
      <c r="G1417" s="22" t="str">
        <f>IF(OR(E1417="",E1417="!!!"),"",IF(OR(J1417=0,AND(J1417=1,K1417=1),AND(J1417=1,I1417="SBJ"),AND(J1417=1,I1417=0)),"?IN_FOCUS",IF(J1417&lt;=2,"?ACTIVATED",IF(J1417&lt;&gt;"","?FAMILIAR",IF(F1417="NEW",IF(ISNA(VLOOKUP(E1417,#REF!,1,FALSE())),"?TYPE_IDENTIFIABLE","?REFERENTIAL"),"_")))))</f>
        <v/>
      </c>
      <c r="H1417" s="23" t="str">
        <f t="shared" ca="1" si="155"/>
        <v/>
      </c>
      <c r="I1417" s="24" t="str">
        <f>IF(OR(E1417="",E1417="!!!",F1417="NEW"),"",INDEX(B$2:B1416,-1+SUMPRODUCT(MAX(ROW(E$2:E1416)*(E1417=E$2:E1416)))))</f>
        <v/>
      </c>
      <c r="J1417" s="24" t="str">
        <f ca="1">IF(OR(E1417="",E1417="!!!",F1417="NEW"),"",COUNTBLANK(OFFSET(A$1,,,SUMPRODUCT(MAX(ROW(E$2:E1417)*(E1417=E$2:E1417)))))-COUNTBLANK(OFFSET(A$1,,,SUMPRODUCT(MAX(ROW(E$1:E1416)*(E2=E$1:E1416))))))</f>
        <v/>
      </c>
      <c r="K1417" s="24" t="str">
        <f>IF(OR(E1417="",E1417="!!!",F1417="NEW"),"",INDEX(J$1:J1416,SUMPRODUCT(MAX(ROW(E$1:E1416)*(E1417=E$1:E1416)))))</f>
        <v/>
      </c>
      <c r="L1417" s="25"/>
    </row>
    <row r="1418" spans="1:12" x14ac:dyDescent="0.3">
      <c r="A1418" t="s">
        <v>254</v>
      </c>
      <c r="B1418" s="26" t="s">
        <v>255</v>
      </c>
      <c r="C1418" s="26" t="s">
        <v>256</v>
      </c>
      <c r="D1418" s="26" t="s">
        <v>240</v>
      </c>
      <c r="E1418" s="20" t="str">
        <f t="shared" si="154"/>
        <v>!!!</v>
      </c>
      <c r="F1418" s="21" t="str">
        <f>IF(OR(E1418="",E1418="!!!"),"",IF(NOT(ISNA(VLOOKUP(E1418,E$1:E1417,1,FALSE()))),"OLD",IF(AND(E1418&lt;&gt;"",E1418&lt;&gt;"!!!"),"NEW","")))</f>
        <v/>
      </c>
      <c r="G1418" s="22" t="str">
        <f>IF(OR(E1418="",E1418="!!!"),"",IF(OR(J1418=0,AND(J1418=1,K1418=1),AND(J1418=1,I1418="SBJ"),AND(J1418=1,I1418=0)),"?IN_FOCUS",IF(J1418&lt;=2,"?ACTIVATED",IF(J1418&lt;&gt;"","?FAMILIAR",IF(F1418="NEW",IF(ISNA(VLOOKUP(E1418,#REF!,1,FALSE())),"?TYPE_IDENTIFIABLE","?REFERENTIAL"),"_")))))</f>
        <v/>
      </c>
      <c r="H1418" s="23" t="str">
        <f t="shared" ca="1" si="155"/>
        <v/>
      </c>
      <c r="I1418" s="24" t="str">
        <f>IF(OR(E1418="",E1418="!!!",F1418="NEW"),"",INDEX(B$2:B1417,-1+SUMPRODUCT(MAX(ROW(E$2:E1417)*(E1418=E$2:E1417)))))</f>
        <v/>
      </c>
      <c r="J1418" s="24" t="str">
        <f ca="1">IF(OR(E1418="",E1418="!!!",F1418="NEW"),"",COUNTBLANK(OFFSET(A$1,,,SUMPRODUCT(MAX(ROW(E$2:E1418)*(E1418=E$2:E1418)))))-COUNTBLANK(OFFSET(A$1,,,SUMPRODUCT(MAX(ROW(E$1:E1417)*(E2=E$1:E1417))))))</f>
        <v/>
      </c>
      <c r="K1418" s="24" t="str">
        <f>IF(OR(E1418="",E1418="!!!",F1418="NEW"),"",INDEX(J$1:J1417,SUMPRODUCT(MAX(ROW(E$1:E1417)*(E1418=E$1:E1417)))))</f>
        <v/>
      </c>
      <c r="L1418" s="25"/>
    </row>
    <row r="1419" spans="1:12" x14ac:dyDescent="0.3">
      <c r="A1419" t="s">
        <v>795</v>
      </c>
      <c r="E1419" s="20" t="str">
        <f t="shared" si="154"/>
        <v/>
      </c>
      <c r="F1419" s="21" t="str">
        <f>IF(OR(E1419="",E1419="!!!"),"",IF(NOT(ISNA(VLOOKUP(E1419,E$1:E1418,1,FALSE()))),"OLD",IF(AND(E1419&lt;&gt;"",E1419&lt;&gt;"!!!"),"NEW","")))</f>
        <v/>
      </c>
      <c r="G1419" s="22" t="str">
        <f>IF(OR(E1419="",E1419="!!!"),"",IF(OR(J1419=0,AND(J1419=1,K1419=1),AND(J1419=1,I1419="SBJ"),AND(J1419=1,I1419=0)),"?IN_FOCUS",IF(J1419&lt;=2,"?ACTIVATED",IF(J1419&lt;&gt;"","?FAMILIAR",IF(F1419="NEW",IF(ISNA(VLOOKUP(E1419,#REF!,1,FALSE())),"?TYPE_IDENTIFIABLE","?REFERENTIAL"),"_")))))</f>
        <v/>
      </c>
      <c r="H1419" s="23" t="str">
        <f t="shared" ca="1" si="155"/>
        <v/>
      </c>
      <c r="I1419" s="24" t="str">
        <f>IF(OR(E1419="",E1419="!!!",F1419="NEW"),"",INDEX(B$2:B1418,-1+SUMPRODUCT(MAX(ROW(E$2:E1418)*(E1419=E$2:E1418)))))</f>
        <v/>
      </c>
      <c r="J1419" s="24" t="str">
        <f ca="1">IF(OR(E1419="",E1419="!!!",F1419="NEW"),"",COUNTBLANK(OFFSET(A$1,,,SUMPRODUCT(MAX(ROW(E$2:E1419)*(E1419=E$2:E1419)))))-COUNTBLANK(OFFSET(A$1,,,SUMPRODUCT(MAX(ROW(E$1:E1418)*(E2=E$1:E1418))))))</f>
        <v/>
      </c>
      <c r="K1419" s="24" t="str">
        <f>IF(OR(E1419="",E1419="!!!",F1419="NEW"),"",INDEX(J$1:J1418,SUMPRODUCT(MAX(ROW(E$1:E1418)*(E1419=E$1:E1418)))))</f>
        <v/>
      </c>
      <c r="L1419" s="25"/>
    </row>
    <row r="1420" spans="1:12" x14ac:dyDescent="0.3">
      <c r="A1420" t="s">
        <v>331</v>
      </c>
      <c r="E1420" s="20" t="str">
        <f t="shared" si="154"/>
        <v/>
      </c>
      <c r="F1420" s="21" t="str">
        <f>IF(OR(E1420="",E1420="!!!"),"",IF(NOT(ISNA(VLOOKUP(E1420,E$1:E1419,1,FALSE()))),"OLD",IF(AND(E1420&lt;&gt;"",E1420&lt;&gt;"!!!"),"NEW","")))</f>
        <v/>
      </c>
      <c r="G1420" s="22" t="str">
        <f>IF(OR(E1420="",E1420="!!!"),"",IF(OR(J1420=0,AND(J1420=1,K1420=1),AND(J1420=1,I1420="SBJ"),AND(J1420=1,I1420=0)),"?IN_FOCUS",IF(J1420&lt;=2,"?ACTIVATED",IF(J1420&lt;&gt;"","?FAMILIAR",IF(F1420="NEW",IF(ISNA(VLOOKUP(E1420,#REF!,1,FALSE())),"?TYPE_IDENTIFIABLE","?REFERENTIAL"),"_")))))</f>
        <v/>
      </c>
      <c r="H1420" s="23" t="str">
        <f t="shared" ca="1" si="155"/>
        <v/>
      </c>
      <c r="I1420" s="24" t="str">
        <f>IF(OR(E1420="",E1420="!!!",F1420="NEW"),"",INDEX(B$2:B1419,-1+SUMPRODUCT(MAX(ROW(E$2:E1419)*(E1420=E$2:E1419)))))</f>
        <v/>
      </c>
      <c r="J1420" s="24" t="str">
        <f ca="1">IF(OR(E1420="",E1420="!!!",F1420="NEW"),"",COUNTBLANK(OFFSET(A$1,,,SUMPRODUCT(MAX(ROW(E$2:E1420)*(E1420=E$2:E1420)))))-COUNTBLANK(OFFSET(A$1,,,SUMPRODUCT(MAX(ROW(E$1:E1419)*(E2=E$1:E1419))))))</f>
        <v/>
      </c>
      <c r="K1420" s="24" t="str">
        <f>IF(OR(E1420="",E1420="!!!",F1420="NEW"),"",INDEX(J$1:J1419,SUMPRODUCT(MAX(ROW(E$1:E1419)*(E1420=E$1:E1419)))))</f>
        <v/>
      </c>
      <c r="L1420" s="25"/>
    </row>
    <row r="1421" spans="1:12" x14ac:dyDescent="0.3">
      <c r="A1421" t="s">
        <v>263</v>
      </c>
      <c r="E1421" s="20" t="str">
        <f t="shared" si="154"/>
        <v/>
      </c>
      <c r="F1421" s="21" t="str">
        <f>IF(OR(E1421="",E1421="!!!"),"",IF(NOT(ISNA(VLOOKUP(E1421,E$1:E1420,1,FALSE()))),"OLD",IF(AND(E1421&lt;&gt;"",E1421&lt;&gt;"!!!"),"NEW","")))</f>
        <v/>
      </c>
      <c r="G1421" s="22" t="str">
        <f>IF(OR(E1421="",E1421="!!!"),"",IF(OR(J1421=0,AND(J1421=1,K1421=1),AND(J1421=1,I1421="SBJ"),AND(J1421=1,I1421=0)),"?IN_FOCUS",IF(J1421&lt;=2,"?ACTIVATED",IF(J1421&lt;&gt;"","?FAMILIAR",IF(F1421="NEW",IF(ISNA(VLOOKUP(E1421,#REF!,1,FALSE())),"?TYPE_IDENTIFIABLE","?REFERENTIAL"),"_")))))</f>
        <v/>
      </c>
      <c r="H1421" s="23" t="str">
        <f t="shared" ca="1" si="155"/>
        <v/>
      </c>
      <c r="I1421" s="24" t="str">
        <f>IF(OR(E1421="",E1421="!!!",F1421="NEW"),"",INDEX(B$2:B1420,-1+SUMPRODUCT(MAX(ROW(E$2:E1420)*(E1421=E$2:E1420)))))</f>
        <v/>
      </c>
      <c r="J1421" s="24" t="str">
        <f ca="1">IF(OR(E1421="",E1421="!!!",F1421="NEW"),"",COUNTBLANK(OFFSET(A$1,,,SUMPRODUCT(MAX(ROW(E$2:E1421)*(E1421=E$2:E1421)))))-COUNTBLANK(OFFSET(A$1,,,SUMPRODUCT(MAX(ROW(E$1:E1420)*(E2=E$1:E1420))))))</f>
        <v/>
      </c>
      <c r="K1421" s="24" t="str">
        <f>IF(OR(E1421="",E1421="!!!",F1421="NEW"),"",INDEX(J$1:J1420,SUMPRODUCT(MAX(ROW(E$1:E1420)*(E1421=E$1:E1420)))))</f>
        <v/>
      </c>
      <c r="L1421" s="25"/>
    </row>
    <row r="1422" spans="1:12" x14ac:dyDescent="0.3">
      <c r="A1422" t="s">
        <v>796</v>
      </c>
      <c r="E1422" s="20" t="str">
        <f t="shared" si="154"/>
        <v/>
      </c>
      <c r="F1422" s="21" t="str">
        <f>IF(OR(E1422="",E1422="!!!"),"",IF(NOT(ISNA(VLOOKUP(E1422,E$1:E1421,1,FALSE()))),"OLD",IF(AND(E1422&lt;&gt;"",E1422&lt;&gt;"!!!"),"NEW","")))</f>
        <v/>
      </c>
      <c r="G1422" s="22" t="str">
        <f>IF(OR(E1422="",E1422="!!!"),"",IF(OR(J1422=0,AND(J1422=1,K1422=1),AND(J1422=1,I1422="SBJ"),AND(J1422=1,I1422=0)),"?IN_FOCUS",IF(J1422&lt;=2,"?ACTIVATED",IF(J1422&lt;&gt;"","?FAMILIAR",IF(F1422="NEW",IF(ISNA(VLOOKUP(E1422,#REF!,1,FALSE())),"?TYPE_IDENTIFIABLE","?REFERENTIAL"),"_")))))</f>
        <v/>
      </c>
      <c r="H1422" s="23" t="str">
        <f t="shared" ca="1" si="155"/>
        <v/>
      </c>
      <c r="I1422" s="24" t="str">
        <f>IF(OR(E1422="",E1422="!!!",F1422="NEW"),"",INDEX(B$2:B1421,-1+SUMPRODUCT(MAX(ROW(E$2:E1421)*(E1422=E$2:E1421)))))</f>
        <v/>
      </c>
      <c r="J1422" s="24" t="str">
        <f ca="1">IF(OR(E1422="",E1422="!!!",F1422="NEW"),"",COUNTBLANK(OFFSET(A$1,,,SUMPRODUCT(MAX(ROW(E$2:E1422)*(E1422=E$2:E1422)))))-COUNTBLANK(OFFSET(A$1,,,SUMPRODUCT(MAX(ROW(E$1:E1421)*(E2=E$1:E1421))))))</f>
        <v/>
      </c>
      <c r="K1422" s="24" t="str">
        <f>IF(OR(E1422="",E1422="!!!",F1422="NEW"),"",INDEX(J$1:J1421,SUMPRODUCT(MAX(ROW(E$1:E1421)*(E1422=E$1:E1421)))))</f>
        <v/>
      </c>
      <c r="L1422" s="25"/>
    </row>
    <row r="1423" spans="1:12" x14ac:dyDescent="0.3">
      <c r="A1423" t="s">
        <v>797</v>
      </c>
      <c r="B1423" s="26" t="s">
        <v>261</v>
      </c>
      <c r="C1423" s="26" t="s">
        <v>262</v>
      </c>
      <c r="E1423" s="20" t="str">
        <f t="shared" si="154"/>
        <v/>
      </c>
      <c r="F1423" s="21" t="str">
        <f>IF(OR(E1423="",E1423="!!!"),"",IF(NOT(ISNA(VLOOKUP(E1423,E$1:E1422,1,FALSE()))),"OLD",IF(AND(E1423&lt;&gt;"",E1423&lt;&gt;"!!!"),"NEW","")))</f>
        <v/>
      </c>
      <c r="G1423" s="22" t="str">
        <f>IF(OR(E1423="",E1423="!!!"),"",IF(OR(J1423=0,AND(J1423=1,K1423=1),AND(J1423=1,I1423="SBJ"),AND(J1423=1,I1423=0)),"?IN_FOCUS",IF(J1423&lt;=2,"?ACTIVATED",IF(J1423&lt;&gt;"","?FAMILIAR",IF(F1423="NEW",IF(ISNA(VLOOKUP(E1423,#REF!,1,FALSE())),"?TYPE_IDENTIFIABLE","?REFERENTIAL"),"_")))))</f>
        <v/>
      </c>
      <c r="H1423" s="23" t="str">
        <f t="shared" ca="1" si="155"/>
        <v/>
      </c>
      <c r="I1423" s="24" t="str">
        <f>IF(OR(E1423="",E1423="!!!",F1423="NEW"),"",INDEX(B$2:B1422,-1+SUMPRODUCT(MAX(ROW(E$2:E1422)*(E1423=E$2:E1422)))))</f>
        <v/>
      </c>
      <c r="J1423" s="24" t="str">
        <f ca="1">IF(OR(E1423="",E1423="!!!",F1423="NEW"),"",COUNTBLANK(OFFSET(A$1,,,SUMPRODUCT(MAX(ROW(E$2:E1423)*(E1423=E$2:E1423)))))-COUNTBLANK(OFFSET(A$1,,,SUMPRODUCT(MAX(ROW(E$1:E1422)*(E2=E$1:E1422))))))</f>
        <v/>
      </c>
      <c r="K1423" s="24" t="str">
        <f>IF(OR(E1423="",E1423="!!!",F1423="NEW"),"",INDEX(J$1:J1422,SUMPRODUCT(MAX(ROW(E$1:E1422)*(E1423=E$1:E1422)))))</f>
        <v/>
      </c>
      <c r="L1423" s="25"/>
    </row>
    <row r="1424" spans="1:12" x14ac:dyDescent="0.3">
      <c r="A1424" t="s">
        <v>11</v>
      </c>
      <c r="E1424" s="20" t="str">
        <f t="shared" si="154"/>
        <v/>
      </c>
      <c r="F1424" s="21" t="str">
        <f>IF(OR(E1424="",E1424="!!!"),"",IF(NOT(ISNA(VLOOKUP(E1424,E$1:E1423,1,FALSE()))),"OLD",IF(AND(E1424&lt;&gt;"",E1424&lt;&gt;"!!!"),"NEW","")))</f>
        <v/>
      </c>
      <c r="G1424" s="22" t="str">
        <f>IF(OR(E1424="",E1424="!!!"),"",IF(OR(J1424=0,AND(J1424=1,K1424=1),AND(J1424=1,I1424="SBJ"),AND(J1424=1,I1424=0)),"?IN_FOCUS",IF(J1424&lt;=2,"?ACTIVATED",IF(J1424&lt;&gt;"","?FAMILIAR",IF(F1424="NEW",IF(ISNA(VLOOKUP(E1424,#REF!,1,FALSE())),"?TYPE_IDENTIFIABLE","?REFERENTIAL"),"_")))))</f>
        <v/>
      </c>
      <c r="H1424" s="23" t="str">
        <f t="shared" ca="1" si="155"/>
        <v/>
      </c>
      <c r="I1424" s="24" t="str">
        <f>IF(OR(E1424="",E1424="!!!",F1424="NEW"),"",INDEX(B$2:B1423,-1+SUMPRODUCT(MAX(ROW(E$2:E1423)*(E1424=E$2:E1423)))))</f>
        <v/>
      </c>
      <c r="J1424" s="24" t="str">
        <f ca="1">IF(OR(E1424="",E1424="!!!",F1424="NEW"),"",COUNTBLANK(OFFSET(A$1,,,SUMPRODUCT(MAX(ROW(E$2:E1424)*(E1424=E$2:E1424)))))-COUNTBLANK(OFFSET(A$1,,,SUMPRODUCT(MAX(ROW(E$1:E1423)*(E2=E$1:E1423))))))</f>
        <v/>
      </c>
      <c r="K1424" s="24" t="str">
        <f>IF(OR(E1424="",E1424="!!!",F1424="NEW"),"",INDEX(J$1:J1423,SUMPRODUCT(MAX(ROW(E$1:E1423)*(E1424=E$1:E1423)))))</f>
        <v/>
      </c>
      <c r="L1424" s="25"/>
    </row>
    <row r="1425" spans="1:12" x14ac:dyDescent="0.3">
      <c r="A1425" t="s">
        <v>252</v>
      </c>
      <c r="E1425" s="20" t="str">
        <f t="shared" si="154"/>
        <v/>
      </c>
      <c r="F1425" s="21" t="str">
        <f>IF(OR(E1425="",E1425="!!!"),"",IF(NOT(ISNA(VLOOKUP(E1425,E$1:E1424,1,FALSE()))),"OLD",IF(AND(E1425&lt;&gt;"",E1425&lt;&gt;"!!!"),"NEW","")))</f>
        <v/>
      </c>
      <c r="G1425" s="22" t="str">
        <f>IF(OR(E1425="",E1425="!!!"),"",IF(OR(J1425=0,AND(J1425=1,K1425=1),AND(J1425=1,I1425="SBJ"),AND(J1425=1,I1425=0)),"?IN_FOCUS",IF(J1425&lt;=2,"?ACTIVATED",IF(J1425&lt;&gt;"","?FAMILIAR",IF(F1425="NEW",IF(ISNA(VLOOKUP(E1425,#REF!,1,FALSE())),"?TYPE_IDENTIFIABLE","?REFERENTIAL"),"_")))))</f>
        <v/>
      </c>
      <c r="H1425" s="23" t="str">
        <f t="shared" ca="1" si="155"/>
        <v/>
      </c>
      <c r="I1425" s="24" t="str">
        <f>IF(OR(E1425="",E1425="!!!",F1425="NEW"),"",INDEX(B$2:B1424,-1+SUMPRODUCT(MAX(ROW(E$2:E1424)*(E1425=E$2:E1424)))))</f>
        <v/>
      </c>
      <c r="J1425" s="24" t="str">
        <f ca="1">IF(OR(E1425="",E1425="!!!",F1425="NEW"),"",COUNTBLANK(OFFSET(A$1,,,SUMPRODUCT(MAX(ROW(E$2:E1425)*(E1425=E$2:E1425)))))-COUNTBLANK(OFFSET(A$1,,,SUMPRODUCT(MAX(ROW(E$1:E1424)*(E2=E$1:E1424))))))</f>
        <v/>
      </c>
      <c r="K1425" s="24" t="str">
        <f>IF(OR(E1425="",E1425="!!!",F1425="NEW"),"",INDEX(J$1:J1424,SUMPRODUCT(MAX(ROW(E$1:E1424)*(E1425=E$1:E1424)))))</f>
        <v/>
      </c>
      <c r="L1425" s="25"/>
    </row>
    <row r="1426" spans="1:12" x14ac:dyDescent="0.3">
      <c r="A1426" t="s">
        <v>798</v>
      </c>
      <c r="E1426" s="20" t="str">
        <f t="shared" si="154"/>
        <v/>
      </c>
      <c r="F1426" s="21" t="str">
        <f>IF(OR(E1426="",E1426="!!!"),"",IF(NOT(ISNA(VLOOKUP(E1426,E$1:E1425,1,FALSE()))),"OLD",IF(AND(E1426&lt;&gt;"",E1426&lt;&gt;"!!!"),"NEW","")))</f>
        <v/>
      </c>
      <c r="G1426" s="22" t="str">
        <f>IF(OR(E1426="",E1426="!!!"),"",IF(OR(J1426=0,AND(J1426=1,K1426=1),AND(J1426=1,I1426="SBJ"),AND(J1426=1,I1426=0)),"?IN_FOCUS",IF(J1426&lt;=2,"?ACTIVATED",IF(J1426&lt;&gt;"","?FAMILIAR",IF(F1426="NEW",IF(ISNA(VLOOKUP(E1426,#REF!,1,FALSE())),"?TYPE_IDENTIFIABLE","?REFERENTIAL"),"_")))))</f>
        <v/>
      </c>
      <c r="H1426" s="23" t="str">
        <f t="shared" ca="1" si="155"/>
        <v/>
      </c>
      <c r="I1426" s="24" t="str">
        <f>IF(OR(E1426="",E1426="!!!",F1426="NEW"),"",INDEX(B$2:B1425,-1+SUMPRODUCT(MAX(ROW(E$2:E1425)*(E1426=E$2:E1425)))))</f>
        <v/>
      </c>
      <c r="J1426" s="24" t="str">
        <f ca="1">IF(OR(E1426="",E1426="!!!",F1426="NEW"),"",COUNTBLANK(OFFSET(A$1,,,SUMPRODUCT(MAX(ROW(E$2:E1426)*(E1426=E$2:E1426)))))-COUNTBLANK(OFFSET(A$1,,,SUMPRODUCT(MAX(ROW(E$1:E1425)*(E2=E$1:E1425))))))</f>
        <v/>
      </c>
      <c r="K1426" s="24" t="str">
        <f>IF(OR(E1426="",E1426="!!!",F1426="NEW"),"",INDEX(J$1:J1425,SUMPRODUCT(MAX(ROW(E$1:E1425)*(E1426=E$1:E1425)))))</f>
        <v/>
      </c>
      <c r="L1426" s="25"/>
    </row>
    <row r="1427" spans="1:12" x14ac:dyDescent="0.3">
      <c r="A1427" t="s">
        <v>372</v>
      </c>
      <c r="E1427" s="20" t="str">
        <f t="shared" si="154"/>
        <v/>
      </c>
      <c r="F1427" s="21" t="str">
        <f>IF(OR(E1427="",E1427="!!!"),"",IF(NOT(ISNA(VLOOKUP(E1427,E$1:E1426,1,FALSE()))),"OLD",IF(AND(E1427&lt;&gt;"",E1427&lt;&gt;"!!!"),"NEW","")))</f>
        <v/>
      </c>
      <c r="G1427" s="22" t="str">
        <f>IF(OR(E1427="",E1427="!!!"),"",IF(OR(J1427=0,AND(J1427=1,K1427=1),AND(J1427=1,I1427="SBJ"),AND(J1427=1,I1427=0)),"?IN_FOCUS",IF(J1427&lt;=2,"?ACTIVATED",IF(J1427&lt;&gt;"","?FAMILIAR",IF(F1427="NEW",IF(ISNA(VLOOKUP(E1427,#REF!,1,FALSE())),"?TYPE_IDENTIFIABLE","?REFERENTIAL"),"_")))))</f>
        <v/>
      </c>
      <c r="H1427" s="23" t="str">
        <f t="shared" ca="1" si="155"/>
        <v/>
      </c>
      <c r="I1427" s="24" t="str">
        <f>IF(OR(E1427="",E1427="!!!",F1427="NEW"),"",INDEX(B$2:B1426,-1+SUMPRODUCT(MAX(ROW(E$2:E1426)*(E1427=E$2:E1426)))))</f>
        <v/>
      </c>
      <c r="J1427" s="24" t="str">
        <f ca="1">IF(OR(E1427="",E1427="!!!",F1427="NEW"),"",COUNTBLANK(OFFSET(A$1,,,SUMPRODUCT(MAX(ROW(E$2:E1427)*(E1427=E$2:E1427)))))-COUNTBLANK(OFFSET(A$1,,,SUMPRODUCT(MAX(ROW(E$1:E1426)*(E2=E$1:E1426))))))</f>
        <v/>
      </c>
      <c r="K1427" s="24" t="str">
        <f>IF(OR(E1427="",E1427="!!!",F1427="NEW"),"",INDEX(J$1:J1426,SUMPRODUCT(MAX(ROW(E$1:E1426)*(E1427=E$1:E1426)))))</f>
        <v/>
      </c>
      <c r="L1427" s="25"/>
    </row>
    <row r="1428" spans="1:12" x14ac:dyDescent="0.3">
      <c r="A1428" t="s">
        <v>787</v>
      </c>
      <c r="B1428" s="26" t="s">
        <v>276</v>
      </c>
      <c r="C1428" s="26" t="s">
        <v>262</v>
      </c>
      <c r="E1428" s="20" t="str">
        <f t="shared" si="154"/>
        <v/>
      </c>
      <c r="F1428" s="21" t="str">
        <f>IF(OR(E1428="",E1428="!!!"),"",IF(NOT(ISNA(VLOOKUP(E1428,E$1:E1427,1,FALSE()))),"OLD",IF(AND(E1428&lt;&gt;"",E1428&lt;&gt;"!!!"),"NEW","")))</f>
        <v/>
      </c>
      <c r="G1428" s="22" t="str">
        <f>IF(OR(E1428="",E1428="!!!"),"",IF(OR(J1428=0,AND(J1428=1,K1428=1),AND(J1428=1,I1428="SBJ"),AND(J1428=1,I1428=0)),"?IN_FOCUS",IF(J1428&lt;=2,"?ACTIVATED",IF(J1428&lt;&gt;"","?FAMILIAR",IF(F1428="NEW",IF(ISNA(VLOOKUP(E1428,#REF!,1,FALSE())),"?TYPE_IDENTIFIABLE","?REFERENTIAL"),"_")))))</f>
        <v/>
      </c>
      <c r="H1428" s="23" t="str">
        <f t="shared" ca="1" si="155"/>
        <v/>
      </c>
      <c r="I1428" s="24" t="str">
        <f>IF(OR(E1428="",E1428="!!!",F1428="NEW"),"",INDEX(B$2:B1427,-1+SUMPRODUCT(MAX(ROW(E$2:E1427)*(E1428=E$2:E1427)))))</f>
        <v/>
      </c>
      <c r="J1428" s="24" t="str">
        <f ca="1">IF(OR(E1428="",E1428="!!!",F1428="NEW"),"",COUNTBLANK(OFFSET(A$1,,,SUMPRODUCT(MAX(ROW(E$2:E1428)*(E1428=E$2:E1428)))))-COUNTBLANK(OFFSET(A$1,,,SUMPRODUCT(MAX(ROW(E$1:E1427)*(E2=E$1:E1427))))))</f>
        <v/>
      </c>
      <c r="K1428" s="24" t="str">
        <f>IF(OR(E1428="",E1428="!!!",F1428="NEW"),"",INDEX(J$1:J1427,SUMPRODUCT(MAX(ROW(E$1:E1427)*(E1428=E$1:E1427)))))</f>
        <v/>
      </c>
      <c r="L1428" s="25"/>
    </row>
    <row r="1429" spans="1:12" x14ac:dyDescent="0.3">
      <c r="A1429" t="s">
        <v>799</v>
      </c>
      <c r="E1429" s="20" t="str">
        <f t="shared" si="154"/>
        <v/>
      </c>
      <c r="F1429" s="21" t="str">
        <f>IF(OR(E1429="",E1429="!!!"),"",IF(NOT(ISNA(VLOOKUP(E1429,E$1:E1428,1,FALSE()))),"OLD",IF(AND(E1429&lt;&gt;"",E1429&lt;&gt;"!!!"),"NEW","")))</f>
        <v/>
      </c>
      <c r="G1429" s="22" t="str">
        <f>IF(OR(E1429="",E1429="!!!"),"",IF(OR(J1429=0,AND(J1429=1,K1429=1),AND(J1429=1,I1429="SBJ"),AND(J1429=1,I1429=0)),"?IN_FOCUS",IF(J1429&lt;=2,"?ACTIVATED",IF(J1429&lt;&gt;"","?FAMILIAR",IF(F1429="NEW",IF(ISNA(VLOOKUP(E1429,#REF!,1,FALSE())),"?TYPE_IDENTIFIABLE","?REFERENTIAL"),"_")))))</f>
        <v/>
      </c>
      <c r="H1429" s="23" t="str">
        <f t="shared" ca="1" si="155"/>
        <v/>
      </c>
      <c r="I1429" s="24" t="str">
        <f>IF(OR(E1429="",E1429="!!!",F1429="NEW"),"",INDEX(B$2:B1428,-1+SUMPRODUCT(MAX(ROW(E$2:E1428)*(E1429=E$2:E1428)))))</f>
        <v/>
      </c>
      <c r="J1429" s="24" t="str">
        <f ca="1">IF(OR(E1429="",E1429="!!!",F1429="NEW"),"",COUNTBLANK(OFFSET(A$1,,,SUMPRODUCT(MAX(ROW(E$2:E1429)*(E1429=E$2:E1429)))))-COUNTBLANK(OFFSET(A$1,,,SUMPRODUCT(MAX(ROW(E$1:E1428)*(E2=E$1:E1428))))))</f>
        <v/>
      </c>
      <c r="K1429" s="24" t="str">
        <f>IF(OR(E1429="",E1429="!!!",F1429="NEW"),"",INDEX(J$1:J1428,SUMPRODUCT(MAX(ROW(E$1:E1428)*(E1429=E$1:E1428)))))</f>
        <v/>
      </c>
      <c r="L1429" s="25"/>
    </row>
    <row r="1430" spans="1:12" x14ac:dyDescent="0.3">
      <c r="A1430" t="s">
        <v>252</v>
      </c>
      <c r="E1430" s="20" t="str">
        <f t="shared" si="154"/>
        <v/>
      </c>
      <c r="F1430" s="21" t="str">
        <f>IF(OR(E1430="",E1430="!!!"),"",IF(NOT(ISNA(VLOOKUP(E1430,E$1:E1429,1,FALSE()))),"OLD",IF(AND(E1430&lt;&gt;"",E1430&lt;&gt;"!!!"),"NEW","")))</f>
        <v/>
      </c>
      <c r="G1430" s="22" t="str">
        <f>IF(OR(E1430="",E1430="!!!"),"",IF(OR(J1430=0,AND(J1430=1,K1430=1),AND(J1430=1,I1430="SBJ"),AND(J1430=1,I1430=0)),"?IN_FOCUS",IF(J1430&lt;=2,"?ACTIVATED",IF(J1430&lt;&gt;"","?FAMILIAR",IF(F1430="NEW",IF(ISNA(VLOOKUP(E1430,#REF!,1,FALSE())),"?TYPE_IDENTIFIABLE","?REFERENTIAL"),"_")))))</f>
        <v/>
      </c>
      <c r="H1430" s="23" t="str">
        <f t="shared" ca="1" si="155"/>
        <v/>
      </c>
      <c r="I1430" s="24" t="str">
        <f>IF(OR(E1430="",E1430="!!!",F1430="NEW"),"",INDEX(B$2:B1429,-1+SUMPRODUCT(MAX(ROW(E$2:E1429)*(E1430=E$2:E1429)))))</f>
        <v/>
      </c>
      <c r="J1430" s="24" t="str">
        <f ca="1">IF(OR(E1430="",E1430="!!!",F1430="NEW"),"",COUNTBLANK(OFFSET(A$1,,,SUMPRODUCT(MAX(ROW(E$2:E1430)*(E1430=E$2:E1430)))))-COUNTBLANK(OFFSET(A$1,,,SUMPRODUCT(MAX(ROW(E$1:E1429)*(E2=E$1:E1429))))))</f>
        <v/>
      </c>
      <c r="K1430" s="24" t="str">
        <f>IF(OR(E1430="",E1430="!!!",F1430="NEW"),"",INDEX(J$1:J1429,SUMPRODUCT(MAX(ROW(E$1:E1429)*(E1430=E$1:E1429)))))</f>
        <v/>
      </c>
      <c r="L1430" s="25"/>
    </row>
    <row r="1431" spans="1:12" x14ac:dyDescent="0.3">
      <c r="A1431" t="s">
        <v>372</v>
      </c>
      <c r="E1431" s="20" t="str">
        <f t="shared" si="154"/>
        <v/>
      </c>
      <c r="F1431" s="21" t="str">
        <f>IF(OR(E1431="",E1431="!!!"),"",IF(NOT(ISNA(VLOOKUP(E1431,E$1:E1430,1,FALSE()))),"OLD",IF(AND(E1431&lt;&gt;"",E1431&lt;&gt;"!!!"),"NEW","")))</f>
        <v/>
      </c>
      <c r="G1431" s="22" t="str">
        <f>IF(OR(E1431="",E1431="!!!"),"",IF(OR(J1431=0,AND(J1431=1,K1431=1),AND(J1431=1,I1431="SBJ"),AND(J1431=1,I1431=0)),"?IN_FOCUS",IF(J1431&lt;=2,"?ACTIVATED",IF(J1431&lt;&gt;"","?FAMILIAR",IF(F1431="NEW",IF(ISNA(VLOOKUP(E1431,#REF!,1,FALSE())),"?TYPE_IDENTIFIABLE","?REFERENTIAL"),"_")))))</f>
        <v/>
      </c>
      <c r="H1431" s="23" t="str">
        <f t="shared" ca="1" si="155"/>
        <v/>
      </c>
      <c r="I1431" s="24" t="str">
        <f>IF(OR(E1431="",E1431="!!!",F1431="NEW"),"",INDEX(B$2:B1430,-1+SUMPRODUCT(MAX(ROW(E$2:E1430)*(E1431=E$2:E1430)))))</f>
        <v/>
      </c>
      <c r="J1431" s="24" t="str">
        <f ca="1">IF(OR(E1431="",E1431="!!!",F1431="NEW"),"",COUNTBLANK(OFFSET(A$1,,,SUMPRODUCT(MAX(ROW(E$2:E1431)*(E1431=E$2:E1431)))))-COUNTBLANK(OFFSET(A$1,,,SUMPRODUCT(MAX(ROW(E$1:E1430)*(E2=E$1:E1430))))))</f>
        <v/>
      </c>
      <c r="K1431" s="24" t="str">
        <f>IF(OR(E1431="",E1431="!!!",F1431="NEW"),"",INDEX(J$1:J1430,SUMPRODUCT(MAX(ROW(E$1:E1430)*(E1431=E$1:E1430)))))</f>
        <v/>
      </c>
      <c r="L1431" s="25"/>
    </row>
    <row r="1432" spans="1:12" x14ac:dyDescent="0.3">
      <c r="A1432" t="s">
        <v>658</v>
      </c>
      <c r="B1432" s="26" t="s">
        <v>265</v>
      </c>
      <c r="C1432" s="26" t="s">
        <v>262</v>
      </c>
      <c r="E1432" s="20" t="str">
        <f t="shared" si="154"/>
        <v/>
      </c>
      <c r="F1432" s="21" t="str">
        <f>IF(OR(E1432="",E1432="!!!"),"",IF(NOT(ISNA(VLOOKUP(E1432,E$1:E1431,1,FALSE()))),"OLD",IF(AND(E1432&lt;&gt;"",E1432&lt;&gt;"!!!"),"NEW","")))</f>
        <v/>
      </c>
      <c r="G1432" s="22" t="str">
        <f>IF(OR(E1432="",E1432="!!!"),"",IF(OR(J1432=0,AND(J1432=1,K1432=1),AND(J1432=1,I1432="SBJ"),AND(J1432=1,I1432=0)),"?IN_FOCUS",IF(J1432&lt;=2,"?ACTIVATED",IF(J1432&lt;&gt;"","?FAMILIAR",IF(F1432="NEW",IF(ISNA(VLOOKUP(E1432,#REF!,1,FALSE())),"?TYPE_IDENTIFIABLE","?REFERENTIAL"),"_")))))</f>
        <v/>
      </c>
      <c r="H1432" s="23" t="str">
        <f t="shared" ca="1" si="155"/>
        <v/>
      </c>
      <c r="I1432" s="24" t="str">
        <f>IF(OR(E1432="",E1432="!!!",F1432="NEW"),"",INDEX(B$2:B1431,-1+SUMPRODUCT(MAX(ROW(E$2:E1431)*(E1432=E$2:E1431)))))</f>
        <v/>
      </c>
      <c r="J1432" s="24" t="str">
        <f ca="1">IF(OR(E1432="",E1432="!!!",F1432="NEW"),"",COUNTBLANK(OFFSET(A$1,,,SUMPRODUCT(MAX(ROW(E$2:E1432)*(E1432=E$2:E1432)))))-COUNTBLANK(OFFSET(A$1,,,SUMPRODUCT(MAX(ROW(E$1:E1431)*(E2=E$1:E1431))))))</f>
        <v/>
      </c>
      <c r="K1432" s="24" t="str">
        <f>IF(OR(E1432="",E1432="!!!",F1432="NEW"),"",INDEX(J$1:J1431,SUMPRODUCT(MAX(ROW(E$1:E1431)*(E1432=E$1:E1431)))))</f>
        <v/>
      </c>
      <c r="L1432" s="25"/>
    </row>
    <row r="1433" spans="1:12" x14ac:dyDescent="0.3">
      <c r="A1433" t="s">
        <v>461</v>
      </c>
      <c r="E1433" s="20" t="str">
        <f t="shared" si="154"/>
        <v/>
      </c>
      <c r="F1433" s="21" t="str">
        <f>IF(OR(E1433="",E1433="!!!"),"",IF(NOT(ISNA(VLOOKUP(E1433,E$1:E1432,1,FALSE()))),"OLD",IF(AND(E1433&lt;&gt;"",E1433&lt;&gt;"!!!"),"NEW","")))</f>
        <v/>
      </c>
      <c r="G1433" s="22" t="str">
        <f>IF(OR(E1433="",E1433="!!!"),"",IF(OR(J1433=0,AND(J1433=1,K1433=1),AND(J1433=1,I1433="SBJ"),AND(J1433=1,I1433=0)),"?IN_FOCUS",IF(J1433&lt;=2,"?ACTIVATED",IF(J1433&lt;&gt;"","?FAMILIAR",IF(F1433="NEW",IF(ISNA(VLOOKUP(E1433,#REF!,1,FALSE())),"?TYPE_IDENTIFIABLE","?REFERENTIAL"),"_")))))</f>
        <v/>
      </c>
      <c r="H1433" s="23" t="str">
        <f t="shared" ca="1" si="155"/>
        <v/>
      </c>
      <c r="I1433" s="24" t="str">
        <f>IF(OR(E1433="",E1433="!!!",F1433="NEW"),"",INDEX(B$2:B1432,-1+SUMPRODUCT(MAX(ROW(E$2:E1432)*(E1433=E$2:E1432)))))</f>
        <v/>
      </c>
      <c r="J1433" s="24" t="str">
        <f ca="1">IF(OR(E1433="",E1433="!!!",F1433="NEW"),"",COUNTBLANK(OFFSET(A$1,,,SUMPRODUCT(MAX(ROW(E$2:E1433)*(E1433=E$2:E1433)))))-COUNTBLANK(OFFSET(A$1,,,SUMPRODUCT(MAX(ROW(E$1:E1432)*(E2=E$1:E1432))))))</f>
        <v/>
      </c>
      <c r="K1433" s="24" t="str">
        <f>IF(OR(E1433="",E1433="!!!",F1433="NEW"),"",INDEX(J$1:J1432,SUMPRODUCT(MAX(ROW(E$1:E1432)*(E1433=E$1:E1432)))))</f>
        <v/>
      </c>
      <c r="L1433" s="25"/>
    </row>
    <row r="1434" spans="1:12" x14ac:dyDescent="0.3">
      <c r="A1434" t="s">
        <v>690</v>
      </c>
      <c r="B1434" s="26" t="s">
        <v>272</v>
      </c>
      <c r="C1434" s="26" t="s">
        <v>346</v>
      </c>
      <c r="D1434" s="26" t="s">
        <v>240</v>
      </c>
      <c r="E1434" s="20" t="str">
        <f t="shared" si="154"/>
        <v>!!!</v>
      </c>
      <c r="F1434" s="21" t="str">
        <f>IF(OR(E1434="",E1434="!!!"),"",IF(NOT(ISNA(VLOOKUP(E1434,E$1:E1433,1,FALSE()))),"OLD",IF(AND(E1434&lt;&gt;"",E1434&lt;&gt;"!!!"),"NEW","")))</f>
        <v/>
      </c>
      <c r="G1434" s="22" t="str">
        <f>IF(OR(E1434="",E1434="!!!"),"",IF(OR(J1434=0,AND(J1434=1,K1434=1),AND(J1434=1,I1434="SBJ"),AND(J1434=1,I1434=0)),"?IN_FOCUS",IF(J1434&lt;=2,"?ACTIVATED",IF(J1434&lt;&gt;"","?FAMILIAR",IF(F1434="NEW",IF(ISNA(VLOOKUP(E1434,#REF!,1,FALSE())),"?TYPE_IDENTIFIABLE","?REFERENTIAL"),"_")))))</f>
        <v/>
      </c>
      <c r="H1434" s="23" t="str">
        <f t="shared" ca="1" si="155"/>
        <v/>
      </c>
      <c r="I1434" s="24" t="str">
        <f>IF(OR(E1434="",E1434="!!!",F1434="NEW"),"",INDEX(B$2:B1433,-1+SUMPRODUCT(MAX(ROW(E$2:E1433)*(E1434=E$2:E1433)))))</f>
        <v/>
      </c>
      <c r="J1434" s="24" t="str">
        <f ca="1">IF(OR(E1434="",E1434="!!!",F1434="NEW"),"",COUNTBLANK(OFFSET(A$1,,,SUMPRODUCT(MAX(ROW(E$2:E1434)*(E1434=E$2:E1434)))))-COUNTBLANK(OFFSET(A$1,,,SUMPRODUCT(MAX(ROW(E$1:E1433)*(E2=E$1:E1433))))))</f>
        <v/>
      </c>
      <c r="K1434" s="24" t="str">
        <f>IF(OR(E1434="",E1434="!!!",F1434="NEW"),"",INDEX(J$1:J1433,SUMPRODUCT(MAX(ROW(E$1:E1433)*(E1434=E$1:E1433)))))</f>
        <v/>
      </c>
      <c r="L1434" s="25"/>
    </row>
    <row r="1435" spans="1:12" x14ac:dyDescent="0.3">
      <c r="A1435" t="s">
        <v>248</v>
      </c>
      <c r="E1435" s="20" t="str">
        <f t="shared" si="154"/>
        <v/>
      </c>
      <c r="F1435" s="21" t="str">
        <f>IF(OR(E1435="",E1435="!!!"),"",IF(NOT(ISNA(VLOOKUP(E1435,E$1:E1434,1,FALSE()))),"OLD",IF(AND(E1435&lt;&gt;"",E1435&lt;&gt;"!!!"),"NEW","")))</f>
        <v/>
      </c>
      <c r="G1435" s="22" t="str">
        <f>IF(OR(E1435="",E1435="!!!"),"",IF(OR(J1435=0,AND(J1435=1,K1435=1),AND(J1435=1,I1435="SBJ"),AND(J1435=1,I1435=0)),"?IN_FOCUS",IF(J1435&lt;=2,"?ACTIVATED",IF(J1435&lt;&gt;"","?FAMILIAR",IF(F1435="NEW",IF(ISNA(VLOOKUP(E1435,#REF!,1,FALSE())),"?TYPE_IDENTIFIABLE","?REFERENTIAL"),"_")))))</f>
        <v/>
      </c>
      <c r="H1435" s="23" t="str">
        <f t="shared" ca="1" si="155"/>
        <v/>
      </c>
      <c r="I1435" s="24" t="str">
        <f>IF(OR(E1435="",E1435="!!!",F1435="NEW"),"",INDEX(B$2:B1434,-1+SUMPRODUCT(MAX(ROW(E$2:E1434)*(E1435=E$2:E1434)))))</f>
        <v/>
      </c>
      <c r="J1435" s="24" t="str">
        <f ca="1">IF(OR(E1435="",E1435="!!!",F1435="NEW"),"",COUNTBLANK(OFFSET(A$1,,,SUMPRODUCT(MAX(ROW(E$2:E1435)*(E1435=E$2:E1435)))))-COUNTBLANK(OFFSET(A$1,,,SUMPRODUCT(MAX(ROW(E$1:E1434)*(E2=E$1:E1434))))))</f>
        <v/>
      </c>
      <c r="K1435" s="24" t="str">
        <f>IF(OR(E1435="",E1435="!!!",F1435="NEW"),"",INDEX(J$1:J1434,SUMPRODUCT(MAX(ROW(E$1:E1434)*(E1435=E$1:E1434)))))</f>
        <v/>
      </c>
      <c r="L1435" s="25"/>
    </row>
    <row r="1437" spans="1:12" x14ac:dyDescent="0.3">
      <c r="A1437" t="s">
        <v>800</v>
      </c>
    </row>
    <row r="1438" spans="1:12" x14ac:dyDescent="0.3">
      <c r="A1438" t="s">
        <v>324</v>
      </c>
      <c r="B1438" s="26" t="s">
        <v>243</v>
      </c>
      <c r="C1438" s="26" t="s">
        <v>244</v>
      </c>
      <c r="D1438" s="26" t="s">
        <v>240</v>
      </c>
      <c r="E1438" s="20" t="str">
        <f t="shared" ref="E1438:E1466" si="156">IF(D1438="?OLD","!!!","")</f>
        <v>!!!</v>
      </c>
      <c r="F1438" s="21" t="str">
        <f>IF(OR(E1438="",E1438="!!!"),"",IF(NOT(ISNA(VLOOKUP(E1438,E$1:E1437,1,FALSE()))),"OLD",IF(AND(E1438&lt;&gt;"",E1438&lt;&gt;"!!!"),"NEW","")))</f>
        <v/>
      </c>
      <c r="G1438" s="22" t="str">
        <f>IF(OR(E1438="",E1438="!!!"),"",IF(OR(J1438=0,AND(J1438=1,K1438=1),AND(J1438=1,I1438="SBJ"),AND(J1438=1,I1438=0)),"?IN_FOCUS",IF(J1438&lt;=2,"?ACTIVATED",IF(J1438&lt;&gt;"","?FAMILIAR",IF(F1438="NEW",IF(ISNA(VLOOKUP(E1438,#REF!,1,FALSE())),"?TYPE_IDENTIFIABLE","?REFERENTIAL"),"_")))))</f>
        <v/>
      </c>
      <c r="H1438" s="23" t="str">
        <f t="shared" ref="H1438:H1466" ca="1" si="157">IF(J1438&lt;&gt;1,"",IF(I1438="SBJ","CB","?"))</f>
        <v/>
      </c>
      <c r="I1438" s="24" t="str">
        <f>IF(OR(E1438="",E1438="!!!",F1438="NEW"),"",INDEX(B$2:B1437,-1+SUMPRODUCT(MAX(ROW(E$2:E1437)*(E1438=E$2:E1437)))))</f>
        <v/>
      </c>
      <c r="J1438" s="24" t="str">
        <f ca="1">IF(OR(E1438="",E1438="!!!",F1438="NEW"),"",COUNTBLANK(OFFSET(A$1,,,SUMPRODUCT(MAX(ROW(E$2:E1438)*(E1438=E$2:E1438)))))-COUNTBLANK(OFFSET(A$1,,,SUMPRODUCT(MAX(ROW(E$1:E1437)*(E2=E$1:E1437))))))</f>
        <v/>
      </c>
      <c r="K1438" s="24" t="str">
        <f>IF(OR(E1438="",E1438="!!!",F1438="NEW"),"",INDEX(J$1:J1437,SUMPRODUCT(MAX(ROW(E$1:E1437)*(E1438=E$1:E1437)))))</f>
        <v/>
      </c>
      <c r="L1438" s="25"/>
    </row>
    <row r="1439" spans="1:12" x14ac:dyDescent="0.3">
      <c r="A1439" t="s">
        <v>401</v>
      </c>
      <c r="E1439" s="20" t="str">
        <f t="shared" si="156"/>
        <v/>
      </c>
      <c r="F1439" s="21" t="str">
        <f>IF(OR(E1439="",E1439="!!!"),"",IF(NOT(ISNA(VLOOKUP(E1439,E$1:E1438,1,FALSE()))),"OLD",IF(AND(E1439&lt;&gt;"",E1439&lt;&gt;"!!!"),"NEW","")))</f>
        <v/>
      </c>
      <c r="G1439" s="22" t="str">
        <f>IF(OR(E1439="",E1439="!!!"),"",IF(OR(J1439=0,AND(J1439=1,K1439=1),AND(J1439=1,I1439="SBJ"),AND(J1439=1,I1439=0)),"?IN_FOCUS",IF(J1439&lt;=2,"?ACTIVATED",IF(J1439&lt;&gt;"","?FAMILIAR",IF(F1439="NEW",IF(ISNA(VLOOKUP(E1439,#REF!,1,FALSE())),"?TYPE_IDENTIFIABLE","?REFERENTIAL"),"_")))))</f>
        <v/>
      </c>
      <c r="H1439" s="23" t="str">
        <f t="shared" ca="1" si="157"/>
        <v/>
      </c>
      <c r="I1439" s="24" t="str">
        <f>IF(OR(E1439="",E1439="!!!",F1439="NEW"),"",INDEX(B$2:B1438,-1+SUMPRODUCT(MAX(ROW(E$2:E1438)*(E1439=E$2:E1438)))))</f>
        <v/>
      </c>
      <c r="J1439" s="24" t="str">
        <f ca="1">IF(OR(E1439="",E1439="!!!",F1439="NEW"),"",COUNTBLANK(OFFSET(A$1,,,SUMPRODUCT(MAX(ROW(E$2:E1439)*(E1439=E$2:E1439)))))-COUNTBLANK(OFFSET(A$1,,,SUMPRODUCT(MAX(ROW(E$1:E1438)*(E2=E$1:E1438))))))</f>
        <v/>
      </c>
      <c r="K1439" s="24" t="str">
        <f>IF(OR(E1439="",E1439="!!!",F1439="NEW"),"",INDEX(J$1:J1438,SUMPRODUCT(MAX(ROW(E$1:E1438)*(E1439=E$1:E1438)))))</f>
        <v/>
      </c>
      <c r="L1439" s="25"/>
    </row>
    <row r="1440" spans="1:12" x14ac:dyDescent="0.3">
      <c r="A1440" t="s">
        <v>801</v>
      </c>
      <c r="B1440" s="26" t="s">
        <v>292</v>
      </c>
      <c r="C1440" s="26" t="s">
        <v>247</v>
      </c>
      <c r="E1440" s="20" t="str">
        <f t="shared" si="156"/>
        <v/>
      </c>
      <c r="F1440" s="21" t="str">
        <f>IF(OR(E1440="",E1440="!!!"),"",IF(NOT(ISNA(VLOOKUP(E1440,E$1:E1439,1,FALSE()))),"OLD",IF(AND(E1440&lt;&gt;"",E1440&lt;&gt;"!!!"),"NEW","")))</f>
        <v/>
      </c>
      <c r="G1440" s="22" t="str">
        <f>IF(OR(E1440="",E1440="!!!"),"",IF(OR(J1440=0,AND(J1440=1,K1440=1),AND(J1440=1,I1440="SBJ"),AND(J1440=1,I1440=0)),"?IN_FOCUS",IF(J1440&lt;=2,"?ACTIVATED",IF(J1440&lt;&gt;"","?FAMILIAR",IF(F1440="NEW",IF(ISNA(VLOOKUP(E1440,#REF!,1,FALSE())),"?TYPE_IDENTIFIABLE","?REFERENTIAL"),"_")))))</f>
        <v/>
      </c>
      <c r="H1440" s="23" t="str">
        <f t="shared" ca="1" si="157"/>
        <v/>
      </c>
      <c r="I1440" s="24" t="str">
        <f>IF(OR(E1440="",E1440="!!!",F1440="NEW"),"",INDEX(B$2:B1439,-1+SUMPRODUCT(MAX(ROW(E$2:E1439)*(E1440=E$2:E1439)))))</f>
        <v/>
      </c>
      <c r="J1440" s="24" t="str">
        <f ca="1">IF(OR(E1440="",E1440="!!!",F1440="NEW"),"",COUNTBLANK(OFFSET(A$1,,,SUMPRODUCT(MAX(ROW(E$2:E1440)*(E1440=E$2:E1440)))))-COUNTBLANK(OFFSET(A$1,,,SUMPRODUCT(MAX(ROW(E$1:E1439)*(E2=E$1:E1439))))))</f>
        <v/>
      </c>
      <c r="K1440" s="24" t="str">
        <f>IF(OR(E1440="",E1440="!!!",F1440="NEW"),"",INDEX(J$1:J1439,SUMPRODUCT(MAX(ROW(E$1:E1439)*(E1440=E$1:E1439)))))</f>
        <v/>
      </c>
      <c r="L1440" s="25"/>
    </row>
    <row r="1441" spans="1:12" x14ac:dyDescent="0.3">
      <c r="A1441" t="s">
        <v>252</v>
      </c>
      <c r="E1441" s="20" t="str">
        <f t="shared" si="156"/>
        <v/>
      </c>
      <c r="F1441" s="21" t="str">
        <f>IF(OR(E1441="",E1441="!!!"),"",IF(NOT(ISNA(VLOOKUP(E1441,E$1:E1440,1,FALSE()))),"OLD",IF(AND(E1441&lt;&gt;"",E1441&lt;&gt;"!!!"),"NEW","")))</f>
        <v/>
      </c>
      <c r="G1441" s="22" t="str">
        <f>IF(OR(E1441="",E1441="!!!"),"",IF(OR(J1441=0,AND(J1441=1,K1441=1),AND(J1441=1,I1441="SBJ"),AND(J1441=1,I1441=0)),"?IN_FOCUS",IF(J1441&lt;=2,"?ACTIVATED",IF(J1441&lt;&gt;"","?FAMILIAR",IF(F1441="NEW",IF(ISNA(VLOOKUP(E1441,#REF!,1,FALSE())),"?TYPE_IDENTIFIABLE","?REFERENTIAL"),"_")))))</f>
        <v/>
      </c>
      <c r="H1441" s="23" t="str">
        <f t="shared" ca="1" si="157"/>
        <v/>
      </c>
      <c r="I1441" s="24" t="str">
        <f>IF(OR(E1441="",E1441="!!!",F1441="NEW"),"",INDEX(B$2:B1440,-1+SUMPRODUCT(MAX(ROW(E$2:E1440)*(E1441=E$2:E1440)))))</f>
        <v/>
      </c>
      <c r="J1441" s="24" t="str">
        <f ca="1">IF(OR(E1441="",E1441="!!!",F1441="NEW"),"",COUNTBLANK(OFFSET(A$1,,,SUMPRODUCT(MAX(ROW(E$2:E1441)*(E1441=E$2:E1441)))))-COUNTBLANK(OFFSET(A$1,,,SUMPRODUCT(MAX(ROW(E$1:E1440)*(E2=E$1:E1440))))))</f>
        <v/>
      </c>
      <c r="K1441" s="24" t="str">
        <f>IF(OR(E1441="",E1441="!!!",F1441="NEW"),"",INDEX(J$1:J1440,SUMPRODUCT(MAX(ROW(E$1:E1440)*(E1441=E$1:E1440)))))</f>
        <v/>
      </c>
      <c r="L1441" s="25"/>
    </row>
    <row r="1442" spans="1:12" x14ac:dyDescent="0.3">
      <c r="A1442" t="s">
        <v>802</v>
      </c>
      <c r="B1442" s="26" t="s">
        <v>261</v>
      </c>
      <c r="C1442" s="26" t="s">
        <v>294</v>
      </c>
      <c r="D1442" s="26" t="s">
        <v>240</v>
      </c>
      <c r="E1442" s="20" t="str">
        <f t="shared" si="156"/>
        <v>!!!</v>
      </c>
      <c r="F1442" s="21" t="str">
        <f>IF(OR(E1442="",E1442="!!!"),"",IF(NOT(ISNA(VLOOKUP(E1442,E$1:E1441,1,FALSE()))),"OLD",IF(AND(E1442&lt;&gt;"",E1442&lt;&gt;"!!!"),"NEW","")))</f>
        <v/>
      </c>
      <c r="G1442" s="22" t="str">
        <f>IF(OR(E1442="",E1442="!!!"),"",IF(OR(J1442=0,AND(J1442=1,K1442=1),AND(J1442=1,I1442="SBJ"),AND(J1442=1,I1442=0)),"?IN_FOCUS",IF(J1442&lt;=2,"?ACTIVATED",IF(J1442&lt;&gt;"","?FAMILIAR",IF(F1442="NEW",IF(ISNA(VLOOKUP(E1442,#REF!,1,FALSE())),"?TYPE_IDENTIFIABLE","?REFERENTIAL"),"_")))))</f>
        <v/>
      </c>
      <c r="H1442" s="23" t="str">
        <f t="shared" ca="1" si="157"/>
        <v/>
      </c>
      <c r="I1442" s="24" t="str">
        <f>IF(OR(E1442="",E1442="!!!",F1442="NEW"),"",INDEX(B$2:B1441,-1+SUMPRODUCT(MAX(ROW(E$2:E1441)*(E1442=E$2:E1441)))))</f>
        <v/>
      </c>
      <c r="J1442" s="24" t="str">
        <f ca="1">IF(OR(E1442="",E1442="!!!",F1442="NEW"),"",COUNTBLANK(OFFSET(A$1,,,SUMPRODUCT(MAX(ROW(E$2:E1442)*(E1442=E$2:E1442)))))-COUNTBLANK(OFFSET(A$1,,,SUMPRODUCT(MAX(ROW(E$1:E1441)*(E2=E$1:E1441))))))</f>
        <v/>
      </c>
      <c r="K1442" s="24" t="str">
        <f>IF(OR(E1442="",E1442="!!!",F1442="NEW"),"",INDEX(J$1:J1441,SUMPRODUCT(MAX(ROW(E$1:E1441)*(E1442=E$1:E1441)))))</f>
        <v/>
      </c>
      <c r="L1442" s="25"/>
    </row>
    <row r="1443" spans="1:12" x14ac:dyDescent="0.3">
      <c r="A1443" t="s">
        <v>252</v>
      </c>
      <c r="E1443" s="20" t="str">
        <f t="shared" si="156"/>
        <v/>
      </c>
      <c r="F1443" s="21" t="str">
        <f>IF(OR(E1443="",E1443="!!!"),"",IF(NOT(ISNA(VLOOKUP(E1443,E$1:E1442,1,FALSE()))),"OLD",IF(AND(E1443&lt;&gt;"",E1443&lt;&gt;"!!!"),"NEW","")))</f>
        <v/>
      </c>
      <c r="G1443" s="22" t="str">
        <f>IF(OR(E1443="",E1443="!!!"),"",IF(OR(J1443=0,AND(J1443=1,K1443=1),AND(J1443=1,I1443="SBJ"),AND(J1443=1,I1443=0)),"?IN_FOCUS",IF(J1443&lt;=2,"?ACTIVATED",IF(J1443&lt;&gt;"","?FAMILIAR",IF(F1443="NEW",IF(ISNA(VLOOKUP(E1443,#REF!,1,FALSE())),"?TYPE_IDENTIFIABLE","?REFERENTIAL"),"_")))))</f>
        <v/>
      </c>
      <c r="H1443" s="23" t="str">
        <f t="shared" ca="1" si="157"/>
        <v/>
      </c>
      <c r="I1443" s="24" t="str">
        <f>IF(OR(E1443="",E1443="!!!",F1443="NEW"),"",INDEX(B$2:B1442,-1+SUMPRODUCT(MAX(ROW(E$2:E1442)*(E1443=E$2:E1442)))))</f>
        <v/>
      </c>
      <c r="J1443" s="24" t="str">
        <f ca="1">IF(OR(E1443="",E1443="!!!",F1443="NEW"),"",COUNTBLANK(OFFSET(A$1,,,SUMPRODUCT(MAX(ROW(E$2:E1443)*(E1443=E$2:E1443)))))-COUNTBLANK(OFFSET(A$1,,,SUMPRODUCT(MAX(ROW(E$1:E1442)*(E2=E$1:E1442))))))</f>
        <v/>
      </c>
      <c r="K1443" s="24" t="str">
        <f>IF(OR(E1443="",E1443="!!!",F1443="NEW"),"",INDEX(J$1:J1442,SUMPRODUCT(MAX(ROW(E$1:E1442)*(E1443=E$1:E1442)))))</f>
        <v/>
      </c>
      <c r="L1443" s="25"/>
    </row>
    <row r="1444" spans="1:12" x14ac:dyDescent="0.3">
      <c r="A1444" t="s">
        <v>415</v>
      </c>
      <c r="B1444" s="26" t="s">
        <v>261</v>
      </c>
      <c r="C1444" s="26" t="s">
        <v>294</v>
      </c>
      <c r="D1444" s="26" t="s">
        <v>240</v>
      </c>
      <c r="E1444" s="20" t="str">
        <f t="shared" si="156"/>
        <v>!!!</v>
      </c>
      <c r="F1444" s="21" t="str">
        <f>IF(OR(E1444="",E1444="!!!"),"",IF(NOT(ISNA(VLOOKUP(E1444,E$1:E1443,1,FALSE()))),"OLD",IF(AND(E1444&lt;&gt;"",E1444&lt;&gt;"!!!"),"NEW","")))</f>
        <v/>
      </c>
      <c r="G1444" s="22" t="str">
        <f>IF(OR(E1444="",E1444="!!!"),"",IF(OR(J1444=0,AND(J1444=1,K1444=1),AND(J1444=1,I1444="SBJ"),AND(J1444=1,I1444=0)),"?IN_FOCUS",IF(J1444&lt;=2,"?ACTIVATED",IF(J1444&lt;&gt;"","?FAMILIAR",IF(F1444="NEW",IF(ISNA(VLOOKUP(E1444,#REF!,1,FALSE())),"?TYPE_IDENTIFIABLE","?REFERENTIAL"),"_")))))</f>
        <v/>
      </c>
      <c r="H1444" s="23" t="str">
        <f t="shared" ca="1" si="157"/>
        <v/>
      </c>
      <c r="I1444" s="24" t="str">
        <f>IF(OR(E1444="",E1444="!!!",F1444="NEW"),"",INDEX(B$2:B1443,-1+SUMPRODUCT(MAX(ROW(E$2:E1443)*(E1444=E$2:E1443)))))</f>
        <v/>
      </c>
      <c r="J1444" s="24" t="str">
        <f ca="1">IF(OR(E1444="",E1444="!!!",F1444="NEW"),"",COUNTBLANK(OFFSET(A$1,,,SUMPRODUCT(MAX(ROW(E$2:E1444)*(E1444=E$2:E1444)))))-COUNTBLANK(OFFSET(A$1,,,SUMPRODUCT(MAX(ROW(E$1:E1443)*(E2=E$1:E1443))))))</f>
        <v/>
      </c>
      <c r="K1444" s="24" t="str">
        <f>IF(OR(E1444="",E1444="!!!",F1444="NEW"),"",INDEX(J$1:J1443,SUMPRODUCT(MAX(ROW(E$1:E1443)*(E1444=E$1:E1443)))))</f>
        <v/>
      </c>
      <c r="L1444" s="25"/>
    </row>
    <row r="1445" spans="1:12" x14ac:dyDescent="0.3">
      <c r="A1445" t="s">
        <v>252</v>
      </c>
      <c r="E1445" s="20" t="str">
        <f t="shared" si="156"/>
        <v/>
      </c>
      <c r="F1445" s="21" t="str">
        <f>IF(OR(E1445="",E1445="!!!"),"",IF(NOT(ISNA(VLOOKUP(E1445,E$1:E1444,1,FALSE()))),"OLD",IF(AND(E1445&lt;&gt;"",E1445&lt;&gt;"!!!"),"NEW","")))</f>
        <v/>
      </c>
      <c r="G1445" s="22" t="str">
        <f>IF(OR(E1445="",E1445="!!!"),"",IF(OR(J1445=0,AND(J1445=1,K1445=1),AND(J1445=1,I1445="SBJ"),AND(J1445=1,I1445=0)),"?IN_FOCUS",IF(J1445&lt;=2,"?ACTIVATED",IF(J1445&lt;&gt;"","?FAMILIAR",IF(F1445="NEW",IF(ISNA(VLOOKUP(E1445,#REF!,1,FALSE())),"?TYPE_IDENTIFIABLE","?REFERENTIAL"),"_")))))</f>
        <v/>
      </c>
      <c r="H1445" s="23" t="str">
        <f t="shared" ca="1" si="157"/>
        <v/>
      </c>
      <c r="I1445" s="24" t="str">
        <f>IF(OR(E1445="",E1445="!!!",F1445="NEW"),"",INDEX(B$2:B1444,-1+SUMPRODUCT(MAX(ROW(E$2:E1444)*(E1445=E$2:E1444)))))</f>
        <v/>
      </c>
      <c r="J1445" s="24" t="str">
        <f ca="1">IF(OR(E1445="",E1445="!!!",F1445="NEW"),"",COUNTBLANK(OFFSET(A$1,,,SUMPRODUCT(MAX(ROW(E$2:E1445)*(E1445=E$2:E1445)))))-COUNTBLANK(OFFSET(A$1,,,SUMPRODUCT(MAX(ROW(E$1:E1444)*(E2=E$1:E1444))))))</f>
        <v/>
      </c>
      <c r="K1445" s="24" t="str">
        <f>IF(OR(E1445="",E1445="!!!",F1445="NEW"),"",INDEX(J$1:J1444,SUMPRODUCT(MAX(ROW(E$1:E1444)*(E1445=E$1:E1444)))))</f>
        <v/>
      </c>
      <c r="L1445" s="25"/>
    </row>
    <row r="1446" spans="1:12" x14ac:dyDescent="0.3">
      <c r="A1446" t="s">
        <v>803</v>
      </c>
      <c r="B1446" s="26" t="s">
        <v>261</v>
      </c>
      <c r="C1446" s="26" t="s">
        <v>294</v>
      </c>
      <c r="D1446" s="26" t="s">
        <v>240</v>
      </c>
      <c r="E1446" s="20" t="str">
        <f t="shared" si="156"/>
        <v>!!!</v>
      </c>
      <c r="F1446" s="21" t="str">
        <f>IF(OR(E1446="",E1446="!!!"),"",IF(NOT(ISNA(VLOOKUP(E1446,E$1:E1445,1,FALSE()))),"OLD",IF(AND(E1446&lt;&gt;"",E1446&lt;&gt;"!!!"),"NEW","")))</f>
        <v/>
      </c>
      <c r="G1446" s="22" t="str">
        <f>IF(OR(E1446="",E1446="!!!"),"",IF(OR(J1446=0,AND(J1446=1,K1446=1),AND(J1446=1,I1446="SBJ"),AND(J1446=1,I1446=0)),"?IN_FOCUS",IF(J1446&lt;=2,"?ACTIVATED",IF(J1446&lt;&gt;"","?FAMILIAR",IF(F1446="NEW",IF(ISNA(VLOOKUP(E1446,#REF!,1,FALSE())),"?TYPE_IDENTIFIABLE","?REFERENTIAL"),"_")))))</f>
        <v/>
      </c>
      <c r="H1446" s="23" t="str">
        <f t="shared" ca="1" si="157"/>
        <v/>
      </c>
      <c r="I1446" s="24" t="str">
        <f>IF(OR(E1446="",E1446="!!!",F1446="NEW"),"",INDEX(B$2:B1445,-1+SUMPRODUCT(MAX(ROW(E$2:E1445)*(E1446=E$2:E1445)))))</f>
        <v/>
      </c>
      <c r="J1446" s="24" t="str">
        <f ca="1">IF(OR(E1446="",E1446="!!!",F1446="NEW"),"",COUNTBLANK(OFFSET(A$1,,,SUMPRODUCT(MAX(ROW(E$2:E1446)*(E1446=E$2:E1446)))))-COUNTBLANK(OFFSET(A$1,,,SUMPRODUCT(MAX(ROW(E$1:E1445)*(E2=E$1:E1445))))))</f>
        <v/>
      </c>
      <c r="K1446" s="24" t="str">
        <f>IF(OR(E1446="",E1446="!!!",F1446="NEW"),"",INDEX(J$1:J1445,SUMPRODUCT(MAX(ROW(E$1:E1445)*(E1446=E$1:E1445)))))</f>
        <v/>
      </c>
      <c r="L1446" s="25"/>
    </row>
    <row r="1447" spans="1:12" x14ac:dyDescent="0.3">
      <c r="A1447" t="s">
        <v>278</v>
      </c>
      <c r="E1447" s="20" t="str">
        <f t="shared" si="156"/>
        <v/>
      </c>
      <c r="F1447" s="21" t="str">
        <f>IF(OR(E1447="",E1447="!!!"),"",IF(NOT(ISNA(VLOOKUP(E1447,E$1:E1446,1,FALSE()))),"OLD",IF(AND(E1447&lt;&gt;"",E1447&lt;&gt;"!!!"),"NEW","")))</f>
        <v/>
      </c>
      <c r="G1447" s="22" t="str">
        <f>IF(OR(E1447="",E1447="!!!"),"",IF(OR(J1447=0,AND(J1447=1,K1447=1),AND(J1447=1,I1447="SBJ"),AND(J1447=1,I1447=0)),"?IN_FOCUS",IF(J1447&lt;=2,"?ACTIVATED",IF(J1447&lt;&gt;"","?FAMILIAR",IF(F1447="NEW",IF(ISNA(VLOOKUP(E1447,#REF!,1,FALSE())),"?TYPE_IDENTIFIABLE","?REFERENTIAL"),"_")))))</f>
        <v/>
      </c>
      <c r="H1447" s="23" t="str">
        <f t="shared" ca="1" si="157"/>
        <v/>
      </c>
      <c r="I1447" s="24" t="str">
        <f>IF(OR(E1447="",E1447="!!!",F1447="NEW"),"",INDEX(B$2:B1446,-1+SUMPRODUCT(MAX(ROW(E$2:E1446)*(E1447=E$2:E1446)))))</f>
        <v/>
      </c>
      <c r="J1447" s="24" t="str">
        <f ca="1">IF(OR(E1447="",E1447="!!!",F1447="NEW"),"",COUNTBLANK(OFFSET(A$1,,,SUMPRODUCT(MAX(ROW(E$2:E1447)*(E1447=E$2:E1447)))))-COUNTBLANK(OFFSET(A$1,,,SUMPRODUCT(MAX(ROW(E$1:E1446)*(E2=E$1:E1446))))))</f>
        <v/>
      </c>
      <c r="K1447" s="24" t="str">
        <f>IF(OR(E1447="",E1447="!!!",F1447="NEW"),"",INDEX(J$1:J1446,SUMPRODUCT(MAX(ROW(E$1:E1446)*(E1447=E$1:E1446)))))</f>
        <v/>
      </c>
      <c r="L1447" s="25"/>
    </row>
    <row r="1448" spans="1:12" x14ac:dyDescent="0.3">
      <c r="A1448" t="s">
        <v>252</v>
      </c>
      <c r="E1448" s="20" t="str">
        <f t="shared" si="156"/>
        <v/>
      </c>
      <c r="F1448" s="21" t="str">
        <f>IF(OR(E1448="",E1448="!!!"),"",IF(NOT(ISNA(VLOOKUP(E1448,E$1:E1447,1,FALSE()))),"OLD",IF(AND(E1448&lt;&gt;"",E1448&lt;&gt;"!!!"),"NEW","")))</f>
        <v/>
      </c>
      <c r="G1448" s="22" t="str">
        <f>IF(OR(E1448="",E1448="!!!"),"",IF(OR(J1448=0,AND(J1448=1,K1448=1),AND(J1448=1,I1448="SBJ"),AND(J1448=1,I1448=0)),"?IN_FOCUS",IF(J1448&lt;=2,"?ACTIVATED",IF(J1448&lt;&gt;"","?FAMILIAR",IF(F1448="NEW",IF(ISNA(VLOOKUP(E1448,#REF!,1,FALSE())),"?TYPE_IDENTIFIABLE","?REFERENTIAL"),"_")))))</f>
        <v/>
      </c>
      <c r="H1448" s="23" t="str">
        <f t="shared" ca="1" si="157"/>
        <v/>
      </c>
      <c r="I1448" s="24" t="str">
        <f>IF(OR(E1448="",E1448="!!!",F1448="NEW"),"",INDEX(B$2:B1447,-1+SUMPRODUCT(MAX(ROW(E$2:E1447)*(E1448=E$2:E1447)))))</f>
        <v/>
      </c>
      <c r="J1448" s="24" t="str">
        <f ca="1">IF(OR(E1448="",E1448="!!!",F1448="NEW"),"",COUNTBLANK(OFFSET(A$1,,,SUMPRODUCT(MAX(ROW(E$2:E1448)*(E1448=E$2:E1448)))))-COUNTBLANK(OFFSET(A$1,,,SUMPRODUCT(MAX(ROW(E$1:E1447)*(E2=E$1:E1447))))))</f>
        <v/>
      </c>
      <c r="K1448" s="24" t="str">
        <f>IF(OR(E1448="",E1448="!!!",F1448="NEW"),"",INDEX(J$1:J1447,SUMPRODUCT(MAX(ROW(E$1:E1447)*(E1448=E$1:E1447)))))</f>
        <v/>
      </c>
      <c r="L1448" s="25"/>
    </row>
    <row r="1449" spans="1:12" x14ac:dyDescent="0.3">
      <c r="A1449" t="s">
        <v>804</v>
      </c>
      <c r="E1449" s="20" t="str">
        <f t="shared" si="156"/>
        <v/>
      </c>
      <c r="F1449" s="21" t="str">
        <f>IF(OR(E1449="",E1449="!!!"),"",IF(NOT(ISNA(VLOOKUP(E1449,E$1:E1448,1,FALSE()))),"OLD",IF(AND(E1449&lt;&gt;"",E1449&lt;&gt;"!!!"),"NEW","")))</f>
        <v/>
      </c>
      <c r="G1449" s="22" t="str">
        <f>IF(OR(E1449="",E1449="!!!"),"",IF(OR(J1449=0,AND(J1449=1,K1449=1),AND(J1449=1,I1449="SBJ"),AND(J1449=1,I1449=0)),"?IN_FOCUS",IF(J1449&lt;=2,"?ACTIVATED",IF(J1449&lt;&gt;"","?FAMILIAR",IF(F1449="NEW",IF(ISNA(VLOOKUP(E1449,#REF!,1,FALSE())),"?TYPE_IDENTIFIABLE","?REFERENTIAL"),"_")))))</f>
        <v/>
      </c>
      <c r="H1449" s="23" t="str">
        <f t="shared" ca="1" si="157"/>
        <v/>
      </c>
      <c r="I1449" s="24" t="str">
        <f>IF(OR(E1449="",E1449="!!!",F1449="NEW"),"",INDEX(B$2:B1448,-1+SUMPRODUCT(MAX(ROW(E$2:E1448)*(E1449=E$2:E1448)))))</f>
        <v/>
      </c>
      <c r="J1449" s="24" t="str">
        <f ca="1">IF(OR(E1449="",E1449="!!!",F1449="NEW"),"",COUNTBLANK(OFFSET(A$1,,,SUMPRODUCT(MAX(ROW(E$2:E1449)*(E1449=E$2:E1449)))))-COUNTBLANK(OFFSET(A$1,,,SUMPRODUCT(MAX(ROW(E$1:E1448)*(E2=E$1:E1448))))))</f>
        <v/>
      </c>
      <c r="K1449" s="24" t="str">
        <f>IF(OR(E1449="",E1449="!!!",F1449="NEW"),"",INDEX(J$1:J1448,SUMPRODUCT(MAX(ROW(E$1:E1448)*(E1449=E$1:E1448)))))</f>
        <v/>
      </c>
      <c r="L1449" s="25"/>
    </row>
    <row r="1450" spans="1:12" x14ac:dyDescent="0.3">
      <c r="A1450" t="s">
        <v>283</v>
      </c>
      <c r="E1450" s="20" t="str">
        <f t="shared" si="156"/>
        <v/>
      </c>
      <c r="F1450" s="21" t="str">
        <f>IF(OR(E1450="",E1450="!!!"),"",IF(NOT(ISNA(VLOOKUP(E1450,E$1:E1449,1,FALSE()))),"OLD",IF(AND(E1450&lt;&gt;"",E1450&lt;&gt;"!!!"),"NEW","")))</f>
        <v/>
      </c>
      <c r="G1450" s="22" t="str">
        <f>IF(OR(E1450="",E1450="!!!"),"",IF(OR(J1450=0,AND(J1450=1,K1450=1),AND(J1450=1,I1450="SBJ"),AND(J1450=1,I1450=0)),"?IN_FOCUS",IF(J1450&lt;=2,"?ACTIVATED",IF(J1450&lt;&gt;"","?FAMILIAR",IF(F1450="NEW",IF(ISNA(VLOOKUP(E1450,#REF!,1,FALSE())),"?TYPE_IDENTIFIABLE","?REFERENTIAL"),"_")))))</f>
        <v/>
      </c>
      <c r="H1450" s="23" t="str">
        <f t="shared" ca="1" si="157"/>
        <v/>
      </c>
      <c r="I1450" s="24" t="str">
        <f>IF(OR(E1450="",E1450="!!!",F1450="NEW"),"",INDEX(B$2:B1449,-1+SUMPRODUCT(MAX(ROW(E$2:E1449)*(E1450=E$2:E1449)))))</f>
        <v/>
      </c>
      <c r="J1450" s="24" t="str">
        <f ca="1">IF(OR(E1450="",E1450="!!!",F1450="NEW"),"",COUNTBLANK(OFFSET(A$1,,,SUMPRODUCT(MAX(ROW(E$2:E1450)*(E1450=E$2:E1450)))))-COUNTBLANK(OFFSET(A$1,,,SUMPRODUCT(MAX(ROW(E$1:E1449)*(E2=E$1:E1449))))))</f>
        <v/>
      </c>
      <c r="K1450" s="24" t="str">
        <f>IF(OR(E1450="",E1450="!!!",F1450="NEW"),"",INDEX(J$1:J1449,SUMPRODUCT(MAX(ROW(E$1:E1449)*(E1450=E$1:E1449)))))</f>
        <v/>
      </c>
      <c r="L1450" s="25"/>
    </row>
    <row r="1451" spans="1:12" x14ac:dyDescent="0.3">
      <c r="A1451" t="s">
        <v>257</v>
      </c>
      <c r="E1451" s="20" t="str">
        <f t="shared" si="156"/>
        <v/>
      </c>
      <c r="F1451" s="21" t="str">
        <f>IF(OR(E1451="",E1451="!!!"),"",IF(NOT(ISNA(VLOOKUP(E1451,E$1:E1450,1,FALSE()))),"OLD",IF(AND(E1451&lt;&gt;"",E1451&lt;&gt;"!!!"),"NEW","")))</f>
        <v/>
      </c>
      <c r="G1451" s="22" t="str">
        <f>IF(OR(E1451="",E1451="!!!"),"",IF(OR(J1451=0,AND(J1451=1,K1451=1),AND(J1451=1,I1451="SBJ"),AND(J1451=1,I1451=0)),"?IN_FOCUS",IF(J1451&lt;=2,"?ACTIVATED",IF(J1451&lt;&gt;"","?FAMILIAR",IF(F1451="NEW",IF(ISNA(VLOOKUP(E1451,#REF!,1,FALSE())),"?TYPE_IDENTIFIABLE","?REFERENTIAL"),"_")))))</f>
        <v/>
      </c>
      <c r="H1451" s="23" t="str">
        <f t="shared" ca="1" si="157"/>
        <v/>
      </c>
      <c r="I1451" s="24" t="str">
        <f>IF(OR(E1451="",E1451="!!!",F1451="NEW"),"",INDEX(B$2:B1450,-1+SUMPRODUCT(MAX(ROW(E$2:E1450)*(E1451=E$2:E1450)))))</f>
        <v/>
      </c>
      <c r="J1451" s="24" t="str">
        <f ca="1">IF(OR(E1451="",E1451="!!!",F1451="NEW"),"",COUNTBLANK(OFFSET(A$1,,,SUMPRODUCT(MAX(ROW(E$2:E1451)*(E1451=E$2:E1451)))))-COUNTBLANK(OFFSET(A$1,,,SUMPRODUCT(MAX(ROW(E$1:E1450)*(E2=E$1:E1450))))))</f>
        <v/>
      </c>
      <c r="K1451" s="24" t="str">
        <f>IF(OR(E1451="",E1451="!!!",F1451="NEW"),"",INDEX(J$1:J1450,SUMPRODUCT(MAX(ROW(E$1:E1450)*(E1451=E$1:E1450)))))</f>
        <v/>
      </c>
      <c r="L1451" s="25"/>
    </row>
    <row r="1452" spans="1:12" x14ac:dyDescent="0.3">
      <c r="A1452" t="s">
        <v>310</v>
      </c>
      <c r="E1452" s="20" t="str">
        <f t="shared" si="156"/>
        <v/>
      </c>
      <c r="F1452" s="21" t="str">
        <f>IF(OR(E1452="",E1452="!!!"),"",IF(NOT(ISNA(VLOOKUP(E1452,E$1:E1451,1,FALSE()))),"OLD",IF(AND(E1452&lt;&gt;"",E1452&lt;&gt;"!!!"),"NEW","")))</f>
        <v/>
      </c>
      <c r="G1452" s="22" t="str">
        <f>IF(OR(E1452="",E1452="!!!"),"",IF(OR(J1452=0,AND(J1452=1,K1452=1),AND(J1452=1,I1452="SBJ"),AND(J1452=1,I1452=0)),"?IN_FOCUS",IF(J1452&lt;=2,"?ACTIVATED",IF(J1452&lt;&gt;"","?FAMILIAR",IF(F1452="NEW",IF(ISNA(VLOOKUP(E1452,#REF!,1,FALSE())),"?TYPE_IDENTIFIABLE","?REFERENTIAL"),"_")))))</f>
        <v/>
      </c>
      <c r="H1452" s="23" t="str">
        <f t="shared" ca="1" si="157"/>
        <v/>
      </c>
      <c r="I1452" s="24" t="str">
        <f>IF(OR(E1452="",E1452="!!!",F1452="NEW"),"",INDEX(B$2:B1451,-1+SUMPRODUCT(MAX(ROW(E$2:E1451)*(E1452=E$2:E1451)))))</f>
        <v/>
      </c>
      <c r="J1452" s="24" t="str">
        <f ca="1">IF(OR(E1452="",E1452="!!!",F1452="NEW"),"",COUNTBLANK(OFFSET(A$1,,,SUMPRODUCT(MAX(ROW(E$2:E1452)*(E1452=E$2:E1452)))))-COUNTBLANK(OFFSET(A$1,,,SUMPRODUCT(MAX(ROW(E$1:E1451)*(E2=E$1:E1451))))))</f>
        <v/>
      </c>
      <c r="K1452" s="24" t="str">
        <f>IF(OR(E1452="",E1452="!!!",F1452="NEW"),"",INDEX(J$1:J1451,SUMPRODUCT(MAX(ROW(E$1:E1451)*(E1452=E$1:E1451)))))</f>
        <v/>
      </c>
      <c r="L1452" s="25"/>
    </row>
    <row r="1453" spans="1:12" x14ac:dyDescent="0.3">
      <c r="A1453" t="s">
        <v>805</v>
      </c>
      <c r="B1453" s="26" t="s">
        <v>272</v>
      </c>
      <c r="C1453" s="26" t="s">
        <v>239</v>
      </c>
      <c r="D1453" s="26" t="s">
        <v>240</v>
      </c>
      <c r="E1453" s="20" t="str">
        <f t="shared" si="156"/>
        <v>!!!</v>
      </c>
      <c r="F1453" s="21" t="str">
        <f>IF(OR(E1453="",E1453="!!!"),"",IF(NOT(ISNA(VLOOKUP(E1453,E$1:E1452,1,FALSE()))),"OLD",IF(AND(E1453&lt;&gt;"",E1453&lt;&gt;"!!!"),"NEW","")))</f>
        <v/>
      </c>
      <c r="G1453" s="22" t="str">
        <f>IF(OR(E1453="",E1453="!!!"),"",IF(OR(J1453=0,AND(J1453=1,K1453=1),AND(J1453=1,I1453="SBJ"),AND(J1453=1,I1453=0)),"?IN_FOCUS",IF(J1453&lt;=2,"?ACTIVATED",IF(J1453&lt;&gt;"","?FAMILIAR",IF(F1453="NEW",IF(ISNA(VLOOKUP(E1453,#REF!,1,FALSE())),"?TYPE_IDENTIFIABLE","?REFERENTIAL"),"_")))))</f>
        <v/>
      </c>
      <c r="H1453" s="23" t="str">
        <f t="shared" ca="1" si="157"/>
        <v/>
      </c>
      <c r="I1453" s="24" t="str">
        <f>IF(OR(E1453="",E1453="!!!",F1453="NEW"),"",INDEX(B$2:B1452,-1+SUMPRODUCT(MAX(ROW(E$2:E1452)*(E1453=E$2:E1452)))))</f>
        <v/>
      </c>
      <c r="J1453" s="24" t="str">
        <f ca="1">IF(OR(E1453="",E1453="!!!",F1453="NEW"),"",COUNTBLANK(OFFSET(A$1,,,SUMPRODUCT(MAX(ROW(E$2:E1453)*(E1453=E$2:E1453)))))-COUNTBLANK(OFFSET(A$1,,,SUMPRODUCT(MAX(ROW(E$1:E1452)*(E2=E$1:E1452))))))</f>
        <v/>
      </c>
      <c r="K1453" s="24" t="str">
        <f>IF(OR(E1453="",E1453="!!!",F1453="NEW"),"",INDEX(J$1:J1452,SUMPRODUCT(MAX(ROW(E$1:E1452)*(E1453=E$1:E1452)))))</f>
        <v/>
      </c>
      <c r="L1453" s="25"/>
    </row>
    <row r="1454" spans="1:12" x14ac:dyDescent="0.3">
      <c r="A1454" t="s">
        <v>252</v>
      </c>
      <c r="E1454" s="20" t="str">
        <f t="shared" si="156"/>
        <v/>
      </c>
      <c r="F1454" s="21" t="str">
        <f>IF(OR(E1454="",E1454="!!!"),"",IF(NOT(ISNA(VLOOKUP(E1454,E$1:E1453,1,FALSE()))),"OLD",IF(AND(E1454&lt;&gt;"",E1454&lt;&gt;"!!!"),"NEW","")))</f>
        <v/>
      </c>
      <c r="G1454" s="22" t="str">
        <f>IF(OR(E1454="",E1454="!!!"),"",IF(OR(J1454=0,AND(J1454=1,K1454=1),AND(J1454=1,I1454="SBJ"),AND(J1454=1,I1454=0)),"?IN_FOCUS",IF(J1454&lt;=2,"?ACTIVATED",IF(J1454&lt;&gt;"","?FAMILIAR",IF(F1454="NEW",IF(ISNA(VLOOKUP(E1454,#REF!,1,FALSE())),"?TYPE_IDENTIFIABLE","?REFERENTIAL"),"_")))))</f>
        <v/>
      </c>
      <c r="H1454" s="23" t="str">
        <f t="shared" ca="1" si="157"/>
        <v/>
      </c>
      <c r="I1454" s="24" t="str">
        <f>IF(OR(E1454="",E1454="!!!",F1454="NEW"),"",INDEX(B$2:B1453,-1+SUMPRODUCT(MAX(ROW(E$2:E1453)*(E1454=E$2:E1453)))))</f>
        <v/>
      </c>
      <c r="J1454" s="24" t="str">
        <f ca="1">IF(OR(E1454="",E1454="!!!",F1454="NEW"),"",COUNTBLANK(OFFSET(A$1,,,SUMPRODUCT(MAX(ROW(E$2:E1454)*(E1454=E$2:E1454)))))-COUNTBLANK(OFFSET(A$1,,,SUMPRODUCT(MAX(ROW(E$1:E1453)*(E2=E$1:E1453))))))</f>
        <v/>
      </c>
      <c r="K1454" s="24" t="str">
        <f>IF(OR(E1454="",E1454="!!!",F1454="NEW"),"",INDEX(J$1:J1453,SUMPRODUCT(MAX(ROW(E$1:E1453)*(E1454=E$1:E1453)))))</f>
        <v/>
      </c>
      <c r="L1454" s="25"/>
    </row>
    <row r="1455" spans="1:12" x14ac:dyDescent="0.3">
      <c r="A1455" t="s">
        <v>806</v>
      </c>
      <c r="E1455" s="20" t="str">
        <f t="shared" si="156"/>
        <v/>
      </c>
      <c r="F1455" s="21" t="str">
        <f>IF(OR(E1455="",E1455="!!!"),"",IF(NOT(ISNA(VLOOKUP(E1455,E$1:E1454,1,FALSE()))),"OLD",IF(AND(E1455&lt;&gt;"",E1455&lt;&gt;"!!!"),"NEW","")))</f>
        <v/>
      </c>
      <c r="G1455" s="22" t="str">
        <f>IF(OR(E1455="",E1455="!!!"),"",IF(OR(J1455=0,AND(J1455=1,K1455=1),AND(J1455=1,I1455="SBJ"),AND(J1455=1,I1455=0)),"?IN_FOCUS",IF(J1455&lt;=2,"?ACTIVATED",IF(J1455&lt;&gt;"","?FAMILIAR",IF(F1455="NEW",IF(ISNA(VLOOKUP(E1455,#REF!,1,FALSE())),"?TYPE_IDENTIFIABLE","?REFERENTIAL"),"_")))))</f>
        <v/>
      </c>
      <c r="H1455" s="23" t="str">
        <f t="shared" ca="1" si="157"/>
        <v/>
      </c>
      <c r="I1455" s="24" t="str">
        <f>IF(OR(E1455="",E1455="!!!",F1455="NEW"),"",INDEX(B$2:B1454,-1+SUMPRODUCT(MAX(ROW(E$2:E1454)*(E1455=E$2:E1454)))))</f>
        <v/>
      </c>
      <c r="J1455" s="24" t="str">
        <f ca="1">IF(OR(E1455="",E1455="!!!",F1455="NEW"),"",COUNTBLANK(OFFSET(A$1,,,SUMPRODUCT(MAX(ROW(E$2:E1455)*(E1455=E$2:E1455)))))-COUNTBLANK(OFFSET(A$1,,,SUMPRODUCT(MAX(ROW(E$1:E1454)*(E2=E$1:E1454))))))</f>
        <v/>
      </c>
      <c r="K1455" s="24" t="str">
        <f>IF(OR(E1455="",E1455="!!!",F1455="NEW"),"",INDEX(J$1:J1454,SUMPRODUCT(MAX(ROW(E$1:E1454)*(E1455=E$1:E1454)))))</f>
        <v/>
      </c>
      <c r="L1455" s="25"/>
    </row>
    <row r="1456" spans="1:12" x14ac:dyDescent="0.3">
      <c r="A1456" t="s">
        <v>236</v>
      </c>
      <c r="E1456" s="20" t="str">
        <f t="shared" si="156"/>
        <v/>
      </c>
      <c r="F1456" s="21" t="str">
        <f>IF(OR(E1456="",E1456="!!!"),"",IF(NOT(ISNA(VLOOKUP(E1456,E$1:E1455,1,FALSE()))),"OLD",IF(AND(E1456&lt;&gt;"",E1456&lt;&gt;"!!!"),"NEW","")))</f>
        <v/>
      </c>
      <c r="G1456" s="22" t="str">
        <f>IF(OR(E1456="",E1456="!!!"),"",IF(OR(J1456=0,AND(J1456=1,K1456=1),AND(J1456=1,I1456="SBJ"),AND(J1456=1,I1456=0)),"?IN_FOCUS",IF(J1456&lt;=2,"?ACTIVATED",IF(J1456&lt;&gt;"","?FAMILIAR",IF(F1456="NEW",IF(ISNA(VLOOKUP(E1456,#REF!,1,FALSE())),"?TYPE_IDENTIFIABLE","?REFERENTIAL"),"_")))))</f>
        <v/>
      </c>
      <c r="H1456" s="23" t="str">
        <f t="shared" ca="1" si="157"/>
        <v/>
      </c>
      <c r="I1456" s="24" t="str">
        <f>IF(OR(E1456="",E1456="!!!",F1456="NEW"),"",INDEX(B$2:B1455,-1+SUMPRODUCT(MAX(ROW(E$2:E1455)*(E1456=E$2:E1455)))))</f>
        <v/>
      </c>
      <c r="J1456" s="24" t="str">
        <f ca="1">IF(OR(E1456="",E1456="!!!",F1456="NEW"),"",COUNTBLANK(OFFSET(A$1,,,SUMPRODUCT(MAX(ROW(E$2:E1456)*(E1456=E$2:E1456)))))-COUNTBLANK(OFFSET(A$1,,,SUMPRODUCT(MAX(ROW(E$1:E1455)*(E2=E$1:E1455))))))</f>
        <v/>
      </c>
      <c r="K1456" s="24" t="str">
        <f>IF(OR(E1456="",E1456="!!!",F1456="NEW"),"",INDEX(J$1:J1455,SUMPRODUCT(MAX(ROW(E$1:E1455)*(E1456=E$1:E1455)))))</f>
        <v/>
      </c>
      <c r="L1456" s="25"/>
    </row>
    <row r="1457" spans="1:12" x14ac:dyDescent="0.3">
      <c r="A1457" t="s">
        <v>807</v>
      </c>
      <c r="B1457" s="26" t="s">
        <v>261</v>
      </c>
      <c r="C1457" s="26" t="s">
        <v>239</v>
      </c>
      <c r="D1457" s="26" t="s">
        <v>240</v>
      </c>
      <c r="E1457" s="20" t="str">
        <f t="shared" si="156"/>
        <v>!!!</v>
      </c>
      <c r="F1457" s="21" t="str">
        <f>IF(OR(E1457="",E1457="!!!"),"",IF(NOT(ISNA(VLOOKUP(E1457,E$1:E1456,1,FALSE()))),"OLD",IF(AND(E1457&lt;&gt;"",E1457&lt;&gt;"!!!"),"NEW","")))</f>
        <v/>
      </c>
      <c r="G1457" s="22" t="str">
        <f>IF(OR(E1457="",E1457="!!!"),"",IF(OR(J1457=0,AND(J1457=1,K1457=1),AND(J1457=1,I1457="SBJ"),AND(J1457=1,I1457=0)),"?IN_FOCUS",IF(J1457&lt;=2,"?ACTIVATED",IF(J1457&lt;&gt;"","?FAMILIAR",IF(F1457="NEW",IF(ISNA(VLOOKUP(E1457,#REF!,1,FALSE())),"?TYPE_IDENTIFIABLE","?REFERENTIAL"),"_")))))</f>
        <v/>
      </c>
      <c r="H1457" s="23" t="str">
        <f t="shared" ca="1" si="157"/>
        <v/>
      </c>
      <c r="I1457" s="24" t="str">
        <f>IF(OR(E1457="",E1457="!!!",F1457="NEW"),"",INDEX(B$2:B1456,-1+SUMPRODUCT(MAX(ROW(E$2:E1456)*(E1457=E$2:E1456)))))</f>
        <v/>
      </c>
      <c r="J1457" s="24" t="str">
        <f ca="1">IF(OR(E1457="",E1457="!!!",F1457="NEW"),"",COUNTBLANK(OFFSET(A$1,,,SUMPRODUCT(MAX(ROW(E$2:E1457)*(E1457=E$2:E1457)))))-COUNTBLANK(OFFSET(A$1,,,SUMPRODUCT(MAX(ROW(E$1:E1456)*(E2=E$1:E1456))))))</f>
        <v/>
      </c>
      <c r="K1457" s="24" t="str">
        <f>IF(OR(E1457="",E1457="!!!",F1457="NEW"),"",INDEX(J$1:J1456,SUMPRODUCT(MAX(ROW(E$1:E1456)*(E1457=E$1:E1456)))))</f>
        <v/>
      </c>
      <c r="L1457" s="25"/>
    </row>
    <row r="1458" spans="1:12" x14ac:dyDescent="0.3">
      <c r="A1458" t="s">
        <v>301</v>
      </c>
      <c r="E1458" s="20" t="str">
        <f t="shared" si="156"/>
        <v/>
      </c>
      <c r="F1458" s="21" t="str">
        <f>IF(OR(E1458="",E1458="!!!"),"",IF(NOT(ISNA(VLOOKUP(E1458,E$1:E1457,1,FALSE()))),"OLD",IF(AND(E1458&lt;&gt;"",E1458&lt;&gt;"!!!"),"NEW","")))</f>
        <v/>
      </c>
      <c r="G1458" s="22" t="str">
        <f>IF(OR(E1458="",E1458="!!!"),"",IF(OR(J1458=0,AND(J1458=1,K1458=1),AND(J1458=1,I1458="SBJ"),AND(J1458=1,I1458=0)),"?IN_FOCUS",IF(J1458&lt;=2,"?ACTIVATED",IF(J1458&lt;&gt;"","?FAMILIAR",IF(F1458="NEW",IF(ISNA(VLOOKUP(E1458,#REF!,1,FALSE())),"?TYPE_IDENTIFIABLE","?REFERENTIAL"),"_")))))</f>
        <v/>
      </c>
      <c r="H1458" s="23" t="str">
        <f t="shared" ca="1" si="157"/>
        <v/>
      </c>
      <c r="I1458" s="24" t="str">
        <f>IF(OR(E1458="",E1458="!!!",F1458="NEW"),"",INDEX(B$2:B1457,-1+SUMPRODUCT(MAX(ROW(E$2:E1457)*(E1458=E$2:E1457)))))</f>
        <v/>
      </c>
      <c r="J1458" s="24" t="str">
        <f ca="1">IF(OR(E1458="",E1458="!!!",F1458="NEW"),"",COUNTBLANK(OFFSET(A$1,,,SUMPRODUCT(MAX(ROW(E$2:E1458)*(E1458=E$2:E1458)))))-COUNTBLANK(OFFSET(A$1,,,SUMPRODUCT(MAX(ROW(E$1:E1457)*(E2=E$1:E1457))))))</f>
        <v/>
      </c>
      <c r="K1458" s="24" t="str">
        <f>IF(OR(E1458="",E1458="!!!",F1458="NEW"),"",INDEX(J$1:J1457,SUMPRODUCT(MAX(ROW(E$1:E1457)*(E1458=E$1:E1457)))))</f>
        <v/>
      </c>
      <c r="L1458" s="25"/>
    </row>
    <row r="1459" spans="1:12" x14ac:dyDescent="0.3">
      <c r="A1459" t="s">
        <v>497</v>
      </c>
      <c r="B1459" s="26" t="s">
        <v>272</v>
      </c>
      <c r="C1459" s="26" t="s">
        <v>247</v>
      </c>
      <c r="E1459" s="20" t="str">
        <f t="shared" si="156"/>
        <v/>
      </c>
      <c r="F1459" s="21" t="str">
        <f>IF(OR(E1459="",E1459="!!!"),"",IF(NOT(ISNA(VLOOKUP(E1459,E$1:E1458,1,FALSE()))),"OLD",IF(AND(E1459&lt;&gt;"",E1459&lt;&gt;"!!!"),"NEW","")))</f>
        <v/>
      </c>
      <c r="G1459" s="22" t="str">
        <f>IF(OR(E1459="",E1459="!!!"),"",IF(OR(J1459=0,AND(J1459=1,K1459=1),AND(J1459=1,I1459="SBJ"),AND(J1459=1,I1459=0)),"?IN_FOCUS",IF(J1459&lt;=2,"?ACTIVATED",IF(J1459&lt;&gt;"","?FAMILIAR",IF(F1459="NEW",IF(ISNA(VLOOKUP(E1459,#REF!,1,FALSE())),"?TYPE_IDENTIFIABLE","?REFERENTIAL"),"_")))))</f>
        <v/>
      </c>
      <c r="H1459" s="23" t="str">
        <f t="shared" ca="1" si="157"/>
        <v/>
      </c>
      <c r="I1459" s="24" t="str">
        <f>IF(OR(E1459="",E1459="!!!",F1459="NEW"),"",INDEX(B$2:B1458,-1+SUMPRODUCT(MAX(ROW(E$2:E1458)*(E1459=E$2:E1458)))))</f>
        <v/>
      </c>
      <c r="J1459" s="24" t="str">
        <f ca="1">IF(OR(E1459="",E1459="!!!",F1459="NEW"),"",COUNTBLANK(OFFSET(A$1,,,SUMPRODUCT(MAX(ROW(E$2:E1459)*(E1459=E$2:E1459)))))-COUNTBLANK(OFFSET(A$1,,,SUMPRODUCT(MAX(ROW(E$1:E1458)*(E2=E$1:E1458))))))</f>
        <v/>
      </c>
      <c r="K1459" s="24" t="str">
        <f>IF(OR(E1459="",E1459="!!!",F1459="NEW"),"",INDEX(J$1:J1458,SUMPRODUCT(MAX(ROW(E$1:E1458)*(E1459=E$1:E1458)))))</f>
        <v/>
      </c>
      <c r="L1459" s="25"/>
    </row>
    <row r="1460" spans="1:12" x14ac:dyDescent="0.3">
      <c r="A1460" t="s">
        <v>252</v>
      </c>
      <c r="E1460" s="20" t="str">
        <f t="shared" si="156"/>
        <v/>
      </c>
      <c r="F1460" s="21" t="str">
        <f>IF(OR(E1460="",E1460="!!!"),"",IF(NOT(ISNA(VLOOKUP(E1460,E$1:E1459,1,FALSE()))),"OLD",IF(AND(E1460&lt;&gt;"",E1460&lt;&gt;"!!!"),"NEW","")))</f>
        <v/>
      </c>
      <c r="G1460" s="22" t="str">
        <f>IF(OR(E1460="",E1460="!!!"),"",IF(OR(J1460=0,AND(J1460=1,K1460=1),AND(J1460=1,I1460="SBJ"),AND(J1460=1,I1460=0)),"?IN_FOCUS",IF(J1460&lt;=2,"?ACTIVATED",IF(J1460&lt;&gt;"","?FAMILIAR",IF(F1460="NEW",IF(ISNA(VLOOKUP(E1460,#REF!,1,FALSE())),"?TYPE_IDENTIFIABLE","?REFERENTIAL"),"_")))))</f>
        <v/>
      </c>
      <c r="H1460" s="23" t="str">
        <f t="shared" ca="1" si="157"/>
        <v/>
      </c>
      <c r="I1460" s="24" t="str">
        <f>IF(OR(E1460="",E1460="!!!",F1460="NEW"),"",INDEX(B$2:B1459,-1+SUMPRODUCT(MAX(ROW(E$2:E1459)*(E1460=E$2:E1459)))))</f>
        <v/>
      </c>
      <c r="J1460" s="24" t="str">
        <f ca="1">IF(OR(E1460="",E1460="!!!",F1460="NEW"),"",COUNTBLANK(OFFSET(A$1,,,SUMPRODUCT(MAX(ROW(E$2:E1460)*(E1460=E$2:E1460)))))-COUNTBLANK(OFFSET(A$1,,,SUMPRODUCT(MAX(ROW(E$1:E1459)*(E2=E$1:E1459))))))</f>
        <v/>
      </c>
      <c r="K1460" s="24" t="str">
        <f>IF(OR(E1460="",E1460="!!!",F1460="NEW"),"",INDEX(J$1:J1459,SUMPRODUCT(MAX(ROW(E$1:E1459)*(E1460=E$1:E1459)))))</f>
        <v/>
      </c>
      <c r="L1460" s="25"/>
    </row>
    <row r="1461" spans="1:12" x14ac:dyDescent="0.3">
      <c r="A1461" t="s">
        <v>347</v>
      </c>
      <c r="E1461" s="20" t="str">
        <f t="shared" si="156"/>
        <v/>
      </c>
      <c r="F1461" s="21" t="str">
        <f>IF(OR(E1461="",E1461="!!!"),"",IF(NOT(ISNA(VLOOKUP(E1461,E$1:E1460,1,FALSE()))),"OLD",IF(AND(E1461&lt;&gt;"",E1461&lt;&gt;"!!!"),"NEW","")))</f>
        <v/>
      </c>
      <c r="G1461" s="22" t="str">
        <f>IF(OR(E1461="",E1461="!!!"),"",IF(OR(J1461=0,AND(J1461=1,K1461=1),AND(J1461=1,I1461="SBJ"),AND(J1461=1,I1461=0)),"?IN_FOCUS",IF(J1461&lt;=2,"?ACTIVATED",IF(J1461&lt;&gt;"","?FAMILIAR",IF(F1461="NEW",IF(ISNA(VLOOKUP(E1461,#REF!,1,FALSE())),"?TYPE_IDENTIFIABLE","?REFERENTIAL"),"_")))))</f>
        <v/>
      </c>
      <c r="H1461" s="23" t="str">
        <f t="shared" ca="1" si="157"/>
        <v/>
      </c>
      <c r="I1461" s="24" t="str">
        <f>IF(OR(E1461="",E1461="!!!",F1461="NEW"),"",INDEX(B$2:B1460,-1+SUMPRODUCT(MAX(ROW(E$2:E1460)*(E1461=E$2:E1460)))))</f>
        <v/>
      </c>
      <c r="J1461" s="24" t="str">
        <f ca="1">IF(OR(E1461="",E1461="!!!",F1461="NEW"),"",COUNTBLANK(OFFSET(A$1,,,SUMPRODUCT(MAX(ROW(E$2:E1461)*(E1461=E$2:E1461)))))-COUNTBLANK(OFFSET(A$1,,,SUMPRODUCT(MAX(ROW(E$1:E1460)*(E2=E$1:E1460))))))</f>
        <v/>
      </c>
      <c r="K1461" s="24" t="str">
        <f>IF(OR(E1461="",E1461="!!!",F1461="NEW"),"",INDEX(J$1:J1460,SUMPRODUCT(MAX(ROW(E$1:E1460)*(E1461=E$1:E1460)))))</f>
        <v/>
      </c>
      <c r="L1461" s="25"/>
    </row>
    <row r="1462" spans="1:12" x14ac:dyDescent="0.3">
      <c r="A1462" t="s">
        <v>310</v>
      </c>
      <c r="E1462" s="20" t="str">
        <f t="shared" si="156"/>
        <v/>
      </c>
      <c r="F1462" s="21" t="str">
        <f>IF(OR(E1462="",E1462="!!!"),"",IF(NOT(ISNA(VLOOKUP(E1462,E$1:E1461,1,FALSE()))),"OLD",IF(AND(E1462&lt;&gt;"",E1462&lt;&gt;"!!!"),"NEW","")))</f>
        <v/>
      </c>
      <c r="G1462" s="22" t="str">
        <f>IF(OR(E1462="",E1462="!!!"),"",IF(OR(J1462=0,AND(J1462=1,K1462=1),AND(J1462=1,I1462="SBJ"),AND(J1462=1,I1462=0)),"?IN_FOCUS",IF(J1462&lt;=2,"?ACTIVATED",IF(J1462&lt;&gt;"","?FAMILIAR",IF(F1462="NEW",IF(ISNA(VLOOKUP(E1462,#REF!,1,FALSE())),"?TYPE_IDENTIFIABLE","?REFERENTIAL"),"_")))))</f>
        <v/>
      </c>
      <c r="H1462" s="23" t="str">
        <f t="shared" ca="1" si="157"/>
        <v/>
      </c>
      <c r="I1462" s="24" t="str">
        <f>IF(OR(E1462="",E1462="!!!",F1462="NEW"),"",INDEX(B$2:B1461,-1+SUMPRODUCT(MAX(ROW(E$2:E1461)*(E1462=E$2:E1461)))))</f>
        <v/>
      </c>
      <c r="J1462" s="24" t="str">
        <f ca="1">IF(OR(E1462="",E1462="!!!",F1462="NEW"),"",COUNTBLANK(OFFSET(A$1,,,SUMPRODUCT(MAX(ROW(E$2:E1462)*(E1462=E$2:E1462)))))-COUNTBLANK(OFFSET(A$1,,,SUMPRODUCT(MAX(ROW(E$1:E1461)*(E2=E$1:E1461))))))</f>
        <v/>
      </c>
      <c r="K1462" s="24" t="str">
        <f>IF(OR(E1462="",E1462="!!!",F1462="NEW"),"",INDEX(J$1:J1461,SUMPRODUCT(MAX(ROW(E$1:E1461)*(E1462=E$1:E1461)))))</f>
        <v/>
      </c>
      <c r="L1462" s="25"/>
    </row>
    <row r="1463" spans="1:12" x14ac:dyDescent="0.3">
      <c r="A1463" t="s">
        <v>350</v>
      </c>
      <c r="E1463" s="20" t="str">
        <f t="shared" si="156"/>
        <v/>
      </c>
      <c r="F1463" s="21" t="str">
        <f>IF(OR(E1463="",E1463="!!!"),"",IF(NOT(ISNA(VLOOKUP(E1463,E$1:E1462,1,FALSE()))),"OLD",IF(AND(E1463&lt;&gt;"",E1463&lt;&gt;"!!!"),"NEW","")))</f>
        <v/>
      </c>
      <c r="G1463" s="22" t="str">
        <f>IF(OR(E1463="",E1463="!!!"),"",IF(OR(J1463=0,AND(J1463=1,K1463=1),AND(J1463=1,I1463="SBJ"),AND(J1463=1,I1463=0)),"?IN_FOCUS",IF(J1463&lt;=2,"?ACTIVATED",IF(J1463&lt;&gt;"","?FAMILIAR",IF(F1463="NEW",IF(ISNA(VLOOKUP(E1463,#REF!,1,FALSE())),"?TYPE_IDENTIFIABLE","?REFERENTIAL"),"_")))))</f>
        <v/>
      </c>
      <c r="H1463" s="23" t="str">
        <f t="shared" ca="1" si="157"/>
        <v/>
      </c>
      <c r="I1463" s="24" t="str">
        <f>IF(OR(E1463="",E1463="!!!",F1463="NEW"),"",INDEX(B$2:B1462,-1+SUMPRODUCT(MAX(ROW(E$2:E1462)*(E1463=E$2:E1462)))))</f>
        <v/>
      </c>
      <c r="J1463" s="24" t="str">
        <f ca="1">IF(OR(E1463="",E1463="!!!",F1463="NEW"),"",COUNTBLANK(OFFSET(A$1,,,SUMPRODUCT(MAX(ROW(E$2:E1463)*(E1463=E$2:E1463)))))-COUNTBLANK(OFFSET(A$1,,,SUMPRODUCT(MAX(ROW(E$1:E1462)*(E2=E$1:E1462))))))</f>
        <v/>
      </c>
      <c r="K1463" s="24" t="str">
        <f>IF(OR(E1463="",E1463="!!!",F1463="NEW"),"",INDEX(J$1:J1462,SUMPRODUCT(MAX(ROW(E$1:E1462)*(E1463=E$1:E1462)))))</f>
        <v/>
      </c>
      <c r="L1463" s="25"/>
    </row>
    <row r="1464" spans="1:12" x14ac:dyDescent="0.3">
      <c r="A1464" t="s">
        <v>808</v>
      </c>
      <c r="E1464" s="20" t="str">
        <f t="shared" si="156"/>
        <v/>
      </c>
      <c r="F1464" s="21" t="str">
        <f>IF(OR(E1464="",E1464="!!!"),"",IF(NOT(ISNA(VLOOKUP(E1464,E$1:E1463,1,FALSE()))),"OLD",IF(AND(E1464&lt;&gt;"",E1464&lt;&gt;"!!!"),"NEW","")))</f>
        <v/>
      </c>
      <c r="G1464" s="22" t="str">
        <f>IF(OR(E1464="",E1464="!!!"),"",IF(OR(J1464=0,AND(J1464=1,K1464=1),AND(J1464=1,I1464="SBJ"),AND(J1464=1,I1464=0)),"?IN_FOCUS",IF(J1464&lt;=2,"?ACTIVATED",IF(J1464&lt;&gt;"","?FAMILIAR",IF(F1464="NEW",IF(ISNA(VLOOKUP(E1464,#REF!,1,FALSE())),"?TYPE_IDENTIFIABLE","?REFERENTIAL"),"_")))))</f>
        <v/>
      </c>
      <c r="H1464" s="23" t="str">
        <f t="shared" ca="1" si="157"/>
        <v/>
      </c>
      <c r="I1464" s="24" t="str">
        <f>IF(OR(E1464="",E1464="!!!",F1464="NEW"),"",INDEX(B$2:B1463,-1+SUMPRODUCT(MAX(ROW(E$2:E1463)*(E1464=E$2:E1463)))))</f>
        <v/>
      </c>
      <c r="J1464" s="24" t="str">
        <f ca="1">IF(OR(E1464="",E1464="!!!",F1464="NEW"),"",COUNTBLANK(OFFSET(A$1,,,SUMPRODUCT(MAX(ROW(E$2:E1464)*(E1464=E$2:E1464)))))-COUNTBLANK(OFFSET(A$1,,,SUMPRODUCT(MAX(ROW(E$1:E1463)*(E2=E$1:E1463))))))</f>
        <v/>
      </c>
      <c r="K1464" s="24" t="str">
        <f>IF(OR(E1464="",E1464="!!!",F1464="NEW"),"",INDEX(J$1:J1463,SUMPRODUCT(MAX(ROW(E$1:E1463)*(E1464=E$1:E1463)))))</f>
        <v/>
      </c>
      <c r="L1464" s="25"/>
    </row>
    <row r="1465" spans="1:12" x14ac:dyDescent="0.3">
      <c r="A1465" t="s">
        <v>352</v>
      </c>
      <c r="B1465" s="26" t="s">
        <v>238</v>
      </c>
      <c r="C1465" s="26" t="s">
        <v>239</v>
      </c>
      <c r="D1465" s="26" t="s">
        <v>240</v>
      </c>
      <c r="E1465" s="20" t="str">
        <f t="shared" si="156"/>
        <v>!!!</v>
      </c>
      <c r="F1465" s="21" t="str">
        <f>IF(OR(E1465="",E1465="!!!"),"",IF(NOT(ISNA(VLOOKUP(E1465,E$1:E1464,1,FALSE()))),"OLD",IF(AND(E1465&lt;&gt;"",E1465&lt;&gt;"!!!"),"NEW","")))</f>
        <v/>
      </c>
      <c r="G1465" s="22" t="str">
        <f>IF(OR(E1465="",E1465="!!!"),"",IF(OR(J1465=0,AND(J1465=1,K1465=1),AND(J1465=1,I1465="SBJ"),AND(J1465=1,I1465=0)),"?IN_FOCUS",IF(J1465&lt;=2,"?ACTIVATED",IF(J1465&lt;&gt;"","?FAMILIAR",IF(F1465="NEW",IF(ISNA(VLOOKUP(E1465,#REF!,1,FALSE())),"?TYPE_IDENTIFIABLE","?REFERENTIAL"),"_")))))</f>
        <v/>
      </c>
      <c r="H1465" s="23" t="str">
        <f t="shared" ca="1" si="157"/>
        <v/>
      </c>
      <c r="I1465" s="24" t="str">
        <f>IF(OR(E1465="",E1465="!!!",F1465="NEW"),"",INDEX(B$2:B1464,-1+SUMPRODUCT(MAX(ROW(E$2:E1464)*(E1465=E$2:E1464)))))</f>
        <v/>
      </c>
      <c r="J1465" s="24" t="str">
        <f ca="1">IF(OR(E1465="",E1465="!!!",F1465="NEW"),"",COUNTBLANK(OFFSET(A$1,,,SUMPRODUCT(MAX(ROW(E$2:E1465)*(E1465=E$2:E1465)))))-COUNTBLANK(OFFSET(A$1,,,SUMPRODUCT(MAX(ROW(E$1:E1464)*(E2=E$1:E1464))))))</f>
        <v/>
      </c>
      <c r="K1465" s="24" t="str">
        <f>IF(OR(E1465="",E1465="!!!",F1465="NEW"),"",INDEX(J$1:J1464,SUMPRODUCT(MAX(ROW(E$1:E1464)*(E1465=E$1:E1464)))))</f>
        <v/>
      </c>
      <c r="L1465" s="25"/>
    </row>
    <row r="1466" spans="1:12" x14ac:dyDescent="0.3">
      <c r="A1466" t="s">
        <v>248</v>
      </c>
      <c r="E1466" s="20" t="str">
        <f t="shared" si="156"/>
        <v/>
      </c>
      <c r="F1466" s="21" t="str">
        <f>IF(OR(E1466="",E1466="!!!"),"",IF(NOT(ISNA(VLOOKUP(E1466,E$1:E1465,1,FALSE()))),"OLD",IF(AND(E1466&lt;&gt;"",E1466&lt;&gt;"!!!"),"NEW","")))</f>
        <v/>
      </c>
      <c r="G1466" s="22" t="str">
        <f>IF(OR(E1466="",E1466="!!!"),"",IF(OR(J1466=0,AND(J1466=1,K1466=1),AND(J1466=1,I1466="SBJ"),AND(J1466=1,I1466=0)),"?IN_FOCUS",IF(J1466&lt;=2,"?ACTIVATED",IF(J1466&lt;&gt;"","?FAMILIAR",IF(F1466="NEW",IF(ISNA(VLOOKUP(E1466,#REF!,1,FALSE())),"?TYPE_IDENTIFIABLE","?REFERENTIAL"),"_")))))</f>
        <v/>
      </c>
      <c r="H1466" s="23" t="str">
        <f t="shared" ca="1" si="157"/>
        <v/>
      </c>
      <c r="I1466" s="24" t="str">
        <f>IF(OR(E1466="",E1466="!!!",F1466="NEW"),"",INDEX(B$2:B1465,-1+SUMPRODUCT(MAX(ROW(E$2:E1465)*(E1466=E$2:E1465)))))</f>
        <v/>
      </c>
      <c r="J1466" s="24" t="str">
        <f ca="1">IF(OR(E1466="",E1466="!!!",F1466="NEW"),"",COUNTBLANK(OFFSET(A$1,,,SUMPRODUCT(MAX(ROW(E$2:E1466)*(E1466=E$2:E1466)))))-COUNTBLANK(OFFSET(A$1,,,SUMPRODUCT(MAX(ROW(E$1:E1465)*(E2=E$1:E1465))))))</f>
        <v/>
      </c>
      <c r="K1466" s="24" t="str">
        <f>IF(OR(E1466="",E1466="!!!",F1466="NEW"),"",INDEX(J$1:J1465,SUMPRODUCT(MAX(ROW(E$1:E1465)*(E1466=E$1:E1465)))))</f>
        <v/>
      </c>
      <c r="L1466" s="25"/>
    </row>
    <row r="1468" spans="1:12" x14ac:dyDescent="0.3">
      <c r="A1468" t="s">
        <v>809</v>
      </c>
    </row>
    <row r="1469" spans="1:12" x14ac:dyDescent="0.3">
      <c r="A1469" t="s">
        <v>417</v>
      </c>
      <c r="B1469" s="26" t="s">
        <v>243</v>
      </c>
      <c r="C1469" s="26" t="s">
        <v>346</v>
      </c>
      <c r="D1469" s="26" t="s">
        <v>240</v>
      </c>
      <c r="E1469" s="20" t="str">
        <f>IF(D1469="?OLD","!!!","")</f>
        <v>!!!</v>
      </c>
      <c r="F1469" s="21" t="str">
        <f>IF(OR(E1469="",E1469="!!!"),"",IF(NOT(ISNA(VLOOKUP(E1469,E$1:E1468,1,FALSE()))),"OLD",IF(AND(E1469&lt;&gt;"",E1469&lt;&gt;"!!!"),"NEW","")))</f>
        <v/>
      </c>
      <c r="G1469" s="22" t="str">
        <f>IF(OR(E1469="",E1469="!!!"),"",IF(OR(J1469=0,AND(J1469=1,K1469=1),AND(J1469=1,I1469="SBJ"),AND(J1469=1,I1469=0)),"?IN_FOCUS",IF(J1469&lt;=2,"?ACTIVATED",IF(J1469&lt;&gt;"","?FAMILIAR",IF(F1469="NEW",IF(ISNA(VLOOKUP(E1469,#REF!,1,FALSE())),"?TYPE_IDENTIFIABLE","?REFERENTIAL"),"_")))))</f>
        <v/>
      </c>
      <c r="H1469" s="23" t="str">
        <f ca="1">IF(J1469&lt;&gt;1,"",IF(I1469="SBJ","CB","?"))</f>
        <v/>
      </c>
      <c r="I1469" s="24" t="str">
        <f>IF(OR(E1469="",E1469="!!!",F1469="NEW"),"",INDEX(B$2:B1468,-1+SUMPRODUCT(MAX(ROW(E$2:E1468)*(E1469=E$2:E1468)))))</f>
        <v/>
      </c>
      <c r="J1469" s="24" t="str">
        <f ca="1">IF(OR(E1469="",E1469="!!!",F1469="NEW"),"",COUNTBLANK(OFFSET(A$1,,,SUMPRODUCT(MAX(ROW(E$2:E1469)*(E1469=E$2:E1469)))))-COUNTBLANK(OFFSET(A$1,,,SUMPRODUCT(MAX(ROW(E$1:E1468)*(E2=E$1:E1468))))))</f>
        <v/>
      </c>
      <c r="K1469" s="24" t="str">
        <f>IF(OR(E1469="",E1469="!!!",F1469="NEW"),"",INDEX(J$1:J1468,SUMPRODUCT(MAX(ROW(E$1:E1468)*(E1469=E$1:E1468)))))</f>
        <v/>
      </c>
      <c r="L1469" s="25"/>
    </row>
    <row r="1470" spans="1:12" x14ac:dyDescent="0.3">
      <c r="A1470" t="s">
        <v>347</v>
      </c>
      <c r="E1470" s="20" t="str">
        <f>IF(D1470="?OLD","!!!","")</f>
        <v/>
      </c>
      <c r="F1470" s="21" t="str">
        <f>IF(OR(E1470="",E1470="!!!"),"",IF(NOT(ISNA(VLOOKUP(E1470,E$1:E1469,1,FALSE()))),"OLD",IF(AND(E1470&lt;&gt;"",E1470&lt;&gt;"!!!"),"NEW","")))</f>
        <v/>
      </c>
      <c r="G1470" s="22" t="str">
        <f>IF(OR(E1470="",E1470="!!!"),"",IF(OR(J1470=0,AND(J1470=1,K1470=1),AND(J1470=1,I1470="SBJ"),AND(J1470=1,I1470=0)),"?IN_FOCUS",IF(J1470&lt;=2,"?ACTIVATED",IF(J1470&lt;&gt;"","?FAMILIAR",IF(F1470="NEW",IF(ISNA(VLOOKUP(E1470,#REF!,1,FALSE())),"?TYPE_IDENTIFIABLE","?REFERENTIAL"),"_")))))</f>
        <v/>
      </c>
      <c r="H1470" s="23" t="str">
        <f ca="1">IF(J1470&lt;&gt;1,"",IF(I1470="SBJ","CB","?"))</f>
        <v/>
      </c>
      <c r="I1470" s="24" t="str">
        <f>IF(OR(E1470="",E1470="!!!",F1470="NEW"),"",INDEX(B$2:B1469,-1+SUMPRODUCT(MAX(ROW(E$2:E1469)*(E1470=E$2:E1469)))))</f>
        <v/>
      </c>
      <c r="J1470" s="24" t="str">
        <f ca="1">IF(OR(E1470="",E1470="!!!",F1470="NEW"),"",COUNTBLANK(OFFSET(A$1,,,SUMPRODUCT(MAX(ROW(E$2:E1470)*(E1470=E$2:E1470)))))-COUNTBLANK(OFFSET(A$1,,,SUMPRODUCT(MAX(ROW(E$1:E1469)*(E2=E$1:E1469))))))</f>
        <v/>
      </c>
      <c r="K1470" s="24" t="str">
        <f>IF(OR(E1470="",E1470="!!!",F1470="NEW"),"",INDEX(J$1:J1469,SUMPRODUCT(MAX(ROW(E$1:E1469)*(E1470=E$1:E1469)))))</f>
        <v/>
      </c>
      <c r="L1470" s="25"/>
    </row>
    <row r="1471" spans="1:12" x14ac:dyDescent="0.3">
      <c r="A1471" t="s">
        <v>303</v>
      </c>
      <c r="E1471" s="20" t="str">
        <f>IF(D1471="?OLD","!!!","")</f>
        <v/>
      </c>
      <c r="F1471" s="21" t="str">
        <f>IF(OR(E1471="",E1471="!!!"),"",IF(NOT(ISNA(VLOOKUP(E1471,E$1:E1470,1,FALSE()))),"OLD",IF(AND(E1471&lt;&gt;"",E1471&lt;&gt;"!!!"),"NEW","")))</f>
        <v/>
      </c>
      <c r="G1471" s="22" t="str">
        <f>IF(OR(E1471="",E1471="!!!"),"",IF(OR(J1471=0,AND(J1471=1,K1471=1),AND(J1471=1,I1471="SBJ"),AND(J1471=1,I1471=0)),"?IN_FOCUS",IF(J1471&lt;=2,"?ACTIVATED",IF(J1471&lt;&gt;"","?FAMILIAR",IF(F1471="NEW",IF(ISNA(VLOOKUP(E1471,#REF!,1,FALSE())),"?TYPE_IDENTIFIABLE","?REFERENTIAL"),"_")))))</f>
        <v/>
      </c>
      <c r="H1471" s="23" t="str">
        <f ca="1">IF(J1471&lt;&gt;1,"",IF(I1471="SBJ","CB","?"))</f>
        <v/>
      </c>
      <c r="I1471" s="24" t="str">
        <f>IF(OR(E1471="",E1471="!!!",F1471="NEW"),"",INDEX(B$2:B1470,-1+SUMPRODUCT(MAX(ROW(E$2:E1470)*(E1471=E$2:E1470)))))</f>
        <v/>
      </c>
      <c r="J1471" s="24" t="str">
        <f ca="1">IF(OR(E1471="",E1471="!!!",F1471="NEW"),"",COUNTBLANK(OFFSET(A$1,,,SUMPRODUCT(MAX(ROW(E$2:E1471)*(E1471=E$2:E1471)))))-COUNTBLANK(OFFSET(A$1,,,SUMPRODUCT(MAX(ROW(E$1:E1470)*(E2=E$1:E1470))))))</f>
        <v/>
      </c>
      <c r="K1471" s="24" t="str">
        <f>IF(OR(E1471="",E1471="!!!",F1471="NEW"),"",INDEX(J$1:J1470,SUMPRODUCT(MAX(ROW(E$1:E1470)*(E1471=E$1:E1470)))))</f>
        <v/>
      </c>
      <c r="L1471" s="25"/>
    </row>
    <row r="1472" spans="1:12" x14ac:dyDescent="0.3">
      <c r="A1472" t="s">
        <v>270</v>
      </c>
      <c r="B1472" s="26" t="s">
        <v>238</v>
      </c>
      <c r="C1472" s="26" t="s">
        <v>239</v>
      </c>
      <c r="D1472" s="26" t="s">
        <v>240</v>
      </c>
      <c r="E1472" s="20" t="str">
        <f>IF(D1472="?OLD","!!!","")</f>
        <v>!!!</v>
      </c>
      <c r="F1472" s="21" t="str">
        <f>IF(OR(E1472="",E1472="!!!"),"",IF(NOT(ISNA(VLOOKUP(E1472,E$1:E1471,1,FALSE()))),"OLD",IF(AND(E1472&lt;&gt;"",E1472&lt;&gt;"!!!"),"NEW","")))</f>
        <v/>
      </c>
      <c r="G1472" s="22" t="str">
        <f>IF(OR(E1472="",E1472="!!!"),"",IF(OR(J1472=0,AND(J1472=1,K1472=1),AND(J1472=1,I1472="SBJ"),AND(J1472=1,I1472=0)),"?IN_FOCUS",IF(J1472&lt;=2,"?ACTIVATED",IF(J1472&lt;&gt;"","?FAMILIAR",IF(F1472="NEW",IF(ISNA(VLOOKUP(E1472,#REF!,1,FALSE())),"?TYPE_IDENTIFIABLE","?REFERENTIAL"),"_")))))</f>
        <v/>
      </c>
      <c r="H1472" s="23" t="str">
        <f ca="1">IF(J1472&lt;&gt;1,"",IF(I1472="SBJ","CB","?"))</f>
        <v/>
      </c>
      <c r="I1472" s="24" t="str">
        <f>IF(OR(E1472="",E1472="!!!",F1472="NEW"),"",INDEX(B$2:B1471,-1+SUMPRODUCT(MAX(ROW(E$2:E1471)*(E1472=E$2:E1471)))))</f>
        <v/>
      </c>
      <c r="J1472" s="24" t="str">
        <f ca="1">IF(OR(E1472="",E1472="!!!",F1472="NEW"),"",COUNTBLANK(OFFSET(A$1,,,SUMPRODUCT(MAX(ROW(E$2:E1472)*(E1472=E$2:E1472)))))-COUNTBLANK(OFFSET(A$1,,,SUMPRODUCT(MAX(ROW(E$1:E1471)*(E2=E$1:E1471))))))</f>
        <v/>
      </c>
      <c r="K1472" s="24" t="str">
        <f>IF(OR(E1472="",E1472="!!!",F1472="NEW"),"",INDEX(J$1:J1471,SUMPRODUCT(MAX(ROW(E$1:E1471)*(E1472=E$1:E1471)))))</f>
        <v/>
      </c>
      <c r="L1472" s="25"/>
    </row>
    <row r="1473" spans="1:12" x14ac:dyDescent="0.3">
      <c r="A1473" t="s">
        <v>248</v>
      </c>
      <c r="E1473" s="20" t="str">
        <f>IF(D1473="?OLD","!!!","")</f>
        <v/>
      </c>
      <c r="F1473" s="21" t="str">
        <f>IF(OR(E1473="",E1473="!!!"),"",IF(NOT(ISNA(VLOOKUP(E1473,E$1:E1472,1,FALSE()))),"OLD",IF(AND(E1473&lt;&gt;"",E1473&lt;&gt;"!!!"),"NEW","")))</f>
        <v/>
      </c>
      <c r="G1473" s="22" t="str">
        <f>IF(OR(E1473="",E1473="!!!"),"",IF(OR(J1473=0,AND(J1473=1,K1473=1),AND(J1473=1,I1473="SBJ"),AND(J1473=1,I1473=0)),"?IN_FOCUS",IF(J1473&lt;=2,"?ACTIVATED",IF(J1473&lt;&gt;"","?FAMILIAR",IF(F1473="NEW",IF(ISNA(VLOOKUP(E1473,#REF!,1,FALSE())),"?TYPE_IDENTIFIABLE","?REFERENTIAL"),"_")))))</f>
        <v/>
      </c>
      <c r="H1473" s="23" t="str">
        <f ca="1">IF(J1473&lt;&gt;1,"",IF(I1473="SBJ","CB","?"))</f>
        <v/>
      </c>
      <c r="I1473" s="24" t="str">
        <f>IF(OR(E1473="",E1473="!!!",F1473="NEW"),"",INDEX(B$2:B1472,-1+SUMPRODUCT(MAX(ROW(E$2:E1472)*(E1473=E$2:E1472)))))</f>
        <v/>
      </c>
      <c r="J1473" s="24" t="str">
        <f ca="1">IF(OR(E1473="",E1473="!!!",F1473="NEW"),"",COUNTBLANK(OFFSET(A$1,,,SUMPRODUCT(MAX(ROW(E$2:E1473)*(E1473=E$2:E1473)))))-COUNTBLANK(OFFSET(A$1,,,SUMPRODUCT(MAX(ROW(E$1:E1472)*(E2=E$1:E1472))))))</f>
        <v/>
      </c>
      <c r="K1473" s="24" t="str">
        <f>IF(OR(E1473="",E1473="!!!",F1473="NEW"),"",INDEX(J$1:J1472,SUMPRODUCT(MAX(ROW(E$1:E1472)*(E1473=E$1:E1472)))))</f>
        <v/>
      </c>
      <c r="L1473" s="25"/>
    </row>
    <row r="1475" spans="1:12" x14ac:dyDescent="0.3">
      <c r="A1475" t="s">
        <v>810</v>
      </c>
    </row>
    <row r="1476" spans="1:12" x14ac:dyDescent="0.3">
      <c r="A1476" t="s">
        <v>417</v>
      </c>
      <c r="B1476" s="26" t="s">
        <v>243</v>
      </c>
      <c r="C1476" s="26" t="s">
        <v>346</v>
      </c>
      <c r="D1476" s="26" t="s">
        <v>240</v>
      </c>
      <c r="E1476" s="20" t="str">
        <f t="shared" ref="E1476:E1504" si="158">IF(D1476="?OLD","!!!","")</f>
        <v>!!!</v>
      </c>
      <c r="F1476" s="21" t="str">
        <f>IF(OR(E1476="",E1476="!!!"),"",IF(NOT(ISNA(VLOOKUP(E1476,E$1:E1475,1,FALSE()))),"OLD",IF(AND(E1476&lt;&gt;"",E1476&lt;&gt;"!!!"),"NEW","")))</f>
        <v/>
      </c>
      <c r="G1476" s="22" t="str">
        <f>IF(OR(E1476="",E1476="!!!"),"",IF(OR(J1476=0,AND(J1476=1,K1476=1),AND(J1476=1,I1476="SBJ"),AND(J1476=1,I1476=0)),"?IN_FOCUS",IF(J1476&lt;=2,"?ACTIVATED",IF(J1476&lt;&gt;"","?FAMILIAR",IF(F1476="NEW",IF(ISNA(VLOOKUP(E1476,#REF!,1,FALSE())),"?TYPE_IDENTIFIABLE","?REFERENTIAL"),"_")))))</f>
        <v/>
      </c>
      <c r="H1476" s="23" t="str">
        <f t="shared" ref="H1476:H1504" ca="1" si="159">IF(J1476&lt;&gt;1,"",IF(I1476="SBJ","CB","?"))</f>
        <v/>
      </c>
      <c r="I1476" s="24" t="str">
        <f>IF(OR(E1476="",E1476="!!!",F1476="NEW"),"",INDEX(B$2:B1475,-1+SUMPRODUCT(MAX(ROW(E$2:E1475)*(E1476=E$2:E1475)))))</f>
        <v/>
      </c>
      <c r="J1476" s="24" t="str">
        <f ca="1">IF(OR(E1476="",E1476="!!!",F1476="NEW"),"",COUNTBLANK(OFFSET(A$1,,,SUMPRODUCT(MAX(ROW(E$2:E1476)*(E1476=E$2:E1476)))))-COUNTBLANK(OFFSET(A$1,,,SUMPRODUCT(MAX(ROW(E$1:E1475)*(E2=E$1:E1475))))))</f>
        <v/>
      </c>
      <c r="K1476" s="24" t="str">
        <f>IF(OR(E1476="",E1476="!!!",F1476="NEW"),"",INDEX(J$1:J1475,SUMPRODUCT(MAX(ROW(E$1:E1475)*(E1476=E$1:E1475)))))</f>
        <v/>
      </c>
      <c r="L1476" s="25"/>
    </row>
    <row r="1477" spans="1:12" x14ac:dyDescent="0.3">
      <c r="A1477" t="s">
        <v>493</v>
      </c>
      <c r="E1477" s="20" t="str">
        <f t="shared" si="158"/>
        <v/>
      </c>
      <c r="F1477" s="21" t="str">
        <f>IF(OR(E1477="",E1477="!!!"),"",IF(NOT(ISNA(VLOOKUP(E1477,E$1:E1476,1,FALSE()))),"OLD",IF(AND(E1477&lt;&gt;"",E1477&lt;&gt;"!!!"),"NEW","")))</f>
        <v/>
      </c>
      <c r="G1477" s="22" t="str">
        <f>IF(OR(E1477="",E1477="!!!"),"",IF(OR(J1477=0,AND(J1477=1,K1477=1),AND(J1477=1,I1477="SBJ"),AND(J1477=1,I1477=0)),"?IN_FOCUS",IF(J1477&lt;=2,"?ACTIVATED",IF(J1477&lt;&gt;"","?FAMILIAR",IF(F1477="NEW",IF(ISNA(VLOOKUP(E1477,#REF!,1,FALSE())),"?TYPE_IDENTIFIABLE","?REFERENTIAL"),"_")))))</f>
        <v/>
      </c>
      <c r="H1477" s="23" t="str">
        <f t="shared" ca="1" si="159"/>
        <v/>
      </c>
      <c r="I1477" s="24" t="str">
        <f>IF(OR(E1477="",E1477="!!!",F1477="NEW"),"",INDEX(B$2:B1476,-1+SUMPRODUCT(MAX(ROW(E$2:E1476)*(E1477=E$2:E1476)))))</f>
        <v/>
      </c>
      <c r="J1477" s="24" t="str">
        <f ca="1">IF(OR(E1477="",E1477="!!!",F1477="NEW"),"",COUNTBLANK(OFFSET(A$1,,,SUMPRODUCT(MAX(ROW(E$2:E1477)*(E1477=E$2:E1477)))))-COUNTBLANK(OFFSET(A$1,,,SUMPRODUCT(MAX(ROW(E$1:E1476)*(E2=E$1:E1476))))))</f>
        <v/>
      </c>
      <c r="K1477" s="24" t="str">
        <f>IF(OR(E1477="",E1477="!!!",F1477="NEW"),"",INDEX(J$1:J1476,SUMPRODUCT(MAX(ROW(E$1:E1476)*(E1477=E$1:E1476)))))</f>
        <v/>
      </c>
      <c r="L1477" s="25"/>
    </row>
    <row r="1478" spans="1:12" x14ac:dyDescent="0.3">
      <c r="A1478" t="s">
        <v>254</v>
      </c>
      <c r="B1478" s="26" t="s">
        <v>243</v>
      </c>
      <c r="C1478" s="26" t="s">
        <v>256</v>
      </c>
      <c r="D1478" s="26" t="s">
        <v>240</v>
      </c>
      <c r="E1478" s="20" t="str">
        <f t="shared" si="158"/>
        <v>!!!</v>
      </c>
      <c r="F1478" s="21" t="str">
        <f>IF(OR(E1478="",E1478="!!!"),"",IF(NOT(ISNA(VLOOKUP(E1478,E$1:E1477,1,FALSE()))),"OLD",IF(AND(E1478&lt;&gt;"",E1478&lt;&gt;"!!!"),"NEW","")))</f>
        <v/>
      </c>
      <c r="G1478" s="22" t="str">
        <f>IF(OR(E1478="",E1478="!!!"),"",IF(OR(J1478=0,AND(J1478=1,K1478=1),AND(J1478=1,I1478="SBJ"),AND(J1478=1,I1478=0)),"?IN_FOCUS",IF(J1478&lt;=2,"?ACTIVATED",IF(J1478&lt;&gt;"","?FAMILIAR",IF(F1478="NEW",IF(ISNA(VLOOKUP(E1478,#REF!,1,FALSE())),"?TYPE_IDENTIFIABLE","?REFERENTIAL"),"_")))))</f>
        <v/>
      </c>
      <c r="H1478" s="23" t="str">
        <f t="shared" ca="1" si="159"/>
        <v/>
      </c>
      <c r="I1478" s="24" t="str">
        <f>IF(OR(E1478="",E1478="!!!",F1478="NEW"),"",INDEX(B$2:B1477,-1+SUMPRODUCT(MAX(ROW(E$2:E1477)*(E1478=E$2:E1477)))))</f>
        <v/>
      </c>
      <c r="J1478" s="24" t="str">
        <f ca="1">IF(OR(E1478="",E1478="!!!",F1478="NEW"),"",COUNTBLANK(OFFSET(A$1,,,SUMPRODUCT(MAX(ROW(E$2:E1478)*(E1478=E$2:E1478)))))-COUNTBLANK(OFFSET(A$1,,,SUMPRODUCT(MAX(ROW(E$1:E1477)*(E2=E$1:E1477))))))</f>
        <v/>
      </c>
      <c r="K1478" s="24" t="str">
        <f>IF(OR(E1478="",E1478="!!!",F1478="NEW"),"",INDEX(J$1:J1477,SUMPRODUCT(MAX(ROW(E$1:E1477)*(E1478=E$1:E1477)))))</f>
        <v/>
      </c>
      <c r="L1478" s="25"/>
    </row>
    <row r="1479" spans="1:12" x14ac:dyDescent="0.3">
      <c r="A1479" t="s">
        <v>401</v>
      </c>
      <c r="E1479" s="20" t="str">
        <f t="shared" si="158"/>
        <v/>
      </c>
      <c r="F1479" s="21" t="str">
        <f>IF(OR(E1479="",E1479="!!!"),"",IF(NOT(ISNA(VLOOKUP(E1479,E$1:E1478,1,FALSE()))),"OLD",IF(AND(E1479&lt;&gt;"",E1479&lt;&gt;"!!!"),"NEW","")))</f>
        <v/>
      </c>
      <c r="G1479" s="22" t="str">
        <f>IF(OR(E1479="",E1479="!!!"),"",IF(OR(J1479=0,AND(J1479=1,K1479=1),AND(J1479=1,I1479="SBJ"),AND(J1479=1,I1479=0)),"?IN_FOCUS",IF(J1479&lt;=2,"?ACTIVATED",IF(J1479&lt;&gt;"","?FAMILIAR",IF(F1479="NEW",IF(ISNA(VLOOKUP(E1479,#REF!,1,FALSE())),"?TYPE_IDENTIFIABLE","?REFERENTIAL"),"_")))))</f>
        <v/>
      </c>
      <c r="H1479" s="23" t="str">
        <f t="shared" ca="1" si="159"/>
        <v/>
      </c>
      <c r="I1479" s="24" t="str">
        <f>IF(OR(E1479="",E1479="!!!",F1479="NEW"),"",INDEX(B$2:B1478,-1+SUMPRODUCT(MAX(ROW(E$2:E1478)*(E1479=E$2:E1478)))))</f>
        <v/>
      </c>
      <c r="J1479" s="24" t="str">
        <f ca="1">IF(OR(E1479="",E1479="!!!",F1479="NEW"),"",COUNTBLANK(OFFSET(A$1,,,SUMPRODUCT(MAX(ROW(E$2:E1479)*(E1479=E$2:E1479)))))-COUNTBLANK(OFFSET(A$1,,,SUMPRODUCT(MAX(ROW(E$1:E1478)*(E2=E$1:E1478))))))</f>
        <v/>
      </c>
      <c r="K1479" s="24" t="str">
        <f>IF(OR(E1479="",E1479="!!!",F1479="NEW"),"",INDEX(J$1:J1478,SUMPRODUCT(MAX(ROW(E$1:E1478)*(E1479=E$1:E1478)))))</f>
        <v/>
      </c>
      <c r="L1479" s="25"/>
    </row>
    <row r="1480" spans="1:12" x14ac:dyDescent="0.3">
      <c r="A1480" t="s">
        <v>11</v>
      </c>
      <c r="E1480" s="20" t="str">
        <f t="shared" si="158"/>
        <v/>
      </c>
      <c r="F1480" s="21" t="str">
        <f>IF(OR(E1480="",E1480="!!!"),"",IF(NOT(ISNA(VLOOKUP(E1480,E$1:E1479,1,FALSE()))),"OLD",IF(AND(E1480&lt;&gt;"",E1480&lt;&gt;"!!!"),"NEW","")))</f>
        <v/>
      </c>
      <c r="G1480" s="22" t="str">
        <f>IF(OR(E1480="",E1480="!!!"),"",IF(OR(J1480=0,AND(J1480=1,K1480=1),AND(J1480=1,I1480="SBJ"),AND(J1480=1,I1480=0)),"?IN_FOCUS",IF(J1480&lt;=2,"?ACTIVATED",IF(J1480&lt;&gt;"","?FAMILIAR",IF(F1480="NEW",IF(ISNA(VLOOKUP(E1480,#REF!,1,FALSE())),"?TYPE_IDENTIFIABLE","?REFERENTIAL"),"_")))))</f>
        <v/>
      </c>
      <c r="H1480" s="23" t="str">
        <f t="shared" ca="1" si="159"/>
        <v/>
      </c>
      <c r="I1480" s="24" t="str">
        <f>IF(OR(E1480="",E1480="!!!",F1480="NEW"),"",INDEX(B$2:B1479,-1+SUMPRODUCT(MAX(ROW(E$2:E1479)*(E1480=E$2:E1479)))))</f>
        <v/>
      </c>
      <c r="J1480" s="24" t="str">
        <f ca="1">IF(OR(E1480="",E1480="!!!",F1480="NEW"),"",COUNTBLANK(OFFSET(A$1,,,SUMPRODUCT(MAX(ROW(E$2:E1480)*(E1480=E$2:E1480)))))-COUNTBLANK(OFFSET(A$1,,,SUMPRODUCT(MAX(ROW(E$1:E1479)*(E2=E$1:E1479))))))</f>
        <v/>
      </c>
      <c r="K1480" s="24" t="str">
        <f>IF(OR(E1480="",E1480="!!!",F1480="NEW"),"",INDEX(J$1:J1479,SUMPRODUCT(MAX(ROW(E$1:E1479)*(E1480=E$1:E1479)))))</f>
        <v/>
      </c>
      <c r="L1480" s="25"/>
    </row>
    <row r="1481" spans="1:12" x14ac:dyDescent="0.3">
      <c r="A1481" t="s">
        <v>401</v>
      </c>
      <c r="E1481" s="20" t="str">
        <f t="shared" si="158"/>
        <v/>
      </c>
      <c r="F1481" s="21" t="str">
        <f>IF(OR(E1481="",E1481="!!!"),"",IF(NOT(ISNA(VLOOKUP(E1481,E$1:E1480,1,FALSE()))),"OLD",IF(AND(E1481&lt;&gt;"",E1481&lt;&gt;"!!!"),"NEW","")))</f>
        <v/>
      </c>
      <c r="G1481" s="22" t="str">
        <f>IF(OR(E1481="",E1481="!!!"),"",IF(OR(J1481=0,AND(J1481=1,K1481=1),AND(J1481=1,I1481="SBJ"),AND(J1481=1,I1481=0)),"?IN_FOCUS",IF(J1481&lt;=2,"?ACTIVATED",IF(J1481&lt;&gt;"","?FAMILIAR",IF(F1481="NEW",IF(ISNA(VLOOKUP(E1481,#REF!,1,FALSE())),"?TYPE_IDENTIFIABLE","?REFERENTIAL"),"_")))))</f>
        <v/>
      </c>
      <c r="H1481" s="23" t="str">
        <f t="shared" ca="1" si="159"/>
        <v/>
      </c>
      <c r="I1481" s="24" t="str">
        <f>IF(OR(E1481="",E1481="!!!",F1481="NEW"),"",INDEX(B$2:B1480,-1+SUMPRODUCT(MAX(ROW(E$2:E1480)*(E1481=E$2:E1480)))))</f>
        <v/>
      </c>
      <c r="J1481" s="24" t="str">
        <f ca="1">IF(OR(E1481="",E1481="!!!",F1481="NEW"),"",COUNTBLANK(OFFSET(A$1,,,SUMPRODUCT(MAX(ROW(E$2:E1481)*(E1481=E$2:E1481)))))-COUNTBLANK(OFFSET(A$1,,,SUMPRODUCT(MAX(ROW(E$1:E1480)*(E2=E$1:E1480))))))</f>
        <v/>
      </c>
      <c r="K1481" s="24" t="str">
        <f>IF(OR(E1481="",E1481="!!!",F1481="NEW"),"",INDEX(J$1:J1480,SUMPRODUCT(MAX(ROW(E$1:E1480)*(E1481=E$1:E1480)))))</f>
        <v/>
      </c>
      <c r="L1481" s="25"/>
    </row>
    <row r="1482" spans="1:12" x14ac:dyDescent="0.3">
      <c r="A1482" t="s">
        <v>252</v>
      </c>
      <c r="E1482" s="20" t="str">
        <f t="shared" si="158"/>
        <v/>
      </c>
      <c r="F1482" s="21" t="str">
        <f>IF(OR(E1482="",E1482="!!!"),"",IF(NOT(ISNA(VLOOKUP(E1482,E$1:E1481,1,FALSE()))),"OLD",IF(AND(E1482&lt;&gt;"",E1482&lt;&gt;"!!!"),"NEW","")))</f>
        <v/>
      </c>
      <c r="G1482" s="22" t="str">
        <f>IF(OR(E1482="",E1482="!!!"),"",IF(OR(J1482=0,AND(J1482=1,K1482=1),AND(J1482=1,I1482="SBJ"),AND(J1482=1,I1482=0)),"?IN_FOCUS",IF(J1482&lt;=2,"?ACTIVATED",IF(J1482&lt;&gt;"","?FAMILIAR",IF(F1482="NEW",IF(ISNA(VLOOKUP(E1482,#REF!,1,FALSE())),"?TYPE_IDENTIFIABLE","?REFERENTIAL"),"_")))))</f>
        <v/>
      </c>
      <c r="H1482" s="23" t="str">
        <f t="shared" ca="1" si="159"/>
        <v/>
      </c>
      <c r="I1482" s="24" t="str">
        <f>IF(OR(E1482="",E1482="!!!",F1482="NEW"),"",INDEX(B$2:B1481,-1+SUMPRODUCT(MAX(ROW(E$2:E1481)*(E1482=E$2:E1481)))))</f>
        <v/>
      </c>
      <c r="J1482" s="24" t="str">
        <f ca="1">IF(OR(E1482="",E1482="!!!",F1482="NEW"),"",COUNTBLANK(OFFSET(A$1,,,SUMPRODUCT(MAX(ROW(E$2:E1482)*(E1482=E$2:E1482)))))-COUNTBLANK(OFFSET(A$1,,,SUMPRODUCT(MAX(ROW(E$1:E1481)*(E2=E$1:E1481))))))</f>
        <v/>
      </c>
      <c r="K1482" s="24" t="str">
        <f>IF(OR(E1482="",E1482="!!!",F1482="NEW"),"",INDEX(J$1:J1481,SUMPRODUCT(MAX(ROW(E$1:E1481)*(E1482=E$1:E1481)))))</f>
        <v/>
      </c>
      <c r="L1482" s="25"/>
    </row>
    <row r="1483" spans="1:12" x14ac:dyDescent="0.3">
      <c r="A1483" t="s">
        <v>281</v>
      </c>
      <c r="E1483" s="20" t="str">
        <f t="shared" si="158"/>
        <v/>
      </c>
      <c r="F1483" s="21" t="str">
        <f>IF(OR(E1483="",E1483="!!!"),"",IF(NOT(ISNA(VLOOKUP(E1483,E$1:E1482,1,FALSE()))),"OLD",IF(AND(E1483&lt;&gt;"",E1483&lt;&gt;"!!!"),"NEW","")))</f>
        <v/>
      </c>
      <c r="G1483" s="22" t="str">
        <f>IF(OR(E1483="",E1483="!!!"),"",IF(OR(J1483=0,AND(J1483=1,K1483=1),AND(J1483=1,I1483="SBJ"),AND(J1483=1,I1483=0)),"?IN_FOCUS",IF(J1483&lt;=2,"?ACTIVATED",IF(J1483&lt;&gt;"","?FAMILIAR",IF(F1483="NEW",IF(ISNA(VLOOKUP(E1483,#REF!,1,FALSE())),"?TYPE_IDENTIFIABLE","?REFERENTIAL"),"_")))))</f>
        <v/>
      </c>
      <c r="H1483" s="23" t="str">
        <f t="shared" ca="1" si="159"/>
        <v/>
      </c>
      <c r="I1483" s="24" t="str">
        <f>IF(OR(E1483="",E1483="!!!",F1483="NEW"),"",INDEX(B$2:B1482,-1+SUMPRODUCT(MAX(ROW(E$2:E1482)*(E1483=E$2:E1482)))))</f>
        <v/>
      </c>
      <c r="J1483" s="24" t="str">
        <f ca="1">IF(OR(E1483="",E1483="!!!",F1483="NEW"),"",COUNTBLANK(OFFSET(A$1,,,SUMPRODUCT(MAX(ROW(E$2:E1483)*(E1483=E$2:E1483)))))-COUNTBLANK(OFFSET(A$1,,,SUMPRODUCT(MAX(ROW(E$1:E1482)*(E2=E$1:E1482))))))</f>
        <v/>
      </c>
      <c r="K1483" s="24" t="str">
        <f>IF(OR(E1483="",E1483="!!!",F1483="NEW"),"",INDEX(J$1:J1482,SUMPRODUCT(MAX(ROW(E$1:E1482)*(E1483=E$1:E1482)))))</f>
        <v/>
      </c>
      <c r="L1483" s="25"/>
    </row>
    <row r="1484" spans="1:12" x14ac:dyDescent="0.3">
      <c r="A1484" t="s">
        <v>242</v>
      </c>
      <c r="B1484" s="26" t="s">
        <v>255</v>
      </c>
      <c r="C1484" s="26" t="s">
        <v>244</v>
      </c>
      <c r="D1484" s="26" t="s">
        <v>240</v>
      </c>
      <c r="E1484" s="20" t="str">
        <f t="shared" si="158"/>
        <v>!!!</v>
      </c>
      <c r="F1484" s="21" t="str">
        <f>IF(OR(E1484="",E1484="!!!"),"",IF(NOT(ISNA(VLOOKUP(E1484,E$1:E1483,1,FALSE()))),"OLD",IF(AND(E1484&lt;&gt;"",E1484&lt;&gt;"!!!"),"NEW","")))</f>
        <v/>
      </c>
      <c r="G1484" s="22" t="str">
        <f>IF(OR(E1484="",E1484="!!!"),"",IF(OR(J1484=0,AND(J1484=1,K1484=1),AND(J1484=1,I1484="SBJ"),AND(J1484=1,I1484=0)),"?IN_FOCUS",IF(J1484&lt;=2,"?ACTIVATED",IF(J1484&lt;&gt;"","?FAMILIAR",IF(F1484="NEW",IF(ISNA(VLOOKUP(E1484,#REF!,1,FALSE())),"?TYPE_IDENTIFIABLE","?REFERENTIAL"),"_")))))</f>
        <v/>
      </c>
      <c r="H1484" s="23" t="str">
        <f t="shared" ca="1" si="159"/>
        <v/>
      </c>
      <c r="I1484" s="24" t="str">
        <f>IF(OR(E1484="",E1484="!!!",F1484="NEW"),"",INDEX(B$2:B1483,-1+SUMPRODUCT(MAX(ROW(E$2:E1483)*(E1484=E$2:E1483)))))</f>
        <v/>
      </c>
      <c r="J1484" s="24" t="str">
        <f ca="1">IF(OR(E1484="",E1484="!!!",F1484="NEW"),"",COUNTBLANK(OFFSET(A$1,,,SUMPRODUCT(MAX(ROW(E$2:E1484)*(E1484=E$2:E1484)))))-COUNTBLANK(OFFSET(A$1,,,SUMPRODUCT(MAX(ROW(E$1:E1483)*(E2=E$1:E1483))))))</f>
        <v/>
      </c>
      <c r="K1484" s="24" t="str">
        <f>IF(OR(E1484="",E1484="!!!",F1484="NEW"),"",INDEX(J$1:J1483,SUMPRODUCT(MAX(ROW(E$1:E1483)*(E1484=E$1:E1483)))))</f>
        <v/>
      </c>
      <c r="L1484" s="25"/>
    </row>
    <row r="1485" spans="1:12" x14ac:dyDescent="0.3">
      <c r="A1485" t="s">
        <v>623</v>
      </c>
      <c r="B1485" s="26" t="s">
        <v>265</v>
      </c>
      <c r="C1485" s="26" t="s">
        <v>247</v>
      </c>
      <c r="E1485" s="20" t="str">
        <f t="shared" si="158"/>
        <v/>
      </c>
      <c r="F1485" s="21" t="str">
        <f>IF(OR(E1485="",E1485="!!!"),"",IF(NOT(ISNA(VLOOKUP(E1485,E$1:E1484,1,FALSE()))),"OLD",IF(AND(E1485&lt;&gt;"",E1485&lt;&gt;"!!!"),"NEW","")))</f>
        <v/>
      </c>
      <c r="G1485" s="22" t="str">
        <f>IF(OR(E1485="",E1485="!!!"),"",IF(OR(J1485=0,AND(J1485=1,K1485=1),AND(J1485=1,I1485="SBJ"),AND(J1485=1,I1485=0)),"?IN_FOCUS",IF(J1485&lt;=2,"?ACTIVATED",IF(J1485&lt;&gt;"","?FAMILIAR",IF(F1485="NEW",IF(ISNA(VLOOKUP(E1485,#REF!,1,FALSE())),"?TYPE_IDENTIFIABLE","?REFERENTIAL"),"_")))))</f>
        <v/>
      </c>
      <c r="H1485" s="23" t="str">
        <f t="shared" ca="1" si="159"/>
        <v/>
      </c>
      <c r="I1485" s="24" t="str">
        <f>IF(OR(E1485="",E1485="!!!",F1485="NEW"),"",INDEX(B$2:B1484,-1+SUMPRODUCT(MAX(ROW(E$2:E1484)*(E1485=E$2:E1484)))))</f>
        <v/>
      </c>
      <c r="J1485" s="24" t="str">
        <f ca="1">IF(OR(E1485="",E1485="!!!",F1485="NEW"),"",COUNTBLANK(OFFSET(A$1,,,SUMPRODUCT(MAX(ROW(E$2:E1485)*(E1485=E$2:E1485)))))-COUNTBLANK(OFFSET(A$1,,,SUMPRODUCT(MAX(ROW(E$1:E1484)*(E2=E$1:E1484))))))</f>
        <v/>
      </c>
      <c r="K1485" s="24" t="str">
        <f>IF(OR(E1485="",E1485="!!!",F1485="NEW"),"",INDEX(J$1:J1484,SUMPRODUCT(MAX(ROW(E$1:E1484)*(E1485=E$1:E1484)))))</f>
        <v/>
      </c>
      <c r="L1485" s="25"/>
    </row>
    <row r="1486" spans="1:12" x14ac:dyDescent="0.3">
      <c r="A1486" t="s">
        <v>379</v>
      </c>
      <c r="E1486" s="20" t="str">
        <f t="shared" si="158"/>
        <v/>
      </c>
      <c r="F1486" s="21" t="str">
        <f>IF(OR(E1486="",E1486="!!!"),"",IF(NOT(ISNA(VLOOKUP(E1486,E$1:E1485,1,FALSE()))),"OLD",IF(AND(E1486&lt;&gt;"",E1486&lt;&gt;"!!!"),"NEW","")))</f>
        <v/>
      </c>
      <c r="G1486" s="22" t="str">
        <f>IF(OR(E1486="",E1486="!!!"),"",IF(OR(J1486=0,AND(J1486=1,K1486=1),AND(J1486=1,I1486="SBJ"),AND(J1486=1,I1486=0)),"?IN_FOCUS",IF(J1486&lt;=2,"?ACTIVATED",IF(J1486&lt;&gt;"","?FAMILIAR",IF(F1486="NEW",IF(ISNA(VLOOKUP(E1486,#REF!,1,FALSE())),"?TYPE_IDENTIFIABLE","?REFERENTIAL"),"_")))))</f>
        <v/>
      </c>
      <c r="H1486" s="23" t="str">
        <f t="shared" ca="1" si="159"/>
        <v/>
      </c>
      <c r="I1486" s="24" t="str">
        <f>IF(OR(E1486="",E1486="!!!",F1486="NEW"),"",INDEX(B$2:B1485,-1+SUMPRODUCT(MAX(ROW(E$2:E1485)*(E1486=E$2:E1485)))))</f>
        <v/>
      </c>
      <c r="J1486" s="24" t="str">
        <f ca="1">IF(OR(E1486="",E1486="!!!",F1486="NEW"),"",COUNTBLANK(OFFSET(A$1,,,SUMPRODUCT(MAX(ROW(E$2:E1486)*(E1486=E$2:E1486)))))-COUNTBLANK(OFFSET(A$1,,,SUMPRODUCT(MAX(ROW(E$1:E1485)*(E2=E$1:E1485))))))</f>
        <v/>
      </c>
      <c r="K1486" s="24" t="str">
        <f>IF(OR(E1486="",E1486="!!!",F1486="NEW"),"",INDEX(J$1:J1485,SUMPRODUCT(MAX(ROW(E$1:E1485)*(E1486=E$1:E1485)))))</f>
        <v/>
      </c>
      <c r="L1486" s="25"/>
    </row>
    <row r="1487" spans="1:12" x14ac:dyDescent="0.3">
      <c r="A1487" t="s">
        <v>252</v>
      </c>
      <c r="E1487" s="20" t="str">
        <f t="shared" si="158"/>
        <v/>
      </c>
      <c r="F1487" s="21" t="str">
        <f>IF(OR(E1487="",E1487="!!!"),"",IF(NOT(ISNA(VLOOKUP(E1487,E$1:E1486,1,FALSE()))),"OLD",IF(AND(E1487&lt;&gt;"",E1487&lt;&gt;"!!!"),"NEW","")))</f>
        <v/>
      </c>
      <c r="G1487" s="22" t="str">
        <f>IF(OR(E1487="",E1487="!!!"),"",IF(OR(J1487=0,AND(J1487=1,K1487=1),AND(J1487=1,I1487="SBJ"),AND(J1487=1,I1487=0)),"?IN_FOCUS",IF(J1487&lt;=2,"?ACTIVATED",IF(J1487&lt;&gt;"","?FAMILIAR",IF(F1487="NEW",IF(ISNA(VLOOKUP(E1487,#REF!,1,FALSE())),"?TYPE_IDENTIFIABLE","?REFERENTIAL"),"_")))))</f>
        <v/>
      </c>
      <c r="H1487" s="23" t="str">
        <f t="shared" ca="1" si="159"/>
        <v/>
      </c>
      <c r="I1487" s="24" t="str">
        <f>IF(OR(E1487="",E1487="!!!",F1487="NEW"),"",INDEX(B$2:B1486,-1+SUMPRODUCT(MAX(ROW(E$2:E1486)*(E1487=E$2:E1486)))))</f>
        <v/>
      </c>
      <c r="J1487" s="24" t="str">
        <f ca="1">IF(OR(E1487="",E1487="!!!",F1487="NEW"),"",COUNTBLANK(OFFSET(A$1,,,SUMPRODUCT(MAX(ROW(E$2:E1487)*(E1487=E$2:E1487)))))-COUNTBLANK(OFFSET(A$1,,,SUMPRODUCT(MAX(ROW(E$1:E1486)*(E2=E$1:E1486))))))</f>
        <v/>
      </c>
      <c r="K1487" s="24" t="str">
        <f>IF(OR(E1487="",E1487="!!!",F1487="NEW"),"",INDEX(J$1:J1486,SUMPRODUCT(MAX(ROW(E$1:E1486)*(E1487=E$1:E1486)))))</f>
        <v/>
      </c>
      <c r="L1487" s="25"/>
    </row>
    <row r="1488" spans="1:12" x14ac:dyDescent="0.3">
      <c r="A1488" t="s">
        <v>811</v>
      </c>
      <c r="B1488" s="26" t="s">
        <v>255</v>
      </c>
      <c r="C1488" s="26" t="s">
        <v>247</v>
      </c>
      <c r="E1488" s="20" t="str">
        <f t="shared" si="158"/>
        <v/>
      </c>
      <c r="F1488" s="21" t="str">
        <f>IF(OR(E1488="",E1488="!!!"),"",IF(NOT(ISNA(VLOOKUP(E1488,E$1:E1487,1,FALSE()))),"OLD",IF(AND(E1488&lt;&gt;"",E1488&lt;&gt;"!!!"),"NEW","")))</f>
        <v/>
      </c>
      <c r="G1488" s="22" t="str">
        <f>IF(OR(E1488="",E1488="!!!"),"",IF(OR(J1488=0,AND(J1488=1,K1488=1),AND(J1488=1,I1488="SBJ"),AND(J1488=1,I1488=0)),"?IN_FOCUS",IF(J1488&lt;=2,"?ACTIVATED",IF(J1488&lt;&gt;"","?FAMILIAR",IF(F1488="NEW",IF(ISNA(VLOOKUP(E1488,#REF!,1,FALSE())),"?TYPE_IDENTIFIABLE","?REFERENTIAL"),"_")))))</f>
        <v/>
      </c>
      <c r="H1488" s="23" t="str">
        <f t="shared" ca="1" si="159"/>
        <v/>
      </c>
      <c r="I1488" s="24" t="str">
        <f>IF(OR(E1488="",E1488="!!!",F1488="NEW"),"",INDEX(B$2:B1487,-1+SUMPRODUCT(MAX(ROW(E$2:E1487)*(E1488=E$2:E1487)))))</f>
        <v/>
      </c>
      <c r="J1488" s="24" t="str">
        <f ca="1">IF(OR(E1488="",E1488="!!!",F1488="NEW"),"",COUNTBLANK(OFFSET(A$1,,,SUMPRODUCT(MAX(ROW(E$2:E1488)*(E1488=E$2:E1488)))))-COUNTBLANK(OFFSET(A$1,,,SUMPRODUCT(MAX(ROW(E$1:E1487)*(E2=E$1:E1487))))))</f>
        <v/>
      </c>
      <c r="K1488" s="24" t="str">
        <f>IF(OR(E1488="",E1488="!!!",F1488="NEW"),"",INDEX(J$1:J1487,SUMPRODUCT(MAX(ROW(E$1:E1487)*(E1488=E$1:E1487)))))</f>
        <v/>
      </c>
      <c r="L1488" s="25"/>
    </row>
    <row r="1489" spans="1:12" x14ac:dyDescent="0.3">
      <c r="A1489" t="s">
        <v>252</v>
      </c>
      <c r="E1489" s="20" t="str">
        <f t="shared" si="158"/>
        <v/>
      </c>
      <c r="F1489" s="21" t="str">
        <f>IF(OR(E1489="",E1489="!!!"),"",IF(NOT(ISNA(VLOOKUP(E1489,E$1:E1488,1,FALSE()))),"OLD",IF(AND(E1489&lt;&gt;"",E1489&lt;&gt;"!!!"),"NEW","")))</f>
        <v/>
      </c>
      <c r="G1489" s="22" t="str">
        <f>IF(OR(E1489="",E1489="!!!"),"",IF(OR(J1489=0,AND(J1489=1,K1489=1),AND(J1489=1,I1489="SBJ"),AND(J1489=1,I1489=0)),"?IN_FOCUS",IF(J1489&lt;=2,"?ACTIVATED",IF(J1489&lt;&gt;"","?FAMILIAR",IF(F1489="NEW",IF(ISNA(VLOOKUP(E1489,#REF!,1,FALSE())),"?TYPE_IDENTIFIABLE","?REFERENTIAL"),"_")))))</f>
        <v/>
      </c>
      <c r="H1489" s="23" t="str">
        <f t="shared" ca="1" si="159"/>
        <v/>
      </c>
      <c r="I1489" s="24" t="str">
        <f>IF(OR(E1489="",E1489="!!!",F1489="NEW"),"",INDEX(B$2:B1488,-1+SUMPRODUCT(MAX(ROW(E$2:E1488)*(E1489=E$2:E1488)))))</f>
        <v/>
      </c>
      <c r="J1489" s="24" t="str">
        <f ca="1">IF(OR(E1489="",E1489="!!!",F1489="NEW"),"",COUNTBLANK(OFFSET(A$1,,,SUMPRODUCT(MAX(ROW(E$2:E1489)*(E1489=E$2:E1489)))))-COUNTBLANK(OFFSET(A$1,,,SUMPRODUCT(MAX(ROW(E$1:E1488)*(E2=E$1:E1488))))))</f>
        <v/>
      </c>
      <c r="K1489" s="24" t="str">
        <f>IF(OR(E1489="",E1489="!!!",F1489="NEW"),"",INDEX(J$1:J1488,SUMPRODUCT(MAX(ROW(E$1:E1488)*(E1489=E$1:E1488)))))</f>
        <v/>
      </c>
      <c r="L1489" s="25"/>
    </row>
    <row r="1490" spans="1:12" x14ac:dyDescent="0.3">
      <c r="A1490" t="s">
        <v>812</v>
      </c>
      <c r="B1490" s="26" t="s">
        <v>272</v>
      </c>
      <c r="C1490" s="26" t="s">
        <v>247</v>
      </c>
      <c r="E1490" s="20" t="str">
        <f t="shared" si="158"/>
        <v/>
      </c>
      <c r="F1490" s="21" t="str">
        <f>IF(OR(E1490="",E1490="!!!"),"",IF(NOT(ISNA(VLOOKUP(E1490,E$1:E1489,1,FALSE()))),"OLD",IF(AND(E1490&lt;&gt;"",E1490&lt;&gt;"!!!"),"NEW","")))</f>
        <v/>
      </c>
      <c r="G1490" s="22" t="str">
        <f>IF(OR(E1490="",E1490="!!!"),"",IF(OR(J1490=0,AND(J1490=1,K1490=1),AND(J1490=1,I1490="SBJ"),AND(J1490=1,I1490=0)),"?IN_FOCUS",IF(J1490&lt;=2,"?ACTIVATED",IF(J1490&lt;&gt;"","?FAMILIAR",IF(F1490="NEW",IF(ISNA(VLOOKUP(E1490,#REF!,1,FALSE())),"?TYPE_IDENTIFIABLE","?REFERENTIAL"),"_")))))</f>
        <v/>
      </c>
      <c r="H1490" s="23" t="str">
        <f t="shared" ca="1" si="159"/>
        <v/>
      </c>
      <c r="I1490" s="24" t="str">
        <f>IF(OR(E1490="",E1490="!!!",F1490="NEW"),"",INDEX(B$2:B1489,-1+SUMPRODUCT(MAX(ROW(E$2:E1489)*(E1490=E$2:E1489)))))</f>
        <v/>
      </c>
      <c r="J1490" s="24" t="str">
        <f ca="1">IF(OR(E1490="",E1490="!!!",F1490="NEW"),"",COUNTBLANK(OFFSET(A$1,,,SUMPRODUCT(MAX(ROW(E$2:E1490)*(E1490=E$2:E1490)))))-COUNTBLANK(OFFSET(A$1,,,SUMPRODUCT(MAX(ROW(E$1:E1489)*(E2=E$1:E1489))))))</f>
        <v/>
      </c>
      <c r="K1490" s="24" t="str">
        <f>IF(OR(E1490="",E1490="!!!",F1490="NEW"),"",INDEX(J$1:J1489,SUMPRODUCT(MAX(ROW(E$1:E1489)*(E1490=E$1:E1489)))))</f>
        <v/>
      </c>
      <c r="L1490" s="25"/>
    </row>
    <row r="1491" spans="1:12" x14ac:dyDescent="0.3">
      <c r="A1491" t="s">
        <v>252</v>
      </c>
      <c r="E1491" s="20" t="str">
        <f t="shared" si="158"/>
        <v/>
      </c>
      <c r="F1491" s="21" t="str">
        <f>IF(OR(E1491="",E1491="!!!"),"",IF(NOT(ISNA(VLOOKUP(E1491,E$1:E1490,1,FALSE()))),"OLD",IF(AND(E1491&lt;&gt;"",E1491&lt;&gt;"!!!"),"NEW","")))</f>
        <v/>
      </c>
      <c r="G1491" s="22" t="str">
        <f>IF(OR(E1491="",E1491="!!!"),"",IF(OR(J1491=0,AND(J1491=1,K1491=1),AND(J1491=1,I1491="SBJ"),AND(J1491=1,I1491=0)),"?IN_FOCUS",IF(J1491&lt;=2,"?ACTIVATED",IF(J1491&lt;&gt;"","?FAMILIAR",IF(F1491="NEW",IF(ISNA(VLOOKUP(E1491,#REF!,1,FALSE())),"?TYPE_IDENTIFIABLE","?REFERENTIAL"),"_")))))</f>
        <v/>
      </c>
      <c r="H1491" s="23" t="str">
        <f t="shared" ca="1" si="159"/>
        <v/>
      </c>
      <c r="I1491" s="24" t="str">
        <f>IF(OR(E1491="",E1491="!!!",F1491="NEW"),"",INDEX(B$2:B1490,-1+SUMPRODUCT(MAX(ROW(E$2:E1490)*(E1491=E$2:E1490)))))</f>
        <v/>
      </c>
      <c r="J1491" s="24" t="str">
        <f ca="1">IF(OR(E1491="",E1491="!!!",F1491="NEW"),"",COUNTBLANK(OFFSET(A$1,,,SUMPRODUCT(MAX(ROW(E$2:E1491)*(E1491=E$2:E1491)))))-COUNTBLANK(OFFSET(A$1,,,SUMPRODUCT(MAX(ROW(E$1:E1490)*(E2=E$1:E1490))))))</f>
        <v/>
      </c>
      <c r="K1491" s="24" t="str">
        <f>IF(OR(E1491="",E1491="!!!",F1491="NEW"),"",INDEX(J$1:J1490,SUMPRODUCT(MAX(ROW(E$1:E1490)*(E1491=E$1:E1490)))))</f>
        <v/>
      </c>
      <c r="L1491" s="25"/>
    </row>
    <row r="1492" spans="1:12" x14ac:dyDescent="0.3">
      <c r="A1492" t="s">
        <v>813</v>
      </c>
      <c r="B1492" s="26" t="s">
        <v>272</v>
      </c>
      <c r="C1492" s="26" t="s">
        <v>247</v>
      </c>
      <c r="E1492" s="20" t="str">
        <f t="shared" si="158"/>
        <v/>
      </c>
      <c r="F1492" s="21" t="str">
        <f>IF(OR(E1492="",E1492="!!!"),"",IF(NOT(ISNA(VLOOKUP(E1492,E$1:E1491,1,FALSE()))),"OLD",IF(AND(E1492&lt;&gt;"",E1492&lt;&gt;"!!!"),"NEW","")))</f>
        <v/>
      </c>
      <c r="G1492" s="22" t="str">
        <f>IF(OR(E1492="",E1492="!!!"),"",IF(OR(J1492=0,AND(J1492=1,K1492=1),AND(J1492=1,I1492="SBJ"),AND(J1492=1,I1492=0)),"?IN_FOCUS",IF(J1492&lt;=2,"?ACTIVATED",IF(J1492&lt;&gt;"","?FAMILIAR",IF(F1492="NEW",IF(ISNA(VLOOKUP(E1492,#REF!,1,FALSE())),"?TYPE_IDENTIFIABLE","?REFERENTIAL"),"_")))))</f>
        <v/>
      </c>
      <c r="H1492" s="23" t="str">
        <f t="shared" ca="1" si="159"/>
        <v/>
      </c>
      <c r="I1492" s="24" t="str">
        <f>IF(OR(E1492="",E1492="!!!",F1492="NEW"),"",INDEX(B$2:B1491,-1+SUMPRODUCT(MAX(ROW(E$2:E1491)*(E1492=E$2:E1491)))))</f>
        <v/>
      </c>
      <c r="J1492" s="24" t="str">
        <f ca="1">IF(OR(E1492="",E1492="!!!",F1492="NEW"),"",COUNTBLANK(OFFSET(A$1,,,SUMPRODUCT(MAX(ROW(E$2:E1492)*(E1492=E$2:E1492)))))-COUNTBLANK(OFFSET(A$1,,,SUMPRODUCT(MAX(ROW(E$1:E1491)*(E2=E$1:E1491))))))</f>
        <v/>
      </c>
      <c r="K1492" s="24" t="str">
        <f>IF(OR(E1492="",E1492="!!!",F1492="NEW"),"",INDEX(J$1:J1491,SUMPRODUCT(MAX(ROW(E$1:E1491)*(E1492=E$1:E1491)))))</f>
        <v/>
      </c>
      <c r="L1492" s="25"/>
    </row>
    <row r="1493" spans="1:12" x14ac:dyDescent="0.3">
      <c r="A1493" t="s">
        <v>252</v>
      </c>
      <c r="E1493" s="20" t="str">
        <f t="shared" si="158"/>
        <v/>
      </c>
      <c r="F1493" s="21" t="str">
        <f>IF(OR(E1493="",E1493="!!!"),"",IF(NOT(ISNA(VLOOKUP(E1493,E$1:E1492,1,FALSE()))),"OLD",IF(AND(E1493&lt;&gt;"",E1493&lt;&gt;"!!!"),"NEW","")))</f>
        <v/>
      </c>
      <c r="G1493" s="22" t="str">
        <f>IF(OR(E1493="",E1493="!!!"),"",IF(OR(J1493=0,AND(J1493=1,K1493=1),AND(J1493=1,I1493="SBJ"),AND(J1493=1,I1493=0)),"?IN_FOCUS",IF(J1493&lt;=2,"?ACTIVATED",IF(J1493&lt;&gt;"","?FAMILIAR",IF(F1493="NEW",IF(ISNA(VLOOKUP(E1493,#REF!,1,FALSE())),"?TYPE_IDENTIFIABLE","?REFERENTIAL"),"_")))))</f>
        <v/>
      </c>
      <c r="H1493" s="23" t="str">
        <f t="shared" ca="1" si="159"/>
        <v/>
      </c>
      <c r="I1493" s="24" t="str">
        <f>IF(OR(E1493="",E1493="!!!",F1493="NEW"),"",INDEX(B$2:B1492,-1+SUMPRODUCT(MAX(ROW(E$2:E1492)*(E1493=E$2:E1492)))))</f>
        <v/>
      </c>
      <c r="J1493" s="24" t="str">
        <f ca="1">IF(OR(E1493="",E1493="!!!",F1493="NEW"),"",COUNTBLANK(OFFSET(A$1,,,SUMPRODUCT(MAX(ROW(E$2:E1493)*(E1493=E$2:E1493)))))-COUNTBLANK(OFFSET(A$1,,,SUMPRODUCT(MAX(ROW(E$1:E1492)*(E2=E$1:E1492))))))</f>
        <v/>
      </c>
      <c r="K1493" s="24" t="str">
        <f>IF(OR(E1493="",E1493="!!!",F1493="NEW"),"",INDEX(J$1:J1492,SUMPRODUCT(MAX(ROW(E$1:E1492)*(E1493=E$1:E1492)))))</f>
        <v/>
      </c>
      <c r="L1493" s="25"/>
    </row>
    <row r="1494" spans="1:12" x14ac:dyDescent="0.3">
      <c r="A1494" t="s">
        <v>303</v>
      </c>
      <c r="B1494" s="26" t="s">
        <v>814</v>
      </c>
      <c r="E1494" s="20" t="str">
        <f t="shared" si="158"/>
        <v/>
      </c>
      <c r="F1494" s="21" t="str">
        <f>IF(OR(E1494="",E1494="!!!"),"",IF(NOT(ISNA(VLOOKUP(E1494,E$1:E1493,1,FALSE()))),"OLD",IF(AND(E1494&lt;&gt;"",E1494&lt;&gt;"!!!"),"NEW","")))</f>
        <v/>
      </c>
      <c r="G1494" s="22" t="str">
        <f>IF(OR(E1494="",E1494="!!!"),"",IF(OR(J1494=0,AND(J1494=1,K1494=1),AND(J1494=1,I1494="SBJ"),AND(J1494=1,I1494=0)),"?IN_FOCUS",IF(J1494&lt;=2,"?ACTIVATED",IF(J1494&lt;&gt;"","?FAMILIAR",IF(F1494="NEW",IF(ISNA(VLOOKUP(E1494,#REF!,1,FALSE())),"?TYPE_IDENTIFIABLE","?REFERENTIAL"),"_")))))</f>
        <v/>
      </c>
      <c r="H1494" s="23" t="str">
        <f t="shared" ca="1" si="159"/>
        <v/>
      </c>
      <c r="I1494" s="24" t="str">
        <f>IF(OR(E1494="",E1494="!!!",F1494="NEW"),"",INDEX(B$2:B1493,-1+SUMPRODUCT(MAX(ROW(E$2:E1493)*(E1494=E$2:E1493)))))</f>
        <v/>
      </c>
      <c r="J1494" s="24" t="str">
        <f ca="1">IF(OR(E1494="",E1494="!!!",F1494="NEW"),"",COUNTBLANK(OFFSET(A$1,,,SUMPRODUCT(MAX(ROW(E$2:E1494)*(E1494=E$2:E1494)))))-COUNTBLANK(OFFSET(A$1,,,SUMPRODUCT(MAX(ROW(E$1:E1493)*(E2=E$1:E1493))))))</f>
        <v/>
      </c>
      <c r="K1494" s="24" t="str">
        <f>IF(OR(E1494="",E1494="!!!",F1494="NEW"),"",INDEX(J$1:J1493,SUMPRODUCT(MAX(ROW(E$1:E1493)*(E1494=E$1:E1493)))))</f>
        <v/>
      </c>
      <c r="L1494" s="25"/>
    </row>
    <row r="1495" spans="1:12" x14ac:dyDescent="0.3">
      <c r="A1495" t="s">
        <v>452</v>
      </c>
      <c r="B1495" s="26" t="s">
        <v>528</v>
      </c>
      <c r="C1495" s="26" t="s">
        <v>256</v>
      </c>
      <c r="D1495" s="26" t="s">
        <v>240</v>
      </c>
      <c r="E1495" s="20" t="str">
        <f t="shared" si="158"/>
        <v>!!!</v>
      </c>
      <c r="F1495" s="21" t="str">
        <f>IF(OR(E1495="",E1495="!!!"),"",IF(NOT(ISNA(VLOOKUP(E1495,E$1:E1494,1,FALSE()))),"OLD",IF(AND(E1495&lt;&gt;"",E1495&lt;&gt;"!!!"),"NEW","")))</f>
        <v/>
      </c>
      <c r="G1495" s="22" t="str">
        <f>IF(OR(E1495="",E1495="!!!"),"",IF(OR(J1495=0,AND(J1495=1,K1495=1),AND(J1495=1,I1495="SBJ"),AND(J1495=1,I1495=0)),"?IN_FOCUS",IF(J1495&lt;=2,"?ACTIVATED",IF(J1495&lt;&gt;"","?FAMILIAR",IF(F1495="NEW",IF(ISNA(VLOOKUP(E1495,#REF!,1,FALSE())),"?TYPE_IDENTIFIABLE","?REFERENTIAL"),"_")))))</f>
        <v/>
      </c>
      <c r="H1495" s="23" t="str">
        <f t="shared" ca="1" si="159"/>
        <v/>
      </c>
      <c r="I1495" s="24" t="str">
        <f>IF(OR(E1495="",E1495="!!!",F1495="NEW"),"",INDEX(B$2:B1494,-1+SUMPRODUCT(MAX(ROW(E$2:E1494)*(E1495=E$2:E1494)))))</f>
        <v/>
      </c>
      <c r="J1495" s="24" t="str">
        <f ca="1">IF(OR(E1495="",E1495="!!!",F1495="NEW"),"",COUNTBLANK(OFFSET(A$1,,,SUMPRODUCT(MAX(ROW(E$2:E1495)*(E1495=E$2:E1495)))))-COUNTBLANK(OFFSET(A$1,,,SUMPRODUCT(MAX(ROW(E$1:E1494)*(E2=E$1:E1494))))))</f>
        <v/>
      </c>
      <c r="K1495" s="24" t="str">
        <f>IF(OR(E1495="",E1495="!!!",F1495="NEW"),"",INDEX(J$1:J1494,SUMPRODUCT(MAX(ROW(E$1:E1494)*(E1495=E$1:E1494)))))</f>
        <v/>
      </c>
      <c r="L1495" s="25"/>
    </row>
    <row r="1496" spans="1:12" x14ac:dyDescent="0.3">
      <c r="A1496" t="s">
        <v>815</v>
      </c>
      <c r="E1496" s="20" t="str">
        <f t="shared" si="158"/>
        <v/>
      </c>
      <c r="F1496" s="21" t="str">
        <f>IF(OR(E1496="",E1496="!!!"),"",IF(NOT(ISNA(VLOOKUP(E1496,E$1:E1495,1,FALSE()))),"OLD",IF(AND(E1496&lt;&gt;"",E1496&lt;&gt;"!!!"),"NEW","")))</f>
        <v/>
      </c>
      <c r="G1496" s="22" t="str">
        <f>IF(OR(E1496="",E1496="!!!"),"",IF(OR(J1496=0,AND(J1496=1,K1496=1),AND(J1496=1,I1496="SBJ"),AND(J1496=1,I1496=0)),"?IN_FOCUS",IF(J1496&lt;=2,"?ACTIVATED",IF(J1496&lt;&gt;"","?FAMILIAR",IF(F1496="NEW",IF(ISNA(VLOOKUP(E1496,#REF!,1,FALSE())),"?TYPE_IDENTIFIABLE","?REFERENTIAL"),"_")))))</f>
        <v/>
      </c>
      <c r="H1496" s="23" t="str">
        <f t="shared" ca="1" si="159"/>
        <v/>
      </c>
      <c r="I1496" s="24" t="str">
        <f>IF(OR(E1496="",E1496="!!!",F1496="NEW"),"",INDEX(B$2:B1495,-1+SUMPRODUCT(MAX(ROW(E$2:E1495)*(E1496=E$2:E1495)))))</f>
        <v/>
      </c>
      <c r="J1496" s="24" t="str">
        <f ca="1">IF(OR(E1496="",E1496="!!!",F1496="NEW"),"",COUNTBLANK(OFFSET(A$1,,,SUMPRODUCT(MAX(ROW(E$2:E1496)*(E1496=E$2:E1496)))))-COUNTBLANK(OFFSET(A$1,,,SUMPRODUCT(MAX(ROW(E$1:E1495)*(E2=E$1:E1495))))))</f>
        <v/>
      </c>
      <c r="K1496" s="24" t="str">
        <f>IF(OR(E1496="",E1496="!!!",F1496="NEW"),"",INDEX(J$1:J1495,SUMPRODUCT(MAX(ROW(E$1:E1495)*(E1496=E$1:E1495)))))</f>
        <v/>
      </c>
      <c r="L1496" s="25"/>
    </row>
    <row r="1497" spans="1:12" x14ac:dyDescent="0.3">
      <c r="A1497" t="s">
        <v>252</v>
      </c>
      <c r="E1497" s="20" t="str">
        <f t="shared" si="158"/>
        <v/>
      </c>
      <c r="F1497" s="21" t="str">
        <f>IF(OR(E1497="",E1497="!!!"),"",IF(NOT(ISNA(VLOOKUP(E1497,E$1:E1496,1,FALSE()))),"OLD",IF(AND(E1497&lt;&gt;"",E1497&lt;&gt;"!!!"),"NEW","")))</f>
        <v/>
      </c>
      <c r="G1497" s="22" t="str">
        <f>IF(OR(E1497="",E1497="!!!"),"",IF(OR(J1497=0,AND(J1497=1,K1497=1),AND(J1497=1,I1497="SBJ"),AND(J1497=1,I1497=0)),"?IN_FOCUS",IF(J1497&lt;=2,"?ACTIVATED",IF(J1497&lt;&gt;"","?FAMILIAR",IF(F1497="NEW",IF(ISNA(VLOOKUP(E1497,#REF!,1,FALSE())),"?TYPE_IDENTIFIABLE","?REFERENTIAL"),"_")))))</f>
        <v/>
      </c>
      <c r="H1497" s="23" t="str">
        <f t="shared" ca="1" si="159"/>
        <v/>
      </c>
      <c r="I1497" s="24" t="str">
        <f>IF(OR(E1497="",E1497="!!!",F1497="NEW"),"",INDEX(B$2:B1496,-1+SUMPRODUCT(MAX(ROW(E$2:E1496)*(E1497=E$2:E1496)))))</f>
        <v/>
      </c>
      <c r="J1497" s="24" t="str">
        <f ca="1">IF(OR(E1497="",E1497="!!!",F1497="NEW"),"",COUNTBLANK(OFFSET(A$1,,,SUMPRODUCT(MAX(ROW(E$2:E1497)*(E1497=E$2:E1497)))))-COUNTBLANK(OFFSET(A$1,,,SUMPRODUCT(MAX(ROW(E$1:E1496)*(E2=E$1:E1496))))))</f>
        <v/>
      </c>
      <c r="K1497" s="24" t="str">
        <f>IF(OR(E1497="",E1497="!!!",F1497="NEW"),"",INDEX(J$1:J1496,SUMPRODUCT(MAX(ROW(E$1:E1496)*(E1497=E$1:E1496)))))</f>
        <v/>
      </c>
      <c r="L1497" s="25"/>
    </row>
    <row r="1498" spans="1:12" x14ac:dyDescent="0.3">
      <c r="A1498" t="s">
        <v>281</v>
      </c>
      <c r="E1498" s="20" t="str">
        <f t="shared" si="158"/>
        <v/>
      </c>
      <c r="F1498" s="21" t="str">
        <f>IF(OR(E1498="",E1498="!!!"),"",IF(NOT(ISNA(VLOOKUP(E1498,E$1:E1497,1,FALSE()))),"OLD",IF(AND(E1498&lt;&gt;"",E1498&lt;&gt;"!!!"),"NEW","")))</f>
        <v/>
      </c>
      <c r="G1498" s="22" t="str">
        <f>IF(OR(E1498="",E1498="!!!"),"",IF(OR(J1498=0,AND(J1498=1,K1498=1),AND(J1498=1,I1498="SBJ"),AND(J1498=1,I1498=0)),"?IN_FOCUS",IF(J1498&lt;=2,"?ACTIVATED",IF(J1498&lt;&gt;"","?FAMILIAR",IF(F1498="NEW",IF(ISNA(VLOOKUP(E1498,#REF!,1,FALSE())),"?TYPE_IDENTIFIABLE","?REFERENTIAL"),"_")))))</f>
        <v/>
      </c>
      <c r="H1498" s="23" t="str">
        <f t="shared" ca="1" si="159"/>
        <v/>
      </c>
      <c r="I1498" s="24" t="str">
        <f>IF(OR(E1498="",E1498="!!!",F1498="NEW"),"",INDEX(B$2:B1497,-1+SUMPRODUCT(MAX(ROW(E$2:E1497)*(E1498=E$2:E1497)))))</f>
        <v/>
      </c>
      <c r="J1498" s="24" t="str">
        <f ca="1">IF(OR(E1498="",E1498="!!!",F1498="NEW"),"",COUNTBLANK(OFFSET(A$1,,,SUMPRODUCT(MAX(ROW(E$2:E1498)*(E1498=E$2:E1498)))))-COUNTBLANK(OFFSET(A$1,,,SUMPRODUCT(MAX(ROW(E$1:E1497)*(E2=E$1:E1497))))))</f>
        <v/>
      </c>
      <c r="K1498" s="24" t="str">
        <f>IF(OR(E1498="",E1498="!!!",F1498="NEW"),"",INDEX(J$1:J1497,SUMPRODUCT(MAX(ROW(E$1:E1497)*(E1498=E$1:E1497)))))</f>
        <v/>
      </c>
      <c r="L1498" s="25"/>
    </row>
    <row r="1499" spans="1:12" x14ac:dyDescent="0.3">
      <c r="A1499" t="s">
        <v>242</v>
      </c>
      <c r="B1499" s="26" t="s">
        <v>469</v>
      </c>
      <c r="C1499" s="26" t="s">
        <v>244</v>
      </c>
      <c r="D1499" s="26" t="s">
        <v>240</v>
      </c>
      <c r="E1499" s="20" t="str">
        <f t="shared" si="158"/>
        <v>!!!</v>
      </c>
      <c r="F1499" s="21" t="str">
        <f>IF(OR(E1499="",E1499="!!!"),"",IF(NOT(ISNA(VLOOKUP(E1499,E$1:E1498,1,FALSE()))),"OLD",IF(AND(E1499&lt;&gt;"",E1499&lt;&gt;"!!!"),"NEW","")))</f>
        <v/>
      </c>
      <c r="G1499" s="22" t="str">
        <f>IF(OR(E1499="",E1499="!!!"),"",IF(OR(J1499=0,AND(J1499=1,K1499=1),AND(J1499=1,I1499="SBJ"),AND(J1499=1,I1499=0)),"?IN_FOCUS",IF(J1499&lt;=2,"?ACTIVATED",IF(J1499&lt;&gt;"","?FAMILIAR",IF(F1499="NEW",IF(ISNA(VLOOKUP(E1499,#REF!,1,FALSE())),"?TYPE_IDENTIFIABLE","?REFERENTIAL"),"_")))))</f>
        <v/>
      </c>
      <c r="H1499" s="23" t="str">
        <f t="shared" ca="1" si="159"/>
        <v/>
      </c>
      <c r="I1499" s="24" t="str">
        <f>IF(OR(E1499="",E1499="!!!",F1499="NEW"),"",INDEX(B$2:B1498,-1+SUMPRODUCT(MAX(ROW(E$2:E1498)*(E1499=E$2:E1498)))))</f>
        <v/>
      </c>
      <c r="J1499" s="24" t="str">
        <f ca="1">IF(OR(E1499="",E1499="!!!",F1499="NEW"),"",COUNTBLANK(OFFSET(A$1,,,SUMPRODUCT(MAX(ROW(E$2:E1499)*(E1499=E$2:E1499)))))-COUNTBLANK(OFFSET(A$1,,,SUMPRODUCT(MAX(ROW(E$1:E1498)*(E2=E$1:E1498))))))</f>
        <v/>
      </c>
      <c r="K1499" s="24" t="str">
        <f>IF(OR(E1499="",E1499="!!!",F1499="NEW"),"",INDEX(J$1:J1498,SUMPRODUCT(MAX(ROW(E$1:E1498)*(E1499=E$1:E1498)))))</f>
        <v/>
      </c>
      <c r="L1499" s="25"/>
    </row>
    <row r="1500" spans="1:12" x14ac:dyDescent="0.3">
      <c r="A1500" t="s">
        <v>283</v>
      </c>
      <c r="E1500" s="20" t="str">
        <f t="shared" si="158"/>
        <v/>
      </c>
      <c r="F1500" s="21" t="str">
        <f>IF(OR(E1500="",E1500="!!!"),"",IF(NOT(ISNA(VLOOKUP(E1500,E$1:E1499,1,FALSE()))),"OLD",IF(AND(E1500&lt;&gt;"",E1500&lt;&gt;"!!!"),"NEW","")))</f>
        <v/>
      </c>
      <c r="G1500" s="22" t="str">
        <f>IF(OR(E1500="",E1500="!!!"),"",IF(OR(J1500=0,AND(J1500=1,K1500=1),AND(J1500=1,I1500="SBJ"),AND(J1500=1,I1500=0)),"?IN_FOCUS",IF(J1500&lt;=2,"?ACTIVATED",IF(J1500&lt;&gt;"","?FAMILIAR",IF(F1500="NEW",IF(ISNA(VLOOKUP(E1500,#REF!,1,FALSE())),"?TYPE_IDENTIFIABLE","?REFERENTIAL"),"_")))))</f>
        <v/>
      </c>
      <c r="H1500" s="23" t="str">
        <f t="shared" ca="1" si="159"/>
        <v/>
      </c>
      <c r="I1500" s="24" t="str">
        <f>IF(OR(E1500="",E1500="!!!",F1500="NEW"),"",INDEX(B$2:B1499,-1+SUMPRODUCT(MAX(ROW(E$2:E1499)*(E1500=E$2:E1499)))))</f>
        <v/>
      </c>
      <c r="J1500" s="24" t="str">
        <f ca="1">IF(OR(E1500="",E1500="!!!",F1500="NEW"),"",COUNTBLANK(OFFSET(A$1,,,SUMPRODUCT(MAX(ROW(E$2:E1500)*(E1500=E$2:E1500)))))-COUNTBLANK(OFFSET(A$1,,,SUMPRODUCT(MAX(ROW(E$1:E1499)*(E2=E$1:E1499))))))</f>
        <v/>
      </c>
      <c r="K1500" s="24" t="str">
        <f>IF(OR(E1500="",E1500="!!!",F1500="NEW"),"",INDEX(J$1:J1499,SUMPRODUCT(MAX(ROW(E$1:E1499)*(E1500=E$1:E1499)))))</f>
        <v/>
      </c>
      <c r="L1500" s="25"/>
    </row>
    <row r="1501" spans="1:12" x14ac:dyDescent="0.3">
      <c r="A1501" t="s">
        <v>284</v>
      </c>
      <c r="B1501" s="26" t="s">
        <v>505</v>
      </c>
      <c r="C1501" s="26" t="s">
        <v>247</v>
      </c>
      <c r="E1501" s="20" t="str">
        <f t="shared" si="158"/>
        <v/>
      </c>
      <c r="F1501" s="21" t="str">
        <f>IF(OR(E1501="",E1501="!!!"),"",IF(NOT(ISNA(VLOOKUP(E1501,E$1:E1500,1,FALSE()))),"OLD",IF(AND(E1501&lt;&gt;"",E1501&lt;&gt;"!!!"),"NEW","")))</f>
        <v/>
      </c>
      <c r="G1501" s="22" t="str">
        <f>IF(OR(E1501="",E1501="!!!"),"",IF(OR(J1501=0,AND(J1501=1,K1501=1),AND(J1501=1,I1501="SBJ"),AND(J1501=1,I1501=0)),"?IN_FOCUS",IF(J1501&lt;=2,"?ACTIVATED",IF(J1501&lt;&gt;"","?FAMILIAR",IF(F1501="NEW",IF(ISNA(VLOOKUP(E1501,#REF!,1,FALSE())),"?TYPE_IDENTIFIABLE","?REFERENTIAL"),"_")))))</f>
        <v/>
      </c>
      <c r="H1501" s="23" t="str">
        <f t="shared" ca="1" si="159"/>
        <v/>
      </c>
      <c r="I1501" s="24" t="str">
        <f>IF(OR(E1501="",E1501="!!!",F1501="NEW"),"",INDEX(B$2:B1500,-1+SUMPRODUCT(MAX(ROW(E$2:E1500)*(E1501=E$2:E1500)))))</f>
        <v/>
      </c>
      <c r="J1501" s="24" t="str">
        <f ca="1">IF(OR(E1501="",E1501="!!!",F1501="NEW"),"",COUNTBLANK(OFFSET(A$1,,,SUMPRODUCT(MAX(ROW(E$2:E1501)*(E1501=E$2:E1501)))))-COUNTBLANK(OFFSET(A$1,,,SUMPRODUCT(MAX(ROW(E$1:E1500)*(E2=E$1:E1500))))))</f>
        <v/>
      </c>
      <c r="K1501" s="24" t="str">
        <f>IF(OR(E1501="",E1501="!!!",F1501="NEW"),"",INDEX(J$1:J1500,SUMPRODUCT(MAX(ROW(E$1:E1500)*(E1501=E$1:E1500)))))</f>
        <v/>
      </c>
      <c r="L1501" s="25"/>
    </row>
    <row r="1502" spans="1:12" x14ac:dyDescent="0.3">
      <c r="A1502" t="s">
        <v>286</v>
      </c>
      <c r="E1502" s="20" t="str">
        <f t="shared" si="158"/>
        <v/>
      </c>
      <c r="F1502" s="21" t="str">
        <f>IF(OR(E1502="",E1502="!!!"),"",IF(NOT(ISNA(VLOOKUP(E1502,E$1:E1501,1,FALSE()))),"OLD",IF(AND(E1502&lt;&gt;"",E1502&lt;&gt;"!!!"),"NEW","")))</f>
        <v/>
      </c>
      <c r="G1502" s="22" t="str">
        <f>IF(OR(E1502="",E1502="!!!"),"",IF(OR(J1502=0,AND(J1502=1,K1502=1),AND(J1502=1,I1502="SBJ"),AND(J1502=1,I1502=0)),"?IN_FOCUS",IF(J1502&lt;=2,"?ACTIVATED",IF(J1502&lt;&gt;"","?FAMILIAR",IF(F1502="NEW",IF(ISNA(VLOOKUP(E1502,#REF!,1,FALSE())),"?TYPE_IDENTIFIABLE","?REFERENTIAL"),"_")))))</f>
        <v/>
      </c>
      <c r="H1502" s="23" t="str">
        <f t="shared" ca="1" si="159"/>
        <v/>
      </c>
      <c r="I1502" s="24" t="str">
        <f>IF(OR(E1502="",E1502="!!!",F1502="NEW"),"",INDEX(B$2:B1501,-1+SUMPRODUCT(MAX(ROW(E$2:E1501)*(E1502=E$2:E1501)))))</f>
        <v/>
      </c>
      <c r="J1502" s="24" t="str">
        <f ca="1">IF(OR(E1502="",E1502="!!!",F1502="NEW"),"",COUNTBLANK(OFFSET(A$1,,,SUMPRODUCT(MAX(ROW(E$2:E1502)*(E1502=E$2:E1502)))))-COUNTBLANK(OFFSET(A$1,,,SUMPRODUCT(MAX(ROW(E$1:E1501)*(E2=E$1:E1501))))))</f>
        <v/>
      </c>
      <c r="K1502" s="24" t="str">
        <f>IF(OR(E1502="",E1502="!!!",F1502="NEW"),"",INDEX(J$1:J1501,SUMPRODUCT(MAX(ROW(E$1:E1501)*(E1502=E$1:E1501)))))</f>
        <v/>
      </c>
      <c r="L1502" s="25"/>
    </row>
    <row r="1503" spans="1:12" x14ac:dyDescent="0.3">
      <c r="A1503" t="s">
        <v>287</v>
      </c>
      <c r="E1503" s="20" t="str">
        <f t="shared" si="158"/>
        <v/>
      </c>
      <c r="F1503" s="21" t="str">
        <f>IF(OR(E1503="",E1503="!!!"),"",IF(NOT(ISNA(VLOOKUP(E1503,E$1:E1502,1,FALSE()))),"OLD",IF(AND(E1503&lt;&gt;"",E1503&lt;&gt;"!!!"),"NEW","")))</f>
        <v/>
      </c>
      <c r="G1503" s="22" t="str">
        <f>IF(OR(E1503="",E1503="!!!"),"",IF(OR(J1503=0,AND(J1503=1,K1503=1),AND(J1503=1,I1503="SBJ"),AND(J1503=1,I1503=0)),"?IN_FOCUS",IF(J1503&lt;=2,"?ACTIVATED",IF(J1503&lt;&gt;"","?FAMILIAR",IF(F1503="NEW",IF(ISNA(VLOOKUP(E1503,#REF!,1,FALSE())),"?TYPE_IDENTIFIABLE","?REFERENTIAL"),"_")))))</f>
        <v/>
      </c>
      <c r="H1503" s="23" t="str">
        <f t="shared" ca="1" si="159"/>
        <v/>
      </c>
      <c r="I1503" s="24" t="str">
        <f>IF(OR(E1503="",E1503="!!!",F1503="NEW"),"",INDEX(B$2:B1502,-1+SUMPRODUCT(MAX(ROW(E$2:E1502)*(E1503=E$2:E1502)))))</f>
        <v/>
      </c>
      <c r="J1503" s="24" t="str">
        <f ca="1">IF(OR(E1503="",E1503="!!!",F1503="NEW"),"",COUNTBLANK(OFFSET(A$1,,,SUMPRODUCT(MAX(ROW(E$2:E1503)*(E1503=E$2:E1503)))))-COUNTBLANK(OFFSET(A$1,,,SUMPRODUCT(MAX(ROW(E$1:E1502)*(E2=E$1:E1502))))))</f>
        <v/>
      </c>
      <c r="K1503" s="24" t="str">
        <f>IF(OR(E1503="",E1503="!!!",F1503="NEW"),"",INDEX(J$1:J1502,SUMPRODUCT(MAX(ROW(E$1:E1502)*(E1503=E$1:E1502)))))</f>
        <v/>
      </c>
      <c r="L1503" s="25"/>
    </row>
    <row r="1504" spans="1:12" x14ac:dyDescent="0.3">
      <c r="A1504" t="s">
        <v>248</v>
      </c>
      <c r="E1504" s="20" t="str">
        <f t="shared" si="158"/>
        <v/>
      </c>
      <c r="F1504" s="21" t="str">
        <f>IF(OR(E1504="",E1504="!!!"),"",IF(NOT(ISNA(VLOOKUP(E1504,E$1:E1503,1,FALSE()))),"OLD",IF(AND(E1504&lt;&gt;"",E1504&lt;&gt;"!!!"),"NEW","")))</f>
        <v/>
      </c>
      <c r="G1504" s="22" t="str">
        <f>IF(OR(E1504="",E1504="!!!"),"",IF(OR(J1504=0,AND(J1504=1,K1504=1),AND(J1504=1,I1504="SBJ"),AND(J1504=1,I1504=0)),"?IN_FOCUS",IF(J1504&lt;=2,"?ACTIVATED",IF(J1504&lt;&gt;"","?FAMILIAR",IF(F1504="NEW",IF(ISNA(VLOOKUP(E1504,#REF!,1,FALSE())),"?TYPE_IDENTIFIABLE","?REFERENTIAL"),"_")))))</f>
        <v/>
      </c>
      <c r="H1504" s="23" t="str">
        <f t="shared" ca="1" si="159"/>
        <v/>
      </c>
      <c r="I1504" s="24" t="str">
        <f>IF(OR(E1504="",E1504="!!!",F1504="NEW"),"",INDEX(B$2:B1503,-1+SUMPRODUCT(MAX(ROW(E$2:E1503)*(E1504=E$2:E1503)))))</f>
        <v/>
      </c>
      <c r="J1504" s="24" t="str">
        <f ca="1">IF(OR(E1504="",E1504="!!!",F1504="NEW"),"",COUNTBLANK(OFFSET(A$1,,,SUMPRODUCT(MAX(ROW(E$2:E1504)*(E1504=E$2:E1504)))))-COUNTBLANK(OFFSET(A$1,,,SUMPRODUCT(MAX(ROW(E$1:E1503)*(E2=E$1:E1503))))))</f>
        <v/>
      </c>
      <c r="K1504" s="24" t="str">
        <f>IF(OR(E1504="",E1504="!!!",F1504="NEW"),"",INDEX(J$1:J1503,SUMPRODUCT(MAX(ROW(E$1:E1503)*(E1504=E$1:E1503)))))</f>
        <v/>
      </c>
      <c r="L1504" s="25"/>
    </row>
    <row r="1506" spans="1:12" x14ac:dyDescent="0.3">
      <c r="A1506" t="s">
        <v>816</v>
      </c>
    </row>
    <row r="1507" spans="1:12" x14ac:dyDescent="0.3">
      <c r="A1507" t="s">
        <v>817</v>
      </c>
      <c r="E1507" s="20" t="str">
        <f t="shared" ref="E1507:E1514" si="160">IF(D1507="?OLD","!!!","")</f>
        <v/>
      </c>
      <c r="F1507" s="21" t="str">
        <f>IF(OR(E1507="",E1507="!!!"),"",IF(NOT(ISNA(VLOOKUP(E1507,E$1:E1506,1,FALSE()))),"OLD",IF(AND(E1507&lt;&gt;"",E1507&lt;&gt;"!!!"),"NEW","")))</f>
        <v/>
      </c>
      <c r="G1507" s="22" t="str">
        <f>IF(OR(E1507="",E1507="!!!"),"",IF(OR(J1507=0,AND(J1507=1,K1507=1),AND(J1507=1,I1507="SBJ"),AND(J1507=1,I1507=0)),"?IN_FOCUS",IF(J1507&lt;=2,"?ACTIVATED",IF(J1507&lt;&gt;"","?FAMILIAR",IF(F1507="NEW",IF(ISNA(VLOOKUP(E1507,#REF!,1,FALSE())),"?TYPE_IDENTIFIABLE","?REFERENTIAL"),"_")))))</f>
        <v/>
      </c>
      <c r="H1507" s="23" t="str">
        <f t="shared" ref="H1507:H1514" ca="1" si="161">IF(J1507&lt;&gt;1,"",IF(I1507="SBJ","CB","?"))</f>
        <v/>
      </c>
      <c r="I1507" s="24" t="str">
        <f>IF(OR(E1507="",E1507="!!!",F1507="NEW"),"",INDEX(B$2:B1506,-1+SUMPRODUCT(MAX(ROW(E$2:E1506)*(E1507=E$2:E1506)))))</f>
        <v/>
      </c>
      <c r="J1507" s="24" t="str">
        <f ca="1">IF(OR(E1507="",E1507="!!!",F1507="NEW"),"",COUNTBLANK(OFFSET(A$1,,,SUMPRODUCT(MAX(ROW(E$2:E1507)*(E1507=E$2:E1507)))))-COUNTBLANK(OFFSET(A$1,,,SUMPRODUCT(MAX(ROW(E$1:E1506)*(E2=E$1:E1506))))))</f>
        <v/>
      </c>
      <c r="K1507" s="24" t="str">
        <f>IF(OR(E1507="",E1507="!!!",F1507="NEW"),"",INDEX(J$1:J1506,SUMPRODUCT(MAX(ROW(E$1:E1506)*(E1507=E$1:E1506)))))</f>
        <v/>
      </c>
      <c r="L1507" s="25"/>
    </row>
    <row r="1508" spans="1:12" x14ac:dyDescent="0.3">
      <c r="A1508" t="s">
        <v>571</v>
      </c>
      <c r="B1508" s="26" t="s">
        <v>238</v>
      </c>
      <c r="C1508" s="26" t="s">
        <v>244</v>
      </c>
      <c r="D1508" s="26" t="s">
        <v>240</v>
      </c>
      <c r="E1508" s="20" t="str">
        <f t="shared" si="160"/>
        <v>!!!</v>
      </c>
      <c r="F1508" s="21" t="str">
        <f>IF(OR(E1508="",E1508="!!!"),"",IF(NOT(ISNA(VLOOKUP(E1508,E$1:E1507,1,FALSE()))),"OLD",IF(AND(E1508&lt;&gt;"",E1508&lt;&gt;"!!!"),"NEW","")))</f>
        <v/>
      </c>
      <c r="G1508" s="22" t="str">
        <f>IF(OR(E1508="",E1508="!!!"),"",IF(OR(J1508=0,AND(J1508=1,K1508=1),AND(J1508=1,I1508="SBJ"),AND(J1508=1,I1508=0)),"?IN_FOCUS",IF(J1508&lt;=2,"?ACTIVATED",IF(J1508&lt;&gt;"","?FAMILIAR",IF(F1508="NEW",IF(ISNA(VLOOKUP(E1508,#REF!,1,FALSE())),"?TYPE_IDENTIFIABLE","?REFERENTIAL"),"_")))))</f>
        <v/>
      </c>
      <c r="H1508" s="23" t="str">
        <f t="shared" ca="1" si="161"/>
        <v/>
      </c>
      <c r="I1508" s="24" t="str">
        <f>IF(OR(E1508="",E1508="!!!",F1508="NEW"),"",INDEX(B$2:B1507,-1+SUMPRODUCT(MAX(ROW(E$2:E1507)*(E1508=E$2:E1507)))))</f>
        <v/>
      </c>
      <c r="J1508" s="24" t="str">
        <f ca="1">IF(OR(E1508="",E1508="!!!",F1508="NEW"),"",COUNTBLANK(OFFSET(A$1,,,SUMPRODUCT(MAX(ROW(E$2:E1508)*(E1508=E$2:E1508)))))-COUNTBLANK(OFFSET(A$1,,,SUMPRODUCT(MAX(ROW(E$1:E1507)*(E2=E$1:E1507))))))</f>
        <v/>
      </c>
      <c r="K1508" s="24" t="str">
        <f>IF(OR(E1508="",E1508="!!!",F1508="NEW"),"",INDEX(J$1:J1507,SUMPRODUCT(MAX(ROW(E$1:E1507)*(E1508=E$1:E1507)))))</f>
        <v/>
      </c>
      <c r="L1508" s="25"/>
    </row>
    <row r="1509" spans="1:12" x14ac:dyDescent="0.3">
      <c r="A1509" t="s">
        <v>347</v>
      </c>
      <c r="E1509" s="20" t="str">
        <f t="shared" si="160"/>
        <v/>
      </c>
      <c r="F1509" s="21" t="str">
        <f>IF(OR(E1509="",E1509="!!!"),"",IF(NOT(ISNA(VLOOKUP(E1509,E$1:E1508,1,FALSE()))),"OLD",IF(AND(E1509&lt;&gt;"",E1509&lt;&gt;"!!!"),"NEW","")))</f>
        <v/>
      </c>
      <c r="G1509" s="22" t="str">
        <f>IF(OR(E1509="",E1509="!!!"),"",IF(OR(J1509=0,AND(J1509=1,K1509=1),AND(J1509=1,I1509="SBJ"),AND(J1509=1,I1509=0)),"?IN_FOCUS",IF(J1509&lt;=2,"?ACTIVATED",IF(J1509&lt;&gt;"","?FAMILIAR",IF(F1509="NEW",IF(ISNA(VLOOKUP(E1509,#REF!,1,FALSE())),"?TYPE_IDENTIFIABLE","?REFERENTIAL"),"_")))))</f>
        <v/>
      </c>
      <c r="H1509" s="23" t="str">
        <f t="shared" ca="1" si="161"/>
        <v/>
      </c>
      <c r="I1509" s="24" t="str">
        <f>IF(OR(E1509="",E1509="!!!",F1509="NEW"),"",INDEX(B$2:B1508,-1+SUMPRODUCT(MAX(ROW(E$2:E1508)*(E1509=E$2:E1508)))))</f>
        <v/>
      </c>
      <c r="J1509" s="24" t="str">
        <f ca="1">IF(OR(E1509="",E1509="!!!",F1509="NEW"),"",COUNTBLANK(OFFSET(A$1,,,SUMPRODUCT(MAX(ROW(E$2:E1509)*(E1509=E$2:E1509)))))-COUNTBLANK(OFFSET(A$1,,,SUMPRODUCT(MAX(ROW(E$1:E1508)*(E2=E$1:E1508))))))</f>
        <v/>
      </c>
      <c r="K1509" s="24" t="str">
        <f>IF(OR(E1509="",E1509="!!!",F1509="NEW"),"",INDEX(J$1:J1508,SUMPRODUCT(MAX(ROW(E$1:E1508)*(E1509=E$1:E1508)))))</f>
        <v/>
      </c>
      <c r="L1509" s="25"/>
    </row>
    <row r="1510" spans="1:12" x14ac:dyDescent="0.3">
      <c r="A1510" t="s">
        <v>818</v>
      </c>
      <c r="B1510" s="26" t="s">
        <v>243</v>
      </c>
      <c r="C1510" s="26" t="s">
        <v>346</v>
      </c>
      <c r="D1510" s="26" t="s">
        <v>240</v>
      </c>
      <c r="E1510" s="20" t="str">
        <f t="shared" si="160"/>
        <v>!!!</v>
      </c>
      <c r="F1510" s="21" t="str">
        <f>IF(OR(E1510="",E1510="!!!"),"",IF(NOT(ISNA(VLOOKUP(E1510,E$1:E1509,1,FALSE()))),"OLD",IF(AND(E1510&lt;&gt;"",E1510&lt;&gt;"!!!"),"NEW","")))</f>
        <v/>
      </c>
      <c r="G1510" s="22" t="str">
        <f>IF(OR(E1510="",E1510="!!!"),"",IF(OR(J1510=0,AND(J1510=1,K1510=1),AND(J1510=1,I1510="SBJ"),AND(J1510=1,I1510=0)),"?IN_FOCUS",IF(J1510&lt;=2,"?ACTIVATED",IF(J1510&lt;&gt;"","?FAMILIAR",IF(F1510="NEW",IF(ISNA(VLOOKUP(E1510,#REF!,1,FALSE())),"?TYPE_IDENTIFIABLE","?REFERENTIAL"),"_")))))</f>
        <v/>
      </c>
      <c r="H1510" s="23" t="str">
        <f t="shared" ca="1" si="161"/>
        <v/>
      </c>
      <c r="I1510" s="24" t="str">
        <f>IF(OR(E1510="",E1510="!!!",F1510="NEW"),"",INDEX(B$2:B1509,-1+SUMPRODUCT(MAX(ROW(E$2:E1509)*(E1510=E$2:E1509)))))</f>
        <v/>
      </c>
      <c r="J1510" s="24" t="str">
        <f ca="1">IF(OR(E1510="",E1510="!!!",F1510="NEW"),"",COUNTBLANK(OFFSET(A$1,,,SUMPRODUCT(MAX(ROW(E$2:E1510)*(E1510=E$2:E1510)))))-COUNTBLANK(OFFSET(A$1,,,SUMPRODUCT(MAX(ROW(E$1:E1509)*(E2=E$1:E1509))))))</f>
        <v/>
      </c>
      <c r="K1510" s="24" t="str">
        <f>IF(OR(E1510="",E1510="!!!",F1510="NEW"),"",INDEX(J$1:J1509,SUMPRODUCT(MAX(ROW(E$1:E1509)*(E1510=E$1:E1509)))))</f>
        <v/>
      </c>
      <c r="L1510" s="25"/>
    </row>
    <row r="1511" spans="1:12" x14ac:dyDescent="0.3">
      <c r="A1511" t="s">
        <v>303</v>
      </c>
      <c r="E1511" s="20" t="str">
        <f t="shared" si="160"/>
        <v/>
      </c>
      <c r="F1511" s="21" t="str">
        <f>IF(OR(E1511="",E1511="!!!"),"",IF(NOT(ISNA(VLOOKUP(E1511,E$1:E1510,1,FALSE()))),"OLD",IF(AND(E1511&lt;&gt;"",E1511&lt;&gt;"!!!"),"NEW","")))</f>
        <v/>
      </c>
      <c r="G1511" s="22" t="str">
        <f>IF(OR(E1511="",E1511="!!!"),"",IF(OR(J1511=0,AND(J1511=1,K1511=1),AND(J1511=1,I1511="SBJ"),AND(J1511=1,I1511=0)),"?IN_FOCUS",IF(J1511&lt;=2,"?ACTIVATED",IF(J1511&lt;&gt;"","?FAMILIAR",IF(F1511="NEW",IF(ISNA(VLOOKUP(E1511,#REF!,1,FALSE())),"?TYPE_IDENTIFIABLE","?REFERENTIAL"),"_")))))</f>
        <v/>
      </c>
      <c r="H1511" s="23" t="str">
        <f t="shared" ca="1" si="161"/>
        <v/>
      </c>
      <c r="I1511" s="24" t="str">
        <f>IF(OR(E1511="",E1511="!!!",F1511="NEW"),"",INDEX(B$2:B1510,-1+SUMPRODUCT(MAX(ROW(E$2:E1510)*(E1511=E$2:E1510)))))</f>
        <v/>
      </c>
      <c r="J1511" s="24" t="str">
        <f ca="1">IF(OR(E1511="",E1511="!!!",F1511="NEW"),"",COUNTBLANK(OFFSET(A$1,,,SUMPRODUCT(MAX(ROW(E$2:E1511)*(E1511=E$2:E1511)))))-COUNTBLANK(OFFSET(A$1,,,SUMPRODUCT(MAX(ROW(E$1:E1510)*(E2=E$1:E1510))))))</f>
        <v/>
      </c>
      <c r="K1511" s="24" t="str">
        <f>IF(OR(E1511="",E1511="!!!",F1511="NEW"),"",INDEX(J$1:J1510,SUMPRODUCT(MAX(ROW(E$1:E1510)*(E1511=E$1:E1510)))))</f>
        <v/>
      </c>
      <c r="L1511" s="25"/>
    </row>
    <row r="1512" spans="1:12" x14ac:dyDescent="0.3">
      <c r="A1512" t="s">
        <v>819</v>
      </c>
      <c r="E1512" s="20" t="str">
        <f t="shared" si="160"/>
        <v/>
      </c>
      <c r="F1512" s="21" t="str">
        <f>IF(OR(E1512="",E1512="!!!"),"",IF(NOT(ISNA(VLOOKUP(E1512,E$1:E1511,1,FALSE()))),"OLD",IF(AND(E1512&lt;&gt;"",E1512&lt;&gt;"!!!"),"NEW","")))</f>
        <v/>
      </c>
      <c r="G1512" s="22" t="str">
        <f>IF(OR(E1512="",E1512="!!!"),"",IF(OR(J1512=0,AND(J1512=1,K1512=1),AND(J1512=1,I1512="SBJ"),AND(J1512=1,I1512=0)),"?IN_FOCUS",IF(J1512&lt;=2,"?ACTIVATED",IF(J1512&lt;&gt;"","?FAMILIAR",IF(F1512="NEW",IF(ISNA(VLOOKUP(E1512,#REF!,1,FALSE())),"?TYPE_IDENTIFIABLE","?REFERENTIAL"),"_")))))</f>
        <v/>
      </c>
      <c r="H1512" s="23" t="str">
        <f t="shared" ca="1" si="161"/>
        <v/>
      </c>
      <c r="I1512" s="24" t="str">
        <f>IF(OR(E1512="",E1512="!!!",F1512="NEW"),"",INDEX(B$2:B1511,-1+SUMPRODUCT(MAX(ROW(E$2:E1511)*(E1512=E$2:E1511)))))</f>
        <v/>
      </c>
      <c r="J1512" s="24" t="str">
        <f ca="1">IF(OR(E1512="",E1512="!!!",F1512="NEW"),"",COUNTBLANK(OFFSET(A$1,,,SUMPRODUCT(MAX(ROW(E$2:E1512)*(E1512=E$2:E1512)))))-COUNTBLANK(OFFSET(A$1,,,SUMPRODUCT(MAX(ROW(E$1:E1511)*(E2=E$1:E1511))))))</f>
        <v/>
      </c>
      <c r="K1512" s="24" t="str">
        <f>IF(OR(E1512="",E1512="!!!",F1512="NEW"),"",INDEX(J$1:J1511,SUMPRODUCT(MAX(ROW(E$1:E1511)*(E1512=E$1:E1511)))))</f>
        <v/>
      </c>
      <c r="L1512" s="25"/>
    </row>
    <row r="1513" spans="1:12" x14ac:dyDescent="0.3">
      <c r="A1513" t="s">
        <v>820</v>
      </c>
      <c r="B1513" s="26" t="s">
        <v>238</v>
      </c>
      <c r="C1513" s="26" t="s">
        <v>239</v>
      </c>
      <c r="D1513" s="26" t="s">
        <v>240</v>
      </c>
      <c r="E1513" s="20" t="str">
        <f t="shared" si="160"/>
        <v>!!!</v>
      </c>
      <c r="F1513" s="21" t="str">
        <f>IF(OR(E1513="",E1513="!!!"),"",IF(NOT(ISNA(VLOOKUP(E1513,E$1:E1512,1,FALSE()))),"OLD",IF(AND(E1513&lt;&gt;"",E1513&lt;&gt;"!!!"),"NEW","")))</f>
        <v/>
      </c>
      <c r="G1513" s="22" t="str">
        <f>IF(OR(E1513="",E1513="!!!"),"",IF(OR(J1513=0,AND(J1513=1,K1513=1),AND(J1513=1,I1513="SBJ"),AND(J1513=1,I1513=0)),"?IN_FOCUS",IF(J1513&lt;=2,"?ACTIVATED",IF(J1513&lt;&gt;"","?FAMILIAR",IF(F1513="NEW",IF(ISNA(VLOOKUP(E1513,#REF!,1,FALSE())),"?TYPE_IDENTIFIABLE","?REFERENTIAL"),"_")))))</f>
        <v/>
      </c>
      <c r="H1513" s="23" t="str">
        <f t="shared" ca="1" si="161"/>
        <v/>
      </c>
      <c r="I1513" s="24" t="str">
        <f>IF(OR(E1513="",E1513="!!!",F1513="NEW"),"",INDEX(B$2:B1512,-1+SUMPRODUCT(MAX(ROW(E$2:E1512)*(E1513=E$2:E1512)))))</f>
        <v/>
      </c>
      <c r="J1513" s="24" t="str">
        <f ca="1">IF(OR(E1513="",E1513="!!!",F1513="NEW"),"",COUNTBLANK(OFFSET(A$1,,,SUMPRODUCT(MAX(ROW(E$2:E1513)*(E1513=E$2:E1513)))))-COUNTBLANK(OFFSET(A$1,,,SUMPRODUCT(MAX(ROW(E$1:E1512)*(E2=E$1:E1512))))))</f>
        <v/>
      </c>
      <c r="K1513" s="24" t="str">
        <f>IF(OR(E1513="",E1513="!!!",F1513="NEW"),"",INDEX(J$1:J1512,SUMPRODUCT(MAX(ROW(E$1:E1512)*(E1513=E$1:E1512)))))</f>
        <v/>
      </c>
      <c r="L1513" s="25"/>
    </row>
    <row r="1514" spans="1:12" x14ac:dyDescent="0.3">
      <c r="A1514" t="s">
        <v>248</v>
      </c>
      <c r="E1514" s="20" t="str">
        <f t="shared" si="160"/>
        <v/>
      </c>
      <c r="F1514" s="21" t="str">
        <f>IF(OR(E1514="",E1514="!!!"),"",IF(NOT(ISNA(VLOOKUP(E1514,E$1:E1513,1,FALSE()))),"OLD",IF(AND(E1514&lt;&gt;"",E1514&lt;&gt;"!!!"),"NEW","")))</f>
        <v/>
      </c>
      <c r="G1514" s="22" t="str">
        <f>IF(OR(E1514="",E1514="!!!"),"",IF(OR(J1514=0,AND(J1514=1,K1514=1),AND(J1514=1,I1514="SBJ"),AND(J1514=1,I1514=0)),"?IN_FOCUS",IF(J1514&lt;=2,"?ACTIVATED",IF(J1514&lt;&gt;"","?FAMILIAR",IF(F1514="NEW",IF(ISNA(VLOOKUP(E1514,#REF!,1,FALSE())),"?TYPE_IDENTIFIABLE","?REFERENTIAL"),"_")))))</f>
        <v/>
      </c>
      <c r="H1514" s="23" t="str">
        <f t="shared" ca="1" si="161"/>
        <v/>
      </c>
      <c r="I1514" s="24" t="str">
        <f>IF(OR(E1514="",E1514="!!!",F1514="NEW"),"",INDEX(B$2:B1513,-1+SUMPRODUCT(MAX(ROW(E$2:E1513)*(E1514=E$2:E1513)))))</f>
        <v/>
      </c>
      <c r="J1514" s="24" t="str">
        <f ca="1">IF(OR(E1514="",E1514="!!!",F1514="NEW"),"",COUNTBLANK(OFFSET(A$1,,,SUMPRODUCT(MAX(ROW(E$2:E1514)*(E1514=E$2:E1514)))))-COUNTBLANK(OFFSET(A$1,,,SUMPRODUCT(MAX(ROW(E$1:E1513)*(E2=E$1:E1513))))))</f>
        <v/>
      </c>
      <c r="K1514" s="24" t="str">
        <f>IF(OR(E1514="",E1514="!!!",F1514="NEW"),"",INDEX(J$1:J1513,SUMPRODUCT(MAX(ROW(E$1:E1513)*(E1514=E$1:E1513)))))</f>
        <v/>
      </c>
      <c r="L1514" s="25"/>
    </row>
    <row r="1516" spans="1:12" x14ac:dyDescent="0.3">
      <c r="A1516" t="s">
        <v>821</v>
      </c>
    </row>
    <row r="1517" spans="1:12" x14ac:dyDescent="0.3">
      <c r="A1517" t="s">
        <v>822</v>
      </c>
      <c r="E1517" s="20" t="str">
        <f t="shared" ref="E1517:E1533" si="162">IF(D1517="?OLD","!!!","")</f>
        <v/>
      </c>
      <c r="F1517" s="21" t="str">
        <f>IF(OR(E1517="",E1517="!!!"),"",IF(NOT(ISNA(VLOOKUP(E1517,E$1:E1516,1,FALSE()))),"OLD",IF(AND(E1517&lt;&gt;"",E1517&lt;&gt;"!!!"),"NEW","")))</f>
        <v/>
      </c>
      <c r="G1517" s="22" t="str">
        <f>IF(OR(E1517="",E1517="!!!"),"",IF(OR(J1517=0,AND(J1517=1,K1517=1),AND(J1517=1,I1517="SBJ"),AND(J1517=1,I1517=0)),"?IN_FOCUS",IF(J1517&lt;=2,"?ACTIVATED",IF(J1517&lt;&gt;"","?FAMILIAR",IF(F1517="NEW",IF(ISNA(VLOOKUP(E1517,#REF!,1,FALSE())),"?TYPE_IDENTIFIABLE","?REFERENTIAL"),"_")))))</f>
        <v/>
      </c>
      <c r="H1517" s="23" t="str">
        <f t="shared" ref="H1517:H1533" ca="1" si="163">IF(J1517&lt;&gt;1,"",IF(I1517="SBJ","CB","?"))</f>
        <v/>
      </c>
      <c r="I1517" s="24" t="str">
        <f>IF(OR(E1517="",E1517="!!!",F1517="NEW"),"",INDEX(B$2:B1516,-1+SUMPRODUCT(MAX(ROW(E$2:E1516)*(E1517=E$2:E1516)))))</f>
        <v/>
      </c>
      <c r="J1517" s="24" t="str">
        <f ca="1">IF(OR(E1517="",E1517="!!!",F1517="NEW"),"",COUNTBLANK(OFFSET(A$1,,,SUMPRODUCT(MAX(ROW(E$2:E1517)*(E1517=E$2:E1517)))))-COUNTBLANK(OFFSET(A$1,,,SUMPRODUCT(MAX(ROW(E$1:E1516)*(E2=E$1:E1516))))))</f>
        <v/>
      </c>
      <c r="K1517" s="24" t="str">
        <f>IF(OR(E1517="",E1517="!!!",F1517="NEW"),"",INDEX(J$1:J1516,SUMPRODUCT(MAX(ROW(E$1:E1516)*(E1517=E$1:E1516)))))</f>
        <v/>
      </c>
      <c r="L1517" s="25"/>
    </row>
    <row r="1518" spans="1:12" x14ac:dyDescent="0.3">
      <c r="A1518" t="s">
        <v>823</v>
      </c>
      <c r="E1518" s="20" t="str">
        <f t="shared" si="162"/>
        <v/>
      </c>
      <c r="F1518" s="21" t="str">
        <f>IF(OR(E1518="",E1518="!!!"),"",IF(NOT(ISNA(VLOOKUP(E1518,E$1:E1517,1,FALSE()))),"OLD",IF(AND(E1518&lt;&gt;"",E1518&lt;&gt;"!!!"),"NEW","")))</f>
        <v/>
      </c>
      <c r="G1518" s="22" t="str">
        <f>IF(OR(E1518="",E1518="!!!"),"",IF(OR(J1518=0,AND(J1518=1,K1518=1),AND(J1518=1,I1518="SBJ"),AND(J1518=1,I1518=0)),"?IN_FOCUS",IF(J1518&lt;=2,"?ACTIVATED",IF(J1518&lt;&gt;"","?FAMILIAR",IF(F1518="NEW",IF(ISNA(VLOOKUP(E1518,#REF!,1,FALSE())),"?TYPE_IDENTIFIABLE","?REFERENTIAL"),"_")))))</f>
        <v/>
      </c>
      <c r="H1518" s="23" t="str">
        <f t="shared" ca="1" si="163"/>
        <v/>
      </c>
      <c r="I1518" s="24" t="str">
        <f>IF(OR(E1518="",E1518="!!!",F1518="NEW"),"",INDEX(B$2:B1517,-1+SUMPRODUCT(MAX(ROW(E$2:E1517)*(E1518=E$2:E1517)))))</f>
        <v/>
      </c>
      <c r="J1518" s="24" t="str">
        <f ca="1">IF(OR(E1518="",E1518="!!!",F1518="NEW"),"",COUNTBLANK(OFFSET(A$1,,,SUMPRODUCT(MAX(ROW(E$2:E1518)*(E1518=E$2:E1518)))))-COUNTBLANK(OFFSET(A$1,,,SUMPRODUCT(MAX(ROW(E$1:E1517)*(E2=E$1:E1517))))))</f>
        <v/>
      </c>
      <c r="K1518" s="24" t="str">
        <f>IF(OR(E1518="",E1518="!!!",F1518="NEW"),"",INDEX(J$1:J1517,SUMPRODUCT(MAX(ROW(E$1:E1517)*(E1518=E$1:E1517)))))</f>
        <v/>
      </c>
      <c r="L1518" s="25"/>
    </row>
    <row r="1519" spans="1:12" x14ac:dyDescent="0.3">
      <c r="A1519" t="s">
        <v>299</v>
      </c>
      <c r="B1519" s="26" t="s">
        <v>243</v>
      </c>
      <c r="C1519" s="26" t="s">
        <v>244</v>
      </c>
      <c r="D1519" s="26" t="s">
        <v>240</v>
      </c>
      <c r="E1519" s="20" t="str">
        <f t="shared" si="162"/>
        <v>!!!</v>
      </c>
      <c r="F1519" s="21" t="str">
        <f>IF(OR(E1519="",E1519="!!!"),"",IF(NOT(ISNA(VLOOKUP(E1519,E$1:E1518,1,FALSE()))),"OLD",IF(AND(E1519&lt;&gt;"",E1519&lt;&gt;"!!!"),"NEW","")))</f>
        <v/>
      </c>
      <c r="G1519" s="22" t="str">
        <f>IF(OR(E1519="",E1519="!!!"),"",IF(OR(J1519=0,AND(J1519=1,K1519=1),AND(J1519=1,I1519="SBJ"),AND(J1519=1,I1519=0)),"?IN_FOCUS",IF(J1519&lt;=2,"?ACTIVATED",IF(J1519&lt;&gt;"","?FAMILIAR",IF(F1519="NEW",IF(ISNA(VLOOKUP(E1519,#REF!,1,FALSE())),"?TYPE_IDENTIFIABLE","?REFERENTIAL"),"_")))))</f>
        <v/>
      </c>
      <c r="H1519" s="23" t="str">
        <f t="shared" ca="1" si="163"/>
        <v/>
      </c>
      <c r="I1519" s="24" t="str">
        <f>IF(OR(E1519="",E1519="!!!",F1519="NEW"),"",INDEX(B$2:B1518,-1+SUMPRODUCT(MAX(ROW(E$2:E1518)*(E1519=E$2:E1518)))))</f>
        <v/>
      </c>
      <c r="J1519" s="24" t="str">
        <f ca="1">IF(OR(E1519="",E1519="!!!",F1519="NEW"),"",COUNTBLANK(OFFSET(A$1,,,SUMPRODUCT(MAX(ROW(E$2:E1519)*(E1519=E$2:E1519)))))-COUNTBLANK(OFFSET(A$1,,,SUMPRODUCT(MAX(ROW(E$1:E1518)*(E2=E$1:E1518))))))</f>
        <v/>
      </c>
      <c r="K1519" s="24" t="str">
        <f>IF(OR(E1519="",E1519="!!!",F1519="NEW"),"",INDEX(J$1:J1518,SUMPRODUCT(MAX(ROW(E$1:E1518)*(E1519=E$1:E1518)))))</f>
        <v/>
      </c>
      <c r="L1519" s="25"/>
    </row>
    <row r="1520" spans="1:12" x14ac:dyDescent="0.3">
      <c r="A1520" t="s">
        <v>257</v>
      </c>
      <c r="E1520" s="20" t="str">
        <f t="shared" si="162"/>
        <v/>
      </c>
      <c r="F1520" s="21" t="str">
        <f>IF(OR(E1520="",E1520="!!!"),"",IF(NOT(ISNA(VLOOKUP(E1520,E$1:E1519,1,FALSE()))),"OLD",IF(AND(E1520&lt;&gt;"",E1520&lt;&gt;"!!!"),"NEW","")))</f>
        <v/>
      </c>
      <c r="G1520" s="22" t="str">
        <f>IF(OR(E1520="",E1520="!!!"),"",IF(OR(J1520=0,AND(J1520=1,K1520=1),AND(J1520=1,I1520="SBJ"),AND(J1520=1,I1520=0)),"?IN_FOCUS",IF(J1520&lt;=2,"?ACTIVATED",IF(J1520&lt;&gt;"","?FAMILIAR",IF(F1520="NEW",IF(ISNA(VLOOKUP(E1520,#REF!,1,FALSE())),"?TYPE_IDENTIFIABLE","?REFERENTIAL"),"_")))))</f>
        <v/>
      </c>
      <c r="H1520" s="23" t="str">
        <f t="shared" ca="1" si="163"/>
        <v/>
      </c>
      <c r="I1520" s="24" t="str">
        <f>IF(OR(E1520="",E1520="!!!",F1520="NEW"),"",INDEX(B$2:B1519,-1+SUMPRODUCT(MAX(ROW(E$2:E1519)*(E1520=E$2:E1519)))))</f>
        <v/>
      </c>
      <c r="J1520" s="24" t="str">
        <f ca="1">IF(OR(E1520="",E1520="!!!",F1520="NEW"),"",COUNTBLANK(OFFSET(A$1,,,SUMPRODUCT(MAX(ROW(E$2:E1520)*(E1520=E$2:E1520)))))-COUNTBLANK(OFFSET(A$1,,,SUMPRODUCT(MAX(ROW(E$1:E1519)*(E2=E$1:E1519))))))</f>
        <v/>
      </c>
      <c r="K1520" s="24" t="str">
        <f>IF(OR(E1520="",E1520="!!!",F1520="NEW"),"",INDEX(J$1:J1519,SUMPRODUCT(MAX(ROW(E$1:E1519)*(E1520=E$1:E1519)))))</f>
        <v/>
      </c>
      <c r="L1520" s="25"/>
    </row>
    <row r="1521" spans="1:12" x14ac:dyDescent="0.3">
      <c r="A1521" t="s">
        <v>824</v>
      </c>
      <c r="B1521" s="26" t="s">
        <v>261</v>
      </c>
      <c r="C1521" s="26" t="s">
        <v>346</v>
      </c>
      <c r="D1521" s="26" t="s">
        <v>240</v>
      </c>
      <c r="E1521" s="20" t="str">
        <f t="shared" si="162"/>
        <v>!!!</v>
      </c>
      <c r="F1521" s="21" t="str">
        <f>IF(OR(E1521="",E1521="!!!"),"",IF(NOT(ISNA(VLOOKUP(E1521,E$1:E1520,1,FALSE()))),"OLD",IF(AND(E1521&lt;&gt;"",E1521&lt;&gt;"!!!"),"NEW","")))</f>
        <v/>
      </c>
      <c r="G1521" s="22" t="str">
        <f>IF(OR(E1521="",E1521="!!!"),"",IF(OR(J1521=0,AND(J1521=1,K1521=1),AND(J1521=1,I1521="SBJ"),AND(J1521=1,I1521=0)),"?IN_FOCUS",IF(J1521&lt;=2,"?ACTIVATED",IF(J1521&lt;&gt;"","?FAMILIAR",IF(F1521="NEW",IF(ISNA(VLOOKUP(E1521,#REF!,1,FALSE())),"?TYPE_IDENTIFIABLE","?REFERENTIAL"),"_")))))</f>
        <v/>
      </c>
      <c r="H1521" s="23" t="str">
        <f t="shared" ca="1" si="163"/>
        <v/>
      </c>
      <c r="I1521" s="24" t="str">
        <f>IF(OR(E1521="",E1521="!!!",F1521="NEW"),"",INDEX(B$2:B1520,-1+SUMPRODUCT(MAX(ROW(E$2:E1520)*(E1521=E$2:E1520)))))</f>
        <v/>
      </c>
      <c r="J1521" s="24" t="str">
        <f ca="1">IF(OR(E1521="",E1521="!!!",F1521="NEW"),"",COUNTBLANK(OFFSET(A$1,,,SUMPRODUCT(MAX(ROW(E$2:E1521)*(E1521=E$2:E1521)))))-COUNTBLANK(OFFSET(A$1,,,SUMPRODUCT(MAX(ROW(E$1:E1520)*(E2=E$1:E1520))))))</f>
        <v/>
      </c>
      <c r="K1521" s="24" t="str">
        <f>IF(OR(E1521="",E1521="!!!",F1521="NEW"),"",INDEX(J$1:J1520,SUMPRODUCT(MAX(ROW(E$1:E1520)*(E1521=E$1:E1520)))))</f>
        <v/>
      </c>
      <c r="L1521" s="25"/>
    </row>
    <row r="1522" spans="1:12" x14ac:dyDescent="0.3">
      <c r="A1522" t="s">
        <v>825</v>
      </c>
      <c r="B1522" s="26" t="s">
        <v>238</v>
      </c>
      <c r="C1522" s="26" t="s">
        <v>587</v>
      </c>
      <c r="D1522" s="26" t="s">
        <v>240</v>
      </c>
      <c r="E1522" s="20" t="str">
        <f t="shared" si="162"/>
        <v>!!!</v>
      </c>
      <c r="F1522" s="21" t="str">
        <f>IF(OR(E1522="",E1522="!!!"),"",IF(NOT(ISNA(VLOOKUP(E1522,E$1:E1521,1,FALSE()))),"OLD",IF(AND(E1522&lt;&gt;"",E1522&lt;&gt;"!!!"),"NEW","")))</f>
        <v/>
      </c>
      <c r="G1522" s="22" t="str">
        <f>IF(OR(E1522="",E1522="!!!"),"",IF(OR(J1522=0,AND(J1522=1,K1522=1),AND(J1522=1,I1522="SBJ"),AND(J1522=1,I1522=0)),"?IN_FOCUS",IF(J1522&lt;=2,"?ACTIVATED",IF(J1522&lt;&gt;"","?FAMILIAR",IF(F1522="NEW",IF(ISNA(VLOOKUP(E1522,#REF!,1,FALSE())),"?TYPE_IDENTIFIABLE","?REFERENTIAL"),"_")))))</f>
        <v/>
      </c>
      <c r="H1522" s="23" t="str">
        <f t="shared" ca="1" si="163"/>
        <v/>
      </c>
      <c r="I1522" s="24" t="str">
        <f>IF(OR(E1522="",E1522="!!!",F1522="NEW"),"",INDEX(B$2:B1521,-1+SUMPRODUCT(MAX(ROW(E$2:E1521)*(E1522=E$2:E1521)))))</f>
        <v/>
      </c>
      <c r="J1522" s="24" t="str">
        <f ca="1">IF(OR(E1522="",E1522="!!!",F1522="NEW"),"",COUNTBLANK(OFFSET(A$1,,,SUMPRODUCT(MAX(ROW(E$2:E1522)*(E1522=E$2:E1522)))))-COUNTBLANK(OFFSET(A$1,,,SUMPRODUCT(MAX(ROW(E$1:E1521)*(E2=E$1:E1521))))))</f>
        <v/>
      </c>
      <c r="K1522" s="24" t="str">
        <f>IF(OR(E1522="",E1522="!!!",F1522="NEW"),"",INDEX(J$1:J1521,SUMPRODUCT(MAX(ROW(E$1:E1521)*(E1522=E$1:E1521)))))</f>
        <v/>
      </c>
      <c r="L1522" s="25"/>
    </row>
    <row r="1523" spans="1:12" x14ac:dyDescent="0.3">
      <c r="A1523" t="s">
        <v>252</v>
      </c>
      <c r="E1523" s="20" t="str">
        <f t="shared" si="162"/>
        <v/>
      </c>
      <c r="F1523" s="21" t="str">
        <f>IF(OR(E1523="",E1523="!!!"),"",IF(NOT(ISNA(VLOOKUP(E1523,E$1:E1522,1,FALSE()))),"OLD",IF(AND(E1523&lt;&gt;"",E1523&lt;&gt;"!!!"),"NEW","")))</f>
        <v/>
      </c>
      <c r="G1523" s="22" t="str">
        <f>IF(OR(E1523="",E1523="!!!"),"",IF(OR(J1523=0,AND(J1523=1,K1523=1),AND(J1523=1,I1523="SBJ"),AND(J1523=1,I1523=0)),"?IN_FOCUS",IF(J1523&lt;=2,"?ACTIVATED",IF(J1523&lt;&gt;"","?FAMILIAR",IF(F1523="NEW",IF(ISNA(VLOOKUP(E1523,#REF!,1,FALSE())),"?TYPE_IDENTIFIABLE","?REFERENTIAL"),"_")))))</f>
        <v/>
      </c>
      <c r="H1523" s="23" t="str">
        <f t="shared" ca="1" si="163"/>
        <v/>
      </c>
      <c r="I1523" s="24" t="str">
        <f>IF(OR(E1523="",E1523="!!!",F1523="NEW"),"",INDEX(B$2:B1522,-1+SUMPRODUCT(MAX(ROW(E$2:E1522)*(E1523=E$2:E1522)))))</f>
        <v/>
      </c>
      <c r="J1523" s="24" t="str">
        <f ca="1">IF(OR(E1523="",E1523="!!!",F1523="NEW"),"",COUNTBLANK(OFFSET(A$1,,,SUMPRODUCT(MAX(ROW(E$2:E1523)*(E1523=E$2:E1523)))))-COUNTBLANK(OFFSET(A$1,,,SUMPRODUCT(MAX(ROW(E$1:E1522)*(E2=E$1:E1522))))))</f>
        <v/>
      </c>
      <c r="K1523" s="24" t="str">
        <f>IF(OR(E1523="",E1523="!!!",F1523="NEW"),"",INDEX(J$1:J1522,SUMPRODUCT(MAX(ROW(E$1:E1522)*(E1523=E$1:E1522)))))</f>
        <v/>
      </c>
      <c r="L1523" s="25"/>
    </row>
    <row r="1524" spans="1:12" x14ac:dyDescent="0.3">
      <c r="A1524" t="s">
        <v>402</v>
      </c>
      <c r="E1524" s="20" t="str">
        <f t="shared" si="162"/>
        <v/>
      </c>
      <c r="F1524" s="21" t="str">
        <f>IF(OR(E1524="",E1524="!!!"),"",IF(NOT(ISNA(VLOOKUP(E1524,E$1:E1523,1,FALSE()))),"OLD",IF(AND(E1524&lt;&gt;"",E1524&lt;&gt;"!!!"),"NEW","")))</f>
        <v/>
      </c>
      <c r="G1524" s="22" t="str">
        <f>IF(OR(E1524="",E1524="!!!"),"",IF(OR(J1524=0,AND(J1524=1,K1524=1),AND(J1524=1,I1524="SBJ"),AND(J1524=1,I1524=0)),"?IN_FOCUS",IF(J1524&lt;=2,"?ACTIVATED",IF(J1524&lt;&gt;"","?FAMILIAR",IF(F1524="NEW",IF(ISNA(VLOOKUP(E1524,#REF!,1,FALSE())),"?TYPE_IDENTIFIABLE","?REFERENTIAL"),"_")))))</f>
        <v/>
      </c>
      <c r="H1524" s="23" t="str">
        <f t="shared" ca="1" si="163"/>
        <v/>
      </c>
      <c r="I1524" s="24" t="str">
        <f>IF(OR(E1524="",E1524="!!!",F1524="NEW"),"",INDEX(B$2:B1523,-1+SUMPRODUCT(MAX(ROW(E$2:E1523)*(E1524=E$2:E1523)))))</f>
        <v/>
      </c>
      <c r="J1524" s="24" t="str">
        <f ca="1">IF(OR(E1524="",E1524="!!!",F1524="NEW"),"",COUNTBLANK(OFFSET(A$1,,,SUMPRODUCT(MAX(ROW(E$2:E1524)*(E1524=E$2:E1524)))))-COUNTBLANK(OFFSET(A$1,,,SUMPRODUCT(MAX(ROW(E$1:E1523)*(E2=E$1:E1523))))))</f>
        <v/>
      </c>
      <c r="K1524" s="24" t="str">
        <f>IF(OR(E1524="",E1524="!!!",F1524="NEW"),"",INDEX(J$1:J1523,SUMPRODUCT(MAX(ROW(E$1:E1523)*(E1524=E$1:E1523)))))</f>
        <v/>
      </c>
      <c r="L1524" s="25"/>
    </row>
    <row r="1525" spans="1:12" x14ac:dyDescent="0.3">
      <c r="A1525" t="s">
        <v>299</v>
      </c>
      <c r="B1525" s="26" t="s">
        <v>255</v>
      </c>
      <c r="C1525" s="26" t="s">
        <v>244</v>
      </c>
      <c r="D1525" s="26" t="s">
        <v>240</v>
      </c>
      <c r="E1525" s="20" t="str">
        <f t="shared" si="162"/>
        <v>!!!</v>
      </c>
      <c r="F1525" s="21" t="str">
        <f>IF(OR(E1525="",E1525="!!!"),"",IF(NOT(ISNA(VLOOKUP(E1525,E$1:E1524,1,FALSE()))),"OLD",IF(AND(E1525&lt;&gt;"",E1525&lt;&gt;"!!!"),"NEW","")))</f>
        <v/>
      </c>
      <c r="G1525" s="22" t="str">
        <f>IF(OR(E1525="",E1525="!!!"),"",IF(OR(J1525=0,AND(J1525=1,K1525=1),AND(J1525=1,I1525="SBJ"),AND(J1525=1,I1525=0)),"?IN_FOCUS",IF(J1525&lt;=2,"?ACTIVATED",IF(J1525&lt;&gt;"","?FAMILIAR",IF(F1525="NEW",IF(ISNA(VLOOKUP(E1525,#REF!,1,FALSE())),"?TYPE_IDENTIFIABLE","?REFERENTIAL"),"_")))))</f>
        <v/>
      </c>
      <c r="H1525" s="23" t="str">
        <f t="shared" ca="1" si="163"/>
        <v/>
      </c>
      <c r="I1525" s="24" t="str">
        <f>IF(OR(E1525="",E1525="!!!",F1525="NEW"),"",INDEX(B$2:B1524,-1+SUMPRODUCT(MAX(ROW(E$2:E1524)*(E1525=E$2:E1524)))))</f>
        <v/>
      </c>
      <c r="J1525" s="24" t="str">
        <f ca="1">IF(OR(E1525="",E1525="!!!",F1525="NEW"),"",COUNTBLANK(OFFSET(A$1,,,SUMPRODUCT(MAX(ROW(E$2:E1525)*(E1525=E$2:E1525)))))-COUNTBLANK(OFFSET(A$1,,,SUMPRODUCT(MAX(ROW(E$1:E1524)*(E2=E$1:E1524))))))</f>
        <v/>
      </c>
      <c r="K1525" s="24" t="str">
        <f>IF(OR(E1525="",E1525="!!!",F1525="NEW"),"",INDEX(J$1:J1524,SUMPRODUCT(MAX(ROW(E$1:E1524)*(E1525=E$1:E1524)))))</f>
        <v/>
      </c>
      <c r="L1525" s="25"/>
    </row>
    <row r="1526" spans="1:12" x14ac:dyDescent="0.3">
      <c r="A1526" t="s">
        <v>826</v>
      </c>
      <c r="E1526" s="20" t="str">
        <f t="shared" si="162"/>
        <v/>
      </c>
      <c r="F1526" s="21" t="str">
        <f>IF(OR(E1526="",E1526="!!!"),"",IF(NOT(ISNA(VLOOKUP(E1526,E$1:E1525,1,FALSE()))),"OLD",IF(AND(E1526&lt;&gt;"",E1526&lt;&gt;"!!!"),"NEW","")))</f>
        <v/>
      </c>
      <c r="G1526" s="22" t="str">
        <f>IF(OR(E1526="",E1526="!!!"),"",IF(OR(J1526=0,AND(J1526=1,K1526=1),AND(J1526=1,I1526="SBJ"),AND(J1526=1,I1526=0)),"?IN_FOCUS",IF(J1526&lt;=2,"?ACTIVATED",IF(J1526&lt;&gt;"","?FAMILIAR",IF(F1526="NEW",IF(ISNA(VLOOKUP(E1526,#REF!,1,FALSE())),"?TYPE_IDENTIFIABLE","?REFERENTIAL"),"_")))))</f>
        <v/>
      </c>
      <c r="H1526" s="23" t="str">
        <f t="shared" ca="1" si="163"/>
        <v/>
      </c>
      <c r="I1526" s="24" t="str">
        <f>IF(OR(E1526="",E1526="!!!",F1526="NEW"),"",INDEX(B$2:B1525,-1+SUMPRODUCT(MAX(ROW(E$2:E1525)*(E1526=E$2:E1525)))))</f>
        <v/>
      </c>
      <c r="J1526" s="24" t="str">
        <f ca="1">IF(OR(E1526="",E1526="!!!",F1526="NEW"),"",COUNTBLANK(OFFSET(A$1,,,SUMPRODUCT(MAX(ROW(E$2:E1526)*(E1526=E$2:E1526)))))-COUNTBLANK(OFFSET(A$1,,,SUMPRODUCT(MAX(ROW(E$1:E1525)*(E2=E$1:E1525))))))</f>
        <v/>
      </c>
      <c r="K1526" s="24" t="str">
        <f>IF(OR(E1526="",E1526="!!!",F1526="NEW"),"",INDEX(J$1:J1525,SUMPRODUCT(MAX(ROW(E$1:E1525)*(E1526=E$1:E1525)))))</f>
        <v/>
      </c>
      <c r="L1526" s="25"/>
    </row>
    <row r="1527" spans="1:12" x14ac:dyDescent="0.3">
      <c r="A1527" t="s">
        <v>252</v>
      </c>
      <c r="E1527" s="20" t="str">
        <f t="shared" si="162"/>
        <v/>
      </c>
      <c r="F1527" s="21" t="str">
        <f>IF(OR(E1527="",E1527="!!!"),"",IF(NOT(ISNA(VLOOKUP(E1527,E$1:E1526,1,FALSE()))),"OLD",IF(AND(E1527&lt;&gt;"",E1527&lt;&gt;"!!!"),"NEW","")))</f>
        <v/>
      </c>
      <c r="G1527" s="22" t="str">
        <f>IF(OR(E1527="",E1527="!!!"),"",IF(OR(J1527=0,AND(J1527=1,K1527=1),AND(J1527=1,I1527="SBJ"),AND(J1527=1,I1527=0)),"?IN_FOCUS",IF(J1527&lt;=2,"?ACTIVATED",IF(J1527&lt;&gt;"","?FAMILIAR",IF(F1527="NEW",IF(ISNA(VLOOKUP(E1527,#REF!,1,FALSE())),"?TYPE_IDENTIFIABLE","?REFERENTIAL"),"_")))))</f>
        <v/>
      </c>
      <c r="H1527" s="23" t="str">
        <f t="shared" ca="1" si="163"/>
        <v/>
      </c>
      <c r="I1527" s="24" t="str">
        <f>IF(OR(E1527="",E1527="!!!",F1527="NEW"),"",INDEX(B$2:B1526,-1+SUMPRODUCT(MAX(ROW(E$2:E1526)*(E1527=E$2:E1526)))))</f>
        <v/>
      </c>
      <c r="J1527" s="24" t="str">
        <f ca="1">IF(OR(E1527="",E1527="!!!",F1527="NEW"),"",COUNTBLANK(OFFSET(A$1,,,SUMPRODUCT(MAX(ROW(E$2:E1527)*(E1527=E$2:E1527)))))-COUNTBLANK(OFFSET(A$1,,,SUMPRODUCT(MAX(ROW(E$1:E1526)*(E2=E$1:E1526))))))</f>
        <v/>
      </c>
      <c r="K1527" s="24" t="str">
        <f>IF(OR(E1527="",E1527="!!!",F1527="NEW"),"",INDEX(J$1:J1526,SUMPRODUCT(MAX(ROW(E$1:E1526)*(E1527=E$1:E1526)))))</f>
        <v/>
      </c>
      <c r="L1527" s="25"/>
    </row>
    <row r="1528" spans="1:12" x14ac:dyDescent="0.3">
      <c r="A1528" t="s">
        <v>267</v>
      </c>
      <c r="B1528" s="26" t="s">
        <v>255</v>
      </c>
      <c r="C1528" s="26" t="s">
        <v>346</v>
      </c>
      <c r="D1528" s="26" t="s">
        <v>240</v>
      </c>
      <c r="E1528" s="20" t="str">
        <f t="shared" si="162"/>
        <v>!!!</v>
      </c>
      <c r="F1528" s="21" t="str">
        <f>IF(OR(E1528="",E1528="!!!"),"",IF(NOT(ISNA(VLOOKUP(E1528,E$1:E1527,1,FALSE()))),"OLD",IF(AND(E1528&lt;&gt;"",E1528&lt;&gt;"!!!"),"NEW","")))</f>
        <v/>
      </c>
      <c r="G1528" s="22" t="str">
        <f>IF(OR(E1528="",E1528="!!!"),"",IF(OR(J1528=0,AND(J1528=1,K1528=1),AND(J1528=1,I1528="SBJ"),AND(J1528=1,I1528=0)),"?IN_FOCUS",IF(J1528&lt;=2,"?ACTIVATED",IF(J1528&lt;&gt;"","?FAMILIAR",IF(F1528="NEW",IF(ISNA(VLOOKUP(E1528,#REF!,1,FALSE())),"?TYPE_IDENTIFIABLE","?REFERENTIAL"),"_")))))</f>
        <v/>
      </c>
      <c r="H1528" s="23" t="str">
        <f t="shared" ca="1" si="163"/>
        <v/>
      </c>
      <c r="I1528" s="24" t="str">
        <f>IF(OR(E1528="",E1528="!!!",F1528="NEW"),"",INDEX(B$2:B1527,-1+SUMPRODUCT(MAX(ROW(E$2:E1527)*(E1528=E$2:E1527)))))</f>
        <v/>
      </c>
      <c r="J1528" s="24" t="str">
        <f ca="1">IF(OR(E1528="",E1528="!!!",F1528="NEW"),"",COUNTBLANK(OFFSET(A$1,,,SUMPRODUCT(MAX(ROW(E$2:E1528)*(E1528=E$2:E1528)))))-COUNTBLANK(OFFSET(A$1,,,SUMPRODUCT(MAX(ROW(E$1:E1527)*(E2=E$1:E1527))))))</f>
        <v/>
      </c>
      <c r="K1528" s="24" t="str">
        <f>IF(OR(E1528="",E1528="!!!",F1528="NEW"),"",INDEX(J$1:J1527,SUMPRODUCT(MAX(ROW(E$1:E1527)*(E1528=E$1:E1527)))))</f>
        <v/>
      </c>
      <c r="L1528" s="25"/>
    </row>
    <row r="1529" spans="1:12" x14ac:dyDescent="0.3">
      <c r="A1529" t="s">
        <v>313</v>
      </c>
      <c r="E1529" s="20" t="str">
        <f t="shared" si="162"/>
        <v/>
      </c>
      <c r="F1529" s="21" t="str">
        <f>IF(OR(E1529="",E1529="!!!"),"",IF(NOT(ISNA(VLOOKUP(E1529,E$1:E1528,1,FALSE()))),"OLD",IF(AND(E1529&lt;&gt;"",E1529&lt;&gt;"!!!"),"NEW","")))</f>
        <v/>
      </c>
      <c r="G1529" s="22" t="str">
        <f>IF(OR(E1529="",E1529="!!!"),"",IF(OR(J1529=0,AND(J1529=1,K1529=1),AND(J1529=1,I1529="SBJ"),AND(J1529=1,I1529=0)),"?IN_FOCUS",IF(J1529&lt;=2,"?ACTIVATED",IF(J1529&lt;&gt;"","?FAMILIAR",IF(F1529="NEW",IF(ISNA(VLOOKUP(E1529,#REF!,1,FALSE())),"?TYPE_IDENTIFIABLE","?REFERENTIAL"),"_")))))</f>
        <v/>
      </c>
      <c r="H1529" s="23" t="str">
        <f t="shared" ca="1" si="163"/>
        <v/>
      </c>
      <c r="I1529" s="24" t="str">
        <f>IF(OR(E1529="",E1529="!!!",F1529="NEW"),"",INDEX(B$2:B1528,-1+SUMPRODUCT(MAX(ROW(E$2:E1528)*(E1529=E$2:E1528)))))</f>
        <v/>
      </c>
      <c r="J1529" s="24" t="str">
        <f ca="1">IF(OR(E1529="",E1529="!!!",F1529="NEW"),"",COUNTBLANK(OFFSET(A$1,,,SUMPRODUCT(MAX(ROW(E$2:E1529)*(E1529=E$2:E1529)))))-COUNTBLANK(OFFSET(A$1,,,SUMPRODUCT(MAX(ROW(E$1:E1528)*(E2=E$1:E1528))))))</f>
        <v/>
      </c>
      <c r="K1529" s="24" t="str">
        <f>IF(OR(E1529="",E1529="!!!",F1529="NEW"),"",INDEX(J$1:J1528,SUMPRODUCT(MAX(ROW(E$1:E1528)*(E1529=E$1:E1528)))))</f>
        <v/>
      </c>
      <c r="L1529" s="25"/>
    </row>
    <row r="1530" spans="1:12" x14ac:dyDescent="0.3">
      <c r="A1530" t="s">
        <v>303</v>
      </c>
      <c r="E1530" s="20" t="str">
        <f t="shared" si="162"/>
        <v/>
      </c>
      <c r="F1530" s="21" t="str">
        <f>IF(OR(E1530="",E1530="!!!"),"",IF(NOT(ISNA(VLOOKUP(E1530,E$1:E1529,1,FALSE()))),"OLD",IF(AND(E1530&lt;&gt;"",E1530&lt;&gt;"!!!"),"NEW","")))</f>
        <v/>
      </c>
      <c r="G1530" s="22" t="str">
        <f>IF(OR(E1530="",E1530="!!!"),"",IF(OR(J1530=0,AND(J1530=1,K1530=1),AND(J1530=1,I1530="SBJ"),AND(J1530=1,I1530=0)),"?IN_FOCUS",IF(J1530&lt;=2,"?ACTIVATED",IF(J1530&lt;&gt;"","?FAMILIAR",IF(F1530="NEW",IF(ISNA(VLOOKUP(E1530,#REF!,1,FALSE())),"?TYPE_IDENTIFIABLE","?REFERENTIAL"),"_")))))</f>
        <v/>
      </c>
      <c r="H1530" s="23" t="str">
        <f t="shared" ca="1" si="163"/>
        <v/>
      </c>
      <c r="I1530" s="24" t="str">
        <f>IF(OR(E1530="",E1530="!!!",F1530="NEW"),"",INDEX(B$2:B1529,-1+SUMPRODUCT(MAX(ROW(E$2:E1529)*(E1530=E$2:E1529)))))</f>
        <v/>
      </c>
      <c r="J1530" s="24" t="str">
        <f ca="1">IF(OR(E1530="",E1530="!!!",F1530="NEW"),"",COUNTBLANK(OFFSET(A$1,,,SUMPRODUCT(MAX(ROW(E$2:E1530)*(E1530=E$2:E1530)))))-COUNTBLANK(OFFSET(A$1,,,SUMPRODUCT(MAX(ROW(E$1:E1529)*(E2=E$1:E1529))))))</f>
        <v/>
      </c>
      <c r="K1530" s="24" t="str">
        <f>IF(OR(E1530="",E1530="!!!",F1530="NEW"),"",INDEX(J$1:J1529,SUMPRODUCT(MAX(ROW(E$1:E1529)*(E1530=E$1:E1529)))))</f>
        <v/>
      </c>
      <c r="L1530" s="25"/>
    </row>
    <row r="1531" spans="1:12" x14ac:dyDescent="0.3">
      <c r="A1531" t="s">
        <v>827</v>
      </c>
      <c r="B1531" s="26" t="s">
        <v>265</v>
      </c>
      <c r="C1531" s="26" t="s">
        <v>239</v>
      </c>
      <c r="D1531" s="26" t="s">
        <v>240</v>
      </c>
      <c r="E1531" s="20" t="str">
        <f t="shared" si="162"/>
        <v>!!!</v>
      </c>
      <c r="F1531" s="21" t="str">
        <f>IF(OR(E1531="",E1531="!!!"),"",IF(NOT(ISNA(VLOOKUP(E1531,E$1:E1530,1,FALSE()))),"OLD",IF(AND(E1531&lt;&gt;"",E1531&lt;&gt;"!!!"),"NEW","")))</f>
        <v/>
      </c>
      <c r="G1531" s="22" t="str">
        <f>IF(OR(E1531="",E1531="!!!"),"",IF(OR(J1531=0,AND(J1531=1,K1531=1),AND(J1531=1,I1531="SBJ"),AND(J1531=1,I1531=0)),"?IN_FOCUS",IF(J1531&lt;=2,"?ACTIVATED",IF(J1531&lt;&gt;"","?FAMILIAR",IF(F1531="NEW",IF(ISNA(VLOOKUP(E1531,#REF!,1,FALSE())),"?TYPE_IDENTIFIABLE","?REFERENTIAL"),"_")))))</f>
        <v/>
      </c>
      <c r="H1531" s="23" t="str">
        <f t="shared" ca="1" si="163"/>
        <v/>
      </c>
      <c r="I1531" s="24" t="str">
        <f>IF(OR(E1531="",E1531="!!!",F1531="NEW"),"",INDEX(B$2:B1530,-1+SUMPRODUCT(MAX(ROW(E$2:E1530)*(E1531=E$2:E1530)))))</f>
        <v/>
      </c>
      <c r="J1531" s="24" t="str">
        <f ca="1">IF(OR(E1531="",E1531="!!!",F1531="NEW"),"",COUNTBLANK(OFFSET(A$1,,,SUMPRODUCT(MAX(ROW(E$2:E1531)*(E1531=E$2:E1531)))))-COUNTBLANK(OFFSET(A$1,,,SUMPRODUCT(MAX(ROW(E$1:E1530)*(E2=E$1:E1530))))))</f>
        <v/>
      </c>
      <c r="K1531" s="24" t="str">
        <f>IF(OR(E1531="",E1531="!!!",F1531="NEW"),"",INDEX(J$1:J1530,SUMPRODUCT(MAX(ROW(E$1:E1530)*(E1531=E$1:E1530)))))</f>
        <v/>
      </c>
      <c r="L1531" s="25"/>
    </row>
    <row r="1532" spans="1:12" x14ac:dyDescent="0.3">
      <c r="A1532" t="s">
        <v>828</v>
      </c>
      <c r="E1532" s="20" t="str">
        <f t="shared" si="162"/>
        <v/>
      </c>
      <c r="F1532" s="21" t="str">
        <f>IF(OR(E1532="",E1532="!!!"),"",IF(NOT(ISNA(VLOOKUP(E1532,E$1:E1531,1,FALSE()))),"OLD",IF(AND(E1532&lt;&gt;"",E1532&lt;&gt;"!!!"),"NEW","")))</f>
        <v/>
      </c>
      <c r="G1532" s="22" t="str">
        <f>IF(OR(E1532="",E1532="!!!"),"",IF(OR(J1532=0,AND(J1532=1,K1532=1),AND(J1532=1,I1532="SBJ"),AND(J1532=1,I1532=0)),"?IN_FOCUS",IF(J1532&lt;=2,"?ACTIVATED",IF(J1532&lt;&gt;"","?FAMILIAR",IF(F1532="NEW",IF(ISNA(VLOOKUP(E1532,#REF!,1,FALSE())),"?TYPE_IDENTIFIABLE","?REFERENTIAL"),"_")))))</f>
        <v/>
      </c>
      <c r="H1532" s="23" t="str">
        <f t="shared" ca="1" si="163"/>
        <v/>
      </c>
      <c r="I1532" s="24" t="str">
        <f>IF(OR(E1532="",E1532="!!!",F1532="NEW"),"",INDEX(B$2:B1531,-1+SUMPRODUCT(MAX(ROW(E$2:E1531)*(E1532=E$2:E1531)))))</f>
        <v/>
      </c>
      <c r="J1532" s="24" t="str">
        <f ca="1">IF(OR(E1532="",E1532="!!!",F1532="NEW"),"",COUNTBLANK(OFFSET(A$1,,,SUMPRODUCT(MAX(ROW(E$2:E1532)*(E1532=E$2:E1532)))))-COUNTBLANK(OFFSET(A$1,,,SUMPRODUCT(MAX(ROW(E$1:E1531)*(E2=E$1:E1531))))))</f>
        <v/>
      </c>
      <c r="K1532" s="24" t="str">
        <f>IF(OR(E1532="",E1532="!!!",F1532="NEW"),"",INDEX(J$1:J1531,SUMPRODUCT(MAX(ROW(E$1:E1531)*(E1532=E$1:E1531)))))</f>
        <v/>
      </c>
      <c r="L1532" s="25"/>
    </row>
    <row r="1533" spans="1:12" x14ac:dyDescent="0.3">
      <c r="A1533" t="s">
        <v>248</v>
      </c>
      <c r="E1533" s="20" t="str">
        <f t="shared" si="162"/>
        <v/>
      </c>
      <c r="F1533" s="21" t="str">
        <f>IF(OR(E1533="",E1533="!!!"),"",IF(NOT(ISNA(VLOOKUP(E1533,E$1:E1532,1,FALSE()))),"OLD",IF(AND(E1533&lt;&gt;"",E1533&lt;&gt;"!!!"),"NEW","")))</f>
        <v/>
      </c>
      <c r="G1533" s="22" t="str">
        <f>IF(OR(E1533="",E1533="!!!"),"",IF(OR(J1533=0,AND(J1533=1,K1533=1),AND(J1533=1,I1533="SBJ"),AND(J1533=1,I1533=0)),"?IN_FOCUS",IF(J1533&lt;=2,"?ACTIVATED",IF(J1533&lt;&gt;"","?FAMILIAR",IF(F1533="NEW",IF(ISNA(VLOOKUP(E1533,#REF!,1,FALSE())),"?TYPE_IDENTIFIABLE","?REFERENTIAL"),"_")))))</f>
        <v/>
      </c>
      <c r="H1533" s="23" t="str">
        <f t="shared" ca="1" si="163"/>
        <v/>
      </c>
      <c r="I1533" s="24" t="str">
        <f>IF(OR(E1533="",E1533="!!!",F1533="NEW"),"",INDEX(B$2:B1532,-1+SUMPRODUCT(MAX(ROW(E$2:E1532)*(E1533=E$2:E1532)))))</f>
        <v/>
      </c>
      <c r="J1533" s="24" t="str">
        <f ca="1">IF(OR(E1533="",E1533="!!!",F1533="NEW"),"",COUNTBLANK(OFFSET(A$1,,,SUMPRODUCT(MAX(ROW(E$2:E1533)*(E1533=E$2:E1533)))))-COUNTBLANK(OFFSET(A$1,,,SUMPRODUCT(MAX(ROW(E$1:E1532)*(E2=E$1:E1532))))))</f>
        <v/>
      </c>
      <c r="K1533" s="24" t="str">
        <f>IF(OR(E1533="",E1533="!!!",F1533="NEW"),"",INDEX(J$1:J1532,SUMPRODUCT(MAX(ROW(E$1:E1532)*(E1533=E$1:E1532)))))</f>
        <v/>
      </c>
      <c r="L1533" s="25"/>
    </row>
    <row r="1535" spans="1:12" x14ac:dyDescent="0.3">
      <c r="A1535" t="s">
        <v>829</v>
      </c>
    </row>
    <row r="1536" spans="1:12" x14ac:dyDescent="0.3">
      <c r="A1536" t="s">
        <v>636</v>
      </c>
      <c r="E1536" s="20" t="str">
        <f t="shared" ref="E1536:E1545" si="164">IF(D1536="?OLD","!!!","")</f>
        <v/>
      </c>
      <c r="F1536" s="21" t="str">
        <f>IF(OR(E1536="",E1536="!!!"),"",IF(NOT(ISNA(VLOOKUP(E1536,E$1:E1535,1,FALSE()))),"OLD",IF(AND(E1536&lt;&gt;"",E1536&lt;&gt;"!!!"),"NEW","")))</f>
        <v/>
      </c>
      <c r="G1536" s="22" t="str">
        <f>IF(OR(E1536="",E1536="!!!"),"",IF(OR(J1536=0,AND(J1536=1,K1536=1),AND(J1536=1,I1536="SBJ"),AND(J1536=1,I1536=0)),"?IN_FOCUS",IF(J1536&lt;=2,"?ACTIVATED",IF(J1536&lt;&gt;"","?FAMILIAR",IF(F1536="NEW",IF(ISNA(VLOOKUP(E1536,#REF!,1,FALSE())),"?TYPE_IDENTIFIABLE","?REFERENTIAL"),"_")))))</f>
        <v/>
      </c>
      <c r="H1536" s="23" t="str">
        <f t="shared" ref="H1536:H1545" ca="1" si="165">IF(J1536&lt;&gt;1,"",IF(I1536="SBJ","CB","?"))</f>
        <v/>
      </c>
      <c r="I1536" s="24" t="str">
        <f>IF(OR(E1536="",E1536="!!!",F1536="NEW"),"",INDEX(B$2:B1535,-1+SUMPRODUCT(MAX(ROW(E$2:E1535)*(E1536=E$2:E1535)))))</f>
        <v/>
      </c>
      <c r="J1536" s="24" t="str">
        <f ca="1">IF(OR(E1536="",E1536="!!!",F1536="NEW"),"",COUNTBLANK(OFFSET(A$1,,,SUMPRODUCT(MAX(ROW(E$2:E1536)*(E1536=E$2:E1536)))))-COUNTBLANK(OFFSET(A$1,,,SUMPRODUCT(MAX(ROW(E$1:E1535)*(E2=E$1:E1535))))))</f>
        <v/>
      </c>
      <c r="K1536" s="24" t="str">
        <f>IF(OR(E1536="",E1536="!!!",F1536="NEW"),"",INDEX(J$1:J1535,SUMPRODUCT(MAX(ROW(E$1:E1535)*(E1536=E$1:E1535)))))</f>
        <v/>
      </c>
      <c r="L1536" s="25"/>
    </row>
    <row r="1537" spans="1:12" x14ac:dyDescent="0.3">
      <c r="A1537" t="s">
        <v>254</v>
      </c>
      <c r="B1537" s="26" t="s">
        <v>255</v>
      </c>
      <c r="C1537" s="26" t="s">
        <v>256</v>
      </c>
      <c r="D1537" s="26" t="s">
        <v>240</v>
      </c>
      <c r="E1537" s="20" t="str">
        <f t="shared" si="164"/>
        <v>!!!</v>
      </c>
      <c r="F1537" s="21" t="str">
        <f>IF(OR(E1537="",E1537="!!!"),"",IF(NOT(ISNA(VLOOKUP(E1537,E$1:E1536,1,FALSE()))),"OLD",IF(AND(E1537&lt;&gt;"",E1537&lt;&gt;"!!!"),"NEW","")))</f>
        <v/>
      </c>
      <c r="G1537" s="22" t="str">
        <f>IF(OR(E1537="",E1537="!!!"),"",IF(OR(J1537=0,AND(J1537=1,K1537=1),AND(J1537=1,I1537="SBJ"),AND(J1537=1,I1537=0)),"?IN_FOCUS",IF(J1537&lt;=2,"?ACTIVATED",IF(J1537&lt;&gt;"","?FAMILIAR",IF(F1537="NEW",IF(ISNA(VLOOKUP(E1537,#REF!,1,FALSE())),"?TYPE_IDENTIFIABLE","?REFERENTIAL"),"_")))))</f>
        <v/>
      </c>
      <c r="H1537" s="23" t="str">
        <f t="shared" ca="1" si="165"/>
        <v/>
      </c>
      <c r="I1537" s="24" t="str">
        <f>IF(OR(E1537="",E1537="!!!",F1537="NEW"),"",INDEX(B$2:B1536,-1+SUMPRODUCT(MAX(ROW(E$2:E1536)*(E1537=E$2:E1536)))))</f>
        <v/>
      </c>
      <c r="J1537" s="24" t="str">
        <f ca="1">IF(OR(E1537="",E1537="!!!",F1537="NEW"),"",COUNTBLANK(OFFSET(A$1,,,SUMPRODUCT(MAX(ROW(E$2:E1537)*(E1537=E$2:E1537)))))-COUNTBLANK(OFFSET(A$1,,,SUMPRODUCT(MAX(ROW(E$1:E1536)*(E2=E$1:E1536))))))</f>
        <v/>
      </c>
      <c r="K1537" s="24" t="str">
        <f>IF(OR(E1537="",E1537="!!!",F1537="NEW"),"",INDEX(J$1:J1536,SUMPRODUCT(MAX(ROW(E$1:E1536)*(E1537=E$1:E1536)))))</f>
        <v/>
      </c>
      <c r="L1537" s="25"/>
    </row>
    <row r="1538" spans="1:12" x14ac:dyDescent="0.3">
      <c r="A1538" t="s">
        <v>267</v>
      </c>
      <c r="B1538" s="26" t="s">
        <v>265</v>
      </c>
      <c r="C1538" s="26" t="s">
        <v>346</v>
      </c>
      <c r="D1538" s="26" t="s">
        <v>240</v>
      </c>
      <c r="E1538" s="20" t="str">
        <f t="shared" si="164"/>
        <v>!!!</v>
      </c>
      <c r="F1538" s="21" t="str">
        <f>IF(OR(E1538="",E1538="!!!"),"",IF(NOT(ISNA(VLOOKUP(E1538,E$1:E1537,1,FALSE()))),"OLD",IF(AND(E1538&lt;&gt;"",E1538&lt;&gt;"!!!"),"NEW","")))</f>
        <v/>
      </c>
      <c r="G1538" s="22" t="str">
        <f>IF(OR(E1538="",E1538="!!!"),"",IF(OR(J1538=0,AND(J1538=1,K1538=1),AND(J1538=1,I1538="SBJ"),AND(J1538=1,I1538=0)),"?IN_FOCUS",IF(J1538&lt;=2,"?ACTIVATED",IF(J1538&lt;&gt;"","?FAMILIAR",IF(F1538="NEW",IF(ISNA(VLOOKUP(E1538,#REF!,1,FALSE())),"?TYPE_IDENTIFIABLE","?REFERENTIAL"),"_")))))</f>
        <v/>
      </c>
      <c r="H1538" s="23" t="str">
        <f t="shared" ca="1" si="165"/>
        <v/>
      </c>
      <c r="I1538" s="24" t="str">
        <f>IF(OR(E1538="",E1538="!!!",F1538="NEW"),"",INDEX(B$2:B1537,-1+SUMPRODUCT(MAX(ROW(E$2:E1537)*(E1538=E$2:E1537)))))</f>
        <v/>
      </c>
      <c r="J1538" s="24" t="str">
        <f ca="1">IF(OR(E1538="",E1538="!!!",F1538="NEW"),"",COUNTBLANK(OFFSET(A$1,,,SUMPRODUCT(MAX(ROW(E$2:E1538)*(E1538=E$2:E1538)))))-COUNTBLANK(OFFSET(A$1,,,SUMPRODUCT(MAX(ROW(E$1:E1537)*(E2=E$1:E1537))))))</f>
        <v/>
      </c>
      <c r="K1538" s="24" t="str">
        <f>IF(OR(E1538="",E1538="!!!",F1538="NEW"),"",INDEX(J$1:J1537,SUMPRODUCT(MAX(ROW(E$1:E1537)*(E1538=E$1:E1537)))))</f>
        <v/>
      </c>
      <c r="L1538" s="25"/>
    </row>
    <row r="1539" spans="1:12" x14ac:dyDescent="0.3">
      <c r="A1539" t="s">
        <v>401</v>
      </c>
      <c r="E1539" s="20" t="str">
        <f t="shared" si="164"/>
        <v/>
      </c>
      <c r="F1539" s="21" t="str">
        <f>IF(OR(E1539="",E1539="!!!"),"",IF(NOT(ISNA(VLOOKUP(E1539,E$1:E1538,1,FALSE()))),"OLD",IF(AND(E1539&lt;&gt;"",E1539&lt;&gt;"!!!"),"NEW","")))</f>
        <v/>
      </c>
      <c r="G1539" s="22" t="str">
        <f>IF(OR(E1539="",E1539="!!!"),"",IF(OR(J1539=0,AND(J1539=1,K1539=1),AND(J1539=1,I1539="SBJ"),AND(J1539=1,I1539=0)),"?IN_FOCUS",IF(J1539&lt;=2,"?ACTIVATED",IF(J1539&lt;&gt;"","?FAMILIAR",IF(F1539="NEW",IF(ISNA(VLOOKUP(E1539,#REF!,1,FALSE())),"?TYPE_IDENTIFIABLE","?REFERENTIAL"),"_")))))</f>
        <v/>
      </c>
      <c r="H1539" s="23" t="str">
        <f t="shared" ca="1" si="165"/>
        <v/>
      </c>
      <c r="I1539" s="24" t="str">
        <f>IF(OR(E1539="",E1539="!!!",F1539="NEW"),"",INDEX(B$2:B1538,-1+SUMPRODUCT(MAX(ROW(E$2:E1538)*(E1539=E$2:E1538)))))</f>
        <v/>
      </c>
      <c r="J1539" s="24" t="str">
        <f ca="1">IF(OR(E1539="",E1539="!!!",F1539="NEW"),"",COUNTBLANK(OFFSET(A$1,,,SUMPRODUCT(MAX(ROW(E$2:E1539)*(E1539=E$2:E1539)))))-COUNTBLANK(OFFSET(A$1,,,SUMPRODUCT(MAX(ROW(E$1:E1538)*(E2=E$1:E1538))))))</f>
        <v/>
      </c>
      <c r="K1539" s="24" t="str">
        <f>IF(OR(E1539="",E1539="!!!",F1539="NEW"),"",INDEX(J$1:J1538,SUMPRODUCT(MAX(ROW(E$1:E1538)*(E1539=E$1:E1538)))))</f>
        <v/>
      </c>
      <c r="L1539" s="25"/>
    </row>
    <row r="1540" spans="1:12" x14ac:dyDescent="0.3">
      <c r="A1540" t="s">
        <v>252</v>
      </c>
      <c r="E1540" s="20" t="str">
        <f t="shared" si="164"/>
        <v/>
      </c>
      <c r="F1540" s="21" t="str">
        <f>IF(OR(E1540="",E1540="!!!"),"",IF(NOT(ISNA(VLOOKUP(E1540,E$1:E1539,1,FALSE()))),"OLD",IF(AND(E1540&lt;&gt;"",E1540&lt;&gt;"!!!"),"NEW","")))</f>
        <v/>
      </c>
      <c r="G1540" s="22" t="str">
        <f>IF(OR(E1540="",E1540="!!!"),"",IF(OR(J1540=0,AND(J1540=1,K1540=1),AND(J1540=1,I1540="SBJ"),AND(J1540=1,I1540=0)),"?IN_FOCUS",IF(J1540&lt;=2,"?ACTIVATED",IF(J1540&lt;&gt;"","?FAMILIAR",IF(F1540="NEW",IF(ISNA(VLOOKUP(E1540,#REF!,1,FALSE())),"?TYPE_IDENTIFIABLE","?REFERENTIAL"),"_")))))</f>
        <v/>
      </c>
      <c r="H1540" s="23" t="str">
        <f t="shared" ca="1" si="165"/>
        <v/>
      </c>
      <c r="I1540" s="24" t="str">
        <f>IF(OR(E1540="",E1540="!!!",F1540="NEW"),"",INDEX(B$2:B1539,-1+SUMPRODUCT(MAX(ROW(E$2:E1539)*(E1540=E$2:E1539)))))</f>
        <v/>
      </c>
      <c r="J1540" s="24" t="str">
        <f ca="1">IF(OR(E1540="",E1540="!!!",F1540="NEW"),"",COUNTBLANK(OFFSET(A$1,,,SUMPRODUCT(MAX(ROW(E$2:E1540)*(E1540=E$2:E1540)))))-COUNTBLANK(OFFSET(A$1,,,SUMPRODUCT(MAX(ROW(E$1:E1539)*(E2=E$1:E1539))))))</f>
        <v/>
      </c>
      <c r="K1540" s="24" t="str">
        <f>IF(OR(E1540="",E1540="!!!",F1540="NEW"),"",INDEX(J$1:J1539,SUMPRODUCT(MAX(ROW(E$1:E1539)*(E1540=E$1:E1539)))))</f>
        <v/>
      </c>
      <c r="L1540" s="25"/>
    </row>
    <row r="1541" spans="1:12" x14ac:dyDescent="0.3">
      <c r="A1541" t="s">
        <v>313</v>
      </c>
      <c r="E1541" s="20" t="str">
        <f t="shared" si="164"/>
        <v/>
      </c>
      <c r="F1541" s="21" t="str">
        <f>IF(OR(E1541="",E1541="!!!"),"",IF(NOT(ISNA(VLOOKUP(E1541,E$1:E1540,1,FALSE()))),"OLD",IF(AND(E1541&lt;&gt;"",E1541&lt;&gt;"!!!"),"NEW","")))</f>
        <v/>
      </c>
      <c r="G1541" s="22" t="str">
        <f>IF(OR(E1541="",E1541="!!!"),"",IF(OR(J1541=0,AND(J1541=1,K1541=1),AND(J1541=1,I1541="SBJ"),AND(J1541=1,I1541=0)),"?IN_FOCUS",IF(J1541&lt;=2,"?ACTIVATED",IF(J1541&lt;&gt;"","?FAMILIAR",IF(F1541="NEW",IF(ISNA(VLOOKUP(E1541,#REF!,1,FALSE())),"?TYPE_IDENTIFIABLE","?REFERENTIAL"),"_")))))</f>
        <v/>
      </c>
      <c r="H1541" s="23" t="str">
        <f t="shared" ca="1" si="165"/>
        <v/>
      </c>
      <c r="I1541" s="24" t="str">
        <f>IF(OR(E1541="",E1541="!!!",F1541="NEW"),"",INDEX(B$2:B1540,-1+SUMPRODUCT(MAX(ROW(E$2:E1540)*(E1541=E$2:E1540)))))</f>
        <v/>
      </c>
      <c r="J1541" s="24" t="str">
        <f ca="1">IF(OR(E1541="",E1541="!!!",F1541="NEW"),"",COUNTBLANK(OFFSET(A$1,,,SUMPRODUCT(MAX(ROW(E$2:E1541)*(E1541=E$2:E1541)))))-COUNTBLANK(OFFSET(A$1,,,SUMPRODUCT(MAX(ROW(E$1:E1540)*(E2=E$1:E1540))))))</f>
        <v/>
      </c>
      <c r="K1541" s="24" t="str">
        <f>IF(OR(E1541="",E1541="!!!",F1541="NEW"),"",INDEX(J$1:J1540,SUMPRODUCT(MAX(ROW(E$1:E1540)*(E1541=E$1:E1540)))))</f>
        <v/>
      </c>
      <c r="L1541" s="25"/>
    </row>
    <row r="1542" spans="1:12" x14ac:dyDescent="0.3">
      <c r="A1542" t="s">
        <v>267</v>
      </c>
      <c r="E1542" s="20" t="str">
        <f t="shared" si="164"/>
        <v/>
      </c>
      <c r="F1542" s="21" t="str">
        <f>IF(OR(E1542="",E1542="!!!"),"",IF(NOT(ISNA(VLOOKUP(E1542,E$1:E1541,1,FALSE()))),"OLD",IF(AND(E1542&lt;&gt;"",E1542&lt;&gt;"!!!"),"NEW","")))</f>
        <v/>
      </c>
      <c r="G1542" s="22" t="str">
        <f>IF(OR(E1542="",E1542="!!!"),"",IF(OR(J1542=0,AND(J1542=1,K1542=1),AND(J1542=1,I1542="SBJ"),AND(J1542=1,I1542=0)),"?IN_FOCUS",IF(J1542&lt;=2,"?ACTIVATED",IF(J1542&lt;&gt;"","?FAMILIAR",IF(F1542="NEW",IF(ISNA(VLOOKUP(E1542,#REF!,1,FALSE())),"?TYPE_IDENTIFIABLE","?REFERENTIAL"),"_")))))</f>
        <v/>
      </c>
      <c r="H1542" s="23" t="str">
        <f t="shared" ca="1" si="165"/>
        <v/>
      </c>
      <c r="I1542" s="24" t="str">
        <f>IF(OR(E1542="",E1542="!!!",F1542="NEW"),"",INDEX(B$2:B1541,-1+SUMPRODUCT(MAX(ROW(E$2:E1541)*(E1542=E$2:E1541)))))</f>
        <v/>
      </c>
      <c r="J1542" s="24" t="str">
        <f ca="1">IF(OR(E1542="",E1542="!!!",F1542="NEW"),"",COUNTBLANK(OFFSET(A$1,,,SUMPRODUCT(MAX(ROW(E$2:E1542)*(E1542=E$2:E1542)))))-COUNTBLANK(OFFSET(A$1,,,SUMPRODUCT(MAX(ROW(E$1:E1541)*(E2=E$1:E1541))))))</f>
        <v/>
      </c>
      <c r="K1542" s="24" t="str">
        <f>IF(OR(E1542="",E1542="!!!",F1542="NEW"),"",INDEX(J$1:J1541,SUMPRODUCT(MAX(ROW(E$1:E1541)*(E1542=E$1:E1541)))))</f>
        <v/>
      </c>
      <c r="L1542" s="25"/>
    </row>
    <row r="1543" spans="1:12" x14ac:dyDescent="0.3">
      <c r="A1543" t="s">
        <v>830</v>
      </c>
      <c r="B1543" s="26" t="s">
        <v>292</v>
      </c>
      <c r="C1543" s="26" t="s">
        <v>305</v>
      </c>
      <c r="E1543" s="20" t="str">
        <f t="shared" si="164"/>
        <v/>
      </c>
      <c r="F1543" s="21" t="str">
        <f>IF(OR(E1543="",E1543="!!!"),"",IF(NOT(ISNA(VLOOKUP(E1543,E$1:E1542,1,FALSE()))),"OLD",IF(AND(E1543&lt;&gt;"",E1543&lt;&gt;"!!!"),"NEW","")))</f>
        <v/>
      </c>
      <c r="G1543" s="22" t="str">
        <f>IF(OR(E1543="",E1543="!!!"),"",IF(OR(J1543=0,AND(J1543=1,K1543=1),AND(J1543=1,I1543="SBJ"),AND(J1543=1,I1543=0)),"?IN_FOCUS",IF(J1543&lt;=2,"?ACTIVATED",IF(J1543&lt;&gt;"","?FAMILIAR",IF(F1543="NEW",IF(ISNA(VLOOKUP(E1543,#REF!,1,FALSE())),"?TYPE_IDENTIFIABLE","?REFERENTIAL"),"_")))))</f>
        <v/>
      </c>
      <c r="H1543" s="23" t="str">
        <f t="shared" ca="1" si="165"/>
        <v/>
      </c>
      <c r="I1543" s="24" t="str">
        <f>IF(OR(E1543="",E1543="!!!",F1543="NEW"),"",INDEX(B$2:B1542,-1+SUMPRODUCT(MAX(ROW(E$2:E1542)*(E1543=E$2:E1542)))))</f>
        <v/>
      </c>
      <c r="J1543" s="24" t="str">
        <f ca="1">IF(OR(E1543="",E1543="!!!",F1543="NEW"),"",COUNTBLANK(OFFSET(A$1,,,SUMPRODUCT(MAX(ROW(E$2:E1543)*(E1543=E$2:E1543)))))-COUNTBLANK(OFFSET(A$1,,,SUMPRODUCT(MAX(ROW(E$1:E1542)*(E2=E$1:E1542))))))</f>
        <v/>
      </c>
      <c r="K1543" s="24" t="str">
        <f>IF(OR(E1543="",E1543="!!!",F1543="NEW"),"",INDEX(J$1:J1542,SUMPRODUCT(MAX(ROW(E$1:E1542)*(E1543=E$1:E1542)))))</f>
        <v/>
      </c>
      <c r="L1543" s="25"/>
    </row>
    <row r="1544" spans="1:12" x14ac:dyDescent="0.3">
      <c r="A1544" t="s">
        <v>828</v>
      </c>
      <c r="E1544" s="20" t="str">
        <f t="shared" si="164"/>
        <v/>
      </c>
      <c r="F1544" s="21" t="str">
        <f>IF(OR(E1544="",E1544="!!!"),"",IF(NOT(ISNA(VLOOKUP(E1544,E$1:E1543,1,FALSE()))),"OLD",IF(AND(E1544&lt;&gt;"",E1544&lt;&gt;"!!!"),"NEW","")))</f>
        <v/>
      </c>
      <c r="G1544" s="22" t="str">
        <f>IF(OR(E1544="",E1544="!!!"),"",IF(OR(J1544=0,AND(J1544=1,K1544=1),AND(J1544=1,I1544="SBJ"),AND(J1544=1,I1544=0)),"?IN_FOCUS",IF(J1544&lt;=2,"?ACTIVATED",IF(J1544&lt;&gt;"","?FAMILIAR",IF(F1544="NEW",IF(ISNA(VLOOKUP(E1544,#REF!,1,FALSE())),"?TYPE_IDENTIFIABLE","?REFERENTIAL"),"_")))))</f>
        <v/>
      </c>
      <c r="H1544" s="23" t="str">
        <f t="shared" ca="1" si="165"/>
        <v/>
      </c>
      <c r="I1544" s="24" t="str">
        <f>IF(OR(E1544="",E1544="!!!",F1544="NEW"),"",INDEX(B$2:B1543,-1+SUMPRODUCT(MAX(ROW(E$2:E1543)*(E1544=E$2:E1543)))))</f>
        <v/>
      </c>
      <c r="J1544" s="24" t="str">
        <f ca="1">IF(OR(E1544="",E1544="!!!",F1544="NEW"),"",COUNTBLANK(OFFSET(A$1,,,SUMPRODUCT(MAX(ROW(E$2:E1544)*(E1544=E$2:E1544)))))-COUNTBLANK(OFFSET(A$1,,,SUMPRODUCT(MAX(ROW(E$1:E1543)*(E2=E$1:E1543))))))</f>
        <v/>
      </c>
      <c r="K1544" s="24" t="str">
        <f>IF(OR(E1544="",E1544="!!!",F1544="NEW"),"",INDEX(J$1:J1543,SUMPRODUCT(MAX(ROW(E$1:E1543)*(E1544=E$1:E1543)))))</f>
        <v/>
      </c>
      <c r="L1544" s="25"/>
    </row>
    <row r="1545" spans="1:12" x14ac:dyDescent="0.3">
      <c r="A1545" t="s">
        <v>248</v>
      </c>
      <c r="E1545" s="20" t="str">
        <f t="shared" si="164"/>
        <v/>
      </c>
      <c r="F1545" s="21" t="str">
        <f>IF(OR(E1545="",E1545="!!!"),"",IF(NOT(ISNA(VLOOKUP(E1545,E$1:E1544,1,FALSE()))),"OLD",IF(AND(E1545&lt;&gt;"",E1545&lt;&gt;"!!!"),"NEW","")))</f>
        <v/>
      </c>
      <c r="G1545" s="22" t="str">
        <f>IF(OR(E1545="",E1545="!!!"),"",IF(OR(J1545=0,AND(J1545=1,K1545=1),AND(J1545=1,I1545="SBJ"),AND(J1545=1,I1545=0)),"?IN_FOCUS",IF(J1545&lt;=2,"?ACTIVATED",IF(J1545&lt;&gt;"","?FAMILIAR",IF(F1545="NEW",IF(ISNA(VLOOKUP(E1545,#REF!,1,FALSE())),"?TYPE_IDENTIFIABLE","?REFERENTIAL"),"_")))))</f>
        <v/>
      </c>
      <c r="H1545" s="23" t="str">
        <f t="shared" ca="1" si="165"/>
        <v/>
      </c>
      <c r="I1545" s="24" t="str">
        <f>IF(OR(E1545="",E1545="!!!",F1545="NEW"),"",INDEX(B$2:B1544,-1+SUMPRODUCT(MAX(ROW(E$2:E1544)*(E1545=E$2:E1544)))))</f>
        <v/>
      </c>
      <c r="J1545" s="24" t="str">
        <f ca="1">IF(OR(E1545="",E1545="!!!",F1545="NEW"),"",COUNTBLANK(OFFSET(A$1,,,SUMPRODUCT(MAX(ROW(E$2:E1545)*(E1545=E$2:E1545)))))-COUNTBLANK(OFFSET(A$1,,,SUMPRODUCT(MAX(ROW(E$1:E1544)*(E2=E$1:E1544))))))</f>
        <v/>
      </c>
      <c r="K1545" s="24" t="str">
        <f>IF(OR(E1545="",E1545="!!!",F1545="NEW"),"",INDEX(J$1:J1544,SUMPRODUCT(MAX(ROW(E$1:E1544)*(E1545=E$1:E1544)))))</f>
        <v/>
      </c>
      <c r="L1545" s="25"/>
    </row>
    <row r="1547" spans="1:12" x14ac:dyDescent="0.3">
      <c r="A1547" t="s">
        <v>831</v>
      </c>
    </row>
    <row r="1548" spans="1:12" x14ac:dyDescent="0.3">
      <c r="A1548" t="s">
        <v>723</v>
      </c>
      <c r="E1548" s="20" t="str">
        <f>IF(D1548="?OLD","!!!","")</f>
        <v/>
      </c>
      <c r="F1548" s="21" t="str">
        <f>IF(OR(E1548="",E1548="!!!"),"",IF(NOT(ISNA(VLOOKUP(E1548,E$1:E1547,1,FALSE()))),"OLD",IF(AND(E1548&lt;&gt;"",E1548&lt;&gt;"!!!"),"NEW","")))</f>
        <v/>
      </c>
      <c r="G1548" s="22" t="str">
        <f>IF(OR(E1548="",E1548="!!!"),"",IF(OR(J1548=0,AND(J1548=1,K1548=1),AND(J1548=1,I1548="SBJ"),AND(J1548=1,I1548=0)),"?IN_FOCUS",IF(J1548&lt;=2,"?ACTIVATED",IF(J1548&lt;&gt;"","?FAMILIAR",IF(F1548="NEW",IF(ISNA(VLOOKUP(E1548,#REF!,1,FALSE())),"?TYPE_IDENTIFIABLE","?REFERENTIAL"),"_")))))</f>
        <v/>
      </c>
      <c r="H1548" s="23" t="str">
        <f ca="1">IF(J1548&lt;&gt;1,"",IF(I1548="SBJ","CB","?"))</f>
        <v/>
      </c>
      <c r="I1548" s="24" t="str">
        <f>IF(OR(E1548="",E1548="!!!",F1548="NEW"),"",INDEX(B$2:B1547,-1+SUMPRODUCT(MAX(ROW(E$2:E1547)*(E1548=E$2:E1547)))))</f>
        <v/>
      </c>
      <c r="J1548" s="24" t="str">
        <f ca="1">IF(OR(E1548="",E1548="!!!",F1548="NEW"),"",COUNTBLANK(OFFSET(A$1,,,SUMPRODUCT(MAX(ROW(E$2:E1548)*(E1548=E$2:E1548)))))-COUNTBLANK(OFFSET(A$1,,,SUMPRODUCT(MAX(ROW(E$1:E1547)*(E2=E$1:E1547))))))</f>
        <v/>
      </c>
      <c r="K1548" s="24" t="str">
        <f>IF(OR(E1548="",E1548="!!!",F1548="NEW"),"",INDEX(J$1:J1547,SUMPRODUCT(MAX(ROW(E$1:E1547)*(E1548=E$1:E1547)))))</f>
        <v/>
      </c>
      <c r="L1548" s="25"/>
    </row>
    <row r="1549" spans="1:12" x14ac:dyDescent="0.3">
      <c r="A1549" t="s">
        <v>724</v>
      </c>
      <c r="B1549" s="26" t="s">
        <v>238</v>
      </c>
      <c r="C1549" s="26" t="s">
        <v>307</v>
      </c>
      <c r="E1549" s="20" t="str">
        <f>IF(D1549="?OLD","!!!","")</f>
        <v/>
      </c>
      <c r="F1549" s="21" t="str">
        <f>IF(OR(E1549="",E1549="!!!"),"",IF(NOT(ISNA(VLOOKUP(E1549,E$1:E1548,1,FALSE()))),"OLD",IF(AND(E1549&lt;&gt;"",E1549&lt;&gt;"!!!"),"NEW","")))</f>
        <v/>
      </c>
      <c r="G1549" s="22" t="str">
        <f>IF(OR(E1549="",E1549="!!!"),"",IF(OR(J1549=0,AND(J1549=1,K1549=1),AND(J1549=1,I1549="SBJ"),AND(J1549=1,I1549=0)),"?IN_FOCUS",IF(J1549&lt;=2,"?ACTIVATED",IF(J1549&lt;&gt;"","?FAMILIAR",IF(F1549="NEW",IF(ISNA(VLOOKUP(E1549,#REF!,1,FALSE())),"?TYPE_IDENTIFIABLE","?REFERENTIAL"),"_")))))</f>
        <v/>
      </c>
      <c r="H1549" s="23" t="str">
        <f ca="1">IF(J1549&lt;&gt;1,"",IF(I1549="SBJ","CB","?"))</f>
        <v/>
      </c>
      <c r="I1549" s="24" t="str">
        <f>IF(OR(E1549="",E1549="!!!",F1549="NEW"),"",INDEX(B$2:B1548,-1+SUMPRODUCT(MAX(ROW(E$2:E1548)*(E1549=E$2:E1548)))))</f>
        <v/>
      </c>
      <c r="J1549" s="24" t="str">
        <f ca="1">IF(OR(E1549="",E1549="!!!",F1549="NEW"),"",COUNTBLANK(OFFSET(A$1,,,SUMPRODUCT(MAX(ROW(E$2:E1549)*(E1549=E$2:E1549)))))-COUNTBLANK(OFFSET(A$1,,,SUMPRODUCT(MAX(ROW(E$1:E1548)*(E2=E$1:E1548))))))</f>
        <v/>
      </c>
      <c r="K1549" s="24" t="str">
        <f>IF(OR(E1549="",E1549="!!!",F1549="NEW"),"",INDEX(J$1:J1548,SUMPRODUCT(MAX(ROW(E$1:E1548)*(E1549=E$1:E1548)))))</f>
        <v/>
      </c>
      <c r="L1549" s="25"/>
    </row>
    <row r="1550" spans="1:12" x14ac:dyDescent="0.3">
      <c r="A1550" t="s">
        <v>248</v>
      </c>
      <c r="E1550" s="20" t="str">
        <f>IF(D1550="?OLD","!!!","")</f>
        <v/>
      </c>
      <c r="F1550" s="21" t="str">
        <f>IF(OR(E1550="",E1550="!!!"),"",IF(NOT(ISNA(VLOOKUP(E1550,E$1:E1549,1,FALSE()))),"OLD",IF(AND(E1550&lt;&gt;"",E1550&lt;&gt;"!!!"),"NEW","")))</f>
        <v/>
      </c>
      <c r="G1550" s="22" t="str">
        <f>IF(OR(E1550="",E1550="!!!"),"",IF(OR(J1550=0,AND(J1550=1,K1550=1),AND(J1550=1,I1550="SBJ"),AND(J1550=1,I1550=0)),"?IN_FOCUS",IF(J1550&lt;=2,"?ACTIVATED",IF(J1550&lt;&gt;"","?FAMILIAR",IF(F1550="NEW",IF(ISNA(VLOOKUP(E1550,#REF!,1,FALSE())),"?TYPE_IDENTIFIABLE","?REFERENTIAL"),"_")))))</f>
        <v/>
      </c>
      <c r="H1550" s="23" t="str">
        <f ca="1">IF(J1550&lt;&gt;1,"",IF(I1550="SBJ","CB","?"))</f>
        <v/>
      </c>
      <c r="I1550" s="24" t="str">
        <f>IF(OR(E1550="",E1550="!!!",F1550="NEW"),"",INDEX(B$2:B1549,-1+SUMPRODUCT(MAX(ROW(E$2:E1549)*(E1550=E$2:E1549)))))</f>
        <v/>
      </c>
      <c r="J1550" s="24" t="str">
        <f ca="1">IF(OR(E1550="",E1550="!!!",F1550="NEW"),"",COUNTBLANK(OFFSET(A$1,,,SUMPRODUCT(MAX(ROW(E$2:E1550)*(E1550=E$2:E1550)))))-COUNTBLANK(OFFSET(A$1,,,SUMPRODUCT(MAX(ROW(E$1:E1549)*(E2=E$1:E1549))))))</f>
        <v/>
      </c>
      <c r="K1550" s="24" t="str">
        <f>IF(OR(E1550="",E1550="!!!",F1550="NEW"),"",INDEX(J$1:J1549,SUMPRODUCT(MAX(ROW(E$1:E1549)*(E1550=E$1:E1549)))))</f>
        <v/>
      </c>
      <c r="L1550" s="25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Tabea Gröger</cp:lastModifiedBy>
  <dcterms:created xsi:type="dcterms:W3CDTF">2025-07-15T17:44:52Z</dcterms:created>
  <dcterms:modified xsi:type="dcterms:W3CDTF">2025-08-12T17:04:07Z</dcterms:modified>
</cp:coreProperties>
</file>