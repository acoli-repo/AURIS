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11619ADD-4BA1-42D8-AE99-9D6AD3AC7BBF}" xr6:coauthVersionLast="47" xr6:coauthVersionMax="47" xr10:uidLastSave="{00000000-0000-0000-0000-000000000000}"/>
  <bookViews>
    <workbookView xWindow="-96" yWindow="0" windowWidth="15324" windowHeight="12336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E1138" i="2" l="1"/>
  <c r="E1135" i="2"/>
  <c r="G1135" i="2" s="1"/>
  <c r="E1134" i="2"/>
  <c r="G1134" i="2" s="1"/>
  <c r="G1133" i="2"/>
  <c r="E1133" i="2"/>
  <c r="F1133" i="2" s="1"/>
  <c r="G1132" i="2"/>
  <c r="F1132" i="2"/>
  <c r="I1132" i="2" s="1"/>
  <c r="E1132" i="2"/>
  <c r="K1132" i="2" s="1"/>
  <c r="F1131" i="2"/>
  <c r="E1131" i="2"/>
  <c r="E1130" i="2"/>
  <c r="E1129" i="2"/>
  <c r="E1128" i="2"/>
  <c r="E1127" i="2"/>
  <c r="G1127" i="2" s="1"/>
  <c r="G1126" i="2"/>
  <c r="E1126" i="2"/>
  <c r="F1126" i="2" s="1"/>
  <c r="J1125" i="2"/>
  <c r="H1125" i="2" s="1"/>
  <c r="I1125" i="2"/>
  <c r="G1125" i="2"/>
  <c r="F1125" i="2"/>
  <c r="K1125" i="2" s="1"/>
  <c r="E1125" i="2"/>
  <c r="G1124" i="2"/>
  <c r="F1124" i="2"/>
  <c r="I1124" i="2" s="1"/>
  <c r="E1124" i="2"/>
  <c r="F1123" i="2"/>
  <c r="E1123" i="2"/>
  <c r="E1122" i="2"/>
  <c r="E1121" i="2"/>
  <c r="E1120" i="2"/>
  <c r="K1119" i="2"/>
  <c r="J1119" i="2"/>
  <c r="H1119" i="2" s="1"/>
  <c r="I1119" i="2"/>
  <c r="F1119" i="2"/>
  <c r="E1119" i="2"/>
  <c r="G1119" i="2" s="1"/>
  <c r="I1118" i="2"/>
  <c r="G1118" i="2"/>
  <c r="E1118" i="2"/>
  <c r="F1118" i="2" s="1"/>
  <c r="K1118" i="2" s="1"/>
  <c r="J1117" i="2"/>
  <c r="H1117" i="2" s="1"/>
  <c r="I1117" i="2"/>
  <c r="G1117" i="2"/>
  <c r="F1117" i="2"/>
  <c r="K1117" i="2" s="1"/>
  <c r="E1117" i="2"/>
  <c r="I1116" i="2"/>
  <c r="G1116" i="2"/>
  <c r="F1116" i="2"/>
  <c r="E1116" i="2"/>
  <c r="G1115" i="2"/>
  <c r="F1115" i="2"/>
  <c r="E1115" i="2"/>
  <c r="E1114" i="2"/>
  <c r="E1113" i="2"/>
  <c r="E1112" i="2"/>
  <c r="K1111" i="2"/>
  <c r="J1111" i="2"/>
  <c r="H1111" i="2" s="1"/>
  <c r="I1111" i="2"/>
  <c r="F1111" i="2"/>
  <c r="E1111" i="2"/>
  <c r="G1111" i="2" s="1"/>
  <c r="K1110" i="2"/>
  <c r="J1110" i="2"/>
  <c r="H1110" i="2" s="1"/>
  <c r="G1110" i="2"/>
  <c r="E1110" i="2"/>
  <c r="F1110" i="2" s="1"/>
  <c r="I1110" i="2" s="1"/>
  <c r="J1109" i="2"/>
  <c r="H1109" i="2" s="1"/>
  <c r="I1109" i="2"/>
  <c r="G1109" i="2"/>
  <c r="F1109" i="2"/>
  <c r="K1109" i="2" s="1"/>
  <c r="E1109" i="2"/>
  <c r="G1106" i="2"/>
  <c r="F1106" i="2"/>
  <c r="I1106" i="2" s="1"/>
  <c r="E1106" i="2"/>
  <c r="E1105" i="2"/>
  <c r="E1104" i="2"/>
  <c r="K1103" i="2"/>
  <c r="F1103" i="2"/>
  <c r="E1103" i="2"/>
  <c r="E1102" i="2"/>
  <c r="K1101" i="2"/>
  <c r="J1101" i="2"/>
  <c r="H1101" i="2" s="1"/>
  <c r="I1101" i="2"/>
  <c r="F1101" i="2"/>
  <c r="E1101" i="2"/>
  <c r="G1101" i="2" s="1"/>
  <c r="G1100" i="2"/>
  <c r="E1100" i="2"/>
  <c r="F1100" i="2" s="1"/>
  <c r="J1099" i="2"/>
  <c r="H1099" i="2" s="1"/>
  <c r="I1099" i="2"/>
  <c r="G1099" i="2"/>
  <c r="F1099" i="2"/>
  <c r="K1099" i="2" s="1"/>
  <c r="E1099" i="2"/>
  <c r="I1098" i="2"/>
  <c r="G1098" i="2"/>
  <c r="F1098" i="2"/>
  <c r="E1098" i="2"/>
  <c r="E1097" i="2"/>
  <c r="G1096" i="2"/>
  <c r="F1096" i="2"/>
  <c r="E1096" i="2"/>
  <c r="F1095" i="2"/>
  <c r="E1095" i="2"/>
  <c r="E1094" i="2"/>
  <c r="K1093" i="2"/>
  <c r="J1093" i="2"/>
  <c r="H1093" i="2" s="1"/>
  <c r="I1093" i="2"/>
  <c r="F1093" i="2"/>
  <c r="E1093" i="2"/>
  <c r="G1093" i="2" s="1"/>
  <c r="J1092" i="2"/>
  <c r="H1092" i="2" s="1"/>
  <c r="I1092" i="2"/>
  <c r="G1092" i="2"/>
  <c r="E1092" i="2"/>
  <c r="F1092" i="2" s="1"/>
  <c r="K1092" i="2" s="1"/>
  <c r="J1091" i="2"/>
  <c r="H1091" i="2" s="1"/>
  <c r="I1091" i="2"/>
  <c r="G1091" i="2"/>
  <c r="F1091" i="2"/>
  <c r="K1091" i="2" s="1"/>
  <c r="E1091" i="2"/>
  <c r="I1090" i="2"/>
  <c r="G1090" i="2"/>
  <c r="F1090" i="2"/>
  <c r="E1090" i="2"/>
  <c r="G1089" i="2"/>
  <c r="F1089" i="2"/>
  <c r="E1089" i="2"/>
  <c r="F1086" i="2"/>
  <c r="E1086" i="2"/>
  <c r="F1085" i="2"/>
  <c r="E1085" i="2"/>
  <c r="E1084" i="2"/>
  <c r="K1083" i="2"/>
  <c r="J1083" i="2"/>
  <c r="H1083" i="2" s="1"/>
  <c r="I1083" i="2"/>
  <c r="F1083" i="2"/>
  <c r="E1083" i="2"/>
  <c r="G1083" i="2" s="1"/>
  <c r="K1082" i="2"/>
  <c r="J1082" i="2"/>
  <c r="H1082" i="2" s="1"/>
  <c r="G1082" i="2"/>
  <c r="E1082" i="2"/>
  <c r="F1082" i="2" s="1"/>
  <c r="I1082" i="2" s="1"/>
  <c r="J1081" i="2"/>
  <c r="H1081" i="2" s="1"/>
  <c r="I1081" i="2"/>
  <c r="G1081" i="2"/>
  <c r="F1081" i="2"/>
  <c r="K1081" i="2" s="1"/>
  <c r="E1081" i="2"/>
  <c r="G1080" i="2"/>
  <c r="F1080" i="2"/>
  <c r="I1080" i="2" s="1"/>
  <c r="E1080" i="2"/>
  <c r="F1079" i="2"/>
  <c r="E1079" i="2"/>
  <c r="E1078" i="2"/>
  <c r="K1077" i="2"/>
  <c r="F1077" i="2"/>
  <c r="E1077" i="2"/>
  <c r="E1076" i="2"/>
  <c r="K1075" i="2"/>
  <c r="J1075" i="2"/>
  <c r="H1075" i="2" s="1"/>
  <c r="I1075" i="2"/>
  <c r="F1075" i="2"/>
  <c r="E1075" i="2"/>
  <c r="G1075" i="2" s="1"/>
  <c r="G1074" i="2"/>
  <c r="E1074" i="2"/>
  <c r="F1074" i="2" s="1"/>
  <c r="K1074" i="2" s="1"/>
  <c r="J1073" i="2"/>
  <c r="H1073" i="2" s="1"/>
  <c r="I1073" i="2"/>
  <c r="G1073" i="2"/>
  <c r="F1073" i="2"/>
  <c r="K1073" i="2" s="1"/>
  <c r="E1073" i="2"/>
  <c r="I1072" i="2"/>
  <c r="G1072" i="2"/>
  <c r="F1072" i="2"/>
  <c r="E1072" i="2"/>
  <c r="K1072" i="2" s="1"/>
  <c r="F1069" i="2"/>
  <c r="E1069" i="2"/>
  <c r="G1068" i="2"/>
  <c r="F1068" i="2"/>
  <c r="E1068" i="2"/>
  <c r="K1067" i="2"/>
  <c r="F1067" i="2"/>
  <c r="E1067" i="2"/>
  <c r="E1066" i="2"/>
  <c r="K1065" i="2"/>
  <c r="J1065" i="2"/>
  <c r="H1065" i="2" s="1"/>
  <c r="I1065" i="2"/>
  <c r="F1065" i="2"/>
  <c r="E1065" i="2"/>
  <c r="G1065" i="2" s="1"/>
  <c r="K1064" i="2"/>
  <c r="J1064" i="2"/>
  <c r="H1064" i="2" s="1"/>
  <c r="I1064" i="2"/>
  <c r="G1064" i="2"/>
  <c r="E1064" i="2"/>
  <c r="F1064" i="2" s="1"/>
  <c r="J1061" i="2"/>
  <c r="H1061" i="2" s="1"/>
  <c r="I1061" i="2"/>
  <c r="G1061" i="2"/>
  <c r="F1061" i="2"/>
  <c r="K1061" i="2" s="1"/>
  <c r="E1061" i="2"/>
  <c r="G1060" i="2"/>
  <c r="F1060" i="2"/>
  <c r="I1060" i="2" s="1"/>
  <c r="E1060" i="2"/>
  <c r="K1060" i="2" s="1"/>
  <c r="G1059" i="2"/>
  <c r="F1059" i="2"/>
  <c r="E1059" i="2"/>
  <c r="G1058" i="2"/>
  <c r="F1058" i="2"/>
  <c r="E1058" i="2"/>
  <c r="K1057" i="2"/>
  <c r="J1057" i="2"/>
  <c r="H1057" i="2" s="1"/>
  <c r="F1057" i="2"/>
  <c r="E1057" i="2"/>
  <c r="E1056" i="2"/>
  <c r="K1055" i="2"/>
  <c r="J1055" i="2"/>
  <c r="H1055" i="2" s="1"/>
  <c r="I1055" i="2"/>
  <c r="F1055" i="2"/>
  <c r="E1055" i="2"/>
  <c r="G1055" i="2" s="1"/>
  <c r="I1054" i="2"/>
  <c r="G1054" i="2"/>
  <c r="E1054" i="2"/>
  <c r="F1054" i="2" s="1"/>
  <c r="K1054" i="2" s="1"/>
  <c r="G1053" i="2"/>
  <c r="F1053" i="2"/>
  <c r="E1053" i="2"/>
  <c r="I1050" i="2"/>
  <c r="F1050" i="2"/>
  <c r="E1050" i="2"/>
  <c r="G1049" i="2"/>
  <c r="F1049" i="2"/>
  <c r="E1049" i="2"/>
  <c r="F1048" i="2"/>
  <c r="K1048" i="2" s="1"/>
  <c r="E1048" i="2"/>
  <c r="F1047" i="2"/>
  <c r="J1047" i="2" s="1"/>
  <c r="H1047" i="2" s="1"/>
  <c r="E1047" i="2"/>
  <c r="E1046" i="2"/>
  <c r="K1045" i="2"/>
  <c r="J1045" i="2"/>
  <c r="H1045" i="2" s="1"/>
  <c r="I1045" i="2"/>
  <c r="F1045" i="2"/>
  <c r="E1045" i="2"/>
  <c r="G1045" i="2" s="1"/>
  <c r="G1044" i="2"/>
  <c r="E1044" i="2"/>
  <c r="F1044" i="2" s="1"/>
  <c r="K1044" i="2" s="1"/>
  <c r="J1043" i="2"/>
  <c r="H1043" i="2" s="1"/>
  <c r="G1043" i="2"/>
  <c r="F1043" i="2"/>
  <c r="K1043" i="2" s="1"/>
  <c r="E1043" i="2"/>
  <c r="E1042" i="2"/>
  <c r="E1039" i="2"/>
  <c r="E1038" i="2"/>
  <c r="F1037" i="2"/>
  <c r="E1037" i="2"/>
  <c r="K1036" i="2"/>
  <c r="G1036" i="2"/>
  <c r="E1036" i="2"/>
  <c r="F1036" i="2" s="1"/>
  <c r="J1036" i="2" s="1"/>
  <c r="H1036" i="2" s="1"/>
  <c r="K1035" i="2"/>
  <c r="J1035" i="2"/>
  <c r="H1035" i="2" s="1"/>
  <c r="I1035" i="2"/>
  <c r="F1035" i="2"/>
  <c r="E1035" i="2"/>
  <c r="G1035" i="2" s="1"/>
  <c r="G1034" i="2"/>
  <c r="E1034" i="2"/>
  <c r="F1034" i="2" s="1"/>
  <c r="G1033" i="2"/>
  <c r="F1033" i="2"/>
  <c r="K1033" i="2" s="1"/>
  <c r="E1033" i="2"/>
  <c r="K1032" i="2"/>
  <c r="I1032" i="2"/>
  <c r="F1032" i="2"/>
  <c r="E1032" i="2"/>
  <c r="G1031" i="2"/>
  <c r="F1031" i="2"/>
  <c r="J1031" i="2" s="1"/>
  <c r="H1031" i="2" s="1"/>
  <c r="E1031" i="2"/>
  <c r="E1030" i="2"/>
  <c r="E1029" i="2"/>
  <c r="I1028" i="2"/>
  <c r="G1028" i="2"/>
  <c r="E1028" i="2"/>
  <c r="F1028" i="2" s="1"/>
  <c r="F1027" i="2"/>
  <c r="K1027" i="2" s="1"/>
  <c r="E1027" i="2"/>
  <c r="G1027" i="2" s="1"/>
  <c r="K1026" i="2"/>
  <c r="J1026" i="2"/>
  <c r="H1026" i="2" s="1"/>
  <c r="G1026" i="2"/>
  <c r="E1026" i="2"/>
  <c r="F1026" i="2" s="1"/>
  <c r="J1025" i="2"/>
  <c r="H1025" i="2" s="1"/>
  <c r="I1025" i="2"/>
  <c r="G1025" i="2"/>
  <c r="F1025" i="2"/>
  <c r="K1025" i="2" s="1"/>
  <c r="E1025" i="2"/>
  <c r="G1024" i="2"/>
  <c r="F1024" i="2"/>
  <c r="E1024" i="2"/>
  <c r="E1023" i="2"/>
  <c r="K1022" i="2"/>
  <c r="I1022" i="2"/>
  <c r="G1022" i="2"/>
  <c r="F1022" i="2"/>
  <c r="E1022" i="2"/>
  <c r="F1021" i="2"/>
  <c r="E1021" i="2"/>
  <c r="K1018" i="2"/>
  <c r="G1018" i="2"/>
  <c r="E1018" i="2"/>
  <c r="F1018" i="2" s="1"/>
  <c r="J1018" i="2" s="1"/>
  <c r="H1018" i="2" s="1"/>
  <c r="K1017" i="2"/>
  <c r="J1017" i="2"/>
  <c r="H1017" i="2" s="1"/>
  <c r="I1017" i="2"/>
  <c r="F1017" i="2"/>
  <c r="E1017" i="2"/>
  <c r="G1017" i="2" s="1"/>
  <c r="G1016" i="2"/>
  <c r="E1016" i="2"/>
  <c r="F1016" i="2" s="1"/>
  <c r="G1015" i="2"/>
  <c r="F1015" i="2"/>
  <c r="E1015" i="2"/>
  <c r="E1014" i="2"/>
  <c r="J1013" i="2"/>
  <c r="H1013" i="2" s="1"/>
  <c r="I1013" i="2"/>
  <c r="F1013" i="2"/>
  <c r="E1013" i="2"/>
  <c r="K1012" i="2"/>
  <c r="I1012" i="2"/>
  <c r="G1012" i="2"/>
  <c r="F1012" i="2"/>
  <c r="E1012" i="2"/>
  <c r="G1011" i="2"/>
  <c r="F1011" i="2"/>
  <c r="E1011" i="2"/>
  <c r="E1010" i="2"/>
  <c r="E1009" i="2"/>
  <c r="K1008" i="2"/>
  <c r="J1008" i="2"/>
  <c r="H1008" i="2" s="1"/>
  <c r="I1008" i="2"/>
  <c r="F1008" i="2"/>
  <c r="E1008" i="2"/>
  <c r="G1008" i="2" s="1"/>
  <c r="E1007" i="2"/>
  <c r="G1007" i="2" s="1"/>
  <c r="J1006" i="2"/>
  <c r="H1006" i="2" s="1"/>
  <c r="I1006" i="2"/>
  <c r="G1006" i="2"/>
  <c r="F1006" i="2"/>
  <c r="K1006" i="2" s="1"/>
  <c r="E1006" i="2"/>
  <c r="G1005" i="2"/>
  <c r="F1005" i="2"/>
  <c r="E1005" i="2"/>
  <c r="J1005" i="2" s="1"/>
  <c r="H1005" i="2" s="1"/>
  <c r="E1004" i="2"/>
  <c r="F1003" i="2"/>
  <c r="E1003" i="2"/>
  <c r="E1002" i="2"/>
  <c r="E1001" i="2"/>
  <c r="K1000" i="2"/>
  <c r="J1000" i="2"/>
  <c r="H1000" i="2" s="1"/>
  <c r="I1000" i="2"/>
  <c r="F1000" i="2"/>
  <c r="E1000" i="2"/>
  <c r="G1000" i="2" s="1"/>
  <c r="E999" i="2"/>
  <c r="G999" i="2" s="1"/>
  <c r="J998" i="2"/>
  <c r="H998" i="2" s="1"/>
  <c r="I998" i="2"/>
  <c r="G998" i="2"/>
  <c r="F998" i="2"/>
  <c r="K998" i="2" s="1"/>
  <c r="E998" i="2"/>
  <c r="I997" i="2"/>
  <c r="G997" i="2"/>
  <c r="F997" i="2"/>
  <c r="K997" i="2" s="1"/>
  <c r="E997" i="2"/>
  <c r="G996" i="2"/>
  <c r="E996" i="2"/>
  <c r="G993" i="2"/>
  <c r="F993" i="2"/>
  <c r="E993" i="2"/>
  <c r="F992" i="2"/>
  <c r="E992" i="2"/>
  <c r="E991" i="2"/>
  <c r="K990" i="2"/>
  <c r="J990" i="2"/>
  <c r="H990" i="2" s="1"/>
  <c r="I990" i="2"/>
  <c r="F990" i="2"/>
  <c r="E990" i="2"/>
  <c r="G990" i="2" s="1"/>
  <c r="E989" i="2"/>
  <c r="G989" i="2" s="1"/>
  <c r="J988" i="2"/>
  <c r="H988" i="2" s="1"/>
  <c r="I988" i="2"/>
  <c r="G988" i="2"/>
  <c r="F988" i="2"/>
  <c r="K988" i="2" s="1"/>
  <c r="E988" i="2"/>
  <c r="G987" i="2"/>
  <c r="F987" i="2"/>
  <c r="K987" i="2" s="1"/>
  <c r="E987" i="2"/>
  <c r="J987" i="2" s="1"/>
  <c r="H987" i="2" s="1"/>
  <c r="E986" i="2"/>
  <c r="E985" i="2"/>
  <c r="E984" i="2"/>
  <c r="E983" i="2"/>
  <c r="K982" i="2"/>
  <c r="J982" i="2"/>
  <c r="H982" i="2" s="1"/>
  <c r="I982" i="2"/>
  <c r="F982" i="2"/>
  <c r="E982" i="2"/>
  <c r="G982" i="2" s="1"/>
  <c r="E981" i="2"/>
  <c r="J980" i="2"/>
  <c r="H980" i="2" s="1"/>
  <c r="I980" i="2"/>
  <c r="G980" i="2"/>
  <c r="F980" i="2"/>
  <c r="K980" i="2" s="1"/>
  <c r="E980" i="2"/>
  <c r="I977" i="2"/>
  <c r="G977" i="2"/>
  <c r="F977" i="2"/>
  <c r="K977" i="2" s="1"/>
  <c r="E977" i="2"/>
  <c r="J977" i="2" s="1"/>
  <c r="H977" i="2" s="1"/>
  <c r="F976" i="2"/>
  <c r="J976" i="2" s="1"/>
  <c r="H976" i="2" s="1"/>
  <c r="E976" i="2"/>
  <c r="F975" i="2"/>
  <c r="E975" i="2"/>
  <c r="F974" i="2"/>
  <c r="E974" i="2"/>
  <c r="E973" i="2"/>
  <c r="I972" i="2"/>
  <c r="F972" i="2"/>
  <c r="E972" i="2"/>
  <c r="G972" i="2" s="1"/>
  <c r="E971" i="2"/>
  <c r="J970" i="2"/>
  <c r="H970" i="2" s="1"/>
  <c r="I970" i="2"/>
  <c r="G970" i="2"/>
  <c r="F970" i="2"/>
  <c r="K970" i="2" s="1"/>
  <c r="E970" i="2"/>
  <c r="G969" i="2"/>
  <c r="E969" i="2"/>
  <c r="E968" i="2"/>
  <c r="F967" i="2"/>
  <c r="E967" i="2"/>
  <c r="F966" i="2"/>
  <c r="K966" i="2" s="1"/>
  <c r="E966" i="2"/>
  <c r="K965" i="2"/>
  <c r="J965" i="2"/>
  <c r="H965" i="2" s="1"/>
  <c r="I965" i="2"/>
  <c r="G965" i="2"/>
  <c r="E965" i="2"/>
  <c r="F965" i="2" s="1"/>
  <c r="K964" i="2"/>
  <c r="F964" i="2"/>
  <c r="I964" i="2" s="1"/>
  <c r="E964" i="2"/>
  <c r="G964" i="2" s="1"/>
  <c r="K961" i="2"/>
  <c r="I961" i="2"/>
  <c r="E961" i="2"/>
  <c r="F961" i="2" s="1"/>
  <c r="K960" i="2"/>
  <c r="G960" i="2"/>
  <c r="F960" i="2"/>
  <c r="I960" i="2" s="1"/>
  <c r="E960" i="2"/>
  <c r="E959" i="2"/>
  <c r="G958" i="2"/>
  <c r="F958" i="2"/>
  <c r="J958" i="2" s="1"/>
  <c r="H958" i="2" s="1"/>
  <c r="E958" i="2"/>
  <c r="E957" i="2"/>
  <c r="G956" i="2"/>
  <c r="E956" i="2"/>
  <c r="F955" i="2"/>
  <c r="K955" i="2" s="1"/>
  <c r="E955" i="2"/>
  <c r="I954" i="2"/>
  <c r="F954" i="2"/>
  <c r="K954" i="2" s="1"/>
  <c r="E954" i="2"/>
  <c r="G954" i="2" s="1"/>
  <c r="G953" i="2"/>
  <c r="E953" i="2"/>
  <c r="K952" i="2"/>
  <c r="I952" i="2"/>
  <c r="G952" i="2"/>
  <c r="F952" i="2"/>
  <c r="J952" i="2" s="1"/>
  <c r="H952" i="2" s="1"/>
  <c r="E952" i="2"/>
  <c r="G951" i="2"/>
  <c r="E951" i="2"/>
  <c r="F950" i="2"/>
  <c r="J950" i="2" s="1"/>
  <c r="H950" i="2" s="1"/>
  <c r="E950" i="2"/>
  <c r="G949" i="2"/>
  <c r="F949" i="2"/>
  <c r="K949" i="2" s="1"/>
  <c r="E949" i="2"/>
  <c r="F948" i="2"/>
  <c r="K948" i="2" s="1"/>
  <c r="E948" i="2"/>
  <c r="G945" i="2"/>
  <c r="E945" i="2"/>
  <c r="E944" i="2"/>
  <c r="K943" i="2"/>
  <c r="J943" i="2"/>
  <c r="H943" i="2" s="1"/>
  <c r="I943" i="2"/>
  <c r="G943" i="2"/>
  <c r="E943" i="2"/>
  <c r="F943" i="2" s="1"/>
  <c r="G942" i="2"/>
  <c r="F942" i="2"/>
  <c r="E942" i="2"/>
  <c r="E941" i="2"/>
  <c r="E940" i="2"/>
  <c r="G939" i="2"/>
  <c r="E939" i="2"/>
  <c r="G938" i="2"/>
  <c r="F938" i="2"/>
  <c r="E938" i="2"/>
  <c r="E937" i="2"/>
  <c r="E936" i="2"/>
  <c r="K935" i="2"/>
  <c r="G935" i="2"/>
  <c r="F935" i="2"/>
  <c r="J935" i="2" s="1"/>
  <c r="H935" i="2" s="1"/>
  <c r="E935" i="2"/>
  <c r="K934" i="2"/>
  <c r="G934" i="2"/>
  <c r="F934" i="2"/>
  <c r="J934" i="2" s="1"/>
  <c r="H934" i="2" s="1"/>
  <c r="E934" i="2"/>
  <c r="I934" i="2" s="1"/>
  <c r="E931" i="2"/>
  <c r="E930" i="2"/>
  <c r="G929" i="2"/>
  <c r="E929" i="2"/>
  <c r="K928" i="2"/>
  <c r="G928" i="2"/>
  <c r="F928" i="2"/>
  <c r="I928" i="2" s="1"/>
  <c r="E928" i="2"/>
  <c r="E927" i="2"/>
  <c r="E926" i="2"/>
  <c r="K925" i="2"/>
  <c r="G925" i="2"/>
  <c r="F925" i="2"/>
  <c r="J925" i="2" s="1"/>
  <c r="H925" i="2" s="1"/>
  <c r="E925" i="2"/>
  <c r="J924" i="2"/>
  <c r="H924" i="2" s="1"/>
  <c r="G924" i="2"/>
  <c r="F924" i="2"/>
  <c r="K924" i="2" s="1"/>
  <c r="E924" i="2"/>
  <c r="F923" i="2"/>
  <c r="J923" i="2" s="1"/>
  <c r="H923" i="2" s="1"/>
  <c r="E923" i="2"/>
  <c r="E922" i="2"/>
  <c r="G921" i="2"/>
  <c r="E921" i="2"/>
  <c r="K920" i="2"/>
  <c r="J920" i="2"/>
  <c r="H920" i="2" s="1"/>
  <c r="G920" i="2"/>
  <c r="F920" i="2"/>
  <c r="I920" i="2" s="1"/>
  <c r="E920" i="2"/>
  <c r="I919" i="2"/>
  <c r="F919" i="2"/>
  <c r="J919" i="2" s="1"/>
  <c r="H919" i="2" s="1"/>
  <c r="E919" i="2"/>
  <c r="G918" i="2"/>
  <c r="E918" i="2"/>
  <c r="K917" i="2"/>
  <c r="G917" i="2"/>
  <c r="F917" i="2"/>
  <c r="E917" i="2"/>
  <c r="F916" i="2"/>
  <c r="J916" i="2" s="1"/>
  <c r="H916" i="2" s="1"/>
  <c r="E916" i="2"/>
  <c r="E915" i="2"/>
  <c r="E914" i="2"/>
  <c r="G913" i="2"/>
  <c r="E913" i="2"/>
  <c r="K912" i="2"/>
  <c r="J912" i="2"/>
  <c r="H912" i="2" s="1"/>
  <c r="I912" i="2"/>
  <c r="G912" i="2"/>
  <c r="F912" i="2"/>
  <c r="E912" i="2"/>
  <c r="F911" i="2"/>
  <c r="E911" i="2"/>
  <c r="E910" i="2"/>
  <c r="G909" i="2"/>
  <c r="F909" i="2"/>
  <c r="E909" i="2"/>
  <c r="G908" i="2"/>
  <c r="F908" i="2"/>
  <c r="J908" i="2" s="1"/>
  <c r="H908" i="2" s="1"/>
  <c r="E908" i="2"/>
  <c r="F907" i="2"/>
  <c r="I907" i="2" s="1"/>
  <c r="E907" i="2"/>
  <c r="E906" i="2"/>
  <c r="G905" i="2"/>
  <c r="E905" i="2"/>
  <c r="G904" i="2"/>
  <c r="F904" i="2"/>
  <c r="K904" i="2" s="1"/>
  <c r="E904" i="2"/>
  <c r="F903" i="2"/>
  <c r="E903" i="2"/>
  <c r="G902" i="2"/>
  <c r="E902" i="2"/>
  <c r="G901" i="2"/>
  <c r="F901" i="2"/>
  <c r="E901" i="2"/>
  <c r="E900" i="2"/>
  <c r="F899" i="2"/>
  <c r="J899" i="2" s="1"/>
  <c r="H899" i="2" s="1"/>
  <c r="E899" i="2"/>
  <c r="E898" i="2"/>
  <c r="G895" i="2"/>
  <c r="E895" i="2"/>
  <c r="I894" i="2"/>
  <c r="G894" i="2"/>
  <c r="F894" i="2"/>
  <c r="K894" i="2" s="1"/>
  <c r="E894" i="2"/>
  <c r="E893" i="2"/>
  <c r="G893" i="2" s="1"/>
  <c r="G892" i="2"/>
  <c r="E892" i="2"/>
  <c r="G891" i="2"/>
  <c r="F891" i="2"/>
  <c r="E891" i="2"/>
  <c r="K890" i="2"/>
  <c r="G890" i="2"/>
  <c r="F890" i="2"/>
  <c r="E890" i="2"/>
  <c r="G889" i="2"/>
  <c r="E889" i="2"/>
  <c r="F888" i="2"/>
  <c r="I888" i="2" s="1"/>
  <c r="E888" i="2"/>
  <c r="E887" i="2"/>
  <c r="K886" i="2"/>
  <c r="J886" i="2"/>
  <c r="H886" i="2" s="1"/>
  <c r="I886" i="2"/>
  <c r="G886" i="2"/>
  <c r="F886" i="2"/>
  <c r="E886" i="2"/>
  <c r="E885" i="2"/>
  <c r="G884" i="2"/>
  <c r="E884" i="2"/>
  <c r="K883" i="2"/>
  <c r="I883" i="2"/>
  <c r="G883" i="2"/>
  <c r="F883" i="2"/>
  <c r="J883" i="2" s="1"/>
  <c r="H883" i="2" s="1"/>
  <c r="E883" i="2"/>
  <c r="G882" i="2"/>
  <c r="F882" i="2"/>
  <c r="E882" i="2"/>
  <c r="E881" i="2"/>
  <c r="E880" i="2"/>
  <c r="G877" i="2"/>
  <c r="E877" i="2"/>
  <c r="E876" i="2"/>
  <c r="E875" i="2"/>
  <c r="J874" i="2"/>
  <c r="H874" i="2" s="1"/>
  <c r="E874" i="2"/>
  <c r="F874" i="2" s="1"/>
  <c r="K873" i="2"/>
  <c r="J873" i="2"/>
  <c r="H873" i="2" s="1"/>
  <c r="I873" i="2"/>
  <c r="G873" i="2"/>
  <c r="F873" i="2"/>
  <c r="E873" i="2"/>
  <c r="G872" i="2"/>
  <c r="E872" i="2"/>
  <c r="F872" i="2" s="1"/>
  <c r="E871" i="2"/>
  <c r="E870" i="2"/>
  <c r="E869" i="2"/>
  <c r="G868" i="2"/>
  <c r="E868" i="2"/>
  <c r="F868" i="2" s="1"/>
  <c r="E867" i="2"/>
  <c r="F866" i="2"/>
  <c r="E866" i="2"/>
  <c r="E865" i="2"/>
  <c r="J864" i="2"/>
  <c r="H864" i="2" s="1"/>
  <c r="G864" i="2"/>
  <c r="F864" i="2"/>
  <c r="K864" i="2" s="1"/>
  <c r="E864" i="2"/>
  <c r="I864" i="2" s="1"/>
  <c r="E863" i="2"/>
  <c r="G863" i="2" s="1"/>
  <c r="E862" i="2"/>
  <c r="G862" i="2" s="1"/>
  <c r="G861" i="2"/>
  <c r="E861" i="2"/>
  <c r="F861" i="2" s="1"/>
  <c r="K861" i="2" s="1"/>
  <c r="G860" i="2"/>
  <c r="F860" i="2"/>
  <c r="E860" i="2"/>
  <c r="G857" i="2"/>
  <c r="E857" i="2"/>
  <c r="F856" i="2"/>
  <c r="E856" i="2"/>
  <c r="E855" i="2"/>
  <c r="J854" i="2"/>
  <c r="H854" i="2" s="1"/>
  <c r="G854" i="2"/>
  <c r="F854" i="2"/>
  <c r="K854" i="2" s="1"/>
  <c r="E854" i="2"/>
  <c r="I854" i="2" s="1"/>
  <c r="E853" i="2"/>
  <c r="E852" i="2"/>
  <c r="G852" i="2" s="1"/>
  <c r="I849" i="2"/>
  <c r="G849" i="2"/>
  <c r="E849" i="2"/>
  <c r="F849" i="2" s="1"/>
  <c r="K849" i="2" s="1"/>
  <c r="J848" i="2"/>
  <c r="H848" i="2" s="1"/>
  <c r="G848" i="2"/>
  <c r="F848" i="2"/>
  <c r="E848" i="2"/>
  <c r="G847" i="2"/>
  <c r="E847" i="2"/>
  <c r="F846" i="2"/>
  <c r="E846" i="2"/>
  <c r="E845" i="2"/>
  <c r="J844" i="2"/>
  <c r="H844" i="2" s="1"/>
  <c r="G844" i="2"/>
  <c r="F844" i="2"/>
  <c r="K844" i="2" s="1"/>
  <c r="E844" i="2"/>
  <c r="I844" i="2" s="1"/>
  <c r="E843" i="2"/>
  <c r="E842" i="2"/>
  <c r="G842" i="2" s="1"/>
  <c r="K841" i="2"/>
  <c r="I841" i="2"/>
  <c r="G841" i="2"/>
  <c r="E841" i="2"/>
  <c r="F841" i="2" s="1"/>
  <c r="J841" i="2" s="1"/>
  <c r="H841" i="2" s="1"/>
  <c r="G840" i="2"/>
  <c r="F840" i="2"/>
  <c r="E840" i="2"/>
  <c r="G839" i="2"/>
  <c r="E839" i="2"/>
  <c r="F836" i="2"/>
  <c r="E836" i="2"/>
  <c r="E835" i="2"/>
  <c r="K834" i="2"/>
  <c r="G834" i="2"/>
  <c r="F834" i="2"/>
  <c r="J834" i="2" s="1"/>
  <c r="H834" i="2" s="1"/>
  <c r="E834" i="2"/>
  <c r="E833" i="2"/>
  <c r="E832" i="2"/>
  <c r="G832" i="2" s="1"/>
  <c r="K831" i="2"/>
  <c r="I831" i="2"/>
  <c r="G831" i="2"/>
  <c r="E831" i="2"/>
  <c r="F831" i="2" s="1"/>
  <c r="J831" i="2" s="1"/>
  <c r="H831" i="2" s="1"/>
  <c r="J830" i="2"/>
  <c r="H830" i="2" s="1"/>
  <c r="G830" i="2"/>
  <c r="F830" i="2"/>
  <c r="I830" i="2" s="1"/>
  <c r="E830" i="2"/>
  <c r="J829" i="2"/>
  <c r="H829" i="2" s="1"/>
  <c r="F829" i="2"/>
  <c r="E829" i="2"/>
  <c r="F828" i="2"/>
  <c r="E828" i="2"/>
  <c r="G827" i="2"/>
  <c r="E827" i="2"/>
  <c r="G826" i="2"/>
  <c r="F826" i="2"/>
  <c r="E826" i="2"/>
  <c r="E825" i="2"/>
  <c r="G825" i="2" s="1"/>
  <c r="E824" i="2"/>
  <c r="G823" i="2"/>
  <c r="E823" i="2"/>
  <c r="F823" i="2" s="1"/>
  <c r="K822" i="2"/>
  <c r="G822" i="2"/>
  <c r="F822" i="2"/>
  <c r="I822" i="2" s="1"/>
  <c r="E822" i="2"/>
  <c r="J819" i="2"/>
  <c r="H819" i="2" s="1"/>
  <c r="I819" i="2"/>
  <c r="G819" i="2"/>
  <c r="F819" i="2"/>
  <c r="E819" i="2"/>
  <c r="E818" i="2"/>
  <c r="G817" i="2"/>
  <c r="E817" i="2"/>
  <c r="K816" i="2"/>
  <c r="J816" i="2"/>
  <c r="H816" i="2" s="1"/>
  <c r="G816" i="2"/>
  <c r="F816" i="2"/>
  <c r="E816" i="2"/>
  <c r="I816" i="2" s="1"/>
  <c r="K815" i="2"/>
  <c r="F815" i="2"/>
  <c r="E815" i="2"/>
  <c r="G815" i="2" s="1"/>
  <c r="E814" i="2"/>
  <c r="G813" i="2"/>
  <c r="E813" i="2"/>
  <c r="F813" i="2" s="1"/>
  <c r="J813" i="2" s="1"/>
  <c r="H813" i="2" s="1"/>
  <c r="K812" i="2"/>
  <c r="J812" i="2"/>
  <c r="H812" i="2" s="1"/>
  <c r="G812" i="2"/>
  <c r="F812" i="2"/>
  <c r="I812" i="2" s="1"/>
  <c r="E812" i="2"/>
  <c r="F811" i="2"/>
  <c r="E811" i="2"/>
  <c r="F810" i="2"/>
  <c r="E810" i="2"/>
  <c r="E809" i="2"/>
  <c r="G808" i="2"/>
  <c r="F808" i="2"/>
  <c r="K808" i="2" s="1"/>
  <c r="E808" i="2"/>
  <c r="K807" i="2"/>
  <c r="J807" i="2"/>
  <c r="H807" i="2" s="1"/>
  <c r="I807" i="2"/>
  <c r="F807" i="2"/>
  <c r="E807" i="2"/>
  <c r="G807" i="2" s="1"/>
  <c r="E806" i="2"/>
  <c r="K805" i="2"/>
  <c r="G805" i="2"/>
  <c r="E805" i="2"/>
  <c r="F805" i="2" s="1"/>
  <c r="I805" i="2" s="1"/>
  <c r="G804" i="2"/>
  <c r="F804" i="2"/>
  <c r="E804" i="2"/>
  <c r="G803" i="2"/>
  <c r="E803" i="2"/>
  <c r="E802" i="2"/>
  <c r="E801" i="2"/>
  <c r="K800" i="2"/>
  <c r="F800" i="2"/>
  <c r="E800" i="2"/>
  <c r="E799" i="2"/>
  <c r="K798" i="2"/>
  <c r="G798" i="2"/>
  <c r="E798" i="2"/>
  <c r="F798" i="2" s="1"/>
  <c r="G797" i="2"/>
  <c r="F797" i="2"/>
  <c r="I797" i="2" s="1"/>
  <c r="E797" i="2"/>
  <c r="J796" i="2"/>
  <c r="H796" i="2" s="1"/>
  <c r="F796" i="2"/>
  <c r="E796" i="2"/>
  <c r="E795" i="2"/>
  <c r="G792" i="2"/>
  <c r="E792" i="2"/>
  <c r="G791" i="2"/>
  <c r="F791" i="2"/>
  <c r="K791" i="2" s="1"/>
  <c r="E791" i="2"/>
  <c r="I791" i="2" s="1"/>
  <c r="J790" i="2"/>
  <c r="H790" i="2" s="1"/>
  <c r="F790" i="2"/>
  <c r="E790" i="2"/>
  <c r="E789" i="2"/>
  <c r="K788" i="2"/>
  <c r="G788" i="2"/>
  <c r="E788" i="2"/>
  <c r="F788" i="2" s="1"/>
  <c r="G787" i="2"/>
  <c r="F787" i="2"/>
  <c r="I787" i="2" s="1"/>
  <c r="E787" i="2"/>
  <c r="J786" i="2"/>
  <c r="H786" i="2" s="1"/>
  <c r="F786" i="2"/>
  <c r="E786" i="2"/>
  <c r="E785" i="2"/>
  <c r="G784" i="2"/>
  <c r="E784" i="2"/>
  <c r="G783" i="2"/>
  <c r="F783" i="2"/>
  <c r="K783" i="2" s="1"/>
  <c r="E783" i="2"/>
  <c r="I783" i="2" s="1"/>
  <c r="J782" i="2"/>
  <c r="H782" i="2" s="1"/>
  <c r="F782" i="2"/>
  <c r="E782" i="2"/>
  <c r="E781" i="2"/>
  <c r="K780" i="2"/>
  <c r="G780" i="2"/>
  <c r="E780" i="2"/>
  <c r="F780" i="2" s="1"/>
  <c r="G779" i="2"/>
  <c r="F779" i="2"/>
  <c r="I779" i="2" s="1"/>
  <c r="E779" i="2"/>
  <c r="J778" i="2"/>
  <c r="H778" i="2" s="1"/>
  <c r="F778" i="2"/>
  <c r="E778" i="2"/>
  <c r="E777" i="2"/>
  <c r="G776" i="2"/>
  <c r="E776" i="2"/>
  <c r="G775" i="2"/>
  <c r="F775" i="2"/>
  <c r="K775" i="2" s="1"/>
  <c r="E775" i="2"/>
  <c r="I775" i="2" s="1"/>
  <c r="J774" i="2"/>
  <c r="H774" i="2" s="1"/>
  <c r="F774" i="2"/>
  <c r="E774" i="2"/>
  <c r="E773" i="2"/>
  <c r="K772" i="2"/>
  <c r="G772" i="2"/>
  <c r="E772" i="2"/>
  <c r="F772" i="2" s="1"/>
  <c r="G769" i="2"/>
  <c r="F769" i="2"/>
  <c r="I769" i="2" s="1"/>
  <c r="E769" i="2"/>
  <c r="J768" i="2"/>
  <c r="H768" i="2" s="1"/>
  <c r="F768" i="2"/>
  <c r="E768" i="2"/>
  <c r="E767" i="2"/>
  <c r="G766" i="2"/>
  <c r="E766" i="2"/>
  <c r="G765" i="2"/>
  <c r="F765" i="2"/>
  <c r="K765" i="2" s="1"/>
  <c r="E765" i="2"/>
  <c r="I765" i="2" s="1"/>
  <c r="J764" i="2"/>
  <c r="H764" i="2" s="1"/>
  <c r="F764" i="2"/>
  <c r="E764" i="2"/>
  <c r="E763" i="2"/>
  <c r="K762" i="2"/>
  <c r="G762" i="2"/>
  <c r="E762" i="2"/>
  <c r="F762" i="2" s="1"/>
  <c r="G761" i="2"/>
  <c r="F761" i="2"/>
  <c r="I761" i="2" s="1"/>
  <c r="E761" i="2"/>
  <c r="J759" i="2"/>
  <c r="H759" i="2" s="1"/>
  <c r="F759" i="2"/>
  <c r="E759" i="2"/>
  <c r="E757" i="2"/>
  <c r="G756" i="2"/>
  <c r="E756" i="2"/>
  <c r="G755" i="2"/>
  <c r="F755" i="2"/>
  <c r="K755" i="2" s="1"/>
  <c r="E755" i="2"/>
  <c r="I755" i="2" s="1"/>
  <c r="J754" i="2"/>
  <c r="H754" i="2" s="1"/>
  <c r="F754" i="2"/>
  <c r="E754" i="2"/>
  <c r="E753" i="2"/>
  <c r="K752" i="2"/>
  <c r="I752" i="2"/>
  <c r="G752" i="2"/>
  <c r="E752" i="2"/>
  <c r="F752" i="2" s="1"/>
  <c r="J752" i="2" s="1"/>
  <c r="H752" i="2" s="1"/>
  <c r="K749" i="2"/>
  <c r="J749" i="2"/>
  <c r="H749" i="2" s="1"/>
  <c r="G749" i="2"/>
  <c r="F749" i="2"/>
  <c r="I749" i="2" s="1"/>
  <c r="E749" i="2"/>
  <c r="E748" i="2"/>
  <c r="I747" i="2"/>
  <c r="F747" i="2"/>
  <c r="E747" i="2"/>
  <c r="F746" i="2"/>
  <c r="E746" i="2"/>
  <c r="G745" i="2"/>
  <c r="E745" i="2"/>
  <c r="E744" i="2"/>
  <c r="G744" i="2" s="1"/>
  <c r="E743" i="2"/>
  <c r="K742" i="2"/>
  <c r="I742" i="2"/>
  <c r="G742" i="2"/>
  <c r="E742" i="2"/>
  <c r="F742" i="2" s="1"/>
  <c r="J742" i="2" s="1"/>
  <c r="H742" i="2" s="1"/>
  <c r="K741" i="2"/>
  <c r="J741" i="2"/>
  <c r="H741" i="2" s="1"/>
  <c r="I741" i="2"/>
  <c r="G741" i="2"/>
  <c r="F741" i="2"/>
  <c r="E741" i="2"/>
  <c r="G740" i="2"/>
  <c r="E740" i="2"/>
  <c r="E739" i="2"/>
  <c r="K736" i="2"/>
  <c r="G736" i="2"/>
  <c r="F736" i="2"/>
  <c r="E736" i="2"/>
  <c r="G735" i="2"/>
  <c r="F735" i="2"/>
  <c r="E735" i="2"/>
  <c r="E734" i="2"/>
  <c r="G734" i="2" s="1"/>
  <c r="E733" i="2"/>
  <c r="I732" i="2"/>
  <c r="G732" i="2"/>
  <c r="E732" i="2"/>
  <c r="F732" i="2" s="1"/>
  <c r="K732" i="2" s="1"/>
  <c r="G731" i="2"/>
  <c r="F731" i="2"/>
  <c r="E731" i="2"/>
  <c r="E730" i="2"/>
  <c r="I729" i="2"/>
  <c r="F729" i="2"/>
  <c r="E729" i="2"/>
  <c r="F728" i="2"/>
  <c r="E728" i="2"/>
  <c r="G727" i="2"/>
  <c r="E727" i="2"/>
  <c r="E726" i="2"/>
  <c r="G726" i="2" s="1"/>
  <c r="E725" i="2"/>
  <c r="K724" i="2"/>
  <c r="I724" i="2"/>
  <c r="G724" i="2"/>
  <c r="E724" i="2"/>
  <c r="F724" i="2" s="1"/>
  <c r="J724" i="2" s="1"/>
  <c r="H724" i="2" s="1"/>
  <c r="K723" i="2"/>
  <c r="J723" i="2"/>
  <c r="H723" i="2" s="1"/>
  <c r="I723" i="2"/>
  <c r="G723" i="2"/>
  <c r="F723" i="2"/>
  <c r="E723" i="2"/>
  <c r="G722" i="2"/>
  <c r="E722" i="2"/>
  <c r="E721" i="2"/>
  <c r="K720" i="2"/>
  <c r="G720" i="2"/>
  <c r="F720" i="2"/>
  <c r="E720" i="2"/>
  <c r="G719" i="2"/>
  <c r="F719" i="2"/>
  <c r="E719" i="2"/>
  <c r="E716" i="2"/>
  <c r="G716" i="2" s="1"/>
  <c r="E715" i="2"/>
  <c r="I714" i="2"/>
  <c r="G714" i="2"/>
  <c r="E714" i="2"/>
  <c r="F714" i="2" s="1"/>
  <c r="K714" i="2" s="1"/>
  <c r="G713" i="2"/>
  <c r="F713" i="2"/>
  <c r="E713" i="2"/>
  <c r="E712" i="2"/>
  <c r="I711" i="2"/>
  <c r="F711" i="2"/>
  <c r="E711" i="2"/>
  <c r="G710" i="2"/>
  <c r="F710" i="2"/>
  <c r="E710" i="2"/>
  <c r="F709" i="2"/>
  <c r="E709" i="2"/>
  <c r="E706" i="2"/>
  <c r="E705" i="2"/>
  <c r="G704" i="2"/>
  <c r="E704" i="2"/>
  <c r="F704" i="2" s="1"/>
  <c r="I704" i="2" s="1"/>
  <c r="K703" i="2"/>
  <c r="J703" i="2"/>
  <c r="H703" i="2" s="1"/>
  <c r="I703" i="2"/>
  <c r="G703" i="2"/>
  <c r="F703" i="2"/>
  <c r="E703" i="2"/>
  <c r="I702" i="2"/>
  <c r="F702" i="2"/>
  <c r="J702" i="2" s="1"/>
  <c r="H702" i="2" s="1"/>
  <c r="E702" i="2"/>
  <c r="G702" i="2" s="1"/>
  <c r="G701" i="2"/>
  <c r="E701" i="2"/>
  <c r="F701" i="2" s="1"/>
  <c r="G700" i="2"/>
  <c r="F700" i="2"/>
  <c r="K700" i="2" s="1"/>
  <c r="E700" i="2"/>
  <c r="J700" i="2" s="1"/>
  <c r="H700" i="2" s="1"/>
  <c r="E699" i="2"/>
  <c r="E698" i="2"/>
  <c r="E697" i="2"/>
  <c r="G696" i="2"/>
  <c r="E696" i="2"/>
  <c r="K695" i="2"/>
  <c r="J695" i="2"/>
  <c r="H695" i="2" s="1"/>
  <c r="I695" i="2"/>
  <c r="G695" i="2"/>
  <c r="F695" i="2"/>
  <c r="E695" i="2"/>
  <c r="I694" i="2"/>
  <c r="F694" i="2"/>
  <c r="J694" i="2" s="1"/>
  <c r="H694" i="2" s="1"/>
  <c r="E694" i="2"/>
  <c r="G694" i="2" s="1"/>
  <c r="G693" i="2"/>
  <c r="E693" i="2"/>
  <c r="F693" i="2" s="1"/>
  <c r="G692" i="2"/>
  <c r="F692" i="2"/>
  <c r="K692" i="2" s="1"/>
  <c r="E692" i="2"/>
  <c r="E689" i="2"/>
  <c r="E688" i="2"/>
  <c r="E687" i="2"/>
  <c r="G686" i="2"/>
  <c r="E686" i="2"/>
  <c r="K685" i="2"/>
  <c r="J685" i="2"/>
  <c r="H685" i="2" s="1"/>
  <c r="I685" i="2"/>
  <c r="G685" i="2"/>
  <c r="F685" i="2"/>
  <c r="E685" i="2"/>
  <c r="I684" i="2"/>
  <c r="F684" i="2"/>
  <c r="J684" i="2" s="1"/>
  <c r="H684" i="2" s="1"/>
  <c r="E684" i="2"/>
  <c r="G684" i="2" s="1"/>
  <c r="G683" i="2"/>
  <c r="E683" i="2"/>
  <c r="F683" i="2" s="1"/>
  <c r="G682" i="2"/>
  <c r="F682" i="2"/>
  <c r="K682" i="2" s="1"/>
  <c r="E682" i="2"/>
  <c r="J682" i="2" s="1"/>
  <c r="H682" i="2" s="1"/>
  <c r="F681" i="2"/>
  <c r="E681" i="2"/>
  <c r="E680" i="2"/>
  <c r="E679" i="2"/>
  <c r="G676" i="2"/>
  <c r="E676" i="2"/>
  <c r="K675" i="2"/>
  <c r="J675" i="2"/>
  <c r="H675" i="2" s="1"/>
  <c r="I675" i="2"/>
  <c r="G675" i="2"/>
  <c r="F675" i="2"/>
  <c r="E675" i="2"/>
  <c r="I674" i="2"/>
  <c r="F674" i="2"/>
  <c r="J674" i="2" s="1"/>
  <c r="H674" i="2" s="1"/>
  <c r="E674" i="2"/>
  <c r="G674" i="2" s="1"/>
  <c r="G673" i="2"/>
  <c r="E673" i="2"/>
  <c r="F673" i="2" s="1"/>
  <c r="G672" i="2"/>
  <c r="F672" i="2"/>
  <c r="K672" i="2" s="1"/>
  <c r="E672" i="2"/>
  <c r="J672" i="2" s="1"/>
  <c r="H672" i="2" s="1"/>
  <c r="E671" i="2"/>
  <c r="E670" i="2"/>
  <c r="E669" i="2"/>
  <c r="G668" i="2"/>
  <c r="E668" i="2"/>
  <c r="K667" i="2"/>
  <c r="J667" i="2"/>
  <c r="H667" i="2" s="1"/>
  <c r="I667" i="2"/>
  <c r="G667" i="2"/>
  <c r="F667" i="2"/>
  <c r="E667" i="2"/>
  <c r="I666" i="2"/>
  <c r="F666" i="2"/>
  <c r="J666" i="2" s="1"/>
  <c r="H666" i="2" s="1"/>
  <c r="E666" i="2"/>
  <c r="G666" i="2" s="1"/>
  <c r="G665" i="2"/>
  <c r="E665" i="2"/>
  <c r="F665" i="2" s="1"/>
  <c r="G664" i="2"/>
  <c r="F664" i="2"/>
  <c r="K664" i="2" s="1"/>
  <c r="E664" i="2"/>
  <c r="E663" i="2"/>
  <c r="E662" i="2"/>
  <c r="E661" i="2"/>
  <c r="G660" i="2"/>
  <c r="E660" i="2"/>
  <c r="K657" i="2"/>
  <c r="J657" i="2"/>
  <c r="H657" i="2" s="1"/>
  <c r="I657" i="2"/>
  <c r="G657" i="2"/>
  <c r="F657" i="2"/>
  <c r="E657" i="2"/>
  <c r="I656" i="2"/>
  <c r="F656" i="2"/>
  <c r="J656" i="2" s="1"/>
  <c r="H656" i="2" s="1"/>
  <c r="E656" i="2"/>
  <c r="G656" i="2" s="1"/>
  <c r="G655" i="2"/>
  <c r="E655" i="2"/>
  <c r="F655" i="2" s="1"/>
  <c r="G654" i="2"/>
  <c r="F654" i="2"/>
  <c r="K654" i="2" s="1"/>
  <c r="E654" i="2"/>
  <c r="J654" i="2" s="1"/>
  <c r="H654" i="2" s="1"/>
  <c r="E653" i="2"/>
  <c r="E652" i="2"/>
  <c r="E651" i="2"/>
  <c r="G650" i="2"/>
  <c r="E650" i="2"/>
  <c r="K649" i="2"/>
  <c r="J649" i="2"/>
  <c r="H649" i="2" s="1"/>
  <c r="I649" i="2"/>
  <c r="G649" i="2"/>
  <c r="F649" i="2"/>
  <c r="E649" i="2"/>
  <c r="I648" i="2"/>
  <c r="F648" i="2"/>
  <c r="J648" i="2" s="1"/>
  <c r="H648" i="2" s="1"/>
  <c r="E648" i="2"/>
  <c r="G648" i="2" s="1"/>
  <c r="G647" i="2"/>
  <c r="E647" i="2"/>
  <c r="F647" i="2" s="1"/>
  <c r="G646" i="2"/>
  <c r="F646" i="2"/>
  <c r="K646" i="2" s="1"/>
  <c r="E646" i="2"/>
  <c r="J646" i="2" s="1"/>
  <c r="H646" i="2" s="1"/>
  <c r="E645" i="2"/>
  <c r="E644" i="2"/>
  <c r="E641" i="2"/>
  <c r="G640" i="2"/>
  <c r="E640" i="2"/>
  <c r="K639" i="2"/>
  <c r="J639" i="2"/>
  <c r="H639" i="2" s="1"/>
  <c r="I639" i="2"/>
  <c r="G639" i="2"/>
  <c r="F639" i="2"/>
  <c r="E639" i="2"/>
  <c r="I638" i="2"/>
  <c r="F638" i="2"/>
  <c r="J638" i="2" s="1"/>
  <c r="H638" i="2" s="1"/>
  <c r="E638" i="2"/>
  <c r="G638" i="2" s="1"/>
  <c r="G637" i="2"/>
  <c r="E637" i="2"/>
  <c r="F637" i="2" s="1"/>
  <c r="G636" i="2"/>
  <c r="F636" i="2"/>
  <c r="K636" i="2" s="1"/>
  <c r="E636" i="2"/>
  <c r="J636" i="2" s="1"/>
  <c r="H636" i="2" s="1"/>
  <c r="F635" i="2"/>
  <c r="E635" i="2"/>
  <c r="E634" i="2"/>
  <c r="E633" i="2"/>
  <c r="G632" i="2"/>
  <c r="E632" i="2"/>
  <c r="K631" i="2"/>
  <c r="J631" i="2"/>
  <c r="H631" i="2" s="1"/>
  <c r="I631" i="2"/>
  <c r="G631" i="2"/>
  <c r="F631" i="2"/>
  <c r="E631" i="2"/>
  <c r="I630" i="2"/>
  <c r="F630" i="2"/>
  <c r="J630" i="2" s="1"/>
  <c r="H630" i="2" s="1"/>
  <c r="E630" i="2"/>
  <c r="G630" i="2" s="1"/>
  <c r="E629" i="2"/>
  <c r="G628" i="2"/>
  <c r="F628" i="2"/>
  <c r="K628" i="2" s="1"/>
  <c r="E628" i="2"/>
  <c r="J628" i="2" s="1"/>
  <c r="H628" i="2" s="1"/>
  <c r="E627" i="2"/>
  <c r="E624" i="2"/>
  <c r="E623" i="2"/>
  <c r="G622" i="2"/>
  <c r="E622" i="2"/>
  <c r="K621" i="2"/>
  <c r="J621" i="2"/>
  <c r="H621" i="2" s="1"/>
  <c r="I621" i="2"/>
  <c r="G621" i="2"/>
  <c r="F621" i="2"/>
  <c r="E621" i="2"/>
  <c r="F620" i="2"/>
  <c r="J620" i="2" s="1"/>
  <c r="H620" i="2" s="1"/>
  <c r="E620" i="2"/>
  <c r="G620" i="2" s="1"/>
  <c r="E619" i="2"/>
  <c r="G618" i="2"/>
  <c r="F618" i="2"/>
  <c r="K618" i="2" s="1"/>
  <c r="E618" i="2"/>
  <c r="J618" i="2" s="1"/>
  <c r="H618" i="2" s="1"/>
  <c r="E617" i="2"/>
  <c r="E616" i="2"/>
  <c r="E613" i="2"/>
  <c r="G612" i="2"/>
  <c r="E612" i="2"/>
  <c r="K611" i="2"/>
  <c r="J611" i="2"/>
  <c r="H611" i="2" s="1"/>
  <c r="I611" i="2"/>
  <c r="G611" i="2"/>
  <c r="F611" i="2"/>
  <c r="E611" i="2"/>
  <c r="J610" i="2"/>
  <c r="H610" i="2" s="1"/>
  <c r="I610" i="2"/>
  <c r="F610" i="2"/>
  <c r="E610" i="2"/>
  <c r="G610" i="2" s="1"/>
  <c r="G609" i="2"/>
  <c r="E609" i="2"/>
  <c r="G608" i="2"/>
  <c r="F608" i="2"/>
  <c r="K608" i="2" s="1"/>
  <c r="E608" i="2"/>
  <c r="J608" i="2" s="1"/>
  <c r="H608" i="2" s="1"/>
  <c r="G605" i="2"/>
  <c r="F605" i="2"/>
  <c r="E605" i="2"/>
  <c r="E604" i="2"/>
  <c r="E603" i="2"/>
  <c r="G602" i="2"/>
  <c r="E602" i="2"/>
  <c r="G601" i="2"/>
  <c r="F601" i="2"/>
  <c r="E601" i="2"/>
  <c r="F600" i="2"/>
  <c r="E600" i="2"/>
  <c r="E599" i="2"/>
  <c r="G598" i="2"/>
  <c r="F598" i="2"/>
  <c r="K598" i="2" s="1"/>
  <c r="E598" i="2"/>
  <c r="J598" i="2" s="1"/>
  <c r="H598" i="2" s="1"/>
  <c r="E597" i="2"/>
  <c r="F596" i="2"/>
  <c r="E596" i="2"/>
  <c r="E595" i="2"/>
  <c r="G594" i="2"/>
  <c r="E594" i="2"/>
  <c r="G593" i="2"/>
  <c r="F593" i="2"/>
  <c r="K593" i="2" s="1"/>
  <c r="E593" i="2"/>
  <c r="E592" i="2"/>
  <c r="E591" i="2"/>
  <c r="G590" i="2"/>
  <c r="F590" i="2"/>
  <c r="K590" i="2" s="1"/>
  <c r="E590" i="2"/>
  <c r="J590" i="2" s="1"/>
  <c r="H590" i="2" s="1"/>
  <c r="G587" i="2"/>
  <c r="E587" i="2"/>
  <c r="F586" i="2"/>
  <c r="I586" i="2" s="1"/>
  <c r="E586" i="2"/>
  <c r="E585" i="2"/>
  <c r="G584" i="2"/>
  <c r="E584" i="2"/>
  <c r="K583" i="2"/>
  <c r="G583" i="2"/>
  <c r="F583" i="2"/>
  <c r="J583" i="2" s="1"/>
  <c r="H583" i="2" s="1"/>
  <c r="E583" i="2"/>
  <c r="E582" i="2"/>
  <c r="G581" i="2"/>
  <c r="E581" i="2"/>
  <c r="K580" i="2"/>
  <c r="G580" i="2"/>
  <c r="F580" i="2"/>
  <c r="E580" i="2"/>
  <c r="J580" i="2" s="1"/>
  <c r="H580" i="2" s="1"/>
  <c r="F579" i="2"/>
  <c r="E579" i="2"/>
  <c r="E578" i="2"/>
  <c r="E577" i="2"/>
  <c r="G576" i="2"/>
  <c r="E576" i="2"/>
  <c r="K575" i="2"/>
  <c r="J575" i="2"/>
  <c r="H575" i="2" s="1"/>
  <c r="I575" i="2"/>
  <c r="G575" i="2"/>
  <c r="F575" i="2"/>
  <c r="E575" i="2"/>
  <c r="E572" i="2"/>
  <c r="E571" i="2"/>
  <c r="G570" i="2"/>
  <c r="F570" i="2"/>
  <c r="K570" i="2" s="1"/>
  <c r="E570" i="2"/>
  <c r="G569" i="2"/>
  <c r="F569" i="2"/>
  <c r="E569" i="2"/>
  <c r="J568" i="2"/>
  <c r="H568" i="2" s="1"/>
  <c r="I568" i="2"/>
  <c r="F568" i="2"/>
  <c r="E568" i="2"/>
  <c r="E567" i="2"/>
  <c r="G566" i="2"/>
  <c r="E566" i="2"/>
  <c r="G565" i="2"/>
  <c r="F565" i="2"/>
  <c r="E565" i="2"/>
  <c r="F564" i="2"/>
  <c r="E564" i="2"/>
  <c r="E563" i="2"/>
  <c r="G562" i="2"/>
  <c r="F562" i="2"/>
  <c r="K562" i="2" s="1"/>
  <c r="E562" i="2"/>
  <c r="J562" i="2" s="1"/>
  <c r="H562" i="2" s="1"/>
  <c r="E561" i="2"/>
  <c r="F560" i="2"/>
  <c r="E560" i="2"/>
  <c r="E559" i="2"/>
  <c r="G558" i="2"/>
  <c r="E558" i="2"/>
  <c r="I557" i="2"/>
  <c r="G557" i="2"/>
  <c r="F557" i="2"/>
  <c r="K557" i="2" s="1"/>
  <c r="E557" i="2"/>
  <c r="E556" i="2"/>
  <c r="G555" i="2"/>
  <c r="E555" i="2"/>
  <c r="G554" i="2"/>
  <c r="F554" i="2"/>
  <c r="K554" i="2" s="1"/>
  <c r="E554" i="2"/>
  <c r="J554" i="2" s="1"/>
  <c r="H554" i="2" s="1"/>
  <c r="G553" i="2"/>
  <c r="E553" i="2"/>
  <c r="F552" i="2"/>
  <c r="I552" i="2" s="1"/>
  <c r="E552" i="2"/>
  <c r="E551" i="2"/>
  <c r="G549" i="2"/>
  <c r="E549" i="2"/>
  <c r="K547" i="2"/>
  <c r="G547" i="2"/>
  <c r="F547" i="2"/>
  <c r="J547" i="2" s="1"/>
  <c r="H547" i="2" s="1"/>
  <c r="E547" i="2"/>
  <c r="E546" i="2"/>
  <c r="G545" i="2"/>
  <c r="E545" i="2"/>
  <c r="K544" i="2"/>
  <c r="G544" i="2"/>
  <c r="F544" i="2"/>
  <c r="E544" i="2"/>
  <c r="E543" i="2"/>
  <c r="E542" i="2"/>
  <c r="E541" i="2"/>
  <c r="G540" i="2"/>
  <c r="E540" i="2"/>
  <c r="K539" i="2"/>
  <c r="J539" i="2"/>
  <c r="H539" i="2" s="1"/>
  <c r="I539" i="2"/>
  <c r="G539" i="2"/>
  <c r="F539" i="2"/>
  <c r="E539" i="2"/>
  <c r="E538" i="2"/>
  <c r="E537" i="2"/>
  <c r="G536" i="2"/>
  <c r="F536" i="2"/>
  <c r="E536" i="2"/>
  <c r="G535" i="2"/>
  <c r="F535" i="2"/>
  <c r="E535" i="2"/>
  <c r="E534" i="2"/>
  <c r="E533" i="2"/>
  <c r="K532" i="2"/>
  <c r="J532" i="2"/>
  <c r="H532" i="2" s="1"/>
  <c r="G532" i="2"/>
  <c r="F532" i="2"/>
  <c r="E532" i="2"/>
  <c r="I532" i="2" s="1"/>
  <c r="K531" i="2"/>
  <c r="J531" i="2"/>
  <c r="H531" i="2" s="1"/>
  <c r="I531" i="2"/>
  <c r="G531" i="2"/>
  <c r="F531" i="2"/>
  <c r="E531" i="2"/>
  <c r="E530" i="2"/>
  <c r="G529" i="2"/>
  <c r="E529" i="2"/>
  <c r="G528" i="2"/>
  <c r="F528" i="2"/>
  <c r="E528" i="2"/>
  <c r="I528" i="2" s="1"/>
  <c r="F525" i="2"/>
  <c r="E525" i="2"/>
  <c r="F524" i="2"/>
  <c r="E524" i="2"/>
  <c r="E523" i="2"/>
  <c r="K522" i="2"/>
  <c r="J522" i="2"/>
  <c r="H522" i="2" s="1"/>
  <c r="G522" i="2"/>
  <c r="F522" i="2"/>
  <c r="E522" i="2"/>
  <c r="I522" i="2" s="1"/>
  <c r="G521" i="2"/>
  <c r="F521" i="2"/>
  <c r="E521" i="2"/>
  <c r="F520" i="2"/>
  <c r="E520" i="2"/>
  <c r="E517" i="2"/>
  <c r="G516" i="2"/>
  <c r="F516" i="2"/>
  <c r="J516" i="2" s="1"/>
  <c r="H516" i="2" s="1"/>
  <c r="E516" i="2"/>
  <c r="I516" i="2" s="1"/>
  <c r="E515" i="2"/>
  <c r="E514" i="2"/>
  <c r="E513" i="2"/>
  <c r="K512" i="2"/>
  <c r="G512" i="2"/>
  <c r="F512" i="2"/>
  <c r="J512" i="2" s="1"/>
  <c r="H512" i="2" s="1"/>
  <c r="E512" i="2"/>
  <c r="I512" i="2" s="1"/>
  <c r="E511" i="2"/>
  <c r="G511" i="2" s="1"/>
  <c r="E510" i="2"/>
  <c r="E509" i="2"/>
  <c r="K508" i="2"/>
  <c r="G508" i="2"/>
  <c r="F508" i="2"/>
  <c r="E508" i="2"/>
  <c r="J508" i="2" s="1"/>
  <c r="H508" i="2" s="1"/>
  <c r="E507" i="2"/>
  <c r="E506" i="2"/>
  <c r="G506" i="2" s="1"/>
  <c r="E505" i="2"/>
  <c r="G505" i="2" s="1"/>
  <c r="G504" i="2"/>
  <c r="E504" i="2"/>
  <c r="F504" i="2" s="1"/>
  <c r="G503" i="2"/>
  <c r="F503" i="2"/>
  <c r="E503" i="2"/>
  <c r="E502" i="2"/>
  <c r="E501" i="2"/>
  <c r="K500" i="2"/>
  <c r="G500" i="2"/>
  <c r="F500" i="2"/>
  <c r="E500" i="2"/>
  <c r="J500" i="2" s="1"/>
  <c r="H500" i="2" s="1"/>
  <c r="E499" i="2"/>
  <c r="E498" i="2"/>
  <c r="G498" i="2" s="1"/>
  <c r="E497" i="2"/>
  <c r="G497" i="2" s="1"/>
  <c r="G496" i="2"/>
  <c r="E496" i="2"/>
  <c r="F496" i="2" s="1"/>
  <c r="G495" i="2"/>
  <c r="F495" i="2"/>
  <c r="E495" i="2"/>
  <c r="F494" i="2"/>
  <c r="E494" i="2"/>
  <c r="E493" i="2"/>
  <c r="K492" i="2"/>
  <c r="G492" i="2"/>
  <c r="F492" i="2"/>
  <c r="E492" i="2"/>
  <c r="J492" i="2" s="1"/>
  <c r="H492" i="2" s="1"/>
  <c r="E491" i="2"/>
  <c r="E490" i="2"/>
  <c r="G490" i="2" s="1"/>
  <c r="E489" i="2"/>
  <c r="G489" i="2" s="1"/>
  <c r="G488" i="2"/>
  <c r="E488" i="2"/>
  <c r="F488" i="2" s="1"/>
  <c r="G487" i="2"/>
  <c r="F487" i="2"/>
  <c r="E487" i="2"/>
  <c r="E486" i="2"/>
  <c r="E485" i="2"/>
  <c r="K484" i="2"/>
  <c r="G484" i="2"/>
  <c r="F484" i="2"/>
  <c r="E484" i="2"/>
  <c r="J484" i="2" s="1"/>
  <c r="H484" i="2" s="1"/>
  <c r="E483" i="2"/>
  <c r="E482" i="2"/>
  <c r="E481" i="2"/>
  <c r="G481" i="2" s="1"/>
  <c r="G480" i="2"/>
  <c r="E480" i="2"/>
  <c r="F480" i="2" s="1"/>
  <c r="G479" i="2"/>
  <c r="F479" i="2"/>
  <c r="K479" i="2" s="1"/>
  <c r="E479" i="2"/>
  <c r="F478" i="2"/>
  <c r="I478" i="2" s="1"/>
  <c r="E478" i="2"/>
  <c r="E477" i="2"/>
  <c r="G476" i="2"/>
  <c r="F476" i="2"/>
  <c r="K476" i="2" s="1"/>
  <c r="E476" i="2"/>
  <c r="J476" i="2" s="1"/>
  <c r="H476" i="2" s="1"/>
  <c r="E475" i="2"/>
  <c r="E474" i="2"/>
  <c r="E471" i="2"/>
  <c r="G471" i="2" s="1"/>
  <c r="G470" i="2"/>
  <c r="E470" i="2"/>
  <c r="F470" i="2" s="1"/>
  <c r="G469" i="2"/>
  <c r="F469" i="2"/>
  <c r="K469" i="2" s="1"/>
  <c r="E469" i="2"/>
  <c r="F468" i="2"/>
  <c r="I468" i="2" s="1"/>
  <c r="E468" i="2"/>
  <c r="E467" i="2"/>
  <c r="G466" i="2"/>
  <c r="F466" i="2"/>
  <c r="K466" i="2" s="1"/>
  <c r="E466" i="2"/>
  <c r="J466" i="2" s="1"/>
  <c r="H466" i="2" s="1"/>
  <c r="E465" i="2"/>
  <c r="E464" i="2"/>
  <c r="E463" i="2"/>
  <c r="G463" i="2" s="1"/>
  <c r="K462" i="2"/>
  <c r="J462" i="2"/>
  <c r="H462" i="2" s="1"/>
  <c r="I462" i="2"/>
  <c r="G462" i="2"/>
  <c r="E462" i="2"/>
  <c r="F462" i="2" s="1"/>
  <c r="J461" i="2"/>
  <c r="H461" i="2" s="1"/>
  <c r="I461" i="2"/>
  <c r="G461" i="2"/>
  <c r="F461" i="2"/>
  <c r="K461" i="2" s="1"/>
  <c r="E461" i="2"/>
  <c r="E460" i="2"/>
  <c r="E459" i="2"/>
  <c r="E458" i="2"/>
  <c r="E457" i="2"/>
  <c r="E456" i="2"/>
  <c r="E455" i="2"/>
  <c r="G455" i="2" s="1"/>
  <c r="I454" i="2"/>
  <c r="G454" i="2"/>
  <c r="E454" i="2"/>
  <c r="F454" i="2" s="1"/>
  <c r="K454" i="2" s="1"/>
  <c r="J453" i="2"/>
  <c r="H453" i="2" s="1"/>
  <c r="G453" i="2"/>
  <c r="F453" i="2"/>
  <c r="K453" i="2" s="1"/>
  <c r="E453" i="2"/>
  <c r="G452" i="2"/>
  <c r="E452" i="2"/>
  <c r="G451" i="2"/>
  <c r="F451" i="2"/>
  <c r="E451" i="2"/>
  <c r="G450" i="2"/>
  <c r="E450" i="2"/>
  <c r="J449" i="2"/>
  <c r="H449" i="2" s="1"/>
  <c r="F449" i="2"/>
  <c r="K449" i="2" s="1"/>
  <c r="E449" i="2"/>
  <c r="E448" i="2"/>
  <c r="E447" i="2"/>
  <c r="G447" i="2" s="1"/>
  <c r="K446" i="2"/>
  <c r="I446" i="2"/>
  <c r="G446" i="2"/>
  <c r="E446" i="2"/>
  <c r="F446" i="2" s="1"/>
  <c r="J446" i="2" s="1"/>
  <c r="H446" i="2" s="1"/>
  <c r="I445" i="2"/>
  <c r="G445" i="2"/>
  <c r="F445" i="2"/>
  <c r="K445" i="2" s="1"/>
  <c r="E445" i="2"/>
  <c r="E444" i="2"/>
  <c r="E443" i="2"/>
  <c r="E442" i="2"/>
  <c r="E441" i="2"/>
  <c r="E440" i="2"/>
  <c r="E439" i="2"/>
  <c r="G439" i="2" s="1"/>
  <c r="J438" i="2"/>
  <c r="H438" i="2" s="1"/>
  <c r="I438" i="2"/>
  <c r="G438" i="2"/>
  <c r="E438" i="2"/>
  <c r="F438" i="2" s="1"/>
  <c r="K438" i="2" s="1"/>
  <c r="G437" i="2"/>
  <c r="F437" i="2"/>
  <c r="E437" i="2"/>
  <c r="I436" i="2"/>
  <c r="G436" i="2"/>
  <c r="F436" i="2"/>
  <c r="E436" i="2"/>
  <c r="G435" i="2"/>
  <c r="E435" i="2"/>
  <c r="G434" i="2"/>
  <c r="F434" i="2"/>
  <c r="K434" i="2" s="1"/>
  <c r="E434" i="2"/>
  <c r="E433" i="2"/>
  <c r="E432" i="2"/>
  <c r="E431" i="2"/>
  <c r="G431" i="2" s="1"/>
  <c r="K430" i="2"/>
  <c r="J430" i="2"/>
  <c r="H430" i="2" s="1"/>
  <c r="I430" i="2"/>
  <c r="G430" i="2"/>
  <c r="E430" i="2"/>
  <c r="F430" i="2" s="1"/>
  <c r="I429" i="2"/>
  <c r="G429" i="2"/>
  <c r="F429" i="2"/>
  <c r="K429" i="2" s="1"/>
  <c r="E429" i="2"/>
  <c r="I428" i="2"/>
  <c r="G428" i="2"/>
  <c r="F428" i="2"/>
  <c r="E428" i="2"/>
  <c r="I427" i="2"/>
  <c r="F427" i="2"/>
  <c r="E427" i="2"/>
  <c r="E426" i="2"/>
  <c r="F425" i="2"/>
  <c r="J425" i="2" s="1"/>
  <c r="H425" i="2" s="1"/>
  <c r="E425" i="2"/>
  <c r="E424" i="2"/>
  <c r="G424" i="2" s="1"/>
  <c r="E423" i="2"/>
  <c r="K422" i="2"/>
  <c r="I422" i="2"/>
  <c r="G422" i="2"/>
  <c r="E422" i="2"/>
  <c r="F422" i="2" s="1"/>
  <c r="J422" i="2" s="1"/>
  <c r="H422" i="2" s="1"/>
  <c r="J421" i="2"/>
  <c r="H421" i="2" s="1"/>
  <c r="I421" i="2"/>
  <c r="G421" i="2"/>
  <c r="F421" i="2"/>
  <c r="K421" i="2" s="1"/>
  <c r="E421" i="2"/>
  <c r="G420" i="2"/>
  <c r="E420" i="2"/>
  <c r="E419" i="2"/>
  <c r="E418" i="2"/>
  <c r="G417" i="2"/>
  <c r="F417" i="2"/>
  <c r="E417" i="2"/>
  <c r="K416" i="2"/>
  <c r="I416" i="2"/>
  <c r="F416" i="2"/>
  <c r="J416" i="2" s="1"/>
  <c r="H416" i="2" s="1"/>
  <c r="E416" i="2"/>
  <c r="G416" i="2" s="1"/>
  <c r="E415" i="2"/>
  <c r="K414" i="2"/>
  <c r="J414" i="2"/>
  <c r="H414" i="2" s="1"/>
  <c r="I414" i="2"/>
  <c r="G414" i="2"/>
  <c r="E414" i="2"/>
  <c r="F414" i="2" s="1"/>
  <c r="E413" i="2"/>
  <c r="E412" i="2"/>
  <c r="K411" i="2"/>
  <c r="I411" i="2"/>
  <c r="G411" i="2"/>
  <c r="F411" i="2"/>
  <c r="E411" i="2"/>
  <c r="J411" i="2" s="1"/>
  <c r="H411" i="2" s="1"/>
  <c r="J410" i="2"/>
  <c r="H410" i="2" s="1"/>
  <c r="F410" i="2"/>
  <c r="K410" i="2" s="1"/>
  <c r="E410" i="2"/>
  <c r="I410" i="2" s="1"/>
  <c r="E409" i="2"/>
  <c r="G409" i="2" s="1"/>
  <c r="I408" i="2"/>
  <c r="F408" i="2"/>
  <c r="K408" i="2" s="1"/>
  <c r="E408" i="2"/>
  <c r="G408" i="2" s="1"/>
  <c r="G407" i="2"/>
  <c r="E407" i="2"/>
  <c r="F407" i="2" s="1"/>
  <c r="K407" i="2" s="1"/>
  <c r="G406" i="2"/>
  <c r="F406" i="2"/>
  <c r="E406" i="2"/>
  <c r="E405" i="2"/>
  <c r="E404" i="2"/>
  <c r="K403" i="2"/>
  <c r="I403" i="2"/>
  <c r="G403" i="2"/>
  <c r="F403" i="2"/>
  <c r="E403" i="2"/>
  <c r="J403" i="2" s="1"/>
  <c r="H403" i="2" s="1"/>
  <c r="J402" i="2"/>
  <c r="H402" i="2" s="1"/>
  <c r="F402" i="2"/>
  <c r="K402" i="2" s="1"/>
  <c r="E402" i="2"/>
  <c r="I402" i="2" s="1"/>
  <c r="E401" i="2"/>
  <c r="G401" i="2" s="1"/>
  <c r="I400" i="2"/>
  <c r="F400" i="2"/>
  <c r="K400" i="2" s="1"/>
  <c r="E400" i="2"/>
  <c r="G400" i="2" s="1"/>
  <c r="G399" i="2"/>
  <c r="E399" i="2"/>
  <c r="F399" i="2" s="1"/>
  <c r="K399" i="2" s="1"/>
  <c r="G398" i="2"/>
  <c r="F398" i="2"/>
  <c r="E398" i="2"/>
  <c r="E397" i="2"/>
  <c r="E396" i="2"/>
  <c r="K395" i="2"/>
  <c r="I395" i="2"/>
  <c r="G395" i="2"/>
  <c r="F395" i="2"/>
  <c r="E395" i="2"/>
  <c r="J395" i="2" s="1"/>
  <c r="H395" i="2" s="1"/>
  <c r="J394" i="2"/>
  <c r="H394" i="2" s="1"/>
  <c r="F394" i="2"/>
  <c r="K394" i="2" s="1"/>
  <c r="E394" i="2"/>
  <c r="I394" i="2" s="1"/>
  <c r="E393" i="2"/>
  <c r="G393" i="2" s="1"/>
  <c r="I392" i="2"/>
  <c r="F392" i="2"/>
  <c r="K392" i="2" s="1"/>
  <c r="E392" i="2"/>
  <c r="G392" i="2" s="1"/>
  <c r="G391" i="2"/>
  <c r="E391" i="2"/>
  <c r="F391" i="2" s="1"/>
  <c r="K391" i="2" s="1"/>
  <c r="G390" i="2"/>
  <c r="F390" i="2"/>
  <c r="E390" i="2"/>
  <c r="E389" i="2"/>
  <c r="E388" i="2"/>
  <c r="K387" i="2"/>
  <c r="I387" i="2"/>
  <c r="G387" i="2"/>
  <c r="F387" i="2"/>
  <c r="E387" i="2"/>
  <c r="J387" i="2" s="1"/>
  <c r="H387" i="2" s="1"/>
  <c r="J386" i="2"/>
  <c r="H386" i="2" s="1"/>
  <c r="F386" i="2"/>
  <c r="K386" i="2" s="1"/>
  <c r="E386" i="2"/>
  <c r="I386" i="2" s="1"/>
  <c r="E383" i="2"/>
  <c r="G383" i="2" s="1"/>
  <c r="I382" i="2"/>
  <c r="F382" i="2"/>
  <c r="K382" i="2" s="1"/>
  <c r="E382" i="2"/>
  <c r="G382" i="2" s="1"/>
  <c r="G381" i="2"/>
  <c r="E381" i="2"/>
  <c r="F381" i="2" s="1"/>
  <c r="K381" i="2" s="1"/>
  <c r="G380" i="2"/>
  <c r="F380" i="2"/>
  <c r="E380" i="2"/>
  <c r="E379" i="2"/>
  <c r="E378" i="2"/>
  <c r="K377" i="2"/>
  <c r="I377" i="2"/>
  <c r="G377" i="2"/>
  <c r="F377" i="2"/>
  <c r="E377" i="2"/>
  <c r="J377" i="2" s="1"/>
  <c r="H377" i="2" s="1"/>
  <c r="F376" i="2"/>
  <c r="E376" i="2"/>
  <c r="I376" i="2" s="1"/>
  <c r="E375" i="2"/>
  <c r="I372" i="2"/>
  <c r="F372" i="2"/>
  <c r="K372" i="2" s="1"/>
  <c r="E372" i="2"/>
  <c r="G372" i="2" s="1"/>
  <c r="K371" i="2"/>
  <c r="G371" i="2"/>
  <c r="E371" i="2"/>
  <c r="F371" i="2" s="1"/>
  <c r="G370" i="2"/>
  <c r="F370" i="2"/>
  <c r="E370" i="2"/>
  <c r="E369" i="2"/>
  <c r="E368" i="2"/>
  <c r="K367" i="2"/>
  <c r="I367" i="2"/>
  <c r="G367" i="2"/>
  <c r="F367" i="2"/>
  <c r="E367" i="2"/>
  <c r="J367" i="2" s="1"/>
  <c r="H367" i="2" s="1"/>
  <c r="F366" i="2"/>
  <c r="K366" i="2" s="1"/>
  <c r="E366" i="2"/>
  <c r="E363" i="2"/>
  <c r="I362" i="2"/>
  <c r="F362" i="2"/>
  <c r="K362" i="2" s="1"/>
  <c r="E362" i="2"/>
  <c r="G362" i="2" s="1"/>
  <c r="K361" i="2"/>
  <c r="G361" i="2"/>
  <c r="E361" i="2"/>
  <c r="F361" i="2" s="1"/>
  <c r="G360" i="2"/>
  <c r="F360" i="2"/>
  <c r="E360" i="2"/>
  <c r="E359" i="2"/>
  <c r="E358" i="2"/>
  <c r="K357" i="2"/>
  <c r="I357" i="2"/>
  <c r="G357" i="2"/>
  <c r="F357" i="2"/>
  <c r="E357" i="2"/>
  <c r="J357" i="2" s="1"/>
  <c r="H357" i="2" s="1"/>
  <c r="K356" i="2"/>
  <c r="J356" i="2"/>
  <c r="H356" i="2" s="1"/>
  <c r="F356" i="2"/>
  <c r="E356" i="2"/>
  <c r="I356" i="2" s="1"/>
  <c r="E355" i="2"/>
  <c r="I354" i="2"/>
  <c r="F354" i="2"/>
  <c r="K354" i="2" s="1"/>
  <c r="E354" i="2"/>
  <c r="G354" i="2" s="1"/>
  <c r="G353" i="2"/>
  <c r="E353" i="2"/>
  <c r="F353" i="2" s="1"/>
  <c r="K353" i="2" s="1"/>
  <c r="J352" i="2"/>
  <c r="H352" i="2" s="1"/>
  <c r="G352" i="2"/>
  <c r="F352" i="2"/>
  <c r="E352" i="2"/>
  <c r="E351" i="2"/>
  <c r="E348" i="2"/>
  <c r="K347" i="2"/>
  <c r="I347" i="2"/>
  <c r="G347" i="2"/>
  <c r="F347" i="2"/>
  <c r="E347" i="2"/>
  <c r="J347" i="2" s="1"/>
  <c r="H347" i="2" s="1"/>
  <c r="F346" i="2"/>
  <c r="E346" i="2"/>
  <c r="E345" i="2"/>
  <c r="I344" i="2"/>
  <c r="F344" i="2"/>
  <c r="K344" i="2" s="1"/>
  <c r="E344" i="2"/>
  <c r="G344" i="2" s="1"/>
  <c r="K343" i="2"/>
  <c r="G343" i="2"/>
  <c r="E343" i="2"/>
  <c r="F343" i="2" s="1"/>
  <c r="J342" i="2"/>
  <c r="H342" i="2" s="1"/>
  <c r="G342" i="2"/>
  <c r="F342" i="2"/>
  <c r="E342" i="2"/>
  <c r="I341" i="2"/>
  <c r="F341" i="2"/>
  <c r="E341" i="2"/>
  <c r="E340" i="2"/>
  <c r="K339" i="2"/>
  <c r="I339" i="2"/>
  <c r="G339" i="2"/>
  <c r="F339" i="2"/>
  <c r="E339" i="2"/>
  <c r="J339" i="2" s="1"/>
  <c r="H339" i="2" s="1"/>
  <c r="F338" i="2"/>
  <c r="K338" i="2" s="1"/>
  <c r="E338" i="2"/>
  <c r="E337" i="2"/>
  <c r="I336" i="2"/>
  <c r="F336" i="2"/>
  <c r="K336" i="2" s="1"/>
  <c r="E336" i="2"/>
  <c r="G336" i="2" s="1"/>
  <c r="G335" i="2"/>
  <c r="E335" i="2"/>
  <c r="F335" i="2" s="1"/>
  <c r="K335" i="2" s="1"/>
  <c r="J334" i="2"/>
  <c r="H334" i="2" s="1"/>
  <c r="G334" i="2"/>
  <c r="F334" i="2"/>
  <c r="E334" i="2"/>
  <c r="E333" i="2"/>
  <c r="E332" i="2"/>
  <c r="K331" i="2"/>
  <c r="I331" i="2"/>
  <c r="G331" i="2"/>
  <c r="F331" i="2"/>
  <c r="E331" i="2"/>
  <c r="J331" i="2" s="1"/>
  <c r="H331" i="2" s="1"/>
  <c r="K330" i="2"/>
  <c r="J330" i="2"/>
  <c r="H330" i="2" s="1"/>
  <c r="F330" i="2"/>
  <c r="E330" i="2"/>
  <c r="I330" i="2" s="1"/>
  <c r="G329" i="2"/>
  <c r="E329" i="2"/>
  <c r="I328" i="2"/>
  <c r="F328" i="2"/>
  <c r="K328" i="2" s="1"/>
  <c r="E328" i="2"/>
  <c r="G328" i="2" s="1"/>
  <c r="G327" i="2"/>
  <c r="E327" i="2"/>
  <c r="J326" i="2"/>
  <c r="H326" i="2" s="1"/>
  <c r="G326" i="2"/>
  <c r="F326" i="2"/>
  <c r="E326" i="2"/>
  <c r="E325" i="2"/>
  <c r="E324" i="2"/>
  <c r="K323" i="2"/>
  <c r="I323" i="2"/>
  <c r="G323" i="2"/>
  <c r="F323" i="2"/>
  <c r="E323" i="2"/>
  <c r="J323" i="2" s="1"/>
  <c r="H323" i="2" s="1"/>
  <c r="F322" i="2"/>
  <c r="K322" i="2" s="1"/>
  <c r="E322" i="2"/>
  <c r="G321" i="2"/>
  <c r="E321" i="2"/>
  <c r="F318" i="2"/>
  <c r="K318" i="2" s="1"/>
  <c r="E318" i="2"/>
  <c r="G318" i="2" s="1"/>
  <c r="G317" i="2"/>
  <c r="E317" i="2"/>
  <c r="G316" i="2"/>
  <c r="F316" i="2"/>
  <c r="E316" i="2"/>
  <c r="F315" i="2"/>
  <c r="I315" i="2" s="1"/>
  <c r="E315" i="2"/>
  <c r="K315" i="2" s="1"/>
  <c r="E314" i="2"/>
  <c r="K313" i="2"/>
  <c r="I313" i="2"/>
  <c r="G313" i="2"/>
  <c r="F313" i="2"/>
  <c r="E313" i="2"/>
  <c r="J313" i="2" s="1"/>
  <c r="H313" i="2" s="1"/>
  <c r="F312" i="2"/>
  <c r="K312" i="2" s="1"/>
  <c r="E312" i="2"/>
  <c r="G311" i="2"/>
  <c r="E311" i="2"/>
  <c r="F310" i="2"/>
  <c r="K310" i="2" s="1"/>
  <c r="E310" i="2"/>
  <c r="G310" i="2" s="1"/>
  <c r="G309" i="2"/>
  <c r="E309" i="2"/>
  <c r="G308" i="2"/>
  <c r="F308" i="2"/>
  <c r="E308" i="2"/>
  <c r="K307" i="2"/>
  <c r="I307" i="2"/>
  <c r="F307" i="2"/>
  <c r="E307" i="2"/>
  <c r="E306" i="2"/>
  <c r="K305" i="2"/>
  <c r="I305" i="2"/>
  <c r="G305" i="2"/>
  <c r="F305" i="2"/>
  <c r="E305" i="2"/>
  <c r="J305" i="2" s="1"/>
  <c r="H305" i="2" s="1"/>
  <c r="J304" i="2"/>
  <c r="H304" i="2" s="1"/>
  <c r="F304" i="2"/>
  <c r="K304" i="2" s="1"/>
  <c r="E304" i="2"/>
  <c r="I304" i="2" s="1"/>
  <c r="E303" i="2"/>
  <c r="I302" i="2"/>
  <c r="F302" i="2"/>
  <c r="K302" i="2" s="1"/>
  <c r="E302" i="2"/>
  <c r="G302" i="2" s="1"/>
  <c r="E301" i="2"/>
  <c r="J298" i="2"/>
  <c r="H298" i="2" s="1"/>
  <c r="G298" i="2"/>
  <c r="F298" i="2"/>
  <c r="E298" i="2"/>
  <c r="E297" i="2"/>
  <c r="E296" i="2"/>
  <c r="K295" i="2"/>
  <c r="I295" i="2"/>
  <c r="G295" i="2"/>
  <c r="F295" i="2"/>
  <c r="E295" i="2"/>
  <c r="J295" i="2" s="1"/>
  <c r="H295" i="2" s="1"/>
  <c r="F294" i="2"/>
  <c r="E294" i="2"/>
  <c r="I294" i="2" s="1"/>
  <c r="E293" i="2"/>
  <c r="F292" i="2"/>
  <c r="E292" i="2"/>
  <c r="G292" i="2" s="1"/>
  <c r="E291" i="2"/>
  <c r="G290" i="2"/>
  <c r="F290" i="2"/>
  <c r="E290" i="2"/>
  <c r="E289" i="2"/>
  <c r="E288" i="2"/>
  <c r="K287" i="2"/>
  <c r="I287" i="2"/>
  <c r="G287" i="2"/>
  <c r="F287" i="2"/>
  <c r="E287" i="2"/>
  <c r="J287" i="2" s="1"/>
  <c r="H287" i="2" s="1"/>
  <c r="F286" i="2"/>
  <c r="E286" i="2"/>
  <c r="G285" i="2"/>
  <c r="E285" i="2"/>
  <c r="I284" i="2"/>
  <c r="F284" i="2"/>
  <c r="K284" i="2" s="1"/>
  <c r="E284" i="2"/>
  <c r="G284" i="2" s="1"/>
  <c r="E283" i="2"/>
  <c r="J282" i="2"/>
  <c r="H282" i="2" s="1"/>
  <c r="I282" i="2"/>
  <c r="G282" i="2"/>
  <c r="F282" i="2"/>
  <c r="K282" i="2" s="1"/>
  <c r="E282" i="2"/>
  <c r="F281" i="2"/>
  <c r="E281" i="2"/>
  <c r="K281" i="2" s="1"/>
  <c r="G280" i="2"/>
  <c r="E280" i="2"/>
  <c r="I279" i="2"/>
  <c r="G279" i="2"/>
  <c r="F279" i="2"/>
  <c r="K279" i="2" s="1"/>
  <c r="E279" i="2"/>
  <c r="E278" i="2"/>
  <c r="E277" i="2"/>
  <c r="F276" i="2"/>
  <c r="E276" i="2"/>
  <c r="G276" i="2" s="1"/>
  <c r="G275" i="2"/>
  <c r="E275" i="2"/>
  <c r="I274" i="2"/>
  <c r="G274" i="2"/>
  <c r="F274" i="2"/>
  <c r="K274" i="2" s="1"/>
  <c r="E274" i="2"/>
  <c r="E273" i="2"/>
  <c r="E272" i="2"/>
  <c r="G271" i="2"/>
  <c r="F271" i="2"/>
  <c r="E271" i="2"/>
  <c r="K270" i="2"/>
  <c r="F270" i="2"/>
  <c r="E270" i="2"/>
  <c r="G269" i="2"/>
  <c r="E269" i="2"/>
  <c r="F268" i="2"/>
  <c r="K268" i="2" s="1"/>
  <c r="E268" i="2"/>
  <c r="G268" i="2" s="1"/>
  <c r="E267" i="2"/>
  <c r="G266" i="2"/>
  <c r="F266" i="2"/>
  <c r="E266" i="2"/>
  <c r="K265" i="2"/>
  <c r="F265" i="2"/>
  <c r="E265" i="2"/>
  <c r="G264" i="2"/>
  <c r="E264" i="2"/>
  <c r="G263" i="2"/>
  <c r="F263" i="2"/>
  <c r="K263" i="2" s="1"/>
  <c r="E263" i="2"/>
  <c r="E262" i="2"/>
  <c r="E261" i="2"/>
  <c r="K260" i="2"/>
  <c r="I260" i="2"/>
  <c r="F260" i="2"/>
  <c r="E260" i="2"/>
  <c r="G260" i="2" s="1"/>
  <c r="G259" i="2"/>
  <c r="E259" i="2"/>
  <c r="G256" i="2"/>
  <c r="F256" i="2"/>
  <c r="K256" i="2" s="1"/>
  <c r="E256" i="2"/>
  <c r="E255" i="2"/>
  <c r="E254" i="2"/>
  <c r="K253" i="2"/>
  <c r="I253" i="2"/>
  <c r="G253" i="2"/>
  <c r="F253" i="2"/>
  <c r="E253" i="2"/>
  <c r="J253" i="2" s="1"/>
  <c r="H253" i="2" s="1"/>
  <c r="F252" i="2"/>
  <c r="E252" i="2"/>
  <c r="K252" i="2" s="1"/>
  <c r="G251" i="2"/>
  <c r="E251" i="2"/>
  <c r="I250" i="2"/>
  <c r="F250" i="2"/>
  <c r="K250" i="2" s="1"/>
  <c r="E250" i="2"/>
  <c r="G250" i="2" s="1"/>
  <c r="E249" i="2"/>
  <c r="J248" i="2"/>
  <c r="H248" i="2" s="1"/>
  <c r="I248" i="2"/>
  <c r="G248" i="2"/>
  <c r="F248" i="2"/>
  <c r="K248" i="2" s="1"/>
  <c r="E248" i="2"/>
  <c r="F247" i="2"/>
  <c r="E247" i="2"/>
  <c r="G246" i="2"/>
  <c r="E246" i="2"/>
  <c r="I245" i="2"/>
  <c r="G245" i="2"/>
  <c r="F245" i="2"/>
  <c r="K245" i="2" s="1"/>
  <c r="E245" i="2"/>
  <c r="E244" i="2"/>
  <c r="E243" i="2"/>
  <c r="F242" i="2"/>
  <c r="E242" i="2"/>
  <c r="G242" i="2" s="1"/>
  <c r="G241" i="2"/>
  <c r="E241" i="2"/>
  <c r="I240" i="2"/>
  <c r="G240" i="2"/>
  <c r="F240" i="2"/>
  <c r="K240" i="2" s="1"/>
  <c r="E240" i="2"/>
  <c r="E239" i="2"/>
  <c r="E238" i="2"/>
  <c r="G237" i="2"/>
  <c r="F237" i="2"/>
  <c r="E237" i="2"/>
  <c r="J237" i="2" s="1"/>
  <c r="H237" i="2" s="1"/>
  <c r="K234" i="2"/>
  <c r="F234" i="2"/>
  <c r="E234" i="2"/>
  <c r="G233" i="2"/>
  <c r="E233" i="2"/>
  <c r="F232" i="2"/>
  <c r="K232" i="2" s="1"/>
  <c r="E232" i="2"/>
  <c r="G232" i="2" s="1"/>
  <c r="E231" i="2"/>
  <c r="G230" i="2"/>
  <c r="F230" i="2"/>
  <c r="E230" i="2"/>
  <c r="E229" i="2"/>
  <c r="E228" i="2"/>
  <c r="G227" i="2"/>
  <c r="F227" i="2"/>
  <c r="K227" i="2" s="1"/>
  <c r="E227" i="2"/>
  <c r="F226" i="2"/>
  <c r="E226" i="2"/>
  <c r="J225" i="2"/>
  <c r="H225" i="2" s="1"/>
  <c r="F225" i="2"/>
  <c r="E225" i="2"/>
  <c r="I224" i="2"/>
  <c r="F224" i="2"/>
  <c r="K224" i="2" s="1"/>
  <c r="E224" i="2"/>
  <c r="E223" i="2"/>
  <c r="K222" i="2"/>
  <c r="I222" i="2"/>
  <c r="G222" i="2"/>
  <c r="F222" i="2"/>
  <c r="J222" i="2" s="1"/>
  <c r="H222" i="2" s="1"/>
  <c r="E222" i="2"/>
  <c r="K221" i="2"/>
  <c r="J221" i="2"/>
  <c r="H221" i="2" s="1"/>
  <c r="G221" i="2"/>
  <c r="F221" i="2"/>
  <c r="E221" i="2"/>
  <c r="I221" i="2" s="1"/>
  <c r="E220" i="2"/>
  <c r="G219" i="2"/>
  <c r="F219" i="2"/>
  <c r="K219" i="2" s="1"/>
  <c r="E219" i="2"/>
  <c r="I219" i="2" s="1"/>
  <c r="F218" i="2"/>
  <c r="E218" i="2"/>
  <c r="K217" i="2"/>
  <c r="G217" i="2"/>
  <c r="F217" i="2"/>
  <c r="I217" i="2" s="1"/>
  <c r="E217" i="2"/>
  <c r="J217" i="2" s="1"/>
  <c r="H217" i="2" s="1"/>
  <c r="E216" i="2"/>
  <c r="G216" i="2" s="1"/>
  <c r="K215" i="2"/>
  <c r="I215" i="2"/>
  <c r="G215" i="2"/>
  <c r="E215" i="2"/>
  <c r="F215" i="2" s="1"/>
  <c r="G214" i="2"/>
  <c r="F214" i="2"/>
  <c r="E214" i="2"/>
  <c r="E213" i="2"/>
  <c r="J212" i="2"/>
  <c r="H212" i="2" s="1"/>
  <c r="G212" i="2"/>
  <c r="F212" i="2"/>
  <c r="I212" i="2" s="1"/>
  <c r="E212" i="2"/>
  <c r="E211" i="2"/>
  <c r="G210" i="2"/>
  <c r="F210" i="2"/>
  <c r="K210" i="2" s="1"/>
  <c r="E210" i="2"/>
  <c r="J210" i="2" s="1"/>
  <c r="H210" i="2" s="1"/>
  <c r="F209" i="2"/>
  <c r="E209" i="2"/>
  <c r="K208" i="2"/>
  <c r="F208" i="2"/>
  <c r="J208" i="2" s="1"/>
  <c r="H208" i="2" s="1"/>
  <c r="E208" i="2"/>
  <c r="G208" i="2" s="1"/>
  <c r="K207" i="2"/>
  <c r="J207" i="2"/>
  <c r="H207" i="2" s="1"/>
  <c r="I207" i="2"/>
  <c r="E207" i="2"/>
  <c r="F207" i="2" s="1"/>
  <c r="K206" i="2"/>
  <c r="I206" i="2"/>
  <c r="G206" i="2"/>
  <c r="F206" i="2"/>
  <c r="J206" i="2" s="1"/>
  <c r="H206" i="2" s="1"/>
  <c r="E206" i="2"/>
  <c r="G205" i="2"/>
  <c r="F205" i="2"/>
  <c r="K205" i="2" s="1"/>
  <c r="E205" i="2"/>
  <c r="I205" i="2" s="1"/>
  <c r="E204" i="2"/>
  <c r="K203" i="2"/>
  <c r="G203" i="2"/>
  <c r="F203" i="2"/>
  <c r="E203" i="2"/>
  <c r="E200" i="2"/>
  <c r="I199" i="2"/>
  <c r="G199" i="2"/>
  <c r="F199" i="2"/>
  <c r="K199" i="2" s="1"/>
  <c r="E199" i="2"/>
  <c r="J199" i="2" s="1"/>
  <c r="H199" i="2" s="1"/>
  <c r="F198" i="2"/>
  <c r="E198" i="2"/>
  <c r="K197" i="2"/>
  <c r="G197" i="2"/>
  <c r="E197" i="2"/>
  <c r="F197" i="2" s="1"/>
  <c r="J197" i="2" s="1"/>
  <c r="H197" i="2" s="1"/>
  <c r="K196" i="2"/>
  <c r="J196" i="2"/>
  <c r="H196" i="2" s="1"/>
  <c r="I196" i="2"/>
  <c r="G196" i="2"/>
  <c r="F196" i="2"/>
  <c r="E196" i="2"/>
  <c r="E195" i="2"/>
  <c r="G195" i="2" s="1"/>
  <c r="K194" i="2"/>
  <c r="I194" i="2"/>
  <c r="G194" i="2"/>
  <c r="F194" i="2"/>
  <c r="J194" i="2" s="1"/>
  <c r="H194" i="2" s="1"/>
  <c r="E194" i="2"/>
  <c r="G193" i="2"/>
  <c r="F193" i="2"/>
  <c r="K193" i="2" s="1"/>
  <c r="E193" i="2"/>
  <c r="I193" i="2" s="1"/>
  <c r="G192" i="2"/>
  <c r="F192" i="2"/>
  <c r="E192" i="2"/>
  <c r="K192" i="2" s="1"/>
  <c r="E191" i="2"/>
  <c r="E190" i="2"/>
  <c r="K189" i="2"/>
  <c r="J189" i="2"/>
  <c r="H189" i="2" s="1"/>
  <c r="G189" i="2"/>
  <c r="F189" i="2"/>
  <c r="E189" i="2"/>
  <c r="I189" i="2" s="1"/>
  <c r="K188" i="2"/>
  <c r="J188" i="2"/>
  <c r="H188" i="2" s="1"/>
  <c r="I188" i="2"/>
  <c r="F188" i="2"/>
  <c r="E188" i="2"/>
  <c r="G188" i="2" s="1"/>
  <c r="E187" i="2"/>
  <c r="G187" i="2" s="1"/>
  <c r="K186" i="2"/>
  <c r="I186" i="2"/>
  <c r="G186" i="2"/>
  <c r="F186" i="2"/>
  <c r="J186" i="2" s="1"/>
  <c r="H186" i="2" s="1"/>
  <c r="E186" i="2"/>
  <c r="G185" i="2"/>
  <c r="F185" i="2"/>
  <c r="K185" i="2" s="1"/>
  <c r="E185" i="2"/>
  <c r="I185" i="2" s="1"/>
  <c r="G184" i="2"/>
  <c r="F184" i="2"/>
  <c r="E184" i="2"/>
  <c r="F183" i="2"/>
  <c r="E183" i="2"/>
  <c r="E182" i="2"/>
  <c r="K181" i="2"/>
  <c r="J181" i="2"/>
  <c r="H181" i="2" s="1"/>
  <c r="G181" i="2"/>
  <c r="F181" i="2"/>
  <c r="I181" i="2" s="1"/>
  <c r="E181" i="2"/>
  <c r="K180" i="2"/>
  <c r="J180" i="2"/>
  <c r="H180" i="2" s="1"/>
  <c r="I180" i="2"/>
  <c r="F180" i="2"/>
  <c r="E180" i="2"/>
  <c r="G180" i="2" s="1"/>
  <c r="E179" i="2"/>
  <c r="G179" i="2" s="1"/>
  <c r="K178" i="2"/>
  <c r="I178" i="2"/>
  <c r="G178" i="2"/>
  <c r="F178" i="2"/>
  <c r="J178" i="2" s="1"/>
  <c r="H178" i="2" s="1"/>
  <c r="E178" i="2"/>
  <c r="G177" i="2"/>
  <c r="F177" i="2"/>
  <c r="K177" i="2" s="1"/>
  <c r="E177" i="2"/>
  <c r="I177" i="2" s="1"/>
  <c r="G176" i="2"/>
  <c r="F176" i="2"/>
  <c r="E176" i="2"/>
  <c r="K176" i="2" s="1"/>
  <c r="E175" i="2"/>
  <c r="F175" i="2" s="1"/>
  <c r="E174" i="2"/>
  <c r="K171" i="2"/>
  <c r="J171" i="2"/>
  <c r="H171" i="2" s="1"/>
  <c r="G171" i="2"/>
  <c r="F171" i="2"/>
  <c r="I171" i="2" s="1"/>
  <c r="E171" i="2"/>
  <c r="K170" i="2"/>
  <c r="J170" i="2"/>
  <c r="H170" i="2" s="1"/>
  <c r="I170" i="2"/>
  <c r="F170" i="2"/>
  <c r="E170" i="2"/>
  <c r="G170" i="2" s="1"/>
  <c r="E169" i="2"/>
  <c r="G169" i="2" s="1"/>
  <c r="K168" i="2"/>
  <c r="I168" i="2"/>
  <c r="G168" i="2"/>
  <c r="F168" i="2"/>
  <c r="J168" i="2" s="1"/>
  <c r="H168" i="2" s="1"/>
  <c r="E168" i="2"/>
  <c r="G167" i="2"/>
  <c r="F167" i="2"/>
  <c r="K167" i="2" s="1"/>
  <c r="E167" i="2"/>
  <c r="I167" i="2" s="1"/>
  <c r="G166" i="2"/>
  <c r="F166" i="2"/>
  <c r="E166" i="2"/>
  <c r="F165" i="2"/>
  <c r="E165" i="2"/>
  <c r="E164" i="2"/>
  <c r="K161" i="2"/>
  <c r="J161" i="2"/>
  <c r="H161" i="2" s="1"/>
  <c r="G161" i="2"/>
  <c r="F161" i="2"/>
  <c r="I161" i="2" s="1"/>
  <c r="E161" i="2"/>
  <c r="K160" i="2"/>
  <c r="J160" i="2"/>
  <c r="H160" i="2" s="1"/>
  <c r="I160" i="2"/>
  <c r="F160" i="2"/>
  <c r="E160" i="2"/>
  <c r="G160" i="2" s="1"/>
  <c r="E159" i="2"/>
  <c r="G159" i="2" s="1"/>
  <c r="K158" i="2"/>
  <c r="I158" i="2"/>
  <c r="G158" i="2"/>
  <c r="F158" i="2"/>
  <c r="J158" i="2" s="1"/>
  <c r="H158" i="2" s="1"/>
  <c r="E158" i="2"/>
  <c r="G157" i="2"/>
  <c r="F157" i="2"/>
  <c r="E157" i="2"/>
  <c r="I157" i="2" s="1"/>
  <c r="G156" i="2"/>
  <c r="E156" i="2"/>
  <c r="E155" i="2"/>
  <c r="E154" i="2"/>
  <c r="K153" i="2"/>
  <c r="J153" i="2"/>
  <c r="H153" i="2" s="1"/>
  <c r="G153" i="2"/>
  <c r="F153" i="2"/>
  <c r="I153" i="2" s="1"/>
  <c r="E153" i="2"/>
  <c r="K152" i="2"/>
  <c r="J152" i="2"/>
  <c r="H152" i="2" s="1"/>
  <c r="I152" i="2"/>
  <c r="F152" i="2"/>
  <c r="E152" i="2"/>
  <c r="G152" i="2" s="1"/>
  <c r="E151" i="2"/>
  <c r="G151" i="2" s="1"/>
  <c r="K150" i="2"/>
  <c r="I150" i="2"/>
  <c r="G150" i="2"/>
  <c r="F150" i="2"/>
  <c r="J150" i="2" s="1"/>
  <c r="H150" i="2" s="1"/>
  <c r="E150" i="2"/>
  <c r="G149" i="2"/>
  <c r="F149" i="2"/>
  <c r="E149" i="2"/>
  <c r="I149" i="2" s="1"/>
  <c r="G148" i="2"/>
  <c r="F148" i="2"/>
  <c r="E148" i="2"/>
  <c r="F147" i="2"/>
  <c r="E147" i="2"/>
  <c r="E146" i="2"/>
  <c r="K145" i="2"/>
  <c r="J145" i="2"/>
  <c r="H145" i="2" s="1"/>
  <c r="G145" i="2"/>
  <c r="F145" i="2"/>
  <c r="I145" i="2" s="1"/>
  <c r="E145" i="2"/>
  <c r="K144" i="2"/>
  <c r="J144" i="2"/>
  <c r="H144" i="2" s="1"/>
  <c r="I144" i="2"/>
  <c r="F144" i="2"/>
  <c r="E144" i="2"/>
  <c r="G144" i="2" s="1"/>
  <c r="E143" i="2"/>
  <c r="G143" i="2" s="1"/>
  <c r="K142" i="2"/>
  <c r="I142" i="2"/>
  <c r="G142" i="2"/>
  <c r="F142" i="2"/>
  <c r="J142" i="2" s="1"/>
  <c r="H142" i="2" s="1"/>
  <c r="E142" i="2"/>
  <c r="G141" i="2"/>
  <c r="F141" i="2"/>
  <c r="E141" i="2"/>
  <c r="E138" i="2"/>
  <c r="G138" i="2" s="1"/>
  <c r="E137" i="2"/>
  <c r="E136" i="2"/>
  <c r="K135" i="2"/>
  <c r="J135" i="2"/>
  <c r="H135" i="2" s="1"/>
  <c r="G135" i="2"/>
  <c r="F135" i="2"/>
  <c r="I135" i="2" s="1"/>
  <c r="E135" i="2"/>
  <c r="K134" i="2"/>
  <c r="J134" i="2"/>
  <c r="H134" i="2" s="1"/>
  <c r="I134" i="2"/>
  <c r="F134" i="2"/>
  <c r="E134" i="2"/>
  <c r="G134" i="2" s="1"/>
  <c r="E133" i="2"/>
  <c r="G133" i="2" s="1"/>
  <c r="K132" i="2"/>
  <c r="I132" i="2"/>
  <c r="G132" i="2"/>
  <c r="F132" i="2"/>
  <c r="J132" i="2" s="1"/>
  <c r="H132" i="2" s="1"/>
  <c r="E132" i="2"/>
  <c r="G131" i="2"/>
  <c r="F131" i="2"/>
  <c r="E131" i="2"/>
  <c r="I131" i="2" s="1"/>
  <c r="E130" i="2"/>
  <c r="F129" i="2"/>
  <c r="E129" i="2"/>
  <c r="E128" i="2"/>
  <c r="K127" i="2"/>
  <c r="J127" i="2"/>
  <c r="H127" i="2" s="1"/>
  <c r="G127" i="2"/>
  <c r="F127" i="2"/>
  <c r="I127" i="2" s="1"/>
  <c r="E127" i="2"/>
  <c r="K126" i="2"/>
  <c r="J126" i="2"/>
  <c r="H126" i="2" s="1"/>
  <c r="I126" i="2"/>
  <c r="F126" i="2"/>
  <c r="E126" i="2"/>
  <c r="G126" i="2" s="1"/>
  <c r="E125" i="2"/>
  <c r="G125" i="2" s="1"/>
  <c r="K124" i="2"/>
  <c r="I124" i="2"/>
  <c r="G124" i="2"/>
  <c r="F124" i="2"/>
  <c r="J124" i="2" s="1"/>
  <c r="H124" i="2" s="1"/>
  <c r="E124" i="2"/>
  <c r="G123" i="2"/>
  <c r="F123" i="2"/>
  <c r="E123" i="2"/>
  <c r="E122" i="2"/>
  <c r="E121" i="2"/>
  <c r="F121" i="2" s="1"/>
  <c r="E120" i="2"/>
  <c r="K119" i="2"/>
  <c r="J119" i="2"/>
  <c r="H119" i="2" s="1"/>
  <c r="G119" i="2"/>
  <c r="F119" i="2"/>
  <c r="I119" i="2" s="1"/>
  <c r="E119" i="2"/>
  <c r="K118" i="2"/>
  <c r="J118" i="2"/>
  <c r="H118" i="2" s="1"/>
  <c r="I118" i="2"/>
  <c r="F118" i="2"/>
  <c r="E118" i="2"/>
  <c r="G118" i="2" s="1"/>
  <c r="E117" i="2"/>
  <c r="G117" i="2" s="1"/>
  <c r="K116" i="2"/>
  <c r="I116" i="2"/>
  <c r="G116" i="2"/>
  <c r="F116" i="2"/>
  <c r="J116" i="2" s="1"/>
  <c r="H116" i="2" s="1"/>
  <c r="E116" i="2"/>
  <c r="G115" i="2"/>
  <c r="F115" i="2"/>
  <c r="E115" i="2"/>
  <c r="I115" i="2" s="1"/>
  <c r="F114" i="2"/>
  <c r="E114" i="2"/>
  <c r="E113" i="2"/>
  <c r="F113" i="2" s="1"/>
  <c r="E112" i="2"/>
  <c r="K109" i="2"/>
  <c r="J109" i="2"/>
  <c r="H109" i="2" s="1"/>
  <c r="G109" i="2"/>
  <c r="F109" i="2"/>
  <c r="I109" i="2" s="1"/>
  <c r="E109" i="2"/>
  <c r="K108" i="2"/>
  <c r="J108" i="2"/>
  <c r="H108" i="2" s="1"/>
  <c r="F108" i="2"/>
  <c r="I108" i="2" s="1"/>
  <c r="E108" i="2"/>
  <c r="G108" i="2" s="1"/>
  <c r="E107" i="2"/>
  <c r="K106" i="2"/>
  <c r="I106" i="2"/>
  <c r="G106" i="2"/>
  <c r="F106" i="2"/>
  <c r="J106" i="2" s="1"/>
  <c r="H106" i="2" s="1"/>
  <c r="E106" i="2"/>
  <c r="K105" i="2"/>
  <c r="G105" i="2"/>
  <c r="F105" i="2"/>
  <c r="J105" i="2" s="1"/>
  <c r="H105" i="2" s="1"/>
  <c r="E105" i="2"/>
  <c r="I105" i="2" s="1"/>
  <c r="E104" i="2"/>
  <c r="F103" i="2"/>
  <c r="I103" i="2" s="1"/>
  <c r="E103" i="2"/>
  <c r="E102" i="2"/>
  <c r="K101" i="2"/>
  <c r="J101" i="2"/>
  <c r="H101" i="2" s="1"/>
  <c r="G101" i="2"/>
  <c r="F101" i="2"/>
  <c r="I101" i="2" s="1"/>
  <c r="E101" i="2"/>
  <c r="K100" i="2"/>
  <c r="I100" i="2"/>
  <c r="F100" i="2"/>
  <c r="J100" i="2" s="1"/>
  <c r="H100" i="2" s="1"/>
  <c r="E100" i="2"/>
  <c r="G100" i="2" s="1"/>
  <c r="E99" i="2"/>
  <c r="K98" i="2"/>
  <c r="I98" i="2"/>
  <c r="G98" i="2"/>
  <c r="F98" i="2"/>
  <c r="J98" i="2" s="1"/>
  <c r="H98" i="2" s="1"/>
  <c r="E98" i="2"/>
  <c r="K97" i="2"/>
  <c r="G97" i="2"/>
  <c r="F97" i="2"/>
  <c r="J97" i="2" s="1"/>
  <c r="H97" i="2" s="1"/>
  <c r="E97" i="2"/>
  <c r="G96" i="2"/>
  <c r="F96" i="2"/>
  <c r="J96" i="2" s="1"/>
  <c r="H96" i="2" s="1"/>
  <c r="E96" i="2"/>
  <c r="E95" i="2"/>
  <c r="E94" i="2"/>
  <c r="K93" i="2"/>
  <c r="J93" i="2"/>
  <c r="H93" i="2" s="1"/>
  <c r="G93" i="2"/>
  <c r="F93" i="2"/>
  <c r="I93" i="2" s="1"/>
  <c r="E93" i="2"/>
  <c r="F92" i="2"/>
  <c r="I92" i="2" s="1"/>
  <c r="E92" i="2"/>
  <c r="G92" i="2" s="1"/>
  <c r="E91" i="2"/>
  <c r="K90" i="2"/>
  <c r="I90" i="2"/>
  <c r="G90" i="2"/>
  <c r="F90" i="2"/>
  <c r="E90" i="2"/>
  <c r="J90" i="2" s="1"/>
  <c r="H90" i="2" s="1"/>
  <c r="G89" i="2"/>
  <c r="F89" i="2"/>
  <c r="K89" i="2" s="1"/>
  <c r="E89" i="2"/>
  <c r="E88" i="2"/>
  <c r="E85" i="2"/>
  <c r="E84" i="2"/>
  <c r="K83" i="2"/>
  <c r="J83" i="2"/>
  <c r="H83" i="2" s="1"/>
  <c r="G83" i="2"/>
  <c r="F83" i="2"/>
  <c r="I83" i="2" s="1"/>
  <c r="E83" i="2"/>
  <c r="E82" i="2"/>
  <c r="G82" i="2" s="1"/>
  <c r="E81" i="2"/>
  <c r="K80" i="2"/>
  <c r="I80" i="2"/>
  <c r="G80" i="2"/>
  <c r="F80" i="2"/>
  <c r="J80" i="2" s="1"/>
  <c r="H80" i="2" s="1"/>
  <c r="E80" i="2"/>
  <c r="G79" i="2"/>
  <c r="F79" i="2"/>
  <c r="K79" i="2" s="1"/>
  <c r="E79" i="2"/>
  <c r="I79" i="2" s="1"/>
  <c r="J78" i="2"/>
  <c r="H78" i="2" s="1"/>
  <c r="I78" i="2"/>
  <c r="G78" i="2"/>
  <c r="F78" i="2"/>
  <c r="E78" i="2"/>
  <c r="F77" i="2"/>
  <c r="I77" i="2" s="1"/>
  <c r="E77" i="2"/>
  <c r="G76" i="2"/>
  <c r="E76" i="2"/>
  <c r="K73" i="2"/>
  <c r="J73" i="2"/>
  <c r="H73" i="2" s="1"/>
  <c r="G73" i="2"/>
  <c r="F73" i="2"/>
  <c r="I73" i="2" s="1"/>
  <c r="E73" i="2"/>
  <c r="E72" i="2"/>
  <c r="G72" i="2" s="1"/>
  <c r="E71" i="2"/>
  <c r="G70" i="2"/>
  <c r="E70" i="2"/>
  <c r="F70" i="2" s="1"/>
  <c r="K70" i="2" s="1"/>
  <c r="K69" i="2"/>
  <c r="J69" i="2"/>
  <c r="H69" i="2" s="1"/>
  <c r="G69" i="2"/>
  <c r="F69" i="2"/>
  <c r="E69" i="2"/>
  <c r="I69" i="2" s="1"/>
  <c r="J68" i="2"/>
  <c r="H68" i="2" s="1"/>
  <c r="I68" i="2"/>
  <c r="G68" i="2"/>
  <c r="F68" i="2"/>
  <c r="E68" i="2"/>
  <c r="E67" i="2"/>
  <c r="G66" i="2"/>
  <c r="E66" i="2"/>
  <c r="G65" i="2"/>
  <c r="F65" i="2"/>
  <c r="I65" i="2" s="1"/>
  <c r="E65" i="2"/>
  <c r="K64" i="2"/>
  <c r="J64" i="2"/>
  <c r="H64" i="2" s="1"/>
  <c r="F64" i="2"/>
  <c r="I64" i="2" s="1"/>
  <c r="E64" i="2"/>
  <c r="G64" i="2" s="1"/>
  <c r="E63" i="2"/>
  <c r="K62" i="2"/>
  <c r="G62" i="2"/>
  <c r="E62" i="2"/>
  <c r="F62" i="2" s="1"/>
  <c r="I62" i="2" s="1"/>
  <c r="K61" i="2"/>
  <c r="J61" i="2"/>
  <c r="H61" i="2" s="1"/>
  <c r="G61" i="2"/>
  <c r="F61" i="2"/>
  <c r="E61" i="2"/>
  <c r="I61" i="2" s="1"/>
  <c r="G60" i="2"/>
  <c r="F60" i="2"/>
  <c r="I60" i="2" s="1"/>
  <c r="E60" i="2"/>
  <c r="J60" i="2" s="1"/>
  <c r="H60" i="2" s="1"/>
  <c r="I59" i="2"/>
  <c r="F59" i="2"/>
  <c r="E59" i="2"/>
  <c r="G58" i="2"/>
  <c r="E58" i="2"/>
  <c r="K57" i="2"/>
  <c r="G57" i="2"/>
  <c r="F57" i="2"/>
  <c r="I57" i="2" s="1"/>
  <c r="E57" i="2"/>
  <c r="K56" i="2"/>
  <c r="J56" i="2"/>
  <c r="H56" i="2" s="1"/>
  <c r="F56" i="2"/>
  <c r="I56" i="2" s="1"/>
  <c r="E56" i="2"/>
  <c r="G56" i="2" s="1"/>
  <c r="E53" i="2"/>
  <c r="K52" i="2"/>
  <c r="I52" i="2"/>
  <c r="G52" i="2"/>
  <c r="E52" i="2"/>
  <c r="F52" i="2" s="1"/>
  <c r="G51" i="2"/>
  <c r="F51" i="2"/>
  <c r="K51" i="2" s="1"/>
  <c r="E51" i="2"/>
  <c r="I51" i="2" s="1"/>
  <c r="E50" i="2"/>
  <c r="E49" i="2"/>
  <c r="G48" i="2"/>
  <c r="E48" i="2"/>
  <c r="K47" i="2"/>
  <c r="G47" i="2"/>
  <c r="F47" i="2"/>
  <c r="I47" i="2" s="1"/>
  <c r="E47" i="2"/>
  <c r="K46" i="2"/>
  <c r="J46" i="2"/>
  <c r="H46" i="2" s="1"/>
  <c r="I46" i="2"/>
  <c r="F46" i="2"/>
  <c r="E46" i="2"/>
  <c r="G46" i="2" s="1"/>
  <c r="E45" i="2"/>
  <c r="E44" i="2"/>
  <c r="G44" i="2" s="1"/>
  <c r="E43" i="2"/>
  <c r="G42" i="2"/>
  <c r="E42" i="2"/>
  <c r="F42" i="2" s="1"/>
  <c r="E41" i="2"/>
  <c r="G41" i="2" s="1"/>
  <c r="E40" i="2"/>
  <c r="F40" i="2" s="1"/>
  <c r="J39" i="2"/>
  <c r="H39" i="2" s="1"/>
  <c r="G39" i="2"/>
  <c r="F39" i="2"/>
  <c r="K39" i="2" s="1"/>
  <c r="E39" i="2"/>
  <c r="E38" i="2"/>
  <c r="G37" i="2"/>
  <c r="E37" i="2"/>
  <c r="G36" i="2"/>
  <c r="E36" i="2"/>
  <c r="E35" i="2"/>
  <c r="E34" i="2"/>
  <c r="E33" i="2"/>
  <c r="G33" i="2" s="1"/>
  <c r="I32" i="2"/>
  <c r="E32" i="2"/>
  <c r="F32" i="2" s="1"/>
  <c r="G31" i="2"/>
  <c r="F31" i="2"/>
  <c r="K31" i="2" s="1"/>
  <c r="E31" i="2"/>
  <c r="E30" i="2"/>
  <c r="E29" i="2"/>
  <c r="G28" i="2"/>
  <c r="E28" i="2"/>
  <c r="G27" i="2"/>
  <c r="E27" i="2"/>
  <c r="E26" i="2"/>
  <c r="E25" i="2"/>
  <c r="G25" i="2" s="1"/>
  <c r="K24" i="2"/>
  <c r="J24" i="2"/>
  <c r="H24" i="2" s="1"/>
  <c r="I24" i="2"/>
  <c r="E24" i="2"/>
  <c r="F24" i="2" s="1"/>
  <c r="I23" i="2"/>
  <c r="G23" i="2"/>
  <c r="F23" i="2"/>
  <c r="J23" i="2" s="1"/>
  <c r="H23" i="2" s="1"/>
  <c r="E23" i="2"/>
  <c r="G22" i="2"/>
  <c r="E22" i="2"/>
  <c r="F22" i="2" s="1"/>
  <c r="E21" i="2"/>
  <c r="F21" i="2" s="1"/>
  <c r="E20" i="2"/>
  <c r="G19" i="2"/>
  <c r="E19" i="2"/>
  <c r="I18" i="2"/>
  <c r="G18" i="2"/>
  <c r="F18" i="2"/>
  <c r="K18" i="2" s="1"/>
  <c r="E18" i="2"/>
  <c r="G17" i="2"/>
  <c r="E17" i="2"/>
  <c r="F17" i="2" s="1"/>
  <c r="G16" i="2"/>
  <c r="F16" i="2"/>
  <c r="E16" i="2"/>
  <c r="K16" i="2" s="1"/>
  <c r="E13" i="2"/>
  <c r="E12" i="2"/>
  <c r="E11" i="2"/>
  <c r="K10" i="2"/>
  <c r="J10" i="2"/>
  <c r="H10" i="2" s="1"/>
  <c r="I10" i="2"/>
  <c r="F10" i="2"/>
  <c r="E10" i="2"/>
  <c r="G10" i="2" s="1"/>
  <c r="G9" i="2"/>
  <c r="E9" i="2"/>
  <c r="F9" i="2" s="1"/>
  <c r="I8" i="2"/>
  <c r="G8" i="2"/>
  <c r="F8" i="2"/>
  <c r="K8" i="2" s="1"/>
  <c r="E8" i="2"/>
  <c r="G7" i="2"/>
  <c r="E7" i="2"/>
  <c r="F7" i="2" s="1"/>
  <c r="G6" i="2"/>
  <c r="F6" i="2"/>
  <c r="E6" i="2"/>
  <c r="K6" i="2" s="1"/>
  <c r="E5" i="2"/>
  <c r="E4" i="2"/>
  <c r="E3" i="2"/>
  <c r="G3" i="2" s="1"/>
  <c r="G39" i="1"/>
  <c r="G34" i="1"/>
  <c r="J9" i="2" l="1"/>
  <c r="H9" i="2" s="1"/>
  <c r="I9" i="2"/>
  <c r="K9" i="2"/>
  <c r="K30" i="2"/>
  <c r="I67" i="2"/>
  <c r="I42" i="2"/>
  <c r="J42" i="2"/>
  <c r="H42" i="2" s="1"/>
  <c r="K42" i="2"/>
  <c r="K4" i="2"/>
  <c r="F30" i="2"/>
  <c r="J264" i="2"/>
  <c r="H264" i="2" s="1"/>
  <c r="G325" i="2"/>
  <c r="J8" i="2"/>
  <c r="H8" i="2" s="1"/>
  <c r="G26" i="2"/>
  <c r="J27" i="2"/>
  <c r="H27" i="2" s="1"/>
  <c r="K29" i="2"/>
  <c r="G30" i="2"/>
  <c r="J32" i="2"/>
  <c r="H32" i="2" s="1"/>
  <c r="G35" i="2"/>
  <c r="I48" i="2"/>
  <c r="F50" i="2"/>
  <c r="K50" i="2" s="1"/>
  <c r="J51" i="2"/>
  <c r="H51" i="2" s="1"/>
  <c r="F67" i="2"/>
  <c r="F72" i="2"/>
  <c r="J72" i="2" s="1"/>
  <c r="H72" i="2" s="1"/>
  <c r="F84" i="2"/>
  <c r="K84" i="2" s="1"/>
  <c r="K88" i="2"/>
  <c r="J92" i="2"/>
  <c r="H92" i="2" s="1"/>
  <c r="I104" i="2"/>
  <c r="F130" i="2"/>
  <c r="K130" i="2" s="1"/>
  <c r="J154" i="2"/>
  <c r="H154" i="2" s="1"/>
  <c r="G154" i="2"/>
  <c r="F154" i="2"/>
  <c r="I154" i="2" s="1"/>
  <c r="K157" i="2"/>
  <c r="J157" i="2"/>
  <c r="H157" i="2" s="1"/>
  <c r="J191" i="2"/>
  <c r="H191" i="2" s="1"/>
  <c r="I191" i="2"/>
  <c r="G191" i="2"/>
  <c r="J204" i="2"/>
  <c r="H204" i="2" s="1"/>
  <c r="G204" i="2"/>
  <c r="J213" i="2"/>
  <c r="H213" i="2" s="1"/>
  <c r="I213" i="2"/>
  <c r="G213" i="2"/>
  <c r="F261" i="2"/>
  <c r="K261" i="2"/>
  <c r="J261" i="2"/>
  <c r="H261" i="2" s="1"/>
  <c r="I261" i="2"/>
  <c r="G261" i="2"/>
  <c r="J273" i="2"/>
  <c r="H273" i="2" s="1"/>
  <c r="G273" i="2"/>
  <c r="F273" i="2"/>
  <c r="K273" i="2" s="1"/>
  <c r="K276" i="2"/>
  <c r="I276" i="2"/>
  <c r="K292" i="2"/>
  <c r="I292" i="2"/>
  <c r="F325" i="2"/>
  <c r="K325" i="2" s="1"/>
  <c r="I348" i="2"/>
  <c r="G348" i="2"/>
  <c r="F348" i="2"/>
  <c r="K348" i="2" s="1"/>
  <c r="K379" i="2"/>
  <c r="J379" i="2"/>
  <c r="H379" i="2" s="1"/>
  <c r="I379" i="2"/>
  <c r="G379" i="2"/>
  <c r="F379" i="2"/>
  <c r="G689" i="2"/>
  <c r="F689" i="2"/>
  <c r="K689" i="2" s="1"/>
  <c r="I138" i="2"/>
  <c r="K390" i="2"/>
  <c r="J390" i="2"/>
  <c r="H390" i="2" s="1"/>
  <c r="I390" i="2"/>
  <c r="F5" i="2"/>
  <c r="K5" i="2" s="1"/>
  <c r="F26" i="2"/>
  <c r="K26" i="2" s="1"/>
  <c r="G107" i="2"/>
  <c r="F107" i="2"/>
  <c r="K107" i="2"/>
  <c r="F138" i="2"/>
  <c r="K138" i="2" s="1"/>
  <c r="G164" i="2"/>
  <c r="F164" i="2"/>
  <c r="J164" i="2" s="1"/>
  <c r="H164" i="2" s="1"/>
  <c r="G333" i="2"/>
  <c r="F333" i="2"/>
  <c r="K333" i="2" s="1"/>
  <c r="J359" i="2"/>
  <c r="H359" i="2" s="1"/>
  <c r="G359" i="2"/>
  <c r="F359" i="2"/>
  <c r="I359" i="2" s="1"/>
  <c r="G5" i="2"/>
  <c r="I7" i="2"/>
  <c r="F12" i="2"/>
  <c r="K12" i="2" s="1"/>
  <c r="J18" i="2"/>
  <c r="H18" i="2" s="1"/>
  <c r="I22" i="2"/>
  <c r="F3" i="2"/>
  <c r="G4" i="2"/>
  <c r="I6" i="2"/>
  <c r="J7" i="2"/>
  <c r="H7" i="2" s="1"/>
  <c r="F11" i="2"/>
  <c r="G12" i="2"/>
  <c r="I16" i="2"/>
  <c r="J17" i="2"/>
  <c r="H17" i="2" s="1"/>
  <c r="F20" i="2"/>
  <c r="I20" i="2" s="1"/>
  <c r="J22" i="2"/>
  <c r="H22" i="2" s="1"/>
  <c r="K23" i="2"/>
  <c r="F25" i="2"/>
  <c r="J25" i="2" s="1"/>
  <c r="H25" i="2" s="1"/>
  <c r="F29" i="2"/>
  <c r="I29" i="2" s="1"/>
  <c r="I31" i="2"/>
  <c r="K32" i="2"/>
  <c r="F34" i="2"/>
  <c r="J34" i="2" s="1"/>
  <c r="H34" i="2" s="1"/>
  <c r="F38" i="2"/>
  <c r="J38" i="2" s="1"/>
  <c r="H38" i="2" s="1"/>
  <c r="I40" i="2"/>
  <c r="F43" i="2"/>
  <c r="J43" i="2" s="1"/>
  <c r="H43" i="2" s="1"/>
  <c r="G50" i="2"/>
  <c r="K59" i="2"/>
  <c r="J59" i="2"/>
  <c r="H59" i="2" s="1"/>
  <c r="G59" i="2"/>
  <c r="J65" i="2"/>
  <c r="H65" i="2" s="1"/>
  <c r="I70" i="2"/>
  <c r="I72" i="2"/>
  <c r="J76" i="2"/>
  <c r="H76" i="2" s="1"/>
  <c r="I76" i="2"/>
  <c r="F76" i="2"/>
  <c r="K76" i="2" s="1"/>
  <c r="K78" i="2"/>
  <c r="J82" i="2"/>
  <c r="H82" i="2" s="1"/>
  <c r="G84" i="2"/>
  <c r="F88" i="2"/>
  <c r="J88" i="2" s="1"/>
  <c r="H88" i="2" s="1"/>
  <c r="J89" i="2"/>
  <c r="H89" i="2" s="1"/>
  <c r="G91" i="2"/>
  <c r="F91" i="2"/>
  <c r="K91" i="2" s="1"/>
  <c r="K92" i="2"/>
  <c r="I97" i="2"/>
  <c r="F104" i="2"/>
  <c r="K104" i="2" s="1"/>
  <c r="I107" i="2"/>
  <c r="K114" i="2"/>
  <c r="J114" i="2"/>
  <c r="H114" i="2" s="1"/>
  <c r="I114" i="2"/>
  <c r="F122" i="2"/>
  <c r="K122" i="2" s="1"/>
  <c r="G130" i="2"/>
  <c r="I141" i="2"/>
  <c r="G146" i="2"/>
  <c r="F146" i="2"/>
  <c r="K146" i="2" s="1"/>
  <c r="K149" i="2"/>
  <c r="J149" i="2"/>
  <c r="H149" i="2" s="1"/>
  <c r="K154" i="2"/>
  <c r="K165" i="2"/>
  <c r="J165" i="2"/>
  <c r="H165" i="2" s="1"/>
  <c r="I165" i="2"/>
  <c r="G165" i="2"/>
  <c r="F191" i="2"/>
  <c r="K191" i="2" s="1"/>
  <c r="F204" i="2"/>
  <c r="K204" i="2" s="1"/>
  <c r="F213" i="2"/>
  <c r="K213" i="2" s="1"/>
  <c r="I218" i="2"/>
  <c r="K218" i="2"/>
  <c r="J218" i="2"/>
  <c r="H218" i="2" s="1"/>
  <c r="G218" i="2"/>
  <c r="G239" i="2"/>
  <c r="F239" i="2"/>
  <c r="J239" i="2" s="1"/>
  <c r="H239" i="2" s="1"/>
  <c r="K242" i="2"/>
  <c r="I242" i="2"/>
  <c r="K286" i="2"/>
  <c r="G288" i="2"/>
  <c r="F288" i="2"/>
  <c r="K288" i="2" s="1"/>
  <c r="J288" i="2"/>
  <c r="H288" i="2" s="1"/>
  <c r="G337" i="2"/>
  <c r="F337" i="2"/>
  <c r="K337" i="2"/>
  <c r="J337" i="2"/>
  <c r="H337" i="2" s="1"/>
  <c r="I346" i="2"/>
  <c r="K376" i="2"/>
  <c r="J376" i="2"/>
  <c r="H376" i="2" s="1"/>
  <c r="K113" i="2"/>
  <c r="J113" i="2"/>
  <c r="H113" i="2" s="1"/>
  <c r="I113" i="2"/>
  <c r="G113" i="2"/>
  <c r="K230" i="2"/>
  <c r="J230" i="2"/>
  <c r="H230" i="2" s="1"/>
  <c r="I230" i="2"/>
  <c r="K378" i="2"/>
  <c r="K426" i="2"/>
  <c r="G426" i="2"/>
  <c r="F426" i="2"/>
  <c r="J426" i="2" s="1"/>
  <c r="H426" i="2" s="1"/>
  <c r="F4" i="2"/>
  <c r="I5" i="2"/>
  <c r="J6" i="2"/>
  <c r="H6" i="2" s="1"/>
  <c r="K7" i="2"/>
  <c r="G11" i="2"/>
  <c r="I13" i="2"/>
  <c r="J16" i="2"/>
  <c r="H16" i="2" s="1"/>
  <c r="K17" i="2"/>
  <c r="G20" i="2"/>
  <c r="I21" i="2"/>
  <c r="K22" i="2"/>
  <c r="J28" i="2"/>
  <c r="H28" i="2" s="1"/>
  <c r="G29" i="2"/>
  <c r="I30" i="2"/>
  <c r="J31" i="2"/>
  <c r="H31" i="2" s="1"/>
  <c r="G34" i="2"/>
  <c r="J35" i="2"/>
  <c r="H35" i="2" s="1"/>
  <c r="G38" i="2"/>
  <c r="J40" i="2"/>
  <c r="H40" i="2" s="1"/>
  <c r="G43" i="2"/>
  <c r="G49" i="2"/>
  <c r="I50" i="2"/>
  <c r="K65" i="2"/>
  <c r="J79" i="2"/>
  <c r="H79" i="2" s="1"/>
  <c r="G81" i="2"/>
  <c r="F81" i="2"/>
  <c r="K81" i="2" s="1"/>
  <c r="K82" i="2"/>
  <c r="G88" i="2"/>
  <c r="G95" i="2"/>
  <c r="G102" i="2"/>
  <c r="F102" i="2"/>
  <c r="K102" i="2" s="1"/>
  <c r="G104" i="2"/>
  <c r="J107" i="2"/>
  <c r="H107" i="2" s="1"/>
  <c r="G122" i="2"/>
  <c r="J136" i="2"/>
  <c r="H136" i="2" s="1"/>
  <c r="I136" i="2"/>
  <c r="G136" i="2"/>
  <c r="F136" i="2"/>
  <c r="K141" i="2"/>
  <c r="J141" i="2"/>
  <c r="H141" i="2" s="1"/>
  <c r="G155" i="2"/>
  <c r="K182" i="2"/>
  <c r="I182" i="2"/>
  <c r="G182" i="2"/>
  <c r="F182" i="2"/>
  <c r="J182" i="2" s="1"/>
  <c r="H182" i="2" s="1"/>
  <c r="I254" i="2"/>
  <c r="F254" i="2"/>
  <c r="K254" i="2" s="1"/>
  <c r="J254" i="2"/>
  <c r="H254" i="2" s="1"/>
  <c r="G254" i="2"/>
  <c r="F283" i="2"/>
  <c r="K283" i="2" s="1"/>
  <c r="I283" i="2"/>
  <c r="G283" i="2"/>
  <c r="F329" i="2"/>
  <c r="J329" i="2" s="1"/>
  <c r="H329" i="2" s="1"/>
  <c r="K329" i="2"/>
  <c r="I329" i="2"/>
  <c r="I337" i="2"/>
  <c r="K346" i="2"/>
  <c r="J346" i="2"/>
  <c r="H346" i="2" s="1"/>
  <c r="K175" i="2"/>
  <c r="J175" i="2"/>
  <c r="H175" i="2" s="1"/>
  <c r="I175" i="2"/>
  <c r="G175" i="2"/>
  <c r="G53" i="2"/>
  <c r="F53" i="2"/>
  <c r="J53" i="2" s="1"/>
  <c r="H53" i="2" s="1"/>
  <c r="K67" i="2"/>
  <c r="J67" i="2"/>
  <c r="H67" i="2" s="1"/>
  <c r="G67" i="2"/>
  <c r="K190" i="2"/>
  <c r="I190" i="2"/>
  <c r="G190" i="2"/>
  <c r="F190" i="2"/>
  <c r="J190" i="2" s="1"/>
  <c r="H190" i="2" s="1"/>
  <c r="G13" i="2"/>
  <c r="I17" i="2"/>
  <c r="G21" i="2"/>
  <c r="I4" i="2"/>
  <c r="J5" i="2"/>
  <c r="H5" i="2" s="1"/>
  <c r="I12" i="2"/>
  <c r="F19" i="2"/>
  <c r="I19" i="2" s="1"/>
  <c r="J21" i="2"/>
  <c r="H21" i="2" s="1"/>
  <c r="G24" i="2"/>
  <c r="I25" i="2"/>
  <c r="F28" i="2"/>
  <c r="J30" i="2"/>
  <c r="H30" i="2" s="1"/>
  <c r="F33" i="2"/>
  <c r="F37" i="2"/>
  <c r="I39" i="2"/>
  <c r="K40" i="2"/>
  <c r="J47" i="2"/>
  <c r="H47" i="2" s="1"/>
  <c r="F49" i="2"/>
  <c r="K49" i="2" s="1"/>
  <c r="J50" i="2"/>
  <c r="H50" i="2" s="1"/>
  <c r="J57" i="2"/>
  <c r="H57" i="2" s="1"/>
  <c r="I66" i="2"/>
  <c r="F66" i="2"/>
  <c r="K66" i="2" s="1"/>
  <c r="K68" i="2"/>
  <c r="G71" i="2"/>
  <c r="F71" i="2"/>
  <c r="K71" i="2"/>
  <c r="K72" i="2"/>
  <c r="I88" i="2"/>
  <c r="F95" i="2"/>
  <c r="I95" i="2" s="1"/>
  <c r="J104" i="2"/>
  <c r="H104" i="2" s="1"/>
  <c r="G114" i="2"/>
  <c r="I123" i="2"/>
  <c r="J128" i="2"/>
  <c r="H128" i="2" s="1"/>
  <c r="G128" i="2"/>
  <c r="F128" i="2"/>
  <c r="K128" i="2" s="1"/>
  <c r="K131" i="2"/>
  <c r="J131" i="2"/>
  <c r="H131" i="2" s="1"/>
  <c r="K136" i="2"/>
  <c r="K147" i="2"/>
  <c r="J147" i="2"/>
  <c r="H147" i="2" s="1"/>
  <c r="I147" i="2"/>
  <c r="G147" i="2"/>
  <c r="F155" i="2"/>
  <c r="K155" i="2" s="1"/>
  <c r="K166" i="2"/>
  <c r="K183" i="2"/>
  <c r="J183" i="2"/>
  <c r="H183" i="2" s="1"/>
  <c r="I183" i="2"/>
  <c r="G183" i="2"/>
  <c r="G198" i="2"/>
  <c r="K198" i="2"/>
  <c r="J198" i="2"/>
  <c r="H198" i="2" s="1"/>
  <c r="I198" i="2"/>
  <c r="K209" i="2"/>
  <c r="J209" i="2"/>
  <c r="H209" i="2" s="1"/>
  <c r="I209" i="2"/>
  <c r="G209" i="2"/>
  <c r="K214" i="2"/>
  <c r="J214" i="2"/>
  <c r="H214" i="2" s="1"/>
  <c r="I214" i="2"/>
  <c r="K247" i="2"/>
  <c r="F249" i="2"/>
  <c r="I249" i="2" s="1"/>
  <c r="K249" i="2"/>
  <c r="J249" i="2"/>
  <c r="H249" i="2" s="1"/>
  <c r="G249" i="2"/>
  <c r="J271" i="2"/>
  <c r="H271" i="2" s="1"/>
  <c r="G278" i="2"/>
  <c r="F278" i="2"/>
  <c r="I278" i="2" s="1"/>
  <c r="K294" i="2"/>
  <c r="J294" i="2"/>
  <c r="H294" i="2" s="1"/>
  <c r="J405" i="2"/>
  <c r="H405" i="2" s="1"/>
  <c r="I405" i="2"/>
  <c r="G405" i="2"/>
  <c r="F405" i="2"/>
  <c r="K405" i="2" s="1"/>
  <c r="K459" i="2"/>
  <c r="J459" i="2"/>
  <c r="H459" i="2" s="1"/>
  <c r="G459" i="2"/>
  <c r="F459" i="2"/>
  <c r="I459" i="2" s="1"/>
  <c r="K121" i="2"/>
  <c r="J121" i="2"/>
  <c r="H121" i="2" s="1"/>
  <c r="I121" i="2"/>
  <c r="G121" i="2"/>
  <c r="K266" i="2"/>
  <c r="J266" i="2"/>
  <c r="H266" i="2" s="1"/>
  <c r="I266" i="2"/>
  <c r="F13" i="2"/>
  <c r="J13" i="2" s="1"/>
  <c r="H13" i="2" s="1"/>
  <c r="G40" i="2"/>
  <c r="J4" i="2"/>
  <c r="H4" i="2" s="1"/>
  <c r="I27" i="2"/>
  <c r="J36" i="2"/>
  <c r="H36" i="2" s="1"/>
  <c r="G45" i="2"/>
  <c r="K85" i="2"/>
  <c r="G85" i="2"/>
  <c r="G99" i="2"/>
  <c r="F99" i="2"/>
  <c r="K99" i="2"/>
  <c r="G120" i="2"/>
  <c r="F120" i="2"/>
  <c r="J120" i="2" s="1"/>
  <c r="H120" i="2" s="1"/>
  <c r="K123" i="2"/>
  <c r="J123" i="2"/>
  <c r="H123" i="2" s="1"/>
  <c r="K137" i="2"/>
  <c r="J137" i="2"/>
  <c r="H137" i="2" s="1"/>
  <c r="G137" i="2"/>
  <c r="K156" i="2"/>
  <c r="J156" i="2"/>
  <c r="H156" i="2" s="1"/>
  <c r="I156" i="2"/>
  <c r="F223" i="2"/>
  <c r="I223" i="2" s="1"/>
  <c r="K223" i="2"/>
  <c r="J223" i="2"/>
  <c r="H223" i="2" s="1"/>
  <c r="G244" i="2"/>
  <c r="K244" i="2"/>
  <c r="J244" i="2"/>
  <c r="H244" i="2" s="1"/>
  <c r="F244" i="2"/>
  <c r="I244" i="2" s="1"/>
  <c r="K271" i="2"/>
  <c r="I271" i="2"/>
  <c r="K290" i="2"/>
  <c r="I290" i="2"/>
  <c r="J290" i="2"/>
  <c r="H290" i="2" s="1"/>
  <c r="K21" i="2"/>
  <c r="F35" i="2"/>
  <c r="I35" i="2" s="1"/>
  <c r="F44" i="2"/>
  <c r="J44" i="2" s="1"/>
  <c r="H44" i="2" s="1"/>
  <c r="F82" i="2"/>
  <c r="I82" i="2" s="1"/>
  <c r="I94" i="2"/>
  <c r="G94" i="2"/>
  <c r="F94" i="2"/>
  <c r="J94" i="2" s="1"/>
  <c r="H94" i="2" s="1"/>
  <c r="J12" i="2"/>
  <c r="H12" i="2" s="1"/>
  <c r="K20" i="2"/>
  <c r="K25" i="2"/>
  <c r="F27" i="2"/>
  <c r="K27" i="2" s="1"/>
  <c r="J29" i="2"/>
  <c r="H29" i="2" s="1"/>
  <c r="G32" i="2"/>
  <c r="F36" i="2"/>
  <c r="K36" i="2" s="1"/>
  <c r="F41" i="2"/>
  <c r="I41" i="2" s="1"/>
  <c r="K43" i="2"/>
  <c r="F45" i="2"/>
  <c r="I45" i="2" s="1"/>
  <c r="J48" i="2"/>
  <c r="H48" i="2" s="1"/>
  <c r="F48" i="2"/>
  <c r="K48" i="2" s="1"/>
  <c r="I58" i="2"/>
  <c r="F58" i="2"/>
  <c r="K58" i="2" s="1"/>
  <c r="K60" i="2"/>
  <c r="G63" i="2"/>
  <c r="F63" i="2"/>
  <c r="K63" i="2"/>
  <c r="K77" i="2"/>
  <c r="J77" i="2"/>
  <c r="H77" i="2" s="1"/>
  <c r="G77" i="2"/>
  <c r="F85" i="2"/>
  <c r="I85" i="2" s="1"/>
  <c r="I89" i="2"/>
  <c r="K96" i="2"/>
  <c r="I96" i="2"/>
  <c r="K103" i="2"/>
  <c r="J103" i="2"/>
  <c r="H103" i="2" s="1"/>
  <c r="G103" i="2"/>
  <c r="J112" i="2"/>
  <c r="H112" i="2" s="1"/>
  <c r="I112" i="2"/>
  <c r="G112" i="2"/>
  <c r="F112" i="2"/>
  <c r="K112" i="2" s="1"/>
  <c r="K115" i="2"/>
  <c r="J115" i="2"/>
  <c r="H115" i="2" s="1"/>
  <c r="K120" i="2"/>
  <c r="K129" i="2"/>
  <c r="J129" i="2"/>
  <c r="H129" i="2" s="1"/>
  <c r="I129" i="2"/>
  <c r="G129" i="2"/>
  <c r="F137" i="2"/>
  <c r="I137" i="2" s="1"/>
  <c r="K148" i="2"/>
  <c r="J148" i="2"/>
  <c r="H148" i="2" s="1"/>
  <c r="I148" i="2"/>
  <c r="F156" i="2"/>
  <c r="G174" i="2"/>
  <c r="F174" i="2"/>
  <c r="K174" i="2" s="1"/>
  <c r="K184" i="2"/>
  <c r="G223" i="2"/>
  <c r="I226" i="2"/>
  <c r="K226" i="2"/>
  <c r="J226" i="2"/>
  <c r="H226" i="2" s="1"/>
  <c r="G226" i="2"/>
  <c r="G229" i="2"/>
  <c r="K229" i="2"/>
  <c r="J229" i="2"/>
  <c r="H229" i="2" s="1"/>
  <c r="I229" i="2"/>
  <c r="F229" i="2"/>
  <c r="K237" i="2"/>
  <c r="I237" i="2"/>
  <c r="F327" i="2"/>
  <c r="K327" i="2" s="1"/>
  <c r="J327" i="2"/>
  <c r="H327" i="2" s="1"/>
  <c r="I327" i="2"/>
  <c r="J366" i="2"/>
  <c r="H366" i="2" s="1"/>
  <c r="K369" i="2"/>
  <c r="J369" i="2"/>
  <c r="H369" i="2" s="1"/>
  <c r="G369" i="2"/>
  <c r="F369" i="2"/>
  <c r="I369" i="2"/>
  <c r="G440" i="2"/>
  <c r="F440" i="2"/>
  <c r="K440" i="2" s="1"/>
  <c r="J440" i="2"/>
  <c r="H440" i="2" s="1"/>
  <c r="I440" i="2"/>
  <c r="J52" i="2"/>
  <c r="H52" i="2" s="1"/>
  <c r="J62" i="2"/>
  <c r="H62" i="2" s="1"/>
  <c r="J70" i="2"/>
  <c r="H70" i="2" s="1"/>
  <c r="K117" i="2"/>
  <c r="K159" i="2"/>
  <c r="K179" i="2"/>
  <c r="K187" i="2"/>
  <c r="J203" i="2"/>
  <c r="H203" i="2" s="1"/>
  <c r="K212" i="2"/>
  <c r="J215" i="2"/>
  <c r="H215" i="2" s="1"/>
  <c r="I227" i="2"/>
  <c r="J240" i="2"/>
  <c r="H240" i="2" s="1"/>
  <c r="I247" i="2"/>
  <c r="J252" i="2"/>
  <c r="H252" i="2" s="1"/>
  <c r="J263" i="2"/>
  <c r="H263" i="2" s="1"/>
  <c r="J274" i="2"/>
  <c r="H274" i="2" s="1"/>
  <c r="I281" i="2"/>
  <c r="J286" i="2"/>
  <c r="H286" i="2" s="1"/>
  <c r="K296" i="2"/>
  <c r="I296" i="2"/>
  <c r="G296" i="2"/>
  <c r="F296" i="2"/>
  <c r="J296" i="2" s="1"/>
  <c r="H296" i="2" s="1"/>
  <c r="K298" i="2"/>
  <c r="I298" i="2"/>
  <c r="I312" i="2"/>
  <c r="K342" i="2"/>
  <c r="I342" i="2"/>
  <c r="G355" i="2"/>
  <c r="F355" i="2"/>
  <c r="K406" i="2"/>
  <c r="J406" i="2"/>
  <c r="H406" i="2" s="1"/>
  <c r="I406" i="2"/>
  <c r="K437" i="2"/>
  <c r="J437" i="2"/>
  <c r="H437" i="2" s="1"/>
  <c r="I437" i="2"/>
  <c r="I166" i="2"/>
  <c r="J167" i="2"/>
  <c r="H167" i="2" s="1"/>
  <c r="I176" i="2"/>
  <c r="J177" i="2"/>
  <c r="H177" i="2" s="1"/>
  <c r="I184" i="2"/>
  <c r="J185" i="2"/>
  <c r="H185" i="2" s="1"/>
  <c r="I192" i="2"/>
  <c r="J193" i="2"/>
  <c r="H193" i="2" s="1"/>
  <c r="J205" i="2"/>
  <c r="H205" i="2" s="1"/>
  <c r="K225" i="2"/>
  <c r="I234" i="2"/>
  <c r="G234" i="2"/>
  <c r="F241" i="2"/>
  <c r="K241" i="2" s="1"/>
  <c r="I241" i="2"/>
  <c r="K246" i="2"/>
  <c r="I246" i="2"/>
  <c r="F246" i="2"/>
  <c r="F251" i="2"/>
  <c r="K251" i="2" s="1"/>
  <c r="J265" i="2"/>
  <c r="H265" i="2" s="1"/>
  <c r="G265" i="2"/>
  <c r="I270" i="2"/>
  <c r="G270" i="2"/>
  <c r="F275" i="2"/>
  <c r="K275" i="2" s="1"/>
  <c r="K280" i="2"/>
  <c r="F280" i="2"/>
  <c r="I280" i="2" s="1"/>
  <c r="F285" i="2"/>
  <c r="K285" i="2"/>
  <c r="K306" i="2"/>
  <c r="G306" i="2"/>
  <c r="F306" i="2"/>
  <c r="I306" i="2" s="1"/>
  <c r="K308" i="2"/>
  <c r="I308" i="2"/>
  <c r="I322" i="2"/>
  <c r="I338" i="2"/>
  <c r="K351" i="2"/>
  <c r="G351" i="2"/>
  <c r="K360" i="2"/>
  <c r="I360" i="2"/>
  <c r="K380" i="2"/>
  <c r="J380" i="2"/>
  <c r="H380" i="2" s="1"/>
  <c r="I380" i="2"/>
  <c r="K397" i="2"/>
  <c r="G397" i="2"/>
  <c r="F397" i="2"/>
  <c r="J397" i="2" s="1"/>
  <c r="H397" i="2" s="1"/>
  <c r="K417" i="2"/>
  <c r="J417" i="2"/>
  <c r="H417" i="2" s="1"/>
  <c r="J442" i="2"/>
  <c r="H442" i="2" s="1"/>
  <c r="I442" i="2"/>
  <c r="G442" i="2"/>
  <c r="F442" i="2"/>
  <c r="K442" i="2" s="1"/>
  <c r="I480" i="2"/>
  <c r="K480" i="2"/>
  <c r="J480" i="2"/>
  <c r="H480" i="2" s="1"/>
  <c r="J577" i="2"/>
  <c r="H577" i="2" s="1"/>
  <c r="G577" i="2"/>
  <c r="F577" i="2"/>
  <c r="K577" i="2" s="1"/>
  <c r="I577" i="2"/>
  <c r="J166" i="2"/>
  <c r="H166" i="2" s="1"/>
  <c r="J176" i="2"/>
  <c r="H176" i="2" s="1"/>
  <c r="J184" i="2"/>
  <c r="H184" i="2" s="1"/>
  <c r="J192" i="2"/>
  <c r="H192" i="2" s="1"/>
  <c r="K228" i="2"/>
  <c r="F228" i="2"/>
  <c r="G289" i="2"/>
  <c r="F291" i="2"/>
  <c r="K291" i="2" s="1"/>
  <c r="J291" i="2"/>
  <c r="H291" i="2" s="1"/>
  <c r="F293" i="2"/>
  <c r="J293" i="2" s="1"/>
  <c r="H293" i="2" s="1"/>
  <c r="K293" i="2"/>
  <c r="G314" i="2"/>
  <c r="F314" i="2"/>
  <c r="K314" i="2" s="1"/>
  <c r="K316" i="2"/>
  <c r="I316" i="2"/>
  <c r="J340" i="2"/>
  <c r="H340" i="2" s="1"/>
  <c r="I340" i="2"/>
  <c r="G340" i="2"/>
  <c r="F340" i="2"/>
  <c r="K340" i="2" s="1"/>
  <c r="F351" i="2"/>
  <c r="J351" i="2" s="1"/>
  <c r="H351" i="2" s="1"/>
  <c r="K370" i="2"/>
  <c r="I370" i="2"/>
  <c r="I470" i="2"/>
  <c r="K470" i="2"/>
  <c r="J470" i="2"/>
  <c r="H470" i="2" s="1"/>
  <c r="K502" i="2"/>
  <c r="J502" i="2"/>
  <c r="H502" i="2" s="1"/>
  <c r="I502" i="2"/>
  <c r="G502" i="2"/>
  <c r="F502" i="2"/>
  <c r="J524" i="2"/>
  <c r="H524" i="2" s="1"/>
  <c r="I524" i="2"/>
  <c r="F117" i="2"/>
  <c r="F125" i="2"/>
  <c r="F133" i="2"/>
  <c r="K133" i="2" s="1"/>
  <c r="F143" i="2"/>
  <c r="F151" i="2"/>
  <c r="K151" i="2" s="1"/>
  <c r="F159" i="2"/>
  <c r="F169" i="2"/>
  <c r="K169" i="2" s="1"/>
  <c r="F179" i="2"/>
  <c r="F187" i="2"/>
  <c r="F195" i="2"/>
  <c r="I197" i="2"/>
  <c r="F200" i="2"/>
  <c r="G207" i="2"/>
  <c r="I208" i="2"/>
  <c r="F211" i="2"/>
  <c r="F216" i="2"/>
  <c r="F220" i="2"/>
  <c r="G225" i="2"/>
  <c r="G228" i="2"/>
  <c r="F231" i="2"/>
  <c r="I232" i="2"/>
  <c r="K238" i="2"/>
  <c r="F238" i="2"/>
  <c r="J238" i="2" s="1"/>
  <c r="H238" i="2" s="1"/>
  <c r="F243" i="2"/>
  <c r="K243" i="2"/>
  <c r="I251" i="2"/>
  <c r="G255" i="2"/>
  <c r="I256" i="2"/>
  <c r="G262" i="2"/>
  <c r="I263" i="2"/>
  <c r="F267" i="2"/>
  <c r="I267" i="2"/>
  <c r="I268" i="2"/>
  <c r="I272" i="2"/>
  <c r="F272" i="2"/>
  <c r="J272" i="2" s="1"/>
  <c r="H272" i="2" s="1"/>
  <c r="F277" i="2"/>
  <c r="K277" i="2" s="1"/>
  <c r="I285" i="2"/>
  <c r="F289" i="2"/>
  <c r="K289" i="2" s="1"/>
  <c r="G291" i="2"/>
  <c r="G293" i="2"/>
  <c r="G297" i="2"/>
  <c r="F301" i="2"/>
  <c r="K301" i="2" s="1"/>
  <c r="I301" i="2"/>
  <c r="F303" i="2"/>
  <c r="J308" i="2"/>
  <c r="H308" i="2" s="1"/>
  <c r="I310" i="2"/>
  <c r="J312" i="2"/>
  <c r="H312" i="2" s="1"/>
  <c r="K324" i="2"/>
  <c r="I324" i="2"/>
  <c r="G324" i="2"/>
  <c r="F324" i="2"/>
  <c r="J324" i="2" s="1"/>
  <c r="H324" i="2" s="1"/>
  <c r="K326" i="2"/>
  <c r="I326" i="2"/>
  <c r="K334" i="2"/>
  <c r="I334" i="2"/>
  <c r="J338" i="2"/>
  <c r="H338" i="2" s="1"/>
  <c r="G345" i="2"/>
  <c r="F345" i="2"/>
  <c r="J345" i="2" s="1"/>
  <c r="H345" i="2" s="1"/>
  <c r="J360" i="2"/>
  <c r="H360" i="2" s="1"/>
  <c r="G363" i="2"/>
  <c r="F363" i="2"/>
  <c r="K363" i="2" s="1"/>
  <c r="J363" i="2"/>
  <c r="H363" i="2" s="1"/>
  <c r="K388" i="2"/>
  <c r="K398" i="2"/>
  <c r="J398" i="2"/>
  <c r="H398" i="2" s="1"/>
  <c r="I398" i="2"/>
  <c r="G413" i="2"/>
  <c r="F413" i="2"/>
  <c r="K413" i="2" s="1"/>
  <c r="I444" i="2"/>
  <c r="G444" i="2"/>
  <c r="F444" i="2"/>
  <c r="K444" i="2" s="1"/>
  <c r="F591" i="2"/>
  <c r="I591" i="2" s="1"/>
  <c r="K591" i="2"/>
  <c r="J591" i="2"/>
  <c r="H591" i="2" s="1"/>
  <c r="G591" i="2"/>
  <c r="G200" i="2"/>
  <c r="I203" i="2"/>
  <c r="I210" i="2"/>
  <c r="G211" i="2"/>
  <c r="J219" i="2"/>
  <c r="H219" i="2" s="1"/>
  <c r="G220" i="2"/>
  <c r="G224" i="2"/>
  <c r="J224" i="2"/>
  <c r="H224" i="2" s="1"/>
  <c r="I225" i="2"/>
  <c r="J227" i="2"/>
  <c r="H227" i="2" s="1"/>
  <c r="G231" i="2"/>
  <c r="J234" i="2"/>
  <c r="H234" i="2" s="1"/>
  <c r="G238" i="2"/>
  <c r="J241" i="2"/>
  <c r="H241" i="2" s="1"/>
  <c r="G243" i="2"/>
  <c r="J245" i="2"/>
  <c r="H245" i="2" s="1"/>
  <c r="J246" i="2"/>
  <c r="H246" i="2" s="1"/>
  <c r="F255" i="2"/>
  <c r="J256" i="2"/>
  <c r="H256" i="2" s="1"/>
  <c r="F262" i="2"/>
  <c r="I265" i="2"/>
  <c r="G267" i="2"/>
  <c r="J270" i="2"/>
  <c r="H270" i="2" s="1"/>
  <c r="G272" i="2"/>
  <c r="J275" i="2"/>
  <c r="H275" i="2" s="1"/>
  <c r="G277" i="2"/>
  <c r="J279" i="2"/>
  <c r="H279" i="2" s="1"/>
  <c r="J280" i="2"/>
  <c r="H280" i="2" s="1"/>
  <c r="J285" i="2"/>
  <c r="H285" i="2" s="1"/>
  <c r="I293" i="2"/>
  <c r="F297" i="2"/>
  <c r="G301" i="2"/>
  <c r="G303" i="2"/>
  <c r="J307" i="2"/>
  <c r="H307" i="2" s="1"/>
  <c r="G307" i="2"/>
  <c r="F309" i="2"/>
  <c r="K309" i="2" s="1"/>
  <c r="F311" i="2"/>
  <c r="K311" i="2" s="1"/>
  <c r="J316" i="2"/>
  <c r="H316" i="2" s="1"/>
  <c r="I318" i="2"/>
  <c r="J322" i="2"/>
  <c r="H322" i="2" s="1"/>
  <c r="G332" i="2"/>
  <c r="F332" i="2"/>
  <c r="J332" i="2" s="1"/>
  <c r="H332" i="2" s="1"/>
  <c r="K341" i="2"/>
  <c r="J341" i="2"/>
  <c r="H341" i="2" s="1"/>
  <c r="G341" i="2"/>
  <c r="I345" i="2"/>
  <c r="I358" i="2"/>
  <c r="G358" i="2"/>
  <c r="F358" i="2"/>
  <c r="K358" i="2" s="1"/>
  <c r="I363" i="2"/>
  <c r="J370" i="2"/>
  <c r="H370" i="2" s="1"/>
  <c r="G375" i="2"/>
  <c r="F375" i="2"/>
  <c r="I375" i="2" s="1"/>
  <c r="J375" i="2"/>
  <c r="H375" i="2" s="1"/>
  <c r="G389" i="2"/>
  <c r="F389" i="2"/>
  <c r="K389" i="2" s="1"/>
  <c r="G457" i="2"/>
  <c r="K457" i="2"/>
  <c r="F457" i="2"/>
  <c r="I457" i="2" s="1"/>
  <c r="F233" i="2"/>
  <c r="I233" i="2" s="1"/>
  <c r="K233" i="2"/>
  <c r="J247" i="2"/>
  <c r="H247" i="2" s="1"/>
  <c r="G247" i="2"/>
  <c r="I252" i="2"/>
  <c r="G252" i="2"/>
  <c r="F259" i="2"/>
  <c r="J259" i="2" s="1"/>
  <c r="H259" i="2" s="1"/>
  <c r="K264" i="2"/>
  <c r="I264" i="2"/>
  <c r="F264" i="2"/>
  <c r="F269" i="2"/>
  <c r="I269" i="2" s="1"/>
  <c r="K269" i="2"/>
  <c r="J281" i="2"/>
  <c r="H281" i="2" s="1"/>
  <c r="G281" i="2"/>
  <c r="I286" i="2"/>
  <c r="G286" i="2"/>
  <c r="J315" i="2"/>
  <c r="H315" i="2" s="1"/>
  <c r="G315" i="2"/>
  <c r="F317" i="2"/>
  <c r="K317" i="2" s="1"/>
  <c r="J317" i="2"/>
  <c r="H317" i="2" s="1"/>
  <c r="I317" i="2"/>
  <c r="F321" i="2"/>
  <c r="I321" i="2" s="1"/>
  <c r="K352" i="2"/>
  <c r="I352" i="2"/>
  <c r="I366" i="2"/>
  <c r="K404" i="2"/>
  <c r="K601" i="2"/>
  <c r="J601" i="2"/>
  <c r="H601" i="2" s="1"/>
  <c r="I601" i="2"/>
  <c r="J383" i="2"/>
  <c r="H383" i="2" s="1"/>
  <c r="J393" i="2"/>
  <c r="H393" i="2" s="1"/>
  <c r="K419" i="2"/>
  <c r="G423" i="2"/>
  <c r="F423" i="2"/>
  <c r="J423" i="2" s="1"/>
  <c r="H423" i="2" s="1"/>
  <c r="G464" i="2"/>
  <c r="F464" i="2"/>
  <c r="K464" i="2" s="1"/>
  <c r="G474" i="2"/>
  <c r="F474" i="2"/>
  <c r="K474" i="2" s="1"/>
  <c r="G482" i="2"/>
  <c r="F482" i="2"/>
  <c r="K482" i="2"/>
  <c r="K488" i="2"/>
  <c r="J488" i="2"/>
  <c r="H488" i="2" s="1"/>
  <c r="I488" i="2"/>
  <c r="G493" i="2"/>
  <c r="F493" i="2"/>
  <c r="K493" i="2" s="1"/>
  <c r="G538" i="2"/>
  <c r="G706" i="2"/>
  <c r="F706" i="2"/>
  <c r="K706" i="2" s="1"/>
  <c r="G743" i="2"/>
  <c r="F743" i="2"/>
  <c r="K743" i="2"/>
  <c r="J743" i="2"/>
  <c r="H743" i="2" s="1"/>
  <c r="I743" i="2"/>
  <c r="J232" i="2"/>
  <c r="H232" i="2" s="1"/>
  <c r="J242" i="2"/>
  <c r="H242" i="2" s="1"/>
  <c r="J250" i="2"/>
  <c r="H250" i="2" s="1"/>
  <c r="J260" i="2"/>
  <c r="H260" i="2" s="1"/>
  <c r="J268" i="2"/>
  <c r="H268" i="2" s="1"/>
  <c r="J276" i="2"/>
  <c r="H276" i="2" s="1"/>
  <c r="J284" i="2"/>
  <c r="H284" i="2" s="1"/>
  <c r="J292" i="2"/>
  <c r="H292" i="2" s="1"/>
  <c r="J302" i="2"/>
  <c r="H302" i="2" s="1"/>
  <c r="J310" i="2"/>
  <c r="H310" i="2" s="1"/>
  <c r="J318" i="2"/>
  <c r="H318" i="2" s="1"/>
  <c r="J328" i="2"/>
  <c r="H328" i="2" s="1"/>
  <c r="I335" i="2"/>
  <c r="J336" i="2"/>
  <c r="H336" i="2" s="1"/>
  <c r="I343" i="2"/>
  <c r="J344" i="2"/>
  <c r="H344" i="2" s="1"/>
  <c r="I353" i="2"/>
  <c r="J354" i="2"/>
  <c r="H354" i="2" s="1"/>
  <c r="I361" i="2"/>
  <c r="J362" i="2"/>
  <c r="H362" i="2" s="1"/>
  <c r="F368" i="2"/>
  <c r="K368" i="2" s="1"/>
  <c r="I371" i="2"/>
  <c r="J372" i="2"/>
  <c r="H372" i="2" s="1"/>
  <c r="F378" i="2"/>
  <c r="I381" i="2"/>
  <c r="J382" i="2"/>
  <c r="H382" i="2" s="1"/>
  <c r="K383" i="2"/>
  <c r="F388" i="2"/>
  <c r="I391" i="2"/>
  <c r="J392" i="2"/>
  <c r="H392" i="2" s="1"/>
  <c r="F396" i="2"/>
  <c r="K396" i="2" s="1"/>
  <c r="I399" i="2"/>
  <c r="J400" i="2"/>
  <c r="H400" i="2" s="1"/>
  <c r="K401" i="2"/>
  <c r="F404" i="2"/>
  <c r="I407" i="2"/>
  <c r="J408" i="2"/>
  <c r="H408" i="2" s="1"/>
  <c r="F412" i="2"/>
  <c r="K412" i="2" s="1"/>
  <c r="F419" i="2"/>
  <c r="J419" i="2" s="1"/>
  <c r="H419" i="2" s="1"/>
  <c r="I420" i="2"/>
  <c r="K424" i="2"/>
  <c r="K428" i="2"/>
  <c r="G432" i="2"/>
  <c r="F432" i="2"/>
  <c r="J434" i="2"/>
  <c r="H434" i="2" s="1"/>
  <c r="I434" i="2"/>
  <c r="K436" i="2"/>
  <c r="J436" i="2"/>
  <c r="H436" i="2" s="1"/>
  <c r="J445" i="2"/>
  <c r="H445" i="2" s="1"/>
  <c r="I449" i="2"/>
  <c r="G449" i="2"/>
  <c r="K451" i="2"/>
  <c r="J451" i="2"/>
  <c r="H451" i="2" s="1"/>
  <c r="I451" i="2"/>
  <c r="I474" i="2"/>
  <c r="I482" i="2"/>
  <c r="K494" i="2"/>
  <c r="J494" i="2"/>
  <c r="H494" i="2" s="1"/>
  <c r="I494" i="2"/>
  <c r="G494" i="2"/>
  <c r="G530" i="2"/>
  <c r="K530" i="2"/>
  <c r="J530" i="2"/>
  <c r="H530" i="2" s="1"/>
  <c r="I530" i="2"/>
  <c r="F530" i="2"/>
  <c r="F538" i="2"/>
  <c r="K538" i="2" s="1"/>
  <c r="G616" i="2"/>
  <c r="F616" i="2"/>
  <c r="K616" i="2" s="1"/>
  <c r="J616" i="2"/>
  <c r="H616" i="2" s="1"/>
  <c r="J335" i="2"/>
  <c r="H335" i="2" s="1"/>
  <c r="J343" i="2"/>
  <c r="H343" i="2" s="1"/>
  <c r="J353" i="2"/>
  <c r="H353" i="2" s="1"/>
  <c r="J361" i="2"/>
  <c r="H361" i="2" s="1"/>
  <c r="G368" i="2"/>
  <c r="J371" i="2"/>
  <c r="H371" i="2" s="1"/>
  <c r="G378" i="2"/>
  <c r="J381" i="2"/>
  <c r="H381" i="2" s="1"/>
  <c r="G388" i="2"/>
  <c r="J391" i="2"/>
  <c r="H391" i="2" s="1"/>
  <c r="G396" i="2"/>
  <c r="J399" i="2"/>
  <c r="H399" i="2" s="1"/>
  <c r="G404" i="2"/>
  <c r="J407" i="2"/>
  <c r="H407" i="2" s="1"/>
  <c r="G412" i="2"/>
  <c r="G419" i="2"/>
  <c r="I423" i="2"/>
  <c r="I425" i="2"/>
  <c r="J482" i="2"/>
  <c r="H482" i="2" s="1"/>
  <c r="K485" i="2"/>
  <c r="J485" i="2"/>
  <c r="H485" i="2" s="1"/>
  <c r="I485" i="2"/>
  <c r="G485" i="2"/>
  <c r="F485" i="2"/>
  <c r="K503" i="2"/>
  <c r="J503" i="2"/>
  <c r="H503" i="2" s="1"/>
  <c r="I503" i="2"/>
  <c r="J541" i="2"/>
  <c r="H541" i="2" s="1"/>
  <c r="G541" i="2"/>
  <c r="F541" i="2"/>
  <c r="K541" i="2" s="1"/>
  <c r="I541" i="2"/>
  <c r="F555" i="2"/>
  <c r="J555" i="2" s="1"/>
  <c r="H555" i="2" s="1"/>
  <c r="K555" i="2"/>
  <c r="I555" i="2"/>
  <c r="I579" i="2"/>
  <c r="K579" i="2"/>
  <c r="J579" i="2"/>
  <c r="H579" i="2" s="1"/>
  <c r="G579" i="2"/>
  <c r="K596" i="2"/>
  <c r="G596" i="2"/>
  <c r="J596" i="2"/>
  <c r="H596" i="2" s="1"/>
  <c r="I596" i="2"/>
  <c r="I634" i="2"/>
  <c r="G634" i="2"/>
  <c r="F634" i="2"/>
  <c r="K634" i="2" s="1"/>
  <c r="K698" i="2"/>
  <c r="J698" i="2"/>
  <c r="H698" i="2" s="1"/>
  <c r="I698" i="2"/>
  <c r="G698" i="2"/>
  <c r="F698" i="2"/>
  <c r="G441" i="2"/>
  <c r="J443" i="2"/>
  <c r="H443" i="2" s="1"/>
  <c r="G456" i="2"/>
  <c r="F456" i="2"/>
  <c r="I456" i="2" s="1"/>
  <c r="J458" i="2"/>
  <c r="H458" i="2" s="1"/>
  <c r="I458" i="2"/>
  <c r="J460" i="2"/>
  <c r="H460" i="2" s="1"/>
  <c r="I465" i="2"/>
  <c r="G465" i="2"/>
  <c r="J467" i="2"/>
  <c r="H467" i="2" s="1"/>
  <c r="I467" i="2"/>
  <c r="F467" i="2"/>
  <c r="K467" i="2" s="1"/>
  <c r="G475" i="2"/>
  <c r="K477" i="2"/>
  <c r="F477" i="2"/>
  <c r="J477" i="2" s="1"/>
  <c r="H477" i="2" s="1"/>
  <c r="I483" i="2"/>
  <c r="G483" i="2"/>
  <c r="F483" i="2"/>
  <c r="K486" i="2"/>
  <c r="J486" i="2"/>
  <c r="H486" i="2" s="1"/>
  <c r="G486" i="2"/>
  <c r="K565" i="2"/>
  <c r="J565" i="2"/>
  <c r="H565" i="2" s="1"/>
  <c r="I565" i="2"/>
  <c r="K699" i="2"/>
  <c r="G699" i="2"/>
  <c r="F699" i="2"/>
  <c r="J699" i="2" s="1"/>
  <c r="H699" i="2" s="1"/>
  <c r="G294" i="2"/>
  <c r="G304" i="2"/>
  <c r="G312" i="2"/>
  <c r="G322" i="2"/>
  <c r="G330" i="2"/>
  <c r="G338" i="2"/>
  <c r="G346" i="2"/>
  <c r="G356" i="2"/>
  <c r="G366" i="2"/>
  <c r="I368" i="2"/>
  <c r="G376" i="2"/>
  <c r="I378" i="2"/>
  <c r="F383" i="2"/>
  <c r="I383" i="2" s="1"/>
  <c r="G386" i="2"/>
  <c r="I388" i="2"/>
  <c r="F393" i="2"/>
  <c r="I393" i="2" s="1"/>
  <c r="G394" i="2"/>
  <c r="I396" i="2"/>
  <c r="F401" i="2"/>
  <c r="I401" i="2" s="1"/>
  <c r="G402" i="2"/>
  <c r="I404" i="2"/>
  <c r="F409" i="2"/>
  <c r="I409" i="2" s="1"/>
  <c r="G410" i="2"/>
  <c r="I412" i="2"/>
  <c r="G415" i="2"/>
  <c r="F415" i="2"/>
  <c r="F418" i="2"/>
  <c r="K418" i="2" s="1"/>
  <c r="I419" i="2"/>
  <c r="K423" i="2"/>
  <c r="G425" i="2"/>
  <c r="K427" i="2"/>
  <c r="J427" i="2"/>
  <c r="H427" i="2" s="1"/>
  <c r="J429" i="2"/>
  <c r="H429" i="2" s="1"/>
  <c r="F441" i="2"/>
  <c r="I441" i="2" s="1"/>
  <c r="F443" i="2"/>
  <c r="I443" i="2" s="1"/>
  <c r="J454" i="2"/>
  <c r="H454" i="2" s="1"/>
  <c r="F458" i="2"/>
  <c r="F460" i="2"/>
  <c r="I460" i="2" s="1"/>
  <c r="F465" i="2"/>
  <c r="G467" i="2"/>
  <c r="F475" i="2"/>
  <c r="I475" i="2" s="1"/>
  <c r="G477" i="2"/>
  <c r="J483" i="2"/>
  <c r="H483" i="2" s="1"/>
  <c r="F486" i="2"/>
  <c r="I486" i="2" s="1"/>
  <c r="K495" i="2"/>
  <c r="J495" i="2"/>
  <c r="H495" i="2" s="1"/>
  <c r="I495" i="2"/>
  <c r="K504" i="2"/>
  <c r="J504" i="2"/>
  <c r="H504" i="2" s="1"/>
  <c r="I504" i="2"/>
  <c r="K509" i="2"/>
  <c r="G509" i="2"/>
  <c r="F509" i="2"/>
  <c r="J509" i="2" s="1"/>
  <c r="H509" i="2" s="1"/>
  <c r="J528" i="2"/>
  <c r="H528" i="2" s="1"/>
  <c r="K528" i="2"/>
  <c r="J368" i="2"/>
  <c r="H368" i="2" s="1"/>
  <c r="J378" i="2"/>
  <c r="H378" i="2" s="1"/>
  <c r="J388" i="2"/>
  <c r="H388" i="2" s="1"/>
  <c r="J396" i="2"/>
  <c r="H396" i="2" s="1"/>
  <c r="J404" i="2"/>
  <c r="H404" i="2" s="1"/>
  <c r="J412" i="2"/>
  <c r="H412" i="2" s="1"/>
  <c r="G418" i="2"/>
  <c r="I433" i="2"/>
  <c r="G433" i="2"/>
  <c r="J441" i="2"/>
  <c r="H441" i="2" s="1"/>
  <c r="G443" i="2"/>
  <c r="G448" i="2"/>
  <c r="F448" i="2"/>
  <c r="I448" i="2" s="1"/>
  <c r="J450" i="2"/>
  <c r="H450" i="2" s="1"/>
  <c r="G458" i="2"/>
  <c r="G460" i="2"/>
  <c r="J465" i="2"/>
  <c r="H465" i="2" s="1"/>
  <c r="I469" i="2"/>
  <c r="J475" i="2"/>
  <c r="H475" i="2" s="1"/>
  <c r="I479" i="2"/>
  <c r="K483" i="2"/>
  <c r="I507" i="2"/>
  <c r="G510" i="2"/>
  <c r="K521" i="2"/>
  <c r="J521" i="2"/>
  <c r="H521" i="2" s="1"/>
  <c r="I521" i="2"/>
  <c r="J536" i="2"/>
  <c r="H536" i="2" s="1"/>
  <c r="K536" i="2"/>
  <c r="K543" i="2"/>
  <c r="J543" i="2"/>
  <c r="H543" i="2" s="1"/>
  <c r="G543" i="2"/>
  <c r="G572" i="2"/>
  <c r="I612" i="2"/>
  <c r="J627" i="2"/>
  <c r="H627" i="2" s="1"/>
  <c r="G627" i="2"/>
  <c r="K627" i="2"/>
  <c r="K719" i="2"/>
  <c r="J719" i="2"/>
  <c r="H719" i="2" s="1"/>
  <c r="G753" i="2"/>
  <c r="F753" i="2"/>
  <c r="J753" i="2" s="1"/>
  <c r="H753" i="2" s="1"/>
  <c r="K753" i="2"/>
  <c r="I415" i="2"/>
  <c r="I417" i="2"/>
  <c r="F420" i="2"/>
  <c r="J420" i="2" s="1"/>
  <c r="H420" i="2" s="1"/>
  <c r="F424" i="2"/>
  <c r="K425" i="2"/>
  <c r="G427" i="2"/>
  <c r="J428" i="2"/>
  <c r="H428" i="2" s="1"/>
  <c r="F433" i="2"/>
  <c r="F435" i="2"/>
  <c r="K435" i="2" s="1"/>
  <c r="K441" i="2"/>
  <c r="F450" i="2"/>
  <c r="K450" i="2" s="1"/>
  <c r="F452" i="2"/>
  <c r="I452" i="2" s="1"/>
  <c r="I453" i="2"/>
  <c r="K458" i="2"/>
  <c r="K465" i="2"/>
  <c r="K468" i="2"/>
  <c r="J468" i="2"/>
  <c r="H468" i="2" s="1"/>
  <c r="G468" i="2"/>
  <c r="J469" i="2"/>
  <c r="H469" i="2" s="1"/>
  <c r="K475" i="2"/>
  <c r="K478" i="2"/>
  <c r="J478" i="2"/>
  <c r="H478" i="2" s="1"/>
  <c r="G478" i="2"/>
  <c r="J479" i="2"/>
  <c r="H479" i="2" s="1"/>
  <c r="K487" i="2"/>
  <c r="J487" i="2"/>
  <c r="H487" i="2" s="1"/>
  <c r="I487" i="2"/>
  <c r="K496" i="2"/>
  <c r="J496" i="2"/>
  <c r="H496" i="2" s="1"/>
  <c r="I496" i="2"/>
  <c r="G501" i="2"/>
  <c r="F501" i="2"/>
  <c r="K501" i="2" s="1"/>
  <c r="F510" i="2"/>
  <c r="J510" i="2" s="1"/>
  <c r="H510" i="2" s="1"/>
  <c r="J513" i="2"/>
  <c r="H513" i="2" s="1"/>
  <c r="F513" i="2"/>
  <c r="K513" i="2"/>
  <c r="I513" i="2"/>
  <c r="G513" i="2"/>
  <c r="F543" i="2"/>
  <c r="I543" i="2" s="1"/>
  <c r="K560" i="2"/>
  <c r="G560" i="2"/>
  <c r="J560" i="2"/>
  <c r="H560" i="2" s="1"/>
  <c r="I560" i="2"/>
  <c r="F572" i="2"/>
  <c r="K572" i="2" s="1"/>
  <c r="F619" i="2"/>
  <c r="K619" i="2" s="1"/>
  <c r="I619" i="2"/>
  <c r="G619" i="2"/>
  <c r="F627" i="2"/>
  <c r="I627" i="2" s="1"/>
  <c r="G520" i="2"/>
  <c r="K520" i="2"/>
  <c r="G533" i="2"/>
  <c r="F533" i="2"/>
  <c r="I533" i="2" s="1"/>
  <c r="I535" i="2"/>
  <c r="F545" i="2"/>
  <c r="K545" i="2" s="1"/>
  <c r="J545" i="2"/>
  <c r="H545" i="2" s="1"/>
  <c r="K552" i="2"/>
  <c r="G552" i="2"/>
  <c r="G564" i="2"/>
  <c r="K564" i="2"/>
  <c r="J567" i="2"/>
  <c r="H567" i="2" s="1"/>
  <c r="G567" i="2"/>
  <c r="F567" i="2"/>
  <c r="I567" i="2" s="1"/>
  <c r="I569" i="2"/>
  <c r="F581" i="2"/>
  <c r="K581" i="2" s="1"/>
  <c r="K586" i="2"/>
  <c r="G586" i="2"/>
  <c r="G600" i="2"/>
  <c r="K600" i="2"/>
  <c r="J603" i="2"/>
  <c r="H603" i="2" s="1"/>
  <c r="G603" i="2"/>
  <c r="F603" i="2"/>
  <c r="I603" i="2" s="1"/>
  <c r="J605" i="2"/>
  <c r="H605" i="2" s="1"/>
  <c r="I605" i="2"/>
  <c r="F609" i="2"/>
  <c r="I609" i="2" s="1"/>
  <c r="K635" i="2"/>
  <c r="J635" i="2"/>
  <c r="H635" i="2" s="1"/>
  <c r="I635" i="2"/>
  <c r="G635" i="2"/>
  <c r="G644" i="2"/>
  <c r="F644" i="2"/>
  <c r="K644" i="2" s="1"/>
  <c r="J661" i="2"/>
  <c r="H661" i="2" s="1"/>
  <c r="J692" i="2"/>
  <c r="H692" i="2" s="1"/>
  <c r="K709" i="2"/>
  <c r="J709" i="2"/>
  <c r="H709" i="2" s="1"/>
  <c r="I709" i="2"/>
  <c r="G709" i="2"/>
  <c r="J728" i="2"/>
  <c r="H728" i="2" s="1"/>
  <c r="I728" i="2"/>
  <c r="K728" i="2"/>
  <c r="G728" i="2"/>
  <c r="K731" i="2"/>
  <c r="J731" i="2"/>
  <c r="H731" i="2" s="1"/>
  <c r="I731" i="2"/>
  <c r="G523" i="2"/>
  <c r="F523" i="2"/>
  <c r="I523" i="2" s="1"/>
  <c r="I525" i="2"/>
  <c r="G617" i="2"/>
  <c r="J623" i="2"/>
  <c r="H623" i="2" s="1"/>
  <c r="I632" i="2"/>
  <c r="I645" i="2"/>
  <c r="G645" i="2"/>
  <c r="I652" i="2"/>
  <c r="G652" i="2"/>
  <c r="F652" i="2"/>
  <c r="K652" i="2" s="1"/>
  <c r="G739" i="2"/>
  <c r="F739" i="2"/>
  <c r="K739" i="2" s="1"/>
  <c r="F491" i="2"/>
  <c r="F499" i="2"/>
  <c r="I499" i="2" s="1"/>
  <c r="F507" i="2"/>
  <c r="F515" i="2"/>
  <c r="K515" i="2" s="1"/>
  <c r="F537" i="2"/>
  <c r="K537" i="2" s="1"/>
  <c r="K542" i="2"/>
  <c r="G542" i="2"/>
  <c r="G556" i="2"/>
  <c r="J559" i="2"/>
  <c r="H559" i="2" s="1"/>
  <c r="G559" i="2"/>
  <c r="F559" i="2"/>
  <c r="F571" i="2"/>
  <c r="J571" i="2" s="1"/>
  <c r="H571" i="2" s="1"/>
  <c r="K571" i="2"/>
  <c r="G578" i="2"/>
  <c r="G592" i="2"/>
  <c r="I593" i="2"/>
  <c r="J595" i="2"/>
  <c r="H595" i="2" s="1"/>
  <c r="G595" i="2"/>
  <c r="F595" i="2"/>
  <c r="F617" i="2"/>
  <c r="J617" i="2" s="1"/>
  <c r="H617" i="2" s="1"/>
  <c r="F645" i="2"/>
  <c r="K645" i="2" s="1"/>
  <c r="J653" i="2"/>
  <c r="H653" i="2" s="1"/>
  <c r="I653" i="2"/>
  <c r="G653" i="2"/>
  <c r="J662" i="2"/>
  <c r="H662" i="2" s="1"/>
  <c r="I662" i="2"/>
  <c r="G662" i="2"/>
  <c r="F662" i="2"/>
  <c r="K662" i="2" s="1"/>
  <c r="J679" i="2"/>
  <c r="H679" i="2" s="1"/>
  <c r="K710" i="2"/>
  <c r="G725" i="2"/>
  <c r="F725" i="2"/>
  <c r="K725" i="2"/>
  <c r="J725" i="2"/>
  <c r="H725" i="2" s="1"/>
  <c r="I725" i="2"/>
  <c r="K748" i="2"/>
  <c r="J748" i="2"/>
  <c r="H748" i="2" s="1"/>
  <c r="G748" i="2"/>
  <c r="F748" i="2"/>
  <c r="I748" i="2" s="1"/>
  <c r="F490" i="2"/>
  <c r="G491" i="2"/>
  <c r="F498" i="2"/>
  <c r="G499" i="2"/>
  <c r="F506" i="2"/>
  <c r="K506" i="2" s="1"/>
  <c r="G507" i="2"/>
  <c r="G515" i="2"/>
  <c r="K516" i="2"/>
  <c r="I520" i="2"/>
  <c r="G525" i="2"/>
  <c r="F529" i="2"/>
  <c r="I529" i="2" s="1"/>
  <c r="K529" i="2"/>
  <c r="J535" i="2"/>
  <c r="H535" i="2" s="1"/>
  <c r="G537" i="2"/>
  <c r="F542" i="2"/>
  <c r="J544" i="2"/>
  <c r="H544" i="2" s="1"/>
  <c r="I545" i="2"/>
  <c r="J552" i="2"/>
  <c r="H552" i="2" s="1"/>
  <c r="F556" i="2"/>
  <c r="J556" i="2" s="1"/>
  <c r="H556" i="2" s="1"/>
  <c r="J557" i="2"/>
  <c r="H557" i="2" s="1"/>
  <c r="F561" i="2"/>
  <c r="K561" i="2" s="1"/>
  <c r="I564" i="2"/>
  <c r="K567" i="2"/>
  <c r="J569" i="2"/>
  <c r="H569" i="2" s="1"/>
  <c r="G571" i="2"/>
  <c r="F578" i="2"/>
  <c r="K578" i="2" s="1"/>
  <c r="J586" i="2"/>
  <c r="H586" i="2" s="1"/>
  <c r="F592" i="2"/>
  <c r="J592" i="2" s="1"/>
  <c r="H592" i="2" s="1"/>
  <c r="J593" i="2"/>
  <c r="H593" i="2" s="1"/>
  <c r="F597" i="2"/>
  <c r="K597" i="2" s="1"/>
  <c r="I600" i="2"/>
  <c r="I602" i="2"/>
  <c r="K603" i="2"/>
  <c r="K605" i="2"/>
  <c r="K617" i="2"/>
  <c r="F653" i="2"/>
  <c r="K653" i="2" s="1"/>
  <c r="J663" i="2"/>
  <c r="H663" i="2" s="1"/>
  <c r="I663" i="2"/>
  <c r="G663" i="2"/>
  <c r="J670" i="2"/>
  <c r="H670" i="2" s="1"/>
  <c r="I670" i="2"/>
  <c r="G670" i="2"/>
  <c r="F670" i="2"/>
  <c r="K670" i="2" s="1"/>
  <c r="J687" i="2"/>
  <c r="H687" i="2" s="1"/>
  <c r="J704" i="2"/>
  <c r="H704" i="2" s="1"/>
  <c r="K713" i="2"/>
  <c r="J713" i="2"/>
  <c r="H713" i="2" s="1"/>
  <c r="I713" i="2"/>
  <c r="K735" i="2"/>
  <c r="J735" i="2"/>
  <c r="H735" i="2" s="1"/>
  <c r="K826" i="2"/>
  <c r="J826" i="2"/>
  <c r="H826" i="2" s="1"/>
  <c r="F431" i="2"/>
  <c r="F439" i="2"/>
  <c r="F447" i="2"/>
  <c r="F455" i="2"/>
  <c r="F463" i="2"/>
  <c r="I466" i="2"/>
  <c r="F471" i="2"/>
  <c r="I476" i="2"/>
  <c r="F481" i="2"/>
  <c r="I484" i="2"/>
  <c r="F489" i="2"/>
  <c r="I492" i="2"/>
  <c r="F497" i="2"/>
  <c r="I500" i="2"/>
  <c r="F505" i="2"/>
  <c r="I508" i="2"/>
  <c r="F511" i="2"/>
  <c r="G514" i="2"/>
  <c r="I515" i="2"/>
  <c r="F517" i="2"/>
  <c r="I517" i="2" s="1"/>
  <c r="J520" i="2"/>
  <c r="H520" i="2" s="1"/>
  <c r="K523" i="2"/>
  <c r="J525" i="2"/>
  <c r="H525" i="2" s="1"/>
  <c r="G534" i="2"/>
  <c r="K535" i="2"/>
  <c r="I542" i="2"/>
  <c r="G546" i="2"/>
  <c r="K546" i="2"/>
  <c r="I547" i="2"/>
  <c r="G551" i="2"/>
  <c r="F551" i="2"/>
  <c r="I553" i="2"/>
  <c r="I559" i="2"/>
  <c r="G561" i="2"/>
  <c r="F563" i="2"/>
  <c r="I563" i="2" s="1"/>
  <c r="K563" i="2"/>
  <c r="J564" i="2"/>
  <c r="H564" i="2" s="1"/>
  <c r="K568" i="2"/>
  <c r="G568" i="2"/>
  <c r="K569" i="2"/>
  <c r="I578" i="2"/>
  <c r="G582" i="2"/>
  <c r="K582" i="2"/>
  <c r="I583" i="2"/>
  <c r="G585" i="2"/>
  <c r="F585" i="2"/>
  <c r="I595" i="2"/>
  <c r="G597" i="2"/>
  <c r="F599" i="2"/>
  <c r="I599" i="2" s="1"/>
  <c r="J600" i="2"/>
  <c r="H600" i="2" s="1"/>
  <c r="K604" i="2"/>
  <c r="G604" i="2"/>
  <c r="G613" i="2"/>
  <c r="F613" i="2"/>
  <c r="K613" i="2" s="1"/>
  <c r="I624" i="2"/>
  <c r="G624" i="2"/>
  <c r="F624" i="2"/>
  <c r="J624" i="2" s="1"/>
  <c r="H624" i="2" s="1"/>
  <c r="F629" i="2"/>
  <c r="K629" i="2"/>
  <c r="J629" i="2"/>
  <c r="H629" i="2" s="1"/>
  <c r="I629" i="2"/>
  <c r="F663" i="2"/>
  <c r="K663" i="2" s="1"/>
  <c r="K671" i="2"/>
  <c r="J671" i="2"/>
  <c r="H671" i="2" s="1"/>
  <c r="G671" i="2"/>
  <c r="K680" i="2"/>
  <c r="G680" i="2"/>
  <c r="F680" i="2"/>
  <c r="J680" i="2" s="1"/>
  <c r="H680" i="2" s="1"/>
  <c r="J697" i="2"/>
  <c r="H697" i="2" s="1"/>
  <c r="K704" i="2"/>
  <c r="K721" i="2"/>
  <c r="J721" i="2"/>
  <c r="H721" i="2" s="1"/>
  <c r="G721" i="2"/>
  <c r="F721" i="2"/>
  <c r="I721" i="2" s="1"/>
  <c r="F514" i="2"/>
  <c r="G517" i="2"/>
  <c r="K524" i="2"/>
  <c r="G524" i="2"/>
  <c r="K525" i="2"/>
  <c r="F534" i="2"/>
  <c r="K534" i="2" s="1"/>
  <c r="I536" i="2"/>
  <c r="I537" i="2"/>
  <c r="J542" i="2"/>
  <c r="H542" i="2" s="1"/>
  <c r="F546" i="2"/>
  <c r="F553" i="2"/>
  <c r="I556" i="2"/>
  <c r="I558" i="2"/>
  <c r="K559" i="2"/>
  <c r="G563" i="2"/>
  <c r="J570" i="2"/>
  <c r="H570" i="2" s="1"/>
  <c r="J578" i="2"/>
  <c r="H578" i="2" s="1"/>
  <c r="F582" i="2"/>
  <c r="F587" i="2"/>
  <c r="I587" i="2" s="1"/>
  <c r="K595" i="2"/>
  <c r="J597" i="2"/>
  <c r="H597" i="2" s="1"/>
  <c r="G599" i="2"/>
  <c r="F604" i="2"/>
  <c r="I620" i="2"/>
  <c r="G629" i="2"/>
  <c r="J633" i="2"/>
  <c r="H633" i="2" s="1"/>
  <c r="J664" i="2"/>
  <c r="H664" i="2" s="1"/>
  <c r="I668" i="2"/>
  <c r="F671" i="2"/>
  <c r="I671" i="2" s="1"/>
  <c r="K681" i="2"/>
  <c r="J681" i="2"/>
  <c r="H681" i="2" s="1"/>
  <c r="I681" i="2"/>
  <c r="G681" i="2"/>
  <c r="G688" i="2"/>
  <c r="F688" i="2"/>
  <c r="K688" i="2" s="1"/>
  <c r="J705" i="2"/>
  <c r="H705" i="2" s="1"/>
  <c r="J746" i="2"/>
  <c r="H746" i="2" s="1"/>
  <c r="I746" i="2"/>
  <c r="K746" i="2"/>
  <c r="G746" i="2"/>
  <c r="K868" i="2"/>
  <c r="I868" i="2"/>
  <c r="J868" i="2"/>
  <c r="H868" i="2" s="1"/>
  <c r="I637" i="2"/>
  <c r="I647" i="2"/>
  <c r="I655" i="2"/>
  <c r="I665" i="2"/>
  <c r="I673" i="2"/>
  <c r="I683" i="2"/>
  <c r="I693" i="2"/>
  <c r="I701" i="2"/>
  <c r="K726" i="2"/>
  <c r="J757" i="2"/>
  <c r="H757" i="2" s="1"/>
  <c r="G757" i="2"/>
  <c r="F757" i="2"/>
  <c r="K757" i="2" s="1"/>
  <c r="G763" i="2"/>
  <c r="F763" i="2"/>
  <c r="K763" i="2" s="1"/>
  <c r="J767" i="2"/>
  <c r="H767" i="2" s="1"/>
  <c r="G767" i="2"/>
  <c r="F767" i="2"/>
  <c r="K767" i="2" s="1"/>
  <c r="G773" i="2"/>
  <c r="F773" i="2"/>
  <c r="K773" i="2" s="1"/>
  <c r="J777" i="2"/>
  <c r="H777" i="2" s="1"/>
  <c r="G777" i="2"/>
  <c r="F777" i="2"/>
  <c r="K777" i="2" s="1"/>
  <c r="G781" i="2"/>
  <c r="F781" i="2"/>
  <c r="K781" i="2" s="1"/>
  <c r="J785" i="2"/>
  <c r="H785" i="2" s="1"/>
  <c r="G785" i="2"/>
  <c r="F785" i="2"/>
  <c r="K785" i="2" s="1"/>
  <c r="G789" i="2"/>
  <c r="F789" i="2"/>
  <c r="K789" i="2" s="1"/>
  <c r="J795" i="2"/>
  <c r="H795" i="2" s="1"/>
  <c r="G795" i="2"/>
  <c r="F795" i="2"/>
  <c r="K795" i="2" s="1"/>
  <c r="G799" i="2"/>
  <c r="F799" i="2"/>
  <c r="K799" i="2" s="1"/>
  <c r="G814" i="2"/>
  <c r="F814" i="2"/>
  <c r="J814" i="2" s="1"/>
  <c r="H814" i="2" s="1"/>
  <c r="K814" i="2"/>
  <c r="J823" i="2"/>
  <c r="H823" i="2" s="1"/>
  <c r="K823" i="2"/>
  <c r="I823" i="2"/>
  <c r="F835" i="2"/>
  <c r="K835" i="2" s="1"/>
  <c r="G835" i="2"/>
  <c r="G885" i="2"/>
  <c r="F885" i="2"/>
  <c r="K885" i="2" s="1"/>
  <c r="I544" i="2"/>
  <c r="I554" i="2"/>
  <c r="I562" i="2"/>
  <c r="I570" i="2"/>
  <c r="I580" i="2"/>
  <c r="I590" i="2"/>
  <c r="I598" i="2"/>
  <c r="I608" i="2"/>
  <c r="K610" i="2"/>
  <c r="I618" i="2"/>
  <c r="K620" i="2"/>
  <c r="F623" i="2"/>
  <c r="I628" i="2"/>
  <c r="K630" i="2"/>
  <c r="F633" i="2"/>
  <c r="I636" i="2"/>
  <c r="J637" i="2"/>
  <c r="H637" i="2" s="1"/>
  <c r="K638" i="2"/>
  <c r="F641" i="2"/>
  <c r="I646" i="2"/>
  <c r="J647" i="2"/>
  <c r="H647" i="2" s="1"/>
  <c r="K648" i="2"/>
  <c r="F651" i="2"/>
  <c r="I654" i="2"/>
  <c r="J655" i="2"/>
  <c r="H655" i="2" s="1"/>
  <c r="K656" i="2"/>
  <c r="F661" i="2"/>
  <c r="I664" i="2"/>
  <c r="J665" i="2"/>
  <c r="H665" i="2" s="1"/>
  <c r="K666" i="2"/>
  <c r="F669" i="2"/>
  <c r="I672" i="2"/>
  <c r="J673" i="2"/>
  <c r="H673" i="2" s="1"/>
  <c r="K674" i="2"/>
  <c r="F679" i="2"/>
  <c r="I682" i="2"/>
  <c r="J683" i="2"/>
  <c r="H683" i="2" s="1"/>
  <c r="K684" i="2"/>
  <c r="F687" i="2"/>
  <c r="I692" i="2"/>
  <c r="J693" i="2"/>
  <c r="H693" i="2" s="1"/>
  <c r="K694" i="2"/>
  <c r="F697" i="2"/>
  <c r="I700" i="2"/>
  <c r="J701" i="2"/>
  <c r="H701" i="2" s="1"/>
  <c r="K702" i="2"/>
  <c r="F705" i="2"/>
  <c r="J710" i="2"/>
  <c r="H710" i="2" s="1"/>
  <c r="F712" i="2"/>
  <c r="I712" i="2" s="1"/>
  <c r="J714" i="2"/>
  <c r="H714" i="2" s="1"/>
  <c r="F716" i="2"/>
  <c r="K716" i="2" s="1"/>
  <c r="F730" i="2"/>
  <c r="K730" i="2" s="1"/>
  <c r="J732" i="2"/>
  <c r="H732" i="2" s="1"/>
  <c r="F734" i="2"/>
  <c r="K734" i="2" s="1"/>
  <c r="K804" i="2"/>
  <c r="J804" i="2"/>
  <c r="H804" i="2" s="1"/>
  <c r="I809" i="2"/>
  <c r="F809" i="2"/>
  <c r="J809" i="2" s="1"/>
  <c r="H809" i="2" s="1"/>
  <c r="F855" i="2"/>
  <c r="K855" i="2" s="1"/>
  <c r="G855" i="2"/>
  <c r="F540" i="2"/>
  <c r="F549" i="2"/>
  <c r="F558" i="2"/>
  <c r="F566" i="2"/>
  <c r="F576" i="2"/>
  <c r="F584" i="2"/>
  <c r="I584" i="2" s="1"/>
  <c r="F594" i="2"/>
  <c r="I594" i="2" s="1"/>
  <c r="F602" i="2"/>
  <c r="F612" i="2"/>
  <c r="F622" i="2"/>
  <c r="G623" i="2"/>
  <c r="F632" i="2"/>
  <c r="G633" i="2"/>
  <c r="K637" i="2"/>
  <c r="F640" i="2"/>
  <c r="I640" i="2" s="1"/>
  <c r="G641" i="2"/>
  <c r="K647" i="2"/>
  <c r="F650" i="2"/>
  <c r="G651" i="2"/>
  <c r="K655" i="2"/>
  <c r="F660" i="2"/>
  <c r="G661" i="2"/>
  <c r="K665" i="2"/>
  <c r="F668" i="2"/>
  <c r="G669" i="2"/>
  <c r="K673" i="2"/>
  <c r="F676" i="2"/>
  <c r="G679" i="2"/>
  <c r="K683" i="2"/>
  <c r="F686" i="2"/>
  <c r="G687" i="2"/>
  <c r="K693" i="2"/>
  <c r="F696" i="2"/>
  <c r="G697" i="2"/>
  <c r="K701" i="2"/>
  <c r="G705" i="2"/>
  <c r="G712" i="2"/>
  <c r="I716" i="2"/>
  <c r="J720" i="2"/>
  <c r="H720" i="2" s="1"/>
  <c r="I720" i="2"/>
  <c r="F727" i="2"/>
  <c r="J727" i="2" s="1"/>
  <c r="H727" i="2" s="1"/>
  <c r="G730" i="2"/>
  <c r="I734" i="2"/>
  <c r="J736" i="2"/>
  <c r="H736" i="2" s="1"/>
  <c r="I736" i="2"/>
  <c r="F745" i="2"/>
  <c r="J745" i="2" s="1"/>
  <c r="H745" i="2" s="1"/>
  <c r="J755" i="2"/>
  <c r="H755" i="2" s="1"/>
  <c r="I757" i="2"/>
  <c r="J761" i="2"/>
  <c r="H761" i="2" s="1"/>
  <c r="J765" i="2"/>
  <c r="H765" i="2" s="1"/>
  <c r="I767" i="2"/>
  <c r="J769" i="2"/>
  <c r="H769" i="2" s="1"/>
  <c r="I773" i="2"/>
  <c r="J775" i="2"/>
  <c r="H775" i="2" s="1"/>
  <c r="I777" i="2"/>
  <c r="J779" i="2"/>
  <c r="H779" i="2" s="1"/>
  <c r="J783" i="2"/>
  <c r="H783" i="2" s="1"/>
  <c r="I785" i="2"/>
  <c r="J787" i="2"/>
  <c r="H787" i="2" s="1"/>
  <c r="I789" i="2"/>
  <c r="J791" i="2"/>
  <c r="H791" i="2" s="1"/>
  <c r="I795" i="2"/>
  <c r="J797" i="2"/>
  <c r="H797" i="2" s="1"/>
  <c r="G809" i="2"/>
  <c r="G833" i="2"/>
  <c r="F833" i="2"/>
  <c r="I833" i="2" s="1"/>
  <c r="K833" i="2"/>
  <c r="K711" i="2"/>
  <c r="J711" i="2"/>
  <c r="H711" i="2" s="1"/>
  <c r="G715" i="2"/>
  <c r="F715" i="2"/>
  <c r="J716" i="2"/>
  <c r="H716" i="2" s="1"/>
  <c r="K729" i="2"/>
  <c r="J729" i="2"/>
  <c r="H729" i="2" s="1"/>
  <c r="G733" i="2"/>
  <c r="F733" i="2"/>
  <c r="J734" i="2"/>
  <c r="H734" i="2" s="1"/>
  <c r="K747" i="2"/>
  <c r="J747" i="2"/>
  <c r="H747" i="2" s="1"/>
  <c r="G747" i="2"/>
  <c r="G754" i="2"/>
  <c r="K754" i="2"/>
  <c r="K759" i="2"/>
  <c r="G759" i="2"/>
  <c r="K761" i="2"/>
  <c r="G764" i="2"/>
  <c r="K764" i="2"/>
  <c r="K768" i="2"/>
  <c r="G768" i="2"/>
  <c r="K769" i="2"/>
  <c r="G774" i="2"/>
  <c r="K774" i="2"/>
  <c r="K778" i="2"/>
  <c r="G778" i="2"/>
  <c r="K779" i="2"/>
  <c r="G782" i="2"/>
  <c r="K782" i="2"/>
  <c r="K786" i="2"/>
  <c r="G786" i="2"/>
  <c r="K787" i="2"/>
  <c r="G790" i="2"/>
  <c r="K790" i="2"/>
  <c r="K796" i="2"/>
  <c r="G796" i="2"/>
  <c r="K797" i="2"/>
  <c r="I800" i="2"/>
  <c r="G800" i="2"/>
  <c r="K828" i="2"/>
  <c r="J828" i="2"/>
  <c r="H828" i="2" s="1"/>
  <c r="G828" i="2"/>
  <c r="I828" i="2"/>
  <c r="K872" i="2"/>
  <c r="J872" i="2"/>
  <c r="H872" i="2" s="1"/>
  <c r="I872" i="2"/>
  <c r="I730" i="2"/>
  <c r="J762" i="2"/>
  <c r="H762" i="2" s="1"/>
  <c r="I762" i="2"/>
  <c r="J772" i="2"/>
  <c r="H772" i="2" s="1"/>
  <c r="I772" i="2"/>
  <c r="J776" i="2"/>
  <c r="H776" i="2" s="1"/>
  <c r="J780" i="2"/>
  <c r="H780" i="2" s="1"/>
  <c r="I780" i="2"/>
  <c r="J784" i="2"/>
  <c r="H784" i="2" s="1"/>
  <c r="J788" i="2"/>
  <c r="H788" i="2" s="1"/>
  <c r="I788" i="2"/>
  <c r="J798" i="2"/>
  <c r="H798" i="2" s="1"/>
  <c r="I798" i="2"/>
  <c r="I710" i="2"/>
  <c r="G711" i="2"/>
  <c r="I715" i="2"/>
  <c r="I719" i="2"/>
  <c r="F722" i="2"/>
  <c r="J722" i="2" s="1"/>
  <c r="H722" i="2" s="1"/>
  <c r="F726" i="2"/>
  <c r="K727" i="2"/>
  <c r="G729" i="2"/>
  <c r="I733" i="2"/>
  <c r="I735" i="2"/>
  <c r="F740" i="2"/>
  <c r="K740" i="2" s="1"/>
  <c r="F744" i="2"/>
  <c r="I754" i="2"/>
  <c r="I759" i="2"/>
  <c r="I764" i="2"/>
  <c r="I768" i="2"/>
  <c r="I774" i="2"/>
  <c r="I778" i="2"/>
  <c r="I782" i="2"/>
  <c r="I786" i="2"/>
  <c r="I790" i="2"/>
  <c r="I796" i="2"/>
  <c r="J800" i="2"/>
  <c r="H800" i="2" s="1"/>
  <c r="K811" i="2"/>
  <c r="J811" i="2"/>
  <c r="H811" i="2" s="1"/>
  <c r="I811" i="2"/>
  <c r="G811" i="2"/>
  <c r="K846" i="2"/>
  <c r="G936" i="2"/>
  <c r="F936" i="2"/>
  <c r="K936" i="2" s="1"/>
  <c r="I936" i="2"/>
  <c r="K940" i="2"/>
  <c r="G940" i="2"/>
  <c r="F940" i="2"/>
  <c r="J940" i="2" s="1"/>
  <c r="H940" i="2" s="1"/>
  <c r="F801" i="2"/>
  <c r="K801" i="2" s="1"/>
  <c r="K803" i="2"/>
  <c r="G806" i="2"/>
  <c r="F806" i="2"/>
  <c r="K806" i="2"/>
  <c r="G818" i="2"/>
  <c r="G853" i="2"/>
  <c r="F853" i="2"/>
  <c r="K860" i="2"/>
  <c r="J860" i="2"/>
  <c r="H860" i="2" s="1"/>
  <c r="I860" i="2"/>
  <c r="G865" i="2"/>
  <c r="F865" i="2"/>
  <c r="K865" i="2" s="1"/>
  <c r="G957" i="2"/>
  <c r="K957" i="2"/>
  <c r="F957" i="2"/>
  <c r="I957" i="2" s="1"/>
  <c r="F756" i="2"/>
  <c r="K756" i="2" s="1"/>
  <c r="F766" i="2"/>
  <c r="K766" i="2" s="1"/>
  <c r="F776" i="2"/>
  <c r="K776" i="2" s="1"/>
  <c r="F784" i="2"/>
  <c r="K784" i="2" s="1"/>
  <c r="F792" i="2"/>
  <c r="K792" i="2" s="1"/>
  <c r="G801" i="2"/>
  <c r="F803" i="2"/>
  <c r="I803" i="2" s="1"/>
  <c r="I808" i="2"/>
  <c r="F818" i="2"/>
  <c r="I818" i="2" s="1"/>
  <c r="F825" i="2"/>
  <c r="K840" i="2"/>
  <c r="I840" i="2"/>
  <c r="K847" i="2"/>
  <c r="J847" i="2"/>
  <c r="H847" i="2" s="1"/>
  <c r="F847" i="2"/>
  <c r="I847" i="2" s="1"/>
  <c r="J907" i="2"/>
  <c r="H907" i="2" s="1"/>
  <c r="I921" i="2"/>
  <c r="G1113" i="2"/>
  <c r="K1113" i="2"/>
  <c r="F1113" i="2"/>
  <c r="J1113" i="2" s="1"/>
  <c r="H1113" i="2" s="1"/>
  <c r="K810" i="2"/>
  <c r="J810" i="2"/>
  <c r="H810" i="2" s="1"/>
  <c r="G810" i="2"/>
  <c r="F827" i="2"/>
  <c r="J827" i="2" s="1"/>
  <c r="H827" i="2" s="1"/>
  <c r="K829" i="2"/>
  <c r="I834" i="2"/>
  <c r="K836" i="2"/>
  <c r="J836" i="2"/>
  <c r="H836" i="2" s="1"/>
  <c r="I836" i="2"/>
  <c r="G836" i="2"/>
  <c r="K856" i="2"/>
  <c r="K866" i="2"/>
  <c r="G875" i="2"/>
  <c r="F875" i="2"/>
  <c r="I875" i="2" s="1"/>
  <c r="I881" i="2"/>
  <c r="G881" i="2"/>
  <c r="F881" i="2"/>
  <c r="K881" i="2" s="1"/>
  <c r="I938" i="2"/>
  <c r="K938" i="2"/>
  <c r="J938" i="2"/>
  <c r="H938" i="2" s="1"/>
  <c r="G981" i="2"/>
  <c r="F981" i="2"/>
  <c r="K981" i="2" s="1"/>
  <c r="I981" i="2"/>
  <c r="J981" i="2"/>
  <c r="H981" i="2" s="1"/>
  <c r="F845" i="2"/>
  <c r="K845" i="2" s="1"/>
  <c r="J870" i="2"/>
  <c r="H870" i="2" s="1"/>
  <c r="G870" i="2"/>
  <c r="F870" i="2"/>
  <c r="K870" i="2" s="1"/>
  <c r="F876" i="2"/>
  <c r="K876" i="2" s="1"/>
  <c r="J891" i="2"/>
  <c r="H891" i="2" s="1"/>
  <c r="K891" i="2"/>
  <c r="I891" i="2"/>
  <c r="K942" i="2"/>
  <c r="J942" i="2"/>
  <c r="H942" i="2" s="1"/>
  <c r="I776" i="2"/>
  <c r="I784" i="2"/>
  <c r="K802" i="2"/>
  <c r="J802" i="2"/>
  <c r="H802" i="2" s="1"/>
  <c r="G802" i="2"/>
  <c r="J808" i="2"/>
  <c r="H808" i="2" s="1"/>
  <c r="I813" i="2"/>
  <c r="I815" i="2"/>
  <c r="I817" i="2"/>
  <c r="F817" i="2"/>
  <c r="K817" i="2" s="1"/>
  <c r="K819" i="2"/>
  <c r="G824" i="2"/>
  <c r="F824" i="2"/>
  <c r="K824" i="2"/>
  <c r="G829" i="2"/>
  <c r="K830" i="2"/>
  <c r="J840" i="2"/>
  <c r="H840" i="2" s="1"/>
  <c r="G843" i="2"/>
  <c r="F843" i="2"/>
  <c r="K843" i="2" s="1"/>
  <c r="J843" i="2"/>
  <c r="H843" i="2" s="1"/>
  <c r="G845" i="2"/>
  <c r="G867" i="2"/>
  <c r="J867" i="2"/>
  <c r="H867" i="2" s="1"/>
  <c r="I867" i="2"/>
  <c r="F867" i="2"/>
  <c r="K867" i="2" s="1"/>
  <c r="J871" i="2"/>
  <c r="H871" i="2" s="1"/>
  <c r="I871" i="2"/>
  <c r="F871" i="2"/>
  <c r="K871" i="2" s="1"/>
  <c r="G876" i="2"/>
  <c r="K882" i="2"/>
  <c r="J882" i="2"/>
  <c r="H882" i="2" s="1"/>
  <c r="F802" i="2"/>
  <c r="I802" i="2" s="1"/>
  <c r="I804" i="2"/>
  <c r="I810" i="2"/>
  <c r="K813" i="2"/>
  <c r="J815" i="2"/>
  <c r="H815" i="2" s="1"/>
  <c r="J822" i="2"/>
  <c r="H822" i="2" s="1"/>
  <c r="I826" i="2"/>
  <c r="I829" i="2"/>
  <c r="K839" i="2"/>
  <c r="J839" i="2"/>
  <c r="H839" i="2" s="1"/>
  <c r="F839" i="2"/>
  <c r="I839" i="2" s="1"/>
  <c r="K848" i="2"/>
  <c r="I848" i="2"/>
  <c r="J857" i="2"/>
  <c r="H857" i="2" s="1"/>
  <c r="I857" i="2"/>
  <c r="F857" i="2"/>
  <c r="K857" i="2" s="1"/>
  <c r="I861" i="2"/>
  <c r="G871" i="2"/>
  <c r="G959" i="2"/>
  <c r="F959" i="2"/>
  <c r="I959" i="2" s="1"/>
  <c r="I991" i="2"/>
  <c r="G991" i="2"/>
  <c r="F991" i="2"/>
  <c r="K991" i="2"/>
  <c r="J991" i="2"/>
  <c r="H991" i="2" s="1"/>
  <c r="K874" i="2"/>
  <c r="J888" i="2"/>
  <c r="H888" i="2" s="1"/>
  <c r="G888" i="2"/>
  <c r="K899" i="2"/>
  <c r="G899" i="2"/>
  <c r="J909" i="2"/>
  <c r="H909" i="2" s="1"/>
  <c r="I909" i="2"/>
  <c r="G911" i="2"/>
  <c r="K911" i="2"/>
  <c r="J914" i="2"/>
  <c r="H914" i="2" s="1"/>
  <c r="G914" i="2"/>
  <c r="F914" i="2"/>
  <c r="K914" i="2" s="1"/>
  <c r="I916" i="2"/>
  <c r="G926" i="2"/>
  <c r="F926" i="2"/>
  <c r="K926" i="2" s="1"/>
  <c r="J926" i="2"/>
  <c r="H926" i="2" s="1"/>
  <c r="K930" i="2"/>
  <c r="G930" i="2"/>
  <c r="F930" i="2"/>
  <c r="J930" i="2" s="1"/>
  <c r="H930" i="2" s="1"/>
  <c r="I942" i="2"/>
  <c r="F953" i="2"/>
  <c r="K953" i="2" s="1"/>
  <c r="I955" i="2"/>
  <c r="G955" i="2"/>
  <c r="J967" i="2"/>
  <c r="H967" i="2" s="1"/>
  <c r="I967" i="2"/>
  <c r="G967" i="2"/>
  <c r="K975" i="2"/>
  <c r="J975" i="2"/>
  <c r="H975" i="2" s="1"/>
  <c r="I975" i="2"/>
  <c r="G975" i="2"/>
  <c r="K1004" i="2"/>
  <c r="G1004" i="2"/>
  <c r="F1004" i="2"/>
  <c r="J1004" i="2" s="1"/>
  <c r="H1004" i="2" s="1"/>
  <c r="K1078" i="2"/>
  <c r="I1078" i="2"/>
  <c r="G1078" i="2"/>
  <c r="F1078" i="2"/>
  <c r="J1078" i="2" s="1"/>
  <c r="H1078" i="2" s="1"/>
  <c r="J805" i="2"/>
  <c r="H805" i="2" s="1"/>
  <c r="K832" i="2"/>
  <c r="K842" i="2"/>
  <c r="G846" i="2"/>
  <c r="J849" i="2"/>
  <c r="H849" i="2" s="1"/>
  <c r="K852" i="2"/>
  <c r="G856" i="2"/>
  <c r="J861" i="2"/>
  <c r="H861" i="2" s="1"/>
  <c r="G866" i="2"/>
  <c r="F884" i="2"/>
  <c r="K884" i="2" s="1"/>
  <c r="I890" i="2"/>
  <c r="I899" i="2"/>
  <c r="J901" i="2"/>
  <c r="H901" i="2" s="1"/>
  <c r="I901" i="2"/>
  <c r="G903" i="2"/>
  <c r="K903" i="2"/>
  <c r="I904" i="2"/>
  <c r="G906" i="2"/>
  <c r="F906" i="2"/>
  <c r="I906" i="2" s="1"/>
  <c r="I908" i="2"/>
  <c r="I914" i="2"/>
  <c r="G916" i="2"/>
  <c r="F918" i="2"/>
  <c r="I918" i="2" s="1"/>
  <c r="K923" i="2"/>
  <c r="G923" i="2"/>
  <c r="I926" i="2"/>
  <c r="J928" i="2"/>
  <c r="H928" i="2" s="1"/>
  <c r="I948" i="2"/>
  <c r="G948" i="2"/>
  <c r="K950" i="2"/>
  <c r="G950" i="2"/>
  <c r="J953" i="2"/>
  <c r="H953" i="2" s="1"/>
  <c r="J955" i="2"/>
  <c r="H955" i="2" s="1"/>
  <c r="K967" i="2"/>
  <c r="K972" i="2"/>
  <c r="J972" i="2"/>
  <c r="H972" i="2" s="1"/>
  <c r="K976" i="2"/>
  <c r="I976" i="2"/>
  <c r="G976" i="2"/>
  <c r="I987" i="2"/>
  <c r="J992" i="2"/>
  <c r="H992" i="2" s="1"/>
  <c r="I992" i="2"/>
  <c r="G992" i="2"/>
  <c r="K992" i="2"/>
  <c r="K1005" i="2"/>
  <c r="I1005" i="2"/>
  <c r="I887" i="2"/>
  <c r="F887" i="2"/>
  <c r="K887" i="2" s="1"/>
  <c r="J904" i="2"/>
  <c r="H904" i="2" s="1"/>
  <c r="K909" i="2"/>
  <c r="I911" i="2"/>
  <c r="G927" i="2"/>
  <c r="K931" i="2"/>
  <c r="G931" i="2"/>
  <c r="G944" i="2"/>
  <c r="G968" i="2"/>
  <c r="F968" i="2"/>
  <c r="J968" i="2" s="1"/>
  <c r="H968" i="2" s="1"/>
  <c r="K1014" i="2"/>
  <c r="G1014" i="2"/>
  <c r="F1014" i="2"/>
  <c r="J1014" i="2" s="1"/>
  <c r="H1014" i="2" s="1"/>
  <c r="K1130" i="2"/>
  <c r="I1130" i="2"/>
  <c r="G1130" i="2"/>
  <c r="F1130" i="2"/>
  <c r="J1130" i="2" s="1"/>
  <c r="H1130" i="2" s="1"/>
  <c r="I846" i="2"/>
  <c r="I856" i="2"/>
  <c r="F863" i="2"/>
  <c r="J863" i="2" s="1"/>
  <c r="H863" i="2" s="1"/>
  <c r="I866" i="2"/>
  <c r="F869" i="2"/>
  <c r="J869" i="2" s="1"/>
  <c r="H869" i="2" s="1"/>
  <c r="G874" i="2"/>
  <c r="F880" i="2"/>
  <c r="I880" i="2" s="1"/>
  <c r="G887" i="2"/>
  <c r="K888" i="2"/>
  <c r="F893" i="2"/>
  <c r="J893" i="2" s="1"/>
  <c r="H893" i="2" s="1"/>
  <c r="J898" i="2"/>
  <c r="H898" i="2" s="1"/>
  <c r="G898" i="2"/>
  <c r="F898" i="2"/>
  <c r="K898" i="2" s="1"/>
  <c r="I900" i="2"/>
  <c r="F910" i="2"/>
  <c r="I910" i="2" s="1"/>
  <c r="J911" i="2"/>
  <c r="H911" i="2" s="1"/>
  <c r="G915" i="2"/>
  <c r="K916" i="2"/>
  <c r="I923" i="2"/>
  <c r="F927" i="2"/>
  <c r="J927" i="2" s="1"/>
  <c r="H927" i="2" s="1"/>
  <c r="F931" i="2"/>
  <c r="G937" i="2"/>
  <c r="G941" i="2"/>
  <c r="F944" i="2"/>
  <c r="J944" i="2" s="1"/>
  <c r="H944" i="2" s="1"/>
  <c r="J948" i="2"/>
  <c r="H948" i="2" s="1"/>
  <c r="I950" i="2"/>
  <c r="F973" i="2"/>
  <c r="I973" i="2" s="1"/>
  <c r="K985" i="2"/>
  <c r="J985" i="2"/>
  <c r="H985" i="2" s="1"/>
  <c r="I985" i="2"/>
  <c r="G985" i="2"/>
  <c r="F985" i="2"/>
  <c r="G1097" i="2"/>
  <c r="F1097" i="2"/>
  <c r="K1097" i="2" s="1"/>
  <c r="K1106" i="2"/>
  <c r="F832" i="2"/>
  <c r="F842" i="2"/>
  <c r="J846" i="2"/>
  <c r="H846" i="2" s="1"/>
  <c r="F852" i="2"/>
  <c r="J856" i="2"/>
  <c r="H856" i="2" s="1"/>
  <c r="F862" i="2"/>
  <c r="J866" i="2"/>
  <c r="H866" i="2" s="1"/>
  <c r="G869" i="2"/>
  <c r="G880" i="2"/>
  <c r="I884" i="2"/>
  <c r="J894" i="2"/>
  <c r="H894" i="2" s="1"/>
  <c r="F900" i="2"/>
  <c r="K901" i="2"/>
  <c r="I903" i="2"/>
  <c r="G910" i="2"/>
  <c r="F915" i="2"/>
  <c r="J915" i="2" s="1"/>
  <c r="H915" i="2" s="1"/>
  <c r="I931" i="2"/>
  <c r="F937" i="2"/>
  <c r="J937" i="2" s="1"/>
  <c r="H937" i="2" s="1"/>
  <c r="I939" i="2"/>
  <c r="F941" i="2"/>
  <c r="J941" i="2" s="1"/>
  <c r="H941" i="2" s="1"/>
  <c r="G973" i="2"/>
  <c r="I986" i="2"/>
  <c r="G986" i="2"/>
  <c r="G1002" i="2"/>
  <c r="F1002" i="2"/>
  <c r="J1002" i="2" s="1"/>
  <c r="H1002" i="2" s="1"/>
  <c r="K1039" i="2"/>
  <c r="J1039" i="2"/>
  <c r="H1039" i="2" s="1"/>
  <c r="I1039" i="2"/>
  <c r="G1039" i="2"/>
  <c r="F1039" i="2"/>
  <c r="I874" i="2"/>
  <c r="F877" i="2"/>
  <c r="I882" i="2"/>
  <c r="J887" i="2"/>
  <c r="H887" i="2" s="1"/>
  <c r="F889" i="2"/>
  <c r="J890" i="2"/>
  <c r="H890" i="2" s="1"/>
  <c r="F892" i="2"/>
  <c r="K892" i="2"/>
  <c r="I898" i="2"/>
  <c r="G900" i="2"/>
  <c r="F902" i="2"/>
  <c r="I902" i="2" s="1"/>
  <c r="K902" i="2"/>
  <c r="J903" i="2"/>
  <c r="H903" i="2" s="1"/>
  <c r="K907" i="2"/>
  <c r="G907" i="2"/>
  <c r="K908" i="2"/>
  <c r="J917" i="2"/>
  <c r="H917" i="2" s="1"/>
  <c r="I917" i="2"/>
  <c r="G919" i="2"/>
  <c r="K919" i="2"/>
  <c r="J922" i="2"/>
  <c r="H922" i="2" s="1"/>
  <c r="G922" i="2"/>
  <c r="F922" i="2"/>
  <c r="I924" i="2"/>
  <c r="J931" i="2"/>
  <c r="H931" i="2" s="1"/>
  <c r="J960" i="2"/>
  <c r="H960" i="2" s="1"/>
  <c r="J964" i="2"/>
  <c r="H964" i="2" s="1"/>
  <c r="J974" i="2"/>
  <c r="H974" i="2" s="1"/>
  <c r="I974" i="2"/>
  <c r="G974" i="2"/>
  <c r="K974" i="2"/>
  <c r="F986" i="2"/>
  <c r="K986" i="2" s="1"/>
  <c r="I1094" i="2"/>
  <c r="G1094" i="2"/>
  <c r="F1094" i="2"/>
  <c r="K1094" i="2"/>
  <c r="J1094" i="2"/>
  <c r="H1094" i="2" s="1"/>
  <c r="I925" i="2"/>
  <c r="I935" i="2"/>
  <c r="I949" i="2"/>
  <c r="J954" i="2"/>
  <c r="H954" i="2" s="1"/>
  <c r="I958" i="2"/>
  <c r="J969" i="2"/>
  <c r="H969" i="2" s="1"/>
  <c r="J984" i="2"/>
  <c r="H984" i="2" s="1"/>
  <c r="G984" i="2"/>
  <c r="K996" i="2"/>
  <c r="J996" i="2"/>
  <c r="H996" i="2" s="1"/>
  <c r="I996" i="2"/>
  <c r="K1010" i="2"/>
  <c r="J1010" i="2"/>
  <c r="H1010" i="2" s="1"/>
  <c r="G1010" i="2"/>
  <c r="F1010" i="2"/>
  <c r="I1010" i="2" s="1"/>
  <c r="K1015" i="2"/>
  <c r="J1015" i="2"/>
  <c r="H1015" i="2" s="1"/>
  <c r="I1015" i="2"/>
  <c r="I1037" i="2"/>
  <c r="G1037" i="2"/>
  <c r="K1037" i="2"/>
  <c r="J1037" i="2"/>
  <c r="H1037" i="2" s="1"/>
  <c r="G1104" i="2"/>
  <c r="F1104" i="2"/>
  <c r="K1104" i="2" s="1"/>
  <c r="F895" i="2"/>
  <c r="F905" i="2"/>
  <c r="F913" i="2"/>
  <c r="I913" i="2" s="1"/>
  <c r="F921" i="2"/>
  <c r="F929" i="2"/>
  <c r="F939" i="2"/>
  <c r="F945" i="2"/>
  <c r="F951" i="2"/>
  <c r="I951" i="2" s="1"/>
  <c r="F956" i="2"/>
  <c r="K956" i="2" s="1"/>
  <c r="G961" i="2"/>
  <c r="I966" i="2"/>
  <c r="G966" i="2"/>
  <c r="F969" i="2"/>
  <c r="K969" i="2" s="1"/>
  <c r="F984" i="2"/>
  <c r="K984" i="2" s="1"/>
  <c r="F996" i="2"/>
  <c r="K1011" i="2"/>
  <c r="J1030" i="2"/>
  <c r="H1030" i="2" s="1"/>
  <c r="G1030" i="2"/>
  <c r="F1030" i="2"/>
  <c r="K1030" i="2" s="1"/>
  <c r="K1053" i="2"/>
  <c r="J1053" i="2"/>
  <c r="H1053" i="2" s="1"/>
  <c r="I1053" i="2"/>
  <c r="J1085" i="2"/>
  <c r="H1085" i="2" s="1"/>
  <c r="I1085" i="2"/>
  <c r="G1085" i="2"/>
  <c r="K1085" i="2"/>
  <c r="J949" i="2"/>
  <c r="H949" i="2" s="1"/>
  <c r="K958" i="2"/>
  <c r="J961" i="2"/>
  <c r="H961" i="2" s="1"/>
  <c r="J966" i="2"/>
  <c r="H966" i="2" s="1"/>
  <c r="G971" i="2"/>
  <c r="F971" i="2"/>
  <c r="J997" i="2"/>
  <c r="H997" i="2" s="1"/>
  <c r="K1069" i="2"/>
  <c r="J1069" i="2"/>
  <c r="H1069" i="2" s="1"/>
  <c r="I1069" i="2"/>
  <c r="G1069" i="2"/>
  <c r="K1124" i="2"/>
  <c r="I983" i="2"/>
  <c r="G983" i="2"/>
  <c r="F983" i="2"/>
  <c r="K993" i="2"/>
  <c r="J993" i="2"/>
  <c r="H993" i="2" s="1"/>
  <c r="I993" i="2"/>
  <c r="K1003" i="2"/>
  <c r="J1003" i="2"/>
  <c r="H1003" i="2" s="1"/>
  <c r="I1003" i="2"/>
  <c r="G1003" i="2"/>
  <c r="I1021" i="2"/>
  <c r="G1021" i="2"/>
  <c r="K1021" i="2"/>
  <c r="J1021" i="2"/>
  <c r="H1021" i="2" s="1"/>
  <c r="K1024" i="2"/>
  <c r="K1047" i="2"/>
  <c r="K1100" i="2"/>
  <c r="J1100" i="2"/>
  <c r="H1100" i="2" s="1"/>
  <c r="I1100" i="2"/>
  <c r="K1126" i="2"/>
  <c r="J1126" i="2"/>
  <c r="H1126" i="2" s="1"/>
  <c r="I1126" i="2"/>
  <c r="I1016" i="2"/>
  <c r="K1023" i="2"/>
  <c r="I1023" i="2"/>
  <c r="J1028" i="2"/>
  <c r="H1028" i="2" s="1"/>
  <c r="I1034" i="2"/>
  <c r="I1044" i="2"/>
  <c r="J1054" i="2"/>
  <c r="H1054" i="2" s="1"/>
  <c r="G1056" i="2"/>
  <c r="F1056" i="2"/>
  <c r="K1058" i="2"/>
  <c r="J1058" i="2"/>
  <c r="H1058" i="2" s="1"/>
  <c r="I1058" i="2"/>
  <c r="J1067" i="2"/>
  <c r="H1067" i="2" s="1"/>
  <c r="I1067" i="2"/>
  <c r="G1067" i="2"/>
  <c r="I1074" i="2"/>
  <c r="G1076" i="2"/>
  <c r="F1076" i="2"/>
  <c r="K1090" i="2"/>
  <c r="J1118" i="2"/>
  <c r="H1118" i="2" s="1"/>
  <c r="K1131" i="2"/>
  <c r="F1001" i="2"/>
  <c r="I1001" i="2" s="1"/>
  <c r="F1009" i="2"/>
  <c r="I1009" i="2" s="1"/>
  <c r="J1011" i="2"/>
  <c r="H1011" i="2" s="1"/>
  <c r="K1013" i="2"/>
  <c r="J1016" i="2"/>
  <c r="H1016" i="2" s="1"/>
  <c r="F1023" i="2"/>
  <c r="I1024" i="2"/>
  <c r="K1028" i="2"/>
  <c r="J1032" i="2"/>
  <c r="H1032" i="2" s="1"/>
  <c r="J1034" i="2"/>
  <c r="H1034" i="2" s="1"/>
  <c r="J1044" i="2"/>
  <c r="H1044" i="2" s="1"/>
  <c r="G1046" i="2"/>
  <c r="F1046" i="2"/>
  <c r="J1048" i="2"/>
  <c r="H1048" i="2" s="1"/>
  <c r="I1048" i="2"/>
  <c r="K1050" i="2"/>
  <c r="J1050" i="2"/>
  <c r="H1050" i="2" s="1"/>
  <c r="J1074" i="2"/>
  <c r="H1074" i="2" s="1"/>
  <c r="K1079" i="2"/>
  <c r="J1079" i="2"/>
  <c r="H1079" i="2" s="1"/>
  <c r="I1079" i="2"/>
  <c r="K1086" i="2"/>
  <c r="J1086" i="2"/>
  <c r="H1086" i="2" s="1"/>
  <c r="I1086" i="2"/>
  <c r="J1095" i="2"/>
  <c r="H1095" i="2" s="1"/>
  <c r="I1095" i="2"/>
  <c r="G1095" i="2"/>
  <c r="I1102" i="2"/>
  <c r="G1102" i="2"/>
  <c r="F1102" i="2"/>
  <c r="J1102" i="2" s="1"/>
  <c r="H1102" i="2" s="1"/>
  <c r="K1116" i="2"/>
  <c r="J1121" i="2"/>
  <c r="H1121" i="2" s="1"/>
  <c r="G1001" i="2"/>
  <c r="G1009" i="2"/>
  <c r="K1016" i="2"/>
  <c r="G1023" i="2"/>
  <c r="I1027" i="2"/>
  <c r="I1029" i="2"/>
  <c r="G1029" i="2"/>
  <c r="K1034" i="2"/>
  <c r="J1038" i="2"/>
  <c r="H1038" i="2" s="1"/>
  <c r="I1038" i="2"/>
  <c r="K1105" i="2"/>
  <c r="J1105" i="2"/>
  <c r="H1105" i="2" s="1"/>
  <c r="J1114" i="2"/>
  <c r="H1114" i="2" s="1"/>
  <c r="F989" i="2"/>
  <c r="F999" i="2"/>
  <c r="F1007" i="2"/>
  <c r="J1012" i="2"/>
  <c r="H1012" i="2" s="1"/>
  <c r="G1013" i="2"/>
  <c r="I1018" i="2"/>
  <c r="J1022" i="2"/>
  <c r="H1022" i="2" s="1"/>
  <c r="J1027" i="2"/>
  <c r="H1027" i="2" s="1"/>
  <c r="F1029" i="2"/>
  <c r="G1032" i="2"/>
  <c r="I1033" i="2"/>
  <c r="I1036" i="2"/>
  <c r="F1038" i="2"/>
  <c r="K1038" i="2" s="1"/>
  <c r="F1042" i="2"/>
  <c r="I1042" i="2" s="1"/>
  <c r="I1043" i="2"/>
  <c r="G1048" i="2"/>
  <c r="G1050" i="2"/>
  <c r="K1056" i="2"/>
  <c r="K1059" i="2"/>
  <c r="J1059" i="2"/>
  <c r="H1059" i="2" s="1"/>
  <c r="I1059" i="2"/>
  <c r="K1068" i="2"/>
  <c r="J1068" i="2"/>
  <c r="H1068" i="2" s="1"/>
  <c r="I1068" i="2"/>
  <c r="J1077" i="2"/>
  <c r="H1077" i="2" s="1"/>
  <c r="I1077" i="2"/>
  <c r="G1077" i="2"/>
  <c r="G1079" i="2"/>
  <c r="I1084" i="2"/>
  <c r="G1084" i="2"/>
  <c r="F1084" i="2"/>
  <c r="G1086" i="2"/>
  <c r="K1095" i="2"/>
  <c r="K1098" i="2"/>
  <c r="K1102" i="2"/>
  <c r="F1105" i="2"/>
  <c r="I1105" i="2" s="1"/>
  <c r="F1114" i="2"/>
  <c r="I1114" i="2" s="1"/>
  <c r="K1122" i="2"/>
  <c r="G1122" i="2"/>
  <c r="F1122" i="2"/>
  <c r="J1122" i="2" s="1"/>
  <c r="H1122" i="2" s="1"/>
  <c r="J1023" i="2"/>
  <c r="H1023" i="2" s="1"/>
  <c r="I1026" i="2"/>
  <c r="K1031" i="2"/>
  <c r="I1031" i="2"/>
  <c r="J1033" i="2"/>
  <c r="H1033" i="2" s="1"/>
  <c r="G1038" i="2"/>
  <c r="G1042" i="2"/>
  <c r="I1057" i="2"/>
  <c r="G1057" i="2"/>
  <c r="K1089" i="2"/>
  <c r="J1089" i="2"/>
  <c r="H1089" i="2" s="1"/>
  <c r="I1089" i="2"/>
  <c r="K1096" i="2"/>
  <c r="J1096" i="2"/>
  <c r="H1096" i="2" s="1"/>
  <c r="I1096" i="2"/>
  <c r="J1103" i="2"/>
  <c r="H1103" i="2" s="1"/>
  <c r="I1103" i="2"/>
  <c r="G1103" i="2"/>
  <c r="G1105" i="2"/>
  <c r="I1112" i="2"/>
  <c r="G1112" i="2"/>
  <c r="F1112" i="2"/>
  <c r="G1114" i="2"/>
  <c r="K1123" i="2"/>
  <c r="J1123" i="2"/>
  <c r="H1123" i="2" s="1"/>
  <c r="I1123" i="2"/>
  <c r="G1123" i="2"/>
  <c r="I1011" i="2"/>
  <c r="J1024" i="2"/>
  <c r="H1024" i="2" s="1"/>
  <c r="I1047" i="2"/>
  <c r="G1047" i="2"/>
  <c r="K1049" i="2"/>
  <c r="J1049" i="2"/>
  <c r="H1049" i="2" s="1"/>
  <c r="I1049" i="2"/>
  <c r="G1066" i="2"/>
  <c r="F1066" i="2"/>
  <c r="K1080" i="2"/>
  <c r="K1115" i="2"/>
  <c r="J1115" i="2"/>
  <c r="H1115" i="2" s="1"/>
  <c r="I1115" i="2"/>
  <c r="K1133" i="2"/>
  <c r="J1133" i="2"/>
  <c r="H1133" i="2" s="1"/>
  <c r="I1133" i="2"/>
  <c r="G1131" i="2"/>
  <c r="F1121" i="2"/>
  <c r="K1121" i="2" s="1"/>
  <c r="F1129" i="2"/>
  <c r="K1129" i="2" s="1"/>
  <c r="J1060" i="2"/>
  <c r="H1060" i="2" s="1"/>
  <c r="J1072" i="2"/>
  <c r="H1072" i="2" s="1"/>
  <c r="J1080" i="2"/>
  <c r="H1080" i="2" s="1"/>
  <c r="J1090" i="2"/>
  <c r="H1090" i="2" s="1"/>
  <c r="J1098" i="2"/>
  <c r="H1098" i="2" s="1"/>
  <c r="J1106" i="2"/>
  <c r="H1106" i="2" s="1"/>
  <c r="J1116" i="2"/>
  <c r="H1116" i="2" s="1"/>
  <c r="F1120" i="2"/>
  <c r="I1120" i="2" s="1"/>
  <c r="G1121" i="2"/>
  <c r="J1124" i="2"/>
  <c r="H1124" i="2" s="1"/>
  <c r="F1128" i="2"/>
  <c r="G1129" i="2"/>
  <c r="I1131" i="2"/>
  <c r="J1132" i="2"/>
  <c r="H1132" i="2" s="1"/>
  <c r="F1138" i="2"/>
  <c r="G1120" i="2"/>
  <c r="F1127" i="2"/>
  <c r="G1128" i="2"/>
  <c r="J1131" i="2"/>
  <c r="H1131" i="2" s="1"/>
  <c r="F1135" i="2"/>
  <c r="G1138" i="2"/>
  <c r="I1129" i="2"/>
  <c r="F1134" i="2"/>
  <c r="K895" i="2" l="1"/>
  <c r="J895" i="2"/>
  <c r="H895" i="2" s="1"/>
  <c r="K686" i="2"/>
  <c r="J686" i="2"/>
  <c r="H686" i="2" s="1"/>
  <c r="I510" i="2"/>
  <c r="K231" i="2"/>
  <c r="J231" i="2"/>
  <c r="H231" i="2" s="1"/>
  <c r="J355" i="2"/>
  <c r="H355" i="2" s="1"/>
  <c r="I355" i="2"/>
  <c r="K927" i="2"/>
  <c r="I876" i="2"/>
  <c r="I745" i="2"/>
  <c r="I613" i="2"/>
  <c r="I686" i="2"/>
  <c r="J45" i="2"/>
  <c r="H45" i="2" s="1"/>
  <c r="I1127" i="2"/>
  <c r="K1127" i="2"/>
  <c r="J1127" i="2"/>
  <c r="H1127" i="2" s="1"/>
  <c r="J956" i="2"/>
  <c r="H956" i="2" s="1"/>
  <c r="K945" i="2"/>
  <c r="I945" i="2"/>
  <c r="I915" i="2"/>
  <c r="J884" i="2"/>
  <c r="H884" i="2" s="1"/>
  <c r="J986" i="2"/>
  <c r="H986" i="2" s="1"/>
  <c r="K900" i="2"/>
  <c r="J900" i="2"/>
  <c r="H900" i="2" s="1"/>
  <c r="I862" i="2"/>
  <c r="J862" i="2"/>
  <c r="H862" i="2" s="1"/>
  <c r="I869" i="2"/>
  <c r="I953" i="2"/>
  <c r="J959" i="2"/>
  <c r="H959" i="2" s="1"/>
  <c r="J803" i="2"/>
  <c r="H803" i="2" s="1"/>
  <c r="I756" i="2"/>
  <c r="J876" i="2"/>
  <c r="H876" i="2" s="1"/>
  <c r="I845" i="2"/>
  <c r="J875" i="2"/>
  <c r="H875" i="2" s="1"/>
  <c r="K869" i="2"/>
  <c r="I865" i="2"/>
  <c r="I801" i="2"/>
  <c r="J936" i="2"/>
  <c r="H936" i="2" s="1"/>
  <c r="J712" i="2"/>
  <c r="H712" i="2" s="1"/>
  <c r="K632" i="2"/>
  <c r="J632" i="2"/>
  <c r="H632" i="2" s="1"/>
  <c r="K566" i="2"/>
  <c r="J566" i="2"/>
  <c r="H566" i="2" s="1"/>
  <c r="J855" i="2"/>
  <c r="H855" i="2" s="1"/>
  <c r="I705" i="2"/>
  <c r="K705" i="2"/>
  <c r="I687" i="2"/>
  <c r="K687" i="2"/>
  <c r="I669" i="2"/>
  <c r="K669" i="2"/>
  <c r="I651" i="2"/>
  <c r="K651" i="2"/>
  <c r="I633" i="2"/>
  <c r="K633" i="2"/>
  <c r="I885" i="2"/>
  <c r="J835" i="2"/>
  <c r="H835" i="2" s="1"/>
  <c r="J604" i="2"/>
  <c r="H604" i="2" s="1"/>
  <c r="I604" i="2"/>
  <c r="K553" i="2"/>
  <c r="J553" i="2"/>
  <c r="H553" i="2" s="1"/>
  <c r="J613" i="2"/>
  <c r="H613" i="2" s="1"/>
  <c r="J517" i="2"/>
  <c r="H517" i="2" s="1"/>
  <c r="K505" i="2"/>
  <c r="J505" i="2"/>
  <c r="H505" i="2" s="1"/>
  <c r="I505" i="2"/>
  <c r="J471" i="2"/>
  <c r="H471" i="2" s="1"/>
  <c r="I471" i="2"/>
  <c r="K471" i="2"/>
  <c r="J498" i="2"/>
  <c r="H498" i="2" s="1"/>
  <c r="I498" i="2"/>
  <c r="J740" i="2"/>
  <c r="H740" i="2" s="1"/>
  <c r="I561" i="2"/>
  <c r="J537" i="2"/>
  <c r="H537" i="2" s="1"/>
  <c r="J652" i="2"/>
  <c r="H652" i="2" s="1"/>
  <c r="J523" i="2"/>
  <c r="H523" i="2" s="1"/>
  <c r="J609" i="2"/>
  <c r="H609" i="2" s="1"/>
  <c r="J619" i="2"/>
  <c r="H619" i="2" s="1"/>
  <c r="J424" i="2"/>
  <c r="H424" i="2" s="1"/>
  <c r="I424" i="2"/>
  <c r="I572" i="2"/>
  <c r="K510" i="2"/>
  <c r="K420" i="2"/>
  <c r="K415" i="2"/>
  <c r="J415" i="2"/>
  <c r="H415" i="2" s="1"/>
  <c r="J651" i="2"/>
  <c r="H651" i="2" s="1"/>
  <c r="K460" i="2"/>
  <c r="J515" i="2"/>
  <c r="H515" i="2" s="1"/>
  <c r="I464" i="2"/>
  <c r="I706" i="2"/>
  <c r="K321" i="2"/>
  <c r="I259" i="2"/>
  <c r="I389" i="2"/>
  <c r="I413" i="2"/>
  <c r="J301" i="2"/>
  <c r="H301" i="2" s="1"/>
  <c r="I243" i="2"/>
  <c r="J243" i="2"/>
  <c r="H243" i="2" s="1"/>
  <c r="J195" i="2"/>
  <c r="H195" i="2" s="1"/>
  <c r="I195" i="2"/>
  <c r="I125" i="2"/>
  <c r="J125" i="2"/>
  <c r="H125" i="2" s="1"/>
  <c r="J233" i="2"/>
  <c r="H233" i="2" s="1"/>
  <c r="J278" i="2"/>
  <c r="H278" i="2" s="1"/>
  <c r="K28" i="2"/>
  <c r="I28" i="2"/>
  <c r="I239" i="2"/>
  <c r="K359" i="2"/>
  <c r="I164" i="2"/>
  <c r="I689" i="2"/>
  <c r="I122" i="2"/>
  <c r="I84" i="2"/>
  <c r="I43" i="2"/>
  <c r="I130" i="2"/>
  <c r="K35" i="2"/>
  <c r="I143" i="2"/>
  <c r="J143" i="2"/>
  <c r="H143" i="2" s="1"/>
  <c r="I766" i="2"/>
  <c r="K576" i="2"/>
  <c r="J576" i="2"/>
  <c r="H576" i="2" s="1"/>
  <c r="K262" i="2"/>
  <c r="J262" i="2"/>
  <c r="H262" i="2" s="1"/>
  <c r="J99" i="2"/>
  <c r="H99" i="2" s="1"/>
  <c r="I99" i="2"/>
  <c r="J3" i="2"/>
  <c r="H3" i="2" s="1"/>
  <c r="I3" i="2"/>
  <c r="K3" i="2"/>
  <c r="K164" i="2"/>
  <c r="K1134" i="2"/>
  <c r="J1134" i="2"/>
  <c r="H1134" i="2" s="1"/>
  <c r="I1134" i="2"/>
  <c r="K1120" i="2"/>
  <c r="J1120" i="2"/>
  <c r="H1120" i="2" s="1"/>
  <c r="J983" i="2"/>
  <c r="H983" i="2" s="1"/>
  <c r="K983" i="2"/>
  <c r="J939" i="2"/>
  <c r="H939" i="2" s="1"/>
  <c r="K939" i="2"/>
  <c r="I1104" i="2"/>
  <c r="I956" i="2"/>
  <c r="I922" i="2"/>
  <c r="K922" i="2"/>
  <c r="K1002" i="2"/>
  <c r="I927" i="2"/>
  <c r="I1097" i="2"/>
  <c r="J973" i="2"/>
  <c r="H973" i="2" s="1"/>
  <c r="K941" i="2"/>
  <c r="I968" i="2"/>
  <c r="J918" i="2"/>
  <c r="H918" i="2" s="1"/>
  <c r="J906" i="2"/>
  <c r="H906" i="2" s="1"/>
  <c r="K959" i="2"/>
  <c r="K827" i="2"/>
  <c r="J945" i="2"/>
  <c r="H945" i="2" s="1"/>
  <c r="J845" i="2"/>
  <c r="H845" i="2" s="1"/>
  <c r="K875" i="2"/>
  <c r="J865" i="2"/>
  <c r="H865" i="2" s="1"/>
  <c r="J818" i="2"/>
  <c r="H818" i="2" s="1"/>
  <c r="J801" i="2"/>
  <c r="H801" i="2" s="1"/>
  <c r="J730" i="2"/>
  <c r="H730" i="2" s="1"/>
  <c r="J756" i="2"/>
  <c r="H756" i="2" s="1"/>
  <c r="K715" i="2"/>
  <c r="J715" i="2"/>
  <c r="H715" i="2" s="1"/>
  <c r="K676" i="2"/>
  <c r="J676" i="2"/>
  <c r="H676" i="2" s="1"/>
  <c r="K558" i="2"/>
  <c r="J558" i="2"/>
  <c r="H558" i="2" s="1"/>
  <c r="K809" i="2"/>
  <c r="J885" i="2"/>
  <c r="H885" i="2" s="1"/>
  <c r="J799" i="2"/>
  <c r="H799" i="2" s="1"/>
  <c r="J789" i="2"/>
  <c r="H789" i="2" s="1"/>
  <c r="J781" i="2"/>
  <c r="H781" i="2" s="1"/>
  <c r="J773" i="2"/>
  <c r="H773" i="2" s="1"/>
  <c r="J763" i="2"/>
  <c r="H763" i="2" s="1"/>
  <c r="I740" i="2"/>
  <c r="I688" i="2"/>
  <c r="I571" i="2"/>
  <c r="J546" i="2"/>
  <c r="H546" i="2" s="1"/>
  <c r="I546" i="2"/>
  <c r="K517" i="2"/>
  <c r="I566" i="2"/>
  <c r="K592" i="2"/>
  <c r="I739" i="2"/>
  <c r="I617" i="2"/>
  <c r="I644" i="2"/>
  <c r="K609" i="2"/>
  <c r="K498" i="2"/>
  <c r="I501" i="2"/>
  <c r="J572" i="2"/>
  <c r="H572" i="2" s="1"/>
  <c r="I616" i="2"/>
  <c r="J706" i="2"/>
  <c r="H706" i="2" s="1"/>
  <c r="I493" i="2"/>
  <c r="J389" i="2"/>
  <c r="H389" i="2" s="1"/>
  <c r="J314" i="2"/>
  <c r="H314" i="2" s="1"/>
  <c r="K255" i="2"/>
  <c r="I255" i="2"/>
  <c r="J413" i="2"/>
  <c r="H413" i="2" s="1"/>
  <c r="I277" i="2"/>
  <c r="J277" i="2"/>
  <c r="H277" i="2" s="1"/>
  <c r="J220" i="2"/>
  <c r="H220" i="2" s="1"/>
  <c r="I220" i="2"/>
  <c r="J187" i="2"/>
  <c r="H187" i="2" s="1"/>
  <c r="I187" i="2"/>
  <c r="J117" i="2"/>
  <c r="H117" i="2" s="1"/>
  <c r="I117" i="2"/>
  <c r="I314" i="2"/>
  <c r="J289" i="2"/>
  <c r="H289" i="2" s="1"/>
  <c r="J269" i="2"/>
  <c r="H269" i="2" s="1"/>
  <c r="I174" i="2"/>
  <c r="K278" i="2"/>
  <c r="K44" i="2"/>
  <c r="I102" i="2"/>
  <c r="J81" i="2"/>
  <c r="H81" i="2" s="1"/>
  <c r="I81" i="2"/>
  <c r="I44" i="2"/>
  <c r="I288" i="2"/>
  <c r="K239" i="2"/>
  <c r="J91" i="2"/>
  <c r="H91" i="2" s="1"/>
  <c r="I91" i="2"/>
  <c r="I53" i="2"/>
  <c r="J689" i="2"/>
  <c r="H689" i="2" s="1"/>
  <c r="J122" i="2"/>
  <c r="H122" i="2" s="1"/>
  <c r="J84" i="2"/>
  <c r="H84" i="2" s="1"/>
  <c r="J41" i="2"/>
  <c r="H41" i="2" s="1"/>
  <c r="J20" i="2"/>
  <c r="H20" i="2" s="1"/>
  <c r="J130" i="2"/>
  <c r="H130" i="2" s="1"/>
  <c r="J1001" i="2"/>
  <c r="H1001" i="2" s="1"/>
  <c r="K1001" i="2"/>
  <c r="I889" i="2"/>
  <c r="J889" i="2"/>
  <c r="H889" i="2" s="1"/>
  <c r="K587" i="2"/>
  <c r="J587" i="2"/>
  <c r="H587" i="2" s="1"/>
  <c r="K511" i="2"/>
  <c r="J511" i="2"/>
  <c r="H511" i="2" s="1"/>
  <c r="I511" i="2"/>
  <c r="I303" i="2"/>
  <c r="J303" i="2"/>
  <c r="H303" i="2" s="1"/>
  <c r="K200" i="2"/>
  <c r="J200" i="2"/>
  <c r="H200" i="2" s="1"/>
  <c r="I33" i="2"/>
  <c r="J33" i="2"/>
  <c r="H33" i="2" s="1"/>
  <c r="K33" i="2"/>
  <c r="I63" i="2"/>
  <c r="J63" i="2"/>
  <c r="H63" i="2" s="1"/>
  <c r="K1007" i="2"/>
  <c r="J1007" i="2"/>
  <c r="H1007" i="2" s="1"/>
  <c r="I1007" i="2"/>
  <c r="K1046" i="2"/>
  <c r="I1046" i="2"/>
  <c r="K1076" i="2"/>
  <c r="J1076" i="2"/>
  <c r="H1076" i="2" s="1"/>
  <c r="K971" i="2"/>
  <c r="J971" i="2"/>
  <c r="H971" i="2" s="1"/>
  <c r="I971" i="2"/>
  <c r="J1129" i="2"/>
  <c r="H1129" i="2" s="1"/>
  <c r="J929" i="2"/>
  <c r="H929" i="2" s="1"/>
  <c r="K929" i="2"/>
  <c r="J1104" i="2"/>
  <c r="H1104" i="2" s="1"/>
  <c r="I893" i="2"/>
  <c r="K877" i="2"/>
  <c r="J877" i="2"/>
  <c r="H877" i="2" s="1"/>
  <c r="K889" i="2"/>
  <c r="I852" i="2"/>
  <c r="J852" i="2"/>
  <c r="H852" i="2" s="1"/>
  <c r="J1097" i="2"/>
  <c r="H1097" i="2" s="1"/>
  <c r="K973" i="2"/>
  <c r="K937" i="2"/>
  <c r="K915" i="2"/>
  <c r="K863" i="2"/>
  <c r="I863" i="2"/>
  <c r="K968" i="2"/>
  <c r="K918" i="2"/>
  <c r="K818" i="2"/>
  <c r="I940" i="2"/>
  <c r="I799" i="2"/>
  <c r="I781" i="2"/>
  <c r="I763" i="2"/>
  <c r="J650" i="2"/>
  <c r="H650" i="2" s="1"/>
  <c r="K650" i="2"/>
  <c r="K622" i="2"/>
  <c r="J622" i="2"/>
  <c r="H622" i="2" s="1"/>
  <c r="K549" i="2"/>
  <c r="J549" i="2"/>
  <c r="H549" i="2" s="1"/>
  <c r="J688" i="2"/>
  <c r="H688" i="2" s="1"/>
  <c r="J514" i="2"/>
  <c r="H514" i="2" s="1"/>
  <c r="I514" i="2"/>
  <c r="K585" i="2"/>
  <c r="I585" i="2"/>
  <c r="K497" i="2"/>
  <c r="J497" i="2"/>
  <c r="H497" i="2" s="1"/>
  <c r="I497" i="2"/>
  <c r="J463" i="2"/>
  <c r="H463" i="2" s="1"/>
  <c r="I463" i="2"/>
  <c r="K463" i="2"/>
  <c r="I650" i="2"/>
  <c r="J490" i="2"/>
  <c r="H490" i="2" s="1"/>
  <c r="I490" i="2"/>
  <c r="J739" i="2"/>
  <c r="H739" i="2" s="1"/>
  <c r="J644" i="2"/>
  <c r="H644" i="2" s="1"/>
  <c r="K490" i="2"/>
  <c r="J501" i="2"/>
  <c r="H501" i="2" s="1"/>
  <c r="J456" i="2"/>
  <c r="H456" i="2" s="1"/>
  <c r="I418" i="2"/>
  <c r="J474" i="2"/>
  <c r="H474" i="2" s="1"/>
  <c r="K409" i="2"/>
  <c r="K393" i="2"/>
  <c r="J493" i="2"/>
  <c r="H493" i="2" s="1"/>
  <c r="J457" i="2"/>
  <c r="H457" i="2" s="1"/>
  <c r="J251" i="2"/>
  <c r="H251" i="2" s="1"/>
  <c r="I262" i="2"/>
  <c r="I238" i="2"/>
  <c r="I216" i="2"/>
  <c r="K216" i="2"/>
  <c r="J216" i="2"/>
  <c r="H216" i="2" s="1"/>
  <c r="I179" i="2"/>
  <c r="J179" i="2"/>
  <c r="H179" i="2" s="1"/>
  <c r="I228" i="2"/>
  <c r="J228" i="2"/>
  <c r="H228" i="2" s="1"/>
  <c r="J174" i="2"/>
  <c r="H174" i="2" s="1"/>
  <c r="J321" i="2"/>
  <c r="H321" i="2" s="1"/>
  <c r="J85" i="2"/>
  <c r="H85" i="2" s="1"/>
  <c r="J102" i="2"/>
  <c r="H102" i="2" s="1"/>
  <c r="I333" i="2"/>
  <c r="I204" i="2"/>
  <c r="I36" i="2"/>
  <c r="K94" i="2"/>
  <c r="J1128" i="2"/>
  <c r="H1128" i="2" s="1"/>
  <c r="K1128" i="2"/>
  <c r="I1128" i="2"/>
  <c r="J825" i="2"/>
  <c r="H825" i="2" s="1"/>
  <c r="I825" i="2"/>
  <c r="K584" i="2"/>
  <c r="J584" i="2"/>
  <c r="H584" i="2" s="1"/>
  <c r="I431" i="2"/>
  <c r="K431" i="2"/>
  <c r="J431" i="2"/>
  <c r="H431" i="2" s="1"/>
  <c r="K491" i="2"/>
  <c r="J491" i="2"/>
  <c r="H491" i="2" s="1"/>
  <c r="I200" i="2"/>
  <c r="J824" i="2"/>
  <c r="H824" i="2" s="1"/>
  <c r="I824" i="2"/>
  <c r="J660" i="2"/>
  <c r="H660" i="2" s="1"/>
  <c r="K660" i="2"/>
  <c r="K448" i="2"/>
  <c r="J448" i="2"/>
  <c r="H448" i="2" s="1"/>
  <c r="K443" i="2"/>
  <c r="K267" i="2"/>
  <c r="J267" i="2"/>
  <c r="H267" i="2" s="1"/>
  <c r="I49" i="2"/>
  <c r="J49" i="2"/>
  <c r="H49" i="2" s="1"/>
  <c r="I1121" i="2"/>
  <c r="K999" i="2"/>
  <c r="I999" i="2"/>
  <c r="J999" i="2"/>
  <c r="H999" i="2" s="1"/>
  <c r="K696" i="2"/>
  <c r="J696" i="2"/>
  <c r="H696" i="2" s="1"/>
  <c r="K612" i="2"/>
  <c r="J612" i="2"/>
  <c r="H612" i="2" s="1"/>
  <c r="K540" i="2"/>
  <c r="J540" i="2"/>
  <c r="H540" i="2" s="1"/>
  <c r="I727" i="2"/>
  <c r="K623" i="2"/>
  <c r="I623" i="2"/>
  <c r="K551" i="2"/>
  <c r="I551" i="2"/>
  <c r="K455" i="2"/>
  <c r="J455" i="2"/>
  <c r="H455" i="2" s="1"/>
  <c r="I455" i="2"/>
  <c r="I576" i="2"/>
  <c r="I676" i="2"/>
  <c r="J452" i="2"/>
  <c r="H452" i="2" s="1"/>
  <c r="I435" i="2"/>
  <c r="J418" i="2"/>
  <c r="H418" i="2" s="1"/>
  <c r="J464" i="2"/>
  <c r="H464" i="2" s="1"/>
  <c r="K432" i="2"/>
  <c r="J432" i="2"/>
  <c r="H432" i="2" s="1"/>
  <c r="I432" i="2"/>
  <c r="I538" i="2"/>
  <c r="J311" i="2"/>
  <c r="H311" i="2" s="1"/>
  <c r="I311" i="2"/>
  <c r="I297" i="2"/>
  <c r="K297" i="2"/>
  <c r="J297" i="2"/>
  <c r="H297" i="2" s="1"/>
  <c r="K211" i="2"/>
  <c r="I211" i="2"/>
  <c r="J169" i="2"/>
  <c r="H169" i="2" s="1"/>
  <c r="I169" i="2"/>
  <c r="K143" i="2"/>
  <c r="I155" i="2"/>
  <c r="I26" i="2"/>
  <c r="I11" i="2"/>
  <c r="K11" i="2"/>
  <c r="I325" i="2"/>
  <c r="K34" i="2"/>
  <c r="J325" i="2"/>
  <c r="H325" i="2" s="1"/>
  <c r="J951" i="2"/>
  <c r="H951" i="2" s="1"/>
  <c r="K951" i="2"/>
  <c r="J880" i="2"/>
  <c r="H880" i="2" s="1"/>
  <c r="J582" i="2"/>
  <c r="H582" i="2" s="1"/>
  <c r="I582" i="2"/>
  <c r="I71" i="2"/>
  <c r="J71" i="2"/>
  <c r="H71" i="2" s="1"/>
  <c r="J1138" i="2"/>
  <c r="H1138" i="2" s="1"/>
  <c r="K1138" i="2"/>
  <c r="K1066" i="2"/>
  <c r="J1066" i="2"/>
  <c r="H1066" i="2" s="1"/>
  <c r="J1042" i="2"/>
  <c r="H1042" i="2" s="1"/>
  <c r="K921" i="2"/>
  <c r="J921" i="2"/>
  <c r="H921" i="2" s="1"/>
  <c r="K944" i="2"/>
  <c r="I944" i="2"/>
  <c r="J1112" i="2"/>
  <c r="H1112" i="2" s="1"/>
  <c r="K1112" i="2"/>
  <c r="I1122" i="2"/>
  <c r="J1029" i="2"/>
  <c r="H1029" i="2" s="1"/>
  <c r="K1029" i="2"/>
  <c r="K989" i="2"/>
  <c r="J989" i="2"/>
  <c r="H989" i="2" s="1"/>
  <c r="I989" i="2"/>
  <c r="K1042" i="2"/>
  <c r="I1076" i="2"/>
  <c r="J1056" i="2"/>
  <c r="H1056" i="2" s="1"/>
  <c r="I1056" i="2"/>
  <c r="I969" i="2"/>
  <c r="I1030" i="2"/>
  <c r="J913" i="2"/>
  <c r="H913" i="2" s="1"/>
  <c r="K913" i="2"/>
  <c r="I941" i="2"/>
  <c r="J892" i="2"/>
  <c r="H892" i="2" s="1"/>
  <c r="I892" i="2"/>
  <c r="I1002" i="2"/>
  <c r="K906" i="2"/>
  <c r="I842" i="2"/>
  <c r="J842" i="2"/>
  <c r="H842" i="2" s="1"/>
  <c r="J910" i="2"/>
  <c r="H910" i="2" s="1"/>
  <c r="I1014" i="2"/>
  <c r="I930" i="2"/>
  <c r="K862" i="2"/>
  <c r="I1004" i="2"/>
  <c r="I843" i="2"/>
  <c r="J817" i="2"/>
  <c r="H817" i="2" s="1"/>
  <c r="I792" i="2"/>
  <c r="I870" i="2"/>
  <c r="J881" i="2"/>
  <c r="H881" i="2" s="1"/>
  <c r="I827" i="2"/>
  <c r="I1113" i="2"/>
  <c r="J957" i="2"/>
  <c r="H957" i="2" s="1"/>
  <c r="I806" i="2"/>
  <c r="J806" i="2"/>
  <c r="H806" i="2" s="1"/>
  <c r="K745" i="2"/>
  <c r="J726" i="2"/>
  <c r="H726" i="2" s="1"/>
  <c r="I726" i="2"/>
  <c r="K722" i="2"/>
  <c r="K733" i="2"/>
  <c r="J733" i="2"/>
  <c r="H733" i="2" s="1"/>
  <c r="K668" i="2"/>
  <c r="J668" i="2"/>
  <c r="H668" i="2" s="1"/>
  <c r="K602" i="2"/>
  <c r="J602" i="2"/>
  <c r="H602" i="2" s="1"/>
  <c r="I697" i="2"/>
  <c r="K697" i="2"/>
  <c r="I679" i="2"/>
  <c r="K679" i="2"/>
  <c r="I661" i="2"/>
  <c r="K661" i="2"/>
  <c r="I641" i="2"/>
  <c r="K641" i="2"/>
  <c r="I814" i="2"/>
  <c r="I722" i="2"/>
  <c r="J561" i="2"/>
  <c r="H561" i="2" s="1"/>
  <c r="I680" i="2"/>
  <c r="I660" i="2"/>
  <c r="K624" i="2"/>
  <c r="J599" i="2"/>
  <c r="H599" i="2" s="1"/>
  <c r="J585" i="2"/>
  <c r="H585" i="2" s="1"/>
  <c r="K489" i="2"/>
  <c r="J489" i="2"/>
  <c r="H489" i="2" s="1"/>
  <c r="I489" i="2"/>
  <c r="K447" i="2"/>
  <c r="J447" i="2"/>
  <c r="H447" i="2" s="1"/>
  <c r="I447" i="2"/>
  <c r="I581" i="2"/>
  <c r="K533" i="2"/>
  <c r="I597" i="2"/>
  <c r="K556" i="2"/>
  <c r="J507" i="2"/>
  <c r="H507" i="2" s="1"/>
  <c r="K507" i="2"/>
  <c r="J669" i="2"/>
  <c r="H669" i="2" s="1"/>
  <c r="J645" i="2"/>
  <c r="H645" i="2" s="1"/>
  <c r="I540" i="2"/>
  <c r="I696" i="2"/>
  <c r="J581" i="2"/>
  <c r="H581" i="2" s="1"/>
  <c r="J641" i="2"/>
  <c r="H641" i="2" s="1"/>
  <c r="K433" i="2"/>
  <c r="J433" i="2"/>
  <c r="H433" i="2" s="1"/>
  <c r="I753" i="2"/>
  <c r="I549" i="2"/>
  <c r="K452" i="2"/>
  <c r="J435" i="2"/>
  <c r="H435" i="2" s="1"/>
  <c r="I509" i="2"/>
  <c r="I699" i="2"/>
  <c r="I477" i="2"/>
  <c r="J634" i="2"/>
  <c r="H634" i="2" s="1"/>
  <c r="J538" i="2"/>
  <c r="H538" i="2" s="1"/>
  <c r="J409" i="2"/>
  <c r="H409" i="2" s="1"/>
  <c r="K375" i="2"/>
  <c r="J358" i="2"/>
  <c r="H358" i="2" s="1"/>
  <c r="I332" i="2"/>
  <c r="I309" i="2"/>
  <c r="J444" i="2"/>
  <c r="H444" i="2" s="1"/>
  <c r="I351" i="2"/>
  <c r="J306" i="2"/>
  <c r="H306" i="2" s="1"/>
  <c r="K272" i="2"/>
  <c r="J159" i="2"/>
  <c r="H159" i="2" s="1"/>
  <c r="I159" i="2"/>
  <c r="K220" i="2"/>
  <c r="I397" i="2"/>
  <c r="I275" i="2"/>
  <c r="J58" i="2"/>
  <c r="H58" i="2" s="1"/>
  <c r="I120" i="2"/>
  <c r="K45" i="2"/>
  <c r="J66" i="2"/>
  <c r="H66" i="2" s="1"/>
  <c r="I37" i="2"/>
  <c r="J37" i="2"/>
  <c r="H37" i="2" s="1"/>
  <c r="K19" i="2"/>
  <c r="J19" i="2"/>
  <c r="H19" i="2" s="1"/>
  <c r="J283" i="2"/>
  <c r="H283" i="2" s="1"/>
  <c r="J155" i="2"/>
  <c r="H155" i="2" s="1"/>
  <c r="J95" i="2"/>
  <c r="H95" i="2" s="1"/>
  <c r="J26" i="2"/>
  <c r="H26" i="2" s="1"/>
  <c r="I426" i="2"/>
  <c r="K259" i="2"/>
  <c r="I146" i="2"/>
  <c r="K41" i="2"/>
  <c r="J333" i="2"/>
  <c r="H333" i="2" s="1"/>
  <c r="J138" i="2"/>
  <c r="H138" i="2" s="1"/>
  <c r="J348" i="2"/>
  <c r="H348" i="2" s="1"/>
  <c r="I273" i="2"/>
  <c r="K13" i="2"/>
  <c r="K853" i="2"/>
  <c r="I853" i="2"/>
  <c r="J766" i="2"/>
  <c r="H766" i="2" s="1"/>
  <c r="J481" i="2"/>
  <c r="H481" i="2" s="1"/>
  <c r="I481" i="2"/>
  <c r="K481" i="2"/>
  <c r="J506" i="2"/>
  <c r="H506" i="2" s="1"/>
  <c r="I506" i="2"/>
  <c r="I38" i="2"/>
  <c r="K38" i="2"/>
  <c r="K1114" i="2"/>
  <c r="I855" i="2"/>
  <c r="I835" i="2"/>
  <c r="J133" i="2"/>
  <c r="H133" i="2" s="1"/>
  <c r="I133" i="2"/>
  <c r="I1135" i="2"/>
  <c r="K1135" i="2"/>
  <c r="J1135" i="2"/>
  <c r="H1135" i="2" s="1"/>
  <c r="I1066" i="2"/>
  <c r="I1138" i="2"/>
  <c r="K1084" i="2"/>
  <c r="J1084" i="2"/>
  <c r="H1084" i="2" s="1"/>
  <c r="J1046" i="2"/>
  <c r="H1046" i="2" s="1"/>
  <c r="K1009" i="2"/>
  <c r="J1009" i="2"/>
  <c r="H1009" i="2" s="1"/>
  <c r="J905" i="2"/>
  <c r="H905" i="2" s="1"/>
  <c r="K905" i="2"/>
  <c r="I984" i="2"/>
  <c r="I937" i="2"/>
  <c r="J902" i="2"/>
  <c r="H902" i="2" s="1"/>
  <c r="I905" i="2"/>
  <c r="I877" i="2"/>
  <c r="J832" i="2"/>
  <c r="H832" i="2" s="1"/>
  <c r="I832" i="2"/>
  <c r="I929" i="2"/>
  <c r="K910" i="2"/>
  <c r="K893" i="2"/>
  <c r="K825" i="2"/>
  <c r="K880" i="2"/>
  <c r="J853" i="2"/>
  <c r="H853" i="2" s="1"/>
  <c r="K744" i="2"/>
  <c r="J744" i="2"/>
  <c r="H744" i="2" s="1"/>
  <c r="I744" i="2"/>
  <c r="J792" i="2"/>
  <c r="H792" i="2" s="1"/>
  <c r="I895" i="2"/>
  <c r="J833" i="2"/>
  <c r="H833" i="2" s="1"/>
  <c r="K640" i="2"/>
  <c r="J640" i="2"/>
  <c r="H640" i="2" s="1"/>
  <c r="K594" i="2"/>
  <c r="J594" i="2"/>
  <c r="H594" i="2" s="1"/>
  <c r="K712" i="2"/>
  <c r="I592" i="2"/>
  <c r="J534" i="2"/>
  <c r="H534" i="2" s="1"/>
  <c r="I534" i="2"/>
  <c r="I622" i="2"/>
  <c r="K599" i="2"/>
  <c r="J563" i="2"/>
  <c r="H563" i="2" s="1"/>
  <c r="J551" i="2"/>
  <c r="H551" i="2" s="1"/>
  <c r="K514" i="2"/>
  <c r="K439" i="2"/>
  <c r="J439" i="2"/>
  <c r="H439" i="2" s="1"/>
  <c r="I439" i="2"/>
  <c r="J529" i="2"/>
  <c r="H529" i="2" s="1"/>
  <c r="K499" i="2"/>
  <c r="J499" i="2"/>
  <c r="H499" i="2" s="1"/>
  <c r="J533" i="2"/>
  <c r="H533" i="2" s="1"/>
  <c r="K456" i="2"/>
  <c r="I450" i="2"/>
  <c r="I491" i="2"/>
  <c r="J401" i="2"/>
  <c r="H401" i="2" s="1"/>
  <c r="K332" i="2"/>
  <c r="J309" i="2"/>
  <c r="H309" i="2" s="1"/>
  <c r="I289" i="2"/>
  <c r="K345" i="2"/>
  <c r="K303" i="2"/>
  <c r="J255" i="2"/>
  <c r="H255" i="2" s="1"/>
  <c r="I231" i="2"/>
  <c r="J151" i="2"/>
  <c r="H151" i="2" s="1"/>
  <c r="I151" i="2"/>
  <c r="I291" i="2"/>
  <c r="J211" i="2"/>
  <c r="H211" i="2" s="1"/>
  <c r="K355" i="2"/>
  <c r="K195" i="2"/>
  <c r="K125" i="2"/>
  <c r="I128" i="2"/>
  <c r="I34" i="2"/>
  <c r="K53" i="2"/>
  <c r="K95" i="2"/>
  <c r="K37" i="2"/>
  <c r="J146" i="2"/>
  <c r="H146" i="2" s="1"/>
  <c r="J11" i="2"/>
  <c r="H11" i="2" s="1"/>
</calcChain>
</file>

<file path=xl/sharedStrings.xml><?xml version="1.0" encoding="utf-8"?>
<sst xmlns="http://schemas.openxmlformats.org/spreadsheetml/2006/main" count="2495" uniqueCount="688">
  <si>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</si>
  <si>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</si>
  <si>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</si>
  <si>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</si>
  <si>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</si>
  <si>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</si>
  <si>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</si>
  <si>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</si>
  <si>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</si>
  <si>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</si>
  <si>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</si>
  <si>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</si>
  <si>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Dave Troy : Soziale Kartografie – Überschneidung und Trennung in Städten</t>
  </si>
  <si>
    <t>2</t>
  </si>
  <si>
    <t>Wenn wir über die Kartierung von Städten nachdenken , denken wir an Wege , Straßen und Gebäude und an die Stadtentwicklung , die zu diesem Ergebnis führte , oder Sie denken an die großen Visionen eines Städteplaners .</t>
  </si>
  <si>
    <t>3</t>
  </si>
  <si>
    <t>Es gibt aber andere Arten , über die Kartierung von Städten nachzudenken und wie diese entstanden sind .</t>
  </si>
  <si>
    <t>contra-expectation</t>
  </si>
  <si>
    <t>(orig: Comparison.Concession.Arg2-as-denier)</t>
  </si>
  <si>
    <t>4</t>
  </si>
  <si>
    <t>(specifically)</t>
  </si>
  <si>
    <t>Heute möchte ich Ihnen eine neue Art Karte zeigen .</t>
  </si>
  <si>
    <t>specific</t>
  </si>
  <si>
    <t>(orig: Expansion.Level-of-detail.Arg2-as-detail)</t>
  </si>
  <si>
    <t>5</t>
  </si>
  <si>
    <t>Es ist keine geografische Karte , es ist eine Karte der Beziehungen zwischen den Menschen meiner Heimatstadt , Baltimore , Maryland .</t>
  </si>
  <si>
    <t>6</t>
  </si>
  <si>
    <t>(and)</t>
  </si>
  <si>
    <t>Sie können sehen , dass jeder Punkt eine Person darstellt , jede Linie eine Beziehung zwischen diesen Menschen und jede Farbe eine Gruppierung innerhalb dieses Netzwerkes .</t>
  </si>
  <si>
    <t>Conjunction</t>
  </si>
  <si>
    <t>(orig: Expansion.Conjunction)</t>
  </si>
  <si>
    <t>7</t>
  </si>
  <si>
    <t>Ich bin hier auf der grünen Seite , unten , weit am rechten Rand , wo die Geeks sind .</t>
  </si>
  <si>
    <t>8</t>
  </si>
  <si>
    <t>Auch TEDx ist unten , weit rechts .</t>
  </si>
  <si>
    <t>9</t>
  </si>
  <si>
    <t>( Lachen ) Auf der anderen Seite des Netzwerkes gibt es eher Afroamerikaner und Latinos , die um ganz andere Dinge besorgt sind als die Geeks .</t>
  </si>
  <si>
    <t>10</t>
  </si>
  <si>
    <t>Um Ihnen ein Gefühl zu geben , den grünen Teil des Netzwerkes nennen wir Klein-timore , da diese Leute , wie es scheint , in einer sehr kleinen Stadt wohnen .</t>
  </si>
  <si>
    <t>11</t>
  </si>
  <si>
    <t>Wir sehen immer wieder die gleichen Leute , weil wir nicht die ganze Breite und Tiefe der Stadt erforschen .</t>
  </si>
  <si>
    <t>12</t>
  </si>
  <si>
    <t>Auf der anderen Seite des Netzwerkes haben sie Menschen , die an Dingen wie Hip-Hop interessiert sind und sich eher mit dem Wohngebiet DC / Maryland / Virigina identifizieren , als mit der korrekten Stadtbezeichnung für Baltimore .</t>
  </si>
  <si>
    <t>13</t>
  </si>
  <si>
    <t>In der Mitte sehen Sie etwas , das die beiden Gruppierungen verbindet , und das ist Sport .</t>
  </si>
  <si>
    <t>14</t>
  </si>
  <si>
    <t>(in particular)</t>
  </si>
  <si>
    <t>Wir haben die Baltimore Orioles , die Baltimore Ravens [ Football ] den Olympioniken Michael Phelps , die Baltimore Firma Under Armour , die sie vielleicht kennen .</t>
  </si>
  <si>
    <t>15</t>
  </si>
  <si>
    <t>Diese Sportverbundenheit fungiert als einzige Brücke zwischen den beiden Enden des Netzwerkes .</t>
  </si>
  <si>
    <t>16</t>
  </si>
  <si>
    <t>Schauen wir uns San Francisco an .</t>
  </si>
  <si>
    <t>17</t>
  </si>
  <si>
    <t>Sie sehen , dass dort etwas anderes passiert .</t>
  </si>
  <si>
    <t>18</t>
  </si>
  <si>
    <t>Auf der einen Seite gibt es den Medien- , Politik- und Nachrichtenflügel , den es in Baltimore und anderen Städten meist gibt , es gibt aber auch diese tonangebende Gruppe der Geeks und Technikbegeisterten , die die obere Hälfte der Karte dominieren , sowie eine Gruppe , die so klar und ausgeprägt ist , dass wir sie als Twitter-Mitarbeiter bezeichnen , nahe bei den Geeks , zwischen Gamern und Geeks , am entgegengesetzten Ende des Hip-Hop-Spektrums .</t>
  </si>
  <si>
    <t>19</t>
  </si>
  <si>
    <t>Sie sehen also , dass die Spannungen , die wir aus San Francisco vernehmen , dass sich die Leute um Gentrifizierung sorgen , wegen diesen neuen Tech-Firmen , die neuen Wohlstand bringen und sich in der Stadt ansiedeln , real sind .</t>
  </si>
  <si>
    <t>(orig: Contingency.Cause+SpeechAct.Result+SpeechAct)</t>
  </si>
  <si>
    <t>20</t>
  </si>
  <si>
    <t>(und)</t>
  </si>
  <si>
    <t>Sie sehen das hier dokumentiert .</t>
  </si>
  <si>
    <t>21</t>
  </si>
  <si>
    <t>Sie sehen die LGBT-Community , die nicht zu den Geeks passt , die Künstler , die Musiker .</t>
  </si>
  <si>
    <t>22</t>
  </si>
  <si>
    <t>Und dies führt zu Dingen wie diesen : [ " Twitter raus " ] Das Bild bekam ich vor einigen Wochen .</t>
  </si>
  <si>
    <t>23</t>
  </si>
  <si>
    <t>Es zeigt auf , was auf dem Boden von San Francisco passiert .</t>
  </si>
  <si>
    <t>24</t>
  </si>
  <si>
    <t>(so)</t>
  </si>
  <si>
    <t>Ich glaube , sie können versuchen , das verstehen , indem sie solche Karten anschauen .</t>
  </si>
  <si>
    <t>(orig: Contingency.Cause+Belief.Result+Belief)</t>
  </si>
  <si>
    <t>25</t>
  </si>
  <si>
    <t>Betrachten wir Rio de Janeiro .</t>
  </si>
  <si>
    <t>26</t>
  </si>
  <si>
    <t>Ich sammelte die letzten Wochen Daten in Rio .</t>
  </si>
  <si>
    <t>27</t>
  </si>
  <si>
    <t>Eine Sache viel mir in dieser Stadt auf : Alles ist wirklich sehr gemischt .</t>
  </si>
  <si>
    <t>28</t>
  </si>
  <si>
    <t>Es ist eine sehr heterogene Stadt , nicht wie Baltimore oder San Francisco .</t>
  </si>
  <si>
    <t>29</t>
  </si>
  <si>
    <t>Es gibt immer noch die Gruppen an Menschen aus Verwaltung , Zeitungen , Politk und Kolummnisten .</t>
  </si>
  <si>
    <t>30</t>
  </si>
  <si>
    <t>TEDxRio is unten rechts , rechts neben Bloggern und Autoren .</t>
  </si>
  <si>
    <t>31</t>
  </si>
  <si>
    <t>Es gibt aber auch diese enorme Vielfalt an Menschen , interessiert an verschiedenen Musikarten .</t>
  </si>
  <si>
    <t>32</t>
  </si>
  <si>
    <t>Sogar Justin Bieber-Fans sind vertreten .</t>
  </si>
  <si>
    <t>33</t>
  </si>
  <si>
    <t>Andere Boy-Groups , Countrysänger , Gospelmusiker , Funk , Rap und Stand-Up-Komödianten .</t>
  </si>
  <si>
    <t>34</t>
  </si>
  <si>
    <t>Und sogar eine ganze Gruppe rund um Drogen und Witze .</t>
  </si>
  <si>
    <t>35</t>
  </si>
  <si>
    <t>Wie cool ist das denn ?</t>
  </si>
  <si>
    <t>36</t>
  </si>
  <si>
    <t>Auch die Fußballmannschaft " Flamengo " ist vertreten .</t>
  </si>
  <si>
    <t>37</t>
  </si>
  <si>
    <t>(in sum)</t>
  </si>
  <si>
    <t>Sie haben diese Bandbreite von Sport , Verwaltung , Kunst und Musik , aber in einer ganz anderen Art dargestellt .</t>
  </si>
  <si>
    <t>broad</t>
  </si>
  <si>
    <t>(orig: Expansion.Level-of-detail.Arg1-as-detail)</t>
  </si>
  <si>
    <t>38</t>
  </si>
  <si>
    <t>Ich denke , dass könnte zu der Art , wie wir Rio verstehen , passen , als eine sehr multikulturelle , musikalisch vielfältige Stadt .</t>
  </si>
  <si>
    <t>39</t>
  </si>
  <si>
    <t>Wir haben all diese Daten , ein unglaublich reichhaltiger Bestand an Daten über Städte .</t>
  </si>
  <si>
    <t>40</t>
  </si>
  <si>
    <t>Vielleicht reichhaltiger als alles , was wir je zuvor hatten .</t>
  </si>
  <si>
    <t>41</t>
  </si>
  <si>
    <t>Was können wir damit anfangen ?</t>
  </si>
  <si>
    <t>result</t>
  </si>
  <si>
    <t>(orig: Contingency.Cause.Result)</t>
  </si>
  <si>
    <t>42</t>
  </si>
  <si>
    <t>Ich denke , als Erstes sollten wir versuchen zu verstehen : Ist diese Trennung ein soziales Konzept ?</t>
  </si>
  <si>
    <t>43</t>
  </si>
  <si>
    <t>Ist es etwas , dass wir wählen , obwohl wir es auch nicht tun könnten ?</t>
  </si>
  <si>
    <t>44</t>
  </si>
  <si>
    <t>Wenn Sie darüber nachdenken , mit diesem Daten haben wir einen Blick darauf und betrachten die Stadt wie einen riesigen Schulspeiseraum , beobachten , wie sich jeder in dieser Stadt seinen Stuhl sucht .</t>
  </si>
  <si>
    <t>Hypophora</t>
  </si>
  <si>
    <t>45</t>
  </si>
  <si>
    <t>Vielleicht ist es Zeit , an dieser Bestuhlung etwas zu rütteln .</t>
  </si>
  <si>
    <t>46</t>
  </si>
  <si>
    <t>Uns wird auch bewusst , dass Rasse ein miserabler Vertreter für Vielfältigkeit ist .</t>
  </si>
  <si>
    <t>47</t>
  </si>
  <si>
    <t>Wir haben Verteter aus allen Arten von Rassen über die ganze Karte verteilt .</t>
  </si>
  <si>
    <t>48</t>
  </si>
  <si>
    <t>Nur die Rasse zu betrachten , erklärt aber die Vielfältigkeit der Stadtentwicklung nicht .</t>
  </si>
  <si>
    <t>49</t>
  </si>
  <si>
    <t>(that's why)</t>
  </si>
  <si>
    <t>Wenn wir versuchen diese Vielfalt zu nutzen , um heikle Probleme anzugehen , brauchen wir eine neue Art des Denkens bezüglich Vielfältigkeit .</t>
  </si>
  <si>
    <t>50</t>
  </si>
  <si>
    <t>Schlussendlich haben wir die Fähigkeit , Interventionen zu starten , die unsere Städte in einer neuen Art umformen .</t>
  </si>
  <si>
    <t>51</t>
  </si>
  <si>
    <t>Ich glaube , dass wir dieses Potential haben .</t>
  </si>
  <si>
    <t>52</t>
  </si>
  <si>
    <t>Wir haben sogar die Verpflichtung es zu tun .</t>
  </si>
  <si>
    <t>53</t>
  </si>
  <si>
    <t>Was ist also eine Stadt ?</t>
  </si>
  <si>
    <t>54</t>
  </si>
  <si>
    <t>Jemand könnte sagen , ein geografisches Gebiet , eine Reihe von Straßen und Gebäuden .</t>
  </si>
  <si>
    <t>55</t>
  </si>
  <si>
    <t>Ich glaube aber , eine Stadt ist die Summe der Beziehungen der Leute , die dort leben .</t>
  </si>
  <si>
    <t>56</t>
  </si>
  <si>
    <t>Wenn wir anfangen können , die Beziehungen wirklich zu dokumentieren , hätten wir eine echte Chance , die Städte zu erhalten , die wir gerne hätten .</t>
  </si>
  <si>
    <t>57</t>
  </si>
  <si>
    <t>Danke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</si>
  <si>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</si>
  <si>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</si>
  <si>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</si>
  <si>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</si>
  <si>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</si>
  <si>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</si>
  <si>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</si>
  <si>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</si>
  <si>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</si>
  <si>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</si>
  <si>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</si>
  <si>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Dave Troy : Soziale Kartografie – Überschneidung und Trennung in Städten</t>
  </si>
  <si>
    <t>Dave</t>
  </si>
  <si>
    <t>other</t>
  </si>
  <si>
    <t>ne</t>
  </si>
  <si>
    <t>?OLD</t>
  </si>
  <si>
    <t>Troy</t>
  </si>
  <si>
    <t>:</t>
  </si>
  <si>
    <t>Soziale</t>
  </si>
  <si>
    <t>Kartografie</t>
  </si>
  <si>
    <t>–</t>
  </si>
  <si>
    <t>Überschneidung</t>
  </si>
  <si>
    <t>indef-np.bare</t>
  </si>
  <si>
    <t>und</t>
  </si>
  <si>
    <t>Trennung</t>
  </si>
  <si>
    <t>in</t>
  </si>
  <si>
    <t>Städten</t>
  </si>
  <si>
    <t>other_2</t>
  </si>
  <si>
    <t># text = Wenn wir über die Kartierung von Städten nachdenken , denken wir an Wege , Straßen und Gebäude und an die Stadtentwicklung , die zu diesem Ergebnis führte , oder Sie denken an die großen Visionen eines Städteplaners .</t>
  </si>
  <si>
    <t>Wenn</t>
  </si>
  <si>
    <t>wir</t>
  </si>
  <si>
    <t>SBJ_2</t>
  </si>
  <si>
    <t>pron</t>
  </si>
  <si>
    <t>über</t>
  </si>
  <si>
    <t>die</t>
  </si>
  <si>
    <t>Kartierung</t>
  </si>
  <si>
    <t>def-np.the</t>
  </si>
  <si>
    <t>von</t>
  </si>
  <si>
    <t>other_3</t>
  </si>
  <si>
    <t>nachdenken</t>
  </si>
  <si>
    <t>,</t>
  </si>
  <si>
    <t>denken</t>
  </si>
  <si>
    <t>SBJ</t>
  </si>
  <si>
    <t>an</t>
  </si>
  <si>
    <t>Wege</t>
  </si>
  <si>
    <t>Straßen</t>
  </si>
  <si>
    <t>OBJ</t>
  </si>
  <si>
    <t>Gebäude</t>
  </si>
  <si>
    <t>Stadtentwicklung</t>
  </si>
  <si>
    <t>SBJ_4</t>
  </si>
  <si>
    <t>zu</t>
  </si>
  <si>
    <t>other_5</t>
  </si>
  <si>
    <t>pron.pind</t>
  </si>
  <si>
    <t>diesem</t>
  </si>
  <si>
    <t>pron.pds</t>
  </si>
  <si>
    <t>Ergebnis</t>
  </si>
  <si>
    <t>other_4</t>
  </si>
  <si>
    <t>def-np.dem</t>
  </si>
  <si>
    <t>führte</t>
  </si>
  <si>
    <t>oder</t>
  </si>
  <si>
    <t>Sie</t>
  </si>
  <si>
    <t>pron.pper</t>
  </si>
  <si>
    <t>großen</t>
  </si>
  <si>
    <t>Visionen</t>
  </si>
  <si>
    <t>eines</t>
  </si>
  <si>
    <t>Städteplaners</t>
  </si>
  <si>
    <t>indef-np.a</t>
  </si>
  <si>
    <t>.</t>
  </si>
  <si>
    <t># text = Es gibt aber andere Arten , über die Kartierung von Städten nachzudenken und wie diese entstanden sind .</t>
  </si>
  <si>
    <t>Es</t>
  </si>
  <si>
    <t>gibt</t>
  </si>
  <si>
    <t>aber</t>
  </si>
  <si>
    <t>andere</t>
  </si>
  <si>
    <t>Arten</t>
  </si>
  <si>
    <t>nachzudenken</t>
  </si>
  <si>
    <t>wie</t>
  </si>
  <si>
    <t>diese</t>
  </si>
  <si>
    <t>entstanden</t>
  </si>
  <si>
    <t>sind</t>
  </si>
  <si>
    <t># text = Heute möchte ich Ihnen eine neue Art Karte zeigen .</t>
  </si>
  <si>
    <t>Heute</t>
  </si>
  <si>
    <t>möchte</t>
  </si>
  <si>
    <t>ich</t>
  </si>
  <si>
    <t>Ihnen</t>
  </si>
  <si>
    <t>eine</t>
  </si>
  <si>
    <t>neue</t>
  </si>
  <si>
    <t>Art</t>
  </si>
  <si>
    <t>Karte</t>
  </si>
  <si>
    <t>zeigen</t>
  </si>
  <si>
    <t># text = Es ist keine geografische Karte , es ist eine Karte der Beziehungen zwischen den Menschen meiner Heimatstadt , Baltimore , Maryland .</t>
  </si>
  <si>
    <t>ist</t>
  </si>
  <si>
    <t>keine</t>
  </si>
  <si>
    <t>geografische</t>
  </si>
  <si>
    <t>indef-np.quant</t>
  </si>
  <si>
    <t>es</t>
  </si>
  <si>
    <t>der</t>
  </si>
  <si>
    <t>Beziehungen</t>
  </si>
  <si>
    <t>zwischen</t>
  </si>
  <si>
    <t>den</t>
  </si>
  <si>
    <t>Menschen</t>
  </si>
  <si>
    <t>meiner</t>
  </si>
  <si>
    <t>pron.ppos</t>
  </si>
  <si>
    <t>Heimatstadt</t>
  </si>
  <si>
    <t>Baltimore</t>
  </si>
  <si>
    <t>Maryland</t>
  </si>
  <si>
    <t># text = Sie können sehen , dass jeder Punkt eine Person darstellt , jede Linie eine Beziehung zwischen diesen Menschen und jede Farbe eine Gruppierung innerhalb dieses Netzwerkes .</t>
  </si>
  <si>
    <t>können</t>
  </si>
  <si>
    <t>sehen</t>
  </si>
  <si>
    <t>dass</t>
  </si>
  <si>
    <t>jeder</t>
  </si>
  <si>
    <t>Punkt</t>
  </si>
  <si>
    <t>Person</t>
  </si>
  <si>
    <t>OBJ_2</t>
  </si>
  <si>
    <t>darstellt</t>
  </si>
  <si>
    <t>jede</t>
  </si>
  <si>
    <t>Linie</t>
  </si>
  <si>
    <t>SBJ_3</t>
  </si>
  <si>
    <t>Beziehung</t>
  </si>
  <si>
    <t>diesen</t>
  </si>
  <si>
    <t>Farbe</t>
  </si>
  <si>
    <t>Gruppierung</t>
  </si>
  <si>
    <t>def-np.poss</t>
  </si>
  <si>
    <t>innerhalb</t>
  </si>
  <si>
    <t>dieses</t>
  </si>
  <si>
    <t>Netzwerkes</t>
  </si>
  <si>
    <t># text = Ich bin hier auf der grünen Seite , unten , weit am rechten Rand , wo die Geeks sind .</t>
  </si>
  <si>
    <t>Ich</t>
  </si>
  <si>
    <t>bin</t>
  </si>
  <si>
    <t>hier</t>
  </si>
  <si>
    <t>auf</t>
  </si>
  <si>
    <t>grünen</t>
  </si>
  <si>
    <t>Seite</t>
  </si>
  <si>
    <t>unten</t>
  </si>
  <si>
    <t>weit</t>
  </si>
  <si>
    <t>dem</t>
  </si>
  <si>
    <t>rechten</t>
  </si>
  <si>
    <t>Rand</t>
  </si>
  <si>
    <t>wo</t>
  </si>
  <si>
    <t>Geeks</t>
  </si>
  <si>
    <t># text = Auch TEDx ist unten , weit rechts .</t>
  </si>
  <si>
    <t>Auch</t>
  </si>
  <si>
    <t>TEDx</t>
  </si>
  <si>
    <t>rechts</t>
  </si>
  <si>
    <t># text = ( Lachen ) Auf der anderen Seite des Netzwerkes gibt es eher Afroamerikaner und Latinos , die um ganz andere Dinge besorgt sind als die Geeks .</t>
  </si>
  <si>
    <t>(</t>
  </si>
  <si>
    <t>Lachen</t>
  </si>
  <si>
    <t>)</t>
  </si>
  <si>
    <t>Auf</t>
  </si>
  <si>
    <t>anderen</t>
  </si>
  <si>
    <t>def-np.the.other</t>
  </si>
  <si>
    <t>des</t>
  </si>
  <si>
    <t>eher</t>
  </si>
  <si>
    <t>Afroamerikaner</t>
  </si>
  <si>
    <t>Latinos</t>
  </si>
  <si>
    <t>um</t>
  </si>
  <si>
    <t>ganz</t>
  </si>
  <si>
    <t>Dinge</t>
  </si>
  <si>
    <t>besorgt</t>
  </si>
  <si>
    <t>als</t>
  </si>
  <si>
    <t># text = Um Ihnen ein Gefühl zu geben , den grünen Teil des Netzwerkes nennen wir Klein-timore , da diese Leute , wie es scheint , in einer sehr kleinen Stadt wohnen .</t>
  </si>
  <si>
    <t>Um</t>
  </si>
  <si>
    <t>ein</t>
  </si>
  <si>
    <t>Gefühl</t>
  </si>
  <si>
    <t>geben</t>
  </si>
  <si>
    <t>Teil</t>
  </si>
  <si>
    <t>nennen</t>
  </si>
  <si>
    <t>Klein-</t>
  </si>
  <si>
    <t>timore</t>
  </si>
  <si>
    <t>da</t>
  </si>
  <si>
    <t>Leute</t>
  </si>
  <si>
    <t>scheint</t>
  </si>
  <si>
    <t>einer</t>
  </si>
  <si>
    <t>sehr</t>
  </si>
  <si>
    <t>kleinen</t>
  </si>
  <si>
    <t>Stadt</t>
  </si>
  <si>
    <t>wohnen</t>
  </si>
  <si>
    <t># text = Wir sehen immer wieder die gleichen Leute , weil wir nicht die ganze Breite und Tiefe der Stadt erforschen .</t>
  </si>
  <si>
    <t>Wir</t>
  </si>
  <si>
    <t>immer</t>
  </si>
  <si>
    <t>wieder</t>
  </si>
  <si>
    <t>gleichen</t>
  </si>
  <si>
    <t>weil</t>
  </si>
  <si>
    <t>nicht</t>
  </si>
  <si>
    <t>ganze</t>
  </si>
  <si>
    <t>Breite</t>
  </si>
  <si>
    <t>Tiefe</t>
  </si>
  <si>
    <t>erforschen</t>
  </si>
  <si>
    <t># text = Auf der anderen Seite des Netzwerkes haben sie Menschen , die an Dingen wie Hip-Hop interessiert sind und sich eher mit dem Wohngebiet DC / Maryland / Virigina identifizieren , als mit der korrekten Stadtbezeichnung für Baltimore .</t>
  </si>
  <si>
    <t>haben</t>
  </si>
  <si>
    <t>sie</t>
  </si>
  <si>
    <t>Dingen</t>
  </si>
  <si>
    <t>Hip</t>
  </si>
  <si>
    <t>Hop</t>
  </si>
  <si>
    <t>interessiert</t>
  </si>
  <si>
    <t>sich</t>
  </si>
  <si>
    <t>OBJ_4</t>
  </si>
  <si>
    <t>mit</t>
  </si>
  <si>
    <t>Wohngebiet</t>
  </si>
  <si>
    <t>DC</t>
  </si>
  <si>
    <t>/</t>
  </si>
  <si>
    <t>other_6</t>
  </si>
  <si>
    <t>Virigina</t>
  </si>
  <si>
    <t>identifizieren</t>
  </si>
  <si>
    <t>korrekten</t>
  </si>
  <si>
    <t>Stadtbezeichnung</t>
  </si>
  <si>
    <t>für</t>
  </si>
  <si>
    <t># text = In der Mitte sehen Sie etwas , das die beiden Gruppierungen verbindet , und das ist Sport .</t>
  </si>
  <si>
    <t>In</t>
  </si>
  <si>
    <t>Mitte</t>
  </si>
  <si>
    <t>etwas</t>
  </si>
  <si>
    <t>das</t>
  </si>
  <si>
    <t>beiden</t>
  </si>
  <si>
    <t>Gruppierungen</t>
  </si>
  <si>
    <t>OBJ_3</t>
  </si>
  <si>
    <t>def-np.quant</t>
  </si>
  <si>
    <t>verbindet</t>
  </si>
  <si>
    <t>Sport</t>
  </si>
  <si>
    <t># text = Wir haben die Baltimore Orioles , die Baltimore Ravens [ Football ] den Olympioniken Michael Phelps , die Baltimore Firma Under Armour , die sie vielleicht kennen .</t>
  </si>
  <si>
    <t>Orioles</t>
  </si>
  <si>
    <t>Ravens</t>
  </si>
  <si>
    <t>[</t>
  </si>
  <si>
    <t>Football</t>
  </si>
  <si>
    <t>]</t>
  </si>
  <si>
    <t>Olympioniken</t>
  </si>
  <si>
    <t>Michael</t>
  </si>
  <si>
    <t>Phelps</t>
  </si>
  <si>
    <t>Firma</t>
  </si>
  <si>
    <t>Under</t>
  </si>
  <si>
    <t>Armour</t>
  </si>
  <si>
    <t>vielleicht</t>
  </si>
  <si>
    <t>kennen</t>
  </si>
  <si>
    <t># text = Diese Sportverbundenheit fungiert als einzige Brücke zwischen den beiden Enden des Netzwerkes .</t>
  </si>
  <si>
    <t>Diese</t>
  </si>
  <si>
    <t>Sportverbundenheit</t>
  </si>
  <si>
    <t>fungiert</t>
  </si>
  <si>
    <t>einzige</t>
  </si>
  <si>
    <t>Brücke</t>
  </si>
  <si>
    <t>Enden</t>
  </si>
  <si>
    <t># text = Schauen wir uns San Francisco an .</t>
  </si>
  <si>
    <t>Schauen</t>
  </si>
  <si>
    <t>uns</t>
  </si>
  <si>
    <t>San</t>
  </si>
  <si>
    <t>Francisco</t>
  </si>
  <si>
    <t># text = Sie sehen , dass dort etwas anderes passiert .</t>
  </si>
  <si>
    <t>dort</t>
  </si>
  <si>
    <t>anderes</t>
  </si>
  <si>
    <t>passiert</t>
  </si>
  <si>
    <t># text = Auf der einen Seite gibt es den Medien- , Politik- und Nachrichtenflügel , den es in Baltimore und anderen Städten meist gibt , es gibt aber auch diese tonangebende Gruppe der Geeks und Technikbegeisterten , die die obere Hälfte der Karte dominieren , sowie eine Gruppe , die so klar und ausgeprägt ist , dass wir sie als Twitter-Mitarbeiter bezeichnen , nahe bei den Geeks , zwischen Gamern und Geeks , am entgegengesetzten Ende des Hip-Hop-Spektrums .</t>
  </si>
  <si>
    <t>einen</t>
  </si>
  <si>
    <t>Medien</t>
  </si>
  <si>
    <t>Politik</t>
  </si>
  <si>
    <t>Nachrichtenflügel</t>
  </si>
  <si>
    <t>meist</t>
  </si>
  <si>
    <t>auch</t>
  </si>
  <si>
    <t>tonangebende</t>
  </si>
  <si>
    <t>Gruppe</t>
  </si>
  <si>
    <t>Technikbegeisterten</t>
  </si>
  <si>
    <t>obere</t>
  </si>
  <si>
    <t>Hälfte</t>
  </si>
  <si>
    <t>dominieren</t>
  </si>
  <si>
    <t>sowie</t>
  </si>
  <si>
    <t>so</t>
  </si>
  <si>
    <t>klar</t>
  </si>
  <si>
    <t>ausgeprägt</t>
  </si>
  <si>
    <t>Twitter</t>
  </si>
  <si>
    <t>Mitarbeiter</t>
  </si>
  <si>
    <t>bezeichnen</t>
  </si>
  <si>
    <t>nahe</t>
  </si>
  <si>
    <t>bei</t>
  </si>
  <si>
    <t>Gamern</t>
  </si>
  <si>
    <t>entgegengesetzten</t>
  </si>
  <si>
    <t>Ende</t>
  </si>
  <si>
    <t>Spektrums</t>
  </si>
  <si>
    <t># text = Sie sehen also , dass die Spannungen , die wir aus San Francisco vernehmen , dass sich die Leute um Gentrifizierung sorgen , wegen diesen neuen Tech-Firmen , die neuen Wohlstand bringen und sich in der Stadt ansiedeln , real sind .</t>
  </si>
  <si>
    <t>also</t>
  </si>
  <si>
    <t>Spannungen</t>
  </si>
  <si>
    <t>aus</t>
  </si>
  <si>
    <t>vernehmen</t>
  </si>
  <si>
    <t>Gentrifizierung</t>
  </si>
  <si>
    <t>sorgen</t>
  </si>
  <si>
    <t>wegen</t>
  </si>
  <si>
    <t>neuen</t>
  </si>
  <si>
    <t>Tech</t>
  </si>
  <si>
    <t>Firmen</t>
  </si>
  <si>
    <t>Wohlstand</t>
  </si>
  <si>
    <t>bringen</t>
  </si>
  <si>
    <t>OBJ_5</t>
  </si>
  <si>
    <t>ansiedeln</t>
  </si>
  <si>
    <t>real</t>
  </si>
  <si>
    <t># text = Sie sehen das hier dokumentiert .</t>
  </si>
  <si>
    <t>dokumentiert</t>
  </si>
  <si>
    <t># text = Sie sehen die LGBT-Community , die nicht zu den Geeks passt , die Künstler , die Musiker .</t>
  </si>
  <si>
    <t>LGBT</t>
  </si>
  <si>
    <t>Community</t>
  </si>
  <si>
    <t>passt</t>
  </si>
  <si>
    <t>Künstler</t>
  </si>
  <si>
    <t>Musiker</t>
  </si>
  <si>
    <t>--</t>
  </si>
  <si>
    <t># text = Und dies führt zu Dingen wie diesen : [ \" Twitter raus \" ] Das Bild bekam ich vor einigen Wochen .</t>
  </si>
  <si>
    <t>Und</t>
  </si>
  <si>
    <t>dies</t>
  </si>
  <si>
    <t>führt</t>
  </si>
  <si>
    <t>&amp;quot;</t>
  </si>
  <si>
    <t>raus</t>
  </si>
  <si>
    <t>Das</t>
  </si>
  <si>
    <t>Bild</t>
  </si>
  <si>
    <t>bekam</t>
  </si>
  <si>
    <t>vor</t>
  </si>
  <si>
    <t>einigen</t>
  </si>
  <si>
    <t>Wochen</t>
  </si>
  <si>
    <t># text = Es zeigt auf , was auf dem Boden von San Francisco passiert .</t>
  </si>
  <si>
    <t>zeigt</t>
  </si>
  <si>
    <t>was</t>
  </si>
  <si>
    <t>Boden</t>
  </si>
  <si>
    <t># text = Ich glaube , sie können versuchen , das verstehen , indem sie solche Karten anschauen .</t>
  </si>
  <si>
    <t>glaube</t>
  </si>
  <si>
    <t>versuchen</t>
  </si>
  <si>
    <t>verstehen</t>
  </si>
  <si>
    <t>indem</t>
  </si>
  <si>
    <t>solche</t>
  </si>
  <si>
    <t>Karten</t>
  </si>
  <si>
    <t>anschauen</t>
  </si>
  <si>
    <t># text = Betrachten wir Rio de Janeiro .</t>
  </si>
  <si>
    <t>Betrachten</t>
  </si>
  <si>
    <t>Rio</t>
  </si>
  <si>
    <t>de</t>
  </si>
  <si>
    <t>Janeiro</t>
  </si>
  <si>
    <t># text = Ich sammelte die letzten Wochen Daten in Rio .</t>
  </si>
  <si>
    <t>sammelte</t>
  </si>
  <si>
    <t>letzten</t>
  </si>
  <si>
    <t>Daten</t>
  </si>
  <si>
    <t># text = Eine Sache viel mir in dieser Stadt auf : Alles ist wirklich sehr gemischt .</t>
  </si>
  <si>
    <t>Eine</t>
  </si>
  <si>
    <t>Sache</t>
  </si>
  <si>
    <t>viel</t>
  </si>
  <si>
    <t>mir</t>
  </si>
  <si>
    <t>dieser</t>
  </si>
  <si>
    <t>Alles</t>
  </si>
  <si>
    <t>wirklich</t>
  </si>
  <si>
    <t>gemischt</t>
  </si>
  <si>
    <t># text = Es ist eine sehr heterogene Stadt , nicht wie Baltimore oder San Francisco .</t>
  </si>
  <si>
    <t>heterogene</t>
  </si>
  <si>
    <t># text = Es gibt immer noch die Gruppen an Menschen aus Verwaltung , Zeitungen , Politk und Kolummnisten .</t>
  </si>
  <si>
    <t>noch</t>
  </si>
  <si>
    <t>Gruppen</t>
  </si>
  <si>
    <t>Verwaltung</t>
  </si>
  <si>
    <t>Zeitungen</t>
  </si>
  <si>
    <t>Politk</t>
  </si>
  <si>
    <t>Kolummnisten</t>
  </si>
  <si>
    <t># text = TEDxRio is unten rechts , rechts neben Bloggern und Autoren .</t>
  </si>
  <si>
    <t>TEDxRio</t>
  </si>
  <si>
    <t>is</t>
  </si>
  <si>
    <t>neben</t>
  </si>
  <si>
    <t>Bloggern</t>
  </si>
  <si>
    <t>Autoren</t>
  </si>
  <si>
    <t># text = Es gibt aber auch diese enorme Vielfalt an Menschen , interessiert an verschiedenen Musikarten .</t>
  </si>
  <si>
    <t>enorme</t>
  </si>
  <si>
    <t>Vielfalt</t>
  </si>
  <si>
    <t>verschiedenen</t>
  </si>
  <si>
    <t>Musikarten</t>
  </si>
  <si>
    <t># text = Sogar Justin Bieber-Fans sind vertreten .</t>
  </si>
  <si>
    <t>Sogar</t>
  </si>
  <si>
    <t>Justin</t>
  </si>
  <si>
    <t>Bieber</t>
  </si>
  <si>
    <t>Fans</t>
  </si>
  <si>
    <t>vertreten</t>
  </si>
  <si>
    <t># text = Andere Boy-Groups , Countrysänger , Gospelmusiker , Funk , Rap und Stand-Up-Komödianten .</t>
  </si>
  <si>
    <t>Andere</t>
  </si>
  <si>
    <t>Boy</t>
  </si>
  <si>
    <t>Groups</t>
  </si>
  <si>
    <t>Countrysänger</t>
  </si>
  <si>
    <t>Gospelmusiker</t>
  </si>
  <si>
    <t>Funk</t>
  </si>
  <si>
    <t>Rap</t>
  </si>
  <si>
    <t>Stand-</t>
  </si>
  <si>
    <t>Up</t>
  </si>
  <si>
    <t>Komödianten</t>
  </si>
  <si>
    <t># text = Und sogar eine ganze Gruppe rund um Drogen und Witze .</t>
  </si>
  <si>
    <t>sogar</t>
  </si>
  <si>
    <t>rund</t>
  </si>
  <si>
    <t>Drogen</t>
  </si>
  <si>
    <t>Witze</t>
  </si>
  <si>
    <t># text = Wie cool ist das denn ?</t>
  </si>
  <si>
    <t>Wie</t>
  </si>
  <si>
    <t>cool</t>
  </si>
  <si>
    <t>denn</t>
  </si>
  <si>
    <t>?</t>
  </si>
  <si>
    <t># text = Auch die Fußballmannschaft \" Flamengo \" ist vertreten .</t>
  </si>
  <si>
    <t>Fußballmannschaft</t>
  </si>
  <si>
    <t>Flamengo</t>
  </si>
  <si>
    <t># text = Sie haben diese Bandbreite von Sport , Verwaltung , Kunst und Musik , aber in einer ganz anderen Art dargestellt .</t>
  </si>
  <si>
    <t>Bandbreite</t>
  </si>
  <si>
    <t>Kunst</t>
  </si>
  <si>
    <t>Musik</t>
  </si>
  <si>
    <t>dargestellt</t>
  </si>
  <si>
    <t># text = Ich denke , dass könnte zu der Art , wie wir Rio verstehen , passen , als eine sehr multikulturelle , musikalisch vielfältige Stadt .</t>
  </si>
  <si>
    <t>denke</t>
  </si>
  <si>
    <t>könnte</t>
  </si>
  <si>
    <t>SBJ_5</t>
  </si>
  <si>
    <t>passen</t>
  </si>
  <si>
    <t>multikulturelle</t>
  </si>
  <si>
    <t>musikalisch</t>
  </si>
  <si>
    <t>vielfältige</t>
  </si>
  <si>
    <t># text = Wir haben all diese Daten , ein unglaublich reichhaltiger Bestand an Daten über Städte .</t>
  </si>
  <si>
    <t>all</t>
  </si>
  <si>
    <t>unglaublich</t>
  </si>
  <si>
    <t>reichhaltiger</t>
  </si>
  <si>
    <t>Bestand</t>
  </si>
  <si>
    <t>Städte</t>
  </si>
  <si>
    <t># text = Vielleicht reichhaltiger als alles , was wir je zuvor hatten .</t>
  </si>
  <si>
    <t>Vielleicht</t>
  </si>
  <si>
    <t>alles</t>
  </si>
  <si>
    <t>je</t>
  </si>
  <si>
    <t>zuvor</t>
  </si>
  <si>
    <t>hatten</t>
  </si>
  <si>
    <t># text = Was können wir damit anfangen ?</t>
  </si>
  <si>
    <t>Was</t>
  </si>
  <si>
    <t>damit</t>
  </si>
  <si>
    <t>anfangen</t>
  </si>
  <si>
    <t># text = Ich denke , als Erstes sollten wir versuchen zu verstehen : Ist diese Trennung ein soziales Konzept ?</t>
  </si>
  <si>
    <t>Erstes</t>
  </si>
  <si>
    <t>sollten</t>
  </si>
  <si>
    <t>Ist</t>
  </si>
  <si>
    <t>soziales</t>
  </si>
  <si>
    <t>Konzept</t>
  </si>
  <si>
    <t># text = Ist es etwas , dass wir wählen , obwohl wir es auch nicht tun könnten ?</t>
  </si>
  <si>
    <t>wählen</t>
  </si>
  <si>
    <t>obwohl</t>
  </si>
  <si>
    <t>tun</t>
  </si>
  <si>
    <t>könnten</t>
  </si>
  <si>
    <t># text = Wenn Sie darüber nachdenken , mit diesem Daten haben wir einen Blick darauf und betrachten die Stadt wie einen riesigen Schulspeiseraum , beobachten , wie sich jeder in dieser Stadt seinen Stuhl sucht .</t>
  </si>
  <si>
    <t>darüber</t>
  </si>
  <si>
    <t>Blick</t>
  </si>
  <si>
    <t>darauf</t>
  </si>
  <si>
    <t>betrachten</t>
  </si>
  <si>
    <t>riesigen</t>
  </si>
  <si>
    <t>Schulspeiseraum</t>
  </si>
  <si>
    <t>beobachten</t>
  </si>
  <si>
    <t>seinen</t>
  </si>
  <si>
    <t>Stuhl</t>
  </si>
  <si>
    <t>indef-np</t>
  </si>
  <si>
    <t>sucht</t>
  </si>
  <si>
    <t># text = Vielleicht ist es Zeit , an dieser Bestuhlung etwas zu rütteln .</t>
  </si>
  <si>
    <t>Zeit</t>
  </si>
  <si>
    <t>Bestuhlung</t>
  </si>
  <si>
    <t>rütteln</t>
  </si>
  <si>
    <t># text = Uns wird auch bewusst , dass Rasse ein miserabler Vertreter für Vielfältigkeit ist .</t>
  </si>
  <si>
    <t>Uns</t>
  </si>
  <si>
    <t>wird</t>
  </si>
  <si>
    <t>bewusst</t>
  </si>
  <si>
    <t>Rasse</t>
  </si>
  <si>
    <t>miserabler</t>
  </si>
  <si>
    <t>Vertreter</t>
  </si>
  <si>
    <t>Vielfältigkeit</t>
  </si>
  <si>
    <t># text = Wir haben Verteter aus allen Arten von Rassen über die ganze Karte verteilt .</t>
  </si>
  <si>
    <t>Verteter</t>
  </si>
  <si>
    <t>allen</t>
  </si>
  <si>
    <t>Rassen</t>
  </si>
  <si>
    <t>verteilt</t>
  </si>
  <si>
    <t># text = Nur die Rasse zu betrachten , erklärt aber die Vielfältigkeit der Stadtentwicklung nicht .</t>
  </si>
  <si>
    <t>Nur</t>
  </si>
  <si>
    <t>erklärt</t>
  </si>
  <si>
    <t># text = Wenn wir versuchen diese Vielfalt zu nutzen , um heikle Probleme anzugehen , brauchen wir eine neue Art des Denkens bezüglich Vielfältigkeit .</t>
  </si>
  <si>
    <t>nutzen</t>
  </si>
  <si>
    <t>heikle</t>
  </si>
  <si>
    <t>Probleme</t>
  </si>
  <si>
    <t>anzugehen</t>
  </si>
  <si>
    <t>brauchen</t>
  </si>
  <si>
    <t>Denkens</t>
  </si>
  <si>
    <t>bezüglich</t>
  </si>
  <si>
    <t># text = Schlussendlich haben wir die Fähigkeit , Interventionen zu starten , die unsere Städte in einer neuen Art umformen .</t>
  </si>
  <si>
    <t>Schlussendlich</t>
  </si>
  <si>
    <t>Fähigkeit</t>
  </si>
  <si>
    <t>Interventionen</t>
  </si>
  <si>
    <t>starten</t>
  </si>
  <si>
    <t>unsere</t>
  </si>
  <si>
    <t>umformen</t>
  </si>
  <si>
    <t># text = Ich glaube , dass wir dieses Potential haben .</t>
  </si>
  <si>
    <t>Potential</t>
  </si>
  <si>
    <t># text = Wir haben sogar die Verpflichtung es zu tun .</t>
  </si>
  <si>
    <t>Verpflichtung</t>
  </si>
  <si>
    <t># text = Was ist also eine Stadt ?</t>
  </si>
  <si>
    <t># text = Jemand könnte sagen , ein geografisches Gebiet , eine Reihe von Straßen und Gebäuden .</t>
  </si>
  <si>
    <t>Jemand</t>
  </si>
  <si>
    <t>sagen</t>
  </si>
  <si>
    <t>geografisches</t>
  </si>
  <si>
    <t>Gebiet</t>
  </si>
  <si>
    <t>Reihe</t>
  </si>
  <si>
    <t>Gebäuden</t>
  </si>
  <si>
    <t># text = Ich glaube aber , eine Stadt ist die Summe der Beziehungen der Leute , die dort leben .</t>
  </si>
  <si>
    <t>Summe</t>
  </si>
  <si>
    <t>leben</t>
  </si>
  <si>
    <t># text = Wenn wir anfangen können , die Beziehungen wirklich zu dokumentieren , hätten wir eine echte Chance , die Städte zu erhalten , die wir gerne hätten .</t>
  </si>
  <si>
    <t>dokumentieren</t>
  </si>
  <si>
    <t>hätten</t>
  </si>
  <si>
    <t>echte</t>
  </si>
  <si>
    <t>Chance</t>
  </si>
  <si>
    <t>erhalten</t>
  </si>
  <si>
    <t>gerne</t>
  </si>
  <si>
    <t># text = Danke</t>
  </si>
  <si>
    <t>NoRel</t>
  </si>
  <si>
    <t>(zusammenfassend)</t>
  </si>
  <si>
    <t>Überschrift, auch NoRel denkbar</t>
  </si>
  <si>
    <t>set</t>
  </si>
  <si>
    <t>(im Allgemeinen)</t>
  </si>
  <si>
    <t>instance</t>
  </si>
  <si>
    <t>eine Art (speziell)</t>
  </si>
  <si>
    <t>(genauer gesagt)</t>
  </si>
  <si>
    <t>(im Einzelnen)</t>
  </si>
  <si>
    <t>ich (zum Beispiel)</t>
  </si>
  <si>
    <t xml:space="preserve">auch </t>
  </si>
  <si>
    <t>contrast</t>
  </si>
  <si>
    <t>(konkret)</t>
  </si>
  <si>
    <t>(insgesamt)</t>
  </si>
  <si>
    <t>auf der anderen Seite</t>
  </si>
  <si>
    <t>(außerdem)</t>
  </si>
  <si>
    <t>(nämlich)</t>
  </si>
  <si>
    <t>restatement</t>
  </si>
  <si>
    <t>consequence</t>
  </si>
  <si>
    <t>(dann)</t>
  </si>
  <si>
    <t>(zum Beispiel)</t>
  </si>
  <si>
    <t>(schließlich)</t>
  </si>
  <si>
    <t>(dafür)</t>
  </si>
  <si>
    <t>synchrony</t>
  </si>
  <si>
    <t>(dabei)</t>
  </si>
  <si>
    <t>similarity</t>
  </si>
  <si>
    <t>und dies führt zu</t>
  </si>
  <si>
    <t>(tatsächlich)</t>
  </si>
  <si>
    <t>means</t>
  </si>
  <si>
    <t>(im Spezifischen)</t>
  </si>
  <si>
    <t>es gibt aber auch</t>
  </si>
  <si>
    <t>und sogar</t>
  </si>
  <si>
    <t>hypophora</t>
  </si>
  <si>
    <t>wie cool</t>
  </si>
  <si>
    <t>vielleicht (sogar)</t>
  </si>
  <si>
    <t>als erstes</t>
  </si>
  <si>
    <t>goal</t>
  </si>
  <si>
    <t>concession</t>
  </si>
  <si>
    <t>mit diesen Daten</t>
  </si>
  <si>
    <t>(daher)</t>
  </si>
  <si>
    <t>schlussendlich</t>
  </si>
  <si>
    <t>was also</t>
  </si>
  <si>
    <t>jemand könnte sagen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</si>
</sst>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>
      <pane xSplit="5" ySplit="1" topLeftCell="G54" activePane="bottomRight" state="frozen"/>
      <selection pane="topRight" activeCell="F1" sqref="F1"/>
      <selection pane="bottomLeft" activeCell="A2" sqref="A2"/>
      <selection pane="bottomRight" activeCell="H56" sqref="H56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 t="s">
        <v>646</v>
      </c>
      <c r="H2" s="10">
        <v>5</v>
      </c>
      <c r="I2" s="11" t="s">
        <v>99</v>
      </c>
      <c r="J2" s="12" t="s">
        <v>647</v>
      </c>
    </row>
    <row r="3" spans="1:10" ht="60" customHeight="1" x14ac:dyDescent="0.3">
      <c r="A3" s="6" t="s">
        <v>13</v>
      </c>
      <c r="B3" s="6" t="s">
        <v>11</v>
      </c>
      <c r="C3" s="6" t="s">
        <v>11</v>
      </c>
      <c r="D3" s="7" t="s">
        <v>11</v>
      </c>
      <c r="E3" s="8" t="s">
        <v>14</v>
      </c>
      <c r="F3" s="6" t="s">
        <v>11</v>
      </c>
      <c r="G3" s="9" t="s">
        <v>649</v>
      </c>
      <c r="H3" s="10">
        <v>3</v>
      </c>
      <c r="I3" s="11" t="s">
        <v>648</v>
      </c>
      <c r="J3" s="12"/>
    </row>
    <row r="4" spans="1:10" ht="60" customHeight="1" x14ac:dyDescent="0.3">
      <c r="A4" s="6" t="s">
        <v>15</v>
      </c>
      <c r="B4" s="6" t="s">
        <v>11</v>
      </c>
      <c r="C4" s="6" t="s">
        <v>11</v>
      </c>
      <c r="D4" s="7" t="s">
        <v>11</v>
      </c>
      <c r="E4" s="8" t="s">
        <v>16</v>
      </c>
      <c r="F4" s="6" t="s">
        <v>11</v>
      </c>
      <c r="G4" s="9" t="s">
        <v>216</v>
      </c>
      <c r="H4" s="10" t="s">
        <v>13</v>
      </c>
      <c r="I4" s="11" t="s">
        <v>17</v>
      </c>
      <c r="J4" s="12" t="s">
        <v>18</v>
      </c>
    </row>
    <row r="5" spans="1:10" ht="60" customHeight="1" x14ac:dyDescent="0.3">
      <c r="A5" s="6" t="s">
        <v>19</v>
      </c>
      <c r="B5" s="6" t="s">
        <v>11</v>
      </c>
      <c r="C5" s="6" t="s">
        <v>20</v>
      </c>
      <c r="D5" s="7" t="s">
        <v>11</v>
      </c>
      <c r="E5" s="8" t="s">
        <v>21</v>
      </c>
      <c r="F5" s="6" t="s">
        <v>11</v>
      </c>
      <c r="G5" s="9" t="s">
        <v>651</v>
      </c>
      <c r="H5" s="10" t="s">
        <v>15</v>
      </c>
      <c r="I5" s="11" t="s">
        <v>650</v>
      </c>
      <c r="J5" s="12" t="s">
        <v>23</v>
      </c>
    </row>
    <row r="6" spans="1:10" ht="60" customHeight="1" x14ac:dyDescent="0.3">
      <c r="A6" s="6" t="s">
        <v>24</v>
      </c>
      <c r="B6" s="6" t="s">
        <v>11</v>
      </c>
      <c r="C6" s="6" t="s">
        <v>20</v>
      </c>
      <c r="D6" s="7" t="s">
        <v>11</v>
      </c>
      <c r="E6" s="8" t="s">
        <v>25</v>
      </c>
      <c r="F6" s="6" t="s">
        <v>11</v>
      </c>
      <c r="G6" s="9" t="s">
        <v>652</v>
      </c>
      <c r="H6" s="10" t="s">
        <v>19</v>
      </c>
      <c r="I6" s="11" t="s">
        <v>22</v>
      </c>
      <c r="J6" s="12" t="s">
        <v>23</v>
      </c>
    </row>
    <row r="7" spans="1:10" ht="60" customHeight="1" x14ac:dyDescent="0.3">
      <c r="A7" s="6" t="s">
        <v>26</v>
      </c>
      <c r="B7" s="6" t="s">
        <v>11</v>
      </c>
      <c r="C7" s="6" t="s">
        <v>27</v>
      </c>
      <c r="D7" s="7" t="s">
        <v>11</v>
      </c>
      <c r="E7" s="8" t="s">
        <v>28</v>
      </c>
      <c r="F7" s="6" t="s">
        <v>11</v>
      </c>
      <c r="G7" s="9" t="s">
        <v>653</v>
      </c>
      <c r="H7" s="10" t="s">
        <v>24</v>
      </c>
      <c r="I7" s="11" t="s">
        <v>22</v>
      </c>
      <c r="J7" s="12" t="s">
        <v>30</v>
      </c>
    </row>
    <row r="8" spans="1:10" ht="60" customHeight="1" x14ac:dyDescent="0.3">
      <c r="A8" s="6" t="s">
        <v>31</v>
      </c>
      <c r="B8" s="6" t="s">
        <v>11</v>
      </c>
      <c r="C8" s="6" t="s">
        <v>27</v>
      </c>
      <c r="D8" s="7" t="s">
        <v>11</v>
      </c>
      <c r="E8" s="8" t="s">
        <v>32</v>
      </c>
      <c r="F8" s="6" t="s">
        <v>11</v>
      </c>
      <c r="G8" s="9" t="s">
        <v>654</v>
      </c>
      <c r="H8" s="10" t="s">
        <v>26</v>
      </c>
      <c r="I8" s="11" t="s">
        <v>650</v>
      </c>
      <c r="J8" s="12" t="s">
        <v>30</v>
      </c>
    </row>
    <row r="9" spans="1:10" ht="60" customHeight="1" x14ac:dyDescent="0.3">
      <c r="A9" s="6" t="s">
        <v>33</v>
      </c>
      <c r="B9" s="6" t="s">
        <v>11</v>
      </c>
      <c r="C9" s="6" t="s">
        <v>11</v>
      </c>
      <c r="D9" s="7" t="s">
        <v>11</v>
      </c>
      <c r="E9" s="8" t="s">
        <v>34</v>
      </c>
      <c r="F9" s="6" t="s">
        <v>11</v>
      </c>
      <c r="G9" s="9" t="s">
        <v>655</v>
      </c>
      <c r="H9" s="10" t="s">
        <v>31</v>
      </c>
      <c r="I9" s="11" t="s">
        <v>670</v>
      </c>
      <c r="J9" s="12" t="s">
        <v>30</v>
      </c>
    </row>
    <row r="10" spans="1:10" ht="60" customHeight="1" x14ac:dyDescent="0.3">
      <c r="A10" s="6" t="s">
        <v>35</v>
      </c>
      <c r="B10" s="6" t="s">
        <v>11</v>
      </c>
      <c r="C10" s="6" t="s">
        <v>27</v>
      </c>
      <c r="D10" s="7" t="s">
        <v>11</v>
      </c>
      <c r="E10" s="8" t="s">
        <v>36</v>
      </c>
      <c r="F10" s="6" t="s">
        <v>11</v>
      </c>
      <c r="G10" s="9" t="s">
        <v>659</v>
      </c>
      <c r="H10" s="10">
        <v>8</v>
      </c>
      <c r="I10" s="11" t="s">
        <v>656</v>
      </c>
      <c r="J10" s="12" t="s">
        <v>30</v>
      </c>
    </row>
    <row r="11" spans="1:10" ht="60" customHeight="1" x14ac:dyDescent="0.3">
      <c r="A11" s="6" t="s">
        <v>37</v>
      </c>
      <c r="B11" s="6" t="s">
        <v>11</v>
      </c>
      <c r="C11" s="6" t="s">
        <v>11</v>
      </c>
      <c r="D11" s="7" t="s">
        <v>11</v>
      </c>
      <c r="E11" s="8" t="s">
        <v>38</v>
      </c>
      <c r="F11" s="6" t="s">
        <v>11</v>
      </c>
      <c r="G11" s="9" t="s">
        <v>658</v>
      </c>
      <c r="H11" s="10">
        <v>7</v>
      </c>
      <c r="I11" s="11" t="s">
        <v>99</v>
      </c>
      <c r="J11" s="12"/>
    </row>
    <row r="12" spans="1:10" ht="60" customHeight="1" x14ac:dyDescent="0.3">
      <c r="A12" s="6" t="s">
        <v>39</v>
      </c>
      <c r="B12" s="6" t="s">
        <v>11</v>
      </c>
      <c r="C12" s="6" t="s">
        <v>27</v>
      </c>
      <c r="D12" s="7" t="s">
        <v>11</v>
      </c>
      <c r="E12" s="8" t="s">
        <v>40</v>
      </c>
      <c r="F12" s="6" t="s">
        <v>11</v>
      </c>
      <c r="G12" s="9" t="s">
        <v>649</v>
      </c>
      <c r="H12" s="10">
        <v>6</v>
      </c>
      <c r="I12" s="11" t="s">
        <v>648</v>
      </c>
      <c r="J12" s="12" t="s">
        <v>30</v>
      </c>
    </row>
    <row r="13" spans="1:10" ht="60" customHeight="1" x14ac:dyDescent="0.3">
      <c r="A13" s="6" t="s">
        <v>41</v>
      </c>
      <c r="B13" s="6" t="s">
        <v>11</v>
      </c>
      <c r="C13" s="6" t="s">
        <v>27</v>
      </c>
      <c r="D13" s="7" t="s">
        <v>11</v>
      </c>
      <c r="E13" s="8" t="s">
        <v>42</v>
      </c>
      <c r="F13" s="6" t="s">
        <v>11</v>
      </c>
      <c r="G13" s="9" t="s">
        <v>659</v>
      </c>
      <c r="H13" s="10">
        <v>10</v>
      </c>
      <c r="I13" s="11" t="s">
        <v>656</v>
      </c>
      <c r="J13" s="12" t="s">
        <v>30</v>
      </c>
    </row>
    <row r="14" spans="1:10" ht="60" customHeight="1" x14ac:dyDescent="0.3">
      <c r="A14" s="6" t="s">
        <v>43</v>
      </c>
      <c r="B14" s="6" t="s">
        <v>11</v>
      </c>
      <c r="C14" s="6" t="s">
        <v>27</v>
      </c>
      <c r="D14" s="7" t="s">
        <v>11</v>
      </c>
      <c r="E14" s="8" t="s">
        <v>44</v>
      </c>
      <c r="F14" s="6" t="s">
        <v>11</v>
      </c>
      <c r="G14" s="9" t="s">
        <v>660</v>
      </c>
      <c r="H14" s="10" t="s">
        <v>41</v>
      </c>
      <c r="I14" s="11" t="s">
        <v>29</v>
      </c>
      <c r="J14" s="12" t="s">
        <v>30</v>
      </c>
    </row>
    <row r="15" spans="1:10" ht="60" customHeight="1" x14ac:dyDescent="0.3">
      <c r="A15" s="6" t="s">
        <v>45</v>
      </c>
      <c r="B15" s="6" t="s">
        <v>11</v>
      </c>
      <c r="C15" s="6" t="s">
        <v>46</v>
      </c>
      <c r="D15" s="7" t="s">
        <v>11</v>
      </c>
      <c r="E15" s="8" t="s">
        <v>47</v>
      </c>
      <c r="F15" s="6" t="s">
        <v>11</v>
      </c>
      <c r="G15" s="9" t="s">
        <v>665</v>
      </c>
      <c r="H15" s="10" t="s">
        <v>43</v>
      </c>
      <c r="I15" s="11" t="s">
        <v>650</v>
      </c>
      <c r="J15" s="12" t="s">
        <v>23</v>
      </c>
    </row>
    <row r="16" spans="1:10" ht="60" customHeight="1" x14ac:dyDescent="0.3">
      <c r="A16" s="6" t="s">
        <v>48</v>
      </c>
      <c r="B16" s="6" t="s">
        <v>11</v>
      </c>
      <c r="C16" s="6" t="s">
        <v>11</v>
      </c>
      <c r="D16" s="7" t="s">
        <v>11</v>
      </c>
      <c r="E16" s="8" t="s">
        <v>49</v>
      </c>
      <c r="F16" s="6" t="s">
        <v>11</v>
      </c>
      <c r="G16" s="9" t="s">
        <v>661</v>
      </c>
      <c r="H16" s="10">
        <v>13</v>
      </c>
      <c r="I16" s="11" t="s">
        <v>662</v>
      </c>
      <c r="J16" s="12"/>
    </row>
    <row r="17" spans="1:10" ht="60" customHeight="1" x14ac:dyDescent="0.3">
      <c r="A17" s="6" t="s">
        <v>50</v>
      </c>
      <c r="B17" s="6" t="s">
        <v>11</v>
      </c>
      <c r="C17" s="6" t="s">
        <v>11</v>
      </c>
      <c r="D17" s="7" t="s">
        <v>11</v>
      </c>
      <c r="E17" s="8" t="s">
        <v>51</v>
      </c>
      <c r="F17" s="6" t="s">
        <v>11</v>
      </c>
      <c r="G17" s="9" t="s">
        <v>660</v>
      </c>
      <c r="H17" s="10">
        <v>15</v>
      </c>
      <c r="I17" s="11" t="s">
        <v>29</v>
      </c>
      <c r="J17" s="12"/>
    </row>
    <row r="18" spans="1:10" ht="60" customHeight="1" x14ac:dyDescent="0.3">
      <c r="A18" s="6" t="s">
        <v>52</v>
      </c>
      <c r="B18" s="6" t="s">
        <v>11</v>
      </c>
      <c r="C18" s="6" t="s">
        <v>27</v>
      </c>
      <c r="D18" s="7" t="s">
        <v>11</v>
      </c>
      <c r="E18" s="8" t="s">
        <v>53</v>
      </c>
      <c r="F18" s="6" t="s">
        <v>11</v>
      </c>
      <c r="G18" s="9" t="s">
        <v>664</v>
      </c>
      <c r="H18" s="10" t="s">
        <v>50</v>
      </c>
      <c r="I18" s="11" t="s">
        <v>663</v>
      </c>
      <c r="J18" s="12" t="s">
        <v>30</v>
      </c>
    </row>
    <row r="19" spans="1:10" ht="60" customHeight="1" x14ac:dyDescent="0.3">
      <c r="A19" s="6" t="s">
        <v>54</v>
      </c>
      <c r="B19" s="6" t="s">
        <v>11</v>
      </c>
      <c r="C19" s="6" t="s">
        <v>46</v>
      </c>
      <c r="D19" s="7" t="s">
        <v>11</v>
      </c>
      <c r="E19" s="8" t="s">
        <v>55</v>
      </c>
      <c r="F19" s="6" t="s">
        <v>11</v>
      </c>
      <c r="G19" s="9" t="s">
        <v>657</v>
      </c>
      <c r="H19" s="10" t="s">
        <v>52</v>
      </c>
      <c r="I19" s="11" t="s">
        <v>22</v>
      </c>
      <c r="J19" s="12" t="s">
        <v>23</v>
      </c>
    </row>
    <row r="20" spans="1:10" ht="60" customHeight="1" x14ac:dyDescent="0.3">
      <c r="A20" s="6" t="s">
        <v>56</v>
      </c>
      <c r="B20" s="6" t="s">
        <v>11</v>
      </c>
      <c r="C20" s="6" t="s">
        <v>11</v>
      </c>
      <c r="D20" s="7" t="s">
        <v>11</v>
      </c>
      <c r="E20" s="8" t="s">
        <v>57</v>
      </c>
      <c r="F20" s="6" t="s">
        <v>11</v>
      </c>
      <c r="G20" s="9" t="s">
        <v>419</v>
      </c>
      <c r="H20" s="10" t="s">
        <v>54</v>
      </c>
      <c r="I20" s="11" t="s">
        <v>109</v>
      </c>
      <c r="J20" s="12" t="s">
        <v>58</v>
      </c>
    </row>
    <row r="21" spans="1:10" ht="60" customHeight="1" x14ac:dyDescent="0.3">
      <c r="A21" s="6" t="s">
        <v>59</v>
      </c>
      <c r="B21" s="6" t="s">
        <v>11</v>
      </c>
      <c r="C21" s="6" t="s">
        <v>60</v>
      </c>
      <c r="D21" s="7" t="s">
        <v>11</v>
      </c>
      <c r="E21" s="8" t="s">
        <v>61</v>
      </c>
      <c r="F21" s="6" t="s">
        <v>11</v>
      </c>
      <c r="G21" s="9" t="s">
        <v>657</v>
      </c>
      <c r="H21" s="10" t="s">
        <v>56</v>
      </c>
      <c r="I21" s="11" t="s">
        <v>22</v>
      </c>
      <c r="J21" s="12" t="s">
        <v>30</v>
      </c>
    </row>
    <row r="22" spans="1:10" ht="60" customHeight="1" x14ac:dyDescent="0.3">
      <c r="A22" s="6" t="s">
        <v>62</v>
      </c>
      <c r="B22" s="6" t="s">
        <v>11</v>
      </c>
      <c r="C22" s="6" t="s">
        <v>27</v>
      </c>
      <c r="D22" s="7" t="s">
        <v>11</v>
      </c>
      <c r="E22" s="8" t="s">
        <v>63</v>
      </c>
      <c r="F22" s="6" t="s">
        <v>11</v>
      </c>
      <c r="G22" s="9" t="s">
        <v>665</v>
      </c>
      <c r="H22" s="10">
        <v>18</v>
      </c>
      <c r="I22" s="11" t="s">
        <v>650</v>
      </c>
      <c r="J22" s="12" t="s">
        <v>30</v>
      </c>
    </row>
    <row r="23" spans="1:10" ht="60" customHeight="1" x14ac:dyDescent="0.3">
      <c r="A23" s="6" t="s">
        <v>64</v>
      </c>
      <c r="B23" s="6" t="s">
        <v>11</v>
      </c>
      <c r="C23" s="6" t="s">
        <v>11</v>
      </c>
      <c r="D23" s="7" t="s">
        <v>11</v>
      </c>
      <c r="E23" s="8" t="s">
        <v>65</v>
      </c>
      <c r="F23" s="6" t="s">
        <v>11</v>
      </c>
      <c r="G23" s="9" t="s">
        <v>671</v>
      </c>
      <c r="H23" s="10">
        <v>19</v>
      </c>
      <c r="I23" s="11" t="s">
        <v>109</v>
      </c>
      <c r="J23" s="12" t="s">
        <v>30</v>
      </c>
    </row>
    <row r="24" spans="1:10" ht="60" customHeight="1" x14ac:dyDescent="0.3">
      <c r="A24" s="6" t="s">
        <v>66</v>
      </c>
      <c r="B24" s="6" t="s">
        <v>11</v>
      </c>
      <c r="C24" s="6" t="s">
        <v>11</v>
      </c>
      <c r="D24" s="7" t="s">
        <v>11</v>
      </c>
      <c r="E24" s="8" t="s">
        <v>67</v>
      </c>
      <c r="F24" s="6" t="s">
        <v>11</v>
      </c>
      <c r="G24" s="9" t="s">
        <v>672</v>
      </c>
      <c r="H24" s="10">
        <v>22</v>
      </c>
      <c r="I24" s="11" t="s">
        <v>22</v>
      </c>
      <c r="J24" s="12"/>
    </row>
    <row r="25" spans="1:10" ht="60" customHeight="1" x14ac:dyDescent="0.3">
      <c r="A25" s="6" t="s">
        <v>68</v>
      </c>
      <c r="B25" s="6" t="s">
        <v>11</v>
      </c>
      <c r="C25" s="6" t="s">
        <v>69</v>
      </c>
      <c r="D25" s="7" t="s">
        <v>11</v>
      </c>
      <c r="E25" s="8" t="s">
        <v>70</v>
      </c>
      <c r="F25" s="6" t="s">
        <v>11</v>
      </c>
      <c r="G25" s="9" t="s">
        <v>463</v>
      </c>
      <c r="H25" s="10">
        <v>23</v>
      </c>
      <c r="I25" s="11" t="s">
        <v>673</v>
      </c>
      <c r="J25" s="12" t="s">
        <v>71</v>
      </c>
    </row>
    <row r="26" spans="1:10" ht="60" customHeight="1" x14ac:dyDescent="0.3">
      <c r="A26" s="6" t="s">
        <v>72</v>
      </c>
      <c r="B26" s="6" t="s">
        <v>11</v>
      </c>
      <c r="C26" s="6" t="s">
        <v>11</v>
      </c>
      <c r="D26" s="7" t="s">
        <v>11</v>
      </c>
      <c r="E26" s="8" t="s">
        <v>73</v>
      </c>
      <c r="F26" s="6" t="s">
        <v>11</v>
      </c>
      <c r="G26" s="9" t="s">
        <v>660</v>
      </c>
      <c r="H26" s="10">
        <v>24</v>
      </c>
      <c r="I26" s="11" t="s">
        <v>29</v>
      </c>
      <c r="J26" s="12"/>
    </row>
    <row r="27" spans="1:10" ht="60" customHeight="1" x14ac:dyDescent="0.3">
      <c r="A27" s="6" t="s">
        <v>74</v>
      </c>
      <c r="B27" s="6" t="s">
        <v>11</v>
      </c>
      <c r="C27" s="6" t="s">
        <v>46</v>
      </c>
      <c r="D27" s="7" t="s">
        <v>11</v>
      </c>
      <c r="E27" s="8" t="s">
        <v>75</v>
      </c>
      <c r="F27" s="6" t="s">
        <v>11</v>
      </c>
      <c r="G27" s="9" t="s">
        <v>667</v>
      </c>
      <c r="H27" s="10" t="s">
        <v>72</v>
      </c>
      <c r="I27" s="11" t="s">
        <v>22</v>
      </c>
      <c r="J27" s="12" t="s">
        <v>23</v>
      </c>
    </row>
    <row r="28" spans="1:10" ht="60" customHeight="1" x14ac:dyDescent="0.3">
      <c r="A28" s="6" t="s">
        <v>76</v>
      </c>
      <c r="B28" s="6" t="s">
        <v>11</v>
      </c>
      <c r="C28" s="6" t="s">
        <v>60</v>
      </c>
      <c r="D28" s="7" t="s">
        <v>11</v>
      </c>
      <c r="E28" s="8" t="s">
        <v>77</v>
      </c>
      <c r="F28" s="6" t="s">
        <v>11</v>
      </c>
      <c r="G28" s="9" t="s">
        <v>669</v>
      </c>
      <c r="H28" s="10">
        <v>26</v>
      </c>
      <c r="I28" s="11" t="s">
        <v>668</v>
      </c>
      <c r="J28" s="12" t="s">
        <v>30</v>
      </c>
    </row>
    <row r="29" spans="1:10" ht="60" customHeight="1" x14ac:dyDescent="0.3">
      <c r="A29" s="6" t="s">
        <v>78</v>
      </c>
      <c r="B29" s="6" t="s">
        <v>11</v>
      </c>
      <c r="C29" s="6" t="s">
        <v>20</v>
      </c>
      <c r="D29" s="7" t="s">
        <v>11</v>
      </c>
      <c r="E29" s="8" t="s">
        <v>79</v>
      </c>
      <c r="F29" s="6" t="s">
        <v>11</v>
      </c>
      <c r="G29" s="9" t="s">
        <v>661</v>
      </c>
      <c r="H29" s="10" t="s">
        <v>76</v>
      </c>
      <c r="I29" s="11" t="s">
        <v>662</v>
      </c>
      <c r="J29" s="12" t="s">
        <v>23</v>
      </c>
    </row>
    <row r="30" spans="1:10" ht="60" customHeight="1" x14ac:dyDescent="0.3">
      <c r="A30" s="6" t="s">
        <v>80</v>
      </c>
      <c r="B30" s="6" t="s">
        <v>11</v>
      </c>
      <c r="C30" s="6" t="s">
        <v>20</v>
      </c>
      <c r="D30" s="7" t="s">
        <v>11</v>
      </c>
      <c r="E30" s="8" t="s">
        <v>81</v>
      </c>
      <c r="F30" s="6" t="s">
        <v>11</v>
      </c>
      <c r="G30" s="9" t="s">
        <v>665</v>
      </c>
      <c r="H30" s="10">
        <v>27</v>
      </c>
      <c r="I30" s="11" t="s">
        <v>650</v>
      </c>
      <c r="J30" s="12" t="s">
        <v>23</v>
      </c>
    </row>
    <row r="31" spans="1:10" ht="60" customHeight="1" x14ac:dyDescent="0.3">
      <c r="A31" s="6" t="s">
        <v>82</v>
      </c>
      <c r="B31" s="6" t="s">
        <v>11</v>
      </c>
      <c r="C31" s="6" t="s">
        <v>27</v>
      </c>
      <c r="D31" s="7" t="s">
        <v>11</v>
      </c>
      <c r="E31" s="8" t="s">
        <v>83</v>
      </c>
      <c r="F31" s="6" t="s">
        <v>11</v>
      </c>
      <c r="G31" s="9" t="s">
        <v>674</v>
      </c>
      <c r="H31" s="10" t="s">
        <v>80</v>
      </c>
      <c r="I31" s="11" t="s">
        <v>22</v>
      </c>
      <c r="J31" s="12" t="s">
        <v>30</v>
      </c>
    </row>
    <row r="32" spans="1:10" ht="60" customHeight="1" x14ac:dyDescent="0.3">
      <c r="A32" s="6" t="s">
        <v>84</v>
      </c>
      <c r="B32" s="6" t="s">
        <v>11</v>
      </c>
      <c r="C32" s="6" t="s">
        <v>11</v>
      </c>
      <c r="D32" s="7" t="s">
        <v>11</v>
      </c>
      <c r="E32" s="8" t="s">
        <v>85</v>
      </c>
      <c r="F32" s="6" t="s">
        <v>11</v>
      </c>
      <c r="G32" s="9" t="s">
        <v>675</v>
      </c>
      <c r="H32" s="10">
        <v>29</v>
      </c>
      <c r="I32" s="11" t="s">
        <v>29</v>
      </c>
      <c r="J32" s="12" t="s">
        <v>18</v>
      </c>
    </row>
    <row r="33" spans="1:10" ht="60" customHeight="1" x14ac:dyDescent="0.3">
      <c r="A33" s="6" t="s">
        <v>86</v>
      </c>
      <c r="B33" s="6" t="s">
        <v>11</v>
      </c>
      <c r="C33" s="6" t="s">
        <v>11</v>
      </c>
      <c r="D33" s="7" t="s">
        <v>11</v>
      </c>
      <c r="E33" s="8" t="s">
        <v>87</v>
      </c>
      <c r="F33" s="6" t="s">
        <v>11</v>
      </c>
      <c r="G33" s="9" t="s">
        <v>523</v>
      </c>
      <c r="H33" s="10">
        <v>31</v>
      </c>
      <c r="I33" s="11" t="s">
        <v>650</v>
      </c>
      <c r="J33" s="12" t="s">
        <v>30</v>
      </c>
    </row>
    <row r="34" spans="1:10" ht="60" customHeight="1" x14ac:dyDescent="0.3">
      <c r="A34" s="6" t="s">
        <v>88</v>
      </c>
      <c r="B34" s="6" t="s">
        <v>11</v>
      </c>
      <c r="C34" s="6" t="s">
        <v>60</v>
      </c>
      <c r="D34" s="7" t="s">
        <v>11</v>
      </c>
      <c r="E34" s="8" t="s">
        <v>89</v>
      </c>
      <c r="F34" s="6" t="s">
        <v>11</v>
      </c>
      <c r="G34" s="9" t="str">
        <f t="shared" ref="G34:G58" si="0">IF(A34=1,"_",IF(C34="_","???",C34))</f>
        <v>(und)</v>
      </c>
      <c r="H34" s="10" t="s">
        <v>86</v>
      </c>
      <c r="I34" s="11" t="s">
        <v>29</v>
      </c>
      <c r="J34" s="12" t="s">
        <v>30</v>
      </c>
    </row>
    <row r="35" spans="1:10" ht="60" customHeight="1" x14ac:dyDescent="0.3">
      <c r="A35" s="6" t="s">
        <v>90</v>
      </c>
      <c r="B35" s="6" t="s">
        <v>11</v>
      </c>
      <c r="C35" s="6" t="s">
        <v>11</v>
      </c>
      <c r="D35" s="7" t="s">
        <v>11</v>
      </c>
      <c r="E35" s="8" t="s">
        <v>91</v>
      </c>
      <c r="F35" s="6" t="s">
        <v>11</v>
      </c>
      <c r="G35" s="9" t="s">
        <v>676</v>
      </c>
      <c r="H35" s="10" t="s">
        <v>88</v>
      </c>
      <c r="I35" s="11" t="s">
        <v>650</v>
      </c>
      <c r="J35" s="12" t="s">
        <v>30</v>
      </c>
    </row>
    <row r="36" spans="1:10" ht="60" customHeight="1" x14ac:dyDescent="0.3">
      <c r="A36" s="6" t="s">
        <v>92</v>
      </c>
      <c r="B36" s="6" t="s">
        <v>11</v>
      </c>
      <c r="C36" s="6" t="s">
        <v>11</v>
      </c>
      <c r="D36" s="7" t="s">
        <v>11</v>
      </c>
      <c r="E36" s="8" t="s">
        <v>93</v>
      </c>
      <c r="F36" s="6" t="s">
        <v>11</v>
      </c>
      <c r="G36" s="9" t="s">
        <v>678</v>
      </c>
      <c r="H36" s="10">
        <v>34</v>
      </c>
      <c r="I36" s="11" t="s">
        <v>677</v>
      </c>
      <c r="J36" s="12"/>
    </row>
    <row r="37" spans="1:10" ht="60" customHeight="1" x14ac:dyDescent="0.3">
      <c r="A37" s="6" t="s">
        <v>94</v>
      </c>
      <c r="B37" s="6" t="s">
        <v>11</v>
      </c>
      <c r="C37" s="6" t="s">
        <v>11</v>
      </c>
      <c r="D37" s="7" t="s">
        <v>11</v>
      </c>
      <c r="E37" s="8" t="s">
        <v>95</v>
      </c>
      <c r="F37" s="6" t="s">
        <v>11</v>
      </c>
      <c r="G37" s="9" t="s">
        <v>655</v>
      </c>
      <c r="H37" s="10">
        <v>34</v>
      </c>
      <c r="I37" s="11" t="s">
        <v>29</v>
      </c>
      <c r="J37" s="12" t="s">
        <v>30</v>
      </c>
    </row>
    <row r="38" spans="1:10" ht="60" customHeight="1" x14ac:dyDescent="0.3">
      <c r="A38" s="6" t="s">
        <v>96</v>
      </c>
      <c r="B38" s="6" t="s">
        <v>11</v>
      </c>
      <c r="C38" s="6" t="s">
        <v>97</v>
      </c>
      <c r="D38" s="7" t="s">
        <v>11</v>
      </c>
      <c r="E38" s="8" t="s">
        <v>98</v>
      </c>
      <c r="F38" s="6" t="s">
        <v>11</v>
      </c>
      <c r="G38" s="9" t="s">
        <v>658</v>
      </c>
      <c r="H38" s="10">
        <v>28</v>
      </c>
      <c r="I38" s="11" t="s">
        <v>99</v>
      </c>
      <c r="J38" s="12" t="s">
        <v>100</v>
      </c>
    </row>
    <row r="39" spans="1:10" ht="60" customHeight="1" x14ac:dyDescent="0.3">
      <c r="A39" s="6" t="s">
        <v>101</v>
      </c>
      <c r="B39" s="6" t="s">
        <v>11</v>
      </c>
      <c r="C39" s="6" t="s">
        <v>27</v>
      </c>
      <c r="D39" s="7" t="s">
        <v>11</v>
      </c>
      <c r="E39" s="8" t="s">
        <v>102</v>
      </c>
      <c r="F39" s="6" t="s">
        <v>11</v>
      </c>
      <c r="G39" s="9" t="str">
        <f t="shared" si="0"/>
        <v>(and)</v>
      </c>
      <c r="H39" s="10" t="s">
        <v>96</v>
      </c>
      <c r="I39" s="11" t="s">
        <v>29</v>
      </c>
      <c r="J39" s="12" t="s">
        <v>30</v>
      </c>
    </row>
    <row r="40" spans="1:10" ht="60" customHeight="1" x14ac:dyDescent="0.3">
      <c r="A40" s="6" t="s">
        <v>103</v>
      </c>
      <c r="B40" s="6" t="s">
        <v>11</v>
      </c>
      <c r="C40" s="6" t="s">
        <v>11</v>
      </c>
      <c r="D40" s="7" t="s">
        <v>11</v>
      </c>
      <c r="E40" s="8" t="s">
        <v>104</v>
      </c>
      <c r="F40" s="6" t="s">
        <v>11</v>
      </c>
      <c r="G40" s="9" t="s">
        <v>666</v>
      </c>
      <c r="H40" s="10">
        <v>26</v>
      </c>
      <c r="I40" s="11" t="s">
        <v>99</v>
      </c>
      <c r="J40" s="12"/>
    </row>
    <row r="41" spans="1:10" ht="60" customHeight="1" x14ac:dyDescent="0.3">
      <c r="A41" s="6" t="s">
        <v>105</v>
      </c>
      <c r="B41" s="6" t="s">
        <v>11</v>
      </c>
      <c r="C41" s="6" t="s">
        <v>46</v>
      </c>
      <c r="D41" s="7" t="s">
        <v>11</v>
      </c>
      <c r="E41" s="8" t="s">
        <v>106</v>
      </c>
      <c r="F41" s="6" t="s">
        <v>11</v>
      </c>
      <c r="G41" s="9" t="s">
        <v>679</v>
      </c>
      <c r="H41" s="10" t="s">
        <v>103</v>
      </c>
      <c r="I41" s="11" t="s">
        <v>22</v>
      </c>
      <c r="J41" s="12" t="s">
        <v>23</v>
      </c>
    </row>
    <row r="42" spans="1:10" ht="60" customHeight="1" x14ac:dyDescent="0.3">
      <c r="A42" s="6" t="s">
        <v>107</v>
      </c>
      <c r="B42" s="6" t="s">
        <v>11</v>
      </c>
      <c r="C42" s="6" t="s">
        <v>69</v>
      </c>
      <c r="D42" s="7" t="s">
        <v>11</v>
      </c>
      <c r="E42" s="8" t="s">
        <v>108</v>
      </c>
      <c r="F42" s="6" t="s">
        <v>11</v>
      </c>
      <c r="G42" s="9" t="s">
        <v>457</v>
      </c>
      <c r="H42" s="10">
        <v>39</v>
      </c>
      <c r="I42" s="11" t="s">
        <v>677</v>
      </c>
      <c r="J42" s="12" t="s">
        <v>110</v>
      </c>
    </row>
    <row r="43" spans="1:10" ht="60" customHeight="1" x14ac:dyDescent="0.3">
      <c r="A43" s="6" t="s">
        <v>111</v>
      </c>
      <c r="B43" s="6" t="s">
        <v>11</v>
      </c>
      <c r="C43" s="6" t="s">
        <v>11</v>
      </c>
      <c r="D43" s="7" t="s">
        <v>11</v>
      </c>
      <c r="E43" s="8" t="s">
        <v>112</v>
      </c>
      <c r="F43" s="6" t="s">
        <v>11</v>
      </c>
      <c r="G43" s="9" t="s">
        <v>680</v>
      </c>
      <c r="H43" s="10">
        <v>41</v>
      </c>
      <c r="I43" s="11" t="s">
        <v>681</v>
      </c>
      <c r="J43" s="12"/>
    </row>
    <row r="44" spans="1:10" ht="60" customHeight="1" x14ac:dyDescent="0.3">
      <c r="A44" s="6" t="s">
        <v>113</v>
      </c>
      <c r="B44" s="6" t="s">
        <v>11</v>
      </c>
      <c r="C44" s="6" t="s">
        <v>46</v>
      </c>
      <c r="D44" s="7" t="s">
        <v>11</v>
      </c>
      <c r="E44" s="8" t="s">
        <v>114</v>
      </c>
      <c r="F44" s="6" t="s">
        <v>11</v>
      </c>
      <c r="G44" s="9" t="s">
        <v>572</v>
      </c>
      <c r="H44" s="10" t="s">
        <v>111</v>
      </c>
      <c r="I44" s="11" t="s">
        <v>682</v>
      </c>
      <c r="J44" s="12" t="s">
        <v>23</v>
      </c>
    </row>
    <row r="45" spans="1:10" ht="60" customHeight="1" x14ac:dyDescent="0.3">
      <c r="A45" s="6" t="s">
        <v>115</v>
      </c>
      <c r="B45" s="6" t="s">
        <v>11</v>
      </c>
      <c r="C45" s="6" t="s">
        <v>11</v>
      </c>
      <c r="D45" s="7" t="s">
        <v>11</v>
      </c>
      <c r="E45" s="8" t="s">
        <v>116</v>
      </c>
      <c r="F45" s="6" t="s">
        <v>11</v>
      </c>
      <c r="G45" s="9" t="s">
        <v>683</v>
      </c>
      <c r="H45" s="10">
        <v>42</v>
      </c>
      <c r="I45" s="11" t="s">
        <v>673</v>
      </c>
      <c r="J45" s="12"/>
    </row>
    <row r="46" spans="1:10" ht="60" customHeight="1" x14ac:dyDescent="0.3">
      <c r="A46" s="6" t="s">
        <v>118</v>
      </c>
      <c r="B46" s="6" t="s">
        <v>11</v>
      </c>
      <c r="C46" s="6" t="s">
        <v>60</v>
      </c>
      <c r="D46" s="7" t="s">
        <v>11</v>
      </c>
      <c r="E46" s="8" t="s">
        <v>119</v>
      </c>
      <c r="F46" s="6" t="s">
        <v>11</v>
      </c>
      <c r="G46" s="9" t="s">
        <v>684</v>
      </c>
      <c r="H46" s="10" t="s">
        <v>115</v>
      </c>
      <c r="I46" s="11" t="s">
        <v>109</v>
      </c>
      <c r="J46" s="12" t="s">
        <v>30</v>
      </c>
    </row>
    <row r="47" spans="1:10" ht="60" customHeight="1" x14ac:dyDescent="0.3">
      <c r="A47" s="6" t="s">
        <v>120</v>
      </c>
      <c r="B47" s="6" t="s">
        <v>11</v>
      </c>
      <c r="C47" s="6" t="s">
        <v>11</v>
      </c>
      <c r="D47" s="7" t="s">
        <v>11</v>
      </c>
      <c r="E47" s="8" t="s">
        <v>121</v>
      </c>
      <c r="F47" s="6" t="s">
        <v>11</v>
      </c>
      <c r="G47" s="9" t="s">
        <v>655</v>
      </c>
      <c r="H47" s="10" t="s">
        <v>118</v>
      </c>
      <c r="I47" s="11" t="s">
        <v>29</v>
      </c>
      <c r="J47" s="12" t="s">
        <v>30</v>
      </c>
    </row>
    <row r="48" spans="1:10" ht="60" customHeight="1" x14ac:dyDescent="0.3">
      <c r="A48" s="6" t="s">
        <v>122</v>
      </c>
      <c r="B48" s="6" t="s">
        <v>11</v>
      </c>
      <c r="C48" s="6" t="s">
        <v>46</v>
      </c>
      <c r="D48" s="7" t="s">
        <v>11</v>
      </c>
      <c r="E48" s="8" t="s">
        <v>123</v>
      </c>
      <c r="F48" s="6" t="s">
        <v>11</v>
      </c>
      <c r="G48" s="9" t="s">
        <v>657</v>
      </c>
      <c r="H48" s="10" t="s">
        <v>120</v>
      </c>
      <c r="I48" s="11" t="s">
        <v>22</v>
      </c>
      <c r="J48" s="12" t="s">
        <v>23</v>
      </c>
    </row>
    <row r="49" spans="1:10" ht="60" customHeight="1" x14ac:dyDescent="0.3">
      <c r="A49" s="6" t="s">
        <v>124</v>
      </c>
      <c r="B49" s="6" t="s">
        <v>11</v>
      </c>
      <c r="C49" s="6" t="s">
        <v>11</v>
      </c>
      <c r="D49" s="7" t="s">
        <v>11</v>
      </c>
      <c r="E49" s="8" t="s">
        <v>125</v>
      </c>
      <c r="F49" s="6" t="s">
        <v>11</v>
      </c>
      <c r="G49" s="9" t="s">
        <v>216</v>
      </c>
      <c r="H49" s="10" t="s">
        <v>122</v>
      </c>
      <c r="I49" s="11" t="s">
        <v>17</v>
      </c>
      <c r="J49" s="12" t="s">
        <v>18</v>
      </c>
    </row>
    <row r="50" spans="1:10" ht="60" customHeight="1" x14ac:dyDescent="0.3">
      <c r="A50" s="6" t="s">
        <v>126</v>
      </c>
      <c r="B50" s="6" t="s">
        <v>11</v>
      </c>
      <c r="C50" s="6" t="s">
        <v>127</v>
      </c>
      <c r="D50" s="7" t="s">
        <v>11</v>
      </c>
      <c r="E50" s="8" t="s">
        <v>128</v>
      </c>
      <c r="F50" s="6" t="s">
        <v>11</v>
      </c>
      <c r="G50" s="9" t="s">
        <v>684</v>
      </c>
      <c r="H50" s="10" t="s">
        <v>124</v>
      </c>
      <c r="I50" s="11" t="s">
        <v>109</v>
      </c>
      <c r="J50" s="12" t="s">
        <v>110</v>
      </c>
    </row>
    <row r="51" spans="1:10" ht="60" customHeight="1" x14ac:dyDescent="0.3">
      <c r="A51" s="6" t="s">
        <v>129</v>
      </c>
      <c r="B51" s="6" t="s">
        <v>11</v>
      </c>
      <c r="C51" s="6" t="s">
        <v>11</v>
      </c>
      <c r="D51" s="7" t="s">
        <v>11</v>
      </c>
      <c r="E51" s="8" t="s">
        <v>130</v>
      </c>
      <c r="F51" s="6" t="s">
        <v>11</v>
      </c>
      <c r="G51" s="9" t="s">
        <v>685</v>
      </c>
      <c r="H51" s="10" t="s">
        <v>126</v>
      </c>
      <c r="I51" s="11" t="s">
        <v>99</v>
      </c>
      <c r="J51" s="12" t="s">
        <v>30</v>
      </c>
    </row>
    <row r="52" spans="1:10" ht="60" customHeight="1" x14ac:dyDescent="0.3">
      <c r="A52" s="6" t="s">
        <v>131</v>
      </c>
      <c r="B52" s="6" t="s">
        <v>11</v>
      </c>
      <c r="C52" s="6" t="s">
        <v>11</v>
      </c>
      <c r="D52" s="7" t="s">
        <v>11</v>
      </c>
      <c r="E52" s="8" t="s">
        <v>132</v>
      </c>
      <c r="F52" s="6" t="s">
        <v>11</v>
      </c>
      <c r="G52" s="9" t="s">
        <v>661</v>
      </c>
      <c r="H52" s="10">
        <v>50</v>
      </c>
      <c r="I52" s="11" t="s">
        <v>662</v>
      </c>
      <c r="J52" s="12"/>
    </row>
    <row r="53" spans="1:10" ht="60" customHeight="1" x14ac:dyDescent="0.3">
      <c r="A53" s="6" t="s">
        <v>133</v>
      </c>
      <c r="B53" s="6" t="s">
        <v>11</v>
      </c>
      <c r="C53" s="6" t="s">
        <v>11</v>
      </c>
      <c r="D53" s="7" t="s">
        <v>11</v>
      </c>
      <c r="E53" s="8" t="s">
        <v>134</v>
      </c>
      <c r="F53" s="6" t="s">
        <v>11</v>
      </c>
      <c r="G53" s="9" t="s">
        <v>523</v>
      </c>
      <c r="H53" s="10" t="s">
        <v>131</v>
      </c>
      <c r="I53" s="11" t="s">
        <v>29</v>
      </c>
      <c r="J53" s="12" t="s">
        <v>30</v>
      </c>
    </row>
    <row r="54" spans="1:10" ht="60" customHeight="1" x14ac:dyDescent="0.3">
      <c r="A54" s="6" t="s">
        <v>135</v>
      </c>
      <c r="B54" s="6" t="s">
        <v>11</v>
      </c>
      <c r="C54" s="6" t="s">
        <v>11</v>
      </c>
      <c r="D54" s="7" t="s">
        <v>11</v>
      </c>
      <c r="E54" s="8" t="s">
        <v>136</v>
      </c>
      <c r="F54" s="6" t="s">
        <v>11</v>
      </c>
      <c r="G54" s="9" t="s">
        <v>686</v>
      </c>
      <c r="H54" s="10">
        <v>55</v>
      </c>
      <c r="I54" s="11" t="s">
        <v>677</v>
      </c>
      <c r="J54" s="12"/>
    </row>
    <row r="55" spans="1:10" ht="60" customHeight="1" x14ac:dyDescent="0.3">
      <c r="A55" s="6" t="s">
        <v>137</v>
      </c>
      <c r="B55" s="6" t="s">
        <v>11</v>
      </c>
      <c r="C55" s="6" t="s">
        <v>11</v>
      </c>
      <c r="D55" s="7" t="s">
        <v>11</v>
      </c>
      <c r="E55" s="8" t="s">
        <v>138</v>
      </c>
      <c r="F55" s="6" t="s">
        <v>11</v>
      </c>
      <c r="G55" s="9" t="s">
        <v>687</v>
      </c>
      <c r="H55" s="10" t="s">
        <v>135</v>
      </c>
      <c r="I55" s="11" t="s">
        <v>117</v>
      </c>
      <c r="J55" s="12"/>
    </row>
    <row r="56" spans="1:10" ht="60" customHeight="1" x14ac:dyDescent="0.3">
      <c r="A56" s="6" t="s">
        <v>139</v>
      </c>
      <c r="B56" s="6" t="s">
        <v>11</v>
      </c>
      <c r="C56" s="6" t="s">
        <v>11</v>
      </c>
      <c r="D56" s="7" t="s">
        <v>11</v>
      </c>
      <c r="E56" s="8" t="s">
        <v>140</v>
      </c>
      <c r="F56" s="6" t="s">
        <v>11</v>
      </c>
      <c r="G56" s="9" t="s">
        <v>216</v>
      </c>
      <c r="H56" s="10" t="s">
        <v>137</v>
      </c>
      <c r="I56" s="11" t="s">
        <v>17</v>
      </c>
      <c r="J56" s="12" t="s">
        <v>18</v>
      </c>
    </row>
    <row r="57" spans="1:10" ht="60" customHeight="1" x14ac:dyDescent="0.3">
      <c r="A57" s="6" t="s">
        <v>141</v>
      </c>
      <c r="B57" s="6" t="s">
        <v>11</v>
      </c>
      <c r="C57" s="6" t="s">
        <v>27</v>
      </c>
      <c r="D57" s="7" t="s">
        <v>11</v>
      </c>
      <c r="E57" s="8" t="s">
        <v>142</v>
      </c>
      <c r="F57" s="6" t="s">
        <v>11</v>
      </c>
      <c r="G57" s="9" t="s">
        <v>60</v>
      </c>
      <c r="H57" s="10" t="s">
        <v>139</v>
      </c>
      <c r="I57" s="11" t="s">
        <v>29</v>
      </c>
      <c r="J57" s="12" t="s">
        <v>30</v>
      </c>
    </row>
    <row r="58" spans="1:10" ht="60" customHeight="1" x14ac:dyDescent="0.3">
      <c r="A58" s="6" t="s">
        <v>143</v>
      </c>
      <c r="B58" s="6" t="s">
        <v>11</v>
      </c>
      <c r="C58" s="6" t="s">
        <v>11</v>
      </c>
      <c r="D58" s="7" t="s">
        <v>11</v>
      </c>
      <c r="E58" s="8" t="s">
        <v>144</v>
      </c>
      <c r="F58" s="6" t="s">
        <v>11</v>
      </c>
      <c r="G58" s="9" t="s">
        <v>11</v>
      </c>
      <c r="H58" s="10" t="s">
        <v>11</v>
      </c>
      <c r="I58" s="11" t="s">
        <v>645</v>
      </c>
      <c r="J5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145</v>
      </c>
      <c r="B1" s="13" t="s">
        <v>146</v>
      </c>
      <c r="C1" s="13" t="s">
        <v>147</v>
      </c>
      <c r="D1" s="13" t="s">
        <v>148</v>
      </c>
      <c r="E1" s="14" t="s">
        <v>149</v>
      </c>
      <c r="F1" s="15" t="s">
        <v>150</v>
      </c>
      <c r="G1" s="16" t="s">
        <v>151</v>
      </c>
      <c r="H1" s="17" t="s">
        <v>152</v>
      </c>
      <c r="I1" s="18" t="s">
        <v>153</v>
      </c>
      <c r="J1" s="18" t="s">
        <v>154</v>
      </c>
      <c r="K1" s="18" t="s">
        <v>155</v>
      </c>
      <c r="L1" s="19" t="s">
        <v>9</v>
      </c>
    </row>
    <row r="2" spans="1:12" x14ac:dyDescent="0.3">
      <c r="A2" t="s">
        <v>156</v>
      </c>
    </row>
    <row r="3" spans="1:12" x14ac:dyDescent="0.3">
      <c r="A3" t="s">
        <v>157</v>
      </c>
      <c r="B3" s="20" t="s">
        <v>158</v>
      </c>
      <c r="C3" s="20" t="s">
        <v>159</v>
      </c>
      <c r="D3" s="20" t="s">
        <v>160</v>
      </c>
      <c r="E3" s="21" t="str">
        <f t="shared" ref="E3:E13" si="0">IF(D3="?OLD","!!!","")</f>
        <v>!!!</v>
      </c>
      <c r="F3" s="22" t="str">
        <f>IF(OR(E3="",E3="!!!"),"",IF(NOT(ISNA(VLOOKUP(E3,E$1:E2,1,FALSE()))),"OLD",IF(AND(E3&lt;&gt;"",E3&lt;&gt;"!!!"),"NEW","")))</f>
        <v/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/>
      </c>
      <c r="H3" s="24" t="str">
        <f t="shared" ref="H3:H13" ca="1" si="1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161</v>
      </c>
      <c r="E4" s="21" t="str">
        <f t="shared" si="0"/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1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162</v>
      </c>
      <c r="E5" s="21" t="str">
        <f t="shared" si="0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1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163</v>
      </c>
      <c r="E6" s="21" t="str">
        <f t="shared" si="0"/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1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164</v>
      </c>
      <c r="E7" s="21" t="str">
        <f t="shared" si="0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1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165</v>
      </c>
      <c r="E8" s="21" t="str">
        <f t="shared" si="0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1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166</v>
      </c>
      <c r="B9" s="20" t="s">
        <v>158</v>
      </c>
      <c r="C9" s="20" t="s">
        <v>167</v>
      </c>
      <c r="E9" s="21" t="str">
        <f t="shared" si="0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1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168</v>
      </c>
      <c r="E10" s="21" t="str">
        <f t="shared" si="0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1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169</v>
      </c>
      <c r="B11" s="20" t="s">
        <v>158</v>
      </c>
      <c r="C11" s="20" t="s">
        <v>167</v>
      </c>
      <c r="E11" s="21" t="str">
        <f t="shared" si="0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1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170</v>
      </c>
      <c r="E12" s="21" t="str">
        <f t="shared" si="0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1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171</v>
      </c>
      <c r="B13" s="20" t="s">
        <v>172</v>
      </c>
      <c r="C13" s="20" t="s">
        <v>167</v>
      </c>
      <c r="E13" s="21" t="str">
        <f t="shared" si="0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1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5" spans="1:12" x14ac:dyDescent="0.3">
      <c r="A15" t="s">
        <v>173</v>
      </c>
    </row>
    <row r="16" spans="1:12" x14ac:dyDescent="0.3">
      <c r="A16" t="s">
        <v>174</v>
      </c>
      <c r="E16" s="21" t="str">
        <f t="shared" ref="E16:E53" si="2">IF(D16="?OLD","!!!","")</f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ref="H16:H53" ca="1" si="3">IF(J16&lt;&gt;1,"",IF(I16="SBJ","CB","?"))</f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175</v>
      </c>
      <c r="B17" s="20" t="s">
        <v>176</v>
      </c>
      <c r="C17" s="20" t="s">
        <v>177</v>
      </c>
      <c r="D17" s="20" t="s">
        <v>160</v>
      </c>
      <c r="E17" s="21" t="str">
        <f t="shared" si="2"/>
        <v>!!!</v>
      </c>
      <c r="F17" s="22" t="str">
        <f>IF(OR(E17="",E17="!!!"),"",IF(NOT(ISNA(VLOOKUP(E17,E$1:E16,1,FALSE()))),"OLD",IF(AND(E17&lt;&gt;"",E17&lt;&gt;"!!!"),"NEW","")))</f>
        <v/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/>
      </c>
      <c r="H17" s="24" t="str">
        <f t="shared" ca="1" si="3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8" spans="1:12" x14ac:dyDescent="0.3">
      <c r="A18" t="s">
        <v>178</v>
      </c>
      <c r="E18" s="21" t="str">
        <f t="shared" si="2"/>
        <v/>
      </c>
      <c r="F18" s="22" t="str">
        <f>IF(OR(E18="",E18="!!!"),"",IF(NOT(ISNA(VLOOKUP(E18,E$1:E17,1,FALSE()))),"OLD",IF(AND(E18&lt;&gt;"",E18&lt;&gt;"!!!"),"NEW","")))</f>
        <v/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4" t="str">
        <f t="shared" ca="1" si="3"/>
        <v/>
      </c>
      <c r="I18" s="25" t="str">
        <f>IF(OR(E18="",E18="!!!",F18="NEW"),"",INDEX(B$2:B17,-1+SUMPRODUCT(MAX(ROW(E$2:E17)*(E18=E$2:E17)))))</f>
        <v/>
      </c>
      <c r="J18" s="25" t="str">
        <f ca="1">IF(OR(E18="",E18="!!!",F18="NEW"),"",COUNTBLANK(OFFSET(A$1,,,SUMPRODUCT(MAX(ROW(E$2:E18)*(E18=E$2:E18)))))-COUNTBLANK(OFFSET(A$1,,,SUMPRODUCT(MAX(ROW(E$1:E17)*(E2=E$1:E17))))))</f>
        <v/>
      </c>
      <c r="K18" s="25" t="str">
        <f>IF(OR(E18="",E18="!!!",F18="NEW"),"",INDEX(J$1:J17,SUMPRODUCT(MAX(ROW(E$1:E17)*(E18=E$1:E17)))))</f>
        <v/>
      </c>
      <c r="L18" s="26"/>
    </row>
    <row r="19" spans="1:12" x14ac:dyDescent="0.3">
      <c r="A19" t="s">
        <v>179</v>
      </c>
      <c r="E19" s="21" t="str">
        <f t="shared" si="2"/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ca="1" si="3"/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180</v>
      </c>
      <c r="B20" s="20" t="s">
        <v>172</v>
      </c>
      <c r="C20" s="20" t="s">
        <v>181</v>
      </c>
      <c r="D20" s="20" t="s">
        <v>160</v>
      </c>
      <c r="E20" s="21" t="str">
        <f t="shared" si="2"/>
        <v>!!!</v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3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182</v>
      </c>
      <c r="E21" s="21" t="str">
        <f t="shared" si="2"/>
        <v/>
      </c>
      <c r="F21" s="22" t="str">
        <f>IF(OR(E21="",E21="!!!"),"",IF(NOT(ISNA(VLOOKUP(E21,E$1:E20,1,FALSE()))),"OLD",IF(AND(E21&lt;&gt;"",E21&lt;&gt;"!!!"),"NEW","")))</f>
        <v/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171</v>
      </c>
      <c r="B22" s="20" t="s">
        <v>183</v>
      </c>
      <c r="C22" s="20" t="s">
        <v>167</v>
      </c>
      <c r="E22" s="21" t="str">
        <f t="shared" si="2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3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184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185</v>
      </c>
      <c r="E24" s="21" t="str">
        <f t="shared" si="2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186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175</v>
      </c>
      <c r="B26" s="20" t="s">
        <v>187</v>
      </c>
      <c r="C26" s="20" t="s">
        <v>177</v>
      </c>
      <c r="D26" s="20" t="s">
        <v>160</v>
      </c>
      <c r="E26" s="21" t="str">
        <f t="shared" si="2"/>
        <v>!!!</v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188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189</v>
      </c>
      <c r="B28" s="20" t="s">
        <v>158</v>
      </c>
      <c r="C28" s="20" t="s">
        <v>167</v>
      </c>
      <c r="E28" s="21" t="str">
        <f t="shared" si="2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185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190</v>
      </c>
      <c r="B30" s="20" t="s">
        <v>191</v>
      </c>
      <c r="C30" s="20" t="s">
        <v>167</v>
      </c>
      <c r="E30" s="21" t="str">
        <f t="shared" si="2"/>
        <v/>
      </c>
      <c r="F30" s="22" t="str">
        <f>IF(OR(E30="",E30="!!!"),"",IF(NOT(ISNA(VLOOKUP(E30,E$1:E29,1,FALSE()))),"OLD",IF(AND(E30&lt;&gt;"",E30&lt;&gt;"!!!"),"NEW","")))</f>
        <v/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4" t="str">
        <f t="shared" ca="1" si="3"/>
        <v/>
      </c>
      <c r="I30" s="25" t="str">
        <f>IF(OR(E30="",E30="!!!",F30="NEW"),"",INDEX(B$2:B29,-1+SUMPRODUCT(MAX(ROW(E$2:E29)*(E30=E$2:E29)))))</f>
        <v/>
      </c>
      <c r="J30" s="25" t="str">
        <f ca="1">IF(OR(E30="",E30="!!!",F30="NEW"),"",COUNTBLANK(OFFSET(A$1,,,SUMPRODUCT(MAX(ROW(E$2:E30)*(E30=E$2:E30)))))-COUNTBLANK(OFFSET(A$1,,,SUMPRODUCT(MAX(ROW(E$1:E29)*(E2=E$1:E29))))))</f>
        <v/>
      </c>
      <c r="K30" s="25" t="str">
        <f>IF(OR(E30="",E30="!!!",F30="NEW"),"",INDEX(J$1:J29,SUMPRODUCT(MAX(ROW(E$1:E29)*(E30=E$1:E29)))))</f>
        <v/>
      </c>
      <c r="L30" s="26"/>
    </row>
    <row r="31" spans="1:12" x14ac:dyDescent="0.3">
      <c r="A31" t="s">
        <v>168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192</v>
      </c>
      <c r="B32" s="20" t="s">
        <v>172</v>
      </c>
      <c r="C32" s="20" t="s">
        <v>167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168</v>
      </c>
      <c r="E33" s="21" t="str">
        <f t="shared" si="2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3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188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179</v>
      </c>
      <c r="E35" s="21" t="str">
        <f t="shared" si="2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193</v>
      </c>
      <c r="B36" s="20" t="s">
        <v>172</v>
      </c>
      <c r="C36" s="20" t="s">
        <v>181</v>
      </c>
      <c r="D36" s="20" t="s">
        <v>160</v>
      </c>
      <c r="E36" s="21" t="str">
        <f t="shared" si="2"/>
        <v>!!!</v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185</v>
      </c>
      <c r="E37" s="21" t="str">
        <f t="shared" si="2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179</v>
      </c>
      <c r="B38" s="20" t="s">
        <v>194</v>
      </c>
      <c r="E38" s="21" t="str">
        <f t="shared" si="2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195</v>
      </c>
      <c r="B39" s="20" t="s">
        <v>196</v>
      </c>
      <c r="C39" s="20" t="s">
        <v>197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198</v>
      </c>
      <c r="B40" s="20" t="s">
        <v>196</v>
      </c>
      <c r="C40" s="20" t="s">
        <v>199</v>
      </c>
      <c r="D40" s="20" t="s">
        <v>160</v>
      </c>
      <c r="E40" s="21" t="str">
        <f t="shared" si="2"/>
        <v>!!!</v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200</v>
      </c>
      <c r="B41" s="20" t="s">
        <v>201</v>
      </c>
      <c r="C41" s="20" t="s">
        <v>202</v>
      </c>
      <c r="D41" s="20" t="s">
        <v>160</v>
      </c>
      <c r="E41" s="21" t="str">
        <f t="shared" si="2"/>
        <v>!!!</v>
      </c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203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185</v>
      </c>
      <c r="E43" s="21" t="str">
        <f t="shared" si="2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3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204</v>
      </c>
      <c r="E44" s="21" t="str">
        <f t="shared" si="2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3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205</v>
      </c>
      <c r="B45" s="20" t="s">
        <v>183</v>
      </c>
      <c r="C45" s="20" t="s">
        <v>206</v>
      </c>
      <c r="D45" s="20" t="s">
        <v>160</v>
      </c>
      <c r="E45" s="21" t="str">
        <f t="shared" si="2"/>
        <v>!!!</v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3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186</v>
      </c>
      <c r="E46" s="21" t="str">
        <f t="shared" si="2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3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188</v>
      </c>
      <c r="E47" s="21" t="str">
        <f t="shared" si="2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3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179</v>
      </c>
      <c r="E48" s="21" t="str">
        <f t="shared" si="2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3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207</v>
      </c>
      <c r="E49" s="21" t="str">
        <f t="shared" si="2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3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208</v>
      </c>
      <c r="B50" s="20" t="s">
        <v>172</v>
      </c>
      <c r="C50" s="20" t="s">
        <v>181</v>
      </c>
      <c r="D50" s="20" t="s">
        <v>160</v>
      </c>
      <c r="E50" s="21" t="str">
        <f t="shared" si="2"/>
        <v>!!!</v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3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209</v>
      </c>
      <c r="E51" s="21" t="str">
        <f t="shared" si="2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3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210</v>
      </c>
      <c r="B52" s="20" t="s">
        <v>183</v>
      </c>
      <c r="C52" s="20" t="s">
        <v>211</v>
      </c>
      <c r="E52" s="21" t="str">
        <f t="shared" si="2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3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212</v>
      </c>
      <c r="E53" s="21" t="str">
        <f t="shared" si="2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3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5" spans="1:12" x14ac:dyDescent="0.3">
      <c r="A55" t="s">
        <v>213</v>
      </c>
    </row>
    <row r="56" spans="1:12" x14ac:dyDescent="0.3">
      <c r="A56" t="s">
        <v>214</v>
      </c>
      <c r="E56" s="21" t="str">
        <f t="shared" ref="E56:E73" si="4">IF(D56="?OLD","!!!","")</f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ref="H56:H73" ca="1" si="5">IF(J56&lt;&gt;1,"",IF(I56="SBJ","CB","?"))</f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215</v>
      </c>
      <c r="E57" s="21" t="str">
        <f t="shared" si="4"/>
        <v/>
      </c>
      <c r="F57" s="22" t="str">
        <f>IF(OR(E57="",E57="!!!"),"",IF(NOT(ISNA(VLOOKUP(E57,E$1:E56,1,FALSE()))),"OLD",IF(AND(E57&lt;&gt;"",E57&lt;&gt;"!!!"),"NEW","")))</f>
        <v/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ca="1" si="5"/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216</v>
      </c>
      <c r="E58" s="21" t="str">
        <f t="shared" si="4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5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217</v>
      </c>
      <c r="B59" s="20" t="s">
        <v>183</v>
      </c>
      <c r="C59" s="20" t="s">
        <v>177</v>
      </c>
      <c r="D59" s="20" t="s">
        <v>160</v>
      </c>
      <c r="E59" s="21" t="str">
        <f t="shared" si="4"/>
        <v>!!!</v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5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218</v>
      </c>
      <c r="B60" s="20" t="s">
        <v>176</v>
      </c>
      <c r="C60" s="20" t="s">
        <v>167</v>
      </c>
      <c r="E60" s="21" t="str">
        <f t="shared" si="4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5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185</v>
      </c>
      <c r="E61" s="21" t="str">
        <f t="shared" si="4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5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178</v>
      </c>
      <c r="E62" s="21" t="str">
        <f t="shared" si="4"/>
        <v/>
      </c>
      <c r="F62" s="22" t="str">
        <f>IF(OR(E62="",E62="!!!"),"",IF(NOT(ISNA(VLOOKUP(E62,E$1:E61,1,FALSE()))),"OLD",IF(AND(E62&lt;&gt;"",E62&lt;&gt;"!!!"),"NEW","")))</f>
        <v/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5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179</v>
      </c>
      <c r="E63" s="21" t="str">
        <f t="shared" si="4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5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180</v>
      </c>
      <c r="B64" s="20" t="s">
        <v>201</v>
      </c>
      <c r="C64" s="20" t="s">
        <v>181</v>
      </c>
      <c r="D64" s="20" t="s">
        <v>160</v>
      </c>
      <c r="E64" s="21" t="str">
        <f t="shared" si="4"/>
        <v>!!!</v>
      </c>
      <c r="F64" s="22" t="str">
        <f>IF(OR(E64="",E64="!!!"),"",IF(NOT(ISNA(VLOOKUP(E64,E$1:E63,1,FALSE()))),"OLD",IF(AND(E64&lt;&gt;"",E64&lt;&gt;"!!!"),"NEW","")))</f>
        <v/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5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182</v>
      </c>
      <c r="E65" s="21" t="str">
        <f t="shared" si="4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5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171</v>
      </c>
      <c r="B66" s="20" t="s">
        <v>196</v>
      </c>
      <c r="C66" s="20" t="s">
        <v>167</v>
      </c>
      <c r="E66" s="21" t="str">
        <f t="shared" si="4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5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219</v>
      </c>
      <c r="E67" s="21" t="str">
        <f t="shared" si="4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5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168</v>
      </c>
      <c r="E68" s="21" t="str">
        <f t="shared" si="4"/>
        <v/>
      </c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5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69" spans="1:12" x14ac:dyDescent="0.3">
      <c r="A69" t="s">
        <v>220</v>
      </c>
      <c r="E69" s="21" t="str">
        <f t="shared" si="4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5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221</v>
      </c>
      <c r="B70" s="20" t="s">
        <v>172</v>
      </c>
      <c r="C70" s="20" t="s">
        <v>199</v>
      </c>
      <c r="D70" s="20" t="s">
        <v>160</v>
      </c>
      <c r="E70" s="21" t="str">
        <f t="shared" si="4"/>
        <v>!!!</v>
      </c>
      <c r="F70" s="22" t="str">
        <f>IF(OR(E70="",E70="!!!"),"",IF(NOT(ISNA(VLOOKUP(E70,E$1:E69,1,FALSE()))),"OLD",IF(AND(E70&lt;&gt;"",E70&lt;&gt;"!!!"),"NEW","")))</f>
        <v/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4" t="str">
        <f t="shared" ca="1" si="5"/>
        <v/>
      </c>
      <c r="I70" s="25" t="str">
        <f>IF(OR(E70="",E70="!!!",F70="NEW"),"",INDEX(B$2:B69,-1+SUMPRODUCT(MAX(ROW(E$2:E69)*(E70=E$2:E69)))))</f>
        <v/>
      </c>
      <c r="J70" s="25" t="str">
        <f ca="1">IF(OR(E70="",E70="!!!",F70="NEW"),"",COUNTBLANK(OFFSET(A$1,,,SUMPRODUCT(MAX(ROW(E$2:E70)*(E70=E$2:E70)))))-COUNTBLANK(OFFSET(A$1,,,SUMPRODUCT(MAX(ROW(E$1:E69)*(E2=E$1:E69))))))</f>
        <v/>
      </c>
      <c r="K70" s="25" t="str">
        <f>IF(OR(E70="",E70="!!!",F70="NEW"),"",INDEX(J$1:J69,SUMPRODUCT(MAX(ROW(E$1:E69)*(E70=E$1:E69)))))</f>
        <v/>
      </c>
      <c r="L70" s="26"/>
    </row>
    <row r="71" spans="1:12" x14ac:dyDescent="0.3">
      <c r="A71" t="s">
        <v>222</v>
      </c>
      <c r="E71" s="21" t="str">
        <f t="shared" si="4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5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223</v>
      </c>
      <c r="E72" s="21" t="str">
        <f t="shared" si="4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5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212</v>
      </c>
      <c r="E73" s="21" t="str">
        <f t="shared" si="4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5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5" spans="1:12" x14ac:dyDescent="0.3">
      <c r="A75" t="s">
        <v>224</v>
      </c>
    </row>
    <row r="76" spans="1:12" x14ac:dyDescent="0.3">
      <c r="A76" t="s">
        <v>225</v>
      </c>
      <c r="E76" s="21" t="str">
        <f t="shared" ref="E76:E85" si="6">IF(D76="?OLD","!!!","")</f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ref="H76:H85" ca="1" si="7">IF(J76&lt;&gt;1,"",IF(I76="SBJ","CB","?"))</f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226</v>
      </c>
      <c r="E77" s="21" t="str">
        <f t="shared" si="6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7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227</v>
      </c>
      <c r="B78" s="20" t="s">
        <v>187</v>
      </c>
      <c r="C78" s="20" t="s">
        <v>206</v>
      </c>
      <c r="D78" s="20" t="s">
        <v>160</v>
      </c>
      <c r="E78" s="21" t="str">
        <f t="shared" si="6"/>
        <v>!!!</v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7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228</v>
      </c>
      <c r="B79" s="20" t="s">
        <v>191</v>
      </c>
      <c r="C79" s="20" t="s">
        <v>206</v>
      </c>
      <c r="D79" s="20" t="s">
        <v>160</v>
      </c>
      <c r="E79" s="21" t="str">
        <f t="shared" si="6"/>
        <v>!!!</v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7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229</v>
      </c>
      <c r="E80" s="21" t="str">
        <f t="shared" si="6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7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230</v>
      </c>
      <c r="E81" s="21" t="str">
        <f t="shared" si="6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7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231</v>
      </c>
      <c r="B82" s="20" t="s">
        <v>191</v>
      </c>
      <c r="C82" s="20" t="s">
        <v>211</v>
      </c>
      <c r="E82" s="21" t="str">
        <f t="shared" si="6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7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232</v>
      </c>
      <c r="B83" s="20" t="s">
        <v>172</v>
      </c>
      <c r="C83" s="20" t="s">
        <v>159</v>
      </c>
      <c r="D83" s="20" t="s">
        <v>160</v>
      </c>
      <c r="E83" s="21" t="str">
        <f t="shared" si="6"/>
        <v>!!!</v>
      </c>
      <c r="F83" s="22" t="str">
        <f>IF(OR(E83="",E83="!!!"),"",IF(NOT(ISNA(VLOOKUP(E83,E$1:E82,1,FALSE()))),"OLD",IF(AND(E83&lt;&gt;"",E83&lt;&gt;"!!!"),"NEW","")))</f>
        <v/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4" t="str">
        <f t="shared" ca="1" si="7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233</v>
      </c>
      <c r="E84" s="21" t="str">
        <f t="shared" si="6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7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212</v>
      </c>
      <c r="E85" s="21" t="str">
        <f t="shared" si="6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7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7" spans="1:12" x14ac:dyDescent="0.3">
      <c r="A87" t="s">
        <v>234</v>
      </c>
    </row>
    <row r="88" spans="1:12" x14ac:dyDescent="0.3">
      <c r="A88" t="s">
        <v>214</v>
      </c>
      <c r="B88" s="20" t="s">
        <v>187</v>
      </c>
      <c r="C88" s="20" t="s">
        <v>206</v>
      </c>
      <c r="D88" s="20" t="s">
        <v>160</v>
      </c>
      <c r="E88" s="21" t="str">
        <f t="shared" ref="E88:E109" si="8">IF(D88="?OLD","!!!","")</f>
        <v>!!!</v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ref="H88:H109" ca="1" si="9">IF(J88&lt;&gt;1,"",IF(I88="SBJ","CB","?"))</f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235</v>
      </c>
      <c r="E89" s="21" t="str">
        <f t="shared" si="8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9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236</v>
      </c>
      <c r="B90" s="20" t="s">
        <v>158</v>
      </c>
      <c r="C90" s="20" t="s">
        <v>177</v>
      </c>
      <c r="D90" s="20" t="s">
        <v>160</v>
      </c>
      <c r="E90" s="21" t="str">
        <f t="shared" si="8"/>
        <v>!!!</v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9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237</v>
      </c>
      <c r="E91" s="21" t="str">
        <f t="shared" si="8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9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232</v>
      </c>
      <c r="B92" s="20" t="s">
        <v>158</v>
      </c>
      <c r="C92" s="20" t="s">
        <v>238</v>
      </c>
      <c r="E92" s="21" t="str">
        <f t="shared" si="8"/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9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185</v>
      </c>
      <c r="E93" s="21" t="str">
        <f t="shared" si="8"/>
        <v/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ca="1" si="9"/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239</v>
      </c>
      <c r="B94" s="20" t="s">
        <v>176</v>
      </c>
      <c r="C94" s="20" t="s">
        <v>206</v>
      </c>
      <c r="D94" s="20" t="s">
        <v>160</v>
      </c>
      <c r="E94" s="21" t="str">
        <f t="shared" si="8"/>
        <v>!!!</v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9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235</v>
      </c>
      <c r="E95" s="21" t="str">
        <f t="shared" si="8"/>
        <v/>
      </c>
      <c r="F95" s="22" t="str">
        <f>IF(OR(E95="",E95="!!!"),"",IF(NOT(ISNA(VLOOKUP(E95,E$1:E94,1,FALSE()))),"OLD",IF(AND(E95&lt;&gt;"",E95&lt;&gt;"!!!"),"NEW","")))</f>
        <v/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4" t="str">
        <f t="shared" ca="1" si="9"/>
        <v/>
      </c>
      <c r="I95" s="25" t="str">
        <f>IF(OR(E95="",E95="!!!",F95="NEW"),"",INDEX(B$2:B94,-1+SUMPRODUCT(MAX(ROW(E$2:E94)*(E95=E$2:E94)))))</f>
        <v/>
      </c>
      <c r="J95" s="25" t="str">
        <f ca="1">IF(OR(E95="",E95="!!!",F95="NEW"),"",COUNTBLANK(OFFSET(A$1,,,SUMPRODUCT(MAX(ROW(E$2:E95)*(E95=E$2:E95)))))-COUNTBLANK(OFFSET(A$1,,,SUMPRODUCT(MAX(ROW(E$1:E94)*(E2=E$1:E94))))))</f>
        <v/>
      </c>
      <c r="K95" s="25" t="str">
        <f>IF(OR(E95="",E95="!!!",F95="NEW"),"",INDEX(J$1:J94,SUMPRODUCT(MAX(ROW(E$1:E94)*(E95=E$1:E94)))))</f>
        <v/>
      </c>
      <c r="L95" s="26"/>
    </row>
    <row r="96" spans="1:12" x14ac:dyDescent="0.3">
      <c r="A96" t="s">
        <v>229</v>
      </c>
      <c r="E96" s="21" t="str">
        <f t="shared" si="8"/>
        <v/>
      </c>
      <c r="F96" s="22" t="str">
        <f>IF(OR(E96="",E96="!!!"),"",IF(NOT(ISNA(VLOOKUP(E96,E$1:E95,1,FALSE()))),"OLD",IF(AND(E96&lt;&gt;"",E96&lt;&gt;"!!!"),"NEW","")))</f>
        <v/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4" t="str">
        <f t="shared" ca="1" si="9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232</v>
      </c>
      <c r="B97" s="20" t="s">
        <v>158</v>
      </c>
      <c r="C97" s="20" t="s">
        <v>211</v>
      </c>
      <c r="E97" s="21" t="str">
        <f t="shared" si="8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9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240</v>
      </c>
      <c r="E98" s="21" t="str">
        <f t="shared" si="8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9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241</v>
      </c>
      <c r="B99" s="20" t="s">
        <v>172</v>
      </c>
      <c r="C99" s="20" t="s">
        <v>181</v>
      </c>
      <c r="D99" s="20" t="s">
        <v>160</v>
      </c>
      <c r="E99" s="21" t="str">
        <f t="shared" si="8"/>
        <v>!!!</v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9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242</v>
      </c>
      <c r="E100" s="21" t="str">
        <f t="shared" si="8"/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9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243</v>
      </c>
      <c r="E101" s="21" t="str">
        <f t="shared" si="8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9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244</v>
      </c>
      <c r="B102" s="20" t="s">
        <v>172</v>
      </c>
      <c r="C102" s="20" t="s">
        <v>181</v>
      </c>
      <c r="D102" s="20" t="s">
        <v>160</v>
      </c>
      <c r="E102" s="21" t="str">
        <f t="shared" si="8"/>
        <v>!!!</v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9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245</v>
      </c>
      <c r="B103" s="20" t="s">
        <v>201</v>
      </c>
      <c r="C103" s="20" t="s">
        <v>246</v>
      </c>
      <c r="D103" s="20" t="s">
        <v>160</v>
      </c>
      <c r="E103" s="21" t="str">
        <f t="shared" si="8"/>
        <v>!!!</v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9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4" spans="1:12" x14ac:dyDescent="0.3">
      <c r="A104" t="s">
        <v>247</v>
      </c>
      <c r="B104" s="20" t="s">
        <v>183</v>
      </c>
      <c r="C104" s="20" t="s">
        <v>167</v>
      </c>
      <c r="E104" s="21" t="str">
        <f t="shared" si="8"/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ca="1" si="9"/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5" spans="1:12" x14ac:dyDescent="0.3">
      <c r="A105" t="s">
        <v>185</v>
      </c>
      <c r="E105" s="21" t="str">
        <f t="shared" si="8"/>
        <v/>
      </c>
      <c r="F105" s="22" t="str">
        <f>IF(OR(E105="",E105="!!!"),"",IF(NOT(ISNA(VLOOKUP(E105,E$1:E104,1,FALSE()))),"OLD",IF(AND(E105&lt;&gt;"",E105&lt;&gt;"!!!"),"NEW","")))</f>
        <v/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t="shared" ca="1" si="9"/>
        <v/>
      </c>
      <c r="I105" s="25" t="str">
        <f>IF(OR(E105="",E105="!!!",F105="NEW"),"",INDEX(B$2:B104,-1+SUMPRODUCT(MAX(ROW(E$2:E104)*(E105=E$2:E104)))))</f>
        <v/>
      </c>
      <c r="J105" s="25" t="str">
        <f ca="1">IF(OR(E105="",E105="!!!",F105="NEW"),"",COUNTBLANK(OFFSET(A$1,,,SUMPRODUCT(MAX(ROW(E$2:E105)*(E105=E$2:E105)))))-COUNTBLANK(OFFSET(A$1,,,SUMPRODUCT(MAX(ROW(E$1:E104)*(E2=E$1:E104))))))</f>
        <v/>
      </c>
      <c r="K105" s="25" t="str">
        <f>IF(OR(E105="",E105="!!!",F105="NEW"),"",INDEX(J$1:J104,SUMPRODUCT(MAX(ROW(E$1:E104)*(E105=E$1:E104)))))</f>
        <v/>
      </c>
      <c r="L105" s="26"/>
    </row>
    <row r="106" spans="1:12" x14ac:dyDescent="0.3">
      <c r="A106" t="s">
        <v>248</v>
      </c>
      <c r="B106" s="20" t="s">
        <v>201</v>
      </c>
      <c r="C106" s="20" t="s">
        <v>159</v>
      </c>
      <c r="D106" s="20" t="s">
        <v>160</v>
      </c>
      <c r="E106" s="21" t="str">
        <f t="shared" si="8"/>
        <v>!!!</v>
      </c>
      <c r="F106" s="22" t="str">
        <f>IF(OR(E106="",E106="!!!"),"",IF(NOT(ISNA(VLOOKUP(E106,E$1:E105,1,FALSE()))),"OLD",IF(AND(E106&lt;&gt;"",E106&lt;&gt;"!!!"),"NEW","")))</f>
        <v/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t="shared" ca="1" si="9"/>
        <v/>
      </c>
      <c r="I106" s="25" t="str">
        <f>IF(OR(E106="",E106="!!!",F106="NEW"),"",INDEX(B$2:B105,-1+SUMPRODUCT(MAX(ROW(E$2:E105)*(E106=E$2:E105)))))</f>
        <v/>
      </c>
      <c r="J106" s="25" t="str">
        <f ca="1">IF(OR(E106="",E106="!!!",F106="NEW"),"",COUNTBLANK(OFFSET(A$1,,,SUMPRODUCT(MAX(ROW(E$2:E106)*(E106=E$2:E106)))))-COUNTBLANK(OFFSET(A$1,,,SUMPRODUCT(MAX(ROW(E$1:E105)*(E2=E$1:E105))))))</f>
        <v/>
      </c>
      <c r="K106" s="25" t="str">
        <f>IF(OR(E106="",E106="!!!",F106="NEW"),"",INDEX(J$1:J105,SUMPRODUCT(MAX(ROW(E$1:E105)*(E106=E$1:E105)))))</f>
        <v/>
      </c>
      <c r="L106" s="26"/>
    </row>
    <row r="107" spans="1:12" x14ac:dyDescent="0.3">
      <c r="A107" t="s">
        <v>185</v>
      </c>
      <c r="E107" s="21" t="str">
        <f t="shared" si="8"/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9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249</v>
      </c>
      <c r="B108" s="20" t="s">
        <v>196</v>
      </c>
      <c r="C108" s="20" t="s">
        <v>159</v>
      </c>
      <c r="D108" s="20" t="s">
        <v>160</v>
      </c>
      <c r="E108" s="21" t="str">
        <f t="shared" si="8"/>
        <v>!!!</v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9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212</v>
      </c>
      <c r="E109" s="21" t="str">
        <f t="shared" si="8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9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1" spans="1:12" x14ac:dyDescent="0.3">
      <c r="A111" t="s">
        <v>250</v>
      </c>
    </row>
    <row r="112" spans="1:12" x14ac:dyDescent="0.3">
      <c r="A112" t="s">
        <v>205</v>
      </c>
      <c r="B112" s="20" t="s">
        <v>187</v>
      </c>
      <c r="C112" s="20" t="s">
        <v>206</v>
      </c>
      <c r="D112" s="20" t="s">
        <v>160</v>
      </c>
      <c r="E112" s="21" t="str">
        <f t="shared" ref="E112:E138" si="10">IF(D112="?OLD","!!!","")</f>
        <v>!!!</v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ref="H112:H138" ca="1" si="11">IF(J112&lt;&gt;1,"",IF(I112="SBJ","CB","?"))</f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251</v>
      </c>
      <c r="E113" s="21" t="str">
        <f t="shared" si="10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1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4" spans="1:12" x14ac:dyDescent="0.3">
      <c r="A114" t="s">
        <v>252</v>
      </c>
      <c r="E114" s="21" t="str">
        <f t="shared" si="10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11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185</v>
      </c>
      <c r="E115" s="21" t="str">
        <f t="shared" si="10"/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t="shared" ca="1" si="11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253</v>
      </c>
      <c r="E116" s="21" t="str">
        <f t="shared" si="10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11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254</v>
      </c>
      <c r="B117" s="20" t="s">
        <v>183</v>
      </c>
      <c r="C117" s="20" t="s">
        <v>197</v>
      </c>
      <c r="E117" s="21" t="str">
        <f t="shared" si="10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11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255</v>
      </c>
      <c r="B118" s="20" t="s">
        <v>176</v>
      </c>
      <c r="C118" s="20" t="s">
        <v>167</v>
      </c>
      <c r="E118" s="21" t="str">
        <f t="shared" si="10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11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229</v>
      </c>
      <c r="E119" s="21" t="str">
        <f t="shared" si="10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11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256</v>
      </c>
      <c r="B120" s="20" t="s">
        <v>257</v>
      </c>
      <c r="C120" s="20" t="s">
        <v>211</v>
      </c>
      <c r="E120" s="21" t="str">
        <f t="shared" si="10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11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258</v>
      </c>
      <c r="E121" s="21" t="str">
        <f t="shared" si="10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11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185</v>
      </c>
      <c r="E122" s="21" t="str">
        <f t="shared" si="10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11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259</v>
      </c>
      <c r="B123" s="20" t="s">
        <v>201</v>
      </c>
      <c r="C123" s="20" t="s">
        <v>197</v>
      </c>
      <c r="E123" s="21" t="str">
        <f t="shared" si="10"/>
        <v/>
      </c>
      <c r="F123" s="22" t="str">
        <f>IF(OR(E123="",E123="!!!"),"",IF(NOT(ISNA(VLOOKUP(E123,E$1:E122,1,FALSE()))),"OLD",IF(AND(E123&lt;&gt;"",E123&lt;&gt;"!!!"),"NEW","")))</f>
        <v/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4" t="str">
        <f t="shared" ca="1" si="11"/>
        <v/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260</v>
      </c>
      <c r="B124" s="20" t="s">
        <v>261</v>
      </c>
      <c r="C124" s="20" t="s">
        <v>167</v>
      </c>
      <c r="E124" s="21" t="str">
        <f t="shared" si="10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1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229</v>
      </c>
      <c r="E125" s="21" t="str">
        <f t="shared" si="10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11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262</v>
      </c>
      <c r="B126" s="20" t="s">
        <v>172</v>
      </c>
      <c r="C126" s="20" t="s">
        <v>211</v>
      </c>
      <c r="E126" s="21" t="str">
        <f t="shared" si="10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1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242</v>
      </c>
      <c r="E127" s="21" t="str">
        <f t="shared" si="10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11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263</v>
      </c>
      <c r="B128" s="20" t="s">
        <v>201</v>
      </c>
      <c r="C128" s="20" t="s">
        <v>199</v>
      </c>
      <c r="D128" s="20" t="s">
        <v>160</v>
      </c>
      <c r="E128" s="21" t="str">
        <f t="shared" si="10"/>
        <v>!!!</v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1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29" spans="1:12" x14ac:dyDescent="0.3">
      <c r="A129" t="s">
        <v>244</v>
      </c>
      <c r="B129" s="20" t="s">
        <v>183</v>
      </c>
      <c r="C129" s="20" t="s">
        <v>202</v>
      </c>
      <c r="D129" s="20" t="s">
        <v>160</v>
      </c>
      <c r="E129" s="21" t="str">
        <f t="shared" si="10"/>
        <v>!!!</v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11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168</v>
      </c>
      <c r="E130" s="21" t="str">
        <f t="shared" si="10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11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1" spans="1:12" x14ac:dyDescent="0.3">
      <c r="A131" t="s">
        <v>259</v>
      </c>
      <c r="B131" s="20" t="s">
        <v>196</v>
      </c>
      <c r="C131" s="20" t="s">
        <v>197</v>
      </c>
      <c r="E131" s="21" t="str">
        <f t="shared" si="10"/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ca="1" si="11"/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264</v>
      </c>
      <c r="B132" s="20" t="s">
        <v>201</v>
      </c>
      <c r="C132" s="20" t="s">
        <v>167</v>
      </c>
      <c r="E132" s="21" t="str">
        <f t="shared" si="10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11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229</v>
      </c>
      <c r="E133" s="21" t="str">
        <f t="shared" si="10"/>
        <v/>
      </c>
      <c r="F133" s="22" t="str">
        <f>IF(OR(E133="",E133="!!!"),"",IF(NOT(ISNA(VLOOKUP(E133,E$1:E132,1,FALSE()))),"OLD",IF(AND(E133&lt;&gt;"",E133&lt;&gt;"!!!"),"NEW","")))</f>
        <v/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4" t="str">
        <f t="shared" ca="1" si="11"/>
        <v/>
      </c>
      <c r="I133" s="25" t="str">
        <f>IF(OR(E133="",E133="!!!",F133="NEW"),"",INDEX(B$2:B132,-1+SUMPRODUCT(MAX(ROW(E$2:E132)*(E133=E$2:E132)))))</f>
        <v/>
      </c>
      <c r="J133" s="25" t="str">
        <f ca="1">IF(OR(E133="",E133="!!!",F133="NEW"),"",COUNTBLANK(OFFSET(A$1,,,SUMPRODUCT(MAX(ROW(E$2:E133)*(E133=E$2:E133)))))-COUNTBLANK(OFFSET(A$1,,,SUMPRODUCT(MAX(ROW(E$1:E132)*(E2=E$1:E132))))))</f>
        <v/>
      </c>
      <c r="K133" s="25" t="str">
        <f>IF(OR(E133="",E133="!!!",F133="NEW"),"",INDEX(J$1:J132,SUMPRODUCT(MAX(ROW(E$1:E132)*(E133=E$1:E132)))))</f>
        <v/>
      </c>
      <c r="L133" s="26"/>
    </row>
    <row r="134" spans="1:12" x14ac:dyDescent="0.3">
      <c r="A134" t="s">
        <v>265</v>
      </c>
      <c r="B134" s="20" t="s">
        <v>183</v>
      </c>
      <c r="C134" s="20" t="s">
        <v>266</v>
      </c>
      <c r="D134" s="20" t="s">
        <v>160</v>
      </c>
      <c r="E134" s="21" t="str">
        <f t="shared" si="10"/>
        <v>!!!</v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1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267</v>
      </c>
      <c r="E135" s="21" t="str">
        <f t="shared" si="10"/>
        <v/>
      </c>
      <c r="F135" s="22" t="str">
        <f>IF(OR(E135="",E135="!!!"),"",IF(NOT(ISNA(VLOOKUP(E135,E$1:E134,1,FALSE()))),"OLD",IF(AND(E135&lt;&gt;"",E135&lt;&gt;"!!!"),"NEW","")))</f>
        <v/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/>
      </c>
      <c r="H135" s="24" t="str">
        <f t="shared" ca="1" si="11"/>
        <v/>
      </c>
      <c r="I135" s="25" t="str">
        <f>IF(OR(E135="",E135="!!!",F135="NEW"),"",INDEX(B$2:B134,-1+SUMPRODUCT(MAX(ROW(E$2:E134)*(E135=E$2:E134)))))</f>
        <v/>
      </c>
      <c r="J135" s="25" t="str">
        <f ca="1">IF(OR(E135="",E135="!!!",F135="NEW"),"",COUNTBLANK(OFFSET(A$1,,,SUMPRODUCT(MAX(ROW(E$2:E135)*(E135=E$2:E135)))))-COUNTBLANK(OFFSET(A$1,,,SUMPRODUCT(MAX(ROW(E$1:E134)*(E2=E$1:E134))))))</f>
        <v/>
      </c>
      <c r="K135" s="25" t="str">
        <f>IF(OR(E135="",E135="!!!",F135="NEW"),"",INDEX(J$1:J134,SUMPRODUCT(MAX(ROW(E$1:E134)*(E135=E$1:E134)))))</f>
        <v/>
      </c>
      <c r="L135" s="26"/>
    </row>
    <row r="136" spans="1:12" x14ac:dyDescent="0.3">
      <c r="A136" t="s">
        <v>268</v>
      </c>
      <c r="B136" s="20" t="s">
        <v>196</v>
      </c>
      <c r="C136" s="20" t="s">
        <v>199</v>
      </c>
      <c r="D136" s="20" t="s">
        <v>160</v>
      </c>
      <c r="E136" s="21" t="str">
        <f t="shared" si="10"/>
        <v>!!!</v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1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269</v>
      </c>
      <c r="B137" s="20" t="s">
        <v>201</v>
      </c>
      <c r="C137" s="20" t="s">
        <v>202</v>
      </c>
      <c r="D137" s="20" t="s">
        <v>160</v>
      </c>
      <c r="E137" s="21" t="str">
        <f t="shared" si="10"/>
        <v>!!!</v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1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212</v>
      </c>
      <c r="E138" s="21" t="str">
        <f t="shared" si="10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1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40" spans="1:12" x14ac:dyDescent="0.3">
      <c r="A140" t="s">
        <v>270</v>
      </c>
    </row>
    <row r="141" spans="1:12" x14ac:dyDescent="0.3">
      <c r="A141" t="s">
        <v>271</v>
      </c>
      <c r="B141" s="20" t="s">
        <v>187</v>
      </c>
      <c r="C141" s="20" t="s">
        <v>206</v>
      </c>
      <c r="D141" s="20" t="s">
        <v>160</v>
      </c>
      <c r="E141" s="21" t="str">
        <f t="shared" ref="E141:E161" si="12">IF(D141="?OLD","!!!","")</f>
        <v>!!!</v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ref="H141:H161" ca="1" si="13">IF(J141&lt;&gt;1,"",IF(I141="SBJ","CB","?"))</f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272</v>
      </c>
      <c r="E142" s="21" t="str">
        <f t="shared" si="12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13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273</v>
      </c>
      <c r="E143" s="21" t="str">
        <f t="shared" si="12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3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274</v>
      </c>
      <c r="E144" s="21" t="str">
        <f t="shared" si="12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13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240</v>
      </c>
      <c r="E145" s="21" t="str">
        <f t="shared" si="12"/>
        <v/>
      </c>
      <c r="F145" s="22" t="str">
        <f>IF(OR(E145="",E145="!!!"),"",IF(NOT(ISNA(VLOOKUP(E145,E$1:E144,1,FALSE()))),"OLD",IF(AND(E145&lt;&gt;"",E145&lt;&gt;"!!!"),"NEW","")))</f>
        <v/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4" t="str">
        <f t="shared" ca="1" si="13"/>
        <v/>
      </c>
      <c r="I145" s="25" t="str">
        <f>IF(OR(E145="",E145="!!!",F145="NEW"),"",INDEX(B$2:B144,-1+SUMPRODUCT(MAX(ROW(E$2:E144)*(E145=E$2:E144)))))</f>
        <v/>
      </c>
      <c r="J145" s="25" t="str">
        <f ca="1">IF(OR(E145="",E145="!!!",F145="NEW"),"",COUNTBLANK(OFFSET(A$1,,,SUMPRODUCT(MAX(ROW(E$2:E145)*(E145=E$2:E145)))))-COUNTBLANK(OFFSET(A$1,,,SUMPRODUCT(MAX(ROW(E$1:E144)*(E2=E$1:E144))))))</f>
        <v/>
      </c>
      <c r="K145" s="25" t="str">
        <f>IF(OR(E145="",E145="!!!",F145="NEW"),"",INDEX(J$1:J144,SUMPRODUCT(MAX(ROW(E$1:E144)*(E145=E$1:E144)))))</f>
        <v/>
      </c>
      <c r="L145" s="26"/>
    </row>
    <row r="146" spans="1:12" x14ac:dyDescent="0.3">
      <c r="A146" t="s">
        <v>275</v>
      </c>
      <c r="E146" s="21" t="str">
        <f t="shared" si="12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3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276</v>
      </c>
      <c r="B147" s="20" t="s">
        <v>158</v>
      </c>
      <c r="C147" s="20" t="s">
        <v>181</v>
      </c>
      <c r="D147" s="20" t="s">
        <v>160</v>
      </c>
      <c r="E147" s="21" t="str">
        <f t="shared" si="12"/>
        <v>!!!</v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3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185</v>
      </c>
      <c r="E148" s="21" t="str">
        <f t="shared" si="12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3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277</v>
      </c>
      <c r="E149" s="21" t="str">
        <f t="shared" si="12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3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185</v>
      </c>
      <c r="E150" s="21" t="str">
        <f t="shared" si="12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3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278</v>
      </c>
      <c r="E151" s="21" t="str">
        <f t="shared" si="12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13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188</v>
      </c>
      <c r="E152" s="21" t="str">
        <f t="shared" si="12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3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279</v>
      </c>
      <c r="E153" s="21" t="str">
        <f t="shared" si="12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13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280</v>
      </c>
      <c r="E154" s="21" t="str">
        <f t="shared" si="12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13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281</v>
      </c>
      <c r="B155" s="20" t="s">
        <v>158</v>
      </c>
      <c r="C155" s="20" t="s">
        <v>181</v>
      </c>
      <c r="D155" s="20" t="s">
        <v>160</v>
      </c>
      <c r="E155" s="21" t="str">
        <f t="shared" si="12"/>
        <v>!!!</v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13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185</v>
      </c>
      <c r="E156" s="21" t="str">
        <f t="shared" si="12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3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282</v>
      </c>
      <c r="E157" s="21" t="str">
        <f t="shared" si="12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3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179</v>
      </c>
      <c r="E158" s="21" t="str">
        <f t="shared" si="12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3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283</v>
      </c>
      <c r="B159" s="20" t="s">
        <v>261</v>
      </c>
      <c r="C159" s="20" t="s">
        <v>181</v>
      </c>
      <c r="D159" s="20" t="s">
        <v>160</v>
      </c>
      <c r="E159" s="21" t="str">
        <f t="shared" si="12"/>
        <v>!!!</v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3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223</v>
      </c>
      <c r="E160" s="21" t="str">
        <f t="shared" si="12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3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212</v>
      </c>
      <c r="E161" s="21" t="str">
        <f t="shared" si="12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13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3" spans="1:12" x14ac:dyDescent="0.3">
      <c r="A163" t="s">
        <v>284</v>
      </c>
    </row>
    <row r="164" spans="1:12" x14ac:dyDescent="0.3">
      <c r="A164" t="s">
        <v>285</v>
      </c>
      <c r="E164" s="21" t="str">
        <f t="shared" ref="E164:E171" si="14">IF(D164="?OLD","!!!","")</f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ref="H164:H171" ca="1" si="15">IF(J164&lt;&gt;1,"",IF(I164="SBJ","CB","?"))</f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286</v>
      </c>
      <c r="B165" s="20" t="s">
        <v>187</v>
      </c>
      <c r="C165" s="20" t="s">
        <v>159</v>
      </c>
      <c r="D165" s="20" t="s">
        <v>160</v>
      </c>
      <c r="E165" s="21" t="str">
        <f t="shared" si="14"/>
        <v>!!!</v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5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235</v>
      </c>
      <c r="E166" s="21" t="str">
        <f t="shared" si="14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5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277</v>
      </c>
      <c r="E167" s="21" t="str">
        <f t="shared" si="14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5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185</v>
      </c>
      <c r="E168" s="21" t="str">
        <f t="shared" si="14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5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278</v>
      </c>
      <c r="E169" s="21" t="str">
        <f t="shared" si="14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5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287</v>
      </c>
      <c r="E170" s="21" t="str">
        <f t="shared" si="14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5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212</v>
      </c>
      <c r="E171" s="21" t="str">
        <f t="shared" si="14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5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3" spans="1:12" x14ac:dyDescent="0.3">
      <c r="A173" t="s">
        <v>288</v>
      </c>
    </row>
    <row r="174" spans="1:12" x14ac:dyDescent="0.3">
      <c r="A174" t="s">
        <v>289</v>
      </c>
      <c r="E174" s="21" t="str">
        <f t="shared" ref="E174:E200" si="16">IF(D174="?OLD","!!!","")</f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ref="H174:H200" ca="1" si="17">IF(J174&lt;&gt;1,"",IF(I174="SBJ","CB","?"))</f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290</v>
      </c>
      <c r="B175" s="20" t="s">
        <v>158</v>
      </c>
      <c r="C175" s="20" t="s">
        <v>167</v>
      </c>
      <c r="E175" s="21" t="str">
        <f t="shared" si="16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7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291</v>
      </c>
      <c r="E176" s="21" t="str">
        <f t="shared" si="16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7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292</v>
      </c>
      <c r="E177" s="21" t="str">
        <f t="shared" si="16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7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240</v>
      </c>
      <c r="E178" s="21" t="str">
        <f t="shared" si="16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7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293</v>
      </c>
      <c r="E179" s="21" t="str">
        <f t="shared" si="16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17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276</v>
      </c>
      <c r="B180" s="20" t="s">
        <v>158</v>
      </c>
      <c r="C180" s="20" t="s">
        <v>294</v>
      </c>
      <c r="D180" s="20" t="s">
        <v>160</v>
      </c>
      <c r="E180" s="21" t="str">
        <f t="shared" si="16"/>
        <v>!!!</v>
      </c>
      <c r="F180" s="22" t="str">
        <f>IF(OR(E180="",E180="!!!"),"",IF(NOT(ISNA(VLOOKUP(E180,E$1:E179,1,FALSE()))),"OLD",IF(AND(E180&lt;&gt;"",E180&lt;&gt;"!!!"),"NEW","")))</f>
        <v/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4" t="str">
        <f t="shared" ca="1" si="17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1" spans="1:12" x14ac:dyDescent="0.3">
      <c r="A181" t="s">
        <v>295</v>
      </c>
      <c r="E181" s="21" t="str">
        <f t="shared" si="16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7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269</v>
      </c>
      <c r="B182" s="20" t="s">
        <v>172</v>
      </c>
      <c r="C182" s="20" t="s">
        <v>181</v>
      </c>
      <c r="D182" s="20" t="s">
        <v>160</v>
      </c>
      <c r="E182" s="21" t="str">
        <f t="shared" si="16"/>
        <v>!!!</v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17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215</v>
      </c>
      <c r="E183" s="21" t="str">
        <f t="shared" si="16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17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239</v>
      </c>
      <c r="E184" s="21" t="str">
        <f t="shared" si="16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7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296</v>
      </c>
      <c r="E185" s="21" t="str">
        <f t="shared" si="16"/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7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297</v>
      </c>
      <c r="B186" s="20" t="s">
        <v>187</v>
      </c>
      <c r="C186" s="20" t="s">
        <v>167</v>
      </c>
      <c r="E186" s="21" t="str">
        <f t="shared" si="16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7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168</v>
      </c>
      <c r="E187" s="21" t="str">
        <f t="shared" si="16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17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298</v>
      </c>
      <c r="B188" s="20" t="s">
        <v>172</v>
      </c>
      <c r="C188" s="20" t="s">
        <v>167</v>
      </c>
      <c r="E188" s="21" t="str">
        <f t="shared" si="16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7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185</v>
      </c>
      <c r="E189" s="21" t="str">
        <f t="shared" si="16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7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179</v>
      </c>
      <c r="B190" s="20" t="s">
        <v>261</v>
      </c>
      <c r="E190" s="21" t="str">
        <f t="shared" si="16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7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299</v>
      </c>
      <c r="E191" s="21" t="str">
        <f t="shared" si="16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7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300</v>
      </c>
      <c r="E192" s="21" t="str">
        <f t="shared" si="16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7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3" spans="1:12" x14ac:dyDescent="0.3">
      <c r="A193" t="s">
        <v>217</v>
      </c>
      <c r="E193" s="21" t="str">
        <f t="shared" si="16"/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ca="1" si="17"/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4" spans="1:12" x14ac:dyDescent="0.3">
      <c r="A194" t="s">
        <v>301</v>
      </c>
      <c r="B194" s="20" t="s">
        <v>261</v>
      </c>
      <c r="C194" s="20" t="s">
        <v>167</v>
      </c>
      <c r="E194" s="21" t="str">
        <f t="shared" si="16"/>
        <v/>
      </c>
      <c r="F194" s="22" t="str">
        <f>IF(OR(E194="",E194="!!!"),"",IF(NOT(ISNA(VLOOKUP(E194,E$1:E193,1,FALSE()))),"OLD",IF(AND(E194&lt;&gt;"",E194&lt;&gt;"!!!"),"NEW","")))</f>
        <v/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4" t="str">
        <f t="shared" ca="1" si="17"/>
        <v/>
      </c>
      <c r="I194" s="25" t="str">
        <f>IF(OR(E194="",E194="!!!",F194="NEW"),"",INDEX(B$2:B193,-1+SUMPRODUCT(MAX(ROW(E$2:E193)*(E194=E$2:E193)))))</f>
        <v/>
      </c>
      <c r="J194" s="25" t="str">
        <f ca="1">IF(OR(E194="",E194="!!!",F194="NEW"),"",COUNTBLANK(OFFSET(A$1,,,SUMPRODUCT(MAX(ROW(E$2:E194)*(E194=E$2:E194)))))-COUNTBLANK(OFFSET(A$1,,,SUMPRODUCT(MAX(ROW(E$1:E193)*(E2=E$1:E193))))))</f>
        <v/>
      </c>
      <c r="K194" s="25" t="str">
        <f>IF(OR(E194="",E194="!!!",F194="NEW"),"",INDEX(J$1:J193,SUMPRODUCT(MAX(ROW(E$1:E193)*(E194=E$1:E193)))))</f>
        <v/>
      </c>
      <c r="L194" s="26"/>
    </row>
    <row r="195" spans="1:12" x14ac:dyDescent="0.3">
      <c r="A195" t="s">
        <v>302</v>
      </c>
      <c r="E195" s="21" t="str">
        <f t="shared" si="16"/>
        <v/>
      </c>
      <c r="F195" s="22" t="str">
        <f>IF(OR(E195="",E195="!!!"),"",IF(NOT(ISNA(VLOOKUP(E195,E$1:E194,1,FALSE()))),"OLD",IF(AND(E195&lt;&gt;"",E195&lt;&gt;"!!!"),"NEW","")))</f>
        <v/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4" t="str">
        <f t="shared" ca="1" si="17"/>
        <v/>
      </c>
      <c r="I195" s="25" t="str">
        <f>IF(OR(E195="",E195="!!!",F195="NEW"),"",INDEX(B$2:B194,-1+SUMPRODUCT(MAX(ROW(E$2:E194)*(E195=E$2:E194)))))</f>
        <v/>
      </c>
      <c r="J195" s="25" t="str">
        <f ca="1">IF(OR(E195="",E195="!!!",F195="NEW"),"",COUNTBLANK(OFFSET(A$1,,,SUMPRODUCT(MAX(ROW(E$2:E195)*(E195=E$2:E195)))))-COUNTBLANK(OFFSET(A$1,,,SUMPRODUCT(MAX(ROW(E$1:E194)*(E2=E$1:E194))))))</f>
        <v/>
      </c>
      <c r="K195" s="25" t="str">
        <f>IF(OR(E195="",E195="!!!",F195="NEW"),"",INDEX(J$1:J194,SUMPRODUCT(MAX(ROW(E$1:E194)*(E195=E$1:E194)))))</f>
        <v/>
      </c>
      <c r="L195" s="26"/>
    </row>
    <row r="196" spans="1:12" x14ac:dyDescent="0.3">
      <c r="A196" t="s">
        <v>223</v>
      </c>
      <c r="E196" s="21" t="str">
        <f t="shared" si="16"/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ca="1" si="17"/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303</v>
      </c>
      <c r="E197" s="21" t="str">
        <f t="shared" si="16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7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179</v>
      </c>
      <c r="E198" s="21" t="str">
        <f t="shared" si="16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7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283</v>
      </c>
      <c r="B199" s="20" t="s">
        <v>158</v>
      </c>
      <c r="C199" s="20" t="s">
        <v>181</v>
      </c>
      <c r="D199" s="20" t="s">
        <v>160</v>
      </c>
      <c r="E199" s="21" t="str">
        <f t="shared" si="16"/>
        <v>!!!</v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7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212</v>
      </c>
      <c r="E200" s="21" t="str">
        <f t="shared" si="16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17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2" spans="1:12" x14ac:dyDescent="0.3">
      <c r="A202" t="s">
        <v>304</v>
      </c>
    </row>
    <row r="203" spans="1:12" x14ac:dyDescent="0.3">
      <c r="A203" t="s">
        <v>305</v>
      </c>
      <c r="E203" s="21" t="str">
        <f t="shared" ref="E203:E234" si="18">IF(D203="?OLD","!!!","")</f>
        <v/>
      </c>
      <c r="F203" s="22" t="str">
        <f>IF(OR(E203="",E203="!!!"),"",IF(NOT(ISNA(VLOOKUP(E203,E$1:E202,1,FALSE()))),"OLD",IF(AND(E203&lt;&gt;"",E203&lt;&gt;"!!!"),"NEW","")))</f>
        <v/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4" t="str">
        <f t="shared" ref="H203:H234" ca="1" si="19">IF(J203&lt;&gt;1,"",IF(I203="SBJ","CB","?"))</f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228</v>
      </c>
      <c r="B204" s="20" t="s">
        <v>257</v>
      </c>
      <c r="C204" s="20" t="s">
        <v>206</v>
      </c>
      <c r="D204" s="20" t="s">
        <v>160</v>
      </c>
      <c r="E204" s="21" t="str">
        <f t="shared" si="18"/>
        <v>!!!</v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9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306</v>
      </c>
      <c r="E205" s="21" t="str">
        <f t="shared" si="18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9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307</v>
      </c>
      <c r="B206" s="20" t="s">
        <v>257</v>
      </c>
      <c r="C206" s="20" t="s">
        <v>211</v>
      </c>
      <c r="E206" s="21" t="str">
        <f t="shared" si="18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9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195</v>
      </c>
      <c r="E207" s="21" t="str">
        <f t="shared" si="18"/>
        <v/>
      </c>
      <c r="F207" s="22" t="str">
        <f>IF(OR(E207="",E207="!!!"),"",IF(NOT(ISNA(VLOOKUP(E207,E$1:E206,1,FALSE()))),"OLD",IF(AND(E207&lt;&gt;"",E207&lt;&gt;"!!!"),"NEW","")))</f>
        <v/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4" t="str">
        <f t="shared" ca="1" si="19"/>
        <v/>
      </c>
      <c r="I207" s="25" t="str">
        <f>IF(OR(E207="",E207="!!!",F207="NEW"),"",INDEX(B$2:B206,-1+SUMPRODUCT(MAX(ROW(E$2:E206)*(E207=E$2:E206)))))</f>
        <v/>
      </c>
      <c r="J207" s="25" t="str">
        <f ca="1">IF(OR(E207="",E207="!!!",F207="NEW"),"",COUNTBLANK(OFFSET(A$1,,,SUMPRODUCT(MAX(ROW(E$2:E207)*(E207=E$2:E207)))))-COUNTBLANK(OFFSET(A$1,,,SUMPRODUCT(MAX(ROW(E$1:E206)*(E2=E$1:E206))))))</f>
        <v/>
      </c>
      <c r="K207" s="25" t="str">
        <f>IF(OR(E207="",E207="!!!",F207="NEW"),"",INDEX(J$1:J206,SUMPRODUCT(MAX(ROW(E$1:E206)*(E207=E$1:E206)))))</f>
        <v/>
      </c>
      <c r="L207" s="26"/>
    </row>
    <row r="208" spans="1:12" x14ac:dyDescent="0.3">
      <c r="A208" t="s">
        <v>308</v>
      </c>
      <c r="E208" s="21" t="str">
        <f t="shared" si="18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19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09" spans="1:12" x14ac:dyDescent="0.3">
      <c r="A209" t="s">
        <v>185</v>
      </c>
      <c r="E209" s="21" t="str">
        <f t="shared" si="18"/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ca="1" si="19"/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243</v>
      </c>
      <c r="E210" s="21" t="str">
        <f t="shared" si="18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19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275</v>
      </c>
      <c r="E211" s="21" t="str">
        <f t="shared" si="18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19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309</v>
      </c>
      <c r="B212" s="20" t="s">
        <v>191</v>
      </c>
      <c r="C212" s="20" t="s">
        <v>181</v>
      </c>
      <c r="D212" s="20" t="s">
        <v>160</v>
      </c>
      <c r="E212" s="21" t="str">
        <f t="shared" si="18"/>
        <v>!!!</v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19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295</v>
      </c>
      <c r="E213" s="21" t="str">
        <f t="shared" si="18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19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269</v>
      </c>
      <c r="B214" s="20" t="s">
        <v>172</v>
      </c>
      <c r="C214" s="20" t="s">
        <v>181</v>
      </c>
      <c r="D214" s="20" t="s">
        <v>160</v>
      </c>
      <c r="E214" s="21" t="str">
        <f t="shared" si="18"/>
        <v>!!!</v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19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310</v>
      </c>
      <c r="E215" s="21" t="str">
        <f t="shared" si="18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19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175</v>
      </c>
      <c r="B216" s="20" t="s">
        <v>187</v>
      </c>
      <c r="C216" s="20" t="s">
        <v>177</v>
      </c>
      <c r="D216" s="20" t="s">
        <v>160</v>
      </c>
      <c r="E216" s="21" t="str">
        <f t="shared" si="18"/>
        <v>!!!</v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19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311</v>
      </c>
      <c r="B217" s="20" t="s">
        <v>176</v>
      </c>
      <c r="C217" s="20" t="s">
        <v>167</v>
      </c>
      <c r="E217" s="21" t="str">
        <f t="shared" si="18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19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312</v>
      </c>
      <c r="E218" s="21" t="str">
        <f t="shared" si="18"/>
        <v/>
      </c>
      <c r="F218" s="22" t="str">
        <f>IF(OR(E218="",E218="!!!"),"",IF(NOT(ISNA(VLOOKUP(E218,E$1:E217,1,FALSE()))),"OLD",IF(AND(E218&lt;&gt;"",E218&lt;&gt;"!!!"),"NEW","")))</f>
        <v/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19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185</v>
      </c>
      <c r="E219" s="21" t="str">
        <f t="shared" si="18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19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313</v>
      </c>
      <c r="E220" s="21" t="str">
        <f t="shared" si="18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19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221</v>
      </c>
      <c r="B221" s="20" t="s">
        <v>176</v>
      </c>
      <c r="C221" s="20" t="s">
        <v>199</v>
      </c>
      <c r="D221" s="20" t="s">
        <v>160</v>
      </c>
      <c r="E221" s="21" t="str">
        <f t="shared" si="18"/>
        <v>!!!</v>
      </c>
      <c r="F221" s="22" t="str">
        <f>IF(OR(E221="",E221="!!!"),"",IF(NOT(ISNA(VLOOKUP(E221,E$1:E220,1,FALSE()))),"OLD",IF(AND(E221&lt;&gt;"",E221&lt;&gt;"!!!"),"NEW","")))</f>
        <v/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t="shared" ca="1" si="19"/>
        <v/>
      </c>
      <c r="I221" s="25" t="str">
        <f>IF(OR(E221="",E221="!!!",F221="NEW"),"",INDEX(B$2:B220,-1+SUMPRODUCT(MAX(ROW(E$2:E220)*(E221=E$2:E220)))))</f>
        <v/>
      </c>
      <c r="J221" s="25" t="str">
        <f ca="1">IF(OR(E221="",E221="!!!",F221="NEW"),"",COUNTBLANK(OFFSET(A$1,,,SUMPRODUCT(MAX(ROW(E$2:E221)*(E221=E$2:E221)))))-COUNTBLANK(OFFSET(A$1,,,SUMPRODUCT(MAX(ROW(E$1:E220)*(E2=E$1:E220))))))</f>
        <v/>
      </c>
      <c r="K221" s="25" t="str">
        <f>IF(OR(E221="",E221="!!!",F221="NEW"),"",INDEX(J$1:J220,SUMPRODUCT(MAX(ROW(E$1:E220)*(E221=E$1:E220)))))</f>
        <v/>
      </c>
      <c r="L221" s="26"/>
    </row>
    <row r="222" spans="1:12" x14ac:dyDescent="0.3">
      <c r="A222" t="s">
        <v>314</v>
      </c>
      <c r="B222" s="20" t="s">
        <v>187</v>
      </c>
      <c r="C222" s="20" t="s">
        <v>167</v>
      </c>
      <c r="E222" s="21" t="str">
        <f t="shared" si="18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19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185</v>
      </c>
      <c r="E223" s="21" t="str">
        <f t="shared" si="18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19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220</v>
      </c>
      <c r="E224" s="21" t="str">
        <f t="shared" si="18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19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239</v>
      </c>
      <c r="B225" s="20" t="s">
        <v>261</v>
      </c>
      <c r="C225" s="20" t="s">
        <v>206</v>
      </c>
      <c r="D225" s="20" t="s">
        <v>160</v>
      </c>
      <c r="E225" s="21" t="str">
        <f t="shared" si="18"/>
        <v>!!!</v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19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315</v>
      </c>
      <c r="E226" s="21" t="str">
        <f t="shared" si="18"/>
        <v/>
      </c>
      <c r="F226" s="22" t="str">
        <f>IF(OR(E226="",E226="!!!"),"",IF(NOT(ISNA(VLOOKUP(E226,E$1:E225,1,FALSE()))),"OLD",IF(AND(E226&lt;&gt;"",E226&lt;&gt;"!!!"),"NEW","")))</f>
        <v/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4" t="str">
        <f t="shared" ca="1" si="19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185</v>
      </c>
      <c r="E227" s="21" t="str">
        <f t="shared" si="18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19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170</v>
      </c>
      <c r="E228" s="21" t="str">
        <f t="shared" si="18"/>
        <v/>
      </c>
      <c r="F228" s="22" t="str">
        <f>IF(OR(E228="",E228="!!!"),"",IF(NOT(ISNA(VLOOKUP(E228,E$1:E227,1,FALSE()))),"OLD",IF(AND(E228&lt;&gt;"",E228&lt;&gt;"!!!"),"NEW","")))</f>
        <v/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4" t="str">
        <f t="shared" ca="1" si="19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316</v>
      </c>
      <c r="E229" s="21" t="str">
        <f t="shared" si="18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19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317</v>
      </c>
      <c r="E230" s="21" t="str">
        <f t="shared" si="18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19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318</v>
      </c>
      <c r="E231" s="21" t="str">
        <f t="shared" si="18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19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319</v>
      </c>
      <c r="B232" s="20" t="s">
        <v>201</v>
      </c>
      <c r="C232" s="20" t="s">
        <v>211</v>
      </c>
      <c r="E232" s="21" t="str">
        <f t="shared" si="18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19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320</v>
      </c>
      <c r="E233" s="21" t="str">
        <f t="shared" si="18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19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212</v>
      </c>
      <c r="E234" s="21" t="str">
        <f t="shared" si="18"/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19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6" spans="1:12" x14ac:dyDescent="0.3">
      <c r="A236" t="s">
        <v>321</v>
      </c>
    </row>
    <row r="237" spans="1:12" x14ac:dyDescent="0.3">
      <c r="A237" t="s">
        <v>322</v>
      </c>
      <c r="B237" s="20" t="s">
        <v>187</v>
      </c>
      <c r="C237" s="20" t="s">
        <v>177</v>
      </c>
      <c r="D237" s="20" t="s">
        <v>160</v>
      </c>
      <c r="E237" s="21" t="str">
        <f t="shared" ref="E237:E256" si="20">IF(D237="?OLD","!!!","")</f>
        <v>!!!</v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ref="H237:H256" ca="1" si="21">IF(J237&lt;&gt;1,"",IF(I237="SBJ","CB","?"))</f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252</v>
      </c>
      <c r="E238" s="21" t="str">
        <f t="shared" si="20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21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323</v>
      </c>
      <c r="E239" s="21" t="str">
        <f t="shared" si="20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21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324</v>
      </c>
      <c r="E240" s="21" t="str">
        <f t="shared" si="20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21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1" spans="1:12" x14ac:dyDescent="0.3">
      <c r="A241" t="s">
        <v>179</v>
      </c>
      <c r="E241" s="21" t="str">
        <f t="shared" si="20"/>
        <v/>
      </c>
      <c r="F241" s="22" t="str">
        <f>IF(OR(E241="",E241="!!!"),"",IF(NOT(ISNA(VLOOKUP(E241,E$1:E240,1,FALSE()))),"OLD",IF(AND(E241&lt;&gt;"",E241&lt;&gt;"!!!"),"NEW","")))</f>
        <v/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4" t="str">
        <f t="shared" ca="1" si="21"/>
        <v/>
      </c>
      <c r="I241" s="25" t="str">
        <f>IF(OR(E241="",E241="!!!",F241="NEW"),"",INDEX(B$2:B240,-1+SUMPRODUCT(MAX(ROW(E$2:E240)*(E241=E$2:E240)))))</f>
        <v/>
      </c>
      <c r="J241" s="25" t="str">
        <f ca="1">IF(OR(E241="",E241="!!!",F241="NEW"),"",COUNTBLANK(OFFSET(A$1,,,SUMPRODUCT(MAX(ROW(E$2:E241)*(E241=E$2:E241)))))-COUNTBLANK(OFFSET(A$1,,,SUMPRODUCT(MAX(ROW(E$1:E240)*(E2=E$1:E240))))))</f>
        <v/>
      </c>
      <c r="K241" s="25" t="str">
        <f>IF(OR(E241="",E241="!!!",F241="NEW"),"",INDEX(J$1:J240,SUMPRODUCT(MAX(ROW(E$1:E240)*(E241=E$1:E240)))))</f>
        <v/>
      </c>
      <c r="L241" s="26"/>
    </row>
    <row r="242" spans="1:12" x14ac:dyDescent="0.3">
      <c r="A242" t="s">
        <v>325</v>
      </c>
      <c r="E242" s="21" t="str">
        <f t="shared" si="20"/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ca="1" si="21"/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314</v>
      </c>
      <c r="B243" s="20" t="s">
        <v>191</v>
      </c>
      <c r="C243" s="20" t="s">
        <v>181</v>
      </c>
      <c r="D243" s="20" t="s">
        <v>160</v>
      </c>
      <c r="E243" s="21" t="str">
        <f t="shared" si="20"/>
        <v>!!!</v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21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185</v>
      </c>
      <c r="E244" s="21" t="str">
        <f t="shared" si="20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21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326</v>
      </c>
      <c r="E245" s="21" t="str">
        <f t="shared" si="20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1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175</v>
      </c>
      <c r="B246" s="20" t="s">
        <v>176</v>
      </c>
      <c r="C246" s="20" t="s">
        <v>177</v>
      </c>
      <c r="D246" s="20" t="s">
        <v>160</v>
      </c>
      <c r="E246" s="21" t="str">
        <f t="shared" si="20"/>
        <v>!!!</v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1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327</v>
      </c>
      <c r="E247" s="21" t="str">
        <f t="shared" si="20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1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179</v>
      </c>
      <c r="E248" s="21" t="str">
        <f t="shared" si="20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1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328</v>
      </c>
      <c r="E249" s="21" t="str">
        <f t="shared" si="20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1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329</v>
      </c>
      <c r="B250" s="20" t="s">
        <v>257</v>
      </c>
      <c r="C250" s="20" t="s">
        <v>181</v>
      </c>
      <c r="D250" s="20" t="s">
        <v>160</v>
      </c>
      <c r="E250" s="21" t="str">
        <f t="shared" si="20"/>
        <v>!!!</v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21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168</v>
      </c>
      <c r="E251" s="21" t="str">
        <f t="shared" si="20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21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330</v>
      </c>
      <c r="B252" s="20" t="s">
        <v>183</v>
      </c>
      <c r="C252" s="20" t="s">
        <v>167</v>
      </c>
      <c r="E252" s="21" t="str">
        <f t="shared" si="20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21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240</v>
      </c>
      <c r="E253" s="21" t="str">
        <f t="shared" si="20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21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319</v>
      </c>
      <c r="B254" s="20" t="s">
        <v>183</v>
      </c>
      <c r="C254" s="20" t="s">
        <v>181</v>
      </c>
      <c r="D254" s="20" t="s">
        <v>160</v>
      </c>
      <c r="E254" s="21" t="str">
        <f t="shared" si="20"/>
        <v>!!!</v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1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331</v>
      </c>
      <c r="E255" s="21" t="str">
        <f t="shared" si="20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1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212</v>
      </c>
      <c r="E256" s="21" t="str">
        <f t="shared" si="20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21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8" spans="1:12" x14ac:dyDescent="0.3">
      <c r="A258" t="s">
        <v>332</v>
      </c>
    </row>
    <row r="259" spans="1:12" x14ac:dyDescent="0.3">
      <c r="A259" t="s">
        <v>292</v>
      </c>
      <c r="E259" s="21" t="str">
        <f t="shared" ref="E259:E298" si="22">IF(D259="?OLD","!!!","")</f>
        <v/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ref="H259:H298" ca="1" si="23">IF(J259&lt;&gt;1,"",IF(I259="SBJ","CB","?"))</f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240</v>
      </c>
      <c r="E260" s="21" t="str">
        <f t="shared" si="22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23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293</v>
      </c>
      <c r="E261" s="21" t="str">
        <f t="shared" si="22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23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276</v>
      </c>
      <c r="B262" s="20" t="s">
        <v>158</v>
      </c>
      <c r="C262" s="20" t="s">
        <v>294</v>
      </c>
      <c r="D262" s="20" t="s">
        <v>160</v>
      </c>
      <c r="E262" s="21" t="str">
        <f t="shared" si="22"/>
        <v>!!!</v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23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295</v>
      </c>
      <c r="E263" s="21" t="str">
        <f t="shared" si="22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23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269</v>
      </c>
      <c r="B264" s="20" t="s">
        <v>172</v>
      </c>
      <c r="C264" s="20" t="s">
        <v>181</v>
      </c>
      <c r="D264" s="20" t="s">
        <v>160</v>
      </c>
      <c r="E264" s="21" t="str">
        <f t="shared" si="22"/>
        <v>!!!</v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3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333</v>
      </c>
      <c r="E265" s="21" t="str">
        <f t="shared" si="22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23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334</v>
      </c>
      <c r="B266" s="20" t="s">
        <v>187</v>
      </c>
      <c r="C266" s="20" t="s">
        <v>177</v>
      </c>
      <c r="D266" s="20" t="s">
        <v>160</v>
      </c>
      <c r="E266" s="21" t="str">
        <f t="shared" si="22"/>
        <v>!!!</v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23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244</v>
      </c>
      <c r="B267" s="20" t="s">
        <v>191</v>
      </c>
      <c r="C267" s="20" t="s">
        <v>167</v>
      </c>
      <c r="E267" s="21" t="str">
        <f t="shared" si="22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23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185</v>
      </c>
      <c r="E268" s="21" t="str">
        <f t="shared" si="22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23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179</v>
      </c>
      <c r="B269" s="20" t="s">
        <v>261</v>
      </c>
      <c r="E269" s="21" t="str">
        <f t="shared" si="22"/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ca="1" si="23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188</v>
      </c>
      <c r="E270" s="21" t="str">
        <f t="shared" si="22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23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335</v>
      </c>
      <c r="B271" s="20" t="s">
        <v>183</v>
      </c>
      <c r="C271" s="20" t="s">
        <v>167</v>
      </c>
      <c r="E271" s="21" t="str">
        <f t="shared" si="22"/>
        <v/>
      </c>
      <c r="F271" s="22" t="str">
        <f>IF(OR(E271="",E271="!!!"),"",IF(NOT(ISNA(VLOOKUP(E271,E$1:E270,1,FALSE()))),"OLD",IF(AND(E271&lt;&gt;"",E271&lt;&gt;"!!!"),"NEW","")))</f>
        <v/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4" t="str">
        <f t="shared" ca="1" si="23"/>
        <v/>
      </c>
      <c r="I271" s="25" t="str">
        <f>IF(OR(E271="",E271="!!!",F271="NEW"),"",INDEX(B$2:B270,-1+SUMPRODUCT(MAX(ROW(E$2:E270)*(E271=E$2:E270)))))</f>
        <v/>
      </c>
      <c r="J271" s="25" t="str">
        <f ca="1">IF(OR(E271="",E271="!!!",F271="NEW"),"",COUNTBLANK(OFFSET(A$1,,,SUMPRODUCT(MAX(ROW(E$2:E271)*(E271=E$2:E271)))))-COUNTBLANK(OFFSET(A$1,,,SUMPRODUCT(MAX(ROW(E$1:E270)*(E2=E$1:E270))))))</f>
        <v/>
      </c>
      <c r="K271" s="25" t="str">
        <f>IF(OR(E271="",E271="!!!",F271="NEW"),"",INDEX(J$1:J270,SUMPRODUCT(MAX(ROW(E$1:E270)*(E271=E$1:E270)))))</f>
        <v/>
      </c>
      <c r="L271" s="26"/>
    </row>
    <row r="272" spans="1:12" x14ac:dyDescent="0.3">
      <c r="A272" t="s">
        <v>220</v>
      </c>
      <c r="E272" s="21" t="str">
        <f t="shared" si="22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3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336</v>
      </c>
      <c r="E273" s="21" t="str">
        <f t="shared" si="22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3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11</v>
      </c>
      <c r="E274" s="21" t="str">
        <f t="shared" si="22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23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337</v>
      </c>
      <c r="B275" s="20" t="s">
        <v>201</v>
      </c>
      <c r="C275" s="20" t="s">
        <v>167</v>
      </c>
      <c r="E275" s="21" t="str">
        <f t="shared" si="22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3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338</v>
      </c>
      <c r="E276" s="21" t="str">
        <f t="shared" si="22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23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223</v>
      </c>
      <c r="E277" s="21" t="str">
        <f t="shared" si="22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3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168</v>
      </c>
      <c r="E278" s="21" t="str">
        <f t="shared" si="22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23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339</v>
      </c>
      <c r="B279" s="20" t="s">
        <v>340</v>
      </c>
      <c r="E279" s="21" t="str">
        <f t="shared" si="22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23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296</v>
      </c>
      <c r="E280" s="21" t="str">
        <f t="shared" si="22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23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341</v>
      </c>
      <c r="E281" s="21" t="str">
        <f t="shared" si="22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23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279</v>
      </c>
      <c r="E282" s="21" t="str">
        <f t="shared" si="22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3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342</v>
      </c>
      <c r="B283" s="20" t="s">
        <v>201</v>
      </c>
      <c r="C283" s="20" t="s">
        <v>181</v>
      </c>
      <c r="D283" s="20" t="s">
        <v>160</v>
      </c>
      <c r="E283" s="21" t="str">
        <f t="shared" si="22"/>
        <v>!!!</v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3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343</v>
      </c>
      <c r="B284" s="20" t="s">
        <v>196</v>
      </c>
      <c r="C284" s="20" t="s">
        <v>159</v>
      </c>
      <c r="D284" s="20" t="s">
        <v>160</v>
      </c>
      <c r="E284" s="21" t="str">
        <f t="shared" si="22"/>
        <v>!!!</v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23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344</v>
      </c>
      <c r="E285" s="21" t="str">
        <f t="shared" si="22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23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249</v>
      </c>
      <c r="B286" s="20" t="s">
        <v>345</v>
      </c>
      <c r="C286" s="20" t="s">
        <v>159</v>
      </c>
      <c r="D286" s="20" t="s">
        <v>160</v>
      </c>
      <c r="E286" s="21" t="str">
        <f t="shared" si="22"/>
        <v>!!!</v>
      </c>
      <c r="F286" s="22" t="str">
        <f>IF(OR(E286="",E286="!!!"),"",IF(NOT(ISNA(VLOOKUP(E286,E$1:E285,1,FALSE()))),"OLD",IF(AND(E286&lt;&gt;"",E286&lt;&gt;"!!!"),"NEW","")))</f>
        <v/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/>
      </c>
      <c r="H286" s="24" t="str">
        <f t="shared" ca="1" si="23"/>
        <v/>
      </c>
      <c r="I286" s="25" t="str">
        <f>IF(OR(E286="",E286="!!!",F286="NEW"),"",INDEX(B$2:B285,-1+SUMPRODUCT(MAX(ROW(E$2:E285)*(E286=E$2:E285)))))</f>
        <v/>
      </c>
      <c r="J286" s="25" t="str">
        <f ca="1">IF(OR(E286="",E286="!!!",F286="NEW"),"",COUNTBLANK(OFFSET(A$1,,,SUMPRODUCT(MAX(ROW(E$2:E286)*(E286=E$2:E286)))))-COUNTBLANK(OFFSET(A$1,,,SUMPRODUCT(MAX(ROW(E$1:E285)*(E2=E$1:E285))))))</f>
        <v/>
      </c>
      <c r="K286" s="25" t="str">
        <f>IF(OR(E286="",E286="!!!",F286="NEW"),"",INDEX(J$1:J285,SUMPRODUCT(MAX(ROW(E$1:E285)*(E286=E$1:E285)))))</f>
        <v/>
      </c>
      <c r="L286" s="26"/>
    </row>
    <row r="287" spans="1:12" x14ac:dyDescent="0.3">
      <c r="A287" t="s">
        <v>344</v>
      </c>
      <c r="E287" s="21" t="str">
        <f t="shared" si="22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23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346</v>
      </c>
      <c r="B288" s="20" t="s">
        <v>345</v>
      </c>
      <c r="C288" s="20" t="s">
        <v>159</v>
      </c>
      <c r="D288" s="20" t="s">
        <v>160</v>
      </c>
      <c r="E288" s="21" t="str">
        <f t="shared" si="22"/>
        <v>!!!</v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23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347</v>
      </c>
      <c r="E289" s="21" t="str">
        <f t="shared" si="22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23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185</v>
      </c>
      <c r="E290" s="21" t="str">
        <f t="shared" si="22"/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ca="1" si="23"/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303</v>
      </c>
      <c r="E291" s="21" t="str">
        <f t="shared" si="22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23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341</v>
      </c>
      <c r="E292" s="21" t="str">
        <f t="shared" si="22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23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240</v>
      </c>
      <c r="E293" s="21" t="str">
        <f t="shared" si="22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23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348</v>
      </c>
      <c r="E294" s="21" t="str">
        <f t="shared" si="22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23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349</v>
      </c>
      <c r="B295" s="20" t="s">
        <v>172</v>
      </c>
      <c r="C295" s="20" t="s">
        <v>181</v>
      </c>
      <c r="D295" s="20" t="s">
        <v>160</v>
      </c>
      <c r="E295" s="21" t="str">
        <f t="shared" si="22"/>
        <v>!!!</v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23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350</v>
      </c>
      <c r="E296" s="21" t="str">
        <f t="shared" si="22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23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248</v>
      </c>
      <c r="B297" s="20" t="s">
        <v>183</v>
      </c>
      <c r="C297" s="20" t="s">
        <v>159</v>
      </c>
      <c r="D297" s="20" t="s">
        <v>160</v>
      </c>
      <c r="E297" s="21" t="str">
        <f t="shared" si="22"/>
        <v>!!!</v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23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212</v>
      </c>
      <c r="E298" s="21" t="str">
        <f t="shared" si="22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23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300" spans="1:12" x14ac:dyDescent="0.3">
      <c r="A300" t="s">
        <v>351</v>
      </c>
    </row>
    <row r="301" spans="1:12" x14ac:dyDescent="0.3">
      <c r="A301" t="s">
        <v>352</v>
      </c>
      <c r="E301" s="21" t="str">
        <f t="shared" ref="E301:E318" si="24">IF(D301="?OLD","!!!","")</f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ref="H301:H318" ca="1" si="25">IF(J301&lt;&gt;1,"",IF(I301="SBJ","CB","?"))</f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240</v>
      </c>
      <c r="E302" s="21" t="str">
        <f t="shared" si="24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25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353</v>
      </c>
      <c r="B303" s="20" t="s">
        <v>158</v>
      </c>
      <c r="C303" s="20" t="s">
        <v>181</v>
      </c>
      <c r="D303" s="20" t="s">
        <v>160</v>
      </c>
      <c r="E303" s="21" t="str">
        <f t="shared" si="24"/>
        <v>!!!</v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25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252</v>
      </c>
      <c r="E304" s="21" t="str">
        <f t="shared" si="24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25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205</v>
      </c>
      <c r="B305" s="20" t="s">
        <v>187</v>
      </c>
      <c r="C305" s="20" t="s">
        <v>206</v>
      </c>
      <c r="D305" s="20" t="s">
        <v>160</v>
      </c>
      <c r="E305" s="21" t="str">
        <f t="shared" si="24"/>
        <v>!!!</v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25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354</v>
      </c>
      <c r="E306" s="21" t="str">
        <f t="shared" si="24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25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185</v>
      </c>
      <c r="E307" s="21" t="str">
        <f t="shared" si="24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25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355</v>
      </c>
      <c r="B308" s="20" t="s">
        <v>261</v>
      </c>
      <c r="E308" s="21" t="str">
        <f t="shared" si="24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25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179</v>
      </c>
      <c r="E309" s="21" t="str">
        <f t="shared" si="24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25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356</v>
      </c>
      <c r="E310" s="21" t="str">
        <f t="shared" si="24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25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357</v>
      </c>
      <c r="B311" s="20" t="s">
        <v>358</v>
      </c>
      <c r="C311" s="20" t="s">
        <v>359</v>
      </c>
      <c r="D311" s="20" t="s">
        <v>160</v>
      </c>
      <c r="E311" s="21" t="str">
        <f t="shared" si="24"/>
        <v>!!!</v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25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360</v>
      </c>
      <c r="E312" s="21" t="str">
        <f t="shared" si="24"/>
        <v/>
      </c>
      <c r="F312" s="22" t="str">
        <f>IF(OR(E312="",E312="!!!"),"",IF(NOT(ISNA(VLOOKUP(E312,E$1:E311,1,FALSE()))),"OLD",IF(AND(E312&lt;&gt;"",E312&lt;&gt;"!!!"),"NEW","")))</f>
        <v/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4" t="str">
        <f t="shared" ca="1" si="25"/>
        <v/>
      </c>
      <c r="I312" s="25" t="str">
        <f>IF(OR(E312="",E312="!!!",F312="NEW"),"",INDEX(B$2:B311,-1+SUMPRODUCT(MAX(ROW(E$2:E311)*(E312=E$2:E311)))))</f>
        <v/>
      </c>
      <c r="J312" s="25" t="str">
        <f ca="1">IF(OR(E312="",E312="!!!",F312="NEW"),"",COUNTBLANK(OFFSET(A$1,,,SUMPRODUCT(MAX(ROW(E$2:E312)*(E312=E$2:E312)))))-COUNTBLANK(OFFSET(A$1,,,SUMPRODUCT(MAX(ROW(E$1:E311)*(E2=E$1:E311))))))</f>
        <v/>
      </c>
      <c r="K312" s="25" t="str">
        <f>IF(OR(E312="",E312="!!!",F312="NEW"),"",INDEX(J$1:J311,SUMPRODUCT(MAX(ROW(E$1:E311)*(E312=E$1:E311)))))</f>
        <v/>
      </c>
      <c r="L312" s="26"/>
    </row>
    <row r="313" spans="1:12" x14ac:dyDescent="0.3">
      <c r="A313" t="s">
        <v>185</v>
      </c>
      <c r="E313" s="21" t="str">
        <f t="shared" si="24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25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168</v>
      </c>
      <c r="E314" s="21" t="str">
        <f t="shared" si="24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25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355</v>
      </c>
      <c r="B315" s="20" t="s">
        <v>194</v>
      </c>
      <c r="C315" s="20" t="s">
        <v>177</v>
      </c>
      <c r="D315" s="20" t="s">
        <v>160</v>
      </c>
      <c r="E315" s="21" t="str">
        <f t="shared" si="24"/>
        <v>!!!</v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25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235</v>
      </c>
      <c r="E316" s="21" t="str">
        <f t="shared" si="24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25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361</v>
      </c>
      <c r="B317" s="20" t="s">
        <v>183</v>
      </c>
      <c r="C317" s="20" t="s">
        <v>167</v>
      </c>
      <c r="E317" s="21" t="str">
        <f t="shared" si="24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25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8" spans="1:12" x14ac:dyDescent="0.3">
      <c r="A318" t="s">
        <v>212</v>
      </c>
      <c r="E318" s="21" t="str">
        <f t="shared" si="24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25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20" spans="1:12" x14ac:dyDescent="0.3">
      <c r="A320" t="s">
        <v>362</v>
      </c>
    </row>
    <row r="321" spans="1:12" x14ac:dyDescent="0.3">
      <c r="A321" t="s">
        <v>322</v>
      </c>
      <c r="B321" s="20" t="s">
        <v>187</v>
      </c>
      <c r="C321" s="20" t="s">
        <v>177</v>
      </c>
      <c r="D321" s="20" t="s">
        <v>160</v>
      </c>
      <c r="E321" s="21" t="str">
        <f t="shared" ref="E321:E348" si="26">IF(D321="?OLD","!!!","")</f>
        <v>!!!</v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ref="H321:H348" ca="1" si="27">IF(J321&lt;&gt;1,"",IF(I321="SBJ","CB","?"))</f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333</v>
      </c>
      <c r="E322" s="21" t="str">
        <f t="shared" si="26"/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ca="1" si="27"/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179</v>
      </c>
      <c r="E323" s="21" t="str">
        <f t="shared" si="26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27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248</v>
      </c>
      <c r="B324" s="20" t="s">
        <v>191</v>
      </c>
      <c r="C324" s="20" t="s">
        <v>159</v>
      </c>
      <c r="D324" s="20" t="s">
        <v>160</v>
      </c>
      <c r="E324" s="21" t="str">
        <f t="shared" si="26"/>
        <v>!!!</v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27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363</v>
      </c>
      <c r="E325" s="21" t="str">
        <f t="shared" si="26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27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185</v>
      </c>
      <c r="E326" s="21" t="str">
        <f t="shared" si="26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27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179</v>
      </c>
      <c r="E327" s="21" t="str">
        <f t="shared" si="26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27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248</v>
      </c>
      <c r="B328" s="20" t="s">
        <v>172</v>
      </c>
      <c r="C328" s="20" t="s">
        <v>159</v>
      </c>
      <c r="D328" s="20" t="s">
        <v>160</v>
      </c>
      <c r="E328" s="21" t="str">
        <f t="shared" si="26"/>
        <v>!!!</v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27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364</v>
      </c>
      <c r="E329" s="21" t="str">
        <f t="shared" si="26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27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365</v>
      </c>
      <c r="E330" s="21" t="str">
        <f t="shared" si="26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27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366</v>
      </c>
      <c r="B331" s="20" t="s">
        <v>183</v>
      </c>
      <c r="C331" s="20" t="s">
        <v>159</v>
      </c>
      <c r="D331" s="20" t="s">
        <v>160</v>
      </c>
      <c r="E331" s="21" t="str">
        <f t="shared" si="26"/>
        <v>!!!</v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27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367</v>
      </c>
      <c r="E332" s="21" t="str">
        <f t="shared" si="26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27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243</v>
      </c>
      <c r="E333" s="21" t="str">
        <f t="shared" si="26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27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368</v>
      </c>
      <c r="B334" s="20" t="s">
        <v>191</v>
      </c>
      <c r="C334" s="20" t="s">
        <v>181</v>
      </c>
      <c r="D334" s="20" t="s">
        <v>160</v>
      </c>
      <c r="E334" s="21" t="str">
        <f t="shared" si="26"/>
        <v>!!!</v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27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369</v>
      </c>
      <c r="B335" s="20" t="s">
        <v>172</v>
      </c>
      <c r="C335" s="20" t="s">
        <v>159</v>
      </c>
      <c r="D335" s="20" t="s">
        <v>160</v>
      </c>
      <c r="E335" s="21" t="str">
        <f t="shared" si="26"/>
        <v>!!!</v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27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370</v>
      </c>
      <c r="E336" s="21" t="str">
        <f t="shared" si="26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27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185</v>
      </c>
      <c r="E337" s="21" t="str">
        <f t="shared" si="26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27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8" spans="1:12" x14ac:dyDescent="0.3">
      <c r="A338" t="s">
        <v>179</v>
      </c>
      <c r="E338" s="21" t="str">
        <f t="shared" si="26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27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248</v>
      </c>
      <c r="B339" s="20" t="s">
        <v>172</v>
      </c>
      <c r="C339" s="20" t="s">
        <v>159</v>
      </c>
      <c r="D339" s="20" t="s">
        <v>160</v>
      </c>
      <c r="E339" s="21" t="str">
        <f t="shared" si="26"/>
        <v>!!!</v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27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371</v>
      </c>
      <c r="E340" s="21" t="str">
        <f t="shared" si="26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27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372</v>
      </c>
      <c r="E341" s="21" t="str">
        <f t="shared" si="26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27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373</v>
      </c>
      <c r="E342" s="21" t="str">
        <f t="shared" si="26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27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185</v>
      </c>
      <c r="E343" s="21" t="str">
        <f t="shared" si="26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27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179</v>
      </c>
      <c r="B344" s="20" t="s">
        <v>176</v>
      </c>
      <c r="C344" s="20" t="s">
        <v>177</v>
      </c>
      <c r="D344" s="20" t="s">
        <v>160</v>
      </c>
      <c r="E344" s="21" t="str">
        <f t="shared" si="26"/>
        <v>!!!</v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27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334</v>
      </c>
      <c r="B345" s="20" t="s">
        <v>261</v>
      </c>
      <c r="C345" s="20" t="s">
        <v>177</v>
      </c>
      <c r="D345" s="20" t="s">
        <v>160</v>
      </c>
      <c r="E345" s="21" t="str">
        <f t="shared" si="26"/>
        <v>!!!</v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27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374</v>
      </c>
      <c r="E346" s="21" t="str">
        <f t="shared" si="26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27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375</v>
      </c>
      <c r="E347" s="21" t="str">
        <f t="shared" si="26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27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212</v>
      </c>
      <c r="E348" s="21" t="str">
        <f t="shared" si="26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27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50" spans="1:12" x14ac:dyDescent="0.3">
      <c r="A350" t="s">
        <v>376</v>
      </c>
    </row>
    <row r="351" spans="1:12" x14ac:dyDescent="0.3">
      <c r="A351" t="s">
        <v>377</v>
      </c>
      <c r="B351" s="20" t="s">
        <v>172</v>
      </c>
      <c r="C351" s="20" t="s">
        <v>199</v>
      </c>
      <c r="D351" s="20" t="s">
        <v>160</v>
      </c>
      <c r="E351" s="21" t="str">
        <f t="shared" ref="E351:E363" si="28">IF(D351="?OLD","!!!","")</f>
        <v>!!!</v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ref="H351:H363" ca="1" si="29">IF(J351&lt;&gt;1,"",IF(I351="SBJ","CB","?"))</f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378</v>
      </c>
      <c r="B352" s="20" t="s">
        <v>187</v>
      </c>
      <c r="C352" s="20" t="s">
        <v>202</v>
      </c>
      <c r="D352" s="20" t="s">
        <v>160</v>
      </c>
      <c r="E352" s="21" t="str">
        <f t="shared" si="28"/>
        <v>!!!</v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29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379</v>
      </c>
      <c r="E353" s="21" t="str">
        <f t="shared" si="28"/>
        <v/>
      </c>
      <c r="F353" s="22" t="str">
        <f>IF(OR(E353="",E353="!!!"),"",IF(NOT(ISNA(VLOOKUP(E353,E$1:E352,1,FALSE()))),"OLD",IF(AND(E353&lt;&gt;"",E353&lt;&gt;"!!!"),"NEW","")))</f>
        <v/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4" t="str">
        <f t="shared" ca="1" si="29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303</v>
      </c>
      <c r="E354" s="21" t="str">
        <f t="shared" si="28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29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5" spans="1:12" x14ac:dyDescent="0.3">
      <c r="A355" t="s">
        <v>380</v>
      </c>
      <c r="E355" s="21" t="str">
        <f t="shared" si="28"/>
        <v/>
      </c>
      <c r="F355" s="22" t="str">
        <f>IF(OR(E355="",E355="!!!"),"",IF(NOT(ISNA(VLOOKUP(E355,E$1:E354,1,FALSE()))),"OLD",IF(AND(E355&lt;&gt;"",E355&lt;&gt;"!!!"),"NEW","")))</f>
        <v/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4" t="str">
        <f t="shared" ca="1" si="29"/>
        <v/>
      </c>
      <c r="I355" s="25" t="str">
        <f>IF(OR(E355="",E355="!!!",F355="NEW"),"",INDEX(B$2:B354,-1+SUMPRODUCT(MAX(ROW(E$2:E354)*(E355=E$2:E354)))))</f>
        <v/>
      </c>
      <c r="J355" s="25" t="str">
        <f ca="1">IF(OR(E355="",E355="!!!",F355="NEW"),"",COUNTBLANK(OFFSET(A$1,,,SUMPRODUCT(MAX(ROW(E$2:E355)*(E355=E$2:E355)))))-COUNTBLANK(OFFSET(A$1,,,SUMPRODUCT(MAX(ROW(E$1:E354)*(E2=E$1:E354))))))</f>
        <v/>
      </c>
      <c r="K355" s="25" t="str">
        <f>IF(OR(E355="",E355="!!!",F355="NEW"),"",INDEX(J$1:J354,SUMPRODUCT(MAX(ROW(E$1:E354)*(E355=E$1:E354)))))</f>
        <v/>
      </c>
      <c r="L355" s="26"/>
    </row>
    <row r="356" spans="1:12" x14ac:dyDescent="0.3">
      <c r="A356" t="s">
        <v>381</v>
      </c>
      <c r="B356" s="20" t="s">
        <v>158</v>
      </c>
      <c r="C356" s="20" t="s">
        <v>167</v>
      </c>
      <c r="E356" s="21" t="str">
        <f t="shared" si="28"/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ca="1" si="29"/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242</v>
      </c>
      <c r="E357" s="21" t="str">
        <f t="shared" si="28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29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243</v>
      </c>
      <c r="E358" s="21" t="str">
        <f t="shared" si="28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29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356</v>
      </c>
      <c r="E359" s="21" t="str">
        <f t="shared" si="28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29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382</v>
      </c>
      <c r="B360" s="20" t="s">
        <v>172</v>
      </c>
      <c r="C360" s="20" t="s">
        <v>359</v>
      </c>
      <c r="D360" s="20" t="s">
        <v>160</v>
      </c>
      <c r="E360" s="21" t="str">
        <f t="shared" si="28"/>
        <v>!!!</v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29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295</v>
      </c>
      <c r="E361" s="21" t="str">
        <f t="shared" si="28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29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269</v>
      </c>
      <c r="B362" s="20" t="s">
        <v>183</v>
      </c>
      <c r="C362" s="20" t="s">
        <v>181</v>
      </c>
      <c r="D362" s="20" t="s">
        <v>160</v>
      </c>
      <c r="E362" s="21" t="str">
        <f t="shared" si="28"/>
        <v>!!!</v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29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212</v>
      </c>
      <c r="E363" s="21" t="str">
        <f t="shared" si="28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29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5" spans="1:12" x14ac:dyDescent="0.3">
      <c r="A365" t="s">
        <v>383</v>
      </c>
    </row>
    <row r="366" spans="1:12" x14ac:dyDescent="0.3">
      <c r="A366" t="s">
        <v>384</v>
      </c>
      <c r="B366" s="20" t="s">
        <v>158</v>
      </c>
      <c r="C366" s="20" t="s">
        <v>167</v>
      </c>
      <c r="E366" s="21" t="str">
        <f t="shared" ref="E366:E372" si="30">IF(D366="?OLD","!!!","")</f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ref="H366:H372" ca="1" si="31">IF(J366&lt;&gt;1,"",IF(I366="SBJ","CB","?"))</f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175</v>
      </c>
      <c r="B367" s="20" t="s">
        <v>187</v>
      </c>
      <c r="C367" s="20" t="s">
        <v>177</v>
      </c>
      <c r="D367" s="20" t="s">
        <v>160</v>
      </c>
      <c r="E367" s="21" t="str">
        <f t="shared" si="30"/>
        <v>!!!</v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31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385</v>
      </c>
      <c r="E368" s="21" t="str">
        <f t="shared" si="30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31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386</v>
      </c>
      <c r="B369" s="20" t="s">
        <v>158</v>
      </c>
      <c r="C369" s="20" t="s">
        <v>159</v>
      </c>
      <c r="D369" s="20" t="s">
        <v>160</v>
      </c>
      <c r="E369" s="21" t="str">
        <f t="shared" si="30"/>
        <v>!!!</v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31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387</v>
      </c>
      <c r="E370" s="21" t="str">
        <f t="shared" si="30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31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188</v>
      </c>
      <c r="E371" s="21" t="str">
        <f t="shared" si="30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31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212</v>
      </c>
      <c r="E372" s="21" t="str">
        <f t="shared" si="30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31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4" spans="1:12" x14ac:dyDescent="0.3">
      <c r="A374" t="s">
        <v>388</v>
      </c>
    </row>
    <row r="375" spans="1:12" x14ac:dyDescent="0.3">
      <c r="A375" t="s">
        <v>205</v>
      </c>
      <c r="B375" s="20" t="s">
        <v>187</v>
      </c>
      <c r="C375" s="20" t="s">
        <v>206</v>
      </c>
      <c r="D375" s="20" t="s">
        <v>160</v>
      </c>
      <c r="E375" s="21" t="str">
        <f t="shared" ref="E375:E383" si="32">IF(D375="?OLD","!!!","")</f>
        <v>!!!</v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ref="H375:H383" ca="1" si="33">IF(J375&lt;&gt;1,"",IF(I375="SBJ","CB","?"))</f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252</v>
      </c>
      <c r="E376" s="21" t="str">
        <f t="shared" si="32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33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185</v>
      </c>
      <c r="E377" s="21" t="str">
        <f t="shared" si="32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33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253</v>
      </c>
      <c r="E378" s="21" t="str">
        <f t="shared" si="32"/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33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389</v>
      </c>
      <c r="E379" s="21" t="str">
        <f t="shared" si="32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33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354</v>
      </c>
      <c r="E380" s="21" t="str">
        <f t="shared" si="32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33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390</v>
      </c>
      <c r="E381" s="21" t="str">
        <f t="shared" si="32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33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391</v>
      </c>
      <c r="E382" s="21" t="str">
        <f t="shared" si="32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33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212</v>
      </c>
      <c r="E383" s="21" t="str">
        <f t="shared" si="32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33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5" spans="1:12" x14ac:dyDescent="0.3">
      <c r="A385" t="s">
        <v>392</v>
      </c>
    </row>
    <row r="386" spans="1:12" x14ac:dyDescent="0.3">
      <c r="A386" t="s">
        <v>292</v>
      </c>
      <c r="E386" s="21" t="str">
        <f t="shared" ref="E386:E417" si="34">IF(D386="?OLD","!!!","")</f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ref="H386:H417" ca="1" si="35">IF(J386&lt;&gt;1,"",IF(I386="SBJ","CB","?"))</f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240</v>
      </c>
      <c r="E387" s="21" t="str">
        <f t="shared" si="34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35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8" spans="1:12" x14ac:dyDescent="0.3">
      <c r="A388" t="s">
        <v>393</v>
      </c>
      <c r="E388" s="21" t="str">
        <f t="shared" si="34"/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t="shared" ca="1" si="35"/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276</v>
      </c>
      <c r="B389" s="20" t="s">
        <v>158</v>
      </c>
      <c r="C389" s="20" t="s">
        <v>181</v>
      </c>
      <c r="D389" s="20" t="s">
        <v>160</v>
      </c>
      <c r="E389" s="21" t="str">
        <f t="shared" si="34"/>
        <v>!!!</v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t="shared" ca="1" si="35"/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215</v>
      </c>
      <c r="E390" s="21" t="str">
        <f t="shared" si="34"/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ca="1" si="35"/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239</v>
      </c>
      <c r="E391" s="21" t="str">
        <f t="shared" si="34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35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243</v>
      </c>
      <c r="E392" s="21" t="str">
        <f t="shared" si="34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35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394</v>
      </c>
      <c r="B393" s="20" t="s">
        <v>187</v>
      </c>
      <c r="C393" s="20" t="s">
        <v>181</v>
      </c>
      <c r="D393" s="20" t="s">
        <v>160</v>
      </c>
      <c r="E393" s="21" t="str">
        <f t="shared" si="34"/>
        <v>!!!</v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35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11</v>
      </c>
      <c r="E394" s="21" t="str">
        <f t="shared" si="34"/>
        <v/>
      </c>
      <c r="F394" s="22" t="str">
        <f>IF(OR(E394="",E394="!!!"),"",IF(NOT(ISNA(VLOOKUP(E394,E$1:E393,1,FALSE()))),"OLD",IF(AND(E394&lt;&gt;"",E394&lt;&gt;"!!!"),"NEW","")))</f>
        <v/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4" t="str">
        <f t="shared" ca="1" si="35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185</v>
      </c>
      <c r="E395" s="21" t="str">
        <f t="shared" si="34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35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395</v>
      </c>
      <c r="B396" s="20" t="s">
        <v>172</v>
      </c>
      <c r="C396" s="20" t="s">
        <v>167</v>
      </c>
      <c r="E396" s="21" t="str">
        <f t="shared" si="34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35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11</v>
      </c>
      <c r="E397" s="21" t="str">
        <f t="shared" si="34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35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168</v>
      </c>
      <c r="E398" s="21" t="str">
        <f t="shared" si="34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35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396</v>
      </c>
      <c r="B399" s="20" t="s">
        <v>172</v>
      </c>
      <c r="C399" s="20" t="s">
        <v>167</v>
      </c>
      <c r="E399" s="21" t="str">
        <f t="shared" si="34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35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185</v>
      </c>
      <c r="E400" s="21" t="str">
        <f t="shared" si="34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35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243</v>
      </c>
      <c r="B401" s="20" t="s">
        <v>257</v>
      </c>
      <c r="E401" s="21" t="str">
        <f t="shared" si="34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35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239</v>
      </c>
      <c r="B402" s="20" t="s">
        <v>176</v>
      </c>
      <c r="C402" s="20" t="s">
        <v>206</v>
      </c>
      <c r="D402" s="20" t="s">
        <v>160</v>
      </c>
      <c r="E402" s="21" t="str">
        <f t="shared" si="34"/>
        <v>!!!</v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35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170</v>
      </c>
      <c r="E403" s="21" t="str">
        <f t="shared" si="34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35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248</v>
      </c>
      <c r="B404" s="20" t="s">
        <v>172</v>
      </c>
      <c r="C404" s="20" t="s">
        <v>167</v>
      </c>
      <c r="E404" s="21" t="str">
        <f t="shared" si="34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35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168</v>
      </c>
      <c r="E405" s="21" t="str">
        <f t="shared" si="34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35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293</v>
      </c>
      <c r="E406" s="21" t="str">
        <f t="shared" si="34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35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171</v>
      </c>
      <c r="B407" s="20" t="s">
        <v>183</v>
      </c>
      <c r="C407" s="20" t="s">
        <v>167</v>
      </c>
      <c r="E407" s="21" t="str">
        <f t="shared" si="34"/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35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397</v>
      </c>
      <c r="E408" s="21" t="str">
        <f t="shared" si="34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35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215</v>
      </c>
      <c r="E409" s="21" t="str">
        <f t="shared" si="34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35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185</v>
      </c>
      <c r="E410" s="21" t="str">
        <f t="shared" si="34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35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239</v>
      </c>
      <c r="B411" s="20" t="s">
        <v>176</v>
      </c>
      <c r="C411" s="20" t="s">
        <v>206</v>
      </c>
      <c r="D411" s="20" t="s">
        <v>160</v>
      </c>
      <c r="E411" s="21" t="str">
        <f t="shared" si="34"/>
        <v>!!!</v>
      </c>
      <c r="F411" s="22" t="str">
        <f>IF(OR(E411="",E411="!!!"),"",IF(NOT(ISNA(VLOOKUP(E411,E$1:E410,1,FALSE()))),"OLD",IF(AND(E411&lt;&gt;"",E411&lt;&gt;"!!!"),"NEW","")))</f>
        <v/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4" t="str">
        <f t="shared" ca="1" si="35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215</v>
      </c>
      <c r="E412" s="21" t="str">
        <f t="shared" si="34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35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216</v>
      </c>
      <c r="E413" s="21" t="str">
        <f t="shared" si="34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35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398</v>
      </c>
      <c r="E414" s="21" t="str">
        <f t="shared" si="34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35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221</v>
      </c>
      <c r="B415" s="20" t="s">
        <v>183</v>
      </c>
      <c r="C415" s="20" t="s">
        <v>199</v>
      </c>
      <c r="D415" s="20" t="s">
        <v>160</v>
      </c>
      <c r="E415" s="21" t="str">
        <f t="shared" si="34"/>
        <v>!!!</v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35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399</v>
      </c>
      <c r="E416" s="21" t="str">
        <f t="shared" si="34"/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35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400</v>
      </c>
      <c r="B417" s="20" t="s">
        <v>257</v>
      </c>
      <c r="C417" s="20" t="s">
        <v>202</v>
      </c>
      <c r="D417" s="20" t="s">
        <v>160</v>
      </c>
      <c r="E417" s="21" t="str">
        <f t="shared" si="34"/>
        <v>!!!</v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35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240</v>
      </c>
      <c r="E418" s="21" t="str">
        <f t="shared" ref="E418:E449" si="36">IF(D418="?OLD","!!!","")</f>
        <v/>
      </c>
      <c r="F418" s="22" t="str">
        <f>IF(OR(E418="",E418="!!!"),"",IF(NOT(ISNA(VLOOKUP(E418,E$1:E417,1,FALSE()))),"OLD",IF(AND(E418&lt;&gt;"",E418&lt;&gt;"!!!"),"NEW","")))</f>
        <v/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4" t="str">
        <f t="shared" ref="H418:H449" ca="1" si="37">IF(J418&lt;&gt;1,"",IF(I418="SBJ","CB","?"))</f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283</v>
      </c>
      <c r="B419" s="20" t="s">
        <v>183</v>
      </c>
      <c r="C419" s="20" t="s">
        <v>181</v>
      </c>
      <c r="D419" s="20" t="s">
        <v>160</v>
      </c>
      <c r="E419" s="21" t="str">
        <f t="shared" si="36"/>
        <v>!!!</v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37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168</v>
      </c>
      <c r="E420" s="21" t="str">
        <f t="shared" si="36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37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1" spans="1:12" x14ac:dyDescent="0.3">
      <c r="A421" t="s">
        <v>401</v>
      </c>
      <c r="B421" s="20" t="s">
        <v>201</v>
      </c>
      <c r="C421" s="20" t="s">
        <v>167</v>
      </c>
      <c r="E421" s="21" t="str">
        <f t="shared" si="36"/>
        <v/>
      </c>
      <c r="F421" s="22" t="str">
        <f>IF(OR(E421="",E421="!!!"),"",IF(NOT(ISNA(VLOOKUP(E421,E$1:E420,1,FALSE()))),"OLD",IF(AND(E421&lt;&gt;"",E421&lt;&gt;"!!!"),"NEW","")))</f>
        <v/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4" t="str">
        <f t="shared" ca="1" si="37"/>
        <v/>
      </c>
      <c r="I421" s="25" t="str">
        <f>IF(OR(E421="",E421="!!!",F421="NEW"),"",INDEX(B$2:B420,-1+SUMPRODUCT(MAX(ROW(E$2:E420)*(E421=E$2:E420)))))</f>
        <v/>
      </c>
      <c r="J421" s="25" t="str">
        <f ca="1">IF(OR(E421="",E421="!!!",F421="NEW"),"",COUNTBLANK(OFFSET(A$1,,,SUMPRODUCT(MAX(ROW(E$2:E421)*(E421=E$2:E421)))))-COUNTBLANK(OFFSET(A$1,,,SUMPRODUCT(MAX(ROW(E$1:E420)*(E2=E$1:E420))))))</f>
        <v/>
      </c>
      <c r="K421" s="25" t="str">
        <f>IF(OR(E421="",E421="!!!",F421="NEW"),"",INDEX(J$1:J420,SUMPRODUCT(MAX(ROW(E$1:E420)*(E421=E$1:E420)))))</f>
        <v/>
      </c>
      <c r="L421" s="26"/>
    </row>
    <row r="422" spans="1:12" x14ac:dyDescent="0.3">
      <c r="A422" t="s">
        <v>185</v>
      </c>
      <c r="E422" s="21" t="str">
        <f t="shared" si="36"/>
        <v/>
      </c>
      <c r="F422" s="22" t="str">
        <f>IF(OR(E422="",E422="!!!"),"",IF(NOT(ISNA(VLOOKUP(E422,E$1:E421,1,FALSE()))),"OLD",IF(AND(E422&lt;&gt;"",E422&lt;&gt;"!!!"),"NEW","")))</f>
        <v/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4" t="str">
        <f t="shared" ca="1" si="37"/>
        <v/>
      </c>
      <c r="I422" s="25" t="str">
        <f>IF(OR(E422="",E422="!!!",F422="NEW"),"",INDEX(B$2:B421,-1+SUMPRODUCT(MAX(ROW(E$2:E421)*(E422=E$2:E421)))))</f>
        <v/>
      </c>
      <c r="J422" s="25" t="str">
        <f ca="1">IF(OR(E422="",E422="!!!",F422="NEW"),"",COUNTBLANK(OFFSET(A$1,,,SUMPRODUCT(MAX(ROW(E$2:E422)*(E422=E$2:E422)))))-COUNTBLANK(OFFSET(A$1,,,SUMPRODUCT(MAX(ROW(E$1:E421)*(E2=E$1:E421))))))</f>
        <v/>
      </c>
      <c r="K422" s="25" t="str">
        <f>IF(OR(E422="",E422="!!!",F422="NEW"),"",INDEX(J$1:J421,SUMPRODUCT(MAX(ROW(E$1:E421)*(E422=E$1:E421)))))</f>
        <v/>
      </c>
      <c r="L422" s="26"/>
    </row>
    <row r="423" spans="1:12" x14ac:dyDescent="0.3">
      <c r="A423" t="s">
        <v>179</v>
      </c>
      <c r="B423" s="20" t="s">
        <v>194</v>
      </c>
      <c r="E423" s="21" t="str">
        <f t="shared" si="36"/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ca="1" si="37"/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179</v>
      </c>
      <c r="E424" s="21" t="str">
        <f t="shared" si="36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37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402</v>
      </c>
      <c r="E425" s="21" t="str">
        <f t="shared" si="36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37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403</v>
      </c>
      <c r="B426" s="20" t="s">
        <v>340</v>
      </c>
      <c r="C426" s="20" t="s">
        <v>181</v>
      </c>
      <c r="D426" s="20" t="s">
        <v>160</v>
      </c>
      <c r="E426" s="21" t="str">
        <f t="shared" si="36"/>
        <v>!!!</v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37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240</v>
      </c>
      <c r="E427" s="21" t="str">
        <f t="shared" si="36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37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232</v>
      </c>
      <c r="B428" s="20" t="s">
        <v>196</v>
      </c>
      <c r="C428" s="20" t="s">
        <v>181</v>
      </c>
      <c r="D428" s="20" t="s">
        <v>160</v>
      </c>
      <c r="E428" s="21" t="str">
        <f t="shared" si="36"/>
        <v>!!!</v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37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404</v>
      </c>
      <c r="E429" s="21" t="str">
        <f t="shared" si="36"/>
        <v/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37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185</v>
      </c>
      <c r="E430" s="21" t="str">
        <f t="shared" si="36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37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405</v>
      </c>
      <c r="E431" s="21" t="str">
        <f t="shared" si="36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37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229</v>
      </c>
      <c r="E432" s="21" t="str">
        <f t="shared" si="36"/>
        <v/>
      </c>
      <c r="F432" s="22" t="str">
        <f>IF(OR(E432="",E432="!!!"),"",IF(NOT(ISNA(VLOOKUP(E432,E$1:E431,1,FALSE()))),"OLD",IF(AND(E432&lt;&gt;"",E432&lt;&gt;"!!!"),"NEW","")))</f>
        <v/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4" t="str">
        <f t="shared" ca="1" si="37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400</v>
      </c>
      <c r="B433" s="20" t="s">
        <v>158</v>
      </c>
      <c r="C433" s="20" t="s">
        <v>211</v>
      </c>
      <c r="E433" s="21" t="str">
        <f t="shared" si="36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37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185</v>
      </c>
      <c r="E434" s="21" t="str">
        <f t="shared" si="36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37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179</v>
      </c>
      <c r="B435" s="20" t="s">
        <v>176</v>
      </c>
      <c r="C435" s="20" t="s">
        <v>177</v>
      </c>
      <c r="D435" s="20" t="s">
        <v>160</v>
      </c>
      <c r="E435" s="21" t="str">
        <f t="shared" si="36"/>
        <v>!!!</v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37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406</v>
      </c>
      <c r="E436" s="21" t="str">
        <f t="shared" si="36"/>
        <v/>
      </c>
      <c r="F436" s="22" t="str">
        <f>IF(OR(E436="",E436="!!!"),"",IF(NOT(ISNA(VLOOKUP(E436,E$1:E435,1,FALSE()))),"OLD",IF(AND(E436&lt;&gt;"",E436&lt;&gt;"!!!"),"NEW","")))</f>
        <v/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4" t="str">
        <f t="shared" ca="1" si="37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7" spans="1:12" x14ac:dyDescent="0.3">
      <c r="A437" t="s">
        <v>407</v>
      </c>
      <c r="E437" s="21" t="str">
        <f t="shared" si="36"/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37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168</v>
      </c>
      <c r="E438" s="21" t="str">
        <f t="shared" si="36"/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37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408</v>
      </c>
      <c r="E439" s="21" t="str">
        <f t="shared" si="36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37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235</v>
      </c>
      <c r="E440" s="21" t="str">
        <f t="shared" si="36"/>
        <v/>
      </c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37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185</v>
      </c>
      <c r="E441" s="21" t="str">
        <f t="shared" si="36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37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253</v>
      </c>
      <c r="E442" s="21" t="str">
        <f t="shared" si="36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37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175</v>
      </c>
      <c r="B443" s="20" t="s">
        <v>176</v>
      </c>
      <c r="C443" s="20" t="s">
        <v>177</v>
      </c>
      <c r="D443" s="20" t="s">
        <v>160</v>
      </c>
      <c r="E443" s="21" t="str">
        <f t="shared" si="36"/>
        <v>!!!</v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37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334</v>
      </c>
      <c r="B444" s="20" t="s">
        <v>176</v>
      </c>
      <c r="C444" s="20" t="s">
        <v>177</v>
      </c>
      <c r="D444" s="20" t="s">
        <v>160</v>
      </c>
      <c r="E444" s="21" t="str">
        <f t="shared" si="36"/>
        <v>!!!</v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37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303</v>
      </c>
      <c r="E445" s="21" t="str">
        <f t="shared" si="36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37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409</v>
      </c>
      <c r="E446" s="21" t="str">
        <f t="shared" si="36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37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11</v>
      </c>
      <c r="E447" s="21" t="str">
        <f t="shared" si="36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37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410</v>
      </c>
      <c r="B448" s="20" t="s">
        <v>172</v>
      </c>
      <c r="C448" s="20" t="s">
        <v>167</v>
      </c>
      <c r="E448" s="21" t="str">
        <f t="shared" si="36"/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ca="1" si="37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411</v>
      </c>
      <c r="E449" s="21" t="str">
        <f t="shared" si="36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37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185</v>
      </c>
      <c r="E450" s="21" t="str">
        <f t="shared" ref="E450:E481" si="38">IF(D450="?OLD","!!!","")</f>
        <v/>
      </c>
      <c r="F450" s="22" t="str">
        <f>IF(OR(E450="",E450="!!!"),"",IF(NOT(ISNA(VLOOKUP(E450,E$1:E449,1,FALSE()))),"OLD",IF(AND(E450&lt;&gt;"",E450&lt;&gt;"!!!"),"NEW","")))</f>
        <v/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4" t="str">
        <f t="shared" ref="H450:H481" ca="1" si="39">IF(J450&lt;&gt;1,"",IF(I450="SBJ","CB","?"))</f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412</v>
      </c>
      <c r="E451" s="21" t="str">
        <f t="shared" si="38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39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413</v>
      </c>
      <c r="E452" s="21" t="str">
        <f t="shared" si="38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39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243</v>
      </c>
      <c r="E453" s="21" t="str">
        <f t="shared" si="38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39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283</v>
      </c>
      <c r="B454" s="20" t="s">
        <v>172</v>
      </c>
      <c r="C454" s="20" t="s">
        <v>181</v>
      </c>
      <c r="D454" s="20" t="s">
        <v>160</v>
      </c>
      <c r="E454" s="21" t="str">
        <f t="shared" si="38"/>
        <v>!!!</v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ca="1" si="39"/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185</v>
      </c>
      <c r="E455" s="21" t="str">
        <f t="shared" si="38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39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242</v>
      </c>
      <c r="E456" s="21" t="str">
        <f t="shared" si="38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39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414</v>
      </c>
      <c r="B457" s="20" t="s">
        <v>183</v>
      </c>
      <c r="C457" s="20" t="s">
        <v>167</v>
      </c>
      <c r="E457" s="21" t="str">
        <f t="shared" si="38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39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168</v>
      </c>
      <c r="E458" s="21" t="str">
        <f t="shared" si="38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39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283</v>
      </c>
      <c r="B459" s="20" t="s">
        <v>201</v>
      </c>
      <c r="C459" s="20" t="s">
        <v>167</v>
      </c>
      <c r="E459" s="21" t="str">
        <f t="shared" si="38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39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185</v>
      </c>
      <c r="E460" s="21" t="str">
        <f t="shared" si="38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39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188</v>
      </c>
      <c r="E461" s="21" t="str">
        <f t="shared" si="38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39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279</v>
      </c>
      <c r="E462" s="21" t="str">
        <f t="shared" si="38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39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415</v>
      </c>
      <c r="E463" s="21" t="str">
        <f t="shared" si="38"/>
        <v/>
      </c>
      <c r="F463" s="22" t="str">
        <f>IF(OR(E463="",E463="!!!"),"",IF(NOT(ISNA(VLOOKUP(E463,E$1:E462,1,FALSE()))),"OLD",IF(AND(E463&lt;&gt;"",E463&lt;&gt;"!!!"),"NEW","")))</f>
        <v/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/>
      </c>
      <c r="H463" s="24" t="str">
        <f t="shared" ca="1" si="39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416</v>
      </c>
      <c r="B464" s="20" t="s">
        <v>201</v>
      </c>
      <c r="C464" s="20" t="s">
        <v>181</v>
      </c>
      <c r="D464" s="20" t="s">
        <v>160</v>
      </c>
      <c r="E464" s="21" t="str">
        <f t="shared" si="38"/>
        <v>!!!</v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39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295</v>
      </c>
      <c r="E465" s="21" t="str">
        <f t="shared" si="38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39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336</v>
      </c>
      <c r="E466" s="21" t="str">
        <f t="shared" si="38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39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11</v>
      </c>
      <c r="E467" s="21" t="str">
        <f t="shared" si="38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39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337</v>
      </c>
      <c r="E468" s="21" t="str">
        <f t="shared" si="38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39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11</v>
      </c>
      <c r="E469" s="21" t="str">
        <f t="shared" si="38"/>
        <v/>
      </c>
      <c r="F469" s="22" t="str">
        <f>IF(OR(E469="",E469="!!!"),"",IF(NOT(ISNA(VLOOKUP(E469,E$1:E468,1,FALSE()))),"OLD",IF(AND(E469&lt;&gt;"",E469&lt;&gt;"!!!"),"NEW","")))</f>
        <v/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4" t="str">
        <f t="shared" ca="1" si="39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417</v>
      </c>
      <c r="B470" s="20" t="s">
        <v>196</v>
      </c>
      <c r="C470" s="20" t="s">
        <v>181</v>
      </c>
      <c r="D470" s="20" t="s">
        <v>160</v>
      </c>
      <c r="E470" s="21" t="str">
        <f t="shared" si="38"/>
        <v>!!!</v>
      </c>
      <c r="F470" s="22" t="str">
        <f>IF(OR(E470="",E470="!!!"),"",IF(NOT(ISNA(VLOOKUP(E470,E$1:E469,1,FALSE()))),"OLD",IF(AND(E470&lt;&gt;"",E470&lt;&gt;"!!!"),"NEW","")))</f>
        <v/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t="shared" ca="1" si="39"/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212</v>
      </c>
      <c r="E471" s="21" t="str">
        <f t="shared" si="38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39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3" spans="1:12" x14ac:dyDescent="0.3">
      <c r="A473" t="s">
        <v>418</v>
      </c>
    </row>
    <row r="474" spans="1:12" x14ac:dyDescent="0.3">
      <c r="A474" t="s">
        <v>205</v>
      </c>
      <c r="B474" s="20" t="s">
        <v>187</v>
      </c>
      <c r="C474" s="20" t="s">
        <v>206</v>
      </c>
      <c r="D474" s="20" t="s">
        <v>160</v>
      </c>
      <c r="E474" s="21" t="str">
        <f t="shared" ref="E474:E517" si="40">IF(D474="?OLD","!!!","")</f>
        <v>!!!</v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ref="H474:H517" ca="1" si="41">IF(J474&lt;&gt;1,"",IF(I474="SBJ","CB","?"))</f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252</v>
      </c>
      <c r="E475" s="21" t="str">
        <f t="shared" si="40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41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419</v>
      </c>
      <c r="E476" s="21" t="str">
        <f t="shared" si="40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41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185</v>
      </c>
      <c r="E477" s="21" t="str">
        <f t="shared" si="40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41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253</v>
      </c>
      <c r="E478" s="21" t="str">
        <f t="shared" si="40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41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179</v>
      </c>
      <c r="E479" s="21" t="str">
        <f t="shared" si="40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41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420</v>
      </c>
      <c r="B480" s="20" t="s">
        <v>176</v>
      </c>
      <c r="C480" s="20" t="s">
        <v>181</v>
      </c>
      <c r="D480" s="20" t="s">
        <v>160</v>
      </c>
      <c r="E480" s="21" t="str">
        <f t="shared" si="40"/>
        <v>!!!</v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41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185</v>
      </c>
      <c r="E481" s="21" t="str">
        <f t="shared" si="40"/>
        <v/>
      </c>
      <c r="F481" s="22" t="str">
        <f>IF(OR(E481="",E481="!!!"),"",IF(NOT(ISNA(VLOOKUP(E481,E$1:E480,1,FALSE()))),"OLD",IF(AND(E481&lt;&gt;"",E481&lt;&gt;"!!!"),"NEW","")))</f>
        <v/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41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179</v>
      </c>
      <c r="B482" s="20" t="s">
        <v>340</v>
      </c>
      <c r="E482" s="21" t="str">
        <f t="shared" si="40"/>
        <v/>
      </c>
      <c r="F482" s="22" t="str">
        <f>IF(OR(E482="",E482="!!!"),"",IF(NOT(ISNA(VLOOKUP(E482,E$1:E481,1,FALSE()))),"OLD",IF(AND(E482&lt;&gt;"",E482&lt;&gt;"!!!"),"NEW","")))</f>
        <v/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41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175</v>
      </c>
      <c r="B483" s="20" t="s">
        <v>194</v>
      </c>
      <c r="C483" s="20" t="s">
        <v>177</v>
      </c>
      <c r="D483" s="20" t="s">
        <v>160</v>
      </c>
      <c r="E483" s="21" t="str">
        <f t="shared" si="40"/>
        <v>!!!</v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ca="1" si="41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421</v>
      </c>
      <c r="E484" s="21" t="str">
        <f t="shared" si="40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41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386</v>
      </c>
      <c r="B485" s="20" t="s">
        <v>201</v>
      </c>
      <c r="C485" s="20" t="s">
        <v>159</v>
      </c>
      <c r="D485" s="20" t="s">
        <v>160</v>
      </c>
      <c r="E485" s="21" t="str">
        <f t="shared" si="40"/>
        <v>!!!</v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41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387</v>
      </c>
      <c r="E486" s="21" t="str">
        <f t="shared" si="40"/>
        <v/>
      </c>
      <c r="F486" s="22" t="str">
        <f>IF(OR(E486="",E486="!!!"),"",IF(NOT(ISNA(VLOOKUP(E486,E$1:E485,1,FALSE()))),"OLD",IF(AND(E486&lt;&gt;"",E486&lt;&gt;"!!!"),"NEW","")))</f>
        <v/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4" t="str">
        <f t="shared" ca="1" si="41"/>
        <v/>
      </c>
      <c r="I486" s="25" t="str">
        <f>IF(OR(E486="",E486="!!!",F486="NEW"),"",INDEX(B$2:B485,-1+SUMPRODUCT(MAX(ROW(E$2:E485)*(E486=E$2:E485)))))</f>
        <v/>
      </c>
      <c r="J486" s="25" t="str">
        <f ca="1">IF(OR(E486="",E486="!!!",F486="NEW"),"",COUNTBLANK(OFFSET(A$1,,,SUMPRODUCT(MAX(ROW(E$2:E486)*(E486=E$2:E486)))))-COUNTBLANK(OFFSET(A$1,,,SUMPRODUCT(MAX(ROW(E$1:E485)*(E2=E$1:E485))))))</f>
        <v/>
      </c>
      <c r="K486" s="25" t="str">
        <f>IF(OR(E486="",E486="!!!",F486="NEW"),"",INDEX(J$1:J485,SUMPRODUCT(MAX(ROW(E$1:E485)*(E486=E$1:E485)))))</f>
        <v/>
      </c>
      <c r="L486" s="26"/>
    </row>
    <row r="487" spans="1:12" x14ac:dyDescent="0.3">
      <c r="A487" t="s">
        <v>422</v>
      </c>
      <c r="E487" s="21" t="str">
        <f t="shared" si="40"/>
        <v/>
      </c>
      <c r="F487" s="22" t="str">
        <f>IF(OR(E487="",E487="!!!"),"",IF(NOT(ISNA(VLOOKUP(E487,E$1:E486,1,FALSE()))),"OLD",IF(AND(E487&lt;&gt;"",E487&lt;&gt;"!!!"),"NEW","")))</f>
        <v/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/>
      </c>
      <c r="H487" s="24" t="str">
        <f t="shared" ca="1" si="41"/>
        <v/>
      </c>
      <c r="I487" s="25" t="str">
        <f>IF(OR(E487="",E487="!!!",F487="NEW"),"",INDEX(B$2:B486,-1+SUMPRODUCT(MAX(ROW(E$2:E486)*(E487=E$2:E486)))))</f>
        <v/>
      </c>
      <c r="J487" s="25" t="str">
        <f ca="1">IF(OR(E487="",E487="!!!",F487="NEW"),"",COUNTBLANK(OFFSET(A$1,,,SUMPRODUCT(MAX(ROW(E$2:E487)*(E487=E$2:E487)))))-COUNTBLANK(OFFSET(A$1,,,SUMPRODUCT(MAX(ROW(E$1:E486)*(E2=E$1:E486))))))</f>
        <v/>
      </c>
      <c r="K487" s="25" t="str">
        <f>IF(OR(E487="",E487="!!!",F487="NEW"),"",INDEX(J$1:J486,SUMPRODUCT(MAX(ROW(E$1:E486)*(E487=E$1:E486)))))</f>
        <v/>
      </c>
      <c r="L487" s="26"/>
    </row>
    <row r="488" spans="1:12" x14ac:dyDescent="0.3">
      <c r="A488" t="s">
        <v>185</v>
      </c>
      <c r="E488" s="21" t="str">
        <f t="shared" si="40"/>
        <v/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ca="1" si="41"/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89" spans="1:12" x14ac:dyDescent="0.3">
      <c r="A489" t="s">
        <v>253</v>
      </c>
      <c r="E489" s="21" t="str">
        <f t="shared" si="40"/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ca="1" si="41"/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339</v>
      </c>
      <c r="B490" s="20" t="s">
        <v>257</v>
      </c>
      <c r="E490" s="21" t="str">
        <f t="shared" si="40"/>
        <v/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ca="1" si="41"/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179</v>
      </c>
      <c r="E491" s="21" t="str">
        <f t="shared" si="40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41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314</v>
      </c>
      <c r="B492" s="20" t="s">
        <v>176</v>
      </c>
      <c r="C492" s="20" t="s">
        <v>181</v>
      </c>
      <c r="D492" s="20" t="s">
        <v>160</v>
      </c>
      <c r="E492" s="21" t="str">
        <f t="shared" si="40"/>
        <v>!!!</v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41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299</v>
      </c>
      <c r="E493" s="21" t="str">
        <f t="shared" si="40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41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4" spans="1:12" x14ac:dyDescent="0.3">
      <c r="A494" t="s">
        <v>423</v>
      </c>
      <c r="B494" s="20" t="s">
        <v>183</v>
      </c>
      <c r="C494" s="20" t="s">
        <v>167</v>
      </c>
      <c r="E494" s="21" t="str">
        <f t="shared" si="40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41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424</v>
      </c>
      <c r="E495" s="21" t="str">
        <f t="shared" si="40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41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185</v>
      </c>
      <c r="E496" s="21" t="str">
        <f t="shared" si="40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41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425</v>
      </c>
      <c r="E497" s="21" t="str">
        <f t="shared" si="40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41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263</v>
      </c>
      <c r="B498" s="20" t="s">
        <v>183</v>
      </c>
      <c r="C498" s="20" t="s">
        <v>199</v>
      </c>
      <c r="D498" s="20" t="s">
        <v>160</v>
      </c>
      <c r="E498" s="21" t="str">
        <f t="shared" si="40"/>
        <v>!!!</v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41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426</v>
      </c>
      <c r="E499" s="21" t="str">
        <f t="shared" si="40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41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0" spans="1:12" x14ac:dyDescent="0.3">
      <c r="A500" t="s">
        <v>427</v>
      </c>
      <c r="E500" s="21" t="str">
        <f t="shared" si="40"/>
        <v/>
      </c>
      <c r="F500" s="22" t="str">
        <f>IF(OR(E500="",E500="!!!"),"",IF(NOT(ISNA(VLOOKUP(E500,E$1:E499,1,FALSE()))),"OLD",IF(AND(E500&lt;&gt;"",E500&lt;&gt;"!!!"),"NEW","")))</f>
        <v/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4" t="str">
        <f t="shared" ca="1" si="41"/>
        <v/>
      </c>
      <c r="I500" s="25" t="str">
        <f>IF(OR(E500="",E500="!!!",F500="NEW"),"",INDEX(B$2:B499,-1+SUMPRODUCT(MAX(ROW(E$2:E499)*(E500=E$2:E499)))))</f>
        <v/>
      </c>
      <c r="J500" s="25" t="str">
        <f ca="1">IF(OR(E500="",E500="!!!",F500="NEW"),"",COUNTBLANK(OFFSET(A$1,,,SUMPRODUCT(MAX(ROW(E$2:E500)*(E500=E$2:E500)))))-COUNTBLANK(OFFSET(A$1,,,SUMPRODUCT(MAX(ROW(E$1:E499)*(E2=E$1:E499))))))</f>
        <v/>
      </c>
      <c r="K500" s="25" t="str">
        <f>IF(OR(E500="",E500="!!!",F500="NEW"),"",INDEX(J$1:J499,SUMPRODUCT(MAX(ROW(E$1:E499)*(E500=E$1:E499)))))</f>
        <v/>
      </c>
      <c r="L500" s="26"/>
    </row>
    <row r="501" spans="1:12" x14ac:dyDescent="0.3">
      <c r="A501" t="s">
        <v>11</v>
      </c>
      <c r="E501" s="21" t="str">
        <f t="shared" si="40"/>
        <v/>
      </c>
      <c r="F501" s="22" t="str">
        <f>IF(OR(E501="",E501="!!!"),"",IF(NOT(ISNA(VLOOKUP(E501,E$1:E500,1,FALSE()))),"OLD",IF(AND(E501&lt;&gt;"",E501&lt;&gt;"!!!"),"NEW","")))</f>
        <v/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t="shared" ca="1" si="41"/>
        <v/>
      </c>
      <c r="I501" s="25" t="str">
        <f>IF(OR(E501="",E501="!!!",F501="NEW"),"",INDEX(B$2:B500,-1+SUMPRODUCT(MAX(ROW(E$2:E500)*(E501=E$2:E500)))))</f>
        <v/>
      </c>
      <c r="J501" s="25" t="str">
        <f ca="1">IF(OR(E501="",E501="!!!",F501="NEW"),"",COUNTBLANK(OFFSET(A$1,,,SUMPRODUCT(MAX(ROW(E$2:E501)*(E501=E$2:E501)))))-COUNTBLANK(OFFSET(A$1,,,SUMPRODUCT(MAX(ROW(E$1:E500)*(E2=E$1:E500))))))</f>
        <v/>
      </c>
      <c r="K501" s="25" t="str">
        <f>IF(OR(E501="",E501="!!!",F501="NEW"),"",INDEX(J$1:J500,SUMPRODUCT(MAX(ROW(E$1:E500)*(E501=E$1:E500)))))</f>
        <v/>
      </c>
      <c r="L501" s="26"/>
    </row>
    <row r="502" spans="1:12" x14ac:dyDescent="0.3">
      <c r="A502" t="s">
        <v>428</v>
      </c>
      <c r="B502" s="20" t="s">
        <v>172</v>
      </c>
      <c r="C502" s="20" t="s">
        <v>202</v>
      </c>
      <c r="D502" s="20" t="s">
        <v>160</v>
      </c>
      <c r="E502" s="21" t="str">
        <f t="shared" si="40"/>
        <v>!!!</v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ca="1" si="41"/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185</v>
      </c>
      <c r="E503" s="21" t="str">
        <f t="shared" si="40"/>
        <v/>
      </c>
      <c r="F503" s="22" t="str">
        <f>IF(OR(E503="",E503="!!!"),"",IF(NOT(ISNA(VLOOKUP(E503,E$1:E502,1,FALSE()))),"OLD",IF(AND(E503&lt;&gt;"",E503&lt;&gt;"!!!"),"NEW","")))</f>
        <v/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/>
      </c>
      <c r="H503" s="24" t="str">
        <f t="shared" ca="1" si="41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179</v>
      </c>
      <c r="B504" s="20" t="s">
        <v>194</v>
      </c>
      <c r="E504" s="21" t="str">
        <f t="shared" si="40"/>
        <v/>
      </c>
      <c r="F504" s="22" t="str">
        <f>IF(OR(E504="",E504="!!!"),"",IF(NOT(ISNA(VLOOKUP(E504,E$1:E503,1,FALSE()))),"OLD",IF(AND(E504&lt;&gt;"",E504&lt;&gt;"!!!"),"NEW","")))</f>
        <v/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41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426</v>
      </c>
      <c r="E505" s="21" t="str">
        <f t="shared" si="40"/>
        <v/>
      </c>
      <c r="F505" s="22" t="str">
        <f>IF(OR(E505="",E505="!!!"),"",IF(NOT(ISNA(VLOOKUP(E505,E$1:E504,1,FALSE()))),"OLD",IF(AND(E505&lt;&gt;"",E505&lt;&gt;"!!!"),"NEW","")))</f>
        <v/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ca="1" si="41"/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429</v>
      </c>
      <c r="B506" s="20" t="s">
        <v>340</v>
      </c>
      <c r="C506" s="20" t="s">
        <v>167</v>
      </c>
      <c r="E506" s="21" t="str">
        <f t="shared" si="40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41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430</v>
      </c>
      <c r="E507" s="21" t="str">
        <f t="shared" si="40"/>
        <v/>
      </c>
      <c r="F507" s="22" t="str">
        <f>IF(OR(E507="",E507="!!!"),"",IF(NOT(ISNA(VLOOKUP(E507,E$1:E506,1,FALSE()))),"OLD",IF(AND(E507&lt;&gt;"",E507&lt;&gt;"!!!"),"NEW","")))</f>
        <v/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/>
      </c>
      <c r="H507" s="24" t="str">
        <f t="shared" ca="1" si="41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168</v>
      </c>
      <c r="E508" s="21" t="str">
        <f t="shared" si="40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41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339</v>
      </c>
      <c r="B509" s="20" t="s">
        <v>431</v>
      </c>
      <c r="E509" s="21" t="str">
        <f t="shared" si="40"/>
        <v/>
      </c>
      <c r="F509" s="22" t="str">
        <f>IF(OR(E509="",E509="!!!"),"",IF(NOT(ISNA(VLOOKUP(E509,E$1:E508,1,FALSE()))),"OLD",IF(AND(E509&lt;&gt;"",E509&lt;&gt;"!!!"),"NEW","")))</f>
        <v/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t="shared" ca="1" si="41"/>
        <v/>
      </c>
      <c r="I509" s="25" t="str">
        <f>IF(OR(E509="",E509="!!!",F509="NEW"),"",INDEX(B$2:B508,-1+SUMPRODUCT(MAX(ROW(E$2:E508)*(E509=E$2:E508)))))</f>
        <v/>
      </c>
      <c r="J509" s="25" t="str">
        <f ca="1">IF(OR(E509="",E509="!!!",F509="NEW"),"",COUNTBLANK(OFFSET(A$1,,,SUMPRODUCT(MAX(ROW(E$2:E509)*(E509=E$2:E509)))))-COUNTBLANK(OFFSET(A$1,,,SUMPRODUCT(MAX(ROW(E$1:E508)*(E2=E$1:E508))))))</f>
        <v/>
      </c>
      <c r="K509" s="25" t="str">
        <f>IF(OR(E509="",E509="!!!",F509="NEW"),"",INDEX(J$1:J508,SUMPRODUCT(MAX(ROW(E$1:E508)*(E509=E$1:E508)))))</f>
        <v/>
      </c>
      <c r="L509" s="26"/>
    </row>
    <row r="510" spans="1:12" x14ac:dyDescent="0.3">
      <c r="A510" t="s">
        <v>170</v>
      </c>
      <c r="E510" s="21" t="str">
        <f t="shared" si="40"/>
        <v/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t="shared" ca="1" si="41"/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240</v>
      </c>
      <c r="E511" s="21" t="str">
        <f t="shared" si="40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41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319</v>
      </c>
      <c r="B512" s="20" t="s">
        <v>196</v>
      </c>
      <c r="C512" s="20" t="s">
        <v>181</v>
      </c>
      <c r="D512" s="20" t="s">
        <v>160</v>
      </c>
      <c r="E512" s="21" t="str">
        <f t="shared" si="40"/>
        <v>!!!</v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ca="1" si="41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432</v>
      </c>
      <c r="E513" s="21" t="str">
        <f t="shared" si="40"/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41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185</v>
      </c>
      <c r="E514" s="21" t="str">
        <f t="shared" si="40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41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433</v>
      </c>
      <c r="E515" s="21" t="str">
        <f t="shared" si="40"/>
        <v/>
      </c>
      <c r="F515" s="22" t="str">
        <f>IF(OR(E515="",E515="!!!"),"",IF(NOT(ISNA(VLOOKUP(E515,E$1:E514,1,FALSE()))),"OLD",IF(AND(E515&lt;&gt;"",E515&lt;&gt;"!!!"),"NEW","")))</f>
        <v/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/>
      </c>
      <c r="H515" s="24" t="str">
        <f t="shared" ca="1" si="41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223</v>
      </c>
      <c r="E516" s="21" t="str">
        <f t="shared" si="40"/>
        <v/>
      </c>
      <c r="F516" s="22" t="str">
        <f>IF(OR(E516="",E516="!!!"),"",IF(NOT(ISNA(VLOOKUP(E516,E$1:E515,1,FALSE()))),"OLD",IF(AND(E516&lt;&gt;"",E516&lt;&gt;"!!!"),"NEW","")))</f>
        <v/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t="shared" ca="1" si="41"/>
        <v/>
      </c>
      <c r="I516" s="25" t="str">
        <f>IF(OR(E516="",E516="!!!",F516="NEW"),"",INDEX(B$2:B515,-1+SUMPRODUCT(MAX(ROW(E$2:E515)*(E516=E$2:E515)))))</f>
        <v/>
      </c>
      <c r="J516" s="25" t="str">
        <f ca="1">IF(OR(E516="",E516="!!!",F516="NEW"),"",COUNTBLANK(OFFSET(A$1,,,SUMPRODUCT(MAX(ROW(E$2:E516)*(E516=E$2:E516)))))-COUNTBLANK(OFFSET(A$1,,,SUMPRODUCT(MAX(ROW(E$1:E515)*(E2=E$1:E515))))))</f>
        <v/>
      </c>
      <c r="K516" s="25" t="str">
        <f>IF(OR(E516="",E516="!!!",F516="NEW"),"",INDEX(J$1:J515,SUMPRODUCT(MAX(ROW(E$1:E515)*(E516=E$1:E515)))))</f>
        <v/>
      </c>
      <c r="L516" s="26"/>
    </row>
    <row r="517" spans="1:12" x14ac:dyDescent="0.3">
      <c r="A517" t="s">
        <v>212</v>
      </c>
      <c r="E517" s="21" t="str">
        <f t="shared" si="40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41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9" spans="1:12" x14ac:dyDescent="0.3">
      <c r="A519" t="s">
        <v>434</v>
      </c>
    </row>
    <row r="520" spans="1:12" x14ac:dyDescent="0.3">
      <c r="A520" t="s">
        <v>205</v>
      </c>
      <c r="B520" s="20" t="s">
        <v>187</v>
      </c>
      <c r="C520" s="20" t="s">
        <v>206</v>
      </c>
      <c r="D520" s="20" t="s">
        <v>160</v>
      </c>
      <c r="E520" s="21" t="str">
        <f t="shared" ref="E520:E525" si="42">IF(D520="?OLD","!!!","")</f>
        <v>!!!</v>
      </c>
      <c r="F520" s="22" t="str">
        <f>IF(OR(E520="",E520="!!!"),"",IF(NOT(ISNA(VLOOKUP(E520,E$1:E519,1,FALSE()))),"OLD",IF(AND(E520&lt;&gt;"",E520&lt;&gt;"!!!"),"NEW","")))</f>
        <v/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/>
      </c>
      <c r="H520" s="24" t="str">
        <f t="shared" ref="H520:H525" ca="1" si="43">IF(J520&lt;&gt;1,"",IF(I520="SBJ","CB","?"))</f>
        <v/>
      </c>
      <c r="I520" s="25" t="str">
        <f>IF(OR(E520="",E520="!!!",F520="NEW"),"",INDEX(B$2:B519,-1+SUMPRODUCT(MAX(ROW(E$2:E519)*(E520=E$2:E519)))))</f>
        <v/>
      </c>
      <c r="J520" s="25" t="str">
        <f ca="1">IF(OR(E520="",E520="!!!",F520="NEW"),"",COUNTBLANK(OFFSET(A$1,,,SUMPRODUCT(MAX(ROW(E$2:E520)*(E520=E$2:E520)))))-COUNTBLANK(OFFSET(A$1,,,SUMPRODUCT(MAX(ROW(E$1:E519)*(E2=E$1:E519))))))</f>
        <v/>
      </c>
      <c r="K520" s="25" t="str">
        <f>IF(OR(E520="",E520="!!!",F520="NEW"),"",INDEX(J$1:J519,SUMPRODUCT(MAX(ROW(E$1:E519)*(E520=E$1:E519)))))</f>
        <v/>
      </c>
      <c r="L520" s="26"/>
    </row>
    <row r="521" spans="1:12" x14ac:dyDescent="0.3">
      <c r="A521" t="s">
        <v>252</v>
      </c>
      <c r="E521" s="21" t="str">
        <f t="shared" si="42"/>
        <v/>
      </c>
      <c r="F521" s="22" t="str">
        <f>IF(OR(E521="",E521="!!!"),"",IF(NOT(ISNA(VLOOKUP(E521,E$1:E520,1,FALSE()))),"OLD",IF(AND(E521&lt;&gt;"",E521&lt;&gt;"!!!"),"NEW","")))</f>
        <v/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/>
      </c>
      <c r="H521" s="24" t="str">
        <f t="shared" ca="1" si="43"/>
        <v/>
      </c>
      <c r="I521" s="25" t="str">
        <f>IF(OR(E521="",E521="!!!",F521="NEW"),"",INDEX(B$2:B520,-1+SUMPRODUCT(MAX(ROW(E$2:E520)*(E521=E$2:E520)))))</f>
        <v/>
      </c>
      <c r="J521" s="25" t="str">
        <f ca="1">IF(OR(E521="",E521="!!!",F521="NEW"),"",COUNTBLANK(OFFSET(A$1,,,SUMPRODUCT(MAX(ROW(E$2:E521)*(E521=E$2:E521)))))-COUNTBLANK(OFFSET(A$1,,,SUMPRODUCT(MAX(ROW(E$1:E520)*(E2=E$1:E520))))))</f>
        <v/>
      </c>
      <c r="K521" s="25" t="str">
        <f>IF(OR(E521="",E521="!!!",F521="NEW"),"",INDEX(J$1:J520,SUMPRODUCT(MAX(ROW(E$1:E520)*(E521=E$1:E520)))))</f>
        <v/>
      </c>
      <c r="L521" s="26"/>
    </row>
    <row r="522" spans="1:12" x14ac:dyDescent="0.3">
      <c r="A522" t="s">
        <v>355</v>
      </c>
      <c r="E522" s="21" t="str">
        <f t="shared" si="42"/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43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273</v>
      </c>
      <c r="E523" s="21" t="str">
        <f t="shared" si="42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43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435</v>
      </c>
      <c r="E524" s="21" t="str">
        <f t="shared" si="42"/>
        <v/>
      </c>
      <c r="F524" s="22" t="str">
        <f>IF(OR(E524="",E524="!!!"),"",IF(NOT(ISNA(VLOOKUP(E524,E$1:E523,1,FALSE()))),"OLD",IF(AND(E524&lt;&gt;"",E524&lt;&gt;"!!!"),"NEW","")))</f>
        <v/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/>
      </c>
      <c r="H524" s="24" t="str">
        <f t="shared" ca="1" si="43"/>
        <v/>
      </c>
      <c r="I524" s="25" t="str">
        <f>IF(OR(E524="",E524="!!!",F524="NEW"),"",INDEX(B$2:B523,-1+SUMPRODUCT(MAX(ROW(E$2:E523)*(E524=E$2:E523)))))</f>
        <v/>
      </c>
      <c r="J524" s="25" t="str">
        <f ca="1">IF(OR(E524="",E524="!!!",F524="NEW"),"",COUNTBLANK(OFFSET(A$1,,,SUMPRODUCT(MAX(ROW(E$2:E524)*(E524=E$2:E524)))))-COUNTBLANK(OFFSET(A$1,,,SUMPRODUCT(MAX(ROW(E$1:E523)*(E2=E$1:E523))))))</f>
        <v/>
      </c>
      <c r="K524" s="25" t="str">
        <f>IF(OR(E524="",E524="!!!",F524="NEW"),"",INDEX(J$1:J523,SUMPRODUCT(MAX(ROW(E$1:E523)*(E524=E$1:E523)))))</f>
        <v/>
      </c>
      <c r="L524" s="26"/>
    </row>
    <row r="525" spans="1:12" x14ac:dyDescent="0.3">
      <c r="A525" t="s">
        <v>212</v>
      </c>
      <c r="E525" s="21" t="str">
        <f t="shared" si="42"/>
        <v/>
      </c>
      <c r="F525" s="22" t="str">
        <f>IF(OR(E525="",E525="!!!"),"",IF(NOT(ISNA(VLOOKUP(E525,E$1:E524,1,FALSE()))),"OLD",IF(AND(E525&lt;&gt;"",E525&lt;&gt;"!!!"),"NEW","")))</f>
        <v/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43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/>
    </row>
    <row r="527" spans="1:12" x14ac:dyDescent="0.3">
      <c r="A527" t="s">
        <v>436</v>
      </c>
    </row>
    <row r="528" spans="1:12" x14ac:dyDescent="0.3">
      <c r="A528" t="s">
        <v>205</v>
      </c>
      <c r="B528" s="20" t="s">
        <v>187</v>
      </c>
      <c r="C528" s="20" t="s">
        <v>206</v>
      </c>
      <c r="D528" s="20" t="s">
        <v>160</v>
      </c>
      <c r="E528" s="21" t="str">
        <f t="shared" ref="E528:E547" si="44">IF(D528="?OLD","!!!","")</f>
        <v>!!!</v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ref="H528:H547" ca="1" si="45">IF(J528&lt;&gt;1,"",IF(I528="SBJ","CB","?"))</f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252</v>
      </c>
      <c r="E529" s="21" t="str">
        <f t="shared" si="44"/>
        <v/>
      </c>
      <c r="F529" s="22" t="str">
        <f>IF(OR(E529="",E529="!!!"),"",IF(NOT(ISNA(VLOOKUP(E529,E$1:E528,1,FALSE()))),"OLD",IF(AND(E529&lt;&gt;"",E529&lt;&gt;"!!!"),"NEW","")))</f>
        <v/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/>
      </c>
      <c r="H529" s="24" t="str">
        <f t="shared" ca="1" si="45"/>
        <v/>
      </c>
      <c r="I529" s="25" t="str">
        <f>IF(OR(E529="",E529="!!!",F529="NEW"),"",INDEX(B$2:B528,-1+SUMPRODUCT(MAX(ROW(E$2:E528)*(E529=E$2:E528)))))</f>
        <v/>
      </c>
      <c r="J529" s="25" t="str">
        <f ca="1">IF(OR(E529="",E529="!!!",F529="NEW"),"",COUNTBLANK(OFFSET(A$1,,,SUMPRODUCT(MAX(ROW(E$2:E529)*(E529=E$2:E529)))))-COUNTBLANK(OFFSET(A$1,,,SUMPRODUCT(MAX(ROW(E$1:E528)*(E2=E$1:E528))))))</f>
        <v/>
      </c>
      <c r="K529" s="25" t="str">
        <f>IF(OR(E529="",E529="!!!",F529="NEW"),"",INDEX(J$1:J528,SUMPRODUCT(MAX(ROW(E$1:E528)*(E529=E$1:E528)))))</f>
        <v/>
      </c>
      <c r="L529" s="26"/>
    </row>
    <row r="530" spans="1:12" x14ac:dyDescent="0.3">
      <c r="A530" t="s">
        <v>179</v>
      </c>
      <c r="E530" s="21" t="str">
        <f t="shared" si="44"/>
        <v/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45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  <row r="531" spans="1:12" x14ac:dyDescent="0.3">
      <c r="A531" t="s">
        <v>437</v>
      </c>
      <c r="B531" s="20" t="s">
        <v>191</v>
      </c>
      <c r="C531" s="20" t="s">
        <v>159</v>
      </c>
      <c r="D531" s="20" t="s">
        <v>160</v>
      </c>
      <c r="E531" s="21" t="str">
        <f t="shared" si="44"/>
        <v>!!!</v>
      </c>
      <c r="F531" s="22" t="str">
        <f>IF(OR(E531="",E531="!!!"),"",IF(NOT(ISNA(VLOOKUP(E531,E$1:E530,1,FALSE()))),"OLD",IF(AND(E531&lt;&gt;"",E531&lt;&gt;"!!!"),"NEW","")))</f>
        <v/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/>
      </c>
      <c r="H531" s="24" t="str">
        <f t="shared" ca="1" si="45"/>
        <v/>
      </c>
      <c r="I531" s="25" t="str">
        <f>IF(OR(E531="",E531="!!!",F531="NEW"),"",INDEX(B$2:B530,-1+SUMPRODUCT(MAX(ROW(E$2:E530)*(E531=E$2:E530)))))</f>
        <v/>
      </c>
      <c r="J531" s="25" t="str">
        <f ca="1">IF(OR(E531="",E531="!!!",F531="NEW"),"",COUNTBLANK(OFFSET(A$1,,,SUMPRODUCT(MAX(ROW(E$2:E531)*(E531=E$2:E531)))))-COUNTBLANK(OFFSET(A$1,,,SUMPRODUCT(MAX(ROW(E$1:E530)*(E2=E$1:E530))))))</f>
        <v/>
      </c>
      <c r="K531" s="25" t="str">
        <f>IF(OR(E531="",E531="!!!",F531="NEW"),"",INDEX(J$1:J530,SUMPRODUCT(MAX(ROW(E$1:E530)*(E531=E$1:E530)))))</f>
        <v/>
      </c>
      <c r="L531" s="26"/>
    </row>
    <row r="532" spans="1:12" x14ac:dyDescent="0.3">
      <c r="A532" t="s">
        <v>11</v>
      </c>
      <c r="E532" s="21" t="str">
        <f t="shared" si="44"/>
        <v/>
      </c>
      <c r="F532" s="22" t="str">
        <f>IF(OR(E532="",E532="!!!"),"",IF(NOT(ISNA(VLOOKUP(E532,E$1:E531,1,FALSE()))),"OLD",IF(AND(E532&lt;&gt;"",E532&lt;&gt;"!!!"),"NEW","")))</f>
        <v/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/>
      </c>
      <c r="H532" s="24" t="str">
        <f t="shared" ca="1" si="45"/>
        <v/>
      </c>
      <c r="I532" s="25" t="str">
        <f>IF(OR(E532="",E532="!!!",F532="NEW"),"",INDEX(B$2:B531,-1+SUMPRODUCT(MAX(ROW(E$2:E531)*(E532=E$2:E531)))))</f>
        <v/>
      </c>
      <c r="J532" s="25" t="str">
        <f ca="1">IF(OR(E532="",E532="!!!",F532="NEW"),"",COUNTBLANK(OFFSET(A$1,,,SUMPRODUCT(MAX(ROW(E$2:E532)*(E532=E$2:E532)))))-COUNTBLANK(OFFSET(A$1,,,SUMPRODUCT(MAX(ROW(E$1:E531)*(E2=E$1:E531))))))</f>
        <v/>
      </c>
      <c r="K532" s="25" t="str">
        <f>IF(OR(E532="",E532="!!!",F532="NEW"),"",INDEX(J$1:J531,SUMPRODUCT(MAX(ROW(E$1:E531)*(E532=E$1:E531)))))</f>
        <v/>
      </c>
      <c r="L532" s="26"/>
    </row>
    <row r="533" spans="1:12" x14ac:dyDescent="0.3">
      <c r="A533" t="s">
        <v>438</v>
      </c>
      <c r="E533" s="21" t="str">
        <f t="shared" si="44"/>
        <v/>
      </c>
      <c r="F533" s="22" t="str">
        <f>IF(OR(E533="",E533="!!!"),"",IF(NOT(ISNA(VLOOKUP(E533,E$1:E532,1,FALSE()))),"OLD",IF(AND(E533&lt;&gt;"",E533&lt;&gt;"!!!"),"NEW","")))</f>
        <v/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/>
      </c>
      <c r="H533" s="24" t="str">
        <f t="shared" ca="1" si="45"/>
        <v/>
      </c>
      <c r="I533" s="25" t="str">
        <f>IF(OR(E533="",E533="!!!",F533="NEW"),"",INDEX(B$2:B532,-1+SUMPRODUCT(MAX(ROW(E$2:E532)*(E533=E$2:E532)))))</f>
        <v/>
      </c>
      <c r="J533" s="25" t="str">
        <f ca="1">IF(OR(E533="",E533="!!!",F533="NEW"),"",COUNTBLANK(OFFSET(A$1,,,SUMPRODUCT(MAX(ROW(E$2:E533)*(E533=E$2:E533)))))-COUNTBLANK(OFFSET(A$1,,,SUMPRODUCT(MAX(ROW(E$1:E532)*(E2=E$1:E532))))))</f>
        <v/>
      </c>
      <c r="K533" s="25" t="str">
        <f>IF(OR(E533="",E533="!!!",F533="NEW"),"",INDEX(J$1:J532,SUMPRODUCT(MAX(ROW(E$1:E532)*(E533=E$1:E532)))))</f>
        <v/>
      </c>
      <c r="L533" s="26"/>
    </row>
    <row r="534" spans="1:12" x14ac:dyDescent="0.3">
      <c r="A534" t="s">
        <v>185</v>
      </c>
      <c r="E534" s="21" t="str">
        <f t="shared" si="44"/>
        <v/>
      </c>
      <c r="F534" s="22" t="str">
        <f>IF(OR(E534="",E534="!!!"),"",IF(NOT(ISNA(VLOOKUP(E534,E$1:E533,1,FALSE()))),"OLD",IF(AND(E534&lt;&gt;"",E534&lt;&gt;"!!!"),"NEW","")))</f>
        <v/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/>
      </c>
      <c r="H534" s="24" t="str">
        <f t="shared" ca="1" si="45"/>
        <v/>
      </c>
      <c r="I534" s="25" t="str">
        <f>IF(OR(E534="",E534="!!!",F534="NEW"),"",INDEX(B$2:B533,-1+SUMPRODUCT(MAX(ROW(E$2:E533)*(E534=E$2:E533)))))</f>
        <v/>
      </c>
      <c r="J534" s="25" t="str">
        <f ca="1">IF(OR(E534="",E534="!!!",F534="NEW"),"",COUNTBLANK(OFFSET(A$1,,,SUMPRODUCT(MAX(ROW(E$2:E534)*(E534=E$2:E534)))))-COUNTBLANK(OFFSET(A$1,,,SUMPRODUCT(MAX(ROW(E$1:E533)*(E2=E$1:E533))))))</f>
        <v/>
      </c>
      <c r="K534" s="25" t="str">
        <f>IF(OR(E534="",E534="!!!",F534="NEW"),"",INDEX(J$1:J533,SUMPRODUCT(MAX(ROW(E$1:E533)*(E534=E$1:E533)))))</f>
        <v/>
      </c>
      <c r="L534" s="26"/>
    </row>
    <row r="535" spans="1:12" x14ac:dyDescent="0.3">
      <c r="A535" t="s">
        <v>179</v>
      </c>
      <c r="B535" s="20" t="s">
        <v>261</v>
      </c>
      <c r="E535" s="21" t="str">
        <f t="shared" si="44"/>
        <v/>
      </c>
      <c r="F535" s="22" t="str">
        <f>IF(OR(E535="",E535="!!!"),"",IF(NOT(ISNA(VLOOKUP(E535,E$1:E534,1,FALSE()))),"OLD",IF(AND(E535&lt;&gt;"",E535&lt;&gt;"!!!"),"NEW","")))</f>
        <v/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/>
      </c>
      <c r="H535" s="24" t="str">
        <f t="shared" ca="1" si="45"/>
        <v/>
      </c>
      <c r="I535" s="25" t="str">
        <f>IF(OR(E535="",E535="!!!",F535="NEW"),"",INDEX(B$2:B534,-1+SUMPRODUCT(MAX(ROW(E$2:E534)*(E535=E$2:E534)))))</f>
        <v/>
      </c>
      <c r="J535" s="25" t="str">
        <f ca="1">IF(OR(E535="",E535="!!!",F535="NEW"),"",COUNTBLANK(OFFSET(A$1,,,SUMPRODUCT(MAX(ROW(E$2:E535)*(E535=E$2:E535)))))-COUNTBLANK(OFFSET(A$1,,,SUMPRODUCT(MAX(ROW(E$1:E534)*(E2=E$1:E534))))))</f>
        <v/>
      </c>
      <c r="K535" s="25" t="str">
        <f>IF(OR(E535="",E535="!!!",F535="NEW"),"",INDEX(J$1:J534,SUMPRODUCT(MAX(ROW(E$1:E534)*(E535=E$1:E534)))))</f>
        <v/>
      </c>
      <c r="L535" s="26"/>
    </row>
    <row r="536" spans="1:12" x14ac:dyDescent="0.3">
      <c r="A536" t="s">
        <v>327</v>
      </c>
      <c r="E536" s="21" t="str">
        <f t="shared" si="44"/>
        <v/>
      </c>
      <c r="F536" s="22" t="str">
        <f>IF(OR(E536="",E536="!!!"),"",IF(NOT(ISNA(VLOOKUP(E536,E$1:E535,1,FALSE()))),"OLD",IF(AND(E536&lt;&gt;"",E536&lt;&gt;"!!!"),"NEW","")))</f>
        <v/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/>
      </c>
      <c r="H536" s="24" t="str">
        <f t="shared" ca="1" si="45"/>
        <v/>
      </c>
      <c r="I536" s="25" t="str">
        <f>IF(OR(E536="",E536="!!!",F536="NEW"),"",INDEX(B$2:B535,-1+SUMPRODUCT(MAX(ROW(E$2:E535)*(E536=E$2:E535)))))</f>
        <v/>
      </c>
      <c r="J536" s="25" t="str">
        <f ca="1">IF(OR(E536="",E536="!!!",F536="NEW"),"",COUNTBLANK(OFFSET(A$1,,,SUMPRODUCT(MAX(ROW(E$2:E536)*(E536=E$2:E536)))))-COUNTBLANK(OFFSET(A$1,,,SUMPRODUCT(MAX(ROW(E$1:E535)*(E2=E$1:E535))))))</f>
        <v/>
      </c>
      <c r="K536" s="25" t="str">
        <f>IF(OR(E536="",E536="!!!",F536="NEW"),"",INDEX(J$1:J535,SUMPRODUCT(MAX(ROW(E$1:E535)*(E536=E$1:E535)))))</f>
        <v/>
      </c>
      <c r="L536" s="26"/>
    </row>
    <row r="537" spans="1:12" x14ac:dyDescent="0.3">
      <c r="A537" t="s">
        <v>195</v>
      </c>
      <c r="E537" s="21" t="str">
        <f t="shared" si="44"/>
        <v/>
      </c>
      <c r="F537" s="22" t="str">
        <f>IF(OR(E537="",E537="!!!"),"",IF(NOT(ISNA(VLOOKUP(E537,E$1:E536,1,FALSE()))),"OLD",IF(AND(E537&lt;&gt;"",E537&lt;&gt;"!!!"),"NEW","")))</f>
        <v/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/>
      </c>
      <c r="H537" s="24" t="str">
        <f t="shared" ca="1" si="45"/>
        <v/>
      </c>
      <c r="I537" s="25" t="str">
        <f>IF(OR(E537="",E537="!!!",F537="NEW"),"",INDEX(B$2:B536,-1+SUMPRODUCT(MAX(ROW(E$2:E536)*(E537=E$2:E536)))))</f>
        <v/>
      </c>
      <c r="J537" s="25" t="str">
        <f ca="1">IF(OR(E537="",E537="!!!",F537="NEW"),"",COUNTBLANK(OFFSET(A$1,,,SUMPRODUCT(MAX(ROW(E$2:E537)*(E537=E$2:E537)))))-COUNTBLANK(OFFSET(A$1,,,SUMPRODUCT(MAX(ROW(E$1:E536)*(E2=E$1:E536))))))</f>
        <v/>
      </c>
      <c r="K537" s="25" t="str">
        <f>IF(OR(E537="",E537="!!!",F537="NEW"),"",INDEX(J$1:J536,SUMPRODUCT(MAX(ROW(E$1:E536)*(E537=E$1:E536)))))</f>
        <v/>
      </c>
      <c r="L537" s="26"/>
    </row>
    <row r="538" spans="1:12" x14ac:dyDescent="0.3">
      <c r="A538" t="s">
        <v>243</v>
      </c>
      <c r="E538" s="21" t="str">
        <f t="shared" si="44"/>
        <v/>
      </c>
      <c r="F538" s="22" t="str">
        <f>IF(OR(E538="",E538="!!!"),"",IF(NOT(ISNA(VLOOKUP(E538,E$1:E537,1,FALSE()))),"OLD",IF(AND(E538&lt;&gt;"",E538&lt;&gt;"!!!"),"NEW","")))</f>
        <v/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/>
      </c>
      <c r="H538" s="24" t="str">
        <f t="shared" ca="1" si="45"/>
        <v/>
      </c>
      <c r="I538" s="25" t="str">
        <f>IF(OR(E538="",E538="!!!",F538="NEW"),"",INDEX(B$2:B537,-1+SUMPRODUCT(MAX(ROW(E$2:E537)*(E538=E$2:E537)))))</f>
        <v/>
      </c>
      <c r="J538" s="25" t="str">
        <f ca="1">IF(OR(E538="",E538="!!!",F538="NEW"),"",COUNTBLANK(OFFSET(A$1,,,SUMPRODUCT(MAX(ROW(E$2:E538)*(E538=E$2:E538)))))-COUNTBLANK(OFFSET(A$1,,,SUMPRODUCT(MAX(ROW(E$1:E537)*(E2=E$1:E537))))))</f>
        <v/>
      </c>
      <c r="K538" s="25" t="str">
        <f>IF(OR(E538="",E538="!!!",F538="NEW"),"",INDEX(J$1:J537,SUMPRODUCT(MAX(ROW(E$1:E537)*(E538=E$1:E537)))))</f>
        <v/>
      </c>
      <c r="L538" s="26"/>
    </row>
    <row r="539" spans="1:12" x14ac:dyDescent="0.3">
      <c r="A539" t="s">
        <v>283</v>
      </c>
      <c r="B539" s="20" t="s">
        <v>183</v>
      </c>
      <c r="C539" s="20" t="s">
        <v>181</v>
      </c>
      <c r="D539" s="20" t="s">
        <v>160</v>
      </c>
      <c r="E539" s="21" t="str">
        <f t="shared" si="44"/>
        <v>!!!</v>
      </c>
      <c r="F539" s="22" t="str">
        <f>IF(OR(E539="",E539="!!!"),"",IF(NOT(ISNA(VLOOKUP(E539,E$1:E538,1,FALSE()))),"OLD",IF(AND(E539&lt;&gt;"",E539&lt;&gt;"!!!"),"NEW","")))</f>
        <v/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/>
      </c>
      <c r="H539" s="24" t="str">
        <f t="shared" ca="1" si="45"/>
        <v/>
      </c>
      <c r="I539" s="25" t="str">
        <f>IF(OR(E539="",E539="!!!",F539="NEW"),"",INDEX(B$2:B538,-1+SUMPRODUCT(MAX(ROW(E$2:E538)*(E539=E$2:E538)))))</f>
        <v/>
      </c>
      <c r="J539" s="25" t="str">
        <f ca="1">IF(OR(E539="",E539="!!!",F539="NEW"),"",COUNTBLANK(OFFSET(A$1,,,SUMPRODUCT(MAX(ROW(E$2:E539)*(E539=E$2:E539)))))-COUNTBLANK(OFFSET(A$1,,,SUMPRODUCT(MAX(ROW(E$1:E538)*(E2=E$1:E538))))))</f>
        <v/>
      </c>
      <c r="K539" s="25" t="str">
        <f>IF(OR(E539="",E539="!!!",F539="NEW"),"",INDEX(J$1:J538,SUMPRODUCT(MAX(ROW(E$1:E538)*(E539=E$1:E538)))))</f>
        <v/>
      </c>
      <c r="L539" s="26"/>
    </row>
    <row r="540" spans="1:12" x14ac:dyDescent="0.3">
      <c r="A540" t="s">
        <v>439</v>
      </c>
      <c r="E540" s="21" t="str">
        <f t="shared" si="44"/>
        <v/>
      </c>
      <c r="F540" s="22" t="str">
        <f>IF(OR(E540="",E540="!!!"),"",IF(NOT(ISNA(VLOOKUP(E540,E$1:E539,1,FALSE()))),"OLD",IF(AND(E540&lt;&gt;"",E540&lt;&gt;"!!!"),"NEW","")))</f>
        <v/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/>
      </c>
      <c r="H540" s="24" t="str">
        <f t="shared" ca="1" si="45"/>
        <v/>
      </c>
      <c r="I540" s="25" t="str">
        <f>IF(OR(E540="",E540="!!!",F540="NEW"),"",INDEX(B$2:B539,-1+SUMPRODUCT(MAX(ROW(E$2:E539)*(E540=E$2:E539)))))</f>
        <v/>
      </c>
      <c r="J540" s="25" t="str">
        <f ca="1">IF(OR(E540="",E540="!!!",F540="NEW"),"",COUNTBLANK(OFFSET(A$1,,,SUMPRODUCT(MAX(ROW(E$2:E540)*(E540=E$2:E540)))))-COUNTBLANK(OFFSET(A$1,,,SUMPRODUCT(MAX(ROW(E$1:E539)*(E2=E$1:E539))))))</f>
        <v/>
      </c>
      <c r="K540" s="25" t="str">
        <f>IF(OR(E540="",E540="!!!",F540="NEW"),"",INDEX(J$1:J539,SUMPRODUCT(MAX(ROW(E$1:E539)*(E540=E$1:E539)))))</f>
        <v/>
      </c>
      <c r="L540" s="26"/>
    </row>
    <row r="541" spans="1:12" x14ac:dyDescent="0.3">
      <c r="A541" t="s">
        <v>185</v>
      </c>
      <c r="E541" s="21" t="str">
        <f t="shared" si="44"/>
        <v/>
      </c>
      <c r="F541" s="22" t="str">
        <f>IF(OR(E541="",E541="!!!"),"",IF(NOT(ISNA(VLOOKUP(E541,E$1:E540,1,FALSE()))),"OLD",IF(AND(E541&lt;&gt;"",E541&lt;&gt;"!!!"),"NEW","")))</f>
        <v/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/>
      </c>
      <c r="H541" s="24" t="str">
        <f t="shared" ca="1" si="45"/>
        <v/>
      </c>
      <c r="I541" s="25" t="str">
        <f>IF(OR(E541="",E541="!!!",F541="NEW"),"",INDEX(B$2:B540,-1+SUMPRODUCT(MAX(ROW(E$2:E540)*(E541=E$2:E540)))))</f>
        <v/>
      </c>
      <c r="J541" s="25" t="str">
        <f ca="1">IF(OR(E541="",E541="!!!",F541="NEW"),"",COUNTBLANK(OFFSET(A$1,,,SUMPRODUCT(MAX(ROW(E$2:E541)*(E541=E$2:E541)))))-COUNTBLANK(OFFSET(A$1,,,SUMPRODUCT(MAX(ROW(E$1:E540)*(E2=E$1:E540))))))</f>
        <v/>
      </c>
      <c r="K541" s="25" t="str">
        <f>IF(OR(E541="",E541="!!!",F541="NEW"),"",INDEX(J$1:J540,SUMPRODUCT(MAX(ROW(E$1:E540)*(E541=E$1:E540)))))</f>
        <v/>
      </c>
      <c r="L541" s="26"/>
    </row>
    <row r="542" spans="1:12" x14ac:dyDescent="0.3">
      <c r="A542" t="s">
        <v>179</v>
      </c>
      <c r="E542" s="21" t="str">
        <f t="shared" si="44"/>
        <v/>
      </c>
      <c r="F542" s="22" t="str">
        <f>IF(OR(E542="",E542="!!!"),"",IF(NOT(ISNA(VLOOKUP(E542,E$1:E541,1,FALSE()))),"OLD",IF(AND(E542&lt;&gt;"",E542&lt;&gt;"!!!"),"NEW","")))</f>
        <v/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/>
      </c>
      <c r="H542" s="24" t="str">
        <f t="shared" ca="1" si="45"/>
        <v/>
      </c>
      <c r="I542" s="25" t="str">
        <f>IF(OR(E542="",E542="!!!",F542="NEW"),"",INDEX(B$2:B541,-1+SUMPRODUCT(MAX(ROW(E$2:E541)*(E542=E$2:E541)))))</f>
        <v/>
      </c>
      <c r="J542" s="25" t="str">
        <f ca="1">IF(OR(E542="",E542="!!!",F542="NEW"),"",COUNTBLANK(OFFSET(A$1,,,SUMPRODUCT(MAX(ROW(E$2:E542)*(E542=E$2:E542)))))-COUNTBLANK(OFFSET(A$1,,,SUMPRODUCT(MAX(ROW(E$1:E541)*(E2=E$1:E541))))))</f>
        <v/>
      </c>
      <c r="K542" s="25" t="str">
        <f>IF(OR(E542="",E542="!!!",F542="NEW"),"",INDEX(J$1:J541,SUMPRODUCT(MAX(ROW(E$1:E541)*(E542=E$1:E541)))))</f>
        <v/>
      </c>
      <c r="L542" s="26"/>
    </row>
    <row r="543" spans="1:12" x14ac:dyDescent="0.3">
      <c r="A543" t="s">
        <v>440</v>
      </c>
      <c r="B543" s="20" t="s">
        <v>158</v>
      </c>
      <c r="C543" s="20" t="s">
        <v>181</v>
      </c>
      <c r="D543" s="20" t="s">
        <v>160</v>
      </c>
      <c r="E543" s="21" t="str">
        <f t="shared" si="44"/>
        <v>!!!</v>
      </c>
      <c r="F543" s="22" t="str">
        <f>IF(OR(E543="",E543="!!!"),"",IF(NOT(ISNA(VLOOKUP(E543,E$1:E542,1,FALSE()))),"OLD",IF(AND(E543&lt;&gt;"",E543&lt;&gt;"!!!"),"NEW","")))</f>
        <v/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/>
      </c>
      <c r="H543" s="24" t="str">
        <f t="shared" ca="1" si="45"/>
        <v/>
      </c>
      <c r="I543" s="25" t="str">
        <f>IF(OR(E543="",E543="!!!",F543="NEW"),"",INDEX(B$2:B542,-1+SUMPRODUCT(MAX(ROW(E$2:E542)*(E543=E$2:E542)))))</f>
        <v/>
      </c>
      <c r="J543" s="25" t="str">
        <f ca="1">IF(OR(E543="",E543="!!!",F543="NEW"),"",COUNTBLANK(OFFSET(A$1,,,SUMPRODUCT(MAX(ROW(E$2:E543)*(E543=E$2:E543)))))-COUNTBLANK(OFFSET(A$1,,,SUMPRODUCT(MAX(ROW(E$1:E542)*(E2=E$1:E542))))))</f>
        <v/>
      </c>
      <c r="K543" s="25" t="str">
        <f>IF(OR(E543="",E543="!!!",F543="NEW"),"",INDEX(J$1:J542,SUMPRODUCT(MAX(ROW(E$1:E542)*(E543=E$1:E542)))))</f>
        <v/>
      </c>
      <c r="L543" s="26"/>
    </row>
    <row r="544" spans="1:12" x14ac:dyDescent="0.3">
      <c r="A544" t="s">
        <v>185</v>
      </c>
      <c r="E544" s="21" t="str">
        <f t="shared" si="44"/>
        <v/>
      </c>
      <c r="F544" s="22" t="str">
        <f>IF(OR(E544="",E544="!!!"),"",IF(NOT(ISNA(VLOOKUP(E544,E$1:E543,1,FALSE()))),"OLD",IF(AND(E544&lt;&gt;"",E544&lt;&gt;"!!!"),"NEW","")))</f>
        <v/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/>
      </c>
      <c r="H544" s="24" t="str">
        <f t="shared" ca="1" si="45"/>
        <v/>
      </c>
      <c r="I544" s="25" t="str">
        <f>IF(OR(E544="",E544="!!!",F544="NEW"),"",INDEX(B$2:B543,-1+SUMPRODUCT(MAX(ROW(E$2:E543)*(E544=E$2:E543)))))</f>
        <v/>
      </c>
      <c r="J544" s="25" t="str">
        <f ca="1">IF(OR(E544="",E544="!!!",F544="NEW"),"",COUNTBLANK(OFFSET(A$1,,,SUMPRODUCT(MAX(ROW(E$2:E544)*(E544=E$2:E544)))))-COUNTBLANK(OFFSET(A$1,,,SUMPRODUCT(MAX(ROW(E$1:E543)*(E2=E$1:E543))))))</f>
        <v/>
      </c>
      <c r="K544" s="25" t="str">
        <f>IF(OR(E544="",E544="!!!",F544="NEW"),"",INDEX(J$1:J543,SUMPRODUCT(MAX(ROW(E$1:E543)*(E544=E$1:E543)))))</f>
        <v/>
      </c>
      <c r="L544" s="26"/>
    </row>
    <row r="545" spans="1:12" x14ac:dyDescent="0.3">
      <c r="A545" t="s">
        <v>179</v>
      </c>
      <c r="E545" s="21" t="str">
        <f t="shared" si="44"/>
        <v/>
      </c>
      <c r="F545" s="22" t="str">
        <f>IF(OR(E545="",E545="!!!"),"",IF(NOT(ISNA(VLOOKUP(E545,E$1:E544,1,FALSE()))),"OLD",IF(AND(E545&lt;&gt;"",E545&lt;&gt;"!!!"),"NEW","")))</f>
        <v/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/>
      </c>
      <c r="H545" s="24" t="str">
        <f t="shared" ca="1" si="45"/>
        <v/>
      </c>
      <c r="I545" s="25" t="str">
        <f>IF(OR(E545="",E545="!!!",F545="NEW"),"",INDEX(B$2:B544,-1+SUMPRODUCT(MAX(ROW(E$2:E544)*(E545=E$2:E544)))))</f>
        <v/>
      </c>
      <c r="J545" s="25" t="str">
        <f ca="1">IF(OR(E545="",E545="!!!",F545="NEW"),"",COUNTBLANK(OFFSET(A$1,,,SUMPRODUCT(MAX(ROW(E$2:E545)*(E545=E$2:E545)))))-COUNTBLANK(OFFSET(A$1,,,SUMPRODUCT(MAX(ROW(E$1:E544)*(E2=E$1:E544))))))</f>
        <v/>
      </c>
      <c r="K545" s="25" t="str">
        <f>IF(OR(E545="",E545="!!!",F545="NEW"),"",INDEX(J$1:J544,SUMPRODUCT(MAX(ROW(E$1:E544)*(E545=E$1:E544)))))</f>
        <v/>
      </c>
      <c r="L545" s="26"/>
    </row>
    <row r="546" spans="1:12" x14ac:dyDescent="0.3">
      <c r="A546" t="s">
        <v>441</v>
      </c>
      <c r="B546" s="20" t="s">
        <v>172</v>
      </c>
      <c r="C546" s="20" t="s">
        <v>181</v>
      </c>
      <c r="D546" s="20" t="s">
        <v>160</v>
      </c>
      <c r="E546" s="21" t="str">
        <f t="shared" si="44"/>
        <v>!!!</v>
      </c>
      <c r="F546" s="22" t="str">
        <f>IF(OR(E546="",E546="!!!"),"",IF(NOT(ISNA(VLOOKUP(E546,E$1:E545,1,FALSE()))),"OLD",IF(AND(E546&lt;&gt;"",E546&lt;&gt;"!!!"),"NEW","")))</f>
        <v/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/>
      </c>
      <c r="H546" s="24" t="str">
        <f t="shared" ca="1" si="45"/>
        <v/>
      </c>
      <c r="I546" s="25" t="str">
        <f>IF(OR(E546="",E546="!!!",F546="NEW"),"",INDEX(B$2:B545,-1+SUMPRODUCT(MAX(ROW(E$2:E545)*(E546=E$2:E545)))))</f>
        <v/>
      </c>
      <c r="J546" s="25" t="str">
        <f ca="1">IF(OR(E546="",E546="!!!",F546="NEW"),"",COUNTBLANK(OFFSET(A$1,,,SUMPRODUCT(MAX(ROW(E$2:E546)*(E546=E$2:E546)))))-COUNTBLANK(OFFSET(A$1,,,SUMPRODUCT(MAX(ROW(E$1:E545)*(E2=E$1:E545))))))</f>
        <v/>
      </c>
      <c r="K546" s="25" t="str">
        <f>IF(OR(E546="",E546="!!!",F546="NEW"),"",INDEX(J$1:J545,SUMPRODUCT(MAX(ROW(E$1:E545)*(E546=E$1:E545)))))</f>
        <v/>
      </c>
      <c r="L546" s="26"/>
    </row>
    <row r="547" spans="1:12" x14ac:dyDescent="0.3">
      <c r="A547" t="s">
        <v>212</v>
      </c>
      <c r="E547" s="21" t="str">
        <f t="shared" si="44"/>
        <v/>
      </c>
      <c r="F547" s="22" t="str">
        <f>IF(OR(E547="",E547="!!!"),"",IF(NOT(ISNA(VLOOKUP(E547,E$1:E546,1,FALSE()))),"OLD",IF(AND(E547&lt;&gt;"",E547&lt;&gt;"!!!"),"NEW","")))</f>
        <v/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/>
      </c>
      <c r="H547" s="24" t="str">
        <f t="shared" ca="1" si="45"/>
        <v/>
      </c>
      <c r="I547" s="25" t="str">
        <f>IF(OR(E547="",E547="!!!",F547="NEW"),"",INDEX(B$2:B546,-1+SUMPRODUCT(MAX(ROW(E$2:E546)*(E547=E$2:E546)))))</f>
        <v/>
      </c>
      <c r="J547" s="25" t="str">
        <f ca="1">IF(OR(E547="",E547="!!!",F547="NEW"),"",COUNTBLANK(OFFSET(A$1,,,SUMPRODUCT(MAX(ROW(E$2:E547)*(E547=E$2:E547)))))-COUNTBLANK(OFFSET(A$1,,,SUMPRODUCT(MAX(ROW(E$1:E546)*(E2=E$1:E546))))))</f>
        <v/>
      </c>
      <c r="K547" s="25" t="str">
        <f>IF(OR(E547="",E547="!!!",F547="NEW"),"",INDEX(J$1:J546,SUMPRODUCT(MAX(ROW(E$1:E546)*(E547=E$1:E546)))))</f>
        <v/>
      </c>
      <c r="L547" s="26"/>
    </row>
    <row r="549" spans="1:12" x14ac:dyDescent="0.3">
      <c r="A549" t="s">
        <v>442</v>
      </c>
      <c r="E549" s="21" t="str">
        <f>IF(D549="?OLD","!!!","")</f>
        <v/>
      </c>
      <c r="F549" s="22" t="str">
        <f>IF(OR(E549="",E549="!!!"),"",IF(NOT(ISNA(VLOOKUP(E549,E$1:E548,1,FALSE()))),"OLD",IF(AND(E549&lt;&gt;"",E549&lt;&gt;"!!!"),"NEW","")))</f>
        <v/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/>
      </c>
      <c r="H549" s="24" t="str">
        <f ca="1">IF(J549&lt;&gt;1,"",IF(I549="SBJ","CB","?"))</f>
        <v/>
      </c>
      <c r="I549" s="25" t="str">
        <f>IF(OR(E549="",E549="!!!",F549="NEW"),"",INDEX(B$2:B548,-1+SUMPRODUCT(MAX(ROW(E$2:E548)*(E549=E$2:E548)))))</f>
        <v/>
      </c>
      <c r="J549" s="25" t="str">
        <f ca="1">IF(OR(E549="",E549="!!!",F549="NEW"),"",COUNTBLANK(OFFSET(A$1,,,SUMPRODUCT(MAX(ROW(E$2:E549)*(E549=E$2:E549)))))-COUNTBLANK(OFFSET(A$1,,,SUMPRODUCT(MAX(ROW(E$1:E548)*(E2=E$1:E548))))))</f>
        <v/>
      </c>
      <c r="K549" s="25" t="str">
        <f>IF(OR(E549="",E549="!!!",F549="NEW"),"",INDEX(J$1:J548,SUMPRODUCT(MAX(ROW(E$1:E548)*(E549=E$1:E548)))))</f>
        <v/>
      </c>
      <c r="L549" s="26"/>
    </row>
    <row r="550" spans="1:12" x14ac:dyDescent="0.3">
      <c r="A550" t="s">
        <v>443</v>
      </c>
    </row>
    <row r="551" spans="1:12" x14ac:dyDescent="0.3">
      <c r="A551" t="s">
        <v>444</v>
      </c>
      <c r="E551" s="21" t="str">
        <f t="shared" ref="E551:E572" si="46">IF(D551="?OLD","!!!","")</f>
        <v/>
      </c>
      <c r="F551" s="22" t="str">
        <f>IF(OR(E551="",E551="!!!"),"",IF(NOT(ISNA(VLOOKUP(E551,E$1:E550,1,FALSE()))),"OLD",IF(AND(E551&lt;&gt;"",E551&lt;&gt;"!!!"),"NEW","")))</f>
        <v/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/>
      </c>
      <c r="H551" s="24" t="str">
        <f t="shared" ref="H551:H572" ca="1" si="47">IF(J551&lt;&gt;1,"",IF(I551="SBJ","CB","?"))</f>
        <v/>
      </c>
      <c r="I551" s="25" t="str">
        <f>IF(OR(E551="",E551="!!!",F551="NEW"),"",INDEX(B$2:B550,-1+SUMPRODUCT(MAX(ROW(E$2:E550)*(E551=E$2:E550)))))</f>
        <v/>
      </c>
      <c r="J551" s="25" t="str">
        <f ca="1">IF(OR(E551="",E551="!!!",F551="NEW"),"",COUNTBLANK(OFFSET(A$1,,,SUMPRODUCT(MAX(ROW(E$2:E551)*(E551=E$2:E551)))))-COUNTBLANK(OFFSET(A$1,,,SUMPRODUCT(MAX(ROW(E$1:E550)*(E2=E$1:E550))))))</f>
        <v/>
      </c>
      <c r="K551" s="25" t="str">
        <f>IF(OR(E551="",E551="!!!",F551="NEW"),"",INDEX(J$1:J550,SUMPRODUCT(MAX(ROW(E$1:E550)*(E551=E$1:E550)))))</f>
        <v/>
      </c>
      <c r="L551" s="26"/>
    </row>
    <row r="552" spans="1:12" x14ac:dyDescent="0.3">
      <c r="A552" t="s">
        <v>445</v>
      </c>
      <c r="B552" s="20" t="s">
        <v>187</v>
      </c>
      <c r="C552" s="20" t="s">
        <v>199</v>
      </c>
      <c r="D552" s="20" t="s">
        <v>160</v>
      </c>
      <c r="E552" s="21" t="str">
        <f t="shared" si="46"/>
        <v>!!!</v>
      </c>
      <c r="F552" s="22" t="str">
        <f>IF(OR(E552="",E552="!!!"),"",IF(NOT(ISNA(VLOOKUP(E552,E$1:E551,1,FALSE()))),"OLD",IF(AND(E552&lt;&gt;"",E552&lt;&gt;"!!!"),"NEW","")))</f>
        <v/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/>
      </c>
      <c r="H552" s="24" t="str">
        <f t="shared" ca="1" si="47"/>
        <v/>
      </c>
      <c r="I552" s="25" t="str">
        <f>IF(OR(E552="",E552="!!!",F552="NEW"),"",INDEX(B$2:B551,-1+SUMPRODUCT(MAX(ROW(E$2:E551)*(E552=E$2:E551)))))</f>
        <v/>
      </c>
      <c r="J552" s="25" t="str">
        <f ca="1">IF(OR(E552="",E552="!!!",F552="NEW"),"",COUNTBLANK(OFFSET(A$1,,,SUMPRODUCT(MAX(ROW(E$2:E552)*(E552=E$2:E552)))))-COUNTBLANK(OFFSET(A$1,,,SUMPRODUCT(MAX(ROW(E$1:E551)*(E2=E$1:E551))))))</f>
        <v/>
      </c>
      <c r="K552" s="25" t="str">
        <f>IF(OR(E552="",E552="!!!",F552="NEW"),"",INDEX(J$1:J551,SUMPRODUCT(MAX(ROW(E$1:E551)*(E552=E$1:E551)))))</f>
        <v/>
      </c>
      <c r="L552" s="26"/>
    </row>
    <row r="553" spans="1:12" x14ac:dyDescent="0.3">
      <c r="A553" t="s">
        <v>446</v>
      </c>
      <c r="E553" s="21" t="str">
        <f t="shared" si="46"/>
        <v/>
      </c>
      <c r="F553" s="22" t="str">
        <f>IF(OR(E553="",E553="!!!"),"",IF(NOT(ISNA(VLOOKUP(E553,E$1:E552,1,FALSE()))),"OLD",IF(AND(E553&lt;&gt;"",E553&lt;&gt;"!!!"),"NEW","")))</f>
        <v/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/>
      </c>
      <c r="H553" s="24" t="str">
        <f t="shared" ca="1" si="47"/>
        <v/>
      </c>
      <c r="I553" s="25" t="str">
        <f>IF(OR(E553="",E553="!!!",F553="NEW"),"",INDEX(B$2:B552,-1+SUMPRODUCT(MAX(ROW(E$2:E552)*(E553=E$2:E552)))))</f>
        <v/>
      </c>
      <c r="J553" s="25" t="str">
        <f ca="1">IF(OR(E553="",E553="!!!",F553="NEW"),"",COUNTBLANK(OFFSET(A$1,,,SUMPRODUCT(MAX(ROW(E$2:E553)*(E553=E$2:E553)))))-COUNTBLANK(OFFSET(A$1,,,SUMPRODUCT(MAX(ROW(E$1:E552)*(E2=E$1:E552))))))</f>
        <v/>
      </c>
      <c r="K553" s="25" t="str">
        <f>IF(OR(E553="",E553="!!!",F553="NEW"),"",INDEX(J$1:J552,SUMPRODUCT(MAX(ROW(E$1:E552)*(E553=E$1:E552)))))</f>
        <v/>
      </c>
      <c r="L553" s="26"/>
    </row>
    <row r="554" spans="1:12" x14ac:dyDescent="0.3">
      <c r="A554" t="s">
        <v>195</v>
      </c>
      <c r="B554" s="20" t="s">
        <v>172</v>
      </c>
      <c r="C554" s="20" t="s">
        <v>197</v>
      </c>
      <c r="E554" s="21" t="str">
        <f t="shared" si="46"/>
        <v/>
      </c>
      <c r="F554" s="22" t="str">
        <f>IF(OR(E554="",E554="!!!"),"",IF(NOT(ISNA(VLOOKUP(E554,E$1:E553,1,FALSE()))),"OLD",IF(AND(E554&lt;&gt;"",E554&lt;&gt;"!!!"),"NEW","")))</f>
        <v/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/>
      </c>
      <c r="H554" s="24" t="str">
        <f t="shared" ca="1" si="47"/>
        <v/>
      </c>
      <c r="I554" s="25" t="str">
        <f>IF(OR(E554="",E554="!!!",F554="NEW"),"",INDEX(B$2:B553,-1+SUMPRODUCT(MAX(ROW(E$2:E553)*(E554=E$2:E553)))))</f>
        <v/>
      </c>
      <c r="J554" s="25" t="str">
        <f ca="1">IF(OR(E554="",E554="!!!",F554="NEW"),"",COUNTBLANK(OFFSET(A$1,,,SUMPRODUCT(MAX(ROW(E$2:E554)*(E554=E$2:E554)))))-COUNTBLANK(OFFSET(A$1,,,SUMPRODUCT(MAX(ROW(E$1:E553)*(E2=E$1:E553))))))</f>
        <v/>
      </c>
      <c r="K554" s="25" t="str">
        <f>IF(OR(E554="",E554="!!!",F554="NEW"),"",INDEX(J$1:J553,SUMPRODUCT(MAX(ROW(E$1:E553)*(E554=E$1:E553)))))</f>
        <v/>
      </c>
      <c r="L554" s="26"/>
    </row>
    <row r="555" spans="1:12" x14ac:dyDescent="0.3">
      <c r="A555" t="s">
        <v>335</v>
      </c>
      <c r="B555" s="20" t="s">
        <v>158</v>
      </c>
      <c r="C555" s="20" t="s">
        <v>167</v>
      </c>
      <c r="E555" s="21" t="str">
        <f t="shared" si="46"/>
        <v/>
      </c>
      <c r="F555" s="22" t="str">
        <f>IF(OR(E555="",E555="!!!"),"",IF(NOT(ISNA(VLOOKUP(E555,E$1:E554,1,FALSE()))),"OLD",IF(AND(E555&lt;&gt;"",E555&lt;&gt;"!!!"),"NEW","")))</f>
        <v/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/>
      </c>
      <c r="H555" s="24" t="str">
        <f t="shared" ca="1" si="47"/>
        <v/>
      </c>
      <c r="I555" s="25" t="str">
        <f>IF(OR(E555="",E555="!!!",F555="NEW"),"",INDEX(B$2:B554,-1+SUMPRODUCT(MAX(ROW(E$2:E554)*(E555=E$2:E554)))))</f>
        <v/>
      </c>
      <c r="J555" s="25" t="str">
        <f ca="1">IF(OR(E555="",E555="!!!",F555="NEW"),"",COUNTBLANK(OFFSET(A$1,,,SUMPRODUCT(MAX(ROW(E$2:E555)*(E555=E$2:E555)))))-COUNTBLANK(OFFSET(A$1,,,SUMPRODUCT(MAX(ROW(E$1:E554)*(E2=E$1:E554))))))</f>
        <v/>
      </c>
      <c r="K555" s="25" t="str">
        <f>IF(OR(E555="",E555="!!!",F555="NEW"),"",INDEX(J$1:J554,SUMPRODUCT(MAX(ROW(E$1:E554)*(E555=E$1:E554)))))</f>
        <v/>
      </c>
      <c r="L555" s="26"/>
    </row>
    <row r="556" spans="1:12" x14ac:dyDescent="0.3">
      <c r="A556" t="s">
        <v>220</v>
      </c>
      <c r="E556" s="21" t="str">
        <f t="shared" si="46"/>
        <v/>
      </c>
      <c r="F556" s="22" t="str">
        <f>IF(OR(E556="",E556="!!!"),"",IF(NOT(ISNA(VLOOKUP(E556,E$1:E555,1,FALSE()))),"OLD",IF(AND(E556&lt;&gt;"",E556&lt;&gt;"!!!"),"NEW","")))</f>
        <v/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/>
      </c>
      <c r="H556" s="24" t="str">
        <f t="shared" ca="1" si="47"/>
        <v/>
      </c>
      <c r="I556" s="25" t="str">
        <f>IF(OR(E556="",E556="!!!",F556="NEW"),"",INDEX(B$2:B555,-1+SUMPRODUCT(MAX(ROW(E$2:E555)*(E556=E$2:E555)))))</f>
        <v/>
      </c>
      <c r="J556" s="25" t="str">
        <f ca="1">IF(OR(E556="",E556="!!!",F556="NEW"),"",COUNTBLANK(OFFSET(A$1,,,SUMPRODUCT(MAX(ROW(E$2:E556)*(E556=E$2:E556)))))-COUNTBLANK(OFFSET(A$1,,,SUMPRODUCT(MAX(ROW(E$1:E555)*(E2=E$1:E555))))))</f>
        <v/>
      </c>
      <c r="K556" s="25" t="str">
        <f>IF(OR(E556="",E556="!!!",F556="NEW"),"",INDEX(J$1:J555,SUMPRODUCT(MAX(ROW(E$1:E555)*(E556=E$1:E555)))))</f>
        <v/>
      </c>
      <c r="L556" s="26"/>
    </row>
    <row r="557" spans="1:12" x14ac:dyDescent="0.3">
      <c r="A557" t="s">
        <v>263</v>
      </c>
      <c r="B557" s="20" t="s">
        <v>158</v>
      </c>
      <c r="C557" s="20" t="s">
        <v>199</v>
      </c>
      <c r="D557" s="20" t="s">
        <v>160</v>
      </c>
      <c r="E557" s="21" t="str">
        <f t="shared" si="46"/>
        <v>!!!</v>
      </c>
      <c r="F557" s="22" t="str">
        <f>IF(OR(E557="",E557="!!!"),"",IF(NOT(ISNA(VLOOKUP(E557,E$1:E556,1,FALSE()))),"OLD",IF(AND(E557&lt;&gt;"",E557&lt;&gt;"!!!"),"NEW","")))</f>
        <v/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/>
      </c>
      <c r="H557" s="24" t="str">
        <f t="shared" ca="1" si="47"/>
        <v/>
      </c>
      <c r="I557" s="25" t="str">
        <f>IF(OR(E557="",E557="!!!",F557="NEW"),"",INDEX(B$2:B556,-1+SUMPRODUCT(MAX(ROW(E$2:E556)*(E557=E$2:E556)))))</f>
        <v/>
      </c>
      <c r="J557" s="25" t="str">
        <f ca="1">IF(OR(E557="",E557="!!!",F557="NEW"),"",COUNTBLANK(OFFSET(A$1,,,SUMPRODUCT(MAX(ROW(E$2:E557)*(E557=E$2:E557)))))-COUNTBLANK(OFFSET(A$1,,,SUMPRODUCT(MAX(ROW(E$1:E556)*(E2=E$1:E556))))))</f>
        <v/>
      </c>
      <c r="K557" s="25" t="str">
        <f>IF(OR(E557="",E557="!!!",F557="NEW"),"",INDEX(J$1:J556,SUMPRODUCT(MAX(ROW(E$1:E556)*(E557=E$1:E556)))))</f>
        <v/>
      </c>
      <c r="L557" s="26"/>
    </row>
    <row r="558" spans="1:12" x14ac:dyDescent="0.3">
      <c r="A558" t="s">
        <v>162</v>
      </c>
      <c r="E558" s="21" t="str">
        <f t="shared" si="46"/>
        <v/>
      </c>
      <c r="F558" s="22" t="str">
        <f>IF(OR(E558="",E558="!!!"),"",IF(NOT(ISNA(VLOOKUP(E558,E$1:E557,1,FALSE()))),"OLD",IF(AND(E558&lt;&gt;"",E558&lt;&gt;"!!!"),"NEW","")))</f>
        <v/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/>
      </c>
      <c r="H558" s="24" t="str">
        <f t="shared" ca="1" si="47"/>
        <v/>
      </c>
      <c r="I558" s="25" t="str">
        <f>IF(OR(E558="",E558="!!!",F558="NEW"),"",INDEX(B$2:B557,-1+SUMPRODUCT(MAX(ROW(E$2:E557)*(E558=E$2:E557)))))</f>
        <v/>
      </c>
      <c r="J558" s="25" t="str">
        <f ca="1">IF(OR(E558="",E558="!!!",F558="NEW"),"",COUNTBLANK(OFFSET(A$1,,,SUMPRODUCT(MAX(ROW(E$2:E558)*(E558=E$2:E558)))))-COUNTBLANK(OFFSET(A$1,,,SUMPRODUCT(MAX(ROW(E$1:E557)*(E2=E$1:E557))))))</f>
        <v/>
      </c>
      <c r="K558" s="25" t="str">
        <f>IF(OR(E558="",E558="!!!",F558="NEW"),"",INDEX(J$1:J557,SUMPRODUCT(MAX(ROW(E$1:E557)*(E558=E$1:E557)))))</f>
        <v/>
      </c>
      <c r="L558" s="26"/>
    </row>
    <row r="559" spans="1:12" x14ac:dyDescent="0.3">
      <c r="A559" t="s">
        <v>365</v>
      </c>
      <c r="E559" s="21" t="str">
        <f t="shared" si="46"/>
        <v/>
      </c>
      <c r="F559" s="22" t="str">
        <f>IF(OR(E559="",E559="!!!"),"",IF(NOT(ISNA(VLOOKUP(E559,E$1:E558,1,FALSE()))),"OLD",IF(AND(E559&lt;&gt;"",E559&lt;&gt;"!!!"),"NEW","")))</f>
        <v/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/>
      </c>
      <c r="H559" s="24" t="str">
        <f t="shared" ca="1" si="47"/>
        <v/>
      </c>
      <c r="I559" s="25" t="str">
        <f>IF(OR(E559="",E559="!!!",F559="NEW"),"",INDEX(B$2:B558,-1+SUMPRODUCT(MAX(ROW(E$2:E558)*(E559=E$2:E558)))))</f>
        <v/>
      </c>
      <c r="J559" s="25" t="str">
        <f ca="1">IF(OR(E559="",E559="!!!",F559="NEW"),"",COUNTBLANK(OFFSET(A$1,,,SUMPRODUCT(MAX(ROW(E$2:E559)*(E559=E$2:E559)))))-COUNTBLANK(OFFSET(A$1,,,SUMPRODUCT(MAX(ROW(E$1:E558)*(E2=E$1:E558))))))</f>
        <v/>
      </c>
      <c r="K559" s="25" t="str">
        <f>IF(OR(E559="",E559="!!!",F559="NEW"),"",INDEX(J$1:J558,SUMPRODUCT(MAX(ROW(E$1:E558)*(E559=E$1:E558)))))</f>
        <v/>
      </c>
      <c r="L559" s="26"/>
    </row>
    <row r="560" spans="1:12" x14ac:dyDescent="0.3">
      <c r="A560" t="s">
        <v>447</v>
      </c>
      <c r="E560" s="21" t="str">
        <f t="shared" si="46"/>
        <v/>
      </c>
      <c r="F560" s="22" t="str">
        <f>IF(OR(E560="",E560="!!!"),"",IF(NOT(ISNA(VLOOKUP(E560,E$1:E559,1,FALSE()))),"OLD",IF(AND(E560&lt;&gt;"",E560&lt;&gt;"!!!"),"NEW","")))</f>
        <v/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/>
      </c>
      <c r="H560" s="24" t="str">
        <f t="shared" ca="1" si="47"/>
        <v/>
      </c>
      <c r="I560" s="25" t="str">
        <f>IF(OR(E560="",E560="!!!",F560="NEW"),"",INDEX(B$2:B559,-1+SUMPRODUCT(MAX(ROW(E$2:E559)*(E560=E$2:E559)))))</f>
        <v/>
      </c>
      <c r="J560" s="25" t="str">
        <f ca="1">IF(OR(E560="",E560="!!!",F560="NEW"),"",COUNTBLANK(OFFSET(A$1,,,SUMPRODUCT(MAX(ROW(E$2:E560)*(E560=E$2:E560)))))-COUNTBLANK(OFFSET(A$1,,,SUMPRODUCT(MAX(ROW(E$1:E559)*(E2=E$1:E559))))))</f>
        <v/>
      </c>
      <c r="K560" s="25" t="str">
        <f>IF(OR(E560="",E560="!!!",F560="NEW"),"",INDEX(J$1:J559,SUMPRODUCT(MAX(ROW(E$1:E559)*(E560=E$1:E559)))))</f>
        <v/>
      </c>
      <c r="L560" s="26"/>
    </row>
    <row r="561" spans="1:12" x14ac:dyDescent="0.3">
      <c r="A561" t="s">
        <v>409</v>
      </c>
      <c r="B561" s="20" t="s">
        <v>261</v>
      </c>
      <c r="C561" s="20" t="s">
        <v>159</v>
      </c>
      <c r="D561" s="20" t="s">
        <v>160</v>
      </c>
      <c r="E561" s="21" t="str">
        <f t="shared" si="46"/>
        <v>!!!</v>
      </c>
      <c r="F561" s="22" t="str">
        <f>IF(OR(E561="",E561="!!!"),"",IF(NOT(ISNA(VLOOKUP(E561,E$1:E560,1,FALSE()))),"OLD",IF(AND(E561&lt;&gt;"",E561&lt;&gt;"!!!"),"NEW","")))</f>
        <v/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/>
      </c>
      <c r="H561" s="24" t="str">
        <f t="shared" ca="1" si="47"/>
        <v/>
      </c>
      <c r="I561" s="25" t="str">
        <f>IF(OR(E561="",E561="!!!",F561="NEW"),"",INDEX(B$2:B560,-1+SUMPRODUCT(MAX(ROW(E$2:E560)*(E561=E$2:E560)))))</f>
        <v/>
      </c>
      <c r="J561" s="25" t="str">
        <f ca="1">IF(OR(E561="",E561="!!!",F561="NEW"),"",COUNTBLANK(OFFSET(A$1,,,SUMPRODUCT(MAX(ROW(E$2:E561)*(E561=E$2:E561)))))-COUNTBLANK(OFFSET(A$1,,,SUMPRODUCT(MAX(ROW(E$1:E560)*(E2=E$1:E560))))))</f>
        <v/>
      </c>
      <c r="K561" s="25" t="str">
        <f>IF(OR(E561="",E561="!!!",F561="NEW"),"",INDEX(J$1:J560,SUMPRODUCT(MAX(ROW(E$1:E560)*(E561=E$1:E560)))))</f>
        <v/>
      </c>
      <c r="L561" s="26"/>
    </row>
    <row r="562" spans="1:12" x14ac:dyDescent="0.3">
      <c r="A562" t="s">
        <v>448</v>
      </c>
      <c r="E562" s="21" t="str">
        <f t="shared" si="46"/>
        <v/>
      </c>
      <c r="F562" s="22" t="str">
        <f>IF(OR(E562="",E562="!!!"),"",IF(NOT(ISNA(VLOOKUP(E562,E$1:E561,1,FALSE()))),"OLD",IF(AND(E562&lt;&gt;"",E562&lt;&gt;"!!!"),"NEW","")))</f>
        <v/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/>
      </c>
      <c r="H562" s="24" t="str">
        <f t="shared" ca="1" si="47"/>
        <v/>
      </c>
      <c r="I562" s="25" t="str">
        <f>IF(OR(E562="",E562="!!!",F562="NEW"),"",INDEX(B$2:B561,-1+SUMPRODUCT(MAX(ROW(E$2:E561)*(E562=E$2:E561)))))</f>
        <v/>
      </c>
      <c r="J562" s="25" t="str">
        <f ca="1">IF(OR(E562="",E562="!!!",F562="NEW"),"",COUNTBLANK(OFFSET(A$1,,,SUMPRODUCT(MAX(ROW(E$2:E562)*(E562=E$2:E562)))))-COUNTBLANK(OFFSET(A$1,,,SUMPRODUCT(MAX(ROW(E$1:E561)*(E2=E$1:E561))))))</f>
        <v/>
      </c>
      <c r="K562" s="25" t="str">
        <f>IF(OR(E562="",E562="!!!",F562="NEW"),"",INDEX(J$1:J561,SUMPRODUCT(MAX(ROW(E$1:E561)*(E562=E$1:E561)))))</f>
        <v/>
      </c>
      <c r="L562" s="26"/>
    </row>
    <row r="563" spans="1:12" x14ac:dyDescent="0.3">
      <c r="A563" t="s">
        <v>447</v>
      </c>
      <c r="E563" s="21" t="str">
        <f t="shared" si="46"/>
        <v/>
      </c>
      <c r="F563" s="22" t="str">
        <f>IF(OR(E563="",E563="!!!"),"",IF(NOT(ISNA(VLOOKUP(E563,E$1:E562,1,FALSE()))),"OLD",IF(AND(E563&lt;&gt;"",E563&lt;&gt;"!!!"),"NEW","")))</f>
        <v/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/>
      </c>
      <c r="H563" s="24" t="str">
        <f t="shared" ca="1" si="47"/>
        <v/>
      </c>
      <c r="I563" s="25" t="str">
        <f>IF(OR(E563="",E563="!!!",F563="NEW"),"",INDEX(B$2:B562,-1+SUMPRODUCT(MAX(ROW(E$2:E562)*(E563=E$2:E562)))))</f>
        <v/>
      </c>
      <c r="J563" s="25" t="str">
        <f ca="1">IF(OR(E563="",E563="!!!",F563="NEW"),"",COUNTBLANK(OFFSET(A$1,,,SUMPRODUCT(MAX(ROW(E$2:E563)*(E563=E$2:E563)))))-COUNTBLANK(OFFSET(A$1,,,SUMPRODUCT(MAX(ROW(E$1:E562)*(E2=E$1:E562))))))</f>
        <v/>
      </c>
      <c r="K563" s="25" t="str">
        <f>IF(OR(E563="",E563="!!!",F563="NEW"),"",INDEX(J$1:J562,SUMPRODUCT(MAX(ROW(E$1:E562)*(E563=E$1:E562)))))</f>
        <v/>
      </c>
      <c r="L563" s="26"/>
    </row>
    <row r="564" spans="1:12" x14ac:dyDescent="0.3">
      <c r="A564" t="s">
        <v>367</v>
      </c>
      <c r="E564" s="21" t="str">
        <f t="shared" si="46"/>
        <v/>
      </c>
      <c r="F564" s="22" t="str">
        <f>IF(OR(E564="",E564="!!!"),"",IF(NOT(ISNA(VLOOKUP(E564,E$1:E563,1,FALSE()))),"OLD",IF(AND(E564&lt;&gt;"",E564&lt;&gt;"!!!"),"NEW","")))</f>
        <v/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/>
      </c>
      <c r="H564" s="24" t="str">
        <f t="shared" ca="1" si="47"/>
        <v/>
      </c>
      <c r="I564" s="25" t="str">
        <f>IF(OR(E564="",E564="!!!",F564="NEW"),"",INDEX(B$2:B563,-1+SUMPRODUCT(MAX(ROW(E$2:E563)*(E564=E$2:E563)))))</f>
        <v/>
      </c>
      <c r="J564" s="25" t="str">
        <f ca="1">IF(OR(E564="",E564="!!!",F564="NEW"),"",COUNTBLANK(OFFSET(A$1,,,SUMPRODUCT(MAX(ROW(E$2:E564)*(E564=E$2:E564)))))-COUNTBLANK(OFFSET(A$1,,,SUMPRODUCT(MAX(ROW(E$1:E563)*(E2=E$1:E563))))))</f>
        <v/>
      </c>
      <c r="K564" s="25" t="str">
        <f>IF(OR(E564="",E564="!!!",F564="NEW"),"",INDEX(J$1:J563,SUMPRODUCT(MAX(ROW(E$1:E563)*(E564=E$1:E563)))))</f>
        <v/>
      </c>
      <c r="L564" s="26"/>
    </row>
    <row r="565" spans="1:12" x14ac:dyDescent="0.3">
      <c r="A565" t="s">
        <v>449</v>
      </c>
      <c r="E565" s="21" t="str">
        <f t="shared" si="46"/>
        <v/>
      </c>
      <c r="F565" s="22" t="str">
        <f>IF(OR(E565="",E565="!!!"),"",IF(NOT(ISNA(VLOOKUP(E565,E$1:E564,1,FALSE()))),"OLD",IF(AND(E565&lt;&gt;"",E565&lt;&gt;"!!!"),"NEW","")))</f>
        <v/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/>
      </c>
      <c r="H565" s="24" t="str">
        <f t="shared" ca="1" si="47"/>
        <v/>
      </c>
      <c r="I565" s="25" t="str">
        <f>IF(OR(E565="",E565="!!!",F565="NEW"),"",INDEX(B$2:B564,-1+SUMPRODUCT(MAX(ROW(E$2:E564)*(E565=E$2:E564)))))</f>
        <v/>
      </c>
      <c r="J565" s="25" t="str">
        <f ca="1">IF(OR(E565="",E565="!!!",F565="NEW"),"",COUNTBLANK(OFFSET(A$1,,,SUMPRODUCT(MAX(ROW(E$2:E565)*(E565=E$2:E565)))))-COUNTBLANK(OFFSET(A$1,,,SUMPRODUCT(MAX(ROW(E$1:E564)*(E2=E$1:E564))))))</f>
        <v/>
      </c>
      <c r="K565" s="25" t="str">
        <f>IF(OR(E565="",E565="!!!",F565="NEW"),"",INDEX(J$1:J564,SUMPRODUCT(MAX(ROW(E$1:E564)*(E565=E$1:E564)))))</f>
        <v/>
      </c>
      <c r="L565" s="26"/>
    </row>
    <row r="566" spans="1:12" x14ac:dyDescent="0.3">
      <c r="A566" t="s">
        <v>450</v>
      </c>
      <c r="B566" s="20" t="s">
        <v>257</v>
      </c>
      <c r="C566" s="20" t="s">
        <v>181</v>
      </c>
      <c r="D566" s="20" t="s">
        <v>160</v>
      </c>
      <c r="E566" s="21" t="str">
        <f t="shared" si="46"/>
        <v>!!!</v>
      </c>
      <c r="F566" s="22" t="str">
        <f>IF(OR(E566="",E566="!!!"),"",IF(NOT(ISNA(VLOOKUP(E566,E$1:E565,1,FALSE()))),"OLD",IF(AND(E566&lt;&gt;"",E566&lt;&gt;"!!!"),"NEW","")))</f>
        <v/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/>
      </c>
      <c r="H566" s="24" t="str">
        <f t="shared" ca="1" si="47"/>
        <v/>
      </c>
      <c r="I566" s="25" t="str">
        <f>IF(OR(E566="",E566="!!!",F566="NEW"),"",INDEX(B$2:B565,-1+SUMPRODUCT(MAX(ROW(E$2:E565)*(E566=E$2:E565)))))</f>
        <v/>
      </c>
      <c r="J566" s="25" t="str">
        <f ca="1">IF(OR(E566="",E566="!!!",F566="NEW"),"",COUNTBLANK(OFFSET(A$1,,,SUMPRODUCT(MAX(ROW(E$2:E566)*(E566=E$2:E566)))))-COUNTBLANK(OFFSET(A$1,,,SUMPRODUCT(MAX(ROW(E$1:E565)*(E2=E$1:E565))))))</f>
        <v/>
      </c>
      <c r="K566" s="25" t="str">
        <f>IF(OR(E566="",E566="!!!",F566="NEW"),"",INDEX(J$1:J565,SUMPRODUCT(MAX(ROW(E$1:E565)*(E566=E$1:E565)))))</f>
        <v/>
      </c>
      <c r="L566" s="26"/>
    </row>
    <row r="567" spans="1:12" x14ac:dyDescent="0.3">
      <c r="A567" t="s">
        <v>451</v>
      </c>
      <c r="E567" s="21" t="str">
        <f t="shared" si="46"/>
        <v/>
      </c>
      <c r="F567" s="22" t="str">
        <f>IF(OR(E567="",E567="!!!"),"",IF(NOT(ISNA(VLOOKUP(E567,E$1:E566,1,FALSE()))),"OLD",IF(AND(E567&lt;&gt;"",E567&lt;&gt;"!!!"),"NEW","")))</f>
        <v/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/>
      </c>
      <c r="H567" s="24" t="str">
        <f t="shared" ca="1" si="47"/>
        <v/>
      </c>
      <c r="I567" s="25" t="str">
        <f>IF(OR(E567="",E567="!!!",F567="NEW"),"",INDEX(B$2:B566,-1+SUMPRODUCT(MAX(ROW(E$2:E566)*(E567=E$2:E566)))))</f>
        <v/>
      </c>
      <c r="J567" s="25" t="str">
        <f ca="1">IF(OR(E567="",E567="!!!",F567="NEW"),"",COUNTBLANK(OFFSET(A$1,,,SUMPRODUCT(MAX(ROW(E$2:E567)*(E567=E$2:E567)))))-COUNTBLANK(OFFSET(A$1,,,SUMPRODUCT(MAX(ROW(E$1:E566)*(E2=E$1:E566))))))</f>
        <v/>
      </c>
      <c r="K567" s="25" t="str">
        <f>IF(OR(E567="",E567="!!!",F567="NEW"),"",INDEX(J$1:J566,SUMPRODUCT(MAX(ROW(E$1:E566)*(E567=E$1:E566)))))</f>
        <v/>
      </c>
      <c r="L567" s="26"/>
    </row>
    <row r="568" spans="1:12" x14ac:dyDescent="0.3">
      <c r="A568" t="s">
        <v>227</v>
      </c>
      <c r="B568" s="20" t="s">
        <v>176</v>
      </c>
      <c r="C568" s="20" t="s">
        <v>206</v>
      </c>
      <c r="D568" s="20" t="s">
        <v>160</v>
      </c>
      <c r="E568" s="21" t="str">
        <f t="shared" si="46"/>
        <v>!!!</v>
      </c>
      <c r="F568" s="22" t="str">
        <f>IF(OR(E568="",E568="!!!"),"",IF(NOT(ISNA(VLOOKUP(E568,E$1:E567,1,FALSE()))),"OLD",IF(AND(E568&lt;&gt;"",E568&lt;&gt;"!!!"),"NEW","")))</f>
        <v/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/>
      </c>
      <c r="H568" s="24" t="str">
        <f t="shared" ca="1" si="47"/>
        <v/>
      </c>
      <c r="I568" s="25" t="str">
        <f>IF(OR(E568="",E568="!!!",F568="NEW"),"",INDEX(B$2:B567,-1+SUMPRODUCT(MAX(ROW(E$2:E567)*(E568=E$2:E567)))))</f>
        <v/>
      </c>
      <c r="J568" s="25" t="str">
        <f ca="1">IF(OR(E568="",E568="!!!",F568="NEW"),"",COUNTBLANK(OFFSET(A$1,,,SUMPRODUCT(MAX(ROW(E$2:E568)*(E568=E$2:E568)))))-COUNTBLANK(OFFSET(A$1,,,SUMPRODUCT(MAX(ROW(E$1:E567)*(E2=E$1:E567))))))</f>
        <v/>
      </c>
      <c r="K568" s="25" t="str">
        <f>IF(OR(E568="",E568="!!!",F568="NEW"),"",INDEX(J$1:J567,SUMPRODUCT(MAX(ROW(E$1:E567)*(E568=E$1:E567)))))</f>
        <v/>
      </c>
      <c r="L568" s="26"/>
    </row>
    <row r="569" spans="1:12" x14ac:dyDescent="0.3">
      <c r="A569" t="s">
        <v>452</v>
      </c>
      <c r="E569" s="21" t="str">
        <f t="shared" si="46"/>
        <v/>
      </c>
      <c r="F569" s="22" t="str">
        <f>IF(OR(E569="",E569="!!!"),"",IF(NOT(ISNA(VLOOKUP(E569,E$1:E568,1,FALSE()))),"OLD",IF(AND(E569&lt;&gt;"",E569&lt;&gt;"!!!"),"NEW","")))</f>
        <v/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/>
      </c>
      <c r="H569" s="24" t="str">
        <f t="shared" ca="1" si="47"/>
        <v/>
      </c>
      <c r="I569" s="25" t="str">
        <f>IF(OR(E569="",E569="!!!",F569="NEW"),"",INDEX(B$2:B568,-1+SUMPRODUCT(MAX(ROW(E$2:E568)*(E569=E$2:E568)))))</f>
        <v/>
      </c>
      <c r="J569" s="25" t="str">
        <f ca="1">IF(OR(E569="",E569="!!!",F569="NEW"),"",COUNTBLANK(OFFSET(A$1,,,SUMPRODUCT(MAX(ROW(E$2:E569)*(E569=E$2:E569)))))-COUNTBLANK(OFFSET(A$1,,,SUMPRODUCT(MAX(ROW(E$1:E568)*(E2=E$1:E568))))))</f>
        <v/>
      </c>
      <c r="K569" s="25" t="str">
        <f>IF(OR(E569="",E569="!!!",F569="NEW"),"",INDEX(J$1:J568,SUMPRODUCT(MAX(ROW(E$1:E568)*(E569=E$1:E568)))))</f>
        <v/>
      </c>
      <c r="L569" s="26"/>
    </row>
    <row r="570" spans="1:12" x14ac:dyDescent="0.3">
      <c r="A570" t="s">
        <v>453</v>
      </c>
      <c r="B570" s="20" t="s">
        <v>183</v>
      </c>
      <c r="C570" s="20" t="s">
        <v>197</v>
      </c>
      <c r="E570" s="21" t="str">
        <f t="shared" si="46"/>
        <v/>
      </c>
      <c r="F570" s="22" t="str">
        <f>IF(OR(E570="",E570="!!!"),"",IF(NOT(ISNA(VLOOKUP(E570,E$1:E569,1,FALSE()))),"OLD",IF(AND(E570&lt;&gt;"",E570&lt;&gt;"!!!"),"NEW","")))</f>
        <v/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/>
      </c>
      <c r="H570" s="24" t="str">
        <f t="shared" ca="1" si="47"/>
        <v/>
      </c>
      <c r="I570" s="25" t="str">
        <f>IF(OR(E570="",E570="!!!",F570="NEW"),"",INDEX(B$2:B569,-1+SUMPRODUCT(MAX(ROW(E$2:E569)*(E570=E$2:E569)))))</f>
        <v/>
      </c>
      <c r="J570" s="25" t="str">
        <f ca="1">IF(OR(E570="",E570="!!!",F570="NEW"),"",COUNTBLANK(OFFSET(A$1,,,SUMPRODUCT(MAX(ROW(E$2:E570)*(E570=E$2:E570)))))-COUNTBLANK(OFFSET(A$1,,,SUMPRODUCT(MAX(ROW(E$1:E569)*(E2=E$1:E569))))))</f>
        <v/>
      </c>
      <c r="K570" s="25" t="str">
        <f>IF(OR(E570="",E570="!!!",F570="NEW"),"",INDEX(J$1:J569,SUMPRODUCT(MAX(ROW(E$1:E569)*(E570=E$1:E569)))))</f>
        <v/>
      </c>
      <c r="L570" s="26"/>
    </row>
    <row r="571" spans="1:12" x14ac:dyDescent="0.3">
      <c r="A571" t="s">
        <v>454</v>
      </c>
      <c r="B571" s="20" t="s">
        <v>172</v>
      </c>
      <c r="C571" s="20" t="s">
        <v>238</v>
      </c>
      <c r="E571" s="21" t="str">
        <f t="shared" si="46"/>
        <v/>
      </c>
      <c r="F571" s="22" t="str">
        <f>IF(OR(E571="",E571="!!!"),"",IF(NOT(ISNA(VLOOKUP(E571,E$1:E570,1,FALSE()))),"OLD",IF(AND(E571&lt;&gt;"",E571&lt;&gt;"!!!"),"NEW","")))</f>
        <v/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/>
      </c>
      <c r="H571" s="24" t="str">
        <f t="shared" ca="1" si="47"/>
        <v/>
      </c>
      <c r="I571" s="25" t="str">
        <f>IF(OR(E571="",E571="!!!",F571="NEW"),"",INDEX(B$2:B570,-1+SUMPRODUCT(MAX(ROW(E$2:E570)*(E571=E$2:E570)))))</f>
        <v/>
      </c>
      <c r="J571" s="25" t="str">
        <f ca="1">IF(OR(E571="",E571="!!!",F571="NEW"),"",COUNTBLANK(OFFSET(A$1,,,SUMPRODUCT(MAX(ROW(E$2:E571)*(E571=E$2:E571)))))-COUNTBLANK(OFFSET(A$1,,,SUMPRODUCT(MAX(ROW(E$1:E570)*(E2=E$1:E570))))))</f>
        <v/>
      </c>
      <c r="K571" s="25" t="str">
        <f>IF(OR(E571="",E571="!!!",F571="NEW"),"",INDEX(J$1:J570,SUMPRODUCT(MAX(ROW(E$1:E570)*(E571=E$1:E570)))))</f>
        <v/>
      </c>
      <c r="L571" s="26"/>
    </row>
    <row r="572" spans="1:12" x14ac:dyDescent="0.3">
      <c r="A572" t="s">
        <v>212</v>
      </c>
      <c r="E572" s="21" t="str">
        <f t="shared" si="46"/>
        <v/>
      </c>
      <c r="F572" s="22" t="str">
        <f>IF(OR(E572="",E572="!!!"),"",IF(NOT(ISNA(VLOOKUP(E572,E$1:E571,1,FALSE()))),"OLD",IF(AND(E572&lt;&gt;"",E572&lt;&gt;"!!!"),"NEW","")))</f>
        <v/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/>
      </c>
      <c r="H572" s="24" t="str">
        <f t="shared" ca="1" si="47"/>
        <v/>
      </c>
      <c r="I572" s="25" t="str">
        <f>IF(OR(E572="",E572="!!!",F572="NEW"),"",INDEX(B$2:B571,-1+SUMPRODUCT(MAX(ROW(E$2:E571)*(E572=E$2:E571)))))</f>
        <v/>
      </c>
      <c r="J572" s="25" t="str">
        <f ca="1">IF(OR(E572="",E572="!!!",F572="NEW"),"",COUNTBLANK(OFFSET(A$1,,,SUMPRODUCT(MAX(ROW(E$2:E572)*(E572=E$2:E572)))))-COUNTBLANK(OFFSET(A$1,,,SUMPRODUCT(MAX(ROW(E$1:E571)*(E2=E$1:E571))))))</f>
        <v/>
      </c>
      <c r="K572" s="25" t="str">
        <f>IF(OR(E572="",E572="!!!",F572="NEW"),"",INDEX(J$1:J571,SUMPRODUCT(MAX(ROW(E$1:E571)*(E572=E$1:E571)))))</f>
        <v/>
      </c>
      <c r="L572" s="26"/>
    </row>
    <row r="574" spans="1:12" x14ac:dyDescent="0.3">
      <c r="A574" t="s">
        <v>455</v>
      </c>
    </row>
    <row r="575" spans="1:12" x14ac:dyDescent="0.3">
      <c r="A575" t="s">
        <v>214</v>
      </c>
      <c r="B575" s="20" t="s">
        <v>187</v>
      </c>
      <c r="C575" s="20" t="s">
        <v>206</v>
      </c>
      <c r="D575" s="20" t="s">
        <v>160</v>
      </c>
      <c r="E575" s="21" t="str">
        <f t="shared" ref="E575:E587" si="48">IF(D575="?OLD","!!!","")</f>
        <v>!!!</v>
      </c>
      <c r="F575" s="22" t="str">
        <f>IF(OR(E575="",E575="!!!"),"",IF(NOT(ISNA(VLOOKUP(E575,E$1:E574,1,FALSE()))),"OLD",IF(AND(E575&lt;&gt;"",E575&lt;&gt;"!!!"),"NEW","")))</f>
        <v/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/>
      </c>
      <c r="H575" s="24" t="str">
        <f t="shared" ref="H575:H587" ca="1" si="49">IF(J575&lt;&gt;1,"",IF(I575="SBJ","CB","?"))</f>
        <v/>
      </c>
      <c r="I575" s="25" t="str">
        <f>IF(OR(E575="",E575="!!!",F575="NEW"),"",INDEX(B$2:B574,-1+SUMPRODUCT(MAX(ROW(E$2:E574)*(E575=E$2:E574)))))</f>
        <v/>
      </c>
      <c r="J575" s="25" t="str">
        <f ca="1">IF(OR(E575="",E575="!!!",F575="NEW"),"",COUNTBLANK(OFFSET(A$1,,,SUMPRODUCT(MAX(ROW(E$2:E575)*(E575=E$2:E575)))))-COUNTBLANK(OFFSET(A$1,,,SUMPRODUCT(MAX(ROW(E$1:E574)*(E2=E$1:E574))))))</f>
        <v/>
      </c>
      <c r="K575" s="25" t="str">
        <f>IF(OR(E575="",E575="!!!",F575="NEW"),"",INDEX(J$1:J574,SUMPRODUCT(MAX(ROW(E$1:E574)*(E575=E$1:E574)))))</f>
        <v/>
      </c>
      <c r="L575" s="26"/>
    </row>
    <row r="576" spans="1:12" x14ac:dyDescent="0.3">
      <c r="A576" t="s">
        <v>456</v>
      </c>
      <c r="E576" s="21" t="str">
        <f t="shared" si="48"/>
        <v/>
      </c>
      <c r="F576" s="22" t="str">
        <f>IF(OR(E576="",E576="!!!"),"",IF(NOT(ISNA(VLOOKUP(E576,E$1:E575,1,FALSE()))),"OLD",IF(AND(E576&lt;&gt;"",E576&lt;&gt;"!!!"),"NEW","")))</f>
        <v/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/>
      </c>
      <c r="H576" s="24" t="str">
        <f t="shared" ca="1" si="49"/>
        <v/>
      </c>
      <c r="I576" s="25" t="str">
        <f>IF(OR(E576="",E576="!!!",F576="NEW"),"",INDEX(B$2:B575,-1+SUMPRODUCT(MAX(ROW(E$2:E575)*(E576=E$2:E575)))))</f>
        <v/>
      </c>
      <c r="J576" s="25" t="str">
        <f ca="1">IF(OR(E576="",E576="!!!",F576="NEW"),"",COUNTBLANK(OFFSET(A$1,,,SUMPRODUCT(MAX(ROW(E$2:E576)*(E576=E$2:E576)))))-COUNTBLANK(OFFSET(A$1,,,SUMPRODUCT(MAX(ROW(E$1:E575)*(E2=E$1:E575))))))</f>
        <v/>
      </c>
      <c r="K576" s="25" t="str">
        <f>IF(OR(E576="",E576="!!!",F576="NEW"),"",INDEX(J$1:J575,SUMPRODUCT(MAX(ROW(E$1:E575)*(E576=E$1:E575)))))</f>
        <v/>
      </c>
      <c r="L576" s="26"/>
    </row>
    <row r="577" spans="1:12" x14ac:dyDescent="0.3">
      <c r="A577" t="s">
        <v>274</v>
      </c>
      <c r="E577" s="21" t="str">
        <f t="shared" si="48"/>
        <v/>
      </c>
      <c r="F577" s="22" t="str">
        <f>IF(OR(E577="",E577="!!!"),"",IF(NOT(ISNA(VLOOKUP(E577,E$1:E576,1,FALSE()))),"OLD",IF(AND(E577&lt;&gt;"",E577&lt;&gt;"!!!"),"NEW","")))</f>
        <v/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/>
      </c>
      <c r="H577" s="24" t="str">
        <f t="shared" ca="1" si="49"/>
        <v/>
      </c>
      <c r="I577" s="25" t="str">
        <f>IF(OR(E577="",E577="!!!",F577="NEW"),"",INDEX(B$2:B576,-1+SUMPRODUCT(MAX(ROW(E$2:E576)*(E577=E$2:E576)))))</f>
        <v/>
      </c>
      <c r="J577" s="25" t="str">
        <f ca="1">IF(OR(E577="",E577="!!!",F577="NEW"),"",COUNTBLANK(OFFSET(A$1,,,SUMPRODUCT(MAX(ROW(E$2:E577)*(E577=E$2:E577)))))-COUNTBLANK(OFFSET(A$1,,,SUMPRODUCT(MAX(ROW(E$1:E576)*(E2=E$1:E576))))))</f>
        <v/>
      </c>
      <c r="K577" s="25" t="str">
        <f>IF(OR(E577="",E577="!!!",F577="NEW"),"",INDEX(J$1:J576,SUMPRODUCT(MAX(ROW(E$1:E576)*(E577=E$1:E576)))))</f>
        <v/>
      </c>
      <c r="L577" s="26"/>
    </row>
    <row r="578" spans="1:12" x14ac:dyDescent="0.3">
      <c r="A578" t="s">
        <v>185</v>
      </c>
      <c r="E578" s="21" t="str">
        <f t="shared" si="48"/>
        <v/>
      </c>
      <c r="F578" s="22" t="str">
        <f>IF(OR(E578="",E578="!!!"),"",IF(NOT(ISNA(VLOOKUP(E578,E$1:E577,1,FALSE()))),"OLD",IF(AND(E578&lt;&gt;"",E578&lt;&gt;"!!!"),"NEW","")))</f>
        <v/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/>
      </c>
      <c r="H578" s="24" t="str">
        <f t="shared" ca="1" si="49"/>
        <v/>
      </c>
      <c r="I578" s="25" t="str">
        <f>IF(OR(E578="",E578="!!!",F578="NEW"),"",INDEX(B$2:B577,-1+SUMPRODUCT(MAX(ROW(E$2:E577)*(E578=E$2:E577)))))</f>
        <v/>
      </c>
      <c r="J578" s="25" t="str">
        <f ca="1">IF(OR(E578="",E578="!!!",F578="NEW"),"",COUNTBLANK(OFFSET(A$1,,,SUMPRODUCT(MAX(ROW(E$2:E578)*(E578=E$2:E578)))))-COUNTBLANK(OFFSET(A$1,,,SUMPRODUCT(MAX(ROW(E$1:E577)*(E2=E$1:E577))))))</f>
        <v/>
      </c>
      <c r="K578" s="25" t="str">
        <f>IF(OR(E578="",E578="!!!",F578="NEW"),"",INDEX(J$1:J577,SUMPRODUCT(MAX(ROW(E$1:E577)*(E578=E$1:E577)))))</f>
        <v/>
      </c>
      <c r="L578" s="26"/>
    </row>
    <row r="579" spans="1:12" x14ac:dyDescent="0.3">
      <c r="A579" t="s">
        <v>457</v>
      </c>
      <c r="B579" s="20" t="s">
        <v>176</v>
      </c>
      <c r="C579" s="20" t="s">
        <v>177</v>
      </c>
      <c r="D579" s="20" t="s">
        <v>160</v>
      </c>
      <c r="E579" s="21" t="str">
        <f t="shared" si="48"/>
        <v>!!!</v>
      </c>
      <c r="F579" s="22" t="str">
        <f>IF(OR(E579="",E579="!!!"),"",IF(NOT(ISNA(VLOOKUP(E579,E$1:E578,1,FALSE()))),"OLD",IF(AND(E579&lt;&gt;"",E579&lt;&gt;"!!!"),"NEW","")))</f>
        <v/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/>
      </c>
      <c r="H579" s="24" t="str">
        <f t="shared" ca="1" si="49"/>
        <v/>
      </c>
      <c r="I579" s="25" t="str">
        <f>IF(OR(E579="",E579="!!!",F579="NEW"),"",INDEX(B$2:B578,-1+SUMPRODUCT(MAX(ROW(E$2:E578)*(E579=E$2:E578)))))</f>
        <v/>
      </c>
      <c r="J579" s="25" t="str">
        <f ca="1">IF(OR(E579="",E579="!!!",F579="NEW"),"",COUNTBLANK(OFFSET(A$1,,,SUMPRODUCT(MAX(ROW(E$2:E579)*(E579=E$2:E579)))))-COUNTBLANK(OFFSET(A$1,,,SUMPRODUCT(MAX(ROW(E$1:E578)*(E2=E$1:E578))))))</f>
        <v/>
      </c>
      <c r="K579" s="25" t="str">
        <f>IF(OR(E579="",E579="!!!",F579="NEW"),"",INDEX(J$1:J578,SUMPRODUCT(MAX(ROW(E$1:E578)*(E579=E$1:E578)))))</f>
        <v/>
      </c>
      <c r="L579" s="26"/>
    </row>
    <row r="580" spans="1:12" x14ac:dyDescent="0.3">
      <c r="A580" t="s">
        <v>274</v>
      </c>
      <c r="E580" s="21" t="str">
        <f t="shared" si="48"/>
        <v/>
      </c>
      <c r="F580" s="22" t="str">
        <f>IF(OR(E580="",E580="!!!"),"",IF(NOT(ISNA(VLOOKUP(E580,E$1:E579,1,FALSE()))),"OLD",IF(AND(E580&lt;&gt;"",E580&lt;&gt;"!!!"),"NEW","")))</f>
        <v/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/>
      </c>
      <c r="H580" s="24" t="str">
        <f t="shared" ca="1" si="49"/>
        <v/>
      </c>
      <c r="I580" s="25" t="str">
        <f>IF(OR(E580="",E580="!!!",F580="NEW"),"",INDEX(B$2:B579,-1+SUMPRODUCT(MAX(ROW(E$2:E579)*(E580=E$2:E579)))))</f>
        <v/>
      </c>
      <c r="J580" s="25" t="str">
        <f ca="1">IF(OR(E580="",E580="!!!",F580="NEW"),"",COUNTBLANK(OFFSET(A$1,,,SUMPRODUCT(MAX(ROW(E$2:E580)*(E580=E$2:E580)))))-COUNTBLANK(OFFSET(A$1,,,SUMPRODUCT(MAX(ROW(E$1:E579)*(E2=E$1:E579))))))</f>
        <v/>
      </c>
      <c r="K580" s="25" t="str">
        <f>IF(OR(E580="",E580="!!!",F580="NEW"),"",INDEX(J$1:J579,SUMPRODUCT(MAX(ROW(E$1:E579)*(E580=E$1:E579)))))</f>
        <v/>
      </c>
      <c r="L580" s="26"/>
    </row>
    <row r="581" spans="1:12" x14ac:dyDescent="0.3">
      <c r="A581" t="s">
        <v>279</v>
      </c>
      <c r="E581" s="21" t="str">
        <f t="shared" si="48"/>
        <v/>
      </c>
      <c r="F581" s="22" t="str">
        <f>IF(OR(E581="",E581="!!!"),"",IF(NOT(ISNA(VLOOKUP(E581,E$1:E580,1,FALSE()))),"OLD",IF(AND(E581&lt;&gt;"",E581&lt;&gt;"!!!"),"NEW","")))</f>
        <v/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/>
      </c>
      <c r="H581" s="24" t="str">
        <f t="shared" ca="1" si="49"/>
        <v/>
      </c>
      <c r="I581" s="25" t="str">
        <f>IF(OR(E581="",E581="!!!",F581="NEW"),"",INDEX(B$2:B580,-1+SUMPRODUCT(MAX(ROW(E$2:E580)*(E581=E$2:E580)))))</f>
        <v/>
      </c>
      <c r="J581" s="25" t="str">
        <f ca="1">IF(OR(E581="",E581="!!!",F581="NEW"),"",COUNTBLANK(OFFSET(A$1,,,SUMPRODUCT(MAX(ROW(E$2:E581)*(E581=E$2:E581)))))-COUNTBLANK(OFFSET(A$1,,,SUMPRODUCT(MAX(ROW(E$1:E580)*(E2=E$1:E580))))))</f>
        <v/>
      </c>
      <c r="K581" s="25" t="str">
        <f>IF(OR(E581="",E581="!!!",F581="NEW"),"",INDEX(J$1:J580,SUMPRODUCT(MAX(ROW(E$1:E580)*(E581=E$1:E580)))))</f>
        <v/>
      </c>
      <c r="L581" s="26"/>
    </row>
    <row r="582" spans="1:12" x14ac:dyDescent="0.3">
      <c r="A582" t="s">
        <v>458</v>
      </c>
      <c r="B582" s="20" t="s">
        <v>172</v>
      </c>
      <c r="C582" s="20" t="s">
        <v>181</v>
      </c>
      <c r="D582" s="20" t="s">
        <v>160</v>
      </c>
      <c r="E582" s="21" t="str">
        <f t="shared" si="48"/>
        <v>!!!</v>
      </c>
      <c r="F582" s="22" t="str">
        <f>IF(OR(E582="",E582="!!!"),"",IF(NOT(ISNA(VLOOKUP(E582,E$1:E581,1,FALSE()))),"OLD",IF(AND(E582&lt;&gt;"",E582&lt;&gt;"!!!"),"NEW","")))</f>
        <v/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/>
      </c>
      <c r="H582" s="24" t="str">
        <f t="shared" ca="1" si="49"/>
        <v/>
      </c>
      <c r="I582" s="25" t="str">
        <f>IF(OR(E582="",E582="!!!",F582="NEW"),"",INDEX(B$2:B581,-1+SUMPRODUCT(MAX(ROW(E$2:E581)*(E582=E$2:E581)))))</f>
        <v/>
      </c>
      <c r="J582" s="25" t="str">
        <f ca="1">IF(OR(E582="",E582="!!!",F582="NEW"),"",COUNTBLANK(OFFSET(A$1,,,SUMPRODUCT(MAX(ROW(E$2:E582)*(E582=E$2:E582)))))-COUNTBLANK(OFFSET(A$1,,,SUMPRODUCT(MAX(ROW(E$1:E581)*(E2=E$1:E581))))))</f>
        <v/>
      </c>
      <c r="K582" s="25" t="str">
        <f>IF(OR(E582="",E582="!!!",F582="NEW"),"",INDEX(J$1:J581,SUMPRODUCT(MAX(ROW(E$1:E581)*(E582=E$1:E581)))))</f>
        <v/>
      </c>
      <c r="L582" s="26"/>
    </row>
    <row r="583" spans="1:12" x14ac:dyDescent="0.3">
      <c r="A583" t="s">
        <v>182</v>
      </c>
      <c r="E583" s="21" t="str">
        <f t="shared" si="48"/>
        <v/>
      </c>
      <c r="F583" s="22" t="str">
        <f>IF(OR(E583="",E583="!!!"),"",IF(NOT(ISNA(VLOOKUP(E583,E$1:E582,1,FALSE()))),"OLD",IF(AND(E583&lt;&gt;"",E583&lt;&gt;"!!!"),"NEW","")))</f>
        <v/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/>
      </c>
      <c r="H583" s="24" t="str">
        <f t="shared" ca="1" si="49"/>
        <v/>
      </c>
      <c r="I583" s="25" t="str">
        <f>IF(OR(E583="",E583="!!!",F583="NEW"),"",INDEX(B$2:B582,-1+SUMPRODUCT(MAX(ROW(E$2:E582)*(E583=E$2:E582)))))</f>
        <v/>
      </c>
      <c r="J583" s="25" t="str">
        <f ca="1">IF(OR(E583="",E583="!!!",F583="NEW"),"",COUNTBLANK(OFFSET(A$1,,,SUMPRODUCT(MAX(ROW(E$2:E583)*(E583=E$2:E583)))))-COUNTBLANK(OFFSET(A$1,,,SUMPRODUCT(MAX(ROW(E$1:E582)*(E2=E$1:E582))))))</f>
        <v/>
      </c>
      <c r="K583" s="25" t="str">
        <f>IF(OR(E583="",E583="!!!",F583="NEW"),"",INDEX(J$1:J582,SUMPRODUCT(MAX(ROW(E$1:E582)*(E583=E$1:E582)))))</f>
        <v/>
      </c>
      <c r="L583" s="26"/>
    </row>
    <row r="584" spans="1:12" x14ac:dyDescent="0.3">
      <c r="A584" t="s">
        <v>386</v>
      </c>
      <c r="B584" s="20" t="s">
        <v>183</v>
      </c>
      <c r="C584" s="20" t="s">
        <v>159</v>
      </c>
      <c r="D584" s="20" t="s">
        <v>160</v>
      </c>
      <c r="E584" s="21" t="str">
        <f t="shared" si="48"/>
        <v>!!!</v>
      </c>
      <c r="F584" s="22" t="str">
        <f>IF(OR(E584="",E584="!!!"),"",IF(NOT(ISNA(VLOOKUP(E584,E$1:E583,1,FALSE()))),"OLD",IF(AND(E584&lt;&gt;"",E584&lt;&gt;"!!!"),"NEW","")))</f>
        <v/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/>
      </c>
      <c r="H584" s="24" t="str">
        <f t="shared" ca="1" si="49"/>
        <v/>
      </c>
      <c r="I584" s="25" t="str">
        <f>IF(OR(E584="",E584="!!!",F584="NEW"),"",INDEX(B$2:B583,-1+SUMPRODUCT(MAX(ROW(E$2:E583)*(E584=E$2:E583)))))</f>
        <v/>
      </c>
      <c r="J584" s="25" t="str">
        <f ca="1">IF(OR(E584="",E584="!!!",F584="NEW"),"",COUNTBLANK(OFFSET(A$1,,,SUMPRODUCT(MAX(ROW(E$2:E584)*(E584=E$2:E584)))))-COUNTBLANK(OFFSET(A$1,,,SUMPRODUCT(MAX(ROW(E$1:E583)*(E2=E$1:E583))))))</f>
        <v/>
      </c>
      <c r="K584" s="25" t="str">
        <f>IF(OR(E584="",E584="!!!",F584="NEW"),"",INDEX(J$1:J583,SUMPRODUCT(MAX(ROW(E$1:E583)*(E584=E$1:E583)))))</f>
        <v/>
      </c>
      <c r="L584" s="26"/>
    </row>
    <row r="585" spans="1:12" x14ac:dyDescent="0.3">
      <c r="A585" t="s">
        <v>387</v>
      </c>
      <c r="E585" s="21" t="str">
        <f t="shared" si="48"/>
        <v/>
      </c>
      <c r="F585" s="22" t="str">
        <f>IF(OR(E585="",E585="!!!"),"",IF(NOT(ISNA(VLOOKUP(E585,E$1:E584,1,FALSE()))),"OLD",IF(AND(E585&lt;&gt;"",E585&lt;&gt;"!!!"),"NEW","")))</f>
        <v/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/>
      </c>
      <c r="H585" s="24" t="str">
        <f t="shared" ca="1" si="49"/>
        <v/>
      </c>
      <c r="I585" s="25" t="str">
        <f>IF(OR(E585="",E585="!!!",F585="NEW"),"",INDEX(B$2:B584,-1+SUMPRODUCT(MAX(ROW(E$2:E584)*(E585=E$2:E584)))))</f>
        <v/>
      </c>
      <c r="J585" s="25" t="str">
        <f ca="1">IF(OR(E585="",E585="!!!",F585="NEW"),"",COUNTBLANK(OFFSET(A$1,,,SUMPRODUCT(MAX(ROW(E$2:E585)*(E585=E$2:E585)))))-COUNTBLANK(OFFSET(A$1,,,SUMPRODUCT(MAX(ROW(E$1:E584)*(E2=E$1:E584))))))</f>
        <v/>
      </c>
      <c r="K585" s="25" t="str">
        <f>IF(OR(E585="",E585="!!!",F585="NEW"),"",INDEX(J$1:J584,SUMPRODUCT(MAX(ROW(E$1:E584)*(E585=E$1:E584)))))</f>
        <v/>
      </c>
      <c r="L585" s="26"/>
    </row>
    <row r="586" spans="1:12" x14ac:dyDescent="0.3">
      <c r="A586" t="s">
        <v>391</v>
      </c>
      <c r="E586" s="21" t="str">
        <f t="shared" si="48"/>
        <v/>
      </c>
      <c r="F586" s="22" t="str">
        <f>IF(OR(E586="",E586="!!!"),"",IF(NOT(ISNA(VLOOKUP(E586,E$1:E585,1,FALSE()))),"OLD",IF(AND(E586&lt;&gt;"",E586&lt;&gt;"!!!"),"NEW","")))</f>
        <v/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/>
      </c>
      <c r="H586" s="24" t="str">
        <f t="shared" ca="1" si="49"/>
        <v/>
      </c>
      <c r="I586" s="25" t="str">
        <f>IF(OR(E586="",E586="!!!",F586="NEW"),"",INDEX(B$2:B585,-1+SUMPRODUCT(MAX(ROW(E$2:E585)*(E586=E$2:E585)))))</f>
        <v/>
      </c>
      <c r="J586" s="25" t="str">
        <f ca="1">IF(OR(E586="",E586="!!!",F586="NEW"),"",COUNTBLANK(OFFSET(A$1,,,SUMPRODUCT(MAX(ROW(E$2:E586)*(E586=E$2:E586)))))-COUNTBLANK(OFFSET(A$1,,,SUMPRODUCT(MAX(ROW(E$1:E585)*(E2=E$1:E585))))))</f>
        <v/>
      </c>
      <c r="K586" s="25" t="str">
        <f>IF(OR(E586="",E586="!!!",F586="NEW"),"",INDEX(J$1:J585,SUMPRODUCT(MAX(ROW(E$1:E585)*(E586=E$1:E585)))))</f>
        <v/>
      </c>
      <c r="L586" s="26"/>
    </row>
    <row r="587" spans="1:12" x14ac:dyDescent="0.3">
      <c r="A587" t="s">
        <v>212</v>
      </c>
      <c r="E587" s="21" t="str">
        <f t="shared" si="48"/>
        <v/>
      </c>
      <c r="F587" s="22" t="str">
        <f>IF(OR(E587="",E587="!!!"),"",IF(NOT(ISNA(VLOOKUP(E587,E$1:E586,1,FALSE()))),"OLD",IF(AND(E587&lt;&gt;"",E587&lt;&gt;"!!!"),"NEW","")))</f>
        <v/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/>
      </c>
      <c r="H587" s="24" t="str">
        <f t="shared" ca="1" si="49"/>
        <v/>
      </c>
      <c r="I587" s="25" t="str">
        <f>IF(OR(E587="",E587="!!!",F587="NEW"),"",INDEX(B$2:B586,-1+SUMPRODUCT(MAX(ROW(E$2:E586)*(E587=E$2:E586)))))</f>
        <v/>
      </c>
      <c r="J587" s="25" t="str">
        <f ca="1">IF(OR(E587="",E587="!!!",F587="NEW"),"",COUNTBLANK(OFFSET(A$1,,,SUMPRODUCT(MAX(ROW(E$2:E587)*(E587=E$2:E587)))))-COUNTBLANK(OFFSET(A$1,,,SUMPRODUCT(MAX(ROW(E$1:E586)*(E2=E$1:E586))))))</f>
        <v/>
      </c>
      <c r="K587" s="25" t="str">
        <f>IF(OR(E587="",E587="!!!",F587="NEW"),"",INDEX(J$1:J586,SUMPRODUCT(MAX(ROW(E$1:E586)*(E587=E$1:E586)))))</f>
        <v/>
      </c>
      <c r="L587" s="26"/>
    </row>
    <row r="589" spans="1:12" x14ac:dyDescent="0.3">
      <c r="A589" t="s">
        <v>459</v>
      </c>
    </row>
    <row r="590" spans="1:12" x14ac:dyDescent="0.3">
      <c r="A590" t="s">
        <v>271</v>
      </c>
      <c r="B590" s="20" t="s">
        <v>187</v>
      </c>
      <c r="C590" s="20" t="s">
        <v>206</v>
      </c>
      <c r="D590" s="20" t="s">
        <v>160</v>
      </c>
      <c r="E590" s="21" t="str">
        <f t="shared" ref="E590:E605" si="50">IF(D590="?OLD","!!!","")</f>
        <v>!!!</v>
      </c>
      <c r="F590" s="22" t="str">
        <f>IF(OR(E590="",E590="!!!"),"",IF(NOT(ISNA(VLOOKUP(E590,E$1:E589,1,FALSE()))),"OLD",IF(AND(E590&lt;&gt;"",E590&lt;&gt;"!!!"),"NEW","")))</f>
        <v/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/>
      </c>
      <c r="H590" s="24" t="str">
        <f t="shared" ref="H590:H605" ca="1" si="51">IF(J590&lt;&gt;1,"",IF(I590="SBJ","CB","?"))</f>
        <v/>
      </c>
      <c r="I590" s="25" t="str">
        <f>IF(OR(E590="",E590="!!!",F590="NEW"),"",INDEX(B$2:B589,-1+SUMPRODUCT(MAX(ROW(E$2:E589)*(E590=E$2:E589)))))</f>
        <v/>
      </c>
      <c r="J590" s="25" t="str">
        <f ca="1">IF(OR(E590="",E590="!!!",F590="NEW"),"",COUNTBLANK(OFFSET(A$1,,,SUMPRODUCT(MAX(ROW(E$2:E590)*(E590=E$2:E590)))))-COUNTBLANK(OFFSET(A$1,,,SUMPRODUCT(MAX(ROW(E$1:E589)*(E2=E$1:E589))))))</f>
        <v/>
      </c>
      <c r="K590" s="25" t="str">
        <f>IF(OR(E590="",E590="!!!",F590="NEW"),"",INDEX(J$1:J589,SUMPRODUCT(MAX(ROW(E$1:E589)*(E590=E$1:E589)))))</f>
        <v/>
      </c>
      <c r="L590" s="26"/>
    </row>
    <row r="591" spans="1:12" x14ac:dyDescent="0.3">
      <c r="A591" t="s">
        <v>460</v>
      </c>
      <c r="E591" s="21" t="str">
        <f t="shared" si="50"/>
        <v/>
      </c>
      <c r="F591" s="22" t="str">
        <f>IF(OR(E591="",E591="!!!"),"",IF(NOT(ISNA(VLOOKUP(E591,E$1:E590,1,FALSE()))),"OLD",IF(AND(E591&lt;&gt;"",E591&lt;&gt;"!!!"),"NEW","")))</f>
        <v/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/>
      </c>
      <c r="H591" s="24" t="str">
        <f t="shared" ca="1" si="51"/>
        <v/>
      </c>
      <c r="I591" s="25" t="str">
        <f>IF(OR(E591="",E591="!!!",F591="NEW"),"",INDEX(B$2:B590,-1+SUMPRODUCT(MAX(ROW(E$2:E590)*(E591=E$2:E590)))))</f>
        <v/>
      </c>
      <c r="J591" s="25" t="str">
        <f ca="1">IF(OR(E591="",E591="!!!",F591="NEW"),"",COUNTBLANK(OFFSET(A$1,,,SUMPRODUCT(MAX(ROW(E$2:E591)*(E591=E$2:E591)))))-COUNTBLANK(OFFSET(A$1,,,SUMPRODUCT(MAX(ROW(E$1:E590)*(E2=E$1:E590))))))</f>
        <v/>
      </c>
      <c r="K591" s="25" t="str">
        <f>IF(OR(E591="",E591="!!!",F591="NEW"),"",INDEX(J$1:J590,SUMPRODUCT(MAX(ROW(E$1:E590)*(E591=E$1:E590)))))</f>
        <v/>
      </c>
      <c r="L591" s="26"/>
    </row>
    <row r="592" spans="1:12" x14ac:dyDescent="0.3">
      <c r="A592" t="s">
        <v>185</v>
      </c>
      <c r="E592" s="21" t="str">
        <f t="shared" si="50"/>
        <v/>
      </c>
      <c r="F592" s="22" t="str">
        <f>IF(OR(E592="",E592="!!!"),"",IF(NOT(ISNA(VLOOKUP(E592,E$1:E591,1,FALSE()))),"OLD",IF(AND(E592&lt;&gt;"",E592&lt;&gt;"!!!"),"NEW","")))</f>
        <v/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/>
      </c>
      <c r="H592" s="24" t="str">
        <f t="shared" ca="1" si="51"/>
        <v/>
      </c>
      <c r="I592" s="25" t="str">
        <f>IF(OR(E592="",E592="!!!",F592="NEW"),"",INDEX(B$2:B591,-1+SUMPRODUCT(MAX(ROW(E$2:E591)*(E592=E$2:E591)))))</f>
        <v/>
      </c>
      <c r="J592" s="25" t="str">
        <f ca="1">IF(OR(E592="",E592="!!!",F592="NEW"),"",COUNTBLANK(OFFSET(A$1,,,SUMPRODUCT(MAX(ROW(E$2:E592)*(E592=E$2:E592)))))-COUNTBLANK(OFFSET(A$1,,,SUMPRODUCT(MAX(ROW(E$1:E591)*(E2=E$1:E591))))))</f>
        <v/>
      </c>
      <c r="K592" s="25" t="str">
        <f>IF(OR(E592="",E592="!!!",F592="NEW"),"",INDEX(J$1:J591,SUMPRODUCT(MAX(ROW(E$1:E591)*(E592=E$1:E591)))))</f>
        <v/>
      </c>
      <c r="L592" s="26"/>
    </row>
    <row r="593" spans="1:12" x14ac:dyDescent="0.3">
      <c r="A593" t="s">
        <v>334</v>
      </c>
      <c r="B593" s="20" t="s">
        <v>176</v>
      </c>
      <c r="C593" s="20" t="s">
        <v>177</v>
      </c>
      <c r="D593" s="20" t="s">
        <v>160</v>
      </c>
      <c r="E593" s="21" t="str">
        <f t="shared" si="50"/>
        <v>!!!</v>
      </c>
      <c r="F593" s="22" t="str">
        <f>IF(OR(E593="",E593="!!!"),"",IF(NOT(ISNA(VLOOKUP(E593,E$1:E592,1,FALSE()))),"OLD",IF(AND(E593&lt;&gt;"",E593&lt;&gt;"!!!"),"NEW","")))</f>
        <v/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/>
      </c>
      <c r="H593" s="24" t="str">
        <f t="shared" ca="1" si="51"/>
        <v/>
      </c>
      <c r="I593" s="25" t="str">
        <f>IF(OR(E593="",E593="!!!",F593="NEW"),"",INDEX(B$2:B592,-1+SUMPRODUCT(MAX(ROW(E$2:E592)*(E593=E$2:E592)))))</f>
        <v/>
      </c>
      <c r="J593" s="25" t="str">
        <f ca="1">IF(OR(E593="",E593="!!!",F593="NEW"),"",COUNTBLANK(OFFSET(A$1,,,SUMPRODUCT(MAX(ROW(E$2:E593)*(E593=E$2:E593)))))-COUNTBLANK(OFFSET(A$1,,,SUMPRODUCT(MAX(ROW(E$1:E592)*(E2=E$1:E592))))))</f>
        <v/>
      </c>
      <c r="K593" s="25" t="str">
        <f>IF(OR(E593="",E593="!!!",F593="NEW"),"",INDEX(J$1:J592,SUMPRODUCT(MAX(ROW(E$1:E592)*(E593=E$1:E592)))))</f>
        <v/>
      </c>
      <c r="L593" s="26"/>
    </row>
    <row r="594" spans="1:12" x14ac:dyDescent="0.3">
      <c r="A594" t="s">
        <v>251</v>
      </c>
      <c r="E594" s="21" t="str">
        <f t="shared" si="50"/>
        <v/>
      </c>
      <c r="F594" s="22" t="str">
        <f>IF(OR(E594="",E594="!!!"),"",IF(NOT(ISNA(VLOOKUP(E594,E$1:E593,1,FALSE()))),"OLD",IF(AND(E594&lt;&gt;"",E594&lt;&gt;"!!!"),"NEW","")))</f>
        <v/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/>
      </c>
      <c r="H594" s="24" t="str">
        <f t="shared" ca="1" si="51"/>
        <v/>
      </c>
      <c r="I594" s="25" t="str">
        <f>IF(OR(E594="",E594="!!!",F594="NEW"),"",INDEX(B$2:B593,-1+SUMPRODUCT(MAX(ROW(E$2:E593)*(E594=E$2:E593)))))</f>
        <v/>
      </c>
      <c r="J594" s="25" t="str">
        <f ca="1">IF(OR(E594="",E594="!!!",F594="NEW"),"",COUNTBLANK(OFFSET(A$1,,,SUMPRODUCT(MAX(ROW(E$2:E594)*(E594=E$2:E594)))))-COUNTBLANK(OFFSET(A$1,,,SUMPRODUCT(MAX(ROW(E$1:E593)*(E2=E$1:E593))))))</f>
        <v/>
      </c>
      <c r="K594" s="25" t="str">
        <f>IF(OR(E594="",E594="!!!",F594="NEW"),"",INDEX(J$1:J593,SUMPRODUCT(MAX(ROW(E$1:E593)*(E594=E$1:E593)))))</f>
        <v/>
      </c>
      <c r="L594" s="26"/>
    </row>
    <row r="595" spans="1:12" x14ac:dyDescent="0.3">
      <c r="A595" t="s">
        <v>461</v>
      </c>
      <c r="E595" s="21" t="str">
        <f t="shared" si="50"/>
        <v/>
      </c>
      <c r="F595" s="22" t="str">
        <f>IF(OR(E595="",E595="!!!"),"",IF(NOT(ISNA(VLOOKUP(E595,E$1:E594,1,FALSE()))),"OLD",IF(AND(E595&lt;&gt;"",E595&lt;&gt;"!!!"),"NEW","")))</f>
        <v/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/>
      </c>
      <c r="H595" s="24" t="str">
        <f t="shared" ca="1" si="51"/>
        <v/>
      </c>
      <c r="I595" s="25" t="str">
        <f>IF(OR(E595="",E595="!!!",F595="NEW"),"",INDEX(B$2:B594,-1+SUMPRODUCT(MAX(ROW(E$2:E594)*(E595=E$2:E594)))))</f>
        <v/>
      </c>
      <c r="J595" s="25" t="str">
        <f ca="1">IF(OR(E595="",E595="!!!",F595="NEW"),"",COUNTBLANK(OFFSET(A$1,,,SUMPRODUCT(MAX(ROW(E$2:E595)*(E595=E$2:E595)))))-COUNTBLANK(OFFSET(A$1,,,SUMPRODUCT(MAX(ROW(E$1:E594)*(E2=E$1:E594))))))</f>
        <v/>
      </c>
      <c r="K595" s="25" t="str">
        <f>IF(OR(E595="",E595="!!!",F595="NEW"),"",INDEX(J$1:J594,SUMPRODUCT(MAX(ROW(E$1:E594)*(E595=E$1:E594)))))</f>
        <v/>
      </c>
      <c r="L595" s="26"/>
    </row>
    <row r="596" spans="1:12" x14ac:dyDescent="0.3">
      <c r="A596" t="s">
        <v>185</v>
      </c>
      <c r="E596" s="21" t="str">
        <f t="shared" si="50"/>
        <v/>
      </c>
      <c r="F596" s="22" t="str">
        <f>IF(OR(E596="",E596="!!!"),"",IF(NOT(ISNA(VLOOKUP(E596,E$1:E595,1,FALSE()))),"OLD",IF(AND(E596&lt;&gt;"",E596&lt;&gt;"!!!"),"NEW","")))</f>
        <v/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/>
      </c>
      <c r="H596" s="24" t="str">
        <f t="shared" ca="1" si="51"/>
        <v/>
      </c>
      <c r="I596" s="25" t="str">
        <f>IF(OR(E596="",E596="!!!",F596="NEW"),"",INDEX(B$2:B595,-1+SUMPRODUCT(MAX(ROW(E$2:E595)*(E596=E$2:E595)))))</f>
        <v/>
      </c>
      <c r="J596" s="25" t="str">
        <f ca="1">IF(OR(E596="",E596="!!!",F596="NEW"),"",COUNTBLANK(OFFSET(A$1,,,SUMPRODUCT(MAX(ROW(E$2:E596)*(E596=E$2:E596)))))-COUNTBLANK(OFFSET(A$1,,,SUMPRODUCT(MAX(ROW(E$1:E595)*(E2=E$1:E595))))))</f>
        <v/>
      </c>
      <c r="K596" s="25" t="str">
        <f>IF(OR(E596="",E596="!!!",F596="NEW"),"",INDEX(J$1:J595,SUMPRODUCT(MAX(ROW(E$1:E595)*(E596=E$1:E595)))))</f>
        <v/>
      </c>
      <c r="L596" s="26"/>
    </row>
    <row r="597" spans="1:12" x14ac:dyDescent="0.3">
      <c r="A597" t="s">
        <v>355</v>
      </c>
      <c r="B597" s="20" t="s">
        <v>261</v>
      </c>
      <c r="E597" s="21" t="str">
        <f t="shared" si="50"/>
        <v/>
      </c>
      <c r="F597" s="22" t="str">
        <f>IF(OR(E597="",E597="!!!"),"",IF(NOT(ISNA(VLOOKUP(E597,E$1:E596,1,FALSE()))),"OLD",IF(AND(E597&lt;&gt;"",E597&lt;&gt;"!!!"),"NEW","")))</f>
        <v/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/>
      </c>
      <c r="H597" s="24" t="str">
        <f t="shared" ca="1" si="51"/>
        <v/>
      </c>
      <c r="I597" s="25" t="str">
        <f>IF(OR(E597="",E597="!!!",F597="NEW"),"",INDEX(B$2:B596,-1+SUMPRODUCT(MAX(ROW(E$2:E596)*(E597=E$2:E596)))))</f>
        <v/>
      </c>
      <c r="J597" s="25" t="str">
        <f ca="1">IF(OR(E597="",E597="!!!",F597="NEW"),"",COUNTBLANK(OFFSET(A$1,,,SUMPRODUCT(MAX(ROW(E$2:E597)*(E597=E$2:E597)))))-COUNTBLANK(OFFSET(A$1,,,SUMPRODUCT(MAX(ROW(E$1:E596)*(E2=E$1:E596))))))</f>
        <v/>
      </c>
      <c r="K597" s="25" t="str">
        <f>IF(OR(E597="",E597="!!!",F597="NEW"),"",INDEX(J$1:J596,SUMPRODUCT(MAX(ROW(E$1:E596)*(E597=E$1:E596)))))</f>
        <v/>
      </c>
      <c r="L597" s="26"/>
    </row>
    <row r="598" spans="1:12" x14ac:dyDescent="0.3">
      <c r="A598" t="s">
        <v>462</v>
      </c>
      <c r="E598" s="21" t="str">
        <f t="shared" si="50"/>
        <v/>
      </c>
      <c r="F598" s="22" t="str">
        <f>IF(OR(E598="",E598="!!!"),"",IF(NOT(ISNA(VLOOKUP(E598,E$1:E597,1,FALSE()))),"OLD",IF(AND(E598&lt;&gt;"",E598&lt;&gt;"!!!"),"NEW","")))</f>
        <v/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/>
      </c>
      <c r="H598" s="24" t="str">
        <f t="shared" ca="1" si="51"/>
        <v/>
      </c>
      <c r="I598" s="25" t="str">
        <f>IF(OR(E598="",E598="!!!",F598="NEW"),"",INDEX(B$2:B597,-1+SUMPRODUCT(MAX(ROW(E$2:E597)*(E598=E$2:E597)))))</f>
        <v/>
      </c>
      <c r="J598" s="25" t="str">
        <f ca="1">IF(OR(E598="",E598="!!!",F598="NEW"),"",COUNTBLANK(OFFSET(A$1,,,SUMPRODUCT(MAX(ROW(E$2:E598)*(E598=E$2:E598)))))-COUNTBLANK(OFFSET(A$1,,,SUMPRODUCT(MAX(ROW(E$1:E597)*(E2=E$1:E597))))))</f>
        <v/>
      </c>
      <c r="K598" s="25" t="str">
        <f>IF(OR(E598="",E598="!!!",F598="NEW"),"",INDEX(J$1:J597,SUMPRODUCT(MAX(ROW(E$1:E597)*(E598=E$1:E597)))))</f>
        <v/>
      </c>
      <c r="L598" s="26"/>
    </row>
    <row r="599" spans="1:12" x14ac:dyDescent="0.3">
      <c r="A599" t="s">
        <v>185</v>
      </c>
      <c r="E599" s="21" t="str">
        <f t="shared" si="50"/>
        <v/>
      </c>
      <c r="F599" s="22" t="str">
        <f>IF(OR(E599="",E599="!!!"),"",IF(NOT(ISNA(VLOOKUP(E599,E$1:E598,1,FALSE()))),"OLD",IF(AND(E599&lt;&gt;"",E599&lt;&gt;"!!!"),"NEW","")))</f>
        <v/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/>
      </c>
      <c r="H599" s="24" t="str">
        <f t="shared" ca="1" si="51"/>
        <v/>
      </c>
      <c r="I599" s="25" t="str">
        <f>IF(OR(E599="",E599="!!!",F599="NEW"),"",INDEX(B$2:B598,-1+SUMPRODUCT(MAX(ROW(E$2:E598)*(E599=E$2:E598)))))</f>
        <v/>
      </c>
      <c r="J599" s="25" t="str">
        <f ca="1">IF(OR(E599="",E599="!!!",F599="NEW"),"",COUNTBLANK(OFFSET(A$1,,,SUMPRODUCT(MAX(ROW(E$2:E599)*(E599=E$2:E599)))))-COUNTBLANK(OFFSET(A$1,,,SUMPRODUCT(MAX(ROW(E$1:E598)*(E2=E$1:E598))))))</f>
        <v/>
      </c>
      <c r="K599" s="25" t="str">
        <f>IF(OR(E599="",E599="!!!",F599="NEW"),"",INDEX(J$1:J598,SUMPRODUCT(MAX(ROW(E$1:E598)*(E599=E$1:E598)))))</f>
        <v/>
      </c>
      <c r="L599" s="26"/>
    </row>
    <row r="600" spans="1:12" x14ac:dyDescent="0.3">
      <c r="A600" t="s">
        <v>463</v>
      </c>
      <c r="E600" s="21" t="str">
        <f t="shared" si="50"/>
        <v/>
      </c>
      <c r="F600" s="22" t="str">
        <f>IF(OR(E600="",E600="!!!"),"",IF(NOT(ISNA(VLOOKUP(E600,E$1:E599,1,FALSE()))),"OLD",IF(AND(E600&lt;&gt;"",E600&lt;&gt;"!!!"),"NEW","")))</f>
        <v/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/>
      </c>
      <c r="H600" s="24" t="str">
        <f t="shared" ca="1" si="51"/>
        <v/>
      </c>
      <c r="I600" s="25" t="str">
        <f>IF(OR(E600="",E600="!!!",F600="NEW"),"",INDEX(B$2:B599,-1+SUMPRODUCT(MAX(ROW(E$2:E599)*(E600=E$2:E599)))))</f>
        <v/>
      </c>
      <c r="J600" s="25" t="str">
        <f ca="1">IF(OR(E600="",E600="!!!",F600="NEW"),"",COUNTBLANK(OFFSET(A$1,,,SUMPRODUCT(MAX(ROW(E$2:E600)*(E600=E$2:E600)))))-COUNTBLANK(OFFSET(A$1,,,SUMPRODUCT(MAX(ROW(E$1:E599)*(E2=E$1:E599))))))</f>
        <v/>
      </c>
      <c r="K600" s="25" t="str">
        <f>IF(OR(E600="",E600="!!!",F600="NEW"),"",INDEX(J$1:J599,SUMPRODUCT(MAX(ROW(E$1:E599)*(E600=E$1:E599)))))</f>
        <v/>
      </c>
      <c r="L600" s="26"/>
    </row>
    <row r="601" spans="1:12" x14ac:dyDescent="0.3">
      <c r="A601" t="s">
        <v>334</v>
      </c>
      <c r="B601" s="20" t="s">
        <v>194</v>
      </c>
      <c r="C601" s="20" t="s">
        <v>177</v>
      </c>
      <c r="D601" s="20" t="s">
        <v>160</v>
      </c>
      <c r="E601" s="21" t="str">
        <f t="shared" si="50"/>
        <v>!!!</v>
      </c>
      <c r="F601" s="22" t="str">
        <f>IF(OR(E601="",E601="!!!"),"",IF(NOT(ISNA(VLOOKUP(E601,E$1:E600,1,FALSE()))),"OLD",IF(AND(E601&lt;&gt;"",E601&lt;&gt;"!!!"),"NEW","")))</f>
        <v/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/>
      </c>
      <c r="H601" s="24" t="str">
        <f t="shared" ca="1" si="51"/>
        <v/>
      </c>
      <c r="I601" s="25" t="str">
        <f>IF(OR(E601="",E601="!!!",F601="NEW"),"",INDEX(B$2:B600,-1+SUMPRODUCT(MAX(ROW(E$2:E600)*(E601=E$2:E600)))))</f>
        <v/>
      </c>
      <c r="J601" s="25" t="str">
        <f ca="1">IF(OR(E601="",E601="!!!",F601="NEW"),"",COUNTBLANK(OFFSET(A$1,,,SUMPRODUCT(MAX(ROW(E$2:E601)*(E601=E$2:E601)))))-COUNTBLANK(OFFSET(A$1,,,SUMPRODUCT(MAX(ROW(E$1:E600)*(E2=E$1:E600))))))</f>
        <v/>
      </c>
      <c r="K601" s="25" t="str">
        <f>IF(OR(E601="",E601="!!!",F601="NEW"),"",INDEX(J$1:J600,SUMPRODUCT(MAX(ROW(E$1:E600)*(E601=E$1:E600)))))</f>
        <v/>
      </c>
      <c r="L601" s="26"/>
    </row>
    <row r="602" spans="1:12" x14ac:dyDescent="0.3">
      <c r="A602" t="s">
        <v>464</v>
      </c>
      <c r="B602" s="20" t="s">
        <v>196</v>
      </c>
      <c r="C602" s="20" t="s">
        <v>177</v>
      </c>
      <c r="D602" s="20" t="s">
        <v>160</v>
      </c>
      <c r="E602" s="21" t="str">
        <f t="shared" si="50"/>
        <v>!!!</v>
      </c>
      <c r="F602" s="22" t="str">
        <f>IF(OR(E602="",E602="!!!"),"",IF(NOT(ISNA(VLOOKUP(E602,E$1:E601,1,FALSE()))),"OLD",IF(AND(E602&lt;&gt;"",E602&lt;&gt;"!!!"),"NEW","")))</f>
        <v/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/>
      </c>
      <c r="H602" s="24" t="str">
        <f t="shared" ca="1" si="51"/>
        <v/>
      </c>
      <c r="I602" s="25" t="str">
        <f>IF(OR(E602="",E602="!!!",F602="NEW"),"",INDEX(B$2:B601,-1+SUMPRODUCT(MAX(ROW(E$2:E601)*(E602=E$2:E601)))))</f>
        <v/>
      </c>
      <c r="J602" s="25" t="str">
        <f ca="1">IF(OR(E602="",E602="!!!",F602="NEW"),"",COUNTBLANK(OFFSET(A$1,,,SUMPRODUCT(MAX(ROW(E$2:E602)*(E602=E$2:E602)))))-COUNTBLANK(OFFSET(A$1,,,SUMPRODUCT(MAX(ROW(E$1:E601)*(E2=E$1:E601))))))</f>
        <v/>
      </c>
      <c r="K602" s="25" t="str">
        <f>IF(OR(E602="",E602="!!!",F602="NEW"),"",INDEX(J$1:J601,SUMPRODUCT(MAX(ROW(E$1:E601)*(E602=E$1:E601)))))</f>
        <v/>
      </c>
      <c r="L602" s="26"/>
    </row>
    <row r="603" spans="1:12" x14ac:dyDescent="0.3">
      <c r="A603" t="s">
        <v>465</v>
      </c>
      <c r="B603" s="20" t="s">
        <v>340</v>
      </c>
      <c r="C603" s="20" t="s">
        <v>199</v>
      </c>
      <c r="E603" s="21" t="str">
        <f t="shared" si="50"/>
        <v/>
      </c>
      <c r="F603" s="22" t="str">
        <f>IF(OR(E603="",E603="!!!"),"",IF(NOT(ISNA(VLOOKUP(E603,E$1:E602,1,FALSE()))),"OLD",IF(AND(E603&lt;&gt;"",E603&lt;&gt;"!!!"),"NEW","")))</f>
        <v/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/>
      </c>
      <c r="H603" s="24" t="str">
        <f t="shared" ca="1" si="51"/>
        <v/>
      </c>
      <c r="I603" s="25" t="str">
        <f>IF(OR(E603="",E603="!!!",F603="NEW"),"",INDEX(B$2:B602,-1+SUMPRODUCT(MAX(ROW(E$2:E602)*(E603=E$2:E602)))))</f>
        <v/>
      </c>
      <c r="J603" s="25" t="str">
        <f ca="1">IF(OR(E603="",E603="!!!",F603="NEW"),"",COUNTBLANK(OFFSET(A$1,,,SUMPRODUCT(MAX(ROW(E$2:E603)*(E603=E$2:E603)))))-COUNTBLANK(OFFSET(A$1,,,SUMPRODUCT(MAX(ROW(E$1:E602)*(E2=E$1:E602))))))</f>
        <v/>
      </c>
      <c r="K603" s="25" t="str">
        <f>IF(OR(E603="",E603="!!!",F603="NEW"),"",INDEX(J$1:J602,SUMPRODUCT(MAX(ROW(E$1:E602)*(E603=E$1:E602)))))</f>
        <v/>
      </c>
      <c r="L603" s="26"/>
    </row>
    <row r="604" spans="1:12" x14ac:dyDescent="0.3">
      <c r="A604" t="s">
        <v>466</v>
      </c>
      <c r="E604" s="21" t="str">
        <f t="shared" si="50"/>
        <v/>
      </c>
      <c r="F604" s="22" t="str">
        <f>IF(OR(E604="",E604="!!!"),"",IF(NOT(ISNA(VLOOKUP(E604,E$1:E603,1,FALSE()))),"OLD",IF(AND(E604&lt;&gt;"",E604&lt;&gt;"!!!"),"NEW","")))</f>
        <v/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/>
      </c>
      <c r="H604" s="24" t="str">
        <f t="shared" ca="1" si="51"/>
        <v/>
      </c>
      <c r="I604" s="25" t="str">
        <f>IF(OR(E604="",E604="!!!",F604="NEW"),"",INDEX(B$2:B603,-1+SUMPRODUCT(MAX(ROW(E$2:E603)*(E604=E$2:E603)))))</f>
        <v/>
      </c>
      <c r="J604" s="25" t="str">
        <f ca="1">IF(OR(E604="",E604="!!!",F604="NEW"),"",COUNTBLANK(OFFSET(A$1,,,SUMPRODUCT(MAX(ROW(E$2:E604)*(E604=E$2:E604)))))-COUNTBLANK(OFFSET(A$1,,,SUMPRODUCT(MAX(ROW(E$1:E603)*(E2=E$1:E603))))))</f>
        <v/>
      </c>
      <c r="K604" s="25" t="str">
        <f>IF(OR(E604="",E604="!!!",F604="NEW"),"",INDEX(J$1:J603,SUMPRODUCT(MAX(ROW(E$1:E603)*(E604=E$1:E603)))))</f>
        <v/>
      </c>
      <c r="L604" s="26"/>
    </row>
    <row r="605" spans="1:12" x14ac:dyDescent="0.3">
      <c r="A605" t="s">
        <v>212</v>
      </c>
      <c r="E605" s="21" t="str">
        <f t="shared" si="50"/>
        <v/>
      </c>
      <c r="F605" s="22" t="str">
        <f>IF(OR(E605="",E605="!!!"),"",IF(NOT(ISNA(VLOOKUP(E605,E$1:E604,1,FALSE()))),"OLD",IF(AND(E605&lt;&gt;"",E605&lt;&gt;"!!!"),"NEW","")))</f>
        <v/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/>
      </c>
      <c r="H605" s="24" t="str">
        <f t="shared" ca="1" si="51"/>
        <v/>
      </c>
      <c r="I605" s="25" t="str">
        <f>IF(OR(E605="",E605="!!!",F605="NEW"),"",INDEX(B$2:B604,-1+SUMPRODUCT(MAX(ROW(E$2:E604)*(E605=E$2:E604)))))</f>
        <v/>
      </c>
      <c r="J605" s="25" t="str">
        <f ca="1">IF(OR(E605="",E605="!!!",F605="NEW"),"",COUNTBLANK(OFFSET(A$1,,,SUMPRODUCT(MAX(ROW(E$2:E605)*(E605=E$2:E605)))))-COUNTBLANK(OFFSET(A$1,,,SUMPRODUCT(MAX(ROW(E$1:E604)*(E2=E$1:E604))))))</f>
        <v/>
      </c>
      <c r="K605" s="25" t="str">
        <f>IF(OR(E605="",E605="!!!",F605="NEW"),"",INDEX(J$1:J604,SUMPRODUCT(MAX(ROW(E$1:E604)*(E605=E$1:E604)))))</f>
        <v/>
      </c>
      <c r="L605" s="26"/>
    </row>
    <row r="607" spans="1:12" x14ac:dyDescent="0.3">
      <c r="A607" t="s">
        <v>467</v>
      </c>
    </row>
    <row r="608" spans="1:12" x14ac:dyDescent="0.3">
      <c r="A608" t="s">
        <v>468</v>
      </c>
      <c r="B608" s="20" t="s">
        <v>158</v>
      </c>
      <c r="C608" s="20" t="s">
        <v>167</v>
      </c>
      <c r="E608" s="21" t="str">
        <f t="shared" ref="E608:E613" si="52">IF(D608="?OLD","!!!","")</f>
        <v/>
      </c>
      <c r="F608" s="22" t="str">
        <f>IF(OR(E608="",E608="!!!"),"",IF(NOT(ISNA(VLOOKUP(E608,E$1:E607,1,FALSE()))),"OLD",IF(AND(E608&lt;&gt;"",E608&lt;&gt;"!!!"),"NEW","")))</f>
        <v/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/>
      </c>
      <c r="H608" s="24" t="str">
        <f t="shared" ref="H608:H613" ca="1" si="53">IF(J608&lt;&gt;1,"",IF(I608="SBJ","CB","?"))</f>
        <v/>
      </c>
      <c r="I608" s="25" t="str">
        <f>IF(OR(E608="",E608="!!!",F608="NEW"),"",INDEX(B$2:B607,-1+SUMPRODUCT(MAX(ROW(E$2:E607)*(E608=E$2:E607)))))</f>
        <v/>
      </c>
      <c r="J608" s="25" t="str">
        <f ca="1">IF(OR(E608="",E608="!!!",F608="NEW"),"",COUNTBLANK(OFFSET(A$1,,,SUMPRODUCT(MAX(ROW(E$2:E608)*(E608=E$2:E608)))))-COUNTBLANK(OFFSET(A$1,,,SUMPRODUCT(MAX(ROW(E$1:E607)*(E2=E$1:E607))))))</f>
        <v/>
      </c>
      <c r="K608" s="25" t="str">
        <f>IF(OR(E608="",E608="!!!",F608="NEW"),"",INDEX(J$1:J607,SUMPRODUCT(MAX(ROW(E$1:E607)*(E608=E$1:E607)))))</f>
        <v/>
      </c>
      <c r="L608" s="26"/>
    </row>
    <row r="609" spans="1:12" x14ac:dyDescent="0.3">
      <c r="A609" t="s">
        <v>175</v>
      </c>
      <c r="B609" s="20" t="s">
        <v>176</v>
      </c>
      <c r="C609" s="20" t="s">
        <v>177</v>
      </c>
      <c r="D609" s="20" t="s">
        <v>160</v>
      </c>
      <c r="E609" s="21" t="str">
        <f t="shared" si="52"/>
        <v>!!!</v>
      </c>
      <c r="F609" s="22" t="str">
        <f>IF(OR(E609="",E609="!!!"),"",IF(NOT(ISNA(VLOOKUP(E609,E$1:E608,1,FALSE()))),"OLD",IF(AND(E609&lt;&gt;"",E609&lt;&gt;"!!!"),"NEW","")))</f>
        <v/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/>
      </c>
      <c r="H609" s="24" t="str">
        <f t="shared" ca="1" si="53"/>
        <v/>
      </c>
      <c r="I609" s="25" t="str">
        <f>IF(OR(E609="",E609="!!!",F609="NEW"),"",INDEX(B$2:B608,-1+SUMPRODUCT(MAX(ROW(E$2:E608)*(E609=E$2:E608)))))</f>
        <v/>
      </c>
      <c r="J609" s="25" t="str">
        <f ca="1">IF(OR(E609="",E609="!!!",F609="NEW"),"",COUNTBLANK(OFFSET(A$1,,,SUMPRODUCT(MAX(ROW(E$2:E609)*(E609=E$2:E609)))))-COUNTBLANK(OFFSET(A$1,,,SUMPRODUCT(MAX(ROW(E$1:E608)*(E2=E$1:E608))))))</f>
        <v/>
      </c>
      <c r="K609" s="25" t="str">
        <f>IF(OR(E609="",E609="!!!",F609="NEW"),"",INDEX(J$1:J608,SUMPRODUCT(MAX(ROW(E$1:E608)*(E609=E$1:E608)))))</f>
        <v/>
      </c>
      <c r="L609" s="26"/>
    </row>
    <row r="610" spans="1:12" x14ac:dyDescent="0.3">
      <c r="A610" t="s">
        <v>469</v>
      </c>
      <c r="B610" s="20" t="s">
        <v>158</v>
      </c>
      <c r="C610" s="20" t="s">
        <v>159</v>
      </c>
      <c r="D610" s="20" t="s">
        <v>160</v>
      </c>
      <c r="E610" s="21" t="str">
        <f t="shared" si="52"/>
        <v>!!!</v>
      </c>
      <c r="F610" s="22" t="str">
        <f>IF(OR(E610="",E610="!!!"),"",IF(NOT(ISNA(VLOOKUP(E610,E$1:E609,1,FALSE()))),"OLD",IF(AND(E610&lt;&gt;"",E610&lt;&gt;"!!!"),"NEW","")))</f>
        <v/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/>
      </c>
      <c r="H610" s="24" t="str">
        <f t="shared" ca="1" si="53"/>
        <v/>
      </c>
      <c r="I610" s="25" t="str">
        <f>IF(OR(E610="",E610="!!!",F610="NEW"),"",INDEX(B$2:B609,-1+SUMPRODUCT(MAX(ROW(E$2:E609)*(E610=E$2:E609)))))</f>
        <v/>
      </c>
      <c r="J610" s="25" t="str">
        <f ca="1">IF(OR(E610="",E610="!!!",F610="NEW"),"",COUNTBLANK(OFFSET(A$1,,,SUMPRODUCT(MAX(ROW(E$2:E610)*(E610=E$2:E610)))))-COUNTBLANK(OFFSET(A$1,,,SUMPRODUCT(MAX(ROW(E$1:E609)*(E2=E$1:E609))))))</f>
        <v/>
      </c>
      <c r="K610" s="25" t="str">
        <f>IF(OR(E610="",E610="!!!",F610="NEW"),"",INDEX(J$1:J609,SUMPRODUCT(MAX(ROW(E$1:E609)*(E610=E$1:E609)))))</f>
        <v/>
      </c>
      <c r="L610" s="26"/>
    </row>
    <row r="611" spans="1:12" x14ac:dyDescent="0.3">
      <c r="A611" t="s">
        <v>470</v>
      </c>
      <c r="E611" s="21" t="str">
        <f t="shared" si="52"/>
        <v/>
      </c>
      <c r="F611" s="22" t="str">
        <f>IF(OR(E611="",E611="!!!"),"",IF(NOT(ISNA(VLOOKUP(E611,E$1:E610,1,FALSE()))),"OLD",IF(AND(E611&lt;&gt;"",E611&lt;&gt;"!!!"),"NEW","")))</f>
        <v/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/>
      </c>
      <c r="H611" s="24" t="str">
        <f t="shared" ca="1" si="53"/>
        <v/>
      </c>
      <c r="I611" s="25" t="str">
        <f>IF(OR(E611="",E611="!!!",F611="NEW"),"",INDEX(B$2:B610,-1+SUMPRODUCT(MAX(ROW(E$2:E610)*(E611=E$2:E610)))))</f>
        <v/>
      </c>
      <c r="J611" s="25" t="str">
        <f ca="1">IF(OR(E611="",E611="!!!",F611="NEW"),"",COUNTBLANK(OFFSET(A$1,,,SUMPRODUCT(MAX(ROW(E$2:E611)*(E611=E$2:E611)))))-COUNTBLANK(OFFSET(A$1,,,SUMPRODUCT(MAX(ROW(E$1:E610)*(E2=E$1:E610))))))</f>
        <v/>
      </c>
      <c r="K611" s="25" t="str">
        <f>IF(OR(E611="",E611="!!!",F611="NEW"),"",INDEX(J$1:J610,SUMPRODUCT(MAX(ROW(E$1:E610)*(E611=E$1:E610)))))</f>
        <v/>
      </c>
      <c r="L611" s="26"/>
    </row>
    <row r="612" spans="1:12" x14ac:dyDescent="0.3">
      <c r="A612" t="s">
        <v>471</v>
      </c>
      <c r="E612" s="21" t="str">
        <f t="shared" si="52"/>
        <v/>
      </c>
      <c r="F612" s="22" t="str">
        <f>IF(OR(E612="",E612="!!!"),"",IF(NOT(ISNA(VLOOKUP(E612,E$1:E611,1,FALSE()))),"OLD",IF(AND(E612&lt;&gt;"",E612&lt;&gt;"!!!"),"NEW","")))</f>
        <v/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/>
      </c>
      <c r="H612" s="24" t="str">
        <f t="shared" ca="1" si="53"/>
        <v/>
      </c>
      <c r="I612" s="25" t="str">
        <f>IF(OR(E612="",E612="!!!",F612="NEW"),"",INDEX(B$2:B611,-1+SUMPRODUCT(MAX(ROW(E$2:E611)*(E612=E$2:E611)))))</f>
        <v/>
      </c>
      <c r="J612" s="25" t="str">
        <f ca="1">IF(OR(E612="",E612="!!!",F612="NEW"),"",COUNTBLANK(OFFSET(A$1,,,SUMPRODUCT(MAX(ROW(E$2:E612)*(E612=E$2:E612)))))-COUNTBLANK(OFFSET(A$1,,,SUMPRODUCT(MAX(ROW(E$1:E611)*(E2=E$1:E611))))))</f>
        <v/>
      </c>
      <c r="K612" s="25" t="str">
        <f>IF(OR(E612="",E612="!!!",F612="NEW"),"",INDEX(J$1:J611,SUMPRODUCT(MAX(ROW(E$1:E611)*(E612=E$1:E611)))))</f>
        <v/>
      </c>
      <c r="L612" s="26"/>
    </row>
    <row r="613" spans="1:12" x14ac:dyDescent="0.3">
      <c r="A613" t="s">
        <v>212</v>
      </c>
      <c r="E613" s="21" t="str">
        <f t="shared" si="52"/>
        <v/>
      </c>
      <c r="F613" s="22" t="str">
        <f>IF(OR(E613="",E613="!!!"),"",IF(NOT(ISNA(VLOOKUP(E613,E$1:E612,1,FALSE()))),"OLD",IF(AND(E613&lt;&gt;"",E613&lt;&gt;"!!!"),"NEW","")))</f>
        <v/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/>
      </c>
      <c r="H613" s="24" t="str">
        <f t="shared" ca="1" si="53"/>
        <v/>
      </c>
      <c r="I613" s="25" t="str">
        <f>IF(OR(E613="",E613="!!!",F613="NEW"),"",INDEX(B$2:B612,-1+SUMPRODUCT(MAX(ROW(E$2:E612)*(E613=E$2:E612)))))</f>
        <v/>
      </c>
      <c r="J613" s="25" t="str">
        <f ca="1">IF(OR(E613="",E613="!!!",F613="NEW"),"",COUNTBLANK(OFFSET(A$1,,,SUMPRODUCT(MAX(ROW(E$2:E613)*(E613=E$2:E613)))))-COUNTBLANK(OFFSET(A$1,,,SUMPRODUCT(MAX(ROW(E$1:E612)*(E2=E$1:E612))))))</f>
        <v/>
      </c>
      <c r="K613" s="25" t="str">
        <f>IF(OR(E613="",E613="!!!",F613="NEW"),"",INDEX(J$1:J612,SUMPRODUCT(MAX(ROW(E$1:E612)*(E613=E$1:E612)))))</f>
        <v/>
      </c>
      <c r="L613" s="26"/>
    </row>
    <row r="615" spans="1:12" x14ac:dyDescent="0.3">
      <c r="A615" t="s">
        <v>472</v>
      </c>
    </row>
    <row r="616" spans="1:12" x14ac:dyDescent="0.3">
      <c r="A616" t="s">
        <v>271</v>
      </c>
      <c r="B616" s="20" t="s">
        <v>187</v>
      </c>
      <c r="C616" s="20" t="s">
        <v>206</v>
      </c>
      <c r="D616" s="20" t="s">
        <v>160</v>
      </c>
      <c r="E616" s="21" t="str">
        <f t="shared" ref="E616:E624" si="54">IF(D616="?OLD","!!!","")</f>
        <v>!!!</v>
      </c>
      <c r="F616" s="22" t="str">
        <f>IF(OR(E616="",E616="!!!"),"",IF(NOT(ISNA(VLOOKUP(E616,E$1:E615,1,FALSE()))),"OLD",IF(AND(E616&lt;&gt;"",E616&lt;&gt;"!!!"),"NEW","")))</f>
        <v/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/>
      </c>
      <c r="H616" s="24" t="str">
        <f t="shared" ref="H616:H624" ca="1" si="55">IF(J616&lt;&gt;1,"",IF(I616="SBJ","CB","?"))</f>
        <v/>
      </c>
      <c r="I616" s="25" t="str">
        <f>IF(OR(E616="",E616="!!!",F616="NEW"),"",INDEX(B$2:B615,-1+SUMPRODUCT(MAX(ROW(E$2:E615)*(E616=E$2:E615)))))</f>
        <v/>
      </c>
      <c r="J616" s="25" t="str">
        <f ca="1">IF(OR(E616="",E616="!!!",F616="NEW"),"",COUNTBLANK(OFFSET(A$1,,,SUMPRODUCT(MAX(ROW(E$2:E616)*(E616=E$2:E616)))))-COUNTBLANK(OFFSET(A$1,,,SUMPRODUCT(MAX(ROW(E$1:E615)*(E2=E$1:E615))))))</f>
        <v/>
      </c>
      <c r="K616" s="25" t="str">
        <f>IF(OR(E616="",E616="!!!",F616="NEW"),"",INDEX(J$1:J615,SUMPRODUCT(MAX(ROW(E$1:E615)*(E616=E$1:E615)))))</f>
        <v/>
      </c>
      <c r="L616" s="26"/>
    </row>
    <row r="617" spans="1:12" x14ac:dyDescent="0.3">
      <c r="A617" t="s">
        <v>473</v>
      </c>
      <c r="E617" s="21" t="str">
        <f t="shared" si="54"/>
        <v/>
      </c>
      <c r="F617" s="22" t="str">
        <f>IF(OR(E617="",E617="!!!"),"",IF(NOT(ISNA(VLOOKUP(E617,E$1:E616,1,FALSE()))),"OLD",IF(AND(E617&lt;&gt;"",E617&lt;&gt;"!!!"),"NEW","")))</f>
        <v/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/>
      </c>
      <c r="H617" s="24" t="str">
        <f t="shared" ca="1" si="55"/>
        <v/>
      </c>
      <c r="I617" s="25" t="str">
        <f>IF(OR(E617="",E617="!!!",F617="NEW"),"",INDEX(B$2:B616,-1+SUMPRODUCT(MAX(ROW(E$2:E616)*(E617=E$2:E616)))))</f>
        <v/>
      </c>
      <c r="J617" s="25" t="str">
        <f ca="1">IF(OR(E617="",E617="!!!",F617="NEW"),"",COUNTBLANK(OFFSET(A$1,,,SUMPRODUCT(MAX(ROW(E$2:E617)*(E617=E$2:E617)))))-COUNTBLANK(OFFSET(A$1,,,SUMPRODUCT(MAX(ROW(E$1:E616)*(E2=E$1:E616))))))</f>
        <v/>
      </c>
      <c r="K617" s="25" t="str">
        <f>IF(OR(E617="",E617="!!!",F617="NEW"),"",INDEX(J$1:J616,SUMPRODUCT(MAX(ROW(E$1:E616)*(E617=E$1:E616)))))</f>
        <v/>
      </c>
      <c r="L617" s="26"/>
    </row>
    <row r="618" spans="1:12" x14ac:dyDescent="0.3">
      <c r="A618" t="s">
        <v>179</v>
      </c>
      <c r="E618" s="21" t="str">
        <f t="shared" si="54"/>
        <v/>
      </c>
      <c r="F618" s="22" t="str">
        <f>IF(OR(E618="",E618="!!!"),"",IF(NOT(ISNA(VLOOKUP(E618,E$1:E617,1,FALSE()))),"OLD",IF(AND(E618&lt;&gt;"",E618&lt;&gt;"!!!"),"NEW","")))</f>
        <v/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/>
      </c>
      <c r="H618" s="24" t="str">
        <f t="shared" ca="1" si="55"/>
        <v/>
      </c>
      <c r="I618" s="25" t="str">
        <f>IF(OR(E618="",E618="!!!",F618="NEW"),"",INDEX(B$2:B617,-1+SUMPRODUCT(MAX(ROW(E$2:E617)*(E618=E$2:E617)))))</f>
        <v/>
      </c>
      <c r="J618" s="25" t="str">
        <f ca="1">IF(OR(E618="",E618="!!!",F618="NEW"),"",COUNTBLANK(OFFSET(A$1,,,SUMPRODUCT(MAX(ROW(E$2:E618)*(E618=E$2:E618)))))-COUNTBLANK(OFFSET(A$1,,,SUMPRODUCT(MAX(ROW(E$1:E617)*(E2=E$1:E617))))))</f>
        <v/>
      </c>
      <c r="K618" s="25" t="str">
        <f>IF(OR(E618="",E618="!!!",F618="NEW"),"",INDEX(J$1:J617,SUMPRODUCT(MAX(ROW(E$1:E617)*(E618=E$1:E617)))))</f>
        <v/>
      </c>
      <c r="L618" s="26"/>
    </row>
    <row r="619" spans="1:12" x14ac:dyDescent="0.3">
      <c r="A619" t="s">
        <v>474</v>
      </c>
      <c r="E619" s="21" t="str">
        <f t="shared" si="54"/>
        <v/>
      </c>
      <c r="F619" s="22" t="str">
        <f>IF(OR(E619="",E619="!!!"),"",IF(NOT(ISNA(VLOOKUP(E619,E$1:E618,1,FALSE()))),"OLD",IF(AND(E619&lt;&gt;"",E619&lt;&gt;"!!!"),"NEW","")))</f>
        <v/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/>
      </c>
      <c r="H619" s="24" t="str">
        <f t="shared" ca="1" si="55"/>
        <v/>
      </c>
      <c r="I619" s="25" t="str">
        <f>IF(OR(E619="",E619="!!!",F619="NEW"),"",INDEX(B$2:B618,-1+SUMPRODUCT(MAX(ROW(E$2:E618)*(E619=E$2:E618)))))</f>
        <v/>
      </c>
      <c r="J619" s="25" t="str">
        <f ca="1">IF(OR(E619="",E619="!!!",F619="NEW"),"",COUNTBLANK(OFFSET(A$1,,,SUMPRODUCT(MAX(ROW(E$2:E619)*(E619=E$2:E619)))))-COUNTBLANK(OFFSET(A$1,,,SUMPRODUCT(MAX(ROW(E$1:E618)*(E2=E$1:E618))))))</f>
        <v/>
      </c>
      <c r="K619" s="25" t="str">
        <f>IF(OR(E619="",E619="!!!",F619="NEW"),"",INDEX(J$1:J618,SUMPRODUCT(MAX(ROW(E$1:E618)*(E619=E$1:E618)))))</f>
        <v/>
      </c>
      <c r="L619" s="26"/>
    </row>
    <row r="620" spans="1:12" x14ac:dyDescent="0.3">
      <c r="A620" t="s">
        <v>454</v>
      </c>
      <c r="B620" s="20" t="s">
        <v>158</v>
      </c>
      <c r="C620" s="20" t="s">
        <v>181</v>
      </c>
      <c r="D620" s="20" t="s">
        <v>160</v>
      </c>
      <c r="E620" s="21" t="str">
        <f t="shared" si="54"/>
        <v>!!!</v>
      </c>
      <c r="F620" s="22" t="str">
        <f>IF(OR(E620="",E620="!!!"),"",IF(NOT(ISNA(VLOOKUP(E620,E$1:E619,1,FALSE()))),"OLD",IF(AND(E620&lt;&gt;"",E620&lt;&gt;"!!!"),"NEW","")))</f>
        <v/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/>
      </c>
      <c r="H620" s="24" t="str">
        <f t="shared" ca="1" si="55"/>
        <v/>
      </c>
      <c r="I620" s="25" t="str">
        <f>IF(OR(E620="",E620="!!!",F620="NEW"),"",INDEX(B$2:B619,-1+SUMPRODUCT(MAX(ROW(E$2:E619)*(E620=E$2:E619)))))</f>
        <v/>
      </c>
      <c r="J620" s="25" t="str">
        <f ca="1">IF(OR(E620="",E620="!!!",F620="NEW"),"",COUNTBLANK(OFFSET(A$1,,,SUMPRODUCT(MAX(ROW(E$2:E620)*(E620=E$2:E620)))))-COUNTBLANK(OFFSET(A$1,,,SUMPRODUCT(MAX(ROW(E$1:E619)*(E2=E$1:E619))))))</f>
        <v/>
      </c>
      <c r="K620" s="25" t="str">
        <f>IF(OR(E620="",E620="!!!",F620="NEW"),"",INDEX(J$1:J619,SUMPRODUCT(MAX(ROW(E$1:E619)*(E620=E$1:E619)))))</f>
        <v/>
      </c>
      <c r="L620" s="26"/>
    </row>
    <row r="621" spans="1:12" x14ac:dyDescent="0.3">
      <c r="A621" t="s">
        <v>475</v>
      </c>
      <c r="B621" s="20" t="s">
        <v>191</v>
      </c>
      <c r="C621" s="20" t="s">
        <v>167</v>
      </c>
      <c r="E621" s="21" t="str">
        <f t="shared" si="54"/>
        <v/>
      </c>
      <c r="F621" s="22" t="str">
        <f>IF(OR(E621="",E621="!!!"),"",IF(NOT(ISNA(VLOOKUP(E621,E$1:E620,1,FALSE()))),"OLD",IF(AND(E621&lt;&gt;"",E621&lt;&gt;"!!!"),"NEW","")))</f>
        <v/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/>
      </c>
      <c r="H621" s="24" t="str">
        <f t="shared" ca="1" si="55"/>
        <v/>
      </c>
      <c r="I621" s="25" t="str">
        <f>IF(OR(E621="",E621="!!!",F621="NEW"),"",INDEX(B$2:B620,-1+SUMPRODUCT(MAX(ROW(E$2:E620)*(E621=E$2:E620)))))</f>
        <v/>
      </c>
      <c r="J621" s="25" t="str">
        <f ca="1">IF(OR(E621="",E621="!!!",F621="NEW"),"",COUNTBLANK(OFFSET(A$1,,,SUMPRODUCT(MAX(ROW(E$2:E621)*(E621=E$2:E621)))))-COUNTBLANK(OFFSET(A$1,,,SUMPRODUCT(MAX(ROW(E$1:E620)*(E2=E$1:E620))))))</f>
        <v/>
      </c>
      <c r="K621" s="25" t="str">
        <f>IF(OR(E621="",E621="!!!",F621="NEW"),"",INDEX(J$1:J620,SUMPRODUCT(MAX(ROW(E$1:E620)*(E621=E$1:E620)))))</f>
        <v/>
      </c>
      <c r="L621" s="26"/>
    </row>
    <row r="622" spans="1:12" x14ac:dyDescent="0.3">
      <c r="A622" t="s">
        <v>170</v>
      </c>
      <c r="E622" s="21" t="str">
        <f t="shared" si="54"/>
        <v/>
      </c>
      <c r="F622" s="22" t="str">
        <f>IF(OR(E622="",E622="!!!"),"",IF(NOT(ISNA(VLOOKUP(E622,E$1:E621,1,FALSE()))),"OLD",IF(AND(E622&lt;&gt;"",E622&lt;&gt;"!!!"),"NEW","")))</f>
        <v/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/>
      </c>
      <c r="H622" s="24" t="str">
        <f t="shared" ca="1" si="55"/>
        <v/>
      </c>
      <c r="I622" s="25" t="str">
        <f>IF(OR(E622="",E622="!!!",F622="NEW"),"",INDEX(B$2:B621,-1+SUMPRODUCT(MAX(ROW(E$2:E621)*(E622=E$2:E621)))))</f>
        <v/>
      </c>
      <c r="J622" s="25" t="str">
        <f ca="1">IF(OR(E622="",E622="!!!",F622="NEW"),"",COUNTBLANK(OFFSET(A$1,,,SUMPRODUCT(MAX(ROW(E$2:E622)*(E622=E$2:E622)))))-COUNTBLANK(OFFSET(A$1,,,SUMPRODUCT(MAX(ROW(E$1:E621)*(E2=E$1:E621))))))</f>
        <v/>
      </c>
      <c r="K622" s="25" t="str">
        <f>IF(OR(E622="",E622="!!!",F622="NEW"),"",INDEX(J$1:J621,SUMPRODUCT(MAX(ROW(E$1:E621)*(E622=E$1:E621)))))</f>
        <v/>
      </c>
      <c r="L622" s="26"/>
    </row>
    <row r="623" spans="1:12" x14ac:dyDescent="0.3">
      <c r="A623" t="s">
        <v>469</v>
      </c>
      <c r="B623" s="20" t="s">
        <v>172</v>
      </c>
      <c r="C623" s="20" t="s">
        <v>159</v>
      </c>
      <c r="D623" s="20" t="s">
        <v>160</v>
      </c>
      <c r="E623" s="21" t="str">
        <f t="shared" si="54"/>
        <v>!!!</v>
      </c>
      <c r="F623" s="22" t="str">
        <f>IF(OR(E623="",E623="!!!"),"",IF(NOT(ISNA(VLOOKUP(E623,E$1:E622,1,FALSE()))),"OLD",IF(AND(E623&lt;&gt;"",E623&lt;&gt;"!!!"),"NEW","")))</f>
        <v/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/>
      </c>
      <c r="H623" s="24" t="str">
        <f t="shared" ca="1" si="55"/>
        <v/>
      </c>
      <c r="I623" s="25" t="str">
        <f>IF(OR(E623="",E623="!!!",F623="NEW"),"",INDEX(B$2:B622,-1+SUMPRODUCT(MAX(ROW(E$2:E622)*(E623=E$2:E622)))))</f>
        <v/>
      </c>
      <c r="J623" s="25" t="str">
        <f ca="1">IF(OR(E623="",E623="!!!",F623="NEW"),"",COUNTBLANK(OFFSET(A$1,,,SUMPRODUCT(MAX(ROW(E$2:E623)*(E623=E$2:E623)))))-COUNTBLANK(OFFSET(A$1,,,SUMPRODUCT(MAX(ROW(E$1:E622)*(E2=E$1:E622))))))</f>
        <v/>
      </c>
      <c r="K623" s="25" t="str">
        <f>IF(OR(E623="",E623="!!!",F623="NEW"),"",INDEX(J$1:J622,SUMPRODUCT(MAX(ROW(E$1:E622)*(E623=E$1:E622)))))</f>
        <v/>
      </c>
      <c r="L623" s="26"/>
    </row>
    <row r="624" spans="1:12" x14ac:dyDescent="0.3">
      <c r="A624" t="s">
        <v>212</v>
      </c>
      <c r="E624" s="21" t="str">
        <f t="shared" si="54"/>
        <v/>
      </c>
      <c r="F624" s="22" t="str">
        <f>IF(OR(E624="",E624="!!!"),"",IF(NOT(ISNA(VLOOKUP(E624,E$1:E623,1,FALSE()))),"OLD",IF(AND(E624&lt;&gt;"",E624&lt;&gt;"!!!"),"NEW","")))</f>
        <v/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/>
      </c>
      <c r="H624" s="24" t="str">
        <f t="shared" ca="1" si="55"/>
        <v/>
      </c>
      <c r="I624" s="25" t="str">
        <f>IF(OR(E624="",E624="!!!",F624="NEW"),"",INDEX(B$2:B623,-1+SUMPRODUCT(MAX(ROW(E$2:E623)*(E624=E$2:E623)))))</f>
        <v/>
      </c>
      <c r="J624" s="25" t="str">
        <f ca="1">IF(OR(E624="",E624="!!!",F624="NEW"),"",COUNTBLANK(OFFSET(A$1,,,SUMPRODUCT(MAX(ROW(E$2:E624)*(E624=E$2:E624)))))-COUNTBLANK(OFFSET(A$1,,,SUMPRODUCT(MAX(ROW(E$1:E623)*(E2=E$1:E623))))))</f>
        <v/>
      </c>
      <c r="K624" s="25" t="str">
        <f>IF(OR(E624="",E624="!!!",F624="NEW"),"",INDEX(J$1:J623,SUMPRODUCT(MAX(ROW(E$1:E623)*(E624=E$1:E623)))))</f>
        <v/>
      </c>
      <c r="L624" s="26"/>
    </row>
    <row r="626" spans="1:12" x14ac:dyDescent="0.3">
      <c r="A626" t="s">
        <v>476</v>
      </c>
    </row>
    <row r="627" spans="1:12" x14ac:dyDescent="0.3">
      <c r="A627" t="s">
        <v>477</v>
      </c>
      <c r="E627" s="21" t="str">
        <f t="shared" ref="E627:E641" si="56">IF(D627="?OLD","!!!","")</f>
        <v/>
      </c>
      <c r="F627" s="22" t="str">
        <f>IF(OR(E627="",E627="!!!"),"",IF(NOT(ISNA(VLOOKUP(E627,E$1:E626,1,FALSE()))),"OLD",IF(AND(E627&lt;&gt;"",E627&lt;&gt;"!!!"),"NEW","")))</f>
        <v/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/>
      </c>
      <c r="H627" s="24" t="str">
        <f t="shared" ref="H627:H641" ca="1" si="57">IF(J627&lt;&gt;1,"",IF(I627="SBJ","CB","?"))</f>
        <v/>
      </c>
      <c r="I627" s="25" t="str">
        <f>IF(OR(E627="",E627="!!!",F627="NEW"),"",INDEX(B$2:B626,-1+SUMPRODUCT(MAX(ROW(E$2:E626)*(E627=E$2:E626)))))</f>
        <v/>
      </c>
      <c r="J627" s="25" t="str">
        <f ca="1">IF(OR(E627="",E627="!!!",F627="NEW"),"",COUNTBLANK(OFFSET(A$1,,,SUMPRODUCT(MAX(ROW(E$2:E627)*(E627=E$2:E627)))))-COUNTBLANK(OFFSET(A$1,,,SUMPRODUCT(MAX(ROW(E$1:E626)*(E2=E$1:E626))))))</f>
        <v/>
      </c>
      <c r="K627" s="25" t="str">
        <f>IF(OR(E627="",E627="!!!",F627="NEW"),"",INDEX(J$1:J626,SUMPRODUCT(MAX(ROW(E$1:E626)*(E627=E$1:E626)))))</f>
        <v/>
      </c>
      <c r="L627" s="26"/>
    </row>
    <row r="628" spans="1:12" x14ac:dyDescent="0.3">
      <c r="A628" t="s">
        <v>478</v>
      </c>
      <c r="B628" s="20" t="s">
        <v>187</v>
      </c>
      <c r="C628" s="20" t="s">
        <v>211</v>
      </c>
      <c r="E628" s="21" t="str">
        <f t="shared" si="56"/>
        <v/>
      </c>
      <c r="F628" s="22" t="str">
        <f>IF(OR(E628="",E628="!!!"),"",IF(NOT(ISNA(VLOOKUP(E628,E$1:E627,1,FALSE()))),"OLD",IF(AND(E628&lt;&gt;"",E628&lt;&gt;"!!!"),"NEW","")))</f>
        <v/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/>
      </c>
      <c r="H628" s="24" t="str">
        <f t="shared" ca="1" si="57"/>
        <v/>
      </c>
      <c r="I628" s="25" t="str">
        <f>IF(OR(E628="",E628="!!!",F628="NEW"),"",INDEX(B$2:B627,-1+SUMPRODUCT(MAX(ROW(E$2:E627)*(E628=E$2:E627)))))</f>
        <v/>
      </c>
      <c r="J628" s="25" t="str">
        <f ca="1">IF(OR(E628="",E628="!!!",F628="NEW"),"",COUNTBLANK(OFFSET(A$1,,,SUMPRODUCT(MAX(ROW(E$2:E628)*(E628=E$2:E628)))))-COUNTBLANK(OFFSET(A$1,,,SUMPRODUCT(MAX(ROW(E$1:E627)*(E2=E$1:E627))))))</f>
        <v/>
      </c>
      <c r="K628" s="25" t="str">
        <f>IF(OR(E628="",E628="!!!",F628="NEW"),"",INDEX(J$1:J627,SUMPRODUCT(MAX(ROW(E$1:E627)*(E628=E$1:E627)))))</f>
        <v/>
      </c>
      <c r="L628" s="26"/>
    </row>
    <row r="629" spans="1:12" x14ac:dyDescent="0.3">
      <c r="A629" t="s">
        <v>479</v>
      </c>
      <c r="E629" s="21" t="str">
        <f t="shared" si="56"/>
        <v/>
      </c>
      <c r="F629" s="22" t="str">
        <f>IF(OR(E629="",E629="!!!"),"",IF(NOT(ISNA(VLOOKUP(E629,E$1:E628,1,FALSE()))),"OLD",IF(AND(E629&lt;&gt;"",E629&lt;&gt;"!!!"),"NEW","")))</f>
        <v/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/>
      </c>
      <c r="H629" s="24" t="str">
        <f t="shared" ca="1" si="57"/>
        <v/>
      </c>
      <c r="I629" s="25" t="str">
        <f>IF(OR(E629="",E629="!!!",F629="NEW"),"",INDEX(B$2:B628,-1+SUMPRODUCT(MAX(ROW(E$2:E628)*(E629=E$2:E628)))))</f>
        <v/>
      </c>
      <c r="J629" s="25" t="str">
        <f ca="1">IF(OR(E629="",E629="!!!",F629="NEW"),"",COUNTBLANK(OFFSET(A$1,,,SUMPRODUCT(MAX(ROW(E$2:E629)*(E629=E$2:E629)))))-COUNTBLANK(OFFSET(A$1,,,SUMPRODUCT(MAX(ROW(E$1:E628)*(E2=E$1:E628))))))</f>
        <v/>
      </c>
      <c r="K629" s="25" t="str">
        <f>IF(OR(E629="",E629="!!!",F629="NEW"),"",INDEX(J$1:J628,SUMPRODUCT(MAX(ROW(E$1:E628)*(E629=E$1:E628)))))</f>
        <v/>
      </c>
      <c r="L629" s="26"/>
    </row>
    <row r="630" spans="1:12" x14ac:dyDescent="0.3">
      <c r="A630" t="s">
        <v>480</v>
      </c>
      <c r="B630" s="20" t="s">
        <v>191</v>
      </c>
      <c r="C630" s="20" t="s">
        <v>206</v>
      </c>
      <c r="D630" s="20" t="s">
        <v>160</v>
      </c>
      <c r="E630" s="21" t="str">
        <f t="shared" si="56"/>
        <v>!!!</v>
      </c>
      <c r="F630" s="22" t="str">
        <f>IF(OR(E630="",E630="!!!"),"",IF(NOT(ISNA(VLOOKUP(E630,E$1:E629,1,FALSE()))),"OLD",IF(AND(E630&lt;&gt;"",E630&lt;&gt;"!!!"),"NEW","")))</f>
        <v/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/>
      </c>
      <c r="H630" s="24" t="str">
        <f t="shared" ca="1" si="57"/>
        <v/>
      </c>
      <c r="I630" s="25" t="str">
        <f>IF(OR(E630="",E630="!!!",F630="NEW"),"",INDEX(B$2:B629,-1+SUMPRODUCT(MAX(ROW(E$2:E629)*(E630=E$2:E629)))))</f>
        <v/>
      </c>
      <c r="J630" s="25" t="str">
        <f ca="1">IF(OR(E630="",E630="!!!",F630="NEW"),"",COUNTBLANK(OFFSET(A$1,,,SUMPRODUCT(MAX(ROW(E$2:E630)*(E630=E$2:E630)))))-COUNTBLANK(OFFSET(A$1,,,SUMPRODUCT(MAX(ROW(E$1:E629)*(E2=E$1:E629))))))</f>
        <v/>
      </c>
      <c r="K630" s="25" t="str">
        <f>IF(OR(E630="",E630="!!!",F630="NEW"),"",INDEX(J$1:J629,SUMPRODUCT(MAX(ROW(E$1:E629)*(E630=E$1:E629)))))</f>
        <v/>
      </c>
      <c r="L630" s="26"/>
    </row>
    <row r="631" spans="1:12" x14ac:dyDescent="0.3">
      <c r="A631" t="s">
        <v>170</v>
      </c>
      <c r="E631" s="21" t="str">
        <f t="shared" si="56"/>
        <v/>
      </c>
      <c r="F631" s="22" t="str">
        <f>IF(OR(E631="",E631="!!!"),"",IF(NOT(ISNA(VLOOKUP(E631,E$1:E630,1,FALSE()))),"OLD",IF(AND(E631&lt;&gt;"",E631&lt;&gt;"!!!"),"NEW","")))</f>
        <v/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/>
      </c>
      <c r="H631" s="24" t="str">
        <f t="shared" ca="1" si="57"/>
        <v/>
      </c>
      <c r="I631" s="25" t="str">
        <f>IF(OR(E631="",E631="!!!",F631="NEW"),"",INDEX(B$2:B630,-1+SUMPRODUCT(MAX(ROW(E$2:E630)*(E631=E$2:E630)))))</f>
        <v/>
      </c>
      <c r="J631" s="25" t="str">
        <f ca="1">IF(OR(E631="",E631="!!!",F631="NEW"),"",COUNTBLANK(OFFSET(A$1,,,SUMPRODUCT(MAX(ROW(E$2:E631)*(E631=E$2:E631)))))-COUNTBLANK(OFFSET(A$1,,,SUMPRODUCT(MAX(ROW(E$1:E630)*(E2=E$1:E630))))))</f>
        <v/>
      </c>
      <c r="K631" s="25" t="str">
        <f>IF(OR(E631="",E631="!!!",F631="NEW"),"",INDEX(J$1:J630,SUMPRODUCT(MAX(ROW(E$1:E630)*(E631=E$1:E630)))))</f>
        <v/>
      </c>
      <c r="L631" s="26"/>
    </row>
    <row r="632" spans="1:12" x14ac:dyDescent="0.3">
      <c r="A632" t="s">
        <v>481</v>
      </c>
      <c r="B632" s="20" t="s">
        <v>172</v>
      </c>
      <c r="C632" s="20" t="s">
        <v>199</v>
      </c>
      <c r="D632" s="20" t="s">
        <v>160</v>
      </c>
      <c r="E632" s="21" t="str">
        <f t="shared" si="56"/>
        <v>!!!</v>
      </c>
      <c r="F632" s="22" t="str">
        <f>IF(OR(E632="",E632="!!!"),"",IF(NOT(ISNA(VLOOKUP(E632,E$1:E631,1,FALSE()))),"OLD",IF(AND(E632&lt;&gt;"",E632&lt;&gt;"!!!"),"NEW","")))</f>
        <v/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/>
      </c>
      <c r="H632" s="24" t="str">
        <f t="shared" ca="1" si="57"/>
        <v/>
      </c>
      <c r="I632" s="25" t="str">
        <f>IF(OR(E632="",E632="!!!",F632="NEW"),"",INDEX(B$2:B631,-1+SUMPRODUCT(MAX(ROW(E$2:E631)*(E632=E$2:E631)))))</f>
        <v/>
      </c>
      <c r="J632" s="25" t="str">
        <f ca="1">IF(OR(E632="",E632="!!!",F632="NEW"),"",COUNTBLANK(OFFSET(A$1,,,SUMPRODUCT(MAX(ROW(E$2:E632)*(E632=E$2:E632)))))-COUNTBLANK(OFFSET(A$1,,,SUMPRODUCT(MAX(ROW(E$1:E631)*(E2=E$1:E631))))))</f>
        <v/>
      </c>
      <c r="K632" s="25" t="str">
        <f>IF(OR(E632="",E632="!!!",F632="NEW"),"",INDEX(J$1:J631,SUMPRODUCT(MAX(ROW(E$1:E631)*(E632=E$1:E631)))))</f>
        <v/>
      </c>
      <c r="L632" s="26"/>
    </row>
    <row r="633" spans="1:12" x14ac:dyDescent="0.3">
      <c r="A633" t="s">
        <v>319</v>
      </c>
      <c r="B633" s="20" t="s">
        <v>158</v>
      </c>
      <c r="C633" s="20" t="s">
        <v>202</v>
      </c>
      <c r="D633" s="20" t="s">
        <v>160</v>
      </c>
      <c r="E633" s="21" t="str">
        <f t="shared" si="56"/>
        <v>!!!</v>
      </c>
      <c r="F633" s="22" t="str">
        <f>IF(OR(E633="",E633="!!!"),"",IF(NOT(ISNA(VLOOKUP(E633,E$1:E632,1,FALSE()))),"OLD",IF(AND(E633&lt;&gt;"",E633&lt;&gt;"!!!"),"NEW","")))</f>
        <v/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/>
      </c>
      <c r="H633" s="24" t="str">
        <f t="shared" ca="1" si="57"/>
        <v/>
      </c>
      <c r="I633" s="25" t="str">
        <f>IF(OR(E633="",E633="!!!",F633="NEW"),"",INDEX(B$2:B632,-1+SUMPRODUCT(MAX(ROW(E$2:E632)*(E633=E$2:E632)))))</f>
        <v/>
      </c>
      <c r="J633" s="25" t="str">
        <f ca="1">IF(OR(E633="",E633="!!!",F633="NEW"),"",COUNTBLANK(OFFSET(A$1,,,SUMPRODUCT(MAX(ROW(E$2:E633)*(E633=E$2:E633)))))-COUNTBLANK(OFFSET(A$1,,,SUMPRODUCT(MAX(ROW(E$1:E632)*(E2=E$1:E632))))))</f>
        <v/>
      </c>
      <c r="K633" s="25" t="str">
        <f>IF(OR(E633="",E633="!!!",F633="NEW"),"",INDEX(J$1:J632,SUMPRODUCT(MAX(ROW(E$1:E632)*(E633=E$1:E632)))))</f>
        <v/>
      </c>
      <c r="L633" s="26"/>
    </row>
    <row r="634" spans="1:12" x14ac:dyDescent="0.3">
      <c r="A634" t="s">
        <v>274</v>
      </c>
      <c r="E634" s="21" t="str">
        <f t="shared" si="56"/>
        <v/>
      </c>
      <c r="F634" s="22" t="str">
        <f>IF(OR(E634="",E634="!!!"),"",IF(NOT(ISNA(VLOOKUP(E634,E$1:E633,1,FALSE()))),"OLD",IF(AND(E634&lt;&gt;"",E634&lt;&gt;"!!!"),"NEW","")))</f>
        <v/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/>
      </c>
      <c r="H634" s="24" t="str">
        <f t="shared" ca="1" si="57"/>
        <v/>
      </c>
      <c r="I634" s="25" t="str">
        <f>IF(OR(E634="",E634="!!!",F634="NEW"),"",INDEX(B$2:B633,-1+SUMPRODUCT(MAX(ROW(E$2:E633)*(E634=E$2:E633)))))</f>
        <v/>
      </c>
      <c r="J634" s="25" t="str">
        <f ca="1">IF(OR(E634="",E634="!!!",F634="NEW"),"",COUNTBLANK(OFFSET(A$1,,,SUMPRODUCT(MAX(ROW(E$2:E634)*(E634=E$2:E634)))))-COUNTBLANK(OFFSET(A$1,,,SUMPRODUCT(MAX(ROW(E$1:E633)*(E2=E$1:E633))))))</f>
        <v/>
      </c>
      <c r="K634" s="25" t="str">
        <f>IF(OR(E634="",E634="!!!",F634="NEW"),"",INDEX(J$1:J633,SUMPRODUCT(MAX(ROW(E$1:E633)*(E634=E$1:E633)))))</f>
        <v/>
      </c>
      <c r="L634" s="26"/>
    </row>
    <row r="635" spans="1:12" x14ac:dyDescent="0.3">
      <c r="A635" t="s">
        <v>162</v>
      </c>
      <c r="E635" s="21" t="str">
        <f t="shared" si="56"/>
        <v/>
      </c>
      <c r="F635" s="22" t="str">
        <f>IF(OR(E635="",E635="!!!"),"",IF(NOT(ISNA(VLOOKUP(E635,E$1:E634,1,FALSE()))),"OLD",IF(AND(E635&lt;&gt;"",E635&lt;&gt;"!!!"),"NEW","")))</f>
        <v/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/>
      </c>
      <c r="H635" s="24" t="str">
        <f t="shared" ca="1" si="57"/>
        <v/>
      </c>
      <c r="I635" s="25" t="str">
        <f>IF(OR(E635="",E635="!!!",F635="NEW"),"",INDEX(B$2:B634,-1+SUMPRODUCT(MAX(ROW(E$2:E634)*(E635=E$2:E634)))))</f>
        <v/>
      </c>
      <c r="J635" s="25" t="str">
        <f ca="1">IF(OR(E635="",E635="!!!",F635="NEW"),"",COUNTBLANK(OFFSET(A$1,,,SUMPRODUCT(MAX(ROW(E$2:E635)*(E635=E$2:E635)))))-COUNTBLANK(OFFSET(A$1,,,SUMPRODUCT(MAX(ROW(E$1:E634)*(E2=E$1:E634))))))</f>
        <v/>
      </c>
      <c r="K635" s="25" t="str">
        <f>IF(OR(E635="",E635="!!!",F635="NEW"),"",INDEX(J$1:J634,SUMPRODUCT(MAX(ROW(E$1:E634)*(E635=E$1:E634)))))</f>
        <v/>
      </c>
      <c r="L635" s="26"/>
    </row>
    <row r="636" spans="1:12" x14ac:dyDescent="0.3">
      <c r="A636" t="s">
        <v>482</v>
      </c>
      <c r="B636" s="20" t="s">
        <v>176</v>
      </c>
      <c r="C636" s="20" t="s">
        <v>197</v>
      </c>
      <c r="E636" s="21" t="str">
        <f t="shared" si="56"/>
        <v/>
      </c>
      <c r="F636" s="22" t="str">
        <f>IF(OR(E636="",E636="!!!"),"",IF(NOT(ISNA(VLOOKUP(E636,E$1:E635,1,FALSE()))),"OLD",IF(AND(E636&lt;&gt;"",E636&lt;&gt;"!!!"),"NEW","")))</f>
        <v/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/>
      </c>
      <c r="H636" s="24" t="str">
        <f t="shared" ca="1" si="57"/>
        <v/>
      </c>
      <c r="I636" s="25" t="str">
        <f>IF(OR(E636="",E636="!!!",F636="NEW"),"",INDEX(B$2:B635,-1+SUMPRODUCT(MAX(ROW(E$2:E635)*(E636=E$2:E635)))))</f>
        <v/>
      </c>
      <c r="J636" s="25" t="str">
        <f ca="1">IF(OR(E636="",E636="!!!",F636="NEW"),"",COUNTBLANK(OFFSET(A$1,,,SUMPRODUCT(MAX(ROW(E$2:E636)*(E636=E$2:E636)))))-COUNTBLANK(OFFSET(A$1,,,SUMPRODUCT(MAX(ROW(E$1:E635)*(E2=E$1:E635))))))</f>
        <v/>
      </c>
      <c r="K636" s="25" t="str">
        <f>IF(OR(E636="",E636="!!!",F636="NEW"),"",INDEX(J$1:J635,SUMPRODUCT(MAX(ROW(E$1:E635)*(E636=E$1:E635)))))</f>
        <v/>
      </c>
      <c r="L636" s="26"/>
    </row>
    <row r="637" spans="1:12" x14ac:dyDescent="0.3">
      <c r="A637" t="s">
        <v>235</v>
      </c>
      <c r="E637" s="21" t="str">
        <f t="shared" si="56"/>
        <v/>
      </c>
      <c r="F637" s="22" t="str">
        <f>IF(OR(E637="",E637="!!!"),"",IF(NOT(ISNA(VLOOKUP(E637,E$1:E636,1,FALSE()))),"OLD",IF(AND(E637&lt;&gt;"",E637&lt;&gt;"!!!"),"NEW","")))</f>
        <v/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/>
      </c>
      <c r="H637" s="24" t="str">
        <f t="shared" ca="1" si="57"/>
        <v/>
      </c>
      <c r="I637" s="25" t="str">
        <f>IF(OR(E637="",E637="!!!",F637="NEW"),"",INDEX(B$2:B636,-1+SUMPRODUCT(MAX(ROW(E$2:E636)*(E637=E$2:E636)))))</f>
        <v/>
      </c>
      <c r="J637" s="25" t="str">
        <f ca="1">IF(OR(E637="",E637="!!!",F637="NEW"),"",COUNTBLANK(OFFSET(A$1,,,SUMPRODUCT(MAX(ROW(E$2:E637)*(E637=E$2:E637)))))-COUNTBLANK(OFFSET(A$1,,,SUMPRODUCT(MAX(ROW(E$1:E636)*(E2=E$1:E636))))))</f>
        <v/>
      </c>
      <c r="K637" s="25" t="str">
        <f>IF(OR(E637="",E637="!!!",F637="NEW"),"",INDEX(J$1:J636,SUMPRODUCT(MAX(ROW(E$1:E636)*(E637=E$1:E636)))))</f>
        <v/>
      </c>
      <c r="L637" s="26"/>
    </row>
    <row r="638" spans="1:12" x14ac:dyDescent="0.3">
      <c r="A638" t="s">
        <v>483</v>
      </c>
      <c r="E638" s="21" t="str">
        <f t="shared" si="56"/>
        <v/>
      </c>
      <c r="F638" s="22" t="str">
        <f>IF(OR(E638="",E638="!!!"),"",IF(NOT(ISNA(VLOOKUP(E638,E$1:E637,1,FALSE()))),"OLD",IF(AND(E638&lt;&gt;"",E638&lt;&gt;"!!!"),"NEW","")))</f>
        <v/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/>
      </c>
      <c r="H638" s="24" t="str">
        <f t="shared" ca="1" si="57"/>
        <v/>
      </c>
      <c r="I638" s="25" t="str">
        <f>IF(OR(E638="",E638="!!!",F638="NEW"),"",INDEX(B$2:B637,-1+SUMPRODUCT(MAX(ROW(E$2:E637)*(E638=E$2:E637)))))</f>
        <v/>
      </c>
      <c r="J638" s="25" t="str">
        <f ca="1">IF(OR(E638="",E638="!!!",F638="NEW"),"",COUNTBLANK(OFFSET(A$1,,,SUMPRODUCT(MAX(ROW(E$2:E638)*(E638=E$2:E638)))))-COUNTBLANK(OFFSET(A$1,,,SUMPRODUCT(MAX(ROW(E$1:E637)*(E2=E$1:E637))))))</f>
        <v/>
      </c>
      <c r="K638" s="25" t="str">
        <f>IF(OR(E638="",E638="!!!",F638="NEW"),"",INDEX(J$1:J637,SUMPRODUCT(MAX(ROW(E$1:E637)*(E638=E$1:E637)))))</f>
        <v/>
      </c>
      <c r="L638" s="26"/>
    </row>
    <row r="639" spans="1:12" x14ac:dyDescent="0.3">
      <c r="A639" t="s">
        <v>317</v>
      </c>
      <c r="E639" s="21" t="str">
        <f t="shared" si="56"/>
        <v/>
      </c>
      <c r="F639" s="22" t="str">
        <f>IF(OR(E639="",E639="!!!"),"",IF(NOT(ISNA(VLOOKUP(E639,E$1:E638,1,FALSE()))),"OLD",IF(AND(E639&lt;&gt;"",E639&lt;&gt;"!!!"),"NEW","")))</f>
        <v/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/>
      </c>
      <c r="H639" s="24" t="str">
        <f t="shared" ca="1" si="57"/>
        <v/>
      </c>
      <c r="I639" s="25" t="str">
        <f>IF(OR(E639="",E639="!!!",F639="NEW"),"",INDEX(B$2:B638,-1+SUMPRODUCT(MAX(ROW(E$2:E638)*(E639=E$2:E638)))))</f>
        <v/>
      </c>
      <c r="J639" s="25" t="str">
        <f ca="1">IF(OR(E639="",E639="!!!",F639="NEW"),"",COUNTBLANK(OFFSET(A$1,,,SUMPRODUCT(MAX(ROW(E$2:E639)*(E639=E$2:E639)))))-COUNTBLANK(OFFSET(A$1,,,SUMPRODUCT(MAX(ROW(E$1:E638)*(E2=E$1:E638))))))</f>
        <v/>
      </c>
      <c r="K639" s="25" t="str">
        <f>IF(OR(E639="",E639="!!!",F639="NEW"),"",INDEX(J$1:J638,SUMPRODUCT(MAX(ROW(E$1:E638)*(E639=E$1:E638)))))</f>
        <v/>
      </c>
      <c r="L639" s="26"/>
    </row>
    <row r="640" spans="1:12" x14ac:dyDescent="0.3">
      <c r="A640" t="s">
        <v>484</v>
      </c>
      <c r="E640" s="21" t="str">
        <f t="shared" si="56"/>
        <v/>
      </c>
      <c r="F640" s="22" t="str">
        <f>IF(OR(E640="",E640="!!!"),"",IF(NOT(ISNA(VLOOKUP(E640,E$1:E639,1,FALSE()))),"OLD",IF(AND(E640&lt;&gt;"",E640&lt;&gt;"!!!"),"NEW","")))</f>
        <v/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/>
      </c>
      <c r="H640" s="24" t="str">
        <f t="shared" ca="1" si="57"/>
        <v/>
      </c>
      <c r="I640" s="25" t="str">
        <f>IF(OR(E640="",E640="!!!",F640="NEW"),"",INDEX(B$2:B639,-1+SUMPRODUCT(MAX(ROW(E$2:E639)*(E640=E$2:E639)))))</f>
        <v/>
      </c>
      <c r="J640" s="25" t="str">
        <f ca="1">IF(OR(E640="",E640="!!!",F640="NEW"),"",COUNTBLANK(OFFSET(A$1,,,SUMPRODUCT(MAX(ROW(E$2:E640)*(E640=E$2:E640)))))-COUNTBLANK(OFFSET(A$1,,,SUMPRODUCT(MAX(ROW(E$1:E639)*(E2=E$1:E639))))))</f>
        <v/>
      </c>
      <c r="K640" s="25" t="str">
        <f>IF(OR(E640="",E640="!!!",F640="NEW"),"",INDEX(J$1:J639,SUMPRODUCT(MAX(ROW(E$1:E639)*(E640=E$1:E639)))))</f>
        <v/>
      </c>
      <c r="L640" s="26"/>
    </row>
    <row r="641" spans="1:12" x14ac:dyDescent="0.3">
      <c r="A641" t="s">
        <v>212</v>
      </c>
      <c r="E641" s="21" t="str">
        <f t="shared" si="56"/>
        <v/>
      </c>
      <c r="F641" s="22" t="str">
        <f>IF(OR(E641="",E641="!!!"),"",IF(NOT(ISNA(VLOOKUP(E641,E$1:E640,1,FALSE()))),"OLD",IF(AND(E641&lt;&gt;"",E641&lt;&gt;"!!!"),"NEW","")))</f>
        <v/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/>
      </c>
      <c r="H641" s="24" t="str">
        <f t="shared" ca="1" si="57"/>
        <v/>
      </c>
      <c r="I641" s="25" t="str">
        <f>IF(OR(E641="",E641="!!!",F641="NEW"),"",INDEX(B$2:B640,-1+SUMPRODUCT(MAX(ROW(E$2:E640)*(E641=E$2:E640)))))</f>
        <v/>
      </c>
      <c r="J641" s="25" t="str">
        <f ca="1">IF(OR(E641="",E641="!!!",F641="NEW"),"",COUNTBLANK(OFFSET(A$1,,,SUMPRODUCT(MAX(ROW(E$2:E641)*(E641=E$2:E641)))))-COUNTBLANK(OFFSET(A$1,,,SUMPRODUCT(MAX(ROW(E$1:E640)*(E2=E$1:E640))))))</f>
        <v/>
      </c>
      <c r="K641" s="25" t="str">
        <f>IF(OR(E641="",E641="!!!",F641="NEW"),"",INDEX(J$1:J640,SUMPRODUCT(MAX(ROW(E$1:E640)*(E641=E$1:E640)))))</f>
        <v/>
      </c>
      <c r="L641" s="26"/>
    </row>
    <row r="643" spans="1:12" x14ac:dyDescent="0.3">
      <c r="A643" t="s">
        <v>485</v>
      </c>
    </row>
    <row r="644" spans="1:12" x14ac:dyDescent="0.3">
      <c r="A644" t="s">
        <v>214</v>
      </c>
      <c r="B644" s="20" t="s">
        <v>187</v>
      </c>
      <c r="C644" s="20" t="s">
        <v>206</v>
      </c>
      <c r="D644" s="20" t="s">
        <v>160</v>
      </c>
      <c r="E644" s="21" t="str">
        <f t="shared" ref="E644:E657" si="58">IF(D644="?OLD","!!!","")</f>
        <v>!!!</v>
      </c>
      <c r="F644" s="22" t="str">
        <f>IF(OR(E644="",E644="!!!"),"",IF(NOT(ISNA(VLOOKUP(E644,E$1:E643,1,FALSE()))),"OLD",IF(AND(E644&lt;&gt;"",E644&lt;&gt;"!!!"),"NEW","")))</f>
        <v/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/>
      </c>
      <c r="H644" s="24" t="str">
        <f t="shared" ref="H644:H657" ca="1" si="59">IF(J644&lt;&gt;1,"",IF(I644="SBJ","CB","?"))</f>
        <v/>
      </c>
      <c r="I644" s="25" t="str">
        <f>IF(OR(E644="",E644="!!!",F644="NEW"),"",INDEX(B$2:B643,-1+SUMPRODUCT(MAX(ROW(E$2:E643)*(E644=E$2:E643)))))</f>
        <v/>
      </c>
      <c r="J644" s="25" t="str">
        <f ca="1">IF(OR(E644="",E644="!!!",F644="NEW"),"",COUNTBLANK(OFFSET(A$1,,,SUMPRODUCT(MAX(ROW(E$2:E644)*(E644=E$2:E644)))))-COUNTBLANK(OFFSET(A$1,,,SUMPRODUCT(MAX(ROW(E$1:E643)*(E2=E$1:E643))))))</f>
        <v/>
      </c>
      <c r="K644" s="25" t="str">
        <f>IF(OR(E644="",E644="!!!",F644="NEW"),"",INDEX(J$1:J643,SUMPRODUCT(MAX(ROW(E$1:E643)*(E644=E$1:E643)))))</f>
        <v/>
      </c>
      <c r="L644" s="26"/>
    </row>
    <row r="645" spans="1:12" x14ac:dyDescent="0.3">
      <c r="A645" t="s">
        <v>235</v>
      </c>
      <c r="E645" s="21" t="str">
        <f t="shared" si="58"/>
        <v/>
      </c>
      <c r="F645" s="22" t="str">
        <f>IF(OR(E645="",E645="!!!"),"",IF(NOT(ISNA(VLOOKUP(E645,E$1:E644,1,FALSE()))),"OLD",IF(AND(E645&lt;&gt;"",E645&lt;&gt;"!!!"),"NEW","")))</f>
        <v/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/>
      </c>
      <c r="H645" s="24" t="str">
        <f t="shared" ca="1" si="59"/>
        <v/>
      </c>
      <c r="I645" s="25" t="str">
        <f>IF(OR(E645="",E645="!!!",F645="NEW"),"",INDEX(B$2:B644,-1+SUMPRODUCT(MAX(ROW(E$2:E644)*(E645=E$2:E644)))))</f>
        <v/>
      </c>
      <c r="J645" s="25" t="str">
        <f ca="1">IF(OR(E645="",E645="!!!",F645="NEW"),"",COUNTBLANK(OFFSET(A$1,,,SUMPRODUCT(MAX(ROW(E$2:E645)*(E645=E$2:E645)))))-COUNTBLANK(OFFSET(A$1,,,SUMPRODUCT(MAX(ROW(E$1:E644)*(E2=E$1:E644))))))</f>
        <v/>
      </c>
      <c r="K645" s="25" t="str">
        <f>IF(OR(E645="",E645="!!!",F645="NEW"),"",INDEX(J$1:J644,SUMPRODUCT(MAX(ROW(E$1:E644)*(E645=E$1:E644)))))</f>
        <v/>
      </c>
      <c r="L645" s="26"/>
    </row>
    <row r="646" spans="1:12" x14ac:dyDescent="0.3">
      <c r="A646" t="s">
        <v>229</v>
      </c>
      <c r="E646" s="21" t="str">
        <f t="shared" si="58"/>
        <v/>
      </c>
      <c r="F646" s="22" t="str">
        <f>IF(OR(E646="",E646="!!!"),"",IF(NOT(ISNA(VLOOKUP(E646,E$1:E645,1,FALSE()))),"OLD",IF(AND(E646&lt;&gt;"",E646&lt;&gt;"!!!"),"NEW","")))</f>
        <v/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/>
      </c>
      <c r="H646" s="24" t="str">
        <f t="shared" ca="1" si="59"/>
        <v/>
      </c>
      <c r="I646" s="25" t="str">
        <f>IF(OR(E646="",E646="!!!",F646="NEW"),"",INDEX(B$2:B645,-1+SUMPRODUCT(MAX(ROW(E$2:E645)*(E646=E$2:E645)))))</f>
        <v/>
      </c>
      <c r="J646" s="25" t="str">
        <f ca="1">IF(OR(E646="",E646="!!!",F646="NEW"),"",COUNTBLANK(OFFSET(A$1,,,SUMPRODUCT(MAX(ROW(E$2:E646)*(E646=E$2:E646)))))-COUNTBLANK(OFFSET(A$1,,,SUMPRODUCT(MAX(ROW(E$1:E645)*(E2=E$1:E645))))))</f>
        <v/>
      </c>
      <c r="K646" s="25" t="str">
        <f>IF(OR(E646="",E646="!!!",F646="NEW"),"",INDEX(J$1:J645,SUMPRODUCT(MAX(ROW(E$1:E645)*(E646=E$1:E645)))))</f>
        <v/>
      </c>
      <c r="L646" s="26"/>
    </row>
    <row r="647" spans="1:12" x14ac:dyDescent="0.3">
      <c r="A647" t="s">
        <v>317</v>
      </c>
      <c r="E647" s="21" t="str">
        <f t="shared" si="58"/>
        <v/>
      </c>
      <c r="F647" s="22" t="str">
        <f>IF(OR(E647="",E647="!!!"),"",IF(NOT(ISNA(VLOOKUP(E647,E$1:E646,1,FALSE()))),"OLD",IF(AND(E647&lt;&gt;"",E647&lt;&gt;"!!!"),"NEW","")))</f>
        <v/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/>
      </c>
      <c r="H647" s="24" t="str">
        <f t="shared" ca="1" si="59"/>
        <v/>
      </c>
      <c r="I647" s="25" t="str">
        <f>IF(OR(E647="",E647="!!!",F647="NEW"),"",INDEX(B$2:B646,-1+SUMPRODUCT(MAX(ROW(E$2:E646)*(E647=E$2:E646)))))</f>
        <v/>
      </c>
      <c r="J647" s="25" t="str">
        <f ca="1">IF(OR(E647="",E647="!!!",F647="NEW"),"",COUNTBLANK(OFFSET(A$1,,,SUMPRODUCT(MAX(ROW(E$2:E647)*(E647=E$2:E647)))))-COUNTBLANK(OFFSET(A$1,,,SUMPRODUCT(MAX(ROW(E$1:E646)*(E2=E$1:E646))))))</f>
        <v/>
      </c>
      <c r="K647" s="25" t="str">
        <f>IF(OR(E647="",E647="!!!",F647="NEW"),"",INDEX(J$1:J646,SUMPRODUCT(MAX(ROW(E$1:E646)*(E647=E$1:E646)))))</f>
        <v/>
      </c>
      <c r="L647" s="26"/>
    </row>
    <row r="648" spans="1:12" x14ac:dyDescent="0.3">
      <c r="A648" t="s">
        <v>486</v>
      </c>
      <c r="E648" s="21" t="str">
        <f t="shared" si="58"/>
        <v/>
      </c>
      <c r="F648" s="22" t="str">
        <f>IF(OR(E648="",E648="!!!"),"",IF(NOT(ISNA(VLOOKUP(E648,E$1:E647,1,FALSE()))),"OLD",IF(AND(E648&lt;&gt;"",E648&lt;&gt;"!!!"),"NEW","")))</f>
        <v/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/>
      </c>
      <c r="H648" s="24" t="str">
        <f t="shared" ca="1" si="59"/>
        <v/>
      </c>
      <c r="I648" s="25" t="str">
        <f>IF(OR(E648="",E648="!!!",F648="NEW"),"",INDEX(B$2:B647,-1+SUMPRODUCT(MAX(ROW(E$2:E647)*(E648=E$2:E647)))))</f>
        <v/>
      </c>
      <c r="J648" s="25" t="str">
        <f ca="1">IF(OR(E648="",E648="!!!",F648="NEW"),"",COUNTBLANK(OFFSET(A$1,,,SUMPRODUCT(MAX(ROW(E$2:E648)*(E648=E$2:E648)))))-COUNTBLANK(OFFSET(A$1,,,SUMPRODUCT(MAX(ROW(E$1:E647)*(E2=E$1:E647))))))</f>
        <v/>
      </c>
      <c r="K648" s="25" t="str">
        <f>IF(OR(E648="",E648="!!!",F648="NEW"),"",INDEX(J$1:J647,SUMPRODUCT(MAX(ROW(E$1:E647)*(E648=E$1:E647)))))</f>
        <v/>
      </c>
      <c r="L648" s="26"/>
    </row>
    <row r="649" spans="1:12" x14ac:dyDescent="0.3">
      <c r="A649" t="s">
        <v>319</v>
      </c>
      <c r="B649" s="20" t="s">
        <v>158</v>
      </c>
      <c r="C649" s="20" t="s">
        <v>211</v>
      </c>
      <c r="E649" s="21" t="str">
        <f t="shared" si="58"/>
        <v/>
      </c>
      <c r="F649" s="22" t="str">
        <f>IF(OR(E649="",E649="!!!"),"",IF(NOT(ISNA(VLOOKUP(E649,E$1:E648,1,FALSE()))),"OLD",IF(AND(E649&lt;&gt;"",E649&lt;&gt;"!!!"),"NEW","")))</f>
        <v/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/>
      </c>
      <c r="H649" s="24" t="str">
        <f t="shared" ca="1" si="59"/>
        <v/>
      </c>
      <c r="I649" s="25" t="str">
        <f>IF(OR(E649="",E649="!!!",F649="NEW"),"",INDEX(B$2:B648,-1+SUMPRODUCT(MAX(ROW(E$2:E648)*(E649=E$2:E648)))))</f>
        <v/>
      </c>
      <c r="J649" s="25" t="str">
        <f ca="1">IF(OR(E649="",E649="!!!",F649="NEW"),"",COUNTBLANK(OFFSET(A$1,,,SUMPRODUCT(MAX(ROW(E$2:E649)*(E649=E$2:E649)))))-COUNTBLANK(OFFSET(A$1,,,SUMPRODUCT(MAX(ROW(E$1:E648)*(E2=E$1:E648))))))</f>
        <v/>
      </c>
      <c r="K649" s="25" t="str">
        <f>IF(OR(E649="",E649="!!!",F649="NEW"),"",INDEX(J$1:J648,SUMPRODUCT(MAX(ROW(E$1:E648)*(E649=E$1:E648)))))</f>
        <v/>
      </c>
      <c r="L649" s="26"/>
    </row>
    <row r="650" spans="1:12" x14ac:dyDescent="0.3">
      <c r="A650" t="s">
        <v>185</v>
      </c>
      <c r="E650" s="21" t="str">
        <f t="shared" si="58"/>
        <v/>
      </c>
      <c r="F650" s="22" t="str">
        <f>IF(OR(E650="",E650="!!!"),"",IF(NOT(ISNA(VLOOKUP(E650,E$1:E649,1,FALSE()))),"OLD",IF(AND(E650&lt;&gt;"",E650&lt;&gt;"!!!"),"NEW","")))</f>
        <v/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/>
      </c>
      <c r="H650" s="24" t="str">
        <f t="shared" ca="1" si="59"/>
        <v/>
      </c>
      <c r="I650" s="25" t="str">
        <f>IF(OR(E650="",E650="!!!",F650="NEW"),"",INDEX(B$2:B649,-1+SUMPRODUCT(MAX(ROW(E$2:E649)*(E650=E$2:E649)))))</f>
        <v/>
      </c>
      <c r="J650" s="25" t="str">
        <f ca="1">IF(OR(E650="",E650="!!!",F650="NEW"),"",COUNTBLANK(OFFSET(A$1,,,SUMPRODUCT(MAX(ROW(E$2:E650)*(E650=E$2:E650)))))-COUNTBLANK(OFFSET(A$1,,,SUMPRODUCT(MAX(ROW(E$1:E649)*(E2=E$1:E649))))))</f>
        <v/>
      </c>
      <c r="K650" s="25" t="str">
        <f>IF(OR(E650="",E650="!!!",F650="NEW"),"",INDEX(J$1:J649,SUMPRODUCT(MAX(ROW(E$1:E649)*(E650=E$1:E649)))))</f>
        <v/>
      </c>
      <c r="L650" s="26"/>
    </row>
    <row r="651" spans="1:12" x14ac:dyDescent="0.3">
      <c r="A651" t="s">
        <v>327</v>
      </c>
      <c r="E651" s="21" t="str">
        <f t="shared" si="58"/>
        <v/>
      </c>
      <c r="F651" s="22" t="str">
        <f>IF(OR(E651="",E651="!!!"),"",IF(NOT(ISNA(VLOOKUP(E651,E$1:E650,1,FALSE()))),"OLD",IF(AND(E651&lt;&gt;"",E651&lt;&gt;"!!!"),"NEW","")))</f>
        <v/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/>
      </c>
      <c r="H651" s="24" t="str">
        <f t="shared" ca="1" si="59"/>
        <v/>
      </c>
      <c r="I651" s="25" t="str">
        <f>IF(OR(E651="",E651="!!!",F651="NEW"),"",INDEX(B$2:B650,-1+SUMPRODUCT(MAX(ROW(E$2:E650)*(E651=E$2:E650)))))</f>
        <v/>
      </c>
      <c r="J651" s="25" t="str">
        <f ca="1">IF(OR(E651="",E651="!!!",F651="NEW"),"",COUNTBLANK(OFFSET(A$1,,,SUMPRODUCT(MAX(ROW(E$2:E651)*(E651=E$2:E651)))))-COUNTBLANK(OFFSET(A$1,,,SUMPRODUCT(MAX(ROW(E$1:E650)*(E2=E$1:E650))))))</f>
        <v/>
      </c>
      <c r="K651" s="25" t="str">
        <f>IF(OR(E651="",E651="!!!",F651="NEW"),"",INDEX(J$1:J650,SUMPRODUCT(MAX(ROW(E$1:E650)*(E651=E$1:E650)))))</f>
        <v/>
      </c>
      <c r="L651" s="26"/>
    </row>
    <row r="652" spans="1:12" x14ac:dyDescent="0.3">
      <c r="A652" t="s">
        <v>220</v>
      </c>
      <c r="E652" s="21" t="str">
        <f t="shared" si="58"/>
        <v/>
      </c>
      <c r="F652" s="22" t="str">
        <f>IF(OR(E652="",E652="!!!"),"",IF(NOT(ISNA(VLOOKUP(E652,E$1:E651,1,FALSE()))),"OLD",IF(AND(E652&lt;&gt;"",E652&lt;&gt;"!!!"),"NEW","")))</f>
        <v/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/>
      </c>
      <c r="H652" s="24" t="str">
        <f t="shared" ca="1" si="59"/>
        <v/>
      </c>
      <c r="I652" s="25" t="str">
        <f>IF(OR(E652="",E652="!!!",F652="NEW"),"",INDEX(B$2:B651,-1+SUMPRODUCT(MAX(ROW(E$2:E651)*(E652=E$2:E651)))))</f>
        <v/>
      </c>
      <c r="J652" s="25" t="str">
        <f ca="1">IF(OR(E652="",E652="!!!",F652="NEW"),"",COUNTBLANK(OFFSET(A$1,,,SUMPRODUCT(MAX(ROW(E$2:E652)*(E652=E$2:E652)))))-COUNTBLANK(OFFSET(A$1,,,SUMPRODUCT(MAX(ROW(E$1:E651)*(E2=E$1:E651))))))</f>
        <v/>
      </c>
      <c r="K652" s="25" t="str">
        <f>IF(OR(E652="",E652="!!!",F652="NEW"),"",INDEX(J$1:J651,SUMPRODUCT(MAX(ROW(E$1:E651)*(E652=E$1:E651)))))</f>
        <v/>
      </c>
      <c r="L652" s="26"/>
    </row>
    <row r="653" spans="1:12" x14ac:dyDescent="0.3">
      <c r="A653" t="s">
        <v>248</v>
      </c>
      <c r="B653" s="20" t="s">
        <v>158</v>
      </c>
      <c r="C653" s="20" t="s">
        <v>159</v>
      </c>
      <c r="D653" s="20" t="s">
        <v>160</v>
      </c>
      <c r="E653" s="21" t="str">
        <f t="shared" si="58"/>
        <v>!!!</v>
      </c>
      <c r="F653" s="22" t="str">
        <f>IF(OR(E653="",E653="!!!"),"",IF(NOT(ISNA(VLOOKUP(E653,E$1:E652,1,FALSE()))),"OLD",IF(AND(E653&lt;&gt;"",E653&lt;&gt;"!!!"),"NEW","")))</f>
        <v/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/>
      </c>
      <c r="H653" s="24" t="str">
        <f t="shared" ca="1" si="59"/>
        <v/>
      </c>
      <c r="I653" s="25" t="str">
        <f>IF(OR(E653="",E653="!!!",F653="NEW"),"",INDEX(B$2:B652,-1+SUMPRODUCT(MAX(ROW(E$2:E652)*(E653=E$2:E652)))))</f>
        <v/>
      </c>
      <c r="J653" s="25" t="str">
        <f ca="1">IF(OR(E653="",E653="!!!",F653="NEW"),"",COUNTBLANK(OFFSET(A$1,,,SUMPRODUCT(MAX(ROW(E$2:E653)*(E653=E$2:E653)))))-COUNTBLANK(OFFSET(A$1,,,SUMPRODUCT(MAX(ROW(E$1:E652)*(E2=E$1:E652))))))</f>
        <v/>
      </c>
      <c r="K653" s="25" t="str">
        <f>IF(OR(E653="",E653="!!!",F653="NEW"),"",INDEX(J$1:J652,SUMPRODUCT(MAX(ROW(E$1:E652)*(E653=E$1:E652)))))</f>
        <v/>
      </c>
      <c r="L653" s="26"/>
    </row>
    <row r="654" spans="1:12" x14ac:dyDescent="0.3">
      <c r="A654" t="s">
        <v>204</v>
      </c>
      <c r="E654" s="21" t="str">
        <f t="shared" si="58"/>
        <v/>
      </c>
      <c r="F654" s="22" t="str">
        <f>IF(OR(E654="",E654="!!!"),"",IF(NOT(ISNA(VLOOKUP(E654,E$1:E653,1,FALSE()))),"OLD",IF(AND(E654&lt;&gt;"",E654&lt;&gt;"!!!"),"NEW","")))</f>
        <v/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/>
      </c>
      <c r="H654" s="24" t="str">
        <f t="shared" ca="1" si="59"/>
        <v/>
      </c>
      <c r="I654" s="25" t="str">
        <f>IF(OR(E654="",E654="!!!",F654="NEW"),"",INDEX(B$2:B653,-1+SUMPRODUCT(MAX(ROW(E$2:E653)*(E654=E$2:E653)))))</f>
        <v/>
      </c>
      <c r="J654" s="25" t="str">
        <f ca="1">IF(OR(E654="",E654="!!!",F654="NEW"),"",COUNTBLANK(OFFSET(A$1,,,SUMPRODUCT(MAX(ROW(E$2:E654)*(E654=E$2:E654)))))-COUNTBLANK(OFFSET(A$1,,,SUMPRODUCT(MAX(ROW(E$1:E653)*(E2=E$1:E653))))))</f>
        <v/>
      </c>
      <c r="K654" s="25" t="str">
        <f>IF(OR(E654="",E654="!!!",F654="NEW"),"",INDEX(J$1:J653,SUMPRODUCT(MAX(ROW(E$1:E653)*(E654=E$1:E653)))))</f>
        <v/>
      </c>
      <c r="L654" s="26"/>
    </row>
    <row r="655" spans="1:12" x14ac:dyDescent="0.3">
      <c r="A655" t="s">
        <v>386</v>
      </c>
      <c r="B655" s="20" t="s">
        <v>172</v>
      </c>
      <c r="C655" s="20" t="s">
        <v>159</v>
      </c>
      <c r="D655" s="20" t="s">
        <v>160</v>
      </c>
      <c r="E655" s="21" t="str">
        <f t="shared" si="58"/>
        <v>!!!</v>
      </c>
      <c r="F655" s="22" t="str">
        <f>IF(OR(E655="",E655="!!!"),"",IF(NOT(ISNA(VLOOKUP(E655,E$1:E654,1,FALSE()))),"OLD",IF(AND(E655&lt;&gt;"",E655&lt;&gt;"!!!"),"NEW","")))</f>
        <v/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/>
      </c>
      <c r="H655" s="24" t="str">
        <f t="shared" ca="1" si="59"/>
        <v/>
      </c>
      <c r="I655" s="25" t="str">
        <f>IF(OR(E655="",E655="!!!",F655="NEW"),"",INDEX(B$2:B654,-1+SUMPRODUCT(MAX(ROW(E$2:E654)*(E655=E$2:E654)))))</f>
        <v/>
      </c>
      <c r="J655" s="25" t="str">
        <f ca="1">IF(OR(E655="",E655="!!!",F655="NEW"),"",COUNTBLANK(OFFSET(A$1,,,SUMPRODUCT(MAX(ROW(E$2:E655)*(E655=E$2:E655)))))-COUNTBLANK(OFFSET(A$1,,,SUMPRODUCT(MAX(ROW(E$1:E654)*(E2=E$1:E654))))))</f>
        <v/>
      </c>
      <c r="K655" s="25" t="str">
        <f>IF(OR(E655="",E655="!!!",F655="NEW"),"",INDEX(J$1:J654,SUMPRODUCT(MAX(ROW(E$1:E654)*(E655=E$1:E654)))))</f>
        <v/>
      </c>
      <c r="L655" s="26"/>
    </row>
    <row r="656" spans="1:12" x14ac:dyDescent="0.3">
      <c r="A656" t="s">
        <v>387</v>
      </c>
      <c r="E656" s="21" t="str">
        <f t="shared" si="58"/>
        <v/>
      </c>
      <c r="F656" s="22" t="str">
        <f>IF(OR(E656="",E656="!!!"),"",IF(NOT(ISNA(VLOOKUP(E656,E$1:E655,1,FALSE()))),"OLD",IF(AND(E656&lt;&gt;"",E656&lt;&gt;"!!!"),"NEW","")))</f>
        <v/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/>
      </c>
      <c r="H656" s="24" t="str">
        <f t="shared" ca="1" si="59"/>
        <v/>
      </c>
      <c r="I656" s="25" t="str">
        <f>IF(OR(E656="",E656="!!!",F656="NEW"),"",INDEX(B$2:B655,-1+SUMPRODUCT(MAX(ROW(E$2:E655)*(E656=E$2:E655)))))</f>
        <v/>
      </c>
      <c r="J656" s="25" t="str">
        <f ca="1">IF(OR(E656="",E656="!!!",F656="NEW"),"",COUNTBLANK(OFFSET(A$1,,,SUMPRODUCT(MAX(ROW(E$2:E656)*(E656=E$2:E656)))))-COUNTBLANK(OFFSET(A$1,,,SUMPRODUCT(MAX(ROW(E$1:E655)*(E2=E$1:E655))))))</f>
        <v/>
      </c>
      <c r="K656" s="25" t="str">
        <f>IF(OR(E656="",E656="!!!",F656="NEW"),"",INDEX(J$1:J655,SUMPRODUCT(MAX(ROW(E$1:E655)*(E656=E$1:E655)))))</f>
        <v/>
      </c>
      <c r="L656" s="26"/>
    </row>
    <row r="657" spans="1:12" x14ac:dyDescent="0.3">
      <c r="A657" t="s">
        <v>212</v>
      </c>
      <c r="E657" s="21" t="str">
        <f t="shared" si="58"/>
        <v/>
      </c>
      <c r="F657" s="22" t="str">
        <f>IF(OR(E657="",E657="!!!"),"",IF(NOT(ISNA(VLOOKUP(E657,E$1:E656,1,FALSE()))),"OLD",IF(AND(E657&lt;&gt;"",E657&lt;&gt;"!!!"),"NEW","")))</f>
        <v/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/>
      </c>
      <c r="H657" s="24" t="str">
        <f t="shared" ca="1" si="59"/>
        <v/>
      </c>
      <c r="I657" s="25" t="str">
        <f>IF(OR(E657="",E657="!!!",F657="NEW"),"",INDEX(B$2:B656,-1+SUMPRODUCT(MAX(ROW(E$2:E656)*(E657=E$2:E656)))))</f>
        <v/>
      </c>
      <c r="J657" s="25" t="str">
        <f ca="1">IF(OR(E657="",E657="!!!",F657="NEW"),"",COUNTBLANK(OFFSET(A$1,,,SUMPRODUCT(MAX(ROW(E$2:E657)*(E657=E$2:E657)))))-COUNTBLANK(OFFSET(A$1,,,SUMPRODUCT(MAX(ROW(E$1:E656)*(E2=E$1:E656))))))</f>
        <v/>
      </c>
      <c r="K657" s="25" t="str">
        <f>IF(OR(E657="",E657="!!!",F657="NEW"),"",INDEX(J$1:J656,SUMPRODUCT(MAX(ROW(E$1:E656)*(E657=E$1:E656)))))</f>
        <v/>
      </c>
      <c r="L657" s="26"/>
    </row>
    <row r="659" spans="1:12" x14ac:dyDescent="0.3">
      <c r="A659" t="s">
        <v>487</v>
      </c>
    </row>
    <row r="660" spans="1:12" x14ac:dyDescent="0.3">
      <c r="A660" t="s">
        <v>214</v>
      </c>
      <c r="B660" s="20" t="s">
        <v>187</v>
      </c>
      <c r="C660" s="20" t="s">
        <v>206</v>
      </c>
      <c r="D660" s="20" t="s">
        <v>160</v>
      </c>
      <c r="E660" s="21" t="str">
        <f t="shared" ref="E660:E676" si="60">IF(D660="?OLD","!!!","")</f>
        <v>!!!</v>
      </c>
      <c r="F660" s="22" t="str">
        <f>IF(OR(E660="",E660="!!!"),"",IF(NOT(ISNA(VLOOKUP(E660,E$1:E659,1,FALSE()))),"OLD",IF(AND(E660&lt;&gt;"",E660&lt;&gt;"!!!"),"NEW","")))</f>
        <v/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/>
      </c>
      <c r="H660" s="24" t="str">
        <f t="shared" ref="H660:H676" ca="1" si="61">IF(J660&lt;&gt;1,"",IF(I660="SBJ","CB","?"))</f>
        <v/>
      </c>
      <c r="I660" s="25" t="str">
        <f>IF(OR(E660="",E660="!!!",F660="NEW"),"",INDEX(B$2:B659,-1+SUMPRODUCT(MAX(ROW(E$2:E659)*(E660=E$2:E659)))))</f>
        <v/>
      </c>
      <c r="J660" s="25" t="str">
        <f ca="1">IF(OR(E660="",E660="!!!",F660="NEW"),"",COUNTBLANK(OFFSET(A$1,,,SUMPRODUCT(MAX(ROW(E$2:E660)*(E660=E$2:E660)))))-COUNTBLANK(OFFSET(A$1,,,SUMPRODUCT(MAX(ROW(E$1:E659)*(E2=E$1:E659))))))</f>
        <v/>
      </c>
      <c r="K660" s="25" t="str">
        <f>IF(OR(E660="",E660="!!!",F660="NEW"),"",INDEX(J$1:J659,SUMPRODUCT(MAX(ROW(E$1:E659)*(E660=E$1:E659)))))</f>
        <v/>
      </c>
      <c r="L660" s="26"/>
    </row>
    <row r="661" spans="1:12" x14ac:dyDescent="0.3">
      <c r="A661" t="s">
        <v>215</v>
      </c>
      <c r="E661" s="21" t="str">
        <f t="shared" si="60"/>
        <v/>
      </c>
      <c r="F661" s="22" t="str">
        <f>IF(OR(E661="",E661="!!!"),"",IF(NOT(ISNA(VLOOKUP(E661,E$1:E660,1,FALSE()))),"OLD",IF(AND(E661&lt;&gt;"",E661&lt;&gt;"!!!"),"NEW","")))</f>
        <v/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/>
      </c>
      <c r="H661" s="24" t="str">
        <f t="shared" ca="1" si="61"/>
        <v/>
      </c>
      <c r="I661" s="25" t="str">
        <f>IF(OR(E661="",E661="!!!",F661="NEW"),"",INDEX(B$2:B660,-1+SUMPRODUCT(MAX(ROW(E$2:E660)*(E661=E$2:E660)))))</f>
        <v/>
      </c>
      <c r="J661" s="25" t="str">
        <f ca="1">IF(OR(E661="",E661="!!!",F661="NEW"),"",COUNTBLANK(OFFSET(A$1,,,SUMPRODUCT(MAX(ROW(E$2:E661)*(E661=E$2:E661)))))-COUNTBLANK(OFFSET(A$1,,,SUMPRODUCT(MAX(ROW(E$1:E660)*(E2=E$1:E660))))))</f>
        <v/>
      </c>
      <c r="K661" s="25" t="str">
        <f>IF(OR(E661="",E661="!!!",F661="NEW"),"",INDEX(J$1:J660,SUMPRODUCT(MAX(ROW(E$1:E660)*(E661=E$1:E660)))))</f>
        <v/>
      </c>
      <c r="L661" s="26"/>
    </row>
    <row r="662" spans="1:12" x14ac:dyDescent="0.3">
      <c r="A662" t="s">
        <v>323</v>
      </c>
      <c r="E662" s="21" t="str">
        <f t="shared" si="60"/>
        <v/>
      </c>
      <c r="F662" s="22" t="str">
        <f>IF(OR(E662="",E662="!!!"),"",IF(NOT(ISNA(VLOOKUP(E662,E$1:E661,1,FALSE()))),"OLD",IF(AND(E662&lt;&gt;"",E662&lt;&gt;"!!!"),"NEW","")))</f>
        <v/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/>
      </c>
      <c r="H662" s="24" t="str">
        <f t="shared" ca="1" si="61"/>
        <v/>
      </c>
      <c r="I662" s="25" t="str">
        <f>IF(OR(E662="",E662="!!!",F662="NEW"),"",INDEX(B$2:B661,-1+SUMPRODUCT(MAX(ROW(E$2:E661)*(E662=E$2:E661)))))</f>
        <v/>
      </c>
      <c r="J662" s="25" t="str">
        <f ca="1">IF(OR(E662="",E662="!!!",F662="NEW"),"",COUNTBLANK(OFFSET(A$1,,,SUMPRODUCT(MAX(ROW(E$2:E662)*(E662=E$2:E662)))))-COUNTBLANK(OFFSET(A$1,,,SUMPRODUCT(MAX(ROW(E$1:E661)*(E2=E$1:E661))))))</f>
        <v/>
      </c>
      <c r="K662" s="25" t="str">
        <f>IF(OR(E662="",E662="!!!",F662="NEW"),"",INDEX(J$1:J661,SUMPRODUCT(MAX(ROW(E$1:E661)*(E662=E$1:E661)))))</f>
        <v/>
      </c>
      <c r="L662" s="26"/>
    </row>
    <row r="663" spans="1:12" x14ac:dyDescent="0.3">
      <c r="A663" t="s">
        <v>488</v>
      </c>
      <c r="E663" s="21" t="str">
        <f t="shared" si="60"/>
        <v/>
      </c>
      <c r="F663" s="22" t="str">
        <f>IF(OR(E663="",E663="!!!"),"",IF(NOT(ISNA(VLOOKUP(E663,E$1:E662,1,FALSE()))),"OLD",IF(AND(E663&lt;&gt;"",E663&lt;&gt;"!!!"),"NEW","")))</f>
        <v/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/>
      </c>
      <c r="H663" s="24" t="str">
        <f t="shared" ca="1" si="61"/>
        <v/>
      </c>
      <c r="I663" s="25" t="str">
        <f>IF(OR(E663="",E663="!!!",F663="NEW"),"",INDEX(B$2:B662,-1+SUMPRODUCT(MAX(ROW(E$2:E662)*(E663=E$2:E662)))))</f>
        <v/>
      </c>
      <c r="J663" s="25" t="str">
        <f ca="1">IF(OR(E663="",E663="!!!",F663="NEW"),"",COUNTBLANK(OFFSET(A$1,,,SUMPRODUCT(MAX(ROW(E$2:E663)*(E663=E$2:E663)))))-COUNTBLANK(OFFSET(A$1,,,SUMPRODUCT(MAX(ROW(E$1:E662)*(E2=E$1:E662))))))</f>
        <v/>
      </c>
      <c r="K663" s="25" t="str">
        <f>IF(OR(E663="",E663="!!!",F663="NEW"),"",INDEX(J$1:J662,SUMPRODUCT(MAX(ROW(E$1:E662)*(E663=E$1:E662)))))</f>
        <v/>
      </c>
      <c r="L663" s="26"/>
    </row>
    <row r="664" spans="1:12" x14ac:dyDescent="0.3">
      <c r="A664" t="s">
        <v>179</v>
      </c>
      <c r="E664" s="21" t="str">
        <f t="shared" si="60"/>
        <v/>
      </c>
      <c r="F664" s="22" t="str">
        <f>IF(OR(E664="",E664="!!!"),"",IF(NOT(ISNA(VLOOKUP(E664,E$1:E663,1,FALSE()))),"OLD",IF(AND(E664&lt;&gt;"",E664&lt;&gt;"!!!"),"NEW","")))</f>
        <v/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/>
      </c>
      <c r="H664" s="24" t="str">
        <f t="shared" ca="1" si="61"/>
        <v/>
      </c>
      <c r="I664" s="25" t="str">
        <f>IF(OR(E664="",E664="!!!",F664="NEW"),"",INDEX(B$2:B663,-1+SUMPRODUCT(MAX(ROW(E$2:E663)*(E664=E$2:E663)))))</f>
        <v/>
      </c>
      <c r="J664" s="25" t="str">
        <f ca="1">IF(OR(E664="",E664="!!!",F664="NEW"),"",COUNTBLANK(OFFSET(A$1,,,SUMPRODUCT(MAX(ROW(E$2:E664)*(E664=E$2:E664)))))-COUNTBLANK(OFFSET(A$1,,,SUMPRODUCT(MAX(ROW(E$1:E663)*(E2=E$1:E663))))))</f>
        <v/>
      </c>
      <c r="K664" s="25" t="str">
        <f>IF(OR(E664="",E664="!!!",F664="NEW"),"",INDEX(J$1:J663,SUMPRODUCT(MAX(ROW(E$1:E663)*(E664=E$1:E663)))))</f>
        <v/>
      </c>
      <c r="L664" s="26"/>
    </row>
    <row r="665" spans="1:12" x14ac:dyDescent="0.3">
      <c r="A665" t="s">
        <v>489</v>
      </c>
      <c r="B665" s="20" t="s">
        <v>176</v>
      </c>
      <c r="C665" s="20" t="s">
        <v>181</v>
      </c>
      <c r="D665" s="20" t="s">
        <v>160</v>
      </c>
      <c r="E665" s="21" t="str">
        <f t="shared" si="60"/>
        <v>!!!</v>
      </c>
      <c r="F665" s="22" t="str">
        <f>IF(OR(E665="",E665="!!!"),"",IF(NOT(ISNA(VLOOKUP(E665,E$1:E664,1,FALSE()))),"OLD",IF(AND(E665&lt;&gt;"",E665&lt;&gt;"!!!"),"NEW","")))</f>
        <v/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/>
      </c>
      <c r="H665" s="24" t="str">
        <f t="shared" ca="1" si="61"/>
        <v/>
      </c>
      <c r="I665" s="25" t="str">
        <f>IF(OR(E665="",E665="!!!",F665="NEW"),"",INDEX(B$2:B664,-1+SUMPRODUCT(MAX(ROW(E$2:E664)*(E665=E$2:E664)))))</f>
        <v/>
      </c>
      <c r="J665" s="25" t="str">
        <f ca="1">IF(OR(E665="",E665="!!!",F665="NEW"),"",COUNTBLANK(OFFSET(A$1,,,SUMPRODUCT(MAX(ROW(E$2:E665)*(E665=E$2:E665)))))-COUNTBLANK(OFFSET(A$1,,,SUMPRODUCT(MAX(ROW(E$1:E664)*(E2=E$1:E664))))))</f>
        <v/>
      </c>
      <c r="K665" s="25" t="str">
        <f>IF(OR(E665="",E665="!!!",F665="NEW"),"",INDEX(J$1:J664,SUMPRODUCT(MAX(ROW(E$1:E664)*(E665=E$1:E664)))))</f>
        <v/>
      </c>
      <c r="L665" s="26"/>
    </row>
    <row r="666" spans="1:12" x14ac:dyDescent="0.3">
      <c r="A666" t="s">
        <v>188</v>
      </c>
      <c r="E666" s="21" t="str">
        <f t="shared" si="60"/>
        <v/>
      </c>
      <c r="F666" s="22" t="str">
        <f>IF(OR(E666="",E666="!!!"),"",IF(NOT(ISNA(VLOOKUP(E666,E$1:E665,1,FALSE()))),"OLD",IF(AND(E666&lt;&gt;"",E666&lt;&gt;"!!!"),"NEW","")))</f>
        <v/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/>
      </c>
      <c r="H666" s="24" t="str">
        <f t="shared" ca="1" si="61"/>
        <v/>
      </c>
      <c r="I666" s="25" t="str">
        <f>IF(OR(E666="",E666="!!!",F666="NEW"),"",INDEX(B$2:B665,-1+SUMPRODUCT(MAX(ROW(E$2:E665)*(E666=E$2:E665)))))</f>
        <v/>
      </c>
      <c r="J666" s="25" t="str">
        <f ca="1">IF(OR(E666="",E666="!!!",F666="NEW"),"",COUNTBLANK(OFFSET(A$1,,,SUMPRODUCT(MAX(ROW(E$2:E666)*(E666=E$2:E666)))))-COUNTBLANK(OFFSET(A$1,,,SUMPRODUCT(MAX(ROW(E$1:E665)*(E2=E$1:E665))))))</f>
        <v/>
      </c>
      <c r="K666" s="25" t="str">
        <f>IF(OR(E666="",E666="!!!",F666="NEW"),"",INDEX(J$1:J665,SUMPRODUCT(MAX(ROW(E$1:E665)*(E666=E$1:E665)))))</f>
        <v/>
      </c>
      <c r="L666" s="26"/>
    </row>
    <row r="667" spans="1:12" x14ac:dyDescent="0.3">
      <c r="A667" t="s">
        <v>244</v>
      </c>
      <c r="B667" s="20" t="s">
        <v>158</v>
      </c>
      <c r="C667" s="20" t="s">
        <v>167</v>
      </c>
      <c r="E667" s="21" t="str">
        <f t="shared" si="60"/>
        <v/>
      </c>
      <c r="F667" s="22" t="str">
        <f>IF(OR(E667="",E667="!!!"),"",IF(NOT(ISNA(VLOOKUP(E667,E$1:E666,1,FALSE()))),"OLD",IF(AND(E667&lt;&gt;"",E667&lt;&gt;"!!!"),"NEW","")))</f>
        <v/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/>
      </c>
      <c r="H667" s="24" t="str">
        <f t="shared" ca="1" si="61"/>
        <v/>
      </c>
      <c r="I667" s="25" t="str">
        <f>IF(OR(E667="",E667="!!!",F667="NEW"),"",INDEX(B$2:B666,-1+SUMPRODUCT(MAX(ROW(E$2:E666)*(E667=E$2:E666)))))</f>
        <v/>
      </c>
      <c r="J667" s="25" t="str">
        <f ca="1">IF(OR(E667="",E667="!!!",F667="NEW"),"",COUNTBLANK(OFFSET(A$1,,,SUMPRODUCT(MAX(ROW(E$2:E667)*(E667=E$2:E667)))))-COUNTBLANK(OFFSET(A$1,,,SUMPRODUCT(MAX(ROW(E$1:E666)*(E2=E$1:E666))))))</f>
        <v/>
      </c>
      <c r="K667" s="25" t="str">
        <f>IF(OR(E667="",E667="!!!",F667="NEW"),"",INDEX(J$1:J666,SUMPRODUCT(MAX(ROW(E$1:E666)*(E667=E$1:E666)))))</f>
        <v/>
      </c>
      <c r="L667" s="26"/>
    </row>
    <row r="668" spans="1:12" x14ac:dyDescent="0.3">
      <c r="A668" t="s">
        <v>421</v>
      </c>
      <c r="E668" s="21" t="str">
        <f t="shared" si="60"/>
        <v/>
      </c>
      <c r="F668" s="22" t="str">
        <f>IF(OR(E668="",E668="!!!"),"",IF(NOT(ISNA(VLOOKUP(E668,E$1:E667,1,FALSE()))),"OLD",IF(AND(E668&lt;&gt;"",E668&lt;&gt;"!!!"),"NEW","")))</f>
        <v/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/>
      </c>
      <c r="H668" s="24" t="str">
        <f t="shared" ca="1" si="61"/>
        <v/>
      </c>
      <c r="I668" s="25" t="str">
        <f>IF(OR(E668="",E668="!!!",F668="NEW"),"",INDEX(B$2:B667,-1+SUMPRODUCT(MAX(ROW(E$2:E667)*(E668=E$2:E667)))))</f>
        <v/>
      </c>
      <c r="J668" s="25" t="str">
        <f ca="1">IF(OR(E668="",E668="!!!",F668="NEW"),"",COUNTBLANK(OFFSET(A$1,,,SUMPRODUCT(MAX(ROW(E$2:E668)*(E668=E$2:E668)))))-COUNTBLANK(OFFSET(A$1,,,SUMPRODUCT(MAX(ROW(E$1:E667)*(E2=E$1:E667))))))</f>
        <v/>
      </c>
      <c r="K668" s="25" t="str">
        <f>IF(OR(E668="",E668="!!!",F668="NEW"),"",INDEX(J$1:J667,SUMPRODUCT(MAX(ROW(E$1:E667)*(E668=E$1:E667)))))</f>
        <v/>
      </c>
      <c r="L668" s="26"/>
    </row>
    <row r="669" spans="1:12" x14ac:dyDescent="0.3">
      <c r="A669" t="s">
        <v>490</v>
      </c>
      <c r="B669" s="20" t="s">
        <v>158</v>
      </c>
      <c r="C669" s="20" t="s">
        <v>167</v>
      </c>
      <c r="E669" s="21" t="str">
        <f t="shared" si="60"/>
        <v/>
      </c>
      <c r="F669" s="22" t="str">
        <f>IF(OR(E669="",E669="!!!"),"",IF(NOT(ISNA(VLOOKUP(E669,E$1:E668,1,FALSE()))),"OLD",IF(AND(E669&lt;&gt;"",E669&lt;&gt;"!!!"),"NEW","")))</f>
        <v/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/>
      </c>
      <c r="H669" s="24" t="str">
        <f t="shared" ca="1" si="61"/>
        <v/>
      </c>
      <c r="I669" s="25" t="str">
        <f>IF(OR(E669="",E669="!!!",F669="NEW"),"",INDEX(B$2:B668,-1+SUMPRODUCT(MAX(ROW(E$2:E668)*(E669=E$2:E668)))))</f>
        <v/>
      </c>
      <c r="J669" s="25" t="str">
        <f ca="1">IF(OR(E669="",E669="!!!",F669="NEW"),"",COUNTBLANK(OFFSET(A$1,,,SUMPRODUCT(MAX(ROW(E$2:E669)*(E669=E$2:E669)))))-COUNTBLANK(OFFSET(A$1,,,SUMPRODUCT(MAX(ROW(E$1:E668)*(E2=E$1:E668))))))</f>
        <v/>
      </c>
      <c r="K669" s="25" t="str">
        <f>IF(OR(E669="",E669="!!!",F669="NEW"),"",INDEX(J$1:J668,SUMPRODUCT(MAX(ROW(E$1:E668)*(E669=E$1:E668)))))</f>
        <v/>
      </c>
      <c r="L669" s="26"/>
    </row>
    <row r="670" spans="1:12" x14ac:dyDescent="0.3">
      <c r="A670" t="s">
        <v>185</v>
      </c>
      <c r="E670" s="21" t="str">
        <f t="shared" si="60"/>
        <v/>
      </c>
      <c r="F670" s="22" t="str">
        <f>IF(OR(E670="",E670="!!!"),"",IF(NOT(ISNA(VLOOKUP(E670,E$1:E669,1,FALSE()))),"OLD",IF(AND(E670&lt;&gt;"",E670&lt;&gt;"!!!"),"NEW","")))</f>
        <v/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/>
      </c>
      <c r="H670" s="24" t="str">
        <f t="shared" ca="1" si="61"/>
        <v/>
      </c>
      <c r="I670" s="25" t="str">
        <f>IF(OR(E670="",E670="!!!",F670="NEW"),"",INDEX(B$2:B669,-1+SUMPRODUCT(MAX(ROW(E$2:E669)*(E670=E$2:E669)))))</f>
        <v/>
      </c>
      <c r="J670" s="25" t="str">
        <f ca="1">IF(OR(E670="",E670="!!!",F670="NEW"),"",COUNTBLANK(OFFSET(A$1,,,SUMPRODUCT(MAX(ROW(E$2:E670)*(E670=E$2:E670)))))-COUNTBLANK(OFFSET(A$1,,,SUMPRODUCT(MAX(ROW(E$1:E669)*(E2=E$1:E669))))))</f>
        <v/>
      </c>
      <c r="K670" s="25" t="str">
        <f>IF(OR(E670="",E670="!!!",F670="NEW"),"",INDEX(J$1:J669,SUMPRODUCT(MAX(ROW(E$1:E669)*(E670=E$1:E669)))))</f>
        <v/>
      </c>
      <c r="L670" s="26"/>
    </row>
    <row r="671" spans="1:12" x14ac:dyDescent="0.3">
      <c r="A671" t="s">
        <v>491</v>
      </c>
      <c r="B671" s="20" t="s">
        <v>172</v>
      </c>
      <c r="C671" s="20" t="s">
        <v>167</v>
      </c>
      <c r="E671" s="21" t="str">
        <f t="shared" si="60"/>
        <v/>
      </c>
      <c r="F671" s="22" t="str">
        <f>IF(OR(E671="",E671="!!!"),"",IF(NOT(ISNA(VLOOKUP(E671,E$1:E670,1,FALSE()))),"OLD",IF(AND(E671&lt;&gt;"",E671&lt;&gt;"!!!"),"NEW","")))</f>
        <v/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/>
      </c>
      <c r="H671" s="24" t="str">
        <f t="shared" ca="1" si="61"/>
        <v/>
      </c>
      <c r="I671" s="25" t="str">
        <f>IF(OR(E671="",E671="!!!",F671="NEW"),"",INDEX(B$2:B670,-1+SUMPRODUCT(MAX(ROW(E$2:E670)*(E671=E$2:E670)))))</f>
        <v/>
      </c>
      <c r="J671" s="25" t="str">
        <f ca="1">IF(OR(E671="",E671="!!!",F671="NEW"),"",COUNTBLANK(OFFSET(A$1,,,SUMPRODUCT(MAX(ROW(E$2:E671)*(E671=E$2:E671)))))-COUNTBLANK(OFFSET(A$1,,,SUMPRODUCT(MAX(ROW(E$1:E670)*(E2=E$1:E670))))))</f>
        <v/>
      </c>
      <c r="K671" s="25" t="str">
        <f>IF(OR(E671="",E671="!!!",F671="NEW"),"",INDEX(J$1:J670,SUMPRODUCT(MAX(ROW(E$1:E670)*(E671=E$1:E670)))))</f>
        <v/>
      </c>
      <c r="L671" s="26"/>
    </row>
    <row r="672" spans="1:12" x14ac:dyDescent="0.3">
      <c r="A672" t="s">
        <v>185</v>
      </c>
      <c r="E672" s="21" t="str">
        <f t="shared" si="60"/>
        <v/>
      </c>
      <c r="F672" s="22" t="str">
        <f>IF(OR(E672="",E672="!!!"),"",IF(NOT(ISNA(VLOOKUP(E672,E$1:E671,1,FALSE()))),"OLD",IF(AND(E672&lt;&gt;"",E672&lt;&gt;"!!!"),"NEW","")))</f>
        <v/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/>
      </c>
      <c r="H672" s="24" t="str">
        <f t="shared" ca="1" si="61"/>
        <v/>
      </c>
      <c r="I672" s="25" t="str">
        <f>IF(OR(E672="",E672="!!!",F672="NEW"),"",INDEX(B$2:B671,-1+SUMPRODUCT(MAX(ROW(E$2:E671)*(E672=E$2:E671)))))</f>
        <v/>
      </c>
      <c r="J672" s="25" t="str">
        <f ca="1">IF(OR(E672="",E672="!!!",F672="NEW"),"",COUNTBLANK(OFFSET(A$1,,,SUMPRODUCT(MAX(ROW(E$2:E672)*(E672=E$2:E672)))))-COUNTBLANK(OFFSET(A$1,,,SUMPRODUCT(MAX(ROW(E$1:E671)*(E2=E$1:E671))))))</f>
        <v/>
      </c>
      <c r="K672" s="25" t="str">
        <f>IF(OR(E672="",E672="!!!",F672="NEW"),"",INDEX(J$1:J671,SUMPRODUCT(MAX(ROW(E$1:E671)*(E672=E$1:E671)))))</f>
        <v/>
      </c>
      <c r="L672" s="26"/>
    </row>
    <row r="673" spans="1:12" x14ac:dyDescent="0.3">
      <c r="A673" t="s">
        <v>492</v>
      </c>
      <c r="B673" s="20" t="s">
        <v>172</v>
      </c>
      <c r="C673" s="20" t="s">
        <v>167</v>
      </c>
      <c r="E673" s="21" t="str">
        <f t="shared" si="60"/>
        <v/>
      </c>
      <c r="F673" s="22" t="str">
        <f>IF(OR(E673="",E673="!!!"),"",IF(NOT(ISNA(VLOOKUP(E673,E$1:E672,1,FALSE()))),"OLD",IF(AND(E673&lt;&gt;"",E673&lt;&gt;"!!!"),"NEW","")))</f>
        <v/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/>
      </c>
      <c r="H673" s="24" t="str">
        <f t="shared" ca="1" si="61"/>
        <v/>
      </c>
      <c r="I673" s="25" t="str">
        <f>IF(OR(E673="",E673="!!!",F673="NEW"),"",INDEX(B$2:B672,-1+SUMPRODUCT(MAX(ROW(E$2:E672)*(E673=E$2:E672)))))</f>
        <v/>
      </c>
      <c r="J673" s="25" t="str">
        <f ca="1">IF(OR(E673="",E673="!!!",F673="NEW"),"",COUNTBLANK(OFFSET(A$1,,,SUMPRODUCT(MAX(ROW(E$2:E673)*(E673=E$2:E673)))))-COUNTBLANK(OFFSET(A$1,,,SUMPRODUCT(MAX(ROW(E$1:E672)*(E2=E$1:E672))))))</f>
        <v/>
      </c>
      <c r="K673" s="25" t="str">
        <f>IF(OR(E673="",E673="!!!",F673="NEW"),"",INDEX(J$1:J672,SUMPRODUCT(MAX(ROW(E$1:E672)*(E673=E$1:E672)))))</f>
        <v/>
      </c>
      <c r="L673" s="26"/>
    </row>
    <row r="674" spans="1:12" x14ac:dyDescent="0.3">
      <c r="A674" t="s">
        <v>168</v>
      </c>
      <c r="E674" s="21" t="str">
        <f t="shared" si="60"/>
        <v/>
      </c>
      <c r="F674" s="22" t="str">
        <f>IF(OR(E674="",E674="!!!"),"",IF(NOT(ISNA(VLOOKUP(E674,E$1:E673,1,FALSE()))),"OLD",IF(AND(E674&lt;&gt;"",E674&lt;&gt;"!!!"),"NEW","")))</f>
        <v/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/>
      </c>
      <c r="H674" s="24" t="str">
        <f t="shared" ca="1" si="61"/>
        <v/>
      </c>
      <c r="I674" s="25" t="str">
        <f>IF(OR(E674="",E674="!!!",F674="NEW"),"",INDEX(B$2:B673,-1+SUMPRODUCT(MAX(ROW(E$2:E673)*(E674=E$2:E673)))))</f>
        <v/>
      </c>
      <c r="J674" s="25" t="str">
        <f ca="1">IF(OR(E674="",E674="!!!",F674="NEW"),"",COUNTBLANK(OFFSET(A$1,,,SUMPRODUCT(MAX(ROW(E$2:E674)*(E674=E$2:E674)))))-COUNTBLANK(OFFSET(A$1,,,SUMPRODUCT(MAX(ROW(E$1:E673)*(E2=E$1:E673))))))</f>
        <v/>
      </c>
      <c r="K674" s="25" t="str">
        <f>IF(OR(E674="",E674="!!!",F674="NEW"),"",INDEX(J$1:J673,SUMPRODUCT(MAX(ROW(E$1:E673)*(E674=E$1:E673)))))</f>
        <v/>
      </c>
      <c r="L674" s="26"/>
    </row>
    <row r="675" spans="1:12" x14ac:dyDescent="0.3">
      <c r="A675" t="s">
        <v>493</v>
      </c>
      <c r="B675" s="20" t="s">
        <v>172</v>
      </c>
      <c r="C675" s="20" t="s">
        <v>167</v>
      </c>
      <c r="E675" s="21" t="str">
        <f t="shared" si="60"/>
        <v/>
      </c>
      <c r="F675" s="22" t="str">
        <f>IF(OR(E675="",E675="!!!"),"",IF(NOT(ISNA(VLOOKUP(E675,E$1:E674,1,FALSE()))),"OLD",IF(AND(E675&lt;&gt;"",E675&lt;&gt;"!!!"),"NEW","")))</f>
        <v/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/>
      </c>
      <c r="H675" s="24" t="str">
        <f t="shared" ca="1" si="61"/>
        <v/>
      </c>
      <c r="I675" s="25" t="str">
        <f>IF(OR(E675="",E675="!!!",F675="NEW"),"",INDEX(B$2:B674,-1+SUMPRODUCT(MAX(ROW(E$2:E674)*(E675=E$2:E674)))))</f>
        <v/>
      </c>
      <c r="J675" s="25" t="str">
        <f ca="1">IF(OR(E675="",E675="!!!",F675="NEW"),"",COUNTBLANK(OFFSET(A$1,,,SUMPRODUCT(MAX(ROW(E$2:E675)*(E675=E$2:E675)))))-COUNTBLANK(OFFSET(A$1,,,SUMPRODUCT(MAX(ROW(E$1:E674)*(E2=E$1:E674))))))</f>
        <v/>
      </c>
      <c r="K675" s="25" t="str">
        <f>IF(OR(E675="",E675="!!!",F675="NEW"),"",INDEX(J$1:J674,SUMPRODUCT(MAX(ROW(E$1:E674)*(E675=E$1:E674)))))</f>
        <v/>
      </c>
      <c r="L675" s="26"/>
    </row>
    <row r="676" spans="1:12" x14ac:dyDescent="0.3">
      <c r="A676" t="s">
        <v>212</v>
      </c>
      <c r="E676" s="21" t="str">
        <f t="shared" si="60"/>
        <v/>
      </c>
      <c r="F676" s="22" t="str">
        <f>IF(OR(E676="",E676="!!!"),"",IF(NOT(ISNA(VLOOKUP(E676,E$1:E675,1,FALSE()))),"OLD",IF(AND(E676&lt;&gt;"",E676&lt;&gt;"!!!"),"NEW","")))</f>
        <v/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/>
      </c>
      <c r="H676" s="24" t="str">
        <f t="shared" ca="1" si="61"/>
        <v/>
      </c>
      <c r="I676" s="25" t="str">
        <f>IF(OR(E676="",E676="!!!",F676="NEW"),"",INDEX(B$2:B675,-1+SUMPRODUCT(MAX(ROW(E$2:E675)*(E676=E$2:E675)))))</f>
        <v/>
      </c>
      <c r="J676" s="25" t="str">
        <f ca="1">IF(OR(E676="",E676="!!!",F676="NEW"),"",COUNTBLANK(OFFSET(A$1,,,SUMPRODUCT(MAX(ROW(E$2:E676)*(E676=E$2:E676)))))-COUNTBLANK(OFFSET(A$1,,,SUMPRODUCT(MAX(ROW(E$1:E675)*(E2=E$1:E675))))))</f>
        <v/>
      </c>
      <c r="K676" s="25" t="str">
        <f>IF(OR(E676="",E676="!!!",F676="NEW"),"",INDEX(J$1:J675,SUMPRODUCT(MAX(ROW(E$1:E675)*(E676=E$1:E675)))))</f>
        <v/>
      </c>
      <c r="L676" s="26"/>
    </row>
    <row r="678" spans="1:12" x14ac:dyDescent="0.3">
      <c r="A678" t="s">
        <v>494</v>
      </c>
    </row>
    <row r="679" spans="1:12" x14ac:dyDescent="0.3">
      <c r="A679" t="s">
        <v>495</v>
      </c>
      <c r="B679" s="20" t="s">
        <v>187</v>
      </c>
      <c r="C679" s="20" t="s">
        <v>159</v>
      </c>
      <c r="D679" s="20" t="s">
        <v>160</v>
      </c>
      <c r="E679" s="21" t="str">
        <f t="shared" ref="E679:E689" si="62">IF(D679="?OLD","!!!","")</f>
        <v>!!!</v>
      </c>
      <c r="F679" s="22" t="str">
        <f>IF(OR(E679="",E679="!!!"),"",IF(NOT(ISNA(VLOOKUP(E679,E$1:E678,1,FALSE()))),"OLD",IF(AND(E679&lt;&gt;"",E679&lt;&gt;"!!!"),"NEW","")))</f>
        <v/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/>
      </c>
      <c r="H679" s="24" t="str">
        <f t="shared" ref="H679:H689" ca="1" si="63">IF(J679&lt;&gt;1,"",IF(I679="SBJ","CB","?"))</f>
        <v/>
      </c>
      <c r="I679" s="25" t="str">
        <f>IF(OR(E679="",E679="!!!",F679="NEW"),"",INDEX(B$2:B678,-1+SUMPRODUCT(MAX(ROW(E$2:E678)*(E679=E$2:E678)))))</f>
        <v/>
      </c>
      <c r="J679" s="25" t="str">
        <f ca="1">IF(OR(E679="",E679="!!!",F679="NEW"),"",COUNTBLANK(OFFSET(A$1,,,SUMPRODUCT(MAX(ROW(E$2:E679)*(E679=E$2:E679)))))-COUNTBLANK(OFFSET(A$1,,,SUMPRODUCT(MAX(ROW(E$1:E678)*(E2=E$1:E678))))))</f>
        <v/>
      </c>
      <c r="K679" s="25" t="str">
        <f>IF(OR(E679="",E679="!!!",F679="NEW"),"",INDEX(J$1:J678,SUMPRODUCT(MAX(ROW(E$1:E678)*(E679=E$1:E678)))))</f>
        <v/>
      </c>
      <c r="L679" s="26"/>
    </row>
    <row r="680" spans="1:12" x14ac:dyDescent="0.3">
      <c r="A680" t="s">
        <v>496</v>
      </c>
      <c r="E680" s="21" t="str">
        <f t="shared" si="62"/>
        <v/>
      </c>
      <c r="F680" s="22" t="str">
        <f>IF(OR(E680="",E680="!!!"),"",IF(NOT(ISNA(VLOOKUP(E680,E$1:E679,1,FALSE()))),"OLD",IF(AND(E680&lt;&gt;"",E680&lt;&gt;"!!!"),"NEW","")))</f>
        <v/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/>
      </c>
      <c r="H680" s="24" t="str">
        <f t="shared" ca="1" si="63"/>
        <v/>
      </c>
      <c r="I680" s="25" t="str">
        <f>IF(OR(E680="",E680="!!!",F680="NEW"),"",INDEX(B$2:B679,-1+SUMPRODUCT(MAX(ROW(E$2:E679)*(E680=E$2:E679)))))</f>
        <v/>
      </c>
      <c r="J680" s="25" t="str">
        <f ca="1">IF(OR(E680="",E680="!!!",F680="NEW"),"",COUNTBLANK(OFFSET(A$1,,,SUMPRODUCT(MAX(ROW(E$2:E680)*(E680=E$2:E680)))))-COUNTBLANK(OFFSET(A$1,,,SUMPRODUCT(MAX(ROW(E$1:E679)*(E2=E$1:E679))))))</f>
        <v/>
      </c>
      <c r="K680" s="25" t="str">
        <f>IF(OR(E680="",E680="!!!",F680="NEW"),"",INDEX(J$1:J679,SUMPRODUCT(MAX(ROW(E$1:E679)*(E680=E$1:E679)))))</f>
        <v/>
      </c>
      <c r="L680" s="26"/>
    </row>
    <row r="681" spans="1:12" x14ac:dyDescent="0.3">
      <c r="A681" t="s">
        <v>277</v>
      </c>
      <c r="E681" s="21" t="str">
        <f t="shared" si="62"/>
        <v/>
      </c>
      <c r="F681" s="22" t="str">
        <f>IF(OR(E681="",E681="!!!"),"",IF(NOT(ISNA(VLOOKUP(E681,E$1:E680,1,FALSE()))),"OLD",IF(AND(E681&lt;&gt;"",E681&lt;&gt;"!!!"),"NEW","")))</f>
        <v/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/>
      </c>
      <c r="H681" s="24" t="str">
        <f t="shared" ca="1" si="63"/>
        <v/>
      </c>
      <c r="I681" s="25" t="str">
        <f>IF(OR(E681="",E681="!!!",F681="NEW"),"",INDEX(B$2:B680,-1+SUMPRODUCT(MAX(ROW(E$2:E680)*(E681=E$2:E680)))))</f>
        <v/>
      </c>
      <c r="J681" s="25" t="str">
        <f ca="1">IF(OR(E681="",E681="!!!",F681="NEW"),"",COUNTBLANK(OFFSET(A$1,,,SUMPRODUCT(MAX(ROW(E$2:E681)*(E681=E$2:E681)))))-COUNTBLANK(OFFSET(A$1,,,SUMPRODUCT(MAX(ROW(E$1:E680)*(E2=E$1:E680))))))</f>
        <v/>
      </c>
      <c r="K681" s="25" t="str">
        <f>IF(OR(E681="",E681="!!!",F681="NEW"),"",INDEX(J$1:J680,SUMPRODUCT(MAX(ROW(E$1:E680)*(E681=E$1:E680)))))</f>
        <v/>
      </c>
      <c r="L681" s="26"/>
    </row>
    <row r="682" spans="1:12" x14ac:dyDescent="0.3">
      <c r="A682" t="s">
        <v>287</v>
      </c>
      <c r="E682" s="21" t="str">
        <f t="shared" si="62"/>
        <v/>
      </c>
      <c r="F682" s="22" t="str">
        <f>IF(OR(E682="",E682="!!!"),"",IF(NOT(ISNA(VLOOKUP(E682,E$1:E681,1,FALSE()))),"OLD",IF(AND(E682&lt;&gt;"",E682&lt;&gt;"!!!"),"NEW","")))</f>
        <v/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/>
      </c>
      <c r="H682" s="24" t="str">
        <f t="shared" ca="1" si="63"/>
        <v/>
      </c>
      <c r="I682" s="25" t="str">
        <f>IF(OR(E682="",E682="!!!",F682="NEW"),"",INDEX(B$2:B681,-1+SUMPRODUCT(MAX(ROW(E$2:E681)*(E682=E$2:E681)))))</f>
        <v/>
      </c>
      <c r="J682" s="25" t="str">
        <f ca="1">IF(OR(E682="",E682="!!!",F682="NEW"),"",COUNTBLANK(OFFSET(A$1,,,SUMPRODUCT(MAX(ROW(E$2:E682)*(E682=E$2:E682)))))-COUNTBLANK(OFFSET(A$1,,,SUMPRODUCT(MAX(ROW(E$1:E681)*(E2=E$1:E681))))))</f>
        <v/>
      </c>
      <c r="K682" s="25" t="str">
        <f>IF(OR(E682="",E682="!!!",F682="NEW"),"",INDEX(J$1:J681,SUMPRODUCT(MAX(ROW(E$1:E681)*(E682=E$1:E681)))))</f>
        <v/>
      </c>
      <c r="L682" s="26"/>
    </row>
    <row r="683" spans="1:12" x14ac:dyDescent="0.3">
      <c r="A683" t="s">
        <v>185</v>
      </c>
      <c r="E683" s="21" t="str">
        <f t="shared" si="62"/>
        <v/>
      </c>
      <c r="F683" s="22" t="str">
        <f>IF(OR(E683="",E683="!!!"),"",IF(NOT(ISNA(VLOOKUP(E683,E$1:E682,1,FALSE()))),"OLD",IF(AND(E683&lt;&gt;"",E683&lt;&gt;"!!!"),"NEW","")))</f>
        <v/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/>
      </c>
      <c r="H683" s="24" t="str">
        <f t="shared" ca="1" si="63"/>
        <v/>
      </c>
      <c r="I683" s="25" t="str">
        <f>IF(OR(E683="",E683="!!!",F683="NEW"),"",INDEX(B$2:B682,-1+SUMPRODUCT(MAX(ROW(E$2:E682)*(E683=E$2:E682)))))</f>
        <v/>
      </c>
      <c r="J683" s="25" t="str">
        <f ca="1">IF(OR(E683="",E683="!!!",F683="NEW"),"",COUNTBLANK(OFFSET(A$1,,,SUMPRODUCT(MAX(ROW(E$2:E683)*(E683=E$2:E683)))))-COUNTBLANK(OFFSET(A$1,,,SUMPRODUCT(MAX(ROW(E$1:E682)*(E2=E$1:E682))))))</f>
        <v/>
      </c>
      <c r="K683" s="25" t="str">
        <f>IF(OR(E683="",E683="!!!",F683="NEW"),"",INDEX(J$1:J682,SUMPRODUCT(MAX(ROW(E$1:E682)*(E683=E$1:E682)))))</f>
        <v/>
      </c>
      <c r="L683" s="26"/>
    </row>
    <row r="684" spans="1:12" x14ac:dyDescent="0.3">
      <c r="A684" t="s">
        <v>287</v>
      </c>
      <c r="E684" s="21" t="str">
        <f t="shared" si="62"/>
        <v/>
      </c>
      <c r="F684" s="22" t="str">
        <f>IF(OR(E684="",E684="!!!"),"",IF(NOT(ISNA(VLOOKUP(E684,E$1:E683,1,FALSE()))),"OLD",IF(AND(E684&lt;&gt;"",E684&lt;&gt;"!!!"),"NEW","")))</f>
        <v/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/>
      </c>
      <c r="H684" s="24" t="str">
        <f t="shared" ca="1" si="63"/>
        <v/>
      </c>
      <c r="I684" s="25" t="str">
        <f>IF(OR(E684="",E684="!!!",F684="NEW"),"",INDEX(B$2:B683,-1+SUMPRODUCT(MAX(ROW(E$2:E683)*(E684=E$2:E683)))))</f>
        <v/>
      </c>
      <c r="J684" s="25" t="str">
        <f ca="1">IF(OR(E684="",E684="!!!",F684="NEW"),"",COUNTBLANK(OFFSET(A$1,,,SUMPRODUCT(MAX(ROW(E$2:E684)*(E684=E$2:E684)))))-COUNTBLANK(OFFSET(A$1,,,SUMPRODUCT(MAX(ROW(E$1:E683)*(E2=E$1:E683))))))</f>
        <v/>
      </c>
      <c r="K684" s="25" t="str">
        <f>IF(OR(E684="",E684="!!!",F684="NEW"),"",INDEX(J$1:J683,SUMPRODUCT(MAX(ROW(E$1:E683)*(E684=E$1:E683)))))</f>
        <v/>
      </c>
      <c r="L684" s="26"/>
    </row>
    <row r="685" spans="1:12" x14ac:dyDescent="0.3">
      <c r="A685" t="s">
        <v>497</v>
      </c>
      <c r="E685" s="21" t="str">
        <f t="shared" si="62"/>
        <v/>
      </c>
      <c r="F685" s="22" t="str">
        <f>IF(OR(E685="",E685="!!!"),"",IF(NOT(ISNA(VLOOKUP(E685,E$1:E684,1,FALSE()))),"OLD",IF(AND(E685&lt;&gt;"",E685&lt;&gt;"!!!"),"NEW","")))</f>
        <v/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/>
      </c>
      <c r="H685" s="24" t="str">
        <f t="shared" ca="1" si="63"/>
        <v/>
      </c>
      <c r="I685" s="25" t="str">
        <f>IF(OR(E685="",E685="!!!",F685="NEW"),"",INDEX(B$2:B684,-1+SUMPRODUCT(MAX(ROW(E$2:E684)*(E685=E$2:E684)))))</f>
        <v/>
      </c>
      <c r="J685" s="25" t="str">
        <f ca="1">IF(OR(E685="",E685="!!!",F685="NEW"),"",COUNTBLANK(OFFSET(A$1,,,SUMPRODUCT(MAX(ROW(E$2:E685)*(E685=E$2:E685)))))-COUNTBLANK(OFFSET(A$1,,,SUMPRODUCT(MAX(ROW(E$1:E684)*(E2=E$1:E684))))))</f>
        <v/>
      </c>
      <c r="K685" s="25" t="str">
        <f>IF(OR(E685="",E685="!!!",F685="NEW"),"",INDEX(J$1:J684,SUMPRODUCT(MAX(ROW(E$1:E684)*(E685=E$1:E684)))))</f>
        <v/>
      </c>
      <c r="L685" s="26"/>
    </row>
    <row r="686" spans="1:12" x14ac:dyDescent="0.3">
      <c r="A686" t="s">
        <v>498</v>
      </c>
      <c r="B686" s="20" t="s">
        <v>158</v>
      </c>
      <c r="C686" s="20" t="s">
        <v>167</v>
      </c>
      <c r="E686" s="21" t="str">
        <f t="shared" si="62"/>
        <v/>
      </c>
      <c r="F686" s="22" t="str">
        <f>IF(OR(E686="",E686="!!!"),"",IF(NOT(ISNA(VLOOKUP(E686,E$1:E685,1,FALSE()))),"OLD",IF(AND(E686&lt;&gt;"",E686&lt;&gt;"!!!"),"NEW","")))</f>
        <v/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/>
      </c>
      <c r="H686" s="24" t="str">
        <f t="shared" ca="1" si="63"/>
        <v/>
      </c>
      <c r="I686" s="25" t="str">
        <f>IF(OR(E686="",E686="!!!",F686="NEW"),"",INDEX(B$2:B685,-1+SUMPRODUCT(MAX(ROW(E$2:E685)*(E686=E$2:E685)))))</f>
        <v/>
      </c>
      <c r="J686" s="25" t="str">
        <f ca="1">IF(OR(E686="",E686="!!!",F686="NEW"),"",COUNTBLANK(OFFSET(A$1,,,SUMPRODUCT(MAX(ROW(E$2:E686)*(E686=E$2:E686)))))-COUNTBLANK(OFFSET(A$1,,,SUMPRODUCT(MAX(ROW(E$1:E685)*(E2=E$1:E685))))))</f>
        <v/>
      </c>
      <c r="K686" s="25" t="str">
        <f>IF(OR(E686="",E686="!!!",F686="NEW"),"",INDEX(J$1:J685,SUMPRODUCT(MAX(ROW(E$1:E685)*(E686=E$1:E685)))))</f>
        <v/>
      </c>
      <c r="L686" s="26"/>
    </row>
    <row r="687" spans="1:12" x14ac:dyDescent="0.3">
      <c r="A687" t="s">
        <v>168</v>
      </c>
      <c r="E687" s="21" t="str">
        <f t="shared" si="62"/>
        <v/>
      </c>
      <c r="F687" s="22" t="str">
        <f>IF(OR(E687="",E687="!!!"),"",IF(NOT(ISNA(VLOOKUP(E687,E$1:E686,1,FALSE()))),"OLD",IF(AND(E687&lt;&gt;"",E687&lt;&gt;"!!!"),"NEW","")))</f>
        <v/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/>
      </c>
      <c r="H687" s="24" t="str">
        <f t="shared" ca="1" si="63"/>
        <v/>
      </c>
      <c r="I687" s="25" t="str">
        <f>IF(OR(E687="",E687="!!!",F687="NEW"),"",INDEX(B$2:B686,-1+SUMPRODUCT(MAX(ROW(E$2:E686)*(E687=E$2:E686)))))</f>
        <v/>
      </c>
      <c r="J687" s="25" t="str">
        <f ca="1">IF(OR(E687="",E687="!!!",F687="NEW"),"",COUNTBLANK(OFFSET(A$1,,,SUMPRODUCT(MAX(ROW(E$2:E687)*(E687=E$2:E687)))))-COUNTBLANK(OFFSET(A$1,,,SUMPRODUCT(MAX(ROW(E$1:E686)*(E2=E$1:E686))))))</f>
        <v/>
      </c>
      <c r="K687" s="25" t="str">
        <f>IF(OR(E687="",E687="!!!",F687="NEW"),"",INDEX(J$1:J686,SUMPRODUCT(MAX(ROW(E$1:E686)*(E687=E$1:E686)))))</f>
        <v/>
      </c>
      <c r="L687" s="26"/>
    </row>
    <row r="688" spans="1:12" x14ac:dyDescent="0.3">
      <c r="A688" t="s">
        <v>499</v>
      </c>
      <c r="B688" s="20" t="s">
        <v>172</v>
      </c>
      <c r="C688" s="20" t="s">
        <v>167</v>
      </c>
      <c r="E688" s="21" t="str">
        <f t="shared" si="62"/>
        <v/>
      </c>
      <c r="F688" s="22" t="str">
        <f>IF(OR(E688="",E688="!!!"),"",IF(NOT(ISNA(VLOOKUP(E688,E$1:E687,1,FALSE()))),"OLD",IF(AND(E688&lt;&gt;"",E688&lt;&gt;"!!!"),"NEW","")))</f>
        <v/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/>
      </c>
      <c r="H688" s="24" t="str">
        <f t="shared" ca="1" si="63"/>
        <v/>
      </c>
      <c r="I688" s="25" t="str">
        <f>IF(OR(E688="",E688="!!!",F688="NEW"),"",INDEX(B$2:B687,-1+SUMPRODUCT(MAX(ROW(E$2:E687)*(E688=E$2:E687)))))</f>
        <v/>
      </c>
      <c r="J688" s="25" t="str">
        <f ca="1">IF(OR(E688="",E688="!!!",F688="NEW"),"",COUNTBLANK(OFFSET(A$1,,,SUMPRODUCT(MAX(ROW(E$2:E688)*(E688=E$2:E688)))))-COUNTBLANK(OFFSET(A$1,,,SUMPRODUCT(MAX(ROW(E$1:E687)*(E2=E$1:E687))))))</f>
        <v/>
      </c>
      <c r="K688" s="25" t="str">
        <f>IF(OR(E688="",E688="!!!",F688="NEW"),"",INDEX(J$1:J687,SUMPRODUCT(MAX(ROW(E$1:E687)*(E688=E$1:E687)))))</f>
        <v/>
      </c>
      <c r="L688" s="26"/>
    </row>
    <row r="689" spans="1:12" x14ac:dyDescent="0.3">
      <c r="A689" t="s">
        <v>212</v>
      </c>
      <c r="E689" s="21" t="str">
        <f t="shared" si="62"/>
        <v/>
      </c>
      <c r="F689" s="22" t="str">
        <f>IF(OR(E689="",E689="!!!"),"",IF(NOT(ISNA(VLOOKUP(E689,E$1:E688,1,FALSE()))),"OLD",IF(AND(E689&lt;&gt;"",E689&lt;&gt;"!!!"),"NEW","")))</f>
        <v/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/>
      </c>
      <c r="H689" s="24" t="str">
        <f t="shared" ca="1" si="63"/>
        <v/>
      </c>
      <c r="I689" s="25" t="str">
        <f>IF(OR(E689="",E689="!!!",F689="NEW"),"",INDEX(B$2:B688,-1+SUMPRODUCT(MAX(ROW(E$2:E688)*(E689=E$2:E688)))))</f>
        <v/>
      </c>
      <c r="J689" s="25" t="str">
        <f ca="1">IF(OR(E689="",E689="!!!",F689="NEW"),"",COUNTBLANK(OFFSET(A$1,,,SUMPRODUCT(MAX(ROW(E$2:E689)*(E689=E$2:E689)))))-COUNTBLANK(OFFSET(A$1,,,SUMPRODUCT(MAX(ROW(E$1:E688)*(E2=E$1:E688))))))</f>
        <v/>
      </c>
      <c r="K689" s="25" t="str">
        <f>IF(OR(E689="",E689="!!!",F689="NEW"),"",INDEX(J$1:J688,SUMPRODUCT(MAX(ROW(E$1:E688)*(E689=E$1:E688)))))</f>
        <v/>
      </c>
      <c r="L689" s="26"/>
    </row>
    <row r="691" spans="1:12" x14ac:dyDescent="0.3">
      <c r="A691" t="s">
        <v>500</v>
      </c>
    </row>
    <row r="692" spans="1:12" x14ac:dyDescent="0.3">
      <c r="A692" t="s">
        <v>214</v>
      </c>
      <c r="B692" s="20" t="s">
        <v>187</v>
      </c>
      <c r="C692" s="20" t="s">
        <v>206</v>
      </c>
      <c r="D692" s="20" t="s">
        <v>160</v>
      </c>
      <c r="E692" s="21" t="str">
        <f t="shared" ref="E692:E706" si="64">IF(D692="?OLD","!!!","")</f>
        <v>!!!</v>
      </c>
      <c r="F692" s="22" t="str">
        <f>IF(OR(E692="",E692="!!!"),"",IF(NOT(ISNA(VLOOKUP(E692,E$1:E691,1,FALSE()))),"OLD",IF(AND(E692&lt;&gt;"",E692&lt;&gt;"!!!"),"NEW","")))</f>
        <v/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/>
      </c>
      <c r="H692" s="24" t="str">
        <f t="shared" ref="H692:H706" ca="1" si="65">IF(J692&lt;&gt;1,"",IF(I692="SBJ","CB","?"))</f>
        <v/>
      </c>
      <c r="I692" s="25" t="str">
        <f>IF(OR(E692="",E692="!!!",F692="NEW"),"",INDEX(B$2:B691,-1+SUMPRODUCT(MAX(ROW(E$2:E691)*(E692=E$2:E691)))))</f>
        <v/>
      </c>
      <c r="J692" s="25" t="str">
        <f ca="1">IF(OR(E692="",E692="!!!",F692="NEW"),"",COUNTBLANK(OFFSET(A$1,,,SUMPRODUCT(MAX(ROW(E$2:E692)*(E692=E$2:E692)))))-COUNTBLANK(OFFSET(A$1,,,SUMPRODUCT(MAX(ROW(E$1:E691)*(E2=E$1:E691))))))</f>
        <v/>
      </c>
      <c r="K692" s="25" t="str">
        <f>IF(OR(E692="",E692="!!!",F692="NEW"),"",INDEX(J$1:J691,SUMPRODUCT(MAX(ROW(E$1:E691)*(E692=E$1:E691)))))</f>
        <v/>
      </c>
      <c r="L692" s="26"/>
    </row>
    <row r="693" spans="1:12" x14ac:dyDescent="0.3">
      <c r="A693" t="s">
        <v>215</v>
      </c>
      <c r="E693" s="21" t="str">
        <f t="shared" si="64"/>
        <v/>
      </c>
      <c r="F693" s="22" t="str">
        <f>IF(OR(E693="",E693="!!!"),"",IF(NOT(ISNA(VLOOKUP(E693,E$1:E692,1,FALSE()))),"OLD",IF(AND(E693&lt;&gt;"",E693&lt;&gt;"!!!"),"NEW","")))</f>
        <v/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/>
      </c>
      <c r="H693" s="24" t="str">
        <f t="shared" ca="1" si="65"/>
        <v/>
      </c>
      <c r="I693" s="25" t="str">
        <f>IF(OR(E693="",E693="!!!",F693="NEW"),"",INDEX(B$2:B692,-1+SUMPRODUCT(MAX(ROW(E$2:E692)*(E693=E$2:E692)))))</f>
        <v/>
      </c>
      <c r="J693" s="25" t="str">
        <f ca="1">IF(OR(E693="",E693="!!!",F693="NEW"),"",COUNTBLANK(OFFSET(A$1,,,SUMPRODUCT(MAX(ROW(E$2:E693)*(E693=E$2:E693)))))-COUNTBLANK(OFFSET(A$1,,,SUMPRODUCT(MAX(ROW(E$1:E692)*(E2=E$1:E692))))))</f>
        <v/>
      </c>
      <c r="K693" s="25" t="str">
        <f>IF(OR(E693="",E693="!!!",F693="NEW"),"",INDEX(J$1:J692,SUMPRODUCT(MAX(ROW(E$1:E692)*(E693=E$1:E692)))))</f>
        <v/>
      </c>
      <c r="L693" s="26"/>
    </row>
    <row r="694" spans="1:12" x14ac:dyDescent="0.3">
      <c r="A694" t="s">
        <v>216</v>
      </c>
      <c r="E694" s="21" t="str">
        <f t="shared" si="64"/>
        <v/>
      </c>
      <c r="F694" s="22" t="str">
        <f>IF(OR(E694="",E694="!!!"),"",IF(NOT(ISNA(VLOOKUP(E694,E$1:E693,1,FALSE()))),"OLD",IF(AND(E694&lt;&gt;"",E694&lt;&gt;"!!!"),"NEW","")))</f>
        <v/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/>
      </c>
      <c r="H694" s="24" t="str">
        <f t="shared" ca="1" si="65"/>
        <v/>
      </c>
      <c r="I694" s="25" t="str">
        <f>IF(OR(E694="",E694="!!!",F694="NEW"),"",INDEX(B$2:B693,-1+SUMPRODUCT(MAX(ROW(E$2:E693)*(E694=E$2:E693)))))</f>
        <v/>
      </c>
      <c r="J694" s="25" t="str">
        <f ca="1">IF(OR(E694="",E694="!!!",F694="NEW"),"",COUNTBLANK(OFFSET(A$1,,,SUMPRODUCT(MAX(ROW(E$2:E694)*(E694=E$2:E694)))))-COUNTBLANK(OFFSET(A$1,,,SUMPRODUCT(MAX(ROW(E$1:E693)*(E2=E$1:E693))))))</f>
        <v/>
      </c>
      <c r="K694" s="25" t="str">
        <f>IF(OR(E694="",E694="!!!",F694="NEW"),"",INDEX(J$1:J693,SUMPRODUCT(MAX(ROW(E$1:E693)*(E694=E$1:E693)))))</f>
        <v/>
      </c>
      <c r="L694" s="26"/>
    </row>
    <row r="695" spans="1:12" x14ac:dyDescent="0.3">
      <c r="A695" t="s">
        <v>398</v>
      </c>
      <c r="E695" s="21" t="str">
        <f t="shared" si="64"/>
        <v/>
      </c>
      <c r="F695" s="22" t="str">
        <f>IF(OR(E695="",E695="!!!"),"",IF(NOT(ISNA(VLOOKUP(E695,E$1:E694,1,FALSE()))),"OLD",IF(AND(E695&lt;&gt;"",E695&lt;&gt;"!!!"),"NEW","")))</f>
        <v/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/>
      </c>
      <c r="H695" s="24" t="str">
        <f t="shared" ca="1" si="65"/>
        <v/>
      </c>
      <c r="I695" s="25" t="str">
        <f>IF(OR(E695="",E695="!!!",F695="NEW"),"",INDEX(B$2:B694,-1+SUMPRODUCT(MAX(ROW(E$2:E694)*(E695=E$2:E694)))))</f>
        <v/>
      </c>
      <c r="J695" s="25" t="str">
        <f ca="1">IF(OR(E695="",E695="!!!",F695="NEW"),"",COUNTBLANK(OFFSET(A$1,,,SUMPRODUCT(MAX(ROW(E$2:E695)*(E695=E$2:E695)))))-COUNTBLANK(OFFSET(A$1,,,SUMPRODUCT(MAX(ROW(E$1:E694)*(E2=E$1:E694))))))</f>
        <v/>
      </c>
      <c r="K695" s="25" t="str">
        <f>IF(OR(E695="",E695="!!!",F695="NEW"),"",INDEX(J$1:J694,SUMPRODUCT(MAX(ROW(E$1:E694)*(E695=E$1:E694)))))</f>
        <v/>
      </c>
      <c r="L695" s="26"/>
    </row>
    <row r="696" spans="1:12" x14ac:dyDescent="0.3">
      <c r="A696" t="s">
        <v>221</v>
      </c>
      <c r="B696" s="20" t="s">
        <v>172</v>
      </c>
      <c r="C696" s="20" t="s">
        <v>199</v>
      </c>
      <c r="D696" s="20" t="s">
        <v>160</v>
      </c>
      <c r="E696" s="21" t="str">
        <f t="shared" si="64"/>
        <v>!!!</v>
      </c>
      <c r="F696" s="22" t="str">
        <f>IF(OR(E696="",E696="!!!"),"",IF(NOT(ISNA(VLOOKUP(E696,E$1:E695,1,FALSE()))),"OLD",IF(AND(E696&lt;&gt;"",E696&lt;&gt;"!!!"),"NEW","")))</f>
        <v/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/>
      </c>
      <c r="H696" s="24" t="str">
        <f t="shared" ca="1" si="65"/>
        <v/>
      </c>
      <c r="I696" s="25" t="str">
        <f>IF(OR(E696="",E696="!!!",F696="NEW"),"",INDEX(B$2:B695,-1+SUMPRODUCT(MAX(ROW(E$2:E695)*(E696=E$2:E695)))))</f>
        <v/>
      </c>
      <c r="J696" s="25" t="str">
        <f ca="1">IF(OR(E696="",E696="!!!",F696="NEW"),"",COUNTBLANK(OFFSET(A$1,,,SUMPRODUCT(MAX(ROW(E$2:E696)*(E696=E$2:E696)))))-COUNTBLANK(OFFSET(A$1,,,SUMPRODUCT(MAX(ROW(E$1:E695)*(E2=E$1:E695))))))</f>
        <v/>
      </c>
      <c r="K696" s="25" t="str">
        <f>IF(OR(E696="",E696="!!!",F696="NEW"),"",INDEX(J$1:J695,SUMPRODUCT(MAX(ROW(E$1:E695)*(E696=E$1:E695)))))</f>
        <v/>
      </c>
      <c r="L696" s="26"/>
    </row>
    <row r="697" spans="1:12" x14ac:dyDescent="0.3">
      <c r="A697" t="s">
        <v>501</v>
      </c>
      <c r="E697" s="21" t="str">
        <f t="shared" si="64"/>
        <v/>
      </c>
      <c r="F697" s="22" t="str">
        <f>IF(OR(E697="",E697="!!!"),"",IF(NOT(ISNA(VLOOKUP(E697,E$1:E696,1,FALSE()))),"OLD",IF(AND(E697&lt;&gt;"",E697&lt;&gt;"!!!"),"NEW","")))</f>
        <v/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/>
      </c>
      <c r="H697" s="24" t="str">
        <f t="shared" ca="1" si="65"/>
        <v/>
      </c>
      <c r="I697" s="25" t="str">
        <f>IF(OR(E697="",E697="!!!",F697="NEW"),"",INDEX(B$2:B696,-1+SUMPRODUCT(MAX(ROW(E$2:E696)*(E697=E$2:E696)))))</f>
        <v/>
      </c>
      <c r="J697" s="25" t="str">
        <f ca="1">IF(OR(E697="",E697="!!!",F697="NEW"),"",COUNTBLANK(OFFSET(A$1,,,SUMPRODUCT(MAX(ROW(E$2:E697)*(E697=E$2:E697)))))-COUNTBLANK(OFFSET(A$1,,,SUMPRODUCT(MAX(ROW(E$1:E696)*(E2=E$1:E696))))))</f>
        <v/>
      </c>
      <c r="K697" s="25" t="str">
        <f>IF(OR(E697="",E697="!!!",F697="NEW"),"",INDEX(J$1:J696,SUMPRODUCT(MAX(ROW(E$1:E696)*(E697=E$1:E696)))))</f>
        <v/>
      </c>
      <c r="L697" s="26"/>
    </row>
    <row r="698" spans="1:12" x14ac:dyDescent="0.3">
      <c r="A698" t="s">
        <v>502</v>
      </c>
      <c r="B698" s="20" t="s">
        <v>191</v>
      </c>
      <c r="C698" s="20" t="s">
        <v>202</v>
      </c>
      <c r="D698" s="20" t="s">
        <v>160</v>
      </c>
      <c r="E698" s="21" t="str">
        <f t="shared" si="64"/>
        <v>!!!</v>
      </c>
      <c r="F698" s="22" t="str">
        <f>IF(OR(E698="",E698="!!!"),"",IF(NOT(ISNA(VLOOKUP(E698,E$1:E697,1,FALSE()))),"OLD",IF(AND(E698&lt;&gt;"",E698&lt;&gt;"!!!"),"NEW","")))</f>
        <v/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/>
      </c>
      <c r="H698" s="24" t="str">
        <f t="shared" ca="1" si="65"/>
        <v/>
      </c>
      <c r="I698" s="25" t="str">
        <f>IF(OR(E698="",E698="!!!",F698="NEW"),"",INDEX(B$2:B697,-1+SUMPRODUCT(MAX(ROW(E$2:E697)*(E698=E$2:E697)))))</f>
        <v/>
      </c>
      <c r="J698" s="25" t="str">
        <f ca="1">IF(OR(E698="",E698="!!!",F698="NEW"),"",COUNTBLANK(OFFSET(A$1,,,SUMPRODUCT(MAX(ROW(E$2:E698)*(E698=E$2:E698)))))-COUNTBLANK(OFFSET(A$1,,,SUMPRODUCT(MAX(ROW(E$1:E697)*(E2=E$1:E697))))))</f>
        <v/>
      </c>
      <c r="K698" s="25" t="str">
        <f>IF(OR(E698="",E698="!!!",F698="NEW"),"",INDEX(J$1:J697,SUMPRODUCT(MAX(ROW(E$1:E697)*(E698=E$1:E697)))))</f>
        <v/>
      </c>
      <c r="L698" s="26"/>
    </row>
    <row r="699" spans="1:12" x14ac:dyDescent="0.3">
      <c r="A699" t="s">
        <v>188</v>
      </c>
      <c r="E699" s="21" t="str">
        <f t="shared" si="64"/>
        <v/>
      </c>
      <c r="F699" s="22" t="str">
        <f>IF(OR(E699="",E699="!!!"),"",IF(NOT(ISNA(VLOOKUP(E699,E$1:E698,1,FALSE()))),"OLD",IF(AND(E699&lt;&gt;"",E699&lt;&gt;"!!!"),"NEW","")))</f>
        <v/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/>
      </c>
      <c r="H699" s="24" t="str">
        <f t="shared" ca="1" si="65"/>
        <v/>
      </c>
      <c r="I699" s="25" t="str">
        <f>IF(OR(E699="",E699="!!!",F699="NEW"),"",INDEX(B$2:B698,-1+SUMPRODUCT(MAX(ROW(E$2:E698)*(E699=E$2:E698)))))</f>
        <v/>
      </c>
      <c r="J699" s="25" t="str">
        <f ca="1">IF(OR(E699="",E699="!!!",F699="NEW"),"",COUNTBLANK(OFFSET(A$1,,,SUMPRODUCT(MAX(ROW(E$2:E699)*(E699=E$2:E699)))))-COUNTBLANK(OFFSET(A$1,,,SUMPRODUCT(MAX(ROW(E$1:E698)*(E2=E$1:E698))))))</f>
        <v/>
      </c>
      <c r="K699" s="25" t="str">
        <f>IF(OR(E699="",E699="!!!",F699="NEW"),"",INDEX(J$1:J698,SUMPRODUCT(MAX(ROW(E$1:E698)*(E699=E$1:E698)))))</f>
        <v/>
      </c>
      <c r="L699" s="26"/>
    </row>
    <row r="700" spans="1:12" x14ac:dyDescent="0.3">
      <c r="A700" t="s">
        <v>244</v>
      </c>
      <c r="B700" s="20" t="s">
        <v>172</v>
      </c>
      <c r="C700" s="20" t="s">
        <v>167</v>
      </c>
      <c r="E700" s="21" t="str">
        <f t="shared" si="64"/>
        <v/>
      </c>
      <c r="F700" s="22" t="str">
        <f>IF(OR(E700="",E700="!!!"),"",IF(NOT(ISNA(VLOOKUP(E700,E$1:E699,1,FALSE()))),"OLD",IF(AND(E700&lt;&gt;"",E700&lt;&gt;"!!!"),"NEW","")))</f>
        <v/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/>
      </c>
      <c r="H700" s="24" t="str">
        <f t="shared" ca="1" si="65"/>
        <v/>
      </c>
      <c r="I700" s="25" t="str">
        <f>IF(OR(E700="",E700="!!!",F700="NEW"),"",INDEX(B$2:B699,-1+SUMPRODUCT(MAX(ROW(E$2:E699)*(E700=E$2:E699)))))</f>
        <v/>
      </c>
      <c r="J700" s="25" t="str">
        <f ca="1">IF(OR(E700="",E700="!!!",F700="NEW"),"",COUNTBLANK(OFFSET(A$1,,,SUMPRODUCT(MAX(ROW(E$2:E700)*(E700=E$2:E700)))))-COUNTBLANK(OFFSET(A$1,,,SUMPRODUCT(MAX(ROW(E$1:E699)*(E2=E$1:E699))))))</f>
        <v/>
      </c>
      <c r="K700" s="25" t="str">
        <f>IF(OR(E700="",E700="!!!",F700="NEW"),"",INDEX(J$1:J699,SUMPRODUCT(MAX(ROW(E$1:E699)*(E700=E$1:E699)))))</f>
        <v/>
      </c>
      <c r="L700" s="26"/>
    </row>
    <row r="701" spans="1:12" x14ac:dyDescent="0.3">
      <c r="A701" t="s">
        <v>185</v>
      </c>
      <c r="E701" s="21" t="str">
        <f t="shared" si="64"/>
        <v/>
      </c>
      <c r="F701" s="22" t="str">
        <f>IF(OR(E701="",E701="!!!"),"",IF(NOT(ISNA(VLOOKUP(E701,E$1:E700,1,FALSE()))),"OLD",IF(AND(E701&lt;&gt;"",E701&lt;&gt;"!!!"),"NEW","")))</f>
        <v/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/>
      </c>
      <c r="H701" s="24" t="str">
        <f t="shared" ca="1" si="65"/>
        <v/>
      </c>
      <c r="I701" s="25" t="str">
        <f>IF(OR(E701="",E701="!!!",F701="NEW"),"",INDEX(B$2:B700,-1+SUMPRODUCT(MAX(ROW(E$2:E700)*(E701=E$2:E700)))))</f>
        <v/>
      </c>
      <c r="J701" s="25" t="str">
        <f ca="1">IF(OR(E701="",E701="!!!",F701="NEW"),"",COUNTBLANK(OFFSET(A$1,,,SUMPRODUCT(MAX(ROW(E$2:E701)*(E701=E$2:E701)))))-COUNTBLANK(OFFSET(A$1,,,SUMPRODUCT(MAX(ROW(E$1:E700)*(E2=E$1:E700))))))</f>
        <v/>
      </c>
      <c r="K701" s="25" t="str">
        <f>IF(OR(E701="",E701="!!!",F701="NEW"),"",INDEX(J$1:J700,SUMPRODUCT(MAX(ROW(E$1:E700)*(E701=E$1:E700)))))</f>
        <v/>
      </c>
      <c r="L701" s="26"/>
    </row>
    <row r="702" spans="1:12" x14ac:dyDescent="0.3">
      <c r="A702" t="s">
        <v>338</v>
      </c>
      <c r="E702" s="21" t="str">
        <f t="shared" si="64"/>
        <v/>
      </c>
      <c r="F702" s="22" t="str">
        <f>IF(OR(E702="",E702="!!!"),"",IF(NOT(ISNA(VLOOKUP(E702,E$1:E701,1,FALSE()))),"OLD",IF(AND(E702&lt;&gt;"",E702&lt;&gt;"!!!"),"NEW","")))</f>
        <v/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/>
      </c>
      <c r="H702" s="24" t="str">
        <f t="shared" ca="1" si="65"/>
        <v/>
      </c>
      <c r="I702" s="25" t="str">
        <f>IF(OR(E702="",E702="!!!",F702="NEW"),"",INDEX(B$2:B701,-1+SUMPRODUCT(MAX(ROW(E$2:E701)*(E702=E$2:E701)))))</f>
        <v/>
      </c>
      <c r="J702" s="25" t="str">
        <f ca="1">IF(OR(E702="",E702="!!!",F702="NEW"),"",COUNTBLANK(OFFSET(A$1,,,SUMPRODUCT(MAX(ROW(E$2:E702)*(E702=E$2:E702)))))-COUNTBLANK(OFFSET(A$1,,,SUMPRODUCT(MAX(ROW(E$1:E701)*(E2=E$1:E701))))))</f>
        <v/>
      </c>
      <c r="K702" s="25" t="str">
        <f>IF(OR(E702="",E702="!!!",F702="NEW"),"",INDEX(J$1:J701,SUMPRODUCT(MAX(ROW(E$1:E701)*(E702=E$1:E701)))))</f>
        <v/>
      </c>
      <c r="L702" s="26"/>
    </row>
    <row r="703" spans="1:12" x14ac:dyDescent="0.3">
      <c r="A703" t="s">
        <v>188</v>
      </c>
      <c r="E703" s="21" t="str">
        <f t="shared" si="64"/>
        <v/>
      </c>
      <c r="F703" s="22" t="str">
        <f>IF(OR(E703="",E703="!!!"),"",IF(NOT(ISNA(VLOOKUP(E703,E$1:E702,1,FALSE()))),"OLD",IF(AND(E703&lt;&gt;"",E703&lt;&gt;"!!!"),"NEW","")))</f>
        <v/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/>
      </c>
      <c r="H703" s="24" t="str">
        <f t="shared" ca="1" si="65"/>
        <v/>
      </c>
      <c r="I703" s="25" t="str">
        <f>IF(OR(E703="",E703="!!!",F703="NEW"),"",INDEX(B$2:B702,-1+SUMPRODUCT(MAX(ROW(E$2:E702)*(E703=E$2:E702)))))</f>
        <v/>
      </c>
      <c r="J703" s="25" t="str">
        <f ca="1">IF(OR(E703="",E703="!!!",F703="NEW"),"",COUNTBLANK(OFFSET(A$1,,,SUMPRODUCT(MAX(ROW(E$2:E703)*(E703=E$2:E703)))))-COUNTBLANK(OFFSET(A$1,,,SUMPRODUCT(MAX(ROW(E$1:E702)*(E2=E$1:E702))))))</f>
        <v/>
      </c>
      <c r="K703" s="25" t="str">
        <f>IF(OR(E703="",E703="!!!",F703="NEW"),"",INDEX(J$1:J702,SUMPRODUCT(MAX(ROW(E$1:E702)*(E703=E$1:E702)))))</f>
        <v/>
      </c>
      <c r="L703" s="26"/>
    </row>
    <row r="704" spans="1:12" x14ac:dyDescent="0.3">
      <c r="A704" t="s">
        <v>503</v>
      </c>
      <c r="E704" s="21" t="str">
        <f t="shared" si="64"/>
        <v/>
      </c>
      <c r="F704" s="22" t="str">
        <f>IF(OR(E704="",E704="!!!"),"",IF(NOT(ISNA(VLOOKUP(E704,E$1:E703,1,FALSE()))),"OLD",IF(AND(E704&lt;&gt;"",E704&lt;&gt;"!!!"),"NEW","")))</f>
        <v/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/>
      </c>
      <c r="H704" s="24" t="str">
        <f t="shared" ca="1" si="65"/>
        <v/>
      </c>
      <c r="I704" s="25" t="str">
        <f>IF(OR(E704="",E704="!!!",F704="NEW"),"",INDEX(B$2:B703,-1+SUMPRODUCT(MAX(ROW(E$2:E703)*(E704=E$2:E703)))))</f>
        <v/>
      </c>
      <c r="J704" s="25" t="str">
        <f ca="1">IF(OR(E704="",E704="!!!",F704="NEW"),"",COUNTBLANK(OFFSET(A$1,,,SUMPRODUCT(MAX(ROW(E$2:E704)*(E704=E$2:E704)))))-COUNTBLANK(OFFSET(A$1,,,SUMPRODUCT(MAX(ROW(E$1:E703)*(E2=E$1:E703))))))</f>
        <v/>
      </c>
      <c r="K704" s="25" t="str">
        <f>IF(OR(E704="",E704="!!!",F704="NEW"),"",INDEX(J$1:J703,SUMPRODUCT(MAX(ROW(E$1:E703)*(E704=E$1:E703)))))</f>
        <v/>
      </c>
      <c r="L704" s="26"/>
    </row>
    <row r="705" spans="1:12" x14ac:dyDescent="0.3">
      <c r="A705" t="s">
        <v>504</v>
      </c>
      <c r="B705" s="20" t="s">
        <v>172</v>
      </c>
      <c r="C705" s="20" t="s">
        <v>167</v>
      </c>
      <c r="E705" s="21" t="str">
        <f t="shared" si="64"/>
        <v/>
      </c>
      <c r="F705" s="22" t="str">
        <f>IF(OR(E705="",E705="!!!"),"",IF(NOT(ISNA(VLOOKUP(E705,E$1:E704,1,FALSE()))),"OLD",IF(AND(E705&lt;&gt;"",E705&lt;&gt;"!!!"),"NEW","")))</f>
        <v/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/>
      </c>
      <c r="H705" s="24" t="str">
        <f t="shared" ca="1" si="65"/>
        <v/>
      </c>
      <c r="I705" s="25" t="str">
        <f>IF(OR(E705="",E705="!!!",F705="NEW"),"",INDEX(B$2:B704,-1+SUMPRODUCT(MAX(ROW(E$2:E704)*(E705=E$2:E704)))))</f>
        <v/>
      </c>
      <c r="J705" s="25" t="str">
        <f ca="1">IF(OR(E705="",E705="!!!",F705="NEW"),"",COUNTBLANK(OFFSET(A$1,,,SUMPRODUCT(MAX(ROW(E$2:E705)*(E705=E$2:E705)))))-COUNTBLANK(OFFSET(A$1,,,SUMPRODUCT(MAX(ROW(E$1:E704)*(E2=E$1:E704))))))</f>
        <v/>
      </c>
      <c r="K705" s="25" t="str">
        <f>IF(OR(E705="",E705="!!!",F705="NEW"),"",INDEX(J$1:J704,SUMPRODUCT(MAX(ROW(E$1:E704)*(E705=E$1:E704)))))</f>
        <v/>
      </c>
      <c r="L705" s="26"/>
    </row>
    <row r="706" spans="1:12" x14ac:dyDescent="0.3">
      <c r="A706" t="s">
        <v>212</v>
      </c>
      <c r="E706" s="21" t="str">
        <f t="shared" si="64"/>
        <v/>
      </c>
      <c r="F706" s="22" t="str">
        <f>IF(OR(E706="",E706="!!!"),"",IF(NOT(ISNA(VLOOKUP(E706,E$1:E705,1,FALSE()))),"OLD",IF(AND(E706&lt;&gt;"",E706&lt;&gt;"!!!"),"NEW","")))</f>
        <v/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/>
      </c>
      <c r="H706" s="24" t="str">
        <f t="shared" ca="1" si="65"/>
        <v/>
      </c>
      <c r="I706" s="25" t="str">
        <f>IF(OR(E706="",E706="!!!",F706="NEW"),"",INDEX(B$2:B705,-1+SUMPRODUCT(MAX(ROW(E$2:E705)*(E706=E$2:E705)))))</f>
        <v/>
      </c>
      <c r="J706" s="25" t="str">
        <f ca="1">IF(OR(E706="",E706="!!!",F706="NEW"),"",COUNTBLANK(OFFSET(A$1,,,SUMPRODUCT(MAX(ROW(E$2:E706)*(E706=E$2:E706)))))-COUNTBLANK(OFFSET(A$1,,,SUMPRODUCT(MAX(ROW(E$1:E705)*(E2=E$1:E705))))))</f>
        <v/>
      </c>
      <c r="K706" s="25" t="str">
        <f>IF(OR(E706="",E706="!!!",F706="NEW"),"",INDEX(J$1:J705,SUMPRODUCT(MAX(ROW(E$1:E705)*(E706=E$1:E705)))))</f>
        <v/>
      </c>
      <c r="L706" s="26"/>
    </row>
    <row r="708" spans="1:12" x14ac:dyDescent="0.3">
      <c r="A708" t="s">
        <v>505</v>
      </c>
    </row>
    <row r="709" spans="1:12" x14ac:dyDescent="0.3">
      <c r="A709" t="s">
        <v>506</v>
      </c>
      <c r="B709" s="20" t="s">
        <v>187</v>
      </c>
      <c r="C709" s="20" t="s">
        <v>159</v>
      </c>
      <c r="D709" s="20" t="s">
        <v>160</v>
      </c>
      <c r="E709" s="21" t="str">
        <f t="shared" ref="E709:E716" si="66">IF(D709="?OLD","!!!","")</f>
        <v>!!!</v>
      </c>
      <c r="F709" s="22" t="str">
        <f>IF(OR(E709="",E709="!!!"),"",IF(NOT(ISNA(VLOOKUP(E709,E$1:E708,1,FALSE()))),"OLD",IF(AND(E709&lt;&gt;"",E709&lt;&gt;"!!!"),"NEW","")))</f>
        <v/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/>
      </c>
      <c r="H709" s="24" t="str">
        <f t="shared" ref="H709:H716" ca="1" si="67">IF(J709&lt;&gt;1,"",IF(I709="SBJ","CB","?"))</f>
        <v/>
      </c>
      <c r="I709" s="25" t="str">
        <f>IF(OR(E709="",E709="!!!",F709="NEW"),"",INDEX(B$2:B708,-1+SUMPRODUCT(MAX(ROW(E$2:E708)*(E709=E$2:E708)))))</f>
        <v/>
      </c>
      <c r="J709" s="25" t="str">
        <f ca="1">IF(OR(E709="",E709="!!!",F709="NEW"),"",COUNTBLANK(OFFSET(A$1,,,SUMPRODUCT(MAX(ROW(E$2:E709)*(E709=E$2:E709)))))-COUNTBLANK(OFFSET(A$1,,,SUMPRODUCT(MAX(ROW(E$1:E708)*(E2=E$1:E708))))))</f>
        <v/>
      </c>
      <c r="K709" s="25" t="str">
        <f>IF(OR(E709="",E709="!!!",F709="NEW"),"",INDEX(J$1:J708,SUMPRODUCT(MAX(ROW(E$1:E708)*(E709=E$1:E708)))))</f>
        <v/>
      </c>
      <c r="L709" s="26"/>
    </row>
    <row r="710" spans="1:12" x14ac:dyDescent="0.3">
      <c r="A710" t="s">
        <v>507</v>
      </c>
      <c r="E710" s="21" t="str">
        <f t="shared" si="66"/>
        <v/>
      </c>
      <c r="F710" s="22" t="str">
        <f>IF(OR(E710="",E710="!!!"),"",IF(NOT(ISNA(VLOOKUP(E710,E$1:E709,1,FALSE()))),"OLD",IF(AND(E710&lt;&gt;"",E710&lt;&gt;"!!!"),"NEW","")))</f>
        <v/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/>
      </c>
      <c r="H710" s="24" t="str">
        <f t="shared" ca="1" si="67"/>
        <v/>
      </c>
      <c r="I710" s="25" t="str">
        <f>IF(OR(E710="",E710="!!!",F710="NEW"),"",INDEX(B$2:B709,-1+SUMPRODUCT(MAX(ROW(E$2:E709)*(E710=E$2:E709)))))</f>
        <v/>
      </c>
      <c r="J710" s="25" t="str">
        <f ca="1">IF(OR(E710="",E710="!!!",F710="NEW"),"",COUNTBLANK(OFFSET(A$1,,,SUMPRODUCT(MAX(ROW(E$2:E710)*(E710=E$2:E710)))))-COUNTBLANK(OFFSET(A$1,,,SUMPRODUCT(MAX(ROW(E$1:E709)*(E2=E$1:E709))))))</f>
        <v/>
      </c>
      <c r="K710" s="25" t="str">
        <f>IF(OR(E710="",E710="!!!",F710="NEW"),"",INDEX(J$1:J709,SUMPRODUCT(MAX(ROW(E$1:E709)*(E710=E$1:E709)))))</f>
        <v/>
      </c>
      <c r="L710" s="26"/>
    </row>
    <row r="711" spans="1:12" x14ac:dyDescent="0.3">
      <c r="A711" t="s">
        <v>508</v>
      </c>
      <c r="E711" s="21" t="str">
        <f t="shared" si="66"/>
        <v/>
      </c>
      <c r="F711" s="22" t="str">
        <f>IF(OR(E711="",E711="!!!"),"",IF(NOT(ISNA(VLOOKUP(E711,E$1:E710,1,FALSE()))),"OLD",IF(AND(E711&lt;&gt;"",E711&lt;&gt;"!!!"),"NEW","")))</f>
        <v/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/>
      </c>
      <c r="H711" s="24" t="str">
        <f t="shared" ca="1" si="67"/>
        <v/>
      </c>
      <c r="I711" s="25" t="str">
        <f>IF(OR(E711="",E711="!!!",F711="NEW"),"",INDEX(B$2:B710,-1+SUMPRODUCT(MAX(ROW(E$2:E710)*(E711=E$2:E710)))))</f>
        <v/>
      </c>
      <c r="J711" s="25" t="str">
        <f ca="1">IF(OR(E711="",E711="!!!",F711="NEW"),"",COUNTBLANK(OFFSET(A$1,,,SUMPRODUCT(MAX(ROW(E$2:E711)*(E711=E$2:E711)))))-COUNTBLANK(OFFSET(A$1,,,SUMPRODUCT(MAX(ROW(E$1:E710)*(E2=E$1:E710))))))</f>
        <v/>
      </c>
      <c r="K711" s="25" t="str">
        <f>IF(OR(E711="",E711="!!!",F711="NEW"),"",INDEX(J$1:J710,SUMPRODUCT(MAX(ROW(E$1:E710)*(E711=E$1:E710)))))</f>
        <v/>
      </c>
      <c r="L711" s="26"/>
    </row>
    <row r="712" spans="1:12" x14ac:dyDescent="0.3">
      <c r="A712" t="s">
        <v>11</v>
      </c>
      <c r="E712" s="21" t="str">
        <f t="shared" si="66"/>
        <v/>
      </c>
      <c r="F712" s="22" t="str">
        <f>IF(OR(E712="",E712="!!!"),"",IF(NOT(ISNA(VLOOKUP(E712,E$1:E711,1,FALSE()))),"OLD",IF(AND(E712&lt;&gt;"",E712&lt;&gt;"!!!"),"NEW","")))</f>
        <v/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/>
      </c>
      <c r="H712" s="24" t="str">
        <f t="shared" ca="1" si="67"/>
        <v/>
      </c>
      <c r="I712" s="25" t="str">
        <f>IF(OR(E712="",E712="!!!",F712="NEW"),"",INDEX(B$2:B711,-1+SUMPRODUCT(MAX(ROW(E$2:E711)*(E712=E$2:E711)))))</f>
        <v/>
      </c>
      <c r="J712" s="25" t="str">
        <f ca="1">IF(OR(E712="",E712="!!!",F712="NEW"),"",COUNTBLANK(OFFSET(A$1,,,SUMPRODUCT(MAX(ROW(E$2:E712)*(E712=E$2:E712)))))-COUNTBLANK(OFFSET(A$1,,,SUMPRODUCT(MAX(ROW(E$1:E711)*(E2=E$1:E711))))))</f>
        <v/>
      </c>
      <c r="K712" s="25" t="str">
        <f>IF(OR(E712="",E712="!!!",F712="NEW"),"",INDEX(J$1:J711,SUMPRODUCT(MAX(ROW(E$1:E711)*(E712=E$1:E711)))))</f>
        <v/>
      </c>
      <c r="L712" s="26"/>
    </row>
    <row r="713" spans="1:12" x14ac:dyDescent="0.3">
      <c r="A713" t="s">
        <v>509</v>
      </c>
      <c r="E713" s="21" t="str">
        <f t="shared" si="66"/>
        <v/>
      </c>
      <c r="F713" s="22" t="str">
        <f>IF(OR(E713="",E713="!!!"),"",IF(NOT(ISNA(VLOOKUP(E713,E$1:E712,1,FALSE()))),"OLD",IF(AND(E713&lt;&gt;"",E713&lt;&gt;"!!!"),"NEW","")))</f>
        <v/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/>
      </c>
      <c r="H713" s="24" t="str">
        <f t="shared" ca="1" si="67"/>
        <v/>
      </c>
      <c r="I713" s="25" t="str">
        <f>IF(OR(E713="",E713="!!!",F713="NEW"),"",INDEX(B$2:B712,-1+SUMPRODUCT(MAX(ROW(E$2:E712)*(E713=E$2:E712)))))</f>
        <v/>
      </c>
      <c r="J713" s="25" t="str">
        <f ca="1">IF(OR(E713="",E713="!!!",F713="NEW"),"",COUNTBLANK(OFFSET(A$1,,,SUMPRODUCT(MAX(ROW(E$2:E713)*(E713=E$2:E713)))))-COUNTBLANK(OFFSET(A$1,,,SUMPRODUCT(MAX(ROW(E$1:E712)*(E2=E$1:E712))))))</f>
        <v/>
      </c>
      <c r="K713" s="25" t="str">
        <f>IF(OR(E713="",E713="!!!",F713="NEW"),"",INDEX(J$1:J712,SUMPRODUCT(MAX(ROW(E$1:E712)*(E713=E$1:E712)))))</f>
        <v/>
      </c>
      <c r="L713" s="26"/>
    </row>
    <row r="714" spans="1:12" x14ac:dyDescent="0.3">
      <c r="A714" t="s">
        <v>223</v>
      </c>
      <c r="E714" s="21" t="str">
        <f t="shared" si="66"/>
        <v/>
      </c>
      <c r="F714" s="22" t="str">
        <f>IF(OR(E714="",E714="!!!"),"",IF(NOT(ISNA(VLOOKUP(E714,E$1:E713,1,FALSE()))),"OLD",IF(AND(E714&lt;&gt;"",E714&lt;&gt;"!!!"),"NEW","")))</f>
        <v/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/>
      </c>
      <c r="H714" s="24" t="str">
        <f t="shared" ca="1" si="67"/>
        <v/>
      </c>
      <c r="I714" s="25" t="str">
        <f>IF(OR(E714="",E714="!!!",F714="NEW"),"",INDEX(B$2:B713,-1+SUMPRODUCT(MAX(ROW(E$2:E713)*(E714=E$2:E713)))))</f>
        <v/>
      </c>
      <c r="J714" s="25" t="str">
        <f ca="1">IF(OR(E714="",E714="!!!",F714="NEW"),"",COUNTBLANK(OFFSET(A$1,,,SUMPRODUCT(MAX(ROW(E$2:E714)*(E714=E$2:E714)))))-COUNTBLANK(OFFSET(A$1,,,SUMPRODUCT(MAX(ROW(E$1:E713)*(E2=E$1:E713))))))</f>
        <v/>
      </c>
      <c r="K714" s="25" t="str">
        <f>IF(OR(E714="",E714="!!!",F714="NEW"),"",INDEX(J$1:J713,SUMPRODUCT(MAX(ROW(E$1:E713)*(E714=E$1:E713)))))</f>
        <v/>
      </c>
      <c r="L714" s="26"/>
    </row>
    <row r="715" spans="1:12" x14ac:dyDescent="0.3">
      <c r="A715" t="s">
        <v>510</v>
      </c>
      <c r="E715" s="21" t="str">
        <f t="shared" si="66"/>
        <v/>
      </c>
      <c r="F715" s="22" t="str">
        <f>IF(OR(E715="",E715="!!!"),"",IF(NOT(ISNA(VLOOKUP(E715,E$1:E714,1,FALSE()))),"OLD",IF(AND(E715&lt;&gt;"",E715&lt;&gt;"!!!"),"NEW","")))</f>
        <v/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/>
      </c>
      <c r="H715" s="24" t="str">
        <f t="shared" ca="1" si="67"/>
        <v/>
      </c>
      <c r="I715" s="25" t="str">
        <f>IF(OR(E715="",E715="!!!",F715="NEW"),"",INDEX(B$2:B714,-1+SUMPRODUCT(MAX(ROW(E$2:E714)*(E715=E$2:E714)))))</f>
        <v/>
      </c>
      <c r="J715" s="25" t="str">
        <f ca="1">IF(OR(E715="",E715="!!!",F715="NEW"),"",COUNTBLANK(OFFSET(A$1,,,SUMPRODUCT(MAX(ROW(E$2:E715)*(E715=E$2:E715)))))-COUNTBLANK(OFFSET(A$1,,,SUMPRODUCT(MAX(ROW(E$1:E714)*(E2=E$1:E714))))))</f>
        <v/>
      </c>
      <c r="K715" s="25" t="str">
        <f>IF(OR(E715="",E715="!!!",F715="NEW"),"",INDEX(J$1:J714,SUMPRODUCT(MAX(ROW(E$1:E714)*(E715=E$1:E714)))))</f>
        <v/>
      </c>
      <c r="L715" s="26"/>
    </row>
    <row r="716" spans="1:12" x14ac:dyDescent="0.3">
      <c r="A716" t="s">
        <v>212</v>
      </c>
      <c r="E716" s="21" t="str">
        <f t="shared" si="66"/>
        <v/>
      </c>
      <c r="F716" s="22" t="str">
        <f>IF(OR(E716="",E716="!!!"),"",IF(NOT(ISNA(VLOOKUP(E716,E$1:E715,1,FALSE()))),"OLD",IF(AND(E716&lt;&gt;"",E716&lt;&gt;"!!!"),"NEW","")))</f>
        <v/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/>
      </c>
      <c r="H716" s="24" t="str">
        <f t="shared" ca="1" si="67"/>
        <v/>
      </c>
      <c r="I716" s="25" t="str">
        <f>IF(OR(E716="",E716="!!!",F716="NEW"),"",INDEX(B$2:B715,-1+SUMPRODUCT(MAX(ROW(E$2:E715)*(E716=E$2:E715)))))</f>
        <v/>
      </c>
      <c r="J716" s="25" t="str">
        <f ca="1">IF(OR(E716="",E716="!!!",F716="NEW"),"",COUNTBLANK(OFFSET(A$1,,,SUMPRODUCT(MAX(ROW(E$2:E716)*(E716=E$2:E716)))))-COUNTBLANK(OFFSET(A$1,,,SUMPRODUCT(MAX(ROW(E$1:E715)*(E2=E$1:E715))))))</f>
        <v/>
      </c>
      <c r="K716" s="25" t="str">
        <f>IF(OR(E716="",E716="!!!",F716="NEW"),"",INDEX(J$1:J715,SUMPRODUCT(MAX(ROW(E$1:E715)*(E716=E$1:E715)))))</f>
        <v/>
      </c>
      <c r="L716" s="26"/>
    </row>
    <row r="718" spans="1:12" x14ac:dyDescent="0.3">
      <c r="A718" t="s">
        <v>511</v>
      </c>
    </row>
    <row r="719" spans="1:12" x14ac:dyDescent="0.3">
      <c r="A719" t="s">
        <v>512</v>
      </c>
      <c r="B719" s="20" t="s">
        <v>158</v>
      </c>
      <c r="C719" s="20" t="s">
        <v>159</v>
      </c>
      <c r="D719" s="20" t="s">
        <v>160</v>
      </c>
      <c r="E719" s="21" t="str">
        <f t="shared" ref="E719:E736" si="68">IF(D719="?OLD","!!!","")</f>
        <v>!!!</v>
      </c>
      <c r="F719" s="22" t="str">
        <f>IF(OR(E719="",E719="!!!"),"",IF(NOT(ISNA(VLOOKUP(E719,E$1:E718,1,FALSE()))),"OLD",IF(AND(E719&lt;&gt;"",E719&lt;&gt;"!!!"),"NEW","")))</f>
        <v/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/>
      </c>
      <c r="H719" s="24" t="str">
        <f t="shared" ref="H719:H736" ca="1" si="69">IF(J719&lt;&gt;1,"",IF(I719="SBJ","CB","?"))</f>
        <v/>
      </c>
      <c r="I719" s="25" t="str">
        <f>IF(OR(E719="",E719="!!!",F719="NEW"),"",INDEX(B$2:B718,-1+SUMPRODUCT(MAX(ROW(E$2:E718)*(E719=E$2:E718)))))</f>
        <v/>
      </c>
      <c r="J719" s="25" t="str">
        <f ca="1">IF(OR(E719="",E719="!!!",F719="NEW"),"",COUNTBLANK(OFFSET(A$1,,,SUMPRODUCT(MAX(ROW(E$2:E719)*(E719=E$2:E719)))))-COUNTBLANK(OFFSET(A$1,,,SUMPRODUCT(MAX(ROW(E$1:E718)*(E2=E$1:E718))))))</f>
        <v/>
      </c>
      <c r="K719" s="25" t="str">
        <f>IF(OR(E719="",E719="!!!",F719="NEW"),"",INDEX(J$1:J718,SUMPRODUCT(MAX(ROW(E$1:E718)*(E719=E$1:E718)))))</f>
        <v/>
      </c>
      <c r="L719" s="26"/>
    </row>
    <row r="720" spans="1:12" x14ac:dyDescent="0.3">
      <c r="A720" t="s">
        <v>513</v>
      </c>
      <c r="E720" s="21" t="str">
        <f t="shared" si="68"/>
        <v/>
      </c>
      <c r="F720" s="22" t="str">
        <f>IF(OR(E720="",E720="!!!"),"",IF(NOT(ISNA(VLOOKUP(E720,E$1:E719,1,FALSE()))),"OLD",IF(AND(E720&lt;&gt;"",E720&lt;&gt;"!!!"),"NEW","")))</f>
        <v/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/>
      </c>
      <c r="H720" s="24" t="str">
        <f t="shared" ca="1" si="69"/>
        <v/>
      </c>
      <c r="I720" s="25" t="str">
        <f>IF(OR(E720="",E720="!!!",F720="NEW"),"",INDEX(B$2:B719,-1+SUMPRODUCT(MAX(ROW(E$2:E719)*(E720=E$2:E719)))))</f>
        <v/>
      </c>
      <c r="J720" s="25" t="str">
        <f ca="1">IF(OR(E720="",E720="!!!",F720="NEW"),"",COUNTBLANK(OFFSET(A$1,,,SUMPRODUCT(MAX(ROW(E$2:E720)*(E720=E$2:E720)))))-COUNTBLANK(OFFSET(A$1,,,SUMPRODUCT(MAX(ROW(E$1:E719)*(E2=E$1:E719))))))</f>
        <v/>
      </c>
      <c r="K720" s="25" t="str">
        <f>IF(OR(E720="",E720="!!!",F720="NEW"),"",INDEX(J$1:J719,SUMPRODUCT(MAX(ROW(E$1:E719)*(E720=E$1:E719)))))</f>
        <v/>
      </c>
      <c r="L720" s="26"/>
    </row>
    <row r="721" spans="1:12" x14ac:dyDescent="0.3">
      <c r="A721" t="s">
        <v>11</v>
      </c>
      <c r="E721" s="21" t="str">
        <f t="shared" si="68"/>
        <v/>
      </c>
      <c r="F721" s="22" t="str">
        <f>IF(OR(E721="",E721="!!!"),"",IF(NOT(ISNA(VLOOKUP(E721,E$1:E720,1,FALSE()))),"OLD",IF(AND(E721&lt;&gt;"",E721&lt;&gt;"!!!"),"NEW","")))</f>
        <v/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/>
      </c>
      <c r="H721" s="24" t="str">
        <f t="shared" ca="1" si="69"/>
        <v/>
      </c>
      <c r="I721" s="25" t="str">
        <f>IF(OR(E721="",E721="!!!",F721="NEW"),"",INDEX(B$2:B720,-1+SUMPRODUCT(MAX(ROW(E$2:E720)*(E721=E$2:E720)))))</f>
        <v/>
      </c>
      <c r="J721" s="25" t="str">
        <f ca="1">IF(OR(E721="",E721="!!!",F721="NEW"),"",COUNTBLANK(OFFSET(A$1,,,SUMPRODUCT(MAX(ROW(E$2:E721)*(E721=E$2:E721)))))-COUNTBLANK(OFFSET(A$1,,,SUMPRODUCT(MAX(ROW(E$1:E720)*(E2=E$1:E720))))))</f>
        <v/>
      </c>
      <c r="K721" s="25" t="str">
        <f>IF(OR(E721="",E721="!!!",F721="NEW"),"",INDEX(J$1:J720,SUMPRODUCT(MAX(ROW(E$1:E720)*(E721=E$1:E720)))))</f>
        <v/>
      </c>
      <c r="L721" s="26"/>
    </row>
    <row r="722" spans="1:12" x14ac:dyDescent="0.3">
      <c r="A722" t="s">
        <v>514</v>
      </c>
      <c r="E722" s="21" t="str">
        <f t="shared" si="68"/>
        <v/>
      </c>
      <c r="F722" s="22" t="str">
        <f>IF(OR(E722="",E722="!!!"),"",IF(NOT(ISNA(VLOOKUP(E722,E$1:E721,1,FALSE()))),"OLD",IF(AND(E722&lt;&gt;"",E722&lt;&gt;"!!!"),"NEW","")))</f>
        <v/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/>
      </c>
      <c r="H722" s="24" t="str">
        <f t="shared" ca="1" si="69"/>
        <v/>
      </c>
      <c r="I722" s="25" t="str">
        <f>IF(OR(E722="",E722="!!!",F722="NEW"),"",INDEX(B$2:B721,-1+SUMPRODUCT(MAX(ROW(E$2:E721)*(E722=E$2:E721)))))</f>
        <v/>
      </c>
      <c r="J722" s="25" t="str">
        <f ca="1">IF(OR(E722="",E722="!!!",F722="NEW"),"",COUNTBLANK(OFFSET(A$1,,,SUMPRODUCT(MAX(ROW(E$2:E722)*(E722=E$2:E722)))))-COUNTBLANK(OFFSET(A$1,,,SUMPRODUCT(MAX(ROW(E$1:E721)*(E2=E$1:E721))))))</f>
        <v/>
      </c>
      <c r="K722" s="25" t="str">
        <f>IF(OR(E722="",E722="!!!",F722="NEW"),"",INDEX(J$1:J721,SUMPRODUCT(MAX(ROW(E$1:E721)*(E722=E$1:E721)))))</f>
        <v/>
      </c>
      <c r="L722" s="26"/>
    </row>
    <row r="723" spans="1:12" x14ac:dyDescent="0.3">
      <c r="A723" t="s">
        <v>185</v>
      </c>
      <c r="E723" s="21" t="str">
        <f t="shared" si="68"/>
        <v/>
      </c>
      <c r="F723" s="22" t="str">
        <f>IF(OR(E723="",E723="!!!"),"",IF(NOT(ISNA(VLOOKUP(E723,E$1:E722,1,FALSE()))),"OLD",IF(AND(E723&lt;&gt;"",E723&lt;&gt;"!!!"),"NEW","")))</f>
        <v/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/>
      </c>
      <c r="H723" s="24" t="str">
        <f t="shared" ca="1" si="69"/>
        <v/>
      </c>
      <c r="I723" s="25" t="str">
        <f>IF(OR(E723="",E723="!!!",F723="NEW"),"",INDEX(B$2:B722,-1+SUMPRODUCT(MAX(ROW(E$2:E722)*(E723=E$2:E722)))))</f>
        <v/>
      </c>
      <c r="J723" s="25" t="str">
        <f ca="1">IF(OR(E723="",E723="!!!",F723="NEW"),"",COUNTBLANK(OFFSET(A$1,,,SUMPRODUCT(MAX(ROW(E$2:E723)*(E723=E$2:E723)))))-COUNTBLANK(OFFSET(A$1,,,SUMPRODUCT(MAX(ROW(E$1:E722)*(E2=E$1:E722))))))</f>
        <v/>
      </c>
      <c r="K723" s="25" t="str">
        <f>IF(OR(E723="",E723="!!!",F723="NEW"),"",INDEX(J$1:J722,SUMPRODUCT(MAX(ROW(E$1:E722)*(E723=E$1:E722)))))</f>
        <v/>
      </c>
      <c r="L723" s="26"/>
    </row>
    <row r="724" spans="1:12" x14ac:dyDescent="0.3">
      <c r="A724" t="s">
        <v>515</v>
      </c>
      <c r="B724" s="20" t="s">
        <v>158</v>
      </c>
      <c r="C724" s="20" t="s">
        <v>167</v>
      </c>
      <c r="E724" s="21" t="str">
        <f t="shared" si="68"/>
        <v/>
      </c>
      <c r="F724" s="22" t="str">
        <f>IF(OR(E724="",E724="!!!"),"",IF(NOT(ISNA(VLOOKUP(E724,E$1:E723,1,FALSE()))),"OLD",IF(AND(E724&lt;&gt;"",E724&lt;&gt;"!!!"),"NEW","")))</f>
        <v/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/>
      </c>
      <c r="H724" s="24" t="str">
        <f t="shared" ca="1" si="69"/>
        <v/>
      </c>
      <c r="I724" s="25" t="str">
        <f>IF(OR(E724="",E724="!!!",F724="NEW"),"",INDEX(B$2:B723,-1+SUMPRODUCT(MAX(ROW(E$2:E723)*(E724=E$2:E723)))))</f>
        <v/>
      </c>
      <c r="J724" s="25" t="str">
        <f ca="1">IF(OR(E724="",E724="!!!",F724="NEW"),"",COUNTBLANK(OFFSET(A$1,,,SUMPRODUCT(MAX(ROW(E$2:E724)*(E724=E$2:E724)))))-COUNTBLANK(OFFSET(A$1,,,SUMPRODUCT(MAX(ROW(E$1:E723)*(E2=E$1:E723))))))</f>
        <v/>
      </c>
      <c r="K724" s="25" t="str">
        <f>IF(OR(E724="",E724="!!!",F724="NEW"),"",INDEX(J$1:J723,SUMPRODUCT(MAX(ROW(E$1:E723)*(E724=E$1:E723)))))</f>
        <v/>
      </c>
      <c r="L724" s="26"/>
    </row>
    <row r="725" spans="1:12" x14ac:dyDescent="0.3">
      <c r="A725" t="s">
        <v>185</v>
      </c>
      <c r="E725" s="21" t="str">
        <f t="shared" si="68"/>
        <v/>
      </c>
      <c r="F725" s="22" t="str">
        <f>IF(OR(E725="",E725="!!!"),"",IF(NOT(ISNA(VLOOKUP(E725,E$1:E724,1,FALSE()))),"OLD",IF(AND(E725&lt;&gt;"",E725&lt;&gt;"!!!"),"NEW","")))</f>
        <v/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/>
      </c>
      <c r="H725" s="24" t="str">
        <f t="shared" ca="1" si="69"/>
        <v/>
      </c>
      <c r="I725" s="25" t="str">
        <f>IF(OR(E725="",E725="!!!",F725="NEW"),"",INDEX(B$2:B724,-1+SUMPRODUCT(MAX(ROW(E$2:E724)*(E725=E$2:E724)))))</f>
        <v/>
      </c>
      <c r="J725" s="25" t="str">
        <f ca="1">IF(OR(E725="",E725="!!!",F725="NEW"),"",COUNTBLANK(OFFSET(A$1,,,SUMPRODUCT(MAX(ROW(E$2:E725)*(E725=E$2:E725)))))-COUNTBLANK(OFFSET(A$1,,,SUMPRODUCT(MAX(ROW(E$1:E724)*(E2=E$1:E724))))))</f>
        <v/>
      </c>
      <c r="K725" s="25" t="str">
        <f>IF(OR(E725="",E725="!!!",F725="NEW"),"",INDEX(J$1:J724,SUMPRODUCT(MAX(ROW(E$1:E724)*(E725=E$1:E724)))))</f>
        <v/>
      </c>
      <c r="L725" s="26"/>
    </row>
    <row r="726" spans="1:12" x14ac:dyDescent="0.3">
      <c r="A726" t="s">
        <v>516</v>
      </c>
      <c r="B726" s="20" t="s">
        <v>158</v>
      </c>
      <c r="C726" s="20" t="s">
        <v>167</v>
      </c>
      <c r="E726" s="21" t="str">
        <f t="shared" si="68"/>
        <v/>
      </c>
      <c r="F726" s="22" t="str">
        <f>IF(OR(E726="",E726="!!!"),"",IF(NOT(ISNA(VLOOKUP(E726,E$1:E725,1,FALSE()))),"OLD",IF(AND(E726&lt;&gt;"",E726&lt;&gt;"!!!"),"NEW","")))</f>
        <v/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/>
      </c>
      <c r="H726" s="24" t="str">
        <f t="shared" ca="1" si="69"/>
        <v/>
      </c>
      <c r="I726" s="25" t="str">
        <f>IF(OR(E726="",E726="!!!",F726="NEW"),"",INDEX(B$2:B725,-1+SUMPRODUCT(MAX(ROW(E$2:E725)*(E726=E$2:E725)))))</f>
        <v/>
      </c>
      <c r="J726" s="25" t="str">
        <f ca="1">IF(OR(E726="",E726="!!!",F726="NEW"),"",COUNTBLANK(OFFSET(A$1,,,SUMPRODUCT(MAX(ROW(E$2:E726)*(E726=E$2:E726)))))-COUNTBLANK(OFFSET(A$1,,,SUMPRODUCT(MAX(ROW(E$1:E725)*(E2=E$1:E725))))))</f>
        <v/>
      </c>
      <c r="K726" s="25" t="str">
        <f>IF(OR(E726="",E726="!!!",F726="NEW"),"",INDEX(J$1:J725,SUMPRODUCT(MAX(ROW(E$1:E725)*(E726=E$1:E725)))))</f>
        <v/>
      </c>
      <c r="L726" s="26"/>
    </row>
    <row r="727" spans="1:12" x14ac:dyDescent="0.3">
      <c r="A727" t="s">
        <v>185</v>
      </c>
      <c r="E727" s="21" t="str">
        <f t="shared" si="68"/>
        <v/>
      </c>
      <c r="F727" s="22" t="str">
        <f>IF(OR(E727="",E727="!!!"),"",IF(NOT(ISNA(VLOOKUP(E727,E$1:E726,1,FALSE()))),"OLD",IF(AND(E727&lt;&gt;"",E727&lt;&gt;"!!!"),"NEW","")))</f>
        <v/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/>
      </c>
      <c r="H727" s="24" t="str">
        <f t="shared" ca="1" si="69"/>
        <v/>
      </c>
      <c r="I727" s="25" t="str">
        <f>IF(OR(E727="",E727="!!!",F727="NEW"),"",INDEX(B$2:B726,-1+SUMPRODUCT(MAX(ROW(E$2:E726)*(E727=E$2:E726)))))</f>
        <v/>
      </c>
      <c r="J727" s="25" t="str">
        <f ca="1">IF(OR(E727="",E727="!!!",F727="NEW"),"",COUNTBLANK(OFFSET(A$1,,,SUMPRODUCT(MAX(ROW(E$2:E727)*(E727=E$2:E727)))))-COUNTBLANK(OFFSET(A$1,,,SUMPRODUCT(MAX(ROW(E$1:E726)*(E2=E$1:E726))))))</f>
        <v/>
      </c>
      <c r="K727" s="25" t="str">
        <f>IF(OR(E727="",E727="!!!",F727="NEW"),"",INDEX(J$1:J726,SUMPRODUCT(MAX(ROW(E$1:E726)*(E727=E$1:E726)))))</f>
        <v/>
      </c>
      <c r="L727" s="26"/>
    </row>
    <row r="728" spans="1:12" x14ac:dyDescent="0.3">
      <c r="A728" t="s">
        <v>517</v>
      </c>
      <c r="B728" s="20" t="s">
        <v>158</v>
      </c>
      <c r="C728" s="20" t="s">
        <v>167</v>
      </c>
      <c r="E728" s="21" t="str">
        <f t="shared" si="68"/>
        <v/>
      </c>
      <c r="F728" s="22" t="str">
        <f>IF(OR(E728="",E728="!!!"),"",IF(NOT(ISNA(VLOOKUP(E728,E$1:E727,1,FALSE()))),"OLD",IF(AND(E728&lt;&gt;"",E728&lt;&gt;"!!!"),"NEW","")))</f>
        <v/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/>
      </c>
      <c r="H728" s="24" t="str">
        <f t="shared" ca="1" si="69"/>
        <v/>
      </c>
      <c r="I728" s="25" t="str">
        <f>IF(OR(E728="",E728="!!!",F728="NEW"),"",INDEX(B$2:B727,-1+SUMPRODUCT(MAX(ROW(E$2:E727)*(E728=E$2:E727)))))</f>
        <v/>
      </c>
      <c r="J728" s="25" t="str">
        <f ca="1">IF(OR(E728="",E728="!!!",F728="NEW"),"",COUNTBLANK(OFFSET(A$1,,,SUMPRODUCT(MAX(ROW(E$2:E728)*(E728=E$2:E728)))))-COUNTBLANK(OFFSET(A$1,,,SUMPRODUCT(MAX(ROW(E$1:E727)*(E2=E$1:E727))))))</f>
        <v/>
      </c>
      <c r="K728" s="25" t="str">
        <f>IF(OR(E728="",E728="!!!",F728="NEW"),"",INDEX(J$1:J727,SUMPRODUCT(MAX(ROW(E$1:E727)*(E728=E$1:E727)))))</f>
        <v/>
      </c>
      <c r="L728" s="26"/>
    </row>
    <row r="729" spans="1:12" x14ac:dyDescent="0.3">
      <c r="A729" t="s">
        <v>185</v>
      </c>
      <c r="E729" s="21" t="str">
        <f t="shared" si="68"/>
        <v/>
      </c>
      <c r="F729" s="22" t="str">
        <f>IF(OR(E729="",E729="!!!"),"",IF(NOT(ISNA(VLOOKUP(E729,E$1:E728,1,FALSE()))),"OLD",IF(AND(E729&lt;&gt;"",E729&lt;&gt;"!!!"),"NEW","")))</f>
        <v/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/>
      </c>
      <c r="H729" s="24" t="str">
        <f t="shared" ca="1" si="69"/>
        <v/>
      </c>
      <c r="I729" s="25" t="str">
        <f>IF(OR(E729="",E729="!!!",F729="NEW"),"",INDEX(B$2:B728,-1+SUMPRODUCT(MAX(ROW(E$2:E728)*(E729=E$2:E728)))))</f>
        <v/>
      </c>
      <c r="J729" s="25" t="str">
        <f ca="1">IF(OR(E729="",E729="!!!",F729="NEW"),"",COUNTBLANK(OFFSET(A$1,,,SUMPRODUCT(MAX(ROW(E$2:E729)*(E729=E$2:E729)))))-COUNTBLANK(OFFSET(A$1,,,SUMPRODUCT(MAX(ROW(E$1:E728)*(E2=E$1:E728))))))</f>
        <v/>
      </c>
      <c r="K729" s="25" t="str">
        <f>IF(OR(E729="",E729="!!!",F729="NEW"),"",INDEX(J$1:J728,SUMPRODUCT(MAX(ROW(E$1:E728)*(E729=E$1:E728)))))</f>
        <v/>
      </c>
      <c r="L729" s="26"/>
    </row>
    <row r="730" spans="1:12" x14ac:dyDescent="0.3">
      <c r="A730" t="s">
        <v>518</v>
      </c>
      <c r="B730" s="20" t="s">
        <v>158</v>
      </c>
      <c r="C730" s="20" t="s">
        <v>167</v>
      </c>
      <c r="E730" s="21" t="str">
        <f t="shared" si="68"/>
        <v/>
      </c>
      <c r="F730" s="22" t="str">
        <f>IF(OR(E730="",E730="!!!"),"",IF(NOT(ISNA(VLOOKUP(E730,E$1:E729,1,FALSE()))),"OLD",IF(AND(E730&lt;&gt;"",E730&lt;&gt;"!!!"),"NEW","")))</f>
        <v/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/>
      </c>
      <c r="H730" s="24" t="str">
        <f t="shared" ca="1" si="69"/>
        <v/>
      </c>
      <c r="I730" s="25" t="str">
        <f>IF(OR(E730="",E730="!!!",F730="NEW"),"",INDEX(B$2:B729,-1+SUMPRODUCT(MAX(ROW(E$2:E729)*(E730=E$2:E729)))))</f>
        <v/>
      </c>
      <c r="J730" s="25" t="str">
        <f ca="1">IF(OR(E730="",E730="!!!",F730="NEW"),"",COUNTBLANK(OFFSET(A$1,,,SUMPRODUCT(MAX(ROW(E$2:E730)*(E730=E$2:E730)))))-COUNTBLANK(OFFSET(A$1,,,SUMPRODUCT(MAX(ROW(E$1:E729)*(E2=E$1:E729))))))</f>
        <v/>
      </c>
      <c r="K730" s="25" t="str">
        <f>IF(OR(E730="",E730="!!!",F730="NEW"),"",INDEX(J$1:J729,SUMPRODUCT(MAX(ROW(E$1:E729)*(E730=E$1:E729)))))</f>
        <v/>
      </c>
      <c r="L730" s="26"/>
    </row>
    <row r="731" spans="1:12" x14ac:dyDescent="0.3">
      <c r="A731" t="s">
        <v>168</v>
      </c>
      <c r="E731" s="21" t="str">
        <f t="shared" si="68"/>
        <v/>
      </c>
      <c r="F731" s="22" t="str">
        <f>IF(OR(E731="",E731="!!!"),"",IF(NOT(ISNA(VLOOKUP(E731,E$1:E730,1,FALSE()))),"OLD",IF(AND(E731&lt;&gt;"",E731&lt;&gt;"!!!"),"NEW","")))</f>
        <v/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/>
      </c>
      <c r="H731" s="24" t="str">
        <f t="shared" ca="1" si="69"/>
        <v/>
      </c>
      <c r="I731" s="25" t="str">
        <f>IF(OR(E731="",E731="!!!",F731="NEW"),"",INDEX(B$2:B730,-1+SUMPRODUCT(MAX(ROW(E$2:E730)*(E731=E$2:E730)))))</f>
        <v/>
      </c>
      <c r="J731" s="25" t="str">
        <f ca="1">IF(OR(E731="",E731="!!!",F731="NEW"),"",COUNTBLANK(OFFSET(A$1,,,SUMPRODUCT(MAX(ROW(E$2:E731)*(E731=E$2:E731)))))-COUNTBLANK(OFFSET(A$1,,,SUMPRODUCT(MAX(ROW(E$1:E730)*(E2=E$1:E730))))))</f>
        <v/>
      </c>
      <c r="K731" s="25" t="str">
        <f>IF(OR(E731="",E731="!!!",F731="NEW"),"",INDEX(J$1:J730,SUMPRODUCT(MAX(ROW(E$1:E730)*(E731=E$1:E730)))))</f>
        <v/>
      </c>
      <c r="L731" s="26"/>
    </row>
    <row r="732" spans="1:12" x14ac:dyDescent="0.3">
      <c r="A732" t="s">
        <v>519</v>
      </c>
      <c r="B732" s="20" t="s">
        <v>158</v>
      </c>
      <c r="C732" s="20" t="s">
        <v>167</v>
      </c>
      <c r="E732" s="21" t="str">
        <f t="shared" si="68"/>
        <v/>
      </c>
      <c r="F732" s="22" t="str">
        <f>IF(OR(E732="",E732="!!!"),"",IF(NOT(ISNA(VLOOKUP(E732,E$1:E731,1,FALSE()))),"OLD",IF(AND(E732&lt;&gt;"",E732&lt;&gt;"!!!"),"NEW","")))</f>
        <v/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/>
      </c>
      <c r="H732" s="24" t="str">
        <f t="shared" ca="1" si="69"/>
        <v/>
      </c>
      <c r="I732" s="25" t="str">
        <f>IF(OR(E732="",E732="!!!",F732="NEW"),"",INDEX(B$2:B731,-1+SUMPRODUCT(MAX(ROW(E$2:E731)*(E732=E$2:E731)))))</f>
        <v/>
      </c>
      <c r="J732" s="25" t="str">
        <f ca="1">IF(OR(E732="",E732="!!!",F732="NEW"),"",COUNTBLANK(OFFSET(A$1,,,SUMPRODUCT(MAX(ROW(E$2:E732)*(E732=E$2:E732)))))-COUNTBLANK(OFFSET(A$1,,,SUMPRODUCT(MAX(ROW(E$1:E731)*(E2=E$1:E731))))))</f>
        <v/>
      </c>
      <c r="K732" s="25" t="str">
        <f>IF(OR(E732="",E732="!!!",F732="NEW"),"",INDEX(J$1:J731,SUMPRODUCT(MAX(ROW(E$1:E731)*(E732=E$1:E731)))))</f>
        <v/>
      </c>
      <c r="L732" s="26"/>
    </row>
    <row r="733" spans="1:12" x14ac:dyDescent="0.3">
      <c r="A733" t="s">
        <v>520</v>
      </c>
      <c r="B733" s="20" t="s">
        <v>172</v>
      </c>
      <c r="C733" s="20" t="s">
        <v>159</v>
      </c>
      <c r="D733" s="20" t="s">
        <v>160</v>
      </c>
      <c r="E733" s="21" t="str">
        <f t="shared" si="68"/>
        <v>!!!</v>
      </c>
      <c r="F733" s="22" t="str">
        <f>IF(OR(E733="",E733="!!!"),"",IF(NOT(ISNA(VLOOKUP(E733,E$1:E732,1,FALSE()))),"OLD",IF(AND(E733&lt;&gt;"",E733&lt;&gt;"!!!"),"NEW","")))</f>
        <v/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/>
      </c>
      <c r="H733" s="24" t="str">
        <f t="shared" ca="1" si="69"/>
        <v/>
      </c>
      <c r="I733" s="25" t="str">
        <f>IF(OR(E733="",E733="!!!",F733="NEW"),"",INDEX(B$2:B732,-1+SUMPRODUCT(MAX(ROW(E$2:E732)*(E733=E$2:E732)))))</f>
        <v/>
      </c>
      <c r="J733" s="25" t="str">
        <f ca="1">IF(OR(E733="",E733="!!!",F733="NEW"),"",COUNTBLANK(OFFSET(A$1,,,SUMPRODUCT(MAX(ROW(E$2:E733)*(E733=E$2:E733)))))-COUNTBLANK(OFFSET(A$1,,,SUMPRODUCT(MAX(ROW(E$1:E732)*(E2=E$1:E732))))))</f>
        <v/>
      </c>
      <c r="K733" s="25" t="str">
        <f>IF(OR(E733="",E733="!!!",F733="NEW"),"",INDEX(J$1:J732,SUMPRODUCT(MAX(ROW(E$1:E732)*(E733=E$1:E732)))))</f>
        <v/>
      </c>
      <c r="L733" s="26"/>
    </row>
    <row r="734" spans="1:12" x14ac:dyDescent="0.3">
      <c r="A734" t="s">
        <v>11</v>
      </c>
      <c r="E734" s="21" t="str">
        <f t="shared" si="68"/>
        <v/>
      </c>
      <c r="F734" s="22" t="str">
        <f>IF(OR(E734="",E734="!!!"),"",IF(NOT(ISNA(VLOOKUP(E734,E$1:E733,1,FALSE()))),"OLD",IF(AND(E734&lt;&gt;"",E734&lt;&gt;"!!!"),"NEW","")))</f>
        <v/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/>
      </c>
      <c r="H734" s="24" t="str">
        <f t="shared" ca="1" si="69"/>
        <v/>
      </c>
      <c r="I734" s="25" t="str">
        <f>IF(OR(E734="",E734="!!!",F734="NEW"),"",INDEX(B$2:B733,-1+SUMPRODUCT(MAX(ROW(E$2:E733)*(E734=E$2:E733)))))</f>
        <v/>
      </c>
      <c r="J734" s="25" t="str">
        <f ca="1">IF(OR(E734="",E734="!!!",F734="NEW"),"",COUNTBLANK(OFFSET(A$1,,,SUMPRODUCT(MAX(ROW(E$2:E734)*(E734=E$2:E734)))))-COUNTBLANK(OFFSET(A$1,,,SUMPRODUCT(MAX(ROW(E$1:E733)*(E2=E$1:E733))))))</f>
        <v/>
      </c>
      <c r="K734" s="25" t="str">
        <f>IF(OR(E734="",E734="!!!",F734="NEW"),"",INDEX(J$1:J733,SUMPRODUCT(MAX(ROW(E$1:E733)*(E734=E$1:E733)))))</f>
        <v/>
      </c>
      <c r="L734" s="26"/>
    </row>
    <row r="735" spans="1:12" x14ac:dyDescent="0.3">
      <c r="A735" t="s">
        <v>521</v>
      </c>
      <c r="E735" s="21" t="str">
        <f t="shared" si="68"/>
        <v/>
      </c>
      <c r="F735" s="22" t="str">
        <f>IF(OR(E735="",E735="!!!"),"",IF(NOT(ISNA(VLOOKUP(E735,E$1:E734,1,FALSE()))),"OLD",IF(AND(E735&lt;&gt;"",E735&lt;&gt;"!!!"),"NEW","")))</f>
        <v/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/>
      </c>
      <c r="H735" s="24" t="str">
        <f t="shared" ca="1" si="69"/>
        <v/>
      </c>
      <c r="I735" s="25" t="str">
        <f>IF(OR(E735="",E735="!!!",F735="NEW"),"",INDEX(B$2:B734,-1+SUMPRODUCT(MAX(ROW(E$2:E734)*(E735=E$2:E734)))))</f>
        <v/>
      </c>
      <c r="J735" s="25" t="str">
        <f ca="1">IF(OR(E735="",E735="!!!",F735="NEW"),"",COUNTBLANK(OFFSET(A$1,,,SUMPRODUCT(MAX(ROW(E$2:E735)*(E735=E$2:E735)))))-COUNTBLANK(OFFSET(A$1,,,SUMPRODUCT(MAX(ROW(E$1:E734)*(E2=E$1:E734))))))</f>
        <v/>
      </c>
      <c r="K735" s="25" t="str">
        <f>IF(OR(E735="",E735="!!!",F735="NEW"),"",INDEX(J$1:J734,SUMPRODUCT(MAX(ROW(E$1:E734)*(E735=E$1:E734)))))</f>
        <v/>
      </c>
      <c r="L735" s="26"/>
    </row>
    <row r="736" spans="1:12" x14ac:dyDescent="0.3">
      <c r="A736" t="s">
        <v>212</v>
      </c>
      <c r="E736" s="21" t="str">
        <f t="shared" si="68"/>
        <v/>
      </c>
      <c r="F736" s="22" t="str">
        <f>IF(OR(E736="",E736="!!!"),"",IF(NOT(ISNA(VLOOKUP(E736,E$1:E735,1,FALSE()))),"OLD",IF(AND(E736&lt;&gt;"",E736&lt;&gt;"!!!"),"NEW","")))</f>
        <v/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/>
      </c>
      <c r="H736" s="24" t="str">
        <f t="shared" ca="1" si="69"/>
        <v/>
      </c>
      <c r="I736" s="25" t="str">
        <f>IF(OR(E736="",E736="!!!",F736="NEW"),"",INDEX(B$2:B735,-1+SUMPRODUCT(MAX(ROW(E$2:E735)*(E736=E$2:E735)))))</f>
        <v/>
      </c>
      <c r="J736" s="25" t="str">
        <f ca="1">IF(OR(E736="",E736="!!!",F736="NEW"),"",COUNTBLANK(OFFSET(A$1,,,SUMPRODUCT(MAX(ROW(E$2:E736)*(E736=E$2:E736)))))-COUNTBLANK(OFFSET(A$1,,,SUMPRODUCT(MAX(ROW(E$1:E735)*(E2=E$1:E735))))))</f>
        <v/>
      </c>
      <c r="K736" s="25" t="str">
        <f>IF(OR(E736="",E736="!!!",F736="NEW"),"",INDEX(J$1:J735,SUMPRODUCT(MAX(ROW(E$1:E735)*(E736=E$1:E735)))))</f>
        <v/>
      </c>
      <c r="L736" s="26"/>
    </row>
    <row r="738" spans="1:12" x14ac:dyDescent="0.3">
      <c r="A738" t="s">
        <v>522</v>
      </c>
    </row>
    <row r="739" spans="1:12" x14ac:dyDescent="0.3">
      <c r="A739" t="s">
        <v>444</v>
      </c>
      <c r="E739" s="21" t="str">
        <f t="shared" ref="E739:E749" si="70">IF(D739="?OLD","!!!","")</f>
        <v/>
      </c>
      <c r="F739" s="22" t="str">
        <f>IF(OR(E739="",E739="!!!"),"",IF(NOT(ISNA(VLOOKUP(E739,E$1:E738,1,FALSE()))),"OLD",IF(AND(E739&lt;&gt;"",E739&lt;&gt;"!!!"),"NEW","")))</f>
        <v/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/>
      </c>
      <c r="H739" s="24" t="str">
        <f t="shared" ref="H739:H749" ca="1" si="71">IF(J739&lt;&gt;1,"",IF(I739="SBJ","CB","?"))</f>
        <v/>
      </c>
      <c r="I739" s="25" t="str">
        <f>IF(OR(E739="",E739="!!!",F739="NEW"),"",INDEX(B$2:B738,-1+SUMPRODUCT(MAX(ROW(E$2:E738)*(E739=E$2:E738)))))</f>
        <v/>
      </c>
      <c r="J739" s="25" t="str">
        <f ca="1">IF(OR(E739="",E739="!!!",F739="NEW"),"",COUNTBLANK(OFFSET(A$1,,,SUMPRODUCT(MAX(ROW(E$2:E739)*(E739=E$2:E739)))))-COUNTBLANK(OFFSET(A$1,,,SUMPRODUCT(MAX(ROW(E$1:E738)*(E2=E$1:E738))))))</f>
        <v/>
      </c>
      <c r="K739" s="25" t="str">
        <f>IF(OR(E739="",E739="!!!",F739="NEW"),"",INDEX(J$1:J738,SUMPRODUCT(MAX(ROW(E$1:E738)*(E739=E$1:E738)))))</f>
        <v/>
      </c>
      <c r="L739" s="26"/>
    </row>
    <row r="740" spans="1:12" x14ac:dyDescent="0.3">
      <c r="A740" t="s">
        <v>523</v>
      </c>
      <c r="E740" s="21" t="str">
        <f t="shared" si="70"/>
        <v/>
      </c>
      <c r="F740" s="22" t="str">
        <f>IF(OR(E740="",E740="!!!"),"",IF(NOT(ISNA(VLOOKUP(E740,E$1:E739,1,FALSE()))),"OLD",IF(AND(E740&lt;&gt;"",E740&lt;&gt;"!!!"),"NEW","")))</f>
        <v/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/>
      </c>
      <c r="H740" s="24" t="str">
        <f t="shared" ca="1" si="71"/>
        <v/>
      </c>
      <c r="I740" s="25" t="str">
        <f>IF(OR(E740="",E740="!!!",F740="NEW"),"",INDEX(B$2:B739,-1+SUMPRODUCT(MAX(ROW(E$2:E739)*(E740=E$2:E739)))))</f>
        <v/>
      </c>
      <c r="J740" s="25" t="str">
        <f ca="1">IF(OR(E740="",E740="!!!",F740="NEW"),"",COUNTBLANK(OFFSET(A$1,,,SUMPRODUCT(MAX(ROW(E$2:E740)*(E740=E$2:E740)))))-COUNTBLANK(OFFSET(A$1,,,SUMPRODUCT(MAX(ROW(E$1:E739)*(E2=E$1:E739))))))</f>
        <v/>
      </c>
      <c r="K740" s="25" t="str">
        <f>IF(OR(E740="",E740="!!!",F740="NEW"),"",INDEX(J$1:J739,SUMPRODUCT(MAX(ROW(E$1:E739)*(E740=E$1:E739)))))</f>
        <v/>
      </c>
      <c r="L740" s="26"/>
    </row>
    <row r="741" spans="1:12" x14ac:dyDescent="0.3">
      <c r="A741" t="s">
        <v>229</v>
      </c>
      <c r="E741" s="21" t="str">
        <f t="shared" si="70"/>
        <v/>
      </c>
      <c r="F741" s="22" t="str">
        <f>IF(OR(E741="",E741="!!!"),"",IF(NOT(ISNA(VLOOKUP(E741,E$1:E740,1,FALSE()))),"OLD",IF(AND(E741&lt;&gt;"",E741&lt;&gt;"!!!"),"NEW","")))</f>
        <v/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/>
      </c>
      <c r="H741" s="24" t="str">
        <f t="shared" ca="1" si="71"/>
        <v/>
      </c>
      <c r="I741" s="25" t="str">
        <f>IF(OR(E741="",E741="!!!",F741="NEW"),"",INDEX(B$2:B740,-1+SUMPRODUCT(MAX(ROW(E$2:E740)*(E741=E$2:E740)))))</f>
        <v/>
      </c>
      <c r="J741" s="25" t="str">
        <f ca="1">IF(OR(E741="",E741="!!!",F741="NEW"),"",COUNTBLANK(OFFSET(A$1,,,SUMPRODUCT(MAX(ROW(E$2:E741)*(E741=E$2:E741)))))-COUNTBLANK(OFFSET(A$1,,,SUMPRODUCT(MAX(ROW(E$1:E740)*(E2=E$1:E740))))))</f>
        <v/>
      </c>
      <c r="K741" s="25" t="str">
        <f>IF(OR(E741="",E741="!!!",F741="NEW"),"",INDEX(J$1:J740,SUMPRODUCT(MAX(ROW(E$1:E740)*(E741=E$1:E740)))))</f>
        <v/>
      </c>
      <c r="L741" s="26"/>
    </row>
    <row r="742" spans="1:12" x14ac:dyDescent="0.3">
      <c r="A742" t="s">
        <v>328</v>
      </c>
      <c r="E742" s="21" t="str">
        <f t="shared" si="70"/>
        <v/>
      </c>
      <c r="F742" s="22" t="str">
        <f>IF(OR(E742="",E742="!!!"),"",IF(NOT(ISNA(VLOOKUP(E742,E$1:E741,1,FALSE()))),"OLD",IF(AND(E742&lt;&gt;"",E742&lt;&gt;"!!!"),"NEW","")))</f>
        <v/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/>
      </c>
      <c r="H742" s="24" t="str">
        <f t="shared" ca="1" si="71"/>
        <v/>
      </c>
      <c r="I742" s="25" t="str">
        <f>IF(OR(E742="",E742="!!!",F742="NEW"),"",INDEX(B$2:B741,-1+SUMPRODUCT(MAX(ROW(E$2:E741)*(E742=E$2:E741)))))</f>
        <v/>
      </c>
      <c r="J742" s="25" t="str">
        <f ca="1">IF(OR(E742="",E742="!!!",F742="NEW"),"",COUNTBLANK(OFFSET(A$1,,,SUMPRODUCT(MAX(ROW(E$2:E742)*(E742=E$2:E742)))))-COUNTBLANK(OFFSET(A$1,,,SUMPRODUCT(MAX(ROW(E$1:E741)*(E2=E$1:E741))))))</f>
        <v/>
      </c>
      <c r="K742" s="25" t="str">
        <f>IF(OR(E742="",E742="!!!",F742="NEW"),"",INDEX(J$1:J741,SUMPRODUCT(MAX(ROW(E$1:E741)*(E742=E$1:E741)))))</f>
        <v/>
      </c>
      <c r="L742" s="26"/>
    </row>
    <row r="743" spans="1:12" x14ac:dyDescent="0.3">
      <c r="A743" t="s">
        <v>400</v>
      </c>
      <c r="B743" s="20" t="s">
        <v>158</v>
      </c>
      <c r="C743" s="20" t="s">
        <v>211</v>
      </c>
      <c r="E743" s="21" t="str">
        <f t="shared" si="70"/>
        <v/>
      </c>
      <c r="F743" s="22" t="str">
        <f>IF(OR(E743="",E743="!!!"),"",IF(NOT(ISNA(VLOOKUP(E743,E$1:E742,1,FALSE()))),"OLD",IF(AND(E743&lt;&gt;"",E743&lt;&gt;"!!!"),"NEW","")))</f>
        <v/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/>
      </c>
      <c r="H743" s="24" t="str">
        <f t="shared" ca="1" si="71"/>
        <v/>
      </c>
      <c r="I743" s="25" t="str">
        <f>IF(OR(E743="",E743="!!!",F743="NEW"),"",INDEX(B$2:B742,-1+SUMPRODUCT(MAX(ROW(E$2:E742)*(E743=E$2:E742)))))</f>
        <v/>
      </c>
      <c r="J743" s="25" t="str">
        <f ca="1">IF(OR(E743="",E743="!!!",F743="NEW"),"",COUNTBLANK(OFFSET(A$1,,,SUMPRODUCT(MAX(ROW(E$2:E743)*(E743=E$2:E743)))))-COUNTBLANK(OFFSET(A$1,,,SUMPRODUCT(MAX(ROW(E$1:E742)*(E2=E$1:E742))))))</f>
        <v/>
      </c>
      <c r="K743" s="25" t="str">
        <f>IF(OR(E743="",E743="!!!",F743="NEW"),"",INDEX(J$1:J742,SUMPRODUCT(MAX(ROW(E$1:E742)*(E743=E$1:E742)))))</f>
        <v/>
      </c>
      <c r="L743" s="26"/>
    </row>
    <row r="744" spans="1:12" x14ac:dyDescent="0.3">
      <c r="A744" t="s">
        <v>524</v>
      </c>
      <c r="E744" s="21" t="str">
        <f t="shared" si="70"/>
        <v/>
      </c>
      <c r="F744" s="22" t="str">
        <f>IF(OR(E744="",E744="!!!"),"",IF(NOT(ISNA(VLOOKUP(E744,E$1:E743,1,FALSE()))),"OLD",IF(AND(E744&lt;&gt;"",E744&lt;&gt;"!!!"),"NEW","")))</f>
        <v/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/>
      </c>
      <c r="H744" s="24" t="str">
        <f t="shared" ca="1" si="71"/>
        <v/>
      </c>
      <c r="I744" s="25" t="str">
        <f>IF(OR(E744="",E744="!!!",F744="NEW"),"",INDEX(B$2:B743,-1+SUMPRODUCT(MAX(ROW(E$2:E743)*(E744=E$2:E743)))))</f>
        <v/>
      </c>
      <c r="J744" s="25" t="str">
        <f ca="1">IF(OR(E744="",E744="!!!",F744="NEW"),"",COUNTBLANK(OFFSET(A$1,,,SUMPRODUCT(MAX(ROW(E$2:E744)*(E744=E$2:E744)))))-COUNTBLANK(OFFSET(A$1,,,SUMPRODUCT(MAX(ROW(E$1:E743)*(E2=E$1:E743))))))</f>
        <v/>
      </c>
      <c r="K744" s="25" t="str">
        <f>IF(OR(E744="",E744="!!!",F744="NEW"),"",INDEX(J$1:J743,SUMPRODUCT(MAX(ROW(E$1:E743)*(E744=E$1:E743)))))</f>
        <v/>
      </c>
      <c r="L744" s="26"/>
    </row>
    <row r="745" spans="1:12" x14ac:dyDescent="0.3">
      <c r="A745" t="s">
        <v>299</v>
      </c>
      <c r="E745" s="21" t="str">
        <f t="shared" si="70"/>
        <v/>
      </c>
      <c r="F745" s="22" t="str">
        <f>IF(OR(E745="",E745="!!!"),"",IF(NOT(ISNA(VLOOKUP(E745,E$1:E744,1,FALSE()))),"OLD",IF(AND(E745&lt;&gt;"",E745&lt;&gt;"!!!"),"NEW","")))</f>
        <v/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/>
      </c>
      <c r="H745" s="24" t="str">
        <f t="shared" ca="1" si="71"/>
        <v/>
      </c>
      <c r="I745" s="25" t="str">
        <f>IF(OR(E745="",E745="!!!",F745="NEW"),"",INDEX(B$2:B744,-1+SUMPRODUCT(MAX(ROW(E$2:E744)*(E745=E$2:E744)))))</f>
        <v/>
      </c>
      <c r="J745" s="25" t="str">
        <f ca="1">IF(OR(E745="",E745="!!!",F745="NEW"),"",COUNTBLANK(OFFSET(A$1,,,SUMPRODUCT(MAX(ROW(E$2:E745)*(E745=E$2:E745)))))-COUNTBLANK(OFFSET(A$1,,,SUMPRODUCT(MAX(ROW(E$1:E744)*(E2=E$1:E744))))))</f>
        <v/>
      </c>
      <c r="K745" s="25" t="str">
        <f>IF(OR(E745="",E745="!!!",F745="NEW"),"",INDEX(J$1:J744,SUMPRODUCT(MAX(ROW(E$1:E744)*(E745=E$1:E744)))))</f>
        <v/>
      </c>
      <c r="L745" s="26"/>
    </row>
    <row r="746" spans="1:12" x14ac:dyDescent="0.3">
      <c r="A746" t="s">
        <v>525</v>
      </c>
      <c r="B746" s="20" t="s">
        <v>158</v>
      </c>
      <c r="C746" s="20" t="s">
        <v>167</v>
      </c>
      <c r="E746" s="21" t="str">
        <f t="shared" si="70"/>
        <v/>
      </c>
      <c r="F746" s="22" t="str">
        <f>IF(OR(E746="",E746="!!!"),"",IF(NOT(ISNA(VLOOKUP(E746,E$1:E745,1,FALSE()))),"OLD",IF(AND(E746&lt;&gt;"",E746&lt;&gt;"!!!"),"NEW","")))</f>
        <v/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/>
      </c>
      <c r="H746" s="24" t="str">
        <f t="shared" ca="1" si="71"/>
        <v/>
      </c>
      <c r="I746" s="25" t="str">
        <f>IF(OR(E746="",E746="!!!",F746="NEW"),"",INDEX(B$2:B745,-1+SUMPRODUCT(MAX(ROW(E$2:E745)*(E746=E$2:E745)))))</f>
        <v/>
      </c>
      <c r="J746" s="25" t="str">
        <f ca="1">IF(OR(E746="",E746="!!!",F746="NEW"),"",COUNTBLANK(OFFSET(A$1,,,SUMPRODUCT(MAX(ROW(E$2:E746)*(E746=E$2:E746)))))-COUNTBLANK(OFFSET(A$1,,,SUMPRODUCT(MAX(ROW(E$1:E745)*(E2=E$1:E745))))))</f>
        <v/>
      </c>
      <c r="K746" s="25" t="str">
        <f>IF(OR(E746="",E746="!!!",F746="NEW"),"",INDEX(J$1:J745,SUMPRODUCT(MAX(ROW(E$1:E745)*(E746=E$1:E745)))))</f>
        <v/>
      </c>
      <c r="L746" s="26"/>
    </row>
    <row r="747" spans="1:12" x14ac:dyDescent="0.3">
      <c r="A747" t="s">
        <v>168</v>
      </c>
      <c r="E747" s="21" t="str">
        <f t="shared" si="70"/>
        <v/>
      </c>
      <c r="F747" s="22" t="str">
        <f>IF(OR(E747="",E747="!!!"),"",IF(NOT(ISNA(VLOOKUP(E747,E$1:E746,1,FALSE()))),"OLD",IF(AND(E747&lt;&gt;"",E747&lt;&gt;"!!!"),"NEW","")))</f>
        <v/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/>
      </c>
      <c r="H747" s="24" t="str">
        <f t="shared" ca="1" si="71"/>
        <v/>
      </c>
      <c r="I747" s="25" t="str">
        <f>IF(OR(E747="",E747="!!!",F747="NEW"),"",INDEX(B$2:B746,-1+SUMPRODUCT(MAX(ROW(E$2:E746)*(E747=E$2:E746)))))</f>
        <v/>
      </c>
      <c r="J747" s="25" t="str">
        <f ca="1">IF(OR(E747="",E747="!!!",F747="NEW"),"",COUNTBLANK(OFFSET(A$1,,,SUMPRODUCT(MAX(ROW(E$2:E747)*(E747=E$2:E747)))))-COUNTBLANK(OFFSET(A$1,,,SUMPRODUCT(MAX(ROW(E$1:E746)*(E2=E$1:E746))))))</f>
        <v/>
      </c>
      <c r="K747" s="25" t="str">
        <f>IF(OR(E747="",E747="!!!",F747="NEW"),"",INDEX(J$1:J746,SUMPRODUCT(MAX(ROW(E$1:E746)*(E747=E$1:E746)))))</f>
        <v/>
      </c>
      <c r="L747" s="26"/>
    </row>
    <row r="748" spans="1:12" x14ac:dyDescent="0.3">
      <c r="A748" t="s">
        <v>526</v>
      </c>
      <c r="B748" s="20" t="s">
        <v>172</v>
      </c>
      <c r="C748" s="20" t="s">
        <v>167</v>
      </c>
      <c r="E748" s="21" t="str">
        <f t="shared" si="70"/>
        <v/>
      </c>
      <c r="F748" s="22" t="str">
        <f>IF(OR(E748="",E748="!!!"),"",IF(NOT(ISNA(VLOOKUP(E748,E$1:E747,1,FALSE()))),"OLD",IF(AND(E748&lt;&gt;"",E748&lt;&gt;"!!!"),"NEW","")))</f>
        <v/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/>
      </c>
      <c r="H748" s="24" t="str">
        <f t="shared" ca="1" si="71"/>
        <v/>
      </c>
      <c r="I748" s="25" t="str">
        <f>IF(OR(E748="",E748="!!!",F748="NEW"),"",INDEX(B$2:B747,-1+SUMPRODUCT(MAX(ROW(E$2:E747)*(E748=E$2:E747)))))</f>
        <v/>
      </c>
      <c r="J748" s="25" t="str">
        <f ca="1">IF(OR(E748="",E748="!!!",F748="NEW"),"",COUNTBLANK(OFFSET(A$1,,,SUMPRODUCT(MAX(ROW(E$2:E748)*(E748=E$2:E748)))))-COUNTBLANK(OFFSET(A$1,,,SUMPRODUCT(MAX(ROW(E$1:E747)*(E2=E$1:E747))))))</f>
        <v/>
      </c>
      <c r="K748" s="25" t="str">
        <f>IF(OR(E748="",E748="!!!",F748="NEW"),"",INDEX(J$1:J747,SUMPRODUCT(MAX(ROW(E$1:E747)*(E748=E$1:E747)))))</f>
        <v/>
      </c>
      <c r="L748" s="26"/>
    </row>
    <row r="749" spans="1:12" x14ac:dyDescent="0.3">
      <c r="A749" t="s">
        <v>212</v>
      </c>
      <c r="E749" s="21" t="str">
        <f t="shared" si="70"/>
        <v/>
      </c>
      <c r="F749" s="22" t="str">
        <f>IF(OR(E749="",E749="!!!"),"",IF(NOT(ISNA(VLOOKUP(E749,E$1:E748,1,FALSE()))),"OLD",IF(AND(E749&lt;&gt;"",E749&lt;&gt;"!!!"),"NEW","")))</f>
        <v/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/>
      </c>
      <c r="H749" s="24" t="str">
        <f t="shared" ca="1" si="71"/>
        <v/>
      </c>
      <c r="I749" s="25" t="str">
        <f>IF(OR(E749="",E749="!!!",F749="NEW"),"",INDEX(B$2:B748,-1+SUMPRODUCT(MAX(ROW(E$2:E748)*(E749=E$2:E748)))))</f>
        <v/>
      </c>
      <c r="J749" s="25" t="str">
        <f ca="1">IF(OR(E749="",E749="!!!",F749="NEW"),"",COUNTBLANK(OFFSET(A$1,,,SUMPRODUCT(MAX(ROW(E$2:E749)*(E749=E$2:E749)))))-COUNTBLANK(OFFSET(A$1,,,SUMPRODUCT(MAX(ROW(E$1:E748)*(E2=E$1:E748))))))</f>
        <v/>
      </c>
      <c r="K749" s="25" t="str">
        <f>IF(OR(E749="",E749="!!!",F749="NEW"),"",INDEX(J$1:J748,SUMPRODUCT(MAX(ROW(E$1:E748)*(E749=E$1:E748)))))</f>
        <v/>
      </c>
      <c r="L749" s="26"/>
    </row>
    <row r="751" spans="1:12" x14ac:dyDescent="0.3">
      <c r="A751" t="s">
        <v>527</v>
      </c>
    </row>
    <row r="752" spans="1:12" x14ac:dyDescent="0.3">
      <c r="A752" t="s">
        <v>528</v>
      </c>
      <c r="E752" s="21" t="str">
        <f t="shared" ref="E752:E757" si="72">IF(D752="?OLD","!!!","")</f>
        <v/>
      </c>
      <c r="F752" s="22" t="str">
        <f>IF(OR(E752="",E752="!!!"),"",IF(NOT(ISNA(VLOOKUP(E752,E$1:E751,1,FALSE()))),"OLD",IF(AND(E752&lt;&gt;"",E752&lt;&gt;"!!!"),"NEW","")))</f>
        <v/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/>
      </c>
      <c r="H752" s="24" t="str">
        <f t="shared" ref="H752:H757" ca="1" si="73">IF(J752&lt;&gt;1,"",IF(I752="SBJ","CB","?"))</f>
        <v/>
      </c>
      <c r="I752" s="25" t="str">
        <f>IF(OR(E752="",E752="!!!",F752="NEW"),"",INDEX(B$2:B751,-1+SUMPRODUCT(MAX(ROW(E$2:E751)*(E752=E$2:E751)))))</f>
        <v/>
      </c>
      <c r="J752" s="25" t="str">
        <f ca="1">IF(OR(E752="",E752="!!!",F752="NEW"),"",COUNTBLANK(OFFSET(A$1,,,SUMPRODUCT(MAX(ROW(E$2:E752)*(E752=E$2:E752)))))-COUNTBLANK(OFFSET(A$1,,,SUMPRODUCT(MAX(ROW(E$1:E751)*(E2=E$1:E751))))))</f>
        <v/>
      </c>
      <c r="K752" s="25" t="str">
        <f>IF(OR(E752="",E752="!!!",F752="NEW"),"",INDEX(J$1:J751,SUMPRODUCT(MAX(ROW(E$1:E751)*(E752=E$1:E751)))))</f>
        <v/>
      </c>
      <c r="L752" s="26"/>
    </row>
    <row r="753" spans="1:12" x14ac:dyDescent="0.3">
      <c r="A753" t="s">
        <v>529</v>
      </c>
      <c r="E753" s="21" t="str">
        <f t="shared" si="72"/>
        <v/>
      </c>
      <c r="F753" s="22" t="str">
        <f>IF(OR(E753="",E753="!!!"),"",IF(NOT(ISNA(VLOOKUP(E753,E$1:E752,1,FALSE()))),"OLD",IF(AND(E753&lt;&gt;"",E753&lt;&gt;"!!!"),"NEW","")))</f>
        <v/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/>
      </c>
      <c r="H753" s="24" t="str">
        <f t="shared" ca="1" si="73"/>
        <v/>
      </c>
      <c r="I753" s="25" t="str">
        <f>IF(OR(E753="",E753="!!!",F753="NEW"),"",INDEX(B$2:B752,-1+SUMPRODUCT(MAX(ROW(E$2:E752)*(E753=E$2:E752)))))</f>
        <v/>
      </c>
      <c r="J753" s="25" t="str">
        <f ca="1">IF(OR(E753="",E753="!!!",F753="NEW"),"",COUNTBLANK(OFFSET(A$1,,,SUMPRODUCT(MAX(ROW(E$2:E753)*(E753=E$2:E753)))))-COUNTBLANK(OFFSET(A$1,,,SUMPRODUCT(MAX(ROW(E$1:E752)*(E2=E$1:E752))))))</f>
        <v/>
      </c>
      <c r="K753" s="25" t="str">
        <f>IF(OR(E753="",E753="!!!",F753="NEW"),"",INDEX(J$1:J752,SUMPRODUCT(MAX(ROW(E$1:E752)*(E753=E$1:E752)))))</f>
        <v/>
      </c>
      <c r="L753" s="26"/>
    </row>
    <row r="754" spans="1:12" x14ac:dyDescent="0.3">
      <c r="A754" t="s">
        <v>235</v>
      </c>
      <c r="E754" s="21" t="str">
        <f t="shared" si="72"/>
        <v/>
      </c>
      <c r="F754" s="22" t="str">
        <f>IF(OR(E754="",E754="!!!"),"",IF(NOT(ISNA(VLOOKUP(E754,E$1:E753,1,FALSE()))),"OLD",IF(AND(E754&lt;&gt;"",E754&lt;&gt;"!!!"),"NEW","")))</f>
        <v/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/>
      </c>
      <c r="H754" s="24" t="str">
        <f t="shared" ca="1" si="73"/>
        <v/>
      </c>
      <c r="I754" s="25" t="str">
        <f>IF(OR(E754="",E754="!!!",F754="NEW"),"",INDEX(B$2:B753,-1+SUMPRODUCT(MAX(ROW(E$2:E753)*(E754=E$2:E753)))))</f>
        <v/>
      </c>
      <c r="J754" s="25" t="str">
        <f ca="1">IF(OR(E754="",E754="!!!",F754="NEW"),"",COUNTBLANK(OFFSET(A$1,,,SUMPRODUCT(MAX(ROW(E$2:E754)*(E754=E$2:E754)))))-COUNTBLANK(OFFSET(A$1,,,SUMPRODUCT(MAX(ROW(E$1:E753)*(E2=E$1:E753))))))</f>
        <v/>
      </c>
      <c r="K754" s="25" t="str">
        <f>IF(OR(E754="",E754="!!!",F754="NEW"),"",INDEX(J$1:J753,SUMPRODUCT(MAX(ROW(E$1:E753)*(E754=E$1:E753)))))</f>
        <v/>
      </c>
      <c r="L754" s="26"/>
    </row>
    <row r="755" spans="1:12" x14ac:dyDescent="0.3">
      <c r="A755" t="s">
        <v>355</v>
      </c>
      <c r="E755" s="21" t="str">
        <f t="shared" si="72"/>
        <v/>
      </c>
      <c r="F755" s="22" t="str">
        <f>IF(OR(E755="",E755="!!!"),"",IF(NOT(ISNA(VLOOKUP(E755,E$1:E754,1,FALSE()))),"OLD",IF(AND(E755&lt;&gt;"",E755&lt;&gt;"!!!"),"NEW","")))</f>
        <v/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/>
      </c>
      <c r="H755" s="24" t="str">
        <f t="shared" ca="1" si="73"/>
        <v/>
      </c>
      <c r="I755" s="25" t="str">
        <f>IF(OR(E755="",E755="!!!",F755="NEW"),"",INDEX(B$2:B754,-1+SUMPRODUCT(MAX(ROW(E$2:E754)*(E755=E$2:E754)))))</f>
        <v/>
      </c>
      <c r="J755" s="25" t="str">
        <f ca="1">IF(OR(E755="",E755="!!!",F755="NEW"),"",COUNTBLANK(OFFSET(A$1,,,SUMPRODUCT(MAX(ROW(E$2:E755)*(E755=E$2:E755)))))-COUNTBLANK(OFFSET(A$1,,,SUMPRODUCT(MAX(ROW(E$1:E754)*(E2=E$1:E754))))))</f>
        <v/>
      </c>
      <c r="K755" s="25" t="str">
        <f>IF(OR(E755="",E755="!!!",F755="NEW"),"",INDEX(J$1:J754,SUMPRODUCT(MAX(ROW(E$1:E754)*(E755=E$1:E754)))))</f>
        <v/>
      </c>
      <c r="L755" s="26"/>
    </row>
    <row r="756" spans="1:12" x14ac:dyDescent="0.3">
      <c r="A756" t="s">
        <v>530</v>
      </c>
      <c r="B756" s="20" t="s">
        <v>187</v>
      </c>
      <c r="C756" s="20" t="s">
        <v>202</v>
      </c>
      <c r="D756" s="20" t="s">
        <v>160</v>
      </c>
      <c r="E756" s="21" t="str">
        <f t="shared" si="72"/>
        <v>!!!</v>
      </c>
      <c r="F756" s="22" t="str">
        <f>IF(OR(E756="",E756="!!!"),"",IF(NOT(ISNA(VLOOKUP(E756,E$1:E755,1,FALSE()))),"OLD",IF(AND(E756&lt;&gt;"",E756&lt;&gt;"!!!"),"NEW","")))</f>
        <v/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/>
      </c>
      <c r="H756" s="24" t="str">
        <f t="shared" ca="1" si="73"/>
        <v/>
      </c>
      <c r="I756" s="25" t="str">
        <f>IF(OR(E756="",E756="!!!",F756="NEW"),"",INDEX(B$2:B755,-1+SUMPRODUCT(MAX(ROW(E$2:E755)*(E756=E$2:E755)))))</f>
        <v/>
      </c>
      <c r="J756" s="25" t="str">
        <f ca="1">IF(OR(E756="",E756="!!!",F756="NEW"),"",COUNTBLANK(OFFSET(A$1,,,SUMPRODUCT(MAX(ROW(E$2:E756)*(E756=E$2:E756)))))-COUNTBLANK(OFFSET(A$1,,,SUMPRODUCT(MAX(ROW(E$1:E755)*(E2=E$1:E755))))))</f>
        <v/>
      </c>
      <c r="K756" s="25" t="str">
        <f>IF(OR(E756="",E756="!!!",F756="NEW"),"",INDEX(J$1:J755,SUMPRODUCT(MAX(ROW(E$1:E755)*(E756=E$1:E755)))))</f>
        <v/>
      </c>
      <c r="L756" s="26"/>
    </row>
    <row r="757" spans="1:12" x14ac:dyDescent="0.3">
      <c r="A757" t="s">
        <v>531</v>
      </c>
      <c r="E757" s="21" t="str">
        <f t="shared" si="72"/>
        <v/>
      </c>
      <c r="F757" s="22" t="str">
        <f>IF(OR(E757="",E757="!!!"),"",IF(NOT(ISNA(VLOOKUP(E757,E$1:E756,1,FALSE()))),"OLD",IF(AND(E757&lt;&gt;"",E757&lt;&gt;"!!!"),"NEW","")))</f>
        <v/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/>
      </c>
      <c r="H757" s="24" t="str">
        <f t="shared" ca="1" si="73"/>
        <v/>
      </c>
      <c r="I757" s="25" t="str">
        <f>IF(OR(E757="",E757="!!!",F757="NEW"),"",INDEX(B$2:B756,-1+SUMPRODUCT(MAX(ROW(E$2:E756)*(E757=E$2:E756)))))</f>
        <v/>
      </c>
      <c r="J757" s="25" t="str">
        <f ca="1">IF(OR(E757="",E757="!!!",F757="NEW"),"",COUNTBLANK(OFFSET(A$1,,,SUMPRODUCT(MAX(ROW(E$2:E757)*(E757=E$2:E757)))))-COUNTBLANK(OFFSET(A$1,,,SUMPRODUCT(MAX(ROW(E$1:E756)*(E2=E$1:E756))))))</f>
        <v/>
      </c>
      <c r="K757" s="25" t="str">
        <f>IF(OR(E757="",E757="!!!",F757="NEW"),"",INDEX(J$1:J756,SUMPRODUCT(MAX(ROW(E$1:E756)*(E757=E$1:E756)))))</f>
        <v/>
      </c>
      <c r="L757" s="26"/>
    </row>
    <row r="759" spans="1:12" x14ac:dyDescent="0.3">
      <c r="A759" t="s">
        <v>442</v>
      </c>
      <c r="E759" s="21" t="str">
        <f>IF(D759="?OLD","!!!","")</f>
        <v/>
      </c>
      <c r="F759" s="22" t="str">
        <f>IF(OR(E759="",E759="!!!"),"",IF(NOT(ISNA(VLOOKUP(E759,E$1:E758,1,FALSE()))),"OLD",IF(AND(E759&lt;&gt;"",E759&lt;&gt;"!!!"),"NEW","")))</f>
        <v/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/>
      </c>
      <c r="H759" s="24" t="str">
        <f ca="1">IF(J759&lt;&gt;1,"",IF(I759="SBJ","CB","?"))</f>
        <v/>
      </c>
      <c r="I759" s="25" t="str">
        <f>IF(OR(E759="",E759="!!!",F759="NEW"),"",INDEX(B$2:B758,-1+SUMPRODUCT(MAX(ROW(E$2:E758)*(E759=E$2:E758)))))</f>
        <v/>
      </c>
      <c r="J759" s="25" t="str">
        <f ca="1">IF(OR(E759="",E759="!!!",F759="NEW"),"",COUNTBLANK(OFFSET(A$1,,,SUMPRODUCT(MAX(ROW(E$2:E759)*(E759=E$2:E759)))))-COUNTBLANK(OFFSET(A$1,,,SUMPRODUCT(MAX(ROW(E$1:E758)*(E2=E$1:E758))))))</f>
        <v/>
      </c>
      <c r="K759" s="25" t="str">
        <f>IF(OR(E759="",E759="!!!",F759="NEW"),"",INDEX(J$1:J758,SUMPRODUCT(MAX(ROW(E$1:E758)*(E759=E$1:E758)))))</f>
        <v/>
      </c>
      <c r="L759" s="26"/>
    </row>
    <row r="760" spans="1:12" x14ac:dyDescent="0.3">
      <c r="A760" t="s">
        <v>532</v>
      </c>
    </row>
    <row r="761" spans="1:12" x14ac:dyDescent="0.3">
      <c r="A761" t="s">
        <v>285</v>
      </c>
      <c r="E761" s="21" t="str">
        <f t="shared" ref="E761:E769" si="74">IF(D761="?OLD","!!!","")</f>
        <v/>
      </c>
      <c r="F761" s="22" t="str">
        <f>IF(OR(E761="",E761="!!!"),"",IF(NOT(ISNA(VLOOKUP(E761,E$1:E760,1,FALSE()))),"OLD",IF(AND(E761&lt;&gt;"",E761&lt;&gt;"!!!"),"NEW","")))</f>
        <v/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/>
      </c>
      <c r="H761" s="24" t="str">
        <f t="shared" ref="H761:H769" ca="1" si="75">IF(J761&lt;&gt;1,"",IF(I761="SBJ","CB","?"))</f>
        <v/>
      </c>
      <c r="I761" s="25" t="str">
        <f>IF(OR(E761="",E761="!!!",F761="NEW"),"",INDEX(B$2:B760,-1+SUMPRODUCT(MAX(ROW(E$2:E760)*(E761=E$2:E760)))))</f>
        <v/>
      </c>
      <c r="J761" s="25" t="str">
        <f ca="1">IF(OR(E761="",E761="!!!",F761="NEW"),"",COUNTBLANK(OFFSET(A$1,,,SUMPRODUCT(MAX(ROW(E$2:E761)*(E761=E$2:E761)))))-COUNTBLANK(OFFSET(A$1,,,SUMPRODUCT(MAX(ROW(E$1:E760)*(E2=E$1:E760))))))</f>
        <v/>
      </c>
      <c r="K761" s="25" t="str">
        <f>IF(OR(E761="",E761="!!!",F761="NEW"),"",INDEX(J$1:J760,SUMPRODUCT(MAX(ROW(E$1:E760)*(E761=E$1:E760)))))</f>
        <v/>
      </c>
      <c r="L761" s="26"/>
    </row>
    <row r="762" spans="1:12" x14ac:dyDescent="0.3">
      <c r="A762" t="s">
        <v>179</v>
      </c>
      <c r="E762" s="21" t="str">
        <f t="shared" si="74"/>
        <v/>
      </c>
      <c r="F762" s="22" t="str">
        <f>IF(OR(E762="",E762="!!!"),"",IF(NOT(ISNA(VLOOKUP(E762,E$1:E761,1,FALSE()))),"OLD",IF(AND(E762&lt;&gt;"",E762&lt;&gt;"!!!"),"NEW","")))</f>
        <v/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/>
      </c>
      <c r="H762" s="24" t="str">
        <f t="shared" ca="1" si="75"/>
        <v/>
      </c>
      <c r="I762" s="25" t="str">
        <f>IF(OR(E762="",E762="!!!",F762="NEW"),"",INDEX(B$2:B761,-1+SUMPRODUCT(MAX(ROW(E$2:E761)*(E762=E$2:E761)))))</f>
        <v/>
      </c>
      <c r="J762" s="25" t="str">
        <f ca="1">IF(OR(E762="",E762="!!!",F762="NEW"),"",COUNTBLANK(OFFSET(A$1,,,SUMPRODUCT(MAX(ROW(E$2:E762)*(E762=E$2:E762)))))-COUNTBLANK(OFFSET(A$1,,,SUMPRODUCT(MAX(ROW(E$1:E761)*(E2=E$1:E761))))))</f>
        <v/>
      </c>
      <c r="K762" s="25" t="str">
        <f>IF(OR(E762="",E762="!!!",F762="NEW"),"",INDEX(J$1:J761,SUMPRODUCT(MAX(ROW(E$1:E761)*(E762=E$1:E761)))))</f>
        <v/>
      </c>
      <c r="L762" s="26"/>
    </row>
    <row r="763" spans="1:12" x14ac:dyDescent="0.3">
      <c r="A763" t="s">
        <v>533</v>
      </c>
      <c r="B763" s="20" t="s">
        <v>187</v>
      </c>
      <c r="C763" s="20" t="s">
        <v>181</v>
      </c>
      <c r="D763" s="20" t="s">
        <v>160</v>
      </c>
      <c r="E763" s="21" t="str">
        <f t="shared" si="74"/>
        <v>!!!</v>
      </c>
      <c r="F763" s="22" t="str">
        <f>IF(OR(E763="",E763="!!!"),"",IF(NOT(ISNA(VLOOKUP(E763,E$1:E762,1,FALSE()))),"OLD",IF(AND(E763&lt;&gt;"",E763&lt;&gt;"!!!"),"NEW","")))</f>
        <v/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/>
      </c>
      <c r="H763" s="24" t="str">
        <f t="shared" ca="1" si="75"/>
        <v/>
      </c>
      <c r="I763" s="25" t="str">
        <f>IF(OR(E763="",E763="!!!",F763="NEW"),"",INDEX(B$2:B762,-1+SUMPRODUCT(MAX(ROW(E$2:E762)*(E763=E$2:E762)))))</f>
        <v/>
      </c>
      <c r="J763" s="25" t="str">
        <f ca="1">IF(OR(E763="",E763="!!!",F763="NEW"),"",COUNTBLANK(OFFSET(A$1,,,SUMPRODUCT(MAX(ROW(E$2:E763)*(E763=E$2:E763)))))-COUNTBLANK(OFFSET(A$1,,,SUMPRODUCT(MAX(ROW(E$1:E762)*(E2=E$1:E762))))))</f>
        <v/>
      </c>
      <c r="K763" s="25" t="str">
        <f>IF(OR(E763="",E763="!!!",F763="NEW"),"",INDEX(J$1:J762,SUMPRODUCT(MAX(ROW(E$1:E762)*(E763=E$1:E762)))))</f>
        <v/>
      </c>
      <c r="L763" s="26"/>
    </row>
    <row r="764" spans="1:12" x14ac:dyDescent="0.3">
      <c r="A764" t="s">
        <v>447</v>
      </c>
      <c r="E764" s="21" t="str">
        <f t="shared" si="74"/>
        <v/>
      </c>
      <c r="F764" s="22" t="str">
        <f>IF(OR(E764="",E764="!!!"),"",IF(NOT(ISNA(VLOOKUP(E764,E$1:E763,1,FALSE()))),"OLD",IF(AND(E764&lt;&gt;"",E764&lt;&gt;"!!!"),"NEW","")))</f>
        <v/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/>
      </c>
      <c r="H764" s="24" t="str">
        <f t="shared" ca="1" si="75"/>
        <v/>
      </c>
      <c r="I764" s="25" t="str">
        <f>IF(OR(E764="",E764="!!!",F764="NEW"),"",INDEX(B$2:B763,-1+SUMPRODUCT(MAX(ROW(E$2:E763)*(E764=E$2:E763)))))</f>
        <v/>
      </c>
      <c r="J764" s="25" t="str">
        <f ca="1">IF(OR(E764="",E764="!!!",F764="NEW"),"",COUNTBLANK(OFFSET(A$1,,,SUMPRODUCT(MAX(ROW(E$2:E764)*(E764=E$2:E764)))))-COUNTBLANK(OFFSET(A$1,,,SUMPRODUCT(MAX(ROW(E$1:E763)*(E2=E$1:E763))))))</f>
        <v/>
      </c>
      <c r="K764" s="25" t="str">
        <f>IF(OR(E764="",E764="!!!",F764="NEW"),"",INDEX(J$1:J763,SUMPRODUCT(MAX(ROW(E$1:E763)*(E764=E$1:E763)))))</f>
        <v/>
      </c>
      <c r="L764" s="26"/>
    </row>
    <row r="765" spans="1:12" x14ac:dyDescent="0.3">
      <c r="A765" t="s">
        <v>534</v>
      </c>
      <c r="B765" s="20" t="s">
        <v>172</v>
      </c>
      <c r="C765" s="20" t="s">
        <v>159</v>
      </c>
      <c r="D765" s="20" t="s">
        <v>160</v>
      </c>
      <c r="E765" s="21" t="str">
        <f t="shared" si="74"/>
        <v>!!!</v>
      </c>
      <c r="F765" s="22" t="str">
        <f>IF(OR(E765="",E765="!!!"),"",IF(NOT(ISNA(VLOOKUP(E765,E$1:E764,1,FALSE()))),"OLD",IF(AND(E765&lt;&gt;"",E765&lt;&gt;"!!!"),"NEW","")))</f>
        <v/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/>
      </c>
      <c r="H765" s="24" t="str">
        <f t="shared" ca="1" si="75"/>
        <v/>
      </c>
      <c r="I765" s="25" t="str">
        <f>IF(OR(E765="",E765="!!!",F765="NEW"),"",INDEX(B$2:B764,-1+SUMPRODUCT(MAX(ROW(E$2:E764)*(E765=E$2:E764)))))</f>
        <v/>
      </c>
      <c r="J765" s="25" t="str">
        <f ca="1">IF(OR(E765="",E765="!!!",F765="NEW"),"",COUNTBLANK(OFFSET(A$1,,,SUMPRODUCT(MAX(ROW(E$2:E765)*(E765=E$2:E765)))))-COUNTBLANK(OFFSET(A$1,,,SUMPRODUCT(MAX(ROW(E$1:E764)*(E2=E$1:E764))))))</f>
        <v/>
      </c>
      <c r="K765" s="25" t="str">
        <f>IF(OR(E765="",E765="!!!",F765="NEW"),"",INDEX(J$1:J764,SUMPRODUCT(MAX(ROW(E$1:E764)*(E765=E$1:E764)))))</f>
        <v/>
      </c>
      <c r="L765" s="26"/>
    </row>
    <row r="766" spans="1:12" x14ac:dyDescent="0.3">
      <c r="A766" t="s">
        <v>447</v>
      </c>
      <c r="E766" s="21" t="str">
        <f t="shared" si="74"/>
        <v/>
      </c>
      <c r="F766" s="22" t="str">
        <f>IF(OR(E766="",E766="!!!"),"",IF(NOT(ISNA(VLOOKUP(E766,E$1:E765,1,FALSE()))),"OLD",IF(AND(E766&lt;&gt;"",E766&lt;&gt;"!!!"),"NEW","")))</f>
        <v/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/>
      </c>
      <c r="H766" s="24" t="str">
        <f t="shared" ca="1" si="75"/>
        <v/>
      </c>
      <c r="I766" s="25" t="str">
        <f>IF(OR(E766="",E766="!!!",F766="NEW"),"",INDEX(B$2:B765,-1+SUMPRODUCT(MAX(ROW(E$2:E765)*(E766=E$2:E765)))))</f>
        <v/>
      </c>
      <c r="J766" s="25" t="str">
        <f ca="1">IF(OR(E766="",E766="!!!",F766="NEW"),"",COUNTBLANK(OFFSET(A$1,,,SUMPRODUCT(MAX(ROW(E$2:E766)*(E766=E$2:E766)))))-COUNTBLANK(OFFSET(A$1,,,SUMPRODUCT(MAX(ROW(E$1:E765)*(E2=E$1:E765))))))</f>
        <v/>
      </c>
      <c r="K766" s="25" t="str">
        <f>IF(OR(E766="",E766="!!!",F766="NEW"),"",INDEX(J$1:J765,SUMPRODUCT(MAX(ROW(E$1:E765)*(E766=E$1:E765)))))</f>
        <v/>
      </c>
      <c r="L766" s="26"/>
    </row>
    <row r="767" spans="1:12" x14ac:dyDescent="0.3">
      <c r="A767" t="s">
        <v>235</v>
      </c>
      <c r="E767" s="21" t="str">
        <f t="shared" si="74"/>
        <v/>
      </c>
      <c r="F767" s="22" t="str">
        <f>IF(OR(E767="",E767="!!!"),"",IF(NOT(ISNA(VLOOKUP(E767,E$1:E766,1,FALSE()))),"OLD",IF(AND(E767&lt;&gt;"",E767&lt;&gt;"!!!"),"NEW","")))</f>
        <v/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/>
      </c>
      <c r="H767" s="24" t="str">
        <f t="shared" ca="1" si="75"/>
        <v/>
      </c>
      <c r="I767" s="25" t="str">
        <f>IF(OR(E767="",E767="!!!",F767="NEW"),"",INDEX(B$2:B766,-1+SUMPRODUCT(MAX(ROW(E$2:E766)*(E767=E$2:E766)))))</f>
        <v/>
      </c>
      <c r="J767" s="25" t="str">
        <f ca="1">IF(OR(E767="",E767="!!!",F767="NEW"),"",COUNTBLANK(OFFSET(A$1,,,SUMPRODUCT(MAX(ROW(E$2:E767)*(E767=E$2:E767)))))-COUNTBLANK(OFFSET(A$1,,,SUMPRODUCT(MAX(ROW(E$1:E766)*(E2=E$1:E766))))))</f>
        <v/>
      </c>
      <c r="K767" s="25" t="str">
        <f>IF(OR(E767="",E767="!!!",F767="NEW"),"",INDEX(J$1:J766,SUMPRODUCT(MAX(ROW(E$1:E766)*(E767=E$1:E766)))))</f>
        <v/>
      </c>
      <c r="L767" s="26"/>
    </row>
    <row r="768" spans="1:12" x14ac:dyDescent="0.3">
      <c r="A768" t="s">
        <v>510</v>
      </c>
      <c r="E768" s="21" t="str">
        <f t="shared" si="74"/>
        <v/>
      </c>
      <c r="F768" s="22" t="str">
        <f>IF(OR(E768="",E768="!!!"),"",IF(NOT(ISNA(VLOOKUP(E768,E$1:E767,1,FALSE()))),"OLD",IF(AND(E768&lt;&gt;"",E768&lt;&gt;"!!!"),"NEW","")))</f>
        <v/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/>
      </c>
      <c r="H768" s="24" t="str">
        <f t="shared" ca="1" si="75"/>
        <v/>
      </c>
      <c r="I768" s="25" t="str">
        <f>IF(OR(E768="",E768="!!!",F768="NEW"),"",INDEX(B$2:B767,-1+SUMPRODUCT(MAX(ROW(E$2:E767)*(E768=E$2:E767)))))</f>
        <v/>
      </c>
      <c r="J768" s="25" t="str">
        <f ca="1">IF(OR(E768="",E768="!!!",F768="NEW"),"",COUNTBLANK(OFFSET(A$1,,,SUMPRODUCT(MAX(ROW(E$2:E768)*(E768=E$2:E768)))))-COUNTBLANK(OFFSET(A$1,,,SUMPRODUCT(MAX(ROW(E$1:E767)*(E2=E$1:E767))))))</f>
        <v/>
      </c>
      <c r="K768" s="25" t="str">
        <f>IF(OR(E768="",E768="!!!",F768="NEW"),"",INDEX(J$1:J767,SUMPRODUCT(MAX(ROW(E$1:E767)*(E768=E$1:E767)))))</f>
        <v/>
      </c>
      <c r="L768" s="26"/>
    </row>
    <row r="769" spans="1:12" x14ac:dyDescent="0.3">
      <c r="A769" t="s">
        <v>212</v>
      </c>
      <c r="E769" s="21" t="str">
        <f t="shared" si="74"/>
        <v/>
      </c>
      <c r="F769" s="22" t="str">
        <f>IF(OR(E769="",E769="!!!"),"",IF(NOT(ISNA(VLOOKUP(E769,E$1:E768,1,FALSE()))),"OLD",IF(AND(E769&lt;&gt;"",E769&lt;&gt;"!!!"),"NEW","")))</f>
        <v/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/>
      </c>
      <c r="H769" s="24" t="str">
        <f t="shared" ca="1" si="75"/>
        <v/>
      </c>
      <c r="I769" s="25" t="str">
        <f>IF(OR(E769="",E769="!!!",F769="NEW"),"",INDEX(B$2:B768,-1+SUMPRODUCT(MAX(ROW(E$2:E768)*(E769=E$2:E768)))))</f>
        <v/>
      </c>
      <c r="J769" s="25" t="str">
        <f ca="1">IF(OR(E769="",E769="!!!",F769="NEW"),"",COUNTBLANK(OFFSET(A$1,,,SUMPRODUCT(MAX(ROW(E$2:E769)*(E769=E$2:E769)))))-COUNTBLANK(OFFSET(A$1,,,SUMPRODUCT(MAX(ROW(E$1:E768)*(E2=E$1:E768))))))</f>
        <v/>
      </c>
      <c r="K769" s="25" t="str">
        <f>IF(OR(E769="",E769="!!!",F769="NEW"),"",INDEX(J$1:J768,SUMPRODUCT(MAX(ROW(E$1:E768)*(E769=E$1:E768)))))</f>
        <v/>
      </c>
      <c r="L769" s="26"/>
    </row>
    <row r="771" spans="1:12" x14ac:dyDescent="0.3">
      <c r="A771" t="s">
        <v>535</v>
      </c>
    </row>
    <row r="772" spans="1:12" x14ac:dyDescent="0.3">
      <c r="A772" t="s">
        <v>205</v>
      </c>
      <c r="B772" s="20" t="s">
        <v>187</v>
      </c>
      <c r="C772" s="20" t="s">
        <v>206</v>
      </c>
      <c r="D772" s="20" t="s">
        <v>160</v>
      </c>
      <c r="E772" s="21" t="str">
        <f t="shared" ref="E772:E792" si="76">IF(D772="?OLD","!!!","")</f>
        <v>!!!</v>
      </c>
      <c r="F772" s="22" t="str">
        <f>IF(OR(E772="",E772="!!!"),"",IF(NOT(ISNA(VLOOKUP(E772,E$1:E771,1,FALSE()))),"OLD",IF(AND(E772&lt;&gt;"",E772&lt;&gt;"!!!"),"NEW","")))</f>
        <v/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/>
      </c>
      <c r="H772" s="24" t="str">
        <f t="shared" ref="H772:H792" ca="1" si="77">IF(J772&lt;&gt;1,"",IF(I772="SBJ","CB","?"))</f>
        <v/>
      </c>
      <c r="I772" s="25" t="str">
        <f>IF(OR(E772="",E772="!!!",F772="NEW"),"",INDEX(B$2:B771,-1+SUMPRODUCT(MAX(ROW(E$2:E771)*(E772=E$2:E771)))))</f>
        <v/>
      </c>
      <c r="J772" s="25" t="str">
        <f ca="1">IF(OR(E772="",E772="!!!",F772="NEW"),"",COUNTBLANK(OFFSET(A$1,,,SUMPRODUCT(MAX(ROW(E$2:E772)*(E772=E$2:E772)))))-COUNTBLANK(OFFSET(A$1,,,SUMPRODUCT(MAX(ROW(E$1:E771)*(E2=E$1:E771))))))</f>
        <v/>
      </c>
      <c r="K772" s="25" t="str">
        <f>IF(OR(E772="",E772="!!!",F772="NEW"),"",INDEX(J$1:J771,SUMPRODUCT(MAX(ROW(E$1:E771)*(E772=E$1:E771)))))</f>
        <v/>
      </c>
      <c r="L772" s="26"/>
    </row>
    <row r="773" spans="1:12" x14ac:dyDescent="0.3">
      <c r="A773" t="s">
        <v>333</v>
      </c>
      <c r="E773" s="21" t="str">
        <f t="shared" si="76"/>
        <v/>
      </c>
      <c r="F773" s="22" t="str">
        <f>IF(OR(E773="",E773="!!!"),"",IF(NOT(ISNA(VLOOKUP(E773,E$1:E772,1,FALSE()))),"OLD",IF(AND(E773&lt;&gt;"",E773&lt;&gt;"!!!"),"NEW","")))</f>
        <v/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/>
      </c>
      <c r="H773" s="24" t="str">
        <f t="shared" ca="1" si="77"/>
        <v/>
      </c>
      <c r="I773" s="25" t="str">
        <f>IF(OR(E773="",E773="!!!",F773="NEW"),"",INDEX(B$2:B772,-1+SUMPRODUCT(MAX(ROW(E$2:E772)*(E773=E$2:E772)))))</f>
        <v/>
      </c>
      <c r="J773" s="25" t="str">
        <f ca="1">IF(OR(E773="",E773="!!!",F773="NEW"),"",COUNTBLANK(OFFSET(A$1,,,SUMPRODUCT(MAX(ROW(E$2:E773)*(E773=E$2:E773)))))-COUNTBLANK(OFFSET(A$1,,,SUMPRODUCT(MAX(ROW(E$1:E772)*(E2=E$1:E772))))))</f>
        <v/>
      </c>
      <c r="K773" s="25" t="str">
        <f>IF(OR(E773="",E773="!!!",F773="NEW"),"",INDEX(J$1:J772,SUMPRODUCT(MAX(ROW(E$1:E772)*(E773=E$1:E772)))))</f>
        <v/>
      </c>
      <c r="L773" s="26"/>
    </row>
    <row r="774" spans="1:12" x14ac:dyDescent="0.3">
      <c r="A774" t="s">
        <v>221</v>
      </c>
      <c r="B774" s="20" t="s">
        <v>172</v>
      </c>
      <c r="C774" s="20" t="s">
        <v>199</v>
      </c>
      <c r="D774" s="20" t="s">
        <v>160</v>
      </c>
      <c r="E774" s="21" t="str">
        <f t="shared" si="76"/>
        <v>!!!</v>
      </c>
      <c r="F774" s="22" t="str">
        <f>IF(OR(E774="",E774="!!!"),"",IF(NOT(ISNA(VLOOKUP(E774,E$1:E773,1,FALSE()))),"OLD",IF(AND(E774&lt;&gt;"",E774&lt;&gt;"!!!"),"NEW","")))</f>
        <v/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/>
      </c>
      <c r="H774" s="24" t="str">
        <f t="shared" ca="1" si="77"/>
        <v/>
      </c>
      <c r="I774" s="25" t="str">
        <f>IF(OR(E774="",E774="!!!",F774="NEW"),"",INDEX(B$2:B773,-1+SUMPRODUCT(MAX(ROW(E$2:E773)*(E774=E$2:E773)))))</f>
        <v/>
      </c>
      <c r="J774" s="25" t="str">
        <f ca="1">IF(OR(E774="",E774="!!!",F774="NEW"),"",COUNTBLANK(OFFSET(A$1,,,SUMPRODUCT(MAX(ROW(E$2:E774)*(E774=E$2:E774)))))-COUNTBLANK(OFFSET(A$1,,,SUMPRODUCT(MAX(ROW(E$1:E773)*(E2=E$1:E773))))))</f>
        <v/>
      </c>
      <c r="K774" s="25" t="str">
        <f>IF(OR(E774="",E774="!!!",F774="NEW"),"",INDEX(J$1:J773,SUMPRODUCT(MAX(ROW(E$1:E773)*(E774=E$1:E773)))))</f>
        <v/>
      </c>
      <c r="L774" s="26"/>
    </row>
    <row r="775" spans="1:12" x14ac:dyDescent="0.3">
      <c r="A775" t="s">
        <v>536</v>
      </c>
      <c r="B775" s="20" t="s">
        <v>191</v>
      </c>
      <c r="C775" s="20" t="s">
        <v>202</v>
      </c>
      <c r="D775" s="20" t="s">
        <v>160</v>
      </c>
      <c r="E775" s="21" t="str">
        <f t="shared" si="76"/>
        <v>!!!</v>
      </c>
      <c r="F775" s="22" t="str">
        <f>IF(OR(E775="",E775="!!!"),"",IF(NOT(ISNA(VLOOKUP(E775,E$1:E774,1,FALSE()))),"OLD",IF(AND(E775&lt;&gt;"",E775&lt;&gt;"!!!"),"NEW","")))</f>
        <v/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/>
      </c>
      <c r="H775" s="24" t="str">
        <f t="shared" ca="1" si="77"/>
        <v/>
      </c>
      <c r="I775" s="25" t="str">
        <f>IF(OR(E775="",E775="!!!",F775="NEW"),"",INDEX(B$2:B774,-1+SUMPRODUCT(MAX(ROW(E$2:E774)*(E775=E$2:E774)))))</f>
        <v/>
      </c>
      <c r="J775" s="25" t="str">
        <f ca="1">IF(OR(E775="",E775="!!!",F775="NEW"),"",COUNTBLANK(OFFSET(A$1,,,SUMPRODUCT(MAX(ROW(E$2:E775)*(E775=E$2:E775)))))-COUNTBLANK(OFFSET(A$1,,,SUMPRODUCT(MAX(ROW(E$1:E774)*(E2=E$1:E774))))))</f>
        <v/>
      </c>
      <c r="K775" s="25" t="str">
        <f>IF(OR(E775="",E775="!!!",F775="NEW"),"",INDEX(J$1:J774,SUMPRODUCT(MAX(ROW(E$1:E774)*(E775=E$1:E774)))))</f>
        <v/>
      </c>
      <c r="L775" s="26"/>
    </row>
    <row r="776" spans="1:12" x14ac:dyDescent="0.3">
      <c r="A776" t="s">
        <v>182</v>
      </c>
      <c r="E776" s="21" t="str">
        <f t="shared" si="76"/>
        <v/>
      </c>
      <c r="F776" s="22" t="str">
        <f>IF(OR(E776="",E776="!!!"),"",IF(NOT(ISNA(VLOOKUP(E776,E$1:E775,1,FALSE()))),"OLD",IF(AND(E776&lt;&gt;"",E776&lt;&gt;"!!!"),"NEW","")))</f>
        <v/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/>
      </c>
      <c r="H776" s="24" t="str">
        <f t="shared" ca="1" si="77"/>
        <v/>
      </c>
      <c r="I776" s="25" t="str">
        <f>IF(OR(E776="",E776="!!!",F776="NEW"),"",INDEX(B$2:B775,-1+SUMPRODUCT(MAX(ROW(E$2:E775)*(E776=E$2:E775)))))</f>
        <v/>
      </c>
      <c r="J776" s="25" t="str">
        <f ca="1">IF(OR(E776="",E776="!!!",F776="NEW"),"",COUNTBLANK(OFFSET(A$1,,,SUMPRODUCT(MAX(ROW(E$2:E776)*(E776=E$2:E776)))))-COUNTBLANK(OFFSET(A$1,,,SUMPRODUCT(MAX(ROW(E$1:E775)*(E2=E$1:E775))))))</f>
        <v/>
      </c>
      <c r="K776" s="25" t="str">
        <f>IF(OR(E776="",E776="!!!",F776="NEW"),"",INDEX(J$1:J775,SUMPRODUCT(MAX(ROW(E$1:E775)*(E776=E$1:E775)))))</f>
        <v/>
      </c>
      <c r="L776" s="26"/>
    </row>
    <row r="777" spans="1:12" x14ac:dyDescent="0.3">
      <c r="A777" t="s">
        <v>361</v>
      </c>
      <c r="B777" s="20" t="s">
        <v>158</v>
      </c>
      <c r="C777" s="20" t="s">
        <v>167</v>
      </c>
      <c r="E777" s="21" t="str">
        <f t="shared" si="76"/>
        <v/>
      </c>
      <c r="F777" s="22" t="str">
        <f>IF(OR(E777="",E777="!!!"),"",IF(NOT(ISNA(VLOOKUP(E777,E$1:E776,1,FALSE()))),"OLD",IF(AND(E777&lt;&gt;"",E777&lt;&gt;"!!!"),"NEW","")))</f>
        <v/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/>
      </c>
      <c r="H777" s="24" t="str">
        <f t="shared" ca="1" si="77"/>
        <v/>
      </c>
      <c r="I777" s="25" t="str">
        <f>IF(OR(E777="",E777="!!!",F777="NEW"),"",INDEX(B$2:B776,-1+SUMPRODUCT(MAX(ROW(E$2:E776)*(E777=E$2:E776)))))</f>
        <v/>
      </c>
      <c r="J777" s="25" t="str">
        <f ca="1">IF(OR(E777="",E777="!!!",F777="NEW"),"",COUNTBLANK(OFFSET(A$1,,,SUMPRODUCT(MAX(ROW(E$2:E777)*(E777=E$2:E777)))))-COUNTBLANK(OFFSET(A$1,,,SUMPRODUCT(MAX(ROW(E$1:E776)*(E2=E$1:E776))))))</f>
        <v/>
      </c>
      <c r="K777" s="25" t="str">
        <f>IF(OR(E777="",E777="!!!",F777="NEW"),"",INDEX(J$1:J776,SUMPRODUCT(MAX(ROW(E$1:E776)*(E777=E$1:E776)))))</f>
        <v/>
      </c>
      <c r="L777" s="26"/>
    </row>
    <row r="778" spans="1:12" x14ac:dyDescent="0.3">
      <c r="A778" t="s">
        <v>185</v>
      </c>
      <c r="E778" s="21" t="str">
        <f t="shared" si="76"/>
        <v/>
      </c>
      <c r="F778" s="22" t="str">
        <f>IF(OR(E778="",E778="!!!"),"",IF(NOT(ISNA(VLOOKUP(E778,E$1:E777,1,FALSE()))),"OLD",IF(AND(E778&lt;&gt;"",E778&lt;&gt;"!!!"),"NEW","")))</f>
        <v/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/>
      </c>
      <c r="H778" s="24" t="str">
        <f t="shared" ca="1" si="77"/>
        <v/>
      </c>
      <c r="I778" s="25" t="str">
        <f>IF(OR(E778="",E778="!!!",F778="NEW"),"",INDEX(B$2:B777,-1+SUMPRODUCT(MAX(ROW(E$2:E777)*(E778=E$2:E777)))))</f>
        <v/>
      </c>
      <c r="J778" s="25" t="str">
        <f ca="1">IF(OR(E778="",E778="!!!",F778="NEW"),"",COUNTBLANK(OFFSET(A$1,,,SUMPRODUCT(MAX(ROW(E$2:E778)*(E778=E$2:E778)))))-COUNTBLANK(OFFSET(A$1,,,SUMPRODUCT(MAX(ROW(E$1:E777)*(E2=E$1:E777))))))</f>
        <v/>
      </c>
      <c r="K778" s="25" t="str">
        <f>IF(OR(E778="",E778="!!!",F778="NEW"),"",INDEX(J$1:J777,SUMPRODUCT(MAX(ROW(E$1:E777)*(E778=E$1:E777)))))</f>
        <v/>
      </c>
      <c r="L778" s="26"/>
    </row>
    <row r="779" spans="1:12" x14ac:dyDescent="0.3">
      <c r="A779" t="s">
        <v>490</v>
      </c>
      <c r="B779" s="20" t="s">
        <v>172</v>
      </c>
      <c r="C779" s="20" t="s">
        <v>167</v>
      </c>
      <c r="E779" s="21" t="str">
        <f t="shared" si="76"/>
        <v/>
      </c>
      <c r="F779" s="22" t="str">
        <f>IF(OR(E779="",E779="!!!"),"",IF(NOT(ISNA(VLOOKUP(E779,E$1:E778,1,FALSE()))),"OLD",IF(AND(E779&lt;&gt;"",E779&lt;&gt;"!!!"),"NEW","")))</f>
        <v/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/>
      </c>
      <c r="H779" s="24" t="str">
        <f t="shared" ca="1" si="77"/>
        <v/>
      </c>
      <c r="I779" s="25" t="str">
        <f>IF(OR(E779="",E779="!!!",F779="NEW"),"",INDEX(B$2:B778,-1+SUMPRODUCT(MAX(ROW(E$2:E778)*(E779=E$2:E778)))))</f>
        <v/>
      </c>
      <c r="J779" s="25" t="str">
        <f ca="1">IF(OR(E779="",E779="!!!",F779="NEW"),"",COUNTBLANK(OFFSET(A$1,,,SUMPRODUCT(MAX(ROW(E$2:E779)*(E779=E$2:E779)))))-COUNTBLANK(OFFSET(A$1,,,SUMPRODUCT(MAX(ROW(E$1:E778)*(E2=E$1:E778))))))</f>
        <v/>
      </c>
      <c r="K779" s="25" t="str">
        <f>IF(OR(E779="",E779="!!!",F779="NEW"),"",INDEX(J$1:J778,SUMPRODUCT(MAX(ROW(E$1:E778)*(E779=E$1:E778)))))</f>
        <v/>
      </c>
      <c r="L779" s="26"/>
    </row>
    <row r="780" spans="1:12" x14ac:dyDescent="0.3">
      <c r="A780" t="s">
        <v>185</v>
      </c>
      <c r="E780" s="21" t="str">
        <f t="shared" si="76"/>
        <v/>
      </c>
      <c r="F780" s="22" t="str">
        <f>IF(OR(E780="",E780="!!!"),"",IF(NOT(ISNA(VLOOKUP(E780,E$1:E779,1,FALSE()))),"OLD",IF(AND(E780&lt;&gt;"",E780&lt;&gt;"!!!"),"NEW","")))</f>
        <v/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/>
      </c>
      <c r="H780" s="24" t="str">
        <f t="shared" ca="1" si="77"/>
        <v/>
      </c>
      <c r="I780" s="25" t="str">
        <f>IF(OR(E780="",E780="!!!",F780="NEW"),"",INDEX(B$2:B779,-1+SUMPRODUCT(MAX(ROW(E$2:E779)*(E780=E$2:E779)))))</f>
        <v/>
      </c>
      <c r="J780" s="25" t="str">
        <f ca="1">IF(OR(E780="",E780="!!!",F780="NEW"),"",COUNTBLANK(OFFSET(A$1,,,SUMPRODUCT(MAX(ROW(E$2:E780)*(E780=E$2:E780)))))-COUNTBLANK(OFFSET(A$1,,,SUMPRODUCT(MAX(ROW(E$1:E779)*(E2=E$1:E779))))))</f>
        <v/>
      </c>
      <c r="K780" s="25" t="str">
        <f>IF(OR(E780="",E780="!!!",F780="NEW"),"",INDEX(J$1:J779,SUMPRODUCT(MAX(ROW(E$1:E779)*(E780=E$1:E779)))))</f>
        <v/>
      </c>
      <c r="L780" s="26"/>
    </row>
    <row r="781" spans="1:12" x14ac:dyDescent="0.3">
      <c r="A781" t="s">
        <v>537</v>
      </c>
      <c r="B781" s="20" t="s">
        <v>172</v>
      </c>
      <c r="C781" s="20" t="s">
        <v>167</v>
      </c>
      <c r="E781" s="21" t="str">
        <f t="shared" si="76"/>
        <v/>
      </c>
      <c r="F781" s="22" t="str">
        <f>IF(OR(E781="",E781="!!!"),"",IF(NOT(ISNA(VLOOKUP(E781,E$1:E780,1,FALSE()))),"OLD",IF(AND(E781&lt;&gt;"",E781&lt;&gt;"!!!"),"NEW","")))</f>
        <v/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/>
      </c>
      <c r="H781" s="24" t="str">
        <f t="shared" ca="1" si="77"/>
        <v/>
      </c>
      <c r="I781" s="25" t="str">
        <f>IF(OR(E781="",E781="!!!",F781="NEW"),"",INDEX(B$2:B780,-1+SUMPRODUCT(MAX(ROW(E$2:E780)*(E781=E$2:E780)))))</f>
        <v/>
      </c>
      <c r="J781" s="25" t="str">
        <f ca="1">IF(OR(E781="",E781="!!!",F781="NEW"),"",COUNTBLANK(OFFSET(A$1,,,SUMPRODUCT(MAX(ROW(E$2:E781)*(E781=E$2:E781)))))-COUNTBLANK(OFFSET(A$1,,,SUMPRODUCT(MAX(ROW(E$1:E780)*(E2=E$1:E780))))))</f>
        <v/>
      </c>
      <c r="K781" s="25" t="str">
        <f>IF(OR(E781="",E781="!!!",F781="NEW"),"",INDEX(J$1:J780,SUMPRODUCT(MAX(ROW(E$1:E780)*(E781=E$1:E780)))))</f>
        <v/>
      </c>
      <c r="L781" s="26"/>
    </row>
    <row r="782" spans="1:12" x14ac:dyDescent="0.3">
      <c r="A782" t="s">
        <v>168</v>
      </c>
      <c r="E782" s="21" t="str">
        <f t="shared" si="76"/>
        <v/>
      </c>
      <c r="F782" s="22" t="str">
        <f>IF(OR(E782="",E782="!!!"),"",IF(NOT(ISNA(VLOOKUP(E782,E$1:E781,1,FALSE()))),"OLD",IF(AND(E782&lt;&gt;"",E782&lt;&gt;"!!!"),"NEW","")))</f>
        <v/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/>
      </c>
      <c r="H782" s="24" t="str">
        <f t="shared" ca="1" si="77"/>
        <v/>
      </c>
      <c r="I782" s="25" t="str">
        <f>IF(OR(E782="",E782="!!!",F782="NEW"),"",INDEX(B$2:B781,-1+SUMPRODUCT(MAX(ROW(E$2:E781)*(E782=E$2:E781)))))</f>
        <v/>
      </c>
      <c r="J782" s="25" t="str">
        <f ca="1">IF(OR(E782="",E782="!!!",F782="NEW"),"",COUNTBLANK(OFFSET(A$1,,,SUMPRODUCT(MAX(ROW(E$2:E782)*(E782=E$2:E782)))))-COUNTBLANK(OFFSET(A$1,,,SUMPRODUCT(MAX(ROW(E$1:E781)*(E2=E$1:E781))))))</f>
        <v/>
      </c>
      <c r="K782" s="25" t="str">
        <f>IF(OR(E782="",E782="!!!",F782="NEW"),"",INDEX(J$1:J781,SUMPRODUCT(MAX(ROW(E$1:E781)*(E782=E$1:E781)))))</f>
        <v/>
      </c>
      <c r="L782" s="26"/>
    </row>
    <row r="783" spans="1:12" x14ac:dyDescent="0.3">
      <c r="A783" t="s">
        <v>538</v>
      </c>
      <c r="B783" s="20" t="s">
        <v>172</v>
      </c>
      <c r="C783" s="20" t="s">
        <v>167</v>
      </c>
      <c r="E783" s="21" t="str">
        <f t="shared" si="76"/>
        <v/>
      </c>
      <c r="F783" s="22" t="str">
        <f>IF(OR(E783="",E783="!!!"),"",IF(NOT(ISNA(VLOOKUP(E783,E$1:E782,1,FALSE()))),"OLD",IF(AND(E783&lt;&gt;"",E783&lt;&gt;"!!!"),"NEW","")))</f>
        <v/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/>
      </c>
      <c r="H783" s="24" t="str">
        <f t="shared" ca="1" si="77"/>
        <v/>
      </c>
      <c r="I783" s="25" t="str">
        <f>IF(OR(E783="",E783="!!!",F783="NEW"),"",INDEX(B$2:B782,-1+SUMPRODUCT(MAX(ROW(E$2:E782)*(E783=E$2:E782)))))</f>
        <v/>
      </c>
      <c r="J783" s="25" t="str">
        <f ca="1">IF(OR(E783="",E783="!!!",F783="NEW"),"",COUNTBLANK(OFFSET(A$1,,,SUMPRODUCT(MAX(ROW(E$2:E783)*(E783=E$2:E783)))))-COUNTBLANK(OFFSET(A$1,,,SUMPRODUCT(MAX(ROW(E$1:E782)*(E2=E$1:E782))))))</f>
        <v/>
      </c>
      <c r="K783" s="25" t="str">
        <f>IF(OR(E783="",E783="!!!",F783="NEW"),"",INDEX(J$1:J782,SUMPRODUCT(MAX(ROW(E$1:E782)*(E783=E$1:E782)))))</f>
        <v/>
      </c>
      <c r="L783" s="26"/>
    </row>
    <row r="784" spans="1:12" x14ac:dyDescent="0.3">
      <c r="A784" t="s">
        <v>185</v>
      </c>
      <c r="E784" s="21" t="str">
        <f t="shared" si="76"/>
        <v/>
      </c>
      <c r="F784" s="22" t="str">
        <f>IF(OR(E784="",E784="!!!"),"",IF(NOT(ISNA(VLOOKUP(E784,E$1:E783,1,FALSE()))),"OLD",IF(AND(E784&lt;&gt;"",E784&lt;&gt;"!!!"),"NEW","")))</f>
        <v/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/>
      </c>
      <c r="H784" s="24" t="str">
        <f t="shared" ca="1" si="77"/>
        <v/>
      </c>
      <c r="I784" s="25" t="str">
        <f>IF(OR(E784="",E784="!!!",F784="NEW"),"",INDEX(B$2:B783,-1+SUMPRODUCT(MAX(ROW(E$2:E783)*(E784=E$2:E783)))))</f>
        <v/>
      </c>
      <c r="J784" s="25" t="str">
        <f ca="1">IF(OR(E784="",E784="!!!",F784="NEW"),"",COUNTBLANK(OFFSET(A$1,,,SUMPRODUCT(MAX(ROW(E$2:E784)*(E784=E$2:E784)))))-COUNTBLANK(OFFSET(A$1,,,SUMPRODUCT(MAX(ROW(E$1:E783)*(E2=E$1:E783))))))</f>
        <v/>
      </c>
      <c r="K784" s="25" t="str">
        <f>IF(OR(E784="",E784="!!!",F784="NEW"),"",INDEX(J$1:J783,SUMPRODUCT(MAX(ROW(E$1:E783)*(E784=E$1:E783)))))</f>
        <v/>
      </c>
      <c r="L784" s="26"/>
    </row>
    <row r="785" spans="1:12" x14ac:dyDescent="0.3">
      <c r="A785" t="s">
        <v>216</v>
      </c>
      <c r="E785" s="21" t="str">
        <f t="shared" si="76"/>
        <v/>
      </c>
      <c r="F785" s="22" t="str">
        <f>IF(OR(E785="",E785="!!!"),"",IF(NOT(ISNA(VLOOKUP(E785,E$1:E784,1,FALSE()))),"OLD",IF(AND(E785&lt;&gt;"",E785&lt;&gt;"!!!"),"NEW","")))</f>
        <v/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/>
      </c>
      <c r="H785" s="24" t="str">
        <f t="shared" ca="1" si="77"/>
        <v/>
      </c>
      <c r="I785" s="25" t="str">
        <f>IF(OR(E785="",E785="!!!",F785="NEW"),"",INDEX(B$2:B784,-1+SUMPRODUCT(MAX(ROW(E$2:E784)*(E785=E$2:E784)))))</f>
        <v/>
      </c>
      <c r="J785" s="25" t="str">
        <f ca="1">IF(OR(E785="",E785="!!!",F785="NEW"),"",COUNTBLANK(OFFSET(A$1,,,SUMPRODUCT(MAX(ROW(E$2:E785)*(E785=E$2:E785)))))-COUNTBLANK(OFFSET(A$1,,,SUMPRODUCT(MAX(ROW(E$1:E784)*(E2=E$1:E784))))))</f>
        <v/>
      </c>
      <c r="K785" s="25" t="str">
        <f>IF(OR(E785="",E785="!!!",F785="NEW"),"",INDEX(J$1:J784,SUMPRODUCT(MAX(ROW(E$1:E784)*(E785=E$1:E784)))))</f>
        <v/>
      </c>
      <c r="L785" s="26"/>
    </row>
    <row r="786" spans="1:12" x14ac:dyDescent="0.3">
      <c r="A786" t="s">
        <v>170</v>
      </c>
      <c r="E786" s="21" t="str">
        <f t="shared" si="76"/>
        <v/>
      </c>
      <c r="F786" s="22" t="str">
        <f>IF(OR(E786="",E786="!!!"),"",IF(NOT(ISNA(VLOOKUP(E786,E$1:E785,1,FALSE()))),"OLD",IF(AND(E786&lt;&gt;"",E786&lt;&gt;"!!!"),"NEW","")))</f>
        <v/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/>
      </c>
      <c r="H786" s="24" t="str">
        <f t="shared" ca="1" si="77"/>
        <v/>
      </c>
      <c r="I786" s="25" t="str">
        <f>IF(OR(E786="",E786="!!!",F786="NEW"),"",INDEX(B$2:B785,-1+SUMPRODUCT(MAX(ROW(E$2:E785)*(E786=E$2:E785)))))</f>
        <v/>
      </c>
      <c r="J786" s="25" t="str">
        <f ca="1">IF(OR(E786="",E786="!!!",F786="NEW"),"",COUNTBLANK(OFFSET(A$1,,,SUMPRODUCT(MAX(ROW(E$2:E786)*(E786=E$2:E786)))))-COUNTBLANK(OFFSET(A$1,,,SUMPRODUCT(MAX(ROW(E$1:E785)*(E2=E$1:E785))))))</f>
        <v/>
      </c>
      <c r="K786" s="25" t="str">
        <f>IF(OR(E786="",E786="!!!",F786="NEW"),"",INDEX(J$1:J785,SUMPRODUCT(MAX(ROW(E$1:E785)*(E786=E$1:E785)))))</f>
        <v/>
      </c>
      <c r="L786" s="26"/>
    </row>
    <row r="787" spans="1:12" x14ac:dyDescent="0.3">
      <c r="A787" t="s">
        <v>316</v>
      </c>
      <c r="E787" s="21" t="str">
        <f t="shared" si="76"/>
        <v/>
      </c>
      <c r="F787" s="22" t="str">
        <f>IF(OR(E787="",E787="!!!"),"",IF(NOT(ISNA(VLOOKUP(E787,E$1:E786,1,FALSE()))),"OLD",IF(AND(E787&lt;&gt;"",E787&lt;&gt;"!!!"),"NEW","")))</f>
        <v/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/>
      </c>
      <c r="H787" s="24" t="str">
        <f t="shared" ca="1" si="77"/>
        <v/>
      </c>
      <c r="I787" s="25" t="str">
        <f>IF(OR(E787="",E787="!!!",F787="NEW"),"",INDEX(B$2:B786,-1+SUMPRODUCT(MAX(ROW(E$2:E786)*(E787=E$2:E786)))))</f>
        <v/>
      </c>
      <c r="J787" s="25" t="str">
        <f ca="1">IF(OR(E787="",E787="!!!",F787="NEW"),"",COUNTBLANK(OFFSET(A$1,,,SUMPRODUCT(MAX(ROW(E$2:E787)*(E787=E$2:E787)))))-COUNTBLANK(OFFSET(A$1,,,SUMPRODUCT(MAX(ROW(E$1:E786)*(E2=E$1:E786))))))</f>
        <v/>
      </c>
      <c r="K787" s="25" t="str">
        <f>IF(OR(E787="",E787="!!!",F787="NEW"),"",INDEX(J$1:J786,SUMPRODUCT(MAX(ROW(E$1:E786)*(E787=E$1:E786)))))</f>
        <v/>
      </c>
      <c r="L787" s="26"/>
    </row>
    <row r="788" spans="1:12" x14ac:dyDescent="0.3">
      <c r="A788" t="s">
        <v>300</v>
      </c>
      <c r="E788" s="21" t="str">
        <f t="shared" si="76"/>
        <v/>
      </c>
      <c r="F788" s="22" t="str">
        <f>IF(OR(E788="",E788="!!!"),"",IF(NOT(ISNA(VLOOKUP(E788,E$1:E787,1,FALSE()))),"OLD",IF(AND(E788&lt;&gt;"",E788&lt;&gt;"!!!"),"NEW","")))</f>
        <v/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/>
      </c>
      <c r="H788" s="24" t="str">
        <f t="shared" ca="1" si="77"/>
        <v/>
      </c>
      <c r="I788" s="25" t="str">
        <f>IF(OR(E788="",E788="!!!",F788="NEW"),"",INDEX(B$2:B787,-1+SUMPRODUCT(MAX(ROW(E$2:E787)*(E788=E$2:E787)))))</f>
        <v/>
      </c>
      <c r="J788" s="25" t="str">
        <f ca="1">IF(OR(E788="",E788="!!!",F788="NEW"),"",COUNTBLANK(OFFSET(A$1,,,SUMPRODUCT(MAX(ROW(E$2:E788)*(E788=E$2:E788)))))-COUNTBLANK(OFFSET(A$1,,,SUMPRODUCT(MAX(ROW(E$1:E787)*(E2=E$1:E787))))))</f>
        <v/>
      </c>
      <c r="K788" s="25" t="str">
        <f>IF(OR(E788="",E788="!!!",F788="NEW"),"",INDEX(J$1:J787,SUMPRODUCT(MAX(ROW(E$1:E787)*(E788=E$1:E787)))))</f>
        <v/>
      </c>
      <c r="L788" s="26"/>
    </row>
    <row r="789" spans="1:12" x14ac:dyDescent="0.3">
      <c r="A789" t="s">
        <v>293</v>
      </c>
      <c r="E789" s="21" t="str">
        <f t="shared" si="76"/>
        <v/>
      </c>
      <c r="F789" s="22" t="str">
        <f>IF(OR(E789="",E789="!!!"),"",IF(NOT(ISNA(VLOOKUP(E789,E$1:E788,1,FALSE()))),"OLD",IF(AND(E789&lt;&gt;"",E789&lt;&gt;"!!!"),"NEW","")))</f>
        <v/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/>
      </c>
      <c r="H789" s="24" t="str">
        <f t="shared" ca="1" si="77"/>
        <v/>
      </c>
      <c r="I789" s="25" t="str">
        <f>IF(OR(E789="",E789="!!!",F789="NEW"),"",INDEX(B$2:B788,-1+SUMPRODUCT(MAX(ROW(E$2:E788)*(E789=E$2:E788)))))</f>
        <v/>
      </c>
      <c r="J789" s="25" t="str">
        <f ca="1">IF(OR(E789="",E789="!!!",F789="NEW"),"",COUNTBLANK(OFFSET(A$1,,,SUMPRODUCT(MAX(ROW(E$2:E789)*(E789=E$2:E789)))))-COUNTBLANK(OFFSET(A$1,,,SUMPRODUCT(MAX(ROW(E$1:E788)*(E2=E$1:E788))))))</f>
        <v/>
      </c>
      <c r="K789" s="25" t="str">
        <f>IF(OR(E789="",E789="!!!",F789="NEW"),"",INDEX(J$1:J788,SUMPRODUCT(MAX(ROW(E$1:E788)*(E789=E$1:E788)))))</f>
        <v/>
      </c>
      <c r="L789" s="26"/>
    </row>
    <row r="790" spans="1:12" x14ac:dyDescent="0.3">
      <c r="A790" t="s">
        <v>231</v>
      </c>
      <c r="B790" s="20" t="s">
        <v>158</v>
      </c>
      <c r="C790" s="20" t="s">
        <v>211</v>
      </c>
      <c r="E790" s="21" t="str">
        <f t="shared" si="76"/>
        <v/>
      </c>
      <c r="F790" s="22" t="str">
        <f>IF(OR(E790="",E790="!!!"),"",IF(NOT(ISNA(VLOOKUP(E790,E$1:E789,1,FALSE()))),"OLD",IF(AND(E790&lt;&gt;"",E790&lt;&gt;"!!!"),"NEW","")))</f>
        <v/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/>
      </c>
      <c r="H790" s="24" t="str">
        <f t="shared" ca="1" si="77"/>
        <v/>
      </c>
      <c r="I790" s="25" t="str">
        <f>IF(OR(E790="",E790="!!!",F790="NEW"),"",INDEX(B$2:B789,-1+SUMPRODUCT(MAX(ROW(E$2:E789)*(E790=E$2:E789)))))</f>
        <v/>
      </c>
      <c r="J790" s="25" t="str">
        <f ca="1">IF(OR(E790="",E790="!!!",F790="NEW"),"",COUNTBLANK(OFFSET(A$1,,,SUMPRODUCT(MAX(ROW(E$2:E790)*(E790=E$2:E790)))))-COUNTBLANK(OFFSET(A$1,,,SUMPRODUCT(MAX(ROW(E$1:E789)*(E2=E$1:E789))))))</f>
        <v/>
      </c>
      <c r="K790" s="25" t="str">
        <f>IF(OR(E790="",E790="!!!",F790="NEW"),"",INDEX(J$1:J789,SUMPRODUCT(MAX(ROW(E$1:E789)*(E790=E$1:E789)))))</f>
        <v/>
      </c>
      <c r="L790" s="26"/>
    </row>
    <row r="791" spans="1:12" x14ac:dyDescent="0.3">
      <c r="A791" t="s">
        <v>539</v>
      </c>
      <c r="E791" s="21" t="str">
        <f t="shared" si="76"/>
        <v/>
      </c>
      <c r="F791" s="22" t="str">
        <f>IF(OR(E791="",E791="!!!"),"",IF(NOT(ISNA(VLOOKUP(E791,E$1:E790,1,FALSE()))),"OLD",IF(AND(E791&lt;&gt;"",E791&lt;&gt;"!!!"),"NEW","")))</f>
        <v/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/>
      </c>
      <c r="H791" s="24" t="str">
        <f t="shared" ca="1" si="77"/>
        <v/>
      </c>
      <c r="I791" s="25" t="str">
        <f>IF(OR(E791="",E791="!!!",F791="NEW"),"",INDEX(B$2:B790,-1+SUMPRODUCT(MAX(ROW(E$2:E790)*(E791=E$2:E790)))))</f>
        <v/>
      </c>
      <c r="J791" s="25" t="str">
        <f ca="1">IF(OR(E791="",E791="!!!",F791="NEW"),"",COUNTBLANK(OFFSET(A$1,,,SUMPRODUCT(MAX(ROW(E$2:E791)*(E791=E$2:E791)))))-COUNTBLANK(OFFSET(A$1,,,SUMPRODUCT(MAX(ROW(E$1:E790)*(E2=E$1:E790))))))</f>
        <v/>
      </c>
      <c r="K791" s="25" t="str">
        <f>IF(OR(E791="",E791="!!!",F791="NEW"),"",INDEX(J$1:J790,SUMPRODUCT(MAX(ROW(E$1:E790)*(E791=E$1:E790)))))</f>
        <v/>
      </c>
      <c r="L791" s="26"/>
    </row>
    <row r="792" spans="1:12" x14ac:dyDescent="0.3">
      <c r="A792" t="s">
        <v>212</v>
      </c>
      <c r="E792" s="21" t="str">
        <f t="shared" si="76"/>
        <v/>
      </c>
      <c r="F792" s="22" t="str">
        <f>IF(OR(E792="",E792="!!!"),"",IF(NOT(ISNA(VLOOKUP(E792,E$1:E791,1,FALSE()))),"OLD",IF(AND(E792&lt;&gt;"",E792&lt;&gt;"!!!"),"NEW","")))</f>
        <v/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/>
      </c>
      <c r="H792" s="24" t="str">
        <f t="shared" ca="1" si="77"/>
        <v/>
      </c>
      <c r="I792" s="25" t="str">
        <f>IF(OR(E792="",E792="!!!",F792="NEW"),"",INDEX(B$2:B791,-1+SUMPRODUCT(MAX(ROW(E$2:E791)*(E792=E$2:E791)))))</f>
        <v/>
      </c>
      <c r="J792" s="25" t="str">
        <f ca="1">IF(OR(E792="",E792="!!!",F792="NEW"),"",COUNTBLANK(OFFSET(A$1,,,SUMPRODUCT(MAX(ROW(E$2:E792)*(E792=E$2:E792)))))-COUNTBLANK(OFFSET(A$1,,,SUMPRODUCT(MAX(ROW(E$1:E791)*(E2=E$1:E791))))))</f>
        <v/>
      </c>
      <c r="K792" s="25" t="str">
        <f>IF(OR(E792="",E792="!!!",F792="NEW"),"",INDEX(J$1:J791,SUMPRODUCT(MAX(ROW(E$1:E791)*(E792=E$1:E791)))))</f>
        <v/>
      </c>
      <c r="L792" s="26"/>
    </row>
    <row r="794" spans="1:12" x14ac:dyDescent="0.3">
      <c r="A794" t="s">
        <v>540</v>
      </c>
    </row>
    <row r="795" spans="1:12" x14ac:dyDescent="0.3">
      <c r="A795" t="s">
        <v>271</v>
      </c>
      <c r="B795" s="20" t="s">
        <v>187</v>
      </c>
      <c r="C795" s="20" t="s">
        <v>206</v>
      </c>
      <c r="D795" s="20" t="s">
        <v>160</v>
      </c>
      <c r="E795" s="21" t="str">
        <f t="shared" ref="E795:E819" si="78">IF(D795="?OLD","!!!","")</f>
        <v>!!!</v>
      </c>
      <c r="F795" s="22" t="str">
        <f>IF(OR(E795="",E795="!!!"),"",IF(NOT(ISNA(VLOOKUP(E795,E$1:E794,1,FALSE()))),"OLD",IF(AND(E795&lt;&gt;"",E795&lt;&gt;"!!!"),"NEW","")))</f>
        <v/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/>
      </c>
      <c r="H795" s="24" t="str">
        <f t="shared" ref="H795:H819" ca="1" si="79">IF(J795&lt;&gt;1,"",IF(I795="SBJ","CB","?"))</f>
        <v/>
      </c>
      <c r="I795" s="25" t="str">
        <f>IF(OR(E795="",E795="!!!",F795="NEW"),"",INDEX(B$2:B794,-1+SUMPRODUCT(MAX(ROW(E$2:E794)*(E795=E$2:E794)))))</f>
        <v/>
      </c>
      <c r="J795" s="25" t="str">
        <f ca="1">IF(OR(E795="",E795="!!!",F795="NEW"),"",COUNTBLANK(OFFSET(A$1,,,SUMPRODUCT(MAX(ROW(E$2:E795)*(E795=E$2:E795)))))-COUNTBLANK(OFFSET(A$1,,,SUMPRODUCT(MAX(ROW(E$1:E794)*(E2=E$1:E794))))))</f>
        <v/>
      </c>
      <c r="K795" s="25" t="str">
        <f>IF(OR(E795="",E795="!!!",F795="NEW"),"",INDEX(J$1:J794,SUMPRODUCT(MAX(ROW(E$1:E794)*(E795=E$1:E794)))))</f>
        <v/>
      </c>
      <c r="L795" s="26"/>
    </row>
    <row r="796" spans="1:12" x14ac:dyDescent="0.3">
      <c r="A796" t="s">
        <v>541</v>
      </c>
      <c r="E796" s="21" t="str">
        <f t="shared" si="78"/>
        <v/>
      </c>
      <c r="F796" s="22" t="str">
        <f>IF(OR(E796="",E796="!!!"),"",IF(NOT(ISNA(VLOOKUP(E796,E$1:E795,1,FALSE()))),"OLD",IF(AND(E796&lt;&gt;"",E796&lt;&gt;"!!!"),"NEW","")))</f>
        <v/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/>
      </c>
      <c r="H796" s="24" t="str">
        <f t="shared" ca="1" si="79"/>
        <v/>
      </c>
      <c r="I796" s="25" t="str">
        <f>IF(OR(E796="",E796="!!!",F796="NEW"),"",INDEX(B$2:B795,-1+SUMPRODUCT(MAX(ROW(E$2:E795)*(E796=E$2:E795)))))</f>
        <v/>
      </c>
      <c r="J796" s="25" t="str">
        <f ca="1">IF(OR(E796="",E796="!!!",F796="NEW"),"",COUNTBLANK(OFFSET(A$1,,,SUMPRODUCT(MAX(ROW(E$2:E796)*(E796=E$2:E796)))))-COUNTBLANK(OFFSET(A$1,,,SUMPRODUCT(MAX(ROW(E$1:E795)*(E2=E$1:E795))))))</f>
        <v/>
      </c>
      <c r="K796" s="25" t="str">
        <f>IF(OR(E796="",E796="!!!",F796="NEW"),"",INDEX(J$1:J795,SUMPRODUCT(MAX(ROW(E$1:E795)*(E796=E$1:E795)))))</f>
        <v/>
      </c>
      <c r="L796" s="26"/>
    </row>
    <row r="797" spans="1:12" x14ac:dyDescent="0.3">
      <c r="A797" t="s">
        <v>185</v>
      </c>
      <c r="E797" s="21" t="str">
        <f t="shared" si="78"/>
        <v/>
      </c>
      <c r="F797" s="22" t="str">
        <f>IF(OR(E797="",E797="!!!"),"",IF(NOT(ISNA(VLOOKUP(E797,E$1:E796,1,FALSE()))),"OLD",IF(AND(E797&lt;&gt;"",E797&lt;&gt;"!!!"),"NEW","")))</f>
        <v/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/>
      </c>
      <c r="H797" s="24" t="str">
        <f t="shared" ca="1" si="79"/>
        <v/>
      </c>
      <c r="I797" s="25" t="str">
        <f>IF(OR(E797="",E797="!!!",F797="NEW"),"",INDEX(B$2:B796,-1+SUMPRODUCT(MAX(ROW(E$2:E796)*(E797=E$2:E796)))))</f>
        <v/>
      </c>
      <c r="J797" s="25" t="str">
        <f ca="1">IF(OR(E797="",E797="!!!",F797="NEW"),"",COUNTBLANK(OFFSET(A$1,,,SUMPRODUCT(MAX(ROW(E$2:E797)*(E797=E$2:E797)))))-COUNTBLANK(OFFSET(A$1,,,SUMPRODUCT(MAX(ROW(E$1:E796)*(E2=E$1:E796))))))</f>
        <v/>
      </c>
      <c r="K797" s="25" t="str">
        <f>IF(OR(E797="",E797="!!!",F797="NEW"),"",INDEX(J$1:J796,SUMPRODUCT(MAX(ROW(E$1:E796)*(E797=E$1:E796)))))</f>
        <v/>
      </c>
      <c r="L797" s="26"/>
    </row>
    <row r="798" spans="1:12" x14ac:dyDescent="0.3">
      <c r="A798" t="s">
        <v>253</v>
      </c>
      <c r="E798" s="21" t="str">
        <f t="shared" si="78"/>
        <v/>
      </c>
      <c r="F798" s="22" t="str">
        <f>IF(OR(E798="",E798="!!!"),"",IF(NOT(ISNA(VLOOKUP(E798,E$1:E797,1,FALSE()))),"OLD",IF(AND(E798&lt;&gt;"",E798&lt;&gt;"!!!"),"NEW","")))</f>
        <v/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/>
      </c>
      <c r="H798" s="24" t="str">
        <f t="shared" ca="1" si="79"/>
        <v/>
      </c>
      <c r="I798" s="25" t="str">
        <f>IF(OR(E798="",E798="!!!",F798="NEW"),"",INDEX(B$2:B797,-1+SUMPRODUCT(MAX(ROW(E$2:E797)*(E798=E$2:E797)))))</f>
        <v/>
      </c>
      <c r="J798" s="25" t="str">
        <f ca="1">IF(OR(E798="",E798="!!!",F798="NEW"),"",COUNTBLANK(OFFSET(A$1,,,SUMPRODUCT(MAX(ROW(E$2:E798)*(E798=E$2:E798)))))-COUNTBLANK(OFFSET(A$1,,,SUMPRODUCT(MAX(ROW(E$1:E797)*(E2=E$1:E797))))))</f>
        <v/>
      </c>
      <c r="K798" s="25" t="str">
        <f>IF(OR(E798="",E798="!!!",F798="NEW"),"",INDEX(J$1:J797,SUMPRODUCT(MAX(ROW(E$1:E797)*(E798=E$1:E797)))))</f>
        <v/>
      </c>
      <c r="L798" s="26"/>
    </row>
    <row r="799" spans="1:12" x14ac:dyDescent="0.3">
      <c r="A799" t="s">
        <v>542</v>
      </c>
      <c r="E799" s="21" t="str">
        <f t="shared" si="78"/>
        <v/>
      </c>
      <c r="F799" s="22" t="str">
        <f>IF(OR(E799="",E799="!!!"),"",IF(NOT(ISNA(VLOOKUP(E799,E$1:E798,1,FALSE()))),"OLD",IF(AND(E799&lt;&gt;"",E799&lt;&gt;"!!!"),"NEW","")))</f>
        <v/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/>
      </c>
      <c r="H799" s="24" t="str">
        <f t="shared" ca="1" si="79"/>
        <v/>
      </c>
      <c r="I799" s="25" t="str">
        <f>IF(OR(E799="",E799="!!!",F799="NEW"),"",INDEX(B$2:B798,-1+SUMPRODUCT(MAX(ROW(E$2:E798)*(E799=E$2:E798)))))</f>
        <v/>
      </c>
      <c r="J799" s="25" t="str">
        <f ca="1">IF(OR(E799="",E799="!!!",F799="NEW"),"",COUNTBLANK(OFFSET(A$1,,,SUMPRODUCT(MAX(ROW(E$2:E799)*(E799=E$2:E799)))))-COUNTBLANK(OFFSET(A$1,,,SUMPRODUCT(MAX(ROW(E$1:E798)*(E2=E$1:E798))))))</f>
        <v/>
      </c>
      <c r="K799" s="25" t="str">
        <f>IF(OR(E799="",E799="!!!",F799="NEW"),"",INDEX(J$1:J798,SUMPRODUCT(MAX(ROW(E$1:E798)*(E799=E$1:E798)))))</f>
        <v/>
      </c>
      <c r="L799" s="26"/>
    </row>
    <row r="800" spans="1:12" x14ac:dyDescent="0.3">
      <c r="A800" t="s">
        <v>195</v>
      </c>
      <c r="B800" s="20" t="s">
        <v>183</v>
      </c>
      <c r="C800" s="20" t="s">
        <v>197</v>
      </c>
      <c r="E800" s="21" t="str">
        <f t="shared" si="78"/>
        <v/>
      </c>
      <c r="F800" s="22" t="str">
        <f>IF(OR(E800="",E800="!!!"),"",IF(NOT(ISNA(VLOOKUP(E800,E$1:E799,1,FALSE()))),"OLD",IF(AND(E800&lt;&gt;"",E800&lt;&gt;"!!!"),"NEW","")))</f>
        <v/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/>
      </c>
      <c r="H800" s="24" t="str">
        <f t="shared" ca="1" si="79"/>
        <v/>
      </c>
      <c r="I800" s="25" t="str">
        <f>IF(OR(E800="",E800="!!!",F800="NEW"),"",INDEX(B$2:B799,-1+SUMPRODUCT(MAX(ROW(E$2:E799)*(E800=E$2:E799)))))</f>
        <v/>
      </c>
      <c r="J800" s="25" t="str">
        <f ca="1">IF(OR(E800="",E800="!!!",F800="NEW"),"",COUNTBLANK(OFFSET(A$1,,,SUMPRODUCT(MAX(ROW(E$2:E800)*(E800=E$2:E800)))))-COUNTBLANK(OFFSET(A$1,,,SUMPRODUCT(MAX(ROW(E$1:E799)*(E2=E$1:E799))))))</f>
        <v/>
      </c>
      <c r="K800" s="25" t="str">
        <f>IF(OR(E800="",E800="!!!",F800="NEW"),"",INDEX(J$1:J799,SUMPRODUCT(MAX(ROW(E$1:E799)*(E800=E$1:E799)))))</f>
        <v/>
      </c>
      <c r="L800" s="26"/>
    </row>
    <row r="801" spans="1:12" x14ac:dyDescent="0.3">
      <c r="A801" t="s">
        <v>240</v>
      </c>
      <c r="E801" s="21" t="str">
        <f t="shared" si="78"/>
        <v/>
      </c>
      <c r="F801" s="22" t="str">
        <f>IF(OR(E801="",E801="!!!"),"",IF(NOT(ISNA(VLOOKUP(E801,E$1:E800,1,FALSE()))),"OLD",IF(AND(E801&lt;&gt;"",E801&lt;&gt;"!!!"),"NEW","")))</f>
        <v/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/>
      </c>
      <c r="H801" s="24" t="str">
        <f t="shared" ca="1" si="79"/>
        <v/>
      </c>
      <c r="I801" s="25" t="str">
        <f>IF(OR(E801="",E801="!!!",F801="NEW"),"",INDEX(B$2:B800,-1+SUMPRODUCT(MAX(ROW(E$2:E800)*(E801=E$2:E800)))))</f>
        <v/>
      </c>
      <c r="J801" s="25" t="str">
        <f ca="1">IF(OR(E801="",E801="!!!",F801="NEW"),"",COUNTBLANK(OFFSET(A$1,,,SUMPRODUCT(MAX(ROW(E$2:E801)*(E801=E$2:E801)))))-COUNTBLANK(OFFSET(A$1,,,SUMPRODUCT(MAX(ROW(E$1:E800)*(E2=E$1:E800))))))</f>
        <v/>
      </c>
      <c r="K801" s="25" t="str">
        <f>IF(OR(E801="",E801="!!!",F801="NEW"),"",INDEX(J$1:J800,SUMPRODUCT(MAX(ROW(E$1:E800)*(E801=E$1:E800)))))</f>
        <v/>
      </c>
      <c r="L801" s="26"/>
    </row>
    <row r="802" spans="1:12" x14ac:dyDescent="0.3">
      <c r="A802" t="s">
        <v>231</v>
      </c>
      <c r="B802" s="20" t="s">
        <v>172</v>
      </c>
      <c r="C802" s="20" t="s">
        <v>181</v>
      </c>
      <c r="D802" s="20" t="s">
        <v>160</v>
      </c>
      <c r="E802" s="21" t="str">
        <f t="shared" si="78"/>
        <v>!!!</v>
      </c>
      <c r="F802" s="22" t="str">
        <f>IF(OR(E802="",E802="!!!"),"",IF(NOT(ISNA(VLOOKUP(E802,E$1:E801,1,FALSE()))),"OLD",IF(AND(E802&lt;&gt;"",E802&lt;&gt;"!!!"),"NEW","")))</f>
        <v/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/>
      </c>
      <c r="H802" s="24" t="str">
        <f t="shared" ca="1" si="79"/>
        <v/>
      </c>
      <c r="I802" s="25" t="str">
        <f>IF(OR(E802="",E802="!!!",F802="NEW"),"",INDEX(B$2:B801,-1+SUMPRODUCT(MAX(ROW(E$2:E801)*(E802=E$2:E801)))))</f>
        <v/>
      </c>
      <c r="J802" s="25" t="str">
        <f ca="1">IF(OR(E802="",E802="!!!",F802="NEW"),"",COUNTBLANK(OFFSET(A$1,,,SUMPRODUCT(MAX(ROW(E$2:E802)*(E802=E$2:E802)))))-COUNTBLANK(OFFSET(A$1,,,SUMPRODUCT(MAX(ROW(E$1:E801)*(E2=E$1:E801))))))</f>
        <v/>
      </c>
      <c r="K802" s="25" t="str">
        <f>IF(OR(E802="",E802="!!!",F802="NEW"),"",INDEX(J$1:J801,SUMPRODUCT(MAX(ROW(E$1:E801)*(E802=E$1:E801)))))</f>
        <v/>
      </c>
      <c r="L802" s="26"/>
    </row>
    <row r="803" spans="1:12" x14ac:dyDescent="0.3">
      <c r="A803" t="s">
        <v>185</v>
      </c>
      <c r="E803" s="21" t="str">
        <f t="shared" si="78"/>
        <v/>
      </c>
      <c r="F803" s="22" t="str">
        <f>IF(OR(E803="",E803="!!!"),"",IF(NOT(ISNA(VLOOKUP(E803,E$1:E802,1,FALSE()))),"OLD",IF(AND(E803&lt;&gt;"",E803&lt;&gt;"!!!"),"NEW","")))</f>
        <v/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/>
      </c>
      <c r="H803" s="24" t="str">
        <f t="shared" ca="1" si="79"/>
        <v/>
      </c>
      <c r="I803" s="25" t="str">
        <f>IF(OR(E803="",E803="!!!",F803="NEW"),"",INDEX(B$2:B802,-1+SUMPRODUCT(MAX(ROW(E$2:E802)*(E803=E$2:E802)))))</f>
        <v/>
      </c>
      <c r="J803" s="25" t="str">
        <f ca="1">IF(OR(E803="",E803="!!!",F803="NEW"),"",COUNTBLANK(OFFSET(A$1,,,SUMPRODUCT(MAX(ROW(E$2:E803)*(E803=E$2:E803)))))-COUNTBLANK(OFFSET(A$1,,,SUMPRODUCT(MAX(ROW(E$1:E802)*(E2=E$1:E802))))))</f>
        <v/>
      </c>
      <c r="K803" s="25" t="str">
        <f>IF(OR(E803="",E803="!!!",F803="NEW"),"",INDEX(J$1:J802,SUMPRODUCT(MAX(ROW(E$1:E802)*(E803=E$1:E802)))))</f>
        <v/>
      </c>
      <c r="L803" s="26"/>
    </row>
    <row r="804" spans="1:12" x14ac:dyDescent="0.3">
      <c r="A804" t="s">
        <v>220</v>
      </c>
      <c r="E804" s="21" t="str">
        <f t="shared" si="78"/>
        <v/>
      </c>
      <c r="F804" s="22" t="str">
        <f>IF(OR(E804="",E804="!!!"),"",IF(NOT(ISNA(VLOOKUP(E804,E$1:E803,1,FALSE()))),"OLD",IF(AND(E804&lt;&gt;"",E804&lt;&gt;"!!!"),"NEW","")))</f>
        <v/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/>
      </c>
      <c r="H804" s="24" t="str">
        <f t="shared" ca="1" si="79"/>
        <v/>
      </c>
      <c r="I804" s="25" t="str">
        <f>IF(OR(E804="",E804="!!!",F804="NEW"),"",INDEX(B$2:B803,-1+SUMPRODUCT(MAX(ROW(E$2:E803)*(E804=E$2:E803)))))</f>
        <v/>
      </c>
      <c r="J804" s="25" t="str">
        <f ca="1">IF(OR(E804="",E804="!!!",F804="NEW"),"",COUNTBLANK(OFFSET(A$1,,,SUMPRODUCT(MAX(ROW(E$2:E804)*(E804=E$2:E804)))))-COUNTBLANK(OFFSET(A$1,,,SUMPRODUCT(MAX(ROW(E$1:E803)*(E2=E$1:E803))))))</f>
        <v/>
      </c>
      <c r="K804" s="25" t="str">
        <f>IF(OR(E804="",E804="!!!",F804="NEW"),"",INDEX(J$1:J803,SUMPRODUCT(MAX(ROW(E$1:E803)*(E804=E$1:E803)))))</f>
        <v/>
      </c>
      <c r="L804" s="26"/>
    </row>
    <row r="805" spans="1:12" x14ac:dyDescent="0.3">
      <c r="A805" t="s">
        <v>175</v>
      </c>
      <c r="B805" s="20" t="s">
        <v>543</v>
      </c>
      <c r="C805" s="20" t="s">
        <v>177</v>
      </c>
      <c r="D805" s="20" t="s">
        <v>160</v>
      </c>
      <c r="E805" s="21" t="str">
        <f t="shared" si="78"/>
        <v>!!!</v>
      </c>
      <c r="F805" s="22" t="str">
        <f>IF(OR(E805="",E805="!!!"),"",IF(NOT(ISNA(VLOOKUP(E805,E$1:E804,1,FALSE()))),"OLD",IF(AND(E805&lt;&gt;"",E805&lt;&gt;"!!!"),"NEW","")))</f>
        <v/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/>
      </c>
      <c r="H805" s="24" t="str">
        <f t="shared" ca="1" si="79"/>
        <v/>
      </c>
      <c r="I805" s="25" t="str">
        <f>IF(OR(E805="",E805="!!!",F805="NEW"),"",INDEX(B$2:B804,-1+SUMPRODUCT(MAX(ROW(E$2:E804)*(E805=E$2:E804)))))</f>
        <v/>
      </c>
      <c r="J805" s="25" t="str">
        <f ca="1">IF(OR(E805="",E805="!!!",F805="NEW"),"",COUNTBLANK(OFFSET(A$1,,,SUMPRODUCT(MAX(ROW(E$2:E805)*(E805=E$2:E805)))))-COUNTBLANK(OFFSET(A$1,,,SUMPRODUCT(MAX(ROW(E$1:E804)*(E2=E$1:E804))))))</f>
        <v/>
      </c>
      <c r="K805" s="25" t="str">
        <f>IF(OR(E805="",E805="!!!",F805="NEW"),"",INDEX(J$1:J804,SUMPRODUCT(MAX(ROW(E$1:E804)*(E805=E$1:E804)))))</f>
        <v/>
      </c>
      <c r="L805" s="26"/>
    </row>
    <row r="806" spans="1:12" x14ac:dyDescent="0.3">
      <c r="A806" t="s">
        <v>469</v>
      </c>
      <c r="B806" s="20" t="s">
        <v>431</v>
      </c>
      <c r="C806" s="20" t="s">
        <v>159</v>
      </c>
      <c r="D806" s="20" t="s">
        <v>160</v>
      </c>
      <c r="E806" s="21" t="str">
        <f t="shared" si="78"/>
        <v>!!!</v>
      </c>
      <c r="F806" s="22" t="str">
        <f>IF(OR(E806="",E806="!!!"),"",IF(NOT(ISNA(VLOOKUP(E806,E$1:E805,1,FALSE()))),"OLD",IF(AND(E806&lt;&gt;"",E806&lt;&gt;"!!!"),"NEW","")))</f>
        <v/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/>
      </c>
      <c r="H806" s="24" t="str">
        <f t="shared" ca="1" si="79"/>
        <v/>
      </c>
      <c r="I806" s="25" t="str">
        <f>IF(OR(E806="",E806="!!!",F806="NEW"),"",INDEX(B$2:B805,-1+SUMPRODUCT(MAX(ROW(E$2:E805)*(E806=E$2:E805)))))</f>
        <v/>
      </c>
      <c r="J806" s="25" t="str">
        <f ca="1">IF(OR(E806="",E806="!!!",F806="NEW"),"",COUNTBLANK(OFFSET(A$1,,,SUMPRODUCT(MAX(ROW(E$2:E806)*(E806=E$2:E806)))))-COUNTBLANK(OFFSET(A$1,,,SUMPRODUCT(MAX(ROW(E$1:E805)*(E2=E$1:E805))))))</f>
        <v/>
      </c>
      <c r="K806" s="25" t="str">
        <f>IF(OR(E806="",E806="!!!",F806="NEW"),"",INDEX(J$1:J805,SUMPRODUCT(MAX(ROW(E$1:E805)*(E806=E$1:E805)))))</f>
        <v/>
      </c>
      <c r="L806" s="26"/>
    </row>
    <row r="807" spans="1:12" x14ac:dyDescent="0.3">
      <c r="A807" t="s">
        <v>462</v>
      </c>
      <c r="E807" s="21" t="str">
        <f t="shared" si="78"/>
        <v/>
      </c>
      <c r="F807" s="22" t="str">
        <f>IF(OR(E807="",E807="!!!"),"",IF(NOT(ISNA(VLOOKUP(E807,E$1:E806,1,FALSE()))),"OLD",IF(AND(E807&lt;&gt;"",E807&lt;&gt;"!!!"),"NEW","")))</f>
        <v/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/>
      </c>
      <c r="H807" s="24" t="str">
        <f t="shared" ca="1" si="79"/>
        <v/>
      </c>
      <c r="I807" s="25" t="str">
        <f>IF(OR(E807="",E807="!!!",F807="NEW"),"",INDEX(B$2:B806,-1+SUMPRODUCT(MAX(ROW(E$2:E806)*(E807=E$2:E806)))))</f>
        <v/>
      </c>
      <c r="J807" s="25" t="str">
        <f ca="1">IF(OR(E807="",E807="!!!",F807="NEW"),"",COUNTBLANK(OFFSET(A$1,,,SUMPRODUCT(MAX(ROW(E$2:E807)*(E807=E$2:E807)))))-COUNTBLANK(OFFSET(A$1,,,SUMPRODUCT(MAX(ROW(E$1:E806)*(E2=E$1:E806))))))</f>
        <v/>
      </c>
      <c r="K807" s="25" t="str">
        <f>IF(OR(E807="",E807="!!!",F807="NEW"),"",INDEX(J$1:J806,SUMPRODUCT(MAX(ROW(E$1:E806)*(E807=E$1:E806)))))</f>
        <v/>
      </c>
      <c r="L807" s="26"/>
    </row>
    <row r="808" spans="1:12" x14ac:dyDescent="0.3">
      <c r="A808" t="s">
        <v>185</v>
      </c>
      <c r="E808" s="21" t="str">
        <f t="shared" si="78"/>
        <v/>
      </c>
      <c r="F808" s="22" t="str">
        <f>IF(OR(E808="",E808="!!!"),"",IF(NOT(ISNA(VLOOKUP(E808,E$1:E807,1,FALSE()))),"OLD",IF(AND(E808&lt;&gt;"",E808&lt;&gt;"!!!"),"NEW","")))</f>
        <v/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/>
      </c>
      <c r="H808" s="24" t="str">
        <f t="shared" ca="1" si="79"/>
        <v/>
      </c>
      <c r="I808" s="25" t="str">
        <f>IF(OR(E808="",E808="!!!",F808="NEW"),"",INDEX(B$2:B807,-1+SUMPRODUCT(MAX(ROW(E$2:E807)*(E808=E$2:E807)))))</f>
        <v/>
      </c>
      <c r="J808" s="25" t="str">
        <f ca="1">IF(OR(E808="",E808="!!!",F808="NEW"),"",COUNTBLANK(OFFSET(A$1,,,SUMPRODUCT(MAX(ROW(E$2:E808)*(E808=E$2:E808)))))-COUNTBLANK(OFFSET(A$1,,,SUMPRODUCT(MAX(ROW(E$1:E807)*(E2=E$1:E807))))))</f>
        <v/>
      </c>
      <c r="K808" s="25" t="str">
        <f>IF(OR(E808="",E808="!!!",F808="NEW"),"",INDEX(J$1:J807,SUMPRODUCT(MAX(ROW(E$1:E807)*(E808=E$1:E807)))))</f>
        <v/>
      </c>
      <c r="L808" s="26"/>
    </row>
    <row r="809" spans="1:12" x14ac:dyDescent="0.3">
      <c r="A809" t="s">
        <v>544</v>
      </c>
      <c r="E809" s="21" t="str">
        <f t="shared" si="78"/>
        <v/>
      </c>
      <c r="F809" s="22" t="str">
        <f>IF(OR(E809="",E809="!!!"),"",IF(NOT(ISNA(VLOOKUP(E809,E$1:E808,1,FALSE()))),"OLD",IF(AND(E809&lt;&gt;"",E809&lt;&gt;"!!!"),"NEW","")))</f>
        <v/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/>
      </c>
      <c r="H809" s="24" t="str">
        <f t="shared" ca="1" si="79"/>
        <v/>
      </c>
      <c r="I809" s="25" t="str">
        <f>IF(OR(E809="",E809="!!!",F809="NEW"),"",INDEX(B$2:B808,-1+SUMPRODUCT(MAX(ROW(E$2:E808)*(E809=E$2:E808)))))</f>
        <v/>
      </c>
      <c r="J809" s="25" t="str">
        <f ca="1">IF(OR(E809="",E809="!!!",F809="NEW"),"",COUNTBLANK(OFFSET(A$1,,,SUMPRODUCT(MAX(ROW(E$2:E809)*(E809=E$2:E809)))))-COUNTBLANK(OFFSET(A$1,,,SUMPRODUCT(MAX(ROW(E$1:E808)*(E2=E$1:E808))))))</f>
        <v/>
      </c>
      <c r="K809" s="25" t="str">
        <f>IF(OR(E809="",E809="!!!",F809="NEW"),"",INDEX(J$1:J808,SUMPRODUCT(MAX(ROW(E$1:E808)*(E809=E$1:E808)))))</f>
        <v/>
      </c>
      <c r="L809" s="26"/>
    </row>
    <row r="810" spans="1:12" x14ac:dyDescent="0.3">
      <c r="A810" t="s">
        <v>185</v>
      </c>
      <c r="E810" s="21" t="str">
        <f t="shared" si="78"/>
        <v/>
      </c>
      <c r="F810" s="22" t="str">
        <f>IF(OR(E810="",E810="!!!"),"",IF(NOT(ISNA(VLOOKUP(E810,E$1:E809,1,FALSE()))),"OLD",IF(AND(E810&lt;&gt;"",E810&lt;&gt;"!!!"),"NEW","")))</f>
        <v/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/>
      </c>
      <c r="H810" s="24" t="str">
        <f t="shared" ca="1" si="79"/>
        <v/>
      </c>
      <c r="I810" s="25" t="str">
        <f>IF(OR(E810="",E810="!!!",F810="NEW"),"",INDEX(B$2:B809,-1+SUMPRODUCT(MAX(ROW(E$2:E809)*(E810=E$2:E809)))))</f>
        <v/>
      </c>
      <c r="J810" s="25" t="str">
        <f ca="1">IF(OR(E810="",E810="!!!",F810="NEW"),"",COUNTBLANK(OFFSET(A$1,,,SUMPRODUCT(MAX(ROW(E$2:E810)*(E810=E$2:E810)))))-COUNTBLANK(OFFSET(A$1,,,SUMPRODUCT(MAX(ROW(E$1:E809)*(E2=E$1:E809))))))</f>
        <v/>
      </c>
      <c r="K810" s="25" t="str">
        <f>IF(OR(E810="",E810="!!!",F810="NEW"),"",INDEX(J$1:J809,SUMPRODUCT(MAX(ROW(E$1:E809)*(E810=E$1:E809)))))</f>
        <v/>
      </c>
      <c r="L810" s="26"/>
    </row>
    <row r="811" spans="1:12" x14ac:dyDescent="0.3">
      <c r="A811" t="s">
        <v>303</v>
      </c>
      <c r="E811" s="21" t="str">
        <f t="shared" si="78"/>
        <v/>
      </c>
      <c r="F811" s="22" t="str">
        <f>IF(OR(E811="",E811="!!!"),"",IF(NOT(ISNA(VLOOKUP(E811,E$1:E810,1,FALSE()))),"OLD",IF(AND(E811&lt;&gt;"",E811&lt;&gt;"!!!"),"NEW","")))</f>
        <v/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/>
      </c>
      <c r="H811" s="24" t="str">
        <f t="shared" ca="1" si="79"/>
        <v/>
      </c>
      <c r="I811" s="25" t="str">
        <f>IF(OR(E811="",E811="!!!",F811="NEW"),"",INDEX(B$2:B810,-1+SUMPRODUCT(MAX(ROW(E$2:E810)*(E811=E$2:E810)))))</f>
        <v/>
      </c>
      <c r="J811" s="25" t="str">
        <f ca="1">IF(OR(E811="",E811="!!!",F811="NEW"),"",COUNTBLANK(OFFSET(A$1,,,SUMPRODUCT(MAX(ROW(E$2:E811)*(E811=E$2:E811)))))-COUNTBLANK(OFFSET(A$1,,,SUMPRODUCT(MAX(ROW(E$1:E810)*(E2=E$1:E810))))))</f>
        <v/>
      </c>
      <c r="K811" s="25" t="str">
        <f>IF(OR(E811="",E811="!!!",F811="NEW"),"",INDEX(J$1:J810,SUMPRODUCT(MAX(ROW(E$1:E810)*(E811=E$1:E810)))))</f>
        <v/>
      </c>
      <c r="L811" s="26"/>
    </row>
    <row r="812" spans="1:12" x14ac:dyDescent="0.3">
      <c r="A812" t="s">
        <v>229</v>
      </c>
      <c r="E812" s="21" t="str">
        <f t="shared" si="78"/>
        <v/>
      </c>
      <c r="F812" s="22" t="str">
        <f>IF(OR(E812="",E812="!!!"),"",IF(NOT(ISNA(VLOOKUP(E812,E$1:E811,1,FALSE()))),"OLD",IF(AND(E812&lt;&gt;"",E812&lt;&gt;"!!!"),"NEW","")))</f>
        <v/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/>
      </c>
      <c r="H812" s="24" t="str">
        <f t="shared" ca="1" si="79"/>
        <v/>
      </c>
      <c r="I812" s="25" t="str">
        <f>IF(OR(E812="",E812="!!!",F812="NEW"),"",INDEX(B$2:B811,-1+SUMPRODUCT(MAX(ROW(E$2:E811)*(E812=E$2:E811)))))</f>
        <v/>
      </c>
      <c r="J812" s="25" t="str">
        <f ca="1">IF(OR(E812="",E812="!!!",F812="NEW"),"",COUNTBLANK(OFFSET(A$1,,,SUMPRODUCT(MAX(ROW(E$2:E812)*(E812=E$2:E812)))))-COUNTBLANK(OFFSET(A$1,,,SUMPRODUCT(MAX(ROW(E$1:E811)*(E2=E$1:E811))))))</f>
        <v/>
      </c>
      <c r="K812" s="25" t="str">
        <f>IF(OR(E812="",E812="!!!",F812="NEW"),"",INDEX(J$1:J811,SUMPRODUCT(MAX(ROW(E$1:E811)*(E812=E$1:E811)))))</f>
        <v/>
      </c>
      <c r="L812" s="26"/>
    </row>
    <row r="813" spans="1:12" x14ac:dyDescent="0.3">
      <c r="A813" t="s">
        <v>317</v>
      </c>
      <c r="E813" s="21" t="str">
        <f t="shared" si="78"/>
        <v/>
      </c>
      <c r="F813" s="22" t="str">
        <f>IF(OR(E813="",E813="!!!"),"",IF(NOT(ISNA(VLOOKUP(E813,E$1:E812,1,FALSE()))),"OLD",IF(AND(E813&lt;&gt;"",E813&lt;&gt;"!!!"),"NEW","")))</f>
        <v/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/>
      </c>
      <c r="H813" s="24" t="str">
        <f t="shared" ca="1" si="79"/>
        <v/>
      </c>
      <c r="I813" s="25" t="str">
        <f>IF(OR(E813="",E813="!!!",F813="NEW"),"",INDEX(B$2:B812,-1+SUMPRODUCT(MAX(ROW(E$2:E812)*(E813=E$2:E812)))))</f>
        <v/>
      </c>
      <c r="J813" s="25" t="str">
        <f ca="1">IF(OR(E813="",E813="!!!",F813="NEW"),"",COUNTBLANK(OFFSET(A$1,,,SUMPRODUCT(MAX(ROW(E$2:E813)*(E813=E$2:E813)))))-COUNTBLANK(OFFSET(A$1,,,SUMPRODUCT(MAX(ROW(E$1:E812)*(E2=E$1:E812))))))</f>
        <v/>
      </c>
      <c r="K813" s="25" t="str">
        <f>IF(OR(E813="",E813="!!!",F813="NEW"),"",INDEX(J$1:J812,SUMPRODUCT(MAX(ROW(E$1:E812)*(E813=E$1:E812)))))</f>
        <v/>
      </c>
      <c r="L813" s="26"/>
    </row>
    <row r="814" spans="1:12" x14ac:dyDescent="0.3">
      <c r="A814" t="s">
        <v>545</v>
      </c>
      <c r="E814" s="21" t="str">
        <f t="shared" si="78"/>
        <v/>
      </c>
      <c r="F814" s="22" t="str">
        <f>IF(OR(E814="",E814="!!!"),"",IF(NOT(ISNA(VLOOKUP(E814,E$1:E813,1,FALSE()))),"OLD",IF(AND(E814&lt;&gt;"",E814&lt;&gt;"!!!"),"NEW","")))</f>
        <v/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/>
      </c>
      <c r="H814" s="24" t="str">
        <f t="shared" ca="1" si="79"/>
        <v/>
      </c>
      <c r="I814" s="25" t="str">
        <f>IF(OR(E814="",E814="!!!",F814="NEW"),"",INDEX(B$2:B813,-1+SUMPRODUCT(MAX(ROW(E$2:E813)*(E814=E$2:E813)))))</f>
        <v/>
      </c>
      <c r="J814" s="25" t="str">
        <f ca="1">IF(OR(E814="",E814="!!!",F814="NEW"),"",COUNTBLANK(OFFSET(A$1,,,SUMPRODUCT(MAX(ROW(E$2:E814)*(E814=E$2:E814)))))-COUNTBLANK(OFFSET(A$1,,,SUMPRODUCT(MAX(ROW(E$1:E813)*(E2=E$1:E813))))))</f>
        <v/>
      </c>
      <c r="K814" s="25" t="str">
        <f>IF(OR(E814="",E814="!!!",F814="NEW"),"",INDEX(J$1:J813,SUMPRODUCT(MAX(ROW(E$1:E813)*(E814=E$1:E813)))))</f>
        <v/>
      </c>
      <c r="L814" s="26"/>
    </row>
    <row r="815" spans="1:12" x14ac:dyDescent="0.3">
      <c r="A815" t="s">
        <v>185</v>
      </c>
      <c r="E815" s="21" t="str">
        <f t="shared" si="78"/>
        <v/>
      </c>
      <c r="F815" s="22" t="str">
        <f>IF(OR(E815="",E815="!!!"),"",IF(NOT(ISNA(VLOOKUP(E815,E$1:E814,1,FALSE()))),"OLD",IF(AND(E815&lt;&gt;"",E815&lt;&gt;"!!!"),"NEW","")))</f>
        <v/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/>
      </c>
      <c r="H815" s="24" t="str">
        <f t="shared" ca="1" si="79"/>
        <v/>
      </c>
      <c r="I815" s="25" t="str">
        <f>IF(OR(E815="",E815="!!!",F815="NEW"),"",INDEX(B$2:B814,-1+SUMPRODUCT(MAX(ROW(E$2:E814)*(E815=E$2:E814)))))</f>
        <v/>
      </c>
      <c r="J815" s="25" t="str">
        <f ca="1">IF(OR(E815="",E815="!!!",F815="NEW"),"",COUNTBLANK(OFFSET(A$1,,,SUMPRODUCT(MAX(ROW(E$2:E815)*(E815=E$2:E815)))))-COUNTBLANK(OFFSET(A$1,,,SUMPRODUCT(MAX(ROW(E$1:E814)*(E2=E$1:E814))))))</f>
        <v/>
      </c>
      <c r="K815" s="25" t="str">
        <f>IF(OR(E815="",E815="!!!",F815="NEW"),"",INDEX(J$1:J814,SUMPRODUCT(MAX(ROW(E$1:E814)*(E815=E$1:E814)))))</f>
        <v/>
      </c>
      <c r="L815" s="26"/>
    </row>
    <row r="816" spans="1:12" x14ac:dyDescent="0.3">
      <c r="A816" t="s">
        <v>546</v>
      </c>
      <c r="E816" s="21" t="str">
        <f t="shared" si="78"/>
        <v/>
      </c>
      <c r="F816" s="22" t="str">
        <f>IF(OR(E816="",E816="!!!"),"",IF(NOT(ISNA(VLOOKUP(E816,E$1:E815,1,FALSE()))),"OLD",IF(AND(E816&lt;&gt;"",E816&lt;&gt;"!!!"),"NEW","")))</f>
        <v/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/>
      </c>
      <c r="H816" s="24" t="str">
        <f t="shared" ca="1" si="79"/>
        <v/>
      </c>
      <c r="I816" s="25" t="str">
        <f>IF(OR(E816="",E816="!!!",F816="NEW"),"",INDEX(B$2:B815,-1+SUMPRODUCT(MAX(ROW(E$2:E815)*(E816=E$2:E815)))))</f>
        <v/>
      </c>
      <c r="J816" s="25" t="str">
        <f ca="1">IF(OR(E816="",E816="!!!",F816="NEW"),"",COUNTBLANK(OFFSET(A$1,,,SUMPRODUCT(MAX(ROW(E$2:E816)*(E816=E$2:E816)))))-COUNTBLANK(OFFSET(A$1,,,SUMPRODUCT(MAX(ROW(E$1:E815)*(E2=E$1:E815))))))</f>
        <v/>
      </c>
      <c r="K816" s="25" t="str">
        <f>IF(OR(E816="",E816="!!!",F816="NEW"),"",INDEX(J$1:J815,SUMPRODUCT(MAX(ROW(E$1:E815)*(E816=E$1:E815)))))</f>
        <v/>
      </c>
      <c r="L816" s="26"/>
    </row>
    <row r="817" spans="1:12" x14ac:dyDescent="0.3">
      <c r="A817" t="s">
        <v>547</v>
      </c>
      <c r="E817" s="21" t="str">
        <f t="shared" si="78"/>
        <v/>
      </c>
      <c r="F817" s="22" t="str">
        <f>IF(OR(E817="",E817="!!!"),"",IF(NOT(ISNA(VLOOKUP(E817,E$1:E816,1,FALSE()))),"OLD",IF(AND(E817&lt;&gt;"",E817&lt;&gt;"!!!"),"NEW","")))</f>
        <v/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/>
      </c>
      <c r="H817" s="24" t="str">
        <f t="shared" ca="1" si="79"/>
        <v/>
      </c>
      <c r="I817" s="25" t="str">
        <f>IF(OR(E817="",E817="!!!",F817="NEW"),"",INDEX(B$2:B816,-1+SUMPRODUCT(MAX(ROW(E$2:E816)*(E817=E$2:E816)))))</f>
        <v/>
      </c>
      <c r="J817" s="25" t="str">
        <f ca="1">IF(OR(E817="",E817="!!!",F817="NEW"),"",COUNTBLANK(OFFSET(A$1,,,SUMPRODUCT(MAX(ROW(E$2:E817)*(E817=E$2:E817)))))-COUNTBLANK(OFFSET(A$1,,,SUMPRODUCT(MAX(ROW(E$1:E816)*(E2=E$1:E816))))))</f>
        <v/>
      </c>
      <c r="K817" s="25" t="str">
        <f>IF(OR(E817="",E817="!!!",F817="NEW"),"",INDEX(J$1:J816,SUMPRODUCT(MAX(ROW(E$1:E816)*(E817=E$1:E816)))))</f>
        <v/>
      </c>
      <c r="L817" s="26"/>
    </row>
    <row r="818" spans="1:12" x14ac:dyDescent="0.3">
      <c r="A818" t="s">
        <v>319</v>
      </c>
      <c r="B818" s="20" t="s">
        <v>340</v>
      </c>
      <c r="C818" s="20" t="s">
        <v>211</v>
      </c>
      <c r="E818" s="21" t="str">
        <f t="shared" si="78"/>
        <v/>
      </c>
      <c r="F818" s="22" t="str">
        <f>IF(OR(E818="",E818="!!!"),"",IF(NOT(ISNA(VLOOKUP(E818,E$1:E817,1,FALSE()))),"OLD",IF(AND(E818&lt;&gt;"",E818&lt;&gt;"!!!"),"NEW","")))</f>
        <v/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/>
      </c>
      <c r="H818" s="24" t="str">
        <f t="shared" ca="1" si="79"/>
        <v/>
      </c>
      <c r="I818" s="25" t="str">
        <f>IF(OR(E818="",E818="!!!",F818="NEW"),"",INDEX(B$2:B817,-1+SUMPRODUCT(MAX(ROW(E$2:E817)*(E818=E$2:E817)))))</f>
        <v/>
      </c>
      <c r="J818" s="25" t="str">
        <f ca="1">IF(OR(E818="",E818="!!!",F818="NEW"),"",COUNTBLANK(OFFSET(A$1,,,SUMPRODUCT(MAX(ROW(E$2:E818)*(E818=E$2:E818)))))-COUNTBLANK(OFFSET(A$1,,,SUMPRODUCT(MAX(ROW(E$1:E817)*(E2=E$1:E817))))))</f>
        <v/>
      </c>
      <c r="K818" s="25" t="str">
        <f>IF(OR(E818="",E818="!!!",F818="NEW"),"",INDEX(J$1:J817,SUMPRODUCT(MAX(ROW(E$1:E817)*(E818=E$1:E817)))))</f>
        <v/>
      </c>
      <c r="L818" s="26"/>
    </row>
    <row r="819" spans="1:12" x14ac:dyDescent="0.3">
      <c r="A819" t="s">
        <v>212</v>
      </c>
      <c r="E819" s="21" t="str">
        <f t="shared" si="78"/>
        <v/>
      </c>
      <c r="F819" s="22" t="str">
        <f>IF(OR(E819="",E819="!!!"),"",IF(NOT(ISNA(VLOOKUP(E819,E$1:E818,1,FALSE()))),"OLD",IF(AND(E819&lt;&gt;"",E819&lt;&gt;"!!!"),"NEW","")))</f>
        <v/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/>
      </c>
      <c r="H819" s="24" t="str">
        <f t="shared" ca="1" si="79"/>
        <v/>
      </c>
      <c r="I819" s="25" t="str">
        <f>IF(OR(E819="",E819="!!!",F819="NEW"),"",INDEX(B$2:B818,-1+SUMPRODUCT(MAX(ROW(E$2:E818)*(E819=E$2:E818)))))</f>
        <v/>
      </c>
      <c r="J819" s="25" t="str">
        <f ca="1">IF(OR(E819="",E819="!!!",F819="NEW"),"",COUNTBLANK(OFFSET(A$1,,,SUMPRODUCT(MAX(ROW(E$2:E819)*(E819=E$2:E819)))))-COUNTBLANK(OFFSET(A$1,,,SUMPRODUCT(MAX(ROW(E$1:E818)*(E2=E$1:E818))))))</f>
        <v/>
      </c>
      <c r="K819" s="25" t="str">
        <f>IF(OR(E819="",E819="!!!",F819="NEW"),"",INDEX(J$1:J818,SUMPRODUCT(MAX(ROW(E$1:E818)*(E819=E$1:E818)))))</f>
        <v/>
      </c>
      <c r="L819" s="26"/>
    </row>
    <row r="821" spans="1:12" x14ac:dyDescent="0.3">
      <c r="A821" t="s">
        <v>548</v>
      </c>
    </row>
    <row r="822" spans="1:12" x14ac:dyDescent="0.3">
      <c r="A822" t="s">
        <v>322</v>
      </c>
      <c r="B822" s="20" t="s">
        <v>187</v>
      </c>
      <c r="C822" s="20" t="s">
        <v>177</v>
      </c>
      <c r="D822" s="20" t="s">
        <v>160</v>
      </c>
      <c r="E822" s="21" t="str">
        <f t="shared" ref="E822:E836" si="80">IF(D822="?OLD","!!!","")</f>
        <v>!!!</v>
      </c>
      <c r="F822" s="22" t="str">
        <f>IF(OR(E822="",E822="!!!"),"",IF(NOT(ISNA(VLOOKUP(E822,E$1:E821,1,FALSE()))),"OLD",IF(AND(E822&lt;&gt;"",E822&lt;&gt;"!!!"),"NEW","")))</f>
        <v/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/>
      </c>
      <c r="H822" s="24" t="str">
        <f t="shared" ref="H822:H836" ca="1" si="81">IF(J822&lt;&gt;1,"",IF(I822="SBJ","CB","?"))</f>
        <v/>
      </c>
      <c r="I822" s="25" t="str">
        <f>IF(OR(E822="",E822="!!!",F822="NEW"),"",INDEX(B$2:B821,-1+SUMPRODUCT(MAX(ROW(E$2:E821)*(E822=E$2:E821)))))</f>
        <v/>
      </c>
      <c r="J822" s="25" t="str">
        <f ca="1">IF(OR(E822="",E822="!!!",F822="NEW"),"",COUNTBLANK(OFFSET(A$1,,,SUMPRODUCT(MAX(ROW(E$2:E822)*(E822=E$2:E822)))))-COUNTBLANK(OFFSET(A$1,,,SUMPRODUCT(MAX(ROW(E$1:E821)*(E2=E$1:E821))))))</f>
        <v/>
      </c>
      <c r="K822" s="25" t="str">
        <f>IF(OR(E822="",E822="!!!",F822="NEW"),"",INDEX(J$1:J821,SUMPRODUCT(MAX(ROW(E$1:E821)*(E822=E$1:E821)))))</f>
        <v/>
      </c>
      <c r="L822" s="26"/>
    </row>
    <row r="823" spans="1:12" x14ac:dyDescent="0.3">
      <c r="A823" t="s">
        <v>333</v>
      </c>
      <c r="E823" s="21" t="str">
        <f t="shared" si="80"/>
        <v/>
      </c>
      <c r="F823" s="22" t="str">
        <f>IF(OR(E823="",E823="!!!"),"",IF(NOT(ISNA(VLOOKUP(E823,E$1:E822,1,FALSE()))),"OLD",IF(AND(E823&lt;&gt;"",E823&lt;&gt;"!!!"),"NEW","")))</f>
        <v/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/>
      </c>
      <c r="H823" s="24" t="str">
        <f t="shared" ca="1" si="81"/>
        <v/>
      </c>
      <c r="I823" s="25" t="str">
        <f>IF(OR(E823="",E823="!!!",F823="NEW"),"",INDEX(B$2:B822,-1+SUMPRODUCT(MAX(ROW(E$2:E822)*(E823=E$2:E822)))))</f>
        <v/>
      </c>
      <c r="J823" s="25" t="str">
        <f ca="1">IF(OR(E823="",E823="!!!",F823="NEW"),"",COUNTBLANK(OFFSET(A$1,,,SUMPRODUCT(MAX(ROW(E$2:E823)*(E823=E$2:E823)))))-COUNTBLANK(OFFSET(A$1,,,SUMPRODUCT(MAX(ROW(E$1:E822)*(E2=E$1:E822))))))</f>
        <v/>
      </c>
      <c r="K823" s="25" t="str">
        <f>IF(OR(E823="",E823="!!!",F823="NEW"),"",INDEX(J$1:J822,SUMPRODUCT(MAX(ROW(E$1:E822)*(E823=E$1:E822)))))</f>
        <v/>
      </c>
      <c r="L823" s="26"/>
    </row>
    <row r="824" spans="1:12" x14ac:dyDescent="0.3">
      <c r="A824" t="s">
        <v>549</v>
      </c>
      <c r="B824" s="20" t="s">
        <v>172</v>
      </c>
      <c r="C824" s="20" t="s">
        <v>197</v>
      </c>
      <c r="E824" s="21" t="str">
        <f t="shared" si="80"/>
        <v/>
      </c>
      <c r="F824" s="22" t="str">
        <f>IF(OR(E824="",E824="!!!"),"",IF(NOT(ISNA(VLOOKUP(E824,E$1:E823,1,FALSE()))),"OLD",IF(AND(E824&lt;&gt;"",E824&lt;&gt;"!!!"),"NEW","")))</f>
        <v/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/>
      </c>
      <c r="H824" s="24" t="str">
        <f t="shared" ca="1" si="81"/>
        <v/>
      </c>
      <c r="I824" s="25" t="str">
        <f>IF(OR(E824="",E824="!!!",F824="NEW"),"",INDEX(B$2:B823,-1+SUMPRODUCT(MAX(ROW(E$2:E823)*(E824=E$2:E823)))))</f>
        <v/>
      </c>
      <c r="J824" s="25" t="str">
        <f ca="1">IF(OR(E824="",E824="!!!",F824="NEW"),"",COUNTBLANK(OFFSET(A$1,,,SUMPRODUCT(MAX(ROW(E$2:E824)*(E824=E$2:E824)))))-COUNTBLANK(OFFSET(A$1,,,SUMPRODUCT(MAX(ROW(E$1:E823)*(E2=E$1:E823))))))</f>
        <v/>
      </c>
      <c r="K824" s="25" t="str">
        <f>IF(OR(E824="",E824="!!!",F824="NEW"),"",INDEX(J$1:J823,SUMPRODUCT(MAX(ROW(E$1:E823)*(E824=E$1:E823)))))</f>
        <v/>
      </c>
      <c r="L824" s="26"/>
    </row>
    <row r="825" spans="1:12" x14ac:dyDescent="0.3">
      <c r="A825" t="s">
        <v>221</v>
      </c>
      <c r="B825" s="20" t="s">
        <v>172</v>
      </c>
      <c r="C825" s="20" t="s">
        <v>199</v>
      </c>
      <c r="D825" s="20" t="s">
        <v>160</v>
      </c>
      <c r="E825" s="21" t="str">
        <f t="shared" si="80"/>
        <v>!!!</v>
      </c>
      <c r="F825" s="22" t="str">
        <f>IF(OR(E825="",E825="!!!"),"",IF(NOT(ISNA(VLOOKUP(E825,E$1:E824,1,FALSE()))),"OLD",IF(AND(E825&lt;&gt;"",E825&lt;&gt;"!!!"),"NEW","")))</f>
        <v/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/>
      </c>
      <c r="H825" s="24" t="str">
        <f t="shared" ca="1" si="81"/>
        <v/>
      </c>
      <c r="I825" s="25" t="str">
        <f>IF(OR(E825="",E825="!!!",F825="NEW"),"",INDEX(B$2:B824,-1+SUMPRODUCT(MAX(ROW(E$2:E824)*(E825=E$2:E824)))))</f>
        <v/>
      </c>
      <c r="J825" s="25" t="str">
        <f ca="1">IF(OR(E825="",E825="!!!",F825="NEW"),"",COUNTBLANK(OFFSET(A$1,,,SUMPRODUCT(MAX(ROW(E$2:E825)*(E825=E$2:E825)))))-COUNTBLANK(OFFSET(A$1,,,SUMPRODUCT(MAX(ROW(E$1:E824)*(E2=E$1:E824))))))</f>
        <v/>
      </c>
      <c r="K825" s="25" t="str">
        <f>IF(OR(E825="",E825="!!!",F825="NEW"),"",INDEX(J$1:J824,SUMPRODUCT(MAX(ROW(E$1:E824)*(E825=E$1:E824)))))</f>
        <v/>
      </c>
      <c r="L825" s="26"/>
    </row>
    <row r="826" spans="1:12" x14ac:dyDescent="0.3">
      <c r="A826" t="s">
        <v>475</v>
      </c>
      <c r="B826" s="20" t="s">
        <v>191</v>
      </c>
      <c r="C826" s="20" t="s">
        <v>202</v>
      </c>
      <c r="D826" s="20" t="s">
        <v>160</v>
      </c>
      <c r="E826" s="21" t="str">
        <f t="shared" si="80"/>
        <v>!!!</v>
      </c>
      <c r="F826" s="22" t="str">
        <f>IF(OR(E826="",E826="!!!"),"",IF(NOT(ISNA(VLOOKUP(E826,E$1:E825,1,FALSE()))),"OLD",IF(AND(E826&lt;&gt;"",E826&lt;&gt;"!!!"),"NEW","")))</f>
        <v/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/>
      </c>
      <c r="H826" s="24" t="str">
        <f t="shared" ca="1" si="81"/>
        <v/>
      </c>
      <c r="I826" s="25" t="str">
        <f>IF(OR(E826="",E826="!!!",F826="NEW"),"",INDEX(B$2:B825,-1+SUMPRODUCT(MAX(ROW(E$2:E825)*(E826=E$2:E825)))))</f>
        <v/>
      </c>
      <c r="J826" s="25" t="str">
        <f ca="1">IF(OR(E826="",E826="!!!",F826="NEW"),"",COUNTBLANK(OFFSET(A$1,,,SUMPRODUCT(MAX(ROW(E$2:E826)*(E826=E$2:E826)))))-COUNTBLANK(OFFSET(A$1,,,SUMPRODUCT(MAX(ROW(E$1:E825)*(E2=E$1:E825))))))</f>
        <v/>
      </c>
      <c r="K826" s="25" t="str">
        <f>IF(OR(E826="",E826="!!!",F826="NEW"),"",INDEX(J$1:J825,SUMPRODUCT(MAX(ROW(E$1:E825)*(E826=E$1:E825)))))</f>
        <v/>
      </c>
      <c r="L826" s="26"/>
    </row>
    <row r="827" spans="1:12" x14ac:dyDescent="0.3">
      <c r="A827" t="s">
        <v>185</v>
      </c>
      <c r="E827" s="21" t="str">
        <f t="shared" si="80"/>
        <v/>
      </c>
      <c r="F827" s="22" t="str">
        <f>IF(OR(E827="",E827="!!!"),"",IF(NOT(ISNA(VLOOKUP(E827,E$1:E826,1,FALSE()))),"OLD",IF(AND(E827&lt;&gt;"",E827&lt;&gt;"!!!"),"NEW","")))</f>
        <v/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/>
      </c>
      <c r="H827" s="24" t="str">
        <f t="shared" ca="1" si="81"/>
        <v/>
      </c>
      <c r="I827" s="25" t="str">
        <f>IF(OR(E827="",E827="!!!",F827="NEW"),"",INDEX(B$2:B826,-1+SUMPRODUCT(MAX(ROW(E$2:E826)*(E827=E$2:E826)))))</f>
        <v/>
      </c>
      <c r="J827" s="25" t="str">
        <f ca="1">IF(OR(E827="",E827="!!!",F827="NEW"),"",COUNTBLANK(OFFSET(A$1,,,SUMPRODUCT(MAX(ROW(E$2:E827)*(E827=E$2:E827)))))-COUNTBLANK(OFFSET(A$1,,,SUMPRODUCT(MAX(ROW(E$1:E826)*(E2=E$1:E826))))))</f>
        <v/>
      </c>
      <c r="K827" s="25" t="str">
        <f>IF(OR(E827="",E827="!!!",F827="NEW"),"",INDEX(J$1:J826,SUMPRODUCT(MAX(ROW(E$1:E826)*(E827=E$1:E826)))))</f>
        <v/>
      </c>
      <c r="L827" s="26"/>
    </row>
    <row r="828" spans="1:12" x14ac:dyDescent="0.3">
      <c r="A828" t="s">
        <v>306</v>
      </c>
      <c r="E828" s="21" t="str">
        <f t="shared" si="80"/>
        <v/>
      </c>
      <c r="F828" s="22" t="str">
        <f>IF(OR(E828="",E828="!!!"),"",IF(NOT(ISNA(VLOOKUP(E828,E$1:E827,1,FALSE()))),"OLD",IF(AND(E828&lt;&gt;"",E828&lt;&gt;"!!!"),"NEW","")))</f>
        <v/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/>
      </c>
      <c r="H828" s="24" t="str">
        <f t="shared" ca="1" si="81"/>
        <v/>
      </c>
      <c r="I828" s="25" t="str">
        <f>IF(OR(E828="",E828="!!!",F828="NEW"),"",INDEX(B$2:B827,-1+SUMPRODUCT(MAX(ROW(E$2:E827)*(E828=E$2:E827)))))</f>
        <v/>
      </c>
      <c r="J828" s="25" t="str">
        <f ca="1">IF(OR(E828="",E828="!!!",F828="NEW"),"",COUNTBLANK(OFFSET(A$1,,,SUMPRODUCT(MAX(ROW(E$2:E828)*(E828=E$2:E828)))))-COUNTBLANK(OFFSET(A$1,,,SUMPRODUCT(MAX(ROW(E$1:E827)*(E2=E$1:E827))))))</f>
        <v/>
      </c>
      <c r="K828" s="25" t="str">
        <f>IF(OR(E828="",E828="!!!",F828="NEW"),"",INDEX(J$1:J827,SUMPRODUCT(MAX(ROW(E$1:E827)*(E828=E$1:E827)))))</f>
        <v/>
      </c>
      <c r="L828" s="26"/>
    </row>
    <row r="829" spans="1:12" x14ac:dyDescent="0.3">
      <c r="A829" t="s">
        <v>550</v>
      </c>
      <c r="E829" s="21" t="str">
        <f t="shared" si="80"/>
        <v/>
      </c>
      <c r="F829" s="22" t="str">
        <f>IF(OR(E829="",E829="!!!"),"",IF(NOT(ISNA(VLOOKUP(E829,E$1:E828,1,FALSE()))),"OLD",IF(AND(E829&lt;&gt;"",E829&lt;&gt;"!!!"),"NEW","")))</f>
        <v/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/>
      </c>
      <c r="H829" s="24" t="str">
        <f t="shared" ca="1" si="81"/>
        <v/>
      </c>
      <c r="I829" s="25" t="str">
        <f>IF(OR(E829="",E829="!!!",F829="NEW"),"",INDEX(B$2:B828,-1+SUMPRODUCT(MAX(ROW(E$2:E828)*(E829=E$2:E828)))))</f>
        <v/>
      </c>
      <c r="J829" s="25" t="str">
        <f ca="1">IF(OR(E829="",E829="!!!",F829="NEW"),"",COUNTBLANK(OFFSET(A$1,,,SUMPRODUCT(MAX(ROW(E$2:E829)*(E829=E$2:E829)))))-COUNTBLANK(OFFSET(A$1,,,SUMPRODUCT(MAX(ROW(E$1:E828)*(E2=E$1:E828))))))</f>
        <v/>
      </c>
      <c r="K829" s="25" t="str">
        <f>IF(OR(E829="",E829="!!!",F829="NEW"),"",INDEX(J$1:J828,SUMPRODUCT(MAX(ROW(E$1:E828)*(E829=E$1:E828)))))</f>
        <v/>
      </c>
      <c r="L829" s="26"/>
    </row>
    <row r="830" spans="1:12" x14ac:dyDescent="0.3">
      <c r="A830" t="s">
        <v>551</v>
      </c>
      <c r="E830" s="21" t="str">
        <f t="shared" si="80"/>
        <v/>
      </c>
      <c r="F830" s="22" t="str">
        <f>IF(OR(E830="",E830="!!!"),"",IF(NOT(ISNA(VLOOKUP(E830,E$1:E829,1,FALSE()))),"OLD",IF(AND(E830&lt;&gt;"",E830&lt;&gt;"!!!"),"NEW","")))</f>
        <v/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/>
      </c>
      <c r="H830" s="24" t="str">
        <f t="shared" ca="1" si="81"/>
        <v/>
      </c>
      <c r="I830" s="25" t="str">
        <f>IF(OR(E830="",E830="!!!",F830="NEW"),"",INDEX(B$2:B829,-1+SUMPRODUCT(MAX(ROW(E$2:E829)*(E830=E$2:E829)))))</f>
        <v/>
      </c>
      <c r="J830" s="25" t="str">
        <f ca="1">IF(OR(E830="",E830="!!!",F830="NEW"),"",COUNTBLANK(OFFSET(A$1,,,SUMPRODUCT(MAX(ROW(E$2:E830)*(E830=E$2:E830)))))-COUNTBLANK(OFFSET(A$1,,,SUMPRODUCT(MAX(ROW(E$1:E829)*(E2=E$1:E829))))))</f>
        <v/>
      </c>
      <c r="K830" s="25" t="str">
        <f>IF(OR(E830="",E830="!!!",F830="NEW"),"",INDEX(J$1:J829,SUMPRODUCT(MAX(ROW(E$1:E829)*(E830=E$1:E829)))))</f>
        <v/>
      </c>
      <c r="L830" s="26"/>
    </row>
    <row r="831" spans="1:12" x14ac:dyDescent="0.3">
      <c r="A831" t="s">
        <v>552</v>
      </c>
      <c r="B831" s="20" t="s">
        <v>172</v>
      </c>
      <c r="C831" s="20" t="s">
        <v>211</v>
      </c>
      <c r="E831" s="21" t="str">
        <f t="shared" si="80"/>
        <v/>
      </c>
      <c r="F831" s="22" t="str">
        <f>IF(OR(E831="",E831="!!!"),"",IF(NOT(ISNA(VLOOKUP(E831,E$1:E830,1,FALSE()))),"OLD",IF(AND(E831&lt;&gt;"",E831&lt;&gt;"!!!"),"NEW","")))</f>
        <v/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/>
      </c>
      <c r="H831" s="24" t="str">
        <f t="shared" ca="1" si="81"/>
        <v/>
      </c>
      <c r="I831" s="25" t="str">
        <f>IF(OR(E831="",E831="!!!",F831="NEW"),"",INDEX(B$2:B830,-1+SUMPRODUCT(MAX(ROW(E$2:E830)*(E831=E$2:E830)))))</f>
        <v/>
      </c>
      <c r="J831" s="25" t="str">
        <f ca="1">IF(OR(E831="",E831="!!!",F831="NEW"),"",COUNTBLANK(OFFSET(A$1,,,SUMPRODUCT(MAX(ROW(E$2:E831)*(E831=E$2:E831)))))-COUNTBLANK(OFFSET(A$1,,,SUMPRODUCT(MAX(ROW(E$1:E830)*(E2=E$1:E830))))))</f>
        <v/>
      </c>
      <c r="K831" s="25" t="str">
        <f>IF(OR(E831="",E831="!!!",F831="NEW"),"",INDEX(J$1:J830,SUMPRODUCT(MAX(ROW(E$1:E830)*(E831=E$1:E830)))))</f>
        <v/>
      </c>
      <c r="L831" s="26"/>
    </row>
    <row r="832" spans="1:12" x14ac:dyDescent="0.3">
      <c r="A832" t="s">
        <v>188</v>
      </c>
      <c r="E832" s="21" t="str">
        <f t="shared" si="80"/>
        <v/>
      </c>
      <c r="F832" s="22" t="str">
        <f>IF(OR(E832="",E832="!!!"),"",IF(NOT(ISNA(VLOOKUP(E832,E$1:E831,1,FALSE()))),"OLD",IF(AND(E832&lt;&gt;"",E832&lt;&gt;"!!!"),"NEW","")))</f>
        <v/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/>
      </c>
      <c r="H832" s="24" t="str">
        <f t="shared" ca="1" si="81"/>
        <v/>
      </c>
      <c r="I832" s="25" t="str">
        <f>IF(OR(E832="",E832="!!!",F832="NEW"),"",INDEX(B$2:B831,-1+SUMPRODUCT(MAX(ROW(E$2:E831)*(E832=E$2:E831)))))</f>
        <v/>
      </c>
      <c r="J832" s="25" t="str">
        <f ca="1">IF(OR(E832="",E832="!!!",F832="NEW"),"",COUNTBLANK(OFFSET(A$1,,,SUMPRODUCT(MAX(ROW(E$2:E832)*(E832=E$2:E832)))))-COUNTBLANK(OFFSET(A$1,,,SUMPRODUCT(MAX(ROW(E$1:E831)*(E2=E$1:E831))))))</f>
        <v/>
      </c>
      <c r="K832" s="25" t="str">
        <f>IF(OR(E832="",E832="!!!",F832="NEW"),"",INDEX(J$1:J831,SUMPRODUCT(MAX(ROW(E$1:E831)*(E832=E$1:E831)))))</f>
        <v/>
      </c>
      <c r="L832" s="26"/>
    </row>
    <row r="833" spans="1:12" x14ac:dyDescent="0.3">
      <c r="A833" t="s">
        <v>475</v>
      </c>
      <c r="B833" s="20" t="s">
        <v>201</v>
      </c>
      <c r="C833" s="20" t="s">
        <v>167</v>
      </c>
      <c r="E833" s="21" t="str">
        <f t="shared" si="80"/>
        <v/>
      </c>
      <c r="F833" s="22" t="str">
        <f>IF(OR(E833="",E833="!!!"),"",IF(NOT(ISNA(VLOOKUP(E833,E$1:E832,1,FALSE()))),"OLD",IF(AND(E833&lt;&gt;"",E833&lt;&gt;"!!!"),"NEW","")))</f>
        <v/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/>
      </c>
      <c r="H833" s="24" t="str">
        <f t="shared" ca="1" si="81"/>
        <v/>
      </c>
      <c r="I833" s="25" t="str">
        <f>IF(OR(E833="",E833="!!!",F833="NEW"),"",INDEX(B$2:B832,-1+SUMPRODUCT(MAX(ROW(E$2:E832)*(E833=E$2:E832)))))</f>
        <v/>
      </c>
      <c r="J833" s="25" t="str">
        <f ca="1">IF(OR(E833="",E833="!!!",F833="NEW"),"",COUNTBLANK(OFFSET(A$1,,,SUMPRODUCT(MAX(ROW(E$2:E833)*(E833=E$2:E833)))))-COUNTBLANK(OFFSET(A$1,,,SUMPRODUCT(MAX(ROW(E$1:E832)*(E2=E$1:E832))))))</f>
        <v/>
      </c>
      <c r="K833" s="25" t="str">
        <f>IF(OR(E833="",E833="!!!",F833="NEW"),"",INDEX(J$1:J832,SUMPRODUCT(MAX(ROW(E$1:E832)*(E833=E$1:E832)))))</f>
        <v/>
      </c>
      <c r="L833" s="26"/>
    </row>
    <row r="834" spans="1:12" x14ac:dyDescent="0.3">
      <c r="A834" t="s">
        <v>178</v>
      </c>
      <c r="E834" s="21" t="str">
        <f t="shared" si="80"/>
        <v/>
      </c>
      <c r="F834" s="22" t="str">
        <f>IF(OR(E834="",E834="!!!"),"",IF(NOT(ISNA(VLOOKUP(E834,E$1:E833,1,FALSE()))),"OLD",IF(AND(E834&lt;&gt;"",E834&lt;&gt;"!!!"),"NEW","")))</f>
        <v/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/>
      </c>
      <c r="H834" s="24" t="str">
        <f t="shared" ca="1" si="81"/>
        <v/>
      </c>
      <c r="I834" s="25" t="str">
        <f>IF(OR(E834="",E834="!!!",F834="NEW"),"",INDEX(B$2:B833,-1+SUMPRODUCT(MAX(ROW(E$2:E833)*(E834=E$2:E833)))))</f>
        <v/>
      </c>
      <c r="J834" s="25" t="str">
        <f ca="1">IF(OR(E834="",E834="!!!",F834="NEW"),"",COUNTBLANK(OFFSET(A$1,,,SUMPRODUCT(MAX(ROW(E$2:E834)*(E834=E$2:E834)))))-COUNTBLANK(OFFSET(A$1,,,SUMPRODUCT(MAX(ROW(E$1:E833)*(E2=E$1:E833))))))</f>
        <v/>
      </c>
      <c r="K834" s="25" t="str">
        <f>IF(OR(E834="",E834="!!!",F834="NEW"),"",INDEX(J$1:J833,SUMPRODUCT(MAX(ROW(E$1:E833)*(E834=E$1:E833)))))</f>
        <v/>
      </c>
      <c r="L834" s="26"/>
    </row>
    <row r="835" spans="1:12" x14ac:dyDescent="0.3">
      <c r="A835" t="s">
        <v>553</v>
      </c>
      <c r="B835" s="20" t="s">
        <v>183</v>
      </c>
      <c r="C835" s="20" t="s">
        <v>167</v>
      </c>
      <c r="E835" s="21" t="str">
        <f t="shared" si="80"/>
        <v/>
      </c>
      <c r="F835" s="22" t="str">
        <f>IF(OR(E835="",E835="!!!"),"",IF(NOT(ISNA(VLOOKUP(E835,E$1:E834,1,FALSE()))),"OLD",IF(AND(E835&lt;&gt;"",E835&lt;&gt;"!!!"),"NEW","")))</f>
        <v/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/>
      </c>
      <c r="H835" s="24" t="str">
        <f t="shared" ca="1" si="81"/>
        <v/>
      </c>
      <c r="I835" s="25" t="str">
        <f>IF(OR(E835="",E835="!!!",F835="NEW"),"",INDEX(B$2:B834,-1+SUMPRODUCT(MAX(ROW(E$2:E834)*(E835=E$2:E834)))))</f>
        <v/>
      </c>
      <c r="J835" s="25" t="str">
        <f ca="1">IF(OR(E835="",E835="!!!",F835="NEW"),"",COUNTBLANK(OFFSET(A$1,,,SUMPRODUCT(MAX(ROW(E$2:E835)*(E835=E$2:E835)))))-COUNTBLANK(OFFSET(A$1,,,SUMPRODUCT(MAX(ROW(E$1:E834)*(E2=E$1:E834))))))</f>
        <v/>
      </c>
      <c r="K835" s="25" t="str">
        <f>IF(OR(E835="",E835="!!!",F835="NEW"),"",INDEX(J$1:J834,SUMPRODUCT(MAX(ROW(E$1:E834)*(E835=E$1:E834)))))</f>
        <v/>
      </c>
      <c r="L835" s="26"/>
    </row>
    <row r="836" spans="1:12" x14ac:dyDescent="0.3">
      <c r="A836" t="s">
        <v>212</v>
      </c>
      <c r="E836" s="21" t="str">
        <f t="shared" si="80"/>
        <v/>
      </c>
      <c r="F836" s="22" t="str">
        <f>IF(OR(E836="",E836="!!!"),"",IF(NOT(ISNA(VLOOKUP(E836,E$1:E835,1,FALSE()))),"OLD",IF(AND(E836&lt;&gt;"",E836&lt;&gt;"!!!"),"NEW","")))</f>
        <v/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/>
      </c>
      <c r="H836" s="24" t="str">
        <f t="shared" ca="1" si="81"/>
        <v/>
      </c>
      <c r="I836" s="25" t="str">
        <f>IF(OR(E836="",E836="!!!",F836="NEW"),"",INDEX(B$2:B835,-1+SUMPRODUCT(MAX(ROW(E$2:E835)*(E836=E$2:E835)))))</f>
        <v/>
      </c>
      <c r="J836" s="25" t="str">
        <f ca="1">IF(OR(E836="",E836="!!!",F836="NEW"),"",COUNTBLANK(OFFSET(A$1,,,SUMPRODUCT(MAX(ROW(E$2:E836)*(E836=E$2:E836)))))-COUNTBLANK(OFFSET(A$1,,,SUMPRODUCT(MAX(ROW(E$1:E835)*(E2=E$1:E835))))))</f>
        <v/>
      </c>
      <c r="K836" s="25" t="str">
        <f>IF(OR(E836="",E836="!!!",F836="NEW"),"",INDEX(J$1:J835,SUMPRODUCT(MAX(ROW(E$1:E835)*(E836=E$1:E835)))))</f>
        <v/>
      </c>
      <c r="L836" s="26"/>
    </row>
    <row r="838" spans="1:12" x14ac:dyDescent="0.3">
      <c r="A838" t="s">
        <v>554</v>
      </c>
    </row>
    <row r="839" spans="1:12" x14ac:dyDescent="0.3">
      <c r="A839" t="s">
        <v>555</v>
      </c>
      <c r="E839" s="21" t="str">
        <f t="shared" ref="E839:E849" si="82">IF(D839="?OLD","!!!","")</f>
        <v/>
      </c>
      <c r="F839" s="22" t="str">
        <f>IF(OR(E839="",E839="!!!"),"",IF(NOT(ISNA(VLOOKUP(E839,E$1:E838,1,FALSE()))),"OLD",IF(AND(E839&lt;&gt;"",E839&lt;&gt;"!!!"),"NEW","")))</f>
        <v/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/>
      </c>
      <c r="H839" s="24" t="str">
        <f t="shared" ref="H839:H849" ca="1" si="83">IF(J839&lt;&gt;1,"",IF(I839="SBJ","CB","?"))</f>
        <v/>
      </c>
      <c r="I839" s="25" t="str">
        <f>IF(OR(E839="",E839="!!!",F839="NEW"),"",INDEX(B$2:B838,-1+SUMPRODUCT(MAX(ROW(E$2:E838)*(E839=E$2:E838)))))</f>
        <v/>
      </c>
      <c r="J839" s="25" t="str">
        <f ca="1">IF(OR(E839="",E839="!!!",F839="NEW"),"",COUNTBLANK(OFFSET(A$1,,,SUMPRODUCT(MAX(ROW(E$2:E839)*(E839=E$2:E839)))))-COUNTBLANK(OFFSET(A$1,,,SUMPRODUCT(MAX(ROW(E$1:E838)*(E2=E$1:E838))))))</f>
        <v/>
      </c>
      <c r="K839" s="25" t="str">
        <f>IF(OR(E839="",E839="!!!",F839="NEW"),"",INDEX(J$1:J838,SUMPRODUCT(MAX(ROW(E$1:E838)*(E839=E$1:E838)))))</f>
        <v/>
      </c>
      <c r="L839" s="26"/>
    </row>
    <row r="840" spans="1:12" x14ac:dyDescent="0.3">
      <c r="A840" t="s">
        <v>551</v>
      </c>
      <c r="E840" s="21" t="str">
        <f t="shared" si="82"/>
        <v/>
      </c>
      <c r="F840" s="22" t="str">
        <f>IF(OR(E840="",E840="!!!"),"",IF(NOT(ISNA(VLOOKUP(E840,E$1:E839,1,FALSE()))),"OLD",IF(AND(E840&lt;&gt;"",E840&lt;&gt;"!!!"),"NEW","")))</f>
        <v/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/>
      </c>
      <c r="H840" s="24" t="str">
        <f t="shared" ca="1" si="83"/>
        <v/>
      </c>
      <c r="I840" s="25" t="str">
        <f>IF(OR(E840="",E840="!!!",F840="NEW"),"",INDEX(B$2:B839,-1+SUMPRODUCT(MAX(ROW(E$2:E839)*(E840=E$2:E839)))))</f>
        <v/>
      </c>
      <c r="J840" s="25" t="str">
        <f ca="1">IF(OR(E840="",E840="!!!",F840="NEW"),"",COUNTBLANK(OFFSET(A$1,,,SUMPRODUCT(MAX(ROW(E$2:E840)*(E840=E$2:E840)))))-COUNTBLANK(OFFSET(A$1,,,SUMPRODUCT(MAX(ROW(E$1:E839)*(E2=E$1:E839))))))</f>
        <v/>
      </c>
      <c r="K840" s="25" t="str">
        <f>IF(OR(E840="",E840="!!!",F840="NEW"),"",INDEX(J$1:J839,SUMPRODUCT(MAX(ROW(E$1:E839)*(E840=E$1:E839)))))</f>
        <v/>
      </c>
      <c r="L840" s="26"/>
    </row>
    <row r="841" spans="1:12" x14ac:dyDescent="0.3">
      <c r="A841" t="s">
        <v>303</v>
      </c>
      <c r="E841" s="21" t="str">
        <f t="shared" si="82"/>
        <v/>
      </c>
      <c r="F841" s="22" t="str">
        <f>IF(OR(E841="",E841="!!!"),"",IF(NOT(ISNA(VLOOKUP(E841,E$1:E840,1,FALSE()))),"OLD",IF(AND(E841&lt;&gt;"",E841&lt;&gt;"!!!"),"NEW","")))</f>
        <v/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/>
      </c>
      <c r="H841" s="24" t="str">
        <f t="shared" ca="1" si="83"/>
        <v/>
      </c>
      <c r="I841" s="25" t="str">
        <f>IF(OR(E841="",E841="!!!",F841="NEW"),"",INDEX(B$2:B840,-1+SUMPRODUCT(MAX(ROW(E$2:E840)*(E841=E$2:E840)))))</f>
        <v/>
      </c>
      <c r="J841" s="25" t="str">
        <f ca="1">IF(OR(E841="",E841="!!!",F841="NEW"),"",COUNTBLANK(OFFSET(A$1,,,SUMPRODUCT(MAX(ROW(E$2:E841)*(E841=E$2:E841)))))-COUNTBLANK(OFFSET(A$1,,,SUMPRODUCT(MAX(ROW(E$1:E840)*(E2=E$1:E840))))))</f>
        <v/>
      </c>
      <c r="K841" s="25" t="str">
        <f>IF(OR(E841="",E841="!!!",F841="NEW"),"",INDEX(J$1:J840,SUMPRODUCT(MAX(ROW(E$1:E840)*(E841=E$1:E840)))))</f>
        <v/>
      </c>
      <c r="L841" s="26"/>
    </row>
    <row r="842" spans="1:12" x14ac:dyDescent="0.3">
      <c r="A842" t="s">
        <v>556</v>
      </c>
      <c r="B842" s="20" t="s">
        <v>158</v>
      </c>
      <c r="C842" s="20" t="s">
        <v>197</v>
      </c>
      <c r="E842" s="21" t="str">
        <f t="shared" si="82"/>
        <v/>
      </c>
      <c r="F842" s="22" t="str">
        <f>IF(OR(E842="",E842="!!!"),"",IF(NOT(ISNA(VLOOKUP(E842,E$1:E841,1,FALSE()))),"OLD",IF(AND(E842&lt;&gt;"",E842&lt;&gt;"!!!"),"NEW","")))</f>
        <v/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/>
      </c>
      <c r="H842" s="24" t="str">
        <f t="shared" ca="1" si="83"/>
        <v/>
      </c>
      <c r="I842" s="25" t="str">
        <f>IF(OR(E842="",E842="!!!",F842="NEW"),"",INDEX(B$2:B841,-1+SUMPRODUCT(MAX(ROW(E$2:E841)*(E842=E$2:E841)))))</f>
        <v/>
      </c>
      <c r="J842" s="25" t="str">
        <f ca="1">IF(OR(E842="",E842="!!!",F842="NEW"),"",COUNTBLANK(OFFSET(A$1,,,SUMPRODUCT(MAX(ROW(E$2:E842)*(E842=E$2:E842)))))-COUNTBLANK(OFFSET(A$1,,,SUMPRODUCT(MAX(ROW(E$1:E841)*(E2=E$1:E841))))))</f>
        <v/>
      </c>
      <c r="K842" s="25" t="str">
        <f>IF(OR(E842="",E842="!!!",F842="NEW"),"",INDEX(J$1:J841,SUMPRODUCT(MAX(ROW(E$1:E841)*(E842=E$1:E841)))))</f>
        <v/>
      </c>
      <c r="L842" s="26"/>
    </row>
    <row r="843" spans="1:12" x14ac:dyDescent="0.3">
      <c r="A843" t="s">
        <v>185</v>
      </c>
      <c r="E843" s="21" t="str">
        <f t="shared" si="82"/>
        <v/>
      </c>
      <c r="F843" s="22" t="str">
        <f>IF(OR(E843="",E843="!!!"),"",IF(NOT(ISNA(VLOOKUP(E843,E$1:E842,1,FALSE()))),"OLD",IF(AND(E843&lt;&gt;"",E843&lt;&gt;"!!!"),"NEW","")))</f>
        <v/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/>
      </c>
      <c r="H843" s="24" t="str">
        <f t="shared" ca="1" si="83"/>
        <v/>
      </c>
      <c r="I843" s="25" t="str">
        <f>IF(OR(E843="",E843="!!!",F843="NEW"),"",INDEX(B$2:B842,-1+SUMPRODUCT(MAX(ROW(E$2:E842)*(E843=E$2:E842)))))</f>
        <v/>
      </c>
      <c r="J843" s="25" t="str">
        <f ca="1">IF(OR(E843="",E843="!!!",F843="NEW"),"",COUNTBLANK(OFFSET(A$1,,,SUMPRODUCT(MAX(ROW(E$2:E843)*(E843=E$2:E843)))))-COUNTBLANK(OFFSET(A$1,,,SUMPRODUCT(MAX(ROW(E$1:E842)*(E2=E$1:E842))))))</f>
        <v/>
      </c>
      <c r="K843" s="25" t="str">
        <f>IF(OR(E843="",E843="!!!",F843="NEW"),"",INDEX(J$1:J842,SUMPRODUCT(MAX(ROW(E$1:E842)*(E843=E$1:E842)))))</f>
        <v/>
      </c>
      <c r="L843" s="26"/>
    </row>
    <row r="844" spans="1:12" x14ac:dyDescent="0.3">
      <c r="A844" t="s">
        <v>457</v>
      </c>
      <c r="B844" s="20" t="s">
        <v>257</v>
      </c>
      <c r="C844" s="20" t="s">
        <v>177</v>
      </c>
      <c r="D844" s="20" t="s">
        <v>160</v>
      </c>
      <c r="E844" s="21" t="str">
        <f t="shared" si="82"/>
        <v>!!!</v>
      </c>
      <c r="F844" s="22" t="str">
        <f>IF(OR(E844="",E844="!!!"),"",IF(NOT(ISNA(VLOOKUP(E844,E$1:E843,1,FALSE()))),"OLD",IF(AND(E844&lt;&gt;"",E844&lt;&gt;"!!!"),"NEW","")))</f>
        <v/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/>
      </c>
      <c r="H844" s="24" t="str">
        <f t="shared" ca="1" si="83"/>
        <v/>
      </c>
      <c r="I844" s="25" t="str">
        <f>IF(OR(E844="",E844="!!!",F844="NEW"),"",INDEX(B$2:B843,-1+SUMPRODUCT(MAX(ROW(E$2:E843)*(E844=E$2:E843)))))</f>
        <v/>
      </c>
      <c r="J844" s="25" t="str">
        <f ca="1">IF(OR(E844="",E844="!!!",F844="NEW"),"",COUNTBLANK(OFFSET(A$1,,,SUMPRODUCT(MAX(ROW(E$2:E844)*(E844=E$2:E844)))))-COUNTBLANK(OFFSET(A$1,,,SUMPRODUCT(MAX(ROW(E$1:E843)*(E2=E$1:E843))))))</f>
        <v/>
      </c>
      <c r="K844" s="25" t="str">
        <f>IF(OR(E844="",E844="!!!",F844="NEW"),"",INDEX(J$1:J843,SUMPRODUCT(MAX(ROW(E$1:E843)*(E844=E$1:E843)))))</f>
        <v/>
      </c>
      <c r="L844" s="26"/>
    </row>
    <row r="845" spans="1:12" x14ac:dyDescent="0.3">
      <c r="A845" t="s">
        <v>175</v>
      </c>
      <c r="B845" s="20" t="s">
        <v>176</v>
      </c>
      <c r="C845" s="20" t="s">
        <v>177</v>
      </c>
      <c r="D845" s="20" t="s">
        <v>160</v>
      </c>
      <c r="E845" s="21" t="str">
        <f t="shared" si="82"/>
        <v>!!!</v>
      </c>
      <c r="F845" s="22" t="str">
        <f>IF(OR(E845="",E845="!!!"),"",IF(NOT(ISNA(VLOOKUP(E845,E$1:E844,1,FALSE()))),"OLD",IF(AND(E845&lt;&gt;"",E845&lt;&gt;"!!!"),"NEW","")))</f>
        <v/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/>
      </c>
      <c r="H845" s="24" t="str">
        <f t="shared" ca="1" si="83"/>
        <v/>
      </c>
      <c r="I845" s="25" t="str">
        <f>IF(OR(E845="",E845="!!!",F845="NEW"),"",INDEX(B$2:B844,-1+SUMPRODUCT(MAX(ROW(E$2:E844)*(E845=E$2:E844)))))</f>
        <v/>
      </c>
      <c r="J845" s="25" t="str">
        <f ca="1">IF(OR(E845="",E845="!!!",F845="NEW"),"",COUNTBLANK(OFFSET(A$1,,,SUMPRODUCT(MAX(ROW(E$2:E845)*(E845=E$2:E845)))))-COUNTBLANK(OFFSET(A$1,,,SUMPRODUCT(MAX(ROW(E$1:E844)*(E2=E$1:E844))))))</f>
        <v/>
      </c>
      <c r="K845" s="25" t="str">
        <f>IF(OR(E845="",E845="!!!",F845="NEW"),"",INDEX(J$1:J844,SUMPRODUCT(MAX(ROW(E$1:E844)*(E845=E$1:E844)))))</f>
        <v/>
      </c>
      <c r="L845" s="26"/>
    </row>
    <row r="846" spans="1:12" x14ac:dyDescent="0.3">
      <c r="A846" t="s">
        <v>557</v>
      </c>
      <c r="E846" s="21" t="str">
        <f t="shared" si="82"/>
        <v/>
      </c>
      <c r="F846" s="22" t="str">
        <f>IF(OR(E846="",E846="!!!"),"",IF(NOT(ISNA(VLOOKUP(E846,E$1:E845,1,FALSE()))),"OLD",IF(AND(E846&lt;&gt;"",E846&lt;&gt;"!!!"),"NEW","")))</f>
        <v/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/>
      </c>
      <c r="H846" s="24" t="str">
        <f t="shared" ca="1" si="83"/>
        <v/>
      </c>
      <c r="I846" s="25" t="str">
        <f>IF(OR(E846="",E846="!!!",F846="NEW"),"",INDEX(B$2:B845,-1+SUMPRODUCT(MAX(ROW(E$2:E845)*(E846=E$2:E845)))))</f>
        <v/>
      </c>
      <c r="J846" s="25" t="str">
        <f ca="1">IF(OR(E846="",E846="!!!",F846="NEW"),"",COUNTBLANK(OFFSET(A$1,,,SUMPRODUCT(MAX(ROW(E$2:E846)*(E846=E$2:E846)))))-COUNTBLANK(OFFSET(A$1,,,SUMPRODUCT(MAX(ROW(E$1:E845)*(E2=E$1:E845))))))</f>
        <v/>
      </c>
      <c r="K846" s="25" t="str">
        <f>IF(OR(E846="",E846="!!!",F846="NEW"),"",INDEX(J$1:J845,SUMPRODUCT(MAX(ROW(E$1:E845)*(E846=E$1:E845)))))</f>
        <v/>
      </c>
      <c r="L846" s="26"/>
    </row>
    <row r="847" spans="1:12" x14ac:dyDescent="0.3">
      <c r="A847" t="s">
        <v>558</v>
      </c>
      <c r="E847" s="21" t="str">
        <f t="shared" si="82"/>
        <v/>
      </c>
      <c r="F847" s="22" t="str">
        <f>IF(OR(E847="",E847="!!!"),"",IF(NOT(ISNA(VLOOKUP(E847,E$1:E846,1,FALSE()))),"OLD",IF(AND(E847&lt;&gt;"",E847&lt;&gt;"!!!"),"NEW","")))</f>
        <v/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/>
      </c>
      <c r="H847" s="24" t="str">
        <f t="shared" ca="1" si="83"/>
        <v/>
      </c>
      <c r="I847" s="25" t="str">
        <f>IF(OR(E847="",E847="!!!",F847="NEW"),"",INDEX(B$2:B846,-1+SUMPRODUCT(MAX(ROW(E$2:E846)*(E847=E$2:E846)))))</f>
        <v/>
      </c>
      <c r="J847" s="25" t="str">
        <f ca="1">IF(OR(E847="",E847="!!!",F847="NEW"),"",COUNTBLANK(OFFSET(A$1,,,SUMPRODUCT(MAX(ROW(E$2:E847)*(E847=E$2:E847)))))-COUNTBLANK(OFFSET(A$1,,,SUMPRODUCT(MAX(ROW(E$1:E846)*(E2=E$1:E846))))))</f>
        <v/>
      </c>
      <c r="K847" s="25" t="str">
        <f>IF(OR(E847="",E847="!!!",F847="NEW"),"",INDEX(J$1:J846,SUMPRODUCT(MAX(ROW(E$1:E846)*(E847=E$1:E846)))))</f>
        <v/>
      </c>
      <c r="L847" s="26"/>
    </row>
    <row r="848" spans="1:12" x14ac:dyDescent="0.3">
      <c r="A848" t="s">
        <v>559</v>
      </c>
      <c r="E848" s="21" t="str">
        <f t="shared" si="82"/>
        <v/>
      </c>
      <c r="F848" s="22" t="str">
        <f>IF(OR(E848="",E848="!!!"),"",IF(NOT(ISNA(VLOOKUP(E848,E$1:E847,1,FALSE()))),"OLD",IF(AND(E848&lt;&gt;"",E848&lt;&gt;"!!!"),"NEW","")))</f>
        <v/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/>
      </c>
      <c r="H848" s="24" t="str">
        <f t="shared" ca="1" si="83"/>
        <v/>
      </c>
      <c r="I848" s="25" t="str">
        <f>IF(OR(E848="",E848="!!!",F848="NEW"),"",INDEX(B$2:B847,-1+SUMPRODUCT(MAX(ROW(E$2:E847)*(E848=E$2:E847)))))</f>
        <v/>
      </c>
      <c r="J848" s="25" t="str">
        <f ca="1">IF(OR(E848="",E848="!!!",F848="NEW"),"",COUNTBLANK(OFFSET(A$1,,,SUMPRODUCT(MAX(ROW(E$2:E848)*(E848=E$2:E848)))))-COUNTBLANK(OFFSET(A$1,,,SUMPRODUCT(MAX(ROW(E$1:E847)*(E2=E$1:E847))))))</f>
        <v/>
      </c>
      <c r="K848" s="25" t="str">
        <f>IF(OR(E848="",E848="!!!",F848="NEW"),"",INDEX(J$1:J847,SUMPRODUCT(MAX(ROW(E$1:E847)*(E848=E$1:E847)))))</f>
        <v/>
      </c>
      <c r="L848" s="26"/>
    </row>
    <row r="849" spans="1:12" x14ac:dyDescent="0.3">
      <c r="A849" t="s">
        <v>212</v>
      </c>
      <c r="E849" s="21" t="str">
        <f t="shared" si="82"/>
        <v/>
      </c>
      <c r="F849" s="22" t="str">
        <f>IF(OR(E849="",E849="!!!"),"",IF(NOT(ISNA(VLOOKUP(E849,E$1:E848,1,FALSE()))),"OLD",IF(AND(E849&lt;&gt;"",E849&lt;&gt;"!!!"),"NEW","")))</f>
        <v/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/>
      </c>
      <c r="H849" s="24" t="str">
        <f t="shared" ca="1" si="83"/>
        <v/>
      </c>
      <c r="I849" s="25" t="str">
        <f>IF(OR(E849="",E849="!!!",F849="NEW"),"",INDEX(B$2:B848,-1+SUMPRODUCT(MAX(ROW(E$2:E848)*(E849=E$2:E848)))))</f>
        <v/>
      </c>
      <c r="J849" s="25" t="str">
        <f ca="1">IF(OR(E849="",E849="!!!",F849="NEW"),"",COUNTBLANK(OFFSET(A$1,,,SUMPRODUCT(MAX(ROW(E$2:E849)*(E849=E$2:E849)))))-COUNTBLANK(OFFSET(A$1,,,SUMPRODUCT(MAX(ROW(E$1:E848)*(E2=E$1:E848))))))</f>
        <v/>
      </c>
      <c r="K849" s="25" t="str">
        <f>IF(OR(E849="",E849="!!!",F849="NEW"),"",INDEX(J$1:J848,SUMPRODUCT(MAX(ROW(E$1:E848)*(E849=E$1:E848)))))</f>
        <v/>
      </c>
      <c r="L849" s="26"/>
    </row>
    <row r="851" spans="1:12" x14ac:dyDescent="0.3">
      <c r="A851" t="s">
        <v>560</v>
      </c>
    </row>
    <row r="852" spans="1:12" x14ac:dyDescent="0.3">
      <c r="A852" t="s">
        <v>561</v>
      </c>
      <c r="B852" s="20" t="s">
        <v>191</v>
      </c>
      <c r="C852" s="20" t="s">
        <v>177</v>
      </c>
      <c r="D852" s="20" t="s">
        <v>160</v>
      </c>
      <c r="E852" s="21" t="str">
        <f t="shared" ref="E852:E857" si="84">IF(D852="?OLD","!!!","")</f>
        <v>!!!</v>
      </c>
      <c r="F852" s="22" t="str">
        <f>IF(OR(E852="",E852="!!!"),"",IF(NOT(ISNA(VLOOKUP(E852,E$1:E851,1,FALSE()))),"OLD",IF(AND(E852&lt;&gt;"",E852&lt;&gt;"!!!"),"NEW","")))</f>
        <v/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/>
      </c>
      <c r="H852" s="24" t="str">
        <f t="shared" ref="H852:H857" ca="1" si="85">IF(J852&lt;&gt;1,"",IF(I852="SBJ","CB","?"))</f>
        <v/>
      </c>
      <c r="I852" s="25" t="str">
        <f>IF(OR(E852="",E852="!!!",F852="NEW"),"",INDEX(B$2:B851,-1+SUMPRODUCT(MAX(ROW(E$2:E851)*(E852=E$2:E851)))))</f>
        <v/>
      </c>
      <c r="J852" s="25" t="str">
        <f ca="1">IF(OR(E852="",E852="!!!",F852="NEW"),"",COUNTBLANK(OFFSET(A$1,,,SUMPRODUCT(MAX(ROW(E$2:E852)*(E852=E$2:E852)))))-COUNTBLANK(OFFSET(A$1,,,SUMPRODUCT(MAX(ROW(E$1:E851)*(E2=E$1:E851))))))</f>
        <v/>
      </c>
      <c r="K852" s="25" t="str">
        <f>IF(OR(E852="",E852="!!!",F852="NEW"),"",INDEX(J$1:J851,SUMPRODUCT(MAX(ROW(E$1:E851)*(E852=E$1:E851)))))</f>
        <v/>
      </c>
      <c r="L852" s="26"/>
    </row>
    <row r="853" spans="1:12" x14ac:dyDescent="0.3">
      <c r="A853" t="s">
        <v>251</v>
      </c>
      <c r="E853" s="21" t="str">
        <f t="shared" si="84"/>
        <v/>
      </c>
      <c r="F853" s="22" t="str">
        <f>IF(OR(E853="",E853="!!!"),"",IF(NOT(ISNA(VLOOKUP(E853,E$1:E852,1,FALSE()))),"OLD",IF(AND(E853&lt;&gt;"",E853&lt;&gt;"!!!"),"NEW","")))</f>
        <v/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/>
      </c>
      <c r="H853" s="24" t="str">
        <f t="shared" ca="1" si="85"/>
        <v/>
      </c>
      <c r="I853" s="25" t="str">
        <f>IF(OR(E853="",E853="!!!",F853="NEW"),"",INDEX(B$2:B852,-1+SUMPRODUCT(MAX(ROW(E$2:E852)*(E853=E$2:E852)))))</f>
        <v/>
      </c>
      <c r="J853" s="25" t="str">
        <f ca="1">IF(OR(E853="",E853="!!!",F853="NEW"),"",COUNTBLANK(OFFSET(A$1,,,SUMPRODUCT(MAX(ROW(E$2:E853)*(E853=E$2:E853)))))-COUNTBLANK(OFFSET(A$1,,,SUMPRODUCT(MAX(ROW(E$1:E852)*(E2=E$1:E852))))))</f>
        <v/>
      </c>
      <c r="K853" s="25" t="str">
        <f>IF(OR(E853="",E853="!!!",F853="NEW"),"",INDEX(J$1:J852,SUMPRODUCT(MAX(ROW(E$1:E852)*(E853=E$1:E852)))))</f>
        <v/>
      </c>
      <c r="L853" s="26"/>
    </row>
    <row r="854" spans="1:12" x14ac:dyDescent="0.3">
      <c r="A854" t="s">
        <v>175</v>
      </c>
      <c r="B854" s="20" t="s">
        <v>187</v>
      </c>
      <c r="C854" s="20" t="s">
        <v>177</v>
      </c>
      <c r="D854" s="20" t="s">
        <v>160</v>
      </c>
      <c r="E854" s="21" t="str">
        <f t="shared" si="84"/>
        <v>!!!</v>
      </c>
      <c r="F854" s="22" t="str">
        <f>IF(OR(E854="",E854="!!!"),"",IF(NOT(ISNA(VLOOKUP(E854,E$1:E853,1,FALSE()))),"OLD",IF(AND(E854&lt;&gt;"",E854&lt;&gt;"!!!"),"NEW","")))</f>
        <v/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/>
      </c>
      <c r="H854" s="24" t="str">
        <f t="shared" ca="1" si="85"/>
        <v/>
      </c>
      <c r="I854" s="25" t="str">
        <f>IF(OR(E854="",E854="!!!",F854="NEW"),"",INDEX(B$2:B853,-1+SUMPRODUCT(MAX(ROW(E$2:E853)*(E854=E$2:E853)))))</f>
        <v/>
      </c>
      <c r="J854" s="25" t="str">
        <f ca="1">IF(OR(E854="",E854="!!!",F854="NEW"),"",COUNTBLANK(OFFSET(A$1,,,SUMPRODUCT(MAX(ROW(E$2:E854)*(E854=E$2:E854)))))-COUNTBLANK(OFFSET(A$1,,,SUMPRODUCT(MAX(ROW(E$1:E853)*(E2=E$1:E853))))))</f>
        <v/>
      </c>
      <c r="K854" s="25" t="str">
        <f>IF(OR(E854="",E854="!!!",F854="NEW"),"",INDEX(J$1:J853,SUMPRODUCT(MAX(ROW(E$1:E853)*(E854=E$1:E853)))))</f>
        <v/>
      </c>
      <c r="L854" s="26"/>
    </row>
    <row r="855" spans="1:12" x14ac:dyDescent="0.3">
      <c r="A855" t="s">
        <v>562</v>
      </c>
      <c r="E855" s="21" t="str">
        <f t="shared" si="84"/>
        <v/>
      </c>
      <c r="F855" s="22" t="str">
        <f>IF(OR(E855="",E855="!!!"),"",IF(NOT(ISNA(VLOOKUP(E855,E$1:E854,1,FALSE()))),"OLD",IF(AND(E855&lt;&gt;"",E855&lt;&gt;"!!!"),"NEW","")))</f>
        <v/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/>
      </c>
      <c r="H855" s="24" t="str">
        <f t="shared" ca="1" si="85"/>
        <v/>
      </c>
      <c r="I855" s="25" t="str">
        <f>IF(OR(E855="",E855="!!!",F855="NEW"),"",INDEX(B$2:B854,-1+SUMPRODUCT(MAX(ROW(E$2:E854)*(E855=E$2:E854)))))</f>
        <v/>
      </c>
      <c r="J855" s="25" t="str">
        <f ca="1">IF(OR(E855="",E855="!!!",F855="NEW"),"",COUNTBLANK(OFFSET(A$1,,,SUMPRODUCT(MAX(ROW(E$2:E855)*(E855=E$2:E855)))))-COUNTBLANK(OFFSET(A$1,,,SUMPRODUCT(MAX(ROW(E$1:E854)*(E2=E$1:E854))))))</f>
        <v/>
      </c>
      <c r="K855" s="25" t="str">
        <f>IF(OR(E855="",E855="!!!",F855="NEW"),"",INDEX(J$1:J854,SUMPRODUCT(MAX(ROW(E$1:E854)*(E855=E$1:E854)))))</f>
        <v/>
      </c>
      <c r="L855" s="26"/>
    </row>
    <row r="856" spans="1:12" x14ac:dyDescent="0.3">
      <c r="A856" t="s">
        <v>563</v>
      </c>
      <c r="E856" s="21" t="str">
        <f t="shared" si="84"/>
        <v/>
      </c>
      <c r="F856" s="22" t="str">
        <f>IF(OR(E856="",E856="!!!"),"",IF(NOT(ISNA(VLOOKUP(E856,E$1:E855,1,FALSE()))),"OLD",IF(AND(E856&lt;&gt;"",E856&lt;&gt;"!!!"),"NEW","")))</f>
        <v/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/>
      </c>
      <c r="H856" s="24" t="str">
        <f t="shared" ca="1" si="85"/>
        <v/>
      </c>
      <c r="I856" s="25" t="str">
        <f>IF(OR(E856="",E856="!!!",F856="NEW"),"",INDEX(B$2:B855,-1+SUMPRODUCT(MAX(ROW(E$2:E855)*(E856=E$2:E855)))))</f>
        <v/>
      </c>
      <c r="J856" s="25" t="str">
        <f ca="1">IF(OR(E856="",E856="!!!",F856="NEW"),"",COUNTBLANK(OFFSET(A$1,,,SUMPRODUCT(MAX(ROW(E$2:E856)*(E856=E$2:E856)))))-COUNTBLANK(OFFSET(A$1,,,SUMPRODUCT(MAX(ROW(E$1:E855)*(E2=E$1:E855))))))</f>
        <v/>
      </c>
      <c r="K856" s="25" t="str">
        <f>IF(OR(E856="",E856="!!!",F856="NEW"),"",INDEX(J$1:J855,SUMPRODUCT(MAX(ROW(E$1:E855)*(E856=E$1:E855)))))</f>
        <v/>
      </c>
      <c r="L856" s="26"/>
    </row>
    <row r="857" spans="1:12" x14ac:dyDescent="0.3">
      <c r="A857" t="s">
        <v>531</v>
      </c>
      <c r="E857" s="21" t="str">
        <f t="shared" si="84"/>
        <v/>
      </c>
      <c r="F857" s="22" t="str">
        <f>IF(OR(E857="",E857="!!!"),"",IF(NOT(ISNA(VLOOKUP(E857,E$1:E856,1,FALSE()))),"OLD",IF(AND(E857&lt;&gt;"",E857&lt;&gt;"!!!"),"NEW","")))</f>
        <v/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/>
      </c>
      <c r="H857" s="24" t="str">
        <f t="shared" ca="1" si="85"/>
        <v/>
      </c>
      <c r="I857" s="25" t="str">
        <f>IF(OR(E857="",E857="!!!",F857="NEW"),"",INDEX(B$2:B856,-1+SUMPRODUCT(MAX(ROW(E$2:E856)*(E857=E$2:E856)))))</f>
        <v/>
      </c>
      <c r="J857" s="25" t="str">
        <f ca="1">IF(OR(E857="",E857="!!!",F857="NEW"),"",COUNTBLANK(OFFSET(A$1,,,SUMPRODUCT(MAX(ROW(E$2:E857)*(E857=E$2:E857)))))-COUNTBLANK(OFFSET(A$1,,,SUMPRODUCT(MAX(ROW(E$1:E856)*(E2=E$1:E856))))))</f>
        <v/>
      </c>
      <c r="K857" s="25" t="str">
        <f>IF(OR(E857="",E857="!!!",F857="NEW"),"",INDEX(J$1:J856,SUMPRODUCT(MAX(ROW(E$1:E856)*(E857=E$1:E856)))))</f>
        <v/>
      </c>
      <c r="L857" s="26"/>
    </row>
    <row r="859" spans="1:12" x14ac:dyDescent="0.3">
      <c r="A859" t="s">
        <v>564</v>
      </c>
    </row>
    <row r="860" spans="1:12" x14ac:dyDescent="0.3">
      <c r="A860" t="s">
        <v>271</v>
      </c>
      <c r="B860" s="20" t="s">
        <v>187</v>
      </c>
      <c r="C860" s="20" t="s">
        <v>206</v>
      </c>
      <c r="D860" s="20" t="s">
        <v>160</v>
      </c>
      <c r="E860" s="21" t="str">
        <f t="shared" ref="E860:E877" si="86">IF(D860="?OLD","!!!","")</f>
        <v>!!!</v>
      </c>
      <c r="F860" s="22" t="str">
        <f>IF(OR(E860="",E860="!!!"),"",IF(NOT(ISNA(VLOOKUP(E860,E$1:E859,1,FALSE()))),"OLD",IF(AND(E860&lt;&gt;"",E860&lt;&gt;"!!!"),"NEW","")))</f>
        <v/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/>
      </c>
      <c r="H860" s="24" t="str">
        <f t="shared" ref="H860:H877" ca="1" si="87">IF(J860&lt;&gt;1,"",IF(I860="SBJ","CB","?"))</f>
        <v/>
      </c>
      <c r="I860" s="25" t="str">
        <f>IF(OR(E860="",E860="!!!",F860="NEW"),"",INDEX(B$2:B859,-1+SUMPRODUCT(MAX(ROW(E$2:E859)*(E860=E$2:E859)))))</f>
        <v/>
      </c>
      <c r="J860" s="25" t="str">
        <f ca="1">IF(OR(E860="",E860="!!!",F860="NEW"),"",COUNTBLANK(OFFSET(A$1,,,SUMPRODUCT(MAX(ROW(E$2:E860)*(E860=E$2:E860)))))-COUNTBLANK(OFFSET(A$1,,,SUMPRODUCT(MAX(ROW(E$1:E859)*(E2=E$1:E859))))))</f>
        <v/>
      </c>
      <c r="K860" s="25" t="str">
        <f>IF(OR(E860="",E860="!!!",F860="NEW"),"",INDEX(J$1:J859,SUMPRODUCT(MAX(ROW(E$1:E859)*(E860=E$1:E859)))))</f>
        <v/>
      </c>
      <c r="L860" s="26"/>
    </row>
    <row r="861" spans="1:12" x14ac:dyDescent="0.3">
      <c r="A861" t="s">
        <v>541</v>
      </c>
      <c r="E861" s="21" t="str">
        <f t="shared" si="86"/>
        <v/>
      </c>
      <c r="F861" s="22" t="str">
        <f>IF(OR(E861="",E861="!!!"),"",IF(NOT(ISNA(VLOOKUP(E861,E$1:E860,1,FALSE()))),"OLD",IF(AND(E861&lt;&gt;"",E861&lt;&gt;"!!!"),"NEW","")))</f>
        <v/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/>
      </c>
      <c r="H861" s="24" t="str">
        <f t="shared" ca="1" si="87"/>
        <v/>
      </c>
      <c r="I861" s="25" t="str">
        <f>IF(OR(E861="",E861="!!!",F861="NEW"),"",INDEX(B$2:B860,-1+SUMPRODUCT(MAX(ROW(E$2:E860)*(E861=E$2:E860)))))</f>
        <v/>
      </c>
      <c r="J861" s="25" t="str">
        <f ca="1">IF(OR(E861="",E861="!!!",F861="NEW"),"",COUNTBLANK(OFFSET(A$1,,,SUMPRODUCT(MAX(ROW(E$2:E861)*(E861=E$2:E861)))))-COUNTBLANK(OFFSET(A$1,,,SUMPRODUCT(MAX(ROW(E$1:E860)*(E2=E$1:E860))))))</f>
        <v/>
      </c>
      <c r="K861" s="25" t="str">
        <f>IF(OR(E861="",E861="!!!",F861="NEW"),"",INDEX(J$1:J860,SUMPRODUCT(MAX(ROW(E$1:E860)*(E861=E$1:E860)))))</f>
        <v/>
      </c>
      <c r="L861" s="26"/>
    </row>
    <row r="862" spans="1:12" x14ac:dyDescent="0.3">
      <c r="A862" t="s">
        <v>185</v>
      </c>
      <c r="E862" s="21" t="str">
        <f t="shared" si="86"/>
        <v/>
      </c>
      <c r="F862" s="22" t="str">
        <f>IF(OR(E862="",E862="!!!"),"",IF(NOT(ISNA(VLOOKUP(E862,E$1:E861,1,FALSE()))),"OLD",IF(AND(E862&lt;&gt;"",E862&lt;&gt;"!!!"),"NEW","")))</f>
        <v/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/>
      </c>
      <c r="H862" s="24" t="str">
        <f t="shared" ca="1" si="87"/>
        <v/>
      </c>
      <c r="I862" s="25" t="str">
        <f>IF(OR(E862="",E862="!!!",F862="NEW"),"",INDEX(B$2:B861,-1+SUMPRODUCT(MAX(ROW(E$2:E861)*(E862=E$2:E861)))))</f>
        <v/>
      </c>
      <c r="J862" s="25" t="str">
        <f ca="1">IF(OR(E862="",E862="!!!",F862="NEW"),"",COUNTBLANK(OFFSET(A$1,,,SUMPRODUCT(MAX(ROW(E$2:E862)*(E862=E$2:E862)))))-COUNTBLANK(OFFSET(A$1,,,SUMPRODUCT(MAX(ROW(E$1:E861)*(E2=E$1:E861))))))</f>
        <v/>
      </c>
      <c r="K862" s="25" t="str">
        <f>IF(OR(E862="",E862="!!!",F862="NEW"),"",INDEX(J$1:J861,SUMPRODUCT(MAX(ROW(E$1:E861)*(E862=E$1:E861)))))</f>
        <v/>
      </c>
      <c r="L862" s="26"/>
    </row>
    <row r="863" spans="1:12" x14ac:dyDescent="0.3">
      <c r="A863" t="s">
        <v>303</v>
      </c>
      <c r="E863" s="21" t="str">
        <f t="shared" si="86"/>
        <v/>
      </c>
      <c r="F863" s="22" t="str">
        <f>IF(OR(E863="",E863="!!!"),"",IF(NOT(ISNA(VLOOKUP(E863,E$1:E862,1,FALSE()))),"OLD",IF(AND(E863&lt;&gt;"",E863&lt;&gt;"!!!"),"NEW","")))</f>
        <v/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/>
      </c>
      <c r="H863" s="24" t="str">
        <f t="shared" ca="1" si="87"/>
        <v/>
      </c>
      <c r="I863" s="25" t="str">
        <f>IF(OR(E863="",E863="!!!",F863="NEW"),"",INDEX(B$2:B862,-1+SUMPRODUCT(MAX(ROW(E$2:E862)*(E863=E$2:E862)))))</f>
        <v/>
      </c>
      <c r="J863" s="25" t="str">
        <f ca="1">IF(OR(E863="",E863="!!!",F863="NEW"),"",COUNTBLANK(OFFSET(A$1,,,SUMPRODUCT(MAX(ROW(E$2:E863)*(E863=E$2:E863)))))-COUNTBLANK(OFFSET(A$1,,,SUMPRODUCT(MAX(ROW(E$1:E862)*(E2=E$1:E862))))))</f>
        <v/>
      </c>
      <c r="K863" s="25" t="str">
        <f>IF(OR(E863="",E863="!!!",F863="NEW"),"",INDEX(J$1:J862,SUMPRODUCT(MAX(ROW(E$1:E862)*(E863=E$1:E862)))))</f>
        <v/>
      </c>
      <c r="L863" s="26"/>
    </row>
    <row r="864" spans="1:12" x14ac:dyDescent="0.3">
      <c r="A864" t="s">
        <v>565</v>
      </c>
      <c r="B864" s="20" t="s">
        <v>172</v>
      </c>
      <c r="C864" s="20" t="s">
        <v>167</v>
      </c>
      <c r="E864" s="21" t="str">
        <f t="shared" si="86"/>
        <v/>
      </c>
      <c r="F864" s="22" t="str">
        <f>IF(OR(E864="",E864="!!!"),"",IF(NOT(ISNA(VLOOKUP(E864,E$1:E863,1,FALSE()))),"OLD",IF(AND(E864&lt;&gt;"",E864&lt;&gt;"!!!"),"NEW","")))</f>
        <v/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/>
      </c>
      <c r="H864" s="24" t="str">
        <f t="shared" ca="1" si="87"/>
        <v/>
      </c>
      <c r="I864" s="25" t="str">
        <f>IF(OR(E864="",E864="!!!",F864="NEW"),"",INDEX(B$2:B863,-1+SUMPRODUCT(MAX(ROW(E$2:E863)*(E864=E$2:E863)))))</f>
        <v/>
      </c>
      <c r="J864" s="25" t="str">
        <f ca="1">IF(OR(E864="",E864="!!!",F864="NEW"),"",COUNTBLANK(OFFSET(A$1,,,SUMPRODUCT(MAX(ROW(E$2:E864)*(E864=E$2:E864)))))-COUNTBLANK(OFFSET(A$1,,,SUMPRODUCT(MAX(ROW(E$1:E863)*(E2=E$1:E863))))))</f>
        <v/>
      </c>
      <c r="K864" s="25" t="str">
        <f>IF(OR(E864="",E864="!!!",F864="NEW"),"",INDEX(J$1:J863,SUMPRODUCT(MAX(ROW(E$1:E863)*(E864=E$1:E863)))))</f>
        <v/>
      </c>
      <c r="L864" s="26"/>
    </row>
    <row r="865" spans="1:12" x14ac:dyDescent="0.3">
      <c r="A865" t="s">
        <v>566</v>
      </c>
      <c r="E865" s="21" t="str">
        <f t="shared" si="86"/>
        <v/>
      </c>
      <c r="F865" s="22" t="str">
        <f>IF(OR(E865="",E865="!!!"),"",IF(NOT(ISNA(VLOOKUP(E865,E$1:E864,1,FALSE()))),"OLD",IF(AND(E865&lt;&gt;"",E865&lt;&gt;"!!!"),"NEW","")))</f>
        <v/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/>
      </c>
      <c r="H865" s="24" t="str">
        <f t="shared" ca="1" si="87"/>
        <v/>
      </c>
      <c r="I865" s="25" t="str">
        <f>IF(OR(E865="",E865="!!!",F865="NEW"),"",INDEX(B$2:B864,-1+SUMPRODUCT(MAX(ROW(E$2:E864)*(E865=E$2:E864)))))</f>
        <v/>
      </c>
      <c r="J865" s="25" t="str">
        <f ca="1">IF(OR(E865="",E865="!!!",F865="NEW"),"",COUNTBLANK(OFFSET(A$1,,,SUMPRODUCT(MAX(ROW(E$2:E865)*(E865=E$2:E865)))))-COUNTBLANK(OFFSET(A$1,,,SUMPRODUCT(MAX(ROW(E$1:E864)*(E2=E$1:E864))))))</f>
        <v/>
      </c>
      <c r="K865" s="25" t="str">
        <f>IF(OR(E865="",E865="!!!",F865="NEW"),"",INDEX(J$1:J864,SUMPRODUCT(MAX(ROW(E$1:E864)*(E865=E$1:E864)))))</f>
        <v/>
      </c>
      <c r="L865" s="26"/>
    </row>
    <row r="866" spans="1:12" x14ac:dyDescent="0.3">
      <c r="A866" t="s">
        <v>175</v>
      </c>
      <c r="B866" s="20" t="s">
        <v>176</v>
      </c>
      <c r="C866" s="20" t="s">
        <v>177</v>
      </c>
      <c r="D866" s="20" t="s">
        <v>160</v>
      </c>
      <c r="E866" s="21" t="str">
        <f t="shared" si="86"/>
        <v>!!!</v>
      </c>
      <c r="F866" s="22" t="str">
        <f>IF(OR(E866="",E866="!!!"),"",IF(NOT(ISNA(VLOOKUP(E866,E$1:E865,1,FALSE()))),"OLD",IF(AND(E866&lt;&gt;"",E866&lt;&gt;"!!!"),"NEW","")))</f>
        <v/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/>
      </c>
      <c r="H866" s="24" t="str">
        <f t="shared" ca="1" si="87"/>
        <v/>
      </c>
      <c r="I866" s="25" t="str">
        <f>IF(OR(E866="",E866="!!!",F866="NEW"),"",INDEX(B$2:B865,-1+SUMPRODUCT(MAX(ROW(E$2:E865)*(E866=E$2:E865)))))</f>
        <v/>
      </c>
      <c r="J866" s="25" t="str">
        <f ca="1">IF(OR(E866="",E866="!!!",F866="NEW"),"",COUNTBLANK(OFFSET(A$1,,,SUMPRODUCT(MAX(ROW(E$2:E866)*(E866=E$2:E866)))))-COUNTBLANK(OFFSET(A$1,,,SUMPRODUCT(MAX(ROW(E$1:E865)*(E2=E$1:E865))))))</f>
        <v/>
      </c>
      <c r="K866" s="25" t="str">
        <f>IF(OR(E866="",E866="!!!",F866="NEW"),"",INDEX(J$1:J865,SUMPRODUCT(MAX(ROW(E$1:E865)*(E866=E$1:E865)))))</f>
        <v/>
      </c>
      <c r="L866" s="26"/>
    </row>
    <row r="867" spans="1:12" x14ac:dyDescent="0.3">
      <c r="A867" t="s">
        <v>461</v>
      </c>
      <c r="E867" s="21" t="str">
        <f t="shared" si="86"/>
        <v/>
      </c>
      <c r="F867" s="22" t="str">
        <f>IF(OR(E867="",E867="!!!"),"",IF(NOT(ISNA(VLOOKUP(E867,E$1:E866,1,FALSE()))),"OLD",IF(AND(E867&lt;&gt;"",E867&lt;&gt;"!!!"),"NEW","")))</f>
        <v/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/>
      </c>
      <c r="H867" s="24" t="str">
        <f t="shared" ca="1" si="87"/>
        <v/>
      </c>
      <c r="I867" s="25" t="str">
        <f>IF(OR(E867="",E867="!!!",F867="NEW"),"",INDEX(B$2:B866,-1+SUMPRODUCT(MAX(ROW(E$2:E866)*(E867=E$2:E866)))))</f>
        <v/>
      </c>
      <c r="J867" s="25" t="str">
        <f ca="1">IF(OR(E867="",E867="!!!",F867="NEW"),"",COUNTBLANK(OFFSET(A$1,,,SUMPRODUCT(MAX(ROW(E$2:E867)*(E867=E$2:E867)))))-COUNTBLANK(OFFSET(A$1,,,SUMPRODUCT(MAX(ROW(E$1:E866)*(E2=E$1:E866))))))</f>
        <v/>
      </c>
      <c r="K867" s="25" t="str">
        <f>IF(OR(E867="",E867="!!!",F867="NEW"),"",INDEX(J$1:J866,SUMPRODUCT(MAX(ROW(E$1:E866)*(E867=E$1:E866)))))</f>
        <v/>
      </c>
      <c r="L867" s="26"/>
    </row>
    <row r="868" spans="1:12" x14ac:dyDescent="0.3">
      <c r="A868" t="s">
        <v>195</v>
      </c>
      <c r="E868" s="21" t="str">
        <f t="shared" si="86"/>
        <v/>
      </c>
      <c r="F868" s="22" t="str">
        <f>IF(OR(E868="",E868="!!!"),"",IF(NOT(ISNA(VLOOKUP(E868,E$1:E867,1,FALSE()))),"OLD",IF(AND(E868&lt;&gt;"",E868&lt;&gt;"!!!"),"NEW","")))</f>
        <v/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/>
      </c>
      <c r="H868" s="24" t="str">
        <f t="shared" ca="1" si="87"/>
        <v/>
      </c>
      <c r="I868" s="25" t="str">
        <f>IF(OR(E868="",E868="!!!",F868="NEW"),"",INDEX(B$2:B867,-1+SUMPRODUCT(MAX(ROW(E$2:E867)*(E868=E$2:E867)))))</f>
        <v/>
      </c>
      <c r="J868" s="25" t="str">
        <f ca="1">IF(OR(E868="",E868="!!!",F868="NEW"),"",COUNTBLANK(OFFSET(A$1,,,SUMPRODUCT(MAX(ROW(E$2:E868)*(E868=E$2:E868)))))-COUNTBLANK(OFFSET(A$1,,,SUMPRODUCT(MAX(ROW(E$1:E867)*(E2=E$1:E867))))))</f>
        <v/>
      </c>
      <c r="K868" s="25" t="str">
        <f>IF(OR(E868="",E868="!!!",F868="NEW"),"",INDEX(J$1:J867,SUMPRODUCT(MAX(ROW(E$1:E867)*(E868=E$1:E867)))))</f>
        <v/>
      </c>
      <c r="L868" s="26"/>
    </row>
    <row r="869" spans="1:12" x14ac:dyDescent="0.3">
      <c r="A869" t="s">
        <v>462</v>
      </c>
      <c r="E869" s="21" t="str">
        <f t="shared" si="86"/>
        <v/>
      </c>
      <c r="F869" s="22" t="str">
        <f>IF(OR(E869="",E869="!!!"),"",IF(NOT(ISNA(VLOOKUP(E869,E$1:E868,1,FALSE()))),"OLD",IF(AND(E869&lt;&gt;"",E869&lt;&gt;"!!!"),"NEW","")))</f>
        <v/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/>
      </c>
      <c r="H869" s="24" t="str">
        <f t="shared" ca="1" si="87"/>
        <v/>
      </c>
      <c r="I869" s="25" t="str">
        <f>IF(OR(E869="",E869="!!!",F869="NEW"),"",INDEX(B$2:B868,-1+SUMPRODUCT(MAX(ROW(E$2:E868)*(E869=E$2:E868)))))</f>
        <v/>
      </c>
      <c r="J869" s="25" t="str">
        <f ca="1">IF(OR(E869="",E869="!!!",F869="NEW"),"",COUNTBLANK(OFFSET(A$1,,,SUMPRODUCT(MAX(ROW(E$2:E869)*(E869=E$2:E869)))))-COUNTBLANK(OFFSET(A$1,,,SUMPRODUCT(MAX(ROW(E$1:E868)*(E2=E$1:E868))))))</f>
        <v/>
      </c>
      <c r="K869" s="25" t="str">
        <f>IF(OR(E869="",E869="!!!",F869="NEW"),"",INDEX(J$1:J868,SUMPRODUCT(MAX(ROW(E$1:E868)*(E869=E$1:E868)))))</f>
        <v/>
      </c>
      <c r="L869" s="26"/>
    </row>
    <row r="870" spans="1:12" x14ac:dyDescent="0.3">
      <c r="A870" t="s">
        <v>162</v>
      </c>
      <c r="E870" s="21" t="str">
        <f t="shared" si="86"/>
        <v/>
      </c>
      <c r="F870" s="22" t="str">
        <f>IF(OR(E870="",E870="!!!"),"",IF(NOT(ISNA(VLOOKUP(E870,E$1:E869,1,FALSE()))),"OLD",IF(AND(E870&lt;&gt;"",E870&lt;&gt;"!!!"),"NEW","")))</f>
        <v/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/>
      </c>
      <c r="H870" s="24" t="str">
        <f t="shared" ca="1" si="87"/>
        <v/>
      </c>
      <c r="I870" s="25" t="str">
        <f>IF(OR(E870="",E870="!!!",F870="NEW"),"",INDEX(B$2:B869,-1+SUMPRODUCT(MAX(ROW(E$2:E869)*(E870=E$2:E869)))))</f>
        <v/>
      </c>
      <c r="J870" s="25" t="str">
        <f ca="1">IF(OR(E870="",E870="!!!",F870="NEW"),"",COUNTBLANK(OFFSET(A$1,,,SUMPRODUCT(MAX(ROW(E$2:E870)*(E870=E$2:E870)))))-COUNTBLANK(OFFSET(A$1,,,SUMPRODUCT(MAX(ROW(E$1:E869)*(E2=E$1:E869))))))</f>
        <v/>
      </c>
      <c r="K870" s="25" t="str">
        <f>IF(OR(E870="",E870="!!!",F870="NEW"),"",INDEX(J$1:J869,SUMPRODUCT(MAX(ROW(E$1:E869)*(E870=E$1:E869)))))</f>
        <v/>
      </c>
      <c r="L870" s="26"/>
    </row>
    <row r="871" spans="1:12" x14ac:dyDescent="0.3">
      <c r="A871" t="s">
        <v>567</v>
      </c>
      <c r="E871" s="21" t="str">
        <f t="shared" si="86"/>
        <v/>
      </c>
      <c r="F871" s="22" t="str">
        <f>IF(OR(E871="",E871="!!!"),"",IF(NOT(ISNA(VLOOKUP(E871,E$1:E870,1,FALSE()))),"OLD",IF(AND(E871&lt;&gt;"",E871&lt;&gt;"!!!"),"NEW","")))</f>
        <v/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/>
      </c>
      <c r="H871" s="24" t="str">
        <f t="shared" ca="1" si="87"/>
        <v/>
      </c>
      <c r="I871" s="25" t="str">
        <f>IF(OR(E871="",E871="!!!",F871="NEW"),"",INDEX(B$2:B870,-1+SUMPRODUCT(MAX(ROW(E$2:E870)*(E871=E$2:E870)))))</f>
        <v/>
      </c>
      <c r="J871" s="25" t="str">
        <f ca="1">IF(OR(E871="",E871="!!!",F871="NEW"),"",COUNTBLANK(OFFSET(A$1,,,SUMPRODUCT(MAX(ROW(E$2:E871)*(E871=E$2:E871)))))-COUNTBLANK(OFFSET(A$1,,,SUMPRODUCT(MAX(ROW(E$1:E870)*(E2=E$1:E870))))))</f>
        <v/>
      </c>
      <c r="K871" s="25" t="str">
        <f>IF(OR(E871="",E871="!!!",F871="NEW"),"",INDEX(J$1:J870,SUMPRODUCT(MAX(ROW(E$1:E870)*(E871=E$1:E870)))))</f>
        <v/>
      </c>
      <c r="L871" s="26"/>
    </row>
    <row r="872" spans="1:12" x14ac:dyDescent="0.3">
      <c r="A872" t="s">
        <v>221</v>
      </c>
      <c r="B872" s="20" t="s">
        <v>183</v>
      </c>
      <c r="C872" s="20" t="s">
        <v>199</v>
      </c>
      <c r="D872" s="20" t="s">
        <v>160</v>
      </c>
      <c r="E872" s="21" t="str">
        <f t="shared" si="86"/>
        <v>!!!</v>
      </c>
      <c r="F872" s="22" t="str">
        <f>IF(OR(E872="",E872="!!!"),"",IF(NOT(ISNA(VLOOKUP(E872,E$1:E871,1,FALSE()))),"OLD",IF(AND(E872&lt;&gt;"",E872&lt;&gt;"!!!"),"NEW","")))</f>
        <v/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/>
      </c>
      <c r="H872" s="24" t="str">
        <f t="shared" ca="1" si="87"/>
        <v/>
      </c>
      <c r="I872" s="25" t="str">
        <f>IF(OR(E872="",E872="!!!",F872="NEW"),"",INDEX(B$2:B871,-1+SUMPRODUCT(MAX(ROW(E$2:E871)*(E872=E$2:E871)))))</f>
        <v/>
      </c>
      <c r="J872" s="25" t="str">
        <f ca="1">IF(OR(E872="",E872="!!!",F872="NEW"),"",COUNTBLANK(OFFSET(A$1,,,SUMPRODUCT(MAX(ROW(E$2:E872)*(E872=E$2:E872)))))-COUNTBLANK(OFFSET(A$1,,,SUMPRODUCT(MAX(ROW(E$1:E871)*(E2=E$1:E871))))))</f>
        <v/>
      </c>
      <c r="K872" s="25" t="str">
        <f>IF(OR(E872="",E872="!!!",F872="NEW"),"",INDEX(J$1:J871,SUMPRODUCT(MAX(ROW(E$1:E871)*(E872=E$1:E871)))))</f>
        <v/>
      </c>
      <c r="L872" s="26"/>
    </row>
    <row r="873" spans="1:12" x14ac:dyDescent="0.3">
      <c r="A873" t="s">
        <v>169</v>
      </c>
      <c r="B873" s="20" t="s">
        <v>176</v>
      </c>
      <c r="C873" s="20" t="s">
        <v>202</v>
      </c>
      <c r="D873" s="20" t="s">
        <v>160</v>
      </c>
      <c r="E873" s="21" t="str">
        <f t="shared" si="86"/>
        <v>!!!</v>
      </c>
      <c r="F873" s="22" t="str">
        <f>IF(OR(E873="",E873="!!!"),"",IF(NOT(ISNA(VLOOKUP(E873,E$1:E872,1,FALSE()))),"OLD",IF(AND(E873&lt;&gt;"",E873&lt;&gt;"!!!"),"NEW","")))</f>
        <v/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/>
      </c>
      <c r="H873" s="24" t="str">
        <f t="shared" ca="1" si="87"/>
        <v/>
      </c>
      <c r="I873" s="25" t="str">
        <f>IF(OR(E873="",E873="!!!",F873="NEW"),"",INDEX(B$2:B872,-1+SUMPRODUCT(MAX(ROW(E$2:E872)*(E873=E$2:E872)))))</f>
        <v/>
      </c>
      <c r="J873" s="25" t="str">
        <f ca="1">IF(OR(E873="",E873="!!!",F873="NEW"),"",COUNTBLANK(OFFSET(A$1,,,SUMPRODUCT(MAX(ROW(E$2:E873)*(E873=E$2:E873)))))-COUNTBLANK(OFFSET(A$1,,,SUMPRODUCT(MAX(ROW(E$1:E872)*(E2=E$1:E872))))))</f>
        <v/>
      </c>
      <c r="K873" s="25" t="str">
        <f>IF(OR(E873="",E873="!!!",F873="NEW"),"",INDEX(J$1:J872,SUMPRODUCT(MAX(ROW(E$1:E872)*(E873=E$1:E872)))))</f>
        <v/>
      </c>
      <c r="L873" s="26"/>
    </row>
    <row r="874" spans="1:12" x14ac:dyDescent="0.3">
      <c r="A874" t="s">
        <v>306</v>
      </c>
      <c r="E874" s="21" t="str">
        <f t="shared" si="86"/>
        <v/>
      </c>
      <c r="F874" s="22" t="str">
        <f>IF(OR(E874="",E874="!!!"),"",IF(NOT(ISNA(VLOOKUP(E874,E$1:E873,1,FALSE()))),"OLD",IF(AND(E874&lt;&gt;"",E874&lt;&gt;"!!!"),"NEW","")))</f>
        <v/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/>
      </c>
      <c r="H874" s="24" t="str">
        <f t="shared" ca="1" si="87"/>
        <v/>
      </c>
      <c r="I874" s="25" t="str">
        <f>IF(OR(E874="",E874="!!!",F874="NEW"),"",INDEX(B$2:B873,-1+SUMPRODUCT(MAX(ROW(E$2:E873)*(E874=E$2:E873)))))</f>
        <v/>
      </c>
      <c r="J874" s="25" t="str">
        <f ca="1">IF(OR(E874="",E874="!!!",F874="NEW"),"",COUNTBLANK(OFFSET(A$1,,,SUMPRODUCT(MAX(ROW(E$2:E874)*(E874=E$2:E874)))))-COUNTBLANK(OFFSET(A$1,,,SUMPRODUCT(MAX(ROW(E$1:E873)*(E2=E$1:E873))))))</f>
        <v/>
      </c>
      <c r="K874" s="25" t="str">
        <f>IF(OR(E874="",E874="!!!",F874="NEW"),"",INDEX(J$1:J873,SUMPRODUCT(MAX(ROW(E$1:E873)*(E874=E$1:E873)))))</f>
        <v/>
      </c>
      <c r="L874" s="26"/>
    </row>
    <row r="875" spans="1:12" x14ac:dyDescent="0.3">
      <c r="A875" t="s">
        <v>568</v>
      </c>
      <c r="E875" s="21" t="str">
        <f t="shared" si="86"/>
        <v/>
      </c>
      <c r="F875" s="22" t="str">
        <f>IF(OR(E875="",E875="!!!"),"",IF(NOT(ISNA(VLOOKUP(E875,E$1:E874,1,FALSE()))),"OLD",IF(AND(E875&lt;&gt;"",E875&lt;&gt;"!!!"),"NEW","")))</f>
        <v/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/>
      </c>
      <c r="H875" s="24" t="str">
        <f t="shared" ca="1" si="87"/>
        <v/>
      </c>
      <c r="I875" s="25" t="str">
        <f>IF(OR(E875="",E875="!!!",F875="NEW"),"",INDEX(B$2:B874,-1+SUMPRODUCT(MAX(ROW(E$2:E874)*(E875=E$2:E874)))))</f>
        <v/>
      </c>
      <c r="J875" s="25" t="str">
        <f ca="1">IF(OR(E875="",E875="!!!",F875="NEW"),"",COUNTBLANK(OFFSET(A$1,,,SUMPRODUCT(MAX(ROW(E$2:E875)*(E875=E$2:E875)))))-COUNTBLANK(OFFSET(A$1,,,SUMPRODUCT(MAX(ROW(E$1:E874)*(E2=E$1:E874))))))</f>
        <v/>
      </c>
      <c r="K875" s="25" t="str">
        <f>IF(OR(E875="",E875="!!!",F875="NEW"),"",INDEX(J$1:J874,SUMPRODUCT(MAX(ROW(E$1:E874)*(E875=E$1:E874)))))</f>
        <v/>
      </c>
      <c r="L875" s="26"/>
    </row>
    <row r="876" spans="1:12" x14ac:dyDescent="0.3">
      <c r="A876" t="s">
        <v>569</v>
      </c>
      <c r="B876" s="20" t="s">
        <v>158</v>
      </c>
      <c r="C876" s="20" t="s">
        <v>211</v>
      </c>
      <c r="E876" s="21" t="str">
        <f t="shared" si="86"/>
        <v/>
      </c>
      <c r="F876" s="22" t="str">
        <f>IF(OR(E876="",E876="!!!"),"",IF(NOT(ISNA(VLOOKUP(E876,E$1:E875,1,FALSE()))),"OLD",IF(AND(E876&lt;&gt;"",E876&lt;&gt;"!!!"),"NEW","")))</f>
        <v/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/>
      </c>
      <c r="H876" s="24" t="str">
        <f t="shared" ca="1" si="87"/>
        <v/>
      </c>
      <c r="I876" s="25" t="str">
        <f>IF(OR(E876="",E876="!!!",F876="NEW"),"",INDEX(B$2:B875,-1+SUMPRODUCT(MAX(ROW(E$2:E875)*(E876=E$2:E875)))))</f>
        <v/>
      </c>
      <c r="J876" s="25" t="str">
        <f ca="1">IF(OR(E876="",E876="!!!",F876="NEW"),"",COUNTBLANK(OFFSET(A$1,,,SUMPRODUCT(MAX(ROW(E$2:E876)*(E876=E$2:E876)))))-COUNTBLANK(OFFSET(A$1,,,SUMPRODUCT(MAX(ROW(E$1:E875)*(E2=E$1:E875))))))</f>
        <v/>
      </c>
      <c r="K876" s="25" t="str">
        <f>IF(OR(E876="",E876="!!!",F876="NEW"),"",INDEX(J$1:J875,SUMPRODUCT(MAX(ROW(E$1:E875)*(E876=E$1:E875)))))</f>
        <v/>
      </c>
      <c r="L876" s="26"/>
    </row>
    <row r="877" spans="1:12" x14ac:dyDescent="0.3">
      <c r="A877" t="s">
        <v>531</v>
      </c>
      <c r="E877" s="21" t="str">
        <f t="shared" si="86"/>
        <v/>
      </c>
      <c r="F877" s="22" t="str">
        <f>IF(OR(E877="",E877="!!!"),"",IF(NOT(ISNA(VLOOKUP(E877,E$1:E876,1,FALSE()))),"OLD",IF(AND(E877&lt;&gt;"",E877&lt;&gt;"!!!"),"NEW","")))</f>
        <v/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/>
      </c>
      <c r="H877" s="24" t="str">
        <f t="shared" ca="1" si="87"/>
        <v/>
      </c>
      <c r="I877" s="25" t="str">
        <f>IF(OR(E877="",E877="!!!",F877="NEW"),"",INDEX(B$2:B876,-1+SUMPRODUCT(MAX(ROW(E$2:E876)*(E877=E$2:E876)))))</f>
        <v/>
      </c>
      <c r="J877" s="25" t="str">
        <f ca="1">IF(OR(E877="",E877="!!!",F877="NEW"),"",COUNTBLANK(OFFSET(A$1,,,SUMPRODUCT(MAX(ROW(E$2:E877)*(E877=E$2:E877)))))-COUNTBLANK(OFFSET(A$1,,,SUMPRODUCT(MAX(ROW(E$1:E876)*(E2=E$1:E876))))))</f>
        <v/>
      </c>
      <c r="K877" s="25" t="str">
        <f>IF(OR(E877="",E877="!!!",F877="NEW"),"",INDEX(J$1:J876,SUMPRODUCT(MAX(ROW(E$1:E876)*(E877=E$1:E876)))))</f>
        <v/>
      </c>
      <c r="L877" s="26"/>
    </row>
    <row r="879" spans="1:12" x14ac:dyDescent="0.3">
      <c r="A879" t="s">
        <v>570</v>
      </c>
    </row>
    <row r="880" spans="1:12" x14ac:dyDescent="0.3">
      <c r="A880" t="s">
        <v>567</v>
      </c>
      <c r="E880" s="21" t="str">
        <f t="shared" ref="E880:E895" si="88">IF(D880="?OLD","!!!","")</f>
        <v/>
      </c>
      <c r="F880" s="22" t="str">
        <f>IF(OR(E880="",E880="!!!"),"",IF(NOT(ISNA(VLOOKUP(E880,E$1:E879,1,FALSE()))),"OLD",IF(AND(E880&lt;&gt;"",E880&lt;&gt;"!!!"),"NEW","")))</f>
        <v/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/>
      </c>
      <c r="H880" s="24" t="str">
        <f t="shared" ref="H880:H895" ca="1" si="89">IF(J880&lt;&gt;1,"",IF(I880="SBJ","CB","?"))</f>
        <v/>
      </c>
      <c r="I880" s="25" t="str">
        <f>IF(OR(E880="",E880="!!!",F880="NEW"),"",INDEX(B$2:B879,-1+SUMPRODUCT(MAX(ROW(E$2:E879)*(E880=E$2:E879)))))</f>
        <v/>
      </c>
      <c r="J880" s="25" t="str">
        <f ca="1">IF(OR(E880="",E880="!!!",F880="NEW"),"",COUNTBLANK(OFFSET(A$1,,,SUMPRODUCT(MAX(ROW(E$2:E880)*(E880=E$2:E880)))))-COUNTBLANK(OFFSET(A$1,,,SUMPRODUCT(MAX(ROW(E$1:E879)*(E2=E$1:E879))))))</f>
        <v/>
      </c>
      <c r="K880" s="25" t="str">
        <f>IF(OR(E880="",E880="!!!",F880="NEW"),"",INDEX(J$1:J879,SUMPRODUCT(MAX(ROW(E$1:E879)*(E880=E$1:E879)))))</f>
        <v/>
      </c>
      <c r="L880" s="26"/>
    </row>
    <row r="881" spans="1:12" x14ac:dyDescent="0.3">
      <c r="A881" t="s">
        <v>239</v>
      </c>
      <c r="B881" s="20" t="s">
        <v>187</v>
      </c>
      <c r="C881" s="20" t="s">
        <v>206</v>
      </c>
      <c r="D881" s="20" t="s">
        <v>160</v>
      </c>
      <c r="E881" s="21" t="str">
        <f t="shared" si="88"/>
        <v>!!!</v>
      </c>
      <c r="F881" s="22" t="str">
        <f>IF(OR(E881="",E881="!!!"),"",IF(NOT(ISNA(VLOOKUP(E881,E$1:E880,1,FALSE()))),"OLD",IF(AND(E881&lt;&gt;"",E881&lt;&gt;"!!!"),"NEW","")))</f>
        <v/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/>
      </c>
      <c r="H881" s="24" t="str">
        <f t="shared" ca="1" si="89"/>
        <v/>
      </c>
      <c r="I881" s="25" t="str">
        <f>IF(OR(E881="",E881="!!!",F881="NEW"),"",INDEX(B$2:B880,-1+SUMPRODUCT(MAX(ROW(E$2:E880)*(E881=E$2:E880)))))</f>
        <v/>
      </c>
      <c r="J881" s="25" t="str">
        <f ca="1">IF(OR(E881="",E881="!!!",F881="NEW"),"",COUNTBLANK(OFFSET(A$1,,,SUMPRODUCT(MAX(ROW(E$2:E881)*(E881=E$2:E881)))))-COUNTBLANK(OFFSET(A$1,,,SUMPRODUCT(MAX(ROW(E$1:E880)*(E2=E$1:E880))))))</f>
        <v/>
      </c>
      <c r="K881" s="25" t="str">
        <f>IF(OR(E881="",E881="!!!",F881="NEW"),"",INDEX(J$1:J880,SUMPRODUCT(MAX(ROW(E$1:E880)*(E881=E$1:E880)))))</f>
        <v/>
      </c>
      <c r="L881" s="26"/>
    </row>
    <row r="882" spans="1:12" x14ac:dyDescent="0.3">
      <c r="A882" t="s">
        <v>354</v>
      </c>
      <c r="E882" s="21" t="str">
        <f t="shared" si="88"/>
        <v/>
      </c>
      <c r="F882" s="22" t="str">
        <f>IF(OR(E882="",E882="!!!"),"",IF(NOT(ISNA(VLOOKUP(E882,E$1:E881,1,FALSE()))),"OLD",IF(AND(E882&lt;&gt;"",E882&lt;&gt;"!!!"),"NEW","")))</f>
        <v/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/>
      </c>
      <c r="H882" s="24" t="str">
        <f t="shared" ca="1" si="89"/>
        <v/>
      </c>
      <c r="I882" s="25" t="str">
        <f>IF(OR(E882="",E882="!!!",F882="NEW"),"",INDEX(B$2:B881,-1+SUMPRODUCT(MAX(ROW(E$2:E881)*(E882=E$2:E881)))))</f>
        <v/>
      </c>
      <c r="J882" s="25" t="str">
        <f ca="1">IF(OR(E882="",E882="!!!",F882="NEW"),"",COUNTBLANK(OFFSET(A$1,,,SUMPRODUCT(MAX(ROW(E$2:E882)*(E882=E$2:E882)))))-COUNTBLANK(OFFSET(A$1,,,SUMPRODUCT(MAX(ROW(E$1:E881)*(E2=E$1:E881))))))</f>
        <v/>
      </c>
      <c r="K882" s="25" t="str">
        <f>IF(OR(E882="",E882="!!!",F882="NEW"),"",INDEX(J$1:J881,SUMPRODUCT(MAX(ROW(E$1:E881)*(E882=E$1:E881)))))</f>
        <v/>
      </c>
      <c r="L882" s="26"/>
    </row>
    <row r="883" spans="1:12" x14ac:dyDescent="0.3">
      <c r="A883" t="s">
        <v>185</v>
      </c>
      <c r="E883" s="21" t="str">
        <f t="shared" si="88"/>
        <v/>
      </c>
      <c r="F883" s="22" t="str">
        <f>IF(OR(E883="",E883="!!!"),"",IF(NOT(ISNA(VLOOKUP(E883,E$1:E882,1,FALSE()))),"OLD",IF(AND(E883&lt;&gt;"",E883&lt;&gt;"!!!"),"NEW","")))</f>
        <v/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/>
      </c>
      <c r="H883" s="24" t="str">
        <f t="shared" ca="1" si="89"/>
        <v/>
      </c>
      <c r="I883" s="25" t="str">
        <f>IF(OR(E883="",E883="!!!",F883="NEW"),"",INDEX(B$2:B882,-1+SUMPRODUCT(MAX(ROW(E$2:E882)*(E883=E$2:E882)))))</f>
        <v/>
      </c>
      <c r="J883" s="25" t="str">
        <f ca="1">IF(OR(E883="",E883="!!!",F883="NEW"),"",COUNTBLANK(OFFSET(A$1,,,SUMPRODUCT(MAX(ROW(E$2:E883)*(E883=E$2:E883)))))-COUNTBLANK(OFFSET(A$1,,,SUMPRODUCT(MAX(ROW(E$1:E882)*(E2=E$1:E882))))))</f>
        <v/>
      </c>
      <c r="K883" s="25" t="str">
        <f>IF(OR(E883="",E883="!!!",F883="NEW"),"",INDEX(J$1:J882,SUMPRODUCT(MAX(ROW(E$1:E882)*(E883=E$1:E882)))))</f>
        <v/>
      </c>
      <c r="L883" s="26"/>
    </row>
    <row r="884" spans="1:12" x14ac:dyDescent="0.3">
      <c r="A884" t="s">
        <v>253</v>
      </c>
      <c r="E884" s="21" t="str">
        <f t="shared" si="88"/>
        <v/>
      </c>
      <c r="F884" s="22" t="str">
        <f>IF(OR(E884="",E884="!!!"),"",IF(NOT(ISNA(VLOOKUP(E884,E$1:E883,1,FALSE()))),"OLD",IF(AND(E884&lt;&gt;"",E884&lt;&gt;"!!!"),"NEW","")))</f>
        <v/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/>
      </c>
      <c r="H884" s="24" t="str">
        <f t="shared" ca="1" si="89"/>
        <v/>
      </c>
      <c r="I884" s="25" t="str">
        <f>IF(OR(E884="",E884="!!!",F884="NEW"),"",INDEX(B$2:B883,-1+SUMPRODUCT(MAX(ROW(E$2:E883)*(E884=E$2:E883)))))</f>
        <v/>
      </c>
      <c r="J884" s="25" t="str">
        <f ca="1">IF(OR(E884="",E884="!!!",F884="NEW"),"",COUNTBLANK(OFFSET(A$1,,,SUMPRODUCT(MAX(ROW(E$2:E884)*(E884=E$2:E884)))))-COUNTBLANK(OFFSET(A$1,,,SUMPRODUCT(MAX(ROW(E$1:E883)*(E2=E$1:E883))))))</f>
        <v/>
      </c>
      <c r="K884" s="25" t="str">
        <f>IF(OR(E884="",E884="!!!",F884="NEW"),"",INDEX(J$1:J883,SUMPRODUCT(MAX(ROW(E$1:E883)*(E884=E$1:E883)))))</f>
        <v/>
      </c>
      <c r="L884" s="26"/>
    </row>
    <row r="885" spans="1:12" x14ac:dyDescent="0.3">
      <c r="A885" t="s">
        <v>175</v>
      </c>
      <c r="B885" s="20" t="s">
        <v>176</v>
      </c>
      <c r="C885" s="20" t="s">
        <v>177</v>
      </c>
      <c r="D885" s="20" t="s">
        <v>160</v>
      </c>
      <c r="E885" s="21" t="str">
        <f t="shared" si="88"/>
        <v>!!!</v>
      </c>
      <c r="F885" s="22" t="str">
        <f>IF(OR(E885="",E885="!!!"),"",IF(NOT(ISNA(VLOOKUP(E885,E$1:E884,1,FALSE()))),"OLD",IF(AND(E885&lt;&gt;"",E885&lt;&gt;"!!!"),"NEW","")))</f>
        <v/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/>
      </c>
      <c r="H885" s="24" t="str">
        <f t="shared" ca="1" si="89"/>
        <v/>
      </c>
      <c r="I885" s="25" t="str">
        <f>IF(OR(E885="",E885="!!!",F885="NEW"),"",INDEX(B$2:B884,-1+SUMPRODUCT(MAX(ROW(E$2:E884)*(E885=E$2:E884)))))</f>
        <v/>
      </c>
      <c r="J885" s="25" t="str">
        <f ca="1">IF(OR(E885="",E885="!!!",F885="NEW"),"",COUNTBLANK(OFFSET(A$1,,,SUMPRODUCT(MAX(ROW(E$2:E885)*(E885=E$2:E885)))))-COUNTBLANK(OFFSET(A$1,,,SUMPRODUCT(MAX(ROW(E$1:E884)*(E2=E$1:E884))))))</f>
        <v/>
      </c>
      <c r="K885" s="25" t="str">
        <f>IF(OR(E885="",E885="!!!",F885="NEW"),"",INDEX(J$1:J884,SUMPRODUCT(MAX(ROW(E$1:E884)*(E885=E$1:E884)))))</f>
        <v/>
      </c>
      <c r="L885" s="26"/>
    </row>
    <row r="886" spans="1:12" x14ac:dyDescent="0.3">
      <c r="A886" t="s">
        <v>571</v>
      </c>
      <c r="E886" s="21" t="str">
        <f t="shared" si="88"/>
        <v/>
      </c>
      <c r="F886" s="22" t="str">
        <f>IF(OR(E886="",E886="!!!"),"",IF(NOT(ISNA(VLOOKUP(E886,E$1:E885,1,FALSE()))),"OLD",IF(AND(E886&lt;&gt;"",E886&lt;&gt;"!!!"),"NEW","")))</f>
        <v/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/>
      </c>
      <c r="H886" s="24" t="str">
        <f t="shared" ca="1" si="89"/>
        <v/>
      </c>
      <c r="I886" s="25" t="str">
        <f>IF(OR(E886="",E886="!!!",F886="NEW"),"",INDEX(B$2:B885,-1+SUMPRODUCT(MAX(ROW(E$2:E885)*(E886=E$2:E885)))))</f>
        <v/>
      </c>
      <c r="J886" s="25" t="str">
        <f ca="1">IF(OR(E886="",E886="!!!",F886="NEW"),"",COUNTBLANK(OFFSET(A$1,,,SUMPRODUCT(MAX(ROW(E$2:E886)*(E886=E$2:E886)))))-COUNTBLANK(OFFSET(A$1,,,SUMPRODUCT(MAX(ROW(E$1:E885)*(E2=E$1:E885))))))</f>
        <v/>
      </c>
      <c r="K886" s="25" t="str">
        <f>IF(OR(E886="",E886="!!!",F886="NEW"),"",INDEX(J$1:J885,SUMPRODUCT(MAX(ROW(E$1:E885)*(E886=E$1:E885)))))</f>
        <v/>
      </c>
      <c r="L886" s="26"/>
    </row>
    <row r="887" spans="1:12" x14ac:dyDescent="0.3">
      <c r="A887" t="s">
        <v>185</v>
      </c>
      <c r="E887" s="21" t="str">
        <f t="shared" si="88"/>
        <v/>
      </c>
      <c r="F887" s="22" t="str">
        <f>IF(OR(E887="",E887="!!!"),"",IF(NOT(ISNA(VLOOKUP(E887,E$1:E886,1,FALSE()))),"OLD",IF(AND(E887&lt;&gt;"",E887&lt;&gt;"!!!"),"NEW","")))</f>
        <v/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/>
      </c>
      <c r="H887" s="24" t="str">
        <f t="shared" ca="1" si="89"/>
        <v/>
      </c>
      <c r="I887" s="25" t="str">
        <f>IF(OR(E887="",E887="!!!",F887="NEW"),"",INDEX(B$2:B886,-1+SUMPRODUCT(MAX(ROW(E$2:E886)*(E887=E$2:E886)))))</f>
        <v/>
      </c>
      <c r="J887" s="25" t="str">
        <f ca="1">IF(OR(E887="",E887="!!!",F887="NEW"),"",COUNTBLANK(OFFSET(A$1,,,SUMPRODUCT(MAX(ROW(E$2:E887)*(E887=E$2:E887)))))-COUNTBLANK(OFFSET(A$1,,,SUMPRODUCT(MAX(ROW(E$1:E886)*(E2=E$1:E886))))))</f>
        <v/>
      </c>
      <c r="K887" s="25" t="str">
        <f>IF(OR(E887="",E887="!!!",F887="NEW"),"",INDEX(J$1:J886,SUMPRODUCT(MAX(ROW(E$1:E886)*(E887=E$1:E886)))))</f>
        <v/>
      </c>
      <c r="L887" s="26"/>
    </row>
    <row r="888" spans="1:12" x14ac:dyDescent="0.3">
      <c r="A888" t="s">
        <v>572</v>
      </c>
      <c r="E888" s="21" t="str">
        <f t="shared" si="88"/>
        <v/>
      </c>
      <c r="F888" s="22" t="str">
        <f>IF(OR(E888="",E888="!!!"),"",IF(NOT(ISNA(VLOOKUP(E888,E$1:E887,1,FALSE()))),"OLD",IF(AND(E888&lt;&gt;"",E888&lt;&gt;"!!!"),"NEW","")))</f>
        <v/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/>
      </c>
      <c r="H888" s="24" t="str">
        <f t="shared" ca="1" si="89"/>
        <v/>
      </c>
      <c r="I888" s="25" t="str">
        <f>IF(OR(E888="",E888="!!!",F888="NEW"),"",INDEX(B$2:B887,-1+SUMPRODUCT(MAX(ROW(E$2:E887)*(E888=E$2:E887)))))</f>
        <v/>
      </c>
      <c r="J888" s="25" t="str">
        <f ca="1">IF(OR(E888="",E888="!!!",F888="NEW"),"",COUNTBLANK(OFFSET(A$1,,,SUMPRODUCT(MAX(ROW(E$2:E888)*(E888=E$2:E888)))))-COUNTBLANK(OFFSET(A$1,,,SUMPRODUCT(MAX(ROW(E$1:E887)*(E2=E$1:E887))))))</f>
        <v/>
      </c>
      <c r="K888" s="25" t="str">
        <f>IF(OR(E888="",E888="!!!",F888="NEW"),"",INDEX(J$1:J887,SUMPRODUCT(MAX(ROW(E$1:E887)*(E888=E$1:E887)))))</f>
        <v/>
      </c>
      <c r="L888" s="26"/>
    </row>
    <row r="889" spans="1:12" x14ac:dyDescent="0.3">
      <c r="A889" t="s">
        <v>175</v>
      </c>
      <c r="B889" s="20" t="s">
        <v>261</v>
      </c>
      <c r="C889" s="20" t="s">
        <v>177</v>
      </c>
      <c r="D889" s="20" t="s">
        <v>160</v>
      </c>
      <c r="E889" s="21" t="str">
        <f t="shared" si="88"/>
        <v>!!!</v>
      </c>
      <c r="F889" s="22" t="str">
        <f>IF(OR(E889="",E889="!!!"),"",IF(NOT(ISNA(VLOOKUP(E889,E$1:E888,1,FALSE()))),"OLD",IF(AND(E889&lt;&gt;"",E889&lt;&gt;"!!!"),"NEW","")))</f>
        <v/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/>
      </c>
      <c r="H889" s="24" t="str">
        <f t="shared" ca="1" si="89"/>
        <v/>
      </c>
      <c r="I889" s="25" t="str">
        <f>IF(OR(E889="",E889="!!!",F889="NEW"),"",INDEX(B$2:B888,-1+SUMPRODUCT(MAX(ROW(E$2:E888)*(E889=E$2:E888)))))</f>
        <v/>
      </c>
      <c r="J889" s="25" t="str">
        <f ca="1">IF(OR(E889="",E889="!!!",F889="NEW"),"",COUNTBLANK(OFFSET(A$1,,,SUMPRODUCT(MAX(ROW(E$2:E889)*(E889=E$2:E889)))))-COUNTBLANK(OFFSET(A$1,,,SUMPRODUCT(MAX(ROW(E$1:E888)*(E2=E$1:E888))))))</f>
        <v/>
      </c>
      <c r="K889" s="25" t="str">
        <f>IF(OR(E889="",E889="!!!",F889="NEW"),"",INDEX(J$1:J888,SUMPRODUCT(MAX(ROW(E$1:E888)*(E889=E$1:E888)))))</f>
        <v/>
      </c>
      <c r="L889" s="26"/>
    </row>
    <row r="890" spans="1:12" x14ac:dyDescent="0.3">
      <c r="A890" t="s">
        <v>239</v>
      </c>
      <c r="B890" s="20" t="s">
        <v>261</v>
      </c>
      <c r="C890" s="20" t="s">
        <v>206</v>
      </c>
      <c r="D890" s="20" t="s">
        <v>160</v>
      </c>
      <c r="E890" s="21" t="str">
        <f t="shared" si="88"/>
        <v>!!!</v>
      </c>
      <c r="F890" s="22" t="str">
        <f>IF(OR(E890="",E890="!!!"),"",IF(NOT(ISNA(VLOOKUP(E890,E$1:E889,1,FALSE()))),"OLD",IF(AND(E890&lt;&gt;"",E890&lt;&gt;"!!!"),"NEW","")))</f>
        <v/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/>
      </c>
      <c r="H890" s="24" t="str">
        <f t="shared" ca="1" si="89"/>
        <v/>
      </c>
      <c r="I890" s="25" t="str">
        <f>IF(OR(E890="",E890="!!!",F890="NEW"),"",INDEX(B$2:B889,-1+SUMPRODUCT(MAX(ROW(E$2:E889)*(E890=E$2:E889)))))</f>
        <v/>
      </c>
      <c r="J890" s="25" t="str">
        <f ca="1">IF(OR(E890="",E890="!!!",F890="NEW"),"",COUNTBLANK(OFFSET(A$1,,,SUMPRODUCT(MAX(ROW(E$2:E890)*(E890=E$2:E890)))))-COUNTBLANK(OFFSET(A$1,,,SUMPRODUCT(MAX(ROW(E$1:E889)*(E2=E$1:E889))))))</f>
        <v/>
      </c>
      <c r="K890" s="25" t="str">
        <f>IF(OR(E890="",E890="!!!",F890="NEW"),"",INDEX(J$1:J889,SUMPRODUCT(MAX(ROW(E$1:E889)*(E890=E$1:E889)))))</f>
        <v/>
      </c>
      <c r="L890" s="26"/>
    </row>
    <row r="891" spans="1:12" x14ac:dyDescent="0.3">
      <c r="A891" t="s">
        <v>398</v>
      </c>
      <c r="E891" s="21" t="str">
        <f t="shared" si="88"/>
        <v/>
      </c>
      <c r="F891" s="22" t="str">
        <f>IF(OR(E891="",E891="!!!"),"",IF(NOT(ISNA(VLOOKUP(E891,E$1:E890,1,FALSE()))),"OLD",IF(AND(E891&lt;&gt;"",E891&lt;&gt;"!!!"),"NEW","")))</f>
        <v/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/>
      </c>
      <c r="H891" s="24" t="str">
        <f t="shared" ca="1" si="89"/>
        <v/>
      </c>
      <c r="I891" s="25" t="str">
        <f>IF(OR(E891="",E891="!!!",F891="NEW"),"",INDEX(B$2:B890,-1+SUMPRODUCT(MAX(ROW(E$2:E890)*(E891=E$2:E890)))))</f>
        <v/>
      </c>
      <c r="J891" s="25" t="str">
        <f ca="1">IF(OR(E891="",E891="!!!",F891="NEW"),"",COUNTBLANK(OFFSET(A$1,,,SUMPRODUCT(MAX(ROW(E$2:E891)*(E891=E$2:E891)))))-COUNTBLANK(OFFSET(A$1,,,SUMPRODUCT(MAX(ROW(E$1:E890)*(E2=E$1:E890))))))</f>
        <v/>
      </c>
      <c r="K891" s="25" t="str">
        <f>IF(OR(E891="",E891="!!!",F891="NEW"),"",INDEX(J$1:J890,SUMPRODUCT(MAX(ROW(E$1:E890)*(E891=E$1:E890)))))</f>
        <v/>
      </c>
      <c r="L891" s="26"/>
    </row>
    <row r="892" spans="1:12" x14ac:dyDescent="0.3">
      <c r="A892" t="s">
        <v>327</v>
      </c>
      <c r="E892" s="21" t="str">
        <f t="shared" si="88"/>
        <v/>
      </c>
      <c r="F892" s="22" t="str">
        <f>IF(OR(E892="",E892="!!!"),"",IF(NOT(ISNA(VLOOKUP(E892,E$1:E891,1,FALSE()))),"OLD",IF(AND(E892&lt;&gt;"",E892&lt;&gt;"!!!"),"NEW","")))</f>
        <v/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/>
      </c>
      <c r="H892" s="24" t="str">
        <f t="shared" ca="1" si="89"/>
        <v/>
      </c>
      <c r="I892" s="25" t="str">
        <f>IF(OR(E892="",E892="!!!",F892="NEW"),"",INDEX(B$2:B891,-1+SUMPRODUCT(MAX(ROW(E$2:E891)*(E892=E$2:E891)))))</f>
        <v/>
      </c>
      <c r="J892" s="25" t="str">
        <f ca="1">IF(OR(E892="",E892="!!!",F892="NEW"),"",COUNTBLANK(OFFSET(A$1,,,SUMPRODUCT(MAX(ROW(E$2:E892)*(E892=E$2:E892)))))-COUNTBLANK(OFFSET(A$1,,,SUMPRODUCT(MAX(ROW(E$1:E891)*(E2=E$1:E891))))))</f>
        <v/>
      </c>
      <c r="K892" s="25" t="str">
        <f>IF(OR(E892="",E892="!!!",F892="NEW"),"",INDEX(J$1:J891,SUMPRODUCT(MAX(ROW(E$1:E891)*(E892=E$1:E891)))))</f>
        <v/>
      </c>
      <c r="L892" s="26"/>
    </row>
    <row r="893" spans="1:12" x14ac:dyDescent="0.3">
      <c r="A893" t="s">
        <v>573</v>
      </c>
      <c r="E893" s="21" t="str">
        <f t="shared" si="88"/>
        <v/>
      </c>
      <c r="F893" s="22" t="str">
        <f>IF(OR(E893="",E893="!!!"),"",IF(NOT(ISNA(VLOOKUP(E893,E$1:E892,1,FALSE()))),"OLD",IF(AND(E893&lt;&gt;"",E893&lt;&gt;"!!!"),"NEW","")))</f>
        <v/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/>
      </c>
      <c r="H893" s="24" t="str">
        <f t="shared" ca="1" si="89"/>
        <v/>
      </c>
      <c r="I893" s="25" t="str">
        <f>IF(OR(E893="",E893="!!!",F893="NEW"),"",INDEX(B$2:B892,-1+SUMPRODUCT(MAX(ROW(E$2:E892)*(E893=E$2:E892)))))</f>
        <v/>
      </c>
      <c r="J893" s="25" t="str">
        <f ca="1">IF(OR(E893="",E893="!!!",F893="NEW"),"",COUNTBLANK(OFFSET(A$1,,,SUMPRODUCT(MAX(ROW(E$2:E893)*(E893=E$2:E893)))))-COUNTBLANK(OFFSET(A$1,,,SUMPRODUCT(MAX(ROW(E$1:E892)*(E2=E$1:E892))))))</f>
        <v/>
      </c>
      <c r="K893" s="25" t="str">
        <f>IF(OR(E893="",E893="!!!",F893="NEW"),"",INDEX(J$1:J892,SUMPRODUCT(MAX(ROW(E$1:E892)*(E893=E$1:E892)))))</f>
        <v/>
      </c>
      <c r="L893" s="26"/>
    </row>
    <row r="894" spans="1:12" x14ac:dyDescent="0.3">
      <c r="A894" t="s">
        <v>574</v>
      </c>
      <c r="E894" s="21" t="str">
        <f t="shared" si="88"/>
        <v/>
      </c>
      <c r="F894" s="22" t="str">
        <f>IF(OR(E894="",E894="!!!"),"",IF(NOT(ISNA(VLOOKUP(E894,E$1:E893,1,FALSE()))),"OLD",IF(AND(E894&lt;&gt;"",E894&lt;&gt;"!!!"),"NEW","")))</f>
        <v/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/>
      </c>
      <c r="H894" s="24" t="str">
        <f t="shared" ca="1" si="89"/>
        <v/>
      </c>
      <c r="I894" s="25" t="str">
        <f>IF(OR(E894="",E894="!!!",F894="NEW"),"",INDEX(B$2:B893,-1+SUMPRODUCT(MAX(ROW(E$2:E893)*(E894=E$2:E893)))))</f>
        <v/>
      </c>
      <c r="J894" s="25" t="str">
        <f ca="1">IF(OR(E894="",E894="!!!",F894="NEW"),"",COUNTBLANK(OFFSET(A$1,,,SUMPRODUCT(MAX(ROW(E$2:E894)*(E894=E$2:E894)))))-COUNTBLANK(OFFSET(A$1,,,SUMPRODUCT(MAX(ROW(E$1:E893)*(E2=E$1:E893))))))</f>
        <v/>
      </c>
      <c r="K894" s="25" t="str">
        <f>IF(OR(E894="",E894="!!!",F894="NEW"),"",INDEX(J$1:J893,SUMPRODUCT(MAX(ROW(E$1:E893)*(E894=E$1:E893)))))</f>
        <v/>
      </c>
      <c r="L894" s="26"/>
    </row>
    <row r="895" spans="1:12" x14ac:dyDescent="0.3">
      <c r="A895" t="s">
        <v>531</v>
      </c>
      <c r="E895" s="21" t="str">
        <f t="shared" si="88"/>
        <v/>
      </c>
      <c r="F895" s="22" t="str">
        <f>IF(OR(E895="",E895="!!!"),"",IF(NOT(ISNA(VLOOKUP(E895,E$1:E894,1,FALSE()))),"OLD",IF(AND(E895&lt;&gt;"",E895&lt;&gt;"!!!"),"NEW","")))</f>
        <v/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/>
      </c>
      <c r="H895" s="24" t="str">
        <f t="shared" ca="1" si="89"/>
        <v/>
      </c>
      <c r="I895" s="25" t="str">
        <f>IF(OR(E895="",E895="!!!",F895="NEW"),"",INDEX(B$2:B894,-1+SUMPRODUCT(MAX(ROW(E$2:E894)*(E895=E$2:E894)))))</f>
        <v/>
      </c>
      <c r="J895" s="25" t="str">
        <f ca="1">IF(OR(E895="",E895="!!!",F895="NEW"),"",COUNTBLANK(OFFSET(A$1,,,SUMPRODUCT(MAX(ROW(E$2:E895)*(E895=E$2:E895)))))-COUNTBLANK(OFFSET(A$1,,,SUMPRODUCT(MAX(ROW(E$1:E894)*(E2=E$1:E894))))))</f>
        <v/>
      </c>
      <c r="K895" s="25" t="str">
        <f>IF(OR(E895="",E895="!!!",F895="NEW"),"",INDEX(J$1:J894,SUMPRODUCT(MAX(ROW(E$1:E894)*(E895=E$1:E894)))))</f>
        <v/>
      </c>
      <c r="L895" s="26"/>
    </row>
    <row r="897" spans="1:12" x14ac:dyDescent="0.3">
      <c r="A897" t="s">
        <v>575</v>
      </c>
    </row>
    <row r="898" spans="1:12" x14ac:dyDescent="0.3">
      <c r="A898" t="s">
        <v>174</v>
      </c>
      <c r="E898" s="21" t="str">
        <f t="shared" ref="E898:E931" si="90">IF(D898="?OLD","!!!","")</f>
        <v/>
      </c>
      <c r="F898" s="22" t="str">
        <f>IF(OR(E898="",E898="!!!"),"",IF(NOT(ISNA(VLOOKUP(E898,E$1:E897,1,FALSE()))),"OLD",IF(AND(E898&lt;&gt;"",E898&lt;&gt;"!!!"),"NEW","")))</f>
        <v/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/>
      </c>
      <c r="H898" s="24" t="str">
        <f t="shared" ref="H898:H931" ca="1" si="91">IF(J898&lt;&gt;1,"",IF(I898="SBJ","CB","?"))</f>
        <v/>
      </c>
      <c r="I898" s="25" t="str">
        <f>IF(OR(E898="",E898="!!!",F898="NEW"),"",INDEX(B$2:B897,-1+SUMPRODUCT(MAX(ROW(E$2:E897)*(E898=E$2:E897)))))</f>
        <v/>
      </c>
      <c r="J898" s="25" t="str">
        <f ca="1">IF(OR(E898="",E898="!!!",F898="NEW"),"",COUNTBLANK(OFFSET(A$1,,,SUMPRODUCT(MAX(ROW(E$2:E898)*(E898=E$2:E898)))))-COUNTBLANK(OFFSET(A$1,,,SUMPRODUCT(MAX(ROW(E$1:E897)*(E2=E$1:E897))))))</f>
        <v/>
      </c>
      <c r="K898" s="25" t="str">
        <f>IF(OR(E898="",E898="!!!",F898="NEW"),"",INDEX(J$1:J897,SUMPRODUCT(MAX(ROW(E$1:E897)*(E898=E$1:E897)))))</f>
        <v/>
      </c>
      <c r="L898" s="26"/>
    </row>
    <row r="899" spans="1:12" x14ac:dyDescent="0.3">
      <c r="A899" t="s">
        <v>205</v>
      </c>
      <c r="B899" s="20" t="s">
        <v>176</v>
      </c>
      <c r="C899" s="20" t="s">
        <v>206</v>
      </c>
      <c r="D899" s="20" t="s">
        <v>160</v>
      </c>
      <c r="E899" s="21" t="str">
        <f t="shared" si="90"/>
        <v>!!!</v>
      </c>
      <c r="F899" s="22" t="str">
        <f>IF(OR(E899="",E899="!!!"),"",IF(NOT(ISNA(VLOOKUP(E899,E$1:E898,1,FALSE()))),"OLD",IF(AND(E899&lt;&gt;"",E899&lt;&gt;"!!!"),"NEW","")))</f>
        <v/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/>
      </c>
      <c r="H899" s="24" t="str">
        <f t="shared" ca="1" si="91"/>
        <v/>
      </c>
      <c r="I899" s="25" t="str">
        <f>IF(OR(E899="",E899="!!!",F899="NEW"),"",INDEX(B$2:B898,-1+SUMPRODUCT(MAX(ROW(E$2:E898)*(E899=E$2:E898)))))</f>
        <v/>
      </c>
      <c r="J899" s="25" t="str">
        <f ca="1">IF(OR(E899="",E899="!!!",F899="NEW"),"",COUNTBLANK(OFFSET(A$1,,,SUMPRODUCT(MAX(ROW(E$2:E899)*(E899=E$2:E899)))))-COUNTBLANK(OFFSET(A$1,,,SUMPRODUCT(MAX(ROW(E$1:E898)*(E2=E$1:E898))))))</f>
        <v/>
      </c>
      <c r="K899" s="25" t="str">
        <f>IF(OR(E899="",E899="!!!",F899="NEW"),"",INDEX(J$1:J898,SUMPRODUCT(MAX(ROW(E$1:E898)*(E899=E$1:E898)))))</f>
        <v/>
      </c>
      <c r="L899" s="26"/>
    </row>
    <row r="900" spans="1:12" x14ac:dyDescent="0.3">
      <c r="A900" t="s">
        <v>576</v>
      </c>
      <c r="E900" s="21" t="str">
        <f t="shared" si="90"/>
        <v/>
      </c>
      <c r="F900" s="22" t="str">
        <f>IF(OR(E900="",E900="!!!"),"",IF(NOT(ISNA(VLOOKUP(E900,E$1:E899,1,FALSE()))),"OLD",IF(AND(E900&lt;&gt;"",E900&lt;&gt;"!!!"),"NEW","")))</f>
        <v/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/>
      </c>
      <c r="H900" s="24" t="str">
        <f t="shared" ca="1" si="91"/>
        <v/>
      </c>
      <c r="I900" s="25" t="str">
        <f>IF(OR(E900="",E900="!!!",F900="NEW"),"",INDEX(B$2:B899,-1+SUMPRODUCT(MAX(ROW(E$2:E899)*(E900=E$2:E899)))))</f>
        <v/>
      </c>
      <c r="J900" s="25" t="str">
        <f ca="1">IF(OR(E900="",E900="!!!",F900="NEW"),"",COUNTBLANK(OFFSET(A$1,,,SUMPRODUCT(MAX(ROW(E$2:E900)*(E900=E$2:E900)))))-COUNTBLANK(OFFSET(A$1,,,SUMPRODUCT(MAX(ROW(E$1:E899)*(E2=E$1:E899))))))</f>
        <v/>
      </c>
      <c r="K900" s="25" t="str">
        <f>IF(OR(E900="",E900="!!!",F900="NEW"),"",INDEX(J$1:J899,SUMPRODUCT(MAX(ROW(E$1:E899)*(E900=E$1:E899)))))</f>
        <v/>
      </c>
      <c r="L900" s="26"/>
    </row>
    <row r="901" spans="1:12" x14ac:dyDescent="0.3">
      <c r="A901" t="s">
        <v>184</v>
      </c>
      <c r="E901" s="21" t="str">
        <f t="shared" si="90"/>
        <v/>
      </c>
      <c r="F901" s="22" t="str">
        <f>IF(OR(E901="",E901="!!!"),"",IF(NOT(ISNA(VLOOKUP(E901,E$1:E900,1,FALSE()))),"OLD",IF(AND(E901&lt;&gt;"",E901&lt;&gt;"!!!"),"NEW","")))</f>
        <v/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/>
      </c>
      <c r="H901" s="24" t="str">
        <f t="shared" ca="1" si="91"/>
        <v/>
      </c>
      <c r="I901" s="25" t="str">
        <f>IF(OR(E901="",E901="!!!",F901="NEW"),"",INDEX(B$2:B900,-1+SUMPRODUCT(MAX(ROW(E$2:E900)*(E901=E$2:E900)))))</f>
        <v/>
      </c>
      <c r="J901" s="25" t="str">
        <f ca="1">IF(OR(E901="",E901="!!!",F901="NEW"),"",COUNTBLANK(OFFSET(A$1,,,SUMPRODUCT(MAX(ROW(E$2:E901)*(E901=E$2:E901)))))-COUNTBLANK(OFFSET(A$1,,,SUMPRODUCT(MAX(ROW(E$1:E900)*(E2=E$1:E900))))))</f>
        <v/>
      </c>
      <c r="K901" s="25" t="str">
        <f>IF(OR(E901="",E901="!!!",F901="NEW"),"",INDEX(J$1:J900,SUMPRODUCT(MAX(ROW(E$1:E900)*(E901=E$1:E900)))))</f>
        <v/>
      </c>
      <c r="L901" s="26"/>
    </row>
    <row r="902" spans="1:12" x14ac:dyDescent="0.3">
      <c r="A902" t="s">
        <v>185</v>
      </c>
      <c r="E902" s="21" t="str">
        <f t="shared" si="90"/>
        <v/>
      </c>
      <c r="F902" s="22" t="str">
        <f>IF(OR(E902="",E902="!!!"),"",IF(NOT(ISNA(VLOOKUP(E902,E$1:E901,1,FALSE()))),"OLD",IF(AND(E902&lt;&gt;"",E902&lt;&gt;"!!!"),"NEW","")))</f>
        <v/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/>
      </c>
      <c r="H902" s="24" t="str">
        <f t="shared" ca="1" si="91"/>
        <v/>
      </c>
      <c r="I902" s="25" t="str">
        <f>IF(OR(E902="",E902="!!!",F902="NEW"),"",INDEX(B$2:B901,-1+SUMPRODUCT(MAX(ROW(E$2:E901)*(E902=E$2:E901)))))</f>
        <v/>
      </c>
      <c r="J902" s="25" t="str">
        <f ca="1">IF(OR(E902="",E902="!!!",F902="NEW"),"",COUNTBLANK(OFFSET(A$1,,,SUMPRODUCT(MAX(ROW(E$2:E902)*(E902=E$2:E902)))))-COUNTBLANK(OFFSET(A$1,,,SUMPRODUCT(MAX(ROW(E$1:E901)*(E2=E$1:E901))))))</f>
        <v/>
      </c>
      <c r="K902" s="25" t="str">
        <f>IF(OR(E902="",E902="!!!",F902="NEW"),"",INDEX(J$1:J901,SUMPRODUCT(MAX(ROW(E$1:E901)*(E902=E$1:E901)))))</f>
        <v/>
      </c>
      <c r="L902" s="26"/>
    </row>
    <row r="903" spans="1:12" x14ac:dyDescent="0.3">
      <c r="A903" t="s">
        <v>341</v>
      </c>
      <c r="E903" s="21" t="str">
        <f t="shared" si="90"/>
        <v/>
      </c>
      <c r="F903" s="22" t="str">
        <f>IF(OR(E903="",E903="!!!"),"",IF(NOT(ISNA(VLOOKUP(E903,E$1:E902,1,FALSE()))),"OLD",IF(AND(E903&lt;&gt;"",E903&lt;&gt;"!!!"),"NEW","")))</f>
        <v/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/>
      </c>
      <c r="H903" s="24" t="str">
        <f t="shared" ca="1" si="91"/>
        <v/>
      </c>
      <c r="I903" s="25" t="str">
        <f>IF(OR(E903="",E903="!!!",F903="NEW"),"",INDEX(B$2:B902,-1+SUMPRODUCT(MAX(ROW(E$2:E902)*(E903=E$2:E902)))))</f>
        <v/>
      </c>
      <c r="J903" s="25" t="str">
        <f ca="1">IF(OR(E903="",E903="!!!",F903="NEW"),"",COUNTBLANK(OFFSET(A$1,,,SUMPRODUCT(MAX(ROW(E$2:E903)*(E903=E$2:E903)))))-COUNTBLANK(OFFSET(A$1,,,SUMPRODUCT(MAX(ROW(E$1:E902)*(E2=E$1:E902))))))</f>
        <v/>
      </c>
      <c r="K903" s="25" t="str">
        <f>IF(OR(E903="",E903="!!!",F903="NEW"),"",INDEX(J$1:J902,SUMPRODUCT(MAX(ROW(E$1:E902)*(E903=E$1:E902)))))</f>
        <v/>
      </c>
      <c r="L903" s="26"/>
    </row>
    <row r="904" spans="1:12" x14ac:dyDescent="0.3">
      <c r="A904" t="s">
        <v>198</v>
      </c>
      <c r="B904" s="20" t="s">
        <v>172</v>
      </c>
      <c r="C904" s="20" t="s">
        <v>199</v>
      </c>
      <c r="D904" s="20" t="s">
        <v>160</v>
      </c>
      <c r="E904" s="21" t="str">
        <f t="shared" si="90"/>
        <v>!!!</v>
      </c>
      <c r="F904" s="22" t="str">
        <f>IF(OR(E904="",E904="!!!"),"",IF(NOT(ISNA(VLOOKUP(E904,E$1:E903,1,FALSE()))),"OLD",IF(AND(E904&lt;&gt;"",E904&lt;&gt;"!!!"),"NEW","")))</f>
        <v/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/>
      </c>
      <c r="H904" s="24" t="str">
        <f t="shared" ca="1" si="91"/>
        <v/>
      </c>
      <c r="I904" s="25" t="str">
        <f>IF(OR(E904="",E904="!!!",F904="NEW"),"",INDEX(B$2:B903,-1+SUMPRODUCT(MAX(ROW(E$2:E903)*(E904=E$2:E903)))))</f>
        <v/>
      </c>
      <c r="J904" s="25" t="str">
        <f ca="1">IF(OR(E904="",E904="!!!",F904="NEW"),"",COUNTBLANK(OFFSET(A$1,,,SUMPRODUCT(MAX(ROW(E$2:E904)*(E904=E$2:E904)))))-COUNTBLANK(OFFSET(A$1,,,SUMPRODUCT(MAX(ROW(E$1:E903)*(E2=E$1:E903))))))</f>
        <v/>
      </c>
      <c r="K904" s="25" t="str">
        <f>IF(OR(E904="",E904="!!!",F904="NEW"),"",INDEX(J$1:J903,SUMPRODUCT(MAX(ROW(E$1:E903)*(E904=E$1:E903)))))</f>
        <v/>
      </c>
      <c r="L904" s="26"/>
    </row>
    <row r="905" spans="1:12" x14ac:dyDescent="0.3">
      <c r="A905" t="s">
        <v>475</v>
      </c>
      <c r="B905" s="20" t="s">
        <v>158</v>
      </c>
      <c r="C905" s="20" t="s">
        <v>202</v>
      </c>
      <c r="D905" s="20" t="s">
        <v>160</v>
      </c>
      <c r="E905" s="21" t="str">
        <f t="shared" si="90"/>
        <v>!!!</v>
      </c>
      <c r="F905" s="22" t="str">
        <f>IF(OR(E905="",E905="!!!"),"",IF(NOT(ISNA(VLOOKUP(E905,E$1:E904,1,FALSE()))),"OLD",IF(AND(E905&lt;&gt;"",E905&lt;&gt;"!!!"),"NEW","")))</f>
        <v/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/>
      </c>
      <c r="H905" s="24" t="str">
        <f t="shared" ca="1" si="91"/>
        <v/>
      </c>
      <c r="I905" s="25" t="str">
        <f>IF(OR(E905="",E905="!!!",F905="NEW"),"",INDEX(B$2:B904,-1+SUMPRODUCT(MAX(ROW(E$2:E904)*(E905=E$2:E904)))))</f>
        <v/>
      </c>
      <c r="J905" s="25" t="str">
        <f ca="1">IF(OR(E905="",E905="!!!",F905="NEW"),"",COUNTBLANK(OFFSET(A$1,,,SUMPRODUCT(MAX(ROW(E$2:E905)*(E905=E$2:E905)))))-COUNTBLANK(OFFSET(A$1,,,SUMPRODUCT(MAX(ROW(E$1:E904)*(E2=E$1:E904))))))</f>
        <v/>
      </c>
      <c r="K905" s="25" t="str">
        <f>IF(OR(E905="",E905="!!!",F905="NEW"),"",INDEX(J$1:J904,SUMPRODUCT(MAX(ROW(E$1:E904)*(E905=E$1:E904)))))</f>
        <v/>
      </c>
      <c r="L905" s="26"/>
    </row>
    <row r="906" spans="1:12" x14ac:dyDescent="0.3">
      <c r="A906" t="s">
        <v>333</v>
      </c>
      <c r="E906" s="21" t="str">
        <f t="shared" si="90"/>
        <v/>
      </c>
      <c r="F906" s="22" t="str">
        <f>IF(OR(E906="",E906="!!!"),"",IF(NOT(ISNA(VLOOKUP(E906,E$1:E905,1,FALSE()))),"OLD",IF(AND(E906&lt;&gt;"",E906&lt;&gt;"!!!"),"NEW","")))</f>
        <v/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/>
      </c>
      <c r="H906" s="24" t="str">
        <f t="shared" ca="1" si="91"/>
        <v/>
      </c>
      <c r="I906" s="25" t="str">
        <f>IF(OR(E906="",E906="!!!",F906="NEW"),"",INDEX(B$2:B905,-1+SUMPRODUCT(MAX(ROW(E$2:E905)*(E906=E$2:E905)))))</f>
        <v/>
      </c>
      <c r="J906" s="25" t="str">
        <f ca="1">IF(OR(E906="",E906="!!!",F906="NEW"),"",COUNTBLANK(OFFSET(A$1,,,SUMPRODUCT(MAX(ROW(E$2:E906)*(E906=E$2:E906)))))-COUNTBLANK(OFFSET(A$1,,,SUMPRODUCT(MAX(ROW(E$1:E905)*(E2=E$1:E905))))))</f>
        <v/>
      </c>
      <c r="K906" s="25" t="str">
        <f>IF(OR(E906="",E906="!!!",F906="NEW"),"",INDEX(J$1:J905,SUMPRODUCT(MAX(ROW(E$1:E905)*(E906=E$1:E905)))))</f>
        <v/>
      </c>
      <c r="L906" s="26"/>
    </row>
    <row r="907" spans="1:12" x14ac:dyDescent="0.3">
      <c r="A907" t="s">
        <v>175</v>
      </c>
      <c r="B907" s="20" t="s">
        <v>187</v>
      </c>
      <c r="C907" s="20" t="s">
        <v>177</v>
      </c>
      <c r="D907" s="20" t="s">
        <v>160</v>
      </c>
      <c r="E907" s="21" t="str">
        <f t="shared" si="90"/>
        <v>!!!</v>
      </c>
      <c r="F907" s="22" t="str">
        <f>IF(OR(E907="",E907="!!!"),"",IF(NOT(ISNA(VLOOKUP(E907,E$1:E906,1,FALSE()))),"OLD",IF(AND(E907&lt;&gt;"",E907&lt;&gt;"!!!"),"NEW","")))</f>
        <v/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/>
      </c>
      <c r="H907" s="24" t="str">
        <f t="shared" ca="1" si="91"/>
        <v/>
      </c>
      <c r="I907" s="25" t="str">
        <f>IF(OR(E907="",E907="!!!",F907="NEW"),"",INDEX(B$2:B906,-1+SUMPRODUCT(MAX(ROW(E$2:E906)*(E907=E$2:E906)))))</f>
        <v/>
      </c>
      <c r="J907" s="25" t="str">
        <f ca="1">IF(OR(E907="",E907="!!!",F907="NEW"),"",COUNTBLANK(OFFSET(A$1,,,SUMPRODUCT(MAX(ROW(E$2:E907)*(E907=E$2:E907)))))-COUNTBLANK(OFFSET(A$1,,,SUMPRODUCT(MAX(ROW(E$1:E906)*(E2=E$1:E906))))))</f>
        <v/>
      </c>
      <c r="K907" s="25" t="str">
        <f>IF(OR(E907="",E907="!!!",F907="NEW"),"",INDEX(J$1:J906,SUMPRODUCT(MAX(ROW(E$1:E906)*(E907=E$1:E906)))))</f>
        <v/>
      </c>
      <c r="L907" s="26"/>
    </row>
    <row r="908" spans="1:12" x14ac:dyDescent="0.3">
      <c r="A908" t="s">
        <v>393</v>
      </c>
      <c r="E908" s="21" t="str">
        <f t="shared" si="90"/>
        <v/>
      </c>
      <c r="F908" s="22" t="str">
        <f>IF(OR(E908="",E908="!!!"),"",IF(NOT(ISNA(VLOOKUP(E908,E$1:E907,1,FALSE()))),"OLD",IF(AND(E908&lt;&gt;"",E908&lt;&gt;"!!!"),"NEW","")))</f>
        <v/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/>
      </c>
      <c r="H908" s="24" t="str">
        <f t="shared" ca="1" si="91"/>
        <v/>
      </c>
      <c r="I908" s="25" t="str">
        <f>IF(OR(E908="",E908="!!!",F908="NEW"),"",INDEX(B$2:B907,-1+SUMPRODUCT(MAX(ROW(E$2:E907)*(E908=E$2:E907)))))</f>
        <v/>
      </c>
      <c r="J908" s="25" t="str">
        <f ca="1">IF(OR(E908="",E908="!!!",F908="NEW"),"",COUNTBLANK(OFFSET(A$1,,,SUMPRODUCT(MAX(ROW(E$2:E908)*(E908=E$2:E908)))))-COUNTBLANK(OFFSET(A$1,,,SUMPRODUCT(MAX(ROW(E$1:E907)*(E2=E$1:E907))))))</f>
        <v/>
      </c>
      <c r="K908" s="25" t="str">
        <f>IF(OR(E908="",E908="!!!",F908="NEW"),"",INDEX(J$1:J907,SUMPRODUCT(MAX(ROW(E$1:E907)*(E908=E$1:E907)))))</f>
        <v/>
      </c>
      <c r="L908" s="26"/>
    </row>
    <row r="909" spans="1:12" x14ac:dyDescent="0.3">
      <c r="A909" t="s">
        <v>577</v>
      </c>
      <c r="B909" s="20" t="s">
        <v>191</v>
      </c>
      <c r="C909" s="20" t="s">
        <v>211</v>
      </c>
      <c r="E909" s="21" t="str">
        <f t="shared" si="90"/>
        <v/>
      </c>
      <c r="F909" s="22" t="str">
        <f>IF(OR(E909="",E909="!!!"),"",IF(NOT(ISNA(VLOOKUP(E909,E$1:E908,1,FALSE()))),"OLD",IF(AND(E909&lt;&gt;"",E909&lt;&gt;"!!!"),"NEW","")))</f>
        <v/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/>
      </c>
      <c r="H909" s="24" t="str">
        <f t="shared" ca="1" si="91"/>
        <v/>
      </c>
      <c r="I909" s="25" t="str">
        <f>IF(OR(E909="",E909="!!!",F909="NEW"),"",INDEX(B$2:B908,-1+SUMPRODUCT(MAX(ROW(E$2:E908)*(E909=E$2:E908)))))</f>
        <v/>
      </c>
      <c r="J909" s="25" t="str">
        <f ca="1">IF(OR(E909="",E909="!!!",F909="NEW"),"",COUNTBLANK(OFFSET(A$1,,,SUMPRODUCT(MAX(ROW(E$2:E909)*(E909=E$2:E909)))))-COUNTBLANK(OFFSET(A$1,,,SUMPRODUCT(MAX(ROW(E$1:E908)*(E2=E$1:E908))))))</f>
        <v/>
      </c>
      <c r="K909" s="25" t="str">
        <f>IF(OR(E909="",E909="!!!",F909="NEW"),"",INDEX(J$1:J908,SUMPRODUCT(MAX(ROW(E$1:E908)*(E909=E$1:E908)))))</f>
        <v/>
      </c>
      <c r="L909" s="26"/>
    </row>
    <row r="910" spans="1:12" x14ac:dyDescent="0.3">
      <c r="A910" t="s">
        <v>578</v>
      </c>
      <c r="E910" s="21" t="str">
        <f t="shared" si="90"/>
        <v/>
      </c>
      <c r="F910" s="22" t="str">
        <f>IF(OR(E910="",E910="!!!"),"",IF(NOT(ISNA(VLOOKUP(E910,E$1:E909,1,FALSE()))),"OLD",IF(AND(E910&lt;&gt;"",E910&lt;&gt;"!!!"),"NEW","")))</f>
        <v/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/>
      </c>
      <c r="H910" s="24" t="str">
        <f t="shared" ca="1" si="91"/>
        <v/>
      </c>
      <c r="I910" s="25" t="str">
        <f>IF(OR(E910="",E910="!!!",F910="NEW"),"",INDEX(B$2:B909,-1+SUMPRODUCT(MAX(ROW(E$2:E909)*(E910=E$2:E909)))))</f>
        <v/>
      </c>
      <c r="J910" s="25" t="str">
        <f ca="1">IF(OR(E910="",E910="!!!",F910="NEW"),"",COUNTBLANK(OFFSET(A$1,,,SUMPRODUCT(MAX(ROW(E$2:E910)*(E910=E$2:E910)))))-COUNTBLANK(OFFSET(A$1,,,SUMPRODUCT(MAX(ROW(E$1:E909)*(E2=E$1:E909))))))</f>
        <v/>
      </c>
      <c r="K910" s="25" t="str">
        <f>IF(OR(E910="",E910="!!!",F910="NEW"),"",INDEX(J$1:J909,SUMPRODUCT(MAX(ROW(E$1:E909)*(E910=E$1:E909)))))</f>
        <v/>
      </c>
      <c r="L910" s="26"/>
    </row>
    <row r="911" spans="1:12" x14ac:dyDescent="0.3">
      <c r="A911" t="s">
        <v>168</v>
      </c>
      <c r="E911" s="21" t="str">
        <f t="shared" si="90"/>
        <v/>
      </c>
      <c r="F911" s="22" t="str">
        <f>IF(OR(E911="",E911="!!!"),"",IF(NOT(ISNA(VLOOKUP(E911,E$1:E910,1,FALSE()))),"OLD",IF(AND(E911&lt;&gt;"",E911&lt;&gt;"!!!"),"NEW","")))</f>
        <v/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/>
      </c>
      <c r="H911" s="24" t="str">
        <f t="shared" ca="1" si="91"/>
        <v/>
      </c>
      <c r="I911" s="25" t="str">
        <f>IF(OR(E911="",E911="!!!",F911="NEW"),"",INDEX(B$2:B910,-1+SUMPRODUCT(MAX(ROW(E$2:E910)*(E911=E$2:E910)))))</f>
        <v/>
      </c>
      <c r="J911" s="25" t="str">
        <f ca="1">IF(OR(E911="",E911="!!!",F911="NEW"),"",COUNTBLANK(OFFSET(A$1,,,SUMPRODUCT(MAX(ROW(E$2:E911)*(E911=E$2:E911)))))-COUNTBLANK(OFFSET(A$1,,,SUMPRODUCT(MAX(ROW(E$1:E910)*(E2=E$1:E910))))))</f>
        <v/>
      </c>
      <c r="K911" s="25" t="str">
        <f>IF(OR(E911="",E911="!!!",F911="NEW"),"",INDEX(J$1:J910,SUMPRODUCT(MAX(ROW(E$1:E910)*(E911=E$1:E910)))))</f>
        <v/>
      </c>
      <c r="L911" s="26"/>
    </row>
    <row r="912" spans="1:12" x14ac:dyDescent="0.3">
      <c r="A912" t="s">
        <v>579</v>
      </c>
      <c r="E912" s="21" t="str">
        <f t="shared" si="90"/>
        <v/>
      </c>
      <c r="F912" s="22" t="str">
        <f>IF(OR(E912="",E912="!!!"),"",IF(NOT(ISNA(VLOOKUP(E912,E$1:E911,1,FALSE()))),"OLD",IF(AND(E912&lt;&gt;"",E912&lt;&gt;"!!!"),"NEW","")))</f>
        <v/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/>
      </c>
      <c r="H912" s="24" t="str">
        <f t="shared" ca="1" si="91"/>
        <v/>
      </c>
      <c r="I912" s="25" t="str">
        <f>IF(OR(E912="",E912="!!!",F912="NEW"),"",INDEX(B$2:B911,-1+SUMPRODUCT(MAX(ROW(E$2:E911)*(E912=E$2:E911)))))</f>
        <v/>
      </c>
      <c r="J912" s="25" t="str">
        <f ca="1">IF(OR(E912="",E912="!!!",F912="NEW"),"",COUNTBLANK(OFFSET(A$1,,,SUMPRODUCT(MAX(ROW(E$2:E912)*(E912=E$2:E912)))))-COUNTBLANK(OFFSET(A$1,,,SUMPRODUCT(MAX(ROW(E$1:E911)*(E2=E$1:E911))))))</f>
        <v/>
      </c>
      <c r="K912" s="25" t="str">
        <f>IF(OR(E912="",E912="!!!",F912="NEW"),"",INDEX(J$1:J911,SUMPRODUCT(MAX(ROW(E$1:E911)*(E912=E$1:E911)))))</f>
        <v/>
      </c>
      <c r="L912" s="26"/>
    </row>
    <row r="913" spans="1:12" x14ac:dyDescent="0.3">
      <c r="A913" t="s">
        <v>179</v>
      </c>
      <c r="E913" s="21" t="str">
        <f t="shared" si="90"/>
        <v/>
      </c>
      <c r="F913" s="22" t="str">
        <f>IF(OR(E913="",E913="!!!"),"",IF(NOT(ISNA(VLOOKUP(E913,E$1:E912,1,FALSE()))),"OLD",IF(AND(E913&lt;&gt;"",E913&lt;&gt;"!!!"),"NEW","")))</f>
        <v/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/>
      </c>
      <c r="H913" s="24" t="str">
        <f t="shared" ca="1" si="91"/>
        <v/>
      </c>
      <c r="I913" s="25" t="str">
        <f>IF(OR(E913="",E913="!!!",F913="NEW"),"",INDEX(B$2:B912,-1+SUMPRODUCT(MAX(ROW(E$2:E912)*(E913=E$2:E912)))))</f>
        <v/>
      </c>
      <c r="J913" s="25" t="str">
        <f ca="1">IF(OR(E913="",E913="!!!",F913="NEW"),"",COUNTBLANK(OFFSET(A$1,,,SUMPRODUCT(MAX(ROW(E$2:E913)*(E913=E$2:E913)))))-COUNTBLANK(OFFSET(A$1,,,SUMPRODUCT(MAX(ROW(E$1:E912)*(E2=E$1:E912))))))</f>
        <v/>
      </c>
      <c r="K913" s="25" t="str">
        <f>IF(OR(E913="",E913="!!!",F913="NEW"),"",INDEX(J$1:J912,SUMPRODUCT(MAX(ROW(E$1:E912)*(E913=E$1:E912)))))</f>
        <v/>
      </c>
      <c r="L913" s="26"/>
    </row>
    <row r="914" spans="1:12" x14ac:dyDescent="0.3">
      <c r="A914" t="s">
        <v>319</v>
      </c>
      <c r="B914" s="20" t="s">
        <v>257</v>
      </c>
      <c r="C914" s="20" t="s">
        <v>181</v>
      </c>
      <c r="D914" s="20" t="s">
        <v>160</v>
      </c>
      <c r="E914" s="21" t="str">
        <f t="shared" si="90"/>
        <v>!!!</v>
      </c>
      <c r="F914" s="22" t="str">
        <f>IF(OR(E914="",E914="!!!"),"",IF(NOT(ISNA(VLOOKUP(E914,E$1:E913,1,FALSE()))),"OLD",IF(AND(E914&lt;&gt;"",E914&lt;&gt;"!!!"),"NEW","")))</f>
        <v/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/>
      </c>
      <c r="H914" s="24" t="str">
        <f t="shared" ca="1" si="91"/>
        <v/>
      </c>
      <c r="I914" s="25" t="str">
        <f>IF(OR(E914="",E914="!!!",F914="NEW"),"",INDEX(B$2:B913,-1+SUMPRODUCT(MAX(ROW(E$2:E913)*(E914=E$2:E913)))))</f>
        <v/>
      </c>
      <c r="J914" s="25" t="str">
        <f ca="1">IF(OR(E914="",E914="!!!",F914="NEW"),"",COUNTBLANK(OFFSET(A$1,,,SUMPRODUCT(MAX(ROW(E$2:E914)*(E914=E$2:E914)))))-COUNTBLANK(OFFSET(A$1,,,SUMPRODUCT(MAX(ROW(E$1:E913)*(E2=E$1:E913))))))</f>
        <v/>
      </c>
      <c r="K914" s="25" t="str">
        <f>IF(OR(E914="",E914="!!!",F914="NEW"),"",INDEX(J$1:J913,SUMPRODUCT(MAX(ROW(E$1:E913)*(E914=E$1:E913)))))</f>
        <v/>
      </c>
      <c r="L914" s="26"/>
    </row>
    <row r="915" spans="1:12" x14ac:dyDescent="0.3">
      <c r="A915" t="s">
        <v>220</v>
      </c>
      <c r="E915" s="21" t="str">
        <f t="shared" si="90"/>
        <v/>
      </c>
      <c r="F915" s="22" t="str">
        <f>IF(OR(E915="",E915="!!!"),"",IF(NOT(ISNA(VLOOKUP(E915,E$1:E914,1,FALSE()))),"OLD",IF(AND(E915&lt;&gt;"",E915&lt;&gt;"!!!"),"NEW","")))</f>
        <v/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/>
      </c>
      <c r="H915" s="24" t="str">
        <f t="shared" ca="1" si="91"/>
        <v/>
      </c>
      <c r="I915" s="25" t="str">
        <f>IF(OR(E915="",E915="!!!",F915="NEW"),"",INDEX(B$2:B914,-1+SUMPRODUCT(MAX(ROW(E$2:E914)*(E915=E$2:E914)))))</f>
        <v/>
      </c>
      <c r="J915" s="25" t="str">
        <f ca="1">IF(OR(E915="",E915="!!!",F915="NEW"),"",COUNTBLANK(OFFSET(A$1,,,SUMPRODUCT(MAX(ROW(E$2:E915)*(E915=E$2:E915)))))-COUNTBLANK(OFFSET(A$1,,,SUMPRODUCT(MAX(ROW(E$1:E914)*(E2=E$1:E914))))))</f>
        <v/>
      </c>
      <c r="K915" s="25" t="str">
        <f>IF(OR(E915="",E915="!!!",F915="NEW"),"",INDEX(J$1:J914,SUMPRODUCT(MAX(ROW(E$1:E914)*(E915=E$1:E914)))))</f>
        <v/>
      </c>
      <c r="L915" s="26"/>
    </row>
    <row r="916" spans="1:12" x14ac:dyDescent="0.3">
      <c r="A916" t="s">
        <v>393</v>
      </c>
      <c r="E916" s="21" t="str">
        <f t="shared" si="90"/>
        <v/>
      </c>
      <c r="F916" s="22" t="str">
        <f>IF(OR(E916="",E916="!!!"),"",IF(NOT(ISNA(VLOOKUP(E916,E$1:E915,1,FALSE()))),"OLD",IF(AND(E916&lt;&gt;"",E916&lt;&gt;"!!!"),"NEW","")))</f>
        <v/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/>
      </c>
      <c r="H916" s="24" t="str">
        <f t="shared" ca="1" si="91"/>
        <v/>
      </c>
      <c r="I916" s="25" t="str">
        <f>IF(OR(E916="",E916="!!!",F916="NEW"),"",INDEX(B$2:B915,-1+SUMPRODUCT(MAX(ROW(E$2:E915)*(E916=E$2:E915)))))</f>
        <v/>
      </c>
      <c r="J916" s="25" t="str">
        <f ca="1">IF(OR(E916="",E916="!!!",F916="NEW"),"",COUNTBLANK(OFFSET(A$1,,,SUMPRODUCT(MAX(ROW(E$2:E916)*(E916=E$2:E916)))))-COUNTBLANK(OFFSET(A$1,,,SUMPRODUCT(MAX(ROW(E$1:E915)*(E2=E$1:E915))))))</f>
        <v/>
      </c>
      <c r="K916" s="25" t="str">
        <f>IF(OR(E916="",E916="!!!",F916="NEW"),"",INDEX(J$1:J915,SUMPRODUCT(MAX(ROW(E$1:E915)*(E916=E$1:E915)))))</f>
        <v/>
      </c>
      <c r="L916" s="26"/>
    </row>
    <row r="917" spans="1:12" x14ac:dyDescent="0.3">
      <c r="A917" t="s">
        <v>580</v>
      </c>
      <c r="E917" s="21" t="str">
        <f t="shared" si="90"/>
        <v/>
      </c>
      <c r="F917" s="22" t="str">
        <f>IF(OR(E917="",E917="!!!"),"",IF(NOT(ISNA(VLOOKUP(E917,E$1:E916,1,FALSE()))),"OLD",IF(AND(E917&lt;&gt;"",E917&lt;&gt;"!!!"),"NEW","")))</f>
        <v/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/>
      </c>
      <c r="H917" s="24" t="str">
        <f t="shared" ca="1" si="91"/>
        <v/>
      </c>
      <c r="I917" s="25" t="str">
        <f>IF(OR(E917="",E917="!!!",F917="NEW"),"",INDEX(B$2:B916,-1+SUMPRODUCT(MAX(ROW(E$2:E916)*(E917=E$2:E916)))))</f>
        <v/>
      </c>
      <c r="J917" s="25" t="str">
        <f ca="1">IF(OR(E917="",E917="!!!",F917="NEW"),"",COUNTBLANK(OFFSET(A$1,,,SUMPRODUCT(MAX(ROW(E$2:E917)*(E917=E$2:E917)))))-COUNTBLANK(OFFSET(A$1,,,SUMPRODUCT(MAX(ROW(E$1:E916)*(E2=E$1:E916))))))</f>
        <v/>
      </c>
      <c r="K917" s="25" t="str">
        <f>IF(OR(E917="",E917="!!!",F917="NEW"),"",INDEX(J$1:J916,SUMPRODUCT(MAX(ROW(E$1:E916)*(E917=E$1:E916)))))</f>
        <v/>
      </c>
      <c r="L917" s="26"/>
    </row>
    <row r="918" spans="1:12" x14ac:dyDescent="0.3">
      <c r="A918" t="s">
        <v>581</v>
      </c>
      <c r="B918" s="20" t="s">
        <v>183</v>
      </c>
      <c r="C918" s="20" t="s">
        <v>211</v>
      </c>
      <c r="E918" s="21" t="str">
        <f t="shared" si="90"/>
        <v/>
      </c>
      <c r="F918" s="22" t="str">
        <f>IF(OR(E918="",E918="!!!"),"",IF(NOT(ISNA(VLOOKUP(E918,E$1:E917,1,FALSE()))),"OLD",IF(AND(E918&lt;&gt;"",E918&lt;&gt;"!!!"),"NEW","")))</f>
        <v/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/>
      </c>
      <c r="H918" s="24" t="str">
        <f t="shared" ca="1" si="91"/>
        <v/>
      </c>
      <c r="I918" s="25" t="str">
        <f>IF(OR(E918="",E918="!!!",F918="NEW"),"",INDEX(B$2:B917,-1+SUMPRODUCT(MAX(ROW(E$2:E917)*(E918=E$2:E917)))))</f>
        <v/>
      </c>
      <c r="J918" s="25" t="str">
        <f ca="1">IF(OR(E918="",E918="!!!",F918="NEW"),"",COUNTBLANK(OFFSET(A$1,,,SUMPRODUCT(MAX(ROW(E$2:E918)*(E918=E$2:E918)))))-COUNTBLANK(OFFSET(A$1,,,SUMPRODUCT(MAX(ROW(E$1:E917)*(E2=E$1:E917))))))</f>
        <v/>
      </c>
      <c r="K918" s="25" t="str">
        <f>IF(OR(E918="",E918="!!!",F918="NEW"),"",INDEX(J$1:J917,SUMPRODUCT(MAX(ROW(E$1:E917)*(E918=E$1:E917)))))</f>
        <v/>
      </c>
      <c r="L918" s="26"/>
    </row>
    <row r="919" spans="1:12" x14ac:dyDescent="0.3">
      <c r="A919" t="s">
        <v>185</v>
      </c>
      <c r="E919" s="21" t="str">
        <f t="shared" si="90"/>
        <v/>
      </c>
      <c r="F919" s="22" t="str">
        <f>IF(OR(E919="",E919="!!!"),"",IF(NOT(ISNA(VLOOKUP(E919,E$1:E918,1,FALSE()))),"OLD",IF(AND(E919&lt;&gt;"",E919&lt;&gt;"!!!"),"NEW","")))</f>
        <v/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/>
      </c>
      <c r="H919" s="24" t="str">
        <f t="shared" ca="1" si="91"/>
        <v/>
      </c>
      <c r="I919" s="25" t="str">
        <f>IF(OR(E919="",E919="!!!",F919="NEW"),"",INDEX(B$2:B918,-1+SUMPRODUCT(MAX(ROW(E$2:E918)*(E919=E$2:E918)))))</f>
        <v/>
      </c>
      <c r="J919" s="25" t="str">
        <f ca="1">IF(OR(E919="",E919="!!!",F919="NEW"),"",COUNTBLANK(OFFSET(A$1,,,SUMPRODUCT(MAX(ROW(E$2:E919)*(E919=E$2:E919)))))-COUNTBLANK(OFFSET(A$1,,,SUMPRODUCT(MAX(ROW(E$1:E918)*(E2=E$1:E918))))))</f>
        <v/>
      </c>
      <c r="K919" s="25" t="str">
        <f>IF(OR(E919="",E919="!!!",F919="NEW"),"",INDEX(J$1:J918,SUMPRODUCT(MAX(ROW(E$1:E918)*(E919=E$1:E918)))))</f>
        <v/>
      </c>
      <c r="L919" s="26"/>
    </row>
    <row r="920" spans="1:12" x14ac:dyDescent="0.3">
      <c r="A920" t="s">
        <v>582</v>
      </c>
      <c r="E920" s="21" t="str">
        <f t="shared" si="90"/>
        <v/>
      </c>
      <c r="F920" s="22" t="str">
        <f>IF(OR(E920="",E920="!!!"),"",IF(NOT(ISNA(VLOOKUP(E920,E$1:E919,1,FALSE()))),"OLD",IF(AND(E920&lt;&gt;"",E920&lt;&gt;"!!!"),"NEW","")))</f>
        <v/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/>
      </c>
      <c r="H920" s="24" t="str">
        <f t="shared" ca="1" si="91"/>
        <v/>
      </c>
      <c r="I920" s="25" t="str">
        <f>IF(OR(E920="",E920="!!!",F920="NEW"),"",INDEX(B$2:B919,-1+SUMPRODUCT(MAX(ROW(E$2:E919)*(E920=E$2:E919)))))</f>
        <v/>
      </c>
      <c r="J920" s="25" t="str">
        <f ca="1">IF(OR(E920="",E920="!!!",F920="NEW"),"",COUNTBLANK(OFFSET(A$1,,,SUMPRODUCT(MAX(ROW(E$2:E920)*(E920=E$2:E920)))))-COUNTBLANK(OFFSET(A$1,,,SUMPRODUCT(MAX(ROW(E$1:E919)*(E2=E$1:E919))))))</f>
        <v/>
      </c>
      <c r="K920" s="25" t="str">
        <f>IF(OR(E920="",E920="!!!",F920="NEW"),"",INDEX(J$1:J919,SUMPRODUCT(MAX(ROW(E$1:E919)*(E920=E$1:E919)))))</f>
        <v/>
      </c>
      <c r="L920" s="26"/>
    </row>
    <row r="921" spans="1:12" x14ac:dyDescent="0.3">
      <c r="A921" t="s">
        <v>185</v>
      </c>
      <c r="E921" s="21" t="str">
        <f t="shared" si="90"/>
        <v/>
      </c>
      <c r="F921" s="22" t="str">
        <f>IF(OR(E921="",E921="!!!"),"",IF(NOT(ISNA(VLOOKUP(E921,E$1:E920,1,FALSE()))),"OLD",IF(AND(E921&lt;&gt;"",E921&lt;&gt;"!!!"),"NEW","")))</f>
        <v/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/>
      </c>
      <c r="H921" s="24" t="str">
        <f t="shared" ca="1" si="91"/>
        <v/>
      </c>
      <c r="I921" s="25" t="str">
        <f>IF(OR(E921="",E921="!!!",F921="NEW"),"",INDEX(B$2:B920,-1+SUMPRODUCT(MAX(ROW(E$2:E920)*(E921=E$2:E920)))))</f>
        <v/>
      </c>
      <c r="J921" s="25" t="str">
        <f ca="1">IF(OR(E921="",E921="!!!",F921="NEW"),"",COUNTBLANK(OFFSET(A$1,,,SUMPRODUCT(MAX(ROW(E$2:E921)*(E921=E$2:E921)))))-COUNTBLANK(OFFSET(A$1,,,SUMPRODUCT(MAX(ROW(E$1:E920)*(E2=E$1:E920))))))</f>
        <v/>
      </c>
      <c r="K921" s="25" t="str">
        <f>IF(OR(E921="",E921="!!!",F921="NEW"),"",INDEX(J$1:J920,SUMPRODUCT(MAX(ROW(E$1:E920)*(E921=E$1:E920)))))</f>
        <v/>
      </c>
      <c r="L921" s="26"/>
    </row>
    <row r="922" spans="1:12" x14ac:dyDescent="0.3">
      <c r="A922" t="s">
        <v>220</v>
      </c>
      <c r="E922" s="21" t="str">
        <f t="shared" si="90"/>
        <v/>
      </c>
      <c r="F922" s="22" t="str">
        <f>IF(OR(E922="",E922="!!!"),"",IF(NOT(ISNA(VLOOKUP(E922,E$1:E921,1,FALSE()))),"OLD",IF(AND(E922&lt;&gt;"",E922&lt;&gt;"!!!"),"NEW","")))</f>
        <v/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/>
      </c>
      <c r="H922" s="24" t="str">
        <f t="shared" ca="1" si="91"/>
        <v/>
      </c>
      <c r="I922" s="25" t="str">
        <f>IF(OR(E922="",E922="!!!",F922="NEW"),"",INDEX(B$2:B921,-1+SUMPRODUCT(MAX(ROW(E$2:E921)*(E922=E$2:E921)))))</f>
        <v/>
      </c>
      <c r="J922" s="25" t="str">
        <f ca="1">IF(OR(E922="",E922="!!!",F922="NEW"),"",COUNTBLANK(OFFSET(A$1,,,SUMPRODUCT(MAX(ROW(E$2:E922)*(E922=E$2:E922)))))-COUNTBLANK(OFFSET(A$1,,,SUMPRODUCT(MAX(ROW(E$1:E921)*(E2=E$1:E921))))))</f>
        <v/>
      </c>
      <c r="K922" s="25" t="str">
        <f>IF(OR(E922="",E922="!!!",F922="NEW"),"",INDEX(J$1:J921,SUMPRODUCT(MAX(ROW(E$1:E921)*(E922=E$1:E921)))))</f>
        <v/>
      </c>
      <c r="L922" s="26"/>
    </row>
    <row r="923" spans="1:12" x14ac:dyDescent="0.3">
      <c r="A923" t="s">
        <v>339</v>
      </c>
      <c r="E923" s="21" t="str">
        <f t="shared" si="90"/>
        <v/>
      </c>
      <c r="F923" s="22" t="str">
        <f>IF(OR(E923="",E923="!!!"),"",IF(NOT(ISNA(VLOOKUP(E923,E$1:E922,1,FALSE()))),"OLD",IF(AND(E923&lt;&gt;"",E923&lt;&gt;"!!!"),"NEW","")))</f>
        <v/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/>
      </c>
      <c r="H923" s="24" t="str">
        <f t="shared" ca="1" si="91"/>
        <v/>
      </c>
      <c r="I923" s="25" t="str">
        <f>IF(OR(E923="",E923="!!!",F923="NEW"),"",INDEX(B$2:B922,-1+SUMPRODUCT(MAX(ROW(E$2:E922)*(E923=E$2:E922)))))</f>
        <v/>
      </c>
      <c r="J923" s="25" t="str">
        <f ca="1">IF(OR(E923="",E923="!!!",F923="NEW"),"",COUNTBLANK(OFFSET(A$1,,,SUMPRODUCT(MAX(ROW(E$2:E923)*(E923=E$2:E923)))))-COUNTBLANK(OFFSET(A$1,,,SUMPRODUCT(MAX(ROW(E$1:E922)*(E2=E$1:E922))))))</f>
        <v/>
      </c>
      <c r="K923" s="25" t="str">
        <f>IF(OR(E923="",E923="!!!",F923="NEW"),"",INDEX(J$1:J922,SUMPRODUCT(MAX(ROW(E$1:E922)*(E923=E$1:E922)))))</f>
        <v/>
      </c>
      <c r="L923" s="26"/>
    </row>
    <row r="924" spans="1:12" x14ac:dyDescent="0.3">
      <c r="A924" t="s">
        <v>254</v>
      </c>
      <c r="B924" s="20" t="s">
        <v>261</v>
      </c>
      <c r="C924" s="20" t="s">
        <v>197</v>
      </c>
      <c r="E924" s="21" t="str">
        <f t="shared" si="90"/>
        <v/>
      </c>
      <c r="F924" s="22" t="str">
        <f>IF(OR(E924="",E924="!!!"),"",IF(NOT(ISNA(VLOOKUP(E924,E$1:E923,1,FALSE()))),"OLD",IF(AND(E924&lt;&gt;"",E924&lt;&gt;"!!!"),"NEW","")))</f>
        <v/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/>
      </c>
      <c r="H924" s="24" t="str">
        <f t="shared" ca="1" si="91"/>
        <v/>
      </c>
      <c r="I924" s="25" t="str">
        <f>IF(OR(E924="",E924="!!!",F924="NEW"),"",INDEX(B$2:B923,-1+SUMPRODUCT(MAX(ROW(E$2:E923)*(E924=E$2:E923)))))</f>
        <v/>
      </c>
      <c r="J924" s="25" t="str">
        <f ca="1">IF(OR(E924="",E924="!!!",F924="NEW"),"",COUNTBLANK(OFFSET(A$1,,,SUMPRODUCT(MAX(ROW(E$2:E924)*(E924=E$2:E924)))))-COUNTBLANK(OFFSET(A$1,,,SUMPRODUCT(MAX(ROW(E$1:E923)*(E2=E$1:E923))))))</f>
        <v/>
      </c>
      <c r="K924" s="25" t="str">
        <f>IF(OR(E924="",E924="!!!",F924="NEW"),"",INDEX(J$1:J923,SUMPRODUCT(MAX(ROW(E$1:E923)*(E924=E$1:E923)))))</f>
        <v/>
      </c>
      <c r="L924" s="26"/>
    </row>
    <row r="925" spans="1:12" x14ac:dyDescent="0.3">
      <c r="A925" t="s">
        <v>170</v>
      </c>
      <c r="E925" s="21" t="str">
        <f t="shared" si="90"/>
        <v/>
      </c>
      <c r="F925" s="22" t="str">
        <f>IF(OR(E925="",E925="!!!"),"",IF(NOT(ISNA(VLOOKUP(E925,E$1:E924,1,FALSE()))),"OLD",IF(AND(E925&lt;&gt;"",E925&lt;&gt;"!!!"),"NEW","")))</f>
        <v/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/>
      </c>
      <c r="H925" s="24" t="str">
        <f t="shared" ca="1" si="91"/>
        <v/>
      </c>
      <c r="I925" s="25" t="str">
        <f>IF(OR(E925="",E925="!!!",F925="NEW"),"",INDEX(B$2:B924,-1+SUMPRODUCT(MAX(ROW(E$2:E924)*(E925=E$2:E924)))))</f>
        <v/>
      </c>
      <c r="J925" s="25" t="str">
        <f ca="1">IF(OR(E925="",E925="!!!",F925="NEW"),"",COUNTBLANK(OFFSET(A$1,,,SUMPRODUCT(MAX(ROW(E$2:E925)*(E925=E$2:E925)))))-COUNTBLANK(OFFSET(A$1,,,SUMPRODUCT(MAX(ROW(E$1:E924)*(E2=E$1:E924))))))</f>
        <v/>
      </c>
      <c r="K925" s="25" t="str">
        <f>IF(OR(E925="",E925="!!!",F925="NEW"),"",INDEX(J$1:J924,SUMPRODUCT(MAX(ROW(E$1:E924)*(E925=E$1:E924)))))</f>
        <v/>
      </c>
      <c r="L925" s="26"/>
    </row>
    <row r="926" spans="1:12" x14ac:dyDescent="0.3">
      <c r="A926" t="s">
        <v>481</v>
      </c>
      <c r="B926" s="20" t="s">
        <v>201</v>
      </c>
      <c r="C926" s="20" t="s">
        <v>199</v>
      </c>
      <c r="D926" s="20" t="s">
        <v>160</v>
      </c>
      <c r="E926" s="21" t="str">
        <f t="shared" si="90"/>
        <v>!!!</v>
      </c>
      <c r="F926" s="22" t="str">
        <f>IF(OR(E926="",E926="!!!"),"",IF(NOT(ISNA(VLOOKUP(E926,E$1:E925,1,FALSE()))),"OLD",IF(AND(E926&lt;&gt;"",E926&lt;&gt;"!!!"),"NEW","")))</f>
        <v/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/>
      </c>
      <c r="H926" s="24" t="str">
        <f t="shared" ca="1" si="91"/>
        <v/>
      </c>
      <c r="I926" s="25" t="str">
        <f>IF(OR(E926="",E926="!!!",F926="NEW"),"",INDEX(B$2:B925,-1+SUMPRODUCT(MAX(ROW(E$2:E925)*(E926=E$2:E925)))))</f>
        <v/>
      </c>
      <c r="J926" s="25" t="str">
        <f ca="1">IF(OR(E926="",E926="!!!",F926="NEW"),"",COUNTBLANK(OFFSET(A$1,,,SUMPRODUCT(MAX(ROW(E$2:E926)*(E926=E$2:E926)))))-COUNTBLANK(OFFSET(A$1,,,SUMPRODUCT(MAX(ROW(E$1:E925)*(E2=E$1:E925))))))</f>
        <v/>
      </c>
      <c r="K926" s="25" t="str">
        <f>IF(OR(E926="",E926="!!!",F926="NEW"),"",INDEX(J$1:J925,SUMPRODUCT(MAX(ROW(E$1:E925)*(E926=E$1:E925)))))</f>
        <v/>
      </c>
      <c r="L926" s="26"/>
    </row>
    <row r="927" spans="1:12" x14ac:dyDescent="0.3">
      <c r="A927" t="s">
        <v>319</v>
      </c>
      <c r="B927" s="20" t="s">
        <v>183</v>
      </c>
      <c r="C927" s="20" t="s">
        <v>202</v>
      </c>
      <c r="D927" s="20" t="s">
        <v>160</v>
      </c>
      <c r="E927" s="21" t="str">
        <f t="shared" si="90"/>
        <v>!!!</v>
      </c>
      <c r="F927" s="22" t="str">
        <f>IF(OR(E927="",E927="!!!"),"",IF(NOT(ISNA(VLOOKUP(E927,E$1:E926,1,FALSE()))),"OLD",IF(AND(E927&lt;&gt;"",E927&lt;&gt;"!!!"),"NEW","")))</f>
        <v/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/>
      </c>
      <c r="H927" s="24" t="str">
        <f t="shared" ca="1" si="91"/>
        <v/>
      </c>
      <c r="I927" s="25" t="str">
        <f>IF(OR(E927="",E927="!!!",F927="NEW"),"",INDEX(B$2:B926,-1+SUMPRODUCT(MAX(ROW(E$2:E926)*(E927=E$2:E926)))))</f>
        <v/>
      </c>
      <c r="J927" s="25" t="str">
        <f ca="1">IF(OR(E927="",E927="!!!",F927="NEW"),"",COUNTBLANK(OFFSET(A$1,,,SUMPRODUCT(MAX(ROW(E$2:E927)*(E927=E$2:E927)))))-COUNTBLANK(OFFSET(A$1,,,SUMPRODUCT(MAX(ROW(E$1:E926)*(E2=E$1:E926))))))</f>
        <v/>
      </c>
      <c r="K927" s="25" t="str">
        <f>IF(OR(E927="",E927="!!!",F927="NEW"),"",INDEX(J$1:J926,SUMPRODUCT(MAX(ROW(E$1:E926)*(E927=E$1:E926)))))</f>
        <v/>
      </c>
      <c r="L927" s="26"/>
    </row>
    <row r="928" spans="1:12" x14ac:dyDescent="0.3">
      <c r="A928" t="s">
        <v>583</v>
      </c>
      <c r="E928" s="21" t="str">
        <f t="shared" si="90"/>
        <v/>
      </c>
      <c r="F928" s="22" t="str">
        <f>IF(OR(E928="",E928="!!!"),"",IF(NOT(ISNA(VLOOKUP(E928,E$1:E927,1,FALSE()))),"OLD",IF(AND(E928&lt;&gt;"",E928&lt;&gt;"!!!"),"NEW","")))</f>
        <v/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/>
      </c>
      <c r="H928" s="24" t="str">
        <f t="shared" ca="1" si="91"/>
        <v/>
      </c>
      <c r="I928" s="25" t="str">
        <f>IF(OR(E928="",E928="!!!",F928="NEW"),"",INDEX(B$2:B927,-1+SUMPRODUCT(MAX(ROW(E$2:E927)*(E928=E$2:E927)))))</f>
        <v/>
      </c>
      <c r="J928" s="25" t="str">
        <f ca="1">IF(OR(E928="",E928="!!!",F928="NEW"),"",COUNTBLANK(OFFSET(A$1,,,SUMPRODUCT(MAX(ROW(E$2:E928)*(E928=E$2:E928)))))-COUNTBLANK(OFFSET(A$1,,,SUMPRODUCT(MAX(ROW(E$1:E927)*(E2=E$1:E927))))))</f>
        <v/>
      </c>
      <c r="K928" s="25" t="str">
        <f>IF(OR(E928="",E928="!!!",F928="NEW"),"",INDEX(J$1:J927,SUMPRODUCT(MAX(ROW(E$1:E927)*(E928=E$1:E927)))))</f>
        <v/>
      </c>
      <c r="L928" s="26"/>
    </row>
    <row r="929" spans="1:12" x14ac:dyDescent="0.3">
      <c r="A929" t="s">
        <v>584</v>
      </c>
      <c r="B929" s="20" t="s">
        <v>358</v>
      </c>
      <c r="C929" s="20" t="s">
        <v>585</v>
      </c>
      <c r="E929" s="21" t="str">
        <f t="shared" si="90"/>
        <v/>
      </c>
      <c r="F929" s="22" t="str">
        <f>IF(OR(E929="",E929="!!!"),"",IF(NOT(ISNA(VLOOKUP(E929,E$1:E928,1,FALSE()))),"OLD",IF(AND(E929&lt;&gt;"",E929&lt;&gt;"!!!"),"NEW","")))</f>
        <v/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/>
      </c>
      <c r="H929" s="24" t="str">
        <f t="shared" ca="1" si="91"/>
        <v/>
      </c>
      <c r="I929" s="25" t="str">
        <f>IF(OR(E929="",E929="!!!",F929="NEW"),"",INDEX(B$2:B928,-1+SUMPRODUCT(MAX(ROW(E$2:E928)*(E929=E$2:E928)))))</f>
        <v/>
      </c>
      <c r="J929" s="25" t="str">
        <f ca="1">IF(OR(E929="",E929="!!!",F929="NEW"),"",COUNTBLANK(OFFSET(A$1,,,SUMPRODUCT(MAX(ROW(E$2:E929)*(E929=E$2:E929)))))-COUNTBLANK(OFFSET(A$1,,,SUMPRODUCT(MAX(ROW(E$1:E928)*(E2=E$1:E928))))))</f>
        <v/>
      </c>
      <c r="K929" s="25" t="str">
        <f>IF(OR(E929="",E929="!!!",F929="NEW"),"",INDEX(J$1:J928,SUMPRODUCT(MAX(ROW(E$1:E928)*(E929=E$1:E928)))))</f>
        <v/>
      </c>
      <c r="L929" s="26"/>
    </row>
    <row r="930" spans="1:12" x14ac:dyDescent="0.3">
      <c r="A930" t="s">
        <v>586</v>
      </c>
      <c r="E930" s="21" t="str">
        <f t="shared" si="90"/>
        <v/>
      </c>
      <c r="F930" s="22" t="str">
        <f>IF(OR(E930="",E930="!!!"),"",IF(NOT(ISNA(VLOOKUP(E930,E$1:E929,1,FALSE()))),"OLD",IF(AND(E930&lt;&gt;"",E930&lt;&gt;"!!!"),"NEW","")))</f>
        <v/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/>
      </c>
      <c r="H930" s="24" t="str">
        <f t="shared" ca="1" si="91"/>
        <v/>
      </c>
      <c r="I930" s="25" t="str">
        <f>IF(OR(E930="",E930="!!!",F930="NEW"),"",INDEX(B$2:B929,-1+SUMPRODUCT(MAX(ROW(E$2:E929)*(E930=E$2:E929)))))</f>
        <v/>
      </c>
      <c r="J930" s="25" t="str">
        <f ca="1">IF(OR(E930="",E930="!!!",F930="NEW"),"",COUNTBLANK(OFFSET(A$1,,,SUMPRODUCT(MAX(ROW(E$2:E930)*(E930=E$2:E930)))))-COUNTBLANK(OFFSET(A$1,,,SUMPRODUCT(MAX(ROW(E$1:E929)*(E2=E$1:E929))))))</f>
        <v/>
      </c>
      <c r="K930" s="25" t="str">
        <f>IF(OR(E930="",E930="!!!",F930="NEW"),"",INDEX(J$1:J929,SUMPRODUCT(MAX(ROW(E$1:E929)*(E930=E$1:E929)))))</f>
        <v/>
      </c>
      <c r="L930" s="26"/>
    </row>
    <row r="931" spans="1:12" x14ac:dyDescent="0.3">
      <c r="A931" t="s">
        <v>212</v>
      </c>
      <c r="E931" s="21" t="str">
        <f t="shared" si="90"/>
        <v/>
      </c>
      <c r="F931" s="22" t="str">
        <f>IF(OR(E931="",E931="!!!"),"",IF(NOT(ISNA(VLOOKUP(E931,E$1:E930,1,FALSE()))),"OLD",IF(AND(E931&lt;&gt;"",E931&lt;&gt;"!!!"),"NEW","")))</f>
        <v/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/>
      </c>
      <c r="H931" s="24" t="str">
        <f t="shared" ca="1" si="91"/>
        <v/>
      </c>
      <c r="I931" s="25" t="str">
        <f>IF(OR(E931="",E931="!!!",F931="NEW"),"",INDEX(B$2:B930,-1+SUMPRODUCT(MAX(ROW(E$2:E930)*(E931=E$2:E930)))))</f>
        <v/>
      </c>
      <c r="J931" s="25" t="str">
        <f ca="1">IF(OR(E931="",E931="!!!",F931="NEW"),"",COUNTBLANK(OFFSET(A$1,,,SUMPRODUCT(MAX(ROW(E$2:E931)*(E931=E$2:E931)))))-COUNTBLANK(OFFSET(A$1,,,SUMPRODUCT(MAX(ROW(E$1:E930)*(E2=E$1:E930))))))</f>
        <v/>
      </c>
      <c r="K931" s="25" t="str">
        <f>IF(OR(E931="",E931="!!!",F931="NEW"),"",INDEX(J$1:J930,SUMPRODUCT(MAX(ROW(E$1:E930)*(E931=E$1:E930)))))</f>
        <v/>
      </c>
      <c r="L931" s="26"/>
    </row>
    <row r="933" spans="1:12" x14ac:dyDescent="0.3">
      <c r="A933" t="s">
        <v>587</v>
      </c>
    </row>
    <row r="934" spans="1:12" x14ac:dyDescent="0.3">
      <c r="A934" t="s">
        <v>555</v>
      </c>
      <c r="E934" s="21" t="str">
        <f t="shared" ref="E934:E945" si="92">IF(D934="?OLD","!!!","")</f>
        <v/>
      </c>
      <c r="F934" s="22" t="str">
        <f>IF(OR(E934="",E934="!!!"),"",IF(NOT(ISNA(VLOOKUP(E934,E$1:E933,1,FALSE()))),"OLD",IF(AND(E934&lt;&gt;"",E934&lt;&gt;"!!!"),"NEW","")))</f>
        <v/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/>
      </c>
      <c r="H934" s="24" t="str">
        <f t="shared" ref="H934:H945" ca="1" si="93">IF(J934&lt;&gt;1,"",IF(I934="SBJ","CB","?"))</f>
        <v/>
      </c>
      <c r="I934" s="25" t="str">
        <f>IF(OR(E934="",E934="!!!",F934="NEW"),"",INDEX(B$2:B933,-1+SUMPRODUCT(MAX(ROW(E$2:E933)*(E934=E$2:E933)))))</f>
        <v/>
      </c>
      <c r="J934" s="25" t="str">
        <f ca="1">IF(OR(E934="",E934="!!!",F934="NEW"),"",COUNTBLANK(OFFSET(A$1,,,SUMPRODUCT(MAX(ROW(E$2:E934)*(E934=E$2:E934)))))-COUNTBLANK(OFFSET(A$1,,,SUMPRODUCT(MAX(ROW(E$1:E933)*(E2=E$1:E933))))))</f>
        <v/>
      </c>
      <c r="K934" s="25" t="str">
        <f>IF(OR(E934="",E934="!!!",F934="NEW"),"",INDEX(J$1:J933,SUMPRODUCT(MAX(ROW(E$1:E933)*(E934=E$1:E933)))))</f>
        <v/>
      </c>
      <c r="L934" s="26"/>
    </row>
    <row r="935" spans="1:12" x14ac:dyDescent="0.3">
      <c r="A935" t="s">
        <v>235</v>
      </c>
      <c r="E935" s="21" t="str">
        <f t="shared" si="92"/>
        <v/>
      </c>
      <c r="F935" s="22" t="str">
        <f>IF(OR(E935="",E935="!!!"),"",IF(NOT(ISNA(VLOOKUP(E935,E$1:E934,1,FALSE()))),"OLD",IF(AND(E935&lt;&gt;"",E935&lt;&gt;"!!!"),"NEW","")))</f>
        <v/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/>
      </c>
      <c r="H935" s="24" t="str">
        <f t="shared" ca="1" si="93"/>
        <v/>
      </c>
      <c r="I935" s="25" t="str">
        <f>IF(OR(E935="",E935="!!!",F935="NEW"),"",INDEX(B$2:B934,-1+SUMPRODUCT(MAX(ROW(E$2:E934)*(E935=E$2:E934)))))</f>
        <v/>
      </c>
      <c r="J935" s="25" t="str">
        <f ca="1">IF(OR(E935="",E935="!!!",F935="NEW"),"",COUNTBLANK(OFFSET(A$1,,,SUMPRODUCT(MAX(ROW(E$2:E935)*(E935=E$2:E935)))))-COUNTBLANK(OFFSET(A$1,,,SUMPRODUCT(MAX(ROW(E$1:E934)*(E2=E$1:E934))))))</f>
        <v/>
      </c>
      <c r="K935" s="25" t="str">
        <f>IF(OR(E935="",E935="!!!",F935="NEW"),"",INDEX(J$1:J934,SUMPRODUCT(MAX(ROW(E$1:E934)*(E935=E$1:E934)))))</f>
        <v/>
      </c>
      <c r="L935" s="26"/>
    </row>
    <row r="936" spans="1:12" x14ac:dyDescent="0.3">
      <c r="A936" t="s">
        <v>239</v>
      </c>
      <c r="B936" s="20" t="s">
        <v>187</v>
      </c>
      <c r="C936" s="20" t="s">
        <v>206</v>
      </c>
      <c r="D936" s="20" t="s">
        <v>160</v>
      </c>
      <c r="E936" s="21" t="str">
        <f t="shared" si="92"/>
        <v>!!!</v>
      </c>
      <c r="F936" s="22" t="str">
        <f>IF(OR(E936="",E936="!!!"),"",IF(NOT(ISNA(VLOOKUP(E936,E$1:E935,1,FALSE()))),"OLD",IF(AND(E936&lt;&gt;"",E936&lt;&gt;"!!!"),"NEW","")))</f>
        <v/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/>
      </c>
      <c r="H936" s="24" t="str">
        <f t="shared" ca="1" si="93"/>
        <v/>
      </c>
      <c r="I936" s="25" t="str">
        <f>IF(OR(E936="",E936="!!!",F936="NEW"),"",INDEX(B$2:B935,-1+SUMPRODUCT(MAX(ROW(E$2:E935)*(E936=E$2:E935)))))</f>
        <v/>
      </c>
      <c r="J936" s="25" t="str">
        <f ca="1">IF(OR(E936="",E936="!!!",F936="NEW"),"",COUNTBLANK(OFFSET(A$1,,,SUMPRODUCT(MAX(ROW(E$2:E936)*(E936=E$2:E936)))))-COUNTBLANK(OFFSET(A$1,,,SUMPRODUCT(MAX(ROW(E$1:E935)*(E2=E$1:E935))))))</f>
        <v/>
      </c>
      <c r="K936" s="25" t="str">
        <f>IF(OR(E936="",E936="!!!",F936="NEW"),"",INDEX(J$1:J935,SUMPRODUCT(MAX(ROW(E$1:E935)*(E936=E$1:E935)))))</f>
        <v/>
      </c>
      <c r="L936" s="26"/>
    </row>
    <row r="937" spans="1:12" x14ac:dyDescent="0.3">
      <c r="A937" t="s">
        <v>588</v>
      </c>
      <c r="B937" s="20" t="s">
        <v>158</v>
      </c>
      <c r="C937" s="20" t="s">
        <v>167</v>
      </c>
      <c r="E937" s="21" t="str">
        <f t="shared" si="92"/>
        <v/>
      </c>
      <c r="F937" s="22" t="str">
        <f>IF(OR(E937="",E937="!!!"),"",IF(NOT(ISNA(VLOOKUP(E937,E$1:E936,1,FALSE()))),"OLD",IF(AND(E937&lt;&gt;"",E937&lt;&gt;"!!!"),"NEW","")))</f>
        <v/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/>
      </c>
      <c r="H937" s="24" t="str">
        <f t="shared" ca="1" si="93"/>
        <v/>
      </c>
      <c r="I937" s="25" t="str">
        <f>IF(OR(E937="",E937="!!!",F937="NEW"),"",INDEX(B$2:B936,-1+SUMPRODUCT(MAX(ROW(E$2:E936)*(E937=E$2:E936)))))</f>
        <v/>
      </c>
      <c r="J937" s="25" t="str">
        <f ca="1">IF(OR(E937="",E937="!!!",F937="NEW"),"",COUNTBLANK(OFFSET(A$1,,,SUMPRODUCT(MAX(ROW(E$2:E937)*(E937=E$2:E937)))))-COUNTBLANK(OFFSET(A$1,,,SUMPRODUCT(MAX(ROW(E$1:E936)*(E2=E$1:E936))))))</f>
        <v/>
      </c>
      <c r="K937" s="25" t="str">
        <f>IF(OR(E937="",E937="!!!",F937="NEW"),"",INDEX(J$1:J936,SUMPRODUCT(MAX(ROW(E$1:E936)*(E937=E$1:E936)))))</f>
        <v/>
      </c>
      <c r="L937" s="26"/>
    </row>
    <row r="938" spans="1:12" x14ac:dyDescent="0.3">
      <c r="A938" t="s">
        <v>185</v>
      </c>
      <c r="E938" s="21" t="str">
        <f t="shared" si="92"/>
        <v/>
      </c>
      <c r="F938" s="22" t="str">
        <f>IF(OR(E938="",E938="!!!"),"",IF(NOT(ISNA(VLOOKUP(E938,E$1:E937,1,FALSE()))),"OLD",IF(AND(E938&lt;&gt;"",E938&lt;&gt;"!!!"),"NEW","")))</f>
        <v/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/>
      </c>
      <c r="H938" s="24" t="str">
        <f t="shared" ca="1" si="93"/>
        <v/>
      </c>
      <c r="I938" s="25" t="str">
        <f>IF(OR(E938="",E938="!!!",F938="NEW"),"",INDEX(B$2:B937,-1+SUMPRODUCT(MAX(ROW(E$2:E937)*(E938=E$2:E937)))))</f>
        <v/>
      </c>
      <c r="J938" s="25" t="str">
        <f ca="1">IF(OR(E938="",E938="!!!",F938="NEW"),"",COUNTBLANK(OFFSET(A$1,,,SUMPRODUCT(MAX(ROW(E$2:E938)*(E938=E$2:E938)))))-COUNTBLANK(OFFSET(A$1,,,SUMPRODUCT(MAX(ROW(E$1:E937)*(E2=E$1:E937))))))</f>
        <v/>
      </c>
      <c r="K938" s="25" t="str">
        <f>IF(OR(E938="",E938="!!!",F938="NEW"),"",INDEX(J$1:J937,SUMPRODUCT(MAX(ROW(E$1:E937)*(E938=E$1:E937)))))</f>
        <v/>
      </c>
      <c r="L938" s="26"/>
    </row>
    <row r="939" spans="1:12" x14ac:dyDescent="0.3">
      <c r="A939" t="s">
        <v>188</v>
      </c>
      <c r="E939" s="21" t="str">
        <f t="shared" si="92"/>
        <v/>
      </c>
      <c r="F939" s="22" t="str">
        <f>IF(OR(E939="",E939="!!!"),"",IF(NOT(ISNA(VLOOKUP(E939,E$1:E938,1,FALSE()))),"OLD",IF(AND(E939&lt;&gt;"",E939&lt;&gt;"!!!"),"NEW","")))</f>
        <v/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/>
      </c>
      <c r="H939" s="24" t="str">
        <f t="shared" ca="1" si="93"/>
        <v/>
      </c>
      <c r="I939" s="25" t="str">
        <f>IF(OR(E939="",E939="!!!",F939="NEW"),"",INDEX(B$2:B938,-1+SUMPRODUCT(MAX(ROW(E$2:E938)*(E939=E$2:E938)))))</f>
        <v/>
      </c>
      <c r="J939" s="25" t="str">
        <f ca="1">IF(OR(E939="",E939="!!!",F939="NEW"),"",COUNTBLANK(OFFSET(A$1,,,SUMPRODUCT(MAX(ROW(E$2:E939)*(E939=E$2:E939)))))-COUNTBLANK(OFFSET(A$1,,,SUMPRODUCT(MAX(ROW(E$1:E938)*(E2=E$1:E938))))))</f>
        <v/>
      </c>
      <c r="K939" s="25" t="str">
        <f>IF(OR(E939="",E939="!!!",F939="NEW"),"",INDEX(J$1:J938,SUMPRODUCT(MAX(ROW(E$1:E938)*(E939=E$1:E938)))))</f>
        <v/>
      </c>
      <c r="L939" s="26"/>
    </row>
    <row r="940" spans="1:12" x14ac:dyDescent="0.3">
      <c r="A940" t="s">
        <v>481</v>
      </c>
      <c r="B940" s="20" t="s">
        <v>183</v>
      </c>
      <c r="C940" s="20" t="s">
        <v>199</v>
      </c>
      <c r="D940" s="20" t="s">
        <v>160</v>
      </c>
      <c r="E940" s="21" t="str">
        <f t="shared" si="92"/>
        <v>!!!</v>
      </c>
      <c r="F940" s="22" t="str">
        <f>IF(OR(E940="",E940="!!!"),"",IF(NOT(ISNA(VLOOKUP(E940,E$1:E939,1,FALSE()))),"OLD",IF(AND(E940&lt;&gt;"",E940&lt;&gt;"!!!"),"NEW","")))</f>
        <v/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/>
      </c>
      <c r="H940" s="24" t="str">
        <f t="shared" ca="1" si="93"/>
        <v/>
      </c>
      <c r="I940" s="25" t="str">
        <f>IF(OR(E940="",E940="!!!",F940="NEW"),"",INDEX(B$2:B939,-1+SUMPRODUCT(MAX(ROW(E$2:E939)*(E940=E$2:E939)))))</f>
        <v/>
      </c>
      <c r="J940" s="25" t="str">
        <f ca="1">IF(OR(E940="",E940="!!!",F940="NEW"),"",COUNTBLANK(OFFSET(A$1,,,SUMPRODUCT(MAX(ROW(E$2:E940)*(E940=E$2:E940)))))-COUNTBLANK(OFFSET(A$1,,,SUMPRODUCT(MAX(ROW(E$1:E939)*(E2=E$1:E939))))))</f>
        <v/>
      </c>
      <c r="K940" s="25" t="str">
        <f>IF(OR(E940="",E940="!!!",F940="NEW"),"",INDEX(J$1:J939,SUMPRODUCT(MAX(ROW(E$1:E939)*(E940=E$1:E939)))))</f>
        <v/>
      </c>
      <c r="L940" s="26"/>
    </row>
    <row r="941" spans="1:12" x14ac:dyDescent="0.3">
      <c r="A941" t="s">
        <v>589</v>
      </c>
      <c r="B941" s="20" t="s">
        <v>172</v>
      </c>
      <c r="C941" s="20" t="s">
        <v>202</v>
      </c>
      <c r="D941" s="20" t="s">
        <v>160</v>
      </c>
      <c r="E941" s="21" t="str">
        <f t="shared" si="92"/>
        <v>!!!</v>
      </c>
      <c r="F941" s="22" t="str">
        <f>IF(OR(E941="",E941="!!!"),"",IF(NOT(ISNA(VLOOKUP(E941,E$1:E940,1,FALSE()))),"OLD",IF(AND(E941&lt;&gt;"",E941&lt;&gt;"!!!"),"NEW","")))</f>
        <v/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/>
      </c>
      <c r="H941" s="24" t="str">
        <f t="shared" ca="1" si="93"/>
        <v/>
      </c>
      <c r="I941" s="25" t="str">
        <f>IF(OR(E941="",E941="!!!",F941="NEW"),"",INDEX(B$2:B940,-1+SUMPRODUCT(MAX(ROW(E$2:E940)*(E941=E$2:E940)))))</f>
        <v/>
      </c>
      <c r="J941" s="25" t="str">
        <f ca="1">IF(OR(E941="",E941="!!!",F941="NEW"),"",COUNTBLANK(OFFSET(A$1,,,SUMPRODUCT(MAX(ROW(E$2:E941)*(E941=E$2:E941)))))-COUNTBLANK(OFFSET(A$1,,,SUMPRODUCT(MAX(ROW(E$1:E940)*(E2=E$1:E940))))))</f>
        <v/>
      </c>
      <c r="K941" s="25" t="str">
        <f>IF(OR(E941="",E941="!!!",F941="NEW"),"",INDEX(J$1:J940,SUMPRODUCT(MAX(ROW(E$1:E940)*(E941=E$1:E940)))))</f>
        <v/>
      </c>
      <c r="L941" s="26"/>
    </row>
    <row r="942" spans="1:12" x14ac:dyDescent="0.3">
      <c r="A942" t="s">
        <v>354</v>
      </c>
      <c r="E942" s="21" t="str">
        <f t="shared" si="92"/>
        <v/>
      </c>
      <c r="F942" s="22" t="str">
        <f>IF(OR(E942="",E942="!!!"),"",IF(NOT(ISNA(VLOOKUP(E942,E$1:E941,1,FALSE()))),"OLD",IF(AND(E942&lt;&gt;"",E942&lt;&gt;"!!!"),"NEW","")))</f>
        <v/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/>
      </c>
      <c r="H942" s="24" t="str">
        <f t="shared" ca="1" si="93"/>
        <v/>
      </c>
      <c r="I942" s="25" t="str">
        <f>IF(OR(E942="",E942="!!!",F942="NEW"),"",INDEX(B$2:B941,-1+SUMPRODUCT(MAX(ROW(E$2:E941)*(E942=E$2:E941)))))</f>
        <v/>
      </c>
      <c r="J942" s="25" t="str">
        <f ca="1">IF(OR(E942="",E942="!!!",F942="NEW"),"",COUNTBLANK(OFFSET(A$1,,,SUMPRODUCT(MAX(ROW(E$2:E942)*(E942=E$2:E942)))))-COUNTBLANK(OFFSET(A$1,,,SUMPRODUCT(MAX(ROW(E$1:E941)*(E2=E$1:E941))))))</f>
        <v/>
      </c>
      <c r="K942" s="25" t="str">
        <f>IF(OR(E942="",E942="!!!",F942="NEW"),"",INDEX(J$1:J941,SUMPRODUCT(MAX(ROW(E$1:E941)*(E942=E$1:E941)))))</f>
        <v/>
      </c>
      <c r="L942" s="26"/>
    </row>
    <row r="943" spans="1:12" x14ac:dyDescent="0.3">
      <c r="A943" t="s">
        <v>195</v>
      </c>
      <c r="E943" s="21" t="str">
        <f t="shared" si="92"/>
        <v/>
      </c>
      <c r="F943" s="22" t="str">
        <f>IF(OR(E943="",E943="!!!"),"",IF(NOT(ISNA(VLOOKUP(E943,E$1:E942,1,FALSE()))),"OLD",IF(AND(E943&lt;&gt;"",E943&lt;&gt;"!!!"),"NEW","")))</f>
        <v/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/>
      </c>
      <c r="H943" s="24" t="str">
        <f t="shared" ca="1" si="93"/>
        <v/>
      </c>
      <c r="I943" s="25" t="str">
        <f>IF(OR(E943="",E943="!!!",F943="NEW"),"",INDEX(B$2:B942,-1+SUMPRODUCT(MAX(ROW(E$2:E942)*(E943=E$2:E942)))))</f>
        <v/>
      </c>
      <c r="J943" s="25" t="str">
        <f ca="1">IF(OR(E943="",E943="!!!",F943="NEW"),"",COUNTBLANK(OFFSET(A$1,,,SUMPRODUCT(MAX(ROW(E$2:E943)*(E943=E$2:E943)))))-COUNTBLANK(OFFSET(A$1,,,SUMPRODUCT(MAX(ROW(E$1:E942)*(E2=E$1:E942))))))</f>
        <v/>
      </c>
      <c r="K943" s="25" t="str">
        <f>IF(OR(E943="",E943="!!!",F943="NEW"),"",INDEX(J$1:J942,SUMPRODUCT(MAX(ROW(E$1:E942)*(E943=E$1:E942)))))</f>
        <v/>
      </c>
      <c r="L943" s="26"/>
    </row>
    <row r="944" spans="1:12" x14ac:dyDescent="0.3">
      <c r="A944" t="s">
        <v>590</v>
      </c>
      <c r="E944" s="21" t="str">
        <f t="shared" si="92"/>
        <v/>
      </c>
      <c r="F944" s="22" t="str">
        <f>IF(OR(E944="",E944="!!!"),"",IF(NOT(ISNA(VLOOKUP(E944,E$1:E943,1,FALSE()))),"OLD",IF(AND(E944&lt;&gt;"",E944&lt;&gt;"!!!"),"NEW","")))</f>
        <v/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/>
      </c>
      <c r="H944" s="24" t="str">
        <f t="shared" ca="1" si="93"/>
        <v/>
      </c>
      <c r="I944" s="25" t="str">
        <f>IF(OR(E944="",E944="!!!",F944="NEW"),"",INDEX(B$2:B943,-1+SUMPRODUCT(MAX(ROW(E$2:E943)*(E944=E$2:E943)))))</f>
        <v/>
      </c>
      <c r="J944" s="25" t="str">
        <f ca="1">IF(OR(E944="",E944="!!!",F944="NEW"),"",COUNTBLANK(OFFSET(A$1,,,SUMPRODUCT(MAX(ROW(E$2:E944)*(E944=E$2:E944)))))-COUNTBLANK(OFFSET(A$1,,,SUMPRODUCT(MAX(ROW(E$1:E943)*(E2=E$1:E943))))))</f>
        <v/>
      </c>
      <c r="K944" s="25" t="str">
        <f>IF(OR(E944="",E944="!!!",F944="NEW"),"",INDEX(J$1:J943,SUMPRODUCT(MAX(ROW(E$1:E943)*(E944=E$1:E943)))))</f>
        <v/>
      </c>
      <c r="L944" s="26"/>
    </row>
    <row r="945" spans="1:12" x14ac:dyDescent="0.3">
      <c r="A945" t="s">
        <v>212</v>
      </c>
      <c r="E945" s="21" t="str">
        <f t="shared" si="92"/>
        <v/>
      </c>
      <c r="F945" s="22" t="str">
        <f>IF(OR(E945="",E945="!!!"),"",IF(NOT(ISNA(VLOOKUP(E945,E$1:E944,1,FALSE()))),"OLD",IF(AND(E945&lt;&gt;"",E945&lt;&gt;"!!!"),"NEW","")))</f>
        <v/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/>
      </c>
      <c r="H945" s="24" t="str">
        <f t="shared" ca="1" si="93"/>
        <v/>
      </c>
      <c r="I945" s="25" t="str">
        <f>IF(OR(E945="",E945="!!!",F945="NEW"),"",INDEX(B$2:B944,-1+SUMPRODUCT(MAX(ROW(E$2:E944)*(E945=E$2:E944)))))</f>
        <v/>
      </c>
      <c r="J945" s="25" t="str">
        <f ca="1">IF(OR(E945="",E945="!!!",F945="NEW"),"",COUNTBLANK(OFFSET(A$1,,,SUMPRODUCT(MAX(ROW(E$2:E945)*(E945=E$2:E945)))))-COUNTBLANK(OFFSET(A$1,,,SUMPRODUCT(MAX(ROW(E$1:E944)*(E2=E$1:E944))))))</f>
        <v/>
      </c>
      <c r="K945" s="25" t="str">
        <f>IF(OR(E945="",E945="!!!",F945="NEW"),"",INDEX(J$1:J944,SUMPRODUCT(MAX(ROW(E$1:E944)*(E945=E$1:E944)))))</f>
        <v/>
      </c>
      <c r="L945" s="26"/>
    </row>
    <row r="947" spans="1:12" x14ac:dyDescent="0.3">
      <c r="A947" t="s">
        <v>591</v>
      </c>
    </row>
    <row r="948" spans="1:12" x14ac:dyDescent="0.3">
      <c r="A948" t="s">
        <v>592</v>
      </c>
      <c r="B948" s="20" t="s">
        <v>191</v>
      </c>
      <c r="C948" s="20" t="s">
        <v>177</v>
      </c>
      <c r="D948" s="20" t="s">
        <v>160</v>
      </c>
      <c r="E948" s="21" t="str">
        <f t="shared" ref="E948:E961" si="94">IF(D948="?OLD","!!!","")</f>
        <v>!!!</v>
      </c>
      <c r="F948" s="22" t="str">
        <f>IF(OR(E948="",E948="!!!"),"",IF(NOT(ISNA(VLOOKUP(E948,E$1:E947,1,FALSE()))),"OLD",IF(AND(E948&lt;&gt;"",E948&lt;&gt;"!!!"),"NEW","")))</f>
        <v/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/>
      </c>
      <c r="H948" s="24" t="str">
        <f t="shared" ref="H948:H961" ca="1" si="95">IF(J948&lt;&gt;1,"",IF(I948="SBJ","CB","?"))</f>
        <v/>
      </c>
      <c r="I948" s="25" t="str">
        <f>IF(OR(E948="",E948="!!!",F948="NEW"),"",INDEX(B$2:B947,-1+SUMPRODUCT(MAX(ROW(E$2:E947)*(E948=E$2:E947)))))</f>
        <v/>
      </c>
      <c r="J948" s="25" t="str">
        <f ca="1">IF(OR(E948="",E948="!!!",F948="NEW"),"",COUNTBLANK(OFFSET(A$1,,,SUMPRODUCT(MAX(ROW(E$2:E948)*(E948=E$2:E948)))))-COUNTBLANK(OFFSET(A$1,,,SUMPRODUCT(MAX(ROW(E$1:E947)*(E2=E$1:E947))))))</f>
        <v/>
      </c>
      <c r="K948" s="25" t="str">
        <f>IF(OR(E948="",E948="!!!",F948="NEW"),"",INDEX(J$1:J947,SUMPRODUCT(MAX(ROW(E$1:E947)*(E948=E$1:E947)))))</f>
        <v/>
      </c>
      <c r="L948" s="26"/>
    </row>
    <row r="949" spans="1:12" x14ac:dyDescent="0.3">
      <c r="A949" t="s">
        <v>593</v>
      </c>
      <c r="E949" s="21" t="str">
        <f t="shared" si="94"/>
        <v/>
      </c>
      <c r="F949" s="22" t="str">
        <f>IF(OR(E949="",E949="!!!"),"",IF(NOT(ISNA(VLOOKUP(E949,E$1:E948,1,FALSE()))),"OLD",IF(AND(E949&lt;&gt;"",E949&lt;&gt;"!!!"),"NEW","")))</f>
        <v/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/>
      </c>
      <c r="H949" s="24" t="str">
        <f t="shared" ca="1" si="95"/>
        <v/>
      </c>
      <c r="I949" s="25" t="str">
        <f>IF(OR(E949="",E949="!!!",F949="NEW"),"",INDEX(B$2:B948,-1+SUMPRODUCT(MAX(ROW(E$2:E948)*(E949=E$2:E948)))))</f>
        <v/>
      </c>
      <c r="J949" s="25" t="str">
        <f ca="1">IF(OR(E949="",E949="!!!",F949="NEW"),"",COUNTBLANK(OFFSET(A$1,,,SUMPRODUCT(MAX(ROW(E$2:E949)*(E949=E$2:E949)))))-COUNTBLANK(OFFSET(A$1,,,SUMPRODUCT(MAX(ROW(E$1:E948)*(E2=E$1:E948))))))</f>
        <v/>
      </c>
      <c r="K949" s="25" t="str">
        <f>IF(OR(E949="",E949="!!!",F949="NEW"),"",INDEX(J$1:J948,SUMPRODUCT(MAX(ROW(E$1:E948)*(E949=E$1:E948)))))</f>
        <v/>
      </c>
      <c r="L949" s="26"/>
    </row>
    <row r="950" spans="1:12" x14ac:dyDescent="0.3">
      <c r="A950" t="s">
        <v>398</v>
      </c>
      <c r="E950" s="21" t="str">
        <f t="shared" si="94"/>
        <v/>
      </c>
      <c r="F950" s="22" t="str">
        <f>IF(OR(E950="",E950="!!!"),"",IF(NOT(ISNA(VLOOKUP(E950,E$1:E949,1,FALSE()))),"OLD",IF(AND(E950&lt;&gt;"",E950&lt;&gt;"!!!"),"NEW","")))</f>
        <v/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/>
      </c>
      <c r="H950" s="24" t="str">
        <f t="shared" ca="1" si="95"/>
        <v/>
      </c>
      <c r="I950" s="25" t="str">
        <f>IF(OR(E950="",E950="!!!",F950="NEW"),"",INDEX(B$2:B949,-1+SUMPRODUCT(MAX(ROW(E$2:E949)*(E950=E$2:E949)))))</f>
        <v/>
      </c>
      <c r="J950" s="25" t="str">
        <f ca="1">IF(OR(E950="",E950="!!!",F950="NEW"),"",COUNTBLANK(OFFSET(A$1,,,SUMPRODUCT(MAX(ROW(E$2:E950)*(E950=E$2:E950)))))-COUNTBLANK(OFFSET(A$1,,,SUMPRODUCT(MAX(ROW(E$1:E949)*(E2=E$1:E949))))))</f>
        <v/>
      </c>
      <c r="K950" s="25" t="str">
        <f>IF(OR(E950="",E950="!!!",F950="NEW"),"",INDEX(J$1:J949,SUMPRODUCT(MAX(ROW(E$1:E949)*(E950=E$1:E949)))))</f>
        <v/>
      </c>
      <c r="L950" s="26"/>
    </row>
    <row r="951" spans="1:12" x14ac:dyDescent="0.3">
      <c r="A951" t="s">
        <v>594</v>
      </c>
      <c r="E951" s="21" t="str">
        <f t="shared" si="94"/>
        <v/>
      </c>
      <c r="F951" s="22" t="str">
        <f>IF(OR(E951="",E951="!!!"),"",IF(NOT(ISNA(VLOOKUP(E951,E$1:E950,1,FALSE()))),"OLD",IF(AND(E951&lt;&gt;"",E951&lt;&gt;"!!!"),"NEW","")))</f>
        <v/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/>
      </c>
      <c r="H951" s="24" t="str">
        <f t="shared" ca="1" si="95"/>
        <v/>
      </c>
      <c r="I951" s="25" t="str">
        <f>IF(OR(E951="",E951="!!!",F951="NEW"),"",INDEX(B$2:B950,-1+SUMPRODUCT(MAX(ROW(E$2:E950)*(E951=E$2:E950)))))</f>
        <v/>
      </c>
      <c r="J951" s="25" t="str">
        <f ca="1">IF(OR(E951="",E951="!!!",F951="NEW"),"",COUNTBLANK(OFFSET(A$1,,,SUMPRODUCT(MAX(ROW(E$2:E951)*(E951=E$2:E951)))))-COUNTBLANK(OFFSET(A$1,,,SUMPRODUCT(MAX(ROW(E$1:E950)*(E2=E$1:E950))))))</f>
        <v/>
      </c>
      <c r="K951" s="25" t="str">
        <f>IF(OR(E951="",E951="!!!",F951="NEW"),"",INDEX(J$1:J950,SUMPRODUCT(MAX(ROW(E$1:E950)*(E951=E$1:E950)))))</f>
        <v/>
      </c>
      <c r="L951" s="26"/>
    </row>
    <row r="952" spans="1:12" x14ac:dyDescent="0.3">
      <c r="A952" t="s">
        <v>185</v>
      </c>
      <c r="E952" s="21" t="str">
        <f t="shared" si="94"/>
        <v/>
      </c>
      <c r="F952" s="22" t="str">
        <f>IF(OR(E952="",E952="!!!"),"",IF(NOT(ISNA(VLOOKUP(E952,E$1:E951,1,FALSE()))),"OLD",IF(AND(E952&lt;&gt;"",E952&lt;&gt;"!!!"),"NEW","")))</f>
        <v/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/>
      </c>
      <c r="H952" s="24" t="str">
        <f t="shared" ca="1" si="95"/>
        <v/>
      </c>
      <c r="I952" s="25" t="str">
        <f>IF(OR(E952="",E952="!!!",F952="NEW"),"",INDEX(B$2:B951,-1+SUMPRODUCT(MAX(ROW(E$2:E951)*(E952=E$2:E951)))))</f>
        <v/>
      </c>
      <c r="J952" s="25" t="str">
        <f ca="1">IF(OR(E952="",E952="!!!",F952="NEW"),"",COUNTBLANK(OFFSET(A$1,,,SUMPRODUCT(MAX(ROW(E$2:E952)*(E952=E$2:E952)))))-COUNTBLANK(OFFSET(A$1,,,SUMPRODUCT(MAX(ROW(E$1:E951)*(E2=E$1:E951))))))</f>
        <v/>
      </c>
      <c r="K952" s="25" t="str">
        <f>IF(OR(E952="",E952="!!!",F952="NEW"),"",INDEX(J$1:J951,SUMPRODUCT(MAX(ROW(E$1:E951)*(E952=E$1:E951)))))</f>
        <v/>
      </c>
      <c r="L952" s="26"/>
    </row>
    <row r="953" spans="1:12" x14ac:dyDescent="0.3">
      <c r="A953" t="s">
        <v>253</v>
      </c>
      <c r="E953" s="21" t="str">
        <f t="shared" si="94"/>
        <v/>
      </c>
      <c r="F953" s="22" t="str">
        <f>IF(OR(E953="",E953="!!!"),"",IF(NOT(ISNA(VLOOKUP(E953,E$1:E952,1,FALSE()))),"OLD",IF(AND(E953&lt;&gt;"",E953&lt;&gt;"!!!"),"NEW","")))</f>
        <v/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/>
      </c>
      <c r="H953" s="24" t="str">
        <f t="shared" ca="1" si="95"/>
        <v/>
      </c>
      <c r="I953" s="25" t="str">
        <f>IF(OR(E953="",E953="!!!",F953="NEW"),"",INDEX(B$2:B952,-1+SUMPRODUCT(MAX(ROW(E$2:E952)*(E953=E$2:E952)))))</f>
        <v/>
      </c>
      <c r="J953" s="25" t="str">
        <f ca="1">IF(OR(E953="",E953="!!!",F953="NEW"),"",COUNTBLANK(OFFSET(A$1,,,SUMPRODUCT(MAX(ROW(E$2:E953)*(E953=E$2:E953)))))-COUNTBLANK(OFFSET(A$1,,,SUMPRODUCT(MAX(ROW(E$1:E952)*(E2=E$1:E952))))))</f>
        <v/>
      </c>
      <c r="K953" s="25" t="str">
        <f>IF(OR(E953="",E953="!!!",F953="NEW"),"",INDEX(J$1:J952,SUMPRODUCT(MAX(ROW(E$1:E952)*(E953=E$1:E952)))))</f>
        <v/>
      </c>
      <c r="L953" s="26"/>
    </row>
    <row r="954" spans="1:12" x14ac:dyDescent="0.3">
      <c r="A954" t="s">
        <v>595</v>
      </c>
      <c r="B954" s="20" t="s">
        <v>176</v>
      </c>
      <c r="C954" s="20" t="s">
        <v>159</v>
      </c>
      <c r="D954" s="20" t="s">
        <v>160</v>
      </c>
      <c r="E954" s="21" t="str">
        <f t="shared" si="94"/>
        <v>!!!</v>
      </c>
      <c r="F954" s="22" t="str">
        <f>IF(OR(E954="",E954="!!!"),"",IF(NOT(ISNA(VLOOKUP(E954,E$1:E953,1,FALSE()))),"OLD",IF(AND(E954&lt;&gt;"",E954&lt;&gt;"!!!"),"NEW","")))</f>
        <v/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/>
      </c>
      <c r="H954" s="24" t="str">
        <f t="shared" ca="1" si="95"/>
        <v/>
      </c>
      <c r="I954" s="25" t="str">
        <f>IF(OR(E954="",E954="!!!",F954="NEW"),"",INDEX(B$2:B953,-1+SUMPRODUCT(MAX(ROW(E$2:E953)*(E954=E$2:E953)))))</f>
        <v/>
      </c>
      <c r="J954" s="25" t="str">
        <f ca="1">IF(OR(E954="",E954="!!!",F954="NEW"),"",COUNTBLANK(OFFSET(A$1,,,SUMPRODUCT(MAX(ROW(E$2:E954)*(E954=E$2:E954)))))-COUNTBLANK(OFFSET(A$1,,,SUMPRODUCT(MAX(ROW(E$1:E953)*(E2=E$1:E953))))))</f>
        <v/>
      </c>
      <c r="K954" s="25" t="str">
        <f>IF(OR(E954="",E954="!!!",F954="NEW"),"",INDEX(J$1:J953,SUMPRODUCT(MAX(ROW(E$1:E953)*(E954=E$1:E953)))))</f>
        <v/>
      </c>
      <c r="L954" s="26"/>
    </row>
    <row r="955" spans="1:12" x14ac:dyDescent="0.3">
      <c r="A955" t="s">
        <v>306</v>
      </c>
      <c r="E955" s="21" t="str">
        <f t="shared" si="94"/>
        <v/>
      </c>
      <c r="F955" s="22" t="str">
        <f>IF(OR(E955="",E955="!!!"),"",IF(NOT(ISNA(VLOOKUP(E955,E$1:E954,1,FALSE()))),"OLD",IF(AND(E955&lt;&gt;"",E955&lt;&gt;"!!!"),"NEW","")))</f>
        <v/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/>
      </c>
      <c r="H955" s="24" t="str">
        <f t="shared" ca="1" si="95"/>
        <v/>
      </c>
      <c r="I955" s="25" t="str">
        <f>IF(OR(E955="",E955="!!!",F955="NEW"),"",INDEX(B$2:B954,-1+SUMPRODUCT(MAX(ROW(E$2:E954)*(E955=E$2:E954)))))</f>
        <v/>
      </c>
      <c r="J955" s="25" t="str">
        <f ca="1">IF(OR(E955="",E955="!!!",F955="NEW"),"",COUNTBLANK(OFFSET(A$1,,,SUMPRODUCT(MAX(ROW(E$2:E955)*(E955=E$2:E955)))))-COUNTBLANK(OFFSET(A$1,,,SUMPRODUCT(MAX(ROW(E$1:E954)*(E2=E$1:E954))))))</f>
        <v/>
      </c>
      <c r="K955" s="25" t="str">
        <f>IF(OR(E955="",E955="!!!",F955="NEW"),"",INDEX(J$1:J954,SUMPRODUCT(MAX(ROW(E$1:E954)*(E955=E$1:E954)))))</f>
        <v/>
      </c>
      <c r="L955" s="26"/>
    </row>
    <row r="956" spans="1:12" x14ac:dyDescent="0.3">
      <c r="A956" t="s">
        <v>596</v>
      </c>
      <c r="E956" s="21" t="str">
        <f t="shared" si="94"/>
        <v/>
      </c>
      <c r="F956" s="22" t="str">
        <f>IF(OR(E956="",E956="!!!"),"",IF(NOT(ISNA(VLOOKUP(E956,E$1:E955,1,FALSE()))),"OLD",IF(AND(E956&lt;&gt;"",E956&lt;&gt;"!!!"),"NEW","")))</f>
        <v/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/>
      </c>
      <c r="H956" s="24" t="str">
        <f t="shared" ca="1" si="95"/>
        <v/>
      </c>
      <c r="I956" s="25" t="str">
        <f>IF(OR(E956="",E956="!!!",F956="NEW"),"",INDEX(B$2:B955,-1+SUMPRODUCT(MAX(ROW(E$2:E955)*(E956=E$2:E955)))))</f>
        <v/>
      </c>
      <c r="J956" s="25" t="str">
        <f ca="1">IF(OR(E956="",E956="!!!",F956="NEW"),"",COUNTBLANK(OFFSET(A$1,,,SUMPRODUCT(MAX(ROW(E$2:E956)*(E956=E$2:E956)))))-COUNTBLANK(OFFSET(A$1,,,SUMPRODUCT(MAX(ROW(E$1:E955)*(E2=E$1:E955))))))</f>
        <v/>
      </c>
      <c r="K956" s="25" t="str">
        <f>IF(OR(E956="",E956="!!!",F956="NEW"),"",INDEX(J$1:J955,SUMPRODUCT(MAX(ROW(E$1:E955)*(E956=E$1:E955)))))</f>
        <v/>
      </c>
      <c r="L956" s="26"/>
    </row>
    <row r="957" spans="1:12" x14ac:dyDescent="0.3">
      <c r="A957" t="s">
        <v>597</v>
      </c>
      <c r="B957" s="20" t="s">
        <v>158</v>
      </c>
      <c r="C957" s="20" t="s">
        <v>211</v>
      </c>
      <c r="E957" s="21" t="str">
        <f t="shared" si="94"/>
        <v/>
      </c>
      <c r="F957" s="22" t="str">
        <f>IF(OR(E957="",E957="!!!"),"",IF(NOT(ISNA(VLOOKUP(E957,E$1:E956,1,FALSE()))),"OLD",IF(AND(E957&lt;&gt;"",E957&lt;&gt;"!!!"),"NEW","")))</f>
        <v/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/>
      </c>
      <c r="H957" s="24" t="str">
        <f t="shared" ca="1" si="95"/>
        <v/>
      </c>
      <c r="I957" s="25" t="str">
        <f>IF(OR(E957="",E957="!!!",F957="NEW"),"",INDEX(B$2:B956,-1+SUMPRODUCT(MAX(ROW(E$2:E956)*(E957=E$2:E956)))))</f>
        <v/>
      </c>
      <c r="J957" s="25" t="str">
        <f ca="1">IF(OR(E957="",E957="!!!",F957="NEW"),"",COUNTBLANK(OFFSET(A$1,,,SUMPRODUCT(MAX(ROW(E$2:E957)*(E957=E$2:E957)))))-COUNTBLANK(OFFSET(A$1,,,SUMPRODUCT(MAX(ROW(E$1:E956)*(E2=E$1:E956))))))</f>
        <v/>
      </c>
      <c r="K957" s="25" t="str">
        <f>IF(OR(E957="",E957="!!!",F957="NEW"),"",INDEX(J$1:J956,SUMPRODUCT(MAX(ROW(E$1:E956)*(E957=E$1:E956)))))</f>
        <v/>
      </c>
      <c r="L957" s="26"/>
    </row>
    <row r="958" spans="1:12" x14ac:dyDescent="0.3">
      <c r="A958" t="s">
        <v>350</v>
      </c>
      <c r="E958" s="21" t="str">
        <f t="shared" si="94"/>
        <v/>
      </c>
      <c r="F958" s="22" t="str">
        <f>IF(OR(E958="",E958="!!!"),"",IF(NOT(ISNA(VLOOKUP(E958,E$1:E957,1,FALSE()))),"OLD",IF(AND(E958&lt;&gt;"",E958&lt;&gt;"!!!"),"NEW","")))</f>
        <v/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/>
      </c>
      <c r="H958" s="24" t="str">
        <f t="shared" ca="1" si="95"/>
        <v/>
      </c>
      <c r="I958" s="25" t="str">
        <f>IF(OR(E958="",E958="!!!",F958="NEW"),"",INDEX(B$2:B957,-1+SUMPRODUCT(MAX(ROW(E$2:E957)*(E958=E$2:E957)))))</f>
        <v/>
      </c>
      <c r="J958" s="25" t="str">
        <f ca="1">IF(OR(E958="",E958="!!!",F958="NEW"),"",COUNTBLANK(OFFSET(A$1,,,SUMPRODUCT(MAX(ROW(E$2:E958)*(E958=E$2:E958)))))-COUNTBLANK(OFFSET(A$1,,,SUMPRODUCT(MAX(ROW(E$1:E957)*(E2=E$1:E957))))))</f>
        <v/>
      </c>
      <c r="K958" s="25" t="str">
        <f>IF(OR(E958="",E958="!!!",F958="NEW"),"",INDEX(J$1:J957,SUMPRODUCT(MAX(ROW(E$1:E957)*(E958=E$1:E957)))))</f>
        <v/>
      </c>
      <c r="L958" s="26"/>
    </row>
    <row r="959" spans="1:12" x14ac:dyDescent="0.3">
      <c r="A959" t="s">
        <v>598</v>
      </c>
      <c r="B959" s="20" t="s">
        <v>172</v>
      </c>
      <c r="C959" s="20" t="s">
        <v>167</v>
      </c>
      <c r="E959" s="21" t="str">
        <f t="shared" si="94"/>
        <v/>
      </c>
      <c r="F959" s="22" t="str">
        <f>IF(OR(E959="",E959="!!!"),"",IF(NOT(ISNA(VLOOKUP(E959,E$1:E958,1,FALSE()))),"OLD",IF(AND(E959&lt;&gt;"",E959&lt;&gt;"!!!"),"NEW","")))</f>
        <v/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/>
      </c>
      <c r="H959" s="24" t="str">
        <f t="shared" ca="1" si="95"/>
        <v/>
      </c>
      <c r="I959" s="25" t="str">
        <f>IF(OR(E959="",E959="!!!",F959="NEW"),"",INDEX(B$2:B958,-1+SUMPRODUCT(MAX(ROW(E$2:E958)*(E959=E$2:E958)))))</f>
        <v/>
      </c>
      <c r="J959" s="25" t="str">
        <f ca="1">IF(OR(E959="",E959="!!!",F959="NEW"),"",COUNTBLANK(OFFSET(A$1,,,SUMPRODUCT(MAX(ROW(E$2:E959)*(E959=E$2:E959)))))-COUNTBLANK(OFFSET(A$1,,,SUMPRODUCT(MAX(ROW(E$1:E958)*(E2=E$1:E958))))))</f>
        <v/>
      </c>
      <c r="K959" s="25" t="str">
        <f>IF(OR(E959="",E959="!!!",F959="NEW"),"",INDEX(J$1:J958,SUMPRODUCT(MAX(ROW(E$1:E958)*(E959=E$1:E958)))))</f>
        <v/>
      </c>
      <c r="L959" s="26"/>
    </row>
    <row r="960" spans="1:12" x14ac:dyDescent="0.3">
      <c r="A960" t="s">
        <v>235</v>
      </c>
      <c r="E960" s="21" t="str">
        <f t="shared" si="94"/>
        <v/>
      </c>
      <c r="F960" s="22" t="str">
        <f>IF(OR(E960="",E960="!!!"),"",IF(NOT(ISNA(VLOOKUP(E960,E$1:E959,1,FALSE()))),"OLD",IF(AND(E960&lt;&gt;"",E960&lt;&gt;"!!!"),"NEW","")))</f>
        <v/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/>
      </c>
      <c r="H960" s="24" t="str">
        <f t="shared" ca="1" si="95"/>
        <v/>
      </c>
      <c r="I960" s="25" t="str">
        <f>IF(OR(E960="",E960="!!!",F960="NEW"),"",INDEX(B$2:B959,-1+SUMPRODUCT(MAX(ROW(E$2:E959)*(E960=E$2:E959)))))</f>
        <v/>
      </c>
      <c r="J960" s="25" t="str">
        <f ca="1">IF(OR(E960="",E960="!!!",F960="NEW"),"",COUNTBLANK(OFFSET(A$1,,,SUMPRODUCT(MAX(ROW(E$2:E960)*(E960=E$2:E960)))))-COUNTBLANK(OFFSET(A$1,,,SUMPRODUCT(MAX(ROW(E$1:E959)*(E2=E$1:E959))))))</f>
        <v/>
      </c>
      <c r="K960" s="25" t="str">
        <f>IF(OR(E960="",E960="!!!",F960="NEW"),"",INDEX(J$1:J959,SUMPRODUCT(MAX(ROW(E$1:E959)*(E960=E$1:E959)))))</f>
        <v/>
      </c>
      <c r="L960" s="26"/>
    </row>
    <row r="961" spans="1:12" x14ac:dyDescent="0.3">
      <c r="A961" t="s">
        <v>212</v>
      </c>
      <c r="E961" s="21" t="str">
        <f t="shared" si="94"/>
        <v/>
      </c>
      <c r="F961" s="22" t="str">
        <f>IF(OR(E961="",E961="!!!"),"",IF(NOT(ISNA(VLOOKUP(E961,E$1:E960,1,FALSE()))),"OLD",IF(AND(E961&lt;&gt;"",E961&lt;&gt;"!!!"),"NEW","")))</f>
        <v/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/>
      </c>
      <c r="H961" s="24" t="str">
        <f t="shared" ca="1" si="95"/>
        <v/>
      </c>
      <c r="I961" s="25" t="str">
        <f>IF(OR(E961="",E961="!!!",F961="NEW"),"",INDEX(B$2:B960,-1+SUMPRODUCT(MAX(ROW(E$2:E960)*(E961=E$2:E960)))))</f>
        <v/>
      </c>
      <c r="J961" s="25" t="str">
        <f ca="1">IF(OR(E961="",E961="!!!",F961="NEW"),"",COUNTBLANK(OFFSET(A$1,,,SUMPRODUCT(MAX(ROW(E$2:E961)*(E961=E$2:E961)))))-COUNTBLANK(OFFSET(A$1,,,SUMPRODUCT(MAX(ROW(E$1:E960)*(E2=E$1:E960))))))</f>
        <v/>
      </c>
      <c r="K961" s="25" t="str">
        <f>IF(OR(E961="",E961="!!!",F961="NEW"),"",INDEX(J$1:J960,SUMPRODUCT(MAX(ROW(E$1:E960)*(E961=E$1:E960)))))</f>
        <v/>
      </c>
      <c r="L961" s="26"/>
    </row>
    <row r="963" spans="1:12" x14ac:dyDescent="0.3">
      <c r="A963" t="s">
        <v>599</v>
      </c>
    </row>
    <row r="964" spans="1:12" x14ac:dyDescent="0.3">
      <c r="A964" t="s">
        <v>322</v>
      </c>
      <c r="B964" s="20" t="s">
        <v>176</v>
      </c>
      <c r="C964" s="20" t="s">
        <v>177</v>
      </c>
      <c r="D964" s="20" t="s">
        <v>160</v>
      </c>
      <c r="E964" s="21" t="str">
        <f t="shared" ref="E964:E977" si="96">IF(D964="?OLD","!!!","")</f>
        <v>!!!</v>
      </c>
      <c r="F964" s="22" t="str">
        <f>IF(OR(E964="",E964="!!!"),"",IF(NOT(ISNA(VLOOKUP(E964,E$1:E963,1,FALSE()))),"OLD",IF(AND(E964&lt;&gt;"",E964&lt;&gt;"!!!"),"NEW","")))</f>
        <v/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/>
      </c>
      <c r="H964" s="24" t="str">
        <f t="shared" ref="H964:H977" ca="1" si="97">IF(J964&lt;&gt;1,"",IF(I964="SBJ","CB","?"))</f>
        <v/>
      </c>
      <c r="I964" s="25" t="str">
        <f>IF(OR(E964="",E964="!!!",F964="NEW"),"",INDEX(B$2:B963,-1+SUMPRODUCT(MAX(ROW(E$2:E963)*(E964=E$2:E963)))))</f>
        <v/>
      </c>
      <c r="J964" s="25" t="str">
        <f ca="1">IF(OR(E964="",E964="!!!",F964="NEW"),"",COUNTBLANK(OFFSET(A$1,,,SUMPRODUCT(MAX(ROW(E$2:E964)*(E964=E$2:E964)))))-COUNTBLANK(OFFSET(A$1,,,SUMPRODUCT(MAX(ROW(E$1:E963)*(E2=E$1:E963))))))</f>
        <v/>
      </c>
      <c r="K964" s="25" t="str">
        <f>IF(OR(E964="",E964="!!!",F964="NEW"),"",INDEX(J$1:J963,SUMPRODUCT(MAX(ROW(E$1:E963)*(E964=E$1:E963)))))</f>
        <v/>
      </c>
      <c r="L964" s="26"/>
    </row>
    <row r="965" spans="1:12" x14ac:dyDescent="0.3">
      <c r="A965" t="s">
        <v>333</v>
      </c>
      <c r="E965" s="21" t="str">
        <f t="shared" si="96"/>
        <v/>
      </c>
      <c r="F965" s="22" t="str">
        <f>IF(OR(E965="",E965="!!!"),"",IF(NOT(ISNA(VLOOKUP(E965,E$1:E964,1,FALSE()))),"OLD",IF(AND(E965&lt;&gt;"",E965&lt;&gt;"!!!"),"NEW","")))</f>
        <v/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/>
      </c>
      <c r="H965" s="24" t="str">
        <f t="shared" ca="1" si="97"/>
        <v/>
      </c>
      <c r="I965" s="25" t="str">
        <f>IF(OR(E965="",E965="!!!",F965="NEW"),"",INDEX(B$2:B964,-1+SUMPRODUCT(MAX(ROW(E$2:E964)*(E965=E$2:E964)))))</f>
        <v/>
      </c>
      <c r="J965" s="25" t="str">
        <f ca="1">IF(OR(E965="",E965="!!!",F965="NEW"),"",COUNTBLANK(OFFSET(A$1,,,SUMPRODUCT(MAX(ROW(E$2:E965)*(E965=E$2:E965)))))-COUNTBLANK(OFFSET(A$1,,,SUMPRODUCT(MAX(ROW(E$1:E964)*(E2=E$1:E964))))))</f>
        <v/>
      </c>
      <c r="K965" s="25" t="str">
        <f>IF(OR(E965="",E965="!!!",F965="NEW"),"",INDEX(J$1:J964,SUMPRODUCT(MAX(ROW(E$1:E964)*(E965=E$1:E964)))))</f>
        <v/>
      </c>
      <c r="L965" s="26"/>
    </row>
    <row r="966" spans="1:12" x14ac:dyDescent="0.3">
      <c r="A966" t="s">
        <v>600</v>
      </c>
      <c r="B966" s="20" t="s">
        <v>187</v>
      </c>
      <c r="C966" s="20" t="s">
        <v>167</v>
      </c>
      <c r="E966" s="21" t="str">
        <f t="shared" si="96"/>
        <v/>
      </c>
      <c r="F966" s="22" t="str">
        <f>IF(OR(E966="",E966="!!!"),"",IF(NOT(ISNA(VLOOKUP(E966,E$1:E965,1,FALSE()))),"OLD",IF(AND(E966&lt;&gt;"",E966&lt;&gt;"!!!"),"NEW","")))</f>
        <v/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/>
      </c>
      <c r="H966" s="24" t="str">
        <f t="shared" ca="1" si="97"/>
        <v/>
      </c>
      <c r="I966" s="25" t="str">
        <f>IF(OR(E966="",E966="!!!",F966="NEW"),"",INDEX(B$2:B965,-1+SUMPRODUCT(MAX(ROW(E$2:E965)*(E966=E$2:E965)))))</f>
        <v/>
      </c>
      <c r="J966" s="25" t="str">
        <f ca="1">IF(OR(E966="",E966="!!!",F966="NEW"),"",COUNTBLANK(OFFSET(A$1,,,SUMPRODUCT(MAX(ROW(E$2:E966)*(E966=E$2:E966)))))-COUNTBLANK(OFFSET(A$1,,,SUMPRODUCT(MAX(ROW(E$1:E965)*(E2=E$1:E965))))))</f>
        <v/>
      </c>
      <c r="K966" s="25" t="str">
        <f>IF(OR(E966="",E966="!!!",F966="NEW"),"",INDEX(J$1:J965,SUMPRODUCT(MAX(ROW(E$1:E965)*(E966=E$1:E965)))))</f>
        <v/>
      </c>
      <c r="L966" s="26"/>
    </row>
    <row r="967" spans="1:12" x14ac:dyDescent="0.3">
      <c r="A967" t="s">
        <v>421</v>
      </c>
      <c r="E967" s="21" t="str">
        <f t="shared" si="96"/>
        <v/>
      </c>
      <c r="F967" s="22" t="str">
        <f>IF(OR(E967="",E967="!!!"),"",IF(NOT(ISNA(VLOOKUP(E967,E$1:E966,1,FALSE()))),"OLD",IF(AND(E967&lt;&gt;"",E967&lt;&gt;"!!!"),"NEW","")))</f>
        <v/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/>
      </c>
      <c r="H967" s="24" t="str">
        <f t="shared" ca="1" si="97"/>
        <v/>
      </c>
      <c r="I967" s="25" t="str">
        <f>IF(OR(E967="",E967="!!!",F967="NEW"),"",INDEX(B$2:B966,-1+SUMPRODUCT(MAX(ROW(E$2:E966)*(E967=E$2:E966)))))</f>
        <v/>
      </c>
      <c r="J967" s="25" t="str">
        <f ca="1">IF(OR(E967="",E967="!!!",F967="NEW"),"",COUNTBLANK(OFFSET(A$1,,,SUMPRODUCT(MAX(ROW(E$2:E967)*(E967=E$2:E967)))))-COUNTBLANK(OFFSET(A$1,,,SUMPRODUCT(MAX(ROW(E$1:E966)*(E2=E$1:E966))))))</f>
        <v/>
      </c>
      <c r="K967" s="25" t="str">
        <f>IF(OR(E967="",E967="!!!",F967="NEW"),"",INDEX(J$1:J966,SUMPRODUCT(MAX(ROW(E$1:E966)*(E967=E$1:E966)))))</f>
        <v/>
      </c>
      <c r="L967" s="26"/>
    </row>
    <row r="968" spans="1:12" x14ac:dyDescent="0.3">
      <c r="A968" t="s">
        <v>601</v>
      </c>
      <c r="B968" s="20" t="s">
        <v>172</v>
      </c>
      <c r="C968" s="20" t="s">
        <v>197</v>
      </c>
      <c r="E968" s="21" t="str">
        <f t="shared" si="96"/>
        <v/>
      </c>
      <c r="F968" s="22" t="str">
        <f>IF(OR(E968="",E968="!!!"),"",IF(NOT(ISNA(VLOOKUP(E968,E$1:E967,1,FALSE()))),"OLD",IF(AND(E968&lt;&gt;"",E968&lt;&gt;"!!!"),"NEW","")))</f>
        <v/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/>
      </c>
      <c r="H968" s="24" t="str">
        <f t="shared" ca="1" si="97"/>
        <v/>
      </c>
      <c r="I968" s="25" t="str">
        <f>IF(OR(E968="",E968="!!!",F968="NEW"),"",INDEX(B$2:B967,-1+SUMPRODUCT(MAX(ROW(E$2:E967)*(E968=E$2:E967)))))</f>
        <v/>
      </c>
      <c r="J968" s="25" t="str">
        <f ca="1">IF(OR(E968="",E968="!!!",F968="NEW"),"",COUNTBLANK(OFFSET(A$1,,,SUMPRODUCT(MAX(ROW(E$2:E968)*(E968=E$2:E968)))))-COUNTBLANK(OFFSET(A$1,,,SUMPRODUCT(MAX(ROW(E$1:E967)*(E2=E$1:E967))))))</f>
        <v/>
      </c>
      <c r="K968" s="25" t="str">
        <f>IF(OR(E968="",E968="!!!",F968="NEW"),"",INDEX(J$1:J967,SUMPRODUCT(MAX(ROW(E$1:E967)*(E968=E$1:E967)))))</f>
        <v/>
      </c>
      <c r="L968" s="26"/>
    </row>
    <row r="969" spans="1:12" x14ac:dyDescent="0.3">
      <c r="A969" t="s">
        <v>218</v>
      </c>
      <c r="B969" s="20" t="s">
        <v>158</v>
      </c>
      <c r="C969" s="20" t="s">
        <v>238</v>
      </c>
      <c r="E969" s="21" t="str">
        <f t="shared" si="96"/>
        <v/>
      </c>
      <c r="F969" s="22" t="str">
        <f>IF(OR(E969="",E969="!!!"),"",IF(NOT(ISNA(VLOOKUP(E969,E$1:E968,1,FALSE()))),"OLD",IF(AND(E969&lt;&gt;"",E969&lt;&gt;"!!!"),"NEW","")))</f>
        <v/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/>
      </c>
      <c r="H969" s="24" t="str">
        <f t="shared" ca="1" si="97"/>
        <v/>
      </c>
      <c r="I969" s="25" t="str">
        <f>IF(OR(E969="",E969="!!!",F969="NEW"),"",INDEX(B$2:B968,-1+SUMPRODUCT(MAX(ROW(E$2:E968)*(E969=E$2:E968)))))</f>
        <v/>
      </c>
      <c r="J969" s="25" t="str">
        <f ca="1">IF(OR(E969="",E969="!!!",F969="NEW"),"",COUNTBLANK(OFFSET(A$1,,,SUMPRODUCT(MAX(ROW(E$2:E969)*(E969=E$2:E969)))))-COUNTBLANK(OFFSET(A$1,,,SUMPRODUCT(MAX(ROW(E$1:E968)*(E2=E$1:E968))))))</f>
        <v/>
      </c>
      <c r="K969" s="25" t="str">
        <f>IF(OR(E969="",E969="!!!",F969="NEW"),"",INDEX(J$1:J968,SUMPRODUCT(MAX(ROW(E$1:E968)*(E969=E$1:E968)))))</f>
        <v/>
      </c>
      <c r="L969" s="26"/>
    </row>
    <row r="970" spans="1:12" x14ac:dyDescent="0.3">
      <c r="A970" t="s">
        <v>182</v>
      </c>
      <c r="E970" s="21" t="str">
        <f t="shared" si="96"/>
        <v/>
      </c>
      <c r="F970" s="22" t="str">
        <f>IF(OR(E970="",E970="!!!"),"",IF(NOT(ISNA(VLOOKUP(E970,E$1:E969,1,FALSE()))),"OLD",IF(AND(E970&lt;&gt;"",E970&lt;&gt;"!!!"),"NEW","")))</f>
        <v/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/>
      </c>
      <c r="H970" s="24" t="str">
        <f t="shared" ca="1" si="97"/>
        <v/>
      </c>
      <c r="I970" s="25" t="str">
        <f>IF(OR(E970="",E970="!!!",F970="NEW"),"",INDEX(B$2:B969,-1+SUMPRODUCT(MAX(ROW(E$2:E969)*(E970=E$2:E969)))))</f>
        <v/>
      </c>
      <c r="J970" s="25" t="str">
        <f ca="1">IF(OR(E970="",E970="!!!",F970="NEW"),"",COUNTBLANK(OFFSET(A$1,,,SUMPRODUCT(MAX(ROW(E$2:E970)*(E970=E$2:E970)))))-COUNTBLANK(OFFSET(A$1,,,SUMPRODUCT(MAX(ROW(E$1:E969)*(E2=E$1:E969))))))</f>
        <v/>
      </c>
      <c r="K970" s="25" t="str">
        <f>IF(OR(E970="",E970="!!!",F970="NEW"),"",INDEX(J$1:J969,SUMPRODUCT(MAX(ROW(E$1:E969)*(E970=E$1:E969)))))</f>
        <v/>
      </c>
      <c r="L970" s="26"/>
    </row>
    <row r="971" spans="1:12" x14ac:dyDescent="0.3">
      <c r="A971" t="s">
        <v>602</v>
      </c>
      <c r="B971" s="20" t="s">
        <v>158</v>
      </c>
      <c r="C971" s="20" t="s">
        <v>167</v>
      </c>
      <c r="E971" s="21" t="str">
        <f t="shared" si="96"/>
        <v/>
      </c>
      <c r="F971" s="22" t="str">
        <f>IF(OR(E971="",E971="!!!"),"",IF(NOT(ISNA(VLOOKUP(E971,E$1:E970,1,FALSE()))),"OLD",IF(AND(E971&lt;&gt;"",E971&lt;&gt;"!!!"),"NEW","")))</f>
        <v/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/>
      </c>
      <c r="H971" s="24" t="str">
        <f t="shared" ca="1" si="97"/>
        <v/>
      </c>
      <c r="I971" s="25" t="str">
        <f>IF(OR(E971="",E971="!!!",F971="NEW"),"",INDEX(B$2:B970,-1+SUMPRODUCT(MAX(ROW(E$2:E970)*(E971=E$2:E970)))))</f>
        <v/>
      </c>
      <c r="J971" s="25" t="str">
        <f ca="1">IF(OR(E971="",E971="!!!",F971="NEW"),"",COUNTBLANK(OFFSET(A$1,,,SUMPRODUCT(MAX(ROW(E$2:E971)*(E971=E$2:E971)))))-COUNTBLANK(OFFSET(A$1,,,SUMPRODUCT(MAX(ROW(E$1:E970)*(E2=E$1:E970))))))</f>
        <v/>
      </c>
      <c r="K971" s="25" t="str">
        <f>IF(OR(E971="",E971="!!!",F971="NEW"),"",INDEX(J$1:J970,SUMPRODUCT(MAX(ROW(E$1:E970)*(E971=E$1:E970)))))</f>
        <v/>
      </c>
      <c r="L971" s="26"/>
    </row>
    <row r="972" spans="1:12" x14ac:dyDescent="0.3">
      <c r="A972" t="s">
        <v>178</v>
      </c>
      <c r="E972" s="21" t="str">
        <f t="shared" si="96"/>
        <v/>
      </c>
      <c r="F972" s="22" t="str">
        <f>IF(OR(E972="",E972="!!!"),"",IF(NOT(ISNA(VLOOKUP(E972,E$1:E971,1,FALSE()))),"OLD",IF(AND(E972&lt;&gt;"",E972&lt;&gt;"!!!"),"NEW","")))</f>
        <v/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/>
      </c>
      <c r="H972" s="24" t="str">
        <f t="shared" ca="1" si="97"/>
        <v/>
      </c>
      <c r="I972" s="25" t="str">
        <f>IF(OR(E972="",E972="!!!",F972="NEW"),"",INDEX(B$2:B971,-1+SUMPRODUCT(MAX(ROW(E$2:E971)*(E972=E$2:E971)))))</f>
        <v/>
      </c>
      <c r="J972" s="25" t="str">
        <f ca="1">IF(OR(E972="",E972="!!!",F972="NEW"),"",COUNTBLANK(OFFSET(A$1,,,SUMPRODUCT(MAX(ROW(E$2:E972)*(E972=E$2:E972)))))-COUNTBLANK(OFFSET(A$1,,,SUMPRODUCT(MAX(ROW(E$1:E971)*(E2=E$1:E971))))))</f>
        <v/>
      </c>
      <c r="K972" s="25" t="str">
        <f>IF(OR(E972="",E972="!!!",F972="NEW"),"",INDEX(J$1:J971,SUMPRODUCT(MAX(ROW(E$1:E971)*(E972=E$1:E971)))))</f>
        <v/>
      </c>
      <c r="L972" s="26"/>
    </row>
    <row r="973" spans="1:12" x14ac:dyDescent="0.3">
      <c r="A973" t="s">
        <v>179</v>
      </c>
      <c r="E973" s="21" t="str">
        <f t="shared" si="96"/>
        <v/>
      </c>
      <c r="F973" s="22" t="str">
        <f>IF(OR(E973="",E973="!!!"),"",IF(NOT(ISNA(VLOOKUP(E973,E$1:E972,1,FALSE()))),"OLD",IF(AND(E973&lt;&gt;"",E973&lt;&gt;"!!!"),"NEW","")))</f>
        <v/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/>
      </c>
      <c r="H973" s="24" t="str">
        <f t="shared" ca="1" si="97"/>
        <v/>
      </c>
      <c r="I973" s="25" t="str">
        <f>IF(OR(E973="",E973="!!!",F973="NEW"),"",INDEX(B$2:B972,-1+SUMPRODUCT(MAX(ROW(E$2:E972)*(E973=E$2:E972)))))</f>
        <v/>
      </c>
      <c r="J973" s="25" t="str">
        <f ca="1">IF(OR(E973="",E973="!!!",F973="NEW"),"",COUNTBLANK(OFFSET(A$1,,,SUMPRODUCT(MAX(ROW(E$2:E973)*(E973=E$2:E973)))))-COUNTBLANK(OFFSET(A$1,,,SUMPRODUCT(MAX(ROW(E$1:E972)*(E2=E$1:E972))))))</f>
        <v/>
      </c>
      <c r="K973" s="25" t="str">
        <f>IF(OR(E973="",E973="!!!",F973="NEW"),"",INDEX(J$1:J972,SUMPRODUCT(MAX(ROW(E$1:E972)*(E973=E$1:E972)))))</f>
        <v/>
      </c>
      <c r="L973" s="26"/>
    </row>
    <row r="974" spans="1:12" x14ac:dyDescent="0.3">
      <c r="A974" t="s">
        <v>328</v>
      </c>
      <c r="E974" s="21" t="str">
        <f t="shared" si="96"/>
        <v/>
      </c>
      <c r="F974" s="22" t="str">
        <f>IF(OR(E974="",E974="!!!"),"",IF(NOT(ISNA(VLOOKUP(E974,E$1:E973,1,FALSE()))),"OLD",IF(AND(E974&lt;&gt;"",E974&lt;&gt;"!!!"),"NEW","")))</f>
        <v/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/>
      </c>
      <c r="H974" s="24" t="str">
        <f t="shared" ca="1" si="97"/>
        <v/>
      </c>
      <c r="I974" s="25" t="str">
        <f>IF(OR(E974="",E974="!!!",F974="NEW"),"",INDEX(B$2:B973,-1+SUMPRODUCT(MAX(ROW(E$2:E973)*(E974=E$2:E973)))))</f>
        <v/>
      </c>
      <c r="J974" s="25" t="str">
        <f ca="1">IF(OR(E974="",E974="!!!",F974="NEW"),"",COUNTBLANK(OFFSET(A$1,,,SUMPRODUCT(MAX(ROW(E$2:E974)*(E974=E$2:E974)))))-COUNTBLANK(OFFSET(A$1,,,SUMPRODUCT(MAX(ROW(E$1:E973)*(E2=E$1:E973))))))</f>
        <v/>
      </c>
      <c r="K974" s="25" t="str">
        <f>IF(OR(E974="",E974="!!!",F974="NEW"),"",INDEX(J$1:J973,SUMPRODUCT(MAX(ROW(E$1:E973)*(E974=E$1:E973)))))</f>
        <v/>
      </c>
      <c r="L974" s="26"/>
    </row>
    <row r="975" spans="1:12" x14ac:dyDescent="0.3">
      <c r="A975" t="s">
        <v>232</v>
      </c>
      <c r="B975" s="20" t="s">
        <v>172</v>
      </c>
      <c r="C975" s="20" t="s">
        <v>181</v>
      </c>
      <c r="D975" s="20" t="s">
        <v>160</v>
      </c>
      <c r="E975" s="21" t="str">
        <f t="shared" si="96"/>
        <v>!!!</v>
      </c>
      <c r="F975" s="22" t="str">
        <f>IF(OR(E975="",E975="!!!"),"",IF(NOT(ISNA(VLOOKUP(E975,E$1:E974,1,FALSE()))),"OLD",IF(AND(E975&lt;&gt;"",E975&lt;&gt;"!!!"),"NEW","")))</f>
        <v/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/>
      </c>
      <c r="H975" s="24" t="str">
        <f t="shared" ca="1" si="97"/>
        <v/>
      </c>
      <c r="I975" s="25" t="str">
        <f>IF(OR(E975="",E975="!!!",F975="NEW"),"",INDEX(B$2:B974,-1+SUMPRODUCT(MAX(ROW(E$2:E974)*(E975=E$2:E974)))))</f>
        <v/>
      </c>
      <c r="J975" s="25" t="str">
        <f ca="1">IF(OR(E975="",E975="!!!",F975="NEW"),"",COUNTBLANK(OFFSET(A$1,,,SUMPRODUCT(MAX(ROW(E$2:E975)*(E975=E$2:E975)))))-COUNTBLANK(OFFSET(A$1,,,SUMPRODUCT(MAX(ROW(E$1:E974)*(E2=E$1:E974))))))</f>
        <v/>
      </c>
      <c r="K975" s="25" t="str">
        <f>IF(OR(E975="",E975="!!!",F975="NEW"),"",INDEX(J$1:J974,SUMPRODUCT(MAX(ROW(E$1:E974)*(E975=E$1:E974)))))</f>
        <v/>
      </c>
      <c r="L975" s="26"/>
    </row>
    <row r="976" spans="1:12" x14ac:dyDescent="0.3">
      <c r="A976" t="s">
        <v>603</v>
      </c>
      <c r="E976" s="21" t="str">
        <f t="shared" si="96"/>
        <v/>
      </c>
      <c r="F976" s="22" t="str">
        <f>IF(OR(E976="",E976="!!!"),"",IF(NOT(ISNA(VLOOKUP(E976,E$1:E975,1,FALSE()))),"OLD",IF(AND(E976&lt;&gt;"",E976&lt;&gt;"!!!"),"NEW","")))</f>
        <v/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/>
      </c>
      <c r="H976" s="24" t="str">
        <f t="shared" ca="1" si="97"/>
        <v/>
      </c>
      <c r="I976" s="25" t="str">
        <f>IF(OR(E976="",E976="!!!",F976="NEW"),"",INDEX(B$2:B975,-1+SUMPRODUCT(MAX(ROW(E$2:E975)*(E976=E$2:E975)))))</f>
        <v/>
      </c>
      <c r="J976" s="25" t="str">
        <f ca="1">IF(OR(E976="",E976="!!!",F976="NEW"),"",COUNTBLANK(OFFSET(A$1,,,SUMPRODUCT(MAX(ROW(E$2:E976)*(E976=E$2:E976)))))-COUNTBLANK(OFFSET(A$1,,,SUMPRODUCT(MAX(ROW(E$1:E975)*(E2=E$1:E975))))))</f>
        <v/>
      </c>
      <c r="K976" s="25" t="str">
        <f>IF(OR(E976="",E976="!!!",F976="NEW"),"",INDEX(J$1:J975,SUMPRODUCT(MAX(ROW(E$1:E975)*(E976=E$1:E975)))))</f>
        <v/>
      </c>
      <c r="L976" s="26"/>
    </row>
    <row r="977" spans="1:12" x14ac:dyDescent="0.3">
      <c r="A977" t="s">
        <v>212</v>
      </c>
      <c r="E977" s="21" t="str">
        <f t="shared" si="96"/>
        <v/>
      </c>
      <c r="F977" s="22" t="str">
        <f>IF(OR(E977="",E977="!!!"),"",IF(NOT(ISNA(VLOOKUP(E977,E$1:E976,1,FALSE()))),"OLD",IF(AND(E977&lt;&gt;"",E977&lt;&gt;"!!!"),"NEW","")))</f>
        <v/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/>
      </c>
      <c r="H977" s="24" t="str">
        <f t="shared" ca="1" si="97"/>
        <v/>
      </c>
      <c r="I977" s="25" t="str">
        <f>IF(OR(E977="",E977="!!!",F977="NEW"),"",INDEX(B$2:B976,-1+SUMPRODUCT(MAX(ROW(E$2:E976)*(E977=E$2:E976)))))</f>
        <v/>
      </c>
      <c r="J977" s="25" t="str">
        <f ca="1">IF(OR(E977="",E977="!!!",F977="NEW"),"",COUNTBLANK(OFFSET(A$1,,,SUMPRODUCT(MAX(ROW(E$2:E977)*(E977=E$2:E977)))))-COUNTBLANK(OFFSET(A$1,,,SUMPRODUCT(MAX(ROW(E$1:E976)*(E2=E$1:E976))))))</f>
        <v/>
      </c>
      <c r="K977" s="25" t="str">
        <f>IF(OR(E977="",E977="!!!",F977="NEW"),"",INDEX(J$1:J976,SUMPRODUCT(MAX(ROW(E$1:E976)*(E977=E$1:E976)))))</f>
        <v/>
      </c>
      <c r="L977" s="26"/>
    </row>
    <row r="979" spans="1:12" x14ac:dyDescent="0.3">
      <c r="A979" t="s">
        <v>604</v>
      </c>
    </row>
    <row r="980" spans="1:12" x14ac:dyDescent="0.3">
      <c r="A980" t="s">
        <v>605</v>
      </c>
      <c r="E980" s="21" t="str">
        <f t="shared" ref="E980:E993" si="98">IF(D980="?OLD","!!!","")</f>
        <v/>
      </c>
      <c r="F980" s="22" t="str">
        <f>IF(OR(E980="",E980="!!!"),"",IF(NOT(ISNA(VLOOKUP(E980,E$1:E979,1,FALSE()))),"OLD",IF(AND(E980&lt;&gt;"",E980&lt;&gt;"!!!"),"NEW","")))</f>
        <v/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/>
      </c>
      <c r="H980" s="24" t="str">
        <f t="shared" ref="H980:H993" ca="1" si="99">IF(J980&lt;&gt;1,"",IF(I980="SBJ","CB","?"))</f>
        <v/>
      </c>
      <c r="I980" s="25" t="str">
        <f>IF(OR(E980="",E980="!!!",F980="NEW"),"",INDEX(B$2:B979,-1+SUMPRODUCT(MAX(ROW(E$2:E979)*(E980=E$2:E979)))))</f>
        <v/>
      </c>
      <c r="J980" s="25" t="str">
        <f ca="1">IF(OR(E980="",E980="!!!",F980="NEW"),"",COUNTBLANK(OFFSET(A$1,,,SUMPRODUCT(MAX(ROW(E$2:E980)*(E980=E$2:E980)))))-COUNTBLANK(OFFSET(A$1,,,SUMPRODUCT(MAX(ROW(E$1:E979)*(E2=E$1:E979))))))</f>
        <v/>
      </c>
      <c r="K980" s="25" t="str">
        <f>IF(OR(E980="",E980="!!!",F980="NEW"),"",INDEX(J$1:J979,SUMPRODUCT(MAX(ROW(E$1:E979)*(E980=E$1:E979)))))</f>
        <v/>
      </c>
      <c r="L980" s="26"/>
    </row>
    <row r="981" spans="1:12" x14ac:dyDescent="0.3">
      <c r="A981" t="s">
        <v>179</v>
      </c>
      <c r="E981" s="21" t="str">
        <f t="shared" si="98"/>
        <v/>
      </c>
      <c r="F981" s="22" t="str">
        <f>IF(OR(E981="",E981="!!!"),"",IF(NOT(ISNA(VLOOKUP(E981,E$1:E980,1,FALSE()))),"OLD",IF(AND(E981&lt;&gt;"",E981&lt;&gt;"!!!"),"NEW","")))</f>
        <v/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/>
      </c>
      <c r="H981" s="24" t="str">
        <f t="shared" ca="1" si="99"/>
        <v/>
      </c>
      <c r="I981" s="25" t="str">
        <f>IF(OR(E981="",E981="!!!",F981="NEW"),"",INDEX(B$2:B980,-1+SUMPRODUCT(MAX(ROW(E$2:E980)*(E981=E$2:E980)))))</f>
        <v/>
      </c>
      <c r="J981" s="25" t="str">
        <f ca="1">IF(OR(E981="",E981="!!!",F981="NEW"),"",COUNTBLANK(OFFSET(A$1,,,SUMPRODUCT(MAX(ROW(E$2:E981)*(E981=E$2:E981)))))-COUNTBLANK(OFFSET(A$1,,,SUMPRODUCT(MAX(ROW(E$1:E980)*(E2=E$1:E980))))))</f>
        <v/>
      </c>
      <c r="K981" s="25" t="str">
        <f>IF(OR(E981="",E981="!!!",F981="NEW"),"",INDEX(J$1:J980,SUMPRODUCT(MAX(ROW(E$1:E980)*(E981=E$1:E980)))))</f>
        <v/>
      </c>
      <c r="L981" s="26"/>
    </row>
    <row r="982" spans="1:12" x14ac:dyDescent="0.3">
      <c r="A982" t="s">
        <v>595</v>
      </c>
      <c r="B982" s="20" t="s">
        <v>257</v>
      </c>
      <c r="C982" s="20" t="s">
        <v>181</v>
      </c>
      <c r="D982" s="20" t="s">
        <v>160</v>
      </c>
      <c r="E982" s="21" t="str">
        <f t="shared" si="98"/>
        <v>!!!</v>
      </c>
      <c r="F982" s="22" t="str">
        <f>IF(OR(E982="",E982="!!!"),"",IF(NOT(ISNA(VLOOKUP(E982,E$1:E981,1,FALSE()))),"OLD",IF(AND(E982&lt;&gt;"",E982&lt;&gt;"!!!"),"NEW","")))</f>
        <v/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/>
      </c>
      <c r="H982" s="24" t="str">
        <f t="shared" ca="1" si="99"/>
        <v/>
      </c>
      <c r="I982" s="25" t="str">
        <f>IF(OR(E982="",E982="!!!",F982="NEW"),"",INDEX(B$2:B981,-1+SUMPRODUCT(MAX(ROW(E$2:E981)*(E982=E$2:E981)))))</f>
        <v/>
      </c>
      <c r="J982" s="25" t="str">
        <f ca="1">IF(OR(E982="",E982="!!!",F982="NEW"),"",COUNTBLANK(OFFSET(A$1,,,SUMPRODUCT(MAX(ROW(E$2:E982)*(E982=E$2:E982)))))-COUNTBLANK(OFFSET(A$1,,,SUMPRODUCT(MAX(ROW(E$1:E981)*(E2=E$1:E981))))))</f>
        <v/>
      </c>
      <c r="K982" s="25" t="str">
        <f>IF(OR(E982="",E982="!!!",F982="NEW"),"",INDEX(J$1:J981,SUMPRODUCT(MAX(ROW(E$1:E981)*(E982=E$1:E981)))))</f>
        <v/>
      </c>
      <c r="L982" s="26"/>
    </row>
    <row r="983" spans="1:12" x14ac:dyDescent="0.3">
      <c r="A983" t="s">
        <v>195</v>
      </c>
      <c r="E983" s="21" t="str">
        <f t="shared" si="98"/>
        <v/>
      </c>
      <c r="F983" s="22" t="str">
        <f>IF(OR(E983="",E983="!!!"),"",IF(NOT(ISNA(VLOOKUP(E983,E$1:E982,1,FALSE()))),"OLD",IF(AND(E983&lt;&gt;"",E983&lt;&gt;"!!!"),"NEW","")))</f>
        <v/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/>
      </c>
      <c r="H983" s="24" t="str">
        <f t="shared" ca="1" si="99"/>
        <v/>
      </c>
      <c r="I983" s="25" t="str">
        <f>IF(OR(E983="",E983="!!!",F983="NEW"),"",INDEX(B$2:B982,-1+SUMPRODUCT(MAX(ROW(E$2:E982)*(E983=E$2:E982)))))</f>
        <v/>
      </c>
      <c r="J983" s="25" t="str">
        <f ca="1">IF(OR(E983="",E983="!!!",F983="NEW"),"",COUNTBLANK(OFFSET(A$1,,,SUMPRODUCT(MAX(ROW(E$2:E983)*(E983=E$2:E983)))))-COUNTBLANK(OFFSET(A$1,,,SUMPRODUCT(MAX(ROW(E$1:E982)*(E2=E$1:E982))))))</f>
        <v/>
      </c>
      <c r="K983" s="25" t="str">
        <f>IF(OR(E983="",E983="!!!",F983="NEW"),"",INDEX(J$1:J982,SUMPRODUCT(MAX(ROW(E$1:E982)*(E983=E$1:E982)))))</f>
        <v/>
      </c>
      <c r="L983" s="26"/>
    </row>
    <row r="984" spans="1:12" x14ac:dyDescent="0.3">
      <c r="A984" t="s">
        <v>579</v>
      </c>
      <c r="E984" s="21" t="str">
        <f t="shared" si="98"/>
        <v/>
      </c>
      <c r="F984" s="22" t="str">
        <f>IF(OR(E984="",E984="!!!"),"",IF(NOT(ISNA(VLOOKUP(E984,E$1:E983,1,FALSE()))),"OLD",IF(AND(E984&lt;&gt;"",E984&lt;&gt;"!!!"),"NEW","")))</f>
        <v/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/>
      </c>
      <c r="H984" s="24" t="str">
        <f t="shared" ca="1" si="99"/>
        <v/>
      </c>
      <c r="I984" s="25" t="str">
        <f>IF(OR(E984="",E984="!!!",F984="NEW"),"",INDEX(B$2:B983,-1+SUMPRODUCT(MAX(ROW(E$2:E983)*(E984=E$2:E983)))))</f>
        <v/>
      </c>
      <c r="J984" s="25" t="str">
        <f ca="1">IF(OR(E984="",E984="!!!",F984="NEW"),"",COUNTBLANK(OFFSET(A$1,,,SUMPRODUCT(MAX(ROW(E$2:E984)*(E984=E$2:E984)))))-COUNTBLANK(OFFSET(A$1,,,SUMPRODUCT(MAX(ROW(E$1:E983)*(E2=E$1:E983))))))</f>
        <v/>
      </c>
      <c r="K984" s="25" t="str">
        <f>IF(OR(E984="",E984="!!!",F984="NEW"),"",INDEX(J$1:J983,SUMPRODUCT(MAX(ROW(E$1:E983)*(E984=E$1:E983)))))</f>
        <v/>
      </c>
      <c r="L984" s="26"/>
    </row>
    <row r="985" spans="1:12" x14ac:dyDescent="0.3">
      <c r="A985" t="s">
        <v>185</v>
      </c>
      <c r="E985" s="21" t="str">
        <f t="shared" si="98"/>
        <v/>
      </c>
      <c r="F985" s="22" t="str">
        <f>IF(OR(E985="",E985="!!!"),"",IF(NOT(ISNA(VLOOKUP(E985,E$1:E984,1,FALSE()))),"OLD",IF(AND(E985&lt;&gt;"",E985&lt;&gt;"!!!"),"NEW","")))</f>
        <v/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/>
      </c>
      <c r="H985" s="24" t="str">
        <f t="shared" ca="1" si="99"/>
        <v/>
      </c>
      <c r="I985" s="25" t="str">
        <f>IF(OR(E985="",E985="!!!",F985="NEW"),"",INDEX(B$2:B984,-1+SUMPRODUCT(MAX(ROW(E$2:E984)*(E985=E$2:E984)))))</f>
        <v/>
      </c>
      <c r="J985" s="25" t="str">
        <f ca="1">IF(OR(E985="",E985="!!!",F985="NEW"),"",COUNTBLANK(OFFSET(A$1,,,SUMPRODUCT(MAX(ROW(E$2:E985)*(E985=E$2:E985)))))-COUNTBLANK(OFFSET(A$1,,,SUMPRODUCT(MAX(ROW(E$1:E984)*(E2=E$1:E984))))))</f>
        <v/>
      </c>
      <c r="K985" s="25" t="str">
        <f>IF(OR(E985="",E985="!!!",F985="NEW"),"",INDEX(J$1:J984,SUMPRODUCT(MAX(ROW(E$1:E984)*(E985=E$1:E984)))))</f>
        <v/>
      </c>
      <c r="L985" s="26"/>
    </row>
    <row r="986" spans="1:12" x14ac:dyDescent="0.3">
      <c r="A986" t="s">
        <v>606</v>
      </c>
      <c r="E986" s="21" t="str">
        <f t="shared" si="98"/>
        <v/>
      </c>
      <c r="F986" s="22" t="str">
        <f>IF(OR(E986="",E986="!!!"),"",IF(NOT(ISNA(VLOOKUP(E986,E$1:E985,1,FALSE()))),"OLD",IF(AND(E986&lt;&gt;"",E986&lt;&gt;"!!!"),"NEW","")))</f>
        <v/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/>
      </c>
      <c r="H986" s="24" t="str">
        <f t="shared" ca="1" si="99"/>
        <v/>
      </c>
      <c r="I986" s="25" t="str">
        <f>IF(OR(E986="",E986="!!!",F986="NEW"),"",INDEX(B$2:B985,-1+SUMPRODUCT(MAX(ROW(E$2:E985)*(E986=E$2:E985)))))</f>
        <v/>
      </c>
      <c r="J986" s="25" t="str">
        <f ca="1">IF(OR(E986="",E986="!!!",F986="NEW"),"",COUNTBLANK(OFFSET(A$1,,,SUMPRODUCT(MAX(ROW(E$2:E986)*(E986=E$2:E986)))))-COUNTBLANK(OFFSET(A$1,,,SUMPRODUCT(MAX(ROW(E$1:E985)*(E2=E$1:E985))))))</f>
        <v/>
      </c>
      <c r="K986" s="25" t="str">
        <f>IF(OR(E986="",E986="!!!",F986="NEW"),"",INDEX(J$1:J985,SUMPRODUCT(MAX(ROW(E$1:E985)*(E986=E$1:E985)))))</f>
        <v/>
      </c>
      <c r="L986" s="26"/>
    </row>
    <row r="987" spans="1:12" x14ac:dyDescent="0.3">
      <c r="A987" t="s">
        <v>216</v>
      </c>
      <c r="E987" s="21" t="str">
        <f t="shared" si="98"/>
        <v/>
      </c>
      <c r="F987" s="22" t="str">
        <f>IF(OR(E987="",E987="!!!"),"",IF(NOT(ISNA(VLOOKUP(E987,E$1:E986,1,FALSE()))),"OLD",IF(AND(E987&lt;&gt;"",E987&lt;&gt;"!!!"),"NEW","")))</f>
        <v/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/>
      </c>
      <c r="H987" s="24" t="str">
        <f t="shared" ca="1" si="99"/>
        <v/>
      </c>
      <c r="I987" s="25" t="str">
        <f>IF(OR(E987="",E987="!!!",F987="NEW"),"",INDEX(B$2:B986,-1+SUMPRODUCT(MAX(ROW(E$2:E986)*(E987=E$2:E986)))))</f>
        <v/>
      </c>
      <c r="J987" s="25" t="str">
        <f ca="1">IF(OR(E987="",E987="!!!",F987="NEW"),"",COUNTBLANK(OFFSET(A$1,,,SUMPRODUCT(MAX(ROW(E$2:E987)*(E987=E$2:E987)))))-COUNTBLANK(OFFSET(A$1,,,SUMPRODUCT(MAX(ROW(E$1:E986)*(E2=E$1:E986))))))</f>
        <v/>
      </c>
      <c r="K987" s="25" t="str">
        <f>IF(OR(E987="",E987="!!!",F987="NEW"),"",INDEX(J$1:J986,SUMPRODUCT(MAX(ROW(E$1:E986)*(E987=E$1:E986)))))</f>
        <v/>
      </c>
      <c r="L987" s="26"/>
    </row>
    <row r="988" spans="1:12" x14ac:dyDescent="0.3">
      <c r="A988" t="s">
        <v>179</v>
      </c>
      <c r="E988" s="21" t="str">
        <f t="shared" si="98"/>
        <v/>
      </c>
      <c r="F988" s="22" t="str">
        <f>IF(OR(E988="",E988="!!!"),"",IF(NOT(ISNA(VLOOKUP(E988,E$1:E987,1,FALSE()))),"OLD",IF(AND(E988&lt;&gt;"",E988&lt;&gt;"!!!"),"NEW","")))</f>
        <v/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/>
      </c>
      <c r="H988" s="24" t="str">
        <f t="shared" ca="1" si="99"/>
        <v/>
      </c>
      <c r="I988" s="25" t="str">
        <f>IF(OR(E988="",E988="!!!",F988="NEW"),"",INDEX(B$2:B987,-1+SUMPRODUCT(MAX(ROW(E$2:E987)*(E988=E$2:E987)))))</f>
        <v/>
      </c>
      <c r="J988" s="25" t="str">
        <f ca="1">IF(OR(E988="",E988="!!!",F988="NEW"),"",COUNTBLANK(OFFSET(A$1,,,SUMPRODUCT(MAX(ROW(E$2:E988)*(E988=E$2:E988)))))-COUNTBLANK(OFFSET(A$1,,,SUMPRODUCT(MAX(ROW(E$1:E987)*(E2=E$1:E987))))))</f>
        <v/>
      </c>
      <c r="K988" s="25" t="str">
        <f>IF(OR(E988="",E988="!!!",F988="NEW"),"",INDEX(J$1:J987,SUMPRODUCT(MAX(ROW(E$1:E987)*(E988=E$1:E987)))))</f>
        <v/>
      </c>
      <c r="L988" s="26"/>
    </row>
    <row r="989" spans="1:12" x14ac:dyDescent="0.3">
      <c r="A989" t="s">
        <v>598</v>
      </c>
      <c r="B989" s="20" t="s">
        <v>187</v>
      </c>
      <c r="C989" s="20" t="s">
        <v>181</v>
      </c>
      <c r="D989" s="20" t="s">
        <v>160</v>
      </c>
      <c r="E989" s="21" t="str">
        <f t="shared" si="98"/>
        <v>!!!</v>
      </c>
      <c r="F989" s="22" t="str">
        <f>IF(OR(E989="",E989="!!!"),"",IF(NOT(ISNA(VLOOKUP(E989,E$1:E988,1,FALSE()))),"OLD",IF(AND(E989&lt;&gt;"",E989&lt;&gt;"!!!"),"NEW","")))</f>
        <v/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/>
      </c>
      <c r="H989" s="24" t="str">
        <f t="shared" ca="1" si="99"/>
        <v/>
      </c>
      <c r="I989" s="25" t="str">
        <f>IF(OR(E989="",E989="!!!",F989="NEW"),"",INDEX(B$2:B988,-1+SUMPRODUCT(MAX(ROW(E$2:E988)*(E989=E$2:E988)))))</f>
        <v/>
      </c>
      <c r="J989" s="25" t="str">
        <f ca="1">IF(OR(E989="",E989="!!!",F989="NEW"),"",COUNTBLANK(OFFSET(A$1,,,SUMPRODUCT(MAX(ROW(E$2:E989)*(E989=E$2:E989)))))-COUNTBLANK(OFFSET(A$1,,,SUMPRODUCT(MAX(ROW(E$1:E988)*(E2=E$1:E988))))))</f>
        <v/>
      </c>
      <c r="K989" s="25" t="str">
        <f>IF(OR(E989="",E989="!!!",F989="NEW"),"",INDEX(J$1:J988,SUMPRODUCT(MAX(ROW(E$1:E988)*(E989=E$1:E988)))))</f>
        <v/>
      </c>
      <c r="L989" s="26"/>
    </row>
    <row r="990" spans="1:12" x14ac:dyDescent="0.3">
      <c r="A990" t="s">
        <v>240</v>
      </c>
      <c r="E990" s="21" t="str">
        <f t="shared" si="98"/>
        <v/>
      </c>
      <c r="F990" s="22" t="str">
        <f>IF(OR(E990="",E990="!!!"),"",IF(NOT(ISNA(VLOOKUP(E990,E$1:E989,1,FALSE()))),"OLD",IF(AND(E990&lt;&gt;"",E990&lt;&gt;"!!!"),"NEW","")))</f>
        <v/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/>
      </c>
      <c r="H990" s="24" t="str">
        <f t="shared" ca="1" si="99"/>
        <v/>
      </c>
      <c r="I990" s="25" t="str">
        <f>IF(OR(E990="",E990="!!!",F990="NEW"),"",INDEX(B$2:B989,-1+SUMPRODUCT(MAX(ROW(E$2:E989)*(E990=E$2:E989)))))</f>
        <v/>
      </c>
      <c r="J990" s="25" t="str">
        <f ca="1">IF(OR(E990="",E990="!!!",F990="NEW"),"",COUNTBLANK(OFFSET(A$1,,,SUMPRODUCT(MAX(ROW(E$2:E990)*(E990=E$2:E990)))))-COUNTBLANK(OFFSET(A$1,,,SUMPRODUCT(MAX(ROW(E$1:E989)*(E2=E$1:E989))))))</f>
        <v/>
      </c>
      <c r="K990" s="25" t="str">
        <f>IF(OR(E990="",E990="!!!",F990="NEW"),"",INDEX(J$1:J989,SUMPRODUCT(MAX(ROW(E$1:E989)*(E990=E$1:E989)))))</f>
        <v/>
      </c>
      <c r="L990" s="26"/>
    </row>
    <row r="991" spans="1:12" x14ac:dyDescent="0.3">
      <c r="A991" t="s">
        <v>193</v>
      </c>
      <c r="B991" s="20" t="s">
        <v>172</v>
      </c>
      <c r="C991" s="20" t="s">
        <v>181</v>
      </c>
      <c r="D991" s="20" t="s">
        <v>160</v>
      </c>
      <c r="E991" s="21" t="str">
        <f t="shared" si="98"/>
        <v>!!!</v>
      </c>
      <c r="F991" s="22" t="str">
        <f>IF(OR(E991="",E991="!!!"),"",IF(NOT(ISNA(VLOOKUP(E991,E$1:E990,1,FALSE()))),"OLD",IF(AND(E991&lt;&gt;"",E991&lt;&gt;"!!!"),"NEW","")))</f>
        <v/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/>
      </c>
      <c r="H991" s="24" t="str">
        <f t="shared" ca="1" si="99"/>
        <v/>
      </c>
      <c r="I991" s="25" t="str">
        <f>IF(OR(E991="",E991="!!!",F991="NEW"),"",INDEX(B$2:B990,-1+SUMPRODUCT(MAX(ROW(E$2:E990)*(E991=E$2:E990)))))</f>
        <v/>
      </c>
      <c r="J991" s="25" t="str">
        <f ca="1">IF(OR(E991="",E991="!!!",F991="NEW"),"",COUNTBLANK(OFFSET(A$1,,,SUMPRODUCT(MAX(ROW(E$2:E991)*(E991=E$2:E991)))))-COUNTBLANK(OFFSET(A$1,,,SUMPRODUCT(MAX(ROW(E$1:E990)*(E2=E$1:E990))))))</f>
        <v/>
      </c>
      <c r="K991" s="25" t="str">
        <f>IF(OR(E991="",E991="!!!",F991="NEW"),"",INDEX(J$1:J990,SUMPRODUCT(MAX(ROW(E$1:E990)*(E991=E$1:E990)))))</f>
        <v/>
      </c>
      <c r="L991" s="26"/>
    </row>
    <row r="992" spans="1:12" x14ac:dyDescent="0.3">
      <c r="A992" t="s">
        <v>327</v>
      </c>
      <c r="E992" s="21" t="str">
        <f t="shared" si="98"/>
        <v/>
      </c>
      <c r="F992" s="22" t="str">
        <f>IF(OR(E992="",E992="!!!"),"",IF(NOT(ISNA(VLOOKUP(E992,E$1:E991,1,FALSE()))),"OLD",IF(AND(E992&lt;&gt;"",E992&lt;&gt;"!!!"),"NEW","")))</f>
        <v/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/>
      </c>
      <c r="H992" s="24" t="str">
        <f t="shared" ca="1" si="99"/>
        <v/>
      </c>
      <c r="I992" s="25" t="str">
        <f>IF(OR(E992="",E992="!!!",F992="NEW"),"",INDEX(B$2:B991,-1+SUMPRODUCT(MAX(ROW(E$2:E991)*(E992=E$2:E991)))))</f>
        <v/>
      </c>
      <c r="J992" s="25" t="str">
        <f ca="1">IF(OR(E992="",E992="!!!",F992="NEW"),"",COUNTBLANK(OFFSET(A$1,,,SUMPRODUCT(MAX(ROW(E$2:E992)*(E992=E$2:E992)))))-COUNTBLANK(OFFSET(A$1,,,SUMPRODUCT(MAX(ROW(E$1:E991)*(E2=E$1:E991))))))</f>
        <v/>
      </c>
      <c r="K992" s="25" t="str">
        <f>IF(OR(E992="",E992="!!!",F992="NEW"),"",INDEX(J$1:J991,SUMPRODUCT(MAX(ROW(E$1:E991)*(E992=E$1:E991)))))</f>
        <v/>
      </c>
      <c r="L992" s="26"/>
    </row>
    <row r="993" spans="1:12" x14ac:dyDescent="0.3">
      <c r="A993" t="s">
        <v>212</v>
      </c>
      <c r="E993" s="21" t="str">
        <f t="shared" si="98"/>
        <v/>
      </c>
      <c r="F993" s="22" t="str">
        <f>IF(OR(E993="",E993="!!!"),"",IF(NOT(ISNA(VLOOKUP(E993,E$1:E992,1,FALSE()))),"OLD",IF(AND(E993&lt;&gt;"",E993&lt;&gt;"!!!"),"NEW","")))</f>
        <v/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/>
      </c>
      <c r="H993" s="24" t="str">
        <f t="shared" ca="1" si="99"/>
        <v/>
      </c>
      <c r="I993" s="25" t="str">
        <f>IF(OR(E993="",E993="!!!",F993="NEW"),"",INDEX(B$2:B992,-1+SUMPRODUCT(MAX(ROW(E$2:E992)*(E993=E$2:E992)))))</f>
        <v/>
      </c>
      <c r="J993" s="25" t="str">
        <f ca="1">IF(OR(E993="",E993="!!!",F993="NEW"),"",COUNTBLANK(OFFSET(A$1,,,SUMPRODUCT(MAX(ROW(E$2:E993)*(E993=E$2:E993)))))-COUNTBLANK(OFFSET(A$1,,,SUMPRODUCT(MAX(ROW(E$1:E992)*(E2=E$1:E992))))))</f>
        <v/>
      </c>
      <c r="K993" s="25" t="str">
        <f>IF(OR(E993="",E993="!!!",F993="NEW"),"",INDEX(J$1:J992,SUMPRODUCT(MAX(ROW(E$1:E992)*(E993=E$1:E992)))))</f>
        <v/>
      </c>
      <c r="L993" s="26"/>
    </row>
    <row r="995" spans="1:12" x14ac:dyDescent="0.3">
      <c r="A995" t="s">
        <v>607</v>
      </c>
    </row>
    <row r="996" spans="1:12" x14ac:dyDescent="0.3">
      <c r="A996" t="s">
        <v>174</v>
      </c>
      <c r="E996" s="21" t="str">
        <f t="shared" ref="E996:E1018" si="100">IF(D996="?OLD","!!!","")</f>
        <v/>
      </c>
      <c r="F996" s="22" t="str">
        <f>IF(OR(E996="",E996="!!!"),"",IF(NOT(ISNA(VLOOKUP(E996,E$1:E995,1,FALSE()))),"OLD",IF(AND(E996&lt;&gt;"",E996&lt;&gt;"!!!"),"NEW","")))</f>
        <v/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/>
      </c>
      <c r="H996" s="24" t="str">
        <f t="shared" ref="H996:H1018" ca="1" si="101">IF(J996&lt;&gt;1,"",IF(I996="SBJ","CB","?"))</f>
        <v/>
      </c>
      <c r="I996" s="25" t="str">
        <f>IF(OR(E996="",E996="!!!",F996="NEW"),"",INDEX(B$2:B995,-1+SUMPRODUCT(MAX(ROW(E$2:E995)*(E996=E$2:E995)))))</f>
        <v/>
      </c>
      <c r="J996" s="25" t="str">
        <f ca="1">IF(OR(E996="",E996="!!!",F996="NEW"),"",COUNTBLANK(OFFSET(A$1,,,SUMPRODUCT(MAX(ROW(E$2:E996)*(E996=E$2:E996)))))-COUNTBLANK(OFFSET(A$1,,,SUMPRODUCT(MAX(ROW(E$1:E995)*(E2=E$1:E995))))))</f>
        <v/>
      </c>
      <c r="K996" s="25" t="str">
        <f>IF(OR(E996="",E996="!!!",F996="NEW"),"",INDEX(J$1:J995,SUMPRODUCT(MAX(ROW(E$1:E995)*(E996=E$1:E995)))))</f>
        <v/>
      </c>
      <c r="L996" s="26"/>
    </row>
    <row r="997" spans="1:12" x14ac:dyDescent="0.3">
      <c r="A997" t="s">
        <v>175</v>
      </c>
      <c r="B997" s="20" t="s">
        <v>176</v>
      </c>
      <c r="C997" s="20" t="s">
        <v>177</v>
      </c>
      <c r="D997" s="20" t="s">
        <v>160</v>
      </c>
      <c r="E997" s="21" t="str">
        <f t="shared" si="100"/>
        <v>!!!</v>
      </c>
      <c r="F997" s="22" t="str">
        <f>IF(OR(E997="",E997="!!!"),"",IF(NOT(ISNA(VLOOKUP(E997,E$1:E996,1,FALSE()))),"OLD",IF(AND(E997&lt;&gt;"",E997&lt;&gt;"!!!"),"NEW","")))</f>
        <v/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/>
      </c>
      <c r="H997" s="24" t="str">
        <f t="shared" ca="1" si="101"/>
        <v/>
      </c>
      <c r="I997" s="25" t="str">
        <f>IF(OR(E997="",E997="!!!",F997="NEW"),"",INDEX(B$2:B996,-1+SUMPRODUCT(MAX(ROW(E$2:E996)*(E997=E$2:E996)))))</f>
        <v/>
      </c>
      <c r="J997" s="25" t="str">
        <f ca="1">IF(OR(E997="",E997="!!!",F997="NEW"),"",COUNTBLANK(OFFSET(A$1,,,SUMPRODUCT(MAX(ROW(E$2:E997)*(E997=E$2:E997)))))-COUNTBLANK(OFFSET(A$1,,,SUMPRODUCT(MAX(ROW(E$1:E996)*(E2=E$1:E996))))))</f>
        <v/>
      </c>
      <c r="K997" s="25" t="str">
        <f>IF(OR(E997="",E997="!!!",F997="NEW"),"",INDEX(J$1:J996,SUMPRODUCT(MAX(ROW(E$1:E996)*(E997=E$1:E996)))))</f>
        <v/>
      </c>
      <c r="L997" s="26"/>
    </row>
    <row r="998" spans="1:12" x14ac:dyDescent="0.3">
      <c r="A998" t="s">
        <v>461</v>
      </c>
      <c r="E998" s="21" t="str">
        <f t="shared" si="100"/>
        <v/>
      </c>
      <c r="F998" s="22" t="str">
        <f>IF(OR(E998="",E998="!!!"),"",IF(NOT(ISNA(VLOOKUP(E998,E$1:E997,1,FALSE()))),"OLD",IF(AND(E998&lt;&gt;"",E998&lt;&gt;"!!!"),"NEW","")))</f>
        <v/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/>
      </c>
      <c r="H998" s="24" t="str">
        <f t="shared" ca="1" si="101"/>
        <v/>
      </c>
      <c r="I998" s="25" t="str">
        <f>IF(OR(E998="",E998="!!!",F998="NEW"),"",INDEX(B$2:B997,-1+SUMPRODUCT(MAX(ROW(E$2:E997)*(E998=E$2:E997)))))</f>
        <v/>
      </c>
      <c r="J998" s="25" t="str">
        <f ca="1">IF(OR(E998="",E998="!!!",F998="NEW"),"",COUNTBLANK(OFFSET(A$1,,,SUMPRODUCT(MAX(ROW(E$2:E998)*(E998=E$2:E998)))))-COUNTBLANK(OFFSET(A$1,,,SUMPRODUCT(MAX(ROW(E$1:E997)*(E2=E$1:E997))))))</f>
        <v/>
      </c>
      <c r="K998" s="25" t="str">
        <f>IF(OR(E998="",E998="!!!",F998="NEW"),"",INDEX(J$1:J997,SUMPRODUCT(MAX(ROW(E$1:E997)*(E998=E$1:E997)))))</f>
        <v/>
      </c>
      <c r="L998" s="26"/>
    </row>
    <row r="999" spans="1:12" x14ac:dyDescent="0.3">
      <c r="A999" t="s">
        <v>221</v>
      </c>
      <c r="B999" s="20" t="s">
        <v>201</v>
      </c>
      <c r="C999" s="20" t="s">
        <v>199</v>
      </c>
      <c r="D999" s="20" t="s">
        <v>160</v>
      </c>
      <c r="E999" s="21" t="str">
        <f t="shared" si="100"/>
        <v>!!!</v>
      </c>
      <c r="F999" s="22" t="str">
        <f>IF(OR(E999="",E999="!!!"),"",IF(NOT(ISNA(VLOOKUP(E999,E$1:E998,1,FALSE()))),"OLD",IF(AND(E999&lt;&gt;"",E999&lt;&gt;"!!!"),"NEW","")))</f>
        <v/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/>
      </c>
      <c r="H999" s="24" t="str">
        <f t="shared" ca="1" si="101"/>
        <v/>
      </c>
      <c r="I999" s="25" t="str">
        <f>IF(OR(E999="",E999="!!!",F999="NEW"),"",INDEX(B$2:B998,-1+SUMPRODUCT(MAX(ROW(E$2:E998)*(E999=E$2:E998)))))</f>
        <v/>
      </c>
      <c r="J999" s="25" t="str">
        <f ca="1">IF(OR(E999="",E999="!!!",F999="NEW"),"",COUNTBLANK(OFFSET(A$1,,,SUMPRODUCT(MAX(ROW(E$2:E999)*(E999=E$2:E999)))))-COUNTBLANK(OFFSET(A$1,,,SUMPRODUCT(MAX(ROW(E$1:E998)*(E2=E$1:E998))))))</f>
        <v/>
      </c>
      <c r="K999" s="25" t="str">
        <f>IF(OR(E999="",E999="!!!",F999="NEW"),"",INDEX(J$1:J998,SUMPRODUCT(MAX(ROW(E$1:E998)*(E999=E$1:E998)))))</f>
        <v/>
      </c>
      <c r="L999" s="26"/>
    </row>
    <row r="1000" spans="1:12" x14ac:dyDescent="0.3">
      <c r="A1000" t="s">
        <v>502</v>
      </c>
      <c r="B1000" s="20" t="s">
        <v>358</v>
      </c>
      <c r="C1000" s="20" t="s">
        <v>202</v>
      </c>
      <c r="D1000" s="20" t="s">
        <v>160</v>
      </c>
      <c r="E1000" s="21" t="str">
        <f t="shared" si="100"/>
        <v>!!!</v>
      </c>
      <c r="F1000" s="22" t="str">
        <f>IF(OR(E1000="",E1000="!!!"),"",IF(NOT(ISNA(VLOOKUP(E1000,E$1:E999,1,FALSE()))),"OLD",IF(AND(E1000&lt;&gt;"",E1000&lt;&gt;"!!!"),"NEW","")))</f>
        <v/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/>
      </c>
      <c r="H1000" s="24" t="str">
        <f t="shared" ca="1" si="101"/>
        <v/>
      </c>
      <c r="I1000" s="25" t="str">
        <f>IF(OR(E1000="",E1000="!!!",F1000="NEW"),"",INDEX(B$2:B999,-1+SUMPRODUCT(MAX(ROW(E$2:E999)*(E1000=E$2:E999)))))</f>
        <v/>
      </c>
      <c r="J1000" s="25" t="str">
        <f ca="1">IF(OR(E1000="",E1000="!!!",F1000="NEW"),"",COUNTBLANK(OFFSET(A$1,,,SUMPRODUCT(MAX(ROW(E$2:E1000)*(E1000=E$2:E1000)))))-COUNTBLANK(OFFSET(A$1,,,SUMPRODUCT(MAX(ROW(E$1:E999)*(E2=E$1:E999))))))</f>
        <v/>
      </c>
      <c r="K1000" s="25" t="str">
        <f>IF(OR(E1000="",E1000="!!!",F1000="NEW"),"",INDEX(J$1:J999,SUMPRODUCT(MAX(ROW(E$1:E999)*(E1000=E$1:E999)))))</f>
        <v/>
      </c>
      <c r="L1000" s="26"/>
    </row>
    <row r="1001" spans="1:12" x14ac:dyDescent="0.3">
      <c r="A1001" t="s">
        <v>195</v>
      </c>
      <c r="E1001" s="21" t="str">
        <f t="shared" si="100"/>
        <v/>
      </c>
      <c r="F1001" s="22" t="str">
        <f>IF(OR(E1001="",E1001="!!!"),"",IF(NOT(ISNA(VLOOKUP(E1001,E$1:E1000,1,FALSE()))),"OLD",IF(AND(E1001&lt;&gt;"",E1001&lt;&gt;"!!!"),"NEW","")))</f>
        <v/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/>
      </c>
      <c r="H1001" s="24" t="str">
        <f t="shared" ca="1" si="101"/>
        <v/>
      </c>
      <c r="I1001" s="25" t="str">
        <f>IF(OR(E1001="",E1001="!!!",F1001="NEW"),"",INDEX(B$2:B1000,-1+SUMPRODUCT(MAX(ROW(E$2:E1000)*(E1001=E$2:E1000)))))</f>
        <v/>
      </c>
      <c r="J1001" s="25" t="str">
        <f ca="1">IF(OR(E1001="",E1001="!!!",F1001="NEW"),"",COUNTBLANK(OFFSET(A$1,,,SUMPRODUCT(MAX(ROW(E$2:E1001)*(E1001=E$2:E1001)))))-COUNTBLANK(OFFSET(A$1,,,SUMPRODUCT(MAX(ROW(E$1:E1000)*(E2=E$1:E1000))))))</f>
        <v/>
      </c>
      <c r="K1001" s="25" t="str">
        <f>IF(OR(E1001="",E1001="!!!",F1001="NEW"),"",INDEX(J$1:J1000,SUMPRODUCT(MAX(ROW(E$1:E1000)*(E1001=E$1:E1000)))))</f>
        <v/>
      </c>
      <c r="L1001" s="26"/>
    </row>
    <row r="1002" spans="1:12" x14ac:dyDescent="0.3">
      <c r="A1002" t="s">
        <v>608</v>
      </c>
      <c r="E1002" s="21" t="str">
        <f t="shared" si="100"/>
        <v/>
      </c>
      <c r="F1002" s="22" t="str">
        <f>IF(OR(E1002="",E1002="!!!"),"",IF(NOT(ISNA(VLOOKUP(E1002,E$1:E1001,1,FALSE()))),"OLD",IF(AND(E1002&lt;&gt;"",E1002&lt;&gt;"!!!"),"NEW","")))</f>
        <v/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/>
      </c>
      <c r="H1002" s="24" t="str">
        <f t="shared" ca="1" si="101"/>
        <v/>
      </c>
      <c r="I1002" s="25" t="str">
        <f>IF(OR(E1002="",E1002="!!!",F1002="NEW"),"",INDEX(B$2:B1001,-1+SUMPRODUCT(MAX(ROW(E$2:E1001)*(E1002=E$2:E1001)))))</f>
        <v/>
      </c>
      <c r="J1002" s="25" t="str">
        <f ca="1">IF(OR(E1002="",E1002="!!!",F1002="NEW"),"",COUNTBLANK(OFFSET(A$1,,,SUMPRODUCT(MAX(ROW(E$2:E1002)*(E1002=E$2:E1002)))))-COUNTBLANK(OFFSET(A$1,,,SUMPRODUCT(MAX(ROW(E$1:E1001)*(E2=E$1:E1001))))))</f>
        <v/>
      </c>
      <c r="K1002" s="25" t="str">
        <f>IF(OR(E1002="",E1002="!!!",F1002="NEW"),"",INDEX(J$1:J1001,SUMPRODUCT(MAX(ROW(E$1:E1001)*(E1002=E$1:E1001)))))</f>
        <v/>
      </c>
      <c r="L1002" s="26"/>
    </row>
    <row r="1003" spans="1:12" x14ac:dyDescent="0.3">
      <c r="A1003" t="s">
        <v>185</v>
      </c>
      <c r="E1003" s="21" t="str">
        <f t="shared" si="100"/>
        <v/>
      </c>
      <c r="F1003" s="22" t="str">
        <f>IF(OR(E1003="",E1003="!!!"),"",IF(NOT(ISNA(VLOOKUP(E1003,E$1:E1002,1,FALSE()))),"OLD",IF(AND(E1003&lt;&gt;"",E1003&lt;&gt;"!!!"),"NEW","")))</f>
        <v/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/>
      </c>
      <c r="H1003" s="24" t="str">
        <f t="shared" ca="1" si="101"/>
        <v/>
      </c>
      <c r="I1003" s="25" t="str">
        <f>IF(OR(E1003="",E1003="!!!",F1003="NEW"),"",INDEX(B$2:B1002,-1+SUMPRODUCT(MAX(ROW(E$2:E1002)*(E1003=E$2:E1002)))))</f>
        <v/>
      </c>
      <c r="J1003" s="25" t="str">
        <f ca="1">IF(OR(E1003="",E1003="!!!",F1003="NEW"),"",COUNTBLANK(OFFSET(A$1,,,SUMPRODUCT(MAX(ROW(E$2:E1003)*(E1003=E$2:E1003)))))-COUNTBLANK(OFFSET(A$1,,,SUMPRODUCT(MAX(ROW(E$1:E1002)*(E2=E$1:E1002))))))</f>
        <v/>
      </c>
      <c r="K1003" s="25" t="str">
        <f>IF(OR(E1003="",E1003="!!!",F1003="NEW"),"",INDEX(J$1:J1002,SUMPRODUCT(MAX(ROW(E$1:E1002)*(E1003=E$1:E1002)))))</f>
        <v/>
      </c>
      <c r="L1003" s="26"/>
    </row>
    <row r="1004" spans="1:12" x14ac:dyDescent="0.3">
      <c r="A1004" t="s">
        <v>299</v>
      </c>
      <c r="E1004" s="21" t="str">
        <f t="shared" si="100"/>
        <v/>
      </c>
      <c r="F1004" s="22" t="str">
        <f>IF(OR(E1004="",E1004="!!!"),"",IF(NOT(ISNA(VLOOKUP(E1004,E$1:E1003,1,FALSE()))),"OLD",IF(AND(E1004&lt;&gt;"",E1004&lt;&gt;"!!!"),"NEW","")))</f>
        <v/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/>
      </c>
      <c r="H1004" s="24" t="str">
        <f t="shared" ca="1" si="101"/>
        <v/>
      </c>
      <c r="I1004" s="25" t="str">
        <f>IF(OR(E1004="",E1004="!!!",F1004="NEW"),"",INDEX(B$2:B1003,-1+SUMPRODUCT(MAX(ROW(E$2:E1003)*(E1004=E$2:E1003)))))</f>
        <v/>
      </c>
      <c r="J1004" s="25" t="str">
        <f ca="1">IF(OR(E1004="",E1004="!!!",F1004="NEW"),"",COUNTBLANK(OFFSET(A$1,,,SUMPRODUCT(MAX(ROW(E$2:E1004)*(E1004=E$2:E1004)))))-COUNTBLANK(OFFSET(A$1,,,SUMPRODUCT(MAX(ROW(E$1:E1003)*(E2=E$1:E1003))))))</f>
        <v/>
      </c>
      <c r="K1004" s="25" t="str">
        <f>IF(OR(E1004="",E1004="!!!",F1004="NEW"),"",INDEX(J$1:J1003,SUMPRODUCT(MAX(ROW(E$1:E1003)*(E1004=E$1:E1003)))))</f>
        <v/>
      </c>
      <c r="L1004" s="26"/>
    </row>
    <row r="1005" spans="1:12" x14ac:dyDescent="0.3">
      <c r="A1005" t="s">
        <v>609</v>
      </c>
      <c r="E1005" s="21" t="str">
        <f t="shared" si="100"/>
        <v/>
      </c>
      <c r="F1005" s="22" t="str">
        <f>IF(OR(E1005="",E1005="!!!"),"",IF(NOT(ISNA(VLOOKUP(E1005,E$1:E1004,1,FALSE()))),"OLD",IF(AND(E1005&lt;&gt;"",E1005&lt;&gt;"!!!"),"NEW","")))</f>
        <v/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/>
      </c>
      <c r="H1005" s="24" t="str">
        <f t="shared" ca="1" si="101"/>
        <v/>
      </c>
      <c r="I1005" s="25" t="str">
        <f>IF(OR(E1005="",E1005="!!!",F1005="NEW"),"",INDEX(B$2:B1004,-1+SUMPRODUCT(MAX(ROW(E$2:E1004)*(E1005=E$2:E1004)))))</f>
        <v/>
      </c>
      <c r="J1005" s="25" t="str">
        <f ca="1">IF(OR(E1005="",E1005="!!!",F1005="NEW"),"",COUNTBLANK(OFFSET(A$1,,,SUMPRODUCT(MAX(ROW(E$2:E1005)*(E1005=E$2:E1005)))))-COUNTBLANK(OFFSET(A$1,,,SUMPRODUCT(MAX(ROW(E$1:E1004)*(E2=E$1:E1004))))))</f>
        <v/>
      </c>
      <c r="K1005" s="25" t="str">
        <f>IF(OR(E1005="",E1005="!!!",F1005="NEW"),"",INDEX(J$1:J1004,SUMPRODUCT(MAX(ROW(E$1:E1004)*(E1005=E$1:E1004)))))</f>
        <v/>
      </c>
      <c r="L1005" s="26"/>
    </row>
    <row r="1006" spans="1:12" x14ac:dyDescent="0.3">
      <c r="A1006" t="s">
        <v>610</v>
      </c>
      <c r="B1006" s="20" t="s">
        <v>358</v>
      </c>
      <c r="C1006" s="20" t="s">
        <v>167</v>
      </c>
      <c r="E1006" s="21" t="str">
        <f t="shared" si="100"/>
        <v/>
      </c>
      <c r="F1006" s="22" t="str">
        <f>IF(OR(E1006="",E1006="!!!"),"",IF(NOT(ISNA(VLOOKUP(E1006,E$1:E1005,1,FALSE()))),"OLD",IF(AND(E1006&lt;&gt;"",E1006&lt;&gt;"!!!"),"NEW","")))</f>
        <v/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/>
      </c>
      <c r="H1006" s="24" t="str">
        <f t="shared" ca="1" si="101"/>
        <v/>
      </c>
      <c r="I1006" s="25" t="str">
        <f>IF(OR(E1006="",E1006="!!!",F1006="NEW"),"",INDEX(B$2:B1005,-1+SUMPRODUCT(MAX(ROW(E$2:E1005)*(E1006=E$2:E1005)))))</f>
        <v/>
      </c>
      <c r="J1006" s="25" t="str">
        <f ca="1">IF(OR(E1006="",E1006="!!!",F1006="NEW"),"",COUNTBLANK(OFFSET(A$1,,,SUMPRODUCT(MAX(ROW(E$2:E1006)*(E1006=E$2:E1006)))))-COUNTBLANK(OFFSET(A$1,,,SUMPRODUCT(MAX(ROW(E$1:E1005)*(E2=E$1:E1005))))))</f>
        <v/>
      </c>
      <c r="K1006" s="25" t="str">
        <f>IF(OR(E1006="",E1006="!!!",F1006="NEW"),"",INDEX(J$1:J1005,SUMPRODUCT(MAX(ROW(E$1:E1005)*(E1006=E$1:E1005)))))</f>
        <v/>
      </c>
      <c r="L1006" s="26"/>
    </row>
    <row r="1007" spans="1:12" x14ac:dyDescent="0.3">
      <c r="A1007" t="s">
        <v>611</v>
      </c>
      <c r="E1007" s="21" t="str">
        <f t="shared" si="100"/>
        <v/>
      </c>
      <c r="F1007" s="22" t="str">
        <f>IF(OR(E1007="",E1007="!!!"),"",IF(NOT(ISNA(VLOOKUP(E1007,E$1:E1006,1,FALSE()))),"OLD",IF(AND(E1007&lt;&gt;"",E1007&lt;&gt;"!!!"),"NEW","")))</f>
        <v/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/>
      </c>
      <c r="H1007" s="24" t="str">
        <f t="shared" ca="1" si="101"/>
        <v/>
      </c>
      <c r="I1007" s="25" t="str">
        <f>IF(OR(E1007="",E1007="!!!",F1007="NEW"),"",INDEX(B$2:B1006,-1+SUMPRODUCT(MAX(ROW(E$2:E1006)*(E1007=E$2:E1006)))))</f>
        <v/>
      </c>
      <c r="J1007" s="25" t="str">
        <f ca="1">IF(OR(E1007="",E1007="!!!",F1007="NEW"),"",COUNTBLANK(OFFSET(A$1,,,SUMPRODUCT(MAX(ROW(E$2:E1007)*(E1007=E$2:E1007)))))-COUNTBLANK(OFFSET(A$1,,,SUMPRODUCT(MAX(ROW(E$1:E1006)*(E2=E$1:E1006))))))</f>
        <v/>
      </c>
      <c r="K1007" s="25" t="str">
        <f>IF(OR(E1007="",E1007="!!!",F1007="NEW"),"",INDEX(J$1:J1006,SUMPRODUCT(MAX(ROW(E$1:E1006)*(E1007=E$1:E1006)))))</f>
        <v/>
      </c>
      <c r="L1007" s="26"/>
    </row>
    <row r="1008" spans="1:12" x14ac:dyDescent="0.3">
      <c r="A1008" t="s">
        <v>185</v>
      </c>
      <c r="E1008" s="21" t="str">
        <f t="shared" si="100"/>
        <v/>
      </c>
      <c r="F1008" s="22" t="str">
        <f>IF(OR(E1008="",E1008="!!!"),"",IF(NOT(ISNA(VLOOKUP(E1008,E$1:E1007,1,FALSE()))),"OLD",IF(AND(E1008&lt;&gt;"",E1008&lt;&gt;"!!!"),"NEW","")))</f>
        <v/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/>
      </c>
      <c r="H1008" s="24" t="str">
        <f t="shared" ca="1" si="101"/>
        <v/>
      </c>
      <c r="I1008" s="25" t="str">
        <f>IF(OR(E1008="",E1008="!!!",F1008="NEW"),"",INDEX(B$2:B1007,-1+SUMPRODUCT(MAX(ROW(E$2:E1007)*(E1008=E$2:E1007)))))</f>
        <v/>
      </c>
      <c r="J1008" s="25" t="str">
        <f ca="1">IF(OR(E1008="",E1008="!!!",F1008="NEW"),"",COUNTBLANK(OFFSET(A$1,,,SUMPRODUCT(MAX(ROW(E$2:E1008)*(E1008=E$2:E1008)))))-COUNTBLANK(OFFSET(A$1,,,SUMPRODUCT(MAX(ROW(E$1:E1007)*(E2=E$1:E1007))))))</f>
        <v/>
      </c>
      <c r="K1008" s="25" t="str">
        <f>IF(OR(E1008="",E1008="!!!",F1008="NEW"),"",INDEX(J$1:J1007,SUMPRODUCT(MAX(ROW(E$1:E1007)*(E1008=E$1:E1007)))))</f>
        <v/>
      </c>
      <c r="L1008" s="26"/>
    </row>
    <row r="1009" spans="1:12" x14ac:dyDescent="0.3">
      <c r="A1009" t="s">
        <v>612</v>
      </c>
      <c r="E1009" s="21" t="str">
        <f t="shared" si="100"/>
        <v/>
      </c>
      <c r="F1009" s="22" t="str">
        <f>IF(OR(E1009="",E1009="!!!"),"",IF(NOT(ISNA(VLOOKUP(E1009,E$1:E1008,1,FALSE()))),"OLD",IF(AND(E1009&lt;&gt;"",E1009&lt;&gt;"!!!"),"NEW","")))</f>
        <v/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/>
      </c>
      <c r="H1009" s="24" t="str">
        <f t="shared" ca="1" si="101"/>
        <v/>
      </c>
      <c r="I1009" s="25" t="str">
        <f>IF(OR(E1009="",E1009="!!!",F1009="NEW"),"",INDEX(B$2:B1008,-1+SUMPRODUCT(MAX(ROW(E$2:E1008)*(E1009=E$2:E1008)))))</f>
        <v/>
      </c>
      <c r="J1009" s="25" t="str">
        <f ca="1">IF(OR(E1009="",E1009="!!!",F1009="NEW"),"",COUNTBLANK(OFFSET(A$1,,,SUMPRODUCT(MAX(ROW(E$2:E1009)*(E1009=E$2:E1009)))))-COUNTBLANK(OFFSET(A$1,,,SUMPRODUCT(MAX(ROW(E$1:E1008)*(E2=E$1:E1008))))))</f>
        <v/>
      </c>
      <c r="K1009" s="25" t="str">
        <f>IF(OR(E1009="",E1009="!!!",F1009="NEW"),"",INDEX(J$1:J1008,SUMPRODUCT(MAX(ROW(E$1:E1008)*(E1009=E$1:E1008)))))</f>
        <v/>
      </c>
      <c r="L1009" s="26"/>
    </row>
    <row r="1010" spans="1:12" x14ac:dyDescent="0.3">
      <c r="A1010" t="s">
        <v>175</v>
      </c>
      <c r="B1010" s="20" t="s">
        <v>187</v>
      </c>
      <c r="C1010" s="20" t="s">
        <v>177</v>
      </c>
      <c r="D1010" s="20" t="s">
        <v>160</v>
      </c>
      <c r="E1010" s="21" t="str">
        <f t="shared" si="100"/>
        <v>!!!</v>
      </c>
      <c r="F1010" s="22" t="str">
        <f>IF(OR(E1010="",E1010="!!!"),"",IF(NOT(ISNA(VLOOKUP(E1010,E$1:E1009,1,FALSE()))),"OLD",IF(AND(E1010&lt;&gt;"",E1010&lt;&gt;"!!!"),"NEW","")))</f>
        <v/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/>
      </c>
      <c r="H1010" s="24" t="str">
        <f t="shared" ca="1" si="101"/>
        <v/>
      </c>
      <c r="I1010" s="25" t="str">
        <f>IF(OR(E1010="",E1010="!!!",F1010="NEW"),"",INDEX(B$2:B1009,-1+SUMPRODUCT(MAX(ROW(E$2:E1009)*(E1010=E$2:E1009)))))</f>
        <v/>
      </c>
      <c r="J1010" s="25" t="str">
        <f ca="1">IF(OR(E1010="",E1010="!!!",F1010="NEW"),"",COUNTBLANK(OFFSET(A$1,,,SUMPRODUCT(MAX(ROW(E$2:E1010)*(E1010=E$2:E1010)))))-COUNTBLANK(OFFSET(A$1,,,SUMPRODUCT(MAX(ROW(E$1:E1009)*(E2=E$1:E1009))))))</f>
        <v/>
      </c>
      <c r="K1010" s="25" t="str">
        <f>IF(OR(E1010="",E1010="!!!",F1010="NEW"),"",INDEX(J$1:J1009,SUMPRODUCT(MAX(ROW(E$1:E1009)*(E1010=E$1:E1009)))))</f>
        <v/>
      </c>
      <c r="L1010" s="26"/>
    </row>
    <row r="1011" spans="1:12" x14ac:dyDescent="0.3">
      <c r="A1011" t="s">
        <v>229</v>
      </c>
      <c r="E1011" s="21" t="str">
        <f t="shared" si="100"/>
        <v/>
      </c>
      <c r="F1011" s="22" t="str">
        <f>IF(OR(E1011="",E1011="!!!"),"",IF(NOT(ISNA(VLOOKUP(E1011,E$1:E1010,1,FALSE()))),"OLD",IF(AND(E1011&lt;&gt;"",E1011&lt;&gt;"!!!"),"NEW","")))</f>
        <v/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/>
      </c>
      <c r="H1011" s="24" t="str">
        <f t="shared" ca="1" si="101"/>
        <v/>
      </c>
      <c r="I1011" s="25" t="str">
        <f>IF(OR(E1011="",E1011="!!!",F1011="NEW"),"",INDEX(B$2:B1010,-1+SUMPRODUCT(MAX(ROW(E$2:E1010)*(E1011=E$2:E1010)))))</f>
        <v/>
      </c>
      <c r="J1011" s="25" t="str">
        <f ca="1">IF(OR(E1011="",E1011="!!!",F1011="NEW"),"",COUNTBLANK(OFFSET(A$1,,,SUMPRODUCT(MAX(ROW(E$2:E1011)*(E1011=E$2:E1011)))))-COUNTBLANK(OFFSET(A$1,,,SUMPRODUCT(MAX(ROW(E$1:E1010)*(E2=E$1:E1010))))))</f>
        <v/>
      </c>
      <c r="K1011" s="25" t="str">
        <f>IF(OR(E1011="",E1011="!!!",F1011="NEW"),"",INDEX(J$1:J1010,SUMPRODUCT(MAX(ROW(E$1:E1010)*(E1011=E$1:E1010)))))</f>
        <v/>
      </c>
      <c r="L1011" s="26"/>
    </row>
    <row r="1012" spans="1:12" x14ac:dyDescent="0.3">
      <c r="A1012" t="s">
        <v>230</v>
      </c>
      <c r="E1012" s="21" t="str">
        <f t="shared" si="100"/>
        <v/>
      </c>
      <c r="F1012" s="22" t="str">
        <f>IF(OR(E1012="",E1012="!!!"),"",IF(NOT(ISNA(VLOOKUP(E1012,E$1:E1011,1,FALSE()))),"OLD",IF(AND(E1012&lt;&gt;"",E1012&lt;&gt;"!!!"),"NEW","")))</f>
        <v/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/>
      </c>
      <c r="H1012" s="24" t="str">
        <f t="shared" ca="1" si="101"/>
        <v/>
      </c>
      <c r="I1012" s="25" t="str">
        <f>IF(OR(E1012="",E1012="!!!",F1012="NEW"),"",INDEX(B$2:B1011,-1+SUMPRODUCT(MAX(ROW(E$2:E1011)*(E1012=E$2:E1011)))))</f>
        <v/>
      </c>
      <c r="J1012" s="25" t="str">
        <f ca="1">IF(OR(E1012="",E1012="!!!",F1012="NEW"),"",COUNTBLANK(OFFSET(A$1,,,SUMPRODUCT(MAX(ROW(E$2:E1012)*(E1012=E$2:E1012)))))-COUNTBLANK(OFFSET(A$1,,,SUMPRODUCT(MAX(ROW(E$1:E1011)*(E2=E$1:E1011))))))</f>
        <v/>
      </c>
      <c r="K1012" s="25" t="str">
        <f>IF(OR(E1012="",E1012="!!!",F1012="NEW"),"",INDEX(J$1:J1011,SUMPRODUCT(MAX(ROW(E$1:E1011)*(E1012=E$1:E1011)))))</f>
        <v/>
      </c>
      <c r="L1012" s="26"/>
    </row>
    <row r="1013" spans="1:12" x14ac:dyDescent="0.3">
      <c r="A1013" t="s">
        <v>231</v>
      </c>
      <c r="B1013" s="20" t="s">
        <v>191</v>
      </c>
      <c r="C1013" s="20" t="s">
        <v>211</v>
      </c>
      <c r="E1013" s="21" t="str">
        <f t="shared" si="100"/>
        <v/>
      </c>
      <c r="F1013" s="22" t="str">
        <f>IF(OR(E1013="",E1013="!!!"),"",IF(NOT(ISNA(VLOOKUP(E1013,E$1:E1012,1,FALSE()))),"OLD",IF(AND(E1013&lt;&gt;"",E1013&lt;&gt;"!!!"),"NEW","")))</f>
        <v/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/>
      </c>
      <c r="H1013" s="24" t="str">
        <f t="shared" ca="1" si="101"/>
        <v/>
      </c>
      <c r="I1013" s="25" t="str">
        <f>IF(OR(E1013="",E1013="!!!",F1013="NEW"),"",INDEX(B$2:B1012,-1+SUMPRODUCT(MAX(ROW(E$2:E1012)*(E1013=E$2:E1012)))))</f>
        <v/>
      </c>
      <c r="J1013" s="25" t="str">
        <f ca="1">IF(OR(E1013="",E1013="!!!",F1013="NEW"),"",COUNTBLANK(OFFSET(A$1,,,SUMPRODUCT(MAX(ROW(E$2:E1013)*(E1013=E$2:E1013)))))-COUNTBLANK(OFFSET(A$1,,,SUMPRODUCT(MAX(ROW(E$1:E1012)*(E2=E$1:E1012))))))</f>
        <v/>
      </c>
      <c r="K1013" s="25" t="str">
        <f>IF(OR(E1013="",E1013="!!!",F1013="NEW"),"",INDEX(J$1:J1012,SUMPRODUCT(MAX(ROW(E$1:E1012)*(E1013=E$1:E1012)))))</f>
        <v/>
      </c>
      <c r="L1013" s="26"/>
    </row>
    <row r="1014" spans="1:12" x14ac:dyDescent="0.3">
      <c r="A1014" t="s">
        <v>295</v>
      </c>
      <c r="E1014" s="21" t="str">
        <f t="shared" si="100"/>
        <v/>
      </c>
      <c r="F1014" s="22" t="str">
        <f>IF(OR(E1014="",E1014="!!!"),"",IF(NOT(ISNA(VLOOKUP(E1014,E$1:E1013,1,FALSE()))),"OLD",IF(AND(E1014&lt;&gt;"",E1014&lt;&gt;"!!!"),"NEW","")))</f>
        <v/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/>
      </c>
      <c r="H1014" s="24" t="str">
        <f t="shared" ca="1" si="101"/>
        <v/>
      </c>
      <c r="I1014" s="25" t="str">
        <f>IF(OR(E1014="",E1014="!!!",F1014="NEW"),"",INDEX(B$2:B1013,-1+SUMPRODUCT(MAX(ROW(E$2:E1013)*(E1014=E$2:E1013)))))</f>
        <v/>
      </c>
      <c r="J1014" s="25" t="str">
        <f ca="1">IF(OR(E1014="",E1014="!!!",F1014="NEW"),"",COUNTBLANK(OFFSET(A$1,,,SUMPRODUCT(MAX(ROW(E$2:E1014)*(E1014=E$2:E1014)))))-COUNTBLANK(OFFSET(A$1,,,SUMPRODUCT(MAX(ROW(E$1:E1013)*(E2=E$1:E1013))))))</f>
        <v/>
      </c>
      <c r="K1014" s="25" t="str">
        <f>IF(OR(E1014="",E1014="!!!",F1014="NEW"),"",INDEX(J$1:J1013,SUMPRODUCT(MAX(ROW(E$1:E1013)*(E1014=E$1:E1013)))))</f>
        <v/>
      </c>
      <c r="L1014" s="26"/>
    </row>
    <row r="1015" spans="1:12" x14ac:dyDescent="0.3">
      <c r="A1015" t="s">
        <v>613</v>
      </c>
      <c r="B1015" s="20" t="s">
        <v>201</v>
      </c>
      <c r="C1015" s="20" t="s">
        <v>181</v>
      </c>
      <c r="D1015" s="20" t="s">
        <v>160</v>
      </c>
      <c r="E1015" s="21" t="str">
        <f t="shared" si="100"/>
        <v>!!!</v>
      </c>
      <c r="F1015" s="22" t="str">
        <f>IF(OR(E1015="",E1015="!!!"),"",IF(NOT(ISNA(VLOOKUP(E1015,E$1:E1014,1,FALSE()))),"OLD",IF(AND(E1015&lt;&gt;"",E1015&lt;&gt;"!!!"),"NEW","")))</f>
        <v/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/>
      </c>
      <c r="H1015" s="24" t="str">
        <f t="shared" ca="1" si="101"/>
        <v/>
      </c>
      <c r="I1015" s="25" t="str">
        <f>IF(OR(E1015="",E1015="!!!",F1015="NEW"),"",INDEX(B$2:B1014,-1+SUMPRODUCT(MAX(ROW(E$2:E1014)*(E1015=E$2:E1014)))))</f>
        <v/>
      </c>
      <c r="J1015" s="25" t="str">
        <f ca="1">IF(OR(E1015="",E1015="!!!",F1015="NEW"),"",COUNTBLANK(OFFSET(A$1,,,SUMPRODUCT(MAX(ROW(E$2:E1015)*(E1015=E$2:E1015)))))-COUNTBLANK(OFFSET(A$1,,,SUMPRODUCT(MAX(ROW(E$1:E1014)*(E2=E$1:E1014))))))</f>
        <v/>
      </c>
      <c r="K1015" s="25" t="str">
        <f>IF(OR(E1015="",E1015="!!!",F1015="NEW"),"",INDEX(J$1:J1014,SUMPRODUCT(MAX(ROW(E$1:E1014)*(E1015=E$1:E1014)))))</f>
        <v/>
      </c>
      <c r="L1015" s="26"/>
    </row>
    <row r="1016" spans="1:12" x14ac:dyDescent="0.3">
      <c r="A1016" t="s">
        <v>614</v>
      </c>
      <c r="E1016" s="21" t="str">
        <f t="shared" si="100"/>
        <v/>
      </c>
      <c r="F1016" s="22" t="str">
        <f>IF(OR(E1016="",E1016="!!!"),"",IF(NOT(ISNA(VLOOKUP(E1016,E$1:E1015,1,FALSE()))),"OLD",IF(AND(E1016&lt;&gt;"",E1016&lt;&gt;"!!!"),"NEW","")))</f>
        <v/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/>
      </c>
      <c r="H1016" s="24" t="str">
        <f t="shared" ca="1" si="101"/>
        <v/>
      </c>
      <c r="I1016" s="25" t="str">
        <f>IF(OR(E1016="",E1016="!!!",F1016="NEW"),"",INDEX(B$2:B1015,-1+SUMPRODUCT(MAX(ROW(E$2:E1015)*(E1016=E$2:E1015)))))</f>
        <v/>
      </c>
      <c r="J1016" s="25" t="str">
        <f ca="1">IF(OR(E1016="",E1016="!!!",F1016="NEW"),"",COUNTBLANK(OFFSET(A$1,,,SUMPRODUCT(MAX(ROW(E$2:E1016)*(E1016=E$2:E1016)))))-COUNTBLANK(OFFSET(A$1,,,SUMPRODUCT(MAX(ROW(E$1:E1015)*(E2=E$1:E1015))))))</f>
        <v/>
      </c>
      <c r="K1016" s="25" t="str">
        <f>IF(OR(E1016="",E1016="!!!",F1016="NEW"),"",INDEX(J$1:J1015,SUMPRODUCT(MAX(ROW(E$1:E1015)*(E1016=E$1:E1015)))))</f>
        <v/>
      </c>
      <c r="L1016" s="26"/>
    </row>
    <row r="1017" spans="1:12" x14ac:dyDescent="0.3">
      <c r="A1017" t="s">
        <v>598</v>
      </c>
      <c r="B1017" s="20" t="s">
        <v>172</v>
      </c>
      <c r="C1017" s="20" t="s">
        <v>167</v>
      </c>
      <c r="E1017" s="21" t="str">
        <f t="shared" si="100"/>
        <v/>
      </c>
      <c r="F1017" s="22" t="str">
        <f>IF(OR(E1017="",E1017="!!!"),"",IF(NOT(ISNA(VLOOKUP(E1017,E$1:E1016,1,FALSE()))),"OLD",IF(AND(E1017&lt;&gt;"",E1017&lt;&gt;"!!!"),"NEW","")))</f>
        <v/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/>
      </c>
      <c r="H1017" s="24" t="str">
        <f t="shared" ca="1" si="101"/>
        <v/>
      </c>
      <c r="I1017" s="25" t="str">
        <f>IF(OR(E1017="",E1017="!!!",F1017="NEW"),"",INDEX(B$2:B1016,-1+SUMPRODUCT(MAX(ROW(E$2:E1016)*(E1017=E$2:E1016)))))</f>
        <v/>
      </c>
      <c r="J1017" s="25" t="str">
        <f ca="1">IF(OR(E1017="",E1017="!!!",F1017="NEW"),"",COUNTBLANK(OFFSET(A$1,,,SUMPRODUCT(MAX(ROW(E$2:E1017)*(E1017=E$2:E1017)))))-COUNTBLANK(OFFSET(A$1,,,SUMPRODUCT(MAX(ROW(E$1:E1016)*(E2=E$1:E1016))))))</f>
        <v/>
      </c>
      <c r="K1017" s="25" t="str">
        <f>IF(OR(E1017="",E1017="!!!",F1017="NEW"),"",INDEX(J$1:J1016,SUMPRODUCT(MAX(ROW(E$1:E1016)*(E1017=E$1:E1016)))))</f>
        <v/>
      </c>
      <c r="L1017" s="26"/>
    </row>
    <row r="1018" spans="1:12" x14ac:dyDescent="0.3">
      <c r="A1018" t="s">
        <v>212</v>
      </c>
      <c r="E1018" s="21" t="str">
        <f t="shared" si="100"/>
        <v/>
      </c>
      <c r="F1018" s="22" t="str">
        <f>IF(OR(E1018="",E1018="!!!"),"",IF(NOT(ISNA(VLOOKUP(E1018,E$1:E1017,1,FALSE()))),"OLD",IF(AND(E1018&lt;&gt;"",E1018&lt;&gt;"!!!"),"NEW","")))</f>
        <v/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/>
      </c>
      <c r="H1018" s="24" t="str">
        <f t="shared" ca="1" si="101"/>
        <v/>
      </c>
      <c r="I1018" s="25" t="str">
        <f>IF(OR(E1018="",E1018="!!!",F1018="NEW"),"",INDEX(B$2:B1017,-1+SUMPRODUCT(MAX(ROW(E$2:E1017)*(E1018=E$2:E1017)))))</f>
        <v/>
      </c>
      <c r="J1018" s="25" t="str">
        <f ca="1">IF(OR(E1018="",E1018="!!!",F1018="NEW"),"",COUNTBLANK(OFFSET(A$1,,,SUMPRODUCT(MAX(ROW(E$2:E1018)*(E1018=E$2:E1018)))))-COUNTBLANK(OFFSET(A$1,,,SUMPRODUCT(MAX(ROW(E$1:E1017)*(E2=E$1:E1017))))))</f>
        <v/>
      </c>
      <c r="K1018" s="25" t="str">
        <f>IF(OR(E1018="",E1018="!!!",F1018="NEW"),"",INDEX(J$1:J1017,SUMPRODUCT(MAX(ROW(E$1:E1017)*(E1018=E$1:E1017)))))</f>
        <v/>
      </c>
      <c r="L1018" s="26"/>
    </row>
    <row r="1020" spans="1:12" x14ac:dyDescent="0.3">
      <c r="A1020" t="s">
        <v>615</v>
      </c>
    </row>
    <row r="1021" spans="1:12" x14ac:dyDescent="0.3">
      <c r="A1021" t="s">
        <v>616</v>
      </c>
      <c r="E1021" s="21" t="str">
        <f t="shared" ref="E1021:E1039" si="102">IF(D1021="?OLD","!!!","")</f>
        <v/>
      </c>
      <c r="F1021" s="22" t="str">
        <f>IF(OR(E1021="",E1021="!!!"),"",IF(NOT(ISNA(VLOOKUP(E1021,E$1:E1020,1,FALSE()))),"OLD",IF(AND(E1021&lt;&gt;"",E1021&lt;&gt;"!!!"),"NEW","")))</f>
        <v/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/>
      </c>
      <c r="H1021" s="24" t="str">
        <f t="shared" ref="H1021:H1039" ca="1" si="103">IF(J1021&lt;&gt;1,"",IF(I1021="SBJ","CB","?"))</f>
        <v/>
      </c>
      <c r="I1021" s="25" t="str">
        <f>IF(OR(E1021="",E1021="!!!",F1021="NEW"),"",INDEX(B$2:B1020,-1+SUMPRODUCT(MAX(ROW(E$2:E1020)*(E1021=E$2:E1020)))))</f>
        <v/>
      </c>
      <c r="J1021" s="25" t="str">
        <f ca="1">IF(OR(E1021="",E1021="!!!",F1021="NEW"),"",COUNTBLANK(OFFSET(A$1,,,SUMPRODUCT(MAX(ROW(E$2:E1021)*(E1021=E$2:E1021)))))-COUNTBLANK(OFFSET(A$1,,,SUMPRODUCT(MAX(ROW(E$1:E1020)*(E2=E$1:E1020))))))</f>
        <v/>
      </c>
      <c r="K1021" s="25" t="str">
        <f>IF(OR(E1021="",E1021="!!!",F1021="NEW"),"",INDEX(J$1:J1020,SUMPRODUCT(MAX(ROW(E$1:E1020)*(E1021=E$1:E1020)))))</f>
        <v/>
      </c>
      <c r="L1021" s="26"/>
    </row>
    <row r="1022" spans="1:12" x14ac:dyDescent="0.3">
      <c r="A1022" t="s">
        <v>333</v>
      </c>
      <c r="E1022" s="21" t="str">
        <f t="shared" si="102"/>
        <v/>
      </c>
      <c r="F1022" s="22" t="str">
        <f>IF(OR(E1022="",E1022="!!!"),"",IF(NOT(ISNA(VLOOKUP(E1022,E$1:E1021,1,FALSE()))),"OLD",IF(AND(E1022&lt;&gt;"",E1022&lt;&gt;"!!!"),"NEW","")))</f>
        <v/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/>
      </c>
      <c r="H1022" s="24" t="str">
        <f t="shared" ca="1" si="103"/>
        <v/>
      </c>
      <c r="I1022" s="25" t="str">
        <f>IF(OR(E1022="",E1022="!!!",F1022="NEW"),"",INDEX(B$2:B1021,-1+SUMPRODUCT(MAX(ROW(E$2:E1021)*(E1022=E$2:E1021)))))</f>
        <v/>
      </c>
      <c r="J1022" s="25" t="str">
        <f ca="1">IF(OR(E1022="",E1022="!!!",F1022="NEW"),"",COUNTBLANK(OFFSET(A$1,,,SUMPRODUCT(MAX(ROW(E$2:E1022)*(E1022=E$2:E1022)))))-COUNTBLANK(OFFSET(A$1,,,SUMPRODUCT(MAX(ROW(E$1:E1021)*(E2=E$1:E1021))))))</f>
        <v/>
      </c>
      <c r="K1022" s="25" t="str">
        <f>IF(OR(E1022="",E1022="!!!",F1022="NEW"),"",INDEX(J$1:J1021,SUMPRODUCT(MAX(ROW(E$1:E1021)*(E1022=E$1:E1021)))))</f>
        <v/>
      </c>
      <c r="L1022" s="26"/>
    </row>
    <row r="1023" spans="1:12" x14ac:dyDescent="0.3">
      <c r="A1023" t="s">
        <v>175</v>
      </c>
      <c r="B1023" s="20" t="s">
        <v>187</v>
      </c>
      <c r="C1023" s="20" t="s">
        <v>177</v>
      </c>
      <c r="D1023" s="20" t="s">
        <v>160</v>
      </c>
      <c r="E1023" s="21" t="str">
        <f t="shared" si="102"/>
        <v>!!!</v>
      </c>
      <c r="F1023" s="22" t="str">
        <f>IF(OR(E1023="",E1023="!!!"),"",IF(NOT(ISNA(VLOOKUP(E1023,E$1:E1022,1,FALSE()))),"OLD",IF(AND(E1023&lt;&gt;"",E1023&lt;&gt;"!!!"),"NEW","")))</f>
        <v/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/>
      </c>
      <c r="H1023" s="24" t="str">
        <f t="shared" ca="1" si="103"/>
        <v/>
      </c>
      <c r="I1023" s="25" t="str">
        <f>IF(OR(E1023="",E1023="!!!",F1023="NEW"),"",INDEX(B$2:B1022,-1+SUMPRODUCT(MAX(ROW(E$2:E1022)*(E1023=E$2:E1022)))))</f>
        <v/>
      </c>
      <c r="J1023" s="25" t="str">
        <f ca="1">IF(OR(E1023="",E1023="!!!",F1023="NEW"),"",COUNTBLANK(OFFSET(A$1,,,SUMPRODUCT(MAX(ROW(E$2:E1023)*(E1023=E$2:E1023)))))-COUNTBLANK(OFFSET(A$1,,,SUMPRODUCT(MAX(ROW(E$1:E1022)*(E2=E$1:E1022))))))</f>
        <v/>
      </c>
      <c r="K1023" s="25" t="str">
        <f>IF(OR(E1023="",E1023="!!!",F1023="NEW"),"",INDEX(J$1:J1022,SUMPRODUCT(MAX(ROW(E$1:E1022)*(E1023=E$1:E1022)))))</f>
        <v/>
      </c>
      <c r="L1023" s="26"/>
    </row>
    <row r="1024" spans="1:12" x14ac:dyDescent="0.3">
      <c r="A1024" t="s">
        <v>179</v>
      </c>
      <c r="E1024" s="21" t="str">
        <f t="shared" si="102"/>
        <v/>
      </c>
      <c r="F1024" s="22" t="str">
        <f>IF(OR(E1024="",E1024="!!!"),"",IF(NOT(ISNA(VLOOKUP(E1024,E$1:E1023,1,FALSE()))),"OLD",IF(AND(E1024&lt;&gt;"",E1024&lt;&gt;"!!!"),"NEW","")))</f>
        <v/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/>
      </c>
      <c r="H1024" s="24" t="str">
        <f t="shared" ca="1" si="103"/>
        <v/>
      </c>
      <c r="I1024" s="25" t="str">
        <f>IF(OR(E1024="",E1024="!!!",F1024="NEW"),"",INDEX(B$2:B1023,-1+SUMPRODUCT(MAX(ROW(E$2:E1023)*(E1024=E$2:E1023)))))</f>
        <v/>
      </c>
      <c r="J1024" s="25" t="str">
        <f ca="1">IF(OR(E1024="",E1024="!!!",F1024="NEW"),"",COUNTBLANK(OFFSET(A$1,,,SUMPRODUCT(MAX(ROW(E$2:E1024)*(E1024=E$2:E1024)))))-COUNTBLANK(OFFSET(A$1,,,SUMPRODUCT(MAX(ROW(E$1:E1023)*(E2=E$1:E1023))))))</f>
        <v/>
      </c>
      <c r="K1024" s="25" t="str">
        <f>IF(OR(E1024="",E1024="!!!",F1024="NEW"),"",INDEX(J$1:J1023,SUMPRODUCT(MAX(ROW(E$1:E1023)*(E1024=E$1:E1023)))))</f>
        <v/>
      </c>
      <c r="L1024" s="26"/>
    </row>
    <row r="1025" spans="1:12" x14ac:dyDescent="0.3">
      <c r="A1025" t="s">
        <v>617</v>
      </c>
      <c r="B1025" s="20" t="s">
        <v>191</v>
      </c>
      <c r="C1025" s="20" t="s">
        <v>181</v>
      </c>
      <c r="D1025" s="20" t="s">
        <v>160</v>
      </c>
      <c r="E1025" s="21" t="str">
        <f t="shared" si="102"/>
        <v>!!!</v>
      </c>
      <c r="F1025" s="22" t="str">
        <f>IF(OR(E1025="",E1025="!!!"),"",IF(NOT(ISNA(VLOOKUP(E1025,E$1:E1024,1,FALSE()))),"OLD",IF(AND(E1025&lt;&gt;"",E1025&lt;&gt;"!!!"),"NEW","")))</f>
        <v/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/>
      </c>
      <c r="H1025" s="24" t="str">
        <f t="shared" ca="1" si="103"/>
        <v/>
      </c>
      <c r="I1025" s="25" t="str">
        <f>IF(OR(E1025="",E1025="!!!",F1025="NEW"),"",INDEX(B$2:B1024,-1+SUMPRODUCT(MAX(ROW(E$2:E1024)*(E1025=E$2:E1024)))))</f>
        <v/>
      </c>
      <c r="J1025" s="25" t="str">
        <f ca="1">IF(OR(E1025="",E1025="!!!",F1025="NEW"),"",COUNTBLANK(OFFSET(A$1,,,SUMPRODUCT(MAX(ROW(E$2:E1025)*(E1025=E$2:E1025)))))-COUNTBLANK(OFFSET(A$1,,,SUMPRODUCT(MAX(ROW(E$1:E1024)*(E2=E$1:E1024))))))</f>
        <v/>
      </c>
      <c r="K1025" s="25" t="str">
        <f>IF(OR(E1025="",E1025="!!!",F1025="NEW"),"",INDEX(J$1:J1024,SUMPRODUCT(MAX(ROW(E$1:E1024)*(E1025=E$1:E1024)))))</f>
        <v/>
      </c>
      <c r="L1025" s="26"/>
    </row>
    <row r="1026" spans="1:12" x14ac:dyDescent="0.3">
      <c r="A1026" t="s">
        <v>185</v>
      </c>
      <c r="E1026" s="21" t="str">
        <f t="shared" si="102"/>
        <v/>
      </c>
      <c r="F1026" s="22" t="str">
        <f>IF(OR(E1026="",E1026="!!!"),"",IF(NOT(ISNA(VLOOKUP(E1026,E$1:E1025,1,FALSE()))),"OLD",IF(AND(E1026&lt;&gt;"",E1026&lt;&gt;"!!!"),"NEW","")))</f>
        <v/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/>
      </c>
      <c r="H1026" s="24" t="str">
        <f t="shared" ca="1" si="103"/>
        <v/>
      </c>
      <c r="I1026" s="25" t="str">
        <f>IF(OR(E1026="",E1026="!!!",F1026="NEW"),"",INDEX(B$2:B1025,-1+SUMPRODUCT(MAX(ROW(E$2:E1025)*(E1026=E$2:E1025)))))</f>
        <v/>
      </c>
      <c r="J1026" s="25" t="str">
        <f ca="1">IF(OR(E1026="",E1026="!!!",F1026="NEW"),"",COUNTBLANK(OFFSET(A$1,,,SUMPRODUCT(MAX(ROW(E$2:E1026)*(E1026=E$2:E1026)))))-COUNTBLANK(OFFSET(A$1,,,SUMPRODUCT(MAX(ROW(E$1:E1025)*(E2=E$1:E1025))))))</f>
        <v/>
      </c>
      <c r="K1026" s="25" t="str">
        <f>IF(OR(E1026="",E1026="!!!",F1026="NEW"),"",INDEX(J$1:J1025,SUMPRODUCT(MAX(ROW(E$1:E1025)*(E1026=E$1:E1025)))))</f>
        <v/>
      </c>
      <c r="L1026" s="26"/>
    </row>
    <row r="1027" spans="1:12" x14ac:dyDescent="0.3">
      <c r="A1027" t="s">
        <v>618</v>
      </c>
      <c r="B1027" s="20" t="s">
        <v>172</v>
      </c>
      <c r="C1027" s="20" t="s">
        <v>167</v>
      </c>
      <c r="E1027" s="21" t="str">
        <f t="shared" si="102"/>
        <v/>
      </c>
      <c r="F1027" s="22" t="str">
        <f>IF(OR(E1027="",E1027="!!!"),"",IF(NOT(ISNA(VLOOKUP(E1027,E$1:E1026,1,FALSE()))),"OLD",IF(AND(E1027&lt;&gt;"",E1027&lt;&gt;"!!!"),"NEW","")))</f>
        <v/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/>
      </c>
      <c r="H1027" s="24" t="str">
        <f t="shared" ca="1" si="103"/>
        <v/>
      </c>
      <c r="I1027" s="25" t="str">
        <f>IF(OR(E1027="",E1027="!!!",F1027="NEW"),"",INDEX(B$2:B1026,-1+SUMPRODUCT(MAX(ROW(E$2:E1026)*(E1027=E$2:E1026)))))</f>
        <v/>
      </c>
      <c r="J1027" s="25" t="str">
        <f ca="1">IF(OR(E1027="",E1027="!!!",F1027="NEW"),"",COUNTBLANK(OFFSET(A$1,,,SUMPRODUCT(MAX(ROW(E$2:E1027)*(E1027=E$2:E1027)))))-COUNTBLANK(OFFSET(A$1,,,SUMPRODUCT(MAX(ROW(E$1:E1026)*(E2=E$1:E1026))))))</f>
        <v/>
      </c>
      <c r="K1027" s="25" t="str">
        <f>IF(OR(E1027="",E1027="!!!",F1027="NEW"),"",INDEX(J$1:J1026,SUMPRODUCT(MAX(ROW(E$1:E1026)*(E1027=E$1:E1026)))))</f>
        <v/>
      </c>
      <c r="L1027" s="26"/>
    </row>
    <row r="1028" spans="1:12" x14ac:dyDescent="0.3">
      <c r="A1028" t="s">
        <v>195</v>
      </c>
      <c r="E1028" s="21" t="str">
        <f t="shared" si="102"/>
        <v/>
      </c>
      <c r="F1028" s="22" t="str">
        <f>IF(OR(E1028="",E1028="!!!"),"",IF(NOT(ISNA(VLOOKUP(E1028,E$1:E1027,1,FALSE()))),"OLD",IF(AND(E1028&lt;&gt;"",E1028&lt;&gt;"!!!"),"NEW","")))</f>
        <v/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/>
      </c>
      <c r="H1028" s="24" t="str">
        <f t="shared" ca="1" si="103"/>
        <v/>
      </c>
      <c r="I1028" s="25" t="str">
        <f>IF(OR(E1028="",E1028="!!!",F1028="NEW"),"",INDEX(B$2:B1027,-1+SUMPRODUCT(MAX(ROW(E$2:E1027)*(E1028=E$2:E1027)))))</f>
        <v/>
      </c>
      <c r="J1028" s="25" t="str">
        <f ca="1">IF(OR(E1028="",E1028="!!!",F1028="NEW"),"",COUNTBLANK(OFFSET(A$1,,,SUMPRODUCT(MAX(ROW(E$2:E1028)*(E1028=E$2:E1028)))))-COUNTBLANK(OFFSET(A$1,,,SUMPRODUCT(MAX(ROW(E$1:E1027)*(E2=E$1:E1027))))))</f>
        <v/>
      </c>
      <c r="K1028" s="25" t="str">
        <f>IF(OR(E1028="",E1028="!!!",F1028="NEW"),"",INDEX(J$1:J1027,SUMPRODUCT(MAX(ROW(E$1:E1027)*(E1028=E$1:E1027)))))</f>
        <v/>
      </c>
      <c r="L1028" s="26"/>
    </row>
    <row r="1029" spans="1:12" x14ac:dyDescent="0.3">
      <c r="A1029" t="s">
        <v>619</v>
      </c>
      <c r="E1029" s="21" t="str">
        <f t="shared" si="102"/>
        <v/>
      </c>
      <c r="F1029" s="22" t="str">
        <f>IF(OR(E1029="",E1029="!!!"),"",IF(NOT(ISNA(VLOOKUP(E1029,E$1:E1028,1,FALSE()))),"OLD",IF(AND(E1029&lt;&gt;"",E1029&lt;&gt;"!!!"),"NEW","")))</f>
        <v/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/>
      </c>
      <c r="H1029" s="24" t="str">
        <f t="shared" ca="1" si="103"/>
        <v/>
      </c>
      <c r="I1029" s="25" t="str">
        <f>IF(OR(E1029="",E1029="!!!",F1029="NEW"),"",INDEX(B$2:B1028,-1+SUMPRODUCT(MAX(ROW(E$2:E1028)*(E1029=E$2:E1028)))))</f>
        <v/>
      </c>
      <c r="J1029" s="25" t="str">
        <f ca="1">IF(OR(E1029="",E1029="!!!",F1029="NEW"),"",COUNTBLANK(OFFSET(A$1,,,SUMPRODUCT(MAX(ROW(E$2:E1029)*(E1029=E$2:E1029)))))-COUNTBLANK(OFFSET(A$1,,,SUMPRODUCT(MAX(ROW(E$1:E1028)*(E2=E$1:E1028))))))</f>
        <v/>
      </c>
      <c r="K1029" s="25" t="str">
        <f>IF(OR(E1029="",E1029="!!!",F1029="NEW"),"",INDEX(J$1:J1028,SUMPRODUCT(MAX(ROW(E$1:E1028)*(E1029=E$1:E1028)))))</f>
        <v/>
      </c>
      <c r="L1029" s="26"/>
    </row>
    <row r="1030" spans="1:12" x14ac:dyDescent="0.3">
      <c r="A1030" t="s">
        <v>185</v>
      </c>
      <c r="E1030" s="21" t="str">
        <f t="shared" si="102"/>
        <v/>
      </c>
      <c r="F1030" s="22" t="str">
        <f>IF(OR(E1030="",E1030="!!!"),"",IF(NOT(ISNA(VLOOKUP(E1030,E$1:E1029,1,FALSE()))),"OLD",IF(AND(E1030&lt;&gt;"",E1030&lt;&gt;"!!!"),"NEW","")))</f>
        <v/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/>
      </c>
      <c r="H1030" s="24" t="str">
        <f t="shared" ca="1" si="103"/>
        <v/>
      </c>
      <c r="I1030" s="25" t="str">
        <f>IF(OR(E1030="",E1030="!!!",F1030="NEW"),"",INDEX(B$2:B1029,-1+SUMPRODUCT(MAX(ROW(E$2:E1029)*(E1030=E$2:E1029)))))</f>
        <v/>
      </c>
      <c r="J1030" s="25" t="str">
        <f ca="1">IF(OR(E1030="",E1030="!!!",F1030="NEW"),"",COUNTBLANK(OFFSET(A$1,,,SUMPRODUCT(MAX(ROW(E$2:E1030)*(E1030=E$2:E1030)))))-COUNTBLANK(OFFSET(A$1,,,SUMPRODUCT(MAX(ROW(E$1:E1029)*(E2=E$1:E1029))))))</f>
        <v/>
      </c>
      <c r="K1030" s="25" t="str">
        <f>IF(OR(E1030="",E1030="!!!",F1030="NEW"),"",INDEX(J$1:J1029,SUMPRODUCT(MAX(ROW(E$1:E1029)*(E1030=E$1:E1029)))))</f>
        <v/>
      </c>
      <c r="L1030" s="26"/>
    </row>
    <row r="1031" spans="1:12" x14ac:dyDescent="0.3">
      <c r="A1031" t="s">
        <v>179</v>
      </c>
      <c r="B1031" s="20" t="s">
        <v>176</v>
      </c>
      <c r="E1031" s="21" t="str">
        <f t="shared" si="102"/>
        <v/>
      </c>
      <c r="F1031" s="22" t="str">
        <f>IF(OR(E1031="",E1031="!!!"),"",IF(NOT(ISNA(VLOOKUP(E1031,E$1:E1030,1,FALSE()))),"OLD",IF(AND(E1031&lt;&gt;"",E1031&lt;&gt;"!!!"),"NEW","")))</f>
        <v/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/>
      </c>
      <c r="H1031" s="24" t="str">
        <f t="shared" ca="1" si="103"/>
        <v/>
      </c>
      <c r="I1031" s="25" t="str">
        <f>IF(OR(E1031="",E1031="!!!",F1031="NEW"),"",INDEX(B$2:B1030,-1+SUMPRODUCT(MAX(ROW(E$2:E1030)*(E1031=E$2:E1030)))))</f>
        <v/>
      </c>
      <c r="J1031" s="25" t="str">
        <f ca="1">IF(OR(E1031="",E1031="!!!",F1031="NEW"),"",COUNTBLANK(OFFSET(A$1,,,SUMPRODUCT(MAX(ROW(E$2:E1031)*(E1031=E$2:E1031)))))-COUNTBLANK(OFFSET(A$1,,,SUMPRODUCT(MAX(ROW(E$1:E1030)*(E2=E$1:E1030))))))</f>
        <v/>
      </c>
      <c r="K1031" s="25" t="str">
        <f>IF(OR(E1031="",E1031="!!!",F1031="NEW"),"",INDEX(J$1:J1030,SUMPRODUCT(MAX(ROW(E$1:E1030)*(E1031=E$1:E1030)))))</f>
        <v/>
      </c>
      <c r="L1031" s="26"/>
    </row>
    <row r="1032" spans="1:12" x14ac:dyDescent="0.3">
      <c r="A1032" t="s">
        <v>620</v>
      </c>
      <c r="B1032" s="20" t="s">
        <v>183</v>
      </c>
      <c r="C1032" s="20" t="s">
        <v>246</v>
      </c>
      <c r="D1032" s="20" t="s">
        <v>160</v>
      </c>
      <c r="E1032" s="21" t="str">
        <f t="shared" si="102"/>
        <v>!!!</v>
      </c>
      <c r="F1032" s="22" t="str">
        <f>IF(OR(E1032="",E1032="!!!"),"",IF(NOT(ISNA(VLOOKUP(E1032,E$1:E1031,1,FALSE()))),"OLD",IF(AND(E1032&lt;&gt;"",E1032&lt;&gt;"!!!"),"NEW","")))</f>
        <v/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/>
      </c>
      <c r="H1032" s="24" t="str">
        <f t="shared" ca="1" si="103"/>
        <v/>
      </c>
      <c r="I1032" s="25" t="str">
        <f>IF(OR(E1032="",E1032="!!!",F1032="NEW"),"",INDEX(B$2:B1031,-1+SUMPRODUCT(MAX(ROW(E$2:E1031)*(E1032=E$2:E1031)))))</f>
        <v/>
      </c>
      <c r="J1032" s="25" t="str">
        <f ca="1">IF(OR(E1032="",E1032="!!!",F1032="NEW"),"",COUNTBLANK(OFFSET(A$1,,,SUMPRODUCT(MAX(ROW(E$2:E1032)*(E1032=E$2:E1032)))))-COUNTBLANK(OFFSET(A$1,,,SUMPRODUCT(MAX(ROW(E$1:E1031)*(E2=E$1:E1031))))))</f>
        <v/>
      </c>
      <c r="K1032" s="25" t="str">
        <f>IF(OR(E1032="",E1032="!!!",F1032="NEW"),"",INDEX(J$1:J1031,SUMPRODUCT(MAX(ROW(E$1:E1031)*(E1032=E$1:E1031)))))</f>
        <v/>
      </c>
      <c r="L1032" s="26"/>
    </row>
    <row r="1033" spans="1:12" x14ac:dyDescent="0.3">
      <c r="A1033" t="s">
        <v>553</v>
      </c>
      <c r="B1033" s="20" t="s">
        <v>257</v>
      </c>
      <c r="C1033" s="20" t="s">
        <v>167</v>
      </c>
      <c r="E1033" s="21" t="str">
        <f t="shared" si="102"/>
        <v/>
      </c>
      <c r="F1033" s="22" t="str">
        <f>IF(OR(E1033="",E1033="!!!"),"",IF(NOT(ISNA(VLOOKUP(E1033,E$1:E1032,1,FALSE()))),"OLD",IF(AND(E1033&lt;&gt;"",E1033&lt;&gt;"!!!"),"NEW","")))</f>
        <v/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/>
      </c>
      <c r="H1033" s="24" t="str">
        <f t="shared" ca="1" si="103"/>
        <v/>
      </c>
      <c r="I1033" s="25" t="str">
        <f>IF(OR(E1033="",E1033="!!!",F1033="NEW"),"",INDEX(B$2:B1032,-1+SUMPRODUCT(MAX(ROW(E$2:E1032)*(E1033=E$2:E1032)))))</f>
        <v/>
      </c>
      <c r="J1033" s="25" t="str">
        <f ca="1">IF(OR(E1033="",E1033="!!!",F1033="NEW"),"",COUNTBLANK(OFFSET(A$1,,,SUMPRODUCT(MAX(ROW(E$2:E1033)*(E1033=E$2:E1033)))))-COUNTBLANK(OFFSET(A$1,,,SUMPRODUCT(MAX(ROW(E$1:E1032)*(E2=E$1:E1032))))))</f>
        <v/>
      </c>
      <c r="K1033" s="25" t="str">
        <f>IF(OR(E1033="",E1033="!!!",F1033="NEW"),"",INDEX(J$1:J1032,SUMPRODUCT(MAX(ROW(E$1:E1032)*(E1033=E$1:E1032)))))</f>
        <v/>
      </c>
      <c r="L1033" s="26"/>
    </row>
    <row r="1034" spans="1:12" x14ac:dyDescent="0.3">
      <c r="A1034" t="s">
        <v>170</v>
      </c>
      <c r="E1034" s="21" t="str">
        <f t="shared" si="102"/>
        <v/>
      </c>
      <c r="F1034" s="22" t="str">
        <f>IF(OR(E1034="",E1034="!!!"),"",IF(NOT(ISNA(VLOOKUP(E1034,E$1:E1033,1,FALSE()))),"OLD",IF(AND(E1034&lt;&gt;"",E1034&lt;&gt;"!!!"),"NEW","")))</f>
        <v/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/>
      </c>
      <c r="H1034" s="24" t="str">
        <f t="shared" ca="1" si="103"/>
        <v/>
      </c>
      <c r="I1034" s="25" t="str">
        <f>IF(OR(E1034="",E1034="!!!",F1034="NEW"),"",INDEX(B$2:B1033,-1+SUMPRODUCT(MAX(ROW(E$2:E1033)*(E1034=E$2:E1033)))))</f>
        <v/>
      </c>
      <c r="J1034" s="25" t="str">
        <f ca="1">IF(OR(E1034="",E1034="!!!",F1034="NEW"),"",COUNTBLANK(OFFSET(A$1,,,SUMPRODUCT(MAX(ROW(E$2:E1034)*(E1034=E$2:E1034)))))-COUNTBLANK(OFFSET(A$1,,,SUMPRODUCT(MAX(ROW(E$1:E1033)*(E2=E$1:E1033))))))</f>
        <v/>
      </c>
      <c r="K1034" s="25" t="str">
        <f>IF(OR(E1034="",E1034="!!!",F1034="NEW"),"",INDEX(J$1:J1033,SUMPRODUCT(MAX(ROW(E$1:E1033)*(E1034=E$1:E1033)))))</f>
        <v/>
      </c>
      <c r="L1034" s="26"/>
    </row>
    <row r="1035" spans="1:12" x14ac:dyDescent="0.3">
      <c r="A1035" t="s">
        <v>316</v>
      </c>
      <c r="E1035" s="21" t="str">
        <f t="shared" si="102"/>
        <v/>
      </c>
      <c r="F1035" s="22" t="str">
        <f>IF(OR(E1035="",E1035="!!!"),"",IF(NOT(ISNA(VLOOKUP(E1035,E$1:E1034,1,FALSE()))),"OLD",IF(AND(E1035&lt;&gt;"",E1035&lt;&gt;"!!!"),"NEW","")))</f>
        <v/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/>
      </c>
      <c r="H1035" s="24" t="str">
        <f t="shared" ca="1" si="103"/>
        <v/>
      </c>
      <c r="I1035" s="25" t="str">
        <f>IF(OR(E1035="",E1035="!!!",F1035="NEW"),"",INDEX(B$2:B1034,-1+SUMPRODUCT(MAX(ROW(E$2:E1034)*(E1035=E$2:E1034)))))</f>
        <v/>
      </c>
      <c r="J1035" s="25" t="str">
        <f ca="1">IF(OR(E1035="",E1035="!!!",F1035="NEW"),"",COUNTBLANK(OFFSET(A$1,,,SUMPRODUCT(MAX(ROW(E$2:E1035)*(E1035=E$2:E1035)))))-COUNTBLANK(OFFSET(A$1,,,SUMPRODUCT(MAX(ROW(E$1:E1034)*(E2=E$1:E1034))))))</f>
        <v/>
      </c>
      <c r="K1035" s="25" t="str">
        <f>IF(OR(E1035="",E1035="!!!",F1035="NEW"),"",INDEX(J$1:J1034,SUMPRODUCT(MAX(ROW(E$1:E1034)*(E1035=E$1:E1034)))))</f>
        <v/>
      </c>
      <c r="L1035" s="26"/>
    </row>
    <row r="1036" spans="1:12" x14ac:dyDescent="0.3">
      <c r="A1036" t="s">
        <v>426</v>
      </c>
      <c r="E1036" s="21" t="str">
        <f t="shared" si="102"/>
        <v/>
      </c>
      <c r="F1036" s="22" t="str">
        <f>IF(OR(E1036="",E1036="!!!"),"",IF(NOT(ISNA(VLOOKUP(E1036,E$1:E1035,1,FALSE()))),"OLD",IF(AND(E1036&lt;&gt;"",E1036&lt;&gt;"!!!"),"NEW","")))</f>
        <v/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/>
      </c>
      <c r="H1036" s="24" t="str">
        <f t="shared" ca="1" si="103"/>
        <v/>
      </c>
      <c r="I1036" s="25" t="str">
        <f>IF(OR(E1036="",E1036="!!!",F1036="NEW"),"",INDEX(B$2:B1035,-1+SUMPRODUCT(MAX(ROW(E$2:E1035)*(E1036=E$2:E1035)))))</f>
        <v/>
      </c>
      <c r="J1036" s="25" t="str">
        <f ca="1">IF(OR(E1036="",E1036="!!!",F1036="NEW"),"",COUNTBLANK(OFFSET(A$1,,,SUMPRODUCT(MAX(ROW(E$2:E1036)*(E1036=E$2:E1036)))))-COUNTBLANK(OFFSET(A$1,,,SUMPRODUCT(MAX(ROW(E$1:E1035)*(E2=E$1:E1035))))))</f>
        <v/>
      </c>
      <c r="K1036" s="25" t="str">
        <f>IF(OR(E1036="",E1036="!!!",F1036="NEW"),"",INDEX(J$1:J1035,SUMPRODUCT(MAX(ROW(E$1:E1035)*(E1036=E$1:E1035)))))</f>
        <v/>
      </c>
      <c r="L1036" s="26"/>
    </row>
    <row r="1037" spans="1:12" x14ac:dyDescent="0.3">
      <c r="A1037" t="s">
        <v>231</v>
      </c>
      <c r="B1037" s="20" t="s">
        <v>172</v>
      </c>
      <c r="C1037" s="20" t="s">
        <v>211</v>
      </c>
      <c r="E1037" s="21" t="str">
        <f t="shared" si="102"/>
        <v/>
      </c>
      <c r="F1037" s="22" t="str">
        <f>IF(OR(E1037="",E1037="!!!"),"",IF(NOT(ISNA(VLOOKUP(E1037,E$1:E1036,1,FALSE()))),"OLD",IF(AND(E1037&lt;&gt;"",E1037&lt;&gt;"!!!"),"NEW","")))</f>
        <v/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/>
      </c>
      <c r="H1037" s="24" t="str">
        <f t="shared" ca="1" si="103"/>
        <v/>
      </c>
      <c r="I1037" s="25" t="str">
        <f>IF(OR(E1037="",E1037="!!!",F1037="NEW"),"",INDEX(B$2:B1036,-1+SUMPRODUCT(MAX(ROW(E$2:E1036)*(E1037=E$2:E1036)))))</f>
        <v/>
      </c>
      <c r="J1037" s="25" t="str">
        <f ca="1">IF(OR(E1037="",E1037="!!!",F1037="NEW"),"",COUNTBLANK(OFFSET(A$1,,,SUMPRODUCT(MAX(ROW(E$2:E1037)*(E1037=E$2:E1037)))))-COUNTBLANK(OFFSET(A$1,,,SUMPRODUCT(MAX(ROW(E$1:E1036)*(E2=E$1:E1036))))))</f>
        <v/>
      </c>
      <c r="K1037" s="25" t="str">
        <f>IF(OR(E1037="",E1037="!!!",F1037="NEW"),"",INDEX(J$1:J1036,SUMPRODUCT(MAX(ROW(E$1:E1036)*(E1037=E$1:E1036)))))</f>
        <v/>
      </c>
      <c r="L1037" s="26"/>
    </row>
    <row r="1038" spans="1:12" x14ac:dyDescent="0.3">
      <c r="A1038" t="s">
        <v>621</v>
      </c>
      <c r="E1038" s="21" t="str">
        <f t="shared" si="102"/>
        <v/>
      </c>
      <c r="F1038" s="22" t="str">
        <f>IF(OR(E1038="",E1038="!!!"),"",IF(NOT(ISNA(VLOOKUP(E1038,E$1:E1037,1,FALSE()))),"OLD",IF(AND(E1038&lt;&gt;"",E1038&lt;&gt;"!!!"),"NEW","")))</f>
        <v/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/>
      </c>
      <c r="H1038" s="24" t="str">
        <f t="shared" ca="1" si="103"/>
        <v/>
      </c>
      <c r="I1038" s="25" t="str">
        <f>IF(OR(E1038="",E1038="!!!",F1038="NEW"),"",INDEX(B$2:B1037,-1+SUMPRODUCT(MAX(ROW(E$2:E1037)*(E1038=E$2:E1037)))))</f>
        <v/>
      </c>
      <c r="J1038" s="25" t="str">
        <f ca="1">IF(OR(E1038="",E1038="!!!",F1038="NEW"),"",COUNTBLANK(OFFSET(A$1,,,SUMPRODUCT(MAX(ROW(E$2:E1038)*(E1038=E$2:E1038)))))-COUNTBLANK(OFFSET(A$1,,,SUMPRODUCT(MAX(ROW(E$1:E1037)*(E2=E$1:E1037))))))</f>
        <v/>
      </c>
      <c r="K1038" s="25" t="str">
        <f>IF(OR(E1038="",E1038="!!!",F1038="NEW"),"",INDEX(J$1:J1037,SUMPRODUCT(MAX(ROW(E$1:E1037)*(E1038=E$1:E1037)))))</f>
        <v/>
      </c>
      <c r="L1038" s="26"/>
    </row>
    <row r="1039" spans="1:12" x14ac:dyDescent="0.3">
      <c r="A1039" t="s">
        <v>212</v>
      </c>
      <c r="E1039" s="21" t="str">
        <f t="shared" si="102"/>
        <v/>
      </c>
      <c r="F1039" s="22" t="str">
        <f>IF(OR(E1039="",E1039="!!!"),"",IF(NOT(ISNA(VLOOKUP(E1039,E$1:E1038,1,FALSE()))),"OLD",IF(AND(E1039&lt;&gt;"",E1039&lt;&gt;"!!!"),"NEW","")))</f>
        <v/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/>
      </c>
      <c r="H1039" s="24" t="str">
        <f t="shared" ca="1" si="103"/>
        <v/>
      </c>
      <c r="I1039" s="25" t="str">
        <f>IF(OR(E1039="",E1039="!!!",F1039="NEW"),"",INDEX(B$2:B1038,-1+SUMPRODUCT(MAX(ROW(E$2:E1038)*(E1039=E$2:E1038)))))</f>
        <v/>
      </c>
      <c r="J1039" s="25" t="str">
        <f ca="1">IF(OR(E1039="",E1039="!!!",F1039="NEW"),"",COUNTBLANK(OFFSET(A$1,,,SUMPRODUCT(MAX(ROW(E$2:E1039)*(E1039=E$2:E1039)))))-COUNTBLANK(OFFSET(A$1,,,SUMPRODUCT(MAX(ROW(E$1:E1038)*(E2=E$1:E1038))))))</f>
        <v/>
      </c>
      <c r="K1039" s="25" t="str">
        <f>IF(OR(E1039="",E1039="!!!",F1039="NEW"),"",INDEX(J$1:J1038,SUMPRODUCT(MAX(ROW(E$1:E1038)*(E1039=E$1:E1038)))))</f>
        <v/>
      </c>
      <c r="L1039" s="26"/>
    </row>
    <row r="1041" spans="1:12" x14ac:dyDescent="0.3">
      <c r="A1041" t="s">
        <v>622</v>
      </c>
    </row>
    <row r="1042" spans="1:12" x14ac:dyDescent="0.3">
      <c r="A1042" t="s">
        <v>271</v>
      </c>
      <c r="B1042" s="20" t="s">
        <v>187</v>
      </c>
      <c r="C1042" s="20" t="s">
        <v>206</v>
      </c>
      <c r="D1042" s="20" t="s">
        <v>160</v>
      </c>
      <c r="E1042" s="21" t="str">
        <f t="shared" ref="E1042:E1050" si="104">IF(D1042="?OLD","!!!","")</f>
        <v>!!!</v>
      </c>
      <c r="F1042" s="22" t="str">
        <f>IF(OR(E1042="",E1042="!!!"),"",IF(NOT(ISNA(VLOOKUP(E1042,E$1:E1041,1,FALSE()))),"OLD",IF(AND(E1042&lt;&gt;"",E1042&lt;&gt;"!!!"),"NEW","")))</f>
        <v/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/>
      </c>
      <c r="H1042" s="24" t="str">
        <f t="shared" ref="H1042:H1050" ca="1" si="105">IF(J1042&lt;&gt;1,"",IF(I1042="SBJ","CB","?"))</f>
        <v/>
      </c>
      <c r="I1042" s="25" t="str">
        <f>IF(OR(E1042="",E1042="!!!",F1042="NEW"),"",INDEX(B$2:B1041,-1+SUMPRODUCT(MAX(ROW(E$2:E1041)*(E1042=E$2:E1041)))))</f>
        <v/>
      </c>
      <c r="J1042" s="25" t="str">
        <f ca="1">IF(OR(E1042="",E1042="!!!",F1042="NEW"),"",COUNTBLANK(OFFSET(A$1,,,SUMPRODUCT(MAX(ROW(E$2:E1042)*(E1042=E$2:E1042)))))-COUNTBLANK(OFFSET(A$1,,,SUMPRODUCT(MAX(ROW(E$1:E1041)*(E2=E$1:E1041))))))</f>
        <v/>
      </c>
      <c r="K1042" s="25" t="str">
        <f>IF(OR(E1042="",E1042="!!!",F1042="NEW"),"",INDEX(J$1:J1041,SUMPRODUCT(MAX(ROW(E$1:E1041)*(E1042=E$1:E1041)))))</f>
        <v/>
      </c>
      <c r="L1042" s="26"/>
    </row>
    <row r="1043" spans="1:12" x14ac:dyDescent="0.3">
      <c r="A1043" t="s">
        <v>460</v>
      </c>
      <c r="E1043" s="21" t="str">
        <f t="shared" si="104"/>
        <v/>
      </c>
      <c r="F1043" s="22" t="str">
        <f>IF(OR(E1043="",E1043="!!!"),"",IF(NOT(ISNA(VLOOKUP(E1043,E$1:E1042,1,FALSE()))),"OLD",IF(AND(E1043&lt;&gt;"",E1043&lt;&gt;"!!!"),"NEW","")))</f>
        <v/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/>
      </c>
      <c r="H1043" s="24" t="str">
        <f t="shared" ca="1" si="105"/>
        <v/>
      </c>
      <c r="I1043" s="25" t="str">
        <f>IF(OR(E1043="",E1043="!!!",F1043="NEW"),"",INDEX(B$2:B1042,-1+SUMPRODUCT(MAX(ROW(E$2:E1042)*(E1043=E$2:E1042)))))</f>
        <v/>
      </c>
      <c r="J1043" s="25" t="str">
        <f ca="1">IF(OR(E1043="",E1043="!!!",F1043="NEW"),"",COUNTBLANK(OFFSET(A$1,,,SUMPRODUCT(MAX(ROW(E$2:E1043)*(E1043=E$2:E1043)))))-COUNTBLANK(OFFSET(A$1,,,SUMPRODUCT(MAX(ROW(E$1:E1042)*(E2=E$1:E1042))))))</f>
        <v/>
      </c>
      <c r="K1043" s="25" t="str">
        <f>IF(OR(E1043="",E1043="!!!",F1043="NEW"),"",INDEX(J$1:J1042,SUMPRODUCT(MAX(ROW(E$1:E1042)*(E1043=E$1:E1042)))))</f>
        <v/>
      </c>
      <c r="L1043" s="26"/>
    </row>
    <row r="1044" spans="1:12" x14ac:dyDescent="0.3">
      <c r="A1044" t="s">
        <v>185</v>
      </c>
      <c r="E1044" s="21" t="str">
        <f t="shared" si="104"/>
        <v/>
      </c>
      <c r="F1044" s="22" t="str">
        <f>IF(OR(E1044="",E1044="!!!"),"",IF(NOT(ISNA(VLOOKUP(E1044,E$1:E1043,1,FALSE()))),"OLD",IF(AND(E1044&lt;&gt;"",E1044&lt;&gt;"!!!"),"NEW","")))</f>
        <v/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/>
      </c>
      <c r="H1044" s="24" t="str">
        <f t="shared" ca="1" si="105"/>
        <v/>
      </c>
      <c r="I1044" s="25" t="str">
        <f>IF(OR(E1044="",E1044="!!!",F1044="NEW"),"",INDEX(B$2:B1043,-1+SUMPRODUCT(MAX(ROW(E$2:E1043)*(E1044=E$2:E1043)))))</f>
        <v/>
      </c>
      <c r="J1044" s="25" t="str">
        <f ca="1">IF(OR(E1044="",E1044="!!!",F1044="NEW"),"",COUNTBLANK(OFFSET(A$1,,,SUMPRODUCT(MAX(ROW(E$2:E1044)*(E1044=E$2:E1044)))))-COUNTBLANK(OFFSET(A$1,,,SUMPRODUCT(MAX(ROW(E$1:E1043)*(E2=E$1:E1043))))))</f>
        <v/>
      </c>
      <c r="K1044" s="25" t="str">
        <f>IF(OR(E1044="",E1044="!!!",F1044="NEW"),"",INDEX(J$1:J1043,SUMPRODUCT(MAX(ROW(E$1:E1043)*(E1044=E$1:E1043)))))</f>
        <v/>
      </c>
      <c r="L1044" s="26"/>
    </row>
    <row r="1045" spans="1:12" x14ac:dyDescent="0.3">
      <c r="A1045" t="s">
        <v>253</v>
      </c>
      <c r="E1045" s="21" t="str">
        <f t="shared" si="104"/>
        <v/>
      </c>
      <c r="F1045" s="22" t="str">
        <f>IF(OR(E1045="",E1045="!!!"),"",IF(NOT(ISNA(VLOOKUP(E1045,E$1:E1044,1,FALSE()))),"OLD",IF(AND(E1045&lt;&gt;"",E1045&lt;&gt;"!!!"),"NEW","")))</f>
        <v/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/>
      </c>
      <c r="H1045" s="24" t="str">
        <f t="shared" ca="1" si="105"/>
        <v/>
      </c>
      <c r="I1045" s="25" t="str">
        <f>IF(OR(E1045="",E1045="!!!",F1045="NEW"),"",INDEX(B$2:B1044,-1+SUMPRODUCT(MAX(ROW(E$2:E1044)*(E1045=E$2:E1044)))))</f>
        <v/>
      </c>
      <c r="J1045" s="25" t="str">
        <f ca="1">IF(OR(E1045="",E1045="!!!",F1045="NEW"),"",COUNTBLANK(OFFSET(A$1,,,SUMPRODUCT(MAX(ROW(E$2:E1045)*(E1045=E$2:E1045)))))-COUNTBLANK(OFFSET(A$1,,,SUMPRODUCT(MAX(ROW(E$1:E1044)*(E2=E$1:E1044))))))</f>
        <v/>
      </c>
      <c r="K1045" s="25" t="str">
        <f>IF(OR(E1045="",E1045="!!!",F1045="NEW"),"",INDEX(J$1:J1044,SUMPRODUCT(MAX(ROW(E$1:E1044)*(E1045=E$1:E1044)))))</f>
        <v/>
      </c>
      <c r="L1045" s="26"/>
    </row>
    <row r="1046" spans="1:12" x14ac:dyDescent="0.3">
      <c r="A1046" t="s">
        <v>175</v>
      </c>
      <c r="B1046" s="20" t="s">
        <v>176</v>
      </c>
      <c r="C1046" s="20" t="s">
        <v>177</v>
      </c>
      <c r="D1046" s="20" t="s">
        <v>160</v>
      </c>
      <c r="E1046" s="21" t="str">
        <f t="shared" si="104"/>
        <v>!!!</v>
      </c>
      <c r="F1046" s="22" t="str">
        <f>IF(OR(E1046="",E1046="!!!"),"",IF(NOT(ISNA(VLOOKUP(E1046,E$1:E1045,1,FALSE()))),"OLD",IF(AND(E1046&lt;&gt;"",E1046&lt;&gt;"!!!"),"NEW","")))</f>
        <v/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/>
      </c>
      <c r="H1046" s="24" t="str">
        <f t="shared" ca="1" si="105"/>
        <v/>
      </c>
      <c r="I1046" s="25" t="str">
        <f>IF(OR(E1046="",E1046="!!!",F1046="NEW"),"",INDEX(B$2:B1045,-1+SUMPRODUCT(MAX(ROW(E$2:E1045)*(E1046=E$2:E1045)))))</f>
        <v/>
      </c>
      <c r="J1046" s="25" t="str">
        <f ca="1">IF(OR(E1046="",E1046="!!!",F1046="NEW"),"",COUNTBLANK(OFFSET(A$1,,,SUMPRODUCT(MAX(ROW(E$2:E1046)*(E1046=E$2:E1046)))))-COUNTBLANK(OFFSET(A$1,,,SUMPRODUCT(MAX(ROW(E$1:E1045)*(E2=E$1:E1045))))))</f>
        <v/>
      </c>
      <c r="K1046" s="25" t="str">
        <f>IF(OR(E1046="",E1046="!!!",F1046="NEW"),"",INDEX(J$1:J1045,SUMPRODUCT(MAX(ROW(E$1:E1045)*(E1046=E$1:E1045)))))</f>
        <v/>
      </c>
      <c r="L1046" s="26"/>
    </row>
    <row r="1047" spans="1:12" x14ac:dyDescent="0.3">
      <c r="A1047" t="s">
        <v>268</v>
      </c>
      <c r="B1047" s="20" t="s">
        <v>183</v>
      </c>
      <c r="C1047" s="20" t="s">
        <v>199</v>
      </c>
      <c r="D1047" s="20" t="s">
        <v>160</v>
      </c>
      <c r="E1047" s="21" t="str">
        <f t="shared" si="104"/>
        <v>!!!</v>
      </c>
      <c r="F1047" s="22" t="str">
        <f>IF(OR(E1047="",E1047="!!!"),"",IF(NOT(ISNA(VLOOKUP(E1047,E$1:E1046,1,FALSE()))),"OLD",IF(AND(E1047&lt;&gt;"",E1047&lt;&gt;"!!!"),"NEW","")))</f>
        <v/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/>
      </c>
      <c r="H1047" s="24" t="str">
        <f t="shared" ca="1" si="105"/>
        <v/>
      </c>
      <c r="I1047" s="25" t="str">
        <f>IF(OR(E1047="",E1047="!!!",F1047="NEW"),"",INDEX(B$2:B1046,-1+SUMPRODUCT(MAX(ROW(E$2:E1046)*(E1047=E$2:E1046)))))</f>
        <v/>
      </c>
      <c r="J1047" s="25" t="str">
        <f ca="1">IF(OR(E1047="",E1047="!!!",F1047="NEW"),"",COUNTBLANK(OFFSET(A$1,,,SUMPRODUCT(MAX(ROW(E$2:E1047)*(E1047=E$2:E1047)))))-COUNTBLANK(OFFSET(A$1,,,SUMPRODUCT(MAX(ROW(E$1:E1046)*(E2=E$1:E1046))))))</f>
        <v/>
      </c>
      <c r="K1047" s="25" t="str">
        <f>IF(OR(E1047="",E1047="!!!",F1047="NEW"),"",INDEX(J$1:J1046,SUMPRODUCT(MAX(ROW(E$1:E1046)*(E1047=E$1:E1046)))))</f>
        <v/>
      </c>
      <c r="L1047" s="26"/>
    </row>
    <row r="1048" spans="1:12" x14ac:dyDescent="0.3">
      <c r="A1048" t="s">
        <v>623</v>
      </c>
      <c r="B1048" s="20" t="s">
        <v>257</v>
      </c>
      <c r="C1048" s="20" t="s">
        <v>202</v>
      </c>
      <c r="D1048" s="20" t="s">
        <v>160</v>
      </c>
      <c r="E1048" s="21" t="str">
        <f t="shared" si="104"/>
        <v>!!!</v>
      </c>
      <c r="F1048" s="22" t="str">
        <f>IF(OR(E1048="",E1048="!!!"),"",IF(NOT(ISNA(VLOOKUP(E1048,E$1:E1047,1,FALSE()))),"OLD",IF(AND(E1048&lt;&gt;"",E1048&lt;&gt;"!!!"),"NEW","")))</f>
        <v/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/>
      </c>
      <c r="H1048" s="24" t="str">
        <f t="shared" ca="1" si="105"/>
        <v/>
      </c>
      <c r="I1048" s="25" t="str">
        <f>IF(OR(E1048="",E1048="!!!",F1048="NEW"),"",INDEX(B$2:B1047,-1+SUMPRODUCT(MAX(ROW(E$2:E1047)*(E1048=E$2:E1047)))))</f>
        <v/>
      </c>
      <c r="J1048" s="25" t="str">
        <f ca="1">IF(OR(E1048="",E1048="!!!",F1048="NEW"),"",COUNTBLANK(OFFSET(A$1,,,SUMPRODUCT(MAX(ROW(E$2:E1048)*(E1048=E$2:E1048)))))-COUNTBLANK(OFFSET(A$1,,,SUMPRODUCT(MAX(ROW(E$1:E1047)*(E2=E$1:E1047))))))</f>
        <v/>
      </c>
      <c r="K1048" s="25" t="str">
        <f>IF(OR(E1048="",E1048="!!!",F1048="NEW"),"",INDEX(J$1:J1047,SUMPRODUCT(MAX(ROW(E$1:E1047)*(E1048=E$1:E1047)))))</f>
        <v/>
      </c>
      <c r="L1048" s="26"/>
    </row>
    <row r="1049" spans="1:12" x14ac:dyDescent="0.3">
      <c r="A1049" t="s">
        <v>333</v>
      </c>
      <c r="E1049" s="21" t="str">
        <f t="shared" si="104"/>
        <v/>
      </c>
      <c r="F1049" s="22" t="str">
        <f>IF(OR(E1049="",E1049="!!!"),"",IF(NOT(ISNA(VLOOKUP(E1049,E$1:E1048,1,FALSE()))),"OLD",IF(AND(E1049&lt;&gt;"",E1049&lt;&gt;"!!!"),"NEW","")))</f>
        <v/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/>
      </c>
      <c r="H1049" s="24" t="str">
        <f t="shared" ca="1" si="105"/>
        <v/>
      </c>
      <c r="I1049" s="25" t="str">
        <f>IF(OR(E1049="",E1049="!!!",F1049="NEW"),"",INDEX(B$2:B1048,-1+SUMPRODUCT(MAX(ROW(E$2:E1048)*(E1049=E$2:E1048)))))</f>
        <v/>
      </c>
      <c r="J1049" s="25" t="str">
        <f ca="1">IF(OR(E1049="",E1049="!!!",F1049="NEW"),"",COUNTBLANK(OFFSET(A$1,,,SUMPRODUCT(MAX(ROW(E$2:E1049)*(E1049=E$2:E1049)))))-COUNTBLANK(OFFSET(A$1,,,SUMPRODUCT(MAX(ROW(E$1:E1048)*(E2=E$1:E1048))))))</f>
        <v/>
      </c>
      <c r="K1049" s="25" t="str">
        <f>IF(OR(E1049="",E1049="!!!",F1049="NEW"),"",INDEX(J$1:J1048,SUMPRODUCT(MAX(ROW(E$1:E1048)*(E1049=E$1:E1048)))))</f>
        <v/>
      </c>
      <c r="L1049" s="26"/>
    </row>
    <row r="1050" spans="1:12" x14ac:dyDescent="0.3">
      <c r="A1050" t="s">
        <v>212</v>
      </c>
      <c r="E1050" s="21" t="str">
        <f t="shared" si="104"/>
        <v/>
      </c>
      <c r="F1050" s="22" t="str">
        <f>IF(OR(E1050="",E1050="!!!"),"",IF(NOT(ISNA(VLOOKUP(E1050,E$1:E1049,1,FALSE()))),"OLD",IF(AND(E1050&lt;&gt;"",E1050&lt;&gt;"!!!"),"NEW","")))</f>
        <v/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/>
      </c>
      <c r="H1050" s="24" t="str">
        <f t="shared" ca="1" si="105"/>
        <v/>
      </c>
      <c r="I1050" s="25" t="str">
        <f>IF(OR(E1050="",E1050="!!!",F1050="NEW"),"",INDEX(B$2:B1049,-1+SUMPRODUCT(MAX(ROW(E$2:E1049)*(E1050=E$2:E1049)))))</f>
        <v/>
      </c>
      <c r="J1050" s="25" t="str">
        <f ca="1">IF(OR(E1050="",E1050="!!!",F1050="NEW"),"",COUNTBLANK(OFFSET(A$1,,,SUMPRODUCT(MAX(ROW(E$2:E1050)*(E1050=E$2:E1050)))))-COUNTBLANK(OFFSET(A$1,,,SUMPRODUCT(MAX(ROW(E$1:E1049)*(E2=E$1:E1049))))))</f>
        <v/>
      </c>
      <c r="K1050" s="25" t="str">
        <f>IF(OR(E1050="",E1050="!!!",F1050="NEW"),"",INDEX(J$1:J1049,SUMPRODUCT(MAX(ROW(E$1:E1049)*(E1050=E$1:E1049)))))</f>
        <v/>
      </c>
      <c r="L1050" s="26"/>
    </row>
    <row r="1052" spans="1:12" x14ac:dyDescent="0.3">
      <c r="A1052" t="s">
        <v>624</v>
      </c>
    </row>
    <row r="1053" spans="1:12" x14ac:dyDescent="0.3">
      <c r="A1053" t="s">
        <v>322</v>
      </c>
      <c r="B1053" s="20" t="s">
        <v>187</v>
      </c>
      <c r="C1053" s="20" t="s">
        <v>177</v>
      </c>
      <c r="D1053" s="20" t="s">
        <v>160</v>
      </c>
      <c r="E1053" s="21" t="str">
        <f t="shared" ref="E1053:E1061" si="106">IF(D1053="?OLD","!!!","")</f>
        <v>!!!</v>
      </c>
      <c r="F1053" s="22" t="str">
        <f>IF(OR(E1053="",E1053="!!!"),"",IF(NOT(ISNA(VLOOKUP(E1053,E$1:E1052,1,FALSE()))),"OLD",IF(AND(E1053&lt;&gt;"",E1053&lt;&gt;"!!!"),"NEW","")))</f>
        <v/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/>
      </c>
      <c r="H1053" s="24" t="str">
        <f t="shared" ref="H1053:H1061" ca="1" si="107">IF(J1053&lt;&gt;1,"",IF(I1053="SBJ","CB","?"))</f>
        <v/>
      </c>
      <c r="I1053" s="25" t="str">
        <f>IF(OR(E1053="",E1053="!!!",F1053="NEW"),"",INDEX(B$2:B1052,-1+SUMPRODUCT(MAX(ROW(E$2:E1052)*(E1053=E$2:E1052)))))</f>
        <v/>
      </c>
      <c r="J1053" s="25" t="str">
        <f ca="1">IF(OR(E1053="",E1053="!!!",F1053="NEW"),"",COUNTBLANK(OFFSET(A$1,,,SUMPRODUCT(MAX(ROW(E$2:E1053)*(E1053=E$2:E1053)))))-COUNTBLANK(OFFSET(A$1,,,SUMPRODUCT(MAX(ROW(E$1:E1052)*(E2=E$1:E1052))))))</f>
        <v/>
      </c>
      <c r="K1053" s="25" t="str">
        <f>IF(OR(E1053="",E1053="!!!",F1053="NEW"),"",INDEX(J$1:J1052,SUMPRODUCT(MAX(ROW(E$1:E1052)*(E1053=E$1:E1052)))))</f>
        <v/>
      </c>
      <c r="L1053" s="26"/>
    </row>
    <row r="1054" spans="1:12" x14ac:dyDescent="0.3">
      <c r="A1054" t="s">
        <v>333</v>
      </c>
      <c r="E1054" s="21" t="str">
        <f t="shared" si="106"/>
        <v/>
      </c>
      <c r="F1054" s="22" t="str">
        <f>IF(OR(E1054="",E1054="!!!"),"",IF(NOT(ISNA(VLOOKUP(E1054,E$1:E1053,1,FALSE()))),"OLD",IF(AND(E1054&lt;&gt;"",E1054&lt;&gt;"!!!"),"NEW","")))</f>
        <v/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/>
      </c>
      <c r="H1054" s="24" t="str">
        <f t="shared" ca="1" si="107"/>
        <v/>
      </c>
      <c r="I1054" s="25" t="str">
        <f>IF(OR(E1054="",E1054="!!!",F1054="NEW"),"",INDEX(B$2:B1053,-1+SUMPRODUCT(MAX(ROW(E$2:E1053)*(E1054=E$2:E1053)))))</f>
        <v/>
      </c>
      <c r="J1054" s="25" t="str">
        <f ca="1">IF(OR(E1054="",E1054="!!!",F1054="NEW"),"",COUNTBLANK(OFFSET(A$1,,,SUMPRODUCT(MAX(ROW(E$2:E1054)*(E1054=E$2:E1054)))))-COUNTBLANK(OFFSET(A$1,,,SUMPRODUCT(MAX(ROW(E$1:E1053)*(E2=E$1:E1053))))))</f>
        <v/>
      </c>
      <c r="K1054" s="25" t="str">
        <f>IF(OR(E1054="",E1054="!!!",F1054="NEW"),"",INDEX(J$1:J1053,SUMPRODUCT(MAX(ROW(E$1:E1053)*(E1054=E$1:E1053)))))</f>
        <v/>
      </c>
      <c r="L1054" s="26"/>
    </row>
    <row r="1055" spans="1:12" x14ac:dyDescent="0.3">
      <c r="A1055" t="s">
        <v>523</v>
      </c>
      <c r="E1055" s="21" t="str">
        <f t="shared" si="106"/>
        <v/>
      </c>
      <c r="F1055" s="22" t="str">
        <f>IF(OR(E1055="",E1055="!!!"),"",IF(NOT(ISNA(VLOOKUP(E1055,E$1:E1054,1,FALSE()))),"OLD",IF(AND(E1055&lt;&gt;"",E1055&lt;&gt;"!!!"),"NEW","")))</f>
        <v/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/>
      </c>
      <c r="H1055" s="24" t="str">
        <f t="shared" ca="1" si="107"/>
        <v/>
      </c>
      <c r="I1055" s="25" t="str">
        <f>IF(OR(E1055="",E1055="!!!",F1055="NEW"),"",INDEX(B$2:B1054,-1+SUMPRODUCT(MAX(ROW(E$2:E1054)*(E1055=E$2:E1054)))))</f>
        <v/>
      </c>
      <c r="J1055" s="25" t="str">
        <f ca="1">IF(OR(E1055="",E1055="!!!",F1055="NEW"),"",COUNTBLANK(OFFSET(A$1,,,SUMPRODUCT(MAX(ROW(E$2:E1055)*(E1055=E$2:E1055)))))-COUNTBLANK(OFFSET(A$1,,,SUMPRODUCT(MAX(ROW(E$1:E1054)*(E2=E$1:E1054))))))</f>
        <v/>
      </c>
      <c r="K1055" s="25" t="str">
        <f>IF(OR(E1055="",E1055="!!!",F1055="NEW"),"",INDEX(J$1:J1054,SUMPRODUCT(MAX(ROW(E$1:E1054)*(E1055=E$1:E1054)))))</f>
        <v/>
      </c>
      <c r="L1055" s="26"/>
    </row>
    <row r="1056" spans="1:12" x14ac:dyDescent="0.3">
      <c r="A1056" t="s">
        <v>179</v>
      </c>
      <c r="E1056" s="21" t="str">
        <f t="shared" si="106"/>
        <v/>
      </c>
      <c r="F1056" s="22" t="str">
        <f>IF(OR(E1056="",E1056="!!!"),"",IF(NOT(ISNA(VLOOKUP(E1056,E$1:E1055,1,FALSE()))),"OLD",IF(AND(E1056&lt;&gt;"",E1056&lt;&gt;"!!!"),"NEW","")))</f>
        <v/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/>
      </c>
      <c r="H1056" s="24" t="str">
        <f t="shared" ca="1" si="107"/>
        <v/>
      </c>
      <c r="I1056" s="25" t="str">
        <f>IF(OR(E1056="",E1056="!!!",F1056="NEW"),"",INDEX(B$2:B1055,-1+SUMPRODUCT(MAX(ROW(E$2:E1055)*(E1056=E$2:E1055)))))</f>
        <v/>
      </c>
      <c r="J1056" s="25" t="str">
        <f ca="1">IF(OR(E1056="",E1056="!!!",F1056="NEW"),"",COUNTBLANK(OFFSET(A$1,,,SUMPRODUCT(MAX(ROW(E$2:E1056)*(E1056=E$2:E1056)))))-COUNTBLANK(OFFSET(A$1,,,SUMPRODUCT(MAX(ROW(E$1:E1055)*(E2=E$1:E1055))))))</f>
        <v/>
      </c>
      <c r="K1056" s="25" t="str">
        <f>IF(OR(E1056="",E1056="!!!",F1056="NEW"),"",INDEX(J$1:J1055,SUMPRODUCT(MAX(ROW(E$1:E1055)*(E1056=E$1:E1055)))))</f>
        <v/>
      </c>
      <c r="L1056" s="26"/>
    </row>
    <row r="1057" spans="1:12" x14ac:dyDescent="0.3">
      <c r="A1057" t="s">
        <v>625</v>
      </c>
      <c r="B1057" s="20" t="s">
        <v>257</v>
      </c>
      <c r="C1057" s="20" t="s">
        <v>181</v>
      </c>
      <c r="D1057" s="20" t="s">
        <v>160</v>
      </c>
      <c r="E1057" s="21" t="str">
        <f t="shared" si="106"/>
        <v>!!!</v>
      </c>
      <c r="F1057" s="22" t="str">
        <f>IF(OR(E1057="",E1057="!!!"),"",IF(NOT(ISNA(VLOOKUP(E1057,E$1:E1056,1,FALSE()))),"OLD",IF(AND(E1057&lt;&gt;"",E1057&lt;&gt;"!!!"),"NEW","")))</f>
        <v/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/>
      </c>
      <c r="H1057" s="24" t="str">
        <f t="shared" ca="1" si="107"/>
        <v/>
      </c>
      <c r="I1057" s="25" t="str">
        <f>IF(OR(E1057="",E1057="!!!",F1057="NEW"),"",INDEX(B$2:B1056,-1+SUMPRODUCT(MAX(ROW(E$2:E1056)*(E1057=E$2:E1056)))))</f>
        <v/>
      </c>
      <c r="J1057" s="25" t="str">
        <f ca="1">IF(OR(E1057="",E1057="!!!",F1057="NEW"),"",COUNTBLANK(OFFSET(A$1,,,SUMPRODUCT(MAX(ROW(E$2:E1057)*(E1057=E$2:E1057)))))-COUNTBLANK(OFFSET(A$1,,,SUMPRODUCT(MAX(ROW(E$1:E1056)*(E2=E$1:E1056))))))</f>
        <v/>
      </c>
      <c r="K1057" s="25" t="str">
        <f>IF(OR(E1057="",E1057="!!!",F1057="NEW"),"",INDEX(J$1:J1056,SUMPRODUCT(MAX(ROW(E$1:E1056)*(E1057=E$1:E1056)))))</f>
        <v/>
      </c>
      <c r="L1057" s="26"/>
    </row>
    <row r="1058" spans="1:12" x14ac:dyDescent="0.3">
      <c r="A1058" t="s">
        <v>239</v>
      </c>
      <c r="B1058" s="20" t="s">
        <v>257</v>
      </c>
      <c r="C1058" s="20" t="s">
        <v>206</v>
      </c>
      <c r="D1058" s="20" t="s">
        <v>160</v>
      </c>
      <c r="E1058" s="21" t="str">
        <f t="shared" si="106"/>
        <v>!!!</v>
      </c>
      <c r="F1058" s="22" t="str">
        <f>IF(OR(E1058="",E1058="!!!"),"",IF(NOT(ISNA(VLOOKUP(E1058,E$1:E1057,1,FALSE()))),"OLD",IF(AND(E1058&lt;&gt;"",E1058&lt;&gt;"!!!"),"NEW","")))</f>
        <v/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/>
      </c>
      <c r="H1058" s="24" t="str">
        <f t="shared" ca="1" si="107"/>
        <v/>
      </c>
      <c r="I1058" s="25" t="str">
        <f>IF(OR(E1058="",E1058="!!!",F1058="NEW"),"",INDEX(B$2:B1057,-1+SUMPRODUCT(MAX(ROW(E$2:E1057)*(E1058=E$2:E1057)))))</f>
        <v/>
      </c>
      <c r="J1058" s="25" t="str">
        <f ca="1">IF(OR(E1058="",E1058="!!!",F1058="NEW"),"",COUNTBLANK(OFFSET(A$1,,,SUMPRODUCT(MAX(ROW(E$2:E1058)*(E1058=E$2:E1058)))))-COUNTBLANK(OFFSET(A$1,,,SUMPRODUCT(MAX(ROW(E$1:E1057)*(E2=E$1:E1057))))))</f>
        <v/>
      </c>
      <c r="K1058" s="25" t="str">
        <f>IF(OR(E1058="",E1058="!!!",F1058="NEW"),"",INDEX(J$1:J1057,SUMPRODUCT(MAX(ROW(E$1:E1057)*(E1058=E$1:E1057)))))</f>
        <v/>
      </c>
      <c r="L1058" s="26"/>
    </row>
    <row r="1059" spans="1:12" x14ac:dyDescent="0.3">
      <c r="A1059" t="s">
        <v>195</v>
      </c>
      <c r="E1059" s="21" t="str">
        <f t="shared" si="106"/>
        <v/>
      </c>
      <c r="F1059" s="22" t="str">
        <f>IF(OR(E1059="",E1059="!!!"),"",IF(NOT(ISNA(VLOOKUP(E1059,E$1:E1058,1,FALSE()))),"OLD",IF(AND(E1059&lt;&gt;"",E1059&lt;&gt;"!!!"),"NEW","")))</f>
        <v/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/>
      </c>
      <c r="H1059" s="24" t="str">
        <f t="shared" ca="1" si="107"/>
        <v/>
      </c>
      <c r="I1059" s="25" t="str">
        <f>IF(OR(E1059="",E1059="!!!",F1059="NEW"),"",INDEX(B$2:B1058,-1+SUMPRODUCT(MAX(ROW(E$2:E1058)*(E1059=E$2:E1058)))))</f>
        <v/>
      </c>
      <c r="J1059" s="25" t="str">
        <f ca="1">IF(OR(E1059="",E1059="!!!",F1059="NEW"),"",COUNTBLANK(OFFSET(A$1,,,SUMPRODUCT(MAX(ROW(E$2:E1059)*(E1059=E$2:E1059)))))-COUNTBLANK(OFFSET(A$1,,,SUMPRODUCT(MAX(ROW(E$1:E1058)*(E2=E$1:E1058))))))</f>
        <v/>
      </c>
      <c r="K1059" s="25" t="str">
        <f>IF(OR(E1059="",E1059="!!!",F1059="NEW"),"",INDEX(J$1:J1058,SUMPRODUCT(MAX(ROW(E$1:E1058)*(E1059=E$1:E1058)))))</f>
        <v/>
      </c>
      <c r="L1059" s="26"/>
    </row>
    <row r="1060" spans="1:12" x14ac:dyDescent="0.3">
      <c r="A1060" t="s">
        <v>573</v>
      </c>
      <c r="E1060" s="21" t="str">
        <f t="shared" si="106"/>
        <v/>
      </c>
      <c r="F1060" s="22" t="str">
        <f>IF(OR(E1060="",E1060="!!!"),"",IF(NOT(ISNA(VLOOKUP(E1060,E$1:E1059,1,FALSE()))),"OLD",IF(AND(E1060&lt;&gt;"",E1060&lt;&gt;"!!!"),"NEW","")))</f>
        <v/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/>
      </c>
      <c r="H1060" s="24" t="str">
        <f t="shared" ca="1" si="107"/>
        <v/>
      </c>
      <c r="I1060" s="25" t="str">
        <f>IF(OR(E1060="",E1060="!!!",F1060="NEW"),"",INDEX(B$2:B1059,-1+SUMPRODUCT(MAX(ROW(E$2:E1059)*(E1060=E$2:E1059)))))</f>
        <v/>
      </c>
      <c r="J1060" s="25" t="str">
        <f ca="1">IF(OR(E1060="",E1060="!!!",F1060="NEW"),"",COUNTBLANK(OFFSET(A$1,,,SUMPRODUCT(MAX(ROW(E$2:E1060)*(E1060=E$2:E1060)))))-COUNTBLANK(OFFSET(A$1,,,SUMPRODUCT(MAX(ROW(E$1:E1059)*(E2=E$1:E1059))))))</f>
        <v/>
      </c>
      <c r="K1060" s="25" t="str">
        <f>IF(OR(E1060="",E1060="!!!",F1060="NEW"),"",INDEX(J$1:J1059,SUMPRODUCT(MAX(ROW(E$1:E1059)*(E1060=E$1:E1059)))))</f>
        <v/>
      </c>
      <c r="L1060" s="26"/>
    </row>
    <row r="1061" spans="1:12" x14ac:dyDescent="0.3">
      <c r="A1061" t="s">
        <v>212</v>
      </c>
      <c r="E1061" s="21" t="str">
        <f t="shared" si="106"/>
        <v/>
      </c>
      <c r="F1061" s="22" t="str">
        <f>IF(OR(E1061="",E1061="!!!"),"",IF(NOT(ISNA(VLOOKUP(E1061,E$1:E1060,1,FALSE()))),"OLD",IF(AND(E1061&lt;&gt;"",E1061&lt;&gt;"!!!"),"NEW","")))</f>
        <v/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/>
      </c>
      <c r="H1061" s="24" t="str">
        <f t="shared" ca="1" si="107"/>
        <v/>
      </c>
      <c r="I1061" s="25" t="str">
        <f>IF(OR(E1061="",E1061="!!!",F1061="NEW"),"",INDEX(B$2:B1060,-1+SUMPRODUCT(MAX(ROW(E$2:E1060)*(E1061=E$2:E1060)))))</f>
        <v/>
      </c>
      <c r="J1061" s="25" t="str">
        <f ca="1">IF(OR(E1061="",E1061="!!!",F1061="NEW"),"",COUNTBLANK(OFFSET(A$1,,,SUMPRODUCT(MAX(ROW(E$2:E1061)*(E1061=E$2:E1061)))))-COUNTBLANK(OFFSET(A$1,,,SUMPRODUCT(MAX(ROW(E$1:E1060)*(E2=E$1:E1060))))))</f>
        <v/>
      </c>
      <c r="K1061" s="25" t="str">
        <f>IF(OR(E1061="",E1061="!!!",F1061="NEW"),"",INDEX(J$1:J1060,SUMPRODUCT(MAX(ROW(E$1:E1060)*(E1061=E$1:E1060)))))</f>
        <v/>
      </c>
      <c r="L1061" s="26"/>
    </row>
    <row r="1063" spans="1:12" x14ac:dyDescent="0.3">
      <c r="A1063" t="s">
        <v>626</v>
      </c>
    </row>
    <row r="1064" spans="1:12" x14ac:dyDescent="0.3">
      <c r="A1064" t="s">
        <v>561</v>
      </c>
      <c r="B1064" s="20" t="s">
        <v>187</v>
      </c>
      <c r="C1064" s="20" t="s">
        <v>177</v>
      </c>
      <c r="D1064" s="20" t="s">
        <v>160</v>
      </c>
      <c r="E1064" s="21" t="str">
        <f t="shared" ref="E1064:E1069" si="108">IF(D1064="?OLD","!!!","")</f>
        <v>!!!</v>
      </c>
      <c r="F1064" s="22" t="str">
        <f>IF(OR(E1064="",E1064="!!!"),"",IF(NOT(ISNA(VLOOKUP(E1064,E$1:E1063,1,FALSE()))),"OLD",IF(AND(E1064&lt;&gt;"",E1064&lt;&gt;"!!!"),"NEW","")))</f>
        <v/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/>
      </c>
      <c r="H1064" s="24" t="str">
        <f t="shared" ref="H1064:H1069" ca="1" si="109">IF(J1064&lt;&gt;1,"",IF(I1064="SBJ","CB","?"))</f>
        <v/>
      </c>
      <c r="I1064" s="25" t="str">
        <f>IF(OR(E1064="",E1064="!!!",F1064="NEW"),"",INDEX(B$2:B1063,-1+SUMPRODUCT(MAX(ROW(E$2:E1063)*(E1064=E$2:E1063)))))</f>
        <v/>
      </c>
      <c r="J1064" s="25" t="str">
        <f ca="1">IF(OR(E1064="",E1064="!!!",F1064="NEW"),"",COUNTBLANK(OFFSET(A$1,,,SUMPRODUCT(MAX(ROW(E$2:E1064)*(E1064=E$2:E1064)))))-COUNTBLANK(OFFSET(A$1,,,SUMPRODUCT(MAX(ROW(E$1:E1063)*(E2=E$1:E1063))))))</f>
        <v/>
      </c>
      <c r="K1064" s="25" t="str">
        <f>IF(OR(E1064="",E1064="!!!",F1064="NEW"),"",INDEX(J$1:J1063,SUMPRODUCT(MAX(ROW(E$1:E1063)*(E1064=E$1:E1063)))))</f>
        <v/>
      </c>
      <c r="L1064" s="26"/>
    </row>
    <row r="1065" spans="1:12" x14ac:dyDescent="0.3">
      <c r="A1065" t="s">
        <v>235</v>
      </c>
      <c r="E1065" s="21" t="str">
        <f t="shared" si="108"/>
        <v/>
      </c>
      <c r="F1065" s="22" t="str">
        <f>IF(OR(E1065="",E1065="!!!"),"",IF(NOT(ISNA(VLOOKUP(E1065,E$1:E1064,1,FALSE()))),"OLD",IF(AND(E1065&lt;&gt;"",E1065&lt;&gt;"!!!"),"NEW","")))</f>
        <v/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/>
      </c>
      <c r="H1065" s="24" t="str">
        <f t="shared" ca="1" si="109"/>
        <v/>
      </c>
      <c r="I1065" s="25" t="str">
        <f>IF(OR(E1065="",E1065="!!!",F1065="NEW"),"",INDEX(B$2:B1064,-1+SUMPRODUCT(MAX(ROW(E$2:E1064)*(E1065=E$2:E1064)))))</f>
        <v/>
      </c>
      <c r="J1065" s="25" t="str">
        <f ca="1">IF(OR(E1065="",E1065="!!!",F1065="NEW"),"",COUNTBLANK(OFFSET(A$1,,,SUMPRODUCT(MAX(ROW(E$2:E1065)*(E1065=E$2:E1065)))))-COUNTBLANK(OFFSET(A$1,,,SUMPRODUCT(MAX(ROW(E$1:E1064)*(E2=E$1:E1064))))))</f>
        <v/>
      </c>
      <c r="K1065" s="25" t="str">
        <f>IF(OR(E1065="",E1065="!!!",F1065="NEW"),"",INDEX(J$1:J1064,SUMPRODUCT(MAX(ROW(E$1:E1064)*(E1065=E$1:E1064)))))</f>
        <v/>
      </c>
      <c r="L1065" s="26"/>
    </row>
    <row r="1066" spans="1:12" x14ac:dyDescent="0.3">
      <c r="A1066" t="s">
        <v>419</v>
      </c>
      <c r="E1066" s="21" t="str">
        <f t="shared" si="108"/>
        <v/>
      </c>
      <c r="F1066" s="22" t="str">
        <f>IF(OR(E1066="",E1066="!!!"),"",IF(NOT(ISNA(VLOOKUP(E1066,E$1:E1065,1,FALSE()))),"OLD",IF(AND(E1066&lt;&gt;"",E1066&lt;&gt;"!!!"),"NEW","")))</f>
        <v/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/>
      </c>
      <c r="H1066" s="24" t="str">
        <f t="shared" ca="1" si="109"/>
        <v/>
      </c>
      <c r="I1066" s="25" t="str">
        <f>IF(OR(E1066="",E1066="!!!",F1066="NEW"),"",INDEX(B$2:B1065,-1+SUMPRODUCT(MAX(ROW(E$2:E1065)*(E1066=E$2:E1065)))))</f>
        <v/>
      </c>
      <c r="J1066" s="25" t="str">
        <f ca="1">IF(OR(E1066="",E1066="!!!",F1066="NEW"),"",COUNTBLANK(OFFSET(A$1,,,SUMPRODUCT(MAX(ROW(E$2:E1066)*(E1066=E$2:E1066)))))-COUNTBLANK(OFFSET(A$1,,,SUMPRODUCT(MAX(ROW(E$1:E1065)*(E2=E$1:E1065))))))</f>
        <v/>
      </c>
      <c r="K1066" s="25" t="str">
        <f>IF(OR(E1066="",E1066="!!!",F1066="NEW"),"",INDEX(J$1:J1065,SUMPRODUCT(MAX(ROW(E$1:E1065)*(E1066=E$1:E1065)))))</f>
        <v/>
      </c>
      <c r="L1066" s="26"/>
    </row>
    <row r="1067" spans="1:12" x14ac:dyDescent="0.3">
      <c r="A1067" t="s">
        <v>229</v>
      </c>
      <c r="E1067" s="21" t="str">
        <f t="shared" si="108"/>
        <v/>
      </c>
      <c r="F1067" s="22" t="str">
        <f>IF(OR(E1067="",E1067="!!!"),"",IF(NOT(ISNA(VLOOKUP(E1067,E$1:E1066,1,FALSE()))),"OLD",IF(AND(E1067&lt;&gt;"",E1067&lt;&gt;"!!!"),"NEW","")))</f>
        <v/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/>
      </c>
      <c r="H1067" s="24" t="str">
        <f t="shared" ca="1" si="109"/>
        <v/>
      </c>
      <c r="I1067" s="25" t="str">
        <f>IF(OR(E1067="",E1067="!!!",F1067="NEW"),"",INDEX(B$2:B1066,-1+SUMPRODUCT(MAX(ROW(E$2:E1066)*(E1067=E$2:E1066)))))</f>
        <v/>
      </c>
      <c r="J1067" s="25" t="str">
        <f ca="1">IF(OR(E1067="",E1067="!!!",F1067="NEW"),"",COUNTBLANK(OFFSET(A$1,,,SUMPRODUCT(MAX(ROW(E$2:E1067)*(E1067=E$2:E1067)))))-COUNTBLANK(OFFSET(A$1,,,SUMPRODUCT(MAX(ROW(E$1:E1066)*(E2=E$1:E1066))))))</f>
        <v/>
      </c>
      <c r="K1067" s="25" t="str">
        <f>IF(OR(E1067="",E1067="!!!",F1067="NEW"),"",INDEX(J$1:J1066,SUMPRODUCT(MAX(ROW(E$1:E1066)*(E1067=E$1:E1066)))))</f>
        <v/>
      </c>
      <c r="L1067" s="26"/>
    </row>
    <row r="1068" spans="1:12" x14ac:dyDescent="0.3">
      <c r="A1068" t="s">
        <v>319</v>
      </c>
      <c r="B1068" s="20" t="s">
        <v>158</v>
      </c>
      <c r="C1068" s="20" t="s">
        <v>211</v>
      </c>
      <c r="E1068" s="21" t="str">
        <f t="shared" si="108"/>
        <v/>
      </c>
      <c r="F1068" s="22" t="str">
        <f>IF(OR(E1068="",E1068="!!!"),"",IF(NOT(ISNA(VLOOKUP(E1068,E$1:E1067,1,FALSE()))),"OLD",IF(AND(E1068&lt;&gt;"",E1068&lt;&gt;"!!!"),"NEW","")))</f>
        <v/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/>
      </c>
      <c r="H1068" s="24" t="str">
        <f t="shared" ca="1" si="109"/>
        <v/>
      </c>
      <c r="I1068" s="25" t="str">
        <f>IF(OR(E1068="",E1068="!!!",F1068="NEW"),"",INDEX(B$2:B1067,-1+SUMPRODUCT(MAX(ROW(E$2:E1067)*(E1068=E$2:E1067)))))</f>
        <v/>
      </c>
      <c r="J1068" s="25" t="str">
        <f ca="1">IF(OR(E1068="",E1068="!!!",F1068="NEW"),"",COUNTBLANK(OFFSET(A$1,,,SUMPRODUCT(MAX(ROW(E$2:E1068)*(E1068=E$2:E1068)))))-COUNTBLANK(OFFSET(A$1,,,SUMPRODUCT(MAX(ROW(E$1:E1067)*(E2=E$1:E1067))))))</f>
        <v/>
      </c>
      <c r="K1068" s="25" t="str">
        <f>IF(OR(E1068="",E1068="!!!",F1068="NEW"),"",INDEX(J$1:J1067,SUMPRODUCT(MAX(ROW(E$1:E1067)*(E1068=E$1:E1067)))))</f>
        <v/>
      </c>
      <c r="L1068" s="26"/>
    </row>
    <row r="1069" spans="1:12" x14ac:dyDescent="0.3">
      <c r="A1069" t="s">
        <v>531</v>
      </c>
      <c r="E1069" s="21" t="str">
        <f t="shared" si="108"/>
        <v/>
      </c>
      <c r="F1069" s="22" t="str">
        <f>IF(OR(E1069="",E1069="!!!"),"",IF(NOT(ISNA(VLOOKUP(E1069,E$1:E1068,1,FALSE()))),"OLD",IF(AND(E1069&lt;&gt;"",E1069&lt;&gt;"!!!"),"NEW","")))</f>
        <v/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/>
      </c>
      <c r="H1069" s="24" t="str">
        <f t="shared" ca="1" si="109"/>
        <v/>
      </c>
      <c r="I1069" s="25" t="str">
        <f>IF(OR(E1069="",E1069="!!!",F1069="NEW"),"",INDEX(B$2:B1068,-1+SUMPRODUCT(MAX(ROW(E$2:E1068)*(E1069=E$2:E1068)))))</f>
        <v/>
      </c>
      <c r="J1069" s="25" t="str">
        <f ca="1">IF(OR(E1069="",E1069="!!!",F1069="NEW"),"",COUNTBLANK(OFFSET(A$1,,,SUMPRODUCT(MAX(ROW(E$2:E1069)*(E1069=E$2:E1069)))))-COUNTBLANK(OFFSET(A$1,,,SUMPRODUCT(MAX(ROW(E$1:E1068)*(E2=E$1:E1068))))))</f>
        <v/>
      </c>
      <c r="K1069" s="25" t="str">
        <f>IF(OR(E1069="",E1069="!!!",F1069="NEW"),"",INDEX(J$1:J1068,SUMPRODUCT(MAX(ROW(E$1:E1068)*(E1069=E$1:E1068)))))</f>
        <v/>
      </c>
      <c r="L1069" s="26"/>
    </row>
    <row r="1071" spans="1:12" x14ac:dyDescent="0.3">
      <c r="A1071" t="s">
        <v>627</v>
      </c>
    </row>
    <row r="1072" spans="1:12" x14ac:dyDescent="0.3">
      <c r="A1072" t="s">
        <v>628</v>
      </c>
      <c r="B1072" s="20" t="s">
        <v>187</v>
      </c>
      <c r="C1072" s="20" t="s">
        <v>197</v>
      </c>
      <c r="E1072" s="21" t="str">
        <f t="shared" ref="E1072:E1086" si="110">IF(D1072="?OLD","!!!","")</f>
        <v/>
      </c>
      <c r="F1072" s="22" t="str">
        <f>IF(OR(E1072="",E1072="!!!"),"",IF(NOT(ISNA(VLOOKUP(E1072,E$1:E1071,1,FALSE()))),"OLD",IF(AND(E1072&lt;&gt;"",E1072&lt;&gt;"!!!"),"NEW","")))</f>
        <v/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/>
      </c>
      <c r="H1072" s="24" t="str">
        <f t="shared" ref="H1072:H1086" ca="1" si="111">IF(J1072&lt;&gt;1,"",IF(I1072="SBJ","CB","?"))</f>
        <v/>
      </c>
      <c r="I1072" s="25" t="str">
        <f>IF(OR(E1072="",E1072="!!!",F1072="NEW"),"",INDEX(B$2:B1071,-1+SUMPRODUCT(MAX(ROW(E$2:E1071)*(E1072=E$2:E1071)))))</f>
        <v/>
      </c>
      <c r="J1072" s="25" t="str">
        <f ca="1">IF(OR(E1072="",E1072="!!!",F1072="NEW"),"",COUNTBLANK(OFFSET(A$1,,,SUMPRODUCT(MAX(ROW(E$2:E1072)*(E1072=E$2:E1072)))))-COUNTBLANK(OFFSET(A$1,,,SUMPRODUCT(MAX(ROW(E$1:E1071)*(E2=E$1:E1071))))))</f>
        <v/>
      </c>
      <c r="K1072" s="25" t="str">
        <f>IF(OR(E1072="",E1072="!!!",F1072="NEW"),"",INDEX(J$1:J1071,SUMPRODUCT(MAX(ROW(E$1:E1071)*(E1072=E$1:E1071)))))</f>
        <v/>
      </c>
      <c r="L1072" s="26"/>
    </row>
    <row r="1073" spans="1:12" x14ac:dyDescent="0.3">
      <c r="A1073" t="s">
        <v>542</v>
      </c>
      <c r="E1073" s="21" t="str">
        <f t="shared" si="110"/>
        <v/>
      </c>
      <c r="F1073" s="22" t="str">
        <f>IF(OR(E1073="",E1073="!!!"),"",IF(NOT(ISNA(VLOOKUP(E1073,E$1:E1072,1,FALSE()))),"OLD",IF(AND(E1073&lt;&gt;"",E1073&lt;&gt;"!!!"),"NEW","")))</f>
        <v/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/>
      </c>
      <c r="H1073" s="24" t="str">
        <f t="shared" ca="1" si="111"/>
        <v/>
      </c>
      <c r="I1073" s="25" t="str">
        <f>IF(OR(E1073="",E1073="!!!",F1073="NEW"),"",INDEX(B$2:B1072,-1+SUMPRODUCT(MAX(ROW(E$2:E1072)*(E1073=E$2:E1072)))))</f>
        <v/>
      </c>
      <c r="J1073" s="25" t="str">
        <f ca="1">IF(OR(E1073="",E1073="!!!",F1073="NEW"),"",COUNTBLANK(OFFSET(A$1,,,SUMPRODUCT(MAX(ROW(E$2:E1073)*(E1073=E$2:E1073)))))-COUNTBLANK(OFFSET(A$1,,,SUMPRODUCT(MAX(ROW(E$1:E1072)*(E2=E$1:E1072))))))</f>
        <v/>
      </c>
      <c r="K1073" s="25" t="str">
        <f>IF(OR(E1073="",E1073="!!!",F1073="NEW"),"",INDEX(J$1:J1072,SUMPRODUCT(MAX(ROW(E$1:E1072)*(E1073=E$1:E1072)))))</f>
        <v/>
      </c>
      <c r="L1073" s="26"/>
    </row>
    <row r="1074" spans="1:12" x14ac:dyDescent="0.3">
      <c r="A1074" t="s">
        <v>629</v>
      </c>
      <c r="E1074" s="21" t="str">
        <f t="shared" si="110"/>
        <v/>
      </c>
      <c r="F1074" s="22" t="str">
        <f>IF(OR(E1074="",E1074="!!!"),"",IF(NOT(ISNA(VLOOKUP(E1074,E$1:E1073,1,FALSE()))),"OLD",IF(AND(E1074&lt;&gt;"",E1074&lt;&gt;"!!!"),"NEW","")))</f>
        <v/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/>
      </c>
      <c r="H1074" s="24" t="str">
        <f t="shared" ca="1" si="111"/>
        <v/>
      </c>
      <c r="I1074" s="25" t="str">
        <f>IF(OR(E1074="",E1074="!!!",F1074="NEW"),"",INDEX(B$2:B1073,-1+SUMPRODUCT(MAX(ROW(E$2:E1073)*(E1074=E$2:E1073)))))</f>
        <v/>
      </c>
      <c r="J1074" s="25" t="str">
        <f ca="1">IF(OR(E1074="",E1074="!!!",F1074="NEW"),"",COUNTBLANK(OFFSET(A$1,,,SUMPRODUCT(MAX(ROW(E$2:E1074)*(E1074=E$2:E1074)))))-COUNTBLANK(OFFSET(A$1,,,SUMPRODUCT(MAX(ROW(E$1:E1073)*(E2=E$1:E1073))))))</f>
        <v/>
      </c>
      <c r="K1074" s="25" t="str">
        <f>IF(OR(E1074="",E1074="!!!",F1074="NEW"),"",INDEX(J$1:J1073,SUMPRODUCT(MAX(ROW(E$1:E1073)*(E1074=E$1:E1073)))))</f>
        <v/>
      </c>
      <c r="L1074" s="26"/>
    </row>
    <row r="1075" spans="1:12" x14ac:dyDescent="0.3">
      <c r="A1075" t="s">
        <v>185</v>
      </c>
      <c r="E1075" s="21" t="str">
        <f t="shared" si="110"/>
        <v/>
      </c>
      <c r="F1075" s="22" t="str">
        <f>IF(OR(E1075="",E1075="!!!"),"",IF(NOT(ISNA(VLOOKUP(E1075,E$1:E1074,1,FALSE()))),"OLD",IF(AND(E1075&lt;&gt;"",E1075&lt;&gt;"!!!"),"NEW","")))</f>
        <v/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/>
      </c>
      <c r="H1075" s="24" t="str">
        <f t="shared" ca="1" si="111"/>
        <v/>
      </c>
      <c r="I1075" s="25" t="str">
        <f>IF(OR(E1075="",E1075="!!!",F1075="NEW"),"",INDEX(B$2:B1074,-1+SUMPRODUCT(MAX(ROW(E$2:E1074)*(E1075=E$2:E1074)))))</f>
        <v/>
      </c>
      <c r="J1075" s="25" t="str">
        <f ca="1">IF(OR(E1075="",E1075="!!!",F1075="NEW"),"",COUNTBLANK(OFFSET(A$1,,,SUMPRODUCT(MAX(ROW(E$2:E1075)*(E1075=E$2:E1075)))))-COUNTBLANK(OFFSET(A$1,,,SUMPRODUCT(MAX(ROW(E$1:E1074)*(E2=E$1:E1074))))))</f>
        <v/>
      </c>
      <c r="K1075" s="25" t="str">
        <f>IF(OR(E1075="",E1075="!!!",F1075="NEW"),"",INDEX(J$1:J1074,SUMPRODUCT(MAX(ROW(E$1:E1074)*(E1075=E$1:E1074)))))</f>
        <v/>
      </c>
      <c r="L1075" s="26"/>
    </row>
    <row r="1076" spans="1:12" x14ac:dyDescent="0.3">
      <c r="A1076" t="s">
        <v>306</v>
      </c>
      <c r="E1076" s="21" t="str">
        <f t="shared" si="110"/>
        <v/>
      </c>
      <c r="F1076" s="22" t="str">
        <f>IF(OR(E1076="",E1076="!!!"),"",IF(NOT(ISNA(VLOOKUP(E1076,E$1:E1075,1,FALSE()))),"OLD",IF(AND(E1076&lt;&gt;"",E1076&lt;&gt;"!!!"),"NEW","")))</f>
        <v/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/>
      </c>
      <c r="H1076" s="24" t="str">
        <f t="shared" ca="1" si="111"/>
        <v/>
      </c>
      <c r="I1076" s="25" t="str">
        <f>IF(OR(E1076="",E1076="!!!",F1076="NEW"),"",INDEX(B$2:B1075,-1+SUMPRODUCT(MAX(ROW(E$2:E1075)*(E1076=E$2:E1075)))))</f>
        <v/>
      </c>
      <c r="J1076" s="25" t="str">
        <f ca="1">IF(OR(E1076="",E1076="!!!",F1076="NEW"),"",COUNTBLANK(OFFSET(A$1,,,SUMPRODUCT(MAX(ROW(E$2:E1076)*(E1076=E$2:E1076)))))-COUNTBLANK(OFFSET(A$1,,,SUMPRODUCT(MAX(ROW(E$1:E1075)*(E2=E$1:E1075))))))</f>
        <v/>
      </c>
      <c r="K1076" s="25" t="str">
        <f>IF(OR(E1076="",E1076="!!!",F1076="NEW"),"",INDEX(J$1:J1075,SUMPRODUCT(MAX(ROW(E$1:E1075)*(E1076=E$1:E1075)))))</f>
        <v/>
      </c>
      <c r="L1076" s="26"/>
    </row>
    <row r="1077" spans="1:12" x14ac:dyDescent="0.3">
      <c r="A1077" t="s">
        <v>630</v>
      </c>
      <c r="E1077" s="21" t="str">
        <f t="shared" si="110"/>
        <v/>
      </c>
      <c r="F1077" s="22" t="str">
        <f>IF(OR(E1077="",E1077="!!!"),"",IF(NOT(ISNA(VLOOKUP(E1077,E$1:E1076,1,FALSE()))),"OLD",IF(AND(E1077&lt;&gt;"",E1077&lt;&gt;"!!!"),"NEW","")))</f>
        <v/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/>
      </c>
      <c r="H1077" s="24" t="str">
        <f t="shared" ca="1" si="111"/>
        <v/>
      </c>
      <c r="I1077" s="25" t="str">
        <f>IF(OR(E1077="",E1077="!!!",F1077="NEW"),"",INDEX(B$2:B1076,-1+SUMPRODUCT(MAX(ROW(E$2:E1076)*(E1077=E$2:E1076)))))</f>
        <v/>
      </c>
      <c r="J1077" s="25" t="str">
        <f ca="1">IF(OR(E1077="",E1077="!!!",F1077="NEW"),"",COUNTBLANK(OFFSET(A$1,,,SUMPRODUCT(MAX(ROW(E$2:E1077)*(E1077=E$2:E1077)))))-COUNTBLANK(OFFSET(A$1,,,SUMPRODUCT(MAX(ROW(E$1:E1076)*(E2=E$1:E1076))))))</f>
        <v/>
      </c>
      <c r="K1077" s="25" t="str">
        <f>IF(OR(E1077="",E1077="!!!",F1077="NEW"),"",INDEX(J$1:J1076,SUMPRODUCT(MAX(ROW(E$1:E1076)*(E1077=E$1:E1076)))))</f>
        <v/>
      </c>
      <c r="L1077" s="26"/>
    </row>
    <row r="1078" spans="1:12" x14ac:dyDescent="0.3">
      <c r="A1078" t="s">
        <v>631</v>
      </c>
      <c r="B1078" s="20" t="s">
        <v>158</v>
      </c>
      <c r="C1078" s="20" t="s">
        <v>211</v>
      </c>
      <c r="E1078" s="21" t="str">
        <f t="shared" si="110"/>
        <v/>
      </c>
      <c r="F1078" s="22" t="str">
        <f>IF(OR(E1078="",E1078="!!!"),"",IF(NOT(ISNA(VLOOKUP(E1078,E$1:E1077,1,FALSE()))),"OLD",IF(AND(E1078&lt;&gt;"",E1078&lt;&gt;"!!!"),"NEW","")))</f>
        <v/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/>
      </c>
      <c r="H1078" s="24" t="str">
        <f t="shared" ca="1" si="111"/>
        <v/>
      </c>
      <c r="I1078" s="25" t="str">
        <f>IF(OR(E1078="",E1078="!!!",F1078="NEW"),"",INDEX(B$2:B1077,-1+SUMPRODUCT(MAX(ROW(E$2:E1077)*(E1078=E$2:E1077)))))</f>
        <v/>
      </c>
      <c r="J1078" s="25" t="str">
        <f ca="1">IF(OR(E1078="",E1078="!!!",F1078="NEW"),"",COUNTBLANK(OFFSET(A$1,,,SUMPRODUCT(MAX(ROW(E$2:E1078)*(E1078=E$2:E1078)))))-COUNTBLANK(OFFSET(A$1,,,SUMPRODUCT(MAX(ROW(E$1:E1077)*(E2=E$1:E1077))))))</f>
        <v/>
      </c>
      <c r="K1078" s="25" t="str">
        <f>IF(OR(E1078="",E1078="!!!",F1078="NEW"),"",INDEX(J$1:J1077,SUMPRODUCT(MAX(ROW(E$1:E1077)*(E1078=E$1:E1077)))))</f>
        <v/>
      </c>
      <c r="L1078" s="26"/>
    </row>
    <row r="1079" spans="1:12" x14ac:dyDescent="0.3">
      <c r="A1079" t="s">
        <v>185</v>
      </c>
      <c r="E1079" s="21" t="str">
        <f t="shared" si="110"/>
        <v/>
      </c>
      <c r="F1079" s="22" t="str">
        <f>IF(OR(E1079="",E1079="!!!"),"",IF(NOT(ISNA(VLOOKUP(E1079,E$1:E1078,1,FALSE()))),"OLD",IF(AND(E1079&lt;&gt;"",E1079&lt;&gt;"!!!"),"NEW","")))</f>
        <v/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/>
      </c>
      <c r="H1079" s="24" t="str">
        <f t="shared" ca="1" si="111"/>
        <v/>
      </c>
      <c r="I1079" s="25" t="str">
        <f>IF(OR(E1079="",E1079="!!!",F1079="NEW"),"",INDEX(B$2:B1078,-1+SUMPRODUCT(MAX(ROW(E$2:E1078)*(E1079=E$2:E1078)))))</f>
        <v/>
      </c>
      <c r="J1079" s="25" t="str">
        <f ca="1">IF(OR(E1079="",E1079="!!!",F1079="NEW"),"",COUNTBLANK(OFFSET(A$1,,,SUMPRODUCT(MAX(ROW(E$2:E1079)*(E1079=E$2:E1079)))))-COUNTBLANK(OFFSET(A$1,,,SUMPRODUCT(MAX(ROW(E$1:E1078)*(E2=E$1:E1078))))))</f>
        <v/>
      </c>
      <c r="K1079" s="25" t="str">
        <f>IF(OR(E1079="",E1079="!!!",F1079="NEW"),"",INDEX(J$1:J1078,SUMPRODUCT(MAX(ROW(E$1:E1078)*(E1079=E$1:E1078)))))</f>
        <v/>
      </c>
      <c r="L1079" s="26"/>
    </row>
    <row r="1080" spans="1:12" x14ac:dyDescent="0.3">
      <c r="A1080" t="s">
        <v>229</v>
      </c>
      <c r="E1080" s="21" t="str">
        <f t="shared" si="110"/>
        <v/>
      </c>
      <c r="F1080" s="22" t="str">
        <f>IF(OR(E1080="",E1080="!!!"),"",IF(NOT(ISNA(VLOOKUP(E1080,E$1:E1079,1,FALSE()))),"OLD",IF(AND(E1080&lt;&gt;"",E1080&lt;&gt;"!!!"),"NEW","")))</f>
        <v/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/>
      </c>
      <c r="H1080" s="24" t="str">
        <f t="shared" ca="1" si="111"/>
        <v/>
      </c>
      <c r="I1080" s="25" t="str">
        <f>IF(OR(E1080="",E1080="!!!",F1080="NEW"),"",INDEX(B$2:B1079,-1+SUMPRODUCT(MAX(ROW(E$2:E1079)*(E1080=E$2:E1079)))))</f>
        <v/>
      </c>
      <c r="J1080" s="25" t="str">
        <f ca="1">IF(OR(E1080="",E1080="!!!",F1080="NEW"),"",COUNTBLANK(OFFSET(A$1,,,SUMPRODUCT(MAX(ROW(E$2:E1080)*(E1080=E$2:E1080)))))-COUNTBLANK(OFFSET(A$1,,,SUMPRODUCT(MAX(ROW(E$1:E1079)*(E2=E$1:E1079))))))</f>
        <v/>
      </c>
      <c r="K1080" s="25" t="str">
        <f>IF(OR(E1080="",E1080="!!!",F1080="NEW"),"",INDEX(J$1:J1079,SUMPRODUCT(MAX(ROW(E$1:E1079)*(E1080=E$1:E1079)))))</f>
        <v/>
      </c>
      <c r="L1080" s="26"/>
    </row>
    <row r="1081" spans="1:12" x14ac:dyDescent="0.3">
      <c r="A1081" t="s">
        <v>632</v>
      </c>
      <c r="B1081" s="20" t="s">
        <v>172</v>
      </c>
      <c r="C1081" s="20" t="s">
        <v>211</v>
      </c>
      <c r="E1081" s="21" t="str">
        <f t="shared" si="110"/>
        <v/>
      </c>
      <c r="F1081" s="22" t="str">
        <f>IF(OR(E1081="",E1081="!!!"),"",IF(NOT(ISNA(VLOOKUP(E1081,E$1:E1080,1,FALSE()))),"OLD",IF(AND(E1081&lt;&gt;"",E1081&lt;&gt;"!!!"),"NEW","")))</f>
        <v/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/>
      </c>
      <c r="H1081" s="24" t="str">
        <f t="shared" ca="1" si="111"/>
        <v/>
      </c>
      <c r="I1081" s="25" t="str">
        <f>IF(OR(E1081="",E1081="!!!",F1081="NEW"),"",INDEX(B$2:B1080,-1+SUMPRODUCT(MAX(ROW(E$2:E1080)*(E1081=E$2:E1080)))))</f>
        <v/>
      </c>
      <c r="J1081" s="25" t="str">
        <f ca="1">IF(OR(E1081="",E1081="!!!",F1081="NEW"),"",COUNTBLANK(OFFSET(A$1,,,SUMPRODUCT(MAX(ROW(E$2:E1081)*(E1081=E$2:E1081)))))-COUNTBLANK(OFFSET(A$1,,,SUMPRODUCT(MAX(ROW(E$1:E1080)*(E2=E$1:E1080))))))</f>
        <v/>
      </c>
      <c r="K1081" s="25" t="str">
        <f>IF(OR(E1081="",E1081="!!!",F1081="NEW"),"",INDEX(J$1:J1080,SUMPRODUCT(MAX(ROW(E$1:E1080)*(E1081=E$1:E1080)))))</f>
        <v/>
      </c>
      <c r="L1081" s="26"/>
    </row>
    <row r="1082" spans="1:12" x14ac:dyDescent="0.3">
      <c r="A1082" t="s">
        <v>182</v>
      </c>
      <c r="E1082" s="21" t="str">
        <f t="shared" si="110"/>
        <v/>
      </c>
      <c r="F1082" s="22" t="str">
        <f>IF(OR(E1082="",E1082="!!!"),"",IF(NOT(ISNA(VLOOKUP(E1082,E$1:E1081,1,FALSE()))),"OLD",IF(AND(E1082&lt;&gt;"",E1082&lt;&gt;"!!!"),"NEW","")))</f>
        <v/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/>
      </c>
      <c r="H1082" s="24" t="str">
        <f t="shared" ca="1" si="111"/>
        <v/>
      </c>
      <c r="I1082" s="25" t="str">
        <f>IF(OR(E1082="",E1082="!!!",F1082="NEW"),"",INDEX(B$2:B1081,-1+SUMPRODUCT(MAX(ROW(E$2:E1081)*(E1082=E$2:E1081)))))</f>
        <v/>
      </c>
      <c r="J1082" s="25" t="str">
        <f ca="1">IF(OR(E1082="",E1082="!!!",F1082="NEW"),"",COUNTBLANK(OFFSET(A$1,,,SUMPRODUCT(MAX(ROW(E$2:E1082)*(E1082=E$2:E1082)))))-COUNTBLANK(OFFSET(A$1,,,SUMPRODUCT(MAX(ROW(E$1:E1081)*(E2=E$1:E1081))))))</f>
        <v/>
      </c>
      <c r="K1082" s="25" t="str">
        <f>IF(OR(E1082="",E1082="!!!",F1082="NEW"),"",INDEX(J$1:J1081,SUMPRODUCT(MAX(ROW(E$1:E1081)*(E1082=E$1:E1081)))))</f>
        <v/>
      </c>
      <c r="L1082" s="26"/>
    </row>
    <row r="1083" spans="1:12" x14ac:dyDescent="0.3">
      <c r="A1083" t="s">
        <v>190</v>
      </c>
      <c r="B1083" s="20" t="s">
        <v>183</v>
      </c>
      <c r="C1083" s="20" t="s">
        <v>167</v>
      </c>
      <c r="E1083" s="21" t="str">
        <f t="shared" si="110"/>
        <v/>
      </c>
      <c r="F1083" s="22" t="str">
        <f>IF(OR(E1083="",E1083="!!!"),"",IF(NOT(ISNA(VLOOKUP(E1083,E$1:E1082,1,FALSE()))),"OLD",IF(AND(E1083&lt;&gt;"",E1083&lt;&gt;"!!!"),"NEW","")))</f>
        <v/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/>
      </c>
      <c r="H1083" s="24" t="str">
        <f t="shared" ca="1" si="111"/>
        <v/>
      </c>
      <c r="I1083" s="25" t="str">
        <f>IF(OR(E1083="",E1083="!!!",F1083="NEW"),"",INDEX(B$2:B1082,-1+SUMPRODUCT(MAX(ROW(E$2:E1082)*(E1083=E$2:E1082)))))</f>
        <v/>
      </c>
      <c r="J1083" s="25" t="str">
        <f ca="1">IF(OR(E1083="",E1083="!!!",F1083="NEW"),"",COUNTBLANK(OFFSET(A$1,,,SUMPRODUCT(MAX(ROW(E$2:E1083)*(E1083=E$2:E1083)))))-COUNTBLANK(OFFSET(A$1,,,SUMPRODUCT(MAX(ROW(E$1:E1082)*(E2=E$1:E1082))))))</f>
        <v/>
      </c>
      <c r="K1083" s="25" t="str">
        <f>IF(OR(E1083="",E1083="!!!",F1083="NEW"),"",INDEX(J$1:J1082,SUMPRODUCT(MAX(ROW(E$1:E1082)*(E1083=E$1:E1082)))))</f>
        <v/>
      </c>
      <c r="L1083" s="26"/>
    </row>
    <row r="1084" spans="1:12" x14ac:dyDescent="0.3">
      <c r="A1084" t="s">
        <v>168</v>
      </c>
      <c r="E1084" s="21" t="str">
        <f t="shared" si="110"/>
        <v/>
      </c>
      <c r="F1084" s="22" t="str">
        <f>IF(OR(E1084="",E1084="!!!"),"",IF(NOT(ISNA(VLOOKUP(E1084,E$1:E1083,1,FALSE()))),"OLD",IF(AND(E1084&lt;&gt;"",E1084&lt;&gt;"!!!"),"NEW","")))</f>
        <v/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/>
      </c>
      <c r="H1084" s="24" t="str">
        <f t="shared" ca="1" si="111"/>
        <v/>
      </c>
      <c r="I1084" s="25" t="str">
        <f>IF(OR(E1084="",E1084="!!!",F1084="NEW"),"",INDEX(B$2:B1083,-1+SUMPRODUCT(MAX(ROW(E$2:E1083)*(E1084=E$2:E1083)))))</f>
        <v/>
      </c>
      <c r="J1084" s="25" t="str">
        <f ca="1">IF(OR(E1084="",E1084="!!!",F1084="NEW"),"",COUNTBLANK(OFFSET(A$1,,,SUMPRODUCT(MAX(ROW(E$2:E1084)*(E1084=E$2:E1084)))))-COUNTBLANK(OFFSET(A$1,,,SUMPRODUCT(MAX(ROW(E$1:E1083)*(E2=E$1:E1083))))))</f>
        <v/>
      </c>
      <c r="K1084" s="25" t="str">
        <f>IF(OR(E1084="",E1084="!!!",F1084="NEW"),"",INDEX(J$1:J1083,SUMPRODUCT(MAX(ROW(E$1:E1083)*(E1084=E$1:E1083)))))</f>
        <v/>
      </c>
      <c r="L1084" s="26"/>
    </row>
    <row r="1085" spans="1:12" x14ac:dyDescent="0.3">
      <c r="A1085" t="s">
        <v>633</v>
      </c>
      <c r="B1085" s="20" t="s">
        <v>201</v>
      </c>
      <c r="C1085" s="20" t="s">
        <v>167</v>
      </c>
      <c r="E1085" s="21" t="str">
        <f t="shared" si="110"/>
        <v/>
      </c>
      <c r="F1085" s="22" t="str">
        <f>IF(OR(E1085="",E1085="!!!"),"",IF(NOT(ISNA(VLOOKUP(E1085,E$1:E1084,1,FALSE()))),"OLD",IF(AND(E1085&lt;&gt;"",E1085&lt;&gt;"!!!"),"NEW","")))</f>
        <v/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/>
      </c>
      <c r="H1085" s="24" t="str">
        <f t="shared" ca="1" si="111"/>
        <v/>
      </c>
      <c r="I1085" s="25" t="str">
        <f>IF(OR(E1085="",E1085="!!!",F1085="NEW"),"",INDEX(B$2:B1084,-1+SUMPRODUCT(MAX(ROW(E$2:E1084)*(E1085=E$2:E1084)))))</f>
        <v/>
      </c>
      <c r="J1085" s="25" t="str">
        <f ca="1">IF(OR(E1085="",E1085="!!!",F1085="NEW"),"",COUNTBLANK(OFFSET(A$1,,,SUMPRODUCT(MAX(ROW(E$2:E1085)*(E1085=E$2:E1085)))))-COUNTBLANK(OFFSET(A$1,,,SUMPRODUCT(MAX(ROW(E$1:E1084)*(E2=E$1:E1084))))))</f>
        <v/>
      </c>
      <c r="K1085" s="25" t="str">
        <f>IF(OR(E1085="",E1085="!!!",F1085="NEW"),"",INDEX(J$1:J1084,SUMPRODUCT(MAX(ROW(E$1:E1084)*(E1085=E$1:E1084)))))</f>
        <v/>
      </c>
      <c r="L1085" s="26"/>
    </row>
    <row r="1086" spans="1:12" x14ac:dyDescent="0.3">
      <c r="A1086" t="s">
        <v>212</v>
      </c>
      <c r="E1086" s="21" t="str">
        <f t="shared" si="110"/>
        <v/>
      </c>
      <c r="F1086" s="22" t="str">
        <f>IF(OR(E1086="",E1086="!!!"),"",IF(NOT(ISNA(VLOOKUP(E1086,E$1:E1085,1,FALSE()))),"OLD",IF(AND(E1086&lt;&gt;"",E1086&lt;&gt;"!!!"),"NEW","")))</f>
        <v/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/>
      </c>
      <c r="H1086" s="24" t="str">
        <f t="shared" ca="1" si="111"/>
        <v/>
      </c>
      <c r="I1086" s="25" t="str">
        <f>IF(OR(E1086="",E1086="!!!",F1086="NEW"),"",INDEX(B$2:B1085,-1+SUMPRODUCT(MAX(ROW(E$2:E1085)*(E1086=E$2:E1085)))))</f>
        <v/>
      </c>
      <c r="J1086" s="25" t="str">
        <f ca="1">IF(OR(E1086="",E1086="!!!",F1086="NEW"),"",COUNTBLANK(OFFSET(A$1,,,SUMPRODUCT(MAX(ROW(E$2:E1086)*(E1086=E$2:E1086)))))-COUNTBLANK(OFFSET(A$1,,,SUMPRODUCT(MAX(ROW(E$1:E1085)*(E2=E$1:E1085))))))</f>
        <v/>
      </c>
      <c r="K1086" s="25" t="str">
        <f>IF(OR(E1086="",E1086="!!!",F1086="NEW"),"",INDEX(J$1:J1085,SUMPRODUCT(MAX(ROW(E$1:E1085)*(E1086=E$1:E1085)))))</f>
        <v/>
      </c>
      <c r="L1086" s="26"/>
    </row>
    <row r="1088" spans="1:12" x14ac:dyDescent="0.3">
      <c r="A1088" t="s">
        <v>634</v>
      </c>
    </row>
    <row r="1089" spans="1:12" x14ac:dyDescent="0.3">
      <c r="A1089" t="s">
        <v>271</v>
      </c>
      <c r="B1089" s="20" t="s">
        <v>187</v>
      </c>
      <c r="C1089" s="20" t="s">
        <v>206</v>
      </c>
      <c r="D1089" s="20" t="s">
        <v>160</v>
      </c>
      <c r="E1089" s="21" t="str">
        <f t="shared" ref="E1089:E1106" si="112">IF(D1089="?OLD","!!!","")</f>
        <v>!!!</v>
      </c>
      <c r="F1089" s="22" t="str">
        <f>IF(OR(E1089="",E1089="!!!"),"",IF(NOT(ISNA(VLOOKUP(E1089,E$1:E1088,1,FALSE()))),"OLD",IF(AND(E1089&lt;&gt;"",E1089&lt;&gt;"!!!"),"NEW","")))</f>
        <v/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/>
      </c>
      <c r="H1089" s="24" t="str">
        <f t="shared" ref="H1089:H1106" ca="1" si="113">IF(J1089&lt;&gt;1,"",IF(I1089="SBJ","CB","?"))</f>
        <v/>
      </c>
      <c r="I1089" s="25" t="str">
        <f>IF(OR(E1089="",E1089="!!!",F1089="NEW"),"",INDEX(B$2:B1088,-1+SUMPRODUCT(MAX(ROW(E$2:E1088)*(E1089=E$2:E1088)))))</f>
        <v/>
      </c>
      <c r="J1089" s="25" t="str">
        <f ca="1">IF(OR(E1089="",E1089="!!!",F1089="NEW"),"",COUNTBLANK(OFFSET(A$1,,,SUMPRODUCT(MAX(ROW(E$2:E1089)*(E1089=E$2:E1089)))))-COUNTBLANK(OFFSET(A$1,,,SUMPRODUCT(MAX(ROW(E$1:E1088)*(E2=E$1:E1088))))))</f>
        <v/>
      </c>
      <c r="K1089" s="25" t="str">
        <f>IF(OR(E1089="",E1089="!!!",F1089="NEW"),"",INDEX(J$1:J1088,SUMPRODUCT(MAX(ROW(E$1:E1088)*(E1089=E$1:E1088)))))</f>
        <v/>
      </c>
      <c r="L1089" s="26"/>
    </row>
    <row r="1090" spans="1:12" x14ac:dyDescent="0.3">
      <c r="A1090" t="s">
        <v>460</v>
      </c>
      <c r="E1090" s="21" t="str">
        <f t="shared" si="112"/>
        <v/>
      </c>
      <c r="F1090" s="22" t="str">
        <f>IF(OR(E1090="",E1090="!!!"),"",IF(NOT(ISNA(VLOOKUP(E1090,E$1:E1089,1,FALSE()))),"OLD",IF(AND(E1090&lt;&gt;"",E1090&lt;&gt;"!!!"),"NEW","")))</f>
        <v/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/>
      </c>
      <c r="H1090" s="24" t="str">
        <f t="shared" ca="1" si="113"/>
        <v/>
      </c>
      <c r="I1090" s="25" t="str">
        <f>IF(OR(E1090="",E1090="!!!",F1090="NEW"),"",INDEX(B$2:B1089,-1+SUMPRODUCT(MAX(ROW(E$2:E1089)*(E1090=E$2:E1089)))))</f>
        <v/>
      </c>
      <c r="J1090" s="25" t="str">
        <f ca="1">IF(OR(E1090="",E1090="!!!",F1090="NEW"),"",COUNTBLANK(OFFSET(A$1,,,SUMPRODUCT(MAX(ROW(E$2:E1090)*(E1090=E$2:E1090)))))-COUNTBLANK(OFFSET(A$1,,,SUMPRODUCT(MAX(ROW(E$1:E1089)*(E2=E$1:E1089))))))</f>
        <v/>
      </c>
      <c r="K1090" s="25" t="str">
        <f>IF(OR(E1090="",E1090="!!!",F1090="NEW"),"",INDEX(J$1:J1089,SUMPRODUCT(MAX(ROW(E$1:E1089)*(E1090=E$1:E1089)))))</f>
        <v/>
      </c>
      <c r="L1090" s="26"/>
    </row>
    <row r="1091" spans="1:12" x14ac:dyDescent="0.3">
      <c r="A1091" t="s">
        <v>216</v>
      </c>
      <c r="E1091" s="21" t="str">
        <f t="shared" si="112"/>
        <v/>
      </c>
      <c r="F1091" s="22" t="str">
        <f>IF(OR(E1091="",E1091="!!!"),"",IF(NOT(ISNA(VLOOKUP(E1091,E$1:E1090,1,FALSE()))),"OLD",IF(AND(E1091&lt;&gt;"",E1091&lt;&gt;"!!!"),"NEW","")))</f>
        <v/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/>
      </c>
      <c r="H1091" s="24" t="str">
        <f t="shared" ca="1" si="113"/>
        <v/>
      </c>
      <c r="I1091" s="25" t="str">
        <f>IF(OR(E1091="",E1091="!!!",F1091="NEW"),"",INDEX(B$2:B1090,-1+SUMPRODUCT(MAX(ROW(E$2:E1090)*(E1091=E$2:E1090)))))</f>
        <v/>
      </c>
      <c r="J1091" s="25" t="str">
        <f ca="1">IF(OR(E1091="",E1091="!!!",F1091="NEW"),"",COUNTBLANK(OFFSET(A$1,,,SUMPRODUCT(MAX(ROW(E$2:E1091)*(E1091=E$2:E1091)))))-COUNTBLANK(OFFSET(A$1,,,SUMPRODUCT(MAX(ROW(E$1:E1090)*(E2=E$1:E1090))))))</f>
        <v/>
      </c>
      <c r="K1091" s="25" t="str">
        <f>IF(OR(E1091="",E1091="!!!",F1091="NEW"),"",INDEX(J$1:J1090,SUMPRODUCT(MAX(ROW(E$1:E1090)*(E1091=E$1:E1090)))))</f>
        <v/>
      </c>
      <c r="L1091" s="26"/>
    </row>
    <row r="1092" spans="1:12" x14ac:dyDescent="0.3">
      <c r="A1092" t="s">
        <v>185</v>
      </c>
      <c r="E1092" s="21" t="str">
        <f t="shared" si="112"/>
        <v/>
      </c>
      <c r="F1092" s="22" t="str">
        <f>IF(OR(E1092="",E1092="!!!"),"",IF(NOT(ISNA(VLOOKUP(E1092,E$1:E1091,1,FALSE()))),"OLD",IF(AND(E1092&lt;&gt;"",E1092&lt;&gt;"!!!"),"NEW","")))</f>
        <v/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/>
      </c>
      <c r="H1092" s="24" t="str">
        <f t="shared" ca="1" si="113"/>
        <v/>
      </c>
      <c r="I1092" s="25" t="str">
        <f>IF(OR(E1092="",E1092="!!!",F1092="NEW"),"",INDEX(B$2:B1091,-1+SUMPRODUCT(MAX(ROW(E$2:E1091)*(E1092=E$2:E1091)))))</f>
        <v/>
      </c>
      <c r="J1092" s="25" t="str">
        <f ca="1">IF(OR(E1092="",E1092="!!!",F1092="NEW"),"",COUNTBLANK(OFFSET(A$1,,,SUMPRODUCT(MAX(ROW(E$2:E1092)*(E1092=E$2:E1092)))))-COUNTBLANK(OFFSET(A$1,,,SUMPRODUCT(MAX(ROW(E$1:E1091)*(E2=E$1:E1091))))))</f>
        <v/>
      </c>
      <c r="K1092" s="25" t="str">
        <f>IF(OR(E1092="",E1092="!!!",F1092="NEW"),"",INDEX(J$1:J1091,SUMPRODUCT(MAX(ROW(E$1:E1091)*(E1092=E$1:E1091)))))</f>
        <v/>
      </c>
      <c r="L1092" s="26"/>
    </row>
    <row r="1093" spans="1:12" x14ac:dyDescent="0.3">
      <c r="A1093" t="s">
        <v>229</v>
      </c>
      <c r="E1093" s="21" t="str">
        <f t="shared" si="112"/>
        <v/>
      </c>
      <c r="F1093" s="22" t="str">
        <f>IF(OR(E1093="",E1093="!!!"),"",IF(NOT(ISNA(VLOOKUP(E1093,E$1:E1092,1,FALSE()))),"OLD",IF(AND(E1093&lt;&gt;"",E1093&lt;&gt;"!!!"),"NEW","")))</f>
        <v/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/>
      </c>
      <c r="H1093" s="24" t="str">
        <f t="shared" ca="1" si="113"/>
        <v/>
      </c>
      <c r="I1093" s="25" t="str">
        <f>IF(OR(E1093="",E1093="!!!",F1093="NEW"),"",INDEX(B$2:B1092,-1+SUMPRODUCT(MAX(ROW(E$2:E1092)*(E1093=E$2:E1092)))))</f>
        <v/>
      </c>
      <c r="J1093" s="25" t="str">
        <f ca="1">IF(OR(E1093="",E1093="!!!",F1093="NEW"),"",COUNTBLANK(OFFSET(A$1,,,SUMPRODUCT(MAX(ROW(E$2:E1093)*(E1093=E$2:E1093)))))-COUNTBLANK(OFFSET(A$1,,,SUMPRODUCT(MAX(ROW(E$1:E1092)*(E2=E$1:E1092))))))</f>
        <v/>
      </c>
      <c r="K1093" s="25" t="str">
        <f>IF(OR(E1093="",E1093="!!!",F1093="NEW"),"",INDEX(J$1:J1092,SUMPRODUCT(MAX(ROW(E$1:E1092)*(E1093=E$1:E1092)))))</f>
        <v/>
      </c>
      <c r="L1093" s="26"/>
    </row>
    <row r="1094" spans="1:12" x14ac:dyDescent="0.3">
      <c r="A1094" t="s">
        <v>319</v>
      </c>
      <c r="B1094" s="20" t="s">
        <v>176</v>
      </c>
      <c r="C1094" s="20" t="s">
        <v>211</v>
      </c>
      <c r="E1094" s="21" t="str">
        <f t="shared" si="112"/>
        <v/>
      </c>
      <c r="F1094" s="22" t="str">
        <f>IF(OR(E1094="",E1094="!!!"),"",IF(NOT(ISNA(VLOOKUP(E1094,E$1:E1093,1,FALSE()))),"OLD",IF(AND(E1094&lt;&gt;"",E1094&lt;&gt;"!!!"),"NEW","")))</f>
        <v/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/>
      </c>
      <c r="H1094" s="24" t="str">
        <f t="shared" ca="1" si="113"/>
        <v/>
      </c>
      <c r="I1094" s="25" t="str">
        <f>IF(OR(E1094="",E1094="!!!",F1094="NEW"),"",INDEX(B$2:B1093,-1+SUMPRODUCT(MAX(ROW(E$2:E1093)*(E1094=E$2:E1093)))))</f>
        <v/>
      </c>
      <c r="J1094" s="25" t="str">
        <f ca="1">IF(OR(E1094="",E1094="!!!",F1094="NEW"),"",COUNTBLANK(OFFSET(A$1,,,SUMPRODUCT(MAX(ROW(E$2:E1094)*(E1094=E$2:E1094)))))-COUNTBLANK(OFFSET(A$1,,,SUMPRODUCT(MAX(ROW(E$1:E1093)*(E2=E$1:E1093))))))</f>
        <v/>
      </c>
      <c r="K1094" s="25" t="str">
        <f>IF(OR(E1094="",E1094="!!!",F1094="NEW"),"",INDEX(J$1:J1093,SUMPRODUCT(MAX(ROW(E$1:E1093)*(E1094=E$1:E1093)))))</f>
        <v/>
      </c>
      <c r="L1094" s="26"/>
    </row>
    <row r="1095" spans="1:12" x14ac:dyDescent="0.3">
      <c r="A1095" t="s">
        <v>235</v>
      </c>
      <c r="E1095" s="21" t="str">
        <f t="shared" si="112"/>
        <v/>
      </c>
      <c r="F1095" s="22" t="str">
        <f>IF(OR(E1095="",E1095="!!!"),"",IF(NOT(ISNA(VLOOKUP(E1095,E$1:E1094,1,FALSE()))),"OLD",IF(AND(E1095&lt;&gt;"",E1095&lt;&gt;"!!!"),"NEW","")))</f>
        <v/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/>
      </c>
      <c r="H1095" s="24" t="str">
        <f t="shared" ca="1" si="113"/>
        <v/>
      </c>
      <c r="I1095" s="25" t="str">
        <f>IF(OR(E1095="",E1095="!!!",F1095="NEW"),"",INDEX(B$2:B1094,-1+SUMPRODUCT(MAX(ROW(E$2:E1094)*(E1095=E$2:E1094)))))</f>
        <v/>
      </c>
      <c r="J1095" s="25" t="str">
        <f ca="1">IF(OR(E1095="",E1095="!!!",F1095="NEW"),"",COUNTBLANK(OFFSET(A$1,,,SUMPRODUCT(MAX(ROW(E$2:E1095)*(E1095=E$2:E1095)))))-COUNTBLANK(OFFSET(A$1,,,SUMPRODUCT(MAX(ROW(E$1:E1094)*(E2=E$1:E1094))))))</f>
        <v/>
      </c>
      <c r="K1095" s="25" t="str">
        <f>IF(OR(E1095="",E1095="!!!",F1095="NEW"),"",INDEX(J$1:J1094,SUMPRODUCT(MAX(ROW(E$1:E1094)*(E1095=E$1:E1094)))))</f>
        <v/>
      </c>
      <c r="L1095" s="26"/>
    </row>
    <row r="1096" spans="1:12" x14ac:dyDescent="0.3">
      <c r="A1096" t="s">
        <v>179</v>
      </c>
      <c r="E1096" s="21" t="str">
        <f t="shared" si="112"/>
        <v/>
      </c>
      <c r="F1096" s="22" t="str">
        <f>IF(OR(E1096="",E1096="!!!"),"",IF(NOT(ISNA(VLOOKUP(E1096,E$1:E1095,1,FALSE()))),"OLD",IF(AND(E1096&lt;&gt;"",E1096&lt;&gt;"!!!"),"NEW","")))</f>
        <v/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/>
      </c>
      <c r="H1096" s="24" t="str">
        <f t="shared" ca="1" si="113"/>
        <v/>
      </c>
      <c r="I1096" s="25" t="str">
        <f>IF(OR(E1096="",E1096="!!!",F1096="NEW"),"",INDEX(B$2:B1095,-1+SUMPRODUCT(MAX(ROW(E$2:E1095)*(E1096=E$2:E1095)))))</f>
        <v/>
      </c>
      <c r="J1096" s="25" t="str">
        <f ca="1">IF(OR(E1096="",E1096="!!!",F1096="NEW"),"",COUNTBLANK(OFFSET(A$1,,,SUMPRODUCT(MAX(ROW(E$2:E1096)*(E1096=E$2:E1096)))))-COUNTBLANK(OFFSET(A$1,,,SUMPRODUCT(MAX(ROW(E$1:E1095)*(E2=E$1:E1095))))))</f>
        <v/>
      </c>
      <c r="K1096" s="25" t="str">
        <f>IF(OR(E1096="",E1096="!!!",F1096="NEW"),"",INDEX(J$1:J1095,SUMPRODUCT(MAX(ROW(E$1:E1095)*(E1096=E$1:E1095)))))</f>
        <v/>
      </c>
      <c r="L1096" s="26"/>
    </row>
    <row r="1097" spans="1:12" x14ac:dyDescent="0.3">
      <c r="A1097" t="s">
        <v>635</v>
      </c>
      <c r="B1097" s="20" t="s">
        <v>191</v>
      </c>
      <c r="C1097" s="20" t="s">
        <v>181</v>
      </c>
      <c r="D1097" s="20" t="s">
        <v>160</v>
      </c>
      <c r="E1097" s="21" t="str">
        <f t="shared" si="112"/>
        <v>!!!</v>
      </c>
      <c r="F1097" s="22" t="str">
        <f>IF(OR(E1097="",E1097="!!!"),"",IF(NOT(ISNA(VLOOKUP(E1097,E$1:E1096,1,FALSE()))),"OLD",IF(AND(E1097&lt;&gt;"",E1097&lt;&gt;"!!!"),"NEW","")))</f>
        <v/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/>
      </c>
      <c r="H1097" s="24" t="str">
        <f t="shared" ca="1" si="113"/>
        <v/>
      </c>
      <c r="I1097" s="25" t="str">
        <f>IF(OR(E1097="",E1097="!!!",F1097="NEW"),"",INDEX(B$2:B1096,-1+SUMPRODUCT(MAX(ROW(E$2:E1096)*(E1097=E$2:E1096)))))</f>
        <v/>
      </c>
      <c r="J1097" s="25" t="str">
        <f ca="1">IF(OR(E1097="",E1097="!!!",F1097="NEW"),"",COUNTBLANK(OFFSET(A$1,,,SUMPRODUCT(MAX(ROW(E$2:E1097)*(E1097=E$2:E1097)))))-COUNTBLANK(OFFSET(A$1,,,SUMPRODUCT(MAX(ROW(E$1:E1096)*(E2=E$1:E1096))))))</f>
        <v/>
      </c>
      <c r="K1097" s="25" t="str">
        <f>IF(OR(E1097="",E1097="!!!",F1097="NEW"),"",INDEX(J$1:J1096,SUMPRODUCT(MAX(ROW(E$1:E1096)*(E1097=E$1:E1096)))))</f>
        <v/>
      </c>
      <c r="L1097" s="26"/>
    </row>
    <row r="1098" spans="1:12" x14ac:dyDescent="0.3">
      <c r="A1098" t="s">
        <v>240</v>
      </c>
      <c r="E1098" s="21" t="str">
        <f t="shared" si="112"/>
        <v/>
      </c>
      <c r="F1098" s="22" t="str">
        <f>IF(OR(E1098="",E1098="!!!"),"",IF(NOT(ISNA(VLOOKUP(E1098,E$1:E1097,1,FALSE()))),"OLD",IF(AND(E1098&lt;&gt;"",E1098&lt;&gt;"!!!"),"NEW","")))</f>
        <v/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/>
      </c>
      <c r="H1098" s="24" t="str">
        <f t="shared" ca="1" si="113"/>
        <v/>
      </c>
      <c r="I1098" s="25" t="str">
        <f>IF(OR(E1098="",E1098="!!!",F1098="NEW"),"",INDEX(B$2:B1097,-1+SUMPRODUCT(MAX(ROW(E$2:E1097)*(E1098=E$2:E1097)))))</f>
        <v/>
      </c>
      <c r="J1098" s="25" t="str">
        <f ca="1">IF(OR(E1098="",E1098="!!!",F1098="NEW"),"",COUNTBLANK(OFFSET(A$1,,,SUMPRODUCT(MAX(ROW(E$2:E1098)*(E1098=E$2:E1098)))))-COUNTBLANK(OFFSET(A$1,,,SUMPRODUCT(MAX(ROW(E$1:E1097)*(E2=E$1:E1097))))))</f>
        <v/>
      </c>
      <c r="K1098" s="25" t="str">
        <f>IF(OR(E1098="",E1098="!!!",F1098="NEW"),"",INDEX(J$1:J1097,SUMPRODUCT(MAX(ROW(E$1:E1097)*(E1098=E$1:E1097)))))</f>
        <v/>
      </c>
      <c r="L1098" s="26"/>
    </row>
    <row r="1099" spans="1:12" x14ac:dyDescent="0.3">
      <c r="A1099" t="s">
        <v>241</v>
      </c>
      <c r="B1099" s="20" t="s">
        <v>172</v>
      </c>
      <c r="C1099" s="20" t="s">
        <v>181</v>
      </c>
      <c r="D1099" s="20" t="s">
        <v>160</v>
      </c>
      <c r="E1099" s="21" t="str">
        <f t="shared" si="112"/>
        <v>!!!</v>
      </c>
      <c r="F1099" s="22" t="str">
        <f>IF(OR(E1099="",E1099="!!!"),"",IF(NOT(ISNA(VLOOKUP(E1099,E$1:E1098,1,FALSE()))),"OLD",IF(AND(E1099&lt;&gt;"",E1099&lt;&gt;"!!!"),"NEW","")))</f>
        <v/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/>
      </c>
      <c r="H1099" s="24" t="str">
        <f t="shared" ca="1" si="113"/>
        <v/>
      </c>
      <c r="I1099" s="25" t="str">
        <f>IF(OR(E1099="",E1099="!!!",F1099="NEW"),"",INDEX(B$2:B1098,-1+SUMPRODUCT(MAX(ROW(E$2:E1098)*(E1099=E$2:E1098)))))</f>
        <v/>
      </c>
      <c r="J1099" s="25" t="str">
        <f ca="1">IF(OR(E1099="",E1099="!!!",F1099="NEW"),"",COUNTBLANK(OFFSET(A$1,,,SUMPRODUCT(MAX(ROW(E$2:E1099)*(E1099=E$2:E1099)))))-COUNTBLANK(OFFSET(A$1,,,SUMPRODUCT(MAX(ROW(E$1:E1098)*(E2=E$1:E1098))))))</f>
        <v/>
      </c>
      <c r="K1099" s="25" t="str">
        <f>IF(OR(E1099="",E1099="!!!",F1099="NEW"),"",INDEX(J$1:J1098,SUMPRODUCT(MAX(ROW(E$1:E1098)*(E1099=E$1:E1098)))))</f>
        <v/>
      </c>
      <c r="L1099" s="26"/>
    </row>
    <row r="1100" spans="1:12" x14ac:dyDescent="0.3">
      <c r="A1100" t="s">
        <v>240</v>
      </c>
      <c r="E1100" s="21" t="str">
        <f t="shared" si="112"/>
        <v/>
      </c>
      <c r="F1100" s="22" t="str">
        <f>IF(OR(E1100="",E1100="!!!"),"",IF(NOT(ISNA(VLOOKUP(E1100,E$1:E1099,1,FALSE()))),"OLD",IF(AND(E1100&lt;&gt;"",E1100&lt;&gt;"!!!"),"NEW","")))</f>
        <v/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/>
      </c>
      <c r="H1100" s="24" t="str">
        <f t="shared" ca="1" si="113"/>
        <v/>
      </c>
      <c r="I1100" s="25" t="str">
        <f>IF(OR(E1100="",E1100="!!!",F1100="NEW"),"",INDEX(B$2:B1099,-1+SUMPRODUCT(MAX(ROW(E$2:E1099)*(E1100=E$2:E1099)))))</f>
        <v/>
      </c>
      <c r="J1100" s="25" t="str">
        <f ca="1">IF(OR(E1100="",E1100="!!!",F1100="NEW"),"",COUNTBLANK(OFFSET(A$1,,,SUMPRODUCT(MAX(ROW(E$2:E1100)*(E1100=E$2:E1100)))))-COUNTBLANK(OFFSET(A$1,,,SUMPRODUCT(MAX(ROW(E$1:E1099)*(E2=E$1:E1099))))))</f>
        <v/>
      </c>
      <c r="K1100" s="25" t="str">
        <f>IF(OR(E1100="",E1100="!!!",F1100="NEW"),"",INDEX(J$1:J1099,SUMPRODUCT(MAX(ROW(E$1:E1099)*(E1100=E$1:E1099)))))</f>
        <v/>
      </c>
      <c r="L1100" s="26"/>
    </row>
    <row r="1101" spans="1:12" x14ac:dyDescent="0.3">
      <c r="A1101" t="s">
        <v>314</v>
      </c>
      <c r="B1101" s="20" t="s">
        <v>183</v>
      </c>
      <c r="C1101" s="20" t="s">
        <v>181</v>
      </c>
      <c r="D1101" s="20" t="s">
        <v>160</v>
      </c>
      <c r="E1101" s="21" t="str">
        <f t="shared" si="112"/>
        <v>!!!</v>
      </c>
      <c r="F1101" s="22" t="str">
        <f>IF(OR(E1101="",E1101="!!!"),"",IF(NOT(ISNA(VLOOKUP(E1101,E$1:E1100,1,FALSE()))),"OLD",IF(AND(E1101&lt;&gt;"",E1101&lt;&gt;"!!!"),"NEW","")))</f>
        <v/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/>
      </c>
      <c r="H1101" s="24" t="str">
        <f t="shared" ca="1" si="113"/>
        <v/>
      </c>
      <c r="I1101" s="25" t="str">
        <f>IF(OR(E1101="",E1101="!!!",F1101="NEW"),"",INDEX(B$2:B1100,-1+SUMPRODUCT(MAX(ROW(E$2:E1100)*(E1101=E$2:E1100)))))</f>
        <v/>
      </c>
      <c r="J1101" s="25" t="str">
        <f ca="1">IF(OR(E1101="",E1101="!!!",F1101="NEW"),"",COUNTBLANK(OFFSET(A$1,,,SUMPRODUCT(MAX(ROW(E$2:E1101)*(E1101=E$2:E1101)))))-COUNTBLANK(OFFSET(A$1,,,SUMPRODUCT(MAX(ROW(E$1:E1100)*(E2=E$1:E1100))))))</f>
        <v/>
      </c>
      <c r="K1101" s="25" t="str">
        <f>IF(OR(E1101="",E1101="!!!",F1101="NEW"),"",INDEX(J$1:J1100,SUMPRODUCT(MAX(ROW(E$1:E1100)*(E1101=E$1:E1100)))))</f>
        <v/>
      </c>
      <c r="L1101" s="26"/>
    </row>
    <row r="1102" spans="1:12" x14ac:dyDescent="0.3">
      <c r="A1102" t="s">
        <v>185</v>
      </c>
      <c r="E1102" s="21" t="str">
        <f t="shared" si="112"/>
        <v/>
      </c>
      <c r="F1102" s="22" t="str">
        <f>IF(OR(E1102="",E1102="!!!"),"",IF(NOT(ISNA(VLOOKUP(E1102,E$1:E1101,1,FALSE()))),"OLD",IF(AND(E1102&lt;&gt;"",E1102&lt;&gt;"!!!"),"NEW","")))</f>
        <v/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/>
      </c>
      <c r="H1102" s="24" t="str">
        <f t="shared" ca="1" si="113"/>
        <v/>
      </c>
      <c r="I1102" s="25" t="str">
        <f>IF(OR(E1102="",E1102="!!!",F1102="NEW"),"",INDEX(B$2:B1101,-1+SUMPRODUCT(MAX(ROW(E$2:E1101)*(E1102=E$2:E1101)))))</f>
        <v/>
      </c>
      <c r="J1102" s="25" t="str">
        <f ca="1">IF(OR(E1102="",E1102="!!!",F1102="NEW"),"",COUNTBLANK(OFFSET(A$1,,,SUMPRODUCT(MAX(ROW(E$2:E1102)*(E1102=E$2:E1102)))))-COUNTBLANK(OFFSET(A$1,,,SUMPRODUCT(MAX(ROW(E$1:E1101)*(E2=E$1:E1101))))))</f>
        <v/>
      </c>
      <c r="K1102" s="25" t="str">
        <f>IF(OR(E1102="",E1102="!!!",F1102="NEW"),"",INDEX(J$1:J1101,SUMPRODUCT(MAX(ROW(E$1:E1101)*(E1102=E$1:E1101)))))</f>
        <v/>
      </c>
      <c r="L1102" s="26"/>
    </row>
    <row r="1103" spans="1:12" x14ac:dyDescent="0.3">
      <c r="A1103" t="s">
        <v>179</v>
      </c>
      <c r="B1103" s="20" t="s">
        <v>543</v>
      </c>
      <c r="E1103" s="21" t="str">
        <f t="shared" si="112"/>
        <v/>
      </c>
      <c r="F1103" s="22" t="str">
        <f>IF(OR(E1103="",E1103="!!!"),"",IF(NOT(ISNA(VLOOKUP(E1103,E$1:E1102,1,FALSE()))),"OLD",IF(AND(E1103&lt;&gt;"",E1103&lt;&gt;"!!!"),"NEW","")))</f>
        <v/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/>
      </c>
      <c r="H1103" s="24" t="str">
        <f t="shared" ca="1" si="113"/>
        <v/>
      </c>
      <c r="I1103" s="25" t="str">
        <f>IF(OR(E1103="",E1103="!!!",F1103="NEW"),"",INDEX(B$2:B1102,-1+SUMPRODUCT(MAX(ROW(E$2:E1102)*(E1103=E$2:E1102)))))</f>
        <v/>
      </c>
      <c r="J1103" s="25" t="str">
        <f ca="1">IF(OR(E1103="",E1103="!!!",F1103="NEW"),"",COUNTBLANK(OFFSET(A$1,,,SUMPRODUCT(MAX(ROW(E$2:E1103)*(E1103=E$2:E1103)))))-COUNTBLANK(OFFSET(A$1,,,SUMPRODUCT(MAX(ROW(E$1:E1102)*(E2=E$1:E1102))))))</f>
        <v/>
      </c>
      <c r="K1103" s="25" t="str">
        <f>IF(OR(E1103="",E1103="!!!",F1103="NEW"),"",INDEX(J$1:J1102,SUMPRODUCT(MAX(ROW(E$1:E1102)*(E1103=E$1:E1102)))))</f>
        <v/>
      </c>
      <c r="L1103" s="26"/>
    </row>
    <row r="1104" spans="1:12" x14ac:dyDescent="0.3">
      <c r="A1104" t="s">
        <v>389</v>
      </c>
      <c r="E1104" s="21" t="str">
        <f t="shared" si="112"/>
        <v/>
      </c>
      <c r="F1104" s="22" t="str">
        <f>IF(OR(E1104="",E1104="!!!"),"",IF(NOT(ISNA(VLOOKUP(E1104,E$1:E1103,1,FALSE()))),"OLD",IF(AND(E1104&lt;&gt;"",E1104&lt;&gt;"!!!"),"NEW","")))</f>
        <v/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/>
      </c>
      <c r="H1104" s="24" t="str">
        <f t="shared" ca="1" si="113"/>
        <v/>
      </c>
      <c r="I1104" s="25" t="str">
        <f>IF(OR(E1104="",E1104="!!!",F1104="NEW"),"",INDEX(B$2:B1103,-1+SUMPRODUCT(MAX(ROW(E$2:E1103)*(E1104=E$2:E1103)))))</f>
        <v/>
      </c>
      <c r="J1104" s="25" t="str">
        <f ca="1">IF(OR(E1104="",E1104="!!!",F1104="NEW"),"",COUNTBLANK(OFFSET(A$1,,,SUMPRODUCT(MAX(ROW(E$2:E1104)*(E1104=E$2:E1104)))))-COUNTBLANK(OFFSET(A$1,,,SUMPRODUCT(MAX(ROW(E$1:E1103)*(E2=E$1:E1103))))))</f>
        <v/>
      </c>
      <c r="K1104" s="25" t="str">
        <f>IF(OR(E1104="",E1104="!!!",F1104="NEW"),"",INDEX(J$1:J1103,SUMPRODUCT(MAX(ROW(E$1:E1103)*(E1104=E$1:E1103)))))</f>
        <v/>
      </c>
      <c r="L1104" s="26"/>
    </row>
    <row r="1105" spans="1:12" x14ac:dyDescent="0.3">
      <c r="A1105" t="s">
        <v>636</v>
      </c>
      <c r="E1105" s="21" t="str">
        <f t="shared" si="112"/>
        <v/>
      </c>
      <c r="F1105" s="22" t="str">
        <f>IF(OR(E1105="",E1105="!!!"),"",IF(NOT(ISNA(VLOOKUP(E1105,E$1:E1104,1,FALSE()))),"OLD",IF(AND(E1105&lt;&gt;"",E1105&lt;&gt;"!!!"),"NEW","")))</f>
        <v/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/>
      </c>
      <c r="H1105" s="24" t="str">
        <f t="shared" ca="1" si="113"/>
        <v/>
      </c>
      <c r="I1105" s="25" t="str">
        <f>IF(OR(E1105="",E1105="!!!",F1105="NEW"),"",INDEX(B$2:B1104,-1+SUMPRODUCT(MAX(ROW(E$2:E1104)*(E1105=E$2:E1104)))))</f>
        <v/>
      </c>
      <c r="J1105" s="25" t="str">
        <f ca="1">IF(OR(E1105="",E1105="!!!",F1105="NEW"),"",COUNTBLANK(OFFSET(A$1,,,SUMPRODUCT(MAX(ROW(E$2:E1105)*(E1105=E$2:E1105)))))-COUNTBLANK(OFFSET(A$1,,,SUMPRODUCT(MAX(ROW(E$1:E1104)*(E2=E$1:E1104))))))</f>
        <v/>
      </c>
      <c r="K1105" s="25" t="str">
        <f>IF(OR(E1105="",E1105="!!!",F1105="NEW"),"",INDEX(J$1:J1104,SUMPRODUCT(MAX(ROW(E$1:E1104)*(E1105=E$1:E1104)))))</f>
        <v/>
      </c>
      <c r="L1105" s="26"/>
    </row>
    <row r="1106" spans="1:12" x14ac:dyDescent="0.3">
      <c r="A1106" t="s">
        <v>212</v>
      </c>
      <c r="E1106" s="21" t="str">
        <f t="shared" si="112"/>
        <v/>
      </c>
      <c r="F1106" s="22" t="str">
        <f>IF(OR(E1106="",E1106="!!!"),"",IF(NOT(ISNA(VLOOKUP(E1106,E$1:E1105,1,FALSE()))),"OLD",IF(AND(E1106&lt;&gt;"",E1106&lt;&gt;"!!!"),"NEW","")))</f>
        <v/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/>
      </c>
      <c r="H1106" s="24" t="str">
        <f t="shared" ca="1" si="113"/>
        <v/>
      </c>
      <c r="I1106" s="25" t="str">
        <f>IF(OR(E1106="",E1106="!!!",F1106="NEW"),"",INDEX(B$2:B1105,-1+SUMPRODUCT(MAX(ROW(E$2:E1105)*(E1106=E$2:E1105)))))</f>
        <v/>
      </c>
      <c r="J1106" s="25" t="str">
        <f ca="1">IF(OR(E1106="",E1106="!!!",F1106="NEW"),"",COUNTBLANK(OFFSET(A$1,,,SUMPRODUCT(MAX(ROW(E$2:E1106)*(E1106=E$2:E1106)))))-COUNTBLANK(OFFSET(A$1,,,SUMPRODUCT(MAX(ROW(E$1:E1105)*(E2=E$1:E1105))))))</f>
        <v/>
      </c>
      <c r="K1106" s="25" t="str">
        <f>IF(OR(E1106="",E1106="!!!",F1106="NEW"),"",INDEX(J$1:J1105,SUMPRODUCT(MAX(ROW(E$1:E1105)*(E1106=E$1:E1105)))))</f>
        <v/>
      </c>
      <c r="L1106" s="26"/>
    </row>
    <row r="1108" spans="1:12" x14ac:dyDescent="0.3">
      <c r="A1108" t="s">
        <v>637</v>
      </c>
    </row>
    <row r="1109" spans="1:12" x14ac:dyDescent="0.3">
      <c r="A1109" t="s">
        <v>174</v>
      </c>
      <c r="E1109" s="21" t="str">
        <f t="shared" ref="E1109:E1135" si="114">IF(D1109="?OLD","!!!","")</f>
        <v/>
      </c>
      <c r="F1109" s="22" t="str">
        <f>IF(OR(E1109="",E1109="!!!"),"",IF(NOT(ISNA(VLOOKUP(E1109,E$1:E1108,1,FALSE()))),"OLD",IF(AND(E1109&lt;&gt;"",E1109&lt;&gt;"!!!"),"NEW","")))</f>
        <v/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/>
      </c>
      <c r="H1109" s="24" t="str">
        <f t="shared" ref="H1109:H1135" ca="1" si="115">IF(J1109&lt;&gt;1,"",IF(I1109="SBJ","CB","?"))</f>
        <v/>
      </c>
      <c r="I1109" s="25" t="str">
        <f>IF(OR(E1109="",E1109="!!!",F1109="NEW"),"",INDEX(B$2:B1108,-1+SUMPRODUCT(MAX(ROW(E$2:E1108)*(E1109=E$2:E1108)))))</f>
        <v/>
      </c>
      <c r="J1109" s="25" t="str">
        <f ca="1">IF(OR(E1109="",E1109="!!!",F1109="NEW"),"",COUNTBLANK(OFFSET(A$1,,,SUMPRODUCT(MAX(ROW(E$2:E1109)*(E1109=E$2:E1109)))))-COUNTBLANK(OFFSET(A$1,,,SUMPRODUCT(MAX(ROW(E$1:E1108)*(E2=E$1:E1108))))))</f>
        <v/>
      </c>
      <c r="K1109" s="25" t="str">
        <f>IF(OR(E1109="",E1109="!!!",F1109="NEW"),"",INDEX(J$1:J1108,SUMPRODUCT(MAX(ROW(E$1:E1108)*(E1109=E$1:E1108)))))</f>
        <v/>
      </c>
      <c r="L1109" s="26"/>
    </row>
    <row r="1110" spans="1:12" x14ac:dyDescent="0.3">
      <c r="A1110" t="s">
        <v>175</v>
      </c>
      <c r="B1110" s="20" t="s">
        <v>176</v>
      </c>
      <c r="C1110" s="20" t="s">
        <v>177</v>
      </c>
      <c r="D1110" s="20" t="s">
        <v>160</v>
      </c>
      <c r="E1110" s="21" t="str">
        <f t="shared" si="114"/>
        <v>!!!</v>
      </c>
      <c r="F1110" s="22" t="str">
        <f>IF(OR(E1110="",E1110="!!!"),"",IF(NOT(ISNA(VLOOKUP(E1110,E$1:E1109,1,FALSE()))),"OLD",IF(AND(E1110&lt;&gt;"",E1110&lt;&gt;"!!!"),"NEW","")))</f>
        <v/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/>
      </c>
      <c r="H1110" s="24" t="str">
        <f t="shared" ca="1" si="115"/>
        <v/>
      </c>
      <c r="I1110" s="25" t="str">
        <f>IF(OR(E1110="",E1110="!!!",F1110="NEW"),"",INDEX(B$2:B1109,-1+SUMPRODUCT(MAX(ROW(E$2:E1109)*(E1110=E$2:E1109)))))</f>
        <v/>
      </c>
      <c r="J1110" s="25" t="str">
        <f ca="1">IF(OR(E1110="",E1110="!!!",F1110="NEW"),"",COUNTBLANK(OFFSET(A$1,,,SUMPRODUCT(MAX(ROW(E$2:E1110)*(E1110=E$2:E1110)))))-COUNTBLANK(OFFSET(A$1,,,SUMPRODUCT(MAX(ROW(E$1:E1109)*(E2=E$1:E1109))))))</f>
        <v/>
      </c>
      <c r="K1110" s="25" t="str">
        <f>IF(OR(E1110="",E1110="!!!",F1110="NEW"),"",INDEX(J$1:J1109,SUMPRODUCT(MAX(ROW(E$1:E1109)*(E1110=E$1:E1109)))))</f>
        <v/>
      </c>
      <c r="L1110" s="26"/>
    </row>
    <row r="1111" spans="1:12" x14ac:dyDescent="0.3">
      <c r="A1111" t="s">
        <v>563</v>
      </c>
      <c r="E1111" s="21" t="str">
        <f t="shared" si="114"/>
        <v/>
      </c>
      <c r="F1111" s="22" t="str">
        <f>IF(OR(E1111="",E1111="!!!"),"",IF(NOT(ISNA(VLOOKUP(E1111,E$1:E1110,1,FALSE()))),"OLD",IF(AND(E1111&lt;&gt;"",E1111&lt;&gt;"!!!"),"NEW","")))</f>
        <v/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/>
      </c>
      <c r="H1111" s="24" t="str">
        <f t="shared" ca="1" si="115"/>
        <v/>
      </c>
      <c r="I1111" s="25" t="str">
        <f>IF(OR(E1111="",E1111="!!!",F1111="NEW"),"",INDEX(B$2:B1110,-1+SUMPRODUCT(MAX(ROW(E$2:E1110)*(E1111=E$2:E1110)))))</f>
        <v/>
      </c>
      <c r="J1111" s="25" t="str">
        <f ca="1">IF(OR(E1111="",E1111="!!!",F1111="NEW"),"",COUNTBLANK(OFFSET(A$1,,,SUMPRODUCT(MAX(ROW(E$2:E1111)*(E1111=E$2:E1111)))))-COUNTBLANK(OFFSET(A$1,,,SUMPRODUCT(MAX(ROW(E$1:E1110)*(E2=E$1:E1110))))))</f>
        <v/>
      </c>
      <c r="K1111" s="25" t="str">
        <f>IF(OR(E1111="",E1111="!!!",F1111="NEW"),"",INDEX(J$1:J1110,SUMPRODUCT(MAX(ROW(E$1:E1110)*(E1111=E$1:E1110)))))</f>
        <v/>
      </c>
      <c r="L1111" s="26"/>
    </row>
    <row r="1112" spans="1:12" x14ac:dyDescent="0.3">
      <c r="A1112" t="s">
        <v>251</v>
      </c>
      <c r="E1112" s="21" t="str">
        <f t="shared" si="114"/>
        <v/>
      </c>
      <c r="F1112" s="22" t="str">
        <f>IF(OR(E1112="",E1112="!!!"),"",IF(NOT(ISNA(VLOOKUP(E1112,E$1:E1111,1,FALSE()))),"OLD",IF(AND(E1112&lt;&gt;"",E1112&lt;&gt;"!!!"),"NEW","")))</f>
        <v/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/>
      </c>
      <c r="H1112" s="24" t="str">
        <f t="shared" ca="1" si="115"/>
        <v/>
      </c>
      <c r="I1112" s="25" t="str">
        <f>IF(OR(E1112="",E1112="!!!",F1112="NEW"),"",INDEX(B$2:B1111,-1+SUMPRODUCT(MAX(ROW(E$2:E1111)*(E1112=E$2:E1111)))))</f>
        <v/>
      </c>
      <c r="J1112" s="25" t="str">
        <f ca="1">IF(OR(E1112="",E1112="!!!",F1112="NEW"),"",COUNTBLANK(OFFSET(A$1,,,SUMPRODUCT(MAX(ROW(E$2:E1112)*(E1112=E$2:E1112)))))-COUNTBLANK(OFFSET(A$1,,,SUMPRODUCT(MAX(ROW(E$1:E1111)*(E2=E$1:E1111))))))</f>
        <v/>
      </c>
      <c r="K1112" s="25" t="str">
        <f>IF(OR(E1112="",E1112="!!!",F1112="NEW"),"",INDEX(J$1:J1111,SUMPRODUCT(MAX(ROW(E$1:E1111)*(E1112=E$1:E1111)))))</f>
        <v/>
      </c>
      <c r="L1112" s="26"/>
    </row>
    <row r="1113" spans="1:12" x14ac:dyDescent="0.3">
      <c r="A1113" t="s">
        <v>185</v>
      </c>
      <c r="E1113" s="21" t="str">
        <f t="shared" si="114"/>
        <v/>
      </c>
      <c r="F1113" s="22" t="str">
        <f>IF(OR(E1113="",E1113="!!!"),"",IF(NOT(ISNA(VLOOKUP(E1113,E$1:E1112,1,FALSE()))),"OLD",IF(AND(E1113&lt;&gt;"",E1113&lt;&gt;"!!!"),"NEW","")))</f>
        <v/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/>
      </c>
      <c r="H1113" s="24" t="str">
        <f t="shared" ca="1" si="115"/>
        <v/>
      </c>
      <c r="I1113" s="25" t="str">
        <f>IF(OR(E1113="",E1113="!!!",F1113="NEW"),"",INDEX(B$2:B1112,-1+SUMPRODUCT(MAX(ROW(E$2:E1112)*(E1113=E$2:E1112)))))</f>
        <v/>
      </c>
      <c r="J1113" s="25" t="str">
        <f ca="1">IF(OR(E1113="",E1113="!!!",F1113="NEW"),"",COUNTBLANK(OFFSET(A$1,,,SUMPRODUCT(MAX(ROW(E$2:E1113)*(E1113=E$2:E1113)))))-COUNTBLANK(OFFSET(A$1,,,SUMPRODUCT(MAX(ROW(E$1:E1112)*(E2=E$1:E1112))))))</f>
        <v/>
      </c>
      <c r="K1113" s="25" t="str">
        <f>IF(OR(E1113="",E1113="!!!",F1113="NEW"),"",INDEX(J$1:J1112,SUMPRODUCT(MAX(ROW(E$1:E1112)*(E1113=E$1:E1112)))))</f>
        <v/>
      </c>
      <c r="L1113" s="26"/>
    </row>
    <row r="1114" spans="1:12" x14ac:dyDescent="0.3">
      <c r="A1114" t="s">
        <v>179</v>
      </c>
      <c r="E1114" s="21" t="str">
        <f t="shared" si="114"/>
        <v/>
      </c>
      <c r="F1114" s="22" t="str">
        <f>IF(OR(E1114="",E1114="!!!"),"",IF(NOT(ISNA(VLOOKUP(E1114,E$1:E1113,1,FALSE()))),"OLD",IF(AND(E1114&lt;&gt;"",E1114&lt;&gt;"!!!"),"NEW","")))</f>
        <v/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/>
      </c>
      <c r="H1114" s="24" t="str">
        <f t="shared" ca="1" si="115"/>
        <v/>
      </c>
      <c r="I1114" s="25" t="str">
        <f>IF(OR(E1114="",E1114="!!!",F1114="NEW"),"",INDEX(B$2:B1113,-1+SUMPRODUCT(MAX(ROW(E$2:E1113)*(E1114=E$2:E1113)))))</f>
        <v/>
      </c>
      <c r="J1114" s="25" t="str">
        <f ca="1">IF(OR(E1114="",E1114="!!!",F1114="NEW"),"",COUNTBLANK(OFFSET(A$1,,,SUMPRODUCT(MAX(ROW(E$2:E1114)*(E1114=E$2:E1114)))))-COUNTBLANK(OFFSET(A$1,,,SUMPRODUCT(MAX(ROW(E$1:E1113)*(E2=E$1:E1113))))))</f>
        <v/>
      </c>
      <c r="K1114" s="25" t="str">
        <f>IF(OR(E1114="",E1114="!!!",F1114="NEW"),"",INDEX(J$1:J1113,SUMPRODUCT(MAX(ROW(E$1:E1113)*(E1114=E$1:E1113)))))</f>
        <v/>
      </c>
      <c r="L1114" s="26"/>
    </row>
    <row r="1115" spans="1:12" x14ac:dyDescent="0.3">
      <c r="A1115" t="s">
        <v>241</v>
      </c>
      <c r="B1115" s="20" t="s">
        <v>358</v>
      </c>
      <c r="C1115" s="20" t="s">
        <v>181</v>
      </c>
      <c r="D1115" s="20" t="s">
        <v>160</v>
      </c>
      <c r="E1115" s="21" t="str">
        <f t="shared" si="114"/>
        <v>!!!</v>
      </c>
      <c r="F1115" s="22" t="str">
        <f>IF(OR(E1115="",E1115="!!!"),"",IF(NOT(ISNA(VLOOKUP(E1115,E$1:E1114,1,FALSE()))),"OLD",IF(AND(E1115&lt;&gt;"",E1115&lt;&gt;"!!!"),"NEW","")))</f>
        <v/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/>
      </c>
      <c r="H1115" s="24" t="str">
        <f t="shared" ca="1" si="115"/>
        <v/>
      </c>
      <c r="I1115" s="25" t="str">
        <f>IF(OR(E1115="",E1115="!!!",F1115="NEW"),"",INDEX(B$2:B1114,-1+SUMPRODUCT(MAX(ROW(E$2:E1114)*(E1115=E$2:E1114)))))</f>
        <v/>
      </c>
      <c r="J1115" s="25" t="str">
        <f ca="1">IF(OR(E1115="",E1115="!!!",F1115="NEW"),"",COUNTBLANK(OFFSET(A$1,,,SUMPRODUCT(MAX(ROW(E$2:E1115)*(E1115=E$2:E1115)))))-COUNTBLANK(OFFSET(A$1,,,SUMPRODUCT(MAX(ROW(E$1:E1114)*(E2=E$1:E1114))))))</f>
        <v/>
      </c>
      <c r="K1115" s="25" t="str">
        <f>IF(OR(E1115="",E1115="!!!",F1115="NEW"),"",INDEX(J$1:J1114,SUMPRODUCT(MAX(ROW(E$1:E1114)*(E1115=E$1:E1114)))))</f>
        <v/>
      </c>
      <c r="L1115" s="26"/>
    </row>
    <row r="1116" spans="1:12" x14ac:dyDescent="0.3">
      <c r="A1116" t="s">
        <v>483</v>
      </c>
      <c r="E1116" s="21" t="str">
        <f t="shared" si="114"/>
        <v/>
      </c>
      <c r="F1116" s="22" t="str">
        <f>IF(OR(E1116="",E1116="!!!"),"",IF(NOT(ISNA(VLOOKUP(E1116,E$1:E1115,1,FALSE()))),"OLD",IF(AND(E1116&lt;&gt;"",E1116&lt;&gt;"!!!"),"NEW","")))</f>
        <v/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/>
      </c>
      <c r="H1116" s="24" t="str">
        <f t="shared" ca="1" si="115"/>
        <v/>
      </c>
      <c r="I1116" s="25" t="str">
        <f>IF(OR(E1116="",E1116="!!!",F1116="NEW"),"",INDEX(B$2:B1115,-1+SUMPRODUCT(MAX(ROW(E$2:E1115)*(E1116=E$2:E1115)))))</f>
        <v/>
      </c>
      <c r="J1116" s="25" t="str">
        <f ca="1">IF(OR(E1116="",E1116="!!!",F1116="NEW"),"",COUNTBLANK(OFFSET(A$1,,,SUMPRODUCT(MAX(ROW(E$2:E1116)*(E1116=E$2:E1116)))))-COUNTBLANK(OFFSET(A$1,,,SUMPRODUCT(MAX(ROW(E$1:E1115)*(E2=E$1:E1115))))))</f>
        <v/>
      </c>
      <c r="K1116" s="25" t="str">
        <f>IF(OR(E1116="",E1116="!!!",F1116="NEW"),"",INDEX(J$1:J1115,SUMPRODUCT(MAX(ROW(E$1:E1115)*(E1116=E$1:E1115)))))</f>
        <v/>
      </c>
      <c r="L1116" s="26"/>
    </row>
    <row r="1117" spans="1:12" x14ac:dyDescent="0.3">
      <c r="A1117" t="s">
        <v>195</v>
      </c>
      <c r="E1117" s="21" t="str">
        <f t="shared" si="114"/>
        <v/>
      </c>
      <c r="F1117" s="22" t="str">
        <f>IF(OR(E1117="",E1117="!!!"),"",IF(NOT(ISNA(VLOOKUP(E1117,E$1:E1116,1,FALSE()))),"OLD",IF(AND(E1117&lt;&gt;"",E1117&lt;&gt;"!!!"),"NEW","")))</f>
        <v/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/>
      </c>
      <c r="H1117" s="24" t="str">
        <f t="shared" ca="1" si="115"/>
        <v/>
      </c>
      <c r="I1117" s="25" t="str">
        <f>IF(OR(E1117="",E1117="!!!",F1117="NEW"),"",INDEX(B$2:B1116,-1+SUMPRODUCT(MAX(ROW(E$2:E1116)*(E1117=E$2:E1116)))))</f>
        <v/>
      </c>
      <c r="J1117" s="25" t="str">
        <f ca="1">IF(OR(E1117="",E1117="!!!",F1117="NEW"),"",COUNTBLANK(OFFSET(A$1,,,SUMPRODUCT(MAX(ROW(E$2:E1117)*(E1117=E$2:E1117)))))-COUNTBLANK(OFFSET(A$1,,,SUMPRODUCT(MAX(ROW(E$1:E1116)*(E2=E$1:E1116))))))</f>
        <v/>
      </c>
      <c r="K1117" s="25" t="str">
        <f>IF(OR(E1117="",E1117="!!!",F1117="NEW"),"",INDEX(J$1:J1116,SUMPRODUCT(MAX(ROW(E$1:E1116)*(E1117=E$1:E1116)))))</f>
        <v/>
      </c>
      <c r="L1117" s="26"/>
    </row>
    <row r="1118" spans="1:12" x14ac:dyDescent="0.3">
      <c r="A1118" t="s">
        <v>638</v>
      </c>
      <c r="E1118" s="21" t="str">
        <f t="shared" si="114"/>
        <v/>
      </c>
      <c r="F1118" s="22" t="str">
        <f>IF(OR(E1118="",E1118="!!!"),"",IF(NOT(ISNA(VLOOKUP(E1118,E$1:E1117,1,FALSE()))),"OLD",IF(AND(E1118&lt;&gt;"",E1118&lt;&gt;"!!!"),"NEW","")))</f>
        <v/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/>
      </c>
      <c r="H1118" s="24" t="str">
        <f t="shared" ca="1" si="115"/>
        <v/>
      </c>
      <c r="I1118" s="25" t="str">
        <f>IF(OR(E1118="",E1118="!!!",F1118="NEW"),"",INDEX(B$2:B1117,-1+SUMPRODUCT(MAX(ROW(E$2:E1117)*(E1118=E$2:E1117)))))</f>
        <v/>
      </c>
      <c r="J1118" s="25" t="str">
        <f ca="1">IF(OR(E1118="",E1118="!!!",F1118="NEW"),"",COUNTBLANK(OFFSET(A$1,,,SUMPRODUCT(MAX(ROW(E$2:E1118)*(E1118=E$2:E1118)))))-COUNTBLANK(OFFSET(A$1,,,SUMPRODUCT(MAX(ROW(E$1:E1117)*(E2=E$1:E1117))))))</f>
        <v/>
      </c>
      <c r="K1118" s="25" t="str">
        <f>IF(OR(E1118="",E1118="!!!",F1118="NEW"),"",INDEX(J$1:J1117,SUMPRODUCT(MAX(ROW(E$1:E1117)*(E1118=E$1:E1117)))))</f>
        <v/>
      </c>
      <c r="L1118" s="26"/>
    </row>
    <row r="1119" spans="1:12" x14ac:dyDescent="0.3">
      <c r="A1119" t="s">
        <v>185</v>
      </c>
      <c r="E1119" s="21" t="str">
        <f t="shared" si="114"/>
        <v/>
      </c>
      <c r="F1119" s="22" t="str">
        <f>IF(OR(E1119="",E1119="!!!"),"",IF(NOT(ISNA(VLOOKUP(E1119,E$1:E1118,1,FALSE()))),"OLD",IF(AND(E1119&lt;&gt;"",E1119&lt;&gt;"!!!"),"NEW","")))</f>
        <v/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/>
      </c>
      <c r="H1119" s="24" t="str">
        <f t="shared" ca="1" si="115"/>
        <v/>
      </c>
      <c r="I1119" s="25" t="str">
        <f>IF(OR(E1119="",E1119="!!!",F1119="NEW"),"",INDEX(B$2:B1118,-1+SUMPRODUCT(MAX(ROW(E$2:E1118)*(E1119=E$2:E1118)))))</f>
        <v/>
      </c>
      <c r="J1119" s="25" t="str">
        <f ca="1">IF(OR(E1119="",E1119="!!!",F1119="NEW"),"",COUNTBLANK(OFFSET(A$1,,,SUMPRODUCT(MAX(ROW(E$2:E1119)*(E1119=E$2:E1119)))))-COUNTBLANK(OFFSET(A$1,,,SUMPRODUCT(MAX(ROW(E$1:E1118)*(E2=E$1:E1118))))))</f>
        <v/>
      </c>
      <c r="K1119" s="25" t="str">
        <f>IF(OR(E1119="",E1119="!!!",F1119="NEW"),"",INDEX(J$1:J1118,SUMPRODUCT(MAX(ROW(E$1:E1118)*(E1119=E$1:E1118)))))</f>
        <v/>
      </c>
      <c r="L1119" s="26"/>
    </row>
    <row r="1120" spans="1:12" x14ac:dyDescent="0.3">
      <c r="A1120" t="s">
        <v>639</v>
      </c>
      <c r="E1120" s="21" t="str">
        <f t="shared" si="114"/>
        <v/>
      </c>
      <c r="F1120" s="22" t="str">
        <f>IF(OR(E1120="",E1120="!!!"),"",IF(NOT(ISNA(VLOOKUP(E1120,E$1:E1119,1,FALSE()))),"OLD",IF(AND(E1120&lt;&gt;"",E1120&lt;&gt;"!!!"),"NEW","")))</f>
        <v/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/>
      </c>
      <c r="H1120" s="24" t="str">
        <f t="shared" ca="1" si="115"/>
        <v/>
      </c>
      <c r="I1120" s="25" t="str">
        <f>IF(OR(E1120="",E1120="!!!",F1120="NEW"),"",INDEX(B$2:B1119,-1+SUMPRODUCT(MAX(ROW(E$2:E1119)*(E1120=E$2:E1119)))))</f>
        <v/>
      </c>
      <c r="J1120" s="25" t="str">
        <f ca="1">IF(OR(E1120="",E1120="!!!",F1120="NEW"),"",COUNTBLANK(OFFSET(A$1,,,SUMPRODUCT(MAX(ROW(E$2:E1120)*(E1120=E$2:E1120)))))-COUNTBLANK(OFFSET(A$1,,,SUMPRODUCT(MAX(ROW(E$1:E1119)*(E2=E$1:E1119))))))</f>
        <v/>
      </c>
      <c r="K1120" s="25" t="str">
        <f>IF(OR(E1120="",E1120="!!!",F1120="NEW"),"",INDEX(J$1:J1119,SUMPRODUCT(MAX(ROW(E$1:E1119)*(E1120=E$1:E1119)))))</f>
        <v/>
      </c>
      <c r="L1120" s="26"/>
    </row>
    <row r="1121" spans="1:12" x14ac:dyDescent="0.3">
      <c r="A1121" t="s">
        <v>175</v>
      </c>
      <c r="B1121" s="20" t="s">
        <v>187</v>
      </c>
      <c r="C1121" s="20" t="s">
        <v>177</v>
      </c>
      <c r="D1121" s="20" t="s">
        <v>160</v>
      </c>
      <c r="E1121" s="21" t="str">
        <f t="shared" si="114"/>
        <v>!!!</v>
      </c>
      <c r="F1121" s="22" t="str">
        <f>IF(OR(E1121="",E1121="!!!"),"",IF(NOT(ISNA(VLOOKUP(E1121,E$1:E1120,1,FALSE()))),"OLD",IF(AND(E1121&lt;&gt;"",E1121&lt;&gt;"!!!"),"NEW","")))</f>
        <v/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/>
      </c>
      <c r="H1121" s="24" t="str">
        <f t="shared" ca="1" si="115"/>
        <v/>
      </c>
      <c r="I1121" s="25" t="str">
        <f>IF(OR(E1121="",E1121="!!!",F1121="NEW"),"",INDEX(B$2:B1120,-1+SUMPRODUCT(MAX(ROW(E$2:E1120)*(E1121=E$2:E1120)))))</f>
        <v/>
      </c>
      <c r="J1121" s="25" t="str">
        <f ca="1">IF(OR(E1121="",E1121="!!!",F1121="NEW"),"",COUNTBLANK(OFFSET(A$1,,,SUMPRODUCT(MAX(ROW(E$2:E1121)*(E1121=E$2:E1121)))))-COUNTBLANK(OFFSET(A$1,,,SUMPRODUCT(MAX(ROW(E$1:E1120)*(E2=E$1:E1120))))))</f>
        <v/>
      </c>
      <c r="K1121" s="25" t="str">
        <f>IF(OR(E1121="",E1121="!!!",F1121="NEW"),"",INDEX(J$1:J1120,SUMPRODUCT(MAX(ROW(E$1:E1120)*(E1121=E$1:E1120)))))</f>
        <v/>
      </c>
      <c r="L1121" s="26"/>
    </row>
    <row r="1122" spans="1:12" x14ac:dyDescent="0.3">
      <c r="A1122" t="s">
        <v>229</v>
      </c>
      <c r="E1122" s="21" t="str">
        <f t="shared" si="114"/>
        <v/>
      </c>
      <c r="F1122" s="22" t="str">
        <f>IF(OR(E1122="",E1122="!!!"),"",IF(NOT(ISNA(VLOOKUP(E1122,E$1:E1121,1,FALSE()))),"OLD",IF(AND(E1122&lt;&gt;"",E1122&lt;&gt;"!!!"),"NEW","")))</f>
        <v/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/>
      </c>
      <c r="H1122" s="24" t="str">
        <f t="shared" ca="1" si="115"/>
        <v/>
      </c>
      <c r="I1122" s="25" t="str">
        <f>IF(OR(E1122="",E1122="!!!",F1122="NEW"),"",INDEX(B$2:B1121,-1+SUMPRODUCT(MAX(ROW(E$2:E1121)*(E1122=E$2:E1121)))))</f>
        <v/>
      </c>
      <c r="J1122" s="25" t="str">
        <f ca="1">IF(OR(E1122="",E1122="!!!",F1122="NEW"),"",COUNTBLANK(OFFSET(A$1,,,SUMPRODUCT(MAX(ROW(E$2:E1122)*(E1122=E$2:E1122)))))-COUNTBLANK(OFFSET(A$1,,,SUMPRODUCT(MAX(ROW(E$1:E1121)*(E2=E$1:E1121))))))</f>
        <v/>
      </c>
      <c r="K1122" s="25" t="str">
        <f>IF(OR(E1122="",E1122="!!!",F1122="NEW"),"",INDEX(J$1:J1121,SUMPRODUCT(MAX(ROW(E$1:E1121)*(E1122=E$1:E1121)))))</f>
        <v/>
      </c>
      <c r="L1122" s="26"/>
    </row>
    <row r="1123" spans="1:12" x14ac:dyDescent="0.3">
      <c r="A1123" t="s">
        <v>640</v>
      </c>
      <c r="E1123" s="21" t="str">
        <f t="shared" si="114"/>
        <v/>
      </c>
      <c r="F1123" s="22" t="str">
        <f>IF(OR(E1123="",E1123="!!!"),"",IF(NOT(ISNA(VLOOKUP(E1123,E$1:E1122,1,FALSE()))),"OLD",IF(AND(E1123&lt;&gt;"",E1123&lt;&gt;"!!!"),"NEW","")))</f>
        <v/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/>
      </c>
      <c r="H1123" s="24" t="str">
        <f t="shared" ca="1" si="115"/>
        <v/>
      </c>
      <c r="I1123" s="25" t="str">
        <f>IF(OR(E1123="",E1123="!!!",F1123="NEW"),"",INDEX(B$2:B1122,-1+SUMPRODUCT(MAX(ROW(E$2:E1122)*(E1123=E$2:E1122)))))</f>
        <v/>
      </c>
      <c r="J1123" s="25" t="str">
        <f ca="1">IF(OR(E1123="",E1123="!!!",F1123="NEW"),"",COUNTBLANK(OFFSET(A$1,,,SUMPRODUCT(MAX(ROW(E$2:E1123)*(E1123=E$2:E1123)))))-COUNTBLANK(OFFSET(A$1,,,SUMPRODUCT(MAX(ROW(E$1:E1122)*(E2=E$1:E1122))))))</f>
        <v/>
      </c>
      <c r="K1123" s="25" t="str">
        <f>IF(OR(E1123="",E1123="!!!",F1123="NEW"),"",INDEX(J$1:J1122,SUMPRODUCT(MAX(ROW(E$1:E1122)*(E1123=E$1:E1122)))))</f>
        <v/>
      </c>
      <c r="L1123" s="26"/>
    </row>
    <row r="1124" spans="1:12" x14ac:dyDescent="0.3">
      <c r="A1124" t="s">
        <v>641</v>
      </c>
      <c r="B1124" s="20" t="s">
        <v>191</v>
      </c>
      <c r="C1124" s="20" t="s">
        <v>211</v>
      </c>
      <c r="E1124" s="21" t="str">
        <f t="shared" si="114"/>
        <v/>
      </c>
      <c r="F1124" s="22" t="str">
        <f>IF(OR(E1124="",E1124="!!!"),"",IF(NOT(ISNA(VLOOKUP(E1124,E$1:E1123,1,FALSE()))),"OLD",IF(AND(E1124&lt;&gt;"",E1124&lt;&gt;"!!!"),"NEW","")))</f>
        <v/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/>
      </c>
      <c r="H1124" s="24" t="str">
        <f t="shared" ca="1" si="115"/>
        <v/>
      </c>
      <c r="I1124" s="25" t="str">
        <f>IF(OR(E1124="",E1124="!!!",F1124="NEW"),"",INDEX(B$2:B1123,-1+SUMPRODUCT(MAX(ROW(E$2:E1123)*(E1124=E$2:E1123)))))</f>
        <v/>
      </c>
      <c r="J1124" s="25" t="str">
        <f ca="1">IF(OR(E1124="",E1124="!!!",F1124="NEW"),"",COUNTBLANK(OFFSET(A$1,,,SUMPRODUCT(MAX(ROW(E$2:E1124)*(E1124=E$2:E1124)))))-COUNTBLANK(OFFSET(A$1,,,SUMPRODUCT(MAX(ROW(E$1:E1123)*(E2=E$1:E1123))))))</f>
        <v/>
      </c>
      <c r="K1124" s="25" t="str">
        <f>IF(OR(E1124="",E1124="!!!",F1124="NEW"),"",INDEX(J$1:J1123,SUMPRODUCT(MAX(ROW(E$1:E1123)*(E1124=E$1:E1123)))))</f>
        <v/>
      </c>
      <c r="L1124" s="26"/>
    </row>
    <row r="1125" spans="1:12" x14ac:dyDescent="0.3">
      <c r="A1125" t="s">
        <v>185</v>
      </c>
      <c r="E1125" s="21" t="str">
        <f t="shared" si="114"/>
        <v/>
      </c>
      <c r="F1125" s="22" t="str">
        <f>IF(OR(E1125="",E1125="!!!"),"",IF(NOT(ISNA(VLOOKUP(E1125,E$1:E1124,1,FALSE()))),"OLD",IF(AND(E1125&lt;&gt;"",E1125&lt;&gt;"!!!"),"NEW","")))</f>
        <v/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/>
      </c>
      <c r="H1125" s="24" t="str">
        <f t="shared" ca="1" si="115"/>
        <v/>
      </c>
      <c r="I1125" s="25" t="str">
        <f>IF(OR(E1125="",E1125="!!!",F1125="NEW"),"",INDEX(B$2:B1124,-1+SUMPRODUCT(MAX(ROW(E$2:E1124)*(E1125=E$2:E1124)))))</f>
        <v/>
      </c>
      <c r="J1125" s="25" t="str">
        <f ca="1">IF(OR(E1125="",E1125="!!!",F1125="NEW"),"",COUNTBLANK(OFFSET(A$1,,,SUMPRODUCT(MAX(ROW(E$2:E1125)*(E1125=E$2:E1125)))))-COUNTBLANK(OFFSET(A$1,,,SUMPRODUCT(MAX(ROW(E$1:E1124)*(E2=E$1:E1124))))))</f>
        <v/>
      </c>
      <c r="K1125" s="25" t="str">
        <f>IF(OR(E1125="",E1125="!!!",F1125="NEW"),"",INDEX(J$1:J1124,SUMPRODUCT(MAX(ROW(E$1:E1124)*(E1125=E$1:E1124)))))</f>
        <v/>
      </c>
      <c r="L1125" s="26"/>
    </row>
    <row r="1126" spans="1:12" x14ac:dyDescent="0.3">
      <c r="A1126" t="s">
        <v>179</v>
      </c>
      <c r="E1126" s="21" t="str">
        <f t="shared" si="114"/>
        <v/>
      </c>
      <c r="F1126" s="22" t="str">
        <f>IF(OR(E1126="",E1126="!!!"),"",IF(NOT(ISNA(VLOOKUP(E1126,E$1:E1125,1,FALSE()))),"OLD",IF(AND(E1126&lt;&gt;"",E1126&lt;&gt;"!!!"),"NEW","")))</f>
        <v/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/>
      </c>
      <c r="H1126" s="24" t="str">
        <f t="shared" ca="1" si="115"/>
        <v/>
      </c>
      <c r="I1126" s="25" t="str">
        <f>IF(OR(E1126="",E1126="!!!",F1126="NEW"),"",INDEX(B$2:B1125,-1+SUMPRODUCT(MAX(ROW(E$2:E1125)*(E1126=E$2:E1125)))))</f>
        <v/>
      </c>
      <c r="J1126" s="25" t="str">
        <f ca="1">IF(OR(E1126="",E1126="!!!",F1126="NEW"),"",COUNTBLANK(OFFSET(A$1,,,SUMPRODUCT(MAX(ROW(E$2:E1126)*(E1126=E$2:E1126)))))-COUNTBLANK(OFFSET(A$1,,,SUMPRODUCT(MAX(ROW(E$1:E1125)*(E2=E$1:E1125))))))</f>
        <v/>
      </c>
      <c r="K1126" s="25" t="str">
        <f>IF(OR(E1126="",E1126="!!!",F1126="NEW"),"",INDEX(J$1:J1125,SUMPRODUCT(MAX(ROW(E$1:E1125)*(E1126=E$1:E1125)))))</f>
        <v/>
      </c>
      <c r="L1126" s="26"/>
    </row>
    <row r="1127" spans="1:12" x14ac:dyDescent="0.3">
      <c r="A1127" t="s">
        <v>553</v>
      </c>
      <c r="B1127" s="20" t="s">
        <v>191</v>
      </c>
      <c r="C1127" s="20" t="s">
        <v>181</v>
      </c>
      <c r="D1127" s="20" t="s">
        <v>160</v>
      </c>
      <c r="E1127" s="21" t="str">
        <f t="shared" si="114"/>
        <v>!!!</v>
      </c>
      <c r="F1127" s="22" t="str">
        <f>IF(OR(E1127="",E1127="!!!"),"",IF(NOT(ISNA(VLOOKUP(E1127,E$1:E1126,1,FALSE()))),"OLD",IF(AND(E1127&lt;&gt;"",E1127&lt;&gt;"!!!"),"NEW","")))</f>
        <v/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/>
      </c>
      <c r="H1127" s="24" t="str">
        <f t="shared" ca="1" si="115"/>
        <v/>
      </c>
      <c r="I1127" s="25" t="str">
        <f>IF(OR(E1127="",E1127="!!!",F1127="NEW"),"",INDEX(B$2:B1126,-1+SUMPRODUCT(MAX(ROW(E$2:E1126)*(E1127=E$2:E1126)))))</f>
        <v/>
      </c>
      <c r="J1127" s="25" t="str">
        <f ca="1">IF(OR(E1127="",E1127="!!!",F1127="NEW"),"",COUNTBLANK(OFFSET(A$1,,,SUMPRODUCT(MAX(ROW(E$2:E1127)*(E1127=E$2:E1127)))))-COUNTBLANK(OFFSET(A$1,,,SUMPRODUCT(MAX(ROW(E$1:E1126)*(E2=E$1:E1126))))))</f>
        <v/>
      </c>
      <c r="K1127" s="25" t="str">
        <f>IF(OR(E1127="",E1127="!!!",F1127="NEW"),"",INDEX(J$1:J1126,SUMPRODUCT(MAX(ROW(E$1:E1126)*(E1127=E$1:E1126)))))</f>
        <v/>
      </c>
      <c r="L1127" s="26"/>
    </row>
    <row r="1128" spans="1:12" x14ac:dyDescent="0.3">
      <c r="A1128" t="s">
        <v>195</v>
      </c>
      <c r="E1128" s="21" t="str">
        <f t="shared" si="114"/>
        <v/>
      </c>
      <c r="F1128" s="22" t="str">
        <f>IF(OR(E1128="",E1128="!!!"),"",IF(NOT(ISNA(VLOOKUP(E1128,E$1:E1127,1,FALSE()))),"OLD",IF(AND(E1128&lt;&gt;"",E1128&lt;&gt;"!!!"),"NEW","")))</f>
        <v/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/>
      </c>
      <c r="H1128" s="24" t="str">
        <f t="shared" ca="1" si="115"/>
        <v/>
      </c>
      <c r="I1128" s="25" t="str">
        <f>IF(OR(E1128="",E1128="!!!",F1128="NEW"),"",INDEX(B$2:B1127,-1+SUMPRODUCT(MAX(ROW(E$2:E1127)*(E1128=E$2:E1127)))))</f>
        <v/>
      </c>
      <c r="J1128" s="25" t="str">
        <f ca="1">IF(OR(E1128="",E1128="!!!",F1128="NEW"),"",COUNTBLANK(OFFSET(A$1,,,SUMPRODUCT(MAX(ROW(E$2:E1128)*(E1128=E$2:E1128)))))-COUNTBLANK(OFFSET(A$1,,,SUMPRODUCT(MAX(ROW(E$1:E1127)*(E2=E$1:E1127))))))</f>
        <v/>
      </c>
      <c r="K1128" s="25" t="str">
        <f>IF(OR(E1128="",E1128="!!!",F1128="NEW"),"",INDEX(J$1:J1127,SUMPRODUCT(MAX(ROW(E$1:E1127)*(E1128=E$1:E1127)))))</f>
        <v/>
      </c>
      <c r="L1128" s="26"/>
    </row>
    <row r="1129" spans="1:12" x14ac:dyDescent="0.3">
      <c r="A1129" t="s">
        <v>642</v>
      </c>
      <c r="E1129" s="21" t="str">
        <f t="shared" si="114"/>
        <v/>
      </c>
      <c r="F1129" s="22" t="str">
        <f>IF(OR(E1129="",E1129="!!!"),"",IF(NOT(ISNA(VLOOKUP(E1129,E$1:E1128,1,FALSE()))),"OLD",IF(AND(E1129&lt;&gt;"",E1129&lt;&gt;"!!!"),"NEW","")))</f>
        <v/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/>
      </c>
      <c r="H1129" s="24" t="str">
        <f t="shared" ca="1" si="115"/>
        <v/>
      </c>
      <c r="I1129" s="25" t="str">
        <f>IF(OR(E1129="",E1129="!!!",F1129="NEW"),"",INDEX(B$2:B1128,-1+SUMPRODUCT(MAX(ROW(E$2:E1128)*(E1129=E$2:E1128)))))</f>
        <v/>
      </c>
      <c r="J1129" s="25" t="str">
        <f ca="1">IF(OR(E1129="",E1129="!!!",F1129="NEW"),"",COUNTBLANK(OFFSET(A$1,,,SUMPRODUCT(MAX(ROW(E$2:E1129)*(E1129=E$2:E1129)))))-COUNTBLANK(OFFSET(A$1,,,SUMPRODUCT(MAX(ROW(E$1:E1128)*(E2=E$1:E1128))))))</f>
        <v/>
      </c>
      <c r="K1129" s="25" t="str">
        <f>IF(OR(E1129="",E1129="!!!",F1129="NEW"),"",INDEX(J$1:J1128,SUMPRODUCT(MAX(ROW(E$1:E1128)*(E1129=E$1:E1128)))))</f>
        <v/>
      </c>
      <c r="L1129" s="26"/>
    </row>
    <row r="1130" spans="1:12" x14ac:dyDescent="0.3">
      <c r="A1130" t="s">
        <v>185</v>
      </c>
      <c r="E1130" s="21" t="str">
        <f t="shared" si="114"/>
        <v/>
      </c>
      <c r="F1130" s="22" t="str">
        <f>IF(OR(E1130="",E1130="!!!"),"",IF(NOT(ISNA(VLOOKUP(E1130,E$1:E1129,1,FALSE()))),"OLD",IF(AND(E1130&lt;&gt;"",E1130&lt;&gt;"!!!"),"NEW","")))</f>
        <v/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/>
      </c>
      <c r="H1130" s="24" t="str">
        <f t="shared" ca="1" si="115"/>
        <v/>
      </c>
      <c r="I1130" s="25" t="str">
        <f>IF(OR(E1130="",E1130="!!!",F1130="NEW"),"",INDEX(B$2:B1129,-1+SUMPRODUCT(MAX(ROW(E$2:E1129)*(E1130=E$2:E1129)))))</f>
        <v/>
      </c>
      <c r="J1130" s="25" t="str">
        <f ca="1">IF(OR(E1130="",E1130="!!!",F1130="NEW"),"",COUNTBLANK(OFFSET(A$1,,,SUMPRODUCT(MAX(ROW(E$2:E1130)*(E1130=E$2:E1130)))))-COUNTBLANK(OFFSET(A$1,,,SUMPRODUCT(MAX(ROW(E$1:E1129)*(E2=E$1:E1129))))))</f>
        <v/>
      </c>
      <c r="K1130" s="25" t="str">
        <f>IF(OR(E1130="",E1130="!!!",F1130="NEW"),"",INDEX(J$1:J1129,SUMPRODUCT(MAX(ROW(E$1:E1129)*(E1130=E$1:E1129)))))</f>
        <v/>
      </c>
      <c r="L1130" s="26"/>
    </row>
    <row r="1131" spans="1:12" x14ac:dyDescent="0.3">
      <c r="A1131" t="s">
        <v>179</v>
      </c>
      <c r="B1131" s="20" t="s">
        <v>257</v>
      </c>
      <c r="E1131" s="21" t="str">
        <f t="shared" si="114"/>
        <v/>
      </c>
      <c r="F1131" s="22" t="str">
        <f>IF(OR(E1131="",E1131="!!!"),"",IF(NOT(ISNA(VLOOKUP(E1131,E$1:E1130,1,FALSE()))),"OLD",IF(AND(E1131&lt;&gt;"",E1131&lt;&gt;"!!!"),"NEW","")))</f>
        <v/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/>
      </c>
      <c r="H1131" s="24" t="str">
        <f t="shared" ca="1" si="115"/>
        <v/>
      </c>
      <c r="I1131" s="25" t="str">
        <f>IF(OR(E1131="",E1131="!!!",F1131="NEW"),"",INDEX(B$2:B1130,-1+SUMPRODUCT(MAX(ROW(E$2:E1130)*(E1131=E$2:E1130)))))</f>
        <v/>
      </c>
      <c r="J1131" s="25" t="str">
        <f ca="1">IF(OR(E1131="",E1131="!!!",F1131="NEW"),"",COUNTBLANK(OFFSET(A$1,,,SUMPRODUCT(MAX(ROW(E$2:E1131)*(E1131=E$2:E1131)))))-COUNTBLANK(OFFSET(A$1,,,SUMPRODUCT(MAX(ROW(E$1:E1130)*(E2=E$1:E1130))))))</f>
        <v/>
      </c>
      <c r="K1131" s="25" t="str">
        <f>IF(OR(E1131="",E1131="!!!",F1131="NEW"),"",INDEX(J$1:J1130,SUMPRODUCT(MAX(ROW(E$1:E1130)*(E1131=E$1:E1130)))))</f>
        <v/>
      </c>
      <c r="L1131" s="26"/>
    </row>
    <row r="1132" spans="1:12" x14ac:dyDescent="0.3">
      <c r="A1132" t="s">
        <v>175</v>
      </c>
      <c r="B1132" s="20" t="s">
        <v>176</v>
      </c>
      <c r="C1132" s="20" t="s">
        <v>177</v>
      </c>
      <c r="D1132" s="20" t="s">
        <v>160</v>
      </c>
      <c r="E1132" s="21" t="str">
        <f t="shared" si="114"/>
        <v>!!!</v>
      </c>
      <c r="F1132" s="22" t="str">
        <f>IF(OR(E1132="",E1132="!!!"),"",IF(NOT(ISNA(VLOOKUP(E1132,E$1:E1131,1,FALSE()))),"OLD",IF(AND(E1132&lt;&gt;"",E1132&lt;&gt;"!!!"),"NEW","")))</f>
        <v/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/>
      </c>
      <c r="H1132" s="24" t="str">
        <f t="shared" ca="1" si="115"/>
        <v/>
      </c>
      <c r="I1132" s="25" t="str">
        <f>IF(OR(E1132="",E1132="!!!",F1132="NEW"),"",INDEX(B$2:B1131,-1+SUMPRODUCT(MAX(ROW(E$2:E1131)*(E1132=E$2:E1131)))))</f>
        <v/>
      </c>
      <c r="J1132" s="25" t="str">
        <f ca="1">IF(OR(E1132="",E1132="!!!",F1132="NEW"),"",COUNTBLANK(OFFSET(A$1,,,SUMPRODUCT(MAX(ROW(E$2:E1132)*(E1132=E$2:E1132)))))-COUNTBLANK(OFFSET(A$1,,,SUMPRODUCT(MAX(ROW(E$1:E1131)*(E2=E$1:E1131))))))</f>
        <v/>
      </c>
      <c r="K1132" s="25" t="str">
        <f>IF(OR(E1132="",E1132="!!!",F1132="NEW"),"",INDEX(J$1:J1131,SUMPRODUCT(MAX(ROW(E$1:E1131)*(E1132=E$1:E1131)))))</f>
        <v/>
      </c>
      <c r="L1132" s="26"/>
    </row>
    <row r="1133" spans="1:12" x14ac:dyDescent="0.3">
      <c r="A1133" t="s">
        <v>643</v>
      </c>
      <c r="E1133" s="21" t="str">
        <f t="shared" si="114"/>
        <v/>
      </c>
      <c r="F1133" s="22" t="str">
        <f>IF(OR(E1133="",E1133="!!!"),"",IF(NOT(ISNA(VLOOKUP(E1133,E$1:E1132,1,FALSE()))),"OLD",IF(AND(E1133&lt;&gt;"",E1133&lt;&gt;"!!!"),"NEW","")))</f>
        <v/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/>
      </c>
      <c r="H1133" s="24" t="str">
        <f t="shared" ca="1" si="115"/>
        <v/>
      </c>
      <c r="I1133" s="25" t="str">
        <f>IF(OR(E1133="",E1133="!!!",F1133="NEW"),"",INDEX(B$2:B1132,-1+SUMPRODUCT(MAX(ROW(E$2:E1132)*(E1133=E$2:E1132)))))</f>
        <v/>
      </c>
      <c r="J1133" s="25" t="str">
        <f ca="1">IF(OR(E1133="",E1133="!!!",F1133="NEW"),"",COUNTBLANK(OFFSET(A$1,,,SUMPRODUCT(MAX(ROW(E$2:E1133)*(E1133=E$2:E1133)))))-COUNTBLANK(OFFSET(A$1,,,SUMPRODUCT(MAX(ROW(E$1:E1132)*(E2=E$1:E1132))))))</f>
        <v/>
      </c>
      <c r="K1133" s="25" t="str">
        <f>IF(OR(E1133="",E1133="!!!",F1133="NEW"),"",INDEX(J$1:J1132,SUMPRODUCT(MAX(ROW(E$1:E1132)*(E1133=E$1:E1132)))))</f>
        <v/>
      </c>
      <c r="L1133" s="26"/>
    </row>
    <row r="1134" spans="1:12" x14ac:dyDescent="0.3">
      <c r="A1134" t="s">
        <v>639</v>
      </c>
      <c r="E1134" s="21" t="str">
        <f t="shared" si="114"/>
        <v/>
      </c>
      <c r="F1134" s="22" t="str">
        <f>IF(OR(E1134="",E1134="!!!"),"",IF(NOT(ISNA(VLOOKUP(E1134,E$1:E1133,1,FALSE()))),"OLD",IF(AND(E1134&lt;&gt;"",E1134&lt;&gt;"!!!"),"NEW","")))</f>
        <v/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/>
      </c>
      <c r="H1134" s="24" t="str">
        <f t="shared" ca="1" si="115"/>
        <v/>
      </c>
      <c r="I1134" s="25" t="str">
        <f>IF(OR(E1134="",E1134="!!!",F1134="NEW"),"",INDEX(B$2:B1133,-1+SUMPRODUCT(MAX(ROW(E$2:E1133)*(E1134=E$2:E1133)))))</f>
        <v/>
      </c>
      <c r="J1134" s="25" t="str">
        <f ca="1">IF(OR(E1134="",E1134="!!!",F1134="NEW"),"",COUNTBLANK(OFFSET(A$1,,,SUMPRODUCT(MAX(ROW(E$2:E1134)*(E1134=E$2:E1134)))))-COUNTBLANK(OFFSET(A$1,,,SUMPRODUCT(MAX(ROW(E$1:E1133)*(E2=E$1:E1133))))))</f>
        <v/>
      </c>
      <c r="K1134" s="25" t="str">
        <f>IF(OR(E1134="",E1134="!!!",F1134="NEW"),"",INDEX(J$1:J1133,SUMPRODUCT(MAX(ROW(E$1:E1133)*(E1134=E$1:E1133)))))</f>
        <v/>
      </c>
      <c r="L1134" s="26"/>
    </row>
    <row r="1135" spans="1:12" x14ac:dyDescent="0.3">
      <c r="A1135" t="s">
        <v>212</v>
      </c>
      <c r="E1135" s="21" t="str">
        <f t="shared" si="114"/>
        <v/>
      </c>
      <c r="F1135" s="22" t="str">
        <f>IF(OR(E1135="",E1135="!!!"),"",IF(NOT(ISNA(VLOOKUP(E1135,E$1:E1134,1,FALSE()))),"OLD",IF(AND(E1135&lt;&gt;"",E1135&lt;&gt;"!!!"),"NEW","")))</f>
        <v/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/>
      </c>
      <c r="H1135" s="24" t="str">
        <f t="shared" ca="1" si="115"/>
        <v/>
      </c>
      <c r="I1135" s="25" t="str">
        <f>IF(OR(E1135="",E1135="!!!",F1135="NEW"),"",INDEX(B$2:B1134,-1+SUMPRODUCT(MAX(ROW(E$2:E1134)*(E1135=E$2:E1134)))))</f>
        <v/>
      </c>
      <c r="J1135" s="25" t="str">
        <f ca="1">IF(OR(E1135="",E1135="!!!",F1135="NEW"),"",COUNTBLANK(OFFSET(A$1,,,SUMPRODUCT(MAX(ROW(E$2:E1135)*(E1135=E$2:E1135)))))-COUNTBLANK(OFFSET(A$1,,,SUMPRODUCT(MAX(ROW(E$1:E1134)*(E2=E$1:E1134))))))</f>
        <v/>
      </c>
      <c r="K1135" s="25" t="str">
        <f>IF(OR(E1135="",E1135="!!!",F1135="NEW"),"",INDEX(J$1:J1134,SUMPRODUCT(MAX(ROW(E$1:E1134)*(E1135=E$1:E1134)))))</f>
        <v/>
      </c>
      <c r="L1135" s="26"/>
    </row>
    <row r="1137" spans="1:12" x14ac:dyDescent="0.3">
      <c r="A1137" t="s">
        <v>644</v>
      </c>
    </row>
    <row r="1138" spans="1:12" x14ac:dyDescent="0.3">
      <c r="A1138" t="s">
        <v>144</v>
      </c>
      <c r="E1138" s="21" t="str">
        <f>IF(D1138="?OLD","!!!","")</f>
        <v/>
      </c>
      <c r="F1138" s="22" t="str">
        <f>IF(OR(E1138="",E1138="!!!"),"",IF(NOT(ISNA(VLOOKUP(E1138,E$1:E1137,1,FALSE()))),"OLD",IF(AND(E1138&lt;&gt;"",E1138&lt;&gt;"!!!"),"NEW","")))</f>
        <v/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/>
      </c>
      <c r="H1138" s="24" t="str">
        <f ca="1">IF(J1138&lt;&gt;1,"",IF(I1138="SBJ","CB","?"))</f>
        <v/>
      </c>
      <c r="I1138" s="25" t="str">
        <f>IF(OR(E1138="",E1138="!!!",F1138="NEW"),"",INDEX(B$2:B1137,-1+SUMPRODUCT(MAX(ROW(E$2:E1137)*(E1138=E$2:E1137)))))</f>
        <v/>
      </c>
      <c r="J1138" s="25" t="str">
        <f ca="1">IF(OR(E1138="",E1138="!!!",F1138="NEW"),"",COUNTBLANK(OFFSET(A$1,,,SUMPRODUCT(MAX(ROW(E$2:E1138)*(E1138=E$2:E1138)))))-COUNTBLANK(OFFSET(A$1,,,SUMPRODUCT(MAX(ROW(E$1:E1137)*(E2=E$1:E1137))))))</f>
        <v/>
      </c>
      <c r="K1138" s="25" t="str">
        <f>IF(OR(E1138="",E1138="!!!",F1138="NEW"),"",INDEX(J$1:J1137,SUMPRODUCT(MAX(ROW(E$1:E1137)*(E1138=E$1:E1137)))))</f>
        <v/>
      </c>
      <c r="L1138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2025-07-15T17:44:54Z</dcterms:created>
  <dcterms:modified xsi:type="dcterms:W3CDTF">2025-08-13T15:20:26Z</dcterms:modified>
</cp:coreProperties>
</file>