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definedNames>
    <definedName function="false" hidden="true" localSheetId="1" name="_xlnm._FilterDatabase" vbProcedure="false">'word-level annotation'!$A$1:$L$411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<sst xmlns="http://schemas.openxmlformats.org/spreadsheetml/2006/main" count="3920" uniqueCount="1064">
  <si>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</si>
  <si>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</si>
  <si>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</si>
  <si>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</si>
  <si>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</si>
  <si>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</si>
  <si>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</si>
  <si>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</si>
  <si>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</si>
  <si>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</si>
  <si>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</si>
  <si>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3</t>
  </si>
  <si>
    <t xml:space="preserve">Insbesondere wenn?</t>
  </si>
  <si>
    <t xml:space="preserve">sein (sein verändern)</t>
  </si>
  <si>
    <t xml:space="preserve">Die Welt ist im in dem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an dem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Sie wissen schon , die wirklich attraktiven Sachen . Diese Dinge sind natürlich wichtig , aber sie sind nicht genug . Anleger sollten auch auf Leistungsmetriken wie ESG achten : Umwelt , Soziales und Unternehmensführung . &amp;quot; Umwelt &amp;quot; umfasst Energieverbrauch , Wassernutzung , Abfall und Umweltverschmutzung , kurz : die effiziente Nutzung von Ressourcen . &amp;quot; Soziales &amp;quot; beinhaltet Humankapital , Dinge wie Mitarbeiter Engagement und Innovationsfähigkeit sowie Supply Chain Management und Arbeits und Menschenrechte .</t>
  </si>
  <si>
    <t xml:space="preserve">file://conllu/de/ted-mdb.1927.conllu#s1_0</t>
  </si>
  <si>
    <t xml:space="preserve">_</t>
  </si>
  <si>
    <t xml:space="preserve">2</t>
  </si>
  <si>
    <t xml:space="preserve">239</t>
  </si>
  <si>
    <t xml:space="preserve">Dadurch?</t>
  </si>
  <si>
    <t xml:space="preserve">schaffen</t>
  </si>
  <si>
    <t xml:space="preserve">&amp;quot; Unternehmensführung &amp;quot; bedeutet die Aufsicht über das Unternehmen durch den Vorstand und Investoren . Ich habe zuvor gesagt , es geht um die wirklich heißen Dinge . Aber ESG ist das Maß für Nachhaltigkeit , und nachhaltiges Investieren berücksichtigt ESG Faktoren und finanzielle Faktoren beim bei dem Anlageprozess . Damit können künftige Risiken durch Minimierung von Schäden an Personen und am an dem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 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In dem Jahr 2012 hat State Street 54 Anwendungsprogramme in die Cloud Umgebung migriert und weitere 85 Programme eingestellt . Wir virtualisierten die Arbeitsumgebungen und stellten zahlreiche Automatisierungsprojekte fertig . Diese Initiativen schaffen einen mobileren Arbeitsplatz und reduzieren unseren Immobilien Bedarf . Dadurch werden jährlich 23 Mio .</t>
  </si>
  <si>
    <t xml:space="preserve">file://conllu/de/ted-mdb.1927.conllu#s2_0</t>
  </si>
  <si>
    <t xml:space="preserve">135</t>
  </si>
  <si>
    <t xml:space="preserve">Warum?</t>
  </si>
  <si>
    <t xml:space="preserve">sein (sein tun)</t>
  </si>
  <si>
    <t xml:space="preserve">Dollar an Betriebskosten gespart und die Emission von 100 000 Tonnen Kohlenstoff vermieden . Das sind 21 000 Autos weniger auf den Straßen . Genial , oder ? Ein weiteres Beispiel ist Pentair . Pentair ist ein US Mischkonzern . Vor etwa einem Jahrzehnt verkauften sie ihr Kerngeschäft , Heimwerker Geräte , und investierten die Einnahmen ins in das Wassergeschäft . Das ist ein wirklich großer Einsatz . Warum haben sie das getan ? Die Heimwerker Fans mögen entschuldigen , aber es gibt mehr Wachstum bei Wasser als bei Elektrowerkzeugen , und dieses Unternehmen hat die , wie sie es nennen , &amp;quot; neue Neue Welt &amp;quot; im in dem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 Leistung genauso gut abschneiden wie andere .</t>
  </si>
  <si>
    <t xml:space="preserve">file://conllu/de/ted-mdb.1927.conllu#s3_0</t>
  </si>
  <si>
    <t xml:space="preserve">4</t>
  </si>
  <si>
    <t xml:space="preserve">64</t>
  </si>
  <si>
    <t xml:space="preserve">sein (sein Indikator)</t>
  </si>
  <si>
    <t xml:space="preserve">In Blau sehen wir den MSCI World Index , ein Index für Großunternehmen aus entwickelten Märkten auf der ganzen Welt . Und in Gold sehen wir die Teilmenge von Unternehmen mit der besten ESG 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</si>
  <si>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 xml:space="preserve">file://conllu/de/ted-mdb.1927.conllu#s4_0</t>
  </si>
  <si>
    <t xml:space="preserve">5</t>
  </si>
  <si>
    <t xml:space="preserve">Zugegeben?</t>
  </si>
  <si>
    <t xml:space="preserve">übertreffen</t>
  </si>
  <si>
    <t xml:space="preserve">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in dem Gesundheitswesen und im in dem öffentlichen Dienst in Australien , mit einem Vermögen von 22 Mrd .</t>
  </si>
  <si>
    <t xml:space="preserve">file://conllu/de/ted-mdb.1927.conllu#s5_0</t>
  </si>
  <si>
    <t xml:space="preserve">6</t>
  </si>
  <si>
    <t xml:space="preserve">21</t>
  </si>
  <si>
    <t xml:space="preserve">sehen (sehen glauben)</t>
  </si>
  <si>
    <t xml:space="preserve">[ Dollar ] . Sie glauben , dass ESG das Potenzial hat , Risiken und Erträge zu beeinflussen . Deshalb sehen sie es als ihre Pflicht an , das beim bei dem Investment mit einzubeziehen . Im In dem besten Interesse der Fondsmitglieder handeln , das ist ihre Kernaufgabe . Man muss sie einfach lieben , die Australier , oder ? CalPERS ist ein weiteres Beispiel . CalPERS ist der Pensionsfonds für Angestellte im in dem öffentlichen Dienst in Kalifornien . Mit einem Vermögen von 244 Mrd .</t>
  </si>
  <si>
    <t xml:space="preserve">file://conllu/de/ted-mdb.1927.conllu#s6_0</t>
  </si>
  <si>
    <t xml:space="preserve">7</t>
  </si>
  <si>
    <t xml:space="preserve">sein (sein liegen)</t>
  </si>
  <si>
    <t xml:space="preserve">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&amp;quot; Langfristige Wertschöpfung erfordert die effiziente Verwaltung dreier Formen des Kapitals : Finanzielles , personelles und physisches Kapital . Deshalb ist uns ESG wichtig . &amp;quot; Bestandteil meiner Arbeit ist , mit vielen Investoren zu sprechen . Nicht alle sehen das genauso . Oft höre ich : &amp;quot; Wir sind verpflichtet , Gewinne zu maximieren , deshalb machen wir das hier nicht . &amp;quot; Oder : &amp;quot; Wir wollen mit dem Portfolio keine Grundsatzerklärungen abgeben . &amp;quot; Die folgende Aussage geht mir wirklich unter die Haut : &amp;quot; Wenn</t>
  </si>
  <si>
    <t xml:space="preserve">file://conllu/de/ted-mdb.1927.conllu#s7_0</t>
  </si>
  <si>
    <t xml:space="preserve">8</t>
  </si>
  <si>
    <t xml:space="preserve">verändern</t>
  </si>
  <si>
    <t xml:space="preserve">Sie das verändern wollen , verdienen Sie Geld und spenden Sie die Gewinne an Wohltätigkeitsorganisationen . &amp;quot; Da verdrehe ich die Augen . Lassen Sie mich eins ein für alle Mal klarstellen : Unternehmen und Investoren sind nicht alleine für das Schicksal des Planeten verantwortlich . Sie haben nicht unbegrenzte soziale Verpflichtungen , und umsichtige Investitions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</si>
  <si>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 xml:space="preserve">file://conllu/de/ted-mdb.1927.conllu#s8_0</t>
  </si>
  <si>
    <t xml:space="preserve">9</t>
  </si>
  <si>
    <t xml:space="preserve">umfassen</t>
  </si>
  <si>
    <t xml:space="preserve">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an dem härtesten an der Lösung dieser Probleme arbeiten , oder sie zumindest nicht verschärfen ? Was haben wir davon , wenn wir arbeiten , sparen und investieren , nur um im in dem Ruhestand eine Welt vorzufinden , die angespannter und unsicherer ist als jetzt ? Wenn saubere Luft und frisches Wasser fehlen ? Eine berechtigte Frage könnte sein : Und wenn das ganze Nachhaltigkeits Risiko Gerede übertrieben und nicht dringlich ist ? Wenn es nur etwas für tugendhafte Verbraucher oder eine reine Frage des Lebensstils ist ? Präsident John F. Kennedy sagte dazu das einzig Richtige : &amp;quot; Aktionsprogramme bergen Risiken und Kosten , aber sie sind weit geringer als die langfristigen Risiken und Kosten der bequemen Untätigkeit . &amp;quot;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&amp;quot; Was , wenn das alles bloß Schwindel ist und wir schaffen ohne Grund eine bessere Welt ? &amp;quot; ] Gut , er gefällt Ihnen . Ich mag ihn auch . ( Gelächter ) Ich mag ihn , weil er sich über beide Lager des Klimawandels lustig macht . Ich wette , Sie erraten nicht , auf welcher Seite ich stehe . Ich mag es besonders ,</t>
  </si>
  <si>
    <t xml:space="preserve">file://conllu/de/ted-mdb.1927.conllu#s9_0</t>
  </si>
  <si>
    <t xml:space="preserve">10</t>
  </si>
  <si>
    <t xml:space="preserve">sagen (sagen erinnern)</t>
  </si>
  <si>
    <t xml:space="preserve">weil er mich an Mark Twain erinnert , der sagte : &amp;quot; Plane für die Zukunft , denn dort wirst du den Rest deines Lebens verbringen . &amp;quot; Vielen Dank .</t>
  </si>
  <si>
    <t xml:space="preserve">file://conllu/de/ted-mdb.1927.conllu#s10_0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</si>
  <si>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</si>
  <si>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</si>
  <si>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</si>
  <si>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</si>
  <si>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</si>
  <si>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</si>
  <si>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</si>
  <si>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</si>
  <si>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</si>
  <si>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</si>
  <si>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</si>
  <si>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Die Welt ist im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Risiko-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-- Sie wissen schon , die wirklich attraktiven Sachen . Diese Dinge sind natürlich wichtig , aber sie sind nicht genug . Anleger sollten auch auf Leistungsmetriken wie ESG achten : Umwelt , Soziales und Unternehmensführung . " Umwelt " umfasst Energieverbrauch , Wassernutzung , Abfall und Umweltverschmutzung , kurz : die effiziente Nutzung von Ressourcen . " Soziales " beinhaltet Humankapital , Dinge wie Mitarbeiter-Engagement und Innovationsfähigkeit sowie Supply-Chain-Management und Arbeits- und Menschenrechte .</t>
  </si>
  <si>
    <t xml:space="preserve">Die</t>
  </si>
  <si>
    <t xml:space="preserve">Welt</t>
  </si>
  <si>
    <t xml:space="preserve">SBJ</t>
  </si>
  <si>
    <t xml:space="preserve">def-np.the</t>
  </si>
  <si>
    <t xml:space="preserve">?OLD</t>
  </si>
  <si>
    <t xml:space="preserve">welt</t>
  </si>
  <si>
    <t xml:space="preserve">als gesamte gesellschaftliche Entität; zu unterscheiden vom Planeten Erde</t>
  </si>
  <si>
    <t xml:space="preserve">ist</t>
  </si>
  <si>
    <t xml:space="preserve">in</t>
  </si>
  <si>
    <t xml:space="preserve">dem</t>
  </si>
  <si>
    <t xml:space="preserve">Wandel</t>
  </si>
  <si>
    <t xml:space="preserve">other_2</t>
  </si>
  <si>
    <t xml:space="preserve">im_wandel</t>
  </si>
  <si>
    <t xml:space="preserve">IDIOM</t>
  </si>
  <si>
    <t xml:space="preserve">AMBIG: auch PRED denkbar</t>
  </si>
  <si>
    <t xml:space="preserve">.</t>
  </si>
  <si>
    <t xml:space="preserve">Sie</t>
  </si>
  <si>
    <t xml:space="preserve">pron.pper</t>
  </si>
  <si>
    <t xml:space="preserve">verändert</t>
  </si>
  <si>
    <t xml:space="preserve">sich</t>
  </si>
  <si>
    <t xml:space="preserve">OBJ</t>
  </si>
  <si>
    <t xml:space="preserve">wirklich</t>
  </si>
  <si>
    <t xml:space="preserve">tiefgreifend</t>
  </si>
  <si>
    <t xml:space="preserve">Und</t>
  </si>
  <si>
    <t xml:space="preserve">ich</t>
  </si>
  <si>
    <t xml:space="preserve">SBJ_2</t>
  </si>
  <si>
    <t xml:space="preserve">sprecher</t>
  </si>
  <si>
    <t xml:space="preserve">SIT</t>
  </si>
  <si>
    <t xml:space="preserve">Personaldeixis: erstes Auftreten des Sprechers</t>
  </si>
  <si>
    <t xml:space="preserve">befürchte</t>
  </si>
  <si>
    <t xml:space="preserve">,</t>
  </si>
  <si>
    <t xml:space="preserve">dass</t>
  </si>
  <si>
    <t xml:space="preserve">Investoren</t>
  </si>
  <si>
    <t xml:space="preserve">SBJ_3</t>
  </si>
  <si>
    <t xml:space="preserve">indef-np.bare</t>
  </si>
  <si>
    <t xml:space="preserve">investoren</t>
  </si>
  <si>
    <t xml:space="preserve">GEN</t>
  </si>
  <si>
    <t xml:space="preserve">CHECK: Antezedens? Als generische Referenz: „Investoren im Allgemeinen“</t>
  </si>
  <si>
    <t xml:space="preserve">einigen</t>
  </si>
  <si>
    <t xml:space="preserve">OBJ_3</t>
  </si>
  <si>
    <t xml:space="preserve">pron.pind</t>
  </si>
  <si>
    <t xml:space="preserve">der</t>
  </si>
  <si>
    <t xml:space="preserve">größten</t>
  </si>
  <si>
    <t xml:space="preserve">Veränderungen</t>
  </si>
  <si>
    <t xml:space="preserve">other_4</t>
  </si>
  <si>
    <t xml:space="preserve">nicht</t>
  </si>
  <si>
    <t xml:space="preserve">genügend</t>
  </si>
  <si>
    <t xml:space="preserve">Aufmerksamkeit</t>
  </si>
  <si>
    <t xml:space="preserve">indef-np.quant</t>
  </si>
  <si>
    <t xml:space="preserve">schenken</t>
  </si>
  <si>
    <t xml:space="preserve">Insbesondere</t>
  </si>
  <si>
    <t xml:space="preserve">wenn</t>
  </si>
  <si>
    <t xml:space="preserve">es</t>
  </si>
  <si>
    <t xml:space="preserve">EXPL</t>
  </si>
  <si>
    <t xml:space="preserve">um</t>
  </si>
  <si>
    <t xml:space="preserve">Nachhaltigkeit</t>
  </si>
  <si>
    <t xml:space="preserve">thema_nachhaltigkeit</t>
  </si>
  <si>
    <t xml:space="preserve">Antezedens; Unterscheidung von der "Nachhaltigkeit" an sich</t>
  </si>
  <si>
    <t xml:space="preserve">geht</t>
  </si>
  <si>
    <t xml:space="preserve">Mit</t>
  </si>
  <si>
    <t xml:space="preserve">other</t>
  </si>
  <si>
    <t xml:space="preserve">meine</t>
  </si>
  <si>
    <t xml:space="preserve">pron.ppos</t>
  </si>
  <si>
    <t xml:space="preserve">parser error</t>
  </si>
  <si>
    <t xml:space="preserve">Personaldeixis</t>
  </si>
  <si>
    <t xml:space="preserve">die</t>
  </si>
  <si>
    <t xml:space="preserve">heißen</t>
  </si>
  <si>
    <t xml:space="preserve">Themen</t>
  </si>
  <si>
    <t xml:space="preserve">PRED</t>
  </si>
  <si>
    <t xml:space="preserve">wie</t>
  </si>
  <si>
    <t xml:space="preserve">ökologische</t>
  </si>
  <si>
    <t xml:space="preserve">und</t>
  </si>
  <si>
    <t xml:space="preserve">soziale</t>
  </si>
  <si>
    <t xml:space="preserve">Fragen</t>
  </si>
  <si>
    <t xml:space="preserve">grundlegende</t>
  </si>
  <si>
    <t xml:space="preserve">Unternehmensführung</t>
  </si>
  <si>
    <t xml:space="preserve">other_3</t>
  </si>
  <si>
    <t xml:space="preserve">Es</t>
  </si>
  <si>
    <t xml:space="preserve">leichtsinnig</t>
  </si>
  <si>
    <t xml:space="preserve">diese</t>
  </si>
  <si>
    <t xml:space="preserve">pron.pds</t>
  </si>
  <si>
    <t xml:space="preserve">parser error: syntaktischer Kopf "Dinge"</t>
  </si>
  <si>
    <t xml:space="preserve">Dinge</t>
  </si>
  <si>
    <t xml:space="preserve">OBJ_2</t>
  </si>
  <si>
    <t xml:space="preserve">zu</t>
  </si>
  <si>
    <t xml:space="preserve">ignorieren</t>
  </si>
  <si>
    <t xml:space="preserve">ignoranz_nachhaltigkeit</t>
  </si>
  <si>
    <t xml:space="preserve">Antezedens für nachfolgendes "das"</t>
  </si>
  <si>
    <t xml:space="preserve">denn</t>
  </si>
  <si>
    <t xml:space="preserve">das</t>
  </si>
  <si>
    <t xml:space="preserve">kann</t>
  </si>
  <si>
    <t xml:space="preserve">künftige</t>
  </si>
  <si>
    <t xml:space="preserve">langfristige</t>
  </si>
  <si>
    <t xml:space="preserve">Renditen</t>
  </si>
  <si>
    <t xml:space="preserve">gefährden</t>
  </si>
  <si>
    <t xml:space="preserve">Vielleicht</t>
  </si>
  <si>
    <t xml:space="preserve">sind</t>
  </si>
  <si>
    <t xml:space="preserve">hoerer</t>
  </si>
  <si>
    <t xml:space="preserve">Personaldeixis: erstes Auftreten der Hörer</t>
  </si>
  <si>
    <t xml:space="preserve">jetzt</t>
  </si>
  <si>
    <t xml:space="preserve">überrascht</t>
  </si>
  <si>
    <t xml:space="preserve">:</t>
  </si>
  <si>
    <t xml:space="preserve">ausgleichende</t>
  </si>
  <si>
    <t xml:space="preserve">Macht</t>
  </si>
  <si>
    <t xml:space="preserve">macht</t>
  </si>
  <si>
    <t xml:space="preserve">Einfluss</t>
  </si>
  <si>
    <t xml:space="preserve">parser error: eigentlich indef-np?</t>
  </si>
  <si>
    <t xml:space="preserve">auf</t>
  </si>
  <si>
    <t xml:space="preserve">nachhaltigkeit</t>
  </si>
  <si>
    <t xml:space="preserve">Antezedens; als konkrete Entität zu unterscheiden vom "Thema Nachhaltigkeit"</t>
  </si>
  <si>
    <t xml:space="preserve">hat</t>
  </si>
  <si>
    <t xml:space="preserve">liegt</t>
  </si>
  <si>
    <t xml:space="preserve">bei</t>
  </si>
  <si>
    <t xml:space="preserve">institutionellen</t>
  </si>
  <si>
    <t xml:space="preserve">investoren_inst</t>
  </si>
  <si>
    <t xml:space="preserve">NEW</t>
  </si>
  <si>
    <t xml:space="preserve">Antezedens; bestimmte Untermenge der Investoren (GEN); siehe log</t>
  </si>
  <si>
    <t xml:space="preserve">den</t>
  </si>
  <si>
    <t xml:space="preserve">großen</t>
  </si>
  <si>
    <t xml:space="preserve">bestimmte Untermenge der Investoren</t>
  </si>
  <si>
    <t xml:space="preserve">Pensionsfonds</t>
  </si>
  <si>
    <t xml:space="preserve">Stiftungen</t>
  </si>
  <si>
    <t xml:space="preserve">Ich</t>
  </si>
  <si>
    <t xml:space="preserve">glaube</t>
  </si>
  <si>
    <t xml:space="preserve">nachhaltiges</t>
  </si>
  <si>
    <t xml:space="preserve">Investieren</t>
  </si>
  <si>
    <t xml:space="preserve">CHECK: Antezedens?</t>
  </si>
  <si>
    <t xml:space="preserve">weniger</t>
  </si>
  <si>
    <t xml:space="preserve">kompliziert</t>
  </si>
  <si>
    <t xml:space="preserve">als</t>
  </si>
  <si>
    <t xml:space="preserve">denken</t>
  </si>
  <si>
    <t xml:space="preserve">besser</t>
  </si>
  <si>
    <t xml:space="preserve">abschneidet</t>
  </si>
  <si>
    <t xml:space="preserve">SBJ_5</t>
  </si>
  <si>
    <t xml:space="preserve">glauben</t>
  </si>
  <si>
    <t xml:space="preserve">wichtiger</t>
  </si>
  <si>
    <t xml:space="preserve">wir</t>
  </si>
  <si>
    <t xml:space="preserve">SBJ_6</t>
  </si>
  <si>
    <t xml:space="preserve">pron</t>
  </si>
  <si>
    <t xml:space="preserve">wir&gt;sprecher,hoerer</t>
  </si>
  <si>
    <t xml:space="preserve">GROUP</t>
  </si>
  <si>
    <t xml:space="preserve">AMBIG: auch Gesamtheit der Menschen (als REF=GEN ) denkbar; siehe log</t>
  </si>
  <si>
    <t xml:space="preserve">uns</t>
  </si>
  <si>
    <t xml:space="preserve">OBJ_6</t>
  </si>
  <si>
    <t xml:space="preserve">BOUND</t>
  </si>
  <si>
    <t xml:space="preserve">vorstellen</t>
  </si>
  <si>
    <t xml:space="preserve">können</t>
  </si>
  <si>
    <t xml:space="preserve">Halten</t>
  </si>
  <si>
    <t xml:space="preserve">einige</t>
  </si>
  <si>
    <t xml:space="preserve">bekannte</t>
  </si>
  <si>
    <t xml:space="preserve">Tatsachen</t>
  </si>
  <si>
    <t xml:space="preserve">vor</t>
  </si>
  <si>
    <t xml:space="preserve">Augen</t>
  </si>
  <si>
    <t xml:space="preserve">Bevölkerung</t>
  </si>
  <si>
    <t xml:space="preserve">menschheit</t>
  </si>
  <si>
    <t xml:space="preserve">Bevölkerung als Gesamtmenge der Menschen</t>
  </si>
  <si>
    <t xml:space="preserve">wächst</t>
  </si>
  <si>
    <t xml:space="preserve">altert</t>
  </si>
  <si>
    <t xml:space="preserve">;</t>
  </si>
  <si>
    <t xml:space="preserve">gibt</t>
  </si>
  <si>
    <t xml:space="preserve">Milliarden</t>
  </si>
  <si>
    <t xml:space="preserve">Menschen</t>
  </si>
  <si>
    <t xml:space="preserve">konkrete Anzahl der Gesamtmenge</t>
  </si>
  <si>
    <t xml:space="preserve">Erde</t>
  </si>
  <si>
    <t xml:space="preserve">erde</t>
  </si>
  <si>
    <t xml:space="preserve">konkreter Ort; späteres Synonym auch "Planet"</t>
  </si>
  <si>
    <t xml:space="preserve">an</t>
  </si>
  <si>
    <t xml:space="preserve">Ende</t>
  </si>
  <si>
    <t xml:space="preserve">jhd_ende</t>
  </si>
  <si>
    <t xml:space="preserve">konkreter Zeitpunkt</t>
  </si>
  <si>
    <t xml:space="preserve">des</t>
  </si>
  <si>
    <t xml:space="preserve">Jahrhunderts</t>
  </si>
  <si>
    <t xml:space="preserve">jhd_21</t>
  </si>
  <si>
    <t xml:space="preserve">21. Jahrhundert</t>
  </si>
  <si>
    <t xml:space="preserve">werden</t>
  </si>
  <si>
    <t xml:space="preserve">sein</t>
  </si>
  <si>
    <t xml:space="preserve">Wir</t>
  </si>
  <si>
    <t xml:space="preserve">Gesamtheit der Bevölkerung</t>
  </si>
  <si>
    <t xml:space="preserve">verbrauchen</t>
  </si>
  <si>
    <t xml:space="preserve">natürlichen</t>
  </si>
  <si>
    <t xml:space="preserve">Ressourcen</t>
  </si>
  <si>
    <t xml:space="preserve">nat_ressourcen</t>
  </si>
  <si>
    <t xml:space="preserve">schneller</t>
  </si>
  <si>
    <t xml:space="preserve">sie</t>
  </si>
  <si>
    <t xml:space="preserve">regenerieren</t>
  </si>
  <si>
    <t xml:space="preserve">Emissionen</t>
  </si>
  <si>
    <t xml:space="preserve">emissionen</t>
  </si>
  <si>
    <t xml:space="preserve">SBJ_4</t>
  </si>
  <si>
    <t xml:space="preserve">für</t>
  </si>
  <si>
    <t xml:space="preserve">Klimawandel</t>
  </si>
  <si>
    <t xml:space="preserve">klimawandel</t>
  </si>
  <si>
    <t xml:space="preserve">hauptverantwortlich</t>
  </si>
  <si>
    <t xml:space="preserve">nehmen</t>
  </si>
  <si>
    <t xml:space="preserve">weiter</t>
  </si>
  <si>
    <t xml:space="preserve">Das</t>
  </si>
  <si>
    <t xml:space="preserve">themen_umwsoz&gt;nat_ressourcen,emissionen,klimawandel</t>
  </si>
  <si>
    <t xml:space="preserve">Themen Umwelt und Soziales</t>
  </si>
  <si>
    <t xml:space="preserve">ganz</t>
  </si>
  <si>
    <t xml:space="preserve">klar</t>
  </si>
  <si>
    <t xml:space="preserve">Umweltthemen</t>
  </si>
  <si>
    <t xml:space="preserve">aber</t>
  </si>
  <si>
    <t xml:space="preserve">themen_umwsoz</t>
  </si>
  <si>
    <t xml:space="preserve">OLD</t>
  </si>
  <si>
    <t xml:space="preserve">noch</t>
  </si>
  <si>
    <t xml:space="preserve">alles</t>
  </si>
  <si>
    <t xml:space="preserve">themen_wirtschaft&gt;nat_ressourcen,emissionen,klimawandel</t>
  </si>
  <si>
    <t xml:space="preserve"> gleiche Bestandteile wie Themen Umwelt + Soziales</t>
  </si>
  <si>
    <t xml:space="preserve">auch</t>
  </si>
  <si>
    <t xml:space="preserve">Wirtschaftsthemen</t>
  </si>
  <si>
    <t xml:space="preserve">deshalb</t>
  </si>
  <si>
    <t xml:space="preserve">themen_wirtschaft</t>
  </si>
  <si>
    <t xml:space="preserve">Risiko</t>
  </si>
  <si>
    <t xml:space="preserve">ne</t>
  </si>
  <si>
    <t xml:space="preserve">parser error: syntaktischer Kopf bei "Renditebewertung"</t>
  </si>
  <si>
    <t xml:space="preserve">Renditebewertung</t>
  </si>
  <si>
    <t xml:space="preserve">rr_bewertung</t>
  </si>
  <si>
    <t xml:space="preserve">sehr</t>
  </si>
  <si>
    <t xml:space="preserve">wichtig</t>
  </si>
  <si>
    <t xml:space="preserve">komplex</t>
  </si>
  <si>
    <t xml:space="preserve">scheinen</t>
  </si>
  <si>
    <t xml:space="preserve">schwer</t>
  </si>
  <si>
    <t xml:space="preserve">verständlich</t>
  </si>
  <si>
    <t xml:space="preserve">sodass</t>
  </si>
  <si>
    <t xml:space="preserve">Versuchung</t>
  </si>
  <si>
    <t xml:space="preserve">versuchung</t>
  </si>
  <si>
    <t xml:space="preserve">groß</t>
  </si>
  <si>
    <t xml:space="preserve">genau</t>
  </si>
  <si>
    <t xml:space="preserve">OBJ_4</t>
  </si>
  <si>
    <t xml:space="preserve">kopf_in_sand_bild</t>
  </si>
  <si>
    <t xml:space="preserve">wohl SIT (verweis auf Folie)</t>
  </si>
  <si>
    <t xml:space="preserve">hier</t>
  </si>
  <si>
    <t xml:space="preserve">tun</t>
  </si>
  <si>
    <t xml:space="preserve">Kopf</t>
  </si>
  <si>
    <t xml:space="preserve">OBJ_5</t>
  </si>
  <si>
    <t xml:space="preserve">idiomatischer Ausdruck: Kopf in den Sand stecken</t>
  </si>
  <si>
    <t xml:space="preserve">Sand</t>
  </si>
  <si>
    <t xml:space="preserve">other_5</t>
  </si>
  <si>
    <t xml:space="preserve">-"-</t>
  </si>
  <si>
    <t xml:space="preserve">stecken</t>
  </si>
  <si>
    <t xml:space="preserve">kopf_in_sand</t>
  </si>
  <si>
    <t xml:space="preserve">anteztedens von das (267)</t>
  </si>
  <si>
    <t xml:space="preserve">darüber</t>
  </si>
  <si>
    <t xml:space="preserve">nachzudenken</t>
  </si>
  <si>
    <t xml:space="preserve">Tun</t>
  </si>
  <si>
    <t xml:space="preserve">möglichst</t>
  </si>
  <si>
    <t xml:space="preserve">Bitte</t>
  </si>
  <si>
    <t xml:space="preserve">Hause</t>
  </si>
  <si>
    <t xml:space="preserve">nachmachen</t>
  </si>
  <si>
    <t xml:space="preserve">(</t>
  </si>
  <si>
    <t xml:space="preserve">Gelächter</t>
  </si>
  <si>
    <t xml:space="preserve">)</t>
  </si>
  <si>
    <t xml:space="preserve">Aber</t>
  </si>
  <si>
    <t xml:space="preserve">frage</t>
  </si>
  <si>
    <t xml:space="preserve">mich</t>
  </si>
  <si>
    <t xml:space="preserve">ob</t>
  </si>
  <si>
    <t xml:space="preserve">Anlagestrategien</t>
  </si>
  <si>
    <t xml:space="preserve">anlagestrategien_heute</t>
  </si>
  <si>
    <t xml:space="preserve">von</t>
  </si>
  <si>
    <t xml:space="preserve">heute</t>
  </si>
  <si>
    <t xml:space="preserve">gegenwart</t>
  </si>
  <si>
    <t xml:space="preserve">Temporaldeixis</t>
  </si>
  <si>
    <t xml:space="preserve">Zwecke</t>
  </si>
  <si>
    <t xml:space="preserve">zwecke_morgen</t>
  </si>
  <si>
    <t xml:space="preserve">morgen</t>
  </si>
  <si>
    <t xml:space="preserve">geeignet</t>
  </si>
  <si>
    <t xml:space="preserve">CHECK: Antezedens? Hier generisch; nicht gesamte Bevölkerung</t>
  </si>
  <si>
    <t xml:space="preserve">wissen</t>
  </si>
  <si>
    <t xml:space="preserve">Antezedens</t>
  </si>
  <si>
    <t xml:space="preserve">ein</t>
  </si>
  <si>
    <t xml:space="preserve">Unternehmen</t>
  </si>
  <si>
    <t xml:space="preserve">indef-np.a</t>
  </si>
  <si>
    <t xml:space="preserve">anschauen</t>
  </si>
  <si>
    <t xml:space="preserve">entscheiden</t>
  </si>
  <si>
    <t xml:space="preserve">investieren</t>
  </si>
  <si>
    <t xml:space="preserve">schauen</t>
  </si>
  <si>
    <t xml:space="preserve">Finanzdaten</t>
  </si>
  <si>
    <t xml:space="preserve">Metriken</t>
  </si>
  <si>
    <t xml:space="preserve">metriken_wirtschaft</t>
  </si>
  <si>
    <t xml:space="preserve">Umsatzwachstum</t>
  </si>
  <si>
    <t xml:space="preserve">Cashflow</t>
  </si>
  <si>
    <t xml:space="preserve">parser error: nicht syntaktischer Kopf</t>
  </si>
  <si>
    <t xml:space="preserve">Marktanteil</t>
  </si>
  <si>
    <t xml:space="preserve">Bewertung</t>
  </si>
  <si>
    <t xml:space="preserve">schon</t>
  </si>
  <si>
    <t xml:space="preserve">attraktiven</t>
  </si>
  <si>
    <t xml:space="preserve">Sachen</t>
  </si>
  <si>
    <t xml:space="preserve">Diese</t>
  </si>
  <si>
    <t xml:space="preserve">parser error, nicht syntaktischer Kopf</t>
  </si>
  <si>
    <t xml:space="preserve">def-np.dem</t>
  </si>
  <si>
    <t xml:space="preserve">natürlich</t>
  </si>
  <si>
    <t xml:space="preserve">genug</t>
  </si>
  <si>
    <t xml:space="preserve">Anleger</t>
  </si>
  <si>
    <t xml:space="preserve">sollten</t>
  </si>
  <si>
    <t xml:space="preserve">Leistungsmetriken</t>
  </si>
  <si>
    <t xml:space="preserve">ESG</t>
  </si>
  <si>
    <t xml:space="preserve">esg</t>
  </si>
  <si>
    <t xml:space="preserve">achten</t>
  </si>
  <si>
    <t xml:space="preserve">Umwelt</t>
  </si>
  <si>
    <t xml:space="preserve">thema_umwelt</t>
  </si>
  <si>
    <t xml:space="preserve">CC: nacherwähnt mit “Umwelt”</t>
  </si>
  <si>
    <t xml:space="preserve">Soziales</t>
  </si>
  <si>
    <t xml:space="preserve">thema_soziales</t>
  </si>
  <si>
    <t xml:space="preserve">CC: nacherwähnt mit “Soziales”</t>
  </si>
  <si>
    <t xml:space="preserve">unternehmen_fuehrung</t>
  </si>
  <si>
    <t xml:space="preserve">CC: nacherwähnt mit “Unternehmensführung”</t>
  </si>
  <si>
    <t xml:space="preserve">&amp;quot;</t>
  </si>
  <si>
    <t xml:space="preserve">TODO: zitat als sonderform anaphorischer bezüge ergänzen</t>
  </si>
  <si>
    <t xml:space="preserve">umfasst</t>
  </si>
  <si>
    <t xml:space="preserve">Energieverbrauch</t>
  </si>
  <si>
    <t xml:space="preserve">Wassernutzung</t>
  </si>
  <si>
    <t xml:space="preserve">Abfall</t>
  </si>
  <si>
    <t xml:space="preserve">Umweltverschmutzung</t>
  </si>
  <si>
    <t xml:space="preserve">kurz</t>
  </si>
  <si>
    <t xml:space="preserve">effiziente</t>
  </si>
  <si>
    <t xml:space="preserve">Nutzung</t>
  </si>
  <si>
    <t xml:space="preserve">nutzung_res</t>
  </si>
  <si>
    <t xml:space="preserve">CC: PRED, sofern nicht nacherwähnt</t>
  </si>
  <si>
    <t xml:space="preserve">beinhaltet</t>
  </si>
  <si>
    <t xml:space="preserve">Humankapital</t>
  </si>
  <si>
    <t xml:space="preserve">humankapital</t>
  </si>
  <si>
    <t xml:space="preserve">Mitarbeiter</t>
  </si>
  <si>
    <t xml:space="preserve">Engagement</t>
  </si>
  <si>
    <t xml:space="preserve">Innovationsfähigkeit</t>
  </si>
  <si>
    <t xml:space="preserve">sowie</t>
  </si>
  <si>
    <t xml:space="preserve">Supply</t>
  </si>
  <si>
    <t xml:space="preserve">Chain</t>
  </si>
  <si>
    <t xml:space="preserve">Management</t>
  </si>
  <si>
    <t xml:space="preserve">supply_chain_management</t>
  </si>
  <si>
    <t xml:space="preserve">Arbeits</t>
  </si>
  <si>
    <t xml:space="preserve">Menschenrechte</t>
  </si>
  <si>
    <t xml:space="preserve">--</t>
  </si>
  <si>
    <t xml:space="preserve"># text = " Unternehmensführung " bedeutet die Aufsicht über das Unternehmen durch den Vorstand und Investoren . Ich habe zuvor gesagt , es geht um die wirklich heißen Dinge . Aber ESG ist das Maß für Nachhaltigkeit , und nachhaltiges Investieren berücksichtigt ESG-Faktoren und finanzielle Faktoren beim Anlageprozess . Damit können künftige Risiken durch Minimierung von Schäden an Personen und am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Innovations-Wachstum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Jahr 2012 hat State Street 54 Anwendungsprogramme in die Cloud-Umgebung migriert und weitere 85 Programme eingestellt . Wir virtualisierten die Arbeitsumgebungen und stellten zahlreiche Automatisierungsprojekte fertig . Diese Initiativen schaffen einen mobileren Arbeitsplatz und reduzieren unseren Immobilien-Bedarf . Dadurch werden jährlich 23 Mio.</t>
  </si>
  <si>
    <t xml:space="preserve">bedeutet</t>
  </si>
  <si>
    <t xml:space="preserve">Aufsicht</t>
  </si>
  <si>
    <t xml:space="preserve">über</t>
  </si>
  <si>
    <t xml:space="preserve">unternehmen</t>
  </si>
  <si>
    <t xml:space="preserve">durch</t>
  </si>
  <si>
    <t xml:space="preserve">Vorstand</t>
  </si>
  <si>
    <t xml:space="preserve">vorstand_und_investoren</t>
  </si>
  <si>
    <t xml:space="preserve">other_6</t>
  </si>
  <si>
    <t xml:space="preserve">habe</t>
  </si>
  <si>
    <t xml:space="preserve">zuvor</t>
  </si>
  <si>
    <t xml:space="preserve">gesagt</t>
  </si>
  <si>
    <t xml:space="preserve">kein AUTO_REF</t>
  </si>
  <si>
    <t xml:space="preserve">Maß</t>
  </si>
  <si>
    <t xml:space="preserve">OBJ_7</t>
  </si>
  <si>
    <t xml:space="preserve">nachhaltiges_investieren</t>
  </si>
  <si>
    <t xml:space="preserve">berücksichtigt</t>
  </si>
  <si>
    <t xml:space="preserve">SBJ_7</t>
  </si>
  <si>
    <t xml:space="preserve">Faktoren</t>
  </si>
  <si>
    <t xml:space="preserve">finanzielle</t>
  </si>
  <si>
    <t xml:space="preserve">other_8</t>
  </si>
  <si>
    <t xml:space="preserve">Anlageprozess</t>
  </si>
  <si>
    <t xml:space="preserve">other_7</t>
  </si>
  <si>
    <t xml:space="preserve">anlageprozess</t>
  </si>
  <si>
    <t xml:space="preserve">Damit</t>
  </si>
  <si>
    <t xml:space="preserve">Risiken</t>
  </si>
  <si>
    <t xml:space="preserve">Minimierung</t>
  </si>
  <si>
    <t xml:space="preserve">Schäden</t>
  </si>
  <si>
    <t xml:space="preserve">Personen</t>
  </si>
  <si>
    <t xml:space="preserve">Planeten</t>
  </si>
  <si>
    <t xml:space="preserve">Synonym für Ort: Erde</t>
  </si>
  <si>
    <t xml:space="preserve">begrenzt</t>
  </si>
  <si>
    <t xml:space="preserve">Kapital</t>
  </si>
  <si>
    <t xml:space="preserve">kapital</t>
  </si>
  <si>
    <t xml:space="preserve">Nutzer</t>
  </si>
  <si>
    <t xml:space="preserve">nutzer</t>
  </si>
  <si>
    <t xml:space="preserve">bereitgestellt</t>
  </si>
  <si>
    <t xml:space="preserve">parser error: Relativpronomen</t>
  </si>
  <si>
    <t xml:space="preserve">produktive</t>
  </si>
  <si>
    <t xml:space="preserve">nachhaltige</t>
  </si>
  <si>
    <t xml:space="preserve">Ergebnisse</t>
  </si>
  <si>
    <t xml:space="preserve">einsetzen</t>
  </si>
  <si>
    <t xml:space="preserve">Wenn</t>
  </si>
  <si>
    <t xml:space="preserve">also</t>
  </si>
  <si>
    <t xml:space="preserve">Finanzthema</t>
  </si>
  <si>
    <t xml:space="preserve">höchstwahrscheinlich</t>
  </si>
  <si>
    <t xml:space="preserve">immer</t>
  </si>
  <si>
    <t xml:space="preserve">relevanter</t>
  </si>
  <si>
    <t xml:space="preserve">wird</t>
  </si>
  <si>
    <t xml:space="preserve">achtet</t>
  </si>
  <si>
    <t xml:space="preserve">Privatsektor</t>
  </si>
  <si>
    <t xml:space="preserve">privatsektor</t>
  </si>
  <si>
    <t xml:space="preserve">darauf</t>
  </si>
  <si>
    <t xml:space="preserve">?</t>
  </si>
  <si>
    <t xml:space="preserve">Wirklich</t>
  </si>
  <si>
    <t xml:space="preserve">cool</t>
  </si>
  <si>
    <t xml:space="preserve">meisten</t>
  </si>
  <si>
    <t xml:space="preserve">CEOs</t>
  </si>
  <si>
    <t xml:space="preserve">ceos</t>
  </si>
  <si>
    <t xml:space="preserve">begannen</t>
  </si>
  <si>
    <t xml:space="preserve">nur</t>
  </si>
  <si>
    <t xml:space="preserve">sondern</t>
  </si>
  <si>
    <t xml:space="preserve">entscheidend</t>
  </si>
  <si>
    <t xml:space="preserve">Geschäftserfolg</t>
  </si>
  <si>
    <t xml:space="preserve">erfolg</t>
  </si>
  <si>
    <t xml:space="preserve">sehen</t>
  </si>
  <si>
    <t xml:space="preserve">Ungefähr</t>
  </si>
  <si>
    <t xml:space="preserve">80</t>
  </si>
  <si>
    <t xml:space="preserve">%</t>
  </si>
  <si>
    <t xml:space="preserve">80%_ceos</t>
  </si>
  <si>
    <t xml:space="preserve">CC: antezedenz von “ihren”</t>
  </si>
  <si>
    <t xml:space="preserve">weltweit</t>
  </si>
  <si>
    <t xml:space="preserve">erkenntnis</t>
  </si>
  <si>
    <t xml:space="preserve">CC: nicht notwendig, nur durch relativpronomen referenziert</t>
  </si>
  <si>
    <t xml:space="preserve">Wurzel</t>
  </si>
  <si>
    <t xml:space="preserve">wurzel_nachhaltigkeit</t>
  </si>
  <si>
    <t xml:space="preserve">Innovations</t>
  </si>
  <si>
    <t xml:space="preserve">Wachstum</t>
  </si>
  <si>
    <t xml:space="preserve">was</t>
  </si>
  <si>
    <t xml:space="preserve">BIUND</t>
  </si>
  <si>
    <t xml:space="preserve">CC: relativpronomen</t>
  </si>
  <si>
    <t xml:space="preserve">einem</t>
  </si>
  <si>
    <t xml:space="preserve">Wettbewerbsvorteil</t>
  </si>
  <si>
    <t xml:space="preserve">ihren</t>
  </si>
  <si>
    <t xml:space="preserve">CC: ergänzt</t>
  </si>
  <si>
    <t xml:space="preserve">Branchen</t>
  </si>
  <si>
    <t xml:space="preserve">indef-np</t>
  </si>
  <si>
    <t xml:space="preserve">führt</t>
  </si>
  <si>
    <t xml:space="preserve">93</t>
  </si>
  <si>
    <t xml:space="preserve">93%_ceos</t>
  </si>
  <si>
    <t xml:space="preserve">UNIQUE</t>
  </si>
  <si>
    <t xml:space="preserve">CC: andere teilmenge der CEOs, CEOs nicht benannt</t>
  </si>
  <si>
    <t xml:space="preserve">Zukunft</t>
  </si>
  <si>
    <t xml:space="preserve">zukunft</t>
  </si>
  <si>
    <t xml:space="preserve">kein spezifischer Zeitpunkt</t>
  </si>
  <si>
    <t xml:space="preserve">oder</t>
  </si>
  <si>
    <t xml:space="preserve">ihres</t>
  </si>
  <si>
    <t xml:space="preserve">Unternehmens</t>
  </si>
  <si>
    <t xml:space="preserve">Also</t>
  </si>
  <si>
    <t xml:space="preserve">CC: ok</t>
  </si>
  <si>
    <t xml:space="preserve">bietet</t>
  </si>
  <si>
    <t xml:space="preserve">enorme</t>
  </si>
  <si>
    <t xml:space="preserve">Möglichkeiten</t>
  </si>
  <si>
    <t xml:space="preserve">Wie</t>
  </si>
  <si>
    <t xml:space="preserve">nutzen</t>
  </si>
  <si>
    <t xml:space="preserve">harte</t>
  </si>
  <si>
    <t xml:space="preserve">Geschäftsergebnisse</t>
  </si>
  <si>
    <t xml:space="preserve">erzielen</t>
  </si>
  <si>
    <t xml:space="preserve">Ein</t>
  </si>
  <si>
    <t xml:space="preserve">Beispiel</t>
  </si>
  <si>
    <t xml:space="preserve">AMBIG: auch REF=GEN denkbar</t>
  </si>
  <si>
    <t xml:space="preserve">besonders</t>
  </si>
  <si>
    <t xml:space="preserve">Herzen</t>
  </si>
  <si>
    <t xml:space="preserve">In</t>
  </si>
  <si>
    <t xml:space="preserve">Jahr</t>
  </si>
  <si>
    <t xml:space="preserve">def-np.quant</t>
  </si>
  <si>
    <t xml:space="preserve">2012</t>
  </si>
  <si>
    <t xml:space="preserve">State</t>
  </si>
  <si>
    <t xml:space="preserve">state_street</t>
  </si>
  <si>
    <t xml:space="preserve">Street</t>
  </si>
  <si>
    <t xml:space="preserve">54</t>
  </si>
  <si>
    <t xml:space="preserve">Anwendungsprogramme</t>
  </si>
  <si>
    <t xml:space="preserve">Cloud</t>
  </si>
  <si>
    <t xml:space="preserve">cloud</t>
  </si>
  <si>
    <t xml:space="preserve">Umgebung</t>
  </si>
  <si>
    <t xml:space="preserve">migriert</t>
  </si>
  <si>
    <t xml:space="preserve">weitere</t>
  </si>
  <si>
    <t xml:space="preserve">85</t>
  </si>
  <si>
    <t xml:space="preserve">Programme</t>
  </si>
  <si>
    <t xml:space="preserve">eingestellt</t>
  </si>
  <si>
    <t xml:space="preserve">Mitarbeiter State Street</t>
  </si>
  <si>
    <t xml:space="preserve">virtualisierten</t>
  </si>
  <si>
    <t xml:space="preserve">Arbeitsumgebungen</t>
  </si>
  <si>
    <t xml:space="preserve">initiative_1</t>
  </si>
  <si>
    <t xml:space="preserve">stellten</t>
  </si>
  <si>
    <t xml:space="preserve">zahlreiche</t>
  </si>
  <si>
    <t xml:space="preserve">Automatisierungsprojekte</t>
  </si>
  <si>
    <t xml:space="preserve">initiative_2</t>
  </si>
  <si>
    <t xml:space="preserve">fertig</t>
  </si>
  <si>
    <t xml:space="preserve">nicht syntaktischer Kopf</t>
  </si>
  <si>
    <t xml:space="preserve">Initiativen</t>
  </si>
  <si>
    <t xml:space="preserve">initiativen&gt;initiative_1,initiative_2</t>
  </si>
  <si>
    <t xml:space="preserve">einen</t>
  </si>
  <si>
    <t xml:space="preserve">mobileren</t>
  </si>
  <si>
    <t xml:space="preserve">Arbeitsplatz</t>
  </si>
  <si>
    <t xml:space="preserve">reduzieren</t>
  </si>
  <si>
    <t xml:space="preserve">unseren</t>
  </si>
  <si>
    <t xml:space="preserve">Immobilien</t>
  </si>
  <si>
    <t xml:space="preserve">Bedarf</t>
  </si>
  <si>
    <t xml:space="preserve">Dadurch</t>
  </si>
  <si>
    <t xml:space="preserve">pron.padv</t>
  </si>
  <si>
    <t xml:space="preserve">initiativen</t>
  </si>
  <si>
    <t xml:space="preserve">jährlich</t>
  </si>
  <si>
    <t xml:space="preserve">23</t>
  </si>
  <si>
    <t xml:space="preserve">Mio</t>
  </si>
  <si>
    <t xml:space="preserve">parser error: sentence break</t>
  </si>
  <si>
    <t xml:space="preserve"># text = Dollar an Betriebskosten gespart und die Emission von 100 000 Tonnen Kohlenstoff vermieden . Das sind 21 000 Autos weniger auf den Straßen . Genial , oder ? Ein weiteres Beispiel ist Pentair . Pentair ist ein US-Mischkonzern . Vor etwa einem Jahrzehnt verkauften sie ihr Kerngeschäft , Heimwerker-Geräte , und investierten die Einnahmen ins Wassergeschäft . Das ist ein wirklich großer Einsatz . Warum haben sie das getan ?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ESG-Leistung genauso gut abschneiden wie andere .</t>
  </si>
  <si>
    <t xml:space="preserve">Dollar</t>
  </si>
  <si>
    <t xml:space="preserve">SBJ_8</t>
  </si>
  <si>
    <t xml:space="preserve">betriebskosten</t>
  </si>
  <si>
    <t xml:space="preserve">konkrete Kostenhöhe</t>
  </si>
  <si>
    <t xml:space="preserve">Betriebskosten</t>
  </si>
  <si>
    <t xml:space="preserve">gespart</t>
  </si>
  <si>
    <t xml:space="preserve">Emission</t>
  </si>
  <si>
    <t xml:space="preserve">SBJ_9</t>
  </si>
  <si>
    <t xml:space="preserve">100</t>
  </si>
  <si>
    <t xml:space="preserve">000</t>
  </si>
  <si>
    <t xml:space="preserve">Tonnen</t>
  </si>
  <si>
    <t xml:space="preserve">Kohlenstoff</t>
  </si>
  <si>
    <t xml:space="preserve">other_9</t>
  </si>
  <si>
    <t xml:space="preserve">vermieden</t>
  </si>
  <si>
    <t xml:space="preserve">emissionen_einsparung</t>
  </si>
  <si>
    <t xml:space="preserve">Autos</t>
  </si>
  <si>
    <t xml:space="preserve">Straßen</t>
  </si>
  <si>
    <t xml:space="preserve">straßen</t>
  </si>
  <si>
    <t xml:space="preserve">Genial</t>
  </si>
  <si>
    <t xml:space="preserve">weiteres</t>
  </si>
  <si>
    <t xml:space="preserve">Pentair</t>
  </si>
  <si>
    <t xml:space="preserve">pentair</t>
  </si>
  <si>
    <t xml:space="preserve">US</t>
  </si>
  <si>
    <t xml:space="preserve">usa</t>
  </si>
  <si>
    <t xml:space="preserve">obwohl nicht syntaktischer Kopf ID als spezifischer Ort</t>
  </si>
  <si>
    <t xml:space="preserve">Mischkonzern</t>
  </si>
  <si>
    <t xml:space="preserve">Vor</t>
  </si>
  <si>
    <t xml:space="preserve">etwa</t>
  </si>
  <si>
    <t xml:space="preserve">Jahrzehnt</t>
  </si>
  <si>
    <t xml:space="preserve">verkauften</t>
  </si>
  <si>
    <t xml:space="preserve">ihr</t>
  </si>
  <si>
    <t xml:space="preserve">Kerngeschäft</t>
  </si>
  <si>
    <t xml:space="preserve">kerngeschaeft</t>
  </si>
  <si>
    <t xml:space="preserve">Heimwerker</t>
  </si>
  <si>
    <t xml:space="preserve">Geräte</t>
  </si>
  <si>
    <t xml:space="preserve">investierten</t>
  </si>
  <si>
    <t xml:space="preserve">investition_pentair</t>
  </si>
  <si>
    <t xml:space="preserve">Einnahmen</t>
  </si>
  <si>
    <t xml:space="preserve">einnahmen</t>
  </si>
  <si>
    <t xml:space="preserve">Wassergeschäft</t>
  </si>
  <si>
    <t xml:space="preserve">wassergeschaeft</t>
  </si>
  <si>
    <t xml:space="preserve">großer</t>
  </si>
  <si>
    <t xml:space="preserve">Einsatz</t>
  </si>
  <si>
    <t xml:space="preserve">Warum</t>
  </si>
  <si>
    <t xml:space="preserve">pron.pint</t>
  </si>
  <si>
    <t xml:space="preserve">haben</t>
  </si>
  <si>
    <t xml:space="preserve">CC: war lücke</t>
  </si>
  <si>
    <t xml:space="preserve">getan</t>
  </si>
  <si>
    <t xml:space="preserve">Fans</t>
  </si>
  <si>
    <t xml:space="preserve">heimwerkfans</t>
  </si>
  <si>
    <t xml:space="preserve">mögen</t>
  </si>
  <si>
    <t xml:space="preserve">entschuldigen</t>
  </si>
  <si>
    <t xml:space="preserve">mehr</t>
  </si>
  <si>
    <t xml:space="preserve">Wasser</t>
  </si>
  <si>
    <t xml:space="preserve">Elektrowerkzeugen</t>
  </si>
  <si>
    <t xml:space="preserve">dieses</t>
  </si>
  <si>
    <t xml:space="preserve">neue_welt</t>
  </si>
  <si>
    <t xml:space="preserve">Korrelat</t>
  </si>
  <si>
    <t xml:space="preserve">nennen</t>
  </si>
  <si>
    <t xml:space="preserve">neue</t>
  </si>
  <si>
    <t xml:space="preserve">Neue</t>
  </si>
  <si>
    <t xml:space="preserve">Visier</t>
  </si>
  <si>
    <t xml:space="preserve">fokus</t>
  </si>
  <si>
    <t xml:space="preserve">Vier</t>
  </si>
  <si>
    <t xml:space="preserve">AMBIG: konkrete Anzahl - auch neue ID "menschen" denkbar</t>
  </si>
  <si>
    <t xml:space="preserve">aus</t>
  </si>
  <si>
    <t xml:space="preserve">Mittelschicht</t>
  </si>
  <si>
    <t xml:space="preserve">mittelschicht</t>
  </si>
  <si>
    <t xml:space="preserve">Nahrung</t>
  </si>
  <si>
    <t xml:space="preserve">Strom</t>
  </si>
  <si>
    <t xml:space="preserve">brauchen</t>
  </si>
  <si>
    <t xml:space="preserve">Jetzt</t>
  </si>
  <si>
    <t xml:space="preserve">fragen</t>
  </si>
  <si>
    <t xml:space="preserve">vielleicht</t>
  </si>
  <si>
    <t xml:space="preserve">Einzelfälle</t>
  </si>
  <si>
    <t xml:space="preserve">mal</t>
  </si>
  <si>
    <t xml:space="preserve">ehrlich</t>
  </si>
  <si>
    <t xml:space="preserve">stehen</t>
  </si>
  <si>
    <t xml:space="preserve">berücksichtigen</t>
  </si>
  <si>
    <t xml:space="preserve">finanziell</t>
  </si>
  <si>
    <t xml:space="preserve">tatsächlich</t>
  </si>
  <si>
    <t xml:space="preserve">gut</t>
  </si>
  <si>
    <t xml:space="preserve">da</t>
  </si>
  <si>
    <t xml:space="preserve">überraschende</t>
  </si>
  <si>
    <t xml:space="preserve">Antwort</t>
  </si>
  <si>
    <t xml:space="preserve">antwort</t>
  </si>
  <si>
    <t xml:space="preserve">ja</t>
  </si>
  <si>
    <t xml:space="preserve">Daten</t>
  </si>
  <si>
    <t xml:space="preserve">daten</t>
  </si>
  <si>
    <t xml:space="preserve">zeigen</t>
  </si>
  <si>
    <t xml:space="preserve">Aktien</t>
  </si>
  <si>
    <t xml:space="preserve">mit</t>
  </si>
  <si>
    <t xml:space="preserve">besserer</t>
  </si>
  <si>
    <t xml:space="preserve">Leistung</t>
  </si>
  <si>
    <t xml:space="preserve">esg_leistung</t>
  </si>
  <si>
    <t xml:space="preserve">genauso</t>
  </si>
  <si>
    <t xml:space="preserve">abschneiden</t>
  </si>
  <si>
    <t xml:space="preserve">andere</t>
  </si>
  <si>
    <t xml:space="preserve"># text = In Blau sehen wir den MSCI World Index , ein Index für Großunternehmen aus entwickelten Märkten auf der ganzen Welt . Und in Gold sehen wir die Teilmenge von Unternehmen mit der besten ESG-Leistung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</si>
  <si>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 xml:space="preserve">Blau</t>
  </si>
  <si>
    <t xml:space="preserve">sprecher + hörer</t>
  </si>
  <si>
    <t xml:space="preserve">MSCI</t>
  </si>
  <si>
    <t xml:space="preserve">msci_index</t>
  </si>
  <si>
    <t xml:space="preserve">World</t>
  </si>
  <si>
    <t xml:space="preserve">Index</t>
  </si>
  <si>
    <t xml:space="preserve">Großunternehmen</t>
  </si>
  <si>
    <t xml:space="preserve">entwickelten</t>
  </si>
  <si>
    <t xml:space="preserve">Märkten</t>
  </si>
  <si>
    <t xml:space="preserve">ganzen</t>
  </si>
  <si>
    <t xml:space="preserve">Gold</t>
  </si>
  <si>
    <t xml:space="preserve">Teilmenge</t>
  </si>
  <si>
    <t xml:space="preserve">teilmenge</t>
  </si>
  <si>
    <t xml:space="preserve">besten</t>
  </si>
  <si>
    <t xml:space="preserve">Seit</t>
  </si>
  <si>
    <t xml:space="preserve">drei</t>
  </si>
  <si>
    <t xml:space="preserve">Jahren</t>
  </si>
  <si>
    <t xml:space="preserve">kein</t>
  </si>
  <si>
    <t xml:space="preserve">Leistungskompromiss</t>
  </si>
  <si>
    <t xml:space="preserve">leistungskompromiss</t>
  </si>
  <si>
    <t xml:space="preserve">doch</t>
  </si>
  <si>
    <t xml:space="preserve">okay</t>
  </si>
  <si>
    <t xml:space="preserve">AMBIG: auch GEN denkbar</t>
  </si>
  <si>
    <t xml:space="preserve">wollen</t>
  </si>
  <si>
    <t xml:space="preserve">will</t>
  </si>
  <si>
    <t xml:space="preserve">Fällen</t>
  </si>
  <si>
    <t xml:space="preserve">Indikator</t>
  </si>
  <si>
    <t xml:space="preserve">überdurchschnittliche</t>
  </si>
  <si>
    <t xml:space="preserve">Wertentwicklung</t>
  </si>
  <si>
    <t xml:space="preserve">wertentwicklung</t>
  </si>
  <si>
    <t xml:space="preserve">wird im Satz danach erneut referenziert</t>
  </si>
  <si>
    <t xml:space="preserve">leistung</t>
  </si>
  <si>
    <t xml:space="preserve">500</t>
  </si>
  <si>
    <t xml:space="preserve">globalen</t>
  </si>
  <si>
    <t xml:space="preserve">unternehmen_glob</t>
  </si>
  <si>
    <t xml:space="preserve">konkrete Untermenge der Unternehmen</t>
  </si>
  <si>
    <t xml:space="preserve">eine</t>
  </si>
  <si>
    <t xml:space="preserve">unternehmen_esg</t>
  </si>
  <si>
    <t xml:space="preserve">guter</t>
  </si>
  <si>
    <t xml:space="preserve">Klimaschutzstrategie</t>
  </si>
  <si>
    <t xml:space="preserve">Risikomanagement</t>
  </si>
  <si>
    <t xml:space="preserve"># text = 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Gesundheitswesen und im öffentlichen Dienst in Australien , mit einem Vermögen von 22 Mrd.</t>
  </si>
  <si>
    <t xml:space="preserve">fast</t>
  </si>
  <si>
    <t xml:space="preserve">acht</t>
  </si>
  <si>
    <t xml:space="preserve">rund</t>
  </si>
  <si>
    <t xml:space="preserve">zwei</t>
  </si>
  <si>
    <t xml:space="preserve">Drittel</t>
  </si>
  <si>
    <t xml:space="preserve">Zugegeben</t>
  </si>
  <si>
    <t xml:space="preserve">korrelation&gt;esg,wertentwicklung</t>
  </si>
  <si>
    <t xml:space="preserve">Korrelation</t>
  </si>
  <si>
    <t xml:space="preserve">Kausalzusammenhang</t>
  </si>
  <si>
    <t xml:space="preserve">korrelation</t>
  </si>
  <si>
    <t xml:space="preserve">deutlich</t>
  </si>
  <si>
    <t xml:space="preserve">umweltorientierte</t>
  </si>
  <si>
    <t xml:space="preserve">Führung</t>
  </si>
  <si>
    <t xml:space="preserve">nachhaltige_fuehrung</t>
  </si>
  <si>
    <t xml:space="preserve">guten</t>
  </si>
  <si>
    <t xml:space="preserve">kompatibel</t>
  </si>
  <si>
    <t xml:space="preserve">Erträge</t>
  </si>
  <si>
    <t xml:space="preserve">ertraege</t>
  </si>
  <si>
    <t xml:space="preserve">gleich</t>
  </si>
  <si>
    <t xml:space="preserve">sollte</t>
  </si>
  <si>
    <t xml:space="preserve">Standard</t>
  </si>
  <si>
    <t xml:space="preserve">Engagieren</t>
  </si>
  <si>
    <t xml:space="preserve">insbesondere</t>
  </si>
  <si>
    <t xml:space="preserve">institutionelle</t>
  </si>
  <si>
    <t xml:space="preserve">Nun</t>
  </si>
  <si>
    <t xml:space="preserve">paar</t>
  </si>
  <si>
    <t xml:space="preserve">wirkliche</t>
  </si>
  <si>
    <t xml:space="preserve">Vorreiter</t>
  </si>
  <si>
    <t xml:space="preserve">Hesta</t>
  </si>
  <si>
    <t xml:space="preserve">hesta</t>
  </si>
  <si>
    <t xml:space="preserve">Gesundheitswesen</t>
  </si>
  <si>
    <t xml:space="preserve">gesundheitswesen</t>
  </si>
  <si>
    <t xml:space="preserve">öffentlichen</t>
  </si>
  <si>
    <t xml:space="preserve">Dienst</t>
  </si>
  <si>
    <t xml:space="preserve">dienst_oeff</t>
  </si>
  <si>
    <t xml:space="preserve">Australien</t>
  </si>
  <si>
    <t xml:space="preserve">australien</t>
  </si>
  <si>
    <t xml:space="preserve">Vermögen</t>
  </si>
  <si>
    <t xml:space="preserve">22</t>
  </si>
  <si>
    <t xml:space="preserve">Mrd</t>
  </si>
  <si>
    <t xml:space="preserve"># text = [ Dollar ] . Sie glauben , dass ESG das Potenzial hat , Risiken und Erträge zu beeinflussen . Deshalb sehen sie es als ihre Pflicht an , das beim Investment mit einzubeziehen . Im besten Interesse der Fondsmitglieder handeln , das ist ihre Kernaufgabe . Man muss sie einfach lieben , die Australier , oder ? CalPERS ist ein weiteres Beispiel . CalPERS ist der Pensionsfonds für Angestellte im öffentlichen Dienst in Kalifornien . Mit einem Vermögen von 244 Mrd.</t>
  </si>
  <si>
    <t xml:space="preserve">[</t>
  </si>
  <si>
    <t xml:space="preserve">vermoegen_hesta</t>
  </si>
  <si>
    <t xml:space="preserve">]</t>
  </si>
  <si>
    <t xml:space="preserve">Potenzial</t>
  </si>
  <si>
    <t xml:space="preserve">potenzial_esg</t>
  </si>
  <si>
    <t xml:space="preserve">beeinflussen</t>
  </si>
  <si>
    <t xml:space="preserve">Deshalb</t>
  </si>
  <si>
    <t xml:space="preserve">Korrelat für Relativsatz</t>
  </si>
  <si>
    <t xml:space="preserve">ihre</t>
  </si>
  <si>
    <t xml:space="preserve">Pflicht</t>
  </si>
  <si>
    <t xml:space="preserve">pflicht_hesta</t>
  </si>
  <si>
    <t xml:space="preserve">Investment</t>
  </si>
  <si>
    <t xml:space="preserve">investition_hesta</t>
  </si>
  <si>
    <t xml:space="preserve">einzubeziehen</t>
  </si>
  <si>
    <t xml:space="preserve">Interesse</t>
  </si>
  <si>
    <t xml:space="preserve">interesse_fond</t>
  </si>
  <si>
    <t xml:space="preserve">Fondsmitglieder</t>
  </si>
  <si>
    <t xml:space="preserve">fondsmitglieder</t>
  </si>
  <si>
    <t xml:space="preserve">handeln</t>
  </si>
  <si>
    <t xml:space="preserve">handeln_interesse_fond</t>
  </si>
  <si>
    <t xml:space="preserve">Kernaufgabe</t>
  </si>
  <si>
    <t xml:space="preserve">Man</t>
  </si>
  <si>
    <t xml:space="preserve">muss</t>
  </si>
  <si>
    <t xml:space="preserve">australier</t>
  </si>
  <si>
    <t xml:space="preserve">CAT</t>
  </si>
  <si>
    <t xml:space="preserve">einfach</t>
  </si>
  <si>
    <t xml:space="preserve">lieben</t>
  </si>
  <si>
    <t xml:space="preserve">Australier</t>
  </si>
  <si>
    <t xml:space="preserve">CalPERS</t>
  </si>
  <si>
    <t xml:space="preserve">calpers</t>
  </si>
  <si>
    <t xml:space="preserve">Angestellte</t>
  </si>
  <si>
    <t xml:space="preserve">Kalifornien</t>
  </si>
  <si>
    <t xml:space="preserve">kalifornien</t>
  </si>
  <si>
    <t xml:space="preserve">konkreter Ort</t>
  </si>
  <si>
    <t xml:space="preserve">244</t>
  </si>
  <si>
    <t xml:space="preserve"># text = 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" Langfristige Wertschöpfung erfordert die effiziente Verwaltung dreier Formen des Kapitals : Finanzielles , personelles und physisches Kapital . Deshalb ist uns ESG wichtig . " Bestandteil meiner Arbeit ist , mit vielen Investoren zu sprechen . Nicht alle sehen das genauso . Oft höre ich : " Wir sind verpflichtet , Gewinne zu maximieren , deshalb machen wir das hier nicht . " Oder : " Wir wollen mit dem Portfolio keine Grundsatzerklärungen abgeben . " Die folgende Aussage geht mir wirklich unter die Haut : " Wenn</t>
  </si>
  <si>
    <t xml:space="preserve">vermoegen_calpers</t>
  </si>
  <si>
    <t xml:space="preserve">er</t>
  </si>
  <si>
    <t xml:space="preserve">zweitgrößte</t>
  </si>
  <si>
    <t xml:space="preserve">pensionsfond</t>
  </si>
  <si>
    <t xml:space="preserve">USA</t>
  </si>
  <si>
    <t xml:space="preserve">sechstgrößte</t>
  </si>
  <si>
    <t xml:space="preserve">Ihre</t>
  </si>
  <si>
    <t xml:space="preserve">Investitionen</t>
  </si>
  <si>
    <t xml:space="preserve">investition_calpers</t>
  </si>
  <si>
    <t xml:space="preserve">liegen</t>
  </si>
  <si>
    <t xml:space="preserve">integrieren</t>
  </si>
  <si>
    <t xml:space="preserve">systematisch</t>
  </si>
  <si>
    <t xml:space="preserve">gesamten</t>
  </si>
  <si>
    <t xml:space="preserve">Fonds</t>
  </si>
  <si>
    <t xml:space="preserve">größere</t>
  </si>
  <si>
    <t xml:space="preserve">Punkt</t>
  </si>
  <si>
    <t xml:space="preserve">sagen</t>
  </si>
  <si>
    <t xml:space="preserve">Langfristige</t>
  </si>
  <si>
    <t xml:space="preserve">Wertschöpfung</t>
  </si>
  <si>
    <t xml:space="preserve">erfordert</t>
  </si>
  <si>
    <t xml:space="preserve">Verwaltung</t>
  </si>
  <si>
    <t xml:space="preserve">eff_kapitalverwaltung</t>
  </si>
  <si>
    <t xml:space="preserve">dreier</t>
  </si>
  <si>
    <t xml:space="preserve">Formen</t>
  </si>
  <si>
    <t xml:space="preserve">Kapitals</t>
  </si>
  <si>
    <t xml:space="preserve">Finanzielles</t>
  </si>
  <si>
    <t xml:space="preserve">personelles</t>
  </si>
  <si>
    <t xml:space="preserve">physisches</t>
  </si>
  <si>
    <t xml:space="preserve">def-np.poss</t>
  </si>
  <si>
    <t xml:space="preserve">esg_relevanz</t>
  </si>
  <si>
    <t xml:space="preserve">parser error; referiert im nächsten Satz</t>
  </si>
  <si>
    <t xml:space="preserve">Bestandteil</t>
  </si>
  <si>
    <t xml:space="preserve">meiner</t>
  </si>
  <si>
    <t xml:space="preserve">Arbeit</t>
  </si>
  <si>
    <t xml:space="preserve">arbeit_sprecher</t>
  </si>
  <si>
    <t xml:space="preserve">vielen</t>
  </si>
  <si>
    <t xml:space="preserve">sprechen</t>
  </si>
  <si>
    <t xml:space="preserve">Nicht</t>
  </si>
  <si>
    <t xml:space="preserve">alle</t>
  </si>
  <si>
    <t xml:space="preserve">Oft</t>
  </si>
  <si>
    <t xml:space="preserve">höre</t>
  </si>
  <si>
    <t xml:space="preserve">verpflichtet</t>
  </si>
  <si>
    <t xml:space="preserve">Gewinne</t>
  </si>
  <si>
    <t xml:space="preserve">OBJ_8</t>
  </si>
  <si>
    <t xml:space="preserve">maximieren</t>
  </si>
  <si>
    <t xml:space="preserve">machen</t>
  </si>
  <si>
    <t xml:space="preserve">esg_integration</t>
  </si>
  <si>
    <t xml:space="preserve">bekannt für Hörer</t>
  </si>
  <si>
    <t xml:space="preserve">Oder</t>
  </si>
  <si>
    <t xml:space="preserve">Portfolio</t>
  </si>
  <si>
    <t xml:space="preserve">portfolio</t>
  </si>
  <si>
    <t xml:space="preserve">keine</t>
  </si>
  <si>
    <t xml:space="preserve">Grundsatzerklärungen</t>
  </si>
  <si>
    <t xml:space="preserve">grundsatzerklaerungen</t>
  </si>
  <si>
    <t xml:space="preserve">abgeben</t>
  </si>
  <si>
    <t xml:space="preserve">folgende</t>
  </si>
  <si>
    <t xml:space="preserve">Aussage</t>
  </si>
  <si>
    <t xml:space="preserve">aussage_investoren</t>
  </si>
  <si>
    <t xml:space="preserve">mir</t>
  </si>
  <si>
    <t xml:space="preserve">unter</t>
  </si>
  <si>
    <t xml:space="preserve">Haut</t>
  </si>
  <si>
    <t xml:space="preserve">unter_die_haut</t>
  </si>
  <si>
    <t xml:space="preserve"># text = Sie das verändern wollen , verdienen Sie Geld und spenden Sie die Gewinne an Wohltätigkeitsorganisationen . " Da verdrehe ich die Augen . Lassen Sie mich eins ein für alle Mal klarstellen : Unternehmen und Investoren sind nicht alleine für das Schicksal des Planeten verantwortlich . Sie haben nicht unbegrenzte soziale Verpflichtungen , und umsichtige Investitions-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</si>
  <si>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 xml:space="preserve">menschen</t>
  </si>
  <si>
    <t xml:space="preserve">verdienen</t>
  </si>
  <si>
    <t xml:space="preserve">Geld</t>
  </si>
  <si>
    <t xml:space="preserve">spenden</t>
  </si>
  <si>
    <t xml:space="preserve">gewinne</t>
  </si>
  <si>
    <t xml:space="preserve">Wohltätigkeitsorganisationen</t>
  </si>
  <si>
    <t xml:space="preserve">Da</t>
  </si>
  <si>
    <t xml:space="preserve">verdrehe</t>
  </si>
  <si>
    <t xml:space="preserve">augen_verdrehen</t>
  </si>
  <si>
    <t xml:space="preserve">Lassen</t>
  </si>
  <si>
    <t xml:space="preserve">eins</t>
  </si>
  <si>
    <t xml:space="preserve">Mal</t>
  </si>
  <si>
    <t xml:space="preserve">klarstellen</t>
  </si>
  <si>
    <t xml:space="preserve">alleine</t>
  </si>
  <si>
    <t xml:space="preserve">Schicksal</t>
  </si>
  <si>
    <t xml:space="preserve">verantwortlich</t>
  </si>
  <si>
    <t xml:space="preserve">untinv&gt;unternehmen,investoren</t>
  </si>
  <si>
    <t xml:space="preserve">unbegrenzte</t>
  </si>
  <si>
    <t xml:space="preserve">Verpflichtungen</t>
  </si>
  <si>
    <t xml:space="preserve">umsichtige</t>
  </si>
  <si>
    <t xml:space="preserve">Investitions</t>
  </si>
  <si>
    <t xml:space="preserve">Finanzierungstheorien</t>
  </si>
  <si>
    <t xml:space="preserve">theorien</t>
  </si>
  <si>
    <t xml:space="preserve">untergeordnet</t>
  </si>
  <si>
    <t xml:space="preserve">kombi&gt;theorien,nachhaltigkeit</t>
  </si>
  <si>
    <t xml:space="preserve">spreche</t>
  </si>
  <si>
    <t xml:space="preserve">Lokaldeixis</t>
  </si>
  <si>
    <t xml:space="preserve">Kompromisse</t>
  </si>
  <si>
    <t xml:space="preserve">Schlüsselfaktor</t>
  </si>
  <si>
    <t xml:space="preserve">Schlüssel</t>
  </si>
  <si>
    <t xml:space="preserve">Eine</t>
  </si>
  <si>
    <t xml:space="preserve">ganze</t>
  </si>
  <si>
    <t xml:space="preserve">Menge</t>
  </si>
  <si>
    <t xml:space="preserve">viel</t>
  </si>
  <si>
    <t xml:space="preserve"># text = 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härtesten an der Lösung dieser Probleme arbeiten , oder sie zumindest nicht verschärfen ? Was haben wir davon , wenn wir arbeiten , sparen und investieren , nur um im Ruhestand eine Welt vorzufinden , die angespannter und unsicherer ist als jetzt ? Wenn saubere Luft und frisches Wasser fehlen ? Eine berechtigte Frage könnte sein : Und wenn das ganze Nachhaltigkeits-Risiko-Gerede übertrieben und nicht dringlich ist ? Wenn es nur etwas für tugendhafte Verbraucher oder eine reine Frage des Lebensstils ist ? Präsident John F. Kennedy sagte dazu das einzig Richtige : " Aktionsprogramme bergen Risiken und Kosten , aber sie sind weit geringer als die langfristigen Risiken und Kosten der bequemen Untätigkeit . "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" Was , wenn das alles bloß Schwindel ist und wir schaffen ohne Grund eine bessere Welt ? " ] Gut , er gefällt Ihnen . Ich mag ihn auch . ( Gelächter ) Ich mag ihn , weil er sich über beide Lager des Klimawandels lustig macht . Ich wette , Sie erraten nicht , auf welcher Seite ich stehe . Ich mag es besonders ,</t>
  </si>
  <si>
    <t xml:space="preserve">Der</t>
  </si>
  <si>
    <t xml:space="preserve">globale</t>
  </si>
  <si>
    <t xml:space="preserve">Aktienmarkt</t>
  </si>
  <si>
    <t xml:space="preserve">aktienmarkt</t>
  </si>
  <si>
    <t xml:space="preserve">55</t>
  </si>
  <si>
    <t xml:space="preserve">Billionen</t>
  </si>
  <si>
    <t xml:space="preserve">aktienmarkt_wert</t>
  </si>
  <si>
    <t xml:space="preserve">Rentenmarkt</t>
  </si>
  <si>
    <t xml:space="preserve">rentenmarkt</t>
  </si>
  <si>
    <t xml:space="preserve">78</t>
  </si>
  <si>
    <t xml:space="preserve">rentenmarkt_wert</t>
  </si>
  <si>
    <t xml:space="preserve">summe&gt;aktienmarkt_wert,rentenmarkt_wert</t>
  </si>
  <si>
    <t xml:space="preserve">zusammen</t>
  </si>
  <si>
    <t xml:space="preserve">133</t>
  </si>
  <si>
    <t xml:space="preserve">summe</t>
  </si>
  <si>
    <t xml:space="preserve">achteinhalb</t>
  </si>
  <si>
    <t xml:space="preserve">BIP</t>
  </si>
  <si>
    <t xml:space="preserve">bip</t>
  </si>
  <si>
    <t xml:space="preserve">größte</t>
  </si>
  <si>
    <t xml:space="preserve">Volkswirtschaft</t>
  </si>
  <si>
    <t xml:space="preserve">volkswirtschaft</t>
  </si>
  <si>
    <t xml:space="preserve">gigantisch</t>
  </si>
  <si>
    <t xml:space="preserve">Feuerkraft</t>
  </si>
  <si>
    <t xml:space="preserve">anders</t>
  </si>
  <si>
    <t xml:space="preserve">dringende</t>
  </si>
  <si>
    <t xml:space="preserve">Herausforderungen</t>
  </si>
  <si>
    <t xml:space="preserve">herangehen</t>
  </si>
  <si>
    <t xml:space="preserve">frisches</t>
  </si>
  <si>
    <t xml:space="preserve">saubere</t>
  </si>
  <si>
    <t xml:space="preserve">Luft</t>
  </si>
  <si>
    <t xml:space="preserve">Münder</t>
  </si>
  <si>
    <t xml:space="preserve">pars pro toto für Gesamtmenge der Menschen</t>
  </si>
  <si>
    <t xml:space="preserve">investitionen_invinst</t>
  </si>
  <si>
    <t xml:space="preserve">Was</t>
  </si>
  <si>
    <t xml:space="preserve">antwort_frage1</t>
  </si>
  <si>
    <t xml:space="preserve">CAT weil AUTO_REF Interrogativpronomen</t>
  </si>
  <si>
    <t xml:space="preserve">wäre</t>
  </si>
  <si>
    <t xml:space="preserve">nutzten</t>
  </si>
  <si>
    <t xml:space="preserve">ihrem</t>
  </si>
  <si>
    <t xml:space="preserve">kapital_invinst</t>
  </si>
  <si>
    <t xml:space="preserve">härtesten</t>
  </si>
  <si>
    <t xml:space="preserve">Lösung</t>
  </si>
  <si>
    <t xml:space="preserve">loesung</t>
  </si>
  <si>
    <t xml:space="preserve">dieser</t>
  </si>
  <si>
    <t xml:space="preserve">Probleme</t>
  </si>
  <si>
    <t xml:space="preserve">probleme_zukunft</t>
  </si>
  <si>
    <t xml:space="preserve">arbeiten</t>
  </si>
  <si>
    <t xml:space="preserve">zumindest</t>
  </si>
  <si>
    <t xml:space="preserve">verschärfen</t>
  </si>
  <si>
    <t xml:space="preserve">antwort_frage2</t>
  </si>
  <si>
    <t xml:space="preserve">davon</t>
  </si>
  <si>
    <t xml:space="preserve">sparen</t>
  </si>
  <si>
    <t xml:space="preserve">Ruhestand</t>
  </si>
  <si>
    <t xml:space="preserve">ruhestand</t>
  </si>
  <si>
    <t xml:space="preserve">individueller Zeitpunkt in Zukunft</t>
  </si>
  <si>
    <t xml:space="preserve">vorzufinden</t>
  </si>
  <si>
    <t xml:space="preserve">angespannter</t>
  </si>
  <si>
    <t xml:space="preserve">unsicherer</t>
  </si>
  <si>
    <t xml:space="preserve">fehlen</t>
  </si>
  <si>
    <t xml:space="preserve">berechtigte</t>
  </si>
  <si>
    <t xml:space="preserve">Frage</t>
  </si>
  <si>
    <t xml:space="preserve">könnte</t>
  </si>
  <si>
    <t xml:space="preserve">Nachhaltigkeits</t>
  </si>
  <si>
    <t xml:space="preserve">Gerede</t>
  </si>
  <si>
    <t xml:space="preserve">risiko_nachhaltigkeit</t>
  </si>
  <si>
    <t xml:space="preserve">übertrieben</t>
  </si>
  <si>
    <t xml:space="preserve">dringlich</t>
  </si>
  <si>
    <t xml:space="preserve">etwas</t>
  </si>
  <si>
    <t xml:space="preserve">tugendhafte</t>
  </si>
  <si>
    <t xml:space="preserve">Verbraucher</t>
  </si>
  <si>
    <t xml:space="preserve">reine</t>
  </si>
  <si>
    <t xml:space="preserve">Lebensstils</t>
  </si>
  <si>
    <t xml:space="preserve">lebensstil</t>
  </si>
  <si>
    <t xml:space="preserve">Präsident</t>
  </si>
  <si>
    <t xml:space="preserve">John</t>
  </si>
  <si>
    <t xml:space="preserve">john_kennedy</t>
  </si>
  <si>
    <t xml:space="preserve">F.</t>
  </si>
  <si>
    <t xml:space="preserve">Kennedy</t>
  </si>
  <si>
    <t xml:space="preserve">sagte</t>
  </si>
  <si>
    <t xml:space="preserve">dazu</t>
  </si>
  <si>
    <t xml:space="preserve">einzig</t>
  </si>
  <si>
    <t xml:space="preserve">Richtige</t>
  </si>
  <si>
    <t xml:space="preserve">antwort_frage3</t>
  </si>
  <si>
    <t xml:space="preserve">Aktionsprogramme</t>
  </si>
  <si>
    <t xml:space="preserve">aktionen</t>
  </si>
  <si>
    <t xml:space="preserve">bergen</t>
  </si>
  <si>
    <t xml:space="preserve">Kosten</t>
  </si>
  <si>
    <t xml:space="preserve">weit</t>
  </si>
  <si>
    <t xml:space="preserve">geringer</t>
  </si>
  <si>
    <t xml:space="preserve">langfristigen</t>
  </si>
  <si>
    <t xml:space="preserve">risiken_und_kosten</t>
  </si>
  <si>
    <t xml:space="preserve">bequemen</t>
  </si>
  <si>
    <t xml:space="preserve">Untätigkeit</t>
  </si>
  <si>
    <t xml:space="preserve">nichtstun</t>
  </si>
  <si>
    <t xml:space="preserve">Sicher</t>
  </si>
  <si>
    <t xml:space="preserve">Schätzrisiko</t>
  </si>
  <si>
    <t xml:space="preserve">dies</t>
  </si>
  <si>
    <t xml:space="preserve">einschaetzung</t>
  </si>
  <si>
    <t xml:space="preserve">breitem</t>
  </si>
  <si>
    <t xml:space="preserve">wissenschaftlichen</t>
  </si>
  <si>
    <t xml:space="preserve">Konsens</t>
  </si>
  <si>
    <t xml:space="preserve">beruht</t>
  </si>
  <si>
    <t xml:space="preserve">Chance</t>
  </si>
  <si>
    <t xml:space="preserve">wahrscheinlichkeit1</t>
  </si>
  <si>
    <t xml:space="preserve">SBJ_11</t>
  </si>
  <si>
    <t xml:space="preserve">völlig</t>
  </si>
  <si>
    <t xml:space="preserve">falsch</t>
  </si>
  <si>
    <t xml:space="preserve">höher</t>
  </si>
  <si>
    <t xml:space="preserve">Wahrscheinlichkeit</t>
  </si>
  <si>
    <t xml:space="preserve">other_12</t>
  </si>
  <si>
    <t xml:space="preserve">wahrscheinlichkeit2</t>
  </si>
  <si>
    <t xml:space="preserve">unser</t>
  </si>
  <si>
    <t xml:space="preserve">other_14</t>
  </si>
  <si>
    <t xml:space="preserve">Haus</t>
  </si>
  <si>
    <t xml:space="preserve">OBJ_13</t>
  </si>
  <si>
    <t xml:space="preserve">haus</t>
  </si>
  <si>
    <t xml:space="preserve">abbrennt</t>
  </si>
  <si>
    <t xml:space="preserve">hausbrand</t>
  </si>
  <si>
    <t xml:space="preserve">Antezedens für solche "Fälle"</t>
  </si>
  <si>
    <t xml:space="preserve">SBJ_14</t>
  </si>
  <si>
    <t xml:space="preserve">Autounfall</t>
  </si>
  <si>
    <t xml:space="preserve">OBJ_14</t>
  </si>
  <si>
    <t xml:space="preserve">autounfall</t>
  </si>
  <si>
    <t xml:space="preserve">other_10</t>
  </si>
  <si>
    <t xml:space="preserve">parser error: Partikel</t>
  </si>
  <si>
    <t xml:space="preserve">Boston</t>
  </si>
  <si>
    <t xml:space="preserve">other_11</t>
  </si>
  <si>
    <t xml:space="preserve">boston</t>
  </si>
  <si>
    <t xml:space="preserve">leben</t>
  </si>
  <si>
    <t xml:space="preserve">so</t>
  </si>
  <si>
    <t xml:space="preserve">schließen</t>
  </si>
  <si>
    <t xml:space="preserve">Versicherungen</t>
  </si>
  <si>
    <t xml:space="preserve">ab</t>
  </si>
  <si>
    <t xml:space="preserve">Fälle</t>
  </si>
  <si>
    <t xml:space="preserve">faelle&gt;hausbrand,autounfall</t>
  </si>
  <si>
    <t xml:space="preserve">gerüstet</t>
  </si>
  <si>
    <t xml:space="preserve">Durch</t>
  </si>
  <si>
    <t xml:space="preserve">OBJ_9</t>
  </si>
  <si>
    <t xml:space="preserve">Versicherung</t>
  </si>
  <si>
    <t xml:space="preserve">verringern</t>
  </si>
  <si>
    <t xml:space="preserve">Gefahr</t>
  </si>
  <si>
    <t xml:space="preserve">gefahr</t>
  </si>
  <si>
    <t xml:space="preserve">unsere</t>
  </si>
  <si>
    <t xml:space="preserve">Wirtschaft</t>
  </si>
  <si>
    <t xml:space="preserve">wirtschaft</t>
  </si>
  <si>
    <t xml:space="preserve">gleichzeitig</t>
  </si>
  <si>
    <t xml:space="preserve">müssen</t>
  </si>
  <si>
    <t xml:space="preserve">kurzfristig</t>
  </si>
  <si>
    <t xml:space="preserve">verzichten</t>
  </si>
  <si>
    <t xml:space="preserve">Comic</t>
  </si>
  <si>
    <t xml:space="preserve">comic</t>
  </si>
  <si>
    <t xml:space="preserve">AUTO_REF Interrogativpronomen</t>
  </si>
  <si>
    <t xml:space="preserve">bloß</t>
  </si>
  <si>
    <t xml:space="preserve">Schwindel</t>
  </si>
  <si>
    <t xml:space="preserve">Menschheit im Gesamten</t>
  </si>
  <si>
    <t xml:space="preserve">ohne</t>
  </si>
  <si>
    <t xml:space="preserve">Grund</t>
  </si>
  <si>
    <t xml:space="preserve">bessere</t>
  </si>
  <si>
    <t xml:space="preserve">Gut</t>
  </si>
  <si>
    <t xml:space="preserve">gefällt</t>
  </si>
  <si>
    <t xml:space="preserve">Ihnen</t>
  </si>
  <si>
    <t xml:space="preserve">mag</t>
  </si>
  <si>
    <t xml:space="preserve">ihn</t>
  </si>
  <si>
    <t xml:space="preserve">weil</t>
  </si>
  <si>
    <t xml:space="preserve">beide</t>
  </si>
  <si>
    <t xml:space="preserve">Lager</t>
  </si>
  <si>
    <t xml:space="preserve">lager1+lager2</t>
  </si>
  <si>
    <t xml:space="preserve">Klimawandels</t>
  </si>
  <si>
    <t xml:space="preserve">lustig</t>
  </si>
  <si>
    <t xml:space="preserve">wette</t>
  </si>
  <si>
    <t xml:space="preserve">erraten</t>
  </si>
  <si>
    <t xml:space="preserve">welcher</t>
  </si>
  <si>
    <t xml:space="preserve">Seite</t>
  </si>
  <si>
    <t xml:space="preserve">stehe</t>
  </si>
  <si>
    <t xml:space="preserve"># text = weil er mich an Mark Twain erinnert , der sagte : \" Plane für die Zukunft , denn dort wirst du den Rest deines Lebens verbringen . \" Vielen Dank .</t>
  </si>
  <si>
    <t xml:space="preserve">Mark</t>
  </si>
  <si>
    <t xml:space="preserve">mark_twain</t>
  </si>
  <si>
    <t xml:space="preserve">Twain</t>
  </si>
  <si>
    <t xml:space="preserve">erinnert</t>
  </si>
  <si>
    <t xml:space="preserve">Plane</t>
  </si>
  <si>
    <t xml:space="preserve">dort</t>
  </si>
  <si>
    <t xml:space="preserve">wirst</t>
  </si>
  <si>
    <t xml:space="preserve">du</t>
  </si>
  <si>
    <t xml:space="preserve">Rest</t>
  </si>
  <si>
    <t xml:space="preserve">deines</t>
  </si>
  <si>
    <t xml:space="preserve">Lebens</t>
  </si>
  <si>
    <t xml:space="preserve">verbringen</t>
  </si>
  <si>
    <t xml:space="preserve">Vielen</t>
  </si>
  <si>
    <t xml:space="preserve">Dank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</si>
</sst>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E0C2CD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B4C7DC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E2" activeCellId="0" sqref="E2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aca="false">IF(A2=1,"_",IF(C2="_","???",C2))</f>
        <v>Insbesondere wenn?</v>
      </c>
      <c r="H2" s="10" t="s">
        <v>16</v>
      </c>
      <c r="I2" s="11" t="s">
        <v>16</v>
      </c>
      <c r="J2" s="12"/>
    </row>
    <row r="3" customFormat="false" ht="60" hidden="false" customHeight="true" outlineLevel="0" collapsed="false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tr">
        <f aca="false">IF(A3=1,"_",IF(C3="_","???",C3))</f>
        <v>Dadurch?</v>
      </c>
      <c r="H3" s="10" t="s">
        <v>16</v>
      </c>
      <c r="I3" s="11" t="s">
        <v>16</v>
      </c>
      <c r="J3" s="12"/>
    </row>
    <row r="4" customFormat="false" ht="60" hidden="false" customHeight="true" outlineLevel="0" collapsed="false">
      <c r="A4" s="6" t="s">
        <v>11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tr">
        <f aca="false">IF(A4=1,"_",IF(C4="_","???",C4))</f>
        <v>Warum?</v>
      </c>
      <c r="H4" s="10" t="s">
        <v>16</v>
      </c>
      <c r="I4" s="11" t="s">
        <v>16</v>
      </c>
      <c r="J4" s="12"/>
    </row>
    <row r="5" customFormat="false" ht="60" hidden="false" customHeight="true" outlineLevel="0" collapsed="false">
      <c r="A5" s="6" t="s">
        <v>28</v>
      </c>
      <c r="B5" s="6" t="s">
        <v>29</v>
      </c>
      <c r="C5" s="6" t="s">
        <v>16</v>
      </c>
      <c r="D5" s="7" t="s">
        <v>30</v>
      </c>
      <c r="E5" s="8" t="s">
        <v>31</v>
      </c>
      <c r="F5" s="6" t="s">
        <v>32</v>
      </c>
      <c r="G5" s="9" t="str">
        <f aca="false">IF(A5=1,"_",IF(C5="_","???",C5))</f>
        <v>???</v>
      </c>
      <c r="H5" s="10" t="s">
        <v>16</v>
      </c>
      <c r="I5" s="11" t="s">
        <v>16</v>
      </c>
      <c r="J5" s="12"/>
    </row>
    <row r="6" customFormat="false" ht="60" hidden="false" customHeight="true" outlineLevel="0" collapsed="false">
      <c r="A6" s="6" t="s">
        <v>33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 t="str">
        <f aca="false">IF(A6=1,"_",IF(C6="_","???",C6))</f>
        <v>Zugegeben?</v>
      </c>
      <c r="H6" s="10" t="s">
        <v>16</v>
      </c>
      <c r="I6" s="11" t="s">
        <v>16</v>
      </c>
      <c r="J6" s="12"/>
    </row>
    <row r="7" customFormat="false" ht="60" hidden="false" customHeight="true" outlineLevel="0" collapsed="false">
      <c r="A7" s="6" t="s">
        <v>38</v>
      </c>
      <c r="B7" s="6" t="s">
        <v>39</v>
      </c>
      <c r="C7" s="6" t="s">
        <v>16</v>
      </c>
      <c r="D7" s="7" t="s">
        <v>40</v>
      </c>
      <c r="E7" s="8" t="s">
        <v>41</v>
      </c>
      <c r="F7" s="6" t="s">
        <v>42</v>
      </c>
      <c r="G7" s="9" t="str">
        <f aca="false">IF(A7=1,"_",IF(C7="_","???",C7))</f>
        <v>???</v>
      </c>
      <c r="H7" s="10" t="s">
        <v>16</v>
      </c>
      <c r="I7" s="11" t="s">
        <v>16</v>
      </c>
      <c r="J7" s="12"/>
    </row>
    <row r="8" customFormat="false" ht="60" hidden="false" customHeight="true" outlineLevel="0" collapsed="false">
      <c r="A8" s="6" t="s">
        <v>43</v>
      </c>
      <c r="B8" s="6" t="s">
        <v>28</v>
      </c>
      <c r="C8" s="6" t="s">
        <v>24</v>
      </c>
      <c r="D8" s="7" t="s">
        <v>44</v>
      </c>
      <c r="E8" s="8" t="s">
        <v>45</v>
      </c>
      <c r="F8" s="6" t="s">
        <v>46</v>
      </c>
      <c r="G8" s="9" t="str">
        <f aca="false">IF(A8=1,"_",IF(C8="_","???",C8))</f>
        <v>Warum?</v>
      </c>
      <c r="H8" s="10" t="s">
        <v>16</v>
      </c>
      <c r="I8" s="11" t="s">
        <v>16</v>
      </c>
      <c r="J8" s="12"/>
    </row>
    <row r="9" customFormat="false" ht="60" hidden="false" customHeight="true" outlineLevel="0" collapsed="false">
      <c r="A9" s="6" t="s">
        <v>47</v>
      </c>
      <c r="B9" s="6" t="s">
        <v>11</v>
      </c>
      <c r="C9" s="6" t="s">
        <v>24</v>
      </c>
      <c r="D9" s="7" t="s">
        <v>48</v>
      </c>
      <c r="E9" s="8" t="s">
        <v>49</v>
      </c>
      <c r="F9" s="6" t="s">
        <v>50</v>
      </c>
      <c r="G9" s="9" t="str">
        <f aca="false">IF(A9=1,"_",IF(C9="_","???",C9))</f>
        <v>Warum?</v>
      </c>
      <c r="H9" s="10" t="s">
        <v>16</v>
      </c>
      <c r="I9" s="11" t="s">
        <v>16</v>
      </c>
      <c r="J9" s="12"/>
    </row>
    <row r="10" customFormat="false" ht="60" hidden="false" customHeight="true" outlineLevel="0" collapsed="false">
      <c r="A10" s="6" t="s">
        <v>51</v>
      </c>
      <c r="B10" s="6" t="s">
        <v>28</v>
      </c>
      <c r="C10" s="6" t="s">
        <v>16</v>
      </c>
      <c r="D10" s="7" t="s">
        <v>52</v>
      </c>
      <c r="E10" s="8" t="s">
        <v>53</v>
      </c>
      <c r="F10" s="6" t="s">
        <v>54</v>
      </c>
      <c r="G10" s="9" t="str">
        <f aca="false">IF(A10=1,"_",IF(C10="_","???",C10))</f>
        <v>???</v>
      </c>
      <c r="H10" s="10" t="s">
        <v>16</v>
      </c>
      <c r="I10" s="11" t="s">
        <v>16</v>
      </c>
      <c r="J10" s="12"/>
    </row>
    <row r="11" customFormat="false" ht="60" hidden="false" customHeight="true" outlineLevel="0" collapsed="false">
      <c r="A11" s="6" t="s">
        <v>55</v>
      </c>
      <c r="B11" s="6" t="s">
        <v>55</v>
      </c>
      <c r="C11" s="6" t="s">
        <v>16</v>
      </c>
      <c r="D11" s="7" t="s">
        <v>56</v>
      </c>
      <c r="E11" s="8" t="s">
        <v>57</v>
      </c>
      <c r="F11" s="6" t="s">
        <v>58</v>
      </c>
      <c r="G11" s="9" t="str">
        <f aca="false">IF(A11=1,"_",IF(C11="_","???",C11))</f>
        <v>???</v>
      </c>
      <c r="H11" s="10" t="s">
        <v>16</v>
      </c>
      <c r="I11" s="11" t="s">
        <v>16</v>
      </c>
      <c r="J11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56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pane xSplit="1" ySplit="1" topLeftCell="B1223" activePane="bottomRight" state="frozen"/>
      <selection pane="topLeft" activeCell="A1" activeCellId="0" sqref="A1"/>
      <selection pane="topRight" activeCell="B1" activeCellId="0" sqref="B1"/>
      <selection pane="bottomLeft" activeCell="A1223" activeCellId="0" sqref="A1223"/>
      <selection pane="bottomRight" activeCell="A1256" activeCellId="0" sqref="A1256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false" outlineLevel="0" max="5" min="5" style="0" width="18.88"/>
    <col collapsed="false" customWidth="true" hidden="false" outlineLevel="0" max="7" min="7" style="0" width="15.43"/>
    <col collapsed="false" customWidth="true" hidden="true" outlineLevel="0" max="11" min="9" style="0" width="11.53"/>
    <col collapsed="false" customWidth="true" hidden="false" outlineLevel="0" max="12" min="12" style="0" width="61.34"/>
  </cols>
  <sheetData>
    <row r="1" customFormat="false" ht="14.25" hidden="false" customHeight="false" outlineLevel="0" collapsed="false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customFormat="false" ht="14.25" hidden="false" customHeight="false" outlineLevel="0" collapsed="false">
      <c r="A2" s="0" t="s">
        <v>70</v>
      </c>
    </row>
    <row r="3" customFormat="false" ht="14.25" hidden="false" customHeight="false" outlineLevel="0" collapsed="false">
      <c r="A3" s="0" t="s">
        <v>71</v>
      </c>
      <c r="E3" s="20" t="str">
        <f aca="false">IF(D3="?OLD","!!!","")</f>
        <v/>
      </c>
      <c r="F3" s="21" t="str">
        <f aca="false">IF(OR(E3="",E3="!!!"),"",IF(NOT(ISNA(VLOOKUP(E3,E$1:E2,1,FALSE()))),"OLD",IF(AND(E3&lt;&gt;"",E3&lt;&gt;"!!!"),"NEW","")))</f>
        <v/>
      </c>
      <c r="G3" s="22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aca="false">IF(J3&lt;&gt;1,"",IF(I3="SBJ","CB","?"))</f>
        <v/>
      </c>
      <c r="I3" s="24" t="str">
        <f aca="false">IF(OR(E3="",E3="!!!",F3="NEW"),"",INDEX(B2:B$2,-1+SUMPRODUCT(MAX(ROW(E2:E$2)*(E3=E2:E$2)))))</f>
        <v/>
      </c>
      <c r="J3" s="24" t="str">
        <f aca="true">IF(OR(E3="",E3="!!!",F3="NEW"),"",COUNTBLANK(OFFSET(A$1,,,SUMPRODUCT(MAX(ROW(E$2:E3)*(E3=E$2:E3)))))-COUNTBLANK(OFFSET(A$1,,,SUMPRODUCT(MAX(ROW(E$1:E2)*(E2=E$1:E2))))))</f>
        <v/>
      </c>
      <c r="K3" s="24" t="str">
        <f aca="false">IF(OR(E3="",E3="!!!",F3="NEW"),"",INDEX(J$1:J2,SUMPRODUCT(MAX(ROW(E$1:E2)*(E3=E$1:E2)))))</f>
        <v/>
      </c>
      <c r="L3" s="25"/>
    </row>
    <row r="4" customFormat="false" ht="23.85" hidden="false" customHeight="false" outlineLevel="0" collapsed="false">
      <c r="A4" s="0" t="s">
        <v>72</v>
      </c>
      <c r="B4" s="26" t="s">
        <v>73</v>
      </c>
      <c r="C4" s="26" t="s">
        <v>74</v>
      </c>
      <c r="D4" s="26" t="s">
        <v>75</v>
      </c>
      <c r="E4" s="20" t="s">
        <v>76</v>
      </c>
      <c r="F4" s="21" t="str">
        <f aca="false">IF(OR(E4="",E4="!!!"),"",IF(NOT(ISNA(VLOOKUP(E4,E$1:E3,1,FALSE()))),"OLD",IF(AND(E4&lt;&gt;"",E4&lt;&gt;"!!!"),"NEW","")))</f>
        <v>NEW</v>
      </c>
      <c r="G4" s="22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>?REFERENTIAL</v>
      </c>
      <c r="H4" s="23" t="str">
        <f aca="false">IF(J4&lt;&gt;1,"",IF(I4="SBJ","CB","?"))</f>
        <v/>
      </c>
      <c r="I4" s="24" t="str">
        <f aca="false">IF(OR(E4="",E4="!!!",F4="NEW"),"",INDEX(B$2:B3,-1+SUMPRODUCT(MAX(ROW(E$2:E3)*(E4=E$2:E3)))))</f>
        <v/>
      </c>
      <c r="J4" s="24" t="str">
        <f aca="true">IF(OR(E4="",E4="!!!",F4="NEW"),"",COUNTBLANK(OFFSET(A$1,,,SUMPRODUCT(MAX(ROW(E$2:E4)*(E4=E$2:E4)))))-COUNTBLANK(OFFSET(A$1,,,SUMPRODUCT(MAX(ROW(E$1:E3)*(E2=E$1:E3))))))</f>
        <v/>
      </c>
      <c r="K4" s="24" t="str">
        <f aca="false">IF(OR(E4="",E4="!!!",F4="NEW"),"",INDEX(J$1:J3,SUMPRODUCT(MAX(ROW(E$1:E3)*(E4=E$1:E3)))))</f>
        <v/>
      </c>
      <c r="L4" s="27" t="s">
        <v>77</v>
      </c>
    </row>
    <row r="5" customFormat="false" ht="14.25" hidden="false" customHeight="false" outlineLevel="0" collapsed="false">
      <c r="A5" s="0" t="s">
        <v>78</v>
      </c>
      <c r="E5" s="20" t="str">
        <f aca="false">IF(D5="?OLD","!!!","")</f>
        <v/>
      </c>
      <c r="F5" s="21" t="str">
        <f aca="false">IF(OR(E5="",E5="!!!"),"",IF(NOT(ISNA(VLOOKUP(E5,E$1:E4,1,FALSE()))),"OLD",IF(AND(E5&lt;&gt;"",E5&lt;&gt;"!!!"),"NEW","")))</f>
        <v/>
      </c>
      <c r="G5" s="22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aca="false">IF(J5&lt;&gt;1,"",IF(I5="SBJ","CB","?"))</f>
        <v/>
      </c>
      <c r="I5" s="24" t="str">
        <f aca="false">IF(OR(E5="",E5="!!!",F5="NEW"),"",INDEX(B$2:B4,-1+SUMPRODUCT(MAX(ROW(E$2:E4)*(E5=E$2:E4)))))</f>
        <v/>
      </c>
      <c r="J5" s="24" t="str">
        <f aca="true">IF(OR(E5="",E5="!!!",F5="NEW"),"",COUNTBLANK(OFFSET(A$1,,,SUMPRODUCT(MAX(ROW(E$2:E5)*(E5=E$2:E5)))))-COUNTBLANK(OFFSET(A$1,,,SUMPRODUCT(MAX(ROW(E$1:E4)*(E2=E$1:E4))))))</f>
        <v/>
      </c>
      <c r="K5" s="24" t="str">
        <f aca="false">IF(OR(E5="",E5="!!!",F5="NEW"),"",INDEX(J$1:J4,SUMPRODUCT(MAX(ROW(E$1:E4)*(E5=E$1:E4)))))</f>
        <v/>
      </c>
      <c r="L5" s="25"/>
    </row>
    <row r="6" customFormat="false" ht="14.25" hidden="false" customHeight="false" outlineLevel="0" collapsed="false">
      <c r="A6" s="0" t="s">
        <v>79</v>
      </c>
      <c r="E6" s="20" t="str">
        <f aca="false">IF(D6="?OLD","!!!","")</f>
        <v/>
      </c>
      <c r="F6" s="21" t="str">
        <f aca="false">IF(OR(E6="",E6="!!!"),"",IF(NOT(ISNA(VLOOKUP(E6,E$1:E5,1,FALSE()))),"OLD",IF(AND(E6&lt;&gt;"",E6&lt;&gt;"!!!"),"NEW","")))</f>
        <v/>
      </c>
      <c r="G6" s="22" t="str">
        <f aca="false"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aca="false">IF(J6&lt;&gt;1,"",IF(I6="SBJ","CB","?"))</f>
        <v/>
      </c>
      <c r="I6" s="24" t="str">
        <f aca="false">IF(OR(E6="",E6="!!!",F6="NEW"),"",INDEX(B$2:B5,-1+SUMPRODUCT(MAX(ROW(E$2:E5)*(E6=E$2:E5)))))</f>
        <v/>
      </c>
      <c r="J6" s="24" t="str">
        <f aca="true">IF(OR(E6="",E6="!!!",F6="NEW"),"",COUNTBLANK(OFFSET(A$1,,,SUMPRODUCT(MAX(ROW(E$2:E6)*(E6=E$2:E6)))))-COUNTBLANK(OFFSET(A$1,,,SUMPRODUCT(MAX(ROW(E$1:E5)*(E2=E$1:E5))))))</f>
        <v/>
      </c>
      <c r="K6" s="24" t="str">
        <f aca="false">IF(OR(E6="",E6="!!!",F6="NEW"),"",INDEX(J$1:J5,SUMPRODUCT(MAX(ROW(E$1:E5)*(E6=E$1:E5)))))</f>
        <v/>
      </c>
      <c r="L6" s="25"/>
    </row>
    <row r="7" customFormat="false" ht="14.25" hidden="false" customHeight="false" outlineLevel="0" collapsed="false">
      <c r="A7" s="0" t="s">
        <v>80</v>
      </c>
      <c r="E7" s="20" t="str">
        <f aca="false">IF(D7="?OLD","!!!","")</f>
        <v/>
      </c>
      <c r="F7" s="21" t="str">
        <f aca="false">IF(OR(E7="",E7="!!!"),"",IF(NOT(ISNA(VLOOKUP(E7,E$1:E6,1,FALSE()))),"OLD",IF(AND(E7&lt;&gt;"",E7&lt;&gt;"!!!"),"NEW","")))</f>
        <v/>
      </c>
      <c r="G7" s="22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aca="false">IF(J7&lt;&gt;1,"",IF(I7="SBJ","CB","?"))</f>
        <v/>
      </c>
      <c r="I7" s="24" t="str">
        <f aca="false">IF(OR(E7="",E7="!!!",F7="NEW"),"",INDEX(B$2:B6,-1+SUMPRODUCT(MAX(ROW(E$2:E6)*(E7=E$2:E6)))))</f>
        <v/>
      </c>
      <c r="J7" s="24" t="str">
        <f aca="true">IF(OR(E7="",E7="!!!",F7="NEW"),"",COUNTBLANK(OFFSET(A$1,,,SUMPRODUCT(MAX(ROW(E$2:E7)*(E7=E$2:E7)))))-COUNTBLANK(OFFSET(A$1,,,SUMPRODUCT(MAX(ROW(E$1:E6)*(E2=E$1:E6))))))</f>
        <v/>
      </c>
      <c r="K7" s="24" t="str">
        <f aca="false">IF(OR(E7="",E7="!!!",F7="NEW"),"",INDEX(J$1:J6,SUMPRODUCT(MAX(ROW(E$1:E6)*(E7=E$1:E6)))))</f>
        <v/>
      </c>
      <c r="L7" s="25"/>
    </row>
    <row r="8" customFormat="false" ht="14.25" hidden="false" customHeight="false" outlineLevel="0" collapsed="false">
      <c r="A8" s="0" t="s">
        <v>81</v>
      </c>
      <c r="B8" s="26" t="s">
        <v>82</v>
      </c>
      <c r="C8" s="26" t="s">
        <v>74</v>
      </c>
      <c r="D8" s="26" t="s">
        <v>75</v>
      </c>
      <c r="E8" s="20" t="s">
        <v>83</v>
      </c>
      <c r="F8" s="21" t="s">
        <v>84</v>
      </c>
      <c r="G8" s="22" t="e">
        <f aca="false">IF(OR(E8="",E8="!!!"),"",IF(OR(J8=0,AND(J8=1,K8=1),AND(J8=1,I8="SBJ"),AND(J8=1,I8=0)),"?IN_FOCUS",IF(J8&lt;=2,"?ACTIVATED",IF(J8&lt;&gt;"","?FAMILIAR",IF(F8="NEW",IF(ISNA(VLOOKUP(E8,#REF!,1,FALSE())),"?TYPE_IDENTIFIABLE","?REFERENTIAL"),"_")))))</f>
        <v>#VALUE!</v>
      </c>
      <c r="H8" s="23" t="str">
        <f aca="false">IF(J8&lt;&gt;1,"",IF(I8="SBJ","CB","?"))</f>
        <v/>
      </c>
      <c r="I8" s="24" t="e">
        <f aca="false">IF(OR(E8="",E8="!!!",F8="NEW"),"",INDEX(B$2:B7,-1+SUMPRODUCT(MAX(ROW(E$2:E7)*(E8=E$2:E7)))))</f>
        <v>#VALUE!</v>
      </c>
      <c r="J8" s="24" t="n">
        <f aca="true">IF(OR(E8="",E8="!!!",F8="NEW"),"",COUNTBLANK(OFFSET(A$1,,,SUMPRODUCT(MAX(ROW(E$2:E8)*(E8=E$2:E8)))))-COUNTBLANK(OFFSET(A$1,,,SUMPRODUCT(MAX(ROW(E$1:E7)*(E2=E$1:E7))))))</f>
        <v>0</v>
      </c>
      <c r="K8" s="24" t="e">
        <f aca="false">IF(OR(E8="",E8="!!!",F8="NEW"),"",INDEX(J$1:J7,SUMPRODUCT(MAX(ROW(E$1:E7)*(E8=E$1:E7)))))</f>
        <v>#VALUE!</v>
      </c>
      <c r="L8" s="27" t="s">
        <v>85</v>
      </c>
    </row>
    <row r="9" customFormat="false" ht="14.25" hidden="false" customHeight="false" outlineLevel="0" collapsed="false">
      <c r="A9" s="0" t="s">
        <v>86</v>
      </c>
      <c r="E9" s="20" t="str">
        <f aca="false">IF(D9="?OLD","!!!","")</f>
        <v/>
      </c>
      <c r="F9" s="21" t="str">
        <f aca="false">IF(OR(E9="",E9="!!!"),"",IF(NOT(ISNA(VLOOKUP(E9,E$1:E8,1,FALSE()))),"OLD",IF(AND(E9&lt;&gt;"",E9&lt;&gt;"!!!"),"NEW","")))</f>
        <v/>
      </c>
      <c r="G9" s="22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aca="false">IF(J9&lt;&gt;1,"",IF(I9="SBJ","CB","?"))</f>
        <v/>
      </c>
      <c r="I9" s="24" t="str">
        <f aca="false">IF(OR(E9="",E9="!!!",F9="NEW"),"",INDEX(B$2:B8,-1+SUMPRODUCT(MAX(ROW(E$2:E8)*(E9=E$2:E8)))))</f>
        <v/>
      </c>
      <c r="J9" s="24" t="str">
        <f aca="true">IF(OR(E9="",E9="!!!",F9="NEW"),"",COUNTBLANK(OFFSET(A$1,,,SUMPRODUCT(MAX(ROW(E$2:E9)*(E9=E$2:E9)))))-COUNTBLANK(OFFSET(A$1,,,SUMPRODUCT(MAX(ROW(E$1:E8)*(E2=E$1:E8))))))</f>
        <v/>
      </c>
      <c r="K9" s="24" t="str">
        <f aca="false">IF(OR(E9="",E9="!!!",F9="NEW"),"",INDEX(J$1:J8,SUMPRODUCT(MAX(ROW(E$1:E8)*(E9=E$1:E8)))))</f>
        <v/>
      </c>
      <c r="L9" s="25"/>
    </row>
    <row r="10" customFormat="false" ht="14.25" hidden="false" customHeight="false" outlineLevel="0" collapsed="false">
      <c r="A10" s="0" t="s">
        <v>87</v>
      </c>
      <c r="B10" s="26" t="s">
        <v>73</v>
      </c>
      <c r="C10" s="26" t="s">
        <v>88</v>
      </c>
      <c r="D10" s="26" t="s">
        <v>75</v>
      </c>
      <c r="E10" s="20" t="s">
        <v>76</v>
      </c>
      <c r="F10" s="21" t="str">
        <f aca="false">IF(OR(E10="",E10="!!!"),"",IF(NOT(ISNA(VLOOKUP(E10,E$1:E9,1,FALSE()))),"OLD",IF(AND(E10&lt;&gt;"",E10&lt;&gt;"!!!"),"NEW","")))</f>
        <v>OLD</v>
      </c>
      <c r="G10" s="22" t="str">
        <f aca="false">IF(OR(E10="",E10="!!!"),"",IF(OR(J10=0,AND(J10=1,K10=1),AND(J10=1,I10="SBJ"),AND(J10=1,I10=0)),"?IN_FOCUS",IF(J10&lt;=2,"?ACTIVATED",IF(J10&lt;&gt;"","?FAMILIAR",IF(F10="NEW",IF(ISNA(VLOOKUP(E10,#REF!,1,FALSE())),"?TYPE_IDENTIFIABLE","?REFERENTIAL"),"_")))))</f>
        <v>?IN_FOCUS</v>
      </c>
      <c r="H10" s="23" t="str">
        <f aca="false">IF(J10&lt;&gt;1,"",IF(I10="SBJ","CB","?"))</f>
        <v/>
      </c>
      <c r="I10" s="24" t="str">
        <f aca="false">IF(OR(E10="",E10="!!!",F10="NEW"),"",INDEX(B$2:B9,-1+SUMPRODUCT(MAX(ROW(E$2:E9)*(E10=E$2:E9)))))</f>
        <v>SBJ</v>
      </c>
      <c r="J10" s="24" t="n">
        <f aca="true">IF(OR(E10="",E10="!!!",F10="NEW"),"",COUNTBLANK(OFFSET(A$1,,,SUMPRODUCT(MAX(ROW(E$2:E10)*(E10=E$2:E10)))))-COUNTBLANK(OFFSET(A$1,,,SUMPRODUCT(MAX(ROW(E$1:E9)*(E2=E$1:E9))))))</f>
        <v>0</v>
      </c>
      <c r="K10" s="24" t="str">
        <f aca="false">IF(OR(E10="",E10="!!!",F10="NEW"),"",INDEX(J$1:J9,SUMPRODUCT(MAX(ROW(E$1:E9)*(E10=E$1:E9)))))</f>
        <v/>
      </c>
      <c r="L10" s="25"/>
    </row>
    <row r="11" customFormat="false" ht="14.25" hidden="false" customHeight="false" outlineLevel="0" collapsed="false">
      <c r="A11" s="0" t="s">
        <v>89</v>
      </c>
      <c r="E11" s="20" t="str">
        <f aca="false">IF(D11="?OLD","!!!","")</f>
        <v/>
      </c>
      <c r="F11" s="21" t="str">
        <f aca="false">IF(OR(E11="",E11="!!!"),"",IF(NOT(ISNA(VLOOKUP(E11,E$1:E10,1,FALSE()))),"OLD",IF(AND(E11&lt;&gt;"",E11&lt;&gt;"!!!"),"NEW","")))</f>
        <v/>
      </c>
      <c r="G11" s="22" t="str">
        <f aca="false"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aca="false">IF(J11&lt;&gt;1,"",IF(I11="SBJ","CB","?"))</f>
        <v/>
      </c>
      <c r="I11" s="24" t="str">
        <f aca="false">IF(OR(E11="",E11="!!!",F11="NEW"),"",INDEX(B$2:B10,-1+SUMPRODUCT(MAX(ROW(E$2:E10)*(E11=E$2:E10)))))</f>
        <v/>
      </c>
      <c r="J11" s="24" t="str">
        <f aca="true">IF(OR(E11="",E11="!!!",F11="NEW"),"",COUNTBLANK(OFFSET(A$1,,,SUMPRODUCT(MAX(ROW(E$2:E11)*(E11=E$2:E11)))))-COUNTBLANK(OFFSET(A$1,,,SUMPRODUCT(MAX(ROW(E$1:E10)*(E2=E$1:E10))))))</f>
        <v/>
      </c>
      <c r="K11" s="24" t="str">
        <f aca="false">IF(OR(E11="",E11="!!!",F11="NEW"),"",INDEX(J$1:J10,SUMPRODUCT(MAX(ROW(E$1:E10)*(E11=E$1:E10)))))</f>
        <v/>
      </c>
      <c r="L11" s="25"/>
    </row>
    <row r="12" customFormat="false" ht="14.25" hidden="false" customHeight="false" outlineLevel="0" collapsed="false">
      <c r="A12" s="0" t="s">
        <v>90</v>
      </c>
      <c r="B12" s="26" t="s">
        <v>91</v>
      </c>
      <c r="E12" s="20" t="str">
        <f aca="false">IF(D12="?OLD","!!!","")</f>
        <v/>
      </c>
      <c r="F12" s="21" t="str">
        <f aca="false">IF(OR(E12="",E12="!!!"),"",IF(NOT(ISNA(VLOOKUP(E12,E$1:E11,1,FALSE()))),"OLD",IF(AND(E12&lt;&gt;"",E12&lt;&gt;"!!!"),"NEW","")))</f>
        <v/>
      </c>
      <c r="G12" s="22" t="str">
        <f aca="false"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aca="false">IF(J12&lt;&gt;1,"",IF(I12="SBJ","CB","?"))</f>
        <v/>
      </c>
      <c r="I12" s="24" t="str">
        <f aca="false">IF(OR(E12="",E12="!!!",F12="NEW"),"",INDEX(B$2:B11,-1+SUMPRODUCT(MAX(ROW(E$2:E11)*(E12=E$2:E11)))))</f>
        <v/>
      </c>
      <c r="J12" s="24" t="str">
        <f aca="true">IF(OR(E12="",E12="!!!",F12="NEW"),"",COUNTBLANK(OFFSET(A$1,,,SUMPRODUCT(MAX(ROW(E$2:E12)*(E12=E$2:E12)))))-COUNTBLANK(OFFSET(A$1,,,SUMPRODUCT(MAX(ROW(E$1:E11)*(E2=E$1:E11))))))</f>
        <v/>
      </c>
      <c r="K12" s="24" t="str">
        <f aca="false">IF(OR(E12="",E12="!!!",F12="NEW"),"",INDEX(J$1:J11,SUMPRODUCT(MAX(ROW(E$1:E11)*(E12=E$1:E11)))))</f>
        <v/>
      </c>
      <c r="L12" s="25"/>
    </row>
    <row r="13" customFormat="false" ht="14.25" hidden="false" customHeight="false" outlineLevel="0" collapsed="false">
      <c r="A13" s="0" t="s">
        <v>92</v>
      </c>
      <c r="E13" s="20" t="str">
        <f aca="false">IF(D13="?OLD","!!!","")</f>
        <v/>
      </c>
      <c r="F13" s="21" t="str">
        <f aca="false">IF(OR(E13="",E13="!!!"),"",IF(NOT(ISNA(VLOOKUP(E13,E$1:E12,1,FALSE()))),"OLD",IF(AND(E13&lt;&gt;"",E13&lt;&gt;"!!!"),"NEW","")))</f>
        <v/>
      </c>
      <c r="G13" s="22" t="str">
        <f aca="false"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aca="false">IF(J13&lt;&gt;1,"",IF(I13="SBJ","CB","?"))</f>
        <v/>
      </c>
      <c r="I13" s="24" t="str">
        <f aca="false">IF(OR(E13="",E13="!!!",F13="NEW"),"",INDEX(B$2:B12,-1+SUMPRODUCT(MAX(ROW(E$2:E12)*(E13=E$2:E12)))))</f>
        <v/>
      </c>
      <c r="J13" s="24" t="str">
        <f aca="true">IF(OR(E13="",E13="!!!",F13="NEW"),"",COUNTBLANK(OFFSET(A$1,,,SUMPRODUCT(MAX(ROW(E$2:E13)*(E13=E$2:E13)))))-COUNTBLANK(OFFSET(A$1,,,SUMPRODUCT(MAX(ROW(E$1:E12)*(E2=E$1:E12))))))</f>
        <v/>
      </c>
      <c r="K13" s="24" t="str">
        <f aca="false">IF(OR(E13="",E13="!!!",F13="NEW"),"",INDEX(J$1:J12,SUMPRODUCT(MAX(ROW(E$1:E12)*(E13=E$1:E12)))))</f>
        <v/>
      </c>
      <c r="L13" s="25"/>
    </row>
    <row r="14" customFormat="false" ht="14.25" hidden="false" customHeight="false" outlineLevel="0" collapsed="false">
      <c r="A14" s="0" t="s">
        <v>93</v>
      </c>
      <c r="E14" s="20" t="str">
        <f aca="false">IF(D14="?OLD","!!!","")</f>
        <v/>
      </c>
      <c r="F14" s="21" t="str">
        <f aca="false">IF(OR(E14="",E14="!!!"),"",IF(NOT(ISNA(VLOOKUP(E14,E$1:E13,1,FALSE()))),"OLD",IF(AND(E14&lt;&gt;"",E14&lt;&gt;"!!!"),"NEW","")))</f>
        <v/>
      </c>
      <c r="G14" s="22" t="str">
        <f aca="false"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aca="false">IF(J14&lt;&gt;1,"",IF(I14="SBJ","CB","?"))</f>
        <v/>
      </c>
      <c r="I14" s="24" t="str">
        <f aca="false">IF(OR(E14="",E14="!!!",F14="NEW"),"",INDEX(B$2:B13,-1+SUMPRODUCT(MAX(ROW(E$2:E13)*(E14=E$2:E13)))))</f>
        <v/>
      </c>
      <c r="J14" s="24" t="str">
        <f aca="true">IF(OR(E14="",E14="!!!",F14="NEW"),"",COUNTBLANK(OFFSET(A$1,,,SUMPRODUCT(MAX(ROW(E$2:E14)*(E14=E$2:E14)))))-COUNTBLANK(OFFSET(A$1,,,SUMPRODUCT(MAX(ROW(E$1:E13)*(E2=E$1:E13))))))</f>
        <v/>
      </c>
      <c r="K14" s="24" t="str">
        <f aca="false">IF(OR(E14="",E14="!!!",F14="NEW"),"",INDEX(J$1:J13,SUMPRODUCT(MAX(ROW(E$1:E13)*(E14=E$1:E13)))))</f>
        <v/>
      </c>
      <c r="L14" s="25"/>
    </row>
    <row r="15" customFormat="false" ht="14.25" hidden="false" customHeight="false" outlineLevel="0" collapsed="false">
      <c r="A15" s="0" t="s">
        <v>86</v>
      </c>
      <c r="E15" s="20" t="str">
        <f aca="false">IF(D15="?OLD","!!!","")</f>
        <v/>
      </c>
      <c r="F15" s="21" t="str">
        <f aca="false">IF(OR(E15="",E15="!!!"),"",IF(NOT(ISNA(VLOOKUP(E15,E$1:E14,1,FALSE()))),"OLD",IF(AND(E15&lt;&gt;"",E15&lt;&gt;"!!!"),"NEW","")))</f>
        <v/>
      </c>
      <c r="G15" s="22" t="str">
        <f aca="false"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aca="false">IF(J15&lt;&gt;1,"",IF(I15="SBJ","CB","?"))</f>
        <v/>
      </c>
      <c r="I15" s="24" t="str">
        <f aca="false">IF(OR(E15="",E15="!!!",F15="NEW"),"",INDEX(B$2:B14,-1+SUMPRODUCT(MAX(ROW(E$2:E14)*(E15=E$2:E14)))))</f>
        <v/>
      </c>
      <c r="J15" s="24" t="str">
        <f aca="true">IF(OR(E15="",E15="!!!",F15="NEW"),"",COUNTBLANK(OFFSET(A$1,,,SUMPRODUCT(MAX(ROW(E$2:E15)*(E15=E$2:E15)))))-COUNTBLANK(OFFSET(A$1,,,SUMPRODUCT(MAX(ROW(E$1:E14)*(E2=E$1:E14))))))</f>
        <v/>
      </c>
      <c r="K15" s="24" t="str">
        <f aca="false">IF(OR(E15="",E15="!!!",F15="NEW"),"",INDEX(J$1:J14,SUMPRODUCT(MAX(ROW(E$1:E14)*(E15=E$1:E14)))))</f>
        <v/>
      </c>
      <c r="L15" s="25"/>
    </row>
    <row r="16" customFormat="false" ht="14.25" hidden="false" customHeight="false" outlineLevel="0" collapsed="false">
      <c r="A16" s="0" t="s">
        <v>94</v>
      </c>
      <c r="E16" s="20" t="str">
        <f aca="false">IF(D16="?OLD","!!!","")</f>
        <v/>
      </c>
      <c r="F16" s="21" t="str">
        <f aca="false">IF(OR(E16="",E16="!!!"),"",IF(NOT(ISNA(VLOOKUP(E16,E$1:E15,1,FALSE()))),"OLD",IF(AND(E16&lt;&gt;"",E16&lt;&gt;"!!!"),"NEW","")))</f>
        <v/>
      </c>
      <c r="G16" s="22" t="str">
        <f aca="false"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aca="false">IF(J16&lt;&gt;1,"",IF(I16="SBJ","CB","?"))</f>
        <v/>
      </c>
      <c r="I16" s="24" t="str">
        <f aca="false">IF(OR(E16="",E16="!!!",F16="NEW"),"",INDEX(B$2:B15,-1+SUMPRODUCT(MAX(ROW(E$2:E15)*(E16=E$2:E15)))))</f>
        <v/>
      </c>
      <c r="J16" s="24" t="str">
        <f aca="true">IF(OR(E16="",E16="!!!",F16="NEW"),"",COUNTBLANK(OFFSET(A$1,,,SUMPRODUCT(MAX(ROW(E$2:E16)*(E16=E$2:E16)))))-COUNTBLANK(OFFSET(A$1,,,SUMPRODUCT(MAX(ROW(E$1:E15)*(E2=E$1:E15))))))</f>
        <v/>
      </c>
      <c r="K16" s="24" t="str">
        <f aca="false">IF(OR(E16="",E16="!!!",F16="NEW"),"",INDEX(J$1:J15,SUMPRODUCT(MAX(ROW(E$1:E15)*(E16=E$1:E15)))))</f>
        <v/>
      </c>
      <c r="L16" s="25"/>
    </row>
    <row r="17" customFormat="false" ht="14.25" hidden="false" customHeight="false" outlineLevel="0" collapsed="false">
      <c r="A17" s="0" t="s">
        <v>95</v>
      </c>
      <c r="B17" s="26" t="s">
        <v>96</v>
      </c>
      <c r="C17" s="26" t="s">
        <v>88</v>
      </c>
      <c r="D17" s="26" t="s">
        <v>75</v>
      </c>
      <c r="E17" s="20" t="s">
        <v>97</v>
      </c>
      <c r="F17" s="21" t="s">
        <v>98</v>
      </c>
      <c r="G17" s="22" t="e">
        <f aca="false">IF(OR(E17="",E17="!!!"),"",IF(OR(J17=0,AND(J17=1,K17=1),AND(J17=1,I17="SBJ"),AND(J17=1,I17=0)),"?IN_FOCUS",IF(J17&lt;=2,"?ACTIVATED",IF(J17&lt;&gt;"","?FAMILIAR",IF(F17="NEW",IF(ISNA(VLOOKUP(E17,#REF!,1,FALSE())),"?TYPE_IDENTIFIABLE","?REFERENTIAL"),"_")))))</f>
        <v>#VALUE!</v>
      </c>
      <c r="H17" s="23" t="str">
        <f aca="false">IF(J17&lt;&gt;1,"",IF(I17="SBJ","CB","?"))</f>
        <v/>
      </c>
      <c r="I17" s="24" t="e">
        <f aca="false">IF(OR(E17="",E17="!!!",F17="NEW"),"",INDEX(B$2:B16,-1+SUMPRODUCT(MAX(ROW(E$2:E16)*(E17=E$2:E16)))))</f>
        <v>#VALUE!</v>
      </c>
      <c r="J17" s="24" t="n">
        <f aca="true">IF(OR(E17="",E17="!!!",F17="NEW"),"",COUNTBLANK(OFFSET(A$1,,,SUMPRODUCT(MAX(ROW(E$2:E17)*(E17=E$2:E17)))))-COUNTBLANK(OFFSET(A$1,,,SUMPRODUCT(MAX(ROW(E$1:E16)*(E2=E$1:E16))))))</f>
        <v>0</v>
      </c>
      <c r="K17" s="24" t="e">
        <f aca="false">IF(OR(E17="",E17="!!!",F17="NEW"),"",INDEX(J$1:J16,SUMPRODUCT(MAX(ROW(E$1:E16)*(E17=E$1:E16)))))</f>
        <v>#VALUE!</v>
      </c>
      <c r="L17" s="27" t="s">
        <v>99</v>
      </c>
    </row>
    <row r="18" customFormat="false" ht="14.25" hidden="false" customHeight="false" outlineLevel="0" collapsed="false">
      <c r="A18" s="0" t="s">
        <v>100</v>
      </c>
      <c r="E18" s="20" t="str">
        <f aca="false">IF(D18="?OLD","!!!","")</f>
        <v/>
      </c>
      <c r="F18" s="21" t="str">
        <f aca="false">IF(OR(E18="",E18="!!!"),"",IF(NOT(ISNA(VLOOKUP(E18,E$1:E17,1,FALSE()))),"OLD",IF(AND(E18&lt;&gt;"",E18&lt;&gt;"!!!"),"NEW","")))</f>
        <v/>
      </c>
      <c r="G18" s="22" t="str">
        <f aca="false"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aca="false">IF(J18&lt;&gt;1,"",IF(I18="SBJ","CB","?"))</f>
        <v/>
      </c>
      <c r="I18" s="24" t="str">
        <f aca="false">IF(OR(E18="",E18="!!!",F18="NEW"),"",INDEX(B$2:B17,-1+SUMPRODUCT(MAX(ROW(E$2:E17)*(E18=E$2:E17)))))</f>
        <v/>
      </c>
      <c r="J18" s="24" t="str">
        <f aca="true">IF(OR(E18="",E18="!!!",F18="NEW"),"",COUNTBLANK(OFFSET(A$1,,,SUMPRODUCT(MAX(ROW(E$2:E18)*(E18=E$2:E18)))))-COUNTBLANK(OFFSET(A$1,,,SUMPRODUCT(MAX(ROW(E$1:E17)*(E2=E$1:E17))))))</f>
        <v/>
      </c>
      <c r="K18" s="24" t="str">
        <f aca="false">IF(OR(E18="",E18="!!!",F18="NEW"),"",INDEX(J$1:J17,SUMPRODUCT(MAX(ROW(E$1:E17)*(E18=E$1:E17)))))</f>
        <v/>
      </c>
      <c r="L18" s="25"/>
    </row>
    <row r="19" customFormat="false" ht="14.25" hidden="false" customHeight="false" outlineLevel="0" collapsed="false">
      <c r="A19" s="0" t="s">
        <v>101</v>
      </c>
      <c r="E19" s="20" t="str">
        <f aca="false">IF(D19="?OLD","!!!","")</f>
        <v/>
      </c>
      <c r="F19" s="21" t="str">
        <f aca="false">IF(OR(E19="",E19="!!!"),"",IF(NOT(ISNA(VLOOKUP(E19,E$1:E18,1,FALSE()))),"OLD",IF(AND(E19&lt;&gt;"",E19&lt;&gt;"!!!"),"NEW","")))</f>
        <v/>
      </c>
      <c r="G19" s="22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aca="false">IF(J19&lt;&gt;1,"",IF(I19="SBJ","CB","?"))</f>
        <v/>
      </c>
      <c r="I19" s="24" t="str">
        <f aca="false">IF(OR(E19="",E19="!!!",F19="NEW"),"",INDEX(B$2:B18,-1+SUMPRODUCT(MAX(ROW(E$2:E18)*(E19=E$2:E18)))))</f>
        <v/>
      </c>
      <c r="J19" s="24" t="str">
        <f aca="true">IF(OR(E19="",E19="!!!",F19="NEW"),"",COUNTBLANK(OFFSET(A$1,,,SUMPRODUCT(MAX(ROW(E$2:E19)*(E19=E$2:E19)))))-COUNTBLANK(OFFSET(A$1,,,SUMPRODUCT(MAX(ROW(E$1:E18)*(E2=E$1:E18))))))</f>
        <v/>
      </c>
      <c r="K19" s="24" t="str">
        <f aca="false">IF(OR(E19="",E19="!!!",F19="NEW"),"",INDEX(J$1:J18,SUMPRODUCT(MAX(ROW(E$1:E18)*(E19=E$1:E18)))))</f>
        <v/>
      </c>
      <c r="L19" s="25"/>
    </row>
    <row r="20" customFormat="false" ht="14.25" hidden="false" customHeight="false" outlineLevel="0" collapsed="false">
      <c r="A20" s="0" t="s">
        <v>102</v>
      </c>
      <c r="E20" s="20" t="str">
        <f aca="false">IF(D20="?OLD","!!!","")</f>
        <v/>
      </c>
      <c r="F20" s="21" t="str">
        <f aca="false">IF(OR(E20="",E20="!!!"),"",IF(NOT(ISNA(VLOOKUP(E20,E$1:E19,1,FALSE()))),"OLD",IF(AND(E20&lt;&gt;"",E20&lt;&gt;"!!!"),"NEW","")))</f>
        <v/>
      </c>
      <c r="G20" s="22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aca="false">IF(J20&lt;&gt;1,"",IF(I20="SBJ","CB","?"))</f>
        <v/>
      </c>
      <c r="I20" s="24" t="str">
        <f aca="false">IF(OR(E20="",E20="!!!",F20="NEW"),"",INDEX(B$2:B19,-1+SUMPRODUCT(MAX(ROW(E$2:E19)*(E20=E$2:E19)))))</f>
        <v/>
      </c>
      <c r="J20" s="24" t="str">
        <f aca="true">IF(OR(E20="",E20="!!!",F20="NEW"),"",COUNTBLANK(OFFSET(A$1,,,SUMPRODUCT(MAX(ROW(E$2:E20)*(E20=E$2:E20)))))-COUNTBLANK(OFFSET(A$1,,,SUMPRODUCT(MAX(ROW(E$1:E19)*(E2=E$1:E19))))))</f>
        <v/>
      </c>
      <c r="K20" s="24" t="str">
        <f aca="false">IF(OR(E20="",E20="!!!",F20="NEW"),"",INDEX(J$1:J19,SUMPRODUCT(MAX(ROW(E$1:E19)*(E20=E$1:E19)))))</f>
        <v/>
      </c>
      <c r="L20" s="25"/>
    </row>
    <row r="21" customFormat="false" ht="23.85" hidden="false" customHeight="false" outlineLevel="0" collapsed="false">
      <c r="A21" s="0" t="s">
        <v>103</v>
      </c>
      <c r="B21" s="26" t="s">
        <v>104</v>
      </c>
      <c r="C21" s="26" t="s">
        <v>105</v>
      </c>
      <c r="E21" s="20" t="s">
        <v>106</v>
      </c>
      <c r="F21" s="21" t="s">
        <v>107</v>
      </c>
      <c r="G21" s="22" t="e">
        <f aca="false">IF(OR(E21="",E21="!!!"),"",IF(OR(J21=0,AND(J21=1,K21=1),AND(J21=1,I21="SBJ"),AND(J21=1,I21=0)),"?IN_FOCUS",IF(J21&lt;=2,"?ACTIVATED",IF(J21&lt;&gt;"","?FAMILIAR",IF(F21="NEW",IF(ISNA(VLOOKUP(E21,#REF!,1,FALSE())),"?TYPE_IDENTIFIABLE","?REFERENTIAL"),"_")))))</f>
        <v>#VALUE!</v>
      </c>
      <c r="H21" s="23" t="str">
        <f aca="false">IF(J21&lt;&gt;1,"",IF(I21="SBJ","CB","?"))</f>
        <v/>
      </c>
      <c r="I21" s="24" t="e">
        <f aca="false">IF(OR(E21="",E21="!!!",F21="NEW"),"",INDEX(B$2:B20,-1+SUMPRODUCT(MAX(ROW(E$2:E20)*(E21=E$2:E20)))))</f>
        <v>#VALUE!</v>
      </c>
      <c r="J21" s="24" t="n">
        <f aca="true">IF(OR(E21="",E21="!!!",F21="NEW"),"",COUNTBLANK(OFFSET(A$1,,,SUMPRODUCT(MAX(ROW(E$2:E21)*(E21=E$2:E21)))))-COUNTBLANK(OFFSET(A$1,,,SUMPRODUCT(MAX(ROW(E$1:E20)*(E2=E$1:E20))))))</f>
        <v>0</v>
      </c>
      <c r="K21" s="24" t="e">
        <f aca="false">IF(OR(E21="",E21="!!!",F21="NEW"),"",INDEX(J$1:J20,SUMPRODUCT(MAX(ROW(E$1:E20)*(E21=E$1:E20)))))</f>
        <v>#VALUE!</v>
      </c>
      <c r="L21" s="27" t="s">
        <v>108</v>
      </c>
    </row>
    <row r="22" customFormat="false" ht="14.25" hidden="false" customHeight="false" outlineLevel="0" collapsed="false">
      <c r="A22" s="0" t="s">
        <v>109</v>
      </c>
      <c r="B22" s="26" t="s">
        <v>110</v>
      </c>
      <c r="C22" s="26" t="s">
        <v>111</v>
      </c>
      <c r="E22" s="20" t="str">
        <f aca="false">IF(D22="?OLD","!!!","")</f>
        <v/>
      </c>
      <c r="F22" s="21" t="str">
        <f aca="false">IF(OR(E22="",E22="!!!"),"",IF(NOT(ISNA(VLOOKUP(E22,E$1:E21,1,FALSE()))),"OLD",IF(AND(E22&lt;&gt;"",E22&lt;&gt;"!!!"),"NEW","")))</f>
        <v/>
      </c>
      <c r="G22" s="22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aca="false">IF(J22&lt;&gt;1,"",IF(I22="SBJ","CB","?"))</f>
        <v/>
      </c>
      <c r="I22" s="24" t="str">
        <f aca="false">IF(OR(E22="",E22="!!!",F22="NEW"),"",INDEX(B$2:B21,-1+SUMPRODUCT(MAX(ROW(E$2:E21)*(E22=E$2:E21)))))</f>
        <v/>
      </c>
      <c r="J22" s="24" t="str">
        <f aca="true">IF(OR(E22="",E22="!!!",F22="NEW"),"",COUNTBLANK(OFFSET(A$1,,,SUMPRODUCT(MAX(ROW(E$2:E22)*(E22=E$2:E22)))))-COUNTBLANK(OFFSET(A$1,,,SUMPRODUCT(MAX(ROW(E$1:E21)*(E2=E$1:E21))))))</f>
        <v/>
      </c>
      <c r="K22" s="24" t="str">
        <f aca="false">IF(OR(E22="",E22="!!!",F22="NEW"),"",INDEX(J$1:J21,SUMPRODUCT(MAX(ROW(E$1:E21)*(E22=E$1:E21)))))</f>
        <v/>
      </c>
      <c r="L22" s="25"/>
    </row>
    <row r="23" customFormat="false" ht="14.25" hidden="false" customHeight="false" outlineLevel="0" collapsed="false">
      <c r="A23" s="0" t="s">
        <v>112</v>
      </c>
      <c r="E23" s="20" t="str">
        <f aca="false">IF(D23="?OLD","!!!","")</f>
        <v/>
      </c>
      <c r="F23" s="21" t="str">
        <f aca="false">IF(OR(E23="",E23="!!!"),"",IF(NOT(ISNA(VLOOKUP(E23,E$1:E22,1,FALSE()))),"OLD",IF(AND(E23&lt;&gt;"",E23&lt;&gt;"!!!"),"NEW","")))</f>
        <v/>
      </c>
      <c r="G23" s="22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aca="false">IF(J23&lt;&gt;1,"",IF(I23="SBJ","CB","?"))</f>
        <v/>
      </c>
      <c r="I23" s="24" t="str">
        <f aca="false">IF(OR(E23="",E23="!!!",F23="NEW"),"",INDEX(B$2:B22,-1+SUMPRODUCT(MAX(ROW(E$2:E22)*(E23=E$2:E22)))))</f>
        <v/>
      </c>
      <c r="J23" s="24" t="str">
        <f aca="true">IF(OR(E23="",E23="!!!",F23="NEW"),"",COUNTBLANK(OFFSET(A$1,,,SUMPRODUCT(MAX(ROW(E$2:E23)*(E23=E$2:E23)))))-COUNTBLANK(OFFSET(A$1,,,SUMPRODUCT(MAX(ROW(E$1:E22)*(E2=E$1:E22))))))</f>
        <v/>
      </c>
      <c r="K23" s="24" t="str">
        <f aca="false">IF(OR(E23="",E23="!!!",F23="NEW"),"",INDEX(J$1:J22,SUMPRODUCT(MAX(ROW(E$1:E22)*(E23=E$1:E22)))))</f>
        <v/>
      </c>
      <c r="L23" s="25"/>
    </row>
    <row r="24" customFormat="false" ht="14.25" hidden="false" customHeight="false" outlineLevel="0" collapsed="false">
      <c r="A24" s="0" t="s">
        <v>113</v>
      </c>
      <c r="E24" s="20" t="str">
        <f aca="false">IF(D24="?OLD","!!!","")</f>
        <v/>
      </c>
      <c r="F24" s="21" t="str">
        <f aca="false">IF(OR(E24="",E24="!!!"),"",IF(NOT(ISNA(VLOOKUP(E24,E$1:E23,1,FALSE()))),"OLD",IF(AND(E24&lt;&gt;"",E24&lt;&gt;"!!!"),"NEW","")))</f>
        <v/>
      </c>
      <c r="G24" s="22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aca="false">IF(J24&lt;&gt;1,"",IF(I24="SBJ","CB","?"))</f>
        <v/>
      </c>
      <c r="I24" s="24" t="str">
        <f aca="false">IF(OR(E24="",E24="!!!",F24="NEW"),"",INDEX(B$2:B23,-1+SUMPRODUCT(MAX(ROW(E$2:E23)*(E24=E$2:E23)))))</f>
        <v/>
      </c>
      <c r="J24" s="24" t="str">
        <f aca="true">IF(OR(E24="",E24="!!!",F24="NEW"),"",COUNTBLANK(OFFSET(A$1,,,SUMPRODUCT(MAX(ROW(E$2:E24)*(E24=E$2:E24)))))-COUNTBLANK(OFFSET(A$1,,,SUMPRODUCT(MAX(ROW(E$1:E23)*(E2=E$1:E23))))))</f>
        <v/>
      </c>
      <c r="K24" s="24" t="str">
        <f aca="false">IF(OR(E24="",E24="!!!",F24="NEW"),"",INDEX(J$1:J23,SUMPRODUCT(MAX(ROW(E$1:E23)*(E24=E$1:E23)))))</f>
        <v/>
      </c>
      <c r="L24" s="25"/>
    </row>
    <row r="25" customFormat="false" ht="14.25" hidden="false" customHeight="false" outlineLevel="0" collapsed="false">
      <c r="A25" s="0" t="s">
        <v>114</v>
      </c>
      <c r="B25" s="26" t="s">
        <v>115</v>
      </c>
      <c r="C25" s="26" t="s">
        <v>74</v>
      </c>
      <c r="D25" s="26" t="s">
        <v>75</v>
      </c>
      <c r="E25" s="20"/>
      <c r="F25" s="21" t="s">
        <v>107</v>
      </c>
      <c r="G25" s="22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aca="false">IF(J25&lt;&gt;1,"",IF(I25="SBJ","CB","?"))</f>
        <v/>
      </c>
      <c r="I25" s="24" t="str">
        <f aca="false">IF(OR(E25="",E25="!!!",F25="NEW"),"",INDEX(B$2:B24,-1+SUMPRODUCT(MAX(ROW(E$2:E24)*(E25=E$2:E24)))))</f>
        <v/>
      </c>
      <c r="J25" s="24" t="str">
        <f aca="true">IF(OR(E25="",E25="!!!",F25="NEW"),"",COUNTBLANK(OFFSET(A$1,,,SUMPRODUCT(MAX(ROW(E$2:E25)*(E25=E$2:E25)))))-COUNTBLANK(OFFSET(A$1,,,SUMPRODUCT(MAX(ROW(E$1:E24)*(E2=E$1:E24))))))</f>
        <v/>
      </c>
      <c r="K25" s="24" t="str">
        <f aca="false">IF(OR(E25="",E25="!!!",F25="NEW"),"",INDEX(J$1:J24,SUMPRODUCT(MAX(ROW(E$1:E24)*(E25=E$1:E24)))))</f>
        <v/>
      </c>
      <c r="L25" s="25"/>
    </row>
    <row r="26" customFormat="false" ht="14.25" hidden="false" customHeight="false" outlineLevel="0" collapsed="false">
      <c r="A26" s="0" t="s">
        <v>116</v>
      </c>
      <c r="E26" s="20" t="str">
        <f aca="false">IF(D26="?OLD","!!!","")</f>
        <v/>
      </c>
      <c r="F26" s="21" t="str">
        <f aca="false">IF(OR(E26="",E26="!!!"),"",IF(NOT(ISNA(VLOOKUP(E26,E$1:E25,1,FALSE()))),"OLD",IF(AND(E26&lt;&gt;"",E26&lt;&gt;"!!!"),"NEW","")))</f>
        <v/>
      </c>
      <c r="G26" s="22" t="str">
        <f aca="false"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aca="false">IF(J26&lt;&gt;1,"",IF(I26="SBJ","CB","?"))</f>
        <v/>
      </c>
      <c r="I26" s="24" t="str">
        <f aca="false">IF(OR(E26="",E26="!!!",F26="NEW"),"",INDEX(B$2:B25,-1+SUMPRODUCT(MAX(ROW(E$2:E25)*(E26=E$2:E25)))))</f>
        <v/>
      </c>
      <c r="J26" s="24" t="str">
        <f aca="true">IF(OR(E26="",E26="!!!",F26="NEW"),"",COUNTBLANK(OFFSET(A$1,,,SUMPRODUCT(MAX(ROW(E$2:E26)*(E26=E$2:E26)))))-COUNTBLANK(OFFSET(A$1,,,SUMPRODUCT(MAX(ROW(E$1:E25)*(E2=E$1:E25))))))</f>
        <v/>
      </c>
      <c r="K26" s="24" t="str">
        <f aca="false">IF(OR(E26="",E26="!!!",F26="NEW"),"",INDEX(J$1:J25,SUMPRODUCT(MAX(ROW(E$1:E25)*(E26=E$1:E25)))))</f>
        <v/>
      </c>
      <c r="L26" s="25"/>
    </row>
    <row r="27" customFormat="false" ht="14.25" hidden="false" customHeight="false" outlineLevel="0" collapsed="false">
      <c r="A27" s="0" t="s">
        <v>117</v>
      </c>
      <c r="E27" s="20" t="str">
        <f aca="false">IF(D27="?OLD","!!!","")</f>
        <v/>
      </c>
      <c r="F27" s="21" t="str">
        <f aca="false">IF(OR(E27="",E27="!!!"),"",IF(NOT(ISNA(VLOOKUP(E27,E$1:E26,1,FALSE()))),"OLD",IF(AND(E27&lt;&gt;"",E27&lt;&gt;"!!!"),"NEW","")))</f>
        <v/>
      </c>
      <c r="G27" s="22" t="str">
        <f aca="false"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aca="false">IF(J27&lt;&gt;1,"",IF(I27="SBJ","CB","?"))</f>
        <v/>
      </c>
      <c r="I27" s="24" t="str">
        <f aca="false">IF(OR(E27="",E27="!!!",F27="NEW"),"",INDEX(B$2:B26,-1+SUMPRODUCT(MAX(ROW(E$2:E26)*(E27=E$2:E26)))))</f>
        <v/>
      </c>
      <c r="J27" s="24" t="str">
        <f aca="true">IF(OR(E27="",E27="!!!",F27="NEW"),"",COUNTBLANK(OFFSET(A$1,,,SUMPRODUCT(MAX(ROW(E$2:E27)*(E27=E$2:E27)))))-COUNTBLANK(OFFSET(A$1,,,SUMPRODUCT(MAX(ROW(E$1:E26)*(E2=E$1:E26))))))</f>
        <v/>
      </c>
      <c r="K27" s="24" t="str">
        <f aca="false">IF(OR(E27="",E27="!!!",F27="NEW"),"",INDEX(J$1:J26,SUMPRODUCT(MAX(ROW(E$1:E26)*(E27=E$1:E26)))))</f>
        <v/>
      </c>
      <c r="L27" s="25"/>
    </row>
    <row r="28" customFormat="false" ht="14.25" hidden="false" customHeight="false" outlineLevel="0" collapsed="false">
      <c r="A28" s="0" t="s">
        <v>118</v>
      </c>
      <c r="B28" s="26" t="s">
        <v>110</v>
      </c>
      <c r="C28" s="26" t="s">
        <v>119</v>
      </c>
      <c r="E28" s="20" t="str">
        <f aca="false">IF(D28="?OLD","!!!","")</f>
        <v/>
      </c>
      <c r="F28" s="21" t="str">
        <f aca="false">IF(OR(E28="",E28="!!!"),"",IF(NOT(ISNA(VLOOKUP(E28,E$1:E27,1,FALSE()))),"OLD",IF(AND(E28&lt;&gt;"",E28&lt;&gt;"!!!"),"NEW","")))</f>
        <v/>
      </c>
      <c r="G28" s="22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aca="false">IF(J28&lt;&gt;1,"",IF(I28="SBJ","CB","?"))</f>
        <v/>
      </c>
      <c r="I28" s="24" t="str">
        <f aca="false">IF(OR(E28="",E28="!!!",F28="NEW"),"",INDEX(B$2:B27,-1+SUMPRODUCT(MAX(ROW(E$2:E27)*(E28=E$2:E27)))))</f>
        <v/>
      </c>
      <c r="J28" s="24" t="str">
        <f aca="true">IF(OR(E28="",E28="!!!",F28="NEW"),"",COUNTBLANK(OFFSET(A$1,,,SUMPRODUCT(MAX(ROW(E$2:E28)*(E28=E$2:E28)))))-COUNTBLANK(OFFSET(A$1,,,SUMPRODUCT(MAX(ROW(E$1:E27)*(E2=E$1:E27))))))</f>
        <v/>
      </c>
      <c r="K28" s="24" t="str">
        <f aca="false">IF(OR(E28="",E28="!!!",F28="NEW"),"",INDEX(J$1:J27,SUMPRODUCT(MAX(ROW(E$1:E27)*(E28=E$1:E27)))))</f>
        <v/>
      </c>
      <c r="L28" s="25"/>
    </row>
    <row r="29" customFormat="false" ht="14.25" hidden="false" customHeight="false" outlineLevel="0" collapsed="false">
      <c r="A29" s="0" t="s">
        <v>120</v>
      </c>
      <c r="E29" s="20" t="str">
        <f aca="false">IF(D29="?OLD","!!!","")</f>
        <v/>
      </c>
      <c r="F29" s="21" t="str">
        <f aca="false">IF(OR(E29="",E29="!!!"),"",IF(NOT(ISNA(VLOOKUP(E29,E$1:E28,1,FALSE()))),"OLD",IF(AND(E29&lt;&gt;"",E29&lt;&gt;"!!!"),"NEW","")))</f>
        <v/>
      </c>
      <c r="G29" s="22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aca="false">IF(J29&lt;&gt;1,"",IF(I29="SBJ","CB","?"))</f>
        <v/>
      </c>
      <c r="I29" s="24" t="str">
        <f aca="false">IF(OR(E29="",E29="!!!",F29="NEW"),"",INDEX(B$2:B28,-1+SUMPRODUCT(MAX(ROW(E$2:E28)*(E29=E$2:E28)))))</f>
        <v/>
      </c>
      <c r="J29" s="24" t="str">
        <f aca="true">IF(OR(E29="",E29="!!!",F29="NEW"),"",COUNTBLANK(OFFSET(A$1,,,SUMPRODUCT(MAX(ROW(E$2:E29)*(E29=E$2:E29)))))-COUNTBLANK(OFFSET(A$1,,,SUMPRODUCT(MAX(ROW(E$1:E28)*(E2=E$1:E28))))))</f>
        <v/>
      </c>
      <c r="K29" s="24" t="str">
        <f aca="false">IF(OR(E29="",E29="!!!",F29="NEW"),"",INDEX(J$1:J28,SUMPRODUCT(MAX(ROW(E$1:E28)*(E29=E$1:E28)))))</f>
        <v/>
      </c>
      <c r="L29" s="25"/>
    </row>
    <row r="30" customFormat="false" ht="14.25" hidden="false" customHeight="false" outlineLevel="0" collapsed="false">
      <c r="A30" s="0" t="s">
        <v>86</v>
      </c>
      <c r="E30" s="20" t="str">
        <f aca="false">IF(D30="?OLD","!!!","")</f>
        <v/>
      </c>
      <c r="F30" s="21" t="str">
        <f aca="false">IF(OR(E30="",E30="!!!"),"",IF(NOT(ISNA(VLOOKUP(E30,E$1:E29,1,FALSE()))),"OLD",IF(AND(E30&lt;&gt;"",E30&lt;&gt;"!!!"),"NEW","")))</f>
        <v/>
      </c>
      <c r="G30" s="22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aca="false">IF(J30&lt;&gt;1,"",IF(I30="SBJ","CB","?"))</f>
        <v/>
      </c>
      <c r="I30" s="24" t="str">
        <f aca="false">IF(OR(E30="",E30="!!!",F30="NEW"),"",INDEX(B$2:B29,-1+SUMPRODUCT(MAX(ROW(E$2:E29)*(E30=E$2:E29)))))</f>
        <v/>
      </c>
      <c r="J30" s="24" t="str">
        <f aca="true">IF(OR(E30="",E30="!!!",F30="NEW"),"",COUNTBLANK(OFFSET(A$1,,,SUMPRODUCT(MAX(ROW(E$2:E30)*(E30=E$2:E30)))))-COUNTBLANK(OFFSET(A$1,,,SUMPRODUCT(MAX(ROW(E$1:E29)*(E2=E$1:E29))))))</f>
        <v/>
      </c>
      <c r="K30" s="24" t="str">
        <f aca="false">IF(OR(E30="",E30="!!!",F30="NEW"),"",INDEX(J$1:J29,SUMPRODUCT(MAX(ROW(E$1:E29)*(E30=E$1:E29)))))</f>
        <v/>
      </c>
      <c r="L30" s="25"/>
    </row>
    <row r="31" customFormat="false" ht="14.25" hidden="false" customHeight="false" outlineLevel="0" collapsed="false">
      <c r="A31" s="0" t="s">
        <v>121</v>
      </c>
      <c r="E31" s="20" t="str">
        <f aca="false">IF(D31="?OLD","!!!","")</f>
        <v/>
      </c>
      <c r="F31" s="21" t="str">
        <f aca="false">IF(OR(E31="",E31="!!!"),"",IF(NOT(ISNA(VLOOKUP(E31,E$1:E30,1,FALSE()))),"OLD",IF(AND(E31&lt;&gt;"",E31&lt;&gt;"!!!"),"NEW","")))</f>
        <v/>
      </c>
      <c r="G31" s="22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aca="false">IF(J31&lt;&gt;1,"",IF(I31="SBJ","CB","?"))</f>
        <v/>
      </c>
      <c r="I31" s="24" t="str">
        <f aca="false">IF(OR(E31="",E31="!!!",F31="NEW"),"",INDEX(B$2:B30,-1+SUMPRODUCT(MAX(ROW(E$2:E30)*(E31=E$2:E30)))))</f>
        <v/>
      </c>
      <c r="J31" s="24" t="str">
        <f aca="true">IF(OR(E31="",E31="!!!",F31="NEW"),"",COUNTBLANK(OFFSET(A$1,,,SUMPRODUCT(MAX(ROW(E$2:E31)*(E31=E$2:E31)))))-COUNTBLANK(OFFSET(A$1,,,SUMPRODUCT(MAX(ROW(E$1:E30)*(E2=E$1:E30))))))</f>
        <v/>
      </c>
      <c r="K31" s="24" t="str">
        <f aca="false">IF(OR(E31="",E31="!!!",F31="NEW"),"",INDEX(J$1:J30,SUMPRODUCT(MAX(ROW(E$1:E30)*(E31=E$1:E30)))))</f>
        <v/>
      </c>
      <c r="L31" s="25"/>
    </row>
    <row r="32" customFormat="false" ht="14.25" hidden="false" customHeight="false" outlineLevel="0" collapsed="false">
      <c r="A32" s="0" t="s">
        <v>122</v>
      </c>
      <c r="E32" s="20" t="str">
        <f aca="false">IF(D32="?OLD","!!!","")</f>
        <v/>
      </c>
      <c r="F32" s="21" t="str">
        <f aca="false">IF(OR(E32="",E32="!!!"),"",IF(NOT(ISNA(VLOOKUP(E32,E$1:E31,1,FALSE()))),"OLD",IF(AND(E32&lt;&gt;"",E32&lt;&gt;"!!!"),"NEW","")))</f>
        <v/>
      </c>
      <c r="G32" s="22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aca="false">IF(J32&lt;&gt;1,"",IF(I32="SBJ","CB","?"))</f>
        <v/>
      </c>
      <c r="I32" s="24" t="str">
        <f aca="false">IF(OR(E32="",E32="!!!",F32="NEW"),"",INDEX(B$2:B31,-1+SUMPRODUCT(MAX(ROW(E$2:E31)*(E32=E$2:E31)))))</f>
        <v/>
      </c>
      <c r="J32" s="24" t="str">
        <f aca="true">IF(OR(E32="",E32="!!!",F32="NEW"),"",COUNTBLANK(OFFSET(A$1,,,SUMPRODUCT(MAX(ROW(E$2:E32)*(E32=E$2:E32)))))-COUNTBLANK(OFFSET(A$1,,,SUMPRODUCT(MAX(ROW(E$1:E31)*(E2=E$1:E31))))))</f>
        <v/>
      </c>
      <c r="K32" s="24" t="str">
        <f aca="false">IF(OR(E32="",E32="!!!",F32="NEW"),"",INDEX(J$1:J31,SUMPRODUCT(MAX(ROW(E$1:E31)*(E32=E$1:E31)))))</f>
        <v/>
      </c>
      <c r="L32" s="25"/>
    </row>
    <row r="33" customFormat="false" ht="14.25" hidden="false" customHeight="false" outlineLevel="0" collapsed="false">
      <c r="A33" s="0" t="s">
        <v>123</v>
      </c>
      <c r="B33" s="26" t="s">
        <v>96</v>
      </c>
      <c r="C33" s="26" t="s">
        <v>88</v>
      </c>
      <c r="D33" s="26" t="s">
        <v>75</v>
      </c>
      <c r="E33" s="20"/>
      <c r="F33" s="21" t="s">
        <v>124</v>
      </c>
      <c r="G33" s="22" t="str">
        <f aca="false"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aca="false">IF(J33&lt;&gt;1,"",IF(I33="SBJ","CB","?"))</f>
        <v/>
      </c>
      <c r="I33" s="24" t="str">
        <f aca="false">IF(OR(E33="",E33="!!!",F33="NEW"),"",INDEX(B$2:B32,-1+SUMPRODUCT(MAX(ROW(E$2:E32)*(E33=E$2:E32)))))</f>
        <v/>
      </c>
      <c r="J33" s="24" t="str">
        <f aca="true">IF(OR(E33="",E33="!!!",F33="NEW"),"",COUNTBLANK(OFFSET(A$1,,,SUMPRODUCT(MAX(ROW(E$2:E33)*(E33=E$2:E33)))))-COUNTBLANK(OFFSET(A$1,,,SUMPRODUCT(MAX(ROW(E$1:E32)*(E2=E$1:E32))))))</f>
        <v/>
      </c>
      <c r="K33" s="24" t="str">
        <f aca="false">IF(OR(E33="",E33="!!!",F33="NEW"),"",INDEX(J$1:J32,SUMPRODUCT(MAX(ROW(E$1:E32)*(E33=E$1:E32)))))</f>
        <v/>
      </c>
      <c r="L33" s="25"/>
    </row>
    <row r="34" customFormat="false" ht="14.25" hidden="false" customHeight="false" outlineLevel="0" collapsed="false">
      <c r="A34" s="0" t="s">
        <v>125</v>
      </c>
      <c r="E34" s="20" t="str">
        <f aca="false">IF(D34="?OLD","!!!","")</f>
        <v/>
      </c>
      <c r="F34" s="21" t="str">
        <f aca="false">IF(OR(E34="",E34="!!!"),"",IF(NOT(ISNA(VLOOKUP(E34,E$1:E33,1,FALSE()))),"OLD",IF(AND(E34&lt;&gt;"",E34&lt;&gt;"!!!"),"NEW","")))</f>
        <v/>
      </c>
      <c r="G34" s="22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aca="false">IF(J34&lt;&gt;1,"",IF(I34="SBJ","CB","?"))</f>
        <v/>
      </c>
      <c r="I34" s="24" t="str">
        <f aca="false">IF(OR(E34="",E34="!!!",F34="NEW"),"",INDEX(B$2:B33,-1+SUMPRODUCT(MAX(ROW(E$2:E33)*(E34=E$2:E33)))))</f>
        <v/>
      </c>
      <c r="J34" s="24" t="str">
        <f aca="true">IF(OR(E34="",E34="!!!",F34="NEW"),"",COUNTBLANK(OFFSET(A$1,,,SUMPRODUCT(MAX(ROW(E$2:E34)*(E34=E$2:E34)))))-COUNTBLANK(OFFSET(A$1,,,SUMPRODUCT(MAX(ROW(E$1:E33)*(E2=E$1:E33))))))</f>
        <v/>
      </c>
      <c r="K34" s="24" t="str">
        <f aca="false">IF(OR(E34="",E34="!!!",F34="NEW"),"",INDEX(J$1:J33,SUMPRODUCT(MAX(ROW(E$1:E33)*(E34=E$1:E33)))))</f>
        <v/>
      </c>
      <c r="L34" s="25"/>
    </row>
    <row r="35" customFormat="false" ht="14.25" hidden="false" customHeight="false" outlineLevel="0" collapsed="false">
      <c r="A35" s="0" t="s">
        <v>126</v>
      </c>
      <c r="B35" s="26" t="s">
        <v>82</v>
      </c>
      <c r="C35" s="26" t="s">
        <v>105</v>
      </c>
      <c r="E35" s="20" t="s">
        <v>127</v>
      </c>
      <c r="F35" s="21" t="str">
        <f aca="false">IF(OR(E35="",E35="!!!"),"",IF(NOT(ISNA(VLOOKUP(E35,E$1:E34,1,FALSE()))),"OLD",IF(AND(E35&lt;&gt;"",E35&lt;&gt;"!!!"),"NEW","")))</f>
        <v>NEW</v>
      </c>
      <c r="G35" s="22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>?REFERENTIAL</v>
      </c>
      <c r="H35" s="23" t="str">
        <f aca="false">IF(J35&lt;&gt;1,"",IF(I35="SBJ","CB","?"))</f>
        <v/>
      </c>
      <c r="I35" s="24" t="str">
        <f aca="false">IF(OR(E35="",E35="!!!",F35="NEW"),"",INDEX(B$2:B34,-1+SUMPRODUCT(MAX(ROW(E$2:E34)*(E35=E$2:E34)))))</f>
        <v/>
      </c>
      <c r="J35" s="24" t="str">
        <f aca="true">IF(OR(E35="",E35="!!!",F35="NEW"),"",COUNTBLANK(OFFSET(A$1,,,SUMPRODUCT(MAX(ROW(E$2:E35)*(E35=E$2:E35)))))-COUNTBLANK(OFFSET(A$1,,,SUMPRODUCT(MAX(ROW(E$1:E34)*(E2=E$1:E34))))))</f>
        <v/>
      </c>
      <c r="K35" s="24" t="str">
        <f aca="false">IF(OR(E35="",E35="!!!",F35="NEW"),"",INDEX(J$1:J34,SUMPRODUCT(MAX(ROW(E$1:E34)*(E35=E$1:E34)))))</f>
        <v/>
      </c>
      <c r="L35" s="27" t="s">
        <v>128</v>
      </c>
    </row>
    <row r="36" customFormat="false" ht="14.25" hidden="false" customHeight="false" outlineLevel="0" collapsed="false">
      <c r="A36" s="0" t="s">
        <v>129</v>
      </c>
      <c r="E36" s="20" t="str">
        <f aca="false">IF(D36="?OLD","!!!","")</f>
        <v/>
      </c>
      <c r="F36" s="21" t="str">
        <f aca="false">IF(OR(E36="",E36="!!!"),"",IF(NOT(ISNA(VLOOKUP(E36,E$1:E35,1,FALSE()))),"OLD",IF(AND(E36&lt;&gt;"",E36&lt;&gt;"!!!"),"NEW","")))</f>
        <v/>
      </c>
      <c r="G36" s="22" t="str">
        <f aca="false"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aca="false">IF(J36&lt;&gt;1,"",IF(I36="SBJ","CB","?"))</f>
        <v/>
      </c>
      <c r="I36" s="24" t="str">
        <f aca="false">IF(OR(E36="",E36="!!!",F36="NEW"),"",INDEX(B$2:B35,-1+SUMPRODUCT(MAX(ROW(E$2:E35)*(E36=E$2:E35)))))</f>
        <v/>
      </c>
      <c r="J36" s="24" t="str">
        <f aca="true">IF(OR(E36="",E36="!!!",F36="NEW"),"",COUNTBLANK(OFFSET(A$1,,,SUMPRODUCT(MAX(ROW(E$2:E36)*(E36=E$2:E36)))))-COUNTBLANK(OFFSET(A$1,,,SUMPRODUCT(MAX(ROW(E$1:E35)*(E2=E$1:E35))))))</f>
        <v/>
      </c>
      <c r="K36" s="24" t="str">
        <f aca="false">IF(OR(E36="",E36="!!!",F36="NEW"),"",INDEX(J$1:J35,SUMPRODUCT(MAX(ROW(E$1:E35)*(E36=E$1:E35)))))</f>
        <v/>
      </c>
      <c r="L36" s="25"/>
    </row>
    <row r="37" customFormat="false" ht="14.25" hidden="false" customHeight="false" outlineLevel="0" collapsed="false">
      <c r="A37" s="0" t="s">
        <v>86</v>
      </c>
      <c r="E37" s="20" t="str">
        <f aca="false">IF(D37="?OLD","!!!","")</f>
        <v/>
      </c>
      <c r="F37" s="21" t="str">
        <f aca="false">IF(OR(E37="",E37="!!!"),"",IF(NOT(ISNA(VLOOKUP(E37,E$1:E36,1,FALSE()))),"OLD",IF(AND(E37&lt;&gt;"",E37&lt;&gt;"!!!"),"NEW","")))</f>
        <v/>
      </c>
      <c r="G37" s="22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aca="false">IF(J37&lt;&gt;1,"",IF(I37="SBJ","CB","?"))</f>
        <v/>
      </c>
      <c r="I37" s="24" t="str">
        <f aca="false">IF(OR(E37="",E37="!!!",F37="NEW"),"",INDEX(B$2:B36,-1+SUMPRODUCT(MAX(ROW(E$2:E36)*(E37=E$2:E36)))))</f>
        <v/>
      </c>
      <c r="J37" s="24" t="str">
        <f aca="true">IF(OR(E37="",E37="!!!",F37="NEW"),"",COUNTBLANK(OFFSET(A$1,,,SUMPRODUCT(MAX(ROW(E$2:E37)*(E37=E$2:E37)))))-COUNTBLANK(OFFSET(A$1,,,SUMPRODUCT(MAX(ROW(E$1:E36)*(E2=E$1:E36))))))</f>
        <v/>
      </c>
      <c r="K37" s="24" t="str">
        <f aca="false">IF(OR(E37="",E37="!!!",F37="NEW"),"",INDEX(J$1:J36,SUMPRODUCT(MAX(ROW(E$1:E36)*(E37=E$1:E36)))))</f>
        <v/>
      </c>
      <c r="L37" s="25"/>
    </row>
    <row r="38" customFormat="false" ht="14.25" hidden="false" customHeight="false" outlineLevel="0" collapsed="false">
      <c r="A38" s="0" t="s">
        <v>130</v>
      </c>
      <c r="E38" s="20" t="str">
        <f aca="false">IF(D38="?OLD","!!!","")</f>
        <v/>
      </c>
      <c r="F38" s="21" t="str">
        <f aca="false">IF(OR(E38="",E38="!!!"),"",IF(NOT(ISNA(VLOOKUP(E38,E$1:E37,1,FALSE()))),"OLD",IF(AND(E38&lt;&gt;"",E38&lt;&gt;"!!!"),"NEW","")))</f>
        <v/>
      </c>
      <c r="G38" s="22" t="str">
        <f aca="false"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aca="false">IF(J38&lt;&gt;1,"",IF(I38="SBJ","CB","?"))</f>
        <v/>
      </c>
      <c r="I38" s="24" t="str">
        <f aca="false">IF(OR(E38="",E38="!!!",F38="NEW"),"",INDEX(B$2:B37,-1+SUMPRODUCT(MAX(ROW(E$2:E37)*(E38=E$2:E37)))))</f>
        <v/>
      </c>
      <c r="J38" s="24" t="str">
        <f aca="true">IF(OR(E38="",E38="!!!",F38="NEW"),"",COUNTBLANK(OFFSET(A$1,,,SUMPRODUCT(MAX(ROW(E$2:E38)*(E38=E$2:E38)))))-COUNTBLANK(OFFSET(A$1,,,SUMPRODUCT(MAX(ROW(E$1:E37)*(E2=E$1:E37))))))</f>
        <v/>
      </c>
      <c r="K38" s="24" t="str">
        <f aca="false">IF(OR(E38="",E38="!!!",F38="NEW"),"",INDEX(J$1:J37,SUMPRODUCT(MAX(ROW(E$1:E37)*(E38=E$1:E37)))))</f>
        <v/>
      </c>
      <c r="L38" s="25"/>
    </row>
    <row r="39" customFormat="false" ht="14.25" hidden="false" customHeight="false" outlineLevel="0" collapsed="false">
      <c r="A39" s="0" t="s">
        <v>126</v>
      </c>
      <c r="B39" s="26" t="s">
        <v>131</v>
      </c>
      <c r="C39" s="26" t="s">
        <v>105</v>
      </c>
      <c r="E39" s="20" t="s">
        <v>127</v>
      </c>
      <c r="F39" s="21" t="str">
        <f aca="false">IF(OR(E39="",E39="!!!"),"",IF(NOT(ISNA(VLOOKUP(E39,E$1:E38,1,FALSE()))),"OLD",IF(AND(E39&lt;&gt;"",E39&lt;&gt;"!!!"),"NEW","")))</f>
        <v>OLD</v>
      </c>
      <c r="G39" s="22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>?IN_FOCUS</v>
      </c>
      <c r="H39" s="23" t="str">
        <f aca="false">IF(J39&lt;&gt;1,"",IF(I39="SBJ","CB","?"))</f>
        <v/>
      </c>
      <c r="I39" s="24" t="str">
        <f aca="false">IF(OR(E39="",E39="!!!",F39="NEW"),"",INDEX(B$2:B38,-1+SUMPRODUCT(MAX(ROW(E$2:E38)*(E39=E$2:E38)))))</f>
        <v>other_2</v>
      </c>
      <c r="J39" s="24" t="n">
        <f aca="true">IF(OR(E39="",E39="!!!",F39="NEW"),"",COUNTBLANK(OFFSET(A$1,,,SUMPRODUCT(MAX(ROW(E$2:E39)*(E39=E$2:E39)))))-COUNTBLANK(OFFSET(A$1,,,SUMPRODUCT(MAX(ROW(E$1:E38)*(E2=E$1:E38))))))</f>
        <v>0</v>
      </c>
      <c r="K39" s="24" t="str">
        <f aca="false">IF(OR(E39="",E39="!!!",F39="NEW"),"",INDEX(J$1:J38,SUMPRODUCT(MAX(ROW(E$1:E38)*(E39=E$1:E38)))))</f>
        <v/>
      </c>
      <c r="L39" s="25"/>
    </row>
    <row r="40" customFormat="false" ht="14.25" hidden="false" customHeight="false" outlineLevel="0" collapsed="false">
      <c r="A40" s="0" t="s">
        <v>132</v>
      </c>
      <c r="B40" s="26" t="s">
        <v>82</v>
      </c>
      <c r="C40" s="26" t="s">
        <v>133</v>
      </c>
      <c r="D40" s="26" t="s">
        <v>75</v>
      </c>
      <c r="E40" s="20"/>
      <c r="F40" s="21" t="str">
        <f aca="false">IF(OR(E40="",E40="!!!"),"",IF(NOT(ISNA(VLOOKUP(E40,E$1:E39,1,FALSE()))),"OLD",IF(AND(E40&lt;&gt;"",E40&lt;&gt;"!!!"),"NEW","")))</f>
        <v/>
      </c>
      <c r="G40" s="22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aca="false">IF(J40&lt;&gt;1,"",IF(I40="SBJ","CB","?"))</f>
        <v/>
      </c>
      <c r="I40" s="24" t="str">
        <f aca="false">IF(OR(E40="",E40="!!!",F40="NEW"),"",INDEX(B$2:B39,-1+SUMPRODUCT(MAX(ROW(E$2:E39)*(E40=E$2:E39)))))</f>
        <v/>
      </c>
      <c r="J40" s="24" t="str">
        <f aca="true">IF(OR(E40="",E40="!!!",F40="NEW"),"",COUNTBLANK(OFFSET(A$1,,,SUMPRODUCT(MAX(ROW(E$2:E40)*(E40=E$2:E40)))))-COUNTBLANK(OFFSET(A$1,,,SUMPRODUCT(MAX(ROW(E$1:E39)*(E2=E$1:E39))))))</f>
        <v/>
      </c>
      <c r="K40" s="24" t="str">
        <f aca="false">IF(OR(E40="",E40="!!!",F40="NEW"),"",INDEX(J$1:J39,SUMPRODUCT(MAX(ROW(E$1:E39)*(E40=E$1:E39)))))</f>
        <v/>
      </c>
      <c r="L40" s="27" t="s">
        <v>134</v>
      </c>
    </row>
    <row r="41" customFormat="false" ht="14.25" hidden="false" customHeight="false" outlineLevel="0" collapsed="false">
      <c r="A41" s="0" t="s">
        <v>95</v>
      </c>
      <c r="B41" s="26" t="s">
        <v>73</v>
      </c>
      <c r="C41" s="26" t="s">
        <v>88</v>
      </c>
      <c r="D41" s="26" t="s">
        <v>75</v>
      </c>
      <c r="E41" s="20" t="s">
        <v>97</v>
      </c>
      <c r="F41" s="21" t="str">
        <f aca="false">IF(OR(E41="",E41="!!!"),"",IF(NOT(ISNA(VLOOKUP(E41,E$1:E40,1,FALSE()))),"OLD",IF(AND(E41&lt;&gt;"",E41&lt;&gt;"!!!"),"NEW","")))</f>
        <v>OLD</v>
      </c>
      <c r="G41" s="22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>?IN_FOCUS</v>
      </c>
      <c r="H41" s="23" t="str">
        <f aca="false">IF(J41&lt;&gt;1,"",IF(I41="SBJ","CB","?"))</f>
        <v/>
      </c>
      <c r="I41" s="24" t="str">
        <f aca="false">IF(OR(E41="",E41="!!!",F41="NEW"),"",INDEX(B$2:B40,-1+SUMPRODUCT(MAX(ROW(E$2:E40)*(E41=E$2:E40)))))</f>
        <v>SBJ_2</v>
      </c>
      <c r="J41" s="24" t="n">
        <f aca="true">IF(OR(E41="",E41="!!!",F41="NEW"),"",COUNTBLANK(OFFSET(A$1,,,SUMPRODUCT(MAX(ROW(E$2:E41)*(E41=E$2:E41)))))-COUNTBLANK(OFFSET(A$1,,,SUMPRODUCT(MAX(ROW(E$1:E40)*(E2=E$1:E40))))))</f>
        <v>0</v>
      </c>
      <c r="K41" s="24" t="n">
        <f aca="false">IF(OR(E41="",E41="!!!",F41="NEW"),"",INDEX(J$1:J40,SUMPRODUCT(MAX(ROW(E$1:E40)*(E41=E$1:E40)))))</f>
        <v>0</v>
      </c>
      <c r="L41" s="27" t="s">
        <v>135</v>
      </c>
    </row>
    <row r="42" customFormat="false" ht="14.25" hidden="false" customHeight="false" outlineLevel="0" collapsed="false">
      <c r="A42" s="0" t="s">
        <v>136</v>
      </c>
      <c r="E42" s="20" t="str">
        <f aca="false">IF(D42="?OLD","!!!","")</f>
        <v/>
      </c>
      <c r="F42" s="21" t="str">
        <f aca="false">IF(OR(E42="",E42="!!!"),"",IF(NOT(ISNA(VLOOKUP(E42,E$1:E41,1,FALSE()))),"OLD",IF(AND(E42&lt;&gt;"",E42&lt;&gt;"!!!"),"NEW","")))</f>
        <v/>
      </c>
      <c r="G42" s="22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aca="false">IF(J42&lt;&gt;1,"",IF(I42="SBJ","CB","?"))</f>
        <v/>
      </c>
      <c r="I42" s="24" t="str">
        <f aca="false">IF(OR(E42="",E42="!!!",F42="NEW"),"",INDEX(B$2:B41,-1+SUMPRODUCT(MAX(ROW(E$2:E41)*(E42=E$2:E41)))))</f>
        <v/>
      </c>
      <c r="J42" s="24" t="str">
        <f aca="true">IF(OR(E42="",E42="!!!",F42="NEW"),"",COUNTBLANK(OFFSET(A$1,,,SUMPRODUCT(MAX(ROW(E$2:E42)*(E42=E$2:E42)))))-COUNTBLANK(OFFSET(A$1,,,SUMPRODUCT(MAX(ROW(E$1:E41)*(E2=E$1:E41))))))</f>
        <v/>
      </c>
      <c r="K42" s="24" t="str">
        <f aca="false">IF(OR(E42="",E42="!!!",F42="NEW"),"",INDEX(J$1:J41,SUMPRODUCT(MAX(ROW(E$1:E41)*(E42=E$1:E41)))))</f>
        <v/>
      </c>
      <c r="L42" s="25"/>
    </row>
    <row r="43" customFormat="false" ht="14.25" hidden="false" customHeight="false" outlineLevel="0" collapsed="false">
      <c r="A43" s="0" t="s">
        <v>92</v>
      </c>
      <c r="E43" s="20" t="str">
        <f aca="false">IF(D43="?OLD","!!!","")</f>
        <v/>
      </c>
      <c r="F43" s="21" t="str">
        <f aca="false">IF(OR(E43="",E43="!!!"),"",IF(NOT(ISNA(VLOOKUP(E43,E$1:E42,1,FALSE()))),"OLD",IF(AND(E43&lt;&gt;"",E43&lt;&gt;"!!!"),"NEW","")))</f>
        <v/>
      </c>
      <c r="G43" s="22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aca="false">IF(J43&lt;&gt;1,"",IF(I43="SBJ","CB","?"))</f>
        <v/>
      </c>
      <c r="I43" s="24" t="str">
        <f aca="false">IF(OR(E43="",E43="!!!",F43="NEW"),"",INDEX(B$2:B42,-1+SUMPRODUCT(MAX(ROW(E$2:E42)*(E43=E$2:E42)))))</f>
        <v/>
      </c>
      <c r="J43" s="24" t="str">
        <f aca="true">IF(OR(E43="",E43="!!!",F43="NEW"),"",COUNTBLANK(OFFSET(A$1,,,SUMPRODUCT(MAX(ROW(E$2:E43)*(E43=E$2:E43)))))-COUNTBLANK(OFFSET(A$1,,,SUMPRODUCT(MAX(ROW(E$1:E42)*(E2=E$1:E42))))))</f>
        <v/>
      </c>
      <c r="K43" s="24" t="str">
        <f aca="false">IF(OR(E43="",E43="!!!",F43="NEW"),"",INDEX(J$1:J42,SUMPRODUCT(MAX(ROW(E$1:E42)*(E43=E$1:E42)))))</f>
        <v/>
      </c>
      <c r="L43" s="25"/>
    </row>
    <row r="44" customFormat="false" ht="14.25" hidden="false" customHeight="false" outlineLevel="0" collapsed="false">
      <c r="A44" s="0" t="s">
        <v>137</v>
      </c>
      <c r="E44" s="20" t="str">
        <f aca="false">IF(D44="?OLD","!!!","")</f>
        <v/>
      </c>
      <c r="F44" s="21" t="str">
        <f aca="false">IF(OR(E44="",E44="!!!"),"",IF(NOT(ISNA(VLOOKUP(E44,E$1:E43,1,FALSE()))),"OLD",IF(AND(E44&lt;&gt;"",E44&lt;&gt;"!!!"),"NEW","")))</f>
        <v/>
      </c>
      <c r="G44" s="22" t="str">
        <f aca="false"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aca="false">IF(J44&lt;&gt;1,"",IF(I44="SBJ","CB","?"))</f>
        <v/>
      </c>
      <c r="I44" s="24" t="str">
        <f aca="false">IF(OR(E44="",E44="!!!",F44="NEW"),"",INDEX(B$2:B43,-1+SUMPRODUCT(MAX(ROW(E$2:E43)*(E44=E$2:E43)))))</f>
        <v/>
      </c>
      <c r="J44" s="24" t="str">
        <f aca="true">IF(OR(E44="",E44="!!!",F44="NEW"),"",COUNTBLANK(OFFSET(A$1,,,SUMPRODUCT(MAX(ROW(E$2:E44)*(E44=E$2:E44)))))-COUNTBLANK(OFFSET(A$1,,,SUMPRODUCT(MAX(ROW(E$1:E43)*(E2=E$1:E43))))))</f>
        <v/>
      </c>
      <c r="K44" s="24" t="str">
        <f aca="false">IF(OR(E44="",E44="!!!",F44="NEW"),"",INDEX(J$1:J43,SUMPRODUCT(MAX(ROW(E$1:E43)*(E44=E$1:E43)))))</f>
        <v/>
      </c>
      <c r="L44" s="25"/>
    </row>
    <row r="45" customFormat="false" ht="14.25" hidden="false" customHeight="false" outlineLevel="0" collapsed="false">
      <c r="A45" s="0" t="s">
        <v>138</v>
      </c>
      <c r="B45" s="26" t="s">
        <v>91</v>
      </c>
      <c r="C45" s="26" t="s">
        <v>74</v>
      </c>
      <c r="D45" s="26" t="s">
        <v>75</v>
      </c>
      <c r="E45" s="20"/>
      <c r="F45" s="21" t="s">
        <v>139</v>
      </c>
      <c r="G45" s="22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aca="false">IF(J45&lt;&gt;1,"",IF(I45="SBJ","CB","?"))</f>
        <v/>
      </c>
      <c r="I45" s="24" t="str">
        <f aca="false">IF(OR(E45="",E45="!!!",F45="NEW"),"",INDEX(B$2:B44,-1+SUMPRODUCT(MAX(ROW(E$2:E44)*(E45=E$2:E44)))))</f>
        <v/>
      </c>
      <c r="J45" s="24" t="str">
        <f aca="true">IF(OR(E45="",E45="!!!",F45="NEW"),"",COUNTBLANK(OFFSET(A$1,,,SUMPRODUCT(MAX(ROW(E$2:E45)*(E45=E$2:E45)))))-COUNTBLANK(OFFSET(A$1,,,SUMPRODUCT(MAX(ROW(E$1:E44)*(E2=E$1:E44))))))</f>
        <v/>
      </c>
      <c r="K45" s="24" t="str">
        <f aca="false">IF(OR(E45="",E45="!!!",F45="NEW"),"",INDEX(J$1:J44,SUMPRODUCT(MAX(ROW(E$1:E44)*(E45=E$1:E44)))))</f>
        <v/>
      </c>
      <c r="L45" s="25"/>
    </row>
    <row r="46" customFormat="false" ht="14.25" hidden="false" customHeight="false" outlineLevel="0" collapsed="false">
      <c r="A46" s="0" t="s">
        <v>140</v>
      </c>
      <c r="E46" s="20" t="str">
        <f aca="false">IF(D46="?OLD","!!!","")</f>
        <v/>
      </c>
      <c r="F46" s="21" t="str">
        <f aca="false">IF(OR(E46="",E46="!!!"),"",IF(NOT(ISNA(VLOOKUP(E46,E$1:E45,1,FALSE()))),"OLD",IF(AND(E46&lt;&gt;"",E46&lt;&gt;"!!!"),"NEW","")))</f>
        <v/>
      </c>
      <c r="G46" s="22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aca="false">IF(J46&lt;&gt;1,"",IF(I46="SBJ","CB","?"))</f>
        <v/>
      </c>
      <c r="I46" s="24" t="str">
        <f aca="false">IF(OR(E46="",E46="!!!",F46="NEW"),"",INDEX(B$2:B45,-1+SUMPRODUCT(MAX(ROW(E$2:E45)*(E46=E$2:E45)))))</f>
        <v/>
      </c>
      <c r="J46" s="24" t="str">
        <f aca="true">IF(OR(E46="",E46="!!!",F46="NEW"),"",COUNTBLANK(OFFSET(A$1,,,SUMPRODUCT(MAX(ROW(E$2:E46)*(E46=E$2:E46)))))-COUNTBLANK(OFFSET(A$1,,,SUMPRODUCT(MAX(ROW(E$1:E45)*(E2=E$1:E45))))))</f>
        <v/>
      </c>
      <c r="K46" s="24" t="str">
        <f aca="false">IF(OR(E46="",E46="!!!",F46="NEW"),"",INDEX(J$1:J45,SUMPRODUCT(MAX(ROW(E$1:E45)*(E46=E$1:E45)))))</f>
        <v/>
      </c>
      <c r="L46" s="25"/>
    </row>
    <row r="47" customFormat="false" ht="14.25" hidden="false" customHeight="false" outlineLevel="0" collapsed="false">
      <c r="A47" s="0" t="s">
        <v>141</v>
      </c>
      <c r="E47" s="20" t="str">
        <f aca="false">IF(D47="?OLD","!!!","")</f>
        <v/>
      </c>
      <c r="F47" s="21" t="str">
        <f aca="false">IF(OR(E47="",E47="!!!"),"",IF(NOT(ISNA(VLOOKUP(E47,E$1:E46,1,FALSE()))),"OLD",IF(AND(E47&lt;&gt;"",E47&lt;&gt;"!!!"),"NEW","")))</f>
        <v/>
      </c>
      <c r="G47" s="22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aca="false">IF(J47&lt;&gt;1,"",IF(I47="SBJ","CB","?"))</f>
        <v/>
      </c>
      <c r="I47" s="24" t="str">
        <f aca="false">IF(OR(E47="",E47="!!!",F47="NEW"),"",INDEX(B$2:B46,-1+SUMPRODUCT(MAX(ROW(E$2:E46)*(E47=E$2:E46)))))</f>
        <v/>
      </c>
      <c r="J47" s="24" t="str">
        <f aca="true">IF(OR(E47="",E47="!!!",F47="NEW"),"",COUNTBLANK(OFFSET(A$1,,,SUMPRODUCT(MAX(ROW(E$2:E47)*(E47=E$2:E47)))))-COUNTBLANK(OFFSET(A$1,,,SUMPRODUCT(MAX(ROW(E$1:E46)*(E2=E$1:E46))))))</f>
        <v/>
      </c>
      <c r="K47" s="24" t="str">
        <f aca="false">IF(OR(E47="",E47="!!!",F47="NEW"),"",INDEX(J$1:J46,SUMPRODUCT(MAX(ROW(E$1:E46)*(E47=E$1:E46)))))</f>
        <v/>
      </c>
      <c r="L47" s="25"/>
    </row>
    <row r="48" customFormat="false" ht="14.25" hidden="false" customHeight="false" outlineLevel="0" collapsed="false">
      <c r="A48" s="0" t="s">
        <v>142</v>
      </c>
      <c r="E48" s="20" t="str">
        <f aca="false">IF(D48="?OLD","!!!","")</f>
        <v/>
      </c>
      <c r="F48" s="21" t="str">
        <f aca="false">IF(OR(E48="",E48="!!!"),"",IF(NOT(ISNA(VLOOKUP(E48,E$1:E47,1,FALSE()))),"OLD",IF(AND(E48&lt;&gt;"",E48&lt;&gt;"!!!"),"NEW","")))</f>
        <v/>
      </c>
      <c r="G48" s="22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aca="false">IF(J48&lt;&gt;1,"",IF(I48="SBJ","CB","?"))</f>
        <v/>
      </c>
      <c r="I48" s="24" t="str">
        <f aca="false">IF(OR(E48="",E48="!!!",F48="NEW"),"",INDEX(B$2:B47,-1+SUMPRODUCT(MAX(ROW(E$2:E47)*(E48=E$2:E47)))))</f>
        <v/>
      </c>
      <c r="J48" s="24" t="str">
        <f aca="true">IF(OR(E48="",E48="!!!",F48="NEW"),"",COUNTBLANK(OFFSET(A$1,,,SUMPRODUCT(MAX(ROW(E$2:E48)*(E48=E$2:E48)))))-COUNTBLANK(OFFSET(A$1,,,SUMPRODUCT(MAX(ROW(E$1:E47)*(E2=E$1:E47))))))</f>
        <v/>
      </c>
      <c r="K48" s="24" t="str">
        <f aca="false">IF(OR(E48="",E48="!!!",F48="NEW"),"",INDEX(J$1:J47,SUMPRODUCT(MAX(ROW(E$1:E47)*(E48=E$1:E47)))))</f>
        <v/>
      </c>
      <c r="L48" s="25"/>
    </row>
    <row r="49" customFormat="false" ht="14.25" hidden="false" customHeight="false" outlineLevel="0" collapsed="false">
      <c r="A49" s="0" t="s">
        <v>143</v>
      </c>
      <c r="E49" s="20" t="str">
        <f aca="false">IF(D49="?OLD","!!!","")</f>
        <v/>
      </c>
      <c r="F49" s="21" t="str">
        <f aca="false">IF(OR(E49="",E49="!!!"),"",IF(NOT(ISNA(VLOOKUP(E49,E$1:E48,1,FALSE()))),"OLD",IF(AND(E49&lt;&gt;"",E49&lt;&gt;"!!!"),"NEW","")))</f>
        <v/>
      </c>
      <c r="G49" s="22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aca="false">IF(J49&lt;&gt;1,"",IF(I49="SBJ","CB","?"))</f>
        <v/>
      </c>
      <c r="I49" s="24" t="str">
        <f aca="false">IF(OR(E49="",E49="!!!",F49="NEW"),"",INDEX(B$2:B48,-1+SUMPRODUCT(MAX(ROW(E$2:E48)*(E49=E$2:E48)))))</f>
        <v/>
      </c>
      <c r="J49" s="24" t="str">
        <f aca="true">IF(OR(E49="",E49="!!!",F49="NEW"),"",COUNTBLANK(OFFSET(A$1,,,SUMPRODUCT(MAX(ROW(E$2:E49)*(E49=E$2:E49)))))-COUNTBLANK(OFFSET(A$1,,,SUMPRODUCT(MAX(ROW(E$1:E48)*(E2=E$1:E48))))))</f>
        <v/>
      </c>
      <c r="K49" s="24" t="str">
        <f aca="false">IF(OR(E49="",E49="!!!",F49="NEW"),"",INDEX(J$1:J48,SUMPRODUCT(MAX(ROW(E$1:E48)*(E49=E$1:E48)))))</f>
        <v/>
      </c>
      <c r="L49" s="25"/>
    </row>
    <row r="50" customFormat="false" ht="14.25" hidden="false" customHeight="false" outlineLevel="0" collapsed="false">
      <c r="A50" s="0" t="s">
        <v>144</v>
      </c>
      <c r="B50" s="26" t="s">
        <v>82</v>
      </c>
      <c r="C50" s="26" t="s">
        <v>105</v>
      </c>
      <c r="E50" s="20"/>
      <c r="F50" s="21"/>
      <c r="G50" s="22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aca="false">IF(J50&lt;&gt;1,"",IF(I50="SBJ","CB","?"))</f>
        <v/>
      </c>
      <c r="I50" s="24" t="str">
        <f aca="false">IF(OR(E50="",E50="!!!",F50="NEW"),"",INDEX(B$2:B49,-1+SUMPRODUCT(MAX(ROW(E$2:E49)*(E50=E$2:E49)))))</f>
        <v/>
      </c>
      <c r="J50" s="24" t="str">
        <f aca="true">IF(OR(E50="",E50="!!!",F50="NEW"),"",COUNTBLANK(OFFSET(A$1,,,SUMPRODUCT(MAX(ROW(E$2:E50)*(E50=E$2:E50)))))-COUNTBLANK(OFFSET(A$1,,,SUMPRODUCT(MAX(ROW(E$1:E49)*(E2=E$1:E49))))))</f>
        <v/>
      </c>
      <c r="K50" s="24" t="str">
        <f aca="false">IF(OR(E50="",E50="!!!",F50="NEW"),"",INDEX(J$1:J49,SUMPRODUCT(MAX(ROW(E$1:E49)*(E50=E$1:E49)))))</f>
        <v/>
      </c>
      <c r="L50" s="25"/>
    </row>
    <row r="51" customFormat="false" ht="14.25" hidden="false" customHeight="false" outlineLevel="0" collapsed="false">
      <c r="A51" s="0" t="s">
        <v>142</v>
      </c>
      <c r="E51" s="20" t="str">
        <f aca="false">IF(D51="?OLD","!!!","")</f>
        <v/>
      </c>
      <c r="F51" s="21" t="str">
        <f aca="false">IF(OR(E51="",E51="!!!"),"",IF(NOT(ISNA(VLOOKUP(E51,E$1:E50,1,FALSE()))),"OLD",IF(AND(E51&lt;&gt;"",E51&lt;&gt;"!!!"),"NEW","")))</f>
        <v/>
      </c>
      <c r="G51" s="22" t="str">
        <f aca="false"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aca="false">IF(J51&lt;&gt;1,"",IF(I51="SBJ","CB","?"))</f>
        <v/>
      </c>
      <c r="I51" s="24" t="str">
        <f aca="false">IF(OR(E51="",E51="!!!",F51="NEW"),"",INDEX(B$2:B50,-1+SUMPRODUCT(MAX(ROW(E$2:E50)*(E51=E$2:E50)))))</f>
        <v/>
      </c>
      <c r="J51" s="24" t="str">
        <f aca="true">IF(OR(E51="",E51="!!!",F51="NEW"),"",COUNTBLANK(OFFSET(A$1,,,SUMPRODUCT(MAX(ROW(E$2:E51)*(E51=E$2:E51)))))-COUNTBLANK(OFFSET(A$1,,,SUMPRODUCT(MAX(ROW(E$1:E50)*(E2=E$1:E50))))))</f>
        <v/>
      </c>
      <c r="K51" s="24" t="str">
        <f aca="false">IF(OR(E51="",E51="!!!",F51="NEW"),"",INDEX(J$1:J50,SUMPRODUCT(MAX(ROW(E$1:E50)*(E51=E$1:E50)))))</f>
        <v/>
      </c>
      <c r="L51" s="25"/>
    </row>
    <row r="52" customFormat="false" ht="14.25" hidden="false" customHeight="false" outlineLevel="0" collapsed="false">
      <c r="A52" s="0" t="s">
        <v>145</v>
      </c>
      <c r="E52" s="20" t="str">
        <f aca="false">IF(D52="?OLD","!!!","")</f>
        <v/>
      </c>
      <c r="F52" s="21" t="str">
        <f aca="false">IF(OR(E52="",E52="!!!"),"",IF(NOT(ISNA(VLOOKUP(E52,E$1:E51,1,FALSE()))),"OLD",IF(AND(E52&lt;&gt;"",E52&lt;&gt;"!!!"),"NEW","")))</f>
        <v/>
      </c>
      <c r="G52" s="22" t="str">
        <f aca="false"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aca="false">IF(J52&lt;&gt;1,"",IF(I52="SBJ","CB","?"))</f>
        <v/>
      </c>
      <c r="I52" s="24" t="str">
        <f aca="false">IF(OR(E52="",E52="!!!",F52="NEW"),"",INDEX(B$2:B51,-1+SUMPRODUCT(MAX(ROW(E$2:E51)*(E52=E$2:E51)))))</f>
        <v/>
      </c>
      <c r="J52" s="24" t="str">
        <f aca="true">IF(OR(E52="",E52="!!!",F52="NEW"),"",COUNTBLANK(OFFSET(A$1,,,SUMPRODUCT(MAX(ROW(E$2:E52)*(E52=E$2:E52)))))-COUNTBLANK(OFFSET(A$1,,,SUMPRODUCT(MAX(ROW(E$1:E51)*(E2=E$1:E51))))))</f>
        <v/>
      </c>
      <c r="K52" s="24" t="str">
        <f aca="false">IF(OR(E52="",E52="!!!",F52="NEW"),"",INDEX(J$1:J51,SUMPRODUCT(MAX(ROW(E$1:E51)*(E52=E$1:E51)))))</f>
        <v/>
      </c>
      <c r="L52" s="25"/>
    </row>
    <row r="53" customFormat="false" ht="14.25" hidden="false" customHeight="false" outlineLevel="0" collapsed="false">
      <c r="A53" s="0" t="s">
        <v>146</v>
      </c>
      <c r="B53" s="26" t="s">
        <v>147</v>
      </c>
      <c r="C53" s="26" t="s">
        <v>105</v>
      </c>
      <c r="E53" s="20"/>
      <c r="F53" s="21"/>
      <c r="G53" s="22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aca="false">IF(J53&lt;&gt;1,"",IF(I53="SBJ","CB","?"))</f>
        <v/>
      </c>
      <c r="I53" s="24" t="str">
        <f aca="false">IF(OR(E53="",E53="!!!",F53="NEW"),"",INDEX(B$2:B52,-1+SUMPRODUCT(MAX(ROW(E$2:E52)*(E53=E$2:E52)))))</f>
        <v/>
      </c>
      <c r="J53" s="24" t="str">
        <f aca="true">IF(OR(E53="",E53="!!!",F53="NEW"),"",COUNTBLANK(OFFSET(A$1,,,SUMPRODUCT(MAX(ROW(E$2:E53)*(E53=E$2:E53)))))-COUNTBLANK(OFFSET(A$1,,,SUMPRODUCT(MAX(ROW(E$1:E52)*(E2=E$1:E52))))))</f>
        <v/>
      </c>
      <c r="K53" s="24" t="str">
        <f aca="false">IF(OR(E53="",E53="!!!",F53="NEW"),"",INDEX(J$1:J52,SUMPRODUCT(MAX(ROW(E$1:E52)*(E53=E$1:E52)))))</f>
        <v/>
      </c>
      <c r="L53" s="25"/>
    </row>
    <row r="54" customFormat="false" ht="14.25" hidden="false" customHeight="false" outlineLevel="0" collapsed="false">
      <c r="A54" s="0" t="s">
        <v>86</v>
      </c>
      <c r="E54" s="20" t="str">
        <f aca="false">IF(D54="?OLD","!!!","")</f>
        <v/>
      </c>
      <c r="F54" s="21" t="str">
        <f aca="false">IF(OR(E54="",E54="!!!"),"",IF(NOT(ISNA(VLOOKUP(E54,E$1:E53,1,FALSE()))),"OLD",IF(AND(E54&lt;&gt;"",E54&lt;&gt;"!!!"),"NEW","")))</f>
        <v/>
      </c>
      <c r="G54" s="22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aca="false">IF(J54&lt;&gt;1,"",IF(I54="SBJ","CB","?"))</f>
        <v/>
      </c>
      <c r="I54" s="24" t="str">
        <f aca="false">IF(OR(E54="",E54="!!!",F54="NEW"),"",INDEX(B$2:B53,-1+SUMPRODUCT(MAX(ROW(E$2:E53)*(E54=E$2:E53)))))</f>
        <v/>
      </c>
      <c r="J54" s="24" t="str">
        <f aca="true">IF(OR(E54="",E54="!!!",F54="NEW"),"",COUNTBLANK(OFFSET(A$1,,,SUMPRODUCT(MAX(ROW(E$2:E54)*(E54=E$2:E54)))))-COUNTBLANK(OFFSET(A$1,,,SUMPRODUCT(MAX(ROW(E$1:E53)*(E2=E$1:E53))))))</f>
        <v/>
      </c>
      <c r="K54" s="24" t="str">
        <f aca="false">IF(OR(E54="",E54="!!!",F54="NEW"),"",INDEX(J$1:J53,SUMPRODUCT(MAX(ROW(E$1:E53)*(E54=E$1:E53)))))</f>
        <v/>
      </c>
      <c r="L54" s="25"/>
    </row>
    <row r="55" customFormat="false" ht="14.25" hidden="false" customHeight="false" outlineLevel="0" collapsed="false">
      <c r="A55" s="0" t="s">
        <v>148</v>
      </c>
      <c r="B55" s="26" t="s">
        <v>96</v>
      </c>
      <c r="C55" s="26" t="s">
        <v>88</v>
      </c>
      <c r="D55" s="26" t="s">
        <v>75</v>
      </c>
      <c r="E55" s="20"/>
      <c r="F55" s="21" t="s">
        <v>124</v>
      </c>
      <c r="G55" s="22" t="str">
        <f aca="false"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aca="false">IF(J55&lt;&gt;1,"",IF(I55="SBJ","CB","?"))</f>
        <v/>
      </c>
      <c r="I55" s="24" t="str">
        <f aca="false">IF(OR(E55="",E55="!!!",F55="NEW"),"",INDEX(B$2:B54,-1+SUMPRODUCT(MAX(ROW(E$2:E54)*(E55=E$2:E54)))))</f>
        <v/>
      </c>
      <c r="J55" s="24" t="str">
        <f aca="true">IF(OR(E55="",E55="!!!",F55="NEW"),"",COUNTBLANK(OFFSET(A$1,,,SUMPRODUCT(MAX(ROW(E$2:E55)*(E55=E$2:E55)))))-COUNTBLANK(OFFSET(A$1,,,SUMPRODUCT(MAX(ROW(E$1:E54)*(E2=E$1:E54))))))</f>
        <v/>
      </c>
      <c r="K55" s="24" t="str">
        <f aca="false">IF(OR(E55="",E55="!!!",F55="NEW"),"",INDEX(J$1:J54,SUMPRODUCT(MAX(ROW(E$1:E54)*(E55=E$1:E54)))))</f>
        <v/>
      </c>
      <c r="L55" s="25"/>
    </row>
    <row r="56" customFormat="false" ht="14.25" hidden="false" customHeight="false" outlineLevel="0" collapsed="false">
      <c r="A56" s="0" t="s">
        <v>78</v>
      </c>
      <c r="E56" s="20" t="str">
        <f aca="false">IF(D56="?OLD","!!!","")</f>
        <v/>
      </c>
      <c r="F56" s="21" t="str">
        <f aca="false">IF(OR(E56="",E56="!!!"),"",IF(NOT(ISNA(VLOOKUP(E56,E$1:E55,1,FALSE()))),"OLD",IF(AND(E56&lt;&gt;"",E56&lt;&gt;"!!!"),"NEW","")))</f>
        <v/>
      </c>
      <c r="G56" s="22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aca="false">IF(J56&lt;&gt;1,"",IF(I56="SBJ","CB","?"))</f>
        <v/>
      </c>
      <c r="I56" s="24" t="str">
        <f aca="false">IF(OR(E56="",E56="!!!",F56="NEW"),"",INDEX(B$2:B55,-1+SUMPRODUCT(MAX(ROW(E$2:E55)*(E56=E$2:E55)))))</f>
        <v/>
      </c>
      <c r="J56" s="24" t="str">
        <f aca="true">IF(OR(E56="",E56="!!!",F56="NEW"),"",COUNTBLANK(OFFSET(A$1,,,SUMPRODUCT(MAX(ROW(E$2:E56)*(E56=E$2:E56)))))-COUNTBLANK(OFFSET(A$1,,,SUMPRODUCT(MAX(ROW(E$1:E55)*(E2=E$1:E55))))))</f>
        <v/>
      </c>
      <c r="K56" s="24" t="str">
        <f aca="false">IF(OR(E56="",E56="!!!",F56="NEW"),"",INDEX(J$1:J55,SUMPRODUCT(MAX(ROW(E$1:E55)*(E56=E$1:E55)))))</f>
        <v/>
      </c>
      <c r="L56" s="25"/>
    </row>
    <row r="57" customFormat="false" ht="14.25" hidden="false" customHeight="false" outlineLevel="0" collapsed="false">
      <c r="A57" s="0" t="s">
        <v>149</v>
      </c>
      <c r="E57" s="20" t="str">
        <f aca="false">IF(D57="?OLD","!!!","")</f>
        <v/>
      </c>
      <c r="F57" s="21" t="str">
        <f aca="false">IF(OR(E57="",E57="!!!"),"",IF(NOT(ISNA(VLOOKUP(E57,E$1:E56,1,FALSE()))),"OLD",IF(AND(E57&lt;&gt;"",E57&lt;&gt;"!!!"),"NEW","")))</f>
        <v/>
      </c>
      <c r="G57" s="22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aca="false">IF(J57&lt;&gt;1,"",IF(I57="SBJ","CB","?"))</f>
        <v/>
      </c>
      <c r="I57" s="24" t="str">
        <f aca="false">IF(OR(E57="",E57="!!!",F57="NEW"),"",INDEX(B$2:B56,-1+SUMPRODUCT(MAX(ROW(E$2:E56)*(E57=E$2:E56)))))</f>
        <v/>
      </c>
      <c r="J57" s="24" t="str">
        <f aca="true">IF(OR(E57="",E57="!!!",F57="NEW"),"",COUNTBLANK(OFFSET(A$1,,,SUMPRODUCT(MAX(ROW(E$2:E57)*(E57=E$2:E57)))))-COUNTBLANK(OFFSET(A$1,,,SUMPRODUCT(MAX(ROW(E$1:E56)*(E2=E$1:E56))))))</f>
        <v/>
      </c>
      <c r="K57" s="24" t="str">
        <f aca="false">IF(OR(E57="",E57="!!!",F57="NEW"),"",INDEX(J$1:J56,SUMPRODUCT(MAX(ROW(E$1:E56)*(E57=E$1:E56)))))</f>
        <v/>
      </c>
      <c r="L57" s="25"/>
    </row>
    <row r="58" customFormat="false" ht="14.25" hidden="false" customHeight="false" outlineLevel="0" collapsed="false">
      <c r="A58" s="0" t="s">
        <v>101</v>
      </c>
      <c r="E58" s="20" t="str">
        <f aca="false">IF(D58="?OLD","!!!","")</f>
        <v/>
      </c>
      <c r="F58" s="21" t="str">
        <f aca="false">IF(OR(E58="",E58="!!!"),"",IF(NOT(ISNA(VLOOKUP(E58,E$1:E57,1,FALSE()))),"OLD",IF(AND(E58&lt;&gt;"",E58&lt;&gt;"!!!"),"NEW","")))</f>
        <v/>
      </c>
      <c r="G58" s="22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aca="false">IF(J58&lt;&gt;1,"",IF(I58="SBJ","CB","?"))</f>
        <v/>
      </c>
      <c r="I58" s="24" t="str">
        <f aca="false">IF(OR(E58="",E58="!!!",F58="NEW"),"",INDEX(B$2:B57,-1+SUMPRODUCT(MAX(ROW(E$2:E57)*(E58=E$2:E57)))))</f>
        <v/>
      </c>
      <c r="J58" s="24" t="str">
        <f aca="true">IF(OR(E58="",E58="!!!",F58="NEW"),"",COUNTBLANK(OFFSET(A$1,,,SUMPRODUCT(MAX(ROW(E$2:E58)*(E58=E$2:E58)))))-COUNTBLANK(OFFSET(A$1,,,SUMPRODUCT(MAX(ROW(E$1:E57)*(E2=E$1:E57))))))</f>
        <v/>
      </c>
      <c r="K58" s="24" t="str">
        <f aca="false">IF(OR(E58="",E58="!!!",F58="NEW"),"",INDEX(J$1:J57,SUMPRODUCT(MAX(ROW(E$1:E57)*(E58=E$1:E57)))))</f>
        <v/>
      </c>
      <c r="L58" s="25"/>
    </row>
    <row r="59" customFormat="false" ht="14.25" hidden="false" customHeight="false" outlineLevel="0" collapsed="false">
      <c r="A59" s="0" t="s">
        <v>150</v>
      </c>
      <c r="B59" s="26" t="s">
        <v>96</v>
      </c>
      <c r="C59" s="26" t="s">
        <v>151</v>
      </c>
      <c r="D59" s="26" t="s">
        <v>75</v>
      </c>
      <c r="E59" s="20"/>
      <c r="F59" s="21" t="str">
        <f aca="false">IF(OR(E59="",E59="!!!"),"",IF(NOT(ISNA(VLOOKUP(E59,E$1:E58,1,FALSE()))),"OLD",IF(AND(E59&lt;&gt;"",E59&lt;&gt;"!!!"),"NEW","")))</f>
        <v/>
      </c>
      <c r="G59" s="22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/>
      <c r="I59" s="24" t="str">
        <f aca="false">IF(OR(E59="",E59="!!!",F59="NEW"),"",INDEX(B$2:B58,-1+SUMPRODUCT(MAX(ROW(E$2:E58)*(E59=E$2:E58)))))</f>
        <v/>
      </c>
      <c r="J59" s="24" t="str">
        <f aca="true">IF(OR(E59="",E59="!!!",F59="NEW"),"",COUNTBLANK(OFFSET(A$1,,,SUMPRODUCT(MAX(ROW(E$2:E59)*(E59=E$2:E59)))))-COUNTBLANK(OFFSET(A$1,,,SUMPRODUCT(MAX(ROW(E$1:E58)*(E2=E$1:E58))))))</f>
        <v/>
      </c>
      <c r="K59" s="24" t="str">
        <f aca="false">IF(OR(E59="",E59="!!!",F59="NEW"),"",INDEX(J$1:J58,SUMPRODUCT(MAX(ROW(E$1:E58)*(E59=E$1:E58)))))</f>
        <v/>
      </c>
      <c r="L59" s="27" t="s">
        <v>152</v>
      </c>
    </row>
    <row r="60" customFormat="false" ht="14.25" hidden="false" customHeight="false" outlineLevel="0" collapsed="false">
      <c r="A60" s="0" t="s">
        <v>153</v>
      </c>
      <c r="B60" s="26" t="s">
        <v>154</v>
      </c>
      <c r="C60" s="26" t="s">
        <v>105</v>
      </c>
      <c r="E60" s="20" t="s">
        <v>127</v>
      </c>
      <c r="F60" s="21" t="str">
        <f aca="false">IF(OR(E60="",E60="!!!"),"",IF(NOT(ISNA(VLOOKUP(E60,E$1:E59,1,FALSE()))),"OLD",IF(AND(E60&lt;&gt;"",E60&lt;&gt;"!!!"),"NEW","")))</f>
        <v>OLD</v>
      </c>
      <c r="G60" s="22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>?IN_FOCUS</v>
      </c>
      <c r="H60" s="23" t="str">
        <f aca="false">IF(J60&lt;&gt;1,"",IF(I60="SBJ","CB","?"))</f>
        <v/>
      </c>
      <c r="I60" s="24" t="str">
        <f aca="false">IF(OR(E60="",E60="!!!",F60="NEW"),"",INDEX(B$2:B59,-1+SUMPRODUCT(MAX(ROW(E$2:E59)*(E60=E$2:E59)))))</f>
        <v>other</v>
      </c>
      <c r="J60" s="24" t="n">
        <f aca="true">IF(OR(E60="",E60="!!!",F60="NEW"),"",COUNTBLANK(OFFSET(A$1,,,SUMPRODUCT(MAX(ROW(E$2:E60)*(E60=E$2:E60)))))-COUNTBLANK(OFFSET(A$1,,,SUMPRODUCT(MAX(ROW(E$1:E59)*(E2=E$1:E59))))))</f>
        <v>0</v>
      </c>
      <c r="K60" s="24" t="n">
        <f aca="false">IF(OR(E60="",E60="!!!",F60="NEW"),"",INDEX(J$1:J59,SUMPRODUCT(MAX(ROW(E$1:E59)*(E60=E$1:E59)))))</f>
        <v>0</v>
      </c>
      <c r="L60" s="25"/>
    </row>
    <row r="61" customFormat="false" ht="14.25" hidden="false" customHeight="false" outlineLevel="0" collapsed="false">
      <c r="A61" s="0" t="s">
        <v>155</v>
      </c>
      <c r="E61" s="20" t="str">
        <f aca="false">IF(D61="?OLD","!!!","")</f>
        <v/>
      </c>
      <c r="F61" s="21" t="str">
        <f aca="false">IF(OR(E61="",E61="!!!"),"",IF(NOT(ISNA(VLOOKUP(E61,E$1:E60,1,FALSE()))),"OLD",IF(AND(E61&lt;&gt;"",E61&lt;&gt;"!!!"),"NEW","")))</f>
        <v/>
      </c>
      <c r="G61" s="22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aca="false">IF(J61&lt;&gt;1,"",IF(I61="SBJ","CB","?"))</f>
        <v/>
      </c>
      <c r="I61" s="24" t="str">
        <f aca="false">IF(OR(E61="",E61="!!!",F61="NEW"),"",INDEX(B$2:B60,-1+SUMPRODUCT(MAX(ROW(E$2:E60)*(E61=E$2:E60)))))</f>
        <v/>
      </c>
      <c r="J61" s="24" t="str">
        <f aca="true">IF(OR(E61="",E61="!!!",F61="NEW"),"",COUNTBLANK(OFFSET(A$1,,,SUMPRODUCT(MAX(ROW(E$2:E61)*(E61=E$2:E61)))))-COUNTBLANK(OFFSET(A$1,,,SUMPRODUCT(MAX(ROW(E$1:E60)*(E2=E$1:E60))))))</f>
        <v/>
      </c>
      <c r="K61" s="24" t="str">
        <f aca="false">IF(OR(E61="",E61="!!!",F61="NEW"),"",INDEX(J$1:J60,SUMPRODUCT(MAX(ROW(E$1:E60)*(E61=E$1:E60)))))</f>
        <v/>
      </c>
      <c r="L61" s="25"/>
    </row>
    <row r="62" customFormat="false" ht="14.25" hidden="false" customHeight="false" outlineLevel="0" collapsed="false">
      <c r="A62" s="0" t="s">
        <v>156</v>
      </c>
      <c r="E62" s="20" t="s">
        <v>157</v>
      </c>
      <c r="F62" s="21" t="str">
        <f aca="false">IF(OR(E62="",E62="!!!"),"",IF(NOT(ISNA(VLOOKUP(E62,E$1:E61,1,FALSE()))),"OLD",IF(AND(E62&lt;&gt;"",E62&lt;&gt;"!!!"),"NEW","")))</f>
        <v>NEW</v>
      </c>
      <c r="G62" s="22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>?REFERENTIAL</v>
      </c>
      <c r="H62" s="23" t="str">
        <f aca="false">IF(J62&lt;&gt;1,"",IF(I62="SBJ","CB","?"))</f>
        <v/>
      </c>
      <c r="I62" s="24" t="str">
        <f aca="false">IF(OR(E62="",E62="!!!",F62="NEW"),"",INDEX(B$2:B61,-1+SUMPRODUCT(MAX(ROW(E$2:E61)*(E62=E$2:E61)))))</f>
        <v/>
      </c>
      <c r="J62" s="24" t="str">
        <f aca="true">IF(OR(E62="",E62="!!!",F62="NEW"),"",COUNTBLANK(OFFSET(A$1,,,SUMPRODUCT(MAX(ROW(E$2:E62)*(E62=E$2:E62)))))-COUNTBLANK(OFFSET(A$1,,,SUMPRODUCT(MAX(ROW(E$1:E61)*(E2=E$1:E61))))))</f>
        <v/>
      </c>
      <c r="K62" s="24" t="str">
        <f aca="false">IF(OR(E62="",E62="!!!",F62="NEW"),"",INDEX(J$1:J61,SUMPRODUCT(MAX(ROW(E$1:E61)*(E62=E$1:E61)))))</f>
        <v/>
      </c>
      <c r="L62" s="27" t="s">
        <v>158</v>
      </c>
    </row>
    <row r="63" customFormat="false" ht="14.25" hidden="false" customHeight="false" outlineLevel="0" collapsed="false">
      <c r="A63" s="0" t="s">
        <v>101</v>
      </c>
      <c r="E63" s="20" t="str">
        <f aca="false">IF(D63="?OLD","!!!","")</f>
        <v/>
      </c>
      <c r="F63" s="21" t="str">
        <f aca="false">IF(OR(E63="",E63="!!!"),"",IF(NOT(ISNA(VLOOKUP(E63,E$1:E62,1,FALSE()))),"OLD",IF(AND(E63&lt;&gt;"",E63&lt;&gt;"!!!"),"NEW","")))</f>
        <v/>
      </c>
      <c r="G63" s="22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aca="false">IF(J63&lt;&gt;1,"",IF(I63="SBJ","CB","?"))</f>
        <v/>
      </c>
      <c r="I63" s="24" t="str">
        <f aca="false">IF(OR(E63="",E63="!!!",F63="NEW"),"",INDEX(B$2:B62,-1+SUMPRODUCT(MAX(ROW(E$2:E62)*(E63=E$2:E62)))))</f>
        <v/>
      </c>
      <c r="J63" s="24" t="str">
        <f aca="true">IF(OR(E63="",E63="!!!",F63="NEW"),"",COUNTBLANK(OFFSET(A$1,,,SUMPRODUCT(MAX(ROW(E$2:E63)*(E63=E$2:E63)))))-COUNTBLANK(OFFSET(A$1,,,SUMPRODUCT(MAX(ROW(E$1:E62)*(E2=E$1:E62))))))</f>
        <v/>
      </c>
      <c r="K63" s="24" t="str">
        <f aca="false">IF(OR(E63="",E63="!!!",F63="NEW"),"",INDEX(J$1:J62,SUMPRODUCT(MAX(ROW(E$1:E62)*(E63=E$1:E62)))))</f>
        <v/>
      </c>
      <c r="L63" s="25"/>
    </row>
    <row r="64" customFormat="false" ht="14.25" hidden="false" customHeight="false" outlineLevel="0" collapsed="false">
      <c r="A64" s="0" t="s">
        <v>159</v>
      </c>
      <c r="E64" s="20" t="str">
        <f aca="false">IF(D64="?OLD","!!!","")</f>
        <v/>
      </c>
      <c r="F64" s="21" t="str">
        <f aca="false">IF(OR(E64="",E64="!!!"),"",IF(NOT(ISNA(VLOOKUP(E64,E$1:E63,1,FALSE()))),"OLD",IF(AND(E64&lt;&gt;"",E64&lt;&gt;"!!!"),"NEW","")))</f>
        <v/>
      </c>
      <c r="G64" s="22" t="str">
        <f aca="false"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aca="false">IF(J64&lt;&gt;1,"",IF(I64="SBJ","CB","?"))</f>
        <v/>
      </c>
      <c r="I64" s="24" t="str">
        <f aca="false">IF(OR(E64="",E64="!!!",F64="NEW"),"",INDEX(B$2:B63,-1+SUMPRODUCT(MAX(ROW(E$2:E63)*(E64=E$2:E63)))))</f>
        <v/>
      </c>
      <c r="J64" s="24" t="str">
        <f aca="true">IF(OR(E64="",E64="!!!",F64="NEW"),"",COUNTBLANK(OFFSET(A$1,,,SUMPRODUCT(MAX(ROW(E$2:E64)*(E64=E$2:E64)))))-COUNTBLANK(OFFSET(A$1,,,SUMPRODUCT(MAX(ROW(E$1:E63)*(E2=E$1:E63))))))</f>
        <v/>
      </c>
      <c r="K64" s="24" t="str">
        <f aca="false">IF(OR(E64="",E64="!!!",F64="NEW"),"",INDEX(J$1:J63,SUMPRODUCT(MAX(ROW(E$1:E63)*(E64=E$1:E63)))))</f>
        <v/>
      </c>
      <c r="L64" s="25"/>
    </row>
    <row r="65" customFormat="false" ht="14.25" hidden="false" customHeight="false" outlineLevel="0" collapsed="false">
      <c r="A65" s="0" t="s">
        <v>160</v>
      </c>
      <c r="B65" s="26" t="s">
        <v>96</v>
      </c>
      <c r="C65" s="26" t="s">
        <v>151</v>
      </c>
      <c r="D65" s="26" t="s">
        <v>75</v>
      </c>
      <c r="E65" s="20" t="s">
        <v>157</v>
      </c>
      <c r="F65" s="21" t="str">
        <f aca="false">IF(OR(E65="",E65="!!!"),"",IF(NOT(ISNA(VLOOKUP(E65,E$1:E64,1,FALSE()))),"OLD",IF(AND(E65&lt;&gt;"",E65&lt;&gt;"!!!"),"NEW","")))</f>
        <v>OLD</v>
      </c>
      <c r="G65" s="22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>?IN_FOCUS</v>
      </c>
      <c r="H65" s="23" t="str">
        <f aca="false">IF(J65&lt;&gt;1,"",IF(I65="SBJ","CB","?"))</f>
        <v/>
      </c>
      <c r="I65" s="24" t="n">
        <f aca="false">IF(OR(E65="",E65="!!!",F65="NEW"),"",INDEX(B$2:B64,-1+SUMPRODUCT(MAX(ROW(E$2:E64)*(E65=E$2:E64)))))</f>
        <v>0</v>
      </c>
      <c r="J65" s="24" t="n">
        <f aca="true">IF(OR(E65="",E65="!!!",F65="NEW"),"",COUNTBLANK(OFFSET(A$1,,,SUMPRODUCT(MAX(ROW(E$2:E65)*(E65=E$2:E65)))))-COUNTBLANK(OFFSET(A$1,,,SUMPRODUCT(MAX(ROW(E$1:E64)*(E2=E$1:E64))))))</f>
        <v>0</v>
      </c>
      <c r="K65" s="24" t="str">
        <f aca="false">IF(OR(E65="",E65="!!!",F65="NEW"),"",INDEX(J$1:J64,SUMPRODUCT(MAX(ROW(E$1:E64)*(E65=E$1:E64)))))</f>
        <v/>
      </c>
      <c r="L65" s="25"/>
    </row>
    <row r="66" customFormat="false" ht="14.25" hidden="false" customHeight="false" outlineLevel="0" collapsed="false">
      <c r="A66" s="0" t="s">
        <v>161</v>
      </c>
      <c r="E66" s="20" t="str">
        <f aca="false">IF(D66="?OLD","!!!","")</f>
        <v/>
      </c>
      <c r="F66" s="21" t="str">
        <f aca="false">IF(OR(E66="",E66="!!!"),"",IF(NOT(ISNA(VLOOKUP(E66,E$1:E65,1,FALSE()))),"OLD",IF(AND(E66&lt;&gt;"",E66&lt;&gt;"!!!"),"NEW","")))</f>
        <v/>
      </c>
      <c r="G66" s="22" t="str">
        <f aca="false"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aca="false">IF(J66&lt;&gt;1,"",IF(I66="SBJ","CB","?"))</f>
        <v/>
      </c>
      <c r="I66" s="24" t="str">
        <f aca="false">IF(OR(E66="",E66="!!!",F66="NEW"),"",INDEX(B$2:B65,-1+SUMPRODUCT(MAX(ROW(E$2:E65)*(E66=E$2:E65)))))</f>
        <v/>
      </c>
      <c r="J66" s="24" t="str">
        <f aca="true">IF(OR(E66="",E66="!!!",F66="NEW"),"",COUNTBLANK(OFFSET(A$1,,,SUMPRODUCT(MAX(ROW(E$2:E66)*(E66=E$2:E66)))))-COUNTBLANK(OFFSET(A$1,,,SUMPRODUCT(MAX(ROW(E$1:E65)*(E2=E$1:E65))))))</f>
        <v/>
      </c>
      <c r="K66" s="24" t="str">
        <f aca="false">IF(OR(E66="",E66="!!!",F66="NEW"),"",INDEX(J$1:J65,SUMPRODUCT(MAX(ROW(E$1:E65)*(E66=E$1:E65)))))</f>
        <v/>
      </c>
      <c r="L66" s="25"/>
    </row>
    <row r="67" customFormat="false" ht="14.25" hidden="false" customHeight="false" outlineLevel="0" collapsed="false">
      <c r="A67" s="0" t="s">
        <v>162</v>
      </c>
      <c r="E67" s="20" t="str">
        <f aca="false">IF(D67="?OLD","!!!","")</f>
        <v/>
      </c>
      <c r="F67" s="21" t="str">
        <f aca="false">IF(OR(E67="",E67="!!!"),"",IF(NOT(ISNA(VLOOKUP(E67,E$1:E66,1,FALSE()))),"OLD",IF(AND(E67&lt;&gt;"",E67&lt;&gt;"!!!"),"NEW","")))</f>
        <v/>
      </c>
      <c r="G67" s="22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aca="false">IF(J67&lt;&gt;1,"",IF(I67="SBJ","CB","?"))</f>
        <v/>
      </c>
      <c r="I67" s="24" t="str">
        <f aca="false">IF(OR(E67="",E67="!!!",F67="NEW"),"",INDEX(B$2:B66,-1+SUMPRODUCT(MAX(ROW(E$2:E66)*(E67=E$2:E66)))))</f>
        <v/>
      </c>
      <c r="J67" s="24" t="str">
        <f aca="true">IF(OR(E67="",E67="!!!",F67="NEW"),"",COUNTBLANK(OFFSET(A$1,,,SUMPRODUCT(MAX(ROW(E$2:E67)*(E67=E$2:E67)))))-COUNTBLANK(OFFSET(A$1,,,SUMPRODUCT(MAX(ROW(E$1:E66)*(E2=E$1:E66))))))</f>
        <v/>
      </c>
      <c r="K67" s="24" t="str">
        <f aca="false">IF(OR(E67="",E67="!!!",F67="NEW"),"",INDEX(J$1:J66,SUMPRODUCT(MAX(ROW(E$1:E66)*(E67=E$1:E66)))))</f>
        <v/>
      </c>
      <c r="L67" s="25"/>
    </row>
    <row r="68" customFormat="false" ht="14.25" hidden="false" customHeight="false" outlineLevel="0" collapsed="false">
      <c r="A68" s="0" t="s">
        <v>163</v>
      </c>
      <c r="E68" s="20" t="str">
        <f aca="false">IF(D68="?OLD","!!!","")</f>
        <v/>
      </c>
      <c r="F68" s="21" t="str">
        <f aca="false">IF(OR(E68="",E68="!!!"),"",IF(NOT(ISNA(VLOOKUP(E68,E$1:E67,1,FALSE()))),"OLD",IF(AND(E68&lt;&gt;"",E68&lt;&gt;"!!!"),"NEW","")))</f>
        <v/>
      </c>
      <c r="G68" s="22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aca="false">IF(J68&lt;&gt;1,"",IF(I68="SBJ","CB","?"))</f>
        <v/>
      </c>
      <c r="I68" s="24" t="str">
        <f aca="false">IF(OR(E68="",E68="!!!",F68="NEW"),"",INDEX(B$2:B67,-1+SUMPRODUCT(MAX(ROW(E$2:E67)*(E68=E$2:E67)))))</f>
        <v/>
      </c>
      <c r="J68" s="24" t="str">
        <f aca="true">IF(OR(E68="",E68="!!!",F68="NEW"),"",COUNTBLANK(OFFSET(A$1,,,SUMPRODUCT(MAX(ROW(E$2:E68)*(E68=E$2:E68)))))-COUNTBLANK(OFFSET(A$1,,,SUMPRODUCT(MAX(ROW(E$1:E67)*(E2=E$1:E67))))))</f>
        <v/>
      </c>
      <c r="K68" s="24" t="str">
        <f aca="false">IF(OR(E68="",E68="!!!",F68="NEW"),"",INDEX(J$1:J67,SUMPRODUCT(MAX(ROW(E$1:E67)*(E68=E$1:E67)))))</f>
        <v/>
      </c>
      <c r="L68" s="25"/>
    </row>
    <row r="69" customFormat="false" ht="14.25" hidden="false" customHeight="false" outlineLevel="0" collapsed="false">
      <c r="A69" s="0" t="s">
        <v>164</v>
      </c>
      <c r="B69" s="26" t="s">
        <v>154</v>
      </c>
      <c r="C69" s="26" t="s">
        <v>105</v>
      </c>
      <c r="E69" s="20" t="str">
        <f aca="false">IF(D69="?OLD","!!!","")</f>
        <v/>
      </c>
      <c r="F69" s="21" t="str">
        <f aca="false">IF(OR(E69="",E69="!!!"),"",IF(NOT(ISNA(VLOOKUP(E69,E$1:E68,1,FALSE()))),"OLD",IF(AND(E69&lt;&gt;"",E69&lt;&gt;"!!!"),"NEW","")))</f>
        <v/>
      </c>
      <c r="G69" s="22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aca="false">IF(J69&lt;&gt;1,"",IF(I69="SBJ","CB","?"))</f>
        <v/>
      </c>
      <c r="I69" s="24" t="str">
        <f aca="false">IF(OR(E69="",E69="!!!",F69="NEW"),"",INDEX(B$2:B68,-1+SUMPRODUCT(MAX(ROW(E$2:E68)*(E69=E$2:E68)))))</f>
        <v/>
      </c>
      <c r="J69" s="24" t="str">
        <f aca="true">IF(OR(E69="",E69="!!!",F69="NEW"),"",COUNTBLANK(OFFSET(A$1,,,SUMPRODUCT(MAX(ROW(E$2:E69)*(E69=E$2:E69)))))-COUNTBLANK(OFFSET(A$1,,,SUMPRODUCT(MAX(ROW(E$1:E68)*(E2=E$1:E68))))))</f>
        <v/>
      </c>
      <c r="K69" s="24" t="str">
        <f aca="false">IF(OR(E69="",E69="!!!",F69="NEW"),"",INDEX(J$1:J68,SUMPRODUCT(MAX(ROW(E$1:E68)*(E69=E$1:E68)))))</f>
        <v/>
      </c>
      <c r="L69" s="25"/>
    </row>
    <row r="70" customFormat="false" ht="14.25" hidden="false" customHeight="false" outlineLevel="0" collapsed="false">
      <c r="A70" s="0" t="s">
        <v>165</v>
      </c>
      <c r="E70" s="20" t="str">
        <f aca="false">IF(D70="?OLD","!!!","")</f>
        <v/>
      </c>
      <c r="F70" s="21" t="str">
        <f aca="false">IF(OR(E70="",E70="!!!"),"",IF(NOT(ISNA(VLOOKUP(E70,E$1:E69,1,FALSE()))),"OLD",IF(AND(E70&lt;&gt;"",E70&lt;&gt;"!!!"),"NEW","")))</f>
        <v/>
      </c>
      <c r="G70" s="22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aca="false">IF(J70&lt;&gt;1,"",IF(I70="SBJ","CB","?"))</f>
        <v/>
      </c>
      <c r="I70" s="24" t="str">
        <f aca="false">IF(OR(E70="",E70="!!!",F70="NEW"),"",INDEX(B$2:B69,-1+SUMPRODUCT(MAX(ROW(E$2:E69)*(E70=E$2:E69)))))</f>
        <v/>
      </c>
      <c r="J70" s="24" t="str">
        <f aca="true">IF(OR(E70="",E70="!!!",F70="NEW"),"",COUNTBLANK(OFFSET(A$1,,,SUMPRODUCT(MAX(ROW(E$2:E70)*(E70=E$2:E70)))))-COUNTBLANK(OFFSET(A$1,,,SUMPRODUCT(MAX(ROW(E$1:E69)*(E2=E$1:E69))))))</f>
        <v/>
      </c>
      <c r="K70" s="24" t="str">
        <f aca="false">IF(OR(E70="",E70="!!!",F70="NEW"),"",INDEX(J$1:J69,SUMPRODUCT(MAX(ROW(E$1:E69)*(E70=E$1:E69)))))</f>
        <v/>
      </c>
      <c r="L70" s="25"/>
    </row>
    <row r="71" customFormat="false" ht="14.25" hidden="false" customHeight="false" outlineLevel="0" collapsed="false">
      <c r="A71" s="0" t="s">
        <v>86</v>
      </c>
      <c r="E71" s="20" t="str">
        <f aca="false">IF(D71="?OLD","!!!","")</f>
        <v/>
      </c>
      <c r="F71" s="21" t="str">
        <f aca="false">IF(OR(E71="",E71="!!!"),"",IF(NOT(ISNA(VLOOKUP(E71,E$1:E70,1,FALSE()))),"OLD",IF(AND(E71&lt;&gt;"",E71&lt;&gt;"!!!"),"NEW","")))</f>
        <v/>
      </c>
      <c r="G71" s="22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aca="false">IF(J71&lt;&gt;1,"",IF(I71="SBJ","CB","?"))</f>
        <v/>
      </c>
      <c r="I71" s="24" t="str">
        <f aca="false">IF(OR(E71="",E71="!!!",F71="NEW"),"",INDEX(B$2:B70,-1+SUMPRODUCT(MAX(ROW(E$2:E70)*(E71=E$2:E70)))))</f>
        <v/>
      </c>
      <c r="J71" s="24" t="str">
        <f aca="true">IF(OR(E71="",E71="!!!",F71="NEW"),"",COUNTBLANK(OFFSET(A$1,,,SUMPRODUCT(MAX(ROW(E$2:E71)*(E71=E$2:E71)))))-COUNTBLANK(OFFSET(A$1,,,SUMPRODUCT(MAX(ROW(E$1:E70)*(E2=E$1:E70))))))</f>
        <v/>
      </c>
      <c r="K71" s="24" t="str">
        <f aca="false">IF(OR(E71="",E71="!!!",F71="NEW"),"",INDEX(J$1:J70,SUMPRODUCT(MAX(ROW(E$1:E70)*(E71=E$1:E70)))))</f>
        <v/>
      </c>
      <c r="L71" s="25"/>
    </row>
    <row r="72" customFormat="false" ht="14.25" hidden="false" customHeight="false" outlineLevel="0" collapsed="false">
      <c r="A72" s="0" t="s">
        <v>166</v>
      </c>
      <c r="B72" s="26" t="s">
        <v>82</v>
      </c>
      <c r="C72" s="26" t="s">
        <v>105</v>
      </c>
      <c r="E72" s="20" t="str">
        <f aca="false">IF(D72="?OLD","!!!","")</f>
        <v/>
      </c>
      <c r="F72" s="21" t="str">
        <f aca="false">IF(OR(E72="",E72="!!!"),"",IF(NOT(ISNA(VLOOKUP(E72,E$1:E71,1,FALSE()))),"OLD",IF(AND(E72&lt;&gt;"",E72&lt;&gt;"!!!"),"NEW","")))</f>
        <v/>
      </c>
      <c r="G72" s="22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aca="false">IF(J72&lt;&gt;1,"",IF(I72="SBJ","CB","?"))</f>
        <v/>
      </c>
      <c r="I72" s="24" t="str">
        <f aca="false">IF(OR(E72="",E72="!!!",F72="NEW"),"",INDEX(B$2:B71,-1+SUMPRODUCT(MAX(ROW(E$2:E71)*(E72=E$2:E71)))))</f>
        <v/>
      </c>
      <c r="J72" s="24" t="str">
        <f aca="true">IF(OR(E72="",E72="!!!",F72="NEW"),"",COUNTBLANK(OFFSET(A$1,,,SUMPRODUCT(MAX(ROW(E$2:E72)*(E72=E$2:E72)))))-COUNTBLANK(OFFSET(A$1,,,SUMPRODUCT(MAX(ROW(E$1:E71)*(E2=E$1:E71))))))</f>
        <v/>
      </c>
      <c r="K72" s="24" t="str">
        <f aca="false">IF(OR(E72="",E72="!!!",F72="NEW"),"",INDEX(J$1:J71,SUMPRODUCT(MAX(ROW(E$1:E71)*(E72=E$1:E71)))))</f>
        <v/>
      </c>
      <c r="L72" s="25"/>
    </row>
    <row r="73" customFormat="false" ht="14.25" hidden="false" customHeight="false" outlineLevel="0" collapsed="false">
      <c r="A73" s="0" t="s">
        <v>167</v>
      </c>
      <c r="E73" s="20" t="str">
        <f aca="false">IF(D73="?OLD","!!!","")</f>
        <v/>
      </c>
      <c r="F73" s="21" t="str">
        <f aca="false">IF(OR(E73="",E73="!!!"),"",IF(NOT(ISNA(VLOOKUP(E73,E$1:E72,1,FALSE()))),"OLD",IF(AND(E73&lt;&gt;"",E73&lt;&gt;"!!!"),"NEW","")))</f>
        <v/>
      </c>
      <c r="G73" s="22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aca="false">IF(J73&lt;&gt;1,"",IF(I73="SBJ","CB","?"))</f>
        <v/>
      </c>
      <c r="I73" s="24" t="str">
        <f aca="false">IF(OR(E73="",E73="!!!",F73="NEW"),"",INDEX(B$2:B72,-1+SUMPRODUCT(MAX(ROW(E$2:E72)*(E73=E$2:E72)))))</f>
        <v/>
      </c>
      <c r="J73" s="24" t="str">
        <f aca="true">IF(OR(E73="",E73="!!!",F73="NEW"),"",COUNTBLANK(OFFSET(A$1,,,SUMPRODUCT(MAX(ROW(E$2:E73)*(E73=E$2:E73)))))-COUNTBLANK(OFFSET(A$1,,,SUMPRODUCT(MAX(ROW(E$1:E72)*(E2=E$1:E72))))))</f>
        <v/>
      </c>
      <c r="K73" s="24" t="str">
        <f aca="false">IF(OR(E73="",E73="!!!",F73="NEW"),"",INDEX(J$1:J72,SUMPRODUCT(MAX(ROW(E$1:E72)*(E73=E$1:E72)))))</f>
        <v/>
      </c>
      <c r="L73" s="25"/>
    </row>
    <row r="74" customFormat="false" ht="14.25" hidden="false" customHeight="false" outlineLevel="0" collapsed="false">
      <c r="A74" s="0" t="s">
        <v>87</v>
      </c>
      <c r="B74" s="26" t="s">
        <v>96</v>
      </c>
      <c r="C74" s="26" t="s">
        <v>88</v>
      </c>
      <c r="D74" s="26" t="s">
        <v>75</v>
      </c>
      <c r="E74" s="20" t="s">
        <v>168</v>
      </c>
      <c r="F74" s="21" t="s">
        <v>98</v>
      </c>
      <c r="G74" s="22" t="e">
        <f aca="false">IF(OR(E74="",E74="!!!"),"",IF(OR(J74=0,AND(J74=1,K74=1),AND(J74=1,I74="SBJ"),AND(J74=1,I74=0)),"?IN_FOCUS",IF(J74&lt;=2,"?ACTIVATED",IF(J74&lt;&gt;"","?FAMILIAR",IF(F74="NEW",IF(ISNA(VLOOKUP(E74,#REF!,1,FALSE())),"?TYPE_IDENTIFIABLE","?REFERENTIAL"),"_")))))</f>
        <v>#VALUE!</v>
      </c>
      <c r="H74" s="23" t="str">
        <f aca="false">IF(J74&lt;&gt;1,"",IF(I74="SBJ","CB","?"))</f>
        <v/>
      </c>
      <c r="I74" s="24" t="e">
        <f aca="false">IF(OR(E74="",E74="!!!",F74="NEW"),"",INDEX(B$2:B73,-1+SUMPRODUCT(MAX(ROW(E$2:E73)*(E74=E$2:E73)))))</f>
        <v>#VALUE!</v>
      </c>
      <c r="J74" s="24" t="n">
        <f aca="true">IF(OR(E74="",E74="!!!",F74="NEW"),"",COUNTBLANK(OFFSET(A$1,,,SUMPRODUCT(MAX(ROW(E$2:E74)*(E74=E$2:E74)))))-COUNTBLANK(OFFSET(A$1,,,SUMPRODUCT(MAX(ROW(E$1:E73)*(E2=E$1:E73))))))</f>
        <v>0</v>
      </c>
      <c r="K74" s="24" t="e">
        <f aca="false">IF(OR(E74="",E74="!!!",F74="NEW"),"",INDEX(J$1:J73,SUMPRODUCT(MAX(ROW(E$1:E73)*(E74=E$1:E73)))))</f>
        <v>#VALUE!</v>
      </c>
      <c r="L74" s="27" t="s">
        <v>169</v>
      </c>
    </row>
    <row r="75" customFormat="false" ht="14.25" hidden="false" customHeight="false" outlineLevel="0" collapsed="false">
      <c r="A75" s="0" t="s">
        <v>170</v>
      </c>
      <c r="E75" s="20" t="str">
        <f aca="false">IF(D75="?OLD","!!!","")</f>
        <v/>
      </c>
      <c r="F75" s="21" t="str">
        <f aca="false">IF(OR(E75="",E75="!!!"),"",IF(NOT(ISNA(VLOOKUP(E75,E$1:E74,1,FALSE()))),"OLD",IF(AND(E75&lt;&gt;"",E75&lt;&gt;"!!!"),"NEW","")))</f>
        <v/>
      </c>
      <c r="G75" s="22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aca="false">IF(J75&lt;&gt;1,"",IF(I75="SBJ","CB","?"))</f>
        <v/>
      </c>
      <c r="I75" s="24" t="str">
        <f aca="false">IF(OR(E75="",E75="!!!",F75="NEW"),"",INDEX(B$2:B74,-1+SUMPRODUCT(MAX(ROW(E$2:E74)*(E75=E$2:E74)))))</f>
        <v/>
      </c>
      <c r="J75" s="24" t="str">
        <f aca="true">IF(OR(E75="",E75="!!!",F75="NEW"),"",COUNTBLANK(OFFSET(A$1,,,SUMPRODUCT(MAX(ROW(E$2:E75)*(E75=E$2:E75)))))-COUNTBLANK(OFFSET(A$1,,,SUMPRODUCT(MAX(ROW(E$1:E74)*(E2=E$1:E74))))))</f>
        <v/>
      </c>
      <c r="K75" s="24" t="str">
        <f aca="false">IF(OR(E75="",E75="!!!",F75="NEW"),"",INDEX(J$1:J74,SUMPRODUCT(MAX(ROW(E$1:E74)*(E75=E$1:E74)))))</f>
        <v/>
      </c>
      <c r="L75" s="25"/>
    </row>
    <row r="76" customFormat="false" ht="14.25" hidden="false" customHeight="false" outlineLevel="0" collapsed="false">
      <c r="A76" s="0" t="s">
        <v>171</v>
      </c>
      <c r="E76" s="20" t="str">
        <f aca="false">IF(D76="?OLD","!!!","")</f>
        <v/>
      </c>
      <c r="F76" s="21" t="str">
        <f aca="false">IF(OR(E76="",E76="!!!"),"",IF(NOT(ISNA(VLOOKUP(E76,E$1:E75,1,FALSE()))),"OLD",IF(AND(E76&lt;&gt;"",E76&lt;&gt;"!!!"),"NEW","")))</f>
        <v/>
      </c>
      <c r="G76" s="22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aca="false">IF(J76&lt;&gt;1,"",IF(I76="SBJ","CB","?"))</f>
        <v/>
      </c>
      <c r="I76" s="24" t="str">
        <f aca="false">IF(OR(E76="",E76="!!!",F76="NEW"),"",INDEX(B$2:B75,-1+SUMPRODUCT(MAX(ROW(E$2:E75)*(E76=E$2:E75)))))</f>
        <v/>
      </c>
      <c r="J76" s="24" t="str">
        <f aca="true">IF(OR(E76="",E76="!!!",F76="NEW"),"",COUNTBLANK(OFFSET(A$1,,,SUMPRODUCT(MAX(ROW(E$2:E76)*(E76=E$2:E76)))))-COUNTBLANK(OFFSET(A$1,,,SUMPRODUCT(MAX(ROW(E$1:E75)*(E2=E$1:E75))))))</f>
        <v/>
      </c>
      <c r="K76" s="24" t="str">
        <f aca="false">IF(OR(E76="",E76="!!!",F76="NEW"),"",INDEX(J$1:J75,SUMPRODUCT(MAX(ROW(E$1:E75)*(E76=E$1:E75)))))</f>
        <v/>
      </c>
      <c r="L76" s="25"/>
    </row>
    <row r="77" customFormat="false" ht="14.25" hidden="false" customHeight="false" outlineLevel="0" collapsed="false">
      <c r="A77" s="0" t="s">
        <v>172</v>
      </c>
      <c r="E77" s="20" t="str">
        <f aca="false">IF(D77="?OLD","!!!","")</f>
        <v/>
      </c>
      <c r="F77" s="21" t="str">
        <f aca="false">IF(OR(E77="",E77="!!!"),"",IF(NOT(ISNA(VLOOKUP(E77,E$1:E76,1,FALSE()))),"OLD",IF(AND(E77&lt;&gt;"",E77&lt;&gt;"!!!"),"NEW","")))</f>
        <v/>
      </c>
      <c r="G77" s="22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aca="false">IF(J77&lt;&gt;1,"",IF(I77="SBJ","CB","?"))</f>
        <v/>
      </c>
      <c r="I77" s="24" t="str">
        <f aca="false">IF(OR(E77="",E77="!!!",F77="NEW"),"",INDEX(B$2:B76,-1+SUMPRODUCT(MAX(ROW(E$2:E76)*(E77=E$2:E76)))))</f>
        <v/>
      </c>
      <c r="J77" s="24" t="str">
        <f aca="true">IF(OR(E77="",E77="!!!",F77="NEW"),"",COUNTBLANK(OFFSET(A$1,,,SUMPRODUCT(MAX(ROW(E$2:E77)*(E77=E$2:E77)))))-COUNTBLANK(OFFSET(A$1,,,SUMPRODUCT(MAX(ROW(E$1:E76)*(E2=E$1:E76))))))</f>
        <v/>
      </c>
      <c r="K77" s="24" t="str">
        <f aca="false">IF(OR(E77="",E77="!!!",F77="NEW"),"",INDEX(J$1:J76,SUMPRODUCT(MAX(ROW(E$1:E76)*(E77=E$1:E76)))))</f>
        <v/>
      </c>
      <c r="L77" s="25"/>
    </row>
    <row r="78" customFormat="false" ht="14.25" hidden="false" customHeight="false" outlineLevel="0" collapsed="false">
      <c r="A78" s="0" t="s">
        <v>71</v>
      </c>
      <c r="E78" s="20" t="str">
        <f aca="false">IF(D78="?OLD","!!!","")</f>
        <v/>
      </c>
      <c r="F78" s="21" t="str">
        <f aca="false">IF(OR(E78="",E78="!!!"),"",IF(NOT(ISNA(VLOOKUP(E78,E$1:E77,1,FALSE()))),"OLD",IF(AND(E78&lt;&gt;"",E78&lt;&gt;"!!!"),"NEW","")))</f>
        <v/>
      </c>
      <c r="G78" s="22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aca="false">IF(J78&lt;&gt;1,"",IF(I78="SBJ","CB","?"))</f>
        <v/>
      </c>
      <c r="I78" s="24" t="str">
        <f aca="false">IF(OR(E78="",E78="!!!",F78="NEW"),"",INDEX(B$2:B77,-1+SUMPRODUCT(MAX(ROW(E$2:E77)*(E78=E$2:E77)))))</f>
        <v/>
      </c>
      <c r="J78" s="24" t="str">
        <f aca="true">IF(OR(E78="",E78="!!!",F78="NEW"),"",COUNTBLANK(OFFSET(A$1,,,SUMPRODUCT(MAX(ROW(E$2:E78)*(E78=E$2:E78)))))-COUNTBLANK(OFFSET(A$1,,,SUMPRODUCT(MAX(ROW(E$1:E77)*(E2=E$1:E77))))))</f>
        <v/>
      </c>
      <c r="K78" s="24" t="str">
        <f aca="false">IF(OR(E78="",E78="!!!",F78="NEW"),"",INDEX(J$1:J77,SUMPRODUCT(MAX(ROW(E$1:E77)*(E78=E$1:E77)))))</f>
        <v/>
      </c>
      <c r="L78" s="25"/>
    </row>
    <row r="79" customFormat="false" ht="14.25" hidden="false" customHeight="false" outlineLevel="0" collapsed="false">
      <c r="A79" s="0" t="s">
        <v>173</v>
      </c>
      <c r="E79" s="20" t="str">
        <f aca="false">IF(D79="?OLD","!!!","")</f>
        <v/>
      </c>
      <c r="F79" s="21" t="str">
        <f aca="false">IF(OR(E79="",E79="!!!"),"",IF(NOT(ISNA(VLOOKUP(E79,E$1:E78,1,FALSE()))),"OLD",IF(AND(E79&lt;&gt;"",E79&lt;&gt;"!!!"),"NEW","")))</f>
        <v/>
      </c>
      <c r="G79" s="22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aca="false">IF(J79&lt;&gt;1,"",IF(I79="SBJ","CB","?"))</f>
        <v/>
      </c>
      <c r="I79" s="24" t="str">
        <f aca="false">IF(OR(E79="",E79="!!!",F79="NEW"),"",INDEX(B$2:B78,-1+SUMPRODUCT(MAX(ROW(E$2:E78)*(E79=E$2:E78)))))</f>
        <v/>
      </c>
      <c r="J79" s="24" t="str">
        <f aca="true">IF(OR(E79="",E79="!!!",F79="NEW"),"",COUNTBLANK(OFFSET(A$1,,,SUMPRODUCT(MAX(ROW(E$2:E79)*(E79=E$2:E79)))))-COUNTBLANK(OFFSET(A$1,,,SUMPRODUCT(MAX(ROW(E$1:E78)*(E2=E$1:E78))))))</f>
        <v/>
      </c>
      <c r="K79" s="24" t="str">
        <f aca="false">IF(OR(E79="",E79="!!!",F79="NEW"),"",INDEX(J$1:J78,SUMPRODUCT(MAX(ROW(E$1:E78)*(E79=E$1:E78)))))</f>
        <v/>
      </c>
      <c r="L79" s="25"/>
    </row>
    <row r="80" customFormat="false" ht="14.25" hidden="false" customHeight="false" outlineLevel="0" collapsed="false">
      <c r="A80" s="0" t="s">
        <v>174</v>
      </c>
      <c r="B80" s="26" t="s">
        <v>96</v>
      </c>
      <c r="C80" s="26" t="s">
        <v>74</v>
      </c>
      <c r="D80" s="26" t="s">
        <v>75</v>
      </c>
      <c r="E80" s="20" t="s">
        <v>175</v>
      </c>
      <c r="F80" s="21" t="str">
        <f aca="false">IF(OR(E80="",E80="!!!"),"",IF(NOT(ISNA(VLOOKUP(E80,E$1:E79,1,FALSE()))),"OLD",IF(AND(E80&lt;&gt;"",E80&lt;&gt;"!!!"),"NEW","")))</f>
        <v>NEW</v>
      </c>
      <c r="G80" s="22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>?REFERENTIAL</v>
      </c>
      <c r="H80" s="23" t="str">
        <f aca="false">IF(J80&lt;&gt;1,"",IF(I80="SBJ","CB","?"))</f>
        <v/>
      </c>
      <c r="I80" s="24" t="str">
        <f aca="false">IF(OR(E80="",E80="!!!",F80="NEW"),"",INDEX(B$2:B79,-1+SUMPRODUCT(MAX(ROW(E$2:E79)*(E80=E$2:E79)))))</f>
        <v/>
      </c>
      <c r="J80" s="24" t="str">
        <f aca="true">IF(OR(E80="",E80="!!!",F80="NEW"),"",COUNTBLANK(OFFSET(A$1,,,SUMPRODUCT(MAX(ROW(E$2:E80)*(E80=E$2:E80)))))-COUNTBLANK(OFFSET(A$1,,,SUMPRODUCT(MAX(ROW(E$1:E79)*(E2=E$1:E79))))))</f>
        <v/>
      </c>
      <c r="K80" s="24" t="str">
        <f aca="false">IF(OR(E80="",E80="!!!",F80="NEW"),"",INDEX(J$1:J79,SUMPRODUCT(MAX(ROW(E$1:E79)*(E80=E$1:E79)))))</f>
        <v/>
      </c>
      <c r="L80" s="25"/>
    </row>
    <row r="81" customFormat="false" ht="14.25" hidden="false" customHeight="false" outlineLevel="0" collapsed="false">
      <c r="A81" s="0" t="s">
        <v>101</v>
      </c>
      <c r="E81" s="20" t="str">
        <f aca="false">IF(D81="?OLD","!!!","")</f>
        <v/>
      </c>
      <c r="F81" s="21" t="str">
        <f aca="false">IF(OR(E81="",E81="!!!"),"",IF(NOT(ISNA(VLOOKUP(E81,E$1:E80,1,FALSE()))),"OLD",IF(AND(E81&lt;&gt;"",E81&lt;&gt;"!!!"),"NEW","")))</f>
        <v/>
      </c>
      <c r="G81" s="22" t="str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aca="false">IF(J81&lt;&gt;1,"",IF(I81="SBJ","CB","?"))</f>
        <v/>
      </c>
      <c r="I81" s="24" t="str">
        <f aca="false">IF(OR(E81="",E81="!!!",F81="NEW"),"",INDEX(B$2:B80,-1+SUMPRODUCT(MAX(ROW(E$2:E80)*(E81=E$2:E80)))))</f>
        <v/>
      </c>
      <c r="J81" s="24" t="str">
        <f aca="true">IF(OR(E81="",E81="!!!",F81="NEW"),"",COUNTBLANK(OFFSET(A$1,,,SUMPRODUCT(MAX(ROW(E$2:E81)*(E81=E$2:E81)))))-COUNTBLANK(OFFSET(A$1,,,SUMPRODUCT(MAX(ROW(E$1:E80)*(E2=E$1:E80))))))</f>
        <v/>
      </c>
      <c r="K81" s="24" t="str">
        <f aca="false">IF(OR(E81="",E81="!!!",F81="NEW"),"",INDEX(J$1:J80,SUMPRODUCT(MAX(ROW(E$1:E80)*(E81=E$1:E80)))))</f>
        <v/>
      </c>
      <c r="L81" s="25"/>
    </row>
    <row r="82" customFormat="false" ht="14.25" hidden="false" customHeight="false" outlineLevel="0" collapsed="false">
      <c r="A82" s="0" t="s">
        <v>136</v>
      </c>
      <c r="E82" s="20"/>
      <c r="F82" s="21" t="str">
        <f aca="false">IF(OR(E82="",E82="!!!"),"",IF(NOT(ISNA(VLOOKUP(E82,E$1:E81,1,FALSE()))),"OLD",IF(AND(E82&lt;&gt;"",E82&lt;&gt;"!!!"),"NEW","")))</f>
        <v/>
      </c>
      <c r="G82" s="22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aca="false">IF(J82&lt;&gt;1,"",IF(I82="SBJ","CB","?"))</f>
        <v/>
      </c>
      <c r="I82" s="24" t="str">
        <f aca="false">IF(OR(E82="",E82="!!!",F82="NEW"),"",INDEX(B$2:B81,-1+SUMPRODUCT(MAX(ROW(E$2:E81)*(E82=E$2:E81)))))</f>
        <v/>
      </c>
      <c r="J82" s="24" t="str">
        <f aca="true">IF(OR(E82="",E82="!!!",F82="NEW"),"",COUNTBLANK(OFFSET(A$1,,,SUMPRODUCT(MAX(ROW(E$2:E82)*(E82=E$2:E82)))))-COUNTBLANK(OFFSET(A$1,,,SUMPRODUCT(MAX(ROW(E$1:E81)*(E2=E$1:E81))))))</f>
        <v/>
      </c>
      <c r="K82" s="24" t="str">
        <f aca="false">IF(OR(E82="",E82="!!!",F82="NEW"),"",INDEX(J$1:J81,SUMPRODUCT(MAX(ROW(E$1:E81)*(E82=E$1:E81)))))</f>
        <v/>
      </c>
      <c r="L82" s="25"/>
    </row>
    <row r="83" customFormat="false" ht="14.25" hidden="false" customHeight="false" outlineLevel="0" collapsed="false">
      <c r="A83" s="0" t="s">
        <v>92</v>
      </c>
      <c r="E83" s="20" t="str">
        <f aca="false">IF(D83="?OLD","!!!","")</f>
        <v/>
      </c>
      <c r="F83" s="21" t="str">
        <f aca="false">IF(OR(E83="",E83="!!!"),"",IF(NOT(ISNA(VLOOKUP(E83,E$1:E82,1,FALSE()))),"OLD",IF(AND(E83&lt;&gt;"",E83&lt;&gt;"!!!"),"NEW","")))</f>
        <v/>
      </c>
      <c r="G83" s="22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aca="false">IF(J83&lt;&gt;1,"",IF(I83="SBJ","CB","?"))</f>
        <v/>
      </c>
      <c r="I83" s="24" t="str">
        <f aca="false">IF(OR(E83="",E83="!!!",F83="NEW"),"",INDEX(B$2:B82,-1+SUMPRODUCT(MAX(ROW(E$2:E82)*(E83=E$2:E82)))))</f>
        <v/>
      </c>
      <c r="J83" s="24" t="str">
        <f aca="true">IF(OR(E83="",E83="!!!",F83="NEW"),"",COUNTBLANK(OFFSET(A$1,,,SUMPRODUCT(MAX(ROW(E$2:E83)*(E83=E$2:E83)))))-COUNTBLANK(OFFSET(A$1,,,SUMPRODUCT(MAX(ROW(E$1:E82)*(E2=E$1:E82))))))</f>
        <v/>
      </c>
      <c r="K83" s="24" t="str">
        <f aca="false">IF(OR(E83="",E83="!!!",F83="NEW"),"",INDEX(J$1:J82,SUMPRODUCT(MAX(ROW(E$1:E82)*(E83=E$1:E82)))))</f>
        <v/>
      </c>
      <c r="L83" s="25"/>
    </row>
    <row r="84" customFormat="false" ht="14.25" hidden="false" customHeight="false" outlineLevel="0" collapsed="false">
      <c r="A84" s="0" t="s">
        <v>176</v>
      </c>
      <c r="B84" s="26" t="s">
        <v>154</v>
      </c>
      <c r="C84" s="26" t="s">
        <v>74</v>
      </c>
      <c r="D84" s="26" t="s">
        <v>75</v>
      </c>
      <c r="E84" s="20"/>
      <c r="F84" s="21" t="str">
        <f aca="false">IF(OR(E84="",E84="!!!"),"",IF(NOT(ISNA(VLOOKUP(E84,E$1:E83,1,FALSE()))),"OLD",IF(AND(E84&lt;&gt;"",E84&lt;&gt;"!!!"),"NEW","")))</f>
        <v/>
      </c>
      <c r="G84" s="22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aca="false">IF(J84&lt;&gt;1,"",IF(I84="SBJ","CB","?"))</f>
        <v/>
      </c>
      <c r="I84" s="24" t="str">
        <f aca="false">IF(OR(E84="",E84="!!!",F84="NEW"),"",INDEX(B$2:B83,-1+SUMPRODUCT(MAX(ROW(E$2:E83)*(E84=E$2:E83)))))</f>
        <v/>
      </c>
      <c r="J84" s="24" t="str">
        <f aca="true">IF(OR(E84="",E84="!!!",F84="NEW"),"",COUNTBLANK(OFFSET(A$1,,,SUMPRODUCT(MAX(ROW(E$2:E84)*(E84=E$2:E84)))))-COUNTBLANK(OFFSET(A$1,,,SUMPRODUCT(MAX(ROW(E$1:E83)*(E2=E$1:E83))))))</f>
        <v/>
      </c>
      <c r="K84" s="24" t="str">
        <f aca="false">IF(OR(E84="",E84="!!!",F84="NEW"),"",INDEX(J$1:J83,SUMPRODUCT(MAX(ROW(E$1:E83)*(E84=E$1:E83)))))</f>
        <v/>
      </c>
      <c r="L84" s="27" t="s">
        <v>177</v>
      </c>
    </row>
    <row r="85" customFormat="false" ht="14.25" hidden="false" customHeight="false" outlineLevel="0" collapsed="false">
      <c r="A85" s="0" t="s">
        <v>178</v>
      </c>
      <c r="E85" s="20" t="str">
        <f aca="false">IF(D85="?OLD","!!!","")</f>
        <v/>
      </c>
      <c r="F85" s="21" t="str">
        <f aca="false">IF(OR(E85="",E85="!!!"),"",IF(NOT(ISNA(VLOOKUP(E85,E$1:E84,1,FALSE()))),"OLD",IF(AND(E85&lt;&gt;"",E85&lt;&gt;"!!!"),"NEW","")))</f>
        <v/>
      </c>
      <c r="G85" s="22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aca="false">IF(J85&lt;&gt;1,"",IF(I85="SBJ","CB","?"))</f>
        <v/>
      </c>
      <c r="I85" s="24" t="str">
        <f aca="false">IF(OR(E85="",E85="!!!",F85="NEW"),"",INDEX(B$2:B84,-1+SUMPRODUCT(MAX(ROW(E$2:E84)*(E85=E$2:E84)))))</f>
        <v/>
      </c>
      <c r="J85" s="24" t="str">
        <f aca="true">IF(OR(E85="",E85="!!!",F85="NEW"),"",COUNTBLANK(OFFSET(A$1,,,SUMPRODUCT(MAX(ROW(E$2:E85)*(E85=E$2:E85)))))-COUNTBLANK(OFFSET(A$1,,,SUMPRODUCT(MAX(ROW(E$1:E84)*(E2=E$1:E84))))))</f>
        <v/>
      </c>
      <c r="K85" s="24" t="str">
        <f aca="false">IF(OR(E85="",E85="!!!",F85="NEW"),"",INDEX(J$1:J84,SUMPRODUCT(MAX(ROW(E$1:E84)*(E85=E$1:E84)))))</f>
        <v/>
      </c>
      <c r="L85" s="25"/>
    </row>
    <row r="86" customFormat="false" ht="23.85" hidden="false" customHeight="false" outlineLevel="0" collapsed="false">
      <c r="A86" s="0" t="s">
        <v>126</v>
      </c>
      <c r="B86" s="26" t="s">
        <v>82</v>
      </c>
      <c r="C86" s="26" t="s">
        <v>105</v>
      </c>
      <c r="E86" s="20" t="s">
        <v>179</v>
      </c>
      <c r="F86" s="21" t="str">
        <f aca="false">IF(OR(E86="",E86="!!!"),"",IF(NOT(ISNA(VLOOKUP(E86,E$1:E85,1,FALSE()))),"OLD",IF(AND(E86&lt;&gt;"",E86&lt;&gt;"!!!"),"NEW","")))</f>
        <v>NEW</v>
      </c>
      <c r="G86" s="22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>?REFERENTIAL</v>
      </c>
      <c r="H86" s="23" t="str">
        <f aca="false">IF(J86&lt;&gt;1,"",IF(I86="SBJ","CB","?"))</f>
        <v/>
      </c>
      <c r="I86" s="24" t="str">
        <f aca="false">IF(OR(E86="",E86="!!!",F86="NEW"),"",INDEX(B$2:B85,-1+SUMPRODUCT(MAX(ROW(E$2:E85)*(E86=E$2:E85)))))</f>
        <v/>
      </c>
      <c r="J86" s="24" t="str">
        <f aca="true">IF(OR(E86="",E86="!!!",F86="NEW"),"",COUNTBLANK(OFFSET(A$1,,,SUMPRODUCT(MAX(ROW(E$2:E86)*(E86=E$2:E86)))))-COUNTBLANK(OFFSET(A$1,,,SUMPRODUCT(MAX(ROW(E$1:E85)*(E2=E$1:E85))))))</f>
        <v/>
      </c>
      <c r="K86" s="24" t="str">
        <f aca="false">IF(OR(E86="",E86="!!!",F86="NEW"),"",INDEX(J$1:J85,SUMPRODUCT(MAX(ROW(E$1:E85)*(E86=E$1:E85)))))</f>
        <v/>
      </c>
      <c r="L86" s="27" t="s">
        <v>180</v>
      </c>
    </row>
    <row r="87" customFormat="false" ht="14.25" hidden="false" customHeight="false" outlineLevel="0" collapsed="false">
      <c r="A87" s="0" t="s">
        <v>181</v>
      </c>
      <c r="E87" s="20" t="str">
        <f aca="false">IF(D87="?OLD","!!!","")</f>
        <v/>
      </c>
      <c r="F87" s="21" t="str">
        <f aca="false">IF(OR(E87="",E87="!!!"),"",IF(NOT(ISNA(VLOOKUP(E87,E$1:E86,1,FALSE()))),"OLD",IF(AND(E87&lt;&gt;"",E87&lt;&gt;"!!!"),"NEW","")))</f>
        <v/>
      </c>
      <c r="G87" s="22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aca="false">IF(J87&lt;&gt;1,"",IF(I87="SBJ","CB","?"))</f>
        <v/>
      </c>
      <c r="I87" s="24" t="str">
        <f aca="false">IF(OR(E87="",E87="!!!",F87="NEW"),"",INDEX(B$2:B86,-1+SUMPRODUCT(MAX(ROW(E$2:E86)*(E87=E$2:E86)))))</f>
        <v/>
      </c>
      <c r="J87" s="24" t="str">
        <f aca="true">IF(OR(E87="",E87="!!!",F87="NEW"),"",COUNTBLANK(OFFSET(A$1,,,SUMPRODUCT(MAX(ROW(E$2:E87)*(E87=E$2:E87)))))-COUNTBLANK(OFFSET(A$1,,,SUMPRODUCT(MAX(ROW(E$1:E86)*(E2=E$1:E86))))))</f>
        <v/>
      </c>
      <c r="K87" s="24" t="str">
        <f aca="false">IF(OR(E87="",E87="!!!",F87="NEW"),"",INDEX(J$1:J86,SUMPRODUCT(MAX(ROW(E$1:E86)*(E87=E$1:E86)))))</f>
        <v/>
      </c>
      <c r="L87" s="25"/>
    </row>
    <row r="88" customFormat="false" ht="14.25" hidden="false" customHeight="false" outlineLevel="0" collapsed="false">
      <c r="A88" s="0" t="s">
        <v>101</v>
      </c>
      <c r="E88" s="20" t="str">
        <f aca="false">IF(D88="?OLD","!!!","")</f>
        <v/>
      </c>
      <c r="F88" s="21" t="str">
        <f aca="false">IF(OR(E88="",E88="!!!"),"",IF(NOT(ISNA(VLOOKUP(E88,E$1:E87,1,FALSE()))),"OLD",IF(AND(E88&lt;&gt;"",E88&lt;&gt;"!!!"),"NEW","")))</f>
        <v/>
      </c>
      <c r="G88" s="22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aca="false">IF(J88&lt;&gt;1,"",IF(I88="SBJ","CB","?"))</f>
        <v/>
      </c>
      <c r="I88" s="24" t="str">
        <f aca="false">IF(OR(E88="",E88="!!!",F88="NEW"),"",INDEX(B$2:B87,-1+SUMPRODUCT(MAX(ROW(E$2:E87)*(E88=E$2:E87)))))</f>
        <v/>
      </c>
      <c r="J88" s="24" t="str">
        <f aca="true">IF(OR(E88="",E88="!!!",F88="NEW"),"",COUNTBLANK(OFFSET(A$1,,,SUMPRODUCT(MAX(ROW(E$2:E88)*(E88=E$2:E88)))))-COUNTBLANK(OFFSET(A$1,,,SUMPRODUCT(MAX(ROW(E$1:E87)*(E2=E$1:E87))))))</f>
        <v/>
      </c>
      <c r="K88" s="24" t="str">
        <f aca="false">IF(OR(E88="",E88="!!!",F88="NEW"),"",INDEX(J$1:J87,SUMPRODUCT(MAX(ROW(E$1:E87)*(E88=E$1:E87)))))</f>
        <v/>
      </c>
      <c r="L88" s="25"/>
    </row>
    <row r="89" customFormat="false" ht="14.25" hidden="false" customHeight="false" outlineLevel="0" collapsed="false">
      <c r="A89" s="0" t="s">
        <v>182</v>
      </c>
      <c r="E89" s="20" t="str">
        <f aca="false">IF(D89="?OLD","!!!","")</f>
        <v/>
      </c>
      <c r="F89" s="21" t="str">
        <f aca="false">IF(OR(E89="",E89="!!!"),"",IF(NOT(ISNA(VLOOKUP(E89,E$1:E88,1,FALSE()))),"OLD",IF(AND(E89&lt;&gt;"",E89&lt;&gt;"!!!"),"NEW","")))</f>
        <v/>
      </c>
      <c r="G89" s="22" t="str">
        <f aca="false"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aca="false">IF(J89&lt;&gt;1,"",IF(I89="SBJ","CB","?"))</f>
        <v/>
      </c>
      <c r="I89" s="24" t="str">
        <f aca="false">IF(OR(E89="",E89="!!!",F89="NEW"),"",INDEX(B$2:B88,-1+SUMPRODUCT(MAX(ROW(E$2:E88)*(E89=E$2:E88)))))</f>
        <v/>
      </c>
      <c r="J89" s="24" t="str">
        <f aca="true">IF(OR(E89="",E89="!!!",F89="NEW"),"",COUNTBLANK(OFFSET(A$1,,,SUMPRODUCT(MAX(ROW(E$2:E89)*(E89=E$2:E89)))))-COUNTBLANK(OFFSET(A$1,,,SUMPRODUCT(MAX(ROW(E$1:E88)*(E2=E$1:E88))))))</f>
        <v/>
      </c>
      <c r="K89" s="24" t="str">
        <f aca="false">IF(OR(E89="",E89="!!!",F89="NEW"),"",INDEX(J$1:J88,SUMPRODUCT(MAX(ROW(E$1:E88)*(E89=E$1:E88)))))</f>
        <v/>
      </c>
      <c r="L89" s="25"/>
    </row>
    <row r="90" customFormat="false" ht="14.25" hidden="false" customHeight="false" outlineLevel="0" collapsed="false">
      <c r="A90" s="0" t="s">
        <v>183</v>
      </c>
      <c r="E90" s="20" t="str">
        <f aca="false">IF(D90="?OLD","!!!","")</f>
        <v/>
      </c>
      <c r="F90" s="21" t="str">
        <f aca="false">IF(OR(E90="",E90="!!!"),"",IF(NOT(ISNA(VLOOKUP(E90,E$1:E89,1,FALSE()))),"OLD",IF(AND(E90&lt;&gt;"",E90&lt;&gt;"!!!"),"NEW","")))</f>
        <v/>
      </c>
      <c r="G90" s="22" t="str">
        <f aca="false"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aca="false">IF(J90&lt;&gt;1,"",IF(I90="SBJ","CB","?"))</f>
        <v/>
      </c>
      <c r="I90" s="24" t="str">
        <f aca="false">IF(OR(E90="",E90="!!!",F90="NEW"),"",INDEX(B$2:B89,-1+SUMPRODUCT(MAX(ROW(E$2:E89)*(E90=E$2:E89)))))</f>
        <v/>
      </c>
      <c r="J90" s="24" t="str">
        <f aca="true">IF(OR(E90="",E90="!!!",F90="NEW"),"",COUNTBLANK(OFFSET(A$1,,,SUMPRODUCT(MAX(ROW(E$2:E90)*(E90=E$2:E90)))))-COUNTBLANK(OFFSET(A$1,,,SUMPRODUCT(MAX(ROW(E$1:E89)*(E2=E$1:E89))))))</f>
        <v/>
      </c>
      <c r="K90" s="24" t="str">
        <f aca="false">IF(OR(E90="",E90="!!!",F90="NEW"),"",INDEX(J$1:J89,SUMPRODUCT(MAX(ROW(E$1:E89)*(E90=E$1:E89)))))</f>
        <v/>
      </c>
      <c r="L90" s="25"/>
    </row>
    <row r="91" customFormat="false" ht="14.25" hidden="false" customHeight="false" outlineLevel="0" collapsed="false">
      <c r="A91" s="0" t="s">
        <v>184</v>
      </c>
      <c r="E91" s="20" t="str">
        <f aca="false">IF(D91="?OLD","!!!","")</f>
        <v/>
      </c>
      <c r="F91" s="21" t="str">
        <f aca="false">IF(OR(E91="",E91="!!!"),"",IF(NOT(ISNA(VLOOKUP(E91,E$1:E90,1,FALSE()))),"OLD",IF(AND(E91&lt;&gt;"",E91&lt;&gt;"!!!"),"NEW","")))</f>
        <v/>
      </c>
      <c r="G91" s="22" t="str">
        <f aca="false"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aca="false">IF(J91&lt;&gt;1,"",IF(I91="SBJ","CB","?"))</f>
        <v/>
      </c>
      <c r="I91" s="24" t="str">
        <f aca="false">IF(OR(E91="",E91="!!!",F91="NEW"),"",INDEX(B$2:B90,-1+SUMPRODUCT(MAX(ROW(E$2:E90)*(E91=E$2:E90)))))</f>
        <v/>
      </c>
      <c r="J91" s="24" t="str">
        <f aca="true">IF(OR(E91="",E91="!!!",F91="NEW"),"",COUNTBLANK(OFFSET(A$1,,,SUMPRODUCT(MAX(ROW(E$2:E91)*(E91=E$2:E91)))))-COUNTBLANK(OFFSET(A$1,,,SUMPRODUCT(MAX(ROW(E$1:E90)*(E2=E$1:E90))))))</f>
        <v/>
      </c>
      <c r="K91" s="24" t="str">
        <f aca="false">IF(OR(E91="",E91="!!!",F91="NEW"),"",INDEX(J$1:J90,SUMPRODUCT(MAX(ROW(E$1:E90)*(E91=E$1:E90)))))</f>
        <v/>
      </c>
      <c r="L91" s="25"/>
    </row>
    <row r="92" customFormat="false" ht="14.25" hidden="false" customHeight="false" outlineLevel="0" collapsed="false">
      <c r="A92" s="0" t="s">
        <v>103</v>
      </c>
      <c r="B92" s="26" t="s">
        <v>82</v>
      </c>
      <c r="C92" s="26" t="s">
        <v>105</v>
      </c>
      <c r="E92" s="20" t="s">
        <v>185</v>
      </c>
      <c r="F92" s="21" t="s">
        <v>186</v>
      </c>
      <c r="G92" s="22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>?REFERENTIAL</v>
      </c>
      <c r="H92" s="23" t="str">
        <f aca="false">IF(J92&lt;&gt;1,"",IF(I92="SBJ","CB","?"))</f>
        <v/>
      </c>
      <c r="I92" s="24" t="str">
        <f aca="false">IF(OR(E92="",E92="!!!",F92="NEW"),"",INDEX(B$2:B91,-1+SUMPRODUCT(MAX(ROW(E$2:E91)*(E92=E$2:E91)))))</f>
        <v/>
      </c>
      <c r="J92" s="24" t="str">
        <f aca="true">IF(OR(E92="",E92="!!!",F92="NEW"),"",COUNTBLANK(OFFSET(A$1,,,SUMPRODUCT(MAX(ROW(E$2:E92)*(E92=E$2:E92)))))-COUNTBLANK(OFFSET(A$1,,,SUMPRODUCT(MAX(ROW(E$1:E91)*(E2=E$1:E91))))))</f>
        <v/>
      </c>
      <c r="K92" s="24" t="str">
        <f aca="false">IF(OR(E92="",E92="!!!",F92="NEW"),"",INDEX(J$1:J91,SUMPRODUCT(MAX(ROW(E$1:E91)*(E92=E$1:E91)))))</f>
        <v/>
      </c>
      <c r="L92" s="27" t="s">
        <v>187</v>
      </c>
    </row>
    <row r="93" customFormat="false" ht="14.25" hidden="false" customHeight="false" outlineLevel="0" collapsed="false">
      <c r="A93" s="0" t="s">
        <v>101</v>
      </c>
      <c r="E93" s="20" t="str">
        <f aca="false">IF(D93="?OLD","!!!","")</f>
        <v/>
      </c>
      <c r="F93" s="21" t="str">
        <f aca="false">IF(OR(E93="",E93="!!!"),"",IF(NOT(ISNA(VLOOKUP(E93,E$1:E92,1,FALSE()))),"OLD",IF(AND(E93&lt;&gt;"",E93&lt;&gt;"!!!"),"NEW","")))</f>
        <v/>
      </c>
      <c r="G93" s="22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aca="false">IF(J93&lt;&gt;1,"",IF(I93="SBJ","CB","?"))</f>
        <v/>
      </c>
      <c r="I93" s="24" t="str">
        <f aca="false">IF(OR(E93="",E93="!!!",F93="NEW"),"",INDEX(B$2:B92,-1+SUMPRODUCT(MAX(ROW(E$2:E92)*(E93=E$2:E92)))))</f>
        <v/>
      </c>
      <c r="J93" s="24" t="str">
        <f aca="true">IF(OR(E93="",E93="!!!",F93="NEW"),"",COUNTBLANK(OFFSET(A$1,,,SUMPRODUCT(MAX(ROW(E$2:E93)*(E93=E$2:E93)))))-COUNTBLANK(OFFSET(A$1,,,SUMPRODUCT(MAX(ROW(E$1:E92)*(E2=E$1:E92))))))</f>
        <v/>
      </c>
      <c r="K93" s="24" t="str">
        <f aca="false">IF(OR(E93="",E93="!!!",F93="NEW"),"",INDEX(J$1:J92,SUMPRODUCT(MAX(ROW(E$1:E92)*(E93=E$1:E92)))))</f>
        <v/>
      </c>
      <c r="L93" s="25"/>
    </row>
    <row r="94" customFormat="false" ht="14.25" hidden="false" customHeight="false" outlineLevel="0" collapsed="false">
      <c r="A94" s="0" t="s">
        <v>188</v>
      </c>
      <c r="E94" s="20" t="str">
        <f aca="false">IF(D94="?OLD","!!!","")</f>
        <v/>
      </c>
      <c r="F94" s="21" t="str">
        <f aca="false">IF(OR(E94="",E94="!!!"),"",IF(NOT(ISNA(VLOOKUP(E94,E$1:E93,1,FALSE()))),"OLD",IF(AND(E94&lt;&gt;"",E94&lt;&gt;"!!!"),"NEW","")))</f>
        <v/>
      </c>
      <c r="G94" s="22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aca="false">IF(J94&lt;&gt;1,"",IF(I94="SBJ","CB","?"))</f>
        <v/>
      </c>
      <c r="I94" s="24" t="str">
        <f aca="false">IF(OR(E94="",E94="!!!",F94="NEW"),"",INDEX(B$2:B93,-1+SUMPRODUCT(MAX(ROW(E$2:E93)*(E94=E$2:E93)))))</f>
        <v/>
      </c>
      <c r="J94" s="24" t="str">
        <f aca="true">IF(OR(E94="",E94="!!!",F94="NEW"),"",COUNTBLANK(OFFSET(A$1,,,SUMPRODUCT(MAX(ROW(E$2:E94)*(E94=E$2:E94)))))-COUNTBLANK(OFFSET(A$1,,,SUMPRODUCT(MAX(ROW(E$1:E93)*(E2=E$1:E93))))))</f>
        <v/>
      </c>
      <c r="K94" s="24" t="str">
        <f aca="false">IF(OR(E94="",E94="!!!",F94="NEW"),"",INDEX(J$1:J93,SUMPRODUCT(MAX(ROW(E$1:E93)*(E94=E$1:E93)))))</f>
        <v/>
      </c>
      <c r="L94" s="25"/>
    </row>
    <row r="95" customFormat="false" ht="14.25" hidden="false" customHeight="false" outlineLevel="0" collapsed="false">
      <c r="A95" s="0" t="s">
        <v>189</v>
      </c>
      <c r="E95" s="20" t="str">
        <f aca="false">IF(D95="?OLD","!!!","")</f>
        <v/>
      </c>
      <c r="F95" s="21" t="str">
        <f aca="false">IF(OR(E95="",E95="!!!"),"",IF(NOT(ISNA(VLOOKUP(E95,E$1:E94,1,FALSE()))),"OLD",IF(AND(E95&lt;&gt;"",E95&lt;&gt;"!!!"),"NEW","")))</f>
        <v/>
      </c>
      <c r="G95" s="22" t="str">
        <f aca="false"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aca="false">IF(J95&lt;&gt;1,"",IF(I95="SBJ","CB","?"))</f>
        <v/>
      </c>
      <c r="I95" s="24" t="str">
        <f aca="false">IF(OR(E95="",E95="!!!",F95="NEW"),"",INDEX(B$2:B94,-1+SUMPRODUCT(MAX(ROW(E$2:E94)*(E95=E$2:E94)))))</f>
        <v/>
      </c>
      <c r="J95" s="24" t="str">
        <f aca="true">IF(OR(E95="",E95="!!!",F95="NEW"),"",COUNTBLANK(OFFSET(A$1,,,SUMPRODUCT(MAX(ROW(E$2:E95)*(E95=E$2:E95)))))-COUNTBLANK(OFFSET(A$1,,,SUMPRODUCT(MAX(ROW(E$1:E94)*(E2=E$1:E94))))))</f>
        <v/>
      </c>
      <c r="K95" s="24" t="str">
        <f aca="false">IF(OR(E95="",E95="!!!",F95="NEW"),"",INDEX(J$1:J94,SUMPRODUCT(MAX(ROW(E$1:E94)*(E95=E$1:E94)))))</f>
        <v/>
      </c>
      <c r="L95" s="25"/>
    </row>
    <row r="96" customFormat="false" ht="14.25" hidden="false" customHeight="false" outlineLevel="0" collapsed="false">
      <c r="A96" s="0" t="s">
        <v>103</v>
      </c>
      <c r="B96" s="26" t="s">
        <v>96</v>
      </c>
      <c r="C96" s="26" t="s">
        <v>74</v>
      </c>
      <c r="D96" s="26" t="s">
        <v>75</v>
      </c>
      <c r="E96" s="20"/>
      <c r="F96" s="21" t="s">
        <v>139</v>
      </c>
      <c r="G96" s="22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aca="false">IF(J96&lt;&gt;1,"",IF(I96="SBJ","CB","?"))</f>
        <v/>
      </c>
      <c r="I96" s="24" t="str">
        <f aca="false">IF(OR(E96="",E96="!!!",F96="NEW"),"",INDEX(B$2:B95,-1+SUMPRODUCT(MAX(ROW(E$2:E95)*(E96=E$2:E95)))))</f>
        <v/>
      </c>
      <c r="J96" s="24" t="str">
        <f aca="true">IF(OR(E96="",E96="!!!",F96="NEW"),"",COUNTBLANK(OFFSET(A$1,,,SUMPRODUCT(MAX(ROW(E$2:E96)*(E96=E$2:E96)))))-COUNTBLANK(OFFSET(A$1,,,SUMPRODUCT(MAX(ROW(E$1:E95)*(E2=E$1:E95))))))</f>
        <v/>
      </c>
      <c r="K96" s="24" t="str">
        <f aca="false">IF(OR(E96="",E96="!!!",F96="NEW"),"",INDEX(J$1:J95,SUMPRODUCT(MAX(ROW(E$1:E95)*(E96=E$1:E95)))))</f>
        <v/>
      </c>
      <c r="L96" s="27" t="s">
        <v>190</v>
      </c>
    </row>
    <row r="97" customFormat="false" ht="14.25" hidden="false" customHeight="false" outlineLevel="0" collapsed="false">
      <c r="A97" s="0" t="s">
        <v>140</v>
      </c>
      <c r="E97" s="20" t="str">
        <f aca="false">IF(D97="?OLD","!!!","")</f>
        <v/>
      </c>
      <c r="F97" s="21" t="str">
        <f aca="false">IF(OR(E97="",E97="!!!"),"",IF(NOT(ISNA(VLOOKUP(E97,E$1:E96,1,FALSE()))),"OLD",IF(AND(E97&lt;&gt;"",E97&lt;&gt;"!!!"),"NEW","")))</f>
        <v/>
      </c>
      <c r="G97" s="22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aca="false">IF(J97&lt;&gt;1,"",IF(I97="SBJ","CB","?"))</f>
        <v/>
      </c>
      <c r="I97" s="24" t="str">
        <f aca="false">IF(OR(E97="",E97="!!!",F97="NEW"),"",INDEX(B$2:B96,-1+SUMPRODUCT(MAX(ROW(E$2:E96)*(E97=E$2:E96)))))</f>
        <v/>
      </c>
      <c r="J97" s="24" t="str">
        <f aca="true">IF(OR(E97="",E97="!!!",F97="NEW"),"",COUNTBLANK(OFFSET(A$1,,,SUMPRODUCT(MAX(ROW(E$2:E97)*(E97=E$2:E97)))))-COUNTBLANK(OFFSET(A$1,,,SUMPRODUCT(MAX(ROW(E$1:E96)*(E2=E$1:E96))))))</f>
        <v/>
      </c>
      <c r="K97" s="24" t="str">
        <f aca="false">IF(OR(E97="",E97="!!!",F97="NEW"),"",INDEX(J$1:J96,SUMPRODUCT(MAX(ROW(E$1:E96)*(E97=E$1:E96)))))</f>
        <v/>
      </c>
      <c r="L97" s="25"/>
    </row>
    <row r="98" customFormat="false" ht="14.25" hidden="false" customHeight="false" outlineLevel="0" collapsed="false">
      <c r="A98" s="0" t="s">
        <v>191</v>
      </c>
      <c r="B98" s="26" t="s">
        <v>147</v>
      </c>
      <c r="C98" s="26" t="s">
        <v>105</v>
      </c>
      <c r="E98" s="20" t="str">
        <f aca="false">IF(D98="?OLD","!!!","")</f>
        <v/>
      </c>
      <c r="F98" s="21" t="str">
        <f aca="false">IF(OR(E98="",E98="!!!"),"",IF(NOT(ISNA(VLOOKUP(E98,E$1:E97,1,FALSE()))),"OLD",IF(AND(E98&lt;&gt;"",E98&lt;&gt;"!!!"),"NEW","")))</f>
        <v/>
      </c>
      <c r="G98" s="22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aca="false">IF(J98&lt;&gt;1,"",IF(I98="SBJ","CB","?"))</f>
        <v/>
      </c>
      <c r="I98" s="24" t="str">
        <f aca="false">IF(OR(E98="",E98="!!!",F98="NEW"),"",INDEX(B$2:B97,-1+SUMPRODUCT(MAX(ROW(E$2:E97)*(E98=E$2:E97)))))</f>
        <v/>
      </c>
      <c r="J98" s="24" t="str">
        <f aca="true">IF(OR(E98="",E98="!!!",F98="NEW"),"",COUNTBLANK(OFFSET(A$1,,,SUMPRODUCT(MAX(ROW(E$2:E98)*(E98=E$2:E98)))))-COUNTBLANK(OFFSET(A$1,,,SUMPRODUCT(MAX(ROW(E$1:E97)*(E2=E$1:E97))))))</f>
        <v/>
      </c>
      <c r="K98" s="24" t="str">
        <f aca="false">IF(OR(E98="",E98="!!!",F98="NEW"),"",INDEX(J$1:J97,SUMPRODUCT(MAX(ROW(E$1:E97)*(E98=E$1:E97)))))</f>
        <v/>
      </c>
      <c r="L98" s="25"/>
    </row>
    <row r="99" customFormat="false" ht="14.25" hidden="false" customHeight="false" outlineLevel="0" collapsed="false">
      <c r="A99" s="0" t="s">
        <v>142</v>
      </c>
      <c r="E99" s="20" t="str">
        <f aca="false">IF(D99="?OLD","!!!","")</f>
        <v/>
      </c>
      <c r="F99" s="21" t="str">
        <f aca="false">IF(OR(E99="",E99="!!!"),"",IF(NOT(ISNA(VLOOKUP(E99,E$1:E98,1,FALSE()))),"OLD",IF(AND(E99&lt;&gt;"",E99&lt;&gt;"!!!"),"NEW","")))</f>
        <v/>
      </c>
      <c r="G99" s="22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aca="false">IF(J99&lt;&gt;1,"",IF(I99="SBJ","CB","?"))</f>
        <v/>
      </c>
      <c r="I99" s="24" t="str">
        <f aca="false">IF(OR(E99="",E99="!!!",F99="NEW"),"",INDEX(B$2:B98,-1+SUMPRODUCT(MAX(ROW(E$2:E98)*(E99=E$2:E98)))))</f>
        <v/>
      </c>
      <c r="J99" s="24" t="str">
        <f aca="true">IF(OR(E99="",E99="!!!",F99="NEW"),"",COUNTBLANK(OFFSET(A$1,,,SUMPRODUCT(MAX(ROW(E$2:E99)*(E99=E$2:E99)))))-COUNTBLANK(OFFSET(A$1,,,SUMPRODUCT(MAX(ROW(E$1:E98)*(E2=E$1:E98))))))</f>
        <v/>
      </c>
      <c r="K99" s="24" t="str">
        <f aca="false">IF(OR(E99="",E99="!!!",F99="NEW"),"",INDEX(J$1:J98,SUMPRODUCT(MAX(ROW(E$1:E98)*(E99=E$1:E98)))))</f>
        <v/>
      </c>
      <c r="L99" s="25"/>
    </row>
    <row r="100" customFormat="false" ht="14.25" hidden="false" customHeight="false" outlineLevel="0" collapsed="false">
      <c r="A100" s="0" t="s">
        <v>192</v>
      </c>
      <c r="B100" s="26" t="s">
        <v>115</v>
      </c>
      <c r="C100" s="26" t="s">
        <v>105</v>
      </c>
      <c r="E100" s="20" t="str">
        <f aca="false">IF(D100="?OLD","!!!","")</f>
        <v/>
      </c>
      <c r="F100" s="21" t="str">
        <f aca="false">IF(OR(E100="",E100="!!!"),"",IF(NOT(ISNA(VLOOKUP(E100,E$1:E99,1,FALSE()))),"OLD",IF(AND(E100&lt;&gt;"",E100&lt;&gt;"!!!"),"NEW","")))</f>
        <v/>
      </c>
      <c r="G100" s="22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aca="false">IF(J100&lt;&gt;1,"",IF(I100="SBJ","CB","?"))</f>
        <v/>
      </c>
      <c r="I100" s="24" t="str">
        <f aca="false">IF(OR(E100="",E100="!!!",F100="NEW"),"",INDEX(B$2:B99,-1+SUMPRODUCT(MAX(ROW(E$2:E99)*(E100=E$2:E99)))))</f>
        <v/>
      </c>
      <c r="J100" s="24" t="str">
        <f aca="true">IF(OR(E100="",E100="!!!",F100="NEW"),"",COUNTBLANK(OFFSET(A$1,,,SUMPRODUCT(MAX(ROW(E$2:E100)*(E100=E$2:E100)))))-COUNTBLANK(OFFSET(A$1,,,SUMPRODUCT(MAX(ROW(E$1:E99)*(E2=E$1:E99))))))</f>
        <v/>
      </c>
      <c r="K100" s="24" t="str">
        <f aca="false">IF(OR(E100="",E100="!!!",F100="NEW"),"",INDEX(J$1:J99,SUMPRODUCT(MAX(ROW(E$1:E99)*(E100=E$1:E99)))))</f>
        <v/>
      </c>
      <c r="L100" s="25"/>
    </row>
    <row r="101" customFormat="false" ht="14.25" hidden="false" customHeight="false" outlineLevel="0" collapsed="false">
      <c r="A101" s="0" t="s">
        <v>86</v>
      </c>
      <c r="E101" s="20" t="str">
        <f aca="false">IF(D101="?OLD","!!!","")</f>
        <v/>
      </c>
      <c r="F101" s="21" t="str">
        <f aca="false">IF(OR(E101="",E101="!!!"),"",IF(NOT(ISNA(VLOOKUP(E101,E$1:E100,1,FALSE()))),"OLD",IF(AND(E101&lt;&gt;"",E101&lt;&gt;"!!!"),"NEW","")))</f>
        <v/>
      </c>
      <c r="G101" s="22" t="str">
        <f aca="false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aca="false">IF(J101&lt;&gt;1,"",IF(I101="SBJ","CB","?"))</f>
        <v/>
      </c>
      <c r="I101" s="24" t="str">
        <f aca="false">IF(OR(E101="",E101="!!!",F101="NEW"),"",INDEX(B$2:B100,-1+SUMPRODUCT(MAX(ROW(E$2:E100)*(E101=E$2:E100)))))</f>
        <v/>
      </c>
      <c r="J101" s="24" t="str">
        <f aca="true">IF(OR(E101="",E101="!!!",F101="NEW"),"",COUNTBLANK(OFFSET(A$1,,,SUMPRODUCT(MAX(ROW(E$2:E101)*(E101=E$2:E101)))))-COUNTBLANK(OFFSET(A$1,,,SUMPRODUCT(MAX(ROW(E$1:E100)*(E2=E$1:E100))))))</f>
        <v/>
      </c>
      <c r="K101" s="24" t="str">
        <f aca="false">IF(OR(E101="",E101="!!!",F101="NEW"),"",INDEX(J$1:J100,SUMPRODUCT(MAX(ROW(E$1:E100)*(E101=E$1:E100)))))</f>
        <v/>
      </c>
      <c r="L101" s="25"/>
    </row>
    <row r="102" customFormat="false" ht="14.25" hidden="false" customHeight="false" outlineLevel="0" collapsed="false">
      <c r="A102" s="0" t="s">
        <v>193</v>
      </c>
      <c r="B102" s="26" t="s">
        <v>96</v>
      </c>
      <c r="C102" s="26" t="s">
        <v>88</v>
      </c>
      <c r="D102" s="26" t="s">
        <v>75</v>
      </c>
      <c r="E102" s="20" t="s">
        <v>97</v>
      </c>
      <c r="F102" s="21" t="str">
        <f aca="false">IF(OR(E102="",E102="!!!"),"",IF(NOT(ISNA(VLOOKUP(E102,E$1:E101,1,FALSE()))),"OLD",IF(AND(E102&lt;&gt;"",E102&lt;&gt;"!!!"),"NEW","")))</f>
        <v>OLD</v>
      </c>
      <c r="G102" s="22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?IN_FOCUS</v>
      </c>
      <c r="H102" s="23" t="str">
        <f aca="false">IF(J102&lt;&gt;1,"",IF(I102="SBJ","CB","?"))</f>
        <v/>
      </c>
      <c r="I102" s="24" t="str">
        <f aca="false">IF(OR(E102="",E102="!!!",F102="NEW"),"",INDEX(B$2:B101,-1+SUMPRODUCT(MAX(ROW(E$2:E101)*(E102=E$2:E101)))))</f>
        <v>SBJ</v>
      </c>
      <c r="J102" s="24" t="n">
        <f aca="true">IF(OR(E102="",E102="!!!",F102="NEW"),"",COUNTBLANK(OFFSET(A$1,,,SUMPRODUCT(MAX(ROW(E$2:E102)*(E102=E$2:E102)))))-COUNTBLANK(OFFSET(A$1,,,SUMPRODUCT(MAX(ROW(E$1:E101)*(E2=E$1:E101))))))</f>
        <v>0</v>
      </c>
      <c r="K102" s="24" t="n">
        <f aca="false">IF(OR(E102="",E102="!!!",F102="NEW"),"",INDEX(J$1:J101,SUMPRODUCT(MAX(ROW(E$1:E101)*(E102=E$1:E101)))))</f>
        <v>0</v>
      </c>
      <c r="L102" s="27" t="s">
        <v>135</v>
      </c>
    </row>
    <row r="103" customFormat="false" ht="14.25" hidden="false" customHeight="false" outlineLevel="0" collapsed="false">
      <c r="A103" s="0" t="s">
        <v>194</v>
      </c>
      <c r="E103" s="20" t="str">
        <f aca="false">IF(D103="?OLD","!!!","")</f>
        <v/>
      </c>
      <c r="F103" s="21" t="str">
        <f aca="false">IF(OR(E103="",E103="!!!"),"",IF(NOT(ISNA(VLOOKUP(E103,E$1:E102,1,FALSE()))),"OLD",IF(AND(E103&lt;&gt;"",E103&lt;&gt;"!!!"),"NEW","")))</f>
        <v/>
      </c>
      <c r="G103" s="22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aca="false">IF(J103&lt;&gt;1,"",IF(I103="SBJ","CB","?"))</f>
        <v/>
      </c>
      <c r="I103" s="24" t="str">
        <f aca="false">IF(OR(E103="",E103="!!!",F103="NEW"),"",INDEX(B$2:B102,-1+SUMPRODUCT(MAX(ROW(E$2:E102)*(E103=E$2:E102)))))</f>
        <v/>
      </c>
      <c r="J103" s="24" t="str">
        <f aca="true">IF(OR(E103="",E103="!!!",F103="NEW"),"",COUNTBLANK(OFFSET(A$1,,,SUMPRODUCT(MAX(ROW(E$2:E103)*(E103=E$2:E103)))))-COUNTBLANK(OFFSET(A$1,,,SUMPRODUCT(MAX(ROW(E$1:E102)*(E2=E$1:E102))))))</f>
        <v/>
      </c>
      <c r="K103" s="24" t="str">
        <f aca="false">IF(OR(E103="",E103="!!!",F103="NEW"),"",INDEX(J$1:J102,SUMPRODUCT(MAX(ROW(E$1:E102)*(E103=E$1:E102)))))</f>
        <v/>
      </c>
      <c r="L103" s="25"/>
    </row>
    <row r="104" customFormat="false" ht="14.25" hidden="false" customHeight="false" outlineLevel="0" collapsed="false">
      <c r="A104" s="0" t="s">
        <v>101</v>
      </c>
      <c r="E104" s="20" t="str">
        <f aca="false">IF(D104="?OLD","!!!","")</f>
        <v/>
      </c>
      <c r="F104" s="21" t="str">
        <f aca="false">IF(OR(E104="",E104="!!!"),"",IF(NOT(ISNA(VLOOKUP(E104,E$1:E103,1,FALSE()))),"OLD",IF(AND(E104&lt;&gt;"",E104&lt;&gt;"!!!"),"NEW","")))</f>
        <v/>
      </c>
      <c r="G104" s="22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aca="false">IF(J104&lt;&gt;1,"",IF(I104="SBJ","CB","?"))</f>
        <v/>
      </c>
      <c r="I104" s="24" t="str">
        <f aca="false">IF(OR(E104="",E104="!!!",F104="NEW"),"",INDEX(B$2:B103,-1+SUMPRODUCT(MAX(ROW(E$2:E103)*(E104=E$2:E103)))))</f>
        <v/>
      </c>
      <c r="J104" s="24" t="str">
        <f aca="true">IF(OR(E104="",E104="!!!",F104="NEW"),"",COUNTBLANK(OFFSET(A$1,,,SUMPRODUCT(MAX(ROW(E$2:E104)*(E104=E$2:E104)))))-COUNTBLANK(OFFSET(A$1,,,SUMPRODUCT(MAX(ROW(E$1:E103)*(E2=E$1:E103))))))</f>
        <v/>
      </c>
      <c r="K104" s="24" t="str">
        <f aca="false">IF(OR(E104="",E104="!!!",F104="NEW"),"",INDEX(J$1:J103,SUMPRODUCT(MAX(ROW(E$1:E103)*(E104=E$1:E103)))))</f>
        <v/>
      </c>
      <c r="L104" s="25"/>
    </row>
    <row r="105" customFormat="false" ht="14.25" hidden="false" customHeight="false" outlineLevel="0" collapsed="false">
      <c r="A105" s="0" t="s">
        <v>102</v>
      </c>
      <c r="E105" s="20" t="str">
        <f aca="false">IF(D105="?OLD","!!!","")</f>
        <v/>
      </c>
      <c r="F105" s="21" t="str">
        <f aca="false">IF(OR(E105="",E105="!!!"),"",IF(NOT(ISNA(VLOOKUP(E105,E$1:E104,1,FALSE()))),"OLD",IF(AND(E105&lt;&gt;"",E105&lt;&gt;"!!!"),"NEW","")))</f>
        <v/>
      </c>
      <c r="G105" s="22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aca="false">IF(J105&lt;&gt;1,"",IF(I105="SBJ","CB","?"))</f>
        <v/>
      </c>
      <c r="I105" s="24" t="str">
        <f aca="false">IF(OR(E105="",E105="!!!",F105="NEW"),"",INDEX(B$2:B104,-1+SUMPRODUCT(MAX(ROW(E$2:E104)*(E105=E$2:E104)))))</f>
        <v/>
      </c>
      <c r="J105" s="24" t="str">
        <f aca="true">IF(OR(E105="",E105="!!!",F105="NEW"),"",COUNTBLANK(OFFSET(A$1,,,SUMPRODUCT(MAX(ROW(E$2:E105)*(E105=E$2:E105)))))-COUNTBLANK(OFFSET(A$1,,,SUMPRODUCT(MAX(ROW(E$1:E104)*(E2=E$1:E104))))))</f>
        <v/>
      </c>
      <c r="K105" s="24" t="str">
        <f aca="false">IF(OR(E105="",E105="!!!",F105="NEW"),"",INDEX(J$1:J104,SUMPRODUCT(MAX(ROW(E$1:E104)*(E105=E$1:E104)))))</f>
        <v/>
      </c>
      <c r="L105" s="25"/>
    </row>
    <row r="106" customFormat="false" ht="14.25" hidden="false" customHeight="false" outlineLevel="0" collapsed="false">
      <c r="A106" s="0" t="s">
        <v>195</v>
      </c>
      <c r="E106" s="20" t="str">
        <f aca="false">IF(D106="?OLD","!!!","")</f>
        <v/>
      </c>
      <c r="F106" s="21" t="str">
        <f aca="false">IF(OR(E106="",E106="!!!"),"",IF(NOT(ISNA(VLOOKUP(E106,E$1:E105,1,FALSE()))),"OLD",IF(AND(E106&lt;&gt;"",E106&lt;&gt;"!!!"),"NEW","")))</f>
        <v/>
      </c>
      <c r="G106" s="22" t="str">
        <f aca="false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aca="false">IF(J106&lt;&gt;1,"",IF(I106="SBJ","CB","?"))</f>
        <v/>
      </c>
      <c r="I106" s="24" t="str">
        <f aca="false">IF(OR(E106="",E106="!!!",F106="NEW"),"",INDEX(B$2:B105,-1+SUMPRODUCT(MAX(ROW(E$2:E105)*(E106=E$2:E105)))))</f>
        <v/>
      </c>
      <c r="J106" s="24" t="str">
        <f aca="true">IF(OR(E106="",E106="!!!",F106="NEW"),"",COUNTBLANK(OFFSET(A$1,,,SUMPRODUCT(MAX(ROW(E$2:E106)*(E106=E$2:E106)))))-COUNTBLANK(OFFSET(A$1,,,SUMPRODUCT(MAX(ROW(E$1:E105)*(E2=E$1:E105))))))</f>
        <v/>
      </c>
      <c r="K106" s="24" t="str">
        <f aca="false">IF(OR(E106="",E106="!!!",F106="NEW"),"",INDEX(J$1:J105,SUMPRODUCT(MAX(ROW(E$1:E105)*(E106=E$1:E105)))))</f>
        <v/>
      </c>
      <c r="L106" s="25"/>
    </row>
    <row r="107" customFormat="false" ht="14.25" hidden="false" customHeight="false" outlineLevel="0" collapsed="false">
      <c r="A107" s="0" t="s">
        <v>196</v>
      </c>
      <c r="B107" s="26" t="s">
        <v>104</v>
      </c>
      <c r="C107" s="26" t="s">
        <v>105</v>
      </c>
      <c r="E107" s="20"/>
      <c r="F107" s="21" t="str">
        <f aca="false">IF(OR(E107="",E107="!!!"),"",IF(NOT(ISNA(VLOOKUP(E107,E$1:E106,1,FALSE()))),"OLD",IF(AND(E107&lt;&gt;"",E107&lt;&gt;"!!!"),"NEW","")))</f>
        <v/>
      </c>
      <c r="G107" s="22" t="str">
        <f aca="false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aca="false">IF(J107&lt;&gt;1,"",IF(I107="SBJ","CB","?"))</f>
        <v/>
      </c>
      <c r="I107" s="24" t="str">
        <f aca="false">IF(OR(E107="",E107="!!!",F107="NEW"),"",INDEX(B$2:B106,-1+SUMPRODUCT(MAX(ROW(E$2:E106)*(E107=E$2:E106)))))</f>
        <v/>
      </c>
      <c r="J107" s="24" t="str">
        <f aca="true">IF(OR(E107="",E107="!!!",F107="NEW"),"",COUNTBLANK(OFFSET(A$1,,,SUMPRODUCT(MAX(ROW(E$2:E107)*(E107=E$2:E107)))))-COUNTBLANK(OFFSET(A$1,,,SUMPRODUCT(MAX(ROW(E$1:E106)*(E2=E$1:E106))))))</f>
        <v/>
      </c>
      <c r="K107" s="24" t="str">
        <f aca="false">IF(OR(E107="",E107="!!!",F107="NEW"),"",INDEX(J$1:J106,SUMPRODUCT(MAX(ROW(E$1:E106)*(E107=E$1:E106)))))</f>
        <v/>
      </c>
      <c r="L107" s="27" t="s">
        <v>197</v>
      </c>
    </row>
    <row r="108" customFormat="false" ht="14.25" hidden="false" customHeight="false" outlineLevel="0" collapsed="false">
      <c r="A108" s="0" t="s">
        <v>198</v>
      </c>
      <c r="E108" s="20" t="str">
        <f aca="false">IF(D108="?OLD","!!!","")</f>
        <v/>
      </c>
      <c r="F108" s="21" t="str">
        <f aca="false">IF(OR(E108="",E108="!!!"),"",IF(NOT(ISNA(VLOOKUP(E108,E$1:E107,1,FALSE()))),"OLD",IF(AND(E108&lt;&gt;"",E108&lt;&gt;"!!!"),"NEW","")))</f>
        <v/>
      </c>
      <c r="G108" s="22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aca="false">IF(J108&lt;&gt;1,"",IF(I108="SBJ","CB","?"))</f>
        <v/>
      </c>
      <c r="I108" s="24" t="str">
        <f aca="false">IF(OR(E108="",E108="!!!",F108="NEW"),"",INDEX(B$2:B107,-1+SUMPRODUCT(MAX(ROW(E$2:E107)*(E108=E$2:E107)))))</f>
        <v/>
      </c>
      <c r="J108" s="24" t="str">
        <f aca="true">IF(OR(E108="",E108="!!!",F108="NEW"),"",COUNTBLANK(OFFSET(A$1,,,SUMPRODUCT(MAX(ROW(E$2:E108)*(E108=E$2:E108)))))-COUNTBLANK(OFFSET(A$1,,,SUMPRODUCT(MAX(ROW(E$1:E107)*(E2=E$1:E107))))))</f>
        <v/>
      </c>
      <c r="K108" s="24" t="str">
        <f aca="false">IF(OR(E108="",E108="!!!",F108="NEW"),"",INDEX(J$1:J107,SUMPRODUCT(MAX(ROW(E$1:E107)*(E108=E$1:E107)))))</f>
        <v/>
      </c>
      <c r="L108" s="25"/>
    </row>
    <row r="109" customFormat="false" ht="14.25" hidden="false" customHeight="false" outlineLevel="0" collapsed="false">
      <c r="A109" s="0" t="s">
        <v>199</v>
      </c>
      <c r="E109" s="20" t="str">
        <f aca="false">IF(D109="?OLD","!!!","")</f>
        <v/>
      </c>
      <c r="F109" s="21" t="str">
        <f aca="false">IF(OR(E109="",E109="!!!"),"",IF(NOT(ISNA(VLOOKUP(E109,E$1:E108,1,FALSE()))),"OLD",IF(AND(E109&lt;&gt;"",E109&lt;&gt;"!!!"),"NEW","")))</f>
        <v/>
      </c>
      <c r="G109" s="22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aca="false">IF(J109&lt;&gt;1,"",IF(I109="SBJ","CB","?"))</f>
        <v/>
      </c>
      <c r="I109" s="24" t="str">
        <f aca="false">IF(OR(E109="",E109="!!!",F109="NEW"),"",INDEX(B$2:B108,-1+SUMPRODUCT(MAX(ROW(E$2:E108)*(E109=E$2:E108)))))</f>
        <v/>
      </c>
      <c r="J109" s="24" t="str">
        <f aca="true">IF(OR(E109="",E109="!!!",F109="NEW"),"",COUNTBLANK(OFFSET(A$1,,,SUMPRODUCT(MAX(ROW(E$2:E109)*(E109=E$2:E109)))))-COUNTBLANK(OFFSET(A$1,,,SUMPRODUCT(MAX(ROW(E$1:E108)*(E2=E$1:E108))))))</f>
        <v/>
      </c>
      <c r="K109" s="24" t="str">
        <f aca="false">IF(OR(E109="",E109="!!!",F109="NEW"),"",INDEX(J$1:J108,SUMPRODUCT(MAX(ROW(E$1:E108)*(E109=E$1:E108)))))</f>
        <v/>
      </c>
      <c r="L109" s="25"/>
    </row>
    <row r="110" customFormat="false" ht="14.25" hidden="false" customHeight="false" outlineLevel="0" collapsed="false">
      <c r="A110" s="0" t="s">
        <v>78</v>
      </c>
      <c r="E110" s="20" t="str">
        <f aca="false">IF(D110="?OLD","!!!","")</f>
        <v/>
      </c>
      <c r="F110" s="21" t="str">
        <f aca="false">IF(OR(E110="",E110="!!!"),"",IF(NOT(ISNA(VLOOKUP(E110,E$1:E109,1,FALSE()))),"OLD",IF(AND(E110&lt;&gt;"",E110&lt;&gt;"!!!"),"NEW","")))</f>
        <v/>
      </c>
      <c r="G110" s="22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aca="false">IF(J110&lt;&gt;1,"",IF(I110="SBJ","CB","?"))</f>
        <v/>
      </c>
      <c r="I110" s="24" t="str">
        <f aca="false">IF(OR(E110="",E110="!!!",F110="NEW"),"",INDEX(B$2:B109,-1+SUMPRODUCT(MAX(ROW(E$2:E109)*(E110=E$2:E109)))))</f>
        <v/>
      </c>
      <c r="J110" s="24" t="str">
        <f aca="true">IF(OR(E110="",E110="!!!",F110="NEW"),"",COUNTBLANK(OFFSET(A$1,,,SUMPRODUCT(MAX(ROW(E$2:E110)*(E110=E$2:E110)))))-COUNTBLANK(OFFSET(A$1,,,SUMPRODUCT(MAX(ROW(E$1:E109)*(E2=E$1:E109))))))</f>
        <v/>
      </c>
      <c r="K110" s="24" t="str">
        <f aca="false">IF(OR(E110="",E110="!!!",F110="NEW"),"",INDEX(J$1:J109,SUMPRODUCT(MAX(ROW(E$1:E109)*(E110=E$1:E109)))))</f>
        <v/>
      </c>
      <c r="L110" s="25"/>
    </row>
    <row r="111" customFormat="false" ht="14.25" hidden="false" customHeight="false" outlineLevel="0" collapsed="false">
      <c r="A111" s="0" t="s">
        <v>101</v>
      </c>
      <c r="E111" s="20" t="str">
        <f aca="false">IF(D111="?OLD","!!!","")</f>
        <v/>
      </c>
      <c r="F111" s="21" t="str">
        <f aca="false">IF(OR(E111="",E111="!!!"),"",IF(NOT(ISNA(VLOOKUP(E111,E$1:E110,1,FALSE()))),"OLD",IF(AND(E111&lt;&gt;"",E111&lt;&gt;"!!!"),"NEW","")))</f>
        <v/>
      </c>
      <c r="G111" s="22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aca="false">IF(J111&lt;&gt;1,"",IF(I111="SBJ","CB","?"))</f>
        <v/>
      </c>
      <c r="I111" s="24" t="str">
        <f aca="false">IF(OR(E111="",E111="!!!",F111="NEW"),"",INDEX(B$2:B110,-1+SUMPRODUCT(MAX(ROW(E$2:E110)*(E111=E$2:E110)))))</f>
        <v/>
      </c>
      <c r="J111" s="24" t="str">
        <f aca="true">IF(OR(E111="",E111="!!!",F111="NEW"),"",COUNTBLANK(OFFSET(A$1,,,SUMPRODUCT(MAX(ROW(E$2:E111)*(E111=E$2:E111)))))-COUNTBLANK(OFFSET(A$1,,,SUMPRODUCT(MAX(ROW(E$1:E110)*(E2=E$1:E110))))))</f>
        <v/>
      </c>
      <c r="K111" s="24" t="str">
        <f aca="false">IF(OR(E111="",E111="!!!",F111="NEW"),"",INDEX(J$1:J110,SUMPRODUCT(MAX(ROW(E$1:E110)*(E111=E$1:E110)))))</f>
        <v/>
      </c>
      <c r="L111" s="25"/>
    </row>
    <row r="112" customFormat="false" ht="14.25" hidden="false" customHeight="false" outlineLevel="0" collapsed="false">
      <c r="A112" s="0" t="s">
        <v>200</v>
      </c>
      <c r="E112" s="20" t="str">
        <f aca="false">IF(D112="?OLD","!!!","")</f>
        <v/>
      </c>
      <c r="F112" s="21" t="str">
        <f aca="false">IF(OR(E112="",E112="!!!"),"",IF(NOT(ISNA(VLOOKUP(E112,E$1:E111,1,FALSE()))),"OLD",IF(AND(E112&lt;&gt;"",E112&lt;&gt;"!!!"),"NEW","")))</f>
        <v/>
      </c>
      <c r="G112" s="22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aca="false">IF(J112&lt;&gt;1,"",IF(I112="SBJ","CB","?"))</f>
        <v/>
      </c>
      <c r="I112" s="24" t="str">
        <f aca="false">IF(OR(E112="",E112="!!!",F112="NEW"),"",INDEX(B$2:B111,-1+SUMPRODUCT(MAX(ROW(E$2:E111)*(E112=E$2:E111)))))</f>
        <v/>
      </c>
      <c r="J112" s="24" t="str">
        <f aca="true">IF(OR(E112="",E112="!!!",F112="NEW"),"",COUNTBLANK(OFFSET(A$1,,,SUMPRODUCT(MAX(ROW(E$2:E112)*(E112=E$2:E112)))))-COUNTBLANK(OFFSET(A$1,,,SUMPRODUCT(MAX(ROW(E$1:E111)*(E2=E$1:E111))))))</f>
        <v/>
      </c>
      <c r="K112" s="24" t="str">
        <f aca="false">IF(OR(E112="",E112="!!!",F112="NEW"),"",INDEX(J$1:J111,SUMPRODUCT(MAX(ROW(E$1:E111)*(E112=E$1:E111)))))</f>
        <v/>
      </c>
      <c r="L112" s="25"/>
    </row>
    <row r="113" customFormat="false" ht="14.25" hidden="false" customHeight="false" outlineLevel="0" collapsed="false">
      <c r="A113" s="0" t="s">
        <v>87</v>
      </c>
      <c r="B113" s="26" t="s">
        <v>104</v>
      </c>
      <c r="C113" s="26" t="s">
        <v>88</v>
      </c>
      <c r="D113" s="26" t="s">
        <v>75</v>
      </c>
      <c r="E113" s="20" t="s">
        <v>168</v>
      </c>
      <c r="F113" s="21" t="str">
        <f aca="false">IF(OR(E113="",E113="!!!"),"",IF(NOT(ISNA(VLOOKUP(E113,E$1:E112,1,FALSE()))),"OLD",IF(AND(E113&lt;&gt;"",E113&lt;&gt;"!!!"),"NEW","")))</f>
        <v>OLD</v>
      </c>
      <c r="G113" s="22" t="str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?IN_FOCUS</v>
      </c>
      <c r="H113" s="23" t="str">
        <f aca="false">IF(J113&lt;&gt;1,"",IF(I113="SBJ","CB","?"))</f>
        <v/>
      </c>
      <c r="I113" s="24" t="str">
        <f aca="false">IF(OR(E113="",E113="!!!",F113="NEW"),"",INDEX(B$2:B112,-1+SUMPRODUCT(MAX(ROW(E$2:E112)*(E113=E$2:E112)))))</f>
        <v>SBJ_2</v>
      </c>
      <c r="J113" s="24" t="n">
        <f aca="true">IF(OR(E113="",E113="!!!",F113="NEW"),"",COUNTBLANK(OFFSET(A$1,,,SUMPRODUCT(MAX(ROW(E$2:E113)*(E113=E$2:E113)))))-COUNTBLANK(OFFSET(A$1,,,SUMPRODUCT(MAX(ROW(E$1:E112)*(E2=E$1:E112))))))</f>
        <v>0</v>
      </c>
      <c r="K113" s="24" t="n">
        <f aca="false">IF(OR(E113="",E113="!!!",F113="NEW"),"",INDEX(J$1:J112,SUMPRODUCT(MAX(ROW(E$1:E112)*(E113=E$1:E112)))))</f>
        <v>0</v>
      </c>
      <c r="L113" s="27" t="s">
        <v>135</v>
      </c>
    </row>
    <row r="114" customFormat="false" ht="14.25" hidden="false" customHeight="false" outlineLevel="0" collapsed="false">
      <c r="A114" s="0" t="s">
        <v>201</v>
      </c>
      <c r="E114" s="20" t="str">
        <f aca="false">IF(D114="?OLD","!!!","")</f>
        <v/>
      </c>
      <c r="F114" s="21" t="str">
        <f aca="false">IF(OR(E114="",E114="!!!"),"",IF(NOT(ISNA(VLOOKUP(E114,E$1:E113,1,FALSE()))),"OLD",IF(AND(E114&lt;&gt;"",E114&lt;&gt;"!!!"),"NEW","")))</f>
        <v/>
      </c>
      <c r="G114" s="22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aca="false">IF(J114&lt;&gt;1,"",IF(I114="SBJ","CB","?"))</f>
        <v/>
      </c>
      <c r="I114" s="24" t="str">
        <f aca="false">IF(OR(E114="",E114="!!!",F114="NEW"),"",INDEX(B$2:B113,-1+SUMPRODUCT(MAX(ROW(E$2:E113)*(E114=E$2:E113)))))</f>
        <v/>
      </c>
      <c r="J114" s="24" t="str">
        <f aca="true">IF(OR(E114="",E114="!!!",F114="NEW"),"",COUNTBLANK(OFFSET(A$1,,,SUMPRODUCT(MAX(ROW(E$2:E114)*(E114=E$2:E114)))))-COUNTBLANK(OFFSET(A$1,,,SUMPRODUCT(MAX(ROW(E$1:E113)*(E2=E$1:E113))))))</f>
        <v/>
      </c>
      <c r="K114" s="24" t="str">
        <f aca="false">IF(OR(E114="",E114="!!!",F114="NEW"),"",INDEX(J$1:J113,SUMPRODUCT(MAX(ROW(E$1:E113)*(E114=E$1:E113)))))</f>
        <v/>
      </c>
      <c r="L114" s="25"/>
    </row>
    <row r="115" customFormat="false" ht="14.25" hidden="false" customHeight="false" outlineLevel="0" collapsed="false">
      <c r="A115" s="0" t="s">
        <v>101</v>
      </c>
      <c r="E115" s="20" t="str">
        <f aca="false">IF(D115="?OLD","!!!","")</f>
        <v/>
      </c>
      <c r="F115" s="21" t="str">
        <f aca="false">IF(OR(E115="",E115="!!!"),"",IF(NOT(ISNA(VLOOKUP(E115,E$1:E114,1,FALSE()))),"OLD",IF(AND(E115&lt;&gt;"",E115&lt;&gt;"!!!"),"NEW","")))</f>
        <v/>
      </c>
      <c r="G115" s="22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aca="false">IF(J115&lt;&gt;1,"",IF(I115="SBJ","CB","?"))</f>
        <v/>
      </c>
      <c r="I115" s="24" t="str">
        <f aca="false">IF(OR(E115="",E115="!!!",F115="NEW"),"",INDEX(B$2:B114,-1+SUMPRODUCT(MAX(ROW(E$2:E114)*(E115=E$2:E114)))))</f>
        <v/>
      </c>
      <c r="J115" s="24" t="str">
        <f aca="true">IF(OR(E115="",E115="!!!",F115="NEW"),"",COUNTBLANK(OFFSET(A$1,,,SUMPRODUCT(MAX(ROW(E$2:E115)*(E115=E$2:E115)))))-COUNTBLANK(OFFSET(A$1,,,SUMPRODUCT(MAX(ROW(E$1:E114)*(E2=E$1:E114))))))</f>
        <v/>
      </c>
      <c r="K115" s="24" t="str">
        <f aca="false">IF(OR(E115="",E115="!!!",F115="NEW"),"",INDEX(J$1:J114,SUMPRODUCT(MAX(ROW(E$1:E114)*(E115=E$1:E114)))))</f>
        <v/>
      </c>
      <c r="L115" s="25"/>
    </row>
    <row r="116" customFormat="false" ht="14.25" hidden="false" customHeight="false" outlineLevel="0" collapsed="false">
      <c r="A116" s="0" t="s">
        <v>202</v>
      </c>
      <c r="E116" s="20" t="str">
        <f aca="false">IF(D116="?OLD","!!!","")</f>
        <v/>
      </c>
      <c r="F116" s="21" t="str">
        <f aca="false">IF(OR(E116="",E116="!!!"),"",IF(NOT(ISNA(VLOOKUP(E116,E$1:E115,1,FALSE()))),"OLD",IF(AND(E116&lt;&gt;"",E116&lt;&gt;"!!!"),"NEW","")))</f>
        <v/>
      </c>
      <c r="G116" s="22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aca="false">IF(J116&lt;&gt;1,"",IF(I116="SBJ","CB","?"))</f>
        <v/>
      </c>
      <c r="I116" s="24" t="str">
        <f aca="false">IF(OR(E116="",E116="!!!",F116="NEW"),"",INDEX(B$2:B115,-1+SUMPRODUCT(MAX(ROW(E$2:E115)*(E116=E$2:E115)))))</f>
        <v/>
      </c>
      <c r="J116" s="24" t="str">
        <f aca="true">IF(OR(E116="",E116="!!!",F116="NEW"),"",COUNTBLANK(OFFSET(A$1,,,SUMPRODUCT(MAX(ROW(E$2:E116)*(E116=E$2:E116)))))-COUNTBLANK(OFFSET(A$1,,,SUMPRODUCT(MAX(ROW(E$1:E115)*(E2=E$1:E115))))))</f>
        <v/>
      </c>
      <c r="K116" s="24" t="str">
        <f aca="false">IF(OR(E116="",E116="!!!",F116="NEW"),"",INDEX(J$1:J115,SUMPRODUCT(MAX(ROW(E$1:E115)*(E116=E$1:E115)))))</f>
        <v/>
      </c>
      <c r="L116" s="25"/>
    </row>
    <row r="117" customFormat="false" ht="14.25" hidden="false" customHeight="false" outlineLevel="0" collapsed="false">
      <c r="A117" s="0" t="s">
        <v>203</v>
      </c>
      <c r="E117" s="20" t="str">
        <f aca="false">IF(D117="?OLD","!!!","")</f>
        <v/>
      </c>
      <c r="F117" s="21" t="str">
        <f aca="false">IF(OR(E117="",E117="!!!"),"",IF(NOT(ISNA(VLOOKUP(E117,E$1:E116,1,FALSE()))),"OLD",IF(AND(E117&lt;&gt;"",E117&lt;&gt;"!!!"),"NEW","")))</f>
        <v/>
      </c>
      <c r="G117" s="22" t="str">
        <f aca="false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aca="false">IF(J117&lt;&gt;1,"",IF(I117="SBJ","CB","?"))</f>
        <v/>
      </c>
      <c r="I117" s="24" t="str">
        <f aca="false">IF(OR(E117="",E117="!!!",F117="NEW"),"",INDEX(B$2:B116,-1+SUMPRODUCT(MAX(ROW(E$2:E116)*(E117=E$2:E116)))))</f>
        <v/>
      </c>
      <c r="J117" s="24" t="str">
        <f aca="true">IF(OR(E117="",E117="!!!",F117="NEW"),"",COUNTBLANK(OFFSET(A$1,,,SUMPRODUCT(MAX(ROW(E$2:E117)*(E117=E$2:E117)))))-COUNTBLANK(OFFSET(A$1,,,SUMPRODUCT(MAX(ROW(E$1:E116)*(E2=E$1:E116))))))</f>
        <v/>
      </c>
      <c r="K117" s="24" t="str">
        <f aca="false">IF(OR(E117="",E117="!!!",F117="NEW"),"",INDEX(J$1:J116,SUMPRODUCT(MAX(ROW(E$1:E116)*(E117=E$1:E116)))))</f>
        <v/>
      </c>
      <c r="L117" s="25"/>
    </row>
    <row r="118" customFormat="false" ht="14.25" hidden="false" customHeight="false" outlineLevel="0" collapsed="false">
      <c r="A118" s="0" t="s">
        <v>101</v>
      </c>
      <c r="E118" s="20" t="str">
        <f aca="false">IF(D118="?OLD","!!!","")</f>
        <v/>
      </c>
      <c r="F118" s="21" t="str">
        <f aca="false">IF(OR(E118="",E118="!!!"),"",IF(NOT(ISNA(VLOOKUP(E118,E$1:E117,1,FALSE()))),"OLD",IF(AND(E118&lt;&gt;"",E118&lt;&gt;"!!!"),"NEW","")))</f>
        <v/>
      </c>
      <c r="G118" s="22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aca="false">IF(J118&lt;&gt;1,"",IF(I118="SBJ","CB","?"))</f>
        <v/>
      </c>
      <c r="I118" s="24" t="str">
        <f aca="false">IF(OR(E118="",E118="!!!",F118="NEW"),"",INDEX(B$2:B117,-1+SUMPRODUCT(MAX(ROW(E$2:E117)*(E118=E$2:E117)))))</f>
        <v/>
      </c>
      <c r="J118" s="24" t="str">
        <f aca="true">IF(OR(E118="",E118="!!!",F118="NEW"),"",COUNTBLANK(OFFSET(A$1,,,SUMPRODUCT(MAX(ROW(E$2:E118)*(E118=E$2:E118)))))-COUNTBLANK(OFFSET(A$1,,,SUMPRODUCT(MAX(ROW(E$1:E117)*(E2=E$1:E117))))))</f>
        <v/>
      </c>
      <c r="K118" s="24" t="str">
        <f aca="false">IF(OR(E118="",E118="!!!",F118="NEW"),"",INDEX(J$1:J117,SUMPRODUCT(MAX(ROW(E$1:E117)*(E118=E$1:E117)))))</f>
        <v/>
      </c>
      <c r="L118" s="25"/>
    </row>
    <row r="119" customFormat="false" ht="14.25" hidden="false" customHeight="false" outlineLevel="0" collapsed="false">
      <c r="A119" s="0" t="s">
        <v>200</v>
      </c>
      <c r="E119" s="20" t="str">
        <f aca="false">IF(D119="?OLD","!!!","")</f>
        <v/>
      </c>
      <c r="F119" s="21" t="str">
        <f aca="false">IF(OR(E119="",E119="!!!"),"",IF(NOT(ISNA(VLOOKUP(E119,E$1:E118,1,FALSE()))),"OLD",IF(AND(E119&lt;&gt;"",E119&lt;&gt;"!!!"),"NEW","")))</f>
        <v/>
      </c>
      <c r="G119" s="22" t="str">
        <f aca="false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aca="false">IF(J119&lt;&gt;1,"",IF(I119="SBJ","CB","?"))</f>
        <v/>
      </c>
      <c r="I119" s="24" t="str">
        <f aca="false">IF(OR(E119="",E119="!!!",F119="NEW"),"",INDEX(B$2:B118,-1+SUMPRODUCT(MAX(ROW(E$2:E118)*(E119=E$2:E118)))))</f>
        <v/>
      </c>
      <c r="J119" s="24" t="str">
        <f aca="true">IF(OR(E119="",E119="!!!",F119="NEW"),"",COUNTBLANK(OFFSET(A$1,,,SUMPRODUCT(MAX(ROW(E$2:E119)*(E119=E$2:E119)))))-COUNTBLANK(OFFSET(A$1,,,SUMPRODUCT(MAX(ROW(E$1:E118)*(E2=E$1:E118))))))</f>
        <v/>
      </c>
      <c r="K119" s="24" t="str">
        <f aca="false">IF(OR(E119="",E119="!!!",F119="NEW"),"",INDEX(J$1:J118,SUMPRODUCT(MAX(ROW(E$1:E118)*(E119=E$1:E118)))))</f>
        <v/>
      </c>
      <c r="L119" s="25"/>
    </row>
    <row r="120" customFormat="false" ht="14.25" hidden="false" customHeight="false" outlineLevel="0" collapsed="false">
      <c r="A120" s="0" t="s">
        <v>87</v>
      </c>
      <c r="B120" s="26" t="s">
        <v>204</v>
      </c>
      <c r="C120" s="26" t="s">
        <v>88</v>
      </c>
      <c r="D120" s="26" t="s">
        <v>75</v>
      </c>
      <c r="E120" s="20" t="s">
        <v>168</v>
      </c>
      <c r="F120" s="21" t="str">
        <f aca="false">IF(OR(E120="",E120="!!!"),"",IF(NOT(ISNA(VLOOKUP(E120,E$1:E119,1,FALSE()))),"OLD",IF(AND(E120&lt;&gt;"",E120&lt;&gt;"!!!"),"NEW","")))</f>
        <v>OLD</v>
      </c>
      <c r="G120" s="22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?IN_FOCUS</v>
      </c>
      <c r="H120" s="23" t="str">
        <f aca="false">IF(J120&lt;&gt;1,"",IF(I120="SBJ","CB","?"))</f>
        <v/>
      </c>
      <c r="I120" s="24" t="str">
        <f aca="false">IF(OR(E120="",E120="!!!",F120="NEW"),"",INDEX(B$2:B119,-1+SUMPRODUCT(MAX(ROW(E$2:E119)*(E120=E$2:E119)))))</f>
        <v>SBJ_3</v>
      </c>
      <c r="J120" s="24" t="n">
        <f aca="true">IF(OR(E120="",E120="!!!",F120="NEW"),"",COUNTBLANK(OFFSET(A$1,,,SUMPRODUCT(MAX(ROW(E$2:E120)*(E120=E$2:E120)))))-COUNTBLANK(OFFSET(A$1,,,SUMPRODUCT(MAX(ROW(E$1:E119)*(E2=E$1:E119))))))</f>
        <v>0</v>
      </c>
      <c r="K120" s="24" t="n">
        <f aca="false">IF(OR(E120="",E120="!!!",F120="NEW"),"",INDEX(J$1:J119,SUMPRODUCT(MAX(ROW(E$1:E119)*(E120=E$1:E119)))))</f>
        <v>0</v>
      </c>
      <c r="L120" s="27" t="s">
        <v>135</v>
      </c>
    </row>
    <row r="121" customFormat="false" ht="14.25" hidden="false" customHeight="false" outlineLevel="0" collapsed="false">
      <c r="A121" s="0" t="s">
        <v>205</v>
      </c>
      <c r="E121" s="20" t="str">
        <f aca="false">IF(D121="?OLD","!!!","")</f>
        <v/>
      </c>
      <c r="F121" s="21" t="str">
        <f aca="false">IF(OR(E121="",E121="!!!"),"",IF(NOT(ISNA(VLOOKUP(E121,E$1:E120,1,FALSE()))),"OLD",IF(AND(E121&lt;&gt;"",E121&lt;&gt;"!!!"),"NEW","")))</f>
        <v/>
      </c>
      <c r="G121" s="22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aca="false">IF(J121&lt;&gt;1,"",IF(I121="SBJ","CB","?"))</f>
        <v/>
      </c>
      <c r="I121" s="24" t="str">
        <f aca="false">IF(OR(E121="",E121="!!!",F121="NEW"),"",INDEX(B$2:B120,-1+SUMPRODUCT(MAX(ROW(E$2:E120)*(E121=E$2:E120)))))</f>
        <v/>
      </c>
      <c r="J121" s="24" t="str">
        <f aca="true">IF(OR(E121="",E121="!!!",F121="NEW"),"",COUNTBLANK(OFFSET(A$1,,,SUMPRODUCT(MAX(ROW(E$2:E121)*(E121=E$2:E121)))))-COUNTBLANK(OFFSET(A$1,,,SUMPRODUCT(MAX(ROW(E$1:E120)*(E2=E$1:E120))))))</f>
        <v/>
      </c>
      <c r="K121" s="24" t="str">
        <f aca="false">IF(OR(E121="",E121="!!!",F121="NEW"),"",INDEX(J$1:J120,SUMPRODUCT(MAX(ROW(E$1:E120)*(E121=E$1:E120)))))</f>
        <v/>
      </c>
      <c r="L121" s="25"/>
    </row>
    <row r="122" customFormat="false" ht="14.25" hidden="false" customHeight="false" outlineLevel="0" collapsed="false">
      <c r="A122" s="0" t="s">
        <v>101</v>
      </c>
      <c r="E122" s="20" t="str">
        <f aca="false">IF(D122="?OLD","!!!","")</f>
        <v/>
      </c>
      <c r="F122" s="21" t="str">
        <f aca="false">IF(OR(E122="",E122="!!!"),"",IF(NOT(ISNA(VLOOKUP(E122,E$1:E121,1,FALSE()))),"OLD",IF(AND(E122&lt;&gt;"",E122&lt;&gt;"!!!"),"NEW","")))</f>
        <v/>
      </c>
      <c r="G122" s="22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aca="false">IF(J122&lt;&gt;1,"",IF(I122="SBJ","CB","?"))</f>
        <v/>
      </c>
      <c r="I122" s="24" t="str">
        <f aca="false">IF(OR(E122="",E122="!!!",F122="NEW"),"",INDEX(B$2:B121,-1+SUMPRODUCT(MAX(ROW(E$2:E121)*(E122=E$2:E121)))))</f>
        <v/>
      </c>
      <c r="J122" s="24" t="str">
        <f aca="true">IF(OR(E122="",E122="!!!",F122="NEW"),"",COUNTBLANK(OFFSET(A$1,,,SUMPRODUCT(MAX(ROW(E$2:E122)*(E122=E$2:E122)))))-COUNTBLANK(OFFSET(A$1,,,SUMPRODUCT(MAX(ROW(E$1:E121)*(E2=E$1:E121))))))</f>
        <v/>
      </c>
      <c r="K122" s="24" t="str">
        <f aca="false">IF(OR(E122="",E122="!!!",F122="NEW"),"",INDEX(J$1:J121,SUMPRODUCT(MAX(ROW(E$1:E121)*(E122=E$1:E121)))))</f>
        <v/>
      </c>
      <c r="L122" s="25"/>
    </row>
    <row r="123" customFormat="false" ht="14.25" hidden="false" customHeight="false" outlineLevel="0" collapsed="false">
      <c r="A123" s="0" t="s">
        <v>142</v>
      </c>
      <c r="E123" s="20" t="str">
        <f aca="false">IF(D123="?OLD","!!!","")</f>
        <v/>
      </c>
      <c r="F123" s="21" t="str">
        <f aca="false">IF(OR(E123="",E123="!!!"),"",IF(NOT(ISNA(VLOOKUP(E123,E$1:E122,1,FALSE()))),"OLD",IF(AND(E123&lt;&gt;"",E123&lt;&gt;"!!!"),"NEW","")))</f>
        <v/>
      </c>
      <c r="G123" s="22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aca="false">IF(J123&lt;&gt;1,"",IF(I123="SBJ","CB","?"))</f>
        <v/>
      </c>
      <c r="I123" s="24" t="str">
        <f aca="false">IF(OR(E123="",E123="!!!",F123="NEW"),"",INDEX(B$2:B122,-1+SUMPRODUCT(MAX(ROW(E$2:E122)*(E123=E$2:E122)))))</f>
        <v/>
      </c>
      <c r="J123" s="24" t="str">
        <f aca="true">IF(OR(E123="",E123="!!!",F123="NEW"),"",COUNTBLANK(OFFSET(A$1,,,SUMPRODUCT(MAX(ROW(E$2:E123)*(E123=E$2:E123)))))-COUNTBLANK(OFFSET(A$1,,,SUMPRODUCT(MAX(ROW(E$1:E122)*(E2=E$1:E122))))))</f>
        <v/>
      </c>
      <c r="K123" s="24" t="str">
        <f aca="false">IF(OR(E123="",E123="!!!",F123="NEW"),"",INDEX(J$1:J122,SUMPRODUCT(MAX(ROW(E$1:E122)*(E123=E$1:E122)))))</f>
        <v/>
      </c>
      <c r="L123" s="25"/>
    </row>
    <row r="124" customFormat="false" ht="14.25" hidden="false" customHeight="false" outlineLevel="0" collapsed="false">
      <c r="A124" s="0" t="s">
        <v>206</v>
      </c>
      <c r="E124" s="20" t="str">
        <f aca="false">IF(D124="?OLD","!!!","")</f>
        <v/>
      </c>
      <c r="F124" s="21" t="str">
        <f aca="false">IF(OR(E124="",E124="!!!"),"",IF(NOT(ISNA(VLOOKUP(E124,E$1:E123,1,FALSE()))),"OLD",IF(AND(E124&lt;&gt;"",E124&lt;&gt;"!!!"),"NEW","")))</f>
        <v/>
      </c>
      <c r="G124" s="22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aca="false">IF(J124&lt;&gt;1,"",IF(I124="SBJ","CB","?"))</f>
        <v/>
      </c>
      <c r="I124" s="24" t="str">
        <f aca="false">IF(OR(E124="",E124="!!!",F124="NEW"),"",INDEX(B$2:B123,-1+SUMPRODUCT(MAX(ROW(E$2:E123)*(E124=E$2:E123)))))</f>
        <v/>
      </c>
      <c r="J124" s="24" t="str">
        <f aca="true">IF(OR(E124="",E124="!!!",F124="NEW"),"",COUNTBLANK(OFFSET(A$1,,,SUMPRODUCT(MAX(ROW(E$2:E124)*(E124=E$2:E124)))))-COUNTBLANK(OFFSET(A$1,,,SUMPRODUCT(MAX(ROW(E$1:E123)*(E2=E$1:E123))))))</f>
        <v/>
      </c>
      <c r="K124" s="24" t="str">
        <f aca="false">IF(OR(E124="",E124="!!!",F124="NEW"),"",INDEX(J$1:J123,SUMPRODUCT(MAX(ROW(E$1:E123)*(E124=E$1:E123)))))</f>
        <v/>
      </c>
      <c r="L124" s="25"/>
    </row>
    <row r="125" customFormat="false" ht="14.25" hidden="false" customHeight="false" outlineLevel="0" collapsed="false">
      <c r="A125" s="0" t="s">
        <v>78</v>
      </c>
      <c r="E125" s="20" t="str">
        <f aca="false">IF(D125="?OLD","!!!","")</f>
        <v/>
      </c>
      <c r="F125" s="21" t="str">
        <f aca="false">IF(OR(E125="",E125="!!!"),"",IF(NOT(ISNA(VLOOKUP(E125,E$1:E124,1,FALSE()))),"OLD",IF(AND(E125&lt;&gt;"",E125&lt;&gt;"!!!"),"NEW","")))</f>
        <v/>
      </c>
      <c r="G125" s="22" t="str">
        <f aca="false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aca="false">IF(J125&lt;&gt;1,"",IF(I125="SBJ","CB","?"))</f>
        <v/>
      </c>
      <c r="I125" s="24" t="str">
        <f aca="false">IF(OR(E125="",E125="!!!",F125="NEW"),"",INDEX(B$2:B124,-1+SUMPRODUCT(MAX(ROW(E$2:E124)*(E125=E$2:E124)))))</f>
        <v/>
      </c>
      <c r="J125" s="24" t="str">
        <f aca="true">IF(OR(E125="",E125="!!!",F125="NEW"),"",COUNTBLANK(OFFSET(A$1,,,SUMPRODUCT(MAX(ROW(E$2:E125)*(E125=E$2:E125)))))-COUNTBLANK(OFFSET(A$1,,,SUMPRODUCT(MAX(ROW(E$1:E124)*(E2=E$1:E124))))))</f>
        <v/>
      </c>
      <c r="K125" s="24" t="str">
        <f aca="false">IF(OR(E125="",E125="!!!",F125="NEW"),"",INDEX(J$1:J124,SUMPRODUCT(MAX(ROW(E$1:E124)*(E125=E$1:E124)))))</f>
        <v/>
      </c>
      <c r="L125" s="25"/>
    </row>
    <row r="126" customFormat="false" ht="14.25" hidden="false" customHeight="false" outlineLevel="0" collapsed="false">
      <c r="A126" s="0" t="s">
        <v>101</v>
      </c>
      <c r="E126" s="20" t="str">
        <f aca="false">IF(D126="?OLD","!!!","")</f>
        <v/>
      </c>
      <c r="F126" s="21" t="str">
        <f aca="false">IF(OR(E126="",E126="!!!"),"",IF(NOT(ISNA(VLOOKUP(E126,E$1:E125,1,FALSE()))),"OLD",IF(AND(E126&lt;&gt;"",E126&lt;&gt;"!!!"),"NEW","")))</f>
        <v/>
      </c>
      <c r="G126" s="22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aca="false">IF(J126&lt;&gt;1,"",IF(I126="SBJ","CB","?"))</f>
        <v/>
      </c>
      <c r="I126" s="24" t="str">
        <f aca="false">IF(OR(E126="",E126="!!!",F126="NEW"),"",INDEX(B$2:B125,-1+SUMPRODUCT(MAX(ROW(E$2:E125)*(E126=E$2:E125)))))</f>
        <v/>
      </c>
      <c r="J126" s="24" t="str">
        <f aca="true">IF(OR(E126="",E126="!!!",F126="NEW"),"",COUNTBLANK(OFFSET(A$1,,,SUMPRODUCT(MAX(ROW(E$2:E126)*(E126=E$2:E126)))))-COUNTBLANK(OFFSET(A$1,,,SUMPRODUCT(MAX(ROW(E$1:E125)*(E2=E$1:E125))))))</f>
        <v/>
      </c>
      <c r="K126" s="24" t="str">
        <f aca="false">IF(OR(E126="",E126="!!!",F126="NEW"),"",INDEX(J$1:J125,SUMPRODUCT(MAX(ROW(E$1:E125)*(E126=E$1:E125)))))</f>
        <v/>
      </c>
      <c r="L126" s="25"/>
    </row>
    <row r="127" customFormat="false" ht="14.25" hidden="false" customHeight="false" outlineLevel="0" collapsed="false">
      <c r="A127" s="0" t="s">
        <v>200</v>
      </c>
      <c r="E127" s="20" t="str">
        <f aca="false">IF(D127="?OLD","!!!","")</f>
        <v/>
      </c>
      <c r="F127" s="21" t="str">
        <f aca="false">IF(OR(E127="",E127="!!!"),"",IF(NOT(ISNA(VLOOKUP(E127,E$1:E126,1,FALSE()))),"OLD",IF(AND(E127&lt;&gt;"",E127&lt;&gt;"!!!"),"NEW","")))</f>
        <v/>
      </c>
      <c r="G127" s="22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aca="false">IF(J127&lt;&gt;1,"",IF(I127="SBJ","CB","?"))</f>
        <v/>
      </c>
      <c r="I127" s="24" t="str">
        <f aca="false">IF(OR(E127="",E127="!!!",F127="NEW"),"",INDEX(B$2:B126,-1+SUMPRODUCT(MAX(ROW(E$2:E126)*(E127=E$2:E126)))))</f>
        <v/>
      </c>
      <c r="J127" s="24" t="str">
        <f aca="true">IF(OR(E127="",E127="!!!",F127="NEW"),"",COUNTBLANK(OFFSET(A$1,,,SUMPRODUCT(MAX(ROW(E$2:E127)*(E127=E$2:E127)))))-COUNTBLANK(OFFSET(A$1,,,SUMPRODUCT(MAX(ROW(E$1:E126)*(E2=E$1:E126))))))</f>
        <v/>
      </c>
      <c r="K127" s="24" t="str">
        <f aca="false">IF(OR(E127="",E127="!!!",F127="NEW"),"",INDEX(J$1:J126,SUMPRODUCT(MAX(ROW(E$1:E126)*(E127=E$1:E126)))))</f>
        <v/>
      </c>
      <c r="L127" s="25"/>
    </row>
    <row r="128" customFormat="false" ht="23.85" hidden="false" customHeight="false" outlineLevel="0" collapsed="false">
      <c r="A128" s="0" t="s">
        <v>207</v>
      </c>
      <c r="B128" s="26" t="s">
        <v>208</v>
      </c>
      <c r="C128" s="26" t="s">
        <v>209</v>
      </c>
      <c r="D128" s="26" t="s">
        <v>75</v>
      </c>
      <c r="E128" s="20" t="s">
        <v>210</v>
      </c>
      <c r="F128" s="21" t="s">
        <v>211</v>
      </c>
      <c r="G128" s="22" t="e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#VALUE!</v>
      </c>
      <c r="H128" s="23"/>
      <c r="I128" s="24" t="e">
        <f aca="false">IF(OR(E128="",E128="!!!",F128="NEW"),"",INDEX(B$2:B127,-1+SUMPRODUCT(MAX(ROW(E$2:E127)*(E128=E$2:E127)))))</f>
        <v>#VALUE!</v>
      </c>
      <c r="J128" s="24" t="n">
        <f aca="true">IF(OR(E128="",E128="!!!",F128="NEW"),"",COUNTBLANK(OFFSET(A$1,,,SUMPRODUCT(MAX(ROW(E$2:E128)*(E128=E$2:E128)))))-COUNTBLANK(OFFSET(A$1,,,SUMPRODUCT(MAX(ROW(E$1:E127)*(E2=E$1:E127))))))</f>
        <v>0</v>
      </c>
      <c r="K128" s="24" t="e">
        <f aca="false">IF(OR(E128="",E128="!!!",F128="NEW"),"",INDEX(J$1:J127,SUMPRODUCT(MAX(ROW(E$1:E127)*(E128=E$1:E127)))))</f>
        <v>#VALUE!</v>
      </c>
      <c r="L128" s="27" t="s">
        <v>212</v>
      </c>
    </row>
    <row r="129" customFormat="false" ht="14.25" hidden="false" customHeight="false" outlineLevel="0" collapsed="false">
      <c r="A129" s="0" t="s">
        <v>213</v>
      </c>
      <c r="B129" s="26" t="s">
        <v>214</v>
      </c>
      <c r="C129" s="26" t="s">
        <v>209</v>
      </c>
      <c r="D129" s="26" t="s">
        <v>75</v>
      </c>
      <c r="E129" s="20"/>
      <c r="F129" s="21" t="s">
        <v>215</v>
      </c>
      <c r="G129" s="22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aca="false">IF(J129&lt;&gt;1,"",IF(I129="SBJ","CB","?"))</f>
        <v/>
      </c>
      <c r="I129" s="24" t="str">
        <f aca="false">IF(OR(E129="",E129="!!!",F129="NEW"),"",INDEX(B$2:B128,-1+SUMPRODUCT(MAX(ROW(E$2:E128)*(E129=E$2:E128)))))</f>
        <v/>
      </c>
      <c r="J129" s="24" t="str">
        <f aca="true">IF(OR(E129="",E129="!!!",F129="NEW"),"",COUNTBLANK(OFFSET(A$1,,,SUMPRODUCT(MAX(ROW(E$2:E129)*(E129=E$2:E129)))))-COUNTBLANK(OFFSET(A$1,,,SUMPRODUCT(MAX(ROW(E$1:E128)*(E2=E$1:E128))))))</f>
        <v/>
      </c>
      <c r="K129" s="24" t="str">
        <f aca="false">IF(OR(E129="",E129="!!!",F129="NEW"),"",INDEX(J$1:J128,SUMPRODUCT(MAX(ROW(E$1:E128)*(E129=E$1:E128)))))</f>
        <v/>
      </c>
      <c r="L129" s="25"/>
    </row>
    <row r="130" customFormat="false" ht="14.25" hidden="false" customHeight="false" outlineLevel="0" collapsed="false">
      <c r="A130" s="0" t="s">
        <v>216</v>
      </c>
      <c r="E130" s="20" t="str">
        <f aca="false">IF(D130="?OLD","!!!","")</f>
        <v/>
      </c>
      <c r="F130" s="21" t="str">
        <f aca="false">IF(OR(E130="",E130="!!!"),"",IF(NOT(ISNA(VLOOKUP(E130,E$1:E129,1,FALSE()))),"OLD",IF(AND(E130&lt;&gt;"",E130&lt;&gt;"!!!"),"NEW","")))</f>
        <v/>
      </c>
      <c r="G130" s="22" t="str">
        <f aca="false"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aca="false">IF(J130&lt;&gt;1,"",IF(I130="SBJ","CB","?"))</f>
        <v/>
      </c>
      <c r="I130" s="24" t="str">
        <f aca="false">IF(OR(E130="",E130="!!!",F130="NEW"),"",INDEX(B$2:B129,-1+SUMPRODUCT(MAX(ROW(E$2:E129)*(E130=E$2:E129)))))</f>
        <v/>
      </c>
      <c r="J130" s="24" t="str">
        <f aca="true">IF(OR(E130="",E130="!!!",F130="NEW"),"",COUNTBLANK(OFFSET(A$1,,,SUMPRODUCT(MAX(ROW(E$2:E130)*(E130=E$2:E130)))))-COUNTBLANK(OFFSET(A$1,,,SUMPRODUCT(MAX(ROW(E$1:E129)*(E2=E$1:E129))))))</f>
        <v/>
      </c>
      <c r="K130" s="24" t="str">
        <f aca="false">IF(OR(E130="",E130="!!!",F130="NEW"),"",INDEX(J$1:J129,SUMPRODUCT(MAX(ROW(E$1:E129)*(E130=E$1:E129)))))</f>
        <v/>
      </c>
      <c r="L130" s="25"/>
    </row>
    <row r="131" customFormat="false" ht="14.25" hidden="false" customHeight="false" outlineLevel="0" collapsed="false">
      <c r="A131" s="0" t="s">
        <v>217</v>
      </c>
      <c r="E131" s="20" t="str">
        <f aca="false">IF(D131="?OLD","!!!","")</f>
        <v/>
      </c>
      <c r="F131" s="21" t="str">
        <f aca="false">IF(OR(E131="",E131="!!!"),"",IF(NOT(ISNA(VLOOKUP(E131,E$1:E130,1,FALSE()))),"OLD",IF(AND(E131&lt;&gt;"",E131&lt;&gt;"!!!"),"NEW","")))</f>
        <v/>
      </c>
      <c r="G131" s="22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aca="false">IF(J131&lt;&gt;1,"",IF(I131="SBJ","CB","?"))</f>
        <v/>
      </c>
      <c r="I131" s="24" t="str">
        <f aca="false">IF(OR(E131="",E131="!!!",F131="NEW"),"",INDEX(B$2:B130,-1+SUMPRODUCT(MAX(ROW(E$2:E130)*(E131=E$2:E130)))))</f>
        <v/>
      </c>
      <c r="J131" s="24" t="str">
        <f aca="true">IF(OR(E131="",E131="!!!",F131="NEW"),"",COUNTBLANK(OFFSET(A$1,,,SUMPRODUCT(MAX(ROW(E$2:E131)*(E131=E$2:E131)))))-COUNTBLANK(OFFSET(A$1,,,SUMPRODUCT(MAX(ROW(E$1:E130)*(E2=E$1:E130))))))</f>
        <v/>
      </c>
      <c r="K131" s="24" t="str">
        <f aca="false">IF(OR(E131="",E131="!!!",F131="NEW"),"",INDEX(J$1:J130,SUMPRODUCT(MAX(ROW(E$1:E130)*(E131=E$1:E130)))))</f>
        <v/>
      </c>
      <c r="L131" s="25"/>
    </row>
    <row r="132" customFormat="false" ht="14.25" hidden="false" customHeight="false" outlineLevel="0" collapsed="false">
      <c r="A132" s="0" t="s">
        <v>86</v>
      </c>
      <c r="E132" s="20" t="str">
        <f aca="false">IF(D132="?OLD","!!!","")</f>
        <v/>
      </c>
      <c r="F132" s="21" t="str">
        <f aca="false">IF(OR(E132="",E132="!!!"),"",IF(NOT(ISNA(VLOOKUP(E132,E$1:E131,1,FALSE()))),"OLD",IF(AND(E132&lt;&gt;"",E132&lt;&gt;"!!!"),"NEW","")))</f>
        <v/>
      </c>
      <c r="G132" s="22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aca="false">IF(J132&lt;&gt;1,"",IF(I132="SBJ","CB","?"))</f>
        <v/>
      </c>
      <c r="I132" s="24" t="str">
        <f aca="false">IF(OR(E132="",E132="!!!",F132="NEW"),"",INDEX(B$2:B131,-1+SUMPRODUCT(MAX(ROW(E$2:E131)*(E132=E$2:E131)))))</f>
        <v/>
      </c>
      <c r="J132" s="24" t="str">
        <f aca="true">IF(OR(E132="",E132="!!!",F132="NEW"),"",COUNTBLANK(OFFSET(A$1,,,SUMPRODUCT(MAX(ROW(E$2:E132)*(E132=E$2:E132)))))-COUNTBLANK(OFFSET(A$1,,,SUMPRODUCT(MAX(ROW(E$1:E131)*(E2=E$1:E131))))))</f>
        <v/>
      </c>
      <c r="K132" s="24" t="str">
        <f aca="false">IF(OR(E132="",E132="!!!",F132="NEW"),"",INDEX(J$1:J131,SUMPRODUCT(MAX(ROW(E$1:E131)*(E132=E$1:E131)))))</f>
        <v/>
      </c>
      <c r="L132" s="25"/>
    </row>
    <row r="133" customFormat="false" ht="14.25" hidden="false" customHeight="false" outlineLevel="0" collapsed="false">
      <c r="A133" s="0" t="s">
        <v>218</v>
      </c>
      <c r="B133" s="26" t="s">
        <v>91</v>
      </c>
      <c r="C133" s="26" t="s">
        <v>105</v>
      </c>
      <c r="E133" s="20" t="str">
        <f aca="false">IF(D133="?OLD","!!!","")</f>
        <v/>
      </c>
      <c r="F133" s="21" t="str">
        <f aca="false">IF(OR(E133="",E133="!!!"),"",IF(NOT(ISNA(VLOOKUP(E133,E$1:E132,1,FALSE()))),"OLD",IF(AND(E133&lt;&gt;"",E133&lt;&gt;"!!!"),"NEW","")))</f>
        <v/>
      </c>
      <c r="G133" s="22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aca="false">IF(J133&lt;&gt;1,"",IF(I133="SBJ","CB","?"))</f>
        <v/>
      </c>
      <c r="I133" s="24" t="str">
        <f aca="false">IF(OR(E133="",E133="!!!",F133="NEW"),"",INDEX(B$2:B132,-1+SUMPRODUCT(MAX(ROW(E$2:E132)*(E133=E$2:E132)))))</f>
        <v/>
      </c>
      <c r="J133" s="24" t="str">
        <f aca="true">IF(OR(E133="",E133="!!!",F133="NEW"),"",COUNTBLANK(OFFSET(A$1,,,SUMPRODUCT(MAX(ROW(E$2:E133)*(E133=E$2:E133)))))-COUNTBLANK(OFFSET(A$1,,,SUMPRODUCT(MAX(ROW(E$1:E132)*(E2=E$1:E132))))))</f>
        <v/>
      </c>
      <c r="K133" s="24" t="str">
        <f aca="false">IF(OR(E133="",E133="!!!",F133="NEW"),"",INDEX(J$1:J132,SUMPRODUCT(MAX(ROW(E$1:E132)*(E133=E$1:E132)))))</f>
        <v/>
      </c>
      <c r="L133" s="25"/>
    </row>
    <row r="134" customFormat="false" ht="14.25" hidden="false" customHeight="false" outlineLevel="0" collapsed="false">
      <c r="A134" s="0" t="s">
        <v>207</v>
      </c>
      <c r="B134" s="26" t="s">
        <v>96</v>
      </c>
      <c r="C134" s="26" t="s">
        <v>209</v>
      </c>
      <c r="D134" s="26" t="s">
        <v>75</v>
      </c>
      <c r="E134" s="20" t="s">
        <v>207</v>
      </c>
      <c r="F134" s="21" t="str">
        <f aca="false">IF(OR(E134="",E134="!!!"),"",IF(NOT(ISNA(VLOOKUP(E134,E$1:E133,1,FALSE()))),"OLD",IF(AND(E134&lt;&gt;"",E134&lt;&gt;"!!!"),"NEW","")))</f>
        <v>NEW</v>
      </c>
      <c r="G134" s="22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?REFERENTIAL</v>
      </c>
      <c r="H134" s="23" t="str">
        <f aca="false">IF(J134&lt;&gt;1,"",IF(I134="SBJ","CB","?"))</f>
        <v/>
      </c>
      <c r="I134" s="24" t="str">
        <f aca="false">IF(OR(E134="",E134="!!!",F134="NEW"),"",INDEX(B$2:B133,-1+SUMPRODUCT(MAX(ROW(E$2:E133)*(E134=E$2:E133)))))</f>
        <v/>
      </c>
      <c r="J134" s="24" t="str">
        <f aca="true">IF(OR(E134="",E134="!!!",F134="NEW"),"",COUNTBLANK(OFFSET(A$1,,,SUMPRODUCT(MAX(ROW(E$2:E134)*(E134=E$2:E134)))))-COUNTBLANK(OFFSET(A$1,,,SUMPRODUCT(MAX(ROW(E$1:E133)*(E2=E$1:E133))))))</f>
        <v/>
      </c>
      <c r="K134" s="24" t="str">
        <f aca="false">IF(OR(E134="",E134="!!!",F134="NEW"),"",INDEX(J$1:J133,SUMPRODUCT(MAX(ROW(E$1:E133)*(E134=E$1:E133)))))</f>
        <v/>
      </c>
      <c r="L134" s="25"/>
    </row>
    <row r="135" customFormat="false" ht="14.25" hidden="false" customHeight="false" outlineLevel="0" collapsed="false">
      <c r="A135" s="0" t="s">
        <v>213</v>
      </c>
      <c r="B135" s="26" t="s">
        <v>154</v>
      </c>
      <c r="C135" s="26" t="s">
        <v>209</v>
      </c>
      <c r="D135" s="26" t="s">
        <v>75</v>
      </c>
      <c r="E135" s="20" t="s">
        <v>207</v>
      </c>
      <c r="F135" s="21" t="str">
        <f aca="false">IF(OR(E135="",E135="!!!"),"",IF(NOT(ISNA(VLOOKUP(E135,E$1:E134,1,FALSE()))),"OLD",IF(AND(E135&lt;&gt;"",E135&lt;&gt;"!!!"),"NEW","")))</f>
        <v>OLD</v>
      </c>
      <c r="G135" s="22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?IN_FOCUS</v>
      </c>
      <c r="H135" s="23" t="str">
        <f aca="false">IF(J135&lt;&gt;1,"",IF(I135="SBJ","CB","?"))</f>
        <v/>
      </c>
      <c r="I135" s="24" t="str">
        <f aca="false">IF(OR(E135="",E135="!!!",F135="NEW"),"",INDEX(B$2:B134,-1+SUMPRODUCT(MAX(ROW(E$2:E134)*(E135=E$2:E134)))))</f>
        <v>SBJ_2</v>
      </c>
      <c r="J135" s="24" t="n">
        <f aca="true">IF(OR(E135="",E135="!!!",F135="NEW"),"",COUNTBLANK(OFFSET(A$1,,,SUMPRODUCT(MAX(ROW(E$2:E135)*(E135=E$2:E135)))))-COUNTBLANK(OFFSET(A$1,,,SUMPRODUCT(MAX(ROW(E$1:E134)*(E2=E$1:E134))))))</f>
        <v>0</v>
      </c>
      <c r="K135" s="24" t="str">
        <f aca="false">IF(OR(E135="",E135="!!!",F135="NEW"),"",INDEX(J$1:J134,SUMPRODUCT(MAX(ROW(E$1:E134)*(E135=E$1:E134)))))</f>
        <v/>
      </c>
      <c r="L135" s="25"/>
    </row>
    <row r="136" customFormat="false" ht="14.25" hidden="false" customHeight="false" outlineLevel="0" collapsed="false">
      <c r="A136" s="0" t="s">
        <v>219</v>
      </c>
      <c r="B136" s="26" t="s">
        <v>147</v>
      </c>
      <c r="C136" s="26" t="s">
        <v>111</v>
      </c>
      <c r="E136" s="20" t="str">
        <f aca="false">IF(D136="?OLD","!!!","")</f>
        <v/>
      </c>
      <c r="F136" s="21" t="str">
        <f aca="false">IF(OR(E136="",E136="!!!"),"",IF(NOT(ISNA(VLOOKUP(E136,E$1:E135,1,FALSE()))),"OLD",IF(AND(E136&lt;&gt;"",E136&lt;&gt;"!!!"),"NEW","")))</f>
        <v/>
      </c>
      <c r="G136" s="22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aca="false">IF(J136&lt;&gt;1,"",IF(I136="SBJ","CB","?"))</f>
        <v/>
      </c>
      <c r="I136" s="24" t="str">
        <f aca="false">IF(OR(E136="",E136="!!!",F136="NEW"),"",INDEX(B$2:B135,-1+SUMPRODUCT(MAX(ROW(E$2:E135)*(E136=E$2:E135)))))</f>
        <v/>
      </c>
      <c r="J136" s="24" t="str">
        <f aca="true">IF(OR(E136="",E136="!!!",F136="NEW"),"",COUNTBLANK(OFFSET(A$1,,,SUMPRODUCT(MAX(ROW(E$2:E136)*(E136=E$2:E136)))))-COUNTBLANK(OFFSET(A$1,,,SUMPRODUCT(MAX(ROW(E$1:E135)*(E2=E$1:E135))))))</f>
        <v/>
      </c>
      <c r="K136" s="24" t="str">
        <f aca="false">IF(OR(E136="",E136="!!!",F136="NEW"),"",INDEX(J$1:J135,SUMPRODUCT(MAX(ROW(E$1:E135)*(E136=E$1:E135)))))</f>
        <v/>
      </c>
      <c r="L136" s="25"/>
    </row>
    <row r="137" customFormat="false" ht="14.25" hidden="false" customHeight="false" outlineLevel="0" collapsed="false">
      <c r="A137" s="0" t="s">
        <v>220</v>
      </c>
      <c r="E137" s="20" t="str">
        <f aca="false">IF(D137="?OLD","!!!","")</f>
        <v/>
      </c>
      <c r="F137" s="21" t="str">
        <f aca="false">IF(OR(E137="",E137="!!!"),"",IF(NOT(ISNA(VLOOKUP(E137,E$1:E136,1,FALSE()))),"OLD",IF(AND(E137&lt;&gt;"",E137&lt;&gt;"!!!"),"NEW","")))</f>
        <v/>
      </c>
      <c r="G137" s="22" t="str">
        <f aca="false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aca="false">IF(J137&lt;&gt;1,"",IF(I137="SBJ","CB","?"))</f>
        <v/>
      </c>
      <c r="I137" s="24" t="str">
        <f aca="false">IF(OR(E137="",E137="!!!",F137="NEW"),"",INDEX(B$2:B136,-1+SUMPRODUCT(MAX(ROW(E$2:E136)*(E137=E$2:E136)))))</f>
        <v/>
      </c>
      <c r="J137" s="24" t="str">
        <f aca="true">IF(OR(E137="",E137="!!!",F137="NEW"),"",COUNTBLANK(OFFSET(A$1,,,SUMPRODUCT(MAX(ROW(E$2:E137)*(E137=E$2:E137)))))-COUNTBLANK(OFFSET(A$1,,,SUMPRODUCT(MAX(ROW(E$1:E136)*(E2=E$1:E136))))))</f>
        <v/>
      </c>
      <c r="K137" s="24" t="str">
        <f aca="false">IF(OR(E137="",E137="!!!",F137="NEW"),"",INDEX(J$1:J136,SUMPRODUCT(MAX(ROW(E$1:E136)*(E137=E$1:E136)))))</f>
        <v/>
      </c>
      <c r="L137" s="25"/>
    </row>
    <row r="138" customFormat="false" ht="14.25" hidden="false" customHeight="false" outlineLevel="0" collapsed="false">
      <c r="A138" s="0" t="s">
        <v>221</v>
      </c>
      <c r="B138" s="26" t="s">
        <v>154</v>
      </c>
      <c r="C138" s="26" t="s">
        <v>119</v>
      </c>
      <c r="E138" s="20"/>
      <c r="F138" s="21" t="str">
        <f aca="false">IF(OR(E138="",E138="!!!"),"",IF(NOT(ISNA(VLOOKUP(E138,E$1:E137,1,FALSE()))),"OLD",IF(AND(E138&lt;&gt;"",E138&lt;&gt;"!!!"),"NEW","")))</f>
        <v/>
      </c>
      <c r="G138" s="22" t="str">
        <f aca="false"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aca="false">IF(J138&lt;&gt;1,"",IF(I138="SBJ","CB","?"))</f>
        <v/>
      </c>
      <c r="I138" s="24" t="str">
        <f aca="false">IF(OR(E138="",E138="!!!",F138="NEW"),"",INDEX(B$2:B137,-1+SUMPRODUCT(MAX(ROW(E$2:E137)*(E138=E$2:E137)))))</f>
        <v/>
      </c>
      <c r="J138" s="24" t="str">
        <f aca="true">IF(OR(E138="",E138="!!!",F138="NEW"),"",COUNTBLANK(OFFSET(A$1,,,SUMPRODUCT(MAX(ROW(E$2:E138)*(E138=E$2:E138)))))-COUNTBLANK(OFFSET(A$1,,,SUMPRODUCT(MAX(ROW(E$1:E137)*(E2=E$1:E137))))))</f>
        <v/>
      </c>
      <c r="K138" s="24" t="str">
        <f aca="false">IF(OR(E138="",E138="!!!",F138="NEW"),"",INDEX(J$1:J137,SUMPRODUCT(MAX(ROW(E$1:E137)*(E138=E$1:E137)))))</f>
        <v/>
      </c>
      <c r="L138" s="25"/>
    </row>
    <row r="139" customFormat="false" ht="14.25" hidden="false" customHeight="false" outlineLevel="0" collapsed="false">
      <c r="A139" s="0" t="s">
        <v>222</v>
      </c>
      <c r="E139" s="20" t="str">
        <f aca="false">IF(D139="?OLD","!!!","")</f>
        <v/>
      </c>
      <c r="F139" s="21" t="str">
        <f aca="false">IF(OR(E139="",E139="!!!"),"",IF(NOT(ISNA(VLOOKUP(E139,E$1:E138,1,FALSE()))),"OLD",IF(AND(E139&lt;&gt;"",E139&lt;&gt;"!!!"),"NEW","")))</f>
        <v/>
      </c>
      <c r="G139" s="22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aca="false">IF(J139&lt;&gt;1,"",IF(I139="SBJ","CB","?"))</f>
        <v/>
      </c>
      <c r="I139" s="24" t="str">
        <f aca="false">IF(OR(E139="",E139="!!!",F139="NEW"),"",INDEX(B$2:B138,-1+SUMPRODUCT(MAX(ROW(E$2:E138)*(E139=E$2:E138)))))</f>
        <v/>
      </c>
      <c r="J139" s="24" t="str">
        <f aca="true">IF(OR(E139="",E139="!!!",F139="NEW"),"",COUNTBLANK(OFFSET(A$1,,,SUMPRODUCT(MAX(ROW(E$2:E139)*(E139=E$2:E139)))))-COUNTBLANK(OFFSET(A$1,,,SUMPRODUCT(MAX(ROW(E$1:E138)*(E2=E$1:E138))))))</f>
        <v/>
      </c>
      <c r="K139" s="24" t="str">
        <f aca="false">IF(OR(E139="",E139="!!!",F139="NEW"),"",INDEX(J$1:J138,SUMPRODUCT(MAX(ROW(E$1:E138)*(E139=E$1:E138)))))</f>
        <v/>
      </c>
      <c r="L139" s="25"/>
    </row>
    <row r="140" customFormat="false" ht="14.25" hidden="false" customHeight="false" outlineLevel="0" collapsed="false">
      <c r="A140" s="0" t="s">
        <v>223</v>
      </c>
      <c r="B140" s="26" t="s">
        <v>147</v>
      </c>
      <c r="C140" s="26" t="s">
        <v>105</v>
      </c>
      <c r="E140" s="20" t="str">
        <f aca="false">IF(D140="?OLD","!!!","")</f>
        <v/>
      </c>
      <c r="F140" s="21" t="str">
        <f aca="false">IF(OR(E140="",E140="!!!"),"",IF(NOT(ISNA(VLOOKUP(E140,E$1:E139,1,FALSE()))),"OLD",IF(AND(E140&lt;&gt;"",E140&lt;&gt;"!!!"),"NEW","")))</f>
        <v/>
      </c>
      <c r="G140" s="22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aca="false">IF(J140&lt;&gt;1,"",IF(I140="SBJ","CB","?"))</f>
        <v/>
      </c>
      <c r="I140" s="24" t="str">
        <f aca="false">IF(OR(E140="",E140="!!!",F140="NEW"),"",INDEX(B$2:B139,-1+SUMPRODUCT(MAX(ROW(E$2:E139)*(E140=E$2:E139)))))</f>
        <v/>
      </c>
      <c r="J140" s="24" t="str">
        <f aca="true">IF(OR(E140="",E140="!!!",F140="NEW"),"",COUNTBLANK(OFFSET(A$1,,,SUMPRODUCT(MAX(ROW(E$2:E140)*(E140=E$2:E140)))))-COUNTBLANK(OFFSET(A$1,,,SUMPRODUCT(MAX(ROW(E$1:E139)*(E2=E$1:E139))))))</f>
        <v/>
      </c>
      <c r="K140" s="24" t="str">
        <f aca="false">IF(OR(E140="",E140="!!!",F140="NEW"),"",INDEX(J$1:J139,SUMPRODUCT(MAX(ROW(E$1:E139)*(E140=E$1:E139)))))</f>
        <v/>
      </c>
      <c r="L140" s="25"/>
    </row>
    <row r="141" customFormat="false" ht="14.25" hidden="false" customHeight="false" outlineLevel="0" collapsed="false">
      <c r="A141" s="0" t="s">
        <v>172</v>
      </c>
      <c r="E141" s="20" t="str">
        <f aca="false">IF(D141="?OLD","!!!","")</f>
        <v/>
      </c>
      <c r="F141" s="21" t="str">
        <f aca="false">IF(OR(E141="",E141="!!!"),"",IF(NOT(ISNA(VLOOKUP(E141,E$1:E140,1,FALSE()))),"OLD",IF(AND(E141&lt;&gt;"",E141&lt;&gt;"!!!"),"NEW","")))</f>
        <v/>
      </c>
      <c r="G141" s="22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aca="false">IF(J141&lt;&gt;1,"",IF(I141="SBJ","CB","?"))</f>
        <v/>
      </c>
      <c r="I141" s="24" t="str">
        <f aca="false">IF(OR(E141="",E141="!!!",F141="NEW"),"",INDEX(B$2:B140,-1+SUMPRODUCT(MAX(ROW(E$2:E140)*(E141=E$2:E140)))))</f>
        <v/>
      </c>
      <c r="J141" s="24" t="str">
        <f aca="true">IF(OR(E141="",E141="!!!",F141="NEW"),"",COUNTBLANK(OFFSET(A$1,,,SUMPRODUCT(MAX(ROW(E$2:E141)*(E141=E$2:E141)))))-COUNTBLANK(OFFSET(A$1,,,SUMPRODUCT(MAX(ROW(E$1:E140)*(E2=E$1:E140))))))</f>
        <v/>
      </c>
      <c r="K141" s="24" t="str">
        <f aca="false">IF(OR(E141="",E141="!!!",F141="NEW"),"",INDEX(J$1:J140,SUMPRODUCT(MAX(ROW(E$1:E140)*(E141=E$1:E140)))))</f>
        <v/>
      </c>
      <c r="L141" s="25"/>
    </row>
    <row r="142" customFormat="false" ht="14.25" hidden="false" customHeight="false" outlineLevel="0" collapsed="false">
      <c r="A142" s="0" t="s">
        <v>71</v>
      </c>
      <c r="E142" s="20" t="str">
        <f aca="false">IF(D142="?OLD","!!!","")</f>
        <v/>
      </c>
      <c r="F142" s="21" t="str">
        <f aca="false">IF(OR(E142="",E142="!!!"),"",IF(NOT(ISNA(VLOOKUP(E142,E$1:E141,1,FALSE()))),"OLD",IF(AND(E142&lt;&gt;"",E142&lt;&gt;"!!!"),"NEW","")))</f>
        <v/>
      </c>
      <c r="G142" s="22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aca="false">IF(J142&lt;&gt;1,"",IF(I142="SBJ","CB","?"))</f>
        <v/>
      </c>
      <c r="I142" s="24" t="str">
        <f aca="false">IF(OR(E142="",E142="!!!",F142="NEW"),"",INDEX(B$2:B141,-1+SUMPRODUCT(MAX(ROW(E$2:E141)*(E142=E$2:E141)))))</f>
        <v/>
      </c>
      <c r="J142" s="24" t="str">
        <f aca="true">IF(OR(E142="",E142="!!!",F142="NEW"),"",COUNTBLANK(OFFSET(A$1,,,SUMPRODUCT(MAX(ROW(E$2:E142)*(E142=E$2:E142)))))-COUNTBLANK(OFFSET(A$1,,,SUMPRODUCT(MAX(ROW(E$1:E141)*(E2=E$1:E141))))))</f>
        <v/>
      </c>
      <c r="K142" s="24" t="str">
        <f aca="false">IF(OR(E142="",E142="!!!",F142="NEW"),"",INDEX(J$1:J141,SUMPRODUCT(MAX(ROW(E$1:E141)*(E142=E$1:E141)))))</f>
        <v/>
      </c>
      <c r="L142" s="25"/>
    </row>
    <row r="143" customFormat="false" ht="14.25" hidden="false" customHeight="false" outlineLevel="0" collapsed="false">
      <c r="A143" s="0" t="s">
        <v>224</v>
      </c>
      <c r="B143" s="26" t="s">
        <v>104</v>
      </c>
      <c r="C143" s="26" t="s">
        <v>74</v>
      </c>
      <c r="D143" s="26" t="s">
        <v>75</v>
      </c>
      <c r="E143" s="20" t="s">
        <v>225</v>
      </c>
      <c r="F143" s="21" t="s">
        <v>186</v>
      </c>
      <c r="G143" s="22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?REFERENTIAL</v>
      </c>
      <c r="H143" s="23" t="str">
        <f aca="false">IF(J143&lt;&gt;1,"",IF(I143="SBJ","CB","?"))</f>
        <v/>
      </c>
      <c r="I143" s="24" t="str">
        <f aca="false">IF(OR(E143="",E143="!!!",F143="NEW"),"",INDEX(B$2:B142,-1+SUMPRODUCT(MAX(ROW(E$2:E142)*(E143=E$2:E142)))))</f>
        <v/>
      </c>
      <c r="J143" s="24" t="str">
        <f aca="true">IF(OR(E143="",E143="!!!",F143="NEW"),"",COUNTBLANK(OFFSET(A$1,,,SUMPRODUCT(MAX(ROW(E$2:E143)*(E143=E$2:E143)))))-COUNTBLANK(OFFSET(A$1,,,SUMPRODUCT(MAX(ROW(E$1:E142)*(E2=E$1:E142))))))</f>
        <v/>
      </c>
      <c r="K143" s="24" t="str">
        <f aca="false">IF(OR(E143="",E143="!!!",F143="NEW"),"",INDEX(J$1:J142,SUMPRODUCT(MAX(ROW(E$1:E142)*(E143=E$1:E142)))))</f>
        <v/>
      </c>
      <c r="L143" s="27" t="s">
        <v>226</v>
      </c>
    </row>
    <row r="144" customFormat="false" ht="14.25" hidden="false" customHeight="false" outlineLevel="0" collapsed="false">
      <c r="A144" s="0" t="s">
        <v>227</v>
      </c>
      <c r="E144" s="20" t="str">
        <f aca="false">IF(D144="?OLD","!!!","")</f>
        <v/>
      </c>
      <c r="F144" s="21" t="str">
        <f aca="false">IF(OR(E144="",E144="!!!"),"",IF(NOT(ISNA(VLOOKUP(E144,E$1:E143,1,FALSE()))),"OLD",IF(AND(E144&lt;&gt;"",E144&lt;&gt;"!!!"),"NEW","")))</f>
        <v/>
      </c>
      <c r="G144" s="22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aca="false">IF(J144&lt;&gt;1,"",IF(I144="SBJ","CB","?"))</f>
        <v/>
      </c>
      <c r="I144" s="24" t="str">
        <f aca="false">IF(OR(E144="",E144="!!!",F144="NEW"),"",INDEX(B$2:B143,-1+SUMPRODUCT(MAX(ROW(E$2:E143)*(E144=E$2:E143)))))</f>
        <v/>
      </c>
      <c r="J144" s="24" t="str">
        <f aca="true">IF(OR(E144="",E144="!!!",F144="NEW"),"",COUNTBLANK(OFFSET(A$1,,,SUMPRODUCT(MAX(ROW(E$2:E144)*(E144=E$2:E144)))))-COUNTBLANK(OFFSET(A$1,,,SUMPRODUCT(MAX(ROW(E$1:E143)*(E2=E$1:E143))))))</f>
        <v/>
      </c>
      <c r="K144" s="24" t="str">
        <f aca="false">IF(OR(E144="",E144="!!!",F144="NEW"),"",INDEX(J$1:J143,SUMPRODUCT(MAX(ROW(E$1:E143)*(E144=E$1:E143)))))</f>
        <v/>
      </c>
      <c r="L144" s="25"/>
    </row>
    <row r="145" customFormat="false" ht="14.25" hidden="false" customHeight="false" outlineLevel="0" collapsed="false">
      <c r="A145" s="0" t="s">
        <v>142</v>
      </c>
      <c r="E145" s="20" t="str">
        <f aca="false">IF(D145="?OLD","!!!","")</f>
        <v/>
      </c>
      <c r="F145" s="21" t="str">
        <f aca="false">IF(OR(E145="",E145="!!!"),"",IF(NOT(ISNA(VLOOKUP(E145,E$1:E144,1,FALSE()))),"OLD",IF(AND(E145&lt;&gt;"",E145&lt;&gt;"!!!"),"NEW","")))</f>
        <v/>
      </c>
      <c r="G145" s="22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aca="false">IF(J145&lt;&gt;1,"",IF(I145="SBJ","CB","?"))</f>
        <v/>
      </c>
      <c r="I145" s="24" t="str">
        <f aca="false">IF(OR(E145="",E145="!!!",F145="NEW"),"",INDEX(B$2:B144,-1+SUMPRODUCT(MAX(ROW(E$2:E144)*(E145=E$2:E144)))))</f>
        <v/>
      </c>
      <c r="J145" s="24" t="str">
        <f aca="true">IF(OR(E145="",E145="!!!",F145="NEW"),"",COUNTBLANK(OFFSET(A$1,,,SUMPRODUCT(MAX(ROW(E$2:E145)*(E145=E$2:E145)))))-COUNTBLANK(OFFSET(A$1,,,SUMPRODUCT(MAX(ROW(E$1:E144)*(E2=E$1:E144))))))</f>
        <v/>
      </c>
      <c r="K145" s="24" t="str">
        <f aca="false">IF(OR(E145="",E145="!!!",F145="NEW"),"",INDEX(J$1:J144,SUMPRODUCT(MAX(ROW(E$1:E144)*(E145=E$1:E144)))))</f>
        <v/>
      </c>
      <c r="L145" s="25"/>
    </row>
    <row r="146" customFormat="false" ht="14.25" hidden="false" customHeight="false" outlineLevel="0" collapsed="false">
      <c r="A146" s="0" t="s">
        <v>228</v>
      </c>
      <c r="E146" s="20" t="str">
        <f aca="false">IF(D146="?OLD","!!!","")</f>
        <v/>
      </c>
      <c r="F146" s="21" t="str">
        <f aca="false">IF(OR(E146="",E146="!!!"),"",IF(NOT(ISNA(VLOOKUP(E146,E$1:E145,1,FALSE()))),"OLD",IF(AND(E146&lt;&gt;"",E146&lt;&gt;"!!!"),"NEW","")))</f>
        <v/>
      </c>
      <c r="G146" s="22" t="str">
        <f aca="false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aca="false">IF(J146&lt;&gt;1,"",IF(I146="SBJ","CB","?"))</f>
        <v/>
      </c>
      <c r="I146" s="24" t="str">
        <f aca="false">IF(OR(E146="",E146="!!!",F146="NEW"),"",INDEX(B$2:B145,-1+SUMPRODUCT(MAX(ROW(E$2:E145)*(E146=E$2:E145)))))</f>
        <v/>
      </c>
      <c r="J146" s="24" t="str">
        <f aca="true">IF(OR(E146="",E146="!!!",F146="NEW"),"",COUNTBLANK(OFFSET(A$1,,,SUMPRODUCT(MAX(ROW(E$2:E146)*(E146=E$2:E146)))))-COUNTBLANK(OFFSET(A$1,,,SUMPRODUCT(MAX(ROW(E$1:E145)*(E2=E$1:E145))))))</f>
        <v/>
      </c>
      <c r="K146" s="24" t="str">
        <f aca="false">IF(OR(E146="",E146="!!!",F146="NEW"),"",INDEX(J$1:J145,SUMPRODUCT(MAX(ROW(E$1:E145)*(E146=E$1:E145)))))</f>
        <v/>
      </c>
      <c r="L146" s="25"/>
    </row>
    <row r="147" customFormat="false" ht="14.25" hidden="false" customHeight="false" outlineLevel="0" collapsed="false">
      <c r="A147" s="0" t="s">
        <v>229</v>
      </c>
      <c r="E147" s="20" t="str">
        <f aca="false">IF(D147="?OLD","!!!","")</f>
        <v/>
      </c>
      <c r="F147" s="21" t="str">
        <f aca="false">IF(OR(E147="",E147="!!!"),"",IF(NOT(ISNA(VLOOKUP(E147,E$1:E146,1,FALSE()))),"OLD",IF(AND(E147&lt;&gt;"",E147&lt;&gt;"!!!"),"NEW","")))</f>
        <v/>
      </c>
      <c r="G147" s="22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aca="false">IF(J147&lt;&gt;1,"",IF(I147="SBJ","CB","?"))</f>
        <v/>
      </c>
      <c r="I147" s="24" t="str">
        <f aca="false">IF(OR(E147="",E147="!!!",F147="NEW"),"",INDEX(B$2:B146,-1+SUMPRODUCT(MAX(ROW(E$2:E146)*(E147=E$2:E146)))))</f>
        <v/>
      </c>
      <c r="J147" s="24" t="str">
        <f aca="true">IF(OR(E147="",E147="!!!",F147="NEW"),"",COUNTBLANK(OFFSET(A$1,,,SUMPRODUCT(MAX(ROW(E$2:E147)*(E147=E$2:E147)))))-COUNTBLANK(OFFSET(A$1,,,SUMPRODUCT(MAX(ROW(E$1:E146)*(E2=E$1:E146))))))</f>
        <v/>
      </c>
      <c r="K147" s="24" t="str">
        <f aca="false">IF(OR(E147="",E147="!!!",F147="NEW"),"",INDEX(J$1:J146,SUMPRODUCT(MAX(ROW(E$1:E146)*(E147=E$1:E146)))))</f>
        <v/>
      </c>
      <c r="L147" s="25"/>
    </row>
    <row r="148" customFormat="false" ht="14.25" hidden="false" customHeight="false" outlineLevel="0" collapsed="false">
      <c r="A148" s="0" t="s">
        <v>123</v>
      </c>
      <c r="E148" s="20" t="str">
        <f aca="false">IF(D148="?OLD","!!!","")</f>
        <v/>
      </c>
      <c r="F148" s="21" t="str">
        <f aca="false">IF(OR(E148="",E148="!!!"),"",IF(NOT(ISNA(VLOOKUP(E148,E$1:E147,1,FALSE()))),"OLD",IF(AND(E148&lt;&gt;"",E148&lt;&gt;"!!!"),"NEW","")))</f>
        <v/>
      </c>
      <c r="G148" s="22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aca="false">IF(J148&lt;&gt;1,"",IF(I148="SBJ","CB","?"))</f>
        <v/>
      </c>
      <c r="I148" s="24" t="str">
        <f aca="false">IF(OR(E148="",E148="!!!",F148="NEW"),"",INDEX(B$2:B147,-1+SUMPRODUCT(MAX(ROW(E$2:E147)*(E148=E$2:E147)))))</f>
        <v/>
      </c>
      <c r="J148" s="24" t="str">
        <f aca="true">IF(OR(E148="",E148="!!!",F148="NEW"),"",COUNTBLANK(OFFSET(A$1,,,SUMPRODUCT(MAX(ROW(E$2:E148)*(E148=E$2:E148)))))-COUNTBLANK(OFFSET(A$1,,,SUMPRODUCT(MAX(ROW(E$1:E147)*(E2=E$1:E147))))))</f>
        <v/>
      </c>
      <c r="K148" s="24" t="str">
        <f aca="false">IF(OR(E148="",E148="!!!",F148="NEW"),"",INDEX(J$1:J147,SUMPRODUCT(MAX(ROW(E$1:E147)*(E148=E$1:E147)))))</f>
        <v/>
      </c>
      <c r="L148" s="25"/>
    </row>
    <row r="149" customFormat="false" ht="14.25" hidden="false" customHeight="false" outlineLevel="0" collapsed="false">
      <c r="A149" s="0" t="s">
        <v>230</v>
      </c>
      <c r="E149" s="20" t="str">
        <f aca="false">IF(D149="?OLD","!!!","")</f>
        <v/>
      </c>
      <c r="F149" s="21" t="str">
        <f aca="false">IF(OR(E149="",E149="!!!"),"",IF(NOT(ISNA(VLOOKUP(E149,E$1:E148,1,FALSE()))),"OLD",IF(AND(E149&lt;&gt;"",E149&lt;&gt;"!!!"),"NEW","")))</f>
        <v/>
      </c>
      <c r="G149" s="22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aca="false">IF(J149&lt;&gt;1,"",IF(I149="SBJ","CB","?"))</f>
        <v/>
      </c>
      <c r="I149" s="24" t="str">
        <f aca="false">IF(OR(E149="",E149="!!!",F149="NEW"),"",INDEX(B$2:B148,-1+SUMPRODUCT(MAX(ROW(E$2:E148)*(E149=E$2:E148)))))</f>
        <v/>
      </c>
      <c r="J149" s="24" t="str">
        <f aca="true">IF(OR(E149="",E149="!!!",F149="NEW"),"",COUNTBLANK(OFFSET(A$1,,,SUMPRODUCT(MAX(ROW(E$2:E149)*(E149=E$2:E149)))))-COUNTBLANK(OFFSET(A$1,,,SUMPRODUCT(MAX(ROW(E$1:E148)*(E2=E$1:E148))))))</f>
        <v/>
      </c>
      <c r="K149" s="24" t="str">
        <f aca="false">IF(OR(E149="",E149="!!!",F149="NEW"),"",INDEX(J$1:J148,SUMPRODUCT(MAX(ROW(E$1:E148)*(E149=E$1:E148)))))</f>
        <v/>
      </c>
      <c r="L149" s="25"/>
    </row>
    <row r="150" customFormat="false" ht="14.25" hidden="false" customHeight="false" outlineLevel="0" collapsed="false">
      <c r="A150" s="0" t="s">
        <v>43</v>
      </c>
      <c r="E150" s="20" t="str">
        <f aca="false">IF(D150="?OLD","!!!","")</f>
        <v/>
      </c>
      <c r="F150" s="21" t="str">
        <f aca="false">IF(OR(E150="",E150="!!!"),"",IF(NOT(ISNA(VLOOKUP(E150,E$1:E149,1,FALSE()))),"OLD",IF(AND(E150&lt;&gt;"",E150&lt;&gt;"!!!"),"NEW","")))</f>
        <v/>
      </c>
      <c r="G150" s="22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aca="false">IF(J150&lt;&gt;1,"",IF(I150="SBJ","CB","?"))</f>
        <v/>
      </c>
      <c r="I150" s="24" t="str">
        <f aca="false">IF(OR(E150="",E150="!!!",F150="NEW"),"",INDEX(B$2:B149,-1+SUMPRODUCT(MAX(ROW(E$2:E149)*(E150=E$2:E149)))))</f>
        <v/>
      </c>
      <c r="J150" s="24" t="str">
        <f aca="true">IF(OR(E150="",E150="!!!",F150="NEW"),"",COUNTBLANK(OFFSET(A$1,,,SUMPRODUCT(MAX(ROW(E$2:E150)*(E150=E$2:E150)))))-COUNTBLANK(OFFSET(A$1,,,SUMPRODUCT(MAX(ROW(E$1:E149)*(E2=E$1:E149))))))</f>
        <v/>
      </c>
      <c r="K150" s="24" t="str">
        <f aca="false">IF(OR(E150="",E150="!!!",F150="NEW"),"",INDEX(J$1:J149,SUMPRODUCT(MAX(ROW(E$1:E149)*(E150=E$1:E149)))))</f>
        <v/>
      </c>
      <c r="L150" s="25"/>
    </row>
    <row r="151" customFormat="false" ht="14.25" hidden="false" customHeight="false" outlineLevel="0" collapsed="false">
      <c r="A151" s="0" t="s">
        <v>231</v>
      </c>
      <c r="B151" s="26" t="s">
        <v>147</v>
      </c>
      <c r="C151" s="26" t="s">
        <v>119</v>
      </c>
      <c r="E151" s="20" t="str">
        <f aca="false">IF(D151="?OLD","!!!","")</f>
        <v/>
      </c>
      <c r="F151" s="21" t="str">
        <f aca="false">IF(OR(E151="",E151="!!!"),"",IF(NOT(ISNA(VLOOKUP(E151,E$1:E150,1,FALSE()))),"OLD",IF(AND(E151&lt;&gt;"",E151&lt;&gt;"!!!"),"NEW","")))</f>
        <v/>
      </c>
      <c r="G151" s="22" t="str">
        <f aca="false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aca="false">IF(J151&lt;&gt;1,"",IF(I151="SBJ","CB","?"))</f>
        <v/>
      </c>
      <c r="I151" s="24" t="str">
        <f aca="false">IF(OR(E151="",E151="!!!",F151="NEW"),"",INDEX(B$2:B150,-1+SUMPRODUCT(MAX(ROW(E$2:E150)*(E151=E$2:E150)))))</f>
        <v/>
      </c>
      <c r="J151" s="24" t="str">
        <f aca="true">IF(OR(E151="",E151="!!!",F151="NEW"),"",COUNTBLANK(OFFSET(A$1,,,SUMPRODUCT(MAX(ROW(E$2:E151)*(E151=E$2:E151)))))-COUNTBLANK(OFFSET(A$1,,,SUMPRODUCT(MAX(ROW(E$1:E150)*(E2=E$1:E150))))))</f>
        <v/>
      </c>
      <c r="K151" s="24" t="str">
        <f aca="false">IF(OR(E151="",E151="!!!",F151="NEW"),"",INDEX(J$1:J150,SUMPRODUCT(MAX(ROW(E$1:E150)*(E151=E$1:E150)))))</f>
        <v/>
      </c>
      <c r="L151" s="25"/>
    </row>
    <row r="152" customFormat="false" ht="14.25" hidden="false" customHeight="false" outlineLevel="0" collapsed="false">
      <c r="A152" s="0" t="s">
        <v>232</v>
      </c>
      <c r="B152" s="26" t="s">
        <v>96</v>
      </c>
      <c r="C152" s="26" t="s">
        <v>105</v>
      </c>
      <c r="E152" s="20" t="s">
        <v>225</v>
      </c>
      <c r="F152" s="21" t="str">
        <f aca="false">IF(OR(E152="",E152="!!!"),"",IF(NOT(ISNA(VLOOKUP(E152,E$1:E151,1,FALSE()))),"OLD",IF(AND(E152&lt;&gt;"",E152&lt;&gt;"!!!"),"NEW","")))</f>
        <v>OLD</v>
      </c>
      <c r="G152" s="22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3" t="str">
        <f aca="false">IF(J152&lt;&gt;1,"",IF(I152="SBJ","CB","?"))</f>
        <v/>
      </c>
      <c r="I152" s="24" t="str">
        <f aca="false">IF(OR(E152="",E152="!!!",F152="NEW"),"",INDEX(B$2:B151,-1+SUMPRODUCT(MAX(ROW(E$2:E151)*(E152=E$2:E151)))))</f>
        <v>SBJ_3</v>
      </c>
      <c r="J152" s="24" t="n">
        <f aca="true">IF(OR(E152="",E152="!!!",F152="NEW"),"",COUNTBLANK(OFFSET(A$1,,,SUMPRODUCT(MAX(ROW(E$2:E152)*(E152=E$2:E152)))))-COUNTBLANK(OFFSET(A$1,,,SUMPRODUCT(MAX(ROW(E$1:E151)*(E2=E$1:E151))))))</f>
        <v>0</v>
      </c>
      <c r="K152" s="24" t="str">
        <f aca="false">IF(OR(E152="",E152="!!!",F152="NEW"),"",INDEX(J$1:J151,SUMPRODUCT(MAX(ROW(E$1:E151)*(E152=E$1:E151)))))</f>
        <v/>
      </c>
      <c r="L152" s="27" t="s">
        <v>233</v>
      </c>
    </row>
    <row r="153" customFormat="false" ht="14.25" hidden="false" customHeight="false" outlineLevel="0" collapsed="false">
      <c r="A153" s="0" t="s">
        <v>178</v>
      </c>
      <c r="E153" s="20" t="str">
        <f aca="false">IF(D153="?OLD","!!!","")</f>
        <v/>
      </c>
      <c r="F153" s="21" t="str">
        <f aca="false">IF(OR(E153="",E153="!!!"),"",IF(NOT(ISNA(VLOOKUP(E153,E$1:E152,1,FALSE()))),"OLD",IF(AND(E153&lt;&gt;"",E153&lt;&gt;"!!!"),"NEW","")))</f>
        <v/>
      </c>
      <c r="G153" s="22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aca="false">IF(J153&lt;&gt;1,"",IF(I153="SBJ","CB","?"))</f>
        <v/>
      </c>
      <c r="I153" s="24" t="str">
        <f aca="false">IF(OR(E153="",E153="!!!",F153="NEW"),"",INDEX(B$2:B152,-1+SUMPRODUCT(MAX(ROW(E$2:E152)*(E153=E$2:E152)))))</f>
        <v/>
      </c>
      <c r="J153" s="24" t="str">
        <f aca="true">IF(OR(E153="",E153="!!!",F153="NEW"),"",COUNTBLANK(OFFSET(A$1,,,SUMPRODUCT(MAX(ROW(E$2:E153)*(E153=E$2:E153)))))-COUNTBLANK(OFFSET(A$1,,,SUMPRODUCT(MAX(ROW(E$1:E152)*(E2=E$1:E152))))))</f>
        <v/>
      </c>
      <c r="K153" s="24" t="str">
        <f aca="false">IF(OR(E153="",E153="!!!",F153="NEW"),"",INDEX(J$1:J152,SUMPRODUCT(MAX(ROW(E$1:E152)*(E153=E$1:E152)))))</f>
        <v/>
      </c>
      <c r="L153" s="25"/>
    </row>
    <row r="154" customFormat="false" ht="14.25" hidden="false" customHeight="false" outlineLevel="0" collapsed="false">
      <c r="A154" s="0" t="s">
        <v>112</v>
      </c>
      <c r="E154" s="20" t="str">
        <f aca="false">IF(D154="?OLD","!!!","")</f>
        <v/>
      </c>
      <c r="F154" s="21" t="str">
        <f aca="false">IF(OR(E154="",E154="!!!"),"",IF(NOT(ISNA(VLOOKUP(E154,E$1:E153,1,FALSE()))),"OLD",IF(AND(E154&lt;&gt;"",E154&lt;&gt;"!!!"),"NEW","")))</f>
        <v/>
      </c>
      <c r="G154" s="22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aca="false">IF(J154&lt;&gt;1,"",IF(I154="SBJ","CB","?"))</f>
        <v/>
      </c>
      <c r="I154" s="24" t="str">
        <f aca="false">IF(OR(E154="",E154="!!!",F154="NEW"),"",INDEX(B$2:B153,-1+SUMPRODUCT(MAX(ROW(E$2:E153)*(E154=E$2:E153)))))</f>
        <v/>
      </c>
      <c r="J154" s="24" t="str">
        <f aca="true">IF(OR(E154="",E154="!!!",F154="NEW"),"",COUNTBLANK(OFFSET(A$1,,,SUMPRODUCT(MAX(ROW(E$2:E154)*(E154=E$2:E154)))))-COUNTBLANK(OFFSET(A$1,,,SUMPRODUCT(MAX(ROW(E$1:E153)*(E2=E$1:E153))))))</f>
        <v/>
      </c>
      <c r="K154" s="24" t="str">
        <f aca="false">IF(OR(E154="",E154="!!!",F154="NEW"),"",INDEX(J$1:J153,SUMPRODUCT(MAX(ROW(E$1:E153)*(E154=E$1:E153)))))</f>
        <v/>
      </c>
      <c r="L154" s="25"/>
    </row>
    <row r="155" customFormat="false" ht="14.25" hidden="false" customHeight="false" outlineLevel="0" collapsed="false">
      <c r="A155" s="0" t="s">
        <v>234</v>
      </c>
      <c r="B155" s="26" t="s">
        <v>82</v>
      </c>
      <c r="C155" s="26" t="s">
        <v>74</v>
      </c>
      <c r="D155" s="26" t="s">
        <v>75</v>
      </c>
      <c r="E155" s="20" t="s">
        <v>235</v>
      </c>
      <c r="F155" s="21" t="str">
        <f aca="false">IF(OR(E155="",E155="!!!"),"",IF(NOT(ISNA(VLOOKUP(E155,E$1:E154,1,FALSE()))),"OLD",IF(AND(E155&lt;&gt;"",E155&lt;&gt;"!!!"),"NEW","")))</f>
        <v>NEW</v>
      </c>
      <c r="G155" s="22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23" t="str">
        <f aca="false">IF(J155&lt;&gt;1,"",IF(I155="SBJ","CB","?"))</f>
        <v/>
      </c>
      <c r="I155" s="24" t="str">
        <f aca="false">IF(OR(E155="",E155="!!!",F155="NEW"),"",INDEX(B$2:B154,-1+SUMPRODUCT(MAX(ROW(E$2:E154)*(E155=E$2:E154)))))</f>
        <v/>
      </c>
      <c r="J155" s="24" t="str">
        <f aca="true">IF(OR(E155="",E155="!!!",F155="NEW"),"",COUNTBLANK(OFFSET(A$1,,,SUMPRODUCT(MAX(ROW(E$2:E155)*(E155=E$2:E155)))))-COUNTBLANK(OFFSET(A$1,,,SUMPRODUCT(MAX(ROW(E$1:E154)*(E2=E$1:E154))))))</f>
        <v/>
      </c>
      <c r="K155" s="24" t="str">
        <f aca="false">IF(OR(E155="",E155="!!!",F155="NEW"),"",INDEX(J$1:J154,SUMPRODUCT(MAX(ROW(E$1:E154)*(E155=E$1:E154)))))</f>
        <v/>
      </c>
      <c r="L155" s="27" t="s">
        <v>236</v>
      </c>
    </row>
    <row r="156" customFormat="false" ht="14.25" hidden="false" customHeight="false" outlineLevel="0" collapsed="false">
      <c r="A156" s="0" t="s">
        <v>101</v>
      </c>
      <c r="E156" s="20" t="str">
        <f aca="false">IF(D156="?OLD","!!!","")</f>
        <v/>
      </c>
      <c r="F156" s="21" t="str">
        <f aca="false">IF(OR(E156="",E156="!!!"),"",IF(NOT(ISNA(VLOOKUP(E156,E$1:E155,1,FALSE()))),"OLD",IF(AND(E156&lt;&gt;"",E156&lt;&gt;"!!!"),"NEW","")))</f>
        <v/>
      </c>
      <c r="G156" s="22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aca="false">IF(J156&lt;&gt;1,"",IF(I156="SBJ","CB","?"))</f>
        <v/>
      </c>
      <c r="I156" s="24" t="str">
        <f aca="false">IF(OR(E156="",E156="!!!",F156="NEW"),"",INDEX(B$2:B155,-1+SUMPRODUCT(MAX(ROW(E$2:E155)*(E156=E$2:E155)))))</f>
        <v/>
      </c>
      <c r="J156" s="24" t="str">
        <f aca="true">IF(OR(E156="",E156="!!!",F156="NEW"),"",COUNTBLANK(OFFSET(A$1,,,SUMPRODUCT(MAX(ROW(E$2:E156)*(E156=E$2:E156)))))-COUNTBLANK(OFFSET(A$1,,,SUMPRODUCT(MAX(ROW(E$1:E155)*(E2=E$1:E155))))))</f>
        <v/>
      </c>
      <c r="K156" s="24" t="str">
        <f aca="false">IF(OR(E156="",E156="!!!",F156="NEW"),"",INDEX(J$1:J155,SUMPRODUCT(MAX(ROW(E$1:E155)*(E156=E$1:E155)))))</f>
        <v/>
      </c>
      <c r="L156" s="25"/>
    </row>
    <row r="157" customFormat="false" ht="14.25" hidden="false" customHeight="false" outlineLevel="0" collapsed="false">
      <c r="A157" s="0" t="s">
        <v>142</v>
      </c>
      <c r="E157" s="20" t="str">
        <f aca="false">IF(D157="?OLD","!!!","")</f>
        <v/>
      </c>
      <c r="F157" s="21" t="str">
        <f aca="false">IF(OR(E157="",E157="!!!"),"",IF(NOT(ISNA(VLOOKUP(E157,E$1:E156,1,FALSE()))),"OLD",IF(AND(E157&lt;&gt;"",E157&lt;&gt;"!!!"),"NEW","")))</f>
        <v/>
      </c>
      <c r="G157" s="22" t="str">
        <f aca="false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aca="false">IF(J157&lt;&gt;1,"",IF(I157="SBJ","CB","?"))</f>
        <v/>
      </c>
      <c r="I157" s="24" t="str">
        <f aca="false">IF(OR(E157="",E157="!!!",F157="NEW"),"",INDEX(B$2:B156,-1+SUMPRODUCT(MAX(ROW(E$2:E156)*(E157=E$2:E156)))))</f>
        <v/>
      </c>
      <c r="J157" s="24" t="str">
        <f aca="true">IF(OR(E157="",E157="!!!",F157="NEW"),"",COUNTBLANK(OFFSET(A$1,,,SUMPRODUCT(MAX(ROW(E$2:E157)*(E157=E$2:E157)))))-COUNTBLANK(OFFSET(A$1,,,SUMPRODUCT(MAX(ROW(E$1:E156)*(E2=E$1:E156))))))</f>
        <v/>
      </c>
      <c r="K157" s="24" t="str">
        <f aca="false">IF(OR(E157="",E157="!!!",F157="NEW"),"",INDEX(J$1:J156,SUMPRODUCT(MAX(ROW(E$1:E156)*(E157=E$1:E156)))))</f>
        <v/>
      </c>
      <c r="L157" s="25"/>
    </row>
    <row r="158" customFormat="false" ht="14.25" hidden="false" customHeight="false" outlineLevel="0" collapsed="false">
      <c r="A158" s="0" t="s">
        <v>237</v>
      </c>
      <c r="E158" s="20" t="str">
        <f aca="false">IF(D158="?OLD","!!!","")</f>
        <v/>
      </c>
      <c r="F158" s="21" t="str">
        <f aca="false">IF(OR(E158="",E158="!!!"),"",IF(NOT(ISNA(VLOOKUP(E158,E$1:E157,1,FALSE()))),"OLD",IF(AND(E158&lt;&gt;"",E158&lt;&gt;"!!!"),"NEW","")))</f>
        <v/>
      </c>
      <c r="G158" s="22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aca="false">IF(J158&lt;&gt;1,"",IF(I158="SBJ","CB","?"))</f>
        <v/>
      </c>
      <c r="I158" s="24" t="str">
        <f aca="false">IF(OR(E158="",E158="!!!",F158="NEW"),"",INDEX(B$2:B157,-1+SUMPRODUCT(MAX(ROW(E$2:E157)*(E158=E$2:E157)))))</f>
        <v/>
      </c>
      <c r="J158" s="24" t="str">
        <f aca="true">IF(OR(E158="",E158="!!!",F158="NEW"),"",COUNTBLANK(OFFSET(A$1,,,SUMPRODUCT(MAX(ROW(E$2:E158)*(E158=E$2:E158)))))-COUNTBLANK(OFFSET(A$1,,,SUMPRODUCT(MAX(ROW(E$1:E157)*(E2=E$1:E157))))))</f>
        <v/>
      </c>
      <c r="K158" s="24" t="str">
        <f aca="false">IF(OR(E158="",E158="!!!",F158="NEW"),"",INDEX(J$1:J157,SUMPRODUCT(MAX(ROW(E$1:E157)*(E158=E$1:E157)))))</f>
        <v/>
      </c>
      <c r="L158" s="25"/>
    </row>
    <row r="159" customFormat="false" ht="14.25" hidden="false" customHeight="false" outlineLevel="0" collapsed="false">
      <c r="A159" s="0" t="s">
        <v>80</v>
      </c>
      <c r="E159" s="20" t="str">
        <f aca="false">IF(D159="?OLD","!!!","")</f>
        <v/>
      </c>
      <c r="F159" s="21" t="str">
        <f aca="false">IF(OR(E159="",E159="!!!"),"",IF(NOT(ISNA(VLOOKUP(E159,E$1:E158,1,FALSE()))),"OLD",IF(AND(E159&lt;&gt;"",E159&lt;&gt;"!!!"),"NEW","")))</f>
        <v/>
      </c>
      <c r="G159" s="22" t="str">
        <f aca="false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aca="false">IF(J159&lt;&gt;1,"",IF(I159="SBJ","CB","?"))</f>
        <v/>
      </c>
      <c r="I159" s="24" t="str">
        <f aca="false">IF(OR(E159="",E159="!!!",F159="NEW"),"",INDEX(B$2:B158,-1+SUMPRODUCT(MAX(ROW(E$2:E158)*(E159=E$2:E158)))))</f>
        <v/>
      </c>
      <c r="J159" s="24" t="str">
        <f aca="true">IF(OR(E159="",E159="!!!",F159="NEW"),"",COUNTBLANK(OFFSET(A$1,,,SUMPRODUCT(MAX(ROW(E$2:E159)*(E159=E$2:E159)))))-COUNTBLANK(OFFSET(A$1,,,SUMPRODUCT(MAX(ROW(E$1:E158)*(E2=E$1:E158))))))</f>
        <v/>
      </c>
      <c r="K159" s="24" t="str">
        <f aca="false">IF(OR(E159="",E159="!!!",F159="NEW"),"",INDEX(J$1:J158,SUMPRODUCT(MAX(ROW(E$1:E158)*(E159=E$1:E158)))))</f>
        <v/>
      </c>
      <c r="L159" s="25"/>
    </row>
    <row r="160" customFormat="false" ht="14.25" hidden="false" customHeight="false" outlineLevel="0" collapsed="false">
      <c r="A160" s="0" t="s">
        <v>238</v>
      </c>
      <c r="B160" s="26" t="s">
        <v>147</v>
      </c>
      <c r="C160" s="26" t="s">
        <v>74</v>
      </c>
      <c r="D160" s="26" t="s">
        <v>75</v>
      </c>
      <c r="E160" s="20" t="s">
        <v>239</v>
      </c>
      <c r="F160" s="21" t="s">
        <v>186</v>
      </c>
      <c r="G160" s="22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?REFERENTIAL</v>
      </c>
      <c r="H160" s="23" t="str">
        <f aca="false">IF(J160&lt;&gt;1,"",IF(I160="SBJ","CB","?"))</f>
        <v/>
      </c>
      <c r="I160" s="24" t="str">
        <f aca="false">IF(OR(E160="",E160="!!!",F160="NEW"),"",INDEX(B$2:B159,-1+SUMPRODUCT(MAX(ROW(E$2:E159)*(E160=E$2:E159)))))</f>
        <v/>
      </c>
      <c r="J160" s="24" t="str">
        <f aca="true">IF(OR(E160="",E160="!!!",F160="NEW"),"",COUNTBLANK(OFFSET(A$1,,,SUMPRODUCT(MAX(ROW(E$2:E160)*(E160=E$2:E160)))))-COUNTBLANK(OFFSET(A$1,,,SUMPRODUCT(MAX(ROW(E$1:E159)*(E2=E$1:E159))))))</f>
        <v/>
      </c>
      <c r="K160" s="24" t="str">
        <f aca="false">IF(OR(E160="",E160="!!!",F160="NEW"),"",INDEX(J$1:J159,SUMPRODUCT(MAX(ROW(E$1:E159)*(E160=E$1:E159)))))</f>
        <v/>
      </c>
      <c r="L160" s="27" t="s">
        <v>240</v>
      </c>
    </row>
    <row r="161" customFormat="false" ht="14.25" hidden="false" customHeight="false" outlineLevel="0" collapsed="false">
      <c r="A161" s="0" t="s">
        <v>241</v>
      </c>
      <c r="E161" s="20" t="str">
        <f aca="false">IF(D161="?OLD","!!!","")</f>
        <v/>
      </c>
      <c r="F161" s="21" t="str">
        <f aca="false">IF(OR(E161="",E161="!!!"),"",IF(NOT(ISNA(VLOOKUP(E161,E$1:E160,1,FALSE()))),"OLD",IF(AND(E161&lt;&gt;"",E161&lt;&gt;"!!!"),"NEW","")))</f>
        <v/>
      </c>
      <c r="G161" s="22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aca="false">IF(J161&lt;&gt;1,"",IF(I161="SBJ","CB","?"))</f>
        <v/>
      </c>
      <c r="I161" s="24" t="str">
        <f aca="false">IF(OR(E161="",E161="!!!",F161="NEW"),"",INDEX(B$2:B160,-1+SUMPRODUCT(MAX(ROW(E$2:E160)*(E161=E$2:E160)))))</f>
        <v/>
      </c>
      <c r="J161" s="24" t="str">
        <f aca="true">IF(OR(E161="",E161="!!!",F161="NEW"),"",COUNTBLANK(OFFSET(A$1,,,SUMPRODUCT(MAX(ROW(E$2:E161)*(E161=E$2:E161)))))-COUNTBLANK(OFFSET(A$1,,,SUMPRODUCT(MAX(ROW(E$1:E160)*(E2=E$1:E160))))))</f>
        <v/>
      </c>
      <c r="K161" s="24" t="str">
        <f aca="false">IF(OR(E161="",E161="!!!",F161="NEW"),"",INDEX(J$1:J160,SUMPRODUCT(MAX(ROW(E$1:E160)*(E161=E$1:E160)))))</f>
        <v/>
      </c>
      <c r="L161" s="25"/>
    </row>
    <row r="162" customFormat="false" ht="14.25" hidden="false" customHeight="false" outlineLevel="0" collapsed="false">
      <c r="A162" s="0" t="s">
        <v>242</v>
      </c>
      <c r="B162" s="26" t="s">
        <v>115</v>
      </c>
      <c r="C162" s="26" t="s">
        <v>74</v>
      </c>
      <c r="D162" s="26" t="s">
        <v>75</v>
      </c>
      <c r="E162" s="20" t="s">
        <v>243</v>
      </c>
      <c r="F162" s="21" t="s">
        <v>98</v>
      </c>
      <c r="G162" s="22" t="e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#VALUE!</v>
      </c>
      <c r="H162" s="23" t="str">
        <f aca="false">IF(J162&lt;&gt;1,"",IF(I162="SBJ","CB","?"))</f>
        <v/>
      </c>
      <c r="I162" s="24" t="e">
        <f aca="false">IF(OR(E162="",E162="!!!",F162="NEW"),"",INDEX(B$2:B161,-1+SUMPRODUCT(MAX(ROW(E$2:E161)*(E162=E$2:E161)))))</f>
        <v>#VALUE!</v>
      </c>
      <c r="J162" s="24" t="n">
        <f aca="true">IF(OR(E162="",E162="!!!",F162="NEW"),"",COUNTBLANK(OFFSET(A$1,,,SUMPRODUCT(MAX(ROW(E$2:E162)*(E162=E$2:E162)))))-COUNTBLANK(OFFSET(A$1,,,SUMPRODUCT(MAX(ROW(E$1:E161)*(E2=E$1:E161))))))</f>
        <v>0</v>
      </c>
      <c r="K162" s="24" t="e">
        <f aca="false">IF(OR(E162="",E162="!!!",F162="NEW"),"",INDEX(J$1:J161,SUMPRODUCT(MAX(ROW(E$1:E161)*(E162=E$1:E161)))))</f>
        <v>#VALUE!</v>
      </c>
      <c r="L162" s="27" t="s">
        <v>244</v>
      </c>
    </row>
    <row r="163" customFormat="false" ht="14.25" hidden="false" customHeight="false" outlineLevel="0" collapsed="false">
      <c r="A163" s="0" t="s">
        <v>245</v>
      </c>
      <c r="E163" s="20" t="str">
        <f aca="false">IF(D163="?OLD","!!!","")</f>
        <v/>
      </c>
      <c r="F163" s="21" t="str">
        <f aca="false">IF(OR(E163="",E163="!!!"),"",IF(NOT(ISNA(VLOOKUP(E163,E$1:E162,1,FALSE()))),"OLD",IF(AND(E163&lt;&gt;"",E163&lt;&gt;"!!!"),"NEW","")))</f>
        <v/>
      </c>
      <c r="G163" s="22" t="str">
        <f aca="false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aca="false">IF(J163&lt;&gt;1,"",IF(I163="SBJ","CB","?"))</f>
        <v/>
      </c>
      <c r="I163" s="24" t="str">
        <f aca="false">IF(OR(E163="",E163="!!!",F163="NEW"),"",INDEX(B$2:B162,-1+SUMPRODUCT(MAX(ROW(E$2:E162)*(E163=E$2:E162)))))</f>
        <v/>
      </c>
      <c r="J163" s="24" t="str">
        <f aca="true">IF(OR(E163="",E163="!!!",F163="NEW"),"",COUNTBLANK(OFFSET(A$1,,,SUMPRODUCT(MAX(ROW(E$2:E163)*(E163=E$2:E163)))))-COUNTBLANK(OFFSET(A$1,,,SUMPRODUCT(MAX(ROW(E$1:E162)*(E2=E$1:E162))))))</f>
        <v/>
      </c>
      <c r="K163" s="24" t="str">
        <f aca="false">IF(OR(E163="",E163="!!!",F163="NEW"),"",INDEX(J$1:J162,SUMPRODUCT(MAX(ROW(E$1:E162)*(E163=E$1:E162)))))</f>
        <v/>
      </c>
      <c r="L163" s="25"/>
    </row>
    <row r="164" customFormat="false" ht="14.25" hidden="false" customHeight="false" outlineLevel="0" collapsed="false">
      <c r="A164" s="0" t="s">
        <v>123</v>
      </c>
      <c r="E164" s="20" t="str">
        <f aca="false">IF(D164="?OLD","!!!","")</f>
        <v/>
      </c>
      <c r="F164" s="21" t="str">
        <f aca="false">IF(OR(E164="",E164="!!!"),"",IF(NOT(ISNA(VLOOKUP(E164,E$1:E163,1,FALSE()))),"OLD",IF(AND(E164&lt;&gt;"",E164&lt;&gt;"!!!"),"NEW","")))</f>
        <v/>
      </c>
      <c r="G164" s="22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aca="false">IF(J164&lt;&gt;1,"",IF(I164="SBJ","CB","?"))</f>
        <v/>
      </c>
      <c r="I164" s="24" t="str">
        <f aca="false">IF(OR(E164="",E164="!!!",F164="NEW"),"",INDEX(B$2:B163,-1+SUMPRODUCT(MAX(ROW(E$2:E163)*(E164=E$2:E163)))))</f>
        <v/>
      </c>
      <c r="J164" s="24" t="str">
        <f aca="true">IF(OR(E164="",E164="!!!",F164="NEW"),"",COUNTBLANK(OFFSET(A$1,,,SUMPRODUCT(MAX(ROW(E$2:E164)*(E164=E$2:E164)))))-COUNTBLANK(OFFSET(A$1,,,SUMPRODUCT(MAX(ROW(E$1:E163)*(E2=E$1:E163))))))</f>
        <v/>
      </c>
      <c r="K164" s="24" t="str">
        <f aca="false">IF(OR(E164="",E164="!!!",F164="NEW"),"",INDEX(J$1:J163,SUMPRODUCT(MAX(ROW(E$1:E163)*(E164=E$1:E163)))))</f>
        <v/>
      </c>
      <c r="L164" s="25"/>
    </row>
    <row r="165" customFormat="false" ht="14.25" hidden="false" customHeight="false" outlineLevel="0" collapsed="false">
      <c r="A165" s="0" t="s">
        <v>55</v>
      </c>
      <c r="E165" s="20" t="str">
        <f aca="false">IF(D165="?OLD","!!!","")</f>
        <v/>
      </c>
      <c r="F165" s="21" t="str">
        <f aca="false">IF(OR(E165="",E165="!!!"),"",IF(NOT(ISNA(VLOOKUP(E165,E$1:E164,1,FALSE()))),"OLD",IF(AND(E165&lt;&gt;"",E165&lt;&gt;"!!!"),"NEW","")))</f>
        <v/>
      </c>
      <c r="G165" s="22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aca="false">IF(J165&lt;&gt;1,"",IF(I165="SBJ","CB","?"))</f>
        <v/>
      </c>
      <c r="I165" s="24" t="str">
        <f aca="false">IF(OR(E165="",E165="!!!",F165="NEW"),"",INDEX(B$2:B164,-1+SUMPRODUCT(MAX(ROW(E$2:E164)*(E165=E$2:E164)))))</f>
        <v/>
      </c>
      <c r="J165" s="24" t="str">
        <f aca="true">IF(OR(E165="",E165="!!!",F165="NEW"),"",COUNTBLANK(OFFSET(A$1,,,SUMPRODUCT(MAX(ROW(E$2:E165)*(E165=E$2:E165)))))-COUNTBLANK(OFFSET(A$1,,,SUMPRODUCT(MAX(ROW(E$1:E164)*(E2=E$1:E164))))))</f>
        <v/>
      </c>
      <c r="K165" s="24" t="str">
        <f aca="false">IF(OR(E165="",E165="!!!",F165="NEW"),"",INDEX(J$1:J164,SUMPRODUCT(MAX(ROW(E$1:E164)*(E165=E$1:E164)))))</f>
        <v/>
      </c>
      <c r="L165" s="25"/>
    </row>
    <row r="166" customFormat="false" ht="14.25" hidden="false" customHeight="false" outlineLevel="0" collapsed="false">
      <c r="A166" s="0" t="s">
        <v>231</v>
      </c>
      <c r="B166" s="26" t="s">
        <v>115</v>
      </c>
      <c r="C166" s="26" t="s">
        <v>119</v>
      </c>
      <c r="E166" s="20"/>
      <c r="F166" s="21"/>
      <c r="G166" s="22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aca="false">IF(J166&lt;&gt;1,"",IF(I166="SBJ","CB","?"))</f>
        <v/>
      </c>
      <c r="I166" s="24" t="str">
        <f aca="false">IF(OR(E166="",E166="!!!",F166="NEW"),"",INDEX(B$2:B165,-1+SUMPRODUCT(MAX(ROW(E$2:E165)*(E166=E$2:E165)))))</f>
        <v/>
      </c>
      <c r="J166" s="24" t="str">
        <f aca="true">IF(OR(E166="",E166="!!!",F166="NEW"),"",COUNTBLANK(OFFSET(A$1,,,SUMPRODUCT(MAX(ROW(E$2:E166)*(E166=E$2:E166)))))-COUNTBLANK(OFFSET(A$1,,,SUMPRODUCT(MAX(ROW(E$1:E165)*(E2=E$1:E165))))))</f>
        <v/>
      </c>
      <c r="K166" s="24" t="str">
        <f aca="false">IF(OR(E166="",E166="!!!",F166="NEW"),"",INDEX(J$1:J165,SUMPRODUCT(MAX(ROW(E$1:E165)*(E166=E$1:E165)))))</f>
        <v/>
      </c>
      <c r="L166" s="25"/>
    </row>
    <row r="167" customFormat="false" ht="14.25" hidden="false" customHeight="false" outlineLevel="0" collapsed="false">
      <c r="A167" s="0" t="s">
        <v>246</v>
      </c>
      <c r="E167" s="20" t="str">
        <f aca="false">IF(D167="?OLD","!!!","")</f>
        <v/>
      </c>
      <c r="F167" s="21" t="str">
        <f aca="false">IF(OR(E167="",E167="!!!"),"",IF(NOT(ISNA(VLOOKUP(E167,E$1:E166,1,FALSE()))),"OLD",IF(AND(E167&lt;&gt;"",E167&lt;&gt;"!!!"),"NEW","")))</f>
        <v/>
      </c>
      <c r="G167" s="22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aca="false">IF(J167&lt;&gt;1,"",IF(I167="SBJ","CB","?"))</f>
        <v/>
      </c>
      <c r="I167" s="24" t="str">
        <f aca="false">IF(OR(E167="",E167="!!!",F167="NEW"),"",INDEX(B$2:B166,-1+SUMPRODUCT(MAX(ROW(E$2:E166)*(E167=E$2:E166)))))</f>
        <v/>
      </c>
      <c r="J167" s="24" t="str">
        <f aca="true">IF(OR(E167="",E167="!!!",F167="NEW"),"",COUNTBLANK(OFFSET(A$1,,,SUMPRODUCT(MAX(ROW(E$2:E167)*(E167=E$2:E167)))))-COUNTBLANK(OFFSET(A$1,,,SUMPRODUCT(MAX(ROW(E$1:E166)*(E2=E$1:E166))))))</f>
        <v/>
      </c>
      <c r="K167" s="24" t="str">
        <f aca="false">IF(OR(E167="",E167="!!!",F167="NEW"),"",INDEX(J$1:J166,SUMPRODUCT(MAX(ROW(E$1:E166)*(E167=E$1:E166)))))</f>
        <v/>
      </c>
      <c r="L167" s="25"/>
    </row>
    <row r="168" customFormat="false" ht="14.25" hidden="false" customHeight="false" outlineLevel="0" collapsed="false">
      <c r="A168" s="0" t="s">
        <v>86</v>
      </c>
      <c r="E168" s="20" t="str">
        <f aca="false">IF(D168="?OLD","!!!","")</f>
        <v/>
      </c>
      <c r="F168" s="21" t="str">
        <f aca="false">IF(OR(E168="",E168="!!!"),"",IF(NOT(ISNA(VLOOKUP(E168,E$1:E167,1,FALSE()))),"OLD",IF(AND(E168&lt;&gt;"",E168&lt;&gt;"!!!"),"NEW","")))</f>
        <v/>
      </c>
      <c r="G168" s="22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aca="false">IF(J168&lt;&gt;1,"",IF(I168="SBJ","CB","?"))</f>
        <v/>
      </c>
      <c r="I168" s="24" t="str">
        <f aca="false">IF(OR(E168="",E168="!!!",F168="NEW"),"",INDEX(B$2:B167,-1+SUMPRODUCT(MAX(ROW(E$2:E167)*(E168=E$2:E167)))))</f>
        <v/>
      </c>
      <c r="J168" s="24" t="str">
        <f aca="true">IF(OR(E168="",E168="!!!",F168="NEW"),"",COUNTBLANK(OFFSET(A$1,,,SUMPRODUCT(MAX(ROW(E$2:E168)*(E168=E$2:E168)))))-COUNTBLANK(OFFSET(A$1,,,SUMPRODUCT(MAX(ROW(E$1:E167)*(E2=E$1:E167))))))</f>
        <v/>
      </c>
      <c r="K168" s="24" t="str">
        <f aca="false">IF(OR(E168="",E168="!!!",F168="NEW"),"",INDEX(J$1:J167,SUMPRODUCT(MAX(ROW(E$1:E167)*(E168=E$1:E167)))))</f>
        <v/>
      </c>
      <c r="L168" s="25"/>
    </row>
    <row r="169" customFormat="false" ht="14.25" hidden="false" customHeight="false" outlineLevel="0" collapsed="false">
      <c r="A169" s="0" t="s">
        <v>247</v>
      </c>
      <c r="B169" s="26" t="s">
        <v>104</v>
      </c>
      <c r="C169" s="26" t="s">
        <v>209</v>
      </c>
      <c r="D169" s="26" t="s">
        <v>75</v>
      </c>
      <c r="E169" s="20" t="s">
        <v>225</v>
      </c>
      <c r="F169" s="21" t="str">
        <f aca="false">IF(OR(E169="",E169="!!!"),"",IF(NOT(ISNA(VLOOKUP(E169,E$1:E168,1,FALSE()))),"OLD",IF(AND(E169&lt;&gt;"",E169&lt;&gt;"!!!"),"NEW","")))</f>
        <v>OLD</v>
      </c>
      <c r="G169" s="22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?IN_FOCUS</v>
      </c>
      <c r="H169" s="23" t="str">
        <f aca="false">IF(J169&lt;&gt;1,"",IF(I169="SBJ","CB","?"))</f>
        <v/>
      </c>
      <c r="I169" s="24" t="str">
        <f aca="false">IF(OR(E169="",E169="!!!",F169="NEW"),"",INDEX(B$2:B168,-1+SUMPRODUCT(MAX(ROW(E$2:E168)*(E169=E$2:E168)))))</f>
        <v>SBJ_2</v>
      </c>
      <c r="J169" s="24" t="n">
        <f aca="true">IF(OR(E169="",E169="!!!",F169="NEW"),"",COUNTBLANK(OFFSET(A$1,,,SUMPRODUCT(MAX(ROW(E$2:E169)*(E169=E$2:E169)))))-COUNTBLANK(OFFSET(A$1,,,SUMPRODUCT(MAX(ROW(E$1:E168)*(E2=E$1:E168))))))</f>
        <v>0</v>
      </c>
      <c r="K169" s="24" t="n">
        <f aca="false">IF(OR(E169="",E169="!!!",F169="NEW"),"",INDEX(J$1:J168,SUMPRODUCT(MAX(ROW(E$1:E168)*(E169=E$1:E168)))))</f>
        <v>0</v>
      </c>
      <c r="L169" s="27" t="s">
        <v>248</v>
      </c>
    </row>
    <row r="170" customFormat="false" ht="14.25" hidden="false" customHeight="false" outlineLevel="0" collapsed="false">
      <c r="A170" s="0" t="s">
        <v>249</v>
      </c>
      <c r="E170" s="20" t="str">
        <f aca="false">IF(D170="?OLD","!!!","")</f>
        <v/>
      </c>
      <c r="F170" s="21" t="str">
        <f aca="false">IF(OR(E170="",E170="!!!"),"",IF(NOT(ISNA(VLOOKUP(E170,E$1:E169,1,FALSE()))),"OLD",IF(AND(E170&lt;&gt;"",E170&lt;&gt;"!!!"),"NEW","")))</f>
        <v/>
      </c>
      <c r="G170" s="22" t="str">
        <f aca="false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aca="false">IF(J170&lt;&gt;1,"",IF(I170="SBJ","CB","?"))</f>
        <v/>
      </c>
      <c r="I170" s="24" t="str">
        <f aca="false">IF(OR(E170="",E170="!!!",F170="NEW"),"",INDEX(B$2:B169,-1+SUMPRODUCT(MAX(ROW(E$2:E169)*(E170=E$2:E169)))))</f>
        <v/>
      </c>
      <c r="J170" s="24" t="str">
        <f aca="true">IF(OR(E170="",E170="!!!",F170="NEW"),"",COUNTBLANK(OFFSET(A$1,,,SUMPRODUCT(MAX(ROW(E$2:E170)*(E170=E$2:E170)))))-COUNTBLANK(OFFSET(A$1,,,SUMPRODUCT(MAX(ROW(E$1:E169)*(E2=E$1:E169))))))</f>
        <v/>
      </c>
      <c r="K170" s="24" t="str">
        <f aca="false">IF(OR(E170="",E170="!!!",F170="NEW"),"",INDEX(J$1:J169,SUMPRODUCT(MAX(ROW(E$1:E169)*(E170=E$1:E169)))))</f>
        <v/>
      </c>
      <c r="L170" s="25"/>
    </row>
    <row r="171" customFormat="false" ht="14.25" hidden="false" customHeight="false" outlineLevel="0" collapsed="false">
      <c r="A171" s="0" t="s">
        <v>136</v>
      </c>
      <c r="E171" s="20" t="str">
        <f aca="false">IF(D171="?OLD","!!!","")</f>
        <v/>
      </c>
      <c r="F171" s="21" t="str">
        <f aca="false">IF(OR(E171="",E171="!!!"),"",IF(NOT(ISNA(VLOOKUP(E171,E$1:E170,1,FALSE()))),"OLD",IF(AND(E171&lt;&gt;"",E171&lt;&gt;"!!!"),"NEW","")))</f>
        <v/>
      </c>
      <c r="G171" s="22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aca="false">IF(J171&lt;&gt;1,"",IF(I171="SBJ","CB","?"))</f>
        <v/>
      </c>
      <c r="I171" s="24" t="str">
        <f aca="false">IF(OR(E171="",E171="!!!",F171="NEW"),"",INDEX(B$2:B170,-1+SUMPRODUCT(MAX(ROW(E$2:E170)*(E171=E$2:E170)))))</f>
        <v/>
      </c>
      <c r="J171" s="24" t="str">
        <f aca="true">IF(OR(E171="",E171="!!!",F171="NEW"),"",COUNTBLANK(OFFSET(A$1,,,SUMPRODUCT(MAX(ROW(E$2:E171)*(E171=E$2:E171)))))-COUNTBLANK(OFFSET(A$1,,,SUMPRODUCT(MAX(ROW(E$1:E170)*(E2=E$1:E170))))))</f>
        <v/>
      </c>
      <c r="K171" s="24" t="str">
        <f aca="false">IF(OR(E171="",E171="!!!",F171="NEW"),"",INDEX(J$1:J170,SUMPRODUCT(MAX(ROW(E$1:E170)*(E171=E$1:E170)))))</f>
        <v/>
      </c>
      <c r="L171" s="25"/>
    </row>
    <row r="172" customFormat="false" ht="14.25" hidden="false" customHeight="false" outlineLevel="0" collapsed="false">
      <c r="A172" s="0" t="s">
        <v>250</v>
      </c>
      <c r="E172" s="20" t="str">
        <f aca="false">IF(D172="?OLD","!!!","")</f>
        <v/>
      </c>
      <c r="F172" s="21" t="str">
        <f aca="false">IF(OR(E172="",E172="!!!"),"",IF(NOT(ISNA(VLOOKUP(E172,E$1:E171,1,FALSE()))),"OLD",IF(AND(E172&lt;&gt;"",E172&lt;&gt;"!!!"),"NEW","")))</f>
        <v/>
      </c>
      <c r="G172" s="22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aca="false">IF(J172&lt;&gt;1,"",IF(I172="SBJ","CB","?"))</f>
        <v/>
      </c>
      <c r="I172" s="24" t="str">
        <f aca="false">IF(OR(E172="",E172="!!!",F172="NEW"),"",INDEX(B$2:B171,-1+SUMPRODUCT(MAX(ROW(E$2:E171)*(E172=E$2:E171)))))</f>
        <v/>
      </c>
      <c r="J172" s="24" t="str">
        <f aca="true">IF(OR(E172="",E172="!!!",F172="NEW"),"",COUNTBLANK(OFFSET(A$1,,,SUMPRODUCT(MAX(ROW(E$2:E172)*(E172=E$2:E172)))))-COUNTBLANK(OFFSET(A$1,,,SUMPRODUCT(MAX(ROW(E$1:E171)*(E2=E$1:E171))))))</f>
        <v/>
      </c>
      <c r="K172" s="24" t="str">
        <f aca="false">IF(OR(E172="",E172="!!!",F172="NEW"),"",INDEX(J$1:J171,SUMPRODUCT(MAX(ROW(E$1:E171)*(E172=E$1:E171)))))</f>
        <v/>
      </c>
      <c r="L172" s="25"/>
    </row>
    <row r="173" customFormat="false" ht="14.25" hidden="false" customHeight="false" outlineLevel="0" collapsed="false">
      <c r="A173" s="0" t="s">
        <v>251</v>
      </c>
      <c r="B173" s="26" t="s">
        <v>110</v>
      </c>
      <c r="C173" s="26" t="s">
        <v>74</v>
      </c>
      <c r="D173" s="26" t="s">
        <v>75</v>
      </c>
      <c r="E173" s="20" t="s">
        <v>252</v>
      </c>
      <c r="F173" s="21" t="str">
        <f aca="false">IF(OR(E173="",E173="!!!"),"",IF(NOT(ISNA(VLOOKUP(E173,E$1:E172,1,FALSE()))),"OLD",IF(AND(E173&lt;&gt;"",E173&lt;&gt;"!!!"),"NEW","")))</f>
        <v>NEW</v>
      </c>
      <c r="G173" s="22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?REFERENTIAL</v>
      </c>
      <c r="H173" s="23" t="str">
        <f aca="false">IF(J173&lt;&gt;1,"",IF(I173="SBJ","CB","?"))</f>
        <v/>
      </c>
      <c r="I173" s="24" t="str">
        <f aca="false">IF(OR(E173="",E173="!!!",F173="NEW"),"",INDEX(B$2:B172,-1+SUMPRODUCT(MAX(ROW(E$2:E172)*(E173=E$2:E172)))))</f>
        <v/>
      </c>
      <c r="J173" s="24" t="str">
        <f aca="true">IF(OR(E173="",E173="!!!",F173="NEW"),"",COUNTBLANK(OFFSET(A$1,,,SUMPRODUCT(MAX(ROW(E$2:E173)*(E173=E$2:E173)))))-COUNTBLANK(OFFSET(A$1,,,SUMPRODUCT(MAX(ROW(E$1:E172)*(E2=E$1:E172))))))</f>
        <v/>
      </c>
      <c r="K173" s="24" t="str">
        <f aca="false">IF(OR(E173="",E173="!!!",F173="NEW"),"",INDEX(J$1:J172,SUMPRODUCT(MAX(ROW(E$1:E172)*(E173=E$1:E172)))))</f>
        <v/>
      </c>
      <c r="L173" s="25"/>
    </row>
    <row r="174" customFormat="false" ht="14.25" hidden="false" customHeight="false" outlineLevel="0" collapsed="false">
      <c r="A174" s="0" t="s">
        <v>253</v>
      </c>
      <c r="E174" s="20" t="str">
        <f aca="false">IF(D174="?OLD","!!!","")</f>
        <v/>
      </c>
      <c r="F174" s="21" t="str">
        <f aca="false">IF(OR(E174="",E174="!!!"),"",IF(NOT(ISNA(VLOOKUP(E174,E$1:E173,1,FALSE()))),"OLD",IF(AND(E174&lt;&gt;"",E174&lt;&gt;"!!!"),"NEW","")))</f>
        <v/>
      </c>
      <c r="G174" s="22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aca="false">IF(J174&lt;&gt;1,"",IF(I174="SBJ","CB","?"))</f>
        <v/>
      </c>
      <c r="I174" s="24" t="str">
        <f aca="false">IF(OR(E174="",E174="!!!",F174="NEW"),"",INDEX(B$2:B173,-1+SUMPRODUCT(MAX(ROW(E$2:E173)*(E174=E$2:E173)))))</f>
        <v/>
      </c>
      <c r="J174" s="24" t="str">
        <f aca="true">IF(OR(E174="",E174="!!!",F174="NEW"),"",COUNTBLANK(OFFSET(A$1,,,SUMPRODUCT(MAX(ROW(E$2:E174)*(E174=E$2:E174)))))-COUNTBLANK(OFFSET(A$1,,,SUMPRODUCT(MAX(ROW(E$1:E173)*(E2=E$1:E173))))))</f>
        <v/>
      </c>
      <c r="K174" s="24" t="str">
        <f aca="false">IF(OR(E174="",E174="!!!",F174="NEW"),"",INDEX(J$1:J173,SUMPRODUCT(MAX(ROW(E$1:E173)*(E174=E$1:E173)))))</f>
        <v/>
      </c>
      <c r="L174" s="25"/>
    </row>
    <row r="175" customFormat="false" ht="14.25" hidden="false" customHeight="false" outlineLevel="0" collapsed="false">
      <c r="A175" s="0" t="s">
        <v>101</v>
      </c>
      <c r="E175" s="20" t="str">
        <f aca="false">IF(D175="?OLD","!!!","")</f>
        <v/>
      </c>
      <c r="F175" s="21" t="str">
        <f aca="false">IF(OR(E175="",E175="!!!"),"",IF(NOT(ISNA(VLOOKUP(E175,E$1:E174,1,FALSE()))),"OLD",IF(AND(E175&lt;&gt;"",E175&lt;&gt;"!!!"),"NEW","")))</f>
        <v/>
      </c>
      <c r="G175" s="22" t="str">
        <f aca="false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aca="false">IF(J175&lt;&gt;1,"",IF(I175="SBJ","CB","?"))</f>
        <v/>
      </c>
      <c r="I175" s="24" t="str">
        <f aca="false">IF(OR(E175="",E175="!!!",F175="NEW"),"",INDEX(B$2:B174,-1+SUMPRODUCT(MAX(ROW(E$2:E174)*(E175=E$2:E174)))))</f>
        <v/>
      </c>
      <c r="J175" s="24" t="str">
        <f aca="true">IF(OR(E175="",E175="!!!",F175="NEW"),"",COUNTBLANK(OFFSET(A$1,,,SUMPRODUCT(MAX(ROW(E$2:E175)*(E175=E$2:E175)))))-COUNTBLANK(OFFSET(A$1,,,SUMPRODUCT(MAX(ROW(E$1:E174)*(E2=E$1:E174))))))</f>
        <v/>
      </c>
      <c r="K175" s="24" t="str">
        <f aca="false">IF(OR(E175="",E175="!!!",F175="NEW"),"",INDEX(J$1:J174,SUMPRODUCT(MAX(ROW(E$1:E174)*(E175=E$1:E174)))))</f>
        <v/>
      </c>
      <c r="L175" s="25"/>
    </row>
    <row r="176" customFormat="false" ht="14.25" hidden="false" customHeight="false" outlineLevel="0" collapsed="false">
      <c r="A176" s="0" t="s">
        <v>200</v>
      </c>
      <c r="E176" s="20" t="str">
        <f aca="false">IF(D176="?OLD","!!!","")</f>
        <v/>
      </c>
      <c r="F176" s="21" t="str">
        <f aca="false">IF(OR(E176="",E176="!!!"),"",IF(NOT(ISNA(VLOOKUP(E176,E$1:E175,1,FALSE()))),"OLD",IF(AND(E176&lt;&gt;"",E176&lt;&gt;"!!!"),"NEW","")))</f>
        <v/>
      </c>
      <c r="G176" s="22" t="str">
        <f aca="false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aca="false">IF(J176&lt;&gt;1,"",IF(I176="SBJ","CB","?"))</f>
        <v/>
      </c>
      <c r="I176" s="24" t="str">
        <f aca="false">IF(OR(E176="",E176="!!!",F176="NEW"),"",INDEX(B$2:B175,-1+SUMPRODUCT(MAX(ROW(E$2:E175)*(E176=E$2:E175)))))</f>
        <v/>
      </c>
      <c r="J176" s="24" t="str">
        <f aca="true">IF(OR(E176="",E176="!!!",F176="NEW"),"",COUNTBLANK(OFFSET(A$1,,,SUMPRODUCT(MAX(ROW(E$2:E176)*(E176=E$2:E176)))))-COUNTBLANK(OFFSET(A$1,,,SUMPRODUCT(MAX(ROW(E$1:E175)*(E2=E$1:E175))))))</f>
        <v/>
      </c>
      <c r="K176" s="24" t="str">
        <f aca="false">IF(OR(E176="",E176="!!!",F176="NEW"),"",INDEX(J$1:J175,SUMPRODUCT(MAX(ROW(E$1:E175)*(E176=E$1:E175)))))</f>
        <v/>
      </c>
      <c r="L176" s="25"/>
    </row>
    <row r="177" customFormat="false" ht="14.25" hidden="false" customHeight="false" outlineLevel="0" collapsed="false">
      <c r="A177" s="0" t="s">
        <v>254</v>
      </c>
      <c r="B177" s="26" t="s">
        <v>96</v>
      </c>
      <c r="C177" s="26" t="s">
        <v>209</v>
      </c>
      <c r="D177" s="26" t="s">
        <v>75</v>
      </c>
      <c r="E177" s="20" t="s">
        <v>252</v>
      </c>
      <c r="F177" s="21" t="str">
        <f aca="false">IF(OR(E177="",E177="!!!"),"",IF(NOT(ISNA(VLOOKUP(E177,E$1:E176,1,FALSE()))),"OLD",IF(AND(E177&lt;&gt;"",E177&lt;&gt;"!!!"),"NEW","")))</f>
        <v>OLD</v>
      </c>
      <c r="G177" s="22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?IN_FOCUS</v>
      </c>
      <c r="H177" s="23" t="str">
        <f aca="false">IF(J177&lt;&gt;1,"",IF(I177="SBJ","CB","?"))</f>
        <v/>
      </c>
      <c r="I177" s="24" t="str">
        <f aca="false">IF(OR(E177="",E177="!!!",F177="NEW"),"",INDEX(B$2:B176,-1+SUMPRODUCT(MAX(ROW(E$2:E176)*(E177=E$2:E176)))))</f>
        <v>OBJ_3</v>
      </c>
      <c r="J177" s="24" t="n">
        <f aca="true">IF(OR(E177="",E177="!!!",F177="NEW"),"",COUNTBLANK(OFFSET(A$1,,,SUMPRODUCT(MAX(ROW(E$2:E177)*(E177=E$2:E177)))))-COUNTBLANK(OFFSET(A$1,,,SUMPRODUCT(MAX(ROW(E$1:E176)*(E2=E$1:E176))))))</f>
        <v>0</v>
      </c>
      <c r="K177" s="24" t="str">
        <f aca="false">IF(OR(E177="",E177="!!!",F177="NEW"),"",INDEX(J$1:J176,SUMPRODUCT(MAX(ROW(E$1:E176)*(E177=E$1:E176)))))</f>
        <v/>
      </c>
      <c r="L177" s="25"/>
    </row>
    <row r="178" customFormat="false" ht="14.25" hidden="false" customHeight="false" outlineLevel="0" collapsed="false">
      <c r="A178" s="0" t="s">
        <v>90</v>
      </c>
      <c r="B178" s="26" t="s">
        <v>154</v>
      </c>
      <c r="E178" s="20" t="str">
        <f aca="false">IF(D178="?OLD","!!!","")</f>
        <v/>
      </c>
      <c r="F178" s="21" t="str">
        <f aca="false">IF(OR(E178="",E178="!!!"),"",IF(NOT(ISNA(VLOOKUP(E178,E$1:E177,1,FALSE()))),"OLD",IF(AND(E178&lt;&gt;"",E178&lt;&gt;"!!!"),"NEW","")))</f>
        <v/>
      </c>
      <c r="G178" s="22" t="str">
        <f aca="false"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aca="false">IF(J178&lt;&gt;1,"",IF(I178="SBJ","CB","?"))</f>
        <v/>
      </c>
      <c r="I178" s="24" t="str">
        <f aca="false">IF(OR(E178="",E178="!!!",F178="NEW"),"",INDEX(B$2:B177,-1+SUMPRODUCT(MAX(ROW(E$2:E177)*(E178=E$2:E177)))))</f>
        <v/>
      </c>
      <c r="J178" s="24" t="str">
        <f aca="true">IF(OR(E178="",E178="!!!",F178="NEW"),"",COUNTBLANK(OFFSET(A$1,,,SUMPRODUCT(MAX(ROW(E$2:E178)*(E178=E$2:E178)))))-COUNTBLANK(OFFSET(A$1,,,SUMPRODUCT(MAX(ROW(E$1:E177)*(E2=E$1:E177))))))</f>
        <v/>
      </c>
      <c r="K178" s="24" t="str">
        <f aca="false">IF(OR(E178="",E178="!!!",F178="NEW"),"",INDEX(J$1:J177,SUMPRODUCT(MAX(ROW(E$1:E177)*(E178=E$1:E177)))))</f>
        <v/>
      </c>
      <c r="L178" s="25"/>
    </row>
    <row r="179" customFormat="false" ht="14.25" hidden="false" customHeight="false" outlineLevel="0" collapsed="false">
      <c r="A179" s="0" t="s">
        <v>255</v>
      </c>
      <c r="E179" s="20" t="str">
        <f aca="false">IF(D179="?OLD","!!!","")</f>
        <v/>
      </c>
      <c r="F179" s="21" t="str">
        <f aca="false">IF(OR(E179="",E179="!!!"),"",IF(NOT(ISNA(VLOOKUP(E179,E$1:E178,1,FALSE()))),"OLD",IF(AND(E179&lt;&gt;"",E179&lt;&gt;"!!!"),"NEW","")))</f>
        <v/>
      </c>
      <c r="G179" s="22" t="str">
        <f aca="false"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aca="false">IF(J179&lt;&gt;1,"",IF(I179="SBJ","CB","?"))</f>
        <v/>
      </c>
      <c r="I179" s="24" t="str">
        <f aca="false">IF(OR(E179="",E179="!!!",F179="NEW"),"",INDEX(B$2:B178,-1+SUMPRODUCT(MAX(ROW(E$2:E178)*(E179=E$2:E178)))))</f>
        <v/>
      </c>
      <c r="J179" s="24" t="str">
        <f aca="true">IF(OR(E179="",E179="!!!",F179="NEW"),"",COUNTBLANK(OFFSET(A$1,,,SUMPRODUCT(MAX(ROW(E$2:E179)*(E179=E$2:E179)))))-COUNTBLANK(OFFSET(A$1,,,SUMPRODUCT(MAX(ROW(E$1:E178)*(E2=E$1:E178))))))</f>
        <v/>
      </c>
      <c r="K179" s="24" t="str">
        <f aca="false">IF(OR(E179="",E179="!!!",F179="NEW"),"",INDEX(J$1:J178,SUMPRODUCT(MAX(ROW(E$1:E178)*(E179=E$1:E178)))))</f>
        <v/>
      </c>
      <c r="L179" s="25"/>
    </row>
    <row r="180" customFormat="false" ht="14.25" hidden="false" customHeight="false" outlineLevel="0" collapsed="false">
      <c r="A180" s="0" t="s">
        <v>217</v>
      </c>
      <c r="E180" s="20" t="str">
        <f aca="false">IF(D180="?OLD","!!!","")</f>
        <v/>
      </c>
      <c r="F180" s="21" t="str">
        <f aca="false">IF(OR(E180="",E180="!!!"),"",IF(NOT(ISNA(VLOOKUP(E180,E$1:E179,1,FALSE()))),"OLD",IF(AND(E180&lt;&gt;"",E180&lt;&gt;"!!!"),"NEW","")))</f>
        <v/>
      </c>
      <c r="G180" s="22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aca="false">IF(J180&lt;&gt;1,"",IF(I180="SBJ","CB","?"))</f>
        <v/>
      </c>
      <c r="I180" s="24" t="str">
        <f aca="false">IF(OR(E180="",E180="!!!",F180="NEW"),"",INDEX(B$2:B179,-1+SUMPRODUCT(MAX(ROW(E$2:E179)*(E180=E$2:E179)))))</f>
        <v/>
      </c>
      <c r="J180" s="24" t="str">
        <f aca="true">IF(OR(E180="",E180="!!!",F180="NEW"),"",COUNTBLANK(OFFSET(A$1,,,SUMPRODUCT(MAX(ROW(E$2:E180)*(E180=E$2:E180)))))-COUNTBLANK(OFFSET(A$1,,,SUMPRODUCT(MAX(ROW(E$1:E179)*(E2=E$1:E179))))))</f>
        <v/>
      </c>
      <c r="K180" s="24" t="str">
        <f aca="false">IF(OR(E180="",E180="!!!",F180="NEW"),"",INDEX(J$1:J179,SUMPRODUCT(MAX(ROW(E$1:E179)*(E180=E$1:E179)))))</f>
        <v/>
      </c>
      <c r="L180" s="25"/>
    </row>
    <row r="181" customFormat="false" ht="14.25" hidden="false" customHeight="false" outlineLevel="0" collapsed="false">
      <c r="A181" s="0" t="s">
        <v>86</v>
      </c>
      <c r="E181" s="20" t="str">
        <f aca="false">IF(D181="?OLD","!!!","")</f>
        <v/>
      </c>
      <c r="F181" s="21" t="str">
        <f aca="false">IF(OR(E181="",E181="!!!"),"",IF(NOT(ISNA(VLOOKUP(E181,E$1:E180,1,FALSE()))),"OLD",IF(AND(E181&lt;&gt;"",E181&lt;&gt;"!!!"),"NEW","")))</f>
        <v/>
      </c>
      <c r="G181" s="22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aca="false">IF(J181&lt;&gt;1,"",IF(I181="SBJ","CB","?"))</f>
        <v/>
      </c>
      <c r="I181" s="24" t="str">
        <f aca="false">IF(OR(E181="",E181="!!!",F181="NEW"),"",INDEX(B$2:B180,-1+SUMPRODUCT(MAX(ROW(E$2:E180)*(E181=E$2:E180)))))</f>
        <v/>
      </c>
      <c r="J181" s="24" t="str">
        <f aca="true">IF(OR(E181="",E181="!!!",F181="NEW"),"",COUNTBLANK(OFFSET(A$1,,,SUMPRODUCT(MAX(ROW(E$2:E181)*(E181=E$2:E181)))))-COUNTBLANK(OFFSET(A$1,,,SUMPRODUCT(MAX(ROW(E$1:E180)*(E2=E$1:E180))))))</f>
        <v/>
      </c>
      <c r="K181" s="24" t="str">
        <f aca="false">IF(OR(E181="",E181="!!!",F181="NEW"),"",INDEX(J$1:J180,SUMPRODUCT(MAX(ROW(E$1:E180)*(E181=E$1:E180)))))</f>
        <v/>
      </c>
      <c r="L181" s="25"/>
    </row>
    <row r="182" customFormat="false" ht="14.25" hidden="false" customHeight="false" outlineLevel="0" collapsed="false">
      <c r="A182" s="0" t="s">
        <v>94</v>
      </c>
      <c r="E182" s="20" t="str">
        <f aca="false">IF(D182="?OLD","!!!","")</f>
        <v/>
      </c>
      <c r="F182" s="21" t="str">
        <f aca="false">IF(OR(E182="",E182="!!!"),"",IF(NOT(ISNA(VLOOKUP(E182,E$1:E181,1,FALSE()))),"OLD",IF(AND(E182&lt;&gt;"",E182&lt;&gt;"!!!"),"NEW","")))</f>
        <v/>
      </c>
      <c r="G182" s="22" t="str">
        <f aca="false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aca="false">IF(J182&lt;&gt;1,"",IF(I182="SBJ","CB","?"))</f>
        <v/>
      </c>
      <c r="I182" s="24" t="str">
        <f aca="false">IF(OR(E182="",E182="!!!",F182="NEW"),"",INDEX(B$2:B181,-1+SUMPRODUCT(MAX(ROW(E$2:E181)*(E182=E$2:E181)))))</f>
        <v/>
      </c>
      <c r="J182" s="24" t="str">
        <f aca="true">IF(OR(E182="",E182="!!!",F182="NEW"),"",COUNTBLANK(OFFSET(A$1,,,SUMPRODUCT(MAX(ROW(E$2:E182)*(E182=E$2:E182)))))-COUNTBLANK(OFFSET(A$1,,,SUMPRODUCT(MAX(ROW(E$1:E181)*(E2=E$1:E181))))))</f>
        <v/>
      </c>
      <c r="K182" s="24" t="str">
        <f aca="false">IF(OR(E182="",E182="!!!",F182="NEW"),"",INDEX(J$1:J181,SUMPRODUCT(MAX(ROW(E$1:E181)*(E182=E$1:E181)))))</f>
        <v/>
      </c>
      <c r="L182" s="25"/>
    </row>
    <row r="183" customFormat="false" ht="14.25" hidden="false" customHeight="false" outlineLevel="0" collapsed="false">
      <c r="A183" s="0" t="s">
        <v>136</v>
      </c>
      <c r="E183" s="20" t="str">
        <f aca="false">IF(D183="?OLD","!!!","")</f>
        <v/>
      </c>
      <c r="F183" s="21" t="str">
        <f aca="false">IF(OR(E183="",E183="!!!"),"",IF(NOT(ISNA(VLOOKUP(E183,E$1:E182,1,FALSE()))),"OLD",IF(AND(E183&lt;&gt;"",E183&lt;&gt;"!!!"),"NEW","")))</f>
        <v/>
      </c>
      <c r="G183" s="22" t="str">
        <f aca="false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aca="false">IF(J183&lt;&gt;1,"",IF(I183="SBJ","CB","?"))</f>
        <v/>
      </c>
      <c r="I183" s="24" t="str">
        <f aca="false">IF(OR(E183="",E183="!!!",F183="NEW"),"",INDEX(B$2:B182,-1+SUMPRODUCT(MAX(ROW(E$2:E182)*(E183=E$2:E182)))))</f>
        <v/>
      </c>
      <c r="J183" s="24" t="str">
        <f aca="true">IF(OR(E183="",E183="!!!",F183="NEW"),"",COUNTBLANK(OFFSET(A$1,,,SUMPRODUCT(MAX(ROW(E$2:E183)*(E183=E$2:E183)))))-COUNTBLANK(OFFSET(A$1,,,SUMPRODUCT(MAX(ROW(E$1:E182)*(E2=E$1:E182))))))</f>
        <v/>
      </c>
      <c r="K183" s="24" t="str">
        <f aca="false">IF(OR(E183="",E183="!!!",F183="NEW"),"",INDEX(J$1:J182,SUMPRODUCT(MAX(ROW(E$1:E182)*(E183=E$1:E182)))))</f>
        <v/>
      </c>
      <c r="L183" s="25"/>
    </row>
    <row r="184" customFormat="false" ht="14.25" hidden="false" customHeight="false" outlineLevel="0" collapsed="false">
      <c r="A184" s="0" t="s">
        <v>256</v>
      </c>
      <c r="B184" s="26" t="s">
        <v>96</v>
      </c>
      <c r="C184" s="26" t="s">
        <v>74</v>
      </c>
      <c r="D184" s="26" t="s">
        <v>75</v>
      </c>
      <c r="E184" s="20" t="s">
        <v>257</v>
      </c>
      <c r="F184" s="21" t="str">
        <f aca="false">IF(OR(E184="",E184="!!!"),"",IF(NOT(ISNA(VLOOKUP(E184,E$1:E183,1,FALSE()))),"OLD",IF(AND(E184&lt;&gt;"",E184&lt;&gt;"!!!"),"NEW","")))</f>
        <v>NEW</v>
      </c>
      <c r="G184" s="22" t="str">
        <f aca="false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?REFERENTIAL</v>
      </c>
      <c r="H184" s="23" t="str">
        <f aca="false">IF(J184&lt;&gt;1,"",IF(I184="SBJ","CB","?"))</f>
        <v/>
      </c>
      <c r="I184" s="24" t="str">
        <f aca="false">IF(OR(E184="",E184="!!!",F184="NEW"),"",INDEX(B$2:B183,-1+SUMPRODUCT(MAX(ROW(E$2:E183)*(E184=E$2:E183)))))</f>
        <v/>
      </c>
      <c r="J184" s="24" t="str">
        <f aca="true">IF(OR(E184="",E184="!!!",F184="NEW"),"",COUNTBLANK(OFFSET(A$1,,,SUMPRODUCT(MAX(ROW(E$2:E184)*(E184=E$2:E184)))))-COUNTBLANK(OFFSET(A$1,,,SUMPRODUCT(MAX(ROW(E$1:E183)*(E2=E$1:E183))))))</f>
        <v/>
      </c>
      <c r="K184" s="24" t="str">
        <f aca="false">IF(OR(E184="",E184="!!!",F184="NEW"),"",INDEX(J$1:J183,SUMPRODUCT(MAX(ROW(E$1:E183)*(E184=E$1:E183)))))</f>
        <v/>
      </c>
      <c r="L184" s="25"/>
    </row>
    <row r="185" customFormat="false" ht="14.25" hidden="false" customHeight="false" outlineLevel="0" collapsed="false">
      <c r="A185" s="0" t="s">
        <v>101</v>
      </c>
      <c r="E185" s="20" t="str">
        <f aca="false">IF(D185="?OLD","!!!","")</f>
        <v/>
      </c>
      <c r="F185" s="21" t="str">
        <f aca="false">IF(OR(E185="",E185="!!!"),"",IF(NOT(ISNA(VLOOKUP(E185,E$1:E184,1,FALSE()))),"OLD",IF(AND(E185&lt;&gt;"",E185&lt;&gt;"!!!"),"NEW","")))</f>
        <v/>
      </c>
      <c r="G185" s="22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aca="false">IF(J185&lt;&gt;1,"",IF(I185="SBJ","CB","?"))</f>
        <v/>
      </c>
      <c r="I185" s="24" t="str">
        <f aca="false">IF(OR(E185="",E185="!!!",F185="NEW"),"",INDEX(B$2:B184,-1+SUMPRODUCT(MAX(ROW(E$2:E184)*(E185=E$2:E184)))))</f>
        <v/>
      </c>
      <c r="J185" s="24" t="str">
        <f aca="true">IF(OR(E185="",E185="!!!",F185="NEW"),"",COUNTBLANK(OFFSET(A$1,,,SUMPRODUCT(MAX(ROW(E$2:E185)*(E185=E$2:E185)))))-COUNTBLANK(OFFSET(A$1,,,SUMPRODUCT(MAX(ROW(E$1:E184)*(E2=E$1:E184))))))</f>
        <v/>
      </c>
      <c r="K185" s="24" t="str">
        <f aca="false">IF(OR(E185="",E185="!!!",F185="NEW"),"",INDEX(J$1:J184,SUMPRODUCT(MAX(ROW(E$1:E184)*(E185=E$1:E184)))))</f>
        <v/>
      </c>
      <c r="L185" s="25"/>
    </row>
    <row r="186" customFormat="false" ht="14.25" hidden="false" customHeight="false" outlineLevel="0" collapsed="false">
      <c r="A186" s="0" t="s">
        <v>136</v>
      </c>
      <c r="B186" s="26" t="s">
        <v>258</v>
      </c>
      <c r="E186" s="20"/>
      <c r="F186" s="21" t="str">
        <f aca="false">IF(OR(E186="",E186="!!!"),"",IF(NOT(ISNA(VLOOKUP(E186,E$1:E185,1,FALSE()))),"OLD",IF(AND(E186&lt;&gt;"",E186&lt;&gt;"!!!"),"NEW","")))</f>
        <v/>
      </c>
      <c r="G186" s="22" t="str">
        <f aca="false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aca="false">IF(J186&lt;&gt;1,"",IF(I186="SBJ","CB","?"))</f>
        <v/>
      </c>
      <c r="I186" s="24" t="str">
        <f aca="false">IF(OR(E186="",E186="!!!",F186="NEW"),"",INDEX(B$2:B185,-1+SUMPRODUCT(MAX(ROW(E$2:E185)*(E186=E$2:E185)))))</f>
        <v/>
      </c>
      <c r="J186" s="24" t="str">
        <f aca="true">IF(OR(E186="",E186="!!!",F186="NEW"),"",COUNTBLANK(OFFSET(A$1,,,SUMPRODUCT(MAX(ROW(E$2:E186)*(E186=E$2:E186)))))-COUNTBLANK(OFFSET(A$1,,,SUMPRODUCT(MAX(ROW(E$1:E185)*(E2=E$1:E185))))))</f>
        <v/>
      </c>
      <c r="K186" s="24" t="str">
        <f aca="false">IF(OR(E186="",E186="!!!",F186="NEW"),"",INDEX(J$1:J185,SUMPRODUCT(MAX(ROW(E$1:E185)*(E186=E$1:E185)))))</f>
        <v/>
      </c>
      <c r="L186" s="25"/>
    </row>
    <row r="187" customFormat="false" ht="14.25" hidden="false" customHeight="false" outlineLevel="0" collapsed="false">
      <c r="A187" s="0" t="s">
        <v>259</v>
      </c>
      <c r="E187" s="20" t="str">
        <f aca="false">IF(D187="?OLD","!!!","")</f>
        <v/>
      </c>
      <c r="F187" s="21" t="str">
        <f aca="false">IF(OR(E187="",E187="!!!"),"",IF(NOT(ISNA(VLOOKUP(E187,E$1:E186,1,FALSE()))),"OLD",IF(AND(E187&lt;&gt;"",E187&lt;&gt;"!!!"),"NEW","")))</f>
        <v/>
      </c>
      <c r="G187" s="22" t="str">
        <f aca="false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aca="false">IF(J187&lt;&gt;1,"",IF(I187="SBJ","CB","?"))</f>
        <v/>
      </c>
      <c r="I187" s="24" t="str">
        <f aca="false">IF(OR(E187="",E187="!!!",F187="NEW"),"",INDEX(B$2:B186,-1+SUMPRODUCT(MAX(ROW(E$2:E186)*(E187=E$2:E186)))))</f>
        <v/>
      </c>
      <c r="J187" s="24" t="str">
        <f aca="true">IF(OR(E187="",E187="!!!",F187="NEW"),"",COUNTBLANK(OFFSET(A$1,,,SUMPRODUCT(MAX(ROW(E$2:E187)*(E187=E$2:E187)))))-COUNTBLANK(OFFSET(A$1,,,SUMPRODUCT(MAX(ROW(E$1:E186)*(E2=E$1:E186))))))</f>
        <v/>
      </c>
      <c r="K187" s="24" t="str">
        <f aca="false">IF(OR(E187="",E187="!!!",F187="NEW"),"",INDEX(J$1:J186,SUMPRODUCT(MAX(ROW(E$1:E186)*(E187=E$1:E186)))))</f>
        <v/>
      </c>
      <c r="L187" s="25"/>
    </row>
    <row r="188" customFormat="false" ht="14.25" hidden="false" customHeight="false" outlineLevel="0" collapsed="false">
      <c r="A188" s="0" t="s">
        <v>188</v>
      </c>
      <c r="E188" s="20" t="str">
        <f aca="false">IF(D188="?OLD","!!!","")</f>
        <v/>
      </c>
      <c r="F188" s="21" t="str">
        <f aca="false">IF(OR(E188="",E188="!!!"),"",IF(NOT(ISNA(VLOOKUP(E188,E$1:E187,1,FALSE()))),"OLD",IF(AND(E188&lt;&gt;"",E188&lt;&gt;"!!!"),"NEW","")))</f>
        <v/>
      </c>
      <c r="G188" s="22" t="str">
        <f aca="false"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aca="false">IF(J188&lt;&gt;1,"",IF(I188="SBJ","CB","?"))</f>
        <v/>
      </c>
      <c r="I188" s="24" t="str">
        <f aca="false">IF(OR(E188="",E188="!!!",F188="NEW"),"",INDEX(B$2:B187,-1+SUMPRODUCT(MAX(ROW(E$2:E187)*(E188=E$2:E187)))))</f>
        <v/>
      </c>
      <c r="J188" s="24" t="str">
        <f aca="true">IF(OR(E188="",E188="!!!",F188="NEW"),"",COUNTBLANK(OFFSET(A$1,,,SUMPRODUCT(MAX(ROW(E$2:E188)*(E188=E$2:E188)))))-COUNTBLANK(OFFSET(A$1,,,SUMPRODUCT(MAX(ROW(E$1:E187)*(E2=E$1:E187))))))</f>
        <v/>
      </c>
      <c r="K188" s="24" t="str">
        <f aca="false">IF(OR(E188="",E188="!!!",F188="NEW"),"",INDEX(J$1:J187,SUMPRODUCT(MAX(ROW(E$1:E187)*(E188=E$1:E187)))))</f>
        <v/>
      </c>
      <c r="L188" s="25"/>
    </row>
    <row r="189" customFormat="false" ht="14.25" hidden="false" customHeight="false" outlineLevel="0" collapsed="false">
      <c r="A189" s="0" t="s">
        <v>260</v>
      </c>
      <c r="B189" s="26" t="s">
        <v>115</v>
      </c>
      <c r="C189" s="26" t="s">
        <v>74</v>
      </c>
      <c r="D189" s="26" t="s">
        <v>75</v>
      </c>
      <c r="E189" s="20" t="s">
        <v>261</v>
      </c>
      <c r="F189" s="21" t="str">
        <f aca="false">IF(OR(E189="",E189="!!!"),"",IF(NOT(ISNA(VLOOKUP(E189,E$1:E188,1,FALSE()))),"OLD",IF(AND(E189&lt;&gt;"",E189&lt;&gt;"!!!"),"NEW","")))</f>
        <v>NEW</v>
      </c>
      <c r="G189" s="22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?REFERENTIAL</v>
      </c>
      <c r="H189" s="23" t="str">
        <f aca="false">IF(J189&lt;&gt;1,"",IF(I189="SBJ","CB","?"))</f>
        <v/>
      </c>
      <c r="I189" s="24" t="str">
        <f aca="false">IF(OR(E189="",E189="!!!",F189="NEW"),"",INDEX(B$2:B188,-1+SUMPRODUCT(MAX(ROW(E$2:E188)*(E189=E$2:E188)))))</f>
        <v/>
      </c>
      <c r="J189" s="24" t="str">
        <f aca="true">IF(OR(E189="",E189="!!!",F189="NEW"),"",COUNTBLANK(OFFSET(A$1,,,SUMPRODUCT(MAX(ROW(E$2:E189)*(E189=E$2:E189)))))-COUNTBLANK(OFFSET(A$1,,,SUMPRODUCT(MAX(ROW(E$1:E188)*(E2=E$1:E188))))))</f>
        <v/>
      </c>
      <c r="K189" s="24" t="str">
        <f aca="false">IF(OR(E189="",E189="!!!",F189="NEW"),"",INDEX(J$1:J188,SUMPRODUCT(MAX(ROW(E$1:E188)*(E189=E$1:E188)))))</f>
        <v/>
      </c>
      <c r="L189" s="25"/>
    </row>
    <row r="190" customFormat="false" ht="14.25" hidden="false" customHeight="false" outlineLevel="0" collapsed="false">
      <c r="A190" s="0" t="s">
        <v>262</v>
      </c>
      <c r="E190" s="20" t="str">
        <f aca="false">IF(D190="?OLD","!!!","")</f>
        <v/>
      </c>
      <c r="F190" s="21" t="str">
        <f aca="false">IF(OR(E190="",E190="!!!"),"",IF(NOT(ISNA(VLOOKUP(E190,E$1:E189,1,FALSE()))),"OLD",IF(AND(E190&lt;&gt;"",E190&lt;&gt;"!!!"),"NEW","")))</f>
        <v/>
      </c>
      <c r="G190" s="22" t="str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aca="false">IF(J190&lt;&gt;1,"",IF(I190="SBJ","CB","?"))</f>
        <v/>
      </c>
      <c r="I190" s="24" t="str">
        <f aca="false">IF(OR(E190="",E190="!!!",F190="NEW"),"",INDEX(B$2:B189,-1+SUMPRODUCT(MAX(ROW(E$2:E189)*(E190=E$2:E189)))))</f>
        <v/>
      </c>
      <c r="J190" s="24" t="str">
        <f aca="true">IF(OR(E190="",E190="!!!",F190="NEW"),"",COUNTBLANK(OFFSET(A$1,,,SUMPRODUCT(MAX(ROW(E$2:E190)*(E190=E$2:E190)))))-COUNTBLANK(OFFSET(A$1,,,SUMPRODUCT(MAX(ROW(E$1:E189)*(E2=E$1:E189))))))</f>
        <v/>
      </c>
      <c r="K190" s="24" t="str">
        <f aca="false">IF(OR(E190="",E190="!!!",F190="NEW"),"",INDEX(J$1:J189,SUMPRODUCT(MAX(ROW(E$1:E189)*(E190=E$1:E189)))))</f>
        <v/>
      </c>
      <c r="L190" s="25"/>
    </row>
    <row r="191" customFormat="false" ht="14.25" hidden="false" customHeight="false" outlineLevel="0" collapsed="false">
      <c r="A191" s="0" t="s">
        <v>167</v>
      </c>
      <c r="E191" s="20" t="str">
        <f aca="false">IF(D191="?OLD","!!!","")</f>
        <v/>
      </c>
      <c r="F191" s="21" t="str">
        <f aca="false">IF(OR(E191="",E191="!!!"),"",IF(NOT(ISNA(VLOOKUP(E191,E$1:E190,1,FALSE()))),"OLD",IF(AND(E191&lt;&gt;"",E191&lt;&gt;"!!!"),"NEW","")))</f>
        <v/>
      </c>
      <c r="G191" s="22" t="str">
        <f aca="false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aca="false">IF(J191&lt;&gt;1,"",IF(I191="SBJ","CB","?"))</f>
        <v/>
      </c>
      <c r="I191" s="24" t="str">
        <f aca="false">IF(OR(E191="",E191="!!!",F191="NEW"),"",INDEX(B$2:B190,-1+SUMPRODUCT(MAX(ROW(E$2:E190)*(E191=E$2:E190)))))</f>
        <v/>
      </c>
      <c r="J191" s="24" t="str">
        <f aca="true">IF(OR(E191="",E191="!!!",F191="NEW"),"",COUNTBLANK(OFFSET(A$1,,,SUMPRODUCT(MAX(ROW(E$2:E191)*(E191=E$2:E191)))))-COUNTBLANK(OFFSET(A$1,,,SUMPRODUCT(MAX(ROW(E$1:E190)*(E2=E$1:E190))))))</f>
        <v/>
      </c>
      <c r="K191" s="24" t="str">
        <f aca="false">IF(OR(E191="",E191="!!!",F191="NEW"),"",INDEX(J$1:J190,SUMPRODUCT(MAX(ROW(E$1:E190)*(E191=E$1:E190)))))</f>
        <v/>
      </c>
      <c r="L191" s="25"/>
    </row>
    <row r="192" customFormat="false" ht="14.25" hidden="false" customHeight="false" outlineLevel="0" collapsed="false">
      <c r="A192" s="0" t="s">
        <v>101</v>
      </c>
      <c r="E192" s="20" t="str">
        <f aca="false">IF(D192="?OLD","!!!","")</f>
        <v/>
      </c>
      <c r="F192" s="21" t="str">
        <f aca="false">IF(OR(E192="",E192="!!!"),"",IF(NOT(ISNA(VLOOKUP(E192,E$1:E191,1,FALSE()))),"OLD",IF(AND(E192&lt;&gt;"",E192&lt;&gt;"!!!"),"NEW","")))</f>
        <v/>
      </c>
      <c r="G192" s="22" t="str">
        <f aca="false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aca="false">IF(J192&lt;&gt;1,"",IF(I192="SBJ","CB","?"))</f>
        <v/>
      </c>
      <c r="I192" s="24" t="str">
        <f aca="false">IF(OR(E192="",E192="!!!",F192="NEW"),"",INDEX(B$2:B191,-1+SUMPRODUCT(MAX(ROW(E$2:E191)*(E192=E$2:E191)))))</f>
        <v/>
      </c>
      <c r="J192" s="24" t="str">
        <f aca="true">IF(OR(E192="",E192="!!!",F192="NEW"),"",COUNTBLANK(OFFSET(A$1,,,SUMPRODUCT(MAX(ROW(E$2:E192)*(E192=E$2:E192)))))-COUNTBLANK(OFFSET(A$1,,,SUMPRODUCT(MAX(ROW(E$1:E191)*(E2=E$1:E191))))))</f>
        <v/>
      </c>
      <c r="K192" s="24" t="str">
        <f aca="false">IF(OR(E192="",E192="!!!",F192="NEW"),"",INDEX(J$1:J191,SUMPRODUCT(MAX(ROW(E$1:E191)*(E192=E$1:E191)))))</f>
        <v/>
      </c>
      <c r="L192" s="25"/>
    </row>
    <row r="193" customFormat="false" ht="14.25" hidden="false" customHeight="false" outlineLevel="0" collapsed="false">
      <c r="A193" s="0" t="s">
        <v>263</v>
      </c>
      <c r="E193" s="20" t="str">
        <f aca="false">IF(D193="?OLD","!!!","")</f>
        <v/>
      </c>
      <c r="F193" s="21" t="str">
        <f aca="false">IF(OR(E193="",E193="!!!"),"",IF(NOT(ISNA(VLOOKUP(E193,E$1:E192,1,FALSE()))),"OLD",IF(AND(E193&lt;&gt;"",E193&lt;&gt;"!!!"),"NEW","")))</f>
        <v/>
      </c>
      <c r="G193" s="22" t="str">
        <f aca="false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aca="false">IF(J193&lt;&gt;1,"",IF(I193="SBJ","CB","?"))</f>
        <v/>
      </c>
      <c r="I193" s="24" t="str">
        <f aca="false">IF(OR(E193="",E193="!!!",F193="NEW"),"",INDEX(B$2:B192,-1+SUMPRODUCT(MAX(ROW(E$2:E192)*(E193=E$2:E192)))))</f>
        <v/>
      </c>
      <c r="J193" s="24" t="str">
        <f aca="true">IF(OR(E193="",E193="!!!",F193="NEW"),"",COUNTBLANK(OFFSET(A$1,,,SUMPRODUCT(MAX(ROW(E$2:E193)*(E193=E$2:E193)))))-COUNTBLANK(OFFSET(A$1,,,SUMPRODUCT(MAX(ROW(E$1:E192)*(E2=E$1:E192))))))</f>
        <v/>
      </c>
      <c r="K193" s="24" t="str">
        <f aca="false">IF(OR(E193="",E193="!!!",F193="NEW"),"",INDEX(J$1:J192,SUMPRODUCT(MAX(ROW(E$1:E192)*(E193=E$1:E192)))))</f>
        <v/>
      </c>
      <c r="L193" s="25"/>
    </row>
    <row r="194" customFormat="false" ht="14.25" hidden="false" customHeight="false" outlineLevel="0" collapsed="false">
      <c r="A194" s="0" t="s">
        <v>264</v>
      </c>
      <c r="E194" s="20" t="str">
        <f aca="false">IF(D194="?OLD","!!!","")</f>
        <v/>
      </c>
      <c r="F194" s="21" t="str">
        <f aca="false">IF(OR(E194="",E194="!!!"),"",IF(NOT(ISNA(VLOOKUP(E194,E$1:E193,1,FALSE()))),"OLD",IF(AND(E194&lt;&gt;"",E194&lt;&gt;"!!!"),"NEW","")))</f>
        <v/>
      </c>
      <c r="G194" s="22" t="str">
        <f aca="false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aca="false">IF(J194&lt;&gt;1,"",IF(I194="SBJ","CB","?"))</f>
        <v/>
      </c>
      <c r="I194" s="24" t="str">
        <f aca="false">IF(OR(E194="",E194="!!!",F194="NEW"),"",INDEX(B$2:B193,-1+SUMPRODUCT(MAX(ROW(E$2:E193)*(E194=E$2:E193)))))</f>
        <v/>
      </c>
      <c r="J194" s="24" t="str">
        <f aca="true">IF(OR(E194="",E194="!!!",F194="NEW"),"",COUNTBLANK(OFFSET(A$1,,,SUMPRODUCT(MAX(ROW(E$2:E194)*(E194=E$2:E194)))))-COUNTBLANK(OFFSET(A$1,,,SUMPRODUCT(MAX(ROW(E$1:E193)*(E2=E$1:E193))))))</f>
        <v/>
      </c>
      <c r="K194" s="24" t="str">
        <f aca="false">IF(OR(E194="",E194="!!!",F194="NEW"),"",INDEX(J$1:J193,SUMPRODUCT(MAX(ROW(E$1:E193)*(E194=E$1:E193)))))</f>
        <v/>
      </c>
      <c r="L194" s="25"/>
    </row>
    <row r="195" customFormat="false" ht="14.25" hidden="false" customHeight="false" outlineLevel="0" collapsed="false">
      <c r="A195" s="0" t="s">
        <v>155</v>
      </c>
      <c r="B195" s="26" t="s">
        <v>82</v>
      </c>
      <c r="C195" s="26" t="s">
        <v>111</v>
      </c>
      <c r="E195" s="20" t="str">
        <f aca="false">IF(D195="?OLD","!!!","")</f>
        <v/>
      </c>
      <c r="F195" s="21" t="str">
        <f aca="false">IF(OR(E195="",E195="!!!"),"",IF(NOT(ISNA(VLOOKUP(E195,E$1:E194,1,FALSE()))),"OLD",IF(AND(E195&lt;&gt;"",E195&lt;&gt;"!!!"),"NEW","")))</f>
        <v/>
      </c>
      <c r="G195" s="22" t="str">
        <f aca="false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aca="false">IF(J195&lt;&gt;1,"",IF(I195="SBJ","CB","?"))</f>
        <v/>
      </c>
      <c r="I195" s="24" t="str">
        <f aca="false">IF(OR(E195="",E195="!!!",F195="NEW"),"",INDEX(B$2:B194,-1+SUMPRODUCT(MAX(ROW(E$2:E194)*(E195=E$2:E194)))))</f>
        <v/>
      </c>
      <c r="J195" s="24" t="str">
        <f aca="true">IF(OR(E195="",E195="!!!",F195="NEW"),"",COUNTBLANK(OFFSET(A$1,,,SUMPRODUCT(MAX(ROW(E$2:E195)*(E195=E$2:E195)))))-COUNTBLANK(OFFSET(A$1,,,SUMPRODUCT(MAX(ROW(E$1:E194)*(E2=E$1:E194))))))</f>
        <v/>
      </c>
      <c r="K195" s="24" t="str">
        <f aca="false">IF(OR(E195="",E195="!!!",F195="NEW"),"",INDEX(J$1:J194,SUMPRODUCT(MAX(ROW(E$1:E194)*(E195=E$1:E194)))))</f>
        <v/>
      </c>
      <c r="L195" s="25"/>
    </row>
    <row r="196" customFormat="false" ht="14.25" hidden="false" customHeight="false" outlineLevel="0" collapsed="false">
      <c r="A196" s="0" t="s">
        <v>86</v>
      </c>
      <c r="E196" s="20" t="str">
        <f aca="false">IF(D196="?OLD","!!!","")</f>
        <v/>
      </c>
      <c r="F196" s="21" t="str">
        <f aca="false">IF(OR(E196="",E196="!!!"),"",IF(NOT(ISNA(VLOOKUP(E196,E$1:E195,1,FALSE()))),"OLD",IF(AND(E196&lt;&gt;"",E196&lt;&gt;"!!!"),"NEW","")))</f>
        <v/>
      </c>
      <c r="G196" s="22" t="str">
        <f aca="false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aca="false">IF(J196&lt;&gt;1,"",IF(I196="SBJ","CB","?"))</f>
        <v/>
      </c>
      <c r="I196" s="24" t="str">
        <f aca="false">IF(OR(E196="",E196="!!!",F196="NEW"),"",INDEX(B$2:B195,-1+SUMPRODUCT(MAX(ROW(E$2:E195)*(E196=E$2:E195)))))</f>
        <v/>
      </c>
      <c r="J196" s="24" t="str">
        <f aca="true">IF(OR(E196="",E196="!!!",F196="NEW"),"",COUNTBLANK(OFFSET(A$1,,,SUMPRODUCT(MAX(ROW(E$2:E196)*(E196=E$2:E196)))))-COUNTBLANK(OFFSET(A$1,,,SUMPRODUCT(MAX(ROW(E$1:E195)*(E2=E$1:E195))))))</f>
        <v/>
      </c>
      <c r="K196" s="24" t="str">
        <f aca="false">IF(OR(E196="",E196="!!!",F196="NEW"),"",INDEX(J$1:J195,SUMPRODUCT(MAX(ROW(E$1:E195)*(E196=E$1:E195)))))</f>
        <v/>
      </c>
      <c r="L196" s="25"/>
    </row>
    <row r="197" customFormat="false" ht="14.25" hidden="false" customHeight="false" outlineLevel="0" collapsed="false">
      <c r="A197" s="0" t="s">
        <v>265</v>
      </c>
      <c r="B197" s="26" t="s">
        <v>147</v>
      </c>
      <c r="C197" s="26" t="s">
        <v>151</v>
      </c>
      <c r="D197" s="26" t="s">
        <v>75</v>
      </c>
      <c r="E197" s="20" t="s">
        <v>266</v>
      </c>
      <c r="F197" s="21" t="s">
        <v>211</v>
      </c>
      <c r="G197" s="22" t="e">
        <f aca="false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#VALUE!</v>
      </c>
      <c r="H197" s="23" t="str">
        <f aca="false">IF(J197&lt;&gt;1,"",IF(I197="SBJ","CB","?"))</f>
        <v/>
      </c>
      <c r="I197" s="24" t="e">
        <f aca="false">IF(OR(E197="",E197="!!!",F197="NEW"),"",INDEX(B$2:B196,-1+SUMPRODUCT(MAX(ROW(E$2:E196)*(E197=E$2:E196)))))</f>
        <v>#VALUE!</v>
      </c>
      <c r="J197" s="24" t="n">
        <f aca="true">IF(OR(E197="",E197="!!!",F197="NEW"),"",COUNTBLANK(OFFSET(A$1,,,SUMPRODUCT(MAX(ROW(E$2:E197)*(E197=E$2:E197)))))-COUNTBLANK(OFFSET(A$1,,,SUMPRODUCT(MAX(ROW(E$1:E196)*(E2=E$1:E196))))))</f>
        <v>0</v>
      </c>
      <c r="K197" s="24" t="e">
        <f aca="false">IF(OR(E197="",E197="!!!",F197="NEW"),"",INDEX(J$1:J196,SUMPRODUCT(MAX(ROW(E$1:E196)*(E197=E$1:E196)))))</f>
        <v>#VALUE!</v>
      </c>
      <c r="L197" s="27" t="s">
        <v>267</v>
      </c>
    </row>
    <row r="198" customFormat="false" ht="14.25" hidden="false" customHeight="false" outlineLevel="0" collapsed="false">
      <c r="A198" s="0" t="s">
        <v>167</v>
      </c>
      <c r="E198" s="20" t="str">
        <f aca="false">IF(D198="?OLD","!!!","")</f>
        <v/>
      </c>
      <c r="F198" s="21" t="str">
        <f aca="false">IF(OR(E198="",E198="!!!"),"",IF(NOT(ISNA(VLOOKUP(E198,E$1:E197,1,FALSE()))),"OLD",IF(AND(E198&lt;&gt;"",E198&lt;&gt;"!!!"),"NEW","")))</f>
        <v/>
      </c>
      <c r="G198" s="22" t="str">
        <f aca="false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aca="false">IF(J198&lt;&gt;1,"",IF(I198="SBJ","CB","?"))</f>
        <v/>
      </c>
      <c r="I198" s="24" t="str">
        <f aca="false">IF(OR(E198="",E198="!!!",F198="NEW"),"",INDEX(B$2:B197,-1+SUMPRODUCT(MAX(ROW(E$2:E197)*(E198=E$2:E197)))))</f>
        <v/>
      </c>
      <c r="J198" s="24" t="str">
        <f aca="true">IF(OR(E198="",E198="!!!",F198="NEW"),"",COUNTBLANK(OFFSET(A$1,,,SUMPRODUCT(MAX(ROW(E$2:E198)*(E198=E$2:E198)))))-COUNTBLANK(OFFSET(A$1,,,SUMPRODUCT(MAX(ROW(E$1:E197)*(E2=E$1:E197))))))</f>
        <v/>
      </c>
      <c r="K198" s="24" t="str">
        <f aca="false">IF(OR(E198="",E198="!!!",F198="NEW"),"",INDEX(J$1:J197,SUMPRODUCT(MAX(ROW(E$1:E197)*(E198=E$1:E197)))))</f>
        <v/>
      </c>
      <c r="L198" s="25"/>
    </row>
    <row r="199" customFormat="false" ht="14.25" hidden="false" customHeight="false" outlineLevel="0" collapsed="false">
      <c r="A199" s="0" t="s">
        <v>268</v>
      </c>
      <c r="E199" s="20" t="str">
        <f aca="false">IF(D199="?OLD","!!!","")</f>
        <v/>
      </c>
      <c r="F199" s="21" t="str">
        <f aca="false">IF(OR(E199="",E199="!!!"),"",IF(NOT(ISNA(VLOOKUP(E199,E$1:E198,1,FALSE()))),"OLD",IF(AND(E199&lt;&gt;"",E199&lt;&gt;"!!!"),"NEW","")))</f>
        <v/>
      </c>
      <c r="G199" s="22" t="str">
        <f aca="false"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aca="false">IF(J199&lt;&gt;1,"",IF(I199="SBJ","CB","?"))</f>
        <v/>
      </c>
      <c r="I199" s="24" t="str">
        <f aca="false">IF(OR(E199="",E199="!!!",F199="NEW"),"",INDEX(B$2:B198,-1+SUMPRODUCT(MAX(ROW(E$2:E198)*(E199=E$2:E198)))))</f>
        <v/>
      </c>
      <c r="J199" s="24" t="str">
        <f aca="true">IF(OR(E199="",E199="!!!",F199="NEW"),"",COUNTBLANK(OFFSET(A$1,,,SUMPRODUCT(MAX(ROW(E$2:E199)*(E199=E$2:E199)))))-COUNTBLANK(OFFSET(A$1,,,SUMPRODUCT(MAX(ROW(E$1:E198)*(E2=E$1:E198))))))</f>
        <v/>
      </c>
      <c r="K199" s="24" t="str">
        <f aca="false">IF(OR(E199="",E199="!!!",F199="NEW"),"",INDEX(J$1:J198,SUMPRODUCT(MAX(ROW(E$1:E198)*(E199=E$1:E198)))))</f>
        <v/>
      </c>
      <c r="L199" s="25"/>
    </row>
    <row r="200" customFormat="false" ht="14.25" hidden="false" customHeight="false" outlineLevel="0" collapsed="false">
      <c r="A200" s="0" t="s">
        <v>269</v>
      </c>
      <c r="E200" s="20" t="str">
        <f aca="false">IF(D200="?OLD","!!!","")</f>
        <v/>
      </c>
      <c r="F200" s="21" t="str">
        <f aca="false">IF(OR(E200="",E200="!!!"),"",IF(NOT(ISNA(VLOOKUP(E200,E$1:E199,1,FALSE()))),"OLD",IF(AND(E200&lt;&gt;"",E200&lt;&gt;"!!!"),"NEW","")))</f>
        <v/>
      </c>
      <c r="G200" s="22" t="str">
        <f aca="false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aca="false">IF(J200&lt;&gt;1,"",IF(I200="SBJ","CB","?"))</f>
        <v/>
      </c>
      <c r="I200" s="24" t="str">
        <f aca="false">IF(OR(E200="",E200="!!!",F200="NEW"),"",INDEX(B$2:B199,-1+SUMPRODUCT(MAX(ROW(E$2:E199)*(E200=E$2:E199)))))</f>
        <v/>
      </c>
      <c r="J200" s="24" t="str">
        <f aca="true">IF(OR(E200="",E200="!!!",F200="NEW"),"",COUNTBLANK(OFFSET(A$1,,,SUMPRODUCT(MAX(ROW(E$2:E200)*(E200=E$2:E200)))))-COUNTBLANK(OFFSET(A$1,,,SUMPRODUCT(MAX(ROW(E$1:E199)*(E2=E$1:E199))))))</f>
        <v/>
      </c>
      <c r="K200" s="24" t="str">
        <f aca="false">IF(OR(E200="",E200="!!!",F200="NEW"),"",INDEX(J$1:J199,SUMPRODUCT(MAX(ROW(E$1:E199)*(E200=E$1:E199)))))</f>
        <v/>
      </c>
      <c r="L200" s="25"/>
    </row>
    <row r="201" customFormat="false" ht="14.25" hidden="false" customHeight="false" outlineLevel="0" collapsed="false">
      <c r="A201" s="0" t="s">
        <v>270</v>
      </c>
      <c r="B201" s="26" t="s">
        <v>96</v>
      </c>
      <c r="C201" s="26" t="s">
        <v>105</v>
      </c>
      <c r="E201" s="20"/>
      <c r="F201" s="21"/>
      <c r="G201" s="22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aca="false">IF(J201&lt;&gt;1,"",IF(I201="SBJ","CB","?"))</f>
        <v/>
      </c>
      <c r="I201" s="24" t="str">
        <f aca="false">IF(OR(E201="",E201="!!!",F201="NEW"),"",INDEX(B$2:B200,-1+SUMPRODUCT(MAX(ROW(E$2:E200)*(E201=E$2:E200)))))</f>
        <v/>
      </c>
      <c r="J201" s="24" t="str">
        <f aca="true">IF(OR(E201="",E201="!!!",F201="NEW"),"",COUNTBLANK(OFFSET(A$1,,,SUMPRODUCT(MAX(ROW(E$2:E201)*(E201=E$2:E201)))))-COUNTBLANK(OFFSET(A$1,,,SUMPRODUCT(MAX(ROW(E$1:E200)*(E2=E$1:E200))))))</f>
        <v/>
      </c>
      <c r="K201" s="24" t="str">
        <f aca="false">IF(OR(E201="",E201="!!!",F201="NEW"),"",INDEX(J$1:J200,SUMPRODUCT(MAX(ROW(E$1:E200)*(E201=E$1:E200)))))</f>
        <v/>
      </c>
      <c r="L201" s="25"/>
    </row>
    <row r="202" customFormat="false" ht="14.25" hidden="false" customHeight="false" outlineLevel="0" collapsed="false">
      <c r="A202" s="0" t="s">
        <v>142</v>
      </c>
      <c r="E202" s="20" t="str">
        <f aca="false">IF(D202="?OLD","!!!","")</f>
        <v/>
      </c>
      <c r="F202" s="21" t="str">
        <f aca="false">IF(OR(E202="",E202="!!!"),"",IF(NOT(ISNA(VLOOKUP(E202,E$1:E201,1,FALSE()))),"OLD",IF(AND(E202&lt;&gt;"",E202&lt;&gt;"!!!"),"NEW","")))</f>
        <v/>
      </c>
      <c r="G202" s="22" t="str">
        <f aca="false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aca="false">IF(J202&lt;&gt;1,"",IF(I202="SBJ","CB","?"))</f>
        <v/>
      </c>
      <c r="I202" s="24" t="str">
        <f aca="false">IF(OR(E202="",E202="!!!",F202="NEW"),"",INDEX(B$2:B201,-1+SUMPRODUCT(MAX(ROW(E$2:E201)*(E202=E$2:E201)))))</f>
        <v/>
      </c>
      <c r="J202" s="24" t="str">
        <f aca="true">IF(OR(E202="",E202="!!!",F202="NEW"),"",COUNTBLANK(OFFSET(A$1,,,SUMPRODUCT(MAX(ROW(E$2:E202)*(E202=E$2:E202)))))-COUNTBLANK(OFFSET(A$1,,,SUMPRODUCT(MAX(ROW(E$1:E201)*(E2=E$1:E201))))))</f>
        <v/>
      </c>
      <c r="K202" s="24" t="str">
        <f aca="false">IF(OR(E202="",E202="!!!",F202="NEW"),"",INDEX(J$1:J201,SUMPRODUCT(MAX(ROW(E$1:E201)*(E202=E$1:E201)))))</f>
        <v/>
      </c>
      <c r="L202" s="25"/>
    </row>
    <row r="203" customFormat="false" ht="14.25" hidden="false" customHeight="false" outlineLevel="0" collapsed="false">
      <c r="A203" s="0" t="s">
        <v>143</v>
      </c>
      <c r="E203" s="20" t="str">
        <f aca="false">IF(D203="?OLD","!!!","")</f>
        <v/>
      </c>
      <c r="F203" s="21" t="str">
        <f aca="false">IF(OR(E203="",E203="!!!"),"",IF(NOT(ISNA(VLOOKUP(E203,E$1:E202,1,FALSE()))),"OLD",IF(AND(E203&lt;&gt;"",E203&lt;&gt;"!!!"),"NEW","")))</f>
        <v/>
      </c>
      <c r="G203" s="22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aca="false">IF(J203&lt;&gt;1,"",IF(I203="SBJ","CB","?"))</f>
        <v/>
      </c>
      <c r="I203" s="24" t="str">
        <f aca="false">IF(OR(E203="",E203="!!!",F203="NEW"),"",INDEX(B$2:B202,-1+SUMPRODUCT(MAX(ROW(E$2:E202)*(E203=E$2:E202)))))</f>
        <v/>
      </c>
      <c r="J203" s="24" t="str">
        <f aca="true">IF(OR(E203="",E203="!!!",F203="NEW"),"",COUNTBLANK(OFFSET(A$1,,,SUMPRODUCT(MAX(ROW(E$2:E203)*(E203=E$2:E203)))))-COUNTBLANK(OFFSET(A$1,,,SUMPRODUCT(MAX(ROW(E$1:E202)*(E2=E$1:E202))))))</f>
        <v/>
      </c>
      <c r="K203" s="24" t="str">
        <f aca="false">IF(OR(E203="",E203="!!!",F203="NEW"),"",INDEX(J$1:J202,SUMPRODUCT(MAX(ROW(E$1:E202)*(E203=E$1:E202)))))</f>
        <v/>
      </c>
      <c r="L203" s="25"/>
    </row>
    <row r="204" customFormat="false" ht="14.25" hidden="false" customHeight="false" outlineLevel="0" collapsed="false">
      <c r="A204" s="0" t="s">
        <v>138</v>
      </c>
      <c r="B204" s="26" t="s">
        <v>147</v>
      </c>
      <c r="C204" s="26" t="s">
        <v>105</v>
      </c>
      <c r="E204" s="20"/>
      <c r="F204" s="21"/>
      <c r="G204" s="22" t="str">
        <f aca="false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aca="false">IF(J204&lt;&gt;1,"",IF(I204="SBJ","CB","?"))</f>
        <v/>
      </c>
      <c r="I204" s="24" t="str">
        <f aca="false">IF(OR(E204="",E204="!!!",F204="NEW"),"",INDEX(B$2:B203,-1+SUMPRODUCT(MAX(ROW(E$2:E203)*(E204=E$2:E203)))))</f>
        <v/>
      </c>
      <c r="J204" s="24" t="str">
        <f aca="true">IF(OR(E204="",E204="!!!",F204="NEW"),"",COUNTBLANK(OFFSET(A$1,,,SUMPRODUCT(MAX(ROW(E$2:E204)*(E204=E$2:E204)))))-COUNTBLANK(OFFSET(A$1,,,SUMPRODUCT(MAX(ROW(E$1:E203)*(E2=E$1:E203))))))</f>
        <v/>
      </c>
      <c r="K204" s="24" t="str">
        <f aca="false">IF(OR(E204="",E204="!!!",F204="NEW"),"",INDEX(J$1:J203,SUMPRODUCT(MAX(ROW(E$1:E203)*(E204=E$1:E203)))))</f>
        <v/>
      </c>
      <c r="L204" s="25"/>
    </row>
    <row r="205" customFormat="false" ht="14.25" hidden="false" customHeight="false" outlineLevel="0" collapsed="false">
      <c r="A205" s="0" t="s">
        <v>101</v>
      </c>
      <c r="E205" s="20" t="str">
        <f aca="false">IF(D205="?OLD","!!!","")</f>
        <v/>
      </c>
      <c r="F205" s="21" t="str">
        <f aca="false">IF(OR(E205="",E205="!!!"),"",IF(NOT(ISNA(VLOOKUP(E205,E$1:E204,1,FALSE()))),"OLD",IF(AND(E205&lt;&gt;"",E205&lt;&gt;"!!!"),"NEW","")))</f>
        <v/>
      </c>
      <c r="G205" s="22" t="str">
        <f aca="false"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aca="false">IF(J205&lt;&gt;1,"",IF(I205="SBJ","CB","?"))</f>
        <v/>
      </c>
      <c r="I205" s="24" t="str">
        <f aca="false">IF(OR(E205="",E205="!!!",F205="NEW"),"",INDEX(B$2:B204,-1+SUMPRODUCT(MAX(ROW(E$2:E204)*(E205=E$2:E204)))))</f>
        <v/>
      </c>
      <c r="J205" s="24" t="str">
        <f aca="true">IF(OR(E205="",E205="!!!",F205="NEW"),"",COUNTBLANK(OFFSET(A$1,,,SUMPRODUCT(MAX(ROW(E$2:E205)*(E205=E$2:E205)))))-COUNTBLANK(OFFSET(A$1,,,SUMPRODUCT(MAX(ROW(E$1:E204)*(E2=E$1:E204))))))</f>
        <v/>
      </c>
      <c r="K205" s="24" t="str">
        <f aca="false">IF(OR(E205="",E205="!!!",F205="NEW"),"",INDEX(J$1:J204,SUMPRODUCT(MAX(ROW(E$1:E204)*(E205=E$1:E204)))))</f>
        <v/>
      </c>
      <c r="L205" s="25"/>
    </row>
    <row r="206" customFormat="false" ht="14.25" hidden="false" customHeight="false" outlineLevel="0" collapsed="false">
      <c r="A206" s="0" t="s">
        <v>271</v>
      </c>
      <c r="E206" s="20" t="str">
        <f aca="false">IF(D206="?OLD","!!!","")</f>
        <v/>
      </c>
      <c r="F206" s="21" t="str">
        <f aca="false">IF(OR(E206="",E206="!!!"),"",IF(NOT(ISNA(VLOOKUP(E206,E$1:E205,1,FALSE()))),"OLD",IF(AND(E206&lt;&gt;"",E206&lt;&gt;"!!!"),"NEW","")))</f>
        <v/>
      </c>
      <c r="G206" s="22" t="str">
        <f aca="false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aca="false">IF(J206&lt;&gt;1,"",IF(I206="SBJ","CB","?"))</f>
        <v/>
      </c>
      <c r="I206" s="24" t="str">
        <f aca="false">IF(OR(E206="",E206="!!!",F206="NEW"),"",INDEX(B$2:B205,-1+SUMPRODUCT(MAX(ROW(E$2:E205)*(E206=E$2:E205)))))</f>
        <v/>
      </c>
      <c r="J206" s="24" t="str">
        <f aca="true">IF(OR(E206="",E206="!!!",F206="NEW"),"",COUNTBLANK(OFFSET(A$1,,,SUMPRODUCT(MAX(ROW(E$2:E206)*(E206=E$2:E206)))))-COUNTBLANK(OFFSET(A$1,,,SUMPRODUCT(MAX(ROW(E$1:E205)*(E2=E$1:E205))))))</f>
        <v/>
      </c>
      <c r="K206" s="24" t="str">
        <f aca="false">IF(OR(E206="",E206="!!!",F206="NEW"),"",INDEX(J$1:J205,SUMPRODUCT(MAX(ROW(E$1:E205)*(E206=E$1:E205)))))</f>
        <v/>
      </c>
      <c r="L206" s="25"/>
    </row>
    <row r="207" customFormat="false" ht="14.25" hidden="false" customHeight="false" outlineLevel="0" collapsed="false">
      <c r="A207" s="0" t="s">
        <v>160</v>
      </c>
      <c r="B207" s="26" t="s">
        <v>104</v>
      </c>
      <c r="C207" s="26" t="s">
        <v>209</v>
      </c>
      <c r="D207" s="26" t="s">
        <v>75</v>
      </c>
      <c r="E207" s="20" t="s">
        <v>272</v>
      </c>
      <c r="F207" s="21" t="s">
        <v>273</v>
      </c>
      <c r="G207" s="22" t="e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#VALUE!</v>
      </c>
      <c r="H207" s="23" t="str">
        <f aca="false">IF(J207&lt;&gt;1,"",IF(I207="SBJ","CB","?"))</f>
        <v/>
      </c>
      <c r="I207" s="24" t="e">
        <f aca="false">IF(OR(E207="",E207="!!!",F207="NEW"),"",INDEX(B$2:B206,-1+SUMPRODUCT(MAX(ROW(E$2:E206)*(E207=E$2:E206)))))</f>
        <v>#VALUE!</v>
      </c>
      <c r="J207" s="24" t="n">
        <f aca="true">IF(OR(E207="",E207="!!!",F207="NEW"),"",COUNTBLANK(OFFSET(A$1,,,SUMPRODUCT(MAX(ROW(E$2:E207)*(E207=E$2:E207)))))-COUNTBLANK(OFFSET(A$1,,,SUMPRODUCT(MAX(ROW(E$1:E206)*(E2=E$1:E206))))))</f>
        <v>0</v>
      </c>
      <c r="K207" s="24" t="e">
        <f aca="false">IF(OR(E207="",E207="!!!",F207="NEW"),"",INDEX(J$1:J206,SUMPRODUCT(MAX(ROW(E$1:E206)*(E207=E$1:E206)))))</f>
        <v>#VALUE!</v>
      </c>
      <c r="L207" s="25"/>
    </row>
    <row r="208" customFormat="false" ht="14.25" hidden="false" customHeight="false" outlineLevel="0" collapsed="false">
      <c r="A208" s="0" t="s">
        <v>78</v>
      </c>
      <c r="E208" s="20" t="str">
        <f aca="false">IF(D208="?OLD","!!!","")</f>
        <v/>
      </c>
      <c r="F208" s="21" t="str">
        <f aca="false">IF(OR(E208="",E208="!!!"),"",IF(NOT(ISNA(VLOOKUP(E208,E$1:E207,1,FALSE()))),"OLD",IF(AND(E208&lt;&gt;"",E208&lt;&gt;"!!!"),"NEW","")))</f>
        <v/>
      </c>
      <c r="G208" s="22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aca="false">IF(J208&lt;&gt;1,"",IF(I208="SBJ","CB","?"))</f>
        <v/>
      </c>
      <c r="I208" s="24" t="str">
        <f aca="false">IF(OR(E208="",E208="!!!",F208="NEW"),"",INDEX(B$2:B207,-1+SUMPRODUCT(MAX(ROW(E$2:E207)*(E208=E$2:E207)))))</f>
        <v/>
      </c>
      <c r="J208" s="24" t="str">
        <f aca="true">IF(OR(E208="",E208="!!!",F208="NEW"),"",COUNTBLANK(OFFSET(A$1,,,SUMPRODUCT(MAX(ROW(E$2:E208)*(E208=E$2:E208)))))-COUNTBLANK(OFFSET(A$1,,,SUMPRODUCT(MAX(ROW(E$1:E207)*(E2=E$1:E207))))))</f>
        <v/>
      </c>
      <c r="K208" s="24" t="str">
        <f aca="false">IF(OR(E208="",E208="!!!",F208="NEW"),"",INDEX(J$1:J207,SUMPRODUCT(MAX(ROW(E$1:E207)*(E208=E$1:E207)))))</f>
        <v/>
      </c>
      <c r="L208" s="25"/>
    </row>
    <row r="209" customFormat="false" ht="14.25" hidden="false" customHeight="false" outlineLevel="0" collapsed="false">
      <c r="A209" s="0" t="s">
        <v>274</v>
      </c>
      <c r="E209" s="20" t="str">
        <f aca="false">IF(D209="?OLD","!!!","")</f>
        <v/>
      </c>
      <c r="F209" s="21" t="str">
        <f aca="false">IF(OR(E209="",E209="!!!"),"",IF(NOT(ISNA(VLOOKUP(E209,E$1:E208,1,FALSE()))),"OLD",IF(AND(E209&lt;&gt;"",E209&lt;&gt;"!!!"),"NEW","")))</f>
        <v/>
      </c>
      <c r="G209" s="22" t="str">
        <f aca="false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aca="false">IF(J209&lt;&gt;1,"",IF(I209="SBJ","CB","?"))</f>
        <v/>
      </c>
      <c r="I209" s="24" t="str">
        <f aca="false">IF(OR(E209="",E209="!!!",F209="NEW"),"",INDEX(B$2:B208,-1+SUMPRODUCT(MAX(ROW(E$2:E208)*(E209=E$2:E208)))))</f>
        <v/>
      </c>
      <c r="J209" s="24" t="str">
        <f aca="true">IF(OR(E209="",E209="!!!",F209="NEW"),"",COUNTBLANK(OFFSET(A$1,,,SUMPRODUCT(MAX(ROW(E$2:E209)*(E209=E$2:E209)))))-COUNTBLANK(OFFSET(A$1,,,SUMPRODUCT(MAX(ROW(E$1:E208)*(E2=E$1:E208))))))</f>
        <v/>
      </c>
      <c r="K209" s="24" t="str">
        <f aca="false">IF(OR(E209="",E209="!!!",F209="NEW"),"",INDEX(J$1:J208,SUMPRODUCT(MAX(ROW(E$1:E208)*(E209=E$1:E208)))))</f>
        <v/>
      </c>
      <c r="L209" s="25"/>
    </row>
    <row r="210" customFormat="false" ht="14.25" hidden="false" customHeight="false" outlineLevel="0" collapsed="false">
      <c r="A210" s="0" t="s">
        <v>116</v>
      </c>
      <c r="E210" s="20" t="str">
        <f aca="false">IF(D210="?OLD","!!!","")</f>
        <v/>
      </c>
      <c r="F210" s="21" t="str">
        <f aca="false">IF(OR(E210="",E210="!!!"),"",IF(NOT(ISNA(VLOOKUP(E210,E$1:E209,1,FALSE()))),"OLD",IF(AND(E210&lt;&gt;"",E210&lt;&gt;"!!!"),"NEW","")))</f>
        <v/>
      </c>
      <c r="G210" s="22" t="str">
        <f aca="false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aca="false">IF(J210&lt;&gt;1,"",IF(I210="SBJ","CB","?"))</f>
        <v/>
      </c>
      <c r="I210" s="24" t="str">
        <f aca="false">IF(OR(E210="",E210="!!!",F210="NEW"),"",INDEX(B$2:B209,-1+SUMPRODUCT(MAX(ROW(E$2:E209)*(E210=E$2:E209)))))</f>
        <v/>
      </c>
      <c r="J210" s="24" t="str">
        <f aca="true">IF(OR(E210="",E210="!!!",F210="NEW"),"",COUNTBLANK(OFFSET(A$1,,,SUMPRODUCT(MAX(ROW(E$2:E210)*(E210=E$2:E210)))))-COUNTBLANK(OFFSET(A$1,,,SUMPRODUCT(MAX(ROW(E$1:E209)*(E2=E$1:E209))))))</f>
        <v/>
      </c>
      <c r="K210" s="24" t="str">
        <f aca="false">IF(OR(E210="",E210="!!!",F210="NEW"),"",INDEX(J$1:J209,SUMPRODUCT(MAX(ROW(E$1:E209)*(E210=E$1:E209)))))</f>
        <v/>
      </c>
      <c r="L210" s="25"/>
    </row>
    <row r="211" customFormat="false" ht="14.25" hidden="false" customHeight="false" outlineLevel="0" collapsed="false">
      <c r="A211" s="0" t="s">
        <v>275</v>
      </c>
      <c r="B211" s="26" t="s">
        <v>131</v>
      </c>
      <c r="C211" s="26" t="s">
        <v>111</v>
      </c>
      <c r="E211" s="20" t="str">
        <f aca="false">IF(D211="?OLD","!!!","")</f>
        <v/>
      </c>
      <c r="F211" s="21" t="str">
        <f aca="false">IF(OR(E211="",E211="!!!"),"",IF(NOT(ISNA(VLOOKUP(E211,E$1:E210,1,FALSE()))),"OLD",IF(AND(E211&lt;&gt;"",E211&lt;&gt;"!!!"),"NEW","")))</f>
        <v/>
      </c>
      <c r="G211" s="22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aca="false">IF(J211&lt;&gt;1,"",IF(I211="SBJ","CB","?"))</f>
        <v/>
      </c>
      <c r="I211" s="24" t="str">
        <f aca="false">IF(OR(E211="",E211="!!!",F211="NEW"),"",INDEX(B$2:B210,-1+SUMPRODUCT(MAX(ROW(E$2:E210)*(E211=E$2:E210)))))</f>
        <v/>
      </c>
      <c r="J211" s="24" t="str">
        <f aca="true">IF(OR(E211="",E211="!!!",F211="NEW"),"",COUNTBLANK(OFFSET(A$1,,,SUMPRODUCT(MAX(ROW(E$2:E211)*(E211=E$2:E211)))))-COUNTBLANK(OFFSET(A$1,,,SUMPRODUCT(MAX(ROW(E$1:E210)*(E2=E$1:E210))))))</f>
        <v/>
      </c>
      <c r="K211" s="24" t="str">
        <f aca="false">IF(OR(E211="",E211="!!!",F211="NEW"),"",INDEX(J$1:J210,SUMPRODUCT(MAX(ROW(E$1:E210)*(E211=E$1:E210)))))</f>
        <v/>
      </c>
      <c r="L211" s="25"/>
    </row>
    <row r="212" customFormat="false" ht="14.25" hidden="false" customHeight="false" outlineLevel="0" collapsed="false">
      <c r="A212" s="0" t="s">
        <v>86</v>
      </c>
      <c r="E212" s="20" t="str">
        <f aca="false">IF(D212="?OLD","!!!","")</f>
        <v/>
      </c>
      <c r="F212" s="21" t="str">
        <f aca="false">IF(OR(E212="",E212="!!!"),"",IF(NOT(ISNA(VLOOKUP(E212,E$1:E211,1,FALSE()))),"OLD",IF(AND(E212&lt;&gt;"",E212&lt;&gt;"!!!"),"NEW","")))</f>
        <v/>
      </c>
      <c r="G212" s="22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aca="false">IF(J212&lt;&gt;1,"",IF(I212="SBJ","CB","?"))</f>
        <v/>
      </c>
      <c r="I212" s="24" t="str">
        <f aca="false">IF(OR(E212="",E212="!!!",F212="NEW"),"",INDEX(B$2:B211,-1+SUMPRODUCT(MAX(ROW(E$2:E211)*(E212=E$2:E211)))))</f>
        <v/>
      </c>
      <c r="J212" s="24" t="str">
        <f aca="true">IF(OR(E212="",E212="!!!",F212="NEW"),"",COUNTBLANK(OFFSET(A$1,,,SUMPRODUCT(MAX(ROW(E$2:E212)*(E212=E$2:E212)))))-COUNTBLANK(OFFSET(A$1,,,SUMPRODUCT(MAX(ROW(E$1:E211)*(E2=E$1:E211))))))</f>
        <v/>
      </c>
      <c r="K212" s="24" t="str">
        <f aca="false">IF(OR(E212="",E212="!!!",F212="NEW"),"",INDEX(J$1:J211,SUMPRODUCT(MAX(ROW(E$1:E211)*(E212=E$1:E211)))))</f>
        <v/>
      </c>
      <c r="L212" s="25"/>
    </row>
    <row r="213" customFormat="false" ht="14.25" hidden="false" customHeight="false" outlineLevel="0" collapsed="false">
      <c r="A213" s="0" t="s">
        <v>148</v>
      </c>
      <c r="E213" s="20" t="s">
        <v>276</v>
      </c>
      <c r="F213" s="21" t="s">
        <v>211</v>
      </c>
      <c r="G213" s="22" t="e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#VALUE!</v>
      </c>
      <c r="H213" s="23" t="str">
        <f aca="false">IF(J213&lt;&gt;1,"",IF(I213="SBJ","CB","?"))</f>
        <v/>
      </c>
      <c r="I213" s="24" t="e">
        <f aca="false">IF(OR(E213="",E213="!!!",F213="NEW"),"",INDEX(B$2:B212,-1+SUMPRODUCT(MAX(ROW(E$2:E212)*(E213=E$2:E212)))))</f>
        <v>#VALUE!</v>
      </c>
      <c r="J213" s="24" t="n">
        <f aca="true">IF(OR(E213="",E213="!!!",F213="NEW"),"",COUNTBLANK(OFFSET(A$1,,,SUMPRODUCT(MAX(ROW(E$2:E213)*(E213=E$2:E213)))))-COUNTBLANK(OFFSET(A$1,,,SUMPRODUCT(MAX(ROW(E$1:E212)*(E2=E$1:E212))))))</f>
        <v>0</v>
      </c>
      <c r="K213" s="24" t="e">
        <f aca="false">IF(OR(E213="",E213="!!!",F213="NEW"),"",INDEX(J$1:J212,SUMPRODUCT(MAX(ROW(E$1:E212)*(E213=E$1:E212)))))</f>
        <v>#VALUE!</v>
      </c>
      <c r="L213" s="27" t="s">
        <v>277</v>
      </c>
    </row>
    <row r="214" customFormat="false" ht="14.25" hidden="false" customHeight="false" outlineLevel="0" collapsed="false">
      <c r="A214" s="0" t="s">
        <v>167</v>
      </c>
      <c r="E214" s="20" t="str">
        <f aca="false">IF(D214="?OLD","!!!","")</f>
        <v/>
      </c>
      <c r="F214" s="21" t="str">
        <f aca="false">IF(OR(E214="",E214="!!!"),"",IF(NOT(ISNA(VLOOKUP(E214,E$1:E213,1,FALSE()))),"OLD",IF(AND(E214&lt;&gt;"",E214&lt;&gt;"!!!"),"NEW","")))</f>
        <v/>
      </c>
      <c r="G214" s="22" t="str">
        <f aca="false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aca="false">IF(J214&lt;&gt;1,"",IF(I214="SBJ","CB","?"))</f>
        <v/>
      </c>
      <c r="I214" s="24" t="str">
        <f aca="false">IF(OR(E214="",E214="!!!",F214="NEW"),"",INDEX(B$2:B213,-1+SUMPRODUCT(MAX(ROW(E$2:E213)*(E214=E$2:E213)))))</f>
        <v/>
      </c>
      <c r="J214" s="24" t="str">
        <f aca="true">IF(OR(E214="",E214="!!!",F214="NEW"),"",COUNTBLANK(OFFSET(A$1,,,SUMPRODUCT(MAX(ROW(E$2:E214)*(E214=E$2:E214)))))-COUNTBLANK(OFFSET(A$1,,,SUMPRODUCT(MAX(ROW(E$1:E213)*(E2=E$1:E213))))))</f>
        <v/>
      </c>
      <c r="K214" s="24" t="str">
        <f aca="false">IF(OR(E214="",E214="!!!",F214="NEW"),"",INDEX(J$1:J213,SUMPRODUCT(MAX(ROW(E$1:E213)*(E214=E$1:E213)))))</f>
        <v/>
      </c>
      <c r="L214" s="25"/>
    </row>
    <row r="215" customFormat="false" ht="14.25" hidden="false" customHeight="false" outlineLevel="0" collapsed="false">
      <c r="A215" s="0" t="s">
        <v>278</v>
      </c>
      <c r="E215" s="20" t="str">
        <f aca="false">IF(D215="?OLD","!!!","")</f>
        <v/>
      </c>
      <c r="F215" s="21" t="str">
        <f aca="false">IF(OR(E215="",E215="!!!"),"",IF(NOT(ISNA(VLOOKUP(E215,E$1:E214,1,FALSE()))),"OLD",IF(AND(E215&lt;&gt;"",E215&lt;&gt;"!!!"),"NEW","")))</f>
        <v/>
      </c>
      <c r="G215" s="22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aca="false">IF(J215&lt;&gt;1,"",IF(I215="SBJ","CB","?"))</f>
        <v/>
      </c>
      <c r="I215" s="24" t="str">
        <f aca="false">IF(OR(E215="",E215="!!!",F215="NEW"),"",INDEX(B$2:B214,-1+SUMPRODUCT(MAX(ROW(E$2:E214)*(E215=E$2:E214)))))</f>
        <v/>
      </c>
      <c r="J215" s="24" t="str">
        <f aca="true">IF(OR(E215="",E215="!!!",F215="NEW"),"",COUNTBLANK(OFFSET(A$1,,,SUMPRODUCT(MAX(ROW(E$2:E215)*(E215=E$2:E215)))))-COUNTBLANK(OFFSET(A$1,,,SUMPRODUCT(MAX(ROW(E$1:E214)*(E2=E$1:E214))))))</f>
        <v/>
      </c>
      <c r="K215" s="24" t="str">
        <f aca="false">IF(OR(E215="",E215="!!!",F215="NEW"),"",INDEX(J$1:J214,SUMPRODUCT(MAX(ROW(E$1:E214)*(E215=E$1:E214)))))</f>
        <v/>
      </c>
      <c r="L215" s="25"/>
    </row>
    <row r="216" customFormat="false" ht="14.25" hidden="false" customHeight="false" outlineLevel="0" collapsed="false">
      <c r="A216" s="0" t="s">
        <v>279</v>
      </c>
      <c r="B216" s="26" t="s">
        <v>73</v>
      </c>
      <c r="C216" s="26" t="s">
        <v>105</v>
      </c>
      <c r="E216" s="20"/>
      <c r="F216" s="21" t="str">
        <f aca="false">IF(OR(E216="",E216="!!!"),"",IF(NOT(ISNA(VLOOKUP(E216,E$1:E215,1,FALSE()))),"OLD",IF(AND(E216&lt;&gt;"",E216&lt;&gt;"!!!"),"NEW","")))</f>
        <v/>
      </c>
      <c r="G216" s="22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aca="false">IF(J216&lt;&gt;1,"",IF(I216="SBJ","CB","?"))</f>
        <v/>
      </c>
      <c r="I216" s="24" t="str">
        <f aca="false">IF(OR(E216="",E216="!!!",F216="NEW"),"",INDEX(B$2:B215,-1+SUMPRODUCT(MAX(ROW(E$2:E215)*(E216=E$2:E215)))))</f>
        <v/>
      </c>
      <c r="J216" s="24" t="str">
        <f aca="true">IF(OR(E216="",E216="!!!",F216="NEW"),"",COUNTBLANK(OFFSET(A$1,,,SUMPRODUCT(MAX(ROW(E$2:E216)*(E216=E$2:E216)))))-COUNTBLANK(OFFSET(A$1,,,SUMPRODUCT(MAX(ROW(E$1:E215)*(E2=E$1:E215))))))</f>
        <v/>
      </c>
      <c r="K216" s="24" t="str">
        <f aca="false">IF(OR(E216="",E216="!!!",F216="NEW"),"",INDEX(J$1:J215,SUMPRODUCT(MAX(ROW(E$1:E215)*(E216=E$1:E215)))))</f>
        <v/>
      </c>
      <c r="L216" s="25"/>
    </row>
    <row r="217" customFormat="false" ht="14.25" hidden="false" customHeight="false" outlineLevel="0" collapsed="false">
      <c r="A217" s="0" t="s">
        <v>86</v>
      </c>
      <c r="E217" s="20" t="str">
        <f aca="false">IF(D217="?OLD","!!!","")</f>
        <v/>
      </c>
      <c r="F217" s="21" t="str">
        <f aca="false">IF(OR(E217="",E217="!!!"),"",IF(NOT(ISNA(VLOOKUP(E217,E$1:E216,1,FALSE()))),"OLD",IF(AND(E217&lt;&gt;"",E217&lt;&gt;"!!!"),"NEW","")))</f>
        <v/>
      </c>
      <c r="G217" s="22" t="str">
        <f aca="false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aca="false">IF(J217&lt;&gt;1,"",IF(I217="SBJ","CB","?"))</f>
        <v/>
      </c>
      <c r="I217" s="24" t="str">
        <f aca="false">IF(OR(E217="",E217="!!!",F217="NEW"),"",INDEX(B$2:B216,-1+SUMPRODUCT(MAX(ROW(E$2:E216)*(E217=E$2:E216)))))</f>
        <v/>
      </c>
      <c r="J217" s="24" t="str">
        <f aca="true">IF(OR(E217="",E217="!!!",F217="NEW"),"",COUNTBLANK(OFFSET(A$1,,,SUMPRODUCT(MAX(ROW(E$2:E217)*(E217=E$2:E217)))))-COUNTBLANK(OFFSET(A$1,,,SUMPRODUCT(MAX(ROW(E$1:E216)*(E2=E$1:E216))))))</f>
        <v/>
      </c>
      <c r="K217" s="24" t="str">
        <f aca="false">IF(OR(E217="",E217="!!!",F217="NEW"),"",INDEX(J$1:J216,SUMPRODUCT(MAX(ROW(E$1:E216)*(E217=E$1:E216)))))</f>
        <v/>
      </c>
      <c r="L217" s="25"/>
    </row>
    <row r="218" customFormat="false" ht="14.25" hidden="false" customHeight="false" outlineLevel="0" collapsed="false">
      <c r="A218" s="0" t="s">
        <v>94</v>
      </c>
      <c r="E218" s="20" t="str">
        <f aca="false">IF(D218="?OLD","!!!","")</f>
        <v/>
      </c>
      <c r="F218" s="21" t="str">
        <f aca="false">IF(OR(E218="",E218="!!!"),"",IF(NOT(ISNA(VLOOKUP(E218,E$1:E217,1,FALSE()))),"OLD",IF(AND(E218&lt;&gt;"",E218&lt;&gt;"!!!"),"NEW","")))</f>
        <v/>
      </c>
      <c r="G218" s="22" t="str">
        <f aca="false"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aca="false">IF(J218&lt;&gt;1,"",IF(I218="SBJ","CB","?"))</f>
        <v/>
      </c>
      <c r="I218" s="24" t="str">
        <f aca="false">IF(OR(E218="",E218="!!!",F218="NEW"),"",INDEX(B$2:B217,-1+SUMPRODUCT(MAX(ROW(E$2:E217)*(E218=E$2:E217)))))</f>
        <v/>
      </c>
      <c r="J218" s="24" t="str">
        <f aca="true">IF(OR(E218="",E218="!!!",F218="NEW"),"",COUNTBLANK(OFFSET(A$1,,,SUMPRODUCT(MAX(ROW(E$2:E218)*(E218=E$2:E218)))))-COUNTBLANK(OFFSET(A$1,,,SUMPRODUCT(MAX(ROW(E$1:E217)*(E2=E$1:E217))))))</f>
        <v/>
      </c>
      <c r="K218" s="24" t="str">
        <f aca="false">IF(OR(E218="",E218="!!!",F218="NEW"),"",INDEX(J$1:J217,SUMPRODUCT(MAX(ROW(E$1:E217)*(E218=E$1:E217)))))</f>
        <v/>
      </c>
      <c r="L218" s="25"/>
    </row>
    <row r="219" customFormat="false" ht="14.25" hidden="false" customHeight="false" outlineLevel="0" collapsed="false">
      <c r="A219" s="0" t="s">
        <v>280</v>
      </c>
      <c r="E219" s="20" t="str">
        <f aca="false">IF(D219="?OLD","!!!","")</f>
        <v/>
      </c>
      <c r="F219" s="21" t="str">
        <f aca="false">IF(OR(E219="",E219="!!!"),"",IF(NOT(ISNA(VLOOKUP(E219,E$1:E218,1,FALSE()))),"OLD",IF(AND(E219&lt;&gt;"",E219&lt;&gt;"!!!"),"NEW","")))</f>
        <v/>
      </c>
      <c r="G219" s="22" t="str">
        <f aca="false"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aca="false">IF(J219&lt;&gt;1,"",IF(I219="SBJ","CB","?"))</f>
        <v/>
      </c>
      <c r="I219" s="24" t="str">
        <f aca="false">IF(OR(E219="",E219="!!!",F219="NEW"),"",INDEX(B$2:B218,-1+SUMPRODUCT(MAX(ROW(E$2:E218)*(E219=E$2:E218)))))</f>
        <v/>
      </c>
      <c r="J219" s="24" t="str">
        <f aca="true">IF(OR(E219="",E219="!!!",F219="NEW"),"",COUNTBLANK(OFFSET(A$1,,,SUMPRODUCT(MAX(ROW(E$2:E219)*(E219=E$2:E219)))))-COUNTBLANK(OFFSET(A$1,,,SUMPRODUCT(MAX(ROW(E$1:E218)*(E2=E$1:E218))))))</f>
        <v/>
      </c>
      <c r="K219" s="24" t="str">
        <f aca="false">IF(OR(E219="",E219="!!!",F219="NEW"),"",INDEX(J$1:J218,SUMPRODUCT(MAX(ROW(E$1:E218)*(E219=E$1:E218)))))</f>
        <v/>
      </c>
      <c r="L219" s="25"/>
    </row>
    <row r="220" customFormat="false" ht="14.25" hidden="false" customHeight="false" outlineLevel="0" collapsed="false">
      <c r="A220" s="0" t="s">
        <v>167</v>
      </c>
      <c r="E220" s="20" t="str">
        <f aca="false">IF(D220="?OLD","!!!","")</f>
        <v/>
      </c>
      <c r="F220" s="21" t="str">
        <f aca="false">IF(OR(E220="",E220="!!!"),"",IF(NOT(ISNA(VLOOKUP(E220,E$1:E219,1,FALSE()))),"OLD",IF(AND(E220&lt;&gt;"",E220&lt;&gt;"!!!"),"NEW","")))</f>
        <v/>
      </c>
      <c r="G220" s="22" t="str">
        <f aca="false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aca="false">IF(J220&lt;&gt;1,"",IF(I220="SBJ","CB","?"))</f>
        <v/>
      </c>
      <c r="I220" s="24" t="str">
        <f aca="false">IF(OR(E220="",E220="!!!",F220="NEW"),"",INDEX(B$2:B219,-1+SUMPRODUCT(MAX(ROW(E$2:E219)*(E220=E$2:E219)))))</f>
        <v/>
      </c>
      <c r="J220" s="24" t="str">
        <f aca="true">IF(OR(E220="",E220="!!!",F220="NEW"),"",COUNTBLANK(OFFSET(A$1,,,SUMPRODUCT(MAX(ROW(E$2:E220)*(E220=E$2:E220)))))-COUNTBLANK(OFFSET(A$1,,,SUMPRODUCT(MAX(ROW(E$1:E219)*(E2=E$1:E219))))))</f>
        <v/>
      </c>
      <c r="K220" s="24" t="str">
        <f aca="false">IF(OR(E220="",E220="!!!",F220="NEW"),"",INDEX(J$1:J219,SUMPRODUCT(MAX(ROW(E$1:E219)*(E220=E$1:E219)))))</f>
        <v/>
      </c>
      <c r="L220" s="25"/>
    </row>
    <row r="221" customFormat="false" ht="14.25" hidden="false" customHeight="false" outlineLevel="0" collapsed="false">
      <c r="A221" s="0" t="s">
        <v>254</v>
      </c>
      <c r="B221" s="26" t="s">
        <v>96</v>
      </c>
      <c r="C221" s="26" t="s">
        <v>209</v>
      </c>
      <c r="D221" s="26" t="s">
        <v>75</v>
      </c>
      <c r="E221" s="20" t="s">
        <v>281</v>
      </c>
      <c r="F221" s="21" t="s">
        <v>273</v>
      </c>
      <c r="G221" s="22" t="e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#VALUE!</v>
      </c>
      <c r="H221" s="23" t="str">
        <f aca="false">IF(J221&lt;&gt;1,"",IF(I221="SBJ","CB","?"))</f>
        <v/>
      </c>
      <c r="I221" s="24" t="e">
        <f aca="false">IF(OR(E221="",E221="!!!",F221="NEW"),"",INDEX(B$2:B220,-1+SUMPRODUCT(MAX(ROW(E$2:E220)*(E221=E$2:E220)))))</f>
        <v>#VALUE!</v>
      </c>
      <c r="J221" s="24" t="n">
        <f aca="true">IF(OR(E221="",E221="!!!",F221="NEW"),"",COUNTBLANK(OFFSET(A$1,,,SUMPRODUCT(MAX(ROW(E$2:E221)*(E221=E$2:E221)))))-COUNTBLANK(OFFSET(A$1,,,SUMPRODUCT(MAX(ROW(E$1:E220)*(E2=E$1:E220))))))</f>
        <v>0</v>
      </c>
      <c r="K221" s="24" t="e">
        <f aca="false">IF(OR(E221="",E221="!!!",F221="NEW"),"",INDEX(J$1:J220,SUMPRODUCT(MAX(ROW(E$1:E220)*(E221=E$1:E220)))))</f>
        <v>#VALUE!</v>
      </c>
      <c r="L221" s="27" t="s">
        <v>267</v>
      </c>
    </row>
    <row r="222" customFormat="false" ht="14.25" hidden="false" customHeight="false" outlineLevel="0" collapsed="false">
      <c r="A222" s="0" t="s">
        <v>259</v>
      </c>
      <c r="E222" s="20" t="str">
        <f aca="false">IF(D222="?OLD","!!!","")</f>
        <v/>
      </c>
      <c r="F222" s="21" t="str">
        <f aca="false">IF(OR(E222="",E222="!!!"),"",IF(NOT(ISNA(VLOOKUP(E222,E$1:E221,1,FALSE()))),"OLD",IF(AND(E222&lt;&gt;"",E222&lt;&gt;"!!!"),"NEW","")))</f>
        <v/>
      </c>
      <c r="G222" s="22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aca="false">IF(J222&lt;&gt;1,"",IF(I222="SBJ","CB","?"))</f>
        <v/>
      </c>
      <c r="I222" s="24" t="str">
        <f aca="false">IF(OR(E222="",E222="!!!",F222="NEW"),"",INDEX(B$2:B221,-1+SUMPRODUCT(MAX(ROW(E$2:E221)*(E222=E$2:E221)))))</f>
        <v/>
      </c>
      <c r="J222" s="24" t="str">
        <f aca="true">IF(OR(E222="",E222="!!!",F222="NEW"),"",COUNTBLANK(OFFSET(A$1,,,SUMPRODUCT(MAX(ROW(E$2:E222)*(E222=E$2:E222)))))-COUNTBLANK(OFFSET(A$1,,,SUMPRODUCT(MAX(ROW(E$1:E221)*(E2=E$1:E221))))))</f>
        <v/>
      </c>
      <c r="K222" s="24" t="str">
        <f aca="false">IF(OR(E222="",E222="!!!",F222="NEW"),"",INDEX(J$1:J221,SUMPRODUCT(MAX(ROW(E$1:E221)*(E222=E$1:E221)))))</f>
        <v/>
      </c>
      <c r="L222" s="25"/>
    </row>
    <row r="223" customFormat="false" ht="14.25" hidden="false" customHeight="false" outlineLevel="0" collapsed="false">
      <c r="A223" s="0" t="s">
        <v>136</v>
      </c>
      <c r="E223" s="20" t="str">
        <f aca="false">IF(D223="?OLD","!!!","")</f>
        <v/>
      </c>
      <c r="F223" s="21" t="str">
        <f aca="false">IF(OR(E223="",E223="!!!"),"",IF(NOT(ISNA(VLOOKUP(E223,E$1:E222,1,FALSE()))),"OLD",IF(AND(E223&lt;&gt;"",E223&lt;&gt;"!!!"),"NEW","")))</f>
        <v/>
      </c>
      <c r="G223" s="22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aca="false">IF(J223&lt;&gt;1,"",IF(I223="SBJ","CB","?"))</f>
        <v/>
      </c>
      <c r="I223" s="24" t="str">
        <f aca="false">IF(OR(E223="",E223="!!!",F223="NEW"),"",INDEX(B$2:B222,-1+SUMPRODUCT(MAX(ROW(E$2:E222)*(E223=E$2:E222)))))</f>
        <v/>
      </c>
      <c r="J223" s="24" t="str">
        <f aca="true">IF(OR(E223="",E223="!!!",F223="NEW"),"",COUNTBLANK(OFFSET(A$1,,,SUMPRODUCT(MAX(ROW(E$2:E223)*(E223=E$2:E223)))))-COUNTBLANK(OFFSET(A$1,,,SUMPRODUCT(MAX(ROW(E$1:E222)*(E2=E$1:E222))))))</f>
        <v/>
      </c>
      <c r="K223" s="24" t="str">
        <f aca="false">IF(OR(E223="",E223="!!!",F223="NEW"),"",INDEX(J$1:J222,SUMPRODUCT(MAX(ROW(E$1:E222)*(E223=E$1:E222)))))</f>
        <v/>
      </c>
      <c r="L223" s="25"/>
    </row>
    <row r="224" customFormat="false" ht="14.25" hidden="false" customHeight="false" outlineLevel="0" collapsed="false">
      <c r="A224" s="0" t="s">
        <v>282</v>
      </c>
      <c r="B224" s="26" t="s">
        <v>82</v>
      </c>
      <c r="C224" s="26" t="s">
        <v>283</v>
      </c>
      <c r="D224" s="26" t="s">
        <v>75</v>
      </c>
      <c r="E224" s="20"/>
      <c r="F224" s="21" t="str">
        <f aca="false">IF(OR(E224="",E224="!!!"),"",IF(NOT(ISNA(VLOOKUP(E224,E$1:E223,1,FALSE()))),"OLD",IF(AND(E224&lt;&gt;"",E224&lt;&gt;"!!!"),"NEW","")))</f>
        <v/>
      </c>
      <c r="G224" s="22" t="str">
        <f aca="false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aca="false">IF(J224&lt;&gt;1,"",IF(I224="SBJ","CB","?"))</f>
        <v/>
      </c>
      <c r="I224" s="24" t="str">
        <f aca="false">IF(OR(E224="",E224="!!!",F224="NEW"),"",INDEX(B$2:B223,-1+SUMPRODUCT(MAX(ROW(E$2:E223)*(E224=E$2:E223)))))</f>
        <v/>
      </c>
      <c r="J224" s="24" t="str">
        <f aca="true">IF(OR(E224="",E224="!!!",F224="NEW"),"",COUNTBLANK(OFFSET(A$1,,,SUMPRODUCT(MAX(ROW(E$2:E224)*(E224=E$2:E224)))))-COUNTBLANK(OFFSET(A$1,,,SUMPRODUCT(MAX(ROW(E$1:E223)*(E2=E$1:E223))))))</f>
        <v/>
      </c>
      <c r="K224" s="24" t="str">
        <f aca="false">IF(OR(E224="",E224="!!!",F224="NEW"),"",INDEX(J$1:J223,SUMPRODUCT(MAX(ROW(E$1:E223)*(E224=E$1:E223)))))</f>
        <v/>
      </c>
      <c r="L224" s="27" t="s">
        <v>284</v>
      </c>
    </row>
    <row r="225" customFormat="false" ht="14.25" hidden="false" customHeight="false" outlineLevel="0" collapsed="false">
      <c r="A225" s="0" t="s">
        <v>16</v>
      </c>
      <c r="E225" s="20" t="str">
        <f aca="false">IF(D225="?OLD","!!!","")</f>
        <v/>
      </c>
      <c r="F225" s="21" t="str">
        <f aca="false">IF(OR(E225="",E225="!!!"),"",IF(NOT(ISNA(VLOOKUP(E225,E$1:E224,1,FALSE()))),"OLD",IF(AND(E225&lt;&gt;"",E225&lt;&gt;"!!!"),"NEW","")))</f>
        <v/>
      </c>
      <c r="G225" s="22" t="str">
        <f aca="false"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aca="false">IF(J225&lt;&gt;1,"",IF(I225="SBJ","CB","?"))</f>
        <v/>
      </c>
      <c r="I225" s="24" t="str">
        <f aca="false">IF(OR(E225="",E225="!!!",F225="NEW"),"",INDEX(B$2:B224,-1+SUMPRODUCT(MAX(ROW(E$2:E224)*(E225=E$2:E224)))))</f>
        <v/>
      </c>
      <c r="J225" s="24" t="str">
        <f aca="true">IF(OR(E225="",E225="!!!",F225="NEW"),"",COUNTBLANK(OFFSET(A$1,,,SUMPRODUCT(MAX(ROW(E$2:E225)*(E225=E$2:E225)))))-COUNTBLANK(OFFSET(A$1,,,SUMPRODUCT(MAX(ROW(E$1:E224)*(E2=E$1:E224))))))</f>
        <v/>
      </c>
      <c r="K225" s="24" t="str">
        <f aca="false">IF(OR(E225="",E225="!!!",F225="NEW"),"",INDEX(J$1:J224,SUMPRODUCT(MAX(ROW(E$1:E224)*(E225=E$1:E224)))))</f>
        <v/>
      </c>
      <c r="L225" s="25"/>
    </row>
    <row r="226" customFormat="false" ht="14.25" hidden="false" customHeight="false" outlineLevel="0" collapsed="false">
      <c r="A226" s="0" t="s">
        <v>142</v>
      </c>
      <c r="E226" s="20" t="str">
        <f aca="false">IF(D226="?OLD","!!!","")</f>
        <v/>
      </c>
      <c r="F226" s="21" t="str">
        <f aca="false">IF(OR(E226="",E226="!!!"),"",IF(NOT(ISNA(VLOOKUP(E226,E$1:E225,1,FALSE()))),"OLD",IF(AND(E226&lt;&gt;"",E226&lt;&gt;"!!!"),"NEW","")))</f>
        <v/>
      </c>
      <c r="G226" s="22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aca="false">IF(J226&lt;&gt;1,"",IF(I226="SBJ","CB","?"))</f>
        <v/>
      </c>
      <c r="I226" s="24" t="str">
        <f aca="false">IF(OR(E226="",E226="!!!",F226="NEW"),"",INDEX(B$2:B225,-1+SUMPRODUCT(MAX(ROW(E$2:E225)*(E226=E$2:E225)))))</f>
        <v/>
      </c>
      <c r="J226" s="24" t="str">
        <f aca="true">IF(OR(E226="",E226="!!!",F226="NEW"),"",COUNTBLANK(OFFSET(A$1,,,SUMPRODUCT(MAX(ROW(E$2:E226)*(E226=E$2:E226)))))-COUNTBLANK(OFFSET(A$1,,,SUMPRODUCT(MAX(ROW(E$1:E225)*(E2=E$1:E225))))))</f>
        <v/>
      </c>
      <c r="K226" s="24" t="str">
        <f aca="false">IF(OR(E226="",E226="!!!",F226="NEW"),"",INDEX(J$1:J225,SUMPRODUCT(MAX(ROW(E$1:E225)*(E226=E$1:E225)))))</f>
        <v/>
      </c>
      <c r="L226" s="25"/>
    </row>
    <row r="227" customFormat="false" ht="14.25" hidden="false" customHeight="false" outlineLevel="0" collapsed="false">
      <c r="A227" s="0" t="s">
        <v>285</v>
      </c>
      <c r="B227" s="26" t="s">
        <v>147</v>
      </c>
      <c r="C227" s="26" t="s">
        <v>105</v>
      </c>
      <c r="E227" s="20" t="s">
        <v>286</v>
      </c>
      <c r="F227" s="21" t="str">
        <f aca="false">IF(OR(E227="",E227="!!!"),"",IF(NOT(ISNA(VLOOKUP(E227,E$1:E226,1,FALSE()))),"OLD",IF(AND(E227&lt;&gt;"",E227&lt;&gt;"!!!"),"NEW","")))</f>
        <v>NEW</v>
      </c>
      <c r="G227" s="22" t="str">
        <f aca="false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?REFERENTIAL</v>
      </c>
      <c r="H227" s="23" t="str">
        <f aca="false">IF(J227&lt;&gt;1,"",IF(I227="SBJ","CB","?"))</f>
        <v/>
      </c>
      <c r="I227" s="24" t="str">
        <f aca="false">IF(OR(E227="",E227="!!!",F227="NEW"),"",INDEX(B$2:B226,-1+SUMPRODUCT(MAX(ROW(E$2:E226)*(E227=E$2:E226)))))</f>
        <v/>
      </c>
      <c r="J227" s="24" t="str">
        <f aca="true">IF(OR(E227="",E227="!!!",F227="NEW"),"",COUNTBLANK(OFFSET(A$1,,,SUMPRODUCT(MAX(ROW(E$2:E227)*(E227=E$2:E227)))))-COUNTBLANK(OFFSET(A$1,,,SUMPRODUCT(MAX(ROW(E$1:E226)*(E2=E$1:E226))))))</f>
        <v/>
      </c>
      <c r="K227" s="24" t="str">
        <f aca="false">IF(OR(E227="",E227="!!!",F227="NEW"),"",INDEX(J$1:J226,SUMPRODUCT(MAX(ROW(E$1:E226)*(E227=E$1:E226)))))</f>
        <v/>
      </c>
      <c r="L227" s="25"/>
    </row>
    <row r="228" customFormat="false" ht="14.25" hidden="false" customHeight="false" outlineLevel="0" collapsed="false">
      <c r="A228" s="0" t="s">
        <v>287</v>
      </c>
      <c r="E228" s="20" t="str">
        <f aca="false">IF(D228="?OLD","!!!","")</f>
        <v/>
      </c>
      <c r="F228" s="21" t="str">
        <f aca="false">IF(OR(E228="",E228="!!!"),"",IF(NOT(ISNA(VLOOKUP(E228,E$1:E227,1,FALSE()))),"OLD",IF(AND(E228&lt;&gt;"",E228&lt;&gt;"!!!"),"NEW","")))</f>
        <v/>
      </c>
      <c r="G228" s="22" t="str">
        <f aca="false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aca="false">IF(J228&lt;&gt;1,"",IF(I228="SBJ","CB","?"))</f>
        <v/>
      </c>
      <c r="I228" s="24" t="str">
        <f aca="false">IF(OR(E228="",E228="!!!",F228="NEW"),"",INDEX(B$2:B227,-1+SUMPRODUCT(MAX(ROW(E$2:E227)*(E228=E$2:E227)))))</f>
        <v/>
      </c>
      <c r="J228" s="24" t="str">
        <f aca="true">IF(OR(E228="",E228="!!!",F228="NEW"),"",COUNTBLANK(OFFSET(A$1,,,SUMPRODUCT(MAX(ROW(E$2:E228)*(E228=E$2:E228)))))-COUNTBLANK(OFFSET(A$1,,,SUMPRODUCT(MAX(ROW(E$1:E227)*(E2=E$1:E227))))))</f>
        <v/>
      </c>
      <c r="K228" s="24" t="str">
        <f aca="false">IF(OR(E228="",E228="!!!",F228="NEW"),"",INDEX(J$1:J227,SUMPRODUCT(MAX(ROW(E$1:E227)*(E228=E$1:E227)))))</f>
        <v/>
      </c>
      <c r="L228" s="25"/>
    </row>
    <row r="229" customFormat="false" ht="14.25" hidden="false" customHeight="false" outlineLevel="0" collapsed="false">
      <c r="A229" s="0" t="s">
        <v>288</v>
      </c>
      <c r="E229" s="20" t="str">
        <f aca="false">IF(D229="?OLD","!!!","")</f>
        <v/>
      </c>
      <c r="F229" s="21" t="str">
        <f aca="false">IF(OR(E229="",E229="!!!"),"",IF(NOT(ISNA(VLOOKUP(E229,E$1:E228,1,FALSE()))),"OLD",IF(AND(E229&lt;&gt;"",E229&lt;&gt;"!!!"),"NEW","")))</f>
        <v/>
      </c>
      <c r="G229" s="22" t="str">
        <f aca="false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aca="false">IF(J229&lt;&gt;1,"",IF(I229="SBJ","CB","?"))</f>
        <v/>
      </c>
      <c r="I229" s="24" t="str">
        <f aca="false">IF(OR(E229="",E229="!!!",F229="NEW"),"",INDEX(B$2:B228,-1+SUMPRODUCT(MAX(ROW(E$2:E228)*(E229=E$2:E228)))))</f>
        <v/>
      </c>
      <c r="J229" s="24" t="str">
        <f aca="true">IF(OR(E229="",E229="!!!",F229="NEW"),"",COUNTBLANK(OFFSET(A$1,,,SUMPRODUCT(MAX(ROW(E$2:E229)*(E229=E$2:E229)))))-COUNTBLANK(OFFSET(A$1,,,SUMPRODUCT(MAX(ROW(E$1:E228)*(E2=E$1:E228))))))</f>
        <v/>
      </c>
      <c r="K229" s="24" t="str">
        <f aca="false">IF(OR(E229="",E229="!!!",F229="NEW"),"",INDEX(J$1:J228,SUMPRODUCT(MAX(ROW(E$1:E228)*(E229=E$1:E228)))))</f>
        <v/>
      </c>
      <c r="L229" s="25"/>
    </row>
    <row r="230" customFormat="false" ht="14.25" hidden="false" customHeight="false" outlineLevel="0" collapsed="false">
      <c r="A230" s="0" t="s">
        <v>86</v>
      </c>
      <c r="E230" s="20" t="str">
        <f aca="false">IF(D230="?OLD","!!!","")</f>
        <v/>
      </c>
      <c r="F230" s="21" t="str">
        <f aca="false">IF(OR(E230="",E230="!!!"),"",IF(NOT(ISNA(VLOOKUP(E230,E$1:E229,1,FALSE()))),"OLD",IF(AND(E230&lt;&gt;"",E230&lt;&gt;"!!!"),"NEW","")))</f>
        <v/>
      </c>
      <c r="G230" s="22" t="str">
        <f aca="false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aca="false">IF(J230&lt;&gt;1,"",IF(I230="SBJ","CB","?"))</f>
        <v/>
      </c>
      <c r="I230" s="24" t="str">
        <f aca="false">IF(OR(E230="",E230="!!!",F230="NEW"),"",INDEX(B$2:B229,-1+SUMPRODUCT(MAX(ROW(E$2:E229)*(E230=E$2:E229)))))</f>
        <v/>
      </c>
      <c r="J230" s="24" t="str">
        <f aca="true">IF(OR(E230="",E230="!!!",F230="NEW"),"",COUNTBLANK(OFFSET(A$1,,,SUMPRODUCT(MAX(ROW(E$2:E230)*(E230=E$2:E230)))))-COUNTBLANK(OFFSET(A$1,,,SUMPRODUCT(MAX(ROW(E$1:E229)*(E2=E$1:E229))))))</f>
        <v/>
      </c>
      <c r="K230" s="24" t="str">
        <f aca="false">IF(OR(E230="",E230="!!!",F230="NEW"),"",INDEX(J$1:J229,SUMPRODUCT(MAX(ROW(E$1:E229)*(E230=E$1:E229)))))</f>
        <v/>
      </c>
      <c r="L230" s="25"/>
    </row>
    <row r="231" customFormat="false" ht="14.25" hidden="false" customHeight="false" outlineLevel="0" collapsed="false">
      <c r="A231" s="0" t="s">
        <v>87</v>
      </c>
      <c r="B231" s="26" t="s">
        <v>96</v>
      </c>
      <c r="C231" s="26" t="s">
        <v>88</v>
      </c>
      <c r="D231" s="26" t="s">
        <v>75</v>
      </c>
      <c r="E231" s="20" t="s">
        <v>281</v>
      </c>
      <c r="F231" s="21" t="str">
        <f aca="false">IF(OR(E231="",E231="!!!"),"",IF(NOT(ISNA(VLOOKUP(E231,E$1:E230,1,FALSE()))),"OLD",IF(AND(E231&lt;&gt;"",E231&lt;&gt;"!!!"),"NEW","")))</f>
        <v>OLD</v>
      </c>
      <c r="G231" s="22" t="str">
        <f aca="false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3" t="str">
        <f aca="false">IF(J231&lt;&gt;1,"",IF(I231="SBJ","CB","?"))</f>
        <v/>
      </c>
      <c r="I231" s="24" t="str">
        <f aca="false">IF(OR(E231="",E231="!!!",F231="NEW"),"",INDEX(B$2:B230,-1+SUMPRODUCT(MAX(ROW(E$2:E230)*(E231=E$2:E230)))))</f>
        <v>SBJ_2</v>
      </c>
      <c r="J231" s="24" t="n">
        <f aca="true">IF(OR(E231="",E231="!!!",F231="NEW"),"",COUNTBLANK(OFFSET(A$1,,,SUMPRODUCT(MAX(ROW(E$2:E231)*(E231=E$2:E231)))))-COUNTBLANK(OFFSET(A$1,,,SUMPRODUCT(MAX(ROW(E$1:E230)*(E2=E$1:E230))))))</f>
        <v>0</v>
      </c>
      <c r="K231" s="24" t="n">
        <f aca="false">IF(OR(E231="",E231="!!!",F231="NEW"),"",INDEX(J$1:J230,SUMPRODUCT(MAX(ROW(E$1:E230)*(E231=E$1:E230)))))</f>
        <v>0</v>
      </c>
      <c r="L231" s="25"/>
    </row>
    <row r="232" customFormat="false" ht="14.25" hidden="false" customHeight="false" outlineLevel="0" collapsed="false">
      <c r="A232" s="0" t="s">
        <v>167</v>
      </c>
      <c r="E232" s="20" t="str">
        <f aca="false">IF(D232="?OLD","!!!","")</f>
        <v/>
      </c>
      <c r="F232" s="21" t="str">
        <f aca="false">IF(OR(E232="",E232="!!!"),"",IF(NOT(ISNA(VLOOKUP(E232,E$1:E231,1,FALSE()))),"OLD",IF(AND(E232&lt;&gt;"",E232&lt;&gt;"!!!"),"NEW","")))</f>
        <v/>
      </c>
      <c r="G232" s="22" t="str">
        <f aca="false"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aca="false">IF(J232&lt;&gt;1,"",IF(I232="SBJ","CB","?"))</f>
        <v/>
      </c>
      <c r="I232" s="24" t="str">
        <f aca="false">IF(OR(E232="",E232="!!!",F232="NEW"),"",INDEX(B$2:B231,-1+SUMPRODUCT(MAX(ROW(E$2:E231)*(E232=E$2:E231)))))</f>
        <v/>
      </c>
      <c r="J232" s="24" t="str">
        <f aca="true">IF(OR(E232="",E232="!!!",F232="NEW"),"",COUNTBLANK(OFFSET(A$1,,,SUMPRODUCT(MAX(ROW(E$2:E232)*(E232=E$2:E232)))))-COUNTBLANK(OFFSET(A$1,,,SUMPRODUCT(MAX(ROW(E$1:E231)*(E2=E$1:E231))))))</f>
        <v/>
      </c>
      <c r="K232" s="24" t="str">
        <f aca="false">IF(OR(E232="",E232="!!!",F232="NEW"),"",INDEX(J$1:J231,SUMPRODUCT(MAX(ROW(E$1:E231)*(E232=E$1:E231)))))</f>
        <v/>
      </c>
      <c r="L232" s="25"/>
    </row>
    <row r="233" customFormat="false" ht="14.25" hidden="false" customHeight="false" outlineLevel="0" collapsed="false">
      <c r="A233" s="0" t="s">
        <v>287</v>
      </c>
      <c r="E233" s="20" t="str">
        <f aca="false">IF(D233="?OLD","!!!","")</f>
        <v/>
      </c>
      <c r="F233" s="21" t="str">
        <f aca="false">IF(OR(E233="",E233="!!!"),"",IF(NOT(ISNA(VLOOKUP(E233,E$1:E232,1,FALSE()))),"OLD",IF(AND(E233&lt;&gt;"",E233&lt;&gt;"!!!"),"NEW","")))</f>
        <v/>
      </c>
      <c r="G233" s="22" t="str">
        <f aca="false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aca="false">IF(J233&lt;&gt;1,"",IF(I233="SBJ","CB","?"))</f>
        <v/>
      </c>
      <c r="I233" s="24" t="str">
        <f aca="false">IF(OR(E233="",E233="!!!",F233="NEW"),"",INDEX(B$2:B232,-1+SUMPRODUCT(MAX(ROW(E$2:E232)*(E233=E$2:E232)))))</f>
        <v/>
      </c>
      <c r="J233" s="24" t="str">
        <f aca="true">IF(OR(E233="",E233="!!!",F233="NEW"),"",COUNTBLANK(OFFSET(A$1,,,SUMPRODUCT(MAX(ROW(E$2:E233)*(E233=E$2:E233)))))-COUNTBLANK(OFFSET(A$1,,,SUMPRODUCT(MAX(ROW(E$1:E232)*(E2=E$1:E232))))))</f>
        <v/>
      </c>
      <c r="K233" s="24" t="str">
        <f aca="false">IF(OR(E233="",E233="!!!",F233="NEW"),"",INDEX(J$1:J232,SUMPRODUCT(MAX(ROW(E$1:E232)*(E233=E$1:E232)))))</f>
        <v/>
      </c>
      <c r="L233" s="25"/>
    </row>
    <row r="234" customFormat="false" ht="14.25" hidden="false" customHeight="false" outlineLevel="0" collapsed="false">
      <c r="A234" s="0" t="s">
        <v>289</v>
      </c>
      <c r="E234" s="20" t="str">
        <f aca="false">IF(D234="?OLD","!!!","")</f>
        <v/>
      </c>
      <c r="F234" s="21" t="str">
        <f aca="false">IF(OR(E234="",E234="!!!"),"",IF(NOT(ISNA(VLOOKUP(E234,E$1:E233,1,FALSE()))),"OLD",IF(AND(E234&lt;&gt;"",E234&lt;&gt;"!!!"),"NEW","")))</f>
        <v/>
      </c>
      <c r="G234" s="22" t="str">
        <f aca="false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aca="false">IF(J234&lt;&gt;1,"",IF(I234="SBJ","CB","?"))</f>
        <v/>
      </c>
      <c r="I234" s="24" t="str">
        <f aca="false">IF(OR(E234="",E234="!!!",F234="NEW"),"",INDEX(B$2:B233,-1+SUMPRODUCT(MAX(ROW(E$2:E233)*(E234=E$2:E233)))))</f>
        <v/>
      </c>
      <c r="J234" s="24" t="str">
        <f aca="true">IF(OR(E234="",E234="!!!",F234="NEW"),"",COUNTBLANK(OFFSET(A$1,,,SUMPRODUCT(MAX(ROW(E$2:E234)*(E234=E$2:E234)))))-COUNTBLANK(OFFSET(A$1,,,SUMPRODUCT(MAX(ROW(E$1:E233)*(E2=E$1:E233))))))</f>
        <v/>
      </c>
      <c r="K234" s="24" t="str">
        <f aca="false">IF(OR(E234="",E234="!!!",F234="NEW"),"",INDEX(J$1:J233,SUMPRODUCT(MAX(ROW(E$1:E233)*(E234=E$1:E233)))))</f>
        <v/>
      </c>
      <c r="L234" s="25"/>
    </row>
    <row r="235" customFormat="false" ht="14.25" hidden="false" customHeight="false" outlineLevel="0" collapsed="false">
      <c r="A235" s="0" t="s">
        <v>142</v>
      </c>
      <c r="E235" s="20" t="str">
        <f aca="false">IF(D235="?OLD","!!!","")</f>
        <v/>
      </c>
      <c r="F235" s="21" t="str">
        <f aca="false">IF(OR(E235="",E235="!!!"),"",IF(NOT(ISNA(VLOOKUP(E235,E$1:E234,1,FALSE()))),"OLD",IF(AND(E235&lt;&gt;"",E235&lt;&gt;"!!!"),"NEW","")))</f>
        <v/>
      </c>
      <c r="G235" s="22" t="str">
        <f aca="false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aca="false">IF(J235&lt;&gt;1,"",IF(I235="SBJ","CB","?"))</f>
        <v/>
      </c>
      <c r="I235" s="24" t="str">
        <f aca="false">IF(OR(E235="",E235="!!!",F235="NEW"),"",INDEX(B$2:B234,-1+SUMPRODUCT(MAX(ROW(E$2:E234)*(E235=E$2:E234)))))</f>
        <v/>
      </c>
      <c r="J235" s="24" t="str">
        <f aca="true">IF(OR(E235="",E235="!!!",F235="NEW"),"",COUNTBLANK(OFFSET(A$1,,,SUMPRODUCT(MAX(ROW(E$2:E235)*(E235=E$2:E235)))))-COUNTBLANK(OFFSET(A$1,,,SUMPRODUCT(MAX(ROW(E$1:E234)*(E2=E$1:E234))))))</f>
        <v/>
      </c>
      <c r="K235" s="24" t="str">
        <f aca="false">IF(OR(E235="",E235="!!!",F235="NEW"),"",INDEX(J$1:J234,SUMPRODUCT(MAX(ROW(E$1:E234)*(E235=E$1:E234)))))</f>
        <v/>
      </c>
      <c r="L235" s="25"/>
    </row>
    <row r="236" customFormat="false" ht="14.25" hidden="false" customHeight="false" outlineLevel="0" collapsed="false">
      <c r="A236" s="0" t="s">
        <v>290</v>
      </c>
      <c r="E236" s="20" t="str">
        <f aca="false">IF(D236="?OLD","!!!","")</f>
        <v/>
      </c>
      <c r="F236" s="21" t="str">
        <f aca="false">IF(OR(E236="",E236="!!!"),"",IF(NOT(ISNA(VLOOKUP(E236,E$1:E235,1,FALSE()))),"OLD",IF(AND(E236&lt;&gt;"",E236&lt;&gt;"!!!"),"NEW","")))</f>
        <v/>
      </c>
      <c r="G236" s="22" t="str">
        <f aca="false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aca="false">IF(J236&lt;&gt;1,"",IF(I236="SBJ","CB","?"))</f>
        <v/>
      </c>
      <c r="I236" s="24" t="str">
        <f aca="false">IF(OR(E236="",E236="!!!",F236="NEW"),"",INDEX(B$2:B235,-1+SUMPRODUCT(MAX(ROW(E$2:E235)*(E236=E$2:E235)))))</f>
        <v/>
      </c>
      <c r="J236" s="24" t="str">
        <f aca="true">IF(OR(E236="",E236="!!!",F236="NEW"),"",COUNTBLANK(OFFSET(A$1,,,SUMPRODUCT(MAX(ROW(E$2:E236)*(E236=E$2:E236)))))-COUNTBLANK(OFFSET(A$1,,,SUMPRODUCT(MAX(ROW(E$1:E235)*(E2=E$1:E235))))))</f>
        <v/>
      </c>
      <c r="K236" s="24" t="str">
        <f aca="false">IF(OR(E236="",E236="!!!",F236="NEW"),"",INDEX(J$1:J235,SUMPRODUCT(MAX(ROW(E$1:E235)*(E236=E$1:E235)))))</f>
        <v/>
      </c>
      <c r="L236" s="25"/>
    </row>
    <row r="237" customFormat="false" ht="14.25" hidden="false" customHeight="false" outlineLevel="0" collapsed="false">
      <c r="A237" s="0" t="s">
        <v>291</v>
      </c>
      <c r="E237" s="20" t="str">
        <f aca="false">IF(D237="?OLD","!!!","")</f>
        <v/>
      </c>
      <c r="F237" s="21" t="str">
        <f aca="false">IF(OR(E237="",E237="!!!"),"",IF(NOT(ISNA(VLOOKUP(E237,E$1:E236,1,FALSE()))),"OLD",IF(AND(E237&lt;&gt;"",E237&lt;&gt;"!!!"),"NEW","")))</f>
        <v/>
      </c>
      <c r="G237" s="22" t="str">
        <f aca="false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aca="false">IF(J237&lt;&gt;1,"",IF(I237="SBJ","CB","?"))</f>
        <v/>
      </c>
      <c r="I237" s="24" t="str">
        <f aca="false">IF(OR(E237="",E237="!!!",F237="NEW"),"",INDEX(B$2:B236,-1+SUMPRODUCT(MAX(ROW(E$2:E236)*(E237=E$2:E236)))))</f>
        <v/>
      </c>
      <c r="J237" s="24" t="str">
        <f aca="true">IF(OR(E237="",E237="!!!",F237="NEW"),"",COUNTBLANK(OFFSET(A$1,,,SUMPRODUCT(MAX(ROW(E$2:E237)*(E237=E$2:E237)))))-COUNTBLANK(OFFSET(A$1,,,SUMPRODUCT(MAX(ROW(E$1:E236)*(E2=E$1:E236))))))</f>
        <v/>
      </c>
      <c r="K237" s="24" t="str">
        <f aca="false">IF(OR(E237="",E237="!!!",F237="NEW"),"",INDEX(J$1:J236,SUMPRODUCT(MAX(ROW(E$1:E236)*(E237=E$1:E236)))))</f>
        <v/>
      </c>
      <c r="L237" s="25"/>
    </row>
    <row r="238" customFormat="false" ht="14.25" hidden="false" customHeight="false" outlineLevel="0" collapsed="false">
      <c r="A238" s="0" t="s">
        <v>292</v>
      </c>
      <c r="E238" s="20" t="str">
        <f aca="false">IF(D238="?OLD","!!!","")</f>
        <v/>
      </c>
      <c r="F238" s="21" t="str">
        <f aca="false">IF(OR(E238="",E238="!!!"),"",IF(NOT(ISNA(VLOOKUP(E238,E$1:E237,1,FALSE()))),"OLD",IF(AND(E238&lt;&gt;"",E238&lt;&gt;"!!!"),"NEW","")))</f>
        <v/>
      </c>
      <c r="G238" s="22" t="str">
        <f aca="false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aca="false">IF(J238&lt;&gt;1,"",IF(I238="SBJ","CB","?"))</f>
        <v/>
      </c>
      <c r="I238" s="24" t="str">
        <f aca="false">IF(OR(E238="",E238="!!!",F238="NEW"),"",INDEX(B$2:B237,-1+SUMPRODUCT(MAX(ROW(E$2:E237)*(E238=E$2:E237)))))</f>
        <v/>
      </c>
      <c r="J238" s="24" t="str">
        <f aca="true">IF(OR(E238="",E238="!!!",F238="NEW"),"",COUNTBLANK(OFFSET(A$1,,,SUMPRODUCT(MAX(ROW(E$2:E238)*(E238=E$2:E238)))))-COUNTBLANK(OFFSET(A$1,,,SUMPRODUCT(MAX(ROW(E$1:E237)*(E2=E$1:E237))))))</f>
        <v/>
      </c>
      <c r="K238" s="24" t="str">
        <f aca="false">IF(OR(E238="",E238="!!!",F238="NEW"),"",INDEX(J$1:J237,SUMPRODUCT(MAX(ROW(E$1:E237)*(E238=E$1:E237)))))</f>
        <v/>
      </c>
      <c r="L238" s="25"/>
    </row>
    <row r="239" customFormat="false" ht="14.25" hidden="false" customHeight="false" outlineLevel="0" collapsed="false">
      <c r="A239" s="0" t="s">
        <v>101</v>
      </c>
      <c r="E239" s="20" t="str">
        <f aca="false">IF(D239="?OLD","!!!","")</f>
        <v/>
      </c>
      <c r="F239" s="21" t="str">
        <f aca="false">IF(OR(E239="",E239="!!!"),"",IF(NOT(ISNA(VLOOKUP(E239,E$1:E238,1,FALSE()))),"OLD",IF(AND(E239&lt;&gt;"",E239&lt;&gt;"!!!"),"NEW","")))</f>
        <v/>
      </c>
      <c r="G239" s="22" t="str">
        <f aca="false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aca="false">IF(J239&lt;&gt;1,"",IF(I239="SBJ","CB","?"))</f>
        <v/>
      </c>
      <c r="I239" s="24" t="str">
        <f aca="false">IF(OR(E239="",E239="!!!",F239="NEW"),"",INDEX(B$2:B238,-1+SUMPRODUCT(MAX(ROW(E$2:E238)*(E239=E$2:E238)))))</f>
        <v/>
      </c>
      <c r="J239" s="24" t="str">
        <f aca="true">IF(OR(E239="",E239="!!!",F239="NEW"),"",COUNTBLANK(OFFSET(A$1,,,SUMPRODUCT(MAX(ROW(E$2:E239)*(E239=E$2:E239)))))-COUNTBLANK(OFFSET(A$1,,,SUMPRODUCT(MAX(ROW(E$1:E238)*(E2=E$1:E238))))))</f>
        <v/>
      </c>
      <c r="K239" s="24" t="str">
        <f aca="false">IF(OR(E239="",E239="!!!",F239="NEW"),"",INDEX(J$1:J238,SUMPRODUCT(MAX(ROW(E$1:E238)*(E239=E$1:E238)))))</f>
        <v/>
      </c>
      <c r="L239" s="25"/>
    </row>
    <row r="240" customFormat="false" ht="14.25" hidden="false" customHeight="false" outlineLevel="0" collapsed="false">
      <c r="A240" s="0" t="s">
        <v>293</v>
      </c>
      <c r="E240" s="20" t="str">
        <f aca="false">IF(D240="?OLD","!!!","")</f>
        <v/>
      </c>
      <c r="F240" s="21" t="str">
        <f aca="false">IF(OR(E240="",E240="!!!"),"",IF(NOT(ISNA(VLOOKUP(E240,E$1:E239,1,FALSE()))),"OLD",IF(AND(E240&lt;&gt;"",E240&lt;&gt;"!!!"),"NEW","")))</f>
        <v/>
      </c>
      <c r="G240" s="22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aca="false">IF(J240&lt;&gt;1,"",IF(I240="SBJ","CB","?"))</f>
        <v/>
      </c>
      <c r="I240" s="24" t="str">
        <f aca="false">IF(OR(E240="",E240="!!!",F240="NEW"),"",INDEX(B$2:B239,-1+SUMPRODUCT(MAX(ROW(E$2:E239)*(E240=E$2:E239)))))</f>
        <v/>
      </c>
      <c r="J240" s="24" t="str">
        <f aca="true">IF(OR(E240="",E240="!!!",F240="NEW"),"",COUNTBLANK(OFFSET(A$1,,,SUMPRODUCT(MAX(ROW(E$2:E240)*(E240=E$2:E240)))))-COUNTBLANK(OFFSET(A$1,,,SUMPRODUCT(MAX(ROW(E$1:E239)*(E2=E$1:E239))))))</f>
        <v/>
      </c>
      <c r="K240" s="24" t="str">
        <f aca="false">IF(OR(E240="",E240="!!!",F240="NEW"),"",INDEX(J$1:J239,SUMPRODUCT(MAX(ROW(E$1:E239)*(E240=E$1:E239)))))</f>
        <v/>
      </c>
      <c r="L240" s="25"/>
    </row>
    <row r="241" customFormat="false" ht="14.25" hidden="false" customHeight="false" outlineLevel="0" collapsed="false">
      <c r="A241" s="0" t="s">
        <v>136</v>
      </c>
      <c r="E241" s="20" t="str">
        <f aca="false">IF(D241="?OLD","!!!","")</f>
        <v/>
      </c>
      <c r="F241" s="21" t="str">
        <f aca="false">IF(OR(E241="",E241="!!!"),"",IF(NOT(ISNA(VLOOKUP(E241,E$1:E240,1,FALSE()))),"OLD",IF(AND(E241&lt;&gt;"",E241&lt;&gt;"!!!"),"NEW","")))</f>
        <v/>
      </c>
      <c r="G241" s="22" t="str">
        <f aca="false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aca="false">IF(J241&lt;&gt;1,"",IF(I241="SBJ","CB","?"))</f>
        <v/>
      </c>
      <c r="I241" s="24" t="str">
        <f aca="false">IF(OR(E241="",E241="!!!",F241="NEW"),"",INDEX(B$2:B240,-1+SUMPRODUCT(MAX(ROW(E$2:E240)*(E241=E$2:E240)))))</f>
        <v/>
      </c>
      <c r="J241" s="24" t="str">
        <f aca="true">IF(OR(E241="",E241="!!!",F241="NEW"),"",COUNTBLANK(OFFSET(A$1,,,SUMPRODUCT(MAX(ROW(E$2:E241)*(E241=E$2:E241)))))-COUNTBLANK(OFFSET(A$1,,,SUMPRODUCT(MAX(ROW(E$1:E240)*(E2=E$1:E240))))))</f>
        <v/>
      </c>
      <c r="K241" s="24" t="str">
        <f aca="false">IF(OR(E241="",E241="!!!",F241="NEW"),"",INDEX(J$1:J240,SUMPRODUCT(MAX(ROW(E$1:E240)*(E241=E$1:E240)))))</f>
        <v/>
      </c>
      <c r="L241" s="25"/>
    </row>
    <row r="242" customFormat="false" ht="14.25" hidden="false" customHeight="false" outlineLevel="0" collapsed="false">
      <c r="A242" s="0" t="s">
        <v>294</v>
      </c>
      <c r="B242" s="26" t="s">
        <v>258</v>
      </c>
      <c r="C242" s="26" t="s">
        <v>74</v>
      </c>
      <c r="D242" s="26" t="s">
        <v>75</v>
      </c>
      <c r="E242" s="20" t="s">
        <v>295</v>
      </c>
      <c r="F242" s="21" t="str">
        <f aca="false">IF(OR(E242="",E242="!!!"),"",IF(NOT(ISNA(VLOOKUP(E242,E$1:E241,1,FALSE()))),"OLD",IF(AND(E242&lt;&gt;"",E242&lt;&gt;"!!!"),"NEW","")))</f>
        <v>NEW</v>
      </c>
      <c r="G242" s="22" t="str">
        <f aca="false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?REFERENTIAL</v>
      </c>
      <c r="H242" s="23" t="str">
        <f aca="false">IF(J242&lt;&gt;1,"",IF(I242="SBJ","CB","?"))</f>
        <v/>
      </c>
      <c r="I242" s="24" t="str">
        <f aca="false">IF(OR(E242="",E242="!!!",F242="NEW"),"",INDEX(B$2:B241,-1+SUMPRODUCT(MAX(ROW(E$2:E241)*(E242=E$2:E241)))))</f>
        <v/>
      </c>
      <c r="J242" s="24" t="str">
        <f aca="true">IF(OR(E242="",E242="!!!",F242="NEW"),"",COUNTBLANK(OFFSET(A$1,,,SUMPRODUCT(MAX(ROW(E$2:E242)*(E242=E$2:E242)))))-COUNTBLANK(OFFSET(A$1,,,SUMPRODUCT(MAX(ROW(E$1:E241)*(E2=E$1:E241))))))</f>
        <v/>
      </c>
      <c r="K242" s="24" t="str">
        <f aca="false">IF(OR(E242="",E242="!!!",F242="NEW"),"",INDEX(J$1:J241,SUMPRODUCT(MAX(ROW(E$1:E241)*(E242=E$1:E241)))))</f>
        <v/>
      </c>
      <c r="L242" s="25"/>
    </row>
    <row r="243" customFormat="false" ht="14.25" hidden="false" customHeight="false" outlineLevel="0" collapsed="false">
      <c r="A243" s="0" t="s">
        <v>296</v>
      </c>
      <c r="E243" s="20" t="str">
        <f aca="false">IF(D243="?OLD","!!!","")</f>
        <v/>
      </c>
      <c r="F243" s="21" t="str">
        <f aca="false">IF(OR(E243="",E243="!!!"),"",IF(NOT(ISNA(VLOOKUP(E243,E$1:E242,1,FALSE()))),"OLD",IF(AND(E243&lt;&gt;"",E243&lt;&gt;"!!!"),"NEW","")))</f>
        <v/>
      </c>
      <c r="G243" s="22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aca="false">IF(J243&lt;&gt;1,"",IF(I243="SBJ","CB","?"))</f>
        <v/>
      </c>
      <c r="I243" s="24" t="str">
        <f aca="false">IF(OR(E243="",E243="!!!",F243="NEW"),"",INDEX(B$2:B242,-1+SUMPRODUCT(MAX(ROW(E$2:E242)*(E243=E$2:E242)))))</f>
        <v/>
      </c>
      <c r="J243" s="24" t="str">
        <f aca="true">IF(OR(E243="",E243="!!!",F243="NEW"),"",COUNTBLANK(OFFSET(A$1,,,SUMPRODUCT(MAX(ROW(E$2:E243)*(E243=E$2:E243)))))-COUNTBLANK(OFFSET(A$1,,,SUMPRODUCT(MAX(ROW(E$1:E242)*(E2=E$1:E242))))))</f>
        <v/>
      </c>
      <c r="K243" s="24" t="str">
        <f aca="false">IF(OR(E243="",E243="!!!",F243="NEW"),"",INDEX(J$1:J242,SUMPRODUCT(MAX(ROW(E$1:E242)*(E243=E$1:E242)))))</f>
        <v/>
      </c>
      <c r="L243" s="25"/>
    </row>
    <row r="244" customFormat="false" ht="14.25" hidden="false" customHeight="false" outlineLevel="0" collapsed="false">
      <c r="A244" s="0" t="s">
        <v>246</v>
      </c>
      <c r="E244" s="20" t="str">
        <f aca="false">IF(D244="?OLD","!!!","")</f>
        <v/>
      </c>
      <c r="F244" s="21" t="str">
        <f aca="false">IF(OR(E244="",E244="!!!"),"",IF(NOT(ISNA(VLOOKUP(E244,E$1:E243,1,FALSE()))),"OLD",IF(AND(E244&lt;&gt;"",E244&lt;&gt;"!!!"),"NEW","")))</f>
        <v/>
      </c>
      <c r="G244" s="22" t="str">
        <f aca="false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aca="false">IF(J244&lt;&gt;1,"",IF(I244="SBJ","CB","?"))</f>
        <v/>
      </c>
      <c r="I244" s="24" t="str">
        <f aca="false">IF(OR(E244="",E244="!!!",F244="NEW"),"",INDEX(B$2:B243,-1+SUMPRODUCT(MAX(ROW(E$2:E243)*(E244=E$2:E243)))))</f>
        <v/>
      </c>
      <c r="J244" s="24" t="str">
        <f aca="true">IF(OR(E244="",E244="!!!",F244="NEW"),"",COUNTBLANK(OFFSET(A$1,,,SUMPRODUCT(MAX(ROW(E$2:E244)*(E244=E$2:E244)))))-COUNTBLANK(OFFSET(A$1,,,SUMPRODUCT(MAX(ROW(E$1:E243)*(E2=E$1:E243))))))</f>
        <v/>
      </c>
      <c r="K244" s="24" t="str">
        <f aca="false">IF(OR(E244="",E244="!!!",F244="NEW"),"",INDEX(J$1:J243,SUMPRODUCT(MAX(ROW(E$1:E243)*(E244=E$1:E243)))))</f>
        <v/>
      </c>
      <c r="L244" s="25"/>
    </row>
    <row r="245" customFormat="false" ht="14.25" hidden="false" customHeight="false" outlineLevel="0" collapsed="false">
      <c r="A245" s="0" t="s">
        <v>161</v>
      </c>
      <c r="E245" s="20" t="str">
        <f aca="false">IF(D245="?OLD","!!!","")</f>
        <v/>
      </c>
      <c r="F245" s="21" t="str">
        <f aca="false">IF(OR(E245="",E245="!!!"),"",IF(NOT(ISNA(VLOOKUP(E245,E$1:E244,1,FALSE()))),"OLD",IF(AND(E245&lt;&gt;"",E245&lt;&gt;"!!!"),"NEW","")))</f>
        <v/>
      </c>
      <c r="G245" s="22" t="str">
        <f aca="false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aca="false">IF(J245&lt;&gt;1,"",IF(I245="SBJ","CB","?"))</f>
        <v/>
      </c>
      <c r="I245" s="24" t="str">
        <f aca="false">IF(OR(E245="",E245="!!!",F245="NEW"),"",INDEX(B$2:B244,-1+SUMPRODUCT(MAX(ROW(E$2:E244)*(E245=E$2:E244)))))</f>
        <v/>
      </c>
      <c r="J245" s="24" t="str">
        <f aca="true">IF(OR(E245="",E245="!!!",F245="NEW"),"",COUNTBLANK(OFFSET(A$1,,,SUMPRODUCT(MAX(ROW(E$2:E245)*(E245=E$2:E245)))))-COUNTBLANK(OFFSET(A$1,,,SUMPRODUCT(MAX(ROW(E$1:E244)*(E2=E$1:E244))))))</f>
        <v/>
      </c>
      <c r="K245" s="24" t="str">
        <f aca="false">IF(OR(E245="",E245="!!!",F245="NEW"),"",INDEX(J$1:J244,SUMPRODUCT(MAX(ROW(E$1:E244)*(E245=E$1:E244)))))</f>
        <v/>
      </c>
      <c r="L245" s="25"/>
    </row>
    <row r="246" customFormat="false" ht="14.25" hidden="false" customHeight="false" outlineLevel="0" collapsed="false">
      <c r="A246" s="0" t="s">
        <v>101</v>
      </c>
      <c r="E246" s="20" t="str">
        <f aca="false">IF(D246="?OLD","!!!","")</f>
        <v/>
      </c>
      <c r="F246" s="21" t="str">
        <f aca="false">IF(OR(E246="",E246="!!!"),"",IF(NOT(ISNA(VLOOKUP(E246,E$1:E245,1,FALSE()))),"OLD",IF(AND(E246&lt;&gt;"",E246&lt;&gt;"!!!"),"NEW","")))</f>
        <v/>
      </c>
      <c r="G246" s="22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aca="false">IF(J246&lt;&gt;1,"",IF(I246="SBJ","CB","?"))</f>
        <v/>
      </c>
      <c r="I246" s="24" t="str">
        <f aca="false">IF(OR(E246="",E246="!!!",F246="NEW"),"",INDEX(B$2:B245,-1+SUMPRODUCT(MAX(ROW(E$2:E245)*(E246=E$2:E245)))))</f>
        <v/>
      </c>
      <c r="J246" s="24" t="str">
        <f aca="true">IF(OR(E246="",E246="!!!",F246="NEW"),"",COUNTBLANK(OFFSET(A$1,,,SUMPRODUCT(MAX(ROW(E$2:E246)*(E246=E$2:E246)))))-COUNTBLANK(OFFSET(A$1,,,SUMPRODUCT(MAX(ROW(E$1:E245)*(E2=E$1:E245))))))</f>
        <v/>
      </c>
      <c r="K246" s="24" t="str">
        <f aca="false">IF(OR(E246="",E246="!!!",F246="NEW"),"",INDEX(J$1:J245,SUMPRODUCT(MAX(ROW(E$1:E245)*(E246=E$1:E245)))))</f>
        <v/>
      </c>
      <c r="L246" s="25"/>
    </row>
    <row r="247" customFormat="false" ht="14.25" hidden="false" customHeight="false" outlineLevel="0" collapsed="false">
      <c r="A247" s="0" t="s">
        <v>297</v>
      </c>
      <c r="E247" s="20" t="str">
        <f aca="false">IF(D247="?OLD","!!!","")</f>
        <v/>
      </c>
      <c r="F247" s="21" t="str">
        <f aca="false">IF(OR(E247="",E247="!!!"),"",IF(NOT(ISNA(VLOOKUP(E247,E$1:E246,1,FALSE()))),"OLD",IF(AND(E247&lt;&gt;"",E247&lt;&gt;"!!!"),"NEW","")))</f>
        <v/>
      </c>
      <c r="G247" s="22" t="str">
        <f aca="false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aca="false">IF(J247&lt;&gt;1,"",IF(I247="SBJ","CB","?"))</f>
        <v/>
      </c>
      <c r="I247" s="24" t="str">
        <f aca="false">IF(OR(E247="",E247="!!!",F247="NEW"),"",INDEX(B$2:B246,-1+SUMPRODUCT(MAX(ROW(E$2:E246)*(E247=E$2:E246)))))</f>
        <v/>
      </c>
      <c r="J247" s="24" t="str">
        <f aca="true">IF(OR(E247="",E247="!!!",F247="NEW"),"",COUNTBLANK(OFFSET(A$1,,,SUMPRODUCT(MAX(ROW(E$2:E247)*(E247=E$2:E247)))))-COUNTBLANK(OFFSET(A$1,,,SUMPRODUCT(MAX(ROW(E$1:E246)*(E2=E$1:E246))))))</f>
        <v/>
      </c>
      <c r="K247" s="24" t="str">
        <f aca="false">IF(OR(E247="",E247="!!!",F247="NEW"),"",INDEX(J$1:J246,SUMPRODUCT(MAX(ROW(E$1:E246)*(E247=E$1:E246)))))</f>
        <v/>
      </c>
      <c r="L247" s="25"/>
    </row>
    <row r="248" customFormat="false" ht="14.25" hidden="false" customHeight="false" outlineLevel="0" collapsed="false">
      <c r="A248" s="0" t="s">
        <v>160</v>
      </c>
      <c r="B248" s="26" t="s">
        <v>298</v>
      </c>
      <c r="C248" s="26" t="s">
        <v>151</v>
      </c>
      <c r="D248" s="26" t="s">
        <v>75</v>
      </c>
      <c r="E248" s="20" t="s">
        <v>299</v>
      </c>
      <c r="F248" s="21" t="s">
        <v>98</v>
      </c>
      <c r="G248" s="22" t="e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#VALUE!</v>
      </c>
      <c r="H248" s="23" t="str">
        <f aca="false">IF(J248&lt;&gt;1,"",IF(I248="SBJ","CB","?"))</f>
        <v/>
      </c>
      <c r="I248" s="24" t="e">
        <f aca="false">IF(OR(E248="",E248="!!!",F248="NEW"),"",INDEX(B$2:B247,-1+SUMPRODUCT(MAX(ROW(E$2:E247)*(E248=E$2:E247)))))</f>
        <v>#VALUE!</v>
      </c>
      <c r="J248" s="24" t="n">
        <f aca="true">IF(OR(E248="",E248="!!!",F248="NEW"),"",COUNTBLANK(OFFSET(A$1,,,SUMPRODUCT(MAX(ROW(E$2:E248)*(E248=E$2:E248)))))-COUNTBLANK(OFFSET(A$1,,,SUMPRODUCT(MAX(ROW(E$1:E247)*(E2=E$1:E247))))))</f>
        <v>0</v>
      </c>
      <c r="K248" s="24" t="e">
        <f aca="false">IF(OR(E248="",E248="!!!",F248="NEW"),"",INDEX(J$1:J247,SUMPRODUCT(MAX(ROW(E$1:E247)*(E248=E$1:E247)))))</f>
        <v>#VALUE!</v>
      </c>
      <c r="L248" s="27" t="s">
        <v>300</v>
      </c>
    </row>
    <row r="249" customFormat="false" ht="14.25" hidden="false" customHeight="false" outlineLevel="0" collapsed="false">
      <c r="A249" s="0" t="s">
        <v>301</v>
      </c>
      <c r="E249" s="20" t="str">
        <f aca="false">IF(D249="?OLD","!!!","")</f>
        <v/>
      </c>
      <c r="F249" s="21" t="str">
        <f aca="false">IF(OR(E249="",E249="!!!"),"",IF(NOT(ISNA(VLOOKUP(E249,E$1:E248,1,FALSE()))),"OLD",IF(AND(E249&lt;&gt;"",E249&lt;&gt;"!!!"),"NEW","")))</f>
        <v/>
      </c>
      <c r="G249" s="22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aca="false">IF(J249&lt;&gt;1,"",IF(I249="SBJ","CB","?"))</f>
        <v/>
      </c>
      <c r="I249" s="24" t="str">
        <f aca="false">IF(OR(E249="",E249="!!!",F249="NEW"),"",INDEX(B$2:B248,-1+SUMPRODUCT(MAX(ROW(E$2:E248)*(E249=E$2:E248)))))</f>
        <v/>
      </c>
      <c r="J249" s="24" t="str">
        <f aca="true">IF(OR(E249="",E249="!!!",F249="NEW"),"",COUNTBLANK(OFFSET(A$1,,,SUMPRODUCT(MAX(ROW(E$2:E249)*(E249=E$2:E249)))))-COUNTBLANK(OFFSET(A$1,,,SUMPRODUCT(MAX(ROW(E$1:E248)*(E2=E$1:E248))))))</f>
        <v/>
      </c>
      <c r="K249" s="24" t="str">
        <f aca="false">IF(OR(E249="",E249="!!!",F249="NEW"),"",INDEX(J$1:J248,SUMPRODUCT(MAX(ROW(E$1:E248)*(E249=E$1:E248)))))</f>
        <v/>
      </c>
      <c r="L249" s="25"/>
    </row>
    <row r="250" customFormat="false" ht="14.25" hidden="false" customHeight="false" outlineLevel="0" collapsed="false">
      <c r="A250" s="0" t="s">
        <v>155</v>
      </c>
      <c r="E250" s="20" t="str">
        <f aca="false">IF(D250="?OLD","!!!","")</f>
        <v/>
      </c>
      <c r="F250" s="21" t="str">
        <f aca="false">IF(OR(E250="",E250="!!!"),"",IF(NOT(ISNA(VLOOKUP(E250,E$1:E249,1,FALSE()))),"OLD",IF(AND(E250&lt;&gt;"",E250&lt;&gt;"!!!"),"NEW","")))</f>
        <v/>
      </c>
      <c r="G250" s="22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aca="false">IF(J250&lt;&gt;1,"",IF(I250="SBJ","CB","?"))</f>
        <v/>
      </c>
      <c r="I250" s="24" t="str">
        <f aca="false">IF(OR(E250="",E250="!!!",F250="NEW"),"",INDEX(B$2:B249,-1+SUMPRODUCT(MAX(ROW(E$2:E249)*(E250=E$2:E249)))))</f>
        <v/>
      </c>
      <c r="J250" s="24" t="str">
        <f aca="true">IF(OR(E250="",E250="!!!",F250="NEW"),"",COUNTBLANK(OFFSET(A$1,,,SUMPRODUCT(MAX(ROW(E$2:E250)*(E250=E$2:E250)))))-COUNTBLANK(OFFSET(A$1,,,SUMPRODUCT(MAX(ROW(E$1:E249)*(E2=E$1:E249))))))</f>
        <v/>
      </c>
      <c r="K250" s="24" t="str">
        <f aca="false">IF(OR(E250="",E250="!!!",F250="NEW"),"",INDEX(J$1:J249,SUMPRODUCT(MAX(ROW(E$1:E249)*(E250=E$1:E249)))))</f>
        <v/>
      </c>
      <c r="L250" s="25"/>
    </row>
    <row r="251" customFormat="false" ht="14.25" hidden="false" customHeight="false" outlineLevel="0" collapsed="false">
      <c r="A251" s="0" t="s">
        <v>302</v>
      </c>
      <c r="E251" s="20" t="str">
        <f aca="false">IF(D251="?OLD","!!!","")</f>
        <v/>
      </c>
      <c r="F251" s="21" t="str">
        <f aca="false">IF(OR(E251="",E251="!!!"),"",IF(NOT(ISNA(VLOOKUP(E251,E$1:E250,1,FALSE()))),"OLD",IF(AND(E251&lt;&gt;"",E251&lt;&gt;"!!!"),"NEW","")))</f>
        <v/>
      </c>
      <c r="G251" s="22" t="str">
        <f aca="false"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aca="false">IF(J251&lt;&gt;1,"",IF(I251="SBJ","CB","?"))</f>
        <v/>
      </c>
      <c r="I251" s="24" t="str">
        <f aca="false">IF(OR(E251="",E251="!!!",F251="NEW"),"",INDEX(B$2:B250,-1+SUMPRODUCT(MAX(ROW(E$2:E250)*(E251=E$2:E250)))))</f>
        <v/>
      </c>
      <c r="J251" s="24" t="str">
        <f aca="true">IF(OR(E251="",E251="!!!",F251="NEW"),"",COUNTBLANK(OFFSET(A$1,,,SUMPRODUCT(MAX(ROW(E$2:E251)*(E251=E$2:E251)))))-COUNTBLANK(OFFSET(A$1,,,SUMPRODUCT(MAX(ROW(E$1:E250)*(E2=E$1:E250))))))</f>
        <v/>
      </c>
      <c r="K251" s="24" t="str">
        <f aca="false">IF(OR(E251="",E251="!!!",F251="NEW"),"",INDEX(J$1:J250,SUMPRODUCT(MAX(ROW(E$1:E250)*(E251=E$1:E250)))))</f>
        <v/>
      </c>
      <c r="L251" s="25"/>
    </row>
    <row r="252" customFormat="false" ht="14.25" hidden="false" customHeight="false" outlineLevel="0" collapsed="false">
      <c r="A252" s="0" t="s">
        <v>172</v>
      </c>
      <c r="E252" s="20" t="str">
        <f aca="false">IF(D252="?OLD","!!!","")</f>
        <v/>
      </c>
      <c r="F252" s="21" t="str">
        <f aca="false">IF(OR(E252="",E252="!!!"),"",IF(NOT(ISNA(VLOOKUP(E252,E$1:E251,1,FALSE()))),"OLD",IF(AND(E252&lt;&gt;"",E252&lt;&gt;"!!!"),"NEW","")))</f>
        <v/>
      </c>
      <c r="G252" s="22" t="str">
        <f aca="false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aca="false">IF(J252&lt;&gt;1,"",IF(I252="SBJ","CB","?"))</f>
        <v/>
      </c>
      <c r="I252" s="24" t="str">
        <f aca="false">IF(OR(E252="",E252="!!!",F252="NEW"),"",INDEX(B$2:B251,-1+SUMPRODUCT(MAX(ROW(E$2:E251)*(E252=E$2:E251)))))</f>
        <v/>
      </c>
      <c r="J252" s="24" t="str">
        <f aca="true">IF(OR(E252="",E252="!!!",F252="NEW"),"",COUNTBLANK(OFFSET(A$1,,,SUMPRODUCT(MAX(ROW(E$2:E252)*(E252=E$2:E252)))))-COUNTBLANK(OFFSET(A$1,,,SUMPRODUCT(MAX(ROW(E$1:E251)*(E2=E$1:E251))))))</f>
        <v/>
      </c>
      <c r="K252" s="24" t="str">
        <f aca="false">IF(OR(E252="",E252="!!!",F252="NEW"),"",INDEX(J$1:J251,SUMPRODUCT(MAX(ROW(E$1:E251)*(E252=E$1:E251)))))</f>
        <v/>
      </c>
      <c r="L252" s="25"/>
    </row>
    <row r="253" customFormat="false" ht="14.25" hidden="false" customHeight="false" outlineLevel="0" collapsed="false">
      <c r="A253" s="0" t="s">
        <v>188</v>
      </c>
      <c r="E253" s="20" t="str">
        <f aca="false">IF(D253="?OLD","!!!","")</f>
        <v/>
      </c>
      <c r="F253" s="21" t="str">
        <f aca="false">IF(OR(E253="",E253="!!!"),"",IF(NOT(ISNA(VLOOKUP(E253,E$1:E252,1,FALSE()))),"OLD",IF(AND(E253&lt;&gt;"",E253&lt;&gt;"!!!"),"NEW","")))</f>
        <v/>
      </c>
      <c r="G253" s="22" t="str">
        <f aca="false"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aca="false">IF(J253&lt;&gt;1,"",IF(I253="SBJ","CB","?"))</f>
        <v/>
      </c>
      <c r="I253" s="24" t="str">
        <f aca="false">IF(OR(E253="",E253="!!!",F253="NEW"),"",INDEX(B$2:B252,-1+SUMPRODUCT(MAX(ROW(E$2:E252)*(E253=E$2:E252)))))</f>
        <v/>
      </c>
      <c r="J253" s="24" t="str">
        <f aca="true">IF(OR(E253="",E253="!!!",F253="NEW"),"",COUNTBLANK(OFFSET(A$1,,,SUMPRODUCT(MAX(ROW(E$2:E253)*(E253=E$2:E253)))))-COUNTBLANK(OFFSET(A$1,,,SUMPRODUCT(MAX(ROW(E$1:E252)*(E2=E$1:E252))))))</f>
        <v/>
      </c>
      <c r="K253" s="24" t="str">
        <f aca="false">IF(OR(E253="",E253="!!!",F253="NEW"),"",INDEX(J$1:J252,SUMPRODUCT(MAX(ROW(E$1:E252)*(E253=E$1:E252)))))</f>
        <v/>
      </c>
      <c r="L253" s="25"/>
    </row>
    <row r="254" customFormat="false" ht="14.25" hidden="false" customHeight="false" outlineLevel="0" collapsed="false">
      <c r="A254" s="0" t="s">
        <v>303</v>
      </c>
      <c r="B254" s="26" t="s">
        <v>304</v>
      </c>
      <c r="C254" s="26" t="s">
        <v>74</v>
      </c>
      <c r="D254" s="26" t="s">
        <v>75</v>
      </c>
      <c r="E254" s="20"/>
      <c r="F254" s="21" t="s">
        <v>84</v>
      </c>
      <c r="G254" s="22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aca="false">IF(J254&lt;&gt;1,"",IF(I254="SBJ","CB","?"))</f>
        <v/>
      </c>
      <c r="I254" s="24" t="str">
        <f aca="false">IF(OR(E254="",E254="!!!",F254="NEW"),"",INDEX(B$2:B253,-1+SUMPRODUCT(MAX(ROW(E$2:E253)*(E254=E$2:E253)))))</f>
        <v/>
      </c>
      <c r="J254" s="24" t="str">
        <f aca="true">IF(OR(E254="",E254="!!!",F254="NEW"),"",COUNTBLANK(OFFSET(A$1,,,SUMPRODUCT(MAX(ROW(E$2:E254)*(E254=E$2:E254)))))-COUNTBLANK(OFFSET(A$1,,,SUMPRODUCT(MAX(ROW(E$1:E253)*(E2=E$1:E253))))))</f>
        <v/>
      </c>
      <c r="K254" s="24" t="str">
        <f aca="false">IF(OR(E254="",E254="!!!",F254="NEW"),"",INDEX(J$1:J253,SUMPRODUCT(MAX(ROW(E$1:E253)*(E254=E$1:E253)))))</f>
        <v/>
      </c>
      <c r="L254" s="27" t="s">
        <v>305</v>
      </c>
    </row>
    <row r="255" customFormat="false" ht="14.25" hidden="false" customHeight="false" outlineLevel="0" collapsed="false">
      <c r="A255" s="0" t="s">
        <v>79</v>
      </c>
      <c r="E255" s="20" t="str">
        <f aca="false">IF(D255="?OLD","!!!","")</f>
        <v/>
      </c>
      <c r="F255" s="21" t="str">
        <f aca="false">IF(OR(E255="",E255="!!!"),"",IF(NOT(ISNA(VLOOKUP(E255,E$1:E254,1,FALSE()))),"OLD",IF(AND(E255&lt;&gt;"",E255&lt;&gt;"!!!"),"NEW","")))</f>
        <v/>
      </c>
      <c r="G255" s="22" t="str">
        <f aca="false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aca="false">IF(J255&lt;&gt;1,"",IF(I255="SBJ","CB","?"))</f>
        <v/>
      </c>
      <c r="I255" s="24" t="str">
        <f aca="false">IF(OR(E255="",E255="!!!",F255="NEW"),"",INDEX(B$2:B254,-1+SUMPRODUCT(MAX(ROW(E$2:E254)*(E255=E$2:E254)))))</f>
        <v/>
      </c>
      <c r="J255" s="24" t="str">
        <f aca="true">IF(OR(E255="",E255="!!!",F255="NEW"),"",COUNTBLANK(OFFSET(A$1,,,SUMPRODUCT(MAX(ROW(E$2:E255)*(E255=E$2:E255)))))-COUNTBLANK(OFFSET(A$1,,,SUMPRODUCT(MAX(ROW(E$1:E254)*(E2=E$1:E254))))))</f>
        <v/>
      </c>
      <c r="K255" s="24" t="str">
        <f aca="false">IF(OR(E255="",E255="!!!",F255="NEW"),"",INDEX(J$1:J254,SUMPRODUCT(MAX(ROW(E$1:E254)*(E255=E$1:E254)))))</f>
        <v/>
      </c>
      <c r="L255" s="25"/>
    </row>
    <row r="256" customFormat="false" ht="14.25" hidden="false" customHeight="false" outlineLevel="0" collapsed="false">
      <c r="A256" s="0" t="s">
        <v>188</v>
      </c>
      <c r="E256" s="20" t="str">
        <f aca="false">IF(D256="?OLD","!!!","")</f>
        <v/>
      </c>
      <c r="F256" s="21" t="str">
        <f aca="false">IF(OR(E256="",E256="!!!"),"",IF(NOT(ISNA(VLOOKUP(E256,E$1:E255,1,FALSE()))),"OLD",IF(AND(E256&lt;&gt;"",E256&lt;&gt;"!!!"),"NEW","")))</f>
        <v/>
      </c>
      <c r="G256" s="22" t="str">
        <f aca="false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aca="false">IF(J256&lt;&gt;1,"",IF(I256="SBJ","CB","?"))</f>
        <v/>
      </c>
      <c r="I256" s="24" t="str">
        <f aca="false">IF(OR(E256="",E256="!!!",F256="NEW"),"",INDEX(B$2:B255,-1+SUMPRODUCT(MAX(ROW(E$2:E255)*(E256=E$2:E255)))))</f>
        <v/>
      </c>
      <c r="J256" s="24" t="str">
        <f aca="true">IF(OR(E256="",E256="!!!",F256="NEW"),"",COUNTBLANK(OFFSET(A$1,,,SUMPRODUCT(MAX(ROW(E$2:E256)*(E256=E$2:E256)))))-COUNTBLANK(OFFSET(A$1,,,SUMPRODUCT(MAX(ROW(E$1:E255)*(E2=E$1:E255))))))</f>
        <v/>
      </c>
      <c r="K256" s="24" t="str">
        <f aca="false">IF(OR(E256="",E256="!!!",F256="NEW"),"",INDEX(J$1:J255,SUMPRODUCT(MAX(ROW(E$1:E255)*(E256=E$1:E255)))))</f>
        <v/>
      </c>
      <c r="L256" s="25"/>
    </row>
    <row r="257" customFormat="false" ht="14.25" hidden="false" customHeight="false" outlineLevel="0" collapsed="false">
      <c r="A257" s="0" t="s">
        <v>306</v>
      </c>
      <c r="B257" s="26" t="s">
        <v>307</v>
      </c>
      <c r="C257" s="26" t="s">
        <v>74</v>
      </c>
      <c r="D257" s="26" t="s">
        <v>75</v>
      </c>
      <c r="E257" s="20"/>
      <c r="F257" s="21" t="s">
        <v>84</v>
      </c>
      <c r="G257" s="22" t="str">
        <f aca="false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aca="false">IF(J257&lt;&gt;1,"",IF(I257="SBJ","CB","?"))</f>
        <v/>
      </c>
      <c r="I257" s="24" t="str">
        <f aca="false">IF(OR(E257="",E257="!!!",F257="NEW"),"",INDEX(B$2:B256,-1+SUMPRODUCT(MAX(ROW(E$2:E256)*(E257=E$2:E256)))))</f>
        <v/>
      </c>
      <c r="J257" s="24" t="str">
        <f aca="true">IF(OR(E257="",E257="!!!",F257="NEW"),"",COUNTBLANK(OFFSET(A$1,,,SUMPRODUCT(MAX(ROW(E$2:E257)*(E257=E$2:E257)))))-COUNTBLANK(OFFSET(A$1,,,SUMPRODUCT(MAX(ROW(E$1:E256)*(E2=E$1:E256))))))</f>
        <v/>
      </c>
      <c r="K257" s="24" t="str">
        <f aca="false">IF(OR(E257="",E257="!!!",F257="NEW"),"",INDEX(J$1:J256,SUMPRODUCT(MAX(ROW(E$1:E256)*(E257=E$1:E256)))))</f>
        <v/>
      </c>
      <c r="L257" s="27" t="s">
        <v>308</v>
      </c>
    </row>
    <row r="258" customFormat="false" ht="14.25" hidden="false" customHeight="false" outlineLevel="0" collapsed="false">
      <c r="A258" s="0" t="s">
        <v>155</v>
      </c>
      <c r="E258" s="20" t="str">
        <f aca="false">IF(D258="?OLD","!!!","")</f>
        <v/>
      </c>
      <c r="F258" s="21" t="str">
        <f aca="false">IF(OR(E258="",E258="!!!"),"",IF(NOT(ISNA(VLOOKUP(E258,E$1:E257,1,FALSE()))),"OLD",IF(AND(E258&lt;&gt;"",E258&lt;&gt;"!!!"),"NEW","")))</f>
        <v/>
      </c>
      <c r="G258" s="22" t="str">
        <f aca="false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aca="false">IF(J258&lt;&gt;1,"",IF(I258="SBJ","CB","?"))</f>
        <v/>
      </c>
      <c r="I258" s="24" t="str">
        <f aca="false">IF(OR(E258="",E258="!!!",F258="NEW"),"",INDEX(B$2:B257,-1+SUMPRODUCT(MAX(ROW(E$2:E257)*(E258=E$2:E257)))))</f>
        <v/>
      </c>
      <c r="J258" s="24" t="str">
        <f aca="true">IF(OR(E258="",E258="!!!",F258="NEW"),"",COUNTBLANK(OFFSET(A$1,,,SUMPRODUCT(MAX(ROW(E$2:E258)*(E258=E$2:E258)))))-COUNTBLANK(OFFSET(A$1,,,SUMPRODUCT(MAX(ROW(E$1:E257)*(E2=E$1:E257))))))</f>
        <v/>
      </c>
      <c r="K258" s="24" t="str">
        <f aca="false">IF(OR(E258="",E258="!!!",F258="NEW"),"",INDEX(J$1:J257,SUMPRODUCT(MAX(ROW(E$1:E257)*(E258=E$1:E257)))))</f>
        <v/>
      </c>
      <c r="L258" s="25"/>
    </row>
    <row r="259" customFormat="false" ht="14.25" hidden="false" customHeight="false" outlineLevel="0" collapsed="false">
      <c r="A259" s="0" t="s">
        <v>309</v>
      </c>
      <c r="E259" s="20" t="s">
        <v>310</v>
      </c>
      <c r="F259" s="21" t="s">
        <v>186</v>
      </c>
      <c r="G259" s="22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?REFERENTIAL</v>
      </c>
      <c r="H259" s="23" t="str">
        <f aca="false">IF(J259&lt;&gt;1,"",IF(I259="SBJ","CB","?"))</f>
        <v/>
      </c>
      <c r="I259" s="24" t="str">
        <f aca="false">IF(OR(E259="",E259="!!!",F259="NEW"),"",INDEX(B$2:B258,-1+SUMPRODUCT(MAX(ROW(E$2:E258)*(E259=E$2:E258)))))</f>
        <v/>
      </c>
      <c r="J259" s="28" t="str">
        <f aca="true">IF(OR(E259="",E259="!!!",F259="NEW"),"",COUNTBLANK(OFFSET(A$1,,,SUMPRODUCT(MAX(ROW(E$2:E259)*(E259=E$2:E259)))))-COUNTBLANK(OFFSET(A$1,,,SUMPRODUCT(MAX(ROW(E$1:E258)*(E2=E$1:E258))))))</f>
        <v/>
      </c>
      <c r="K259" s="28" t="str">
        <f aca="false">IF(OR(E259="",E259="!!!",F259="NEW"),"",INDEX(J$1:J258,SUMPRODUCT(MAX(ROW(E$1:E258)*(E259=E$1:E258)))))</f>
        <v/>
      </c>
      <c r="L259" s="27" t="s">
        <v>311</v>
      </c>
    </row>
    <row r="260" customFormat="false" ht="14.25" hidden="false" customHeight="false" outlineLevel="0" collapsed="false">
      <c r="A260" s="0" t="s">
        <v>142</v>
      </c>
      <c r="E260" s="20" t="str">
        <f aca="false">IF(D260="?OLD","!!!","")</f>
        <v/>
      </c>
      <c r="F260" s="21" t="str">
        <f aca="false">IF(OR(E260="",E260="!!!"),"",IF(NOT(ISNA(VLOOKUP(E260,E$1:E259,1,FALSE()))),"OLD",IF(AND(E260&lt;&gt;"",E260&lt;&gt;"!!!"),"NEW","")))</f>
        <v/>
      </c>
      <c r="G260" s="22" t="str">
        <f aca="false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aca="false">IF(J260&lt;&gt;1,"",IF(I260="SBJ","CB","?"))</f>
        <v/>
      </c>
      <c r="I260" s="24" t="str">
        <f aca="false">IF(OR(E260="",E260="!!!",F260="NEW"),"",INDEX(B$2:B259,-1+SUMPRODUCT(MAX(ROW(E$2:E259)*(E260=E$2:E259)))))</f>
        <v/>
      </c>
      <c r="J260" s="24" t="str">
        <f aca="true">IF(OR(E260="",E260="!!!",F260="NEW"),"",COUNTBLANK(OFFSET(A$1,,,SUMPRODUCT(MAX(ROW(E$2:E260)*(E260=E$2:E260)))))-COUNTBLANK(OFFSET(A$1,,,SUMPRODUCT(MAX(ROW(E$1:E259)*(E2=E$1:E259))))))</f>
        <v/>
      </c>
      <c r="K260" s="24" t="str">
        <f aca="false">IF(OR(E260="",E260="!!!",F260="NEW"),"",INDEX(J$1:J259,SUMPRODUCT(MAX(ROW(E$1:E259)*(E260=E$1:E259)))))</f>
        <v/>
      </c>
      <c r="L260" s="25"/>
    </row>
    <row r="261" customFormat="false" ht="14.25" hidden="false" customHeight="false" outlineLevel="0" collapsed="false">
      <c r="A261" s="0" t="s">
        <v>116</v>
      </c>
      <c r="E261" s="20" t="str">
        <f aca="false">IF(D261="?OLD","!!!","")</f>
        <v/>
      </c>
      <c r="F261" s="21" t="str">
        <f aca="false">IF(OR(E261="",E261="!!!"),"",IF(NOT(ISNA(VLOOKUP(E261,E$1:E260,1,FALSE()))),"OLD",IF(AND(E261&lt;&gt;"",E261&lt;&gt;"!!!"),"NEW","")))</f>
        <v/>
      </c>
      <c r="G261" s="22" t="str">
        <f aca="false"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aca="false">IF(J261&lt;&gt;1,"",IF(I261="SBJ","CB","?"))</f>
        <v/>
      </c>
      <c r="I261" s="24" t="str">
        <f aca="false">IF(OR(E261="",E261="!!!",F261="NEW"),"",INDEX(B$2:B260,-1+SUMPRODUCT(MAX(ROW(E$2:E260)*(E261=E$2:E260)))))</f>
        <v/>
      </c>
      <c r="J261" s="24" t="str">
        <f aca="true">IF(OR(E261="",E261="!!!",F261="NEW"),"",COUNTBLANK(OFFSET(A$1,,,SUMPRODUCT(MAX(ROW(E$2:E261)*(E261=E$2:E261)))))-COUNTBLANK(OFFSET(A$1,,,SUMPRODUCT(MAX(ROW(E$1:E260)*(E2=E$1:E260))))))</f>
        <v/>
      </c>
      <c r="K261" s="24" t="str">
        <f aca="false">IF(OR(E261="",E261="!!!",F261="NEW"),"",INDEX(J$1:J260,SUMPRODUCT(MAX(ROW(E$1:E260)*(E261=E$1:E260)))))</f>
        <v/>
      </c>
      <c r="L261" s="25"/>
    </row>
    <row r="262" customFormat="false" ht="14.25" hidden="false" customHeight="false" outlineLevel="0" collapsed="false">
      <c r="A262" s="0" t="s">
        <v>312</v>
      </c>
      <c r="E262" s="20" t="str">
        <f aca="false">IF(D262="?OLD","!!!","")</f>
        <v/>
      </c>
      <c r="F262" s="21" t="str">
        <f aca="false">IF(OR(E262="",E262="!!!"),"",IF(NOT(ISNA(VLOOKUP(E262,E$1:E261,1,FALSE()))),"OLD",IF(AND(E262&lt;&gt;"",E262&lt;&gt;"!!!"),"NEW","")))</f>
        <v/>
      </c>
      <c r="G262" s="22" t="str">
        <f aca="false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aca="false">IF(J262&lt;&gt;1,"",IF(I262="SBJ","CB","?"))</f>
        <v/>
      </c>
      <c r="I262" s="24" t="str">
        <f aca="false">IF(OR(E262="",E262="!!!",F262="NEW"),"",INDEX(B$2:B261,-1+SUMPRODUCT(MAX(ROW(E$2:E261)*(E262=E$2:E261)))))</f>
        <v/>
      </c>
      <c r="J262" s="24" t="str">
        <f aca="true">IF(OR(E262="",E262="!!!",F262="NEW"),"",COUNTBLANK(OFFSET(A$1,,,SUMPRODUCT(MAX(ROW(E$2:E262)*(E262=E$2:E262)))))-COUNTBLANK(OFFSET(A$1,,,SUMPRODUCT(MAX(ROW(E$1:E261)*(E2=E$1:E261))))))</f>
        <v/>
      </c>
      <c r="K262" s="24" t="str">
        <f aca="false">IF(OR(E262="",E262="!!!",F262="NEW"),"",INDEX(J$1:J261,SUMPRODUCT(MAX(ROW(E$1:E261)*(E262=E$1:E261)))))</f>
        <v/>
      </c>
      <c r="L262" s="25"/>
    </row>
    <row r="263" customFormat="false" ht="14.25" hidden="false" customHeight="false" outlineLevel="0" collapsed="false">
      <c r="A263" s="0" t="s">
        <v>313</v>
      </c>
      <c r="E263" s="20"/>
      <c r="F263" s="21" t="str">
        <f aca="false">IF(OR(E263="",E263="!!!"),"",IF(NOT(ISNA(VLOOKUP(E263,E$1:E262,1,FALSE()))),"OLD",IF(AND(E263&lt;&gt;"",E263&lt;&gt;"!!!"),"NEW","")))</f>
        <v/>
      </c>
      <c r="G263" s="22" t="str">
        <f aca="false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aca="false">IF(J263&lt;&gt;1,"",IF(I263="SBJ","CB","?"))</f>
        <v/>
      </c>
      <c r="I263" s="24" t="str">
        <f aca="false">IF(OR(E263="",E263="!!!",F263="NEW"),"",INDEX(B$2:B262,-1+SUMPRODUCT(MAX(ROW(E$2:E262)*(E263=E$2:E262)))))</f>
        <v/>
      </c>
      <c r="J263" s="24" t="str">
        <f aca="true">IF(OR(E263="",E263="!!!",F263="NEW"),"",COUNTBLANK(OFFSET(A$1,,,SUMPRODUCT(MAX(ROW(E$2:E263)*(E263=E$2:E263)))))-COUNTBLANK(OFFSET(A$1,,,SUMPRODUCT(MAX(ROW(E$1:E262)*(E2=E$1:E262))))))</f>
        <v/>
      </c>
      <c r="K263" s="24" t="str">
        <f aca="false">IF(OR(E263="",E263="!!!",F263="NEW"),"",INDEX(J$1:J262,SUMPRODUCT(MAX(ROW(E$1:E262)*(E263=E$1:E262)))))</f>
        <v/>
      </c>
      <c r="L263" s="25"/>
    </row>
    <row r="264" customFormat="false" ht="14.25" hidden="false" customHeight="false" outlineLevel="0" collapsed="false">
      <c r="A264" s="0" t="s">
        <v>86</v>
      </c>
      <c r="E264" s="20" t="str">
        <f aca="false">IF(D264="?OLD","!!!","")</f>
        <v/>
      </c>
      <c r="F264" s="21" t="str">
        <f aca="false">IF(OR(E264="",E264="!!!"),"",IF(NOT(ISNA(VLOOKUP(E264,E$1:E263,1,FALSE()))),"OLD",IF(AND(E264&lt;&gt;"",E264&lt;&gt;"!!!"),"NEW","")))</f>
        <v/>
      </c>
      <c r="G264" s="22" t="str">
        <f aca="false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aca="false">IF(J264&lt;&gt;1,"",IF(I264="SBJ","CB","?"))</f>
        <v/>
      </c>
      <c r="I264" s="24" t="str">
        <f aca="false">IF(OR(E264="",E264="!!!",F264="NEW"),"",INDEX(B$2:B263,-1+SUMPRODUCT(MAX(ROW(E$2:E263)*(E264=E$2:E263)))))</f>
        <v/>
      </c>
      <c r="J264" s="24" t="str">
        <f aca="true">IF(OR(E264="",E264="!!!",F264="NEW"),"",COUNTBLANK(OFFSET(A$1,,,SUMPRODUCT(MAX(ROW(E$2:E264)*(E264=E$2:E264)))))-COUNTBLANK(OFFSET(A$1,,,SUMPRODUCT(MAX(ROW(E$1:E263)*(E2=E$1:E263))))))</f>
        <v/>
      </c>
      <c r="K264" s="24" t="str">
        <f aca="false">IF(OR(E264="",E264="!!!",F264="NEW"),"",INDEX(J$1:J263,SUMPRODUCT(MAX(ROW(E$1:E263)*(E264=E$1:E263)))))</f>
        <v/>
      </c>
      <c r="L264" s="25"/>
    </row>
    <row r="265" customFormat="false" ht="14.25" hidden="false" customHeight="false" outlineLevel="0" collapsed="false">
      <c r="A265" s="0" t="s">
        <v>314</v>
      </c>
      <c r="B265" s="26" t="s">
        <v>96</v>
      </c>
      <c r="C265" s="26" t="s">
        <v>283</v>
      </c>
      <c r="D265" s="26" t="s">
        <v>75</v>
      </c>
      <c r="E265" s="20"/>
      <c r="F265" s="21" t="str">
        <f aca="false">IF(OR(E265="",E265="!!!"),"",IF(NOT(ISNA(VLOOKUP(E265,E$1:E264,1,FALSE()))),"OLD",IF(AND(E265&lt;&gt;"",E265&lt;&gt;"!!!"),"NEW","")))</f>
        <v/>
      </c>
      <c r="G265" s="22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aca="false">IF(J265&lt;&gt;1,"",IF(I265="SBJ","CB","?"))</f>
        <v/>
      </c>
      <c r="I265" s="24" t="str">
        <f aca="false">IF(OR(E265="",E265="!!!",F265="NEW"),"",INDEX(B$2:B264,-1+SUMPRODUCT(MAX(ROW(E$2:E264)*(E265=E$2:E264)))))</f>
        <v/>
      </c>
      <c r="J265" s="24" t="str">
        <f aca="true">IF(OR(E265="",E265="!!!",F265="NEW"),"",COUNTBLANK(OFFSET(A$1,,,SUMPRODUCT(MAX(ROW(E$2:E265)*(E265=E$2:E265)))))-COUNTBLANK(OFFSET(A$1,,,SUMPRODUCT(MAX(ROW(E$1:E264)*(E2=E$1:E264))))))</f>
        <v/>
      </c>
      <c r="K265" s="24" t="str">
        <f aca="false">IF(OR(E265="",E265="!!!",F265="NEW"),"",INDEX(J$1:J264,SUMPRODUCT(MAX(ROW(E$1:E264)*(E265=E$1:E264)))))</f>
        <v/>
      </c>
      <c r="L265" s="27" t="s">
        <v>134</v>
      </c>
    </row>
    <row r="266" customFormat="false" ht="14.25" hidden="false" customHeight="false" outlineLevel="0" collapsed="false">
      <c r="A266" s="0" t="s">
        <v>87</v>
      </c>
      <c r="B266" s="26" t="s">
        <v>96</v>
      </c>
      <c r="C266" s="26" t="s">
        <v>88</v>
      </c>
      <c r="D266" s="26" t="s">
        <v>75</v>
      </c>
      <c r="E266" s="20" t="s">
        <v>168</v>
      </c>
      <c r="F266" s="21" t="str">
        <f aca="false">IF(OR(E266="",E266="!!!"),"",IF(NOT(ISNA(VLOOKUP(E266,E$1:E265,1,FALSE()))),"OLD",IF(AND(E266&lt;&gt;"",E266&lt;&gt;"!!!"),"NEW","")))</f>
        <v>OLD</v>
      </c>
      <c r="G266" s="22" t="str">
        <f aca="false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?IN_FOCUS</v>
      </c>
      <c r="H266" s="23" t="str">
        <f aca="false">IF(J266&lt;&gt;1,"",IF(I266="SBJ","CB","?"))</f>
        <v/>
      </c>
      <c r="I266" s="24" t="str">
        <f aca="false">IF(OR(E266="",E266="!!!",F266="NEW"),"",INDEX(B$2:B265,-1+SUMPRODUCT(MAX(ROW(E$2:E265)*(E266=E$2:E265)))))</f>
        <v>SBJ_5</v>
      </c>
      <c r="J266" s="24" t="n">
        <f aca="true">IF(OR(E266="",E266="!!!",F266="NEW"),"",COUNTBLANK(OFFSET(A$1,,,SUMPRODUCT(MAX(ROW(E$2:E266)*(E266=E$2:E266)))))-COUNTBLANK(OFFSET(A$1,,,SUMPRODUCT(MAX(ROW(E$1:E265)*(E2=E$1:E265))))))</f>
        <v>0</v>
      </c>
      <c r="K266" s="24" t="n">
        <f aca="false">IF(OR(E266="",E266="!!!",F266="NEW"),"",INDEX(J$1:J265,SUMPRODUCT(MAX(ROW(E$1:E265)*(E266=E$1:E265)))))</f>
        <v>0</v>
      </c>
      <c r="L266" s="25"/>
    </row>
    <row r="267" customFormat="false" ht="14.25" hidden="false" customHeight="false" outlineLevel="0" collapsed="false">
      <c r="A267" s="0" t="s">
        <v>160</v>
      </c>
      <c r="E267" s="20" t="s">
        <v>310</v>
      </c>
      <c r="F267" s="21" t="str">
        <f aca="false">IF(OR(E267="",E267="!!!"),"",IF(NOT(ISNA(VLOOKUP(E267,E$1:E266,1,FALSE()))),"OLD",IF(AND(E267&lt;&gt;"",E267&lt;&gt;"!!!"),"NEW","")))</f>
        <v>OLD</v>
      </c>
      <c r="G267" s="22" t="str">
        <f aca="false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?IN_FOCUS</v>
      </c>
      <c r="H267" s="23" t="str">
        <f aca="false">IF(J267&lt;&gt;1,"",IF(I267="SBJ","CB","?"))</f>
        <v/>
      </c>
      <c r="I267" s="28" t="n">
        <f aca="false">IF(OR(E267="",E267="!!!",F267="NEW"),"",INDEX(B$2:B266,-1+SUMPRODUCT(MAX(ROW(E$2:E266)*(E267=E$2:E266)))))</f>
        <v>0</v>
      </c>
      <c r="J267" s="24" t="n">
        <f aca="true">IF(OR(E267="",E267="!!!",F267="NEW"),"",COUNTBLANK(OFFSET(A$1,,,SUMPRODUCT(MAX(ROW(E$2:E267)*(E267=E$2:E267)))))-COUNTBLANK(OFFSET(A$1,,,SUMPRODUCT(MAX(ROW(E$1:E266)*(E2=E$1:E266))))))</f>
        <v>0</v>
      </c>
      <c r="K267" s="24" t="str">
        <f aca="false">IF(OR(E267="",E267="!!!",F267="NEW"),"",INDEX(J$1:J266,SUMPRODUCT(MAX(ROW(E$1:E266)*(E267=E$1:E266)))))</f>
        <v/>
      </c>
      <c r="L267" s="25"/>
    </row>
    <row r="268" customFormat="false" ht="14.25" hidden="false" customHeight="false" outlineLevel="0" collapsed="false">
      <c r="A268" s="0" t="s">
        <v>315</v>
      </c>
      <c r="B268" s="26" t="s">
        <v>154</v>
      </c>
      <c r="C268" s="26" t="s">
        <v>74</v>
      </c>
      <c r="D268" s="26" t="s">
        <v>75</v>
      </c>
      <c r="E268" s="20"/>
      <c r="F268" s="21" t="str">
        <f aca="false">IF(OR(E268="",E268="!!!"),"",IF(NOT(ISNA(VLOOKUP(E268,E$1:E267,1,FALSE()))),"OLD",IF(AND(E268&lt;&gt;"",E268&lt;&gt;"!!!"),"NEW","")))</f>
        <v/>
      </c>
      <c r="G268" s="22" t="str">
        <f aca="false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aca="false">IF(J268&lt;&gt;1,"",IF(I268="SBJ","CB","?"))</f>
        <v/>
      </c>
      <c r="I268" s="24" t="str">
        <f aca="false">IF(OR(E268="",E268="!!!",F268="NEW"),"",INDEX(B$2:B267,-1+SUMPRODUCT(MAX(ROW(E$2:E267)*(E268=E$2:E267)))))</f>
        <v/>
      </c>
      <c r="J268" s="24" t="str">
        <f aca="true">IF(OR(E268="",E268="!!!",F268="NEW"),"",COUNTBLANK(OFFSET(A$1,,,SUMPRODUCT(MAX(ROW(E$2:E268)*(E268=E$2:E268)))))-COUNTBLANK(OFFSET(A$1,,,SUMPRODUCT(MAX(ROW(E$1:E267)*(E2=E$1:E267))))))</f>
        <v/>
      </c>
      <c r="K268" s="24" t="str">
        <f aca="false">IF(OR(E268="",E268="!!!",F268="NEW"),"",INDEX(J$1:J267,SUMPRODUCT(MAX(ROW(E$1:E267)*(E268=E$1:E267)))))</f>
        <v/>
      </c>
      <c r="L268" s="27" t="s">
        <v>134</v>
      </c>
    </row>
    <row r="269" customFormat="false" ht="14.25" hidden="false" customHeight="false" outlineLevel="0" collapsed="false">
      <c r="A269" s="0" t="s">
        <v>116</v>
      </c>
      <c r="E269" s="20" t="str">
        <f aca="false">IF(D269="?OLD","!!!","")</f>
        <v/>
      </c>
      <c r="F269" s="21" t="str">
        <f aca="false">IF(OR(E269="",E269="!!!"),"",IF(NOT(ISNA(VLOOKUP(E269,E$1:E268,1,FALSE()))),"OLD",IF(AND(E269&lt;&gt;"",E269&lt;&gt;"!!!"),"NEW","")))</f>
        <v/>
      </c>
      <c r="G269" s="22" t="str">
        <f aca="false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aca="false">IF(J269&lt;&gt;1,"",IF(I269="SBJ","CB","?"))</f>
        <v/>
      </c>
      <c r="I269" s="24" t="str">
        <f aca="false">IF(OR(E269="",E269="!!!",F269="NEW"),"",INDEX(B$2:B268,-1+SUMPRODUCT(MAX(ROW(E$2:E268)*(E269=E$2:E268)))))</f>
        <v/>
      </c>
      <c r="J269" s="24" t="str">
        <f aca="true">IF(OR(E269="",E269="!!!",F269="NEW"),"",COUNTBLANK(OFFSET(A$1,,,SUMPRODUCT(MAX(ROW(E$2:E269)*(E269=E$2:E269)))))-COUNTBLANK(OFFSET(A$1,,,SUMPRODUCT(MAX(ROW(E$1:E268)*(E2=E$1:E268))))))</f>
        <v/>
      </c>
      <c r="K269" s="24" t="str">
        <f aca="false">IF(OR(E269="",E269="!!!",F269="NEW"),"",INDEX(J$1:J268,SUMPRODUCT(MAX(ROW(E$1:E268)*(E269=E$1:E268)))))</f>
        <v/>
      </c>
      <c r="L269" s="25"/>
    </row>
    <row r="270" customFormat="false" ht="14.25" hidden="false" customHeight="false" outlineLevel="0" collapsed="false">
      <c r="A270" s="0" t="s">
        <v>86</v>
      </c>
      <c r="E270" s="20" t="str">
        <f aca="false">IF(D270="?OLD","!!!","")</f>
        <v/>
      </c>
      <c r="F270" s="21" t="str">
        <f aca="false">IF(OR(E270="",E270="!!!"),"",IF(NOT(ISNA(VLOOKUP(E270,E$1:E269,1,FALSE()))),"OLD",IF(AND(E270&lt;&gt;"",E270&lt;&gt;"!!!"),"NEW","")))</f>
        <v/>
      </c>
      <c r="G270" s="22" t="str">
        <f aca="false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aca="false">IF(J270&lt;&gt;1,"",IF(I270="SBJ","CB","?"))</f>
        <v/>
      </c>
      <c r="I270" s="24" t="str">
        <f aca="false">IF(OR(E270="",E270="!!!",F270="NEW"),"",INDEX(B$2:B269,-1+SUMPRODUCT(MAX(ROW(E$2:E269)*(E270=E$2:E269)))))</f>
        <v/>
      </c>
      <c r="J270" s="24" t="str">
        <f aca="true">IF(OR(E270="",E270="!!!",F270="NEW"),"",COUNTBLANK(OFFSET(A$1,,,SUMPRODUCT(MAX(ROW(E$2:E270)*(E270=E$2:E270)))))-COUNTBLANK(OFFSET(A$1,,,SUMPRODUCT(MAX(ROW(E$1:E269)*(E2=E$1:E269))))))</f>
        <v/>
      </c>
      <c r="K270" s="24" t="str">
        <f aca="false">IF(OR(E270="",E270="!!!",F270="NEW"),"",INDEX(J$1:J269,SUMPRODUCT(MAX(ROW(E$1:E269)*(E270=E$1:E269)))))</f>
        <v/>
      </c>
      <c r="L270" s="25"/>
    </row>
    <row r="271" customFormat="false" ht="14.25" hidden="false" customHeight="false" outlineLevel="0" collapsed="false">
      <c r="A271" s="0" t="s">
        <v>316</v>
      </c>
      <c r="B271" s="26" t="s">
        <v>96</v>
      </c>
      <c r="C271" s="26" t="s">
        <v>283</v>
      </c>
      <c r="D271" s="26" t="s">
        <v>75</v>
      </c>
      <c r="E271" s="20"/>
      <c r="F271" s="21" t="str">
        <f aca="false">IF(OR(E271="",E271="!!!"),"",IF(NOT(ISNA(VLOOKUP(E271,E$1:E270,1,FALSE()))),"OLD",IF(AND(E271&lt;&gt;"",E271&lt;&gt;"!!!"),"NEW","")))</f>
        <v/>
      </c>
      <c r="G271" s="22" t="str">
        <f aca="false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aca="false">IF(J271&lt;&gt;1,"",IF(I271="SBJ","CB","?"))</f>
        <v/>
      </c>
      <c r="I271" s="24" t="str">
        <f aca="false">IF(OR(E271="",E271="!!!",F271="NEW"),"",INDEX(B$2:B270,-1+SUMPRODUCT(MAX(ROW(E$2:E270)*(E271=E$2:E270)))))</f>
        <v/>
      </c>
      <c r="J271" s="24" t="str">
        <f aca="true">IF(OR(E271="",E271="!!!",F271="NEW"),"",COUNTBLANK(OFFSET(A$1,,,SUMPRODUCT(MAX(ROW(E$2:E271)*(E271=E$2:E271)))))-COUNTBLANK(OFFSET(A$1,,,SUMPRODUCT(MAX(ROW(E$1:E270)*(E2=E$1:E270))))))</f>
        <v/>
      </c>
      <c r="K271" s="24" t="str">
        <f aca="false">IF(OR(E271="",E271="!!!",F271="NEW"),"",INDEX(J$1:J270,SUMPRODUCT(MAX(ROW(E$1:E270)*(E271=E$1:E270)))))</f>
        <v/>
      </c>
      <c r="L271" s="27" t="s">
        <v>134</v>
      </c>
    </row>
    <row r="272" customFormat="false" ht="14.25" hidden="false" customHeight="false" outlineLevel="0" collapsed="false">
      <c r="A272" s="0" t="s">
        <v>155</v>
      </c>
      <c r="B272" s="26" t="s">
        <v>147</v>
      </c>
      <c r="C272" s="26" t="s">
        <v>111</v>
      </c>
      <c r="E272" s="20" t="str">
        <f aca="false">IF(D272="?OLD","!!!","")</f>
        <v/>
      </c>
      <c r="F272" s="21" t="str">
        <f aca="false">IF(OR(E272="",E272="!!!"),"",IF(NOT(ISNA(VLOOKUP(E272,E$1:E271,1,FALSE()))),"OLD",IF(AND(E272&lt;&gt;"",E272&lt;&gt;"!!!"),"NEW","")))</f>
        <v/>
      </c>
      <c r="G272" s="22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aca="false">IF(J272&lt;&gt;1,"",IF(I272="SBJ","CB","?"))</f>
        <v/>
      </c>
      <c r="I272" s="24" t="str">
        <f aca="false">IF(OR(E272="",E272="!!!",F272="NEW"),"",INDEX(B$2:B271,-1+SUMPRODUCT(MAX(ROW(E$2:E271)*(E272=E$2:E271)))))</f>
        <v/>
      </c>
      <c r="J272" s="24" t="str">
        <f aca="true">IF(OR(E272="",E272="!!!",F272="NEW"),"",COUNTBLANK(OFFSET(A$1,,,SUMPRODUCT(MAX(ROW(E$2:E272)*(E272=E$2:E272)))))-COUNTBLANK(OFFSET(A$1,,,SUMPRODUCT(MAX(ROW(E$1:E271)*(E2=E$1:E271))))))</f>
        <v/>
      </c>
      <c r="K272" s="24" t="str">
        <f aca="false">IF(OR(E272="",E272="!!!",F272="NEW"),"",INDEX(J$1:J271,SUMPRODUCT(MAX(ROW(E$1:E271)*(E272=E$1:E271)))))</f>
        <v/>
      </c>
      <c r="L272" s="25"/>
    </row>
    <row r="273" customFormat="false" ht="14.25" hidden="false" customHeight="false" outlineLevel="0" collapsed="false">
      <c r="A273" s="0" t="s">
        <v>317</v>
      </c>
      <c r="B273" s="26" t="s">
        <v>82</v>
      </c>
      <c r="C273" s="26" t="s">
        <v>105</v>
      </c>
      <c r="E273" s="20" t="str">
        <f aca="false">IF(D273="?OLD","!!!","")</f>
        <v/>
      </c>
      <c r="F273" s="21" t="str">
        <f aca="false">IF(OR(E273="",E273="!!!"),"",IF(NOT(ISNA(VLOOKUP(E273,E$1:E272,1,FALSE()))),"OLD",IF(AND(E273&lt;&gt;"",E273&lt;&gt;"!!!"),"NEW","")))</f>
        <v/>
      </c>
      <c r="G273" s="22" t="str">
        <f aca="false"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aca="false">IF(J273&lt;&gt;1,"",IF(I273="SBJ","CB","?"))</f>
        <v/>
      </c>
      <c r="I273" s="24" t="str">
        <f aca="false">IF(OR(E273="",E273="!!!",F273="NEW"),"",INDEX(B$2:B272,-1+SUMPRODUCT(MAX(ROW(E$2:E272)*(E273=E$2:E272)))))</f>
        <v/>
      </c>
      <c r="J273" s="24" t="str">
        <f aca="true">IF(OR(E273="",E273="!!!",F273="NEW"),"",COUNTBLANK(OFFSET(A$1,,,SUMPRODUCT(MAX(ROW(E$2:E273)*(E273=E$2:E273)))))-COUNTBLANK(OFFSET(A$1,,,SUMPRODUCT(MAX(ROW(E$1:E272)*(E2=E$1:E272))))))</f>
        <v/>
      </c>
      <c r="K273" s="24" t="str">
        <f aca="false">IF(OR(E273="",E273="!!!",F273="NEW"),"",INDEX(J$1:J272,SUMPRODUCT(MAX(ROW(E$1:E272)*(E273=E$1:E272)))))</f>
        <v/>
      </c>
      <c r="L273" s="25"/>
    </row>
    <row r="274" customFormat="false" ht="14.25" hidden="false" customHeight="false" outlineLevel="0" collapsed="false">
      <c r="A274" s="0" t="s">
        <v>116</v>
      </c>
      <c r="E274" s="20" t="str">
        <f aca="false">IF(D274="?OLD","!!!","")</f>
        <v/>
      </c>
      <c r="F274" s="21" t="str">
        <f aca="false">IF(OR(E274="",E274="!!!"),"",IF(NOT(ISNA(VLOOKUP(E274,E$1:E273,1,FALSE()))),"OLD",IF(AND(E274&lt;&gt;"",E274&lt;&gt;"!!!"),"NEW","")))</f>
        <v/>
      </c>
      <c r="G274" s="22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aca="false">IF(J274&lt;&gt;1,"",IF(I274="SBJ","CB","?"))</f>
        <v/>
      </c>
      <c r="I274" s="24" t="str">
        <f aca="false">IF(OR(E274="",E274="!!!",F274="NEW"),"",INDEX(B$2:B273,-1+SUMPRODUCT(MAX(ROW(E$2:E273)*(E274=E$2:E273)))))</f>
        <v/>
      </c>
      <c r="J274" s="24" t="str">
        <f aca="true">IF(OR(E274="",E274="!!!",F274="NEW"),"",COUNTBLANK(OFFSET(A$1,,,SUMPRODUCT(MAX(ROW(E$2:E274)*(E274=E$2:E274)))))-COUNTBLANK(OFFSET(A$1,,,SUMPRODUCT(MAX(ROW(E$1:E273)*(E2=E$1:E273))))))</f>
        <v/>
      </c>
      <c r="K274" s="24" t="str">
        <f aca="false">IF(OR(E274="",E274="!!!",F274="NEW"),"",INDEX(J$1:J273,SUMPRODUCT(MAX(ROW(E$1:E273)*(E274=E$1:E273)))))</f>
        <v/>
      </c>
      <c r="L274" s="25"/>
    </row>
    <row r="275" customFormat="false" ht="14.25" hidden="false" customHeight="false" outlineLevel="0" collapsed="false">
      <c r="A275" s="0" t="s">
        <v>318</v>
      </c>
      <c r="E275" s="20"/>
      <c r="F275" s="21" t="str">
        <f aca="false">IF(OR(E275="",E275="!!!"),"",IF(NOT(ISNA(VLOOKUP(E275,E$1:E274,1,FALSE()))),"OLD",IF(AND(E275&lt;&gt;"",E275&lt;&gt;"!!!"),"NEW","")))</f>
        <v/>
      </c>
      <c r="G275" s="22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aca="false">IF(J275&lt;&gt;1,"",IF(I275="SBJ","CB","?"))</f>
        <v/>
      </c>
      <c r="I275" s="24" t="str">
        <f aca="false">IF(OR(E275="",E275="!!!",F275="NEW"),"",INDEX(B$2:B274,-1+SUMPRODUCT(MAX(ROW(E$2:E274)*(E275=E$2:E274)))))</f>
        <v/>
      </c>
      <c r="J275" s="24" t="str">
        <f aca="true">IF(OR(E275="",E275="!!!",F275="NEW"),"",COUNTBLANK(OFFSET(A$1,,,SUMPRODUCT(MAX(ROW(E$2:E275)*(E275=E$2:E275)))))-COUNTBLANK(OFFSET(A$1,,,SUMPRODUCT(MAX(ROW(E$1:E274)*(E2=E$1:E274))))))</f>
        <v/>
      </c>
      <c r="K275" s="24" t="str">
        <f aca="false">IF(OR(E275="",E275="!!!",F275="NEW"),"",INDEX(J$1:J274,SUMPRODUCT(MAX(ROW(E$1:E274)*(E275=E$1:E274)))))</f>
        <v/>
      </c>
      <c r="L275" s="25"/>
    </row>
    <row r="276" customFormat="false" ht="14.25" hidden="false" customHeight="false" outlineLevel="0" collapsed="false">
      <c r="A276" s="0" t="s">
        <v>86</v>
      </c>
      <c r="E276" s="20" t="str">
        <f aca="false">IF(D276="?OLD","!!!","")</f>
        <v/>
      </c>
      <c r="F276" s="21" t="str">
        <f aca="false">IF(OR(E276="",E276="!!!"),"",IF(NOT(ISNA(VLOOKUP(E276,E$1:E275,1,FALSE()))),"OLD",IF(AND(E276&lt;&gt;"",E276&lt;&gt;"!!!"),"NEW","")))</f>
        <v/>
      </c>
      <c r="G276" s="22" t="str">
        <f aca="false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aca="false">IF(J276&lt;&gt;1,"",IF(I276="SBJ","CB","?"))</f>
        <v/>
      </c>
      <c r="I276" s="24" t="str">
        <f aca="false">IF(OR(E276="",E276="!!!",F276="NEW"),"",INDEX(B$2:B275,-1+SUMPRODUCT(MAX(ROW(E$2:E275)*(E276=E$2:E275)))))</f>
        <v/>
      </c>
      <c r="J276" s="24" t="str">
        <f aca="true">IF(OR(E276="",E276="!!!",F276="NEW"),"",COUNTBLANK(OFFSET(A$1,,,SUMPRODUCT(MAX(ROW(E$2:E276)*(E276=E$2:E276)))))-COUNTBLANK(OFFSET(A$1,,,SUMPRODUCT(MAX(ROW(E$1:E275)*(E2=E$1:E275))))))</f>
        <v/>
      </c>
      <c r="K276" s="24" t="str">
        <f aca="false">IF(OR(E276="",E276="!!!",F276="NEW"),"",INDEX(J$1:J275,SUMPRODUCT(MAX(ROW(E$1:E275)*(E276=E$1:E275)))))</f>
        <v/>
      </c>
      <c r="L276" s="25"/>
    </row>
    <row r="277" customFormat="false" ht="14.25" hidden="false" customHeight="false" outlineLevel="0" collapsed="false">
      <c r="A277" s="0" t="s">
        <v>319</v>
      </c>
      <c r="E277" s="20" t="str">
        <f aca="false">IF(D277="?OLD","!!!","")</f>
        <v/>
      </c>
      <c r="F277" s="21" t="str">
        <f aca="false">IF(OR(E277="",E277="!!!"),"",IF(NOT(ISNA(VLOOKUP(E277,E$1:E276,1,FALSE()))),"OLD",IF(AND(E277&lt;&gt;"",E277&lt;&gt;"!!!"),"NEW","")))</f>
        <v/>
      </c>
      <c r="G277" s="22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aca="false">IF(J277&lt;&gt;1,"",IF(I277="SBJ","CB","?"))</f>
        <v/>
      </c>
      <c r="I277" s="24" t="str">
        <f aca="false">IF(OR(E277="",E277="!!!",F277="NEW"),"",INDEX(B$2:B276,-1+SUMPRODUCT(MAX(ROW(E$2:E276)*(E277=E$2:E276)))))</f>
        <v/>
      </c>
      <c r="J277" s="24" t="str">
        <f aca="true">IF(OR(E277="",E277="!!!",F277="NEW"),"",COUNTBLANK(OFFSET(A$1,,,SUMPRODUCT(MAX(ROW(E$2:E277)*(E277=E$2:E277)))))-COUNTBLANK(OFFSET(A$1,,,SUMPRODUCT(MAX(ROW(E$1:E276)*(E2=E$1:E276))))))</f>
        <v/>
      </c>
      <c r="K277" s="24" t="str">
        <f aca="false">IF(OR(E277="",E277="!!!",F277="NEW"),"",INDEX(J$1:J276,SUMPRODUCT(MAX(ROW(E$1:E276)*(E277=E$1:E276)))))</f>
        <v/>
      </c>
      <c r="L277" s="25"/>
    </row>
    <row r="278" customFormat="false" ht="14.25" hidden="false" customHeight="false" outlineLevel="0" collapsed="false">
      <c r="A278" s="0" t="s">
        <v>320</v>
      </c>
      <c r="B278" s="26" t="s">
        <v>82</v>
      </c>
      <c r="C278" s="26" t="s">
        <v>105</v>
      </c>
      <c r="E278" s="20" t="str">
        <f aca="false">IF(D278="?OLD","!!!","")</f>
        <v/>
      </c>
      <c r="F278" s="21" t="str">
        <f aca="false">IF(OR(E278="",E278="!!!"),"",IF(NOT(ISNA(VLOOKUP(E278,E$1:E277,1,FALSE()))),"OLD",IF(AND(E278&lt;&gt;"",E278&lt;&gt;"!!!"),"NEW","")))</f>
        <v/>
      </c>
      <c r="G278" s="22" t="str">
        <f aca="false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aca="false">IF(J278&lt;&gt;1,"",IF(I278="SBJ","CB","?"))</f>
        <v/>
      </c>
      <c r="I278" s="24" t="str">
        <f aca="false">IF(OR(E278="",E278="!!!",F278="NEW"),"",INDEX(B$2:B277,-1+SUMPRODUCT(MAX(ROW(E$2:E277)*(E278=E$2:E277)))))</f>
        <v/>
      </c>
      <c r="J278" s="24" t="str">
        <f aca="true">IF(OR(E278="",E278="!!!",F278="NEW"),"",COUNTBLANK(OFFSET(A$1,,,SUMPRODUCT(MAX(ROW(E$2:E278)*(E278=E$2:E278)))))-COUNTBLANK(OFFSET(A$1,,,SUMPRODUCT(MAX(ROW(E$1:E277)*(E2=E$1:E277))))))</f>
        <v/>
      </c>
      <c r="K278" s="24" t="str">
        <f aca="false">IF(OR(E278="",E278="!!!",F278="NEW"),"",INDEX(J$1:J277,SUMPRODUCT(MAX(ROW(E$1:E277)*(E278=E$1:E277)))))</f>
        <v/>
      </c>
      <c r="L278" s="25"/>
    </row>
    <row r="279" customFormat="false" ht="14.25" hidden="false" customHeight="false" outlineLevel="0" collapsed="false">
      <c r="A279" s="0" t="s">
        <v>321</v>
      </c>
      <c r="E279" s="20" t="str">
        <f aca="false">IF(D279="?OLD","!!!","")</f>
        <v/>
      </c>
      <c r="F279" s="21" t="str">
        <f aca="false">IF(OR(E279="",E279="!!!"),"",IF(NOT(ISNA(VLOOKUP(E279,E$1:E278,1,FALSE()))),"OLD",IF(AND(E279&lt;&gt;"",E279&lt;&gt;"!!!"),"NEW","")))</f>
        <v/>
      </c>
      <c r="G279" s="22" t="str">
        <f aca="false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aca="false">IF(J279&lt;&gt;1,"",IF(I279="SBJ","CB","?"))</f>
        <v/>
      </c>
      <c r="I279" s="24" t="str">
        <f aca="false">IF(OR(E279="",E279="!!!",F279="NEW"),"",INDEX(B$2:B278,-1+SUMPRODUCT(MAX(ROW(E$2:E278)*(E279=E$2:E278)))))</f>
        <v/>
      </c>
      <c r="J279" s="24" t="str">
        <f aca="true">IF(OR(E279="",E279="!!!",F279="NEW"),"",COUNTBLANK(OFFSET(A$1,,,SUMPRODUCT(MAX(ROW(E$2:E279)*(E279=E$2:E279)))))-COUNTBLANK(OFFSET(A$1,,,SUMPRODUCT(MAX(ROW(E$1:E278)*(E2=E$1:E278))))))</f>
        <v/>
      </c>
      <c r="K279" s="24" t="str">
        <f aca="false">IF(OR(E279="",E279="!!!",F279="NEW"),"",INDEX(J$1:J278,SUMPRODUCT(MAX(ROW(E$1:E278)*(E279=E$1:E278)))))</f>
        <v/>
      </c>
      <c r="L279" s="25"/>
    </row>
    <row r="280" customFormat="false" ht="14.25" hidden="false" customHeight="false" outlineLevel="0" collapsed="false">
      <c r="A280" s="0" t="s">
        <v>322</v>
      </c>
      <c r="E280" s="20" t="str">
        <f aca="false">IF(D280="?OLD","!!!","")</f>
        <v/>
      </c>
      <c r="F280" s="21" t="str">
        <f aca="false">IF(OR(E280="",E280="!!!"),"",IF(NOT(ISNA(VLOOKUP(E280,E$1:E279,1,FALSE()))),"OLD",IF(AND(E280&lt;&gt;"",E280&lt;&gt;"!!!"),"NEW","")))</f>
        <v/>
      </c>
      <c r="G280" s="22" t="str">
        <f aca="false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aca="false">IF(J280&lt;&gt;1,"",IF(I280="SBJ","CB","?"))</f>
        <v/>
      </c>
      <c r="I280" s="24" t="str">
        <f aca="false">IF(OR(E280="",E280="!!!",F280="NEW"),"",INDEX(B$2:B279,-1+SUMPRODUCT(MAX(ROW(E$2:E279)*(E280=E$2:E279)))))</f>
        <v/>
      </c>
      <c r="J280" s="24" t="str">
        <f aca="true">IF(OR(E280="",E280="!!!",F280="NEW"),"",COUNTBLANK(OFFSET(A$1,,,SUMPRODUCT(MAX(ROW(E$2:E280)*(E280=E$2:E280)))))-COUNTBLANK(OFFSET(A$1,,,SUMPRODUCT(MAX(ROW(E$1:E279)*(E2=E$1:E279))))))</f>
        <v/>
      </c>
      <c r="K280" s="24" t="str">
        <f aca="false">IF(OR(E280="",E280="!!!",F280="NEW"),"",INDEX(J$1:J279,SUMPRODUCT(MAX(ROW(E$1:E279)*(E280=E$1:E279)))))</f>
        <v/>
      </c>
      <c r="L280" s="25"/>
    </row>
    <row r="281" customFormat="false" ht="14.25" hidden="false" customHeight="false" outlineLevel="0" collapsed="false">
      <c r="A281" s="0" t="s">
        <v>95</v>
      </c>
      <c r="B281" s="26" t="s">
        <v>96</v>
      </c>
      <c r="C281" s="26" t="s">
        <v>88</v>
      </c>
      <c r="D281" s="26" t="s">
        <v>75</v>
      </c>
      <c r="E281" s="20" t="s">
        <v>97</v>
      </c>
      <c r="F281" s="21" t="str">
        <f aca="false">IF(OR(E281="",E281="!!!"),"",IF(NOT(ISNA(VLOOKUP(E281,E$1:E280,1,FALSE()))),"OLD",IF(AND(E281&lt;&gt;"",E281&lt;&gt;"!!!"),"NEW","")))</f>
        <v>OLD</v>
      </c>
      <c r="G281" s="22" t="str">
        <f aca="false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?IN_FOCUS</v>
      </c>
      <c r="H281" s="23" t="str">
        <f aca="false">IF(J281&lt;&gt;1,"",IF(I281="SBJ","CB","?"))</f>
        <v/>
      </c>
      <c r="I281" s="24" t="str">
        <f aca="false">IF(OR(E281="",E281="!!!",F281="NEW"),"",INDEX(B$2:B280,-1+SUMPRODUCT(MAX(ROW(E$2:E280)*(E281=E$2:E280)))))</f>
        <v>SBJ_2</v>
      </c>
      <c r="J281" s="24" t="n">
        <f aca="true">IF(OR(E281="",E281="!!!",F281="NEW"),"",COUNTBLANK(OFFSET(A$1,,,SUMPRODUCT(MAX(ROW(E$2:E281)*(E281=E$2:E281)))))-COUNTBLANK(OFFSET(A$1,,,SUMPRODUCT(MAX(ROW(E$1:E280)*(E2=E$1:E280))))))</f>
        <v>0</v>
      </c>
      <c r="K281" s="24" t="n">
        <f aca="false">IF(OR(E281="",E281="!!!",F281="NEW"),"",INDEX(J$1:J280,SUMPRODUCT(MAX(ROW(E$1:E280)*(E281=E$1:E280)))))</f>
        <v>0</v>
      </c>
      <c r="L281" s="25"/>
    </row>
    <row r="282" customFormat="false" ht="14.25" hidden="false" customHeight="false" outlineLevel="0" collapsed="false">
      <c r="A282" s="0" t="s">
        <v>323</v>
      </c>
      <c r="E282" s="20" t="str">
        <f aca="false">IF(D282="?OLD","!!!","")</f>
        <v/>
      </c>
      <c r="F282" s="21" t="str">
        <f aca="false">IF(OR(E282="",E282="!!!"),"",IF(NOT(ISNA(VLOOKUP(E282,E$1:E281,1,FALSE()))),"OLD",IF(AND(E282&lt;&gt;"",E282&lt;&gt;"!!!"),"NEW","")))</f>
        <v/>
      </c>
      <c r="G282" s="22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aca="false">IF(J282&lt;&gt;1,"",IF(I282="SBJ","CB","?"))</f>
        <v/>
      </c>
      <c r="I282" s="24" t="str">
        <f aca="false">IF(OR(E282="",E282="!!!",F282="NEW"),"",INDEX(B$2:B281,-1+SUMPRODUCT(MAX(ROW(E$2:E281)*(E282=E$2:E281)))))</f>
        <v/>
      </c>
      <c r="J282" s="24" t="str">
        <f aca="true">IF(OR(E282="",E282="!!!",F282="NEW"),"",COUNTBLANK(OFFSET(A$1,,,SUMPRODUCT(MAX(ROW(E$2:E282)*(E282=E$2:E282)))))-COUNTBLANK(OFFSET(A$1,,,SUMPRODUCT(MAX(ROW(E$1:E281)*(E2=E$1:E281))))))</f>
        <v/>
      </c>
      <c r="K282" s="24" t="str">
        <f aca="false">IF(OR(E282="",E282="!!!",F282="NEW"),"",INDEX(J$1:J281,SUMPRODUCT(MAX(ROW(E$1:E281)*(E282=E$1:E281)))))</f>
        <v/>
      </c>
      <c r="L282" s="25"/>
    </row>
    <row r="283" customFormat="false" ht="14.25" hidden="false" customHeight="false" outlineLevel="0" collapsed="false">
      <c r="A283" s="0" t="s">
        <v>324</v>
      </c>
      <c r="B283" s="26" t="s">
        <v>154</v>
      </c>
      <c r="E283" s="20" t="s">
        <v>97</v>
      </c>
      <c r="F283" s="21" t="s">
        <v>215</v>
      </c>
      <c r="G283" s="22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?IN_FOCUS</v>
      </c>
      <c r="H283" s="23" t="str">
        <f aca="false">IF(J283&lt;&gt;1,"",IF(I283="SBJ","CB","?"))</f>
        <v/>
      </c>
      <c r="I283" s="24" t="str">
        <f aca="false">IF(OR(E283="",E283="!!!",F283="NEW"),"",INDEX(B$2:B282,-1+SUMPRODUCT(MAX(ROW(E$2:E282)*(E283=E$2:E282)))))</f>
        <v>SBJ_2</v>
      </c>
      <c r="J283" s="24" t="n">
        <f aca="true">IF(OR(E283="",E283="!!!",F283="NEW"),"",COUNTBLANK(OFFSET(A$1,,,SUMPRODUCT(MAX(ROW(E$2:E283)*(E283=E$2:E283)))))-COUNTBLANK(OFFSET(A$1,,,SUMPRODUCT(MAX(ROW(E$1:E282)*(E2=E$1:E282))))))</f>
        <v>0</v>
      </c>
      <c r="K283" s="24" t="n">
        <f aca="false">IF(OR(E283="",E283="!!!",F283="NEW"),"",INDEX(J$1:J282,SUMPRODUCT(MAX(ROW(E$1:E282)*(E283=E$1:E282)))))</f>
        <v>0</v>
      </c>
      <c r="L283" s="25"/>
    </row>
    <row r="284" customFormat="false" ht="14.25" hidden="false" customHeight="false" outlineLevel="0" collapsed="false">
      <c r="A284" s="0" t="s">
        <v>92</v>
      </c>
      <c r="E284" s="20" t="str">
        <f aca="false">IF(D284="?OLD","!!!","")</f>
        <v/>
      </c>
      <c r="F284" s="21" t="str">
        <f aca="false">IF(OR(E284="",E284="!!!"),"",IF(NOT(ISNA(VLOOKUP(E284,E$1:E283,1,FALSE()))),"OLD",IF(AND(E284&lt;&gt;"",E284&lt;&gt;"!!!"),"NEW","")))</f>
        <v/>
      </c>
      <c r="G284" s="22" t="str">
        <f aca="false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aca="false">IF(J284&lt;&gt;1,"",IF(I284="SBJ","CB","?"))</f>
        <v/>
      </c>
      <c r="I284" s="24" t="str">
        <f aca="false">IF(OR(E284="",E284="!!!",F284="NEW"),"",INDEX(B$2:B283,-1+SUMPRODUCT(MAX(ROW(E$2:E283)*(E284=E$2:E283)))))</f>
        <v/>
      </c>
      <c r="J284" s="24" t="str">
        <f aca="true">IF(OR(E284="",E284="!!!",F284="NEW"),"",COUNTBLANK(OFFSET(A$1,,,SUMPRODUCT(MAX(ROW(E$2:E284)*(E284=E$2:E284)))))-COUNTBLANK(OFFSET(A$1,,,SUMPRODUCT(MAX(ROW(E$1:E283)*(E2=E$1:E283))))))</f>
        <v/>
      </c>
      <c r="K284" s="24" t="str">
        <f aca="false">IF(OR(E284="",E284="!!!",F284="NEW"),"",INDEX(J$1:J283,SUMPRODUCT(MAX(ROW(E$1:E283)*(E284=E$1:E283)))))</f>
        <v/>
      </c>
      <c r="L284" s="25"/>
    </row>
    <row r="285" customFormat="false" ht="14.25" hidden="false" customHeight="false" outlineLevel="0" collapsed="false">
      <c r="A285" s="0" t="s">
        <v>101</v>
      </c>
      <c r="E285" s="20" t="str">
        <f aca="false">IF(D285="?OLD","!!!","")</f>
        <v/>
      </c>
      <c r="F285" s="21" t="str">
        <f aca="false">IF(OR(E285="",E285="!!!"),"",IF(NOT(ISNA(VLOOKUP(E285,E$1:E284,1,FALSE()))),"OLD",IF(AND(E285&lt;&gt;"",E285&lt;&gt;"!!!"),"NEW","")))</f>
        <v/>
      </c>
      <c r="G285" s="22" t="str">
        <f aca="false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aca="false">IF(J285&lt;&gt;1,"",IF(I285="SBJ","CB","?"))</f>
        <v/>
      </c>
      <c r="I285" s="24" t="str">
        <f aca="false">IF(OR(E285="",E285="!!!",F285="NEW"),"",INDEX(B$2:B284,-1+SUMPRODUCT(MAX(ROW(E$2:E284)*(E285=E$2:E284)))))</f>
        <v/>
      </c>
      <c r="J285" s="24" t="str">
        <f aca="true">IF(OR(E285="",E285="!!!",F285="NEW"),"",COUNTBLANK(OFFSET(A$1,,,SUMPRODUCT(MAX(ROW(E$2:E285)*(E285=E$2:E285)))))-COUNTBLANK(OFFSET(A$1,,,SUMPRODUCT(MAX(ROW(E$1:E284)*(E2=E$1:E284))))))</f>
        <v/>
      </c>
      <c r="K285" s="24" t="str">
        <f aca="false">IF(OR(E285="",E285="!!!",F285="NEW"),"",INDEX(J$1:J284,SUMPRODUCT(MAX(ROW(E$1:E284)*(E285=E$1:E284)))))</f>
        <v/>
      </c>
      <c r="L285" s="25"/>
    </row>
    <row r="286" customFormat="false" ht="14.25" hidden="false" customHeight="false" outlineLevel="0" collapsed="false">
      <c r="A286" s="0" t="s">
        <v>325</v>
      </c>
      <c r="E286" s="20" t="str">
        <f aca="false">IF(D286="?OLD","!!!","")</f>
        <v/>
      </c>
      <c r="F286" s="21" t="str">
        <f aca="false">IF(OR(E286="",E286="!!!"),"",IF(NOT(ISNA(VLOOKUP(E286,E$1:E285,1,FALSE()))),"OLD",IF(AND(E286&lt;&gt;"",E286&lt;&gt;"!!!"),"NEW","")))</f>
        <v/>
      </c>
      <c r="G286" s="22" t="str">
        <f aca="false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aca="false">IF(J286&lt;&gt;1,"",IF(I286="SBJ","CB","?"))</f>
        <v/>
      </c>
      <c r="I286" s="24" t="str">
        <f aca="false">IF(OR(E286="",E286="!!!",F286="NEW"),"",INDEX(B$2:B285,-1+SUMPRODUCT(MAX(ROW(E$2:E285)*(E286=E$2:E285)))))</f>
        <v/>
      </c>
      <c r="J286" s="24" t="str">
        <f aca="true">IF(OR(E286="",E286="!!!",F286="NEW"),"",COUNTBLANK(OFFSET(A$1,,,SUMPRODUCT(MAX(ROW(E$2:E286)*(E286=E$2:E286)))))-COUNTBLANK(OFFSET(A$1,,,SUMPRODUCT(MAX(ROW(E$1:E285)*(E2=E$1:E285))))))</f>
        <v/>
      </c>
      <c r="K286" s="24" t="str">
        <f aca="false">IF(OR(E286="",E286="!!!",F286="NEW"),"",INDEX(J$1:J285,SUMPRODUCT(MAX(ROW(E$1:E285)*(E286=E$1:E285)))))</f>
        <v/>
      </c>
      <c r="L286" s="25"/>
    </row>
    <row r="287" customFormat="false" ht="14.25" hidden="false" customHeight="false" outlineLevel="0" collapsed="false">
      <c r="A287" s="0" t="s">
        <v>136</v>
      </c>
      <c r="E287" s="20" t="str">
        <f aca="false">IF(D287="?OLD","!!!","")</f>
        <v/>
      </c>
      <c r="F287" s="21" t="str">
        <f aca="false">IF(OR(E287="",E287="!!!"),"",IF(NOT(ISNA(VLOOKUP(E287,E$1:E286,1,FALSE()))),"OLD",IF(AND(E287&lt;&gt;"",E287&lt;&gt;"!!!"),"NEW","")))</f>
        <v/>
      </c>
      <c r="G287" s="22" t="str">
        <f aca="false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aca="false">IF(J287&lt;&gt;1,"",IF(I287="SBJ","CB","?"))</f>
        <v/>
      </c>
      <c r="I287" s="24" t="str">
        <f aca="false">IF(OR(E287="",E287="!!!",F287="NEW"),"",INDEX(B$2:B286,-1+SUMPRODUCT(MAX(ROW(E$2:E286)*(E287=E$2:E286)))))</f>
        <v/>
      </c>
      <c r="J287" s="24" t="str">
        <f aca="true">IF(OR(E287="",E287="!!!",F287="NEW"),"",COUNTBLANK(OFFSET(A$1,,,SUMPRODUCT(MAX(ROW(E$2:E287)*(E287=E$2:E287)))))-COUNTBLANK(OFFSET(A$1,,,SUMPRODUCT(MAX(ROW(E$1:E286)*(E2=E$1:E286))))))</f>
        <v/>
      </c>
      <c r="K287" s="24" t="str">
        <f aca="false">IF(OR(E287="",E287="!!!",F287="NEW"),"",INDEX(J$1:J286,SUMPRODUCT(MAX(ROW(E$1:E286)*(E287=E$1:E286)))))</f>
        <v/>
      </c>
      <c r="L287" s="25"/>
    </row>
    <row r="288" customFormat="false" ht="14.25" hidden="false" customHeight="false" outlineLevel="0" collapsed="false">
      <c r="A288" s="0" t="s">
        <v>326</v>
      </c>
      <c r="B288" s="26" t="s">
        <v>104</v>
      </c>
      <c r="C288" s="26" t="s">
        <v>74</v>
      </c>
      <c r="D288" s="26" t="s">
        <v>75</v>
      </c>
      <c r="E288" s="20" t="s">
        <v>327</v>
      </c>
      <c r="F288" s="21" t="str">
        <f aca="false">IF(OR(E288="",E288="!!!"),"",IF(NOT(ISNA(VLOOKUP(E288,E$1:E287,1,FALSE()))),"OLD",IF(AND(E288&lt;&gt;"",E288&lt;&gt;"!!!"),"NEW","")))</f>
        <v>NEW</v>
      </c>
      <c r="G288" s="22" t="str">
        <f aca="false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?REFERENTIAL</v>
      </c>
      <c r="H288" s="23" t="str">
        <f aca="false">IF(J288&lt;&gt;1,"",IF(I288="SBJ","CB","?"))</f>
        <v/>
      </c>
      <c r="I288" s="24" t="str">
        <f aca="false">IF(OR(E288="",E288="!!!",F288="NEW"),"",INDEX(B$2:B287,-1+SUMPRODUCT(MAX(ROW(E$2:E287)*(E288=E$2:E287)))))</f>
        <v/>
      </c>
      <c r="J288" s="24" t="str">
        <f aca="true">IF(OR(E288="",E288="!!!",F288="NEW"),"",COUNTBLANK(OFFSET(A$1,,,SUMPRODUCT(MAX(ROW(E$2:E288)*(E288=E$2:E288)))))-COUNTBLANK(OFFSET(A$1,,,SUMPRODUCT(MAX(ROW(E$1:E287)*(E2=E$1:E287))))))</f>
        <v/>
      </c>
      <c r="K288" s="24" t="str">
        <f aca="false">IF(OR(E288="",E288="!!!",F288="NEW"),"",INDEX(J$1:J287,SUMPRODUCT(MAX(ROW(E$1:E287)*(E288=E$1:E287)))))</f>
        <v/>
      </c>
      <c r="L288" s="25"/>
    </row>
    <row r="289" customFormat="false" ht="14.25" hidden="false" customHeight="false" outlineLevel="0" collapsed="false">
      <c r="A289" s="0" t="s">
        <v>328</v>
      </c>
      <c r="E289" s="20" t="str">
        <f aca="false">IF(D289="?OLD","!!!","")</f>
        <v/>
      </c>
      <c r="F289" s="21" t="str">
        <f aca="false">IF(OR(E289="",E289="!!!"),"",IF(NOT(ISNA(VLOOKUP(E289,E$1:E288,1,FALSE()))),"OLD",IF(AND(E289&lt;&gt;"",E289&lt;&gt;"!!!"),"NEW","")))</f>
        <v/>
      </c>
      <c r="G289" s="22" t="str">
        <f aca="false"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aca="false">IF(J289&lt;&gt;1,"",IF(I289="SBJ","CB","?"))</f>
        <v/>
      </c>
      <c r="I289" s="24" t="str">
        <f aca="false">IF(OR(E289="",E289="!!!",F289="NEW"),"",INDEX(B$2:B288,-1+SUMPRODUCT(MAX(ROW(E$2:E288)*(E289=E$2:E288)))))</f>
        <v/>
      </c>
      <c r="J289" s="24" t="str">
        <f aca="true">IF(OR(E289="",E289="!!!",F289="NEW"),"",COUNTBLANK(OFFSET(A$1,,,SUMPRODUCT(MAX(ROW(E$2:E289)*(E289=E$2:E289)))))-COUNTBLANK(OFFSET(A$1,,,SUMPRODUCT(MAX(ROW(E$1:E288)*(E2=E$1:E288))))))</f>
        <v/>
      </c>
      <c r="K289" s="24" t="str">
        <f aca="false">IF(OR(E289="",E289="!!!",F289="NEW"),"",INDEX(J$1:J288,SUMPRODUCT(MAX(ROW(E$1:E288)*(E289=E$1:E288)))))</f>
        <v/>
      </c>
      <c r="L289" s="25"/>
    </row>
    <row r="290" customFormat="false" ht="14.25" hidden="false" customHeight="false" outlineLevel="0" collapsed="false">
      <c r="A290" s="0" t="s">
        <v>329</v>
      </c>
      <c r="E290" s="20" t="s">
        <v>330</v>
      </c>
      <c r="F290" s="21" t="s">
        <v>98</v>
      </c>
      <c r="G290" s="22" t="e">
        <f aca="false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#VALUE!</v>
      </c>
      <c r="H290" s="23" t="str">
        <f aca="false">IF(J290&lt;&gt;1,"",IF(I290="SBJ","CB","?"))</f>
        <v/>
      </c>
      <c r="I290" s="24" t="e">
        <f aca="false">IF(OR(E290="",E290="!!!",F290="NEW"),"",INDEX(B$2:B289,-1+SUMPRODUCT(MAX(ROW(E$2:E289)*(E290=E$2:E289)))))</f>
        <v>#VALUE!</v>
      </c>
      <c r="J290" s="24" t="n">
        <f aca="true">IF(OR(E290="",E290="!!!",F290="NEW"),"",COUNTBLANK(OFFSET(A$1,,,SUMPRODUCT(MAX(ROW(E$2:E290)*(E290=E$2:E290)))))-COUNTBLANK(OFFSET(A$1,,,SUMPRODUCT(MAX(ROW(E$1:E289)*(E2=E$1:E289))))))</f>
        <v>0</v>
      </c>
      <c r="K290" s="24" t="e">
        <f aca="false">IF(OR(E290="",E290="!!!",F290="NEW"),"",INDEX(J$1:J289,SUMPRODUCT(MAX(ROW(E$1:E289)*(E290=E$1:E289)))))</f>
        <v>#VALUE!</v>
      </c>
      <c r="L290" s="27" t="s">
        <v>331</v>
      </c>
    </row>
    <row r="291" customFormat="false" ht="14.25" hidden="false" customHeight="false" outlineLevel="0" collapsed="false">
      <c r="A291" s="0" t="s">
        <v>259</v>
      </c>
      <c r="E291" s="20" t="str">
        <f aca="false">IF(D291="?OLD","!!!","")</f>
        <v/>
      </c>
      <c r="F291" s="21" t="str">
        <f aca="false">IF(OR(E291="",E291="!!!"),"",IF(NOT(ISNA(VLOOKUP(E291,E$1:E290,1,FALSE()))),"OLD",IF(AND(E291&lt;&gt;"",E291&lt;&gt;"!!!"),"NEW","")))</f>
        <v/>
      </c>
      <c r="G291" s="22" t="str">
        <f aca="false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aca="false">IF(J291&lt;&gt;1,"",IF(I291="SBJ","CB","?"))</f>
        <v/>
      </c>
      <c r="I291" s="24" t="str">
        <f aca="false">IF(OR(E291="",E291="!!!",F291="NEW"),"",INDEX(B$2:B290,-1+SUMPRODUCT(MAX(ROW(E$2:E290)*(E291=E$2:E290)))))</f>
        <v/>
      </c>
      <c r="J291" s="24" t="str">
        <f aca="true">IF(OR(E291="",E291="!!!",F291="NEW"),"",COUNTBLANK(OFFSET(A$1,,,SUMPRODUCT(MAX(ROW(E$2:E291)*(E291=E$2:E291)))))-COUNTBLANK(OFFSET(A$1,,,SUMPRODUCT(MAX(ROW(E$1:E290)*(E2=E$1:E290))))))</f>
        <v/>
      </c>
      <c r="K291" s="24" t="str">
        <f aca="false">IF(OR(E291="",E291="!!!",F291="NEW"),"",INDEX(J$1:J290,SUMPRODUCT(MAX(ROW(E$1:E290)*(E291=E$1:E290)))))</f>
        <v/>
      </c>
      <c r="L291" s="25"/>
    </row>
    <row r="292" customFormat="false" ht="14.25" hidden="false" customHeight="false" outlineLevel="0" collapsed="false">
      <c r="A292" s="0" t="s">
        <v>136</v>
      </c>
      <c r="E292" s="20" t="str">
        <f aca="false">IF(D292="?OLD","!!!","")</f>
        <v/>
      </c>
      <c r="F292" s="21" t="str">
        <f aca="false">IF(OR(E292="",E292="!!!"),"",IF(NOT(ISNA(VLOOKUP(E292,E$1:E291,1,FALSE()))),"OLD",IF(AND(E292&lt;&gt;"",E292&lt;&gt;"!!!"),"NEW","")))</f>
        <v/>
      </c>
      <c r="G292" s="22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aca="false">IF(J292&lt;&gt;1,"",IF(I292="SBJ","CB","?"))</f>
        <v/>
      </c>
      <c r="I292" s="24" t="str">
        <f aca="false">IF(OR(E292="",E292="!!!",F292="NEW"),"",INDEX(B$2:B291,-1+SUMPRODUCT(MAX(ROW(E$2:E291)*(E292=E$2:E291)))))</f>
        <v/>
      </c>
      <c r="J292" s="24" t="str">
        <f aca="true">IF(OR(E292="",E292="!!!",F292="NEW"),"",COUNTBLANK(OFFSET(A$1,,,SUMPRODUCT(MAX(ROW(E$2:E292)*(E292=E$2:E292)))))-COUNTBLANK(OFFSET(A$1,,,SUMPRODUCT(MAX(ROW(E$1:E291)*(E2=E$1:E291))))))</f>
        <v/>
      </c>
      <c r="K292" s="24" t="str">
        <f aca="false">IF(OR(E292="",E292="!!!",F292="NEW"),"",INDEX(J$1:J291,SUMPRODUCT(MAX(ROW(E$1:E291)*(E292=E$1:E291)))))</f>
        <v/>
      </c>
      <c r="L292" s="25"/>
    </row>
    <row r="293" customFormat="false" ht="14.25" hidden="false" customHeight="false" outlineLevel="0" collapsed="false">
      <c r="A293" s="0" t="s">
        <v>332</v>
      </c>
      <c r="B293" s="26" t="s">
        <v>147</v>
      </c>
      <c r="C293" s="26" t="s">
        <v>74</v>
      </c>
      <c r="D293" s="26" t="s">
        <v>75</v>
      </c>
      <c r="E293" s="20" t="s">
        <v>333</v>
      </c>
      <c r="F293" s="21" t="str">
        <f aca="false">IF(OR(E293="",E293="!!!"),"",IF(NOT(ISNA(VLOOKUP(E293,E$1:E292,1,FALSE()))),"OLD",IF(AND(E293&lt;&gt;"",E293&lt;&gt;"!!!"),"NEW","")))</f>
        <v>NEW</v>
      </c>
      <c r="G293" s="22" t="str">
        <f aca="false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?REFERENTIAL</v>
      </c>
      <c r="H293" s="23" t="str">
        <f aca="false">IF(J293&lt;&gt;1,"",IF(I293="SBJ","CB","?"))</f>
        <v/>
      </c>
      <c r="I293" s="24" t="str">
        <f aca="false">IF(OR(E293="",E293="!!!",F293="NEW"),"",INDEX(B$2:B292,-1+SUMPRODUCT(MAX(ROW(E$2:E292)*(E293=E$2:E292)))))</f>
        <v/>
      </c>
      <c r="J293" s="24" t="str">
        <f aca="true">IF(OR(E293="",E293="!!!",F293="NEW"),"",COUNTBLANK(OFFSET(A$1,,,SUMPRODUCT(MAX(ROW(E$2:E293)*(E293=E$2:E293)))))-COUNTBLANK(OFFSET(A$1,,,SUMPRODUCT(MAX(ROW(E$1:E292)*(E2=E$1:E292))))))</f>
        <v/>
      </c>
      <c r="K293" s="24" t="str">
        <f aca="false">IF(OR(E293="",E293="!!!",F293="NEW"),"",INDEX(J$1:J292,SUMPRODUCT(MAX(ROW(E$1:E292)*(E293=E$1:E292)))))</f>
        <v/>
      </c>
      <c r="L293" s="25"/>
    </row>
    <row r="294" customFormat="false" ht="14.25" hidden="false" customHeight="false" outlineLevel="0" collapsed="false">
      <c r="A294" s="0" t="s">
        <v>328</v>
      </c>
      <c r="E294" s="20" t="str">
        <f aca="false">IF(D294="?OLD","!!!","")</f>
        <v/>
      </c>
      <c r="F294" s="21" t="str">
        <f aca="false">IF(OR(E294="",E294="!!!"),"",IF(NOT(ISNA(VLOOKUP(E294,E$1:E293,1,FALSE()))),"OLD",IF(AND(E294&lt;&gt;"",E294&lt;&gt;"!!!"),"NEW","")))</f>
        <v/>
      </c>
      <c r="G294" s="22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aca="false">IF(J294&lt;&gt;1,"",IF(I294="SBJ","CB","?"))</f>
        <v/>
      </c>
      <c r="I294" s="24" t="str">
        <f aca="false">IF(OR(E294="",E294="!!!",F294="NEW"),"",INDEX(B$2:B293,-1+SUMPRODUCT(MAX(ROW(E$2:E293)*(E294=E$2:E293)))))</f>
        <v/>
      </c>
      <c r="J294" s="24" t="str">
        <f aca="true">IF(OR(E294="",E294="!!!",F294="NEW"),"",COUNTBLANK(OFFSET(A$1,,,SUMPRODUCT(MAX(ROW(E$2:E294)*(E294=E$2:E294)))))-COUNTBLANK(OFFSET(A$1,,,SUMPRODUCT(MAX(ROW(E$1:E293)*(E2=E$1:E293))))))</f>
        <v/>
      </c>
      <c r="K294" s="24" t="str">
        <f aca="false">IF(OR(E294="",E294="!!!",F294="NEW"),"",INDEX(J$1:J293,SUMPRODUCT(MAX(ROW(E$1:E293)*(E294=E$1:E293)))))</f>
        <v/>
      </c>
      <c r="L294" s="25"/>
    </row>
    <row r="295" customFormat="false" ht="14.25" hidden="false" customHeight="false" outlineLevel="0" collapsed="false">
      <c r="A295" s="0" t="s">
        <v>334</v>
      </c>
      <c r="E295" s="20"/>
      <c r="F295" s="21"/>
      <c r="G295" s="22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aca="false">IF(J295&lt;&gt;1,"",IF(I295="SBJ","CB","?"))</f>
        <v/>
      </c>
      <c r="I295" s="24" t="str">
        <f aca="false">IF(OR(E295="",E295="!!!",F295="NEW"),"",INDEX(B$2:B294,-1+SUMPRODUCT(MAX(ROW(E$2:E294)*(E295=E$2:E294)))))</f>
        <v/>
      </c>
      <c r="J295" s="24" t="str">
        <f aca="true">IF(OR(E295="",E295="!!!",F295="NEW"),"",COUNTBLANK(OFFSET(A$1,,,SUMPRODUCT(MAX(ROW(E$2:E295)*(E295=E$2:E295)))))-COUNTBLANK(OFFSET(A$1,,,SUMPRODUCT(MAX(ROW(E$1:E294)*(E2=E$1:E294))))))</f>
        <v/>
      </c>
      <c r="K295" s="24" t="str">
        <f aca="false">IF(OR(E295="",E295="!!!",F295="NEW"),"",INDEX(J$1:J294,SUMPRODUCT(MAX(ROW(E$1:E294)*(E295=E$1:E294)))))</f>
        <v/>
      </c>
      <c r="L295" s="25"/>
    </row>
    <row r="296" customFormat="false" ht="14.25" hidden="false" customHeight="false" outlineLevel="0" collapsed="false">
      <c r="A296" s="0" t="s">
        <v>335</v>
      </c>
      <c r="E296" s="20" t="str">
        <f aca="false">IF(D296="?OLD","!!!","")</f>
        <v/>
      </c>
      <c r="F296" s="21" t="str">
        <f aca="false">IF(OR(E296="",E296="!!!"),"",IF(NOT(ISNA(VLOOKUP(E296,E$1:E295,1,FALSE()))),"OLD",IF(AND(E296&lt;&gt;"",E296&lt;&gt;"!!!"),"NEW","")))</f>
        <v/>
      </c>
      <c r="G296" s="22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aca="false">IF(J296&lt;&gt;1,"",IF(I296="SBJ","CB","?"))</f>
        <v/>
      </c>
      <c r="I296" s="24" t="str">
        <f aca="false">IF(OR(E296="",E296="!!!",F296="NEW"),"",INDEX(B$2:B295,-1+SUMPRODUCT(MAX(ROW(E$2:E295)*(E296=E$2:E295)))))</f>
        <v/>
      </c>
      <c r="J296" s="24" t="str">
        <f aca="true">IF(OR(E296="",E296="!!!",F296="NEW"),"",COUNTBLANK(OFFSET(A$1,,,SUMPRODUCT(MAX(ROW(E$2:E296)*(E296=E$2:E296)))))-COUNTBLANK(OFFSET(A$1,,,SUMPRODUCT(MAX(ROW(E$1:E295)*(E2=E$1:E295))))))</f>
        <v/>
      </c>
      <c r="K296" s="24" t="str">
        <f aca="false">IF(OR(E296="",E296="!!!",F296="NEW"),"",INDEX(J$1:J295,SUMPRODUCT(MAX(ROW(E$1:E295)*(E296=E$1:E295)))))</f>
        <v/>
      </c>
      <c r="L296" s="25"/>
    </row>
    <row r="297" customFormat="false" ht="14.25" hidden="false" customHeight="false" outlineLevel="0" collapsed="false">
      <c r="A297" s="0" t="s">
        <v>167</v>
      </c>
      <c r="E297" s="20" t="str">
        <f aca="false">IF(D297="?OLD","!!!","")</f>
        <v/>
      </c>
      <c r="F297" s="21" t="str">
        <f aca="false">IF(OR(E297="",E297="!!!"),"",IF(NOT(ISNA(VLOOKUP(E297,E$1:E296,1,FALSE()))),"OLD",IF(AND(E297&lt;&gt;"",E297&lt;&gt;"!!!"),"NEW","")))</f>
        <v/>
      </c>
      <c r="G297" s="22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aca="false">IF(J297&lt;&gt;1,"",IF(I297="SBJ","CB","?"))</f>
        <v/>
      </c>
      <c r="I297" s="24" t="str">
        <f aca="false">IF(OR(E297="",E297="!!!",F297="NEW"),"",INDEX(B$2:B296,-1+SUMPRODUCT(MAX(ROW(E$2:E296)*(E297=E$2:E296)))))</f>
        <v/>
      </c>
      <c r="J297" s="24" t="str">
        <f aca="true">IF(OR(E297="",E297="!!!",F297="NEW"),"",COUNTBLANK(OFFSET(A$1,,,SUMPRODUCT(MAX(ROW(E$2:E297)*(E297=E$2:E297)))))-COUNTBLANK(OFFSET(A$1,,,SUMPRODUCT(MAX(ROW(E$1:E296)*(E2=E$1:E296))))))</f>
        <v/>
      </c>
      <c r="K297" s="24" t="str">
        <f aca="false">IF(OR(E297="",E297="!!!",F297="NEW"),"",INDEX(J$1:J296,SUMPRODUCT(MAX(ROW(E$1:E296)*(E297=E$1:E296)))))</f>
        <v/>
      </c>
      <c r="L297" s="25"/>
    </row>
    <row r="298" customFormat="false" ht="14.25" hidden="false" customHeight="false" outlineLevel="0" collapsed="false">
      <c r="A298" s="0" t="s">
        <v>86</v>
      </c>
      <c r="E298" s="20" t="str">
        <f aca="false">IF(D298="?OLD","!!!","")</f>
        <v/>
      </c>
      <c r="F298" s="21" t="str">
        <f aca="false">IF(OR(E298="",E298="!!!"),"",IF(NOT(ISNA(VLOOKUP(E298,E$1:E297,1,FALSE()))),"OLD",IF(AND(E298&lt;&gt;"",E298&lt;&gt;"!!!"),"NEW","")))</f>
        <v/>
      </c>
      <c r="G298" s="22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aca="false">IF(J298&lt;&gt;1,"",IF(I298="SBJ","CB","?"))</f>
        <v/>
      </c>
      <c r="I298" s="24" t="str">
        <f aca="false">IF(OR(E298="",E298="!!!",F298="NEW"),"",INDEX(B$2:B297,-1+SUMPRODUCT(MAX(ROW(E$2:E297)*(E298=E$2:E297)))))</f>
        <v/>
      </c>
      <c r="J298" s="24" t="str">
        <f aca="true">IF(OR(E298="",E298="!!!",F298="NEW"),"",COUNTBLANK(OFFSET(A$1,,,SUMPRODUCT(MAX(ROW(E$2:E298)*(E298=E$2:E298)))))-COUNTBLANK(OFFSET(A$1,,,SUMPRODUCT(MAX(ROW(E$1:E297)*(E2=E$1:E297))))))</f>
        <v/>
      </c>
      <c r="K298" s="24" t="str">
        <f aca="false">IF(OR(E298="",E298="!!!",F298="NEW"),"",INDEX(J$1:J297,SUMPRODUCT(MAX(ROW(E$1:E297)*(E298=E$1:E297)))))</f>
        <v/>
      </c>
      <c r="L298" s="25"/>
    </row>
    <row r="299" customFormat="false" ht="14.25" hidden="false" customHeight="false" outlineLevel="0" collapsed="false">
      <c r="A299" s="0" t="s">
        <v>247</v>
      </c>
      <c r="B299" s="26" t="s">
        <v>73</v>
      </c>
      <c r="C299" s="26" t="s">
        <v>209</v>
      </c>
      <c r="D299" s="26" t="s">
        <v>75</v>
      </c>
      <c r="E299" s="20"/>
      <c r="F299" s="21" t="s">
        <v>107</v>
      </c>
      <c r="G299" s="22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aca="false">IF(J299&lt;&gt;1,"",IF(I299="SBJ","CB","?"))</f>
        <v/>
      </c>
      <c r="I299" s="24" t="str">
        <f aca="false">IF(OR(E299="",E299="!!!",F299="NEW"),"",INDEX(B$2:B298,-1+SUMPRODUCT(MAX(ROW(E$2:E298)*(E299=E$2:E298)))))</f>
        <v/>
      </c>
      <c r="J299" s="24" t="str">
        <f aca="true">IF(OR(E299="",E299="!!!",F299="NEW"),"",COUNTBLANK(OFFSET(A$1,,,SUMPRODUCT(MAX(ROW(E$2:E299)*(E299=E$2:E299)))))-COUNTBLANK(OFFSET(A$1,,,SUMPRODUCT(MAX(ROW(E$1:E298)*(E2=E$1:E298))))))</f>
        <v/>
      </c>
      <c r="K299" s="24" t="str">
        <f aca="false">IF(OR(E299="",E299="!!!",F299="NEW"),"",INDEX(J$1:J298,SUMPRODUCT(MAX(ROW(E$1:E298)*(E299=E$1:E298)))))</f>
        <v/>
      </c>
      <c r="L299" s="27" t="s">
        <v>336</v>
      </c>
    </row>
    <row r="300" customFormat="false" ht="14.25" hidden="false" customHeight="false" outlineLevel="0" collapsed="false">
      <c r="A300" s="0" t="s">
        <v>337</v>
      </c>
      <c r="E300" s="20" t="str">
        <f aca="false">IF(D300="?OLD","!!!","")</f>
        <v/>
      </c>
      <c r="F300" s="21" t="str">
        <f aca="false">IF(OR(E300="",E300="!!!"),"",IF(NOT(ISNA(VLOOKUP(E300,E$1:E299,1,FALSE()))),"OLD",IF(AND(E300&lt;&gt;"",E300&lt;&gt;"!!!"),"NEW","")))</f>
        <v/>
      </c>
      <c r="G300" s="22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aca="false">IF(J300&lt;&gt;1,"",IF(I300="SBJ","CB","?"))</f>
        <v/>
      </c>
      <c r="I300" s="24" t="str">
        <f aca="false">IF(OR(E300="",E300="!!!",F300="NEW"),"",INDEX(B$2:B299,-1+SUMPRODUCT(MAX(ROW(E$2:E299)*(E300=E$2:E299)))))</f>
        <v/>
      </c>
      <c r="J300" s="24" t="str">
        <f aca="true">IF(OR(E300="",E300="!!!",F300="NEW"),"",COUNTBLANK(OFFSET(A$1,,,SUMPRODUCT(MAX(ROW(E$2:E300)*(E300=E$2:E300)))))-COUNTBLANK(OFFSET(A$1,,,SUMPRODUCT(MAX(ROW(E$1:E299)*(E2=E$1:E299))))))</f>
        <v/>
      </c>
      <c r="K300" s="24" t="str">
        <f aca="false">IF(OR(E300="",E300="!!!",F300="NEW"),"",INDEX(J$1:J299,SUMPRODUCT(MAX(ROW(E$1:E299)*(E300=E$1:E299)))))</f>
        <v/>
      </c>
      <c r="L300" s="25"/>
    </row>
    <row r="301" customFormat="false" ht="14.25" hidden="false" customHeight="false" outlineLevel="0" collapsed="false">
      <c r="A301" s="0" t="s">
        <v>101</v>
      </c>
      <c r="E301" s="20" t="str">
        <f aca="false">IF(D301="?OLD","!!!","")</f>
        <v/>
      </c>
      <c r="F301" s="21" t="str">
        <f aca="false">IF(OR(E301="",E301="!!!"),"",IF(NOT(ISNA(VLOOKUP(E301,E$1:E300,1,FALSE()))),"OLD",IF(AND(E301&lt;&gt;"",E301&lt;&gt;"!!!"),"NEW","")))</f>
        <v/>
      </c>
      <c r="G301" s="22" t="str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aca="false">IF(J301&lt;&gt;1,"",IF(I301="SBJ","CB","?"))</f>
        <v/>
      </c>
      <c r="I301" s="24" t="str">
        <f aca="false">IF(OR(E301="",E301="!!!",F301="NEW"),"",INDEX(B$2:B300,-1+SUMPRODUCT(MAX(ROW(E$2:E300)*(E301=E$2:E300)))))</f>
        <v/>
      </c>
      <c r="J301" s="24" t="str">
        <f aca="true">IF(OR(E301="",E301="!!!",F301="NEW"),"",COUNTBLANK(OFFSET(A$1,,,SUMPRODUCT(MAX(ROW(E$2:E301)*(E301=E$2:E301)))))-COUNTBLANK(OFFSET(A$1,,,SUMPRODUCT(MAX(ROW(E$1:E300)*(E2=E$1:E300))))))</f>
        <v/>
      </c>
      <c r="K301" s="24" t="str">
        <f aca="false">IF(OR(E301="",E301="!!!",F301="NEW"),"",INDEX(J$1:J300,SUMPRODUCT(MAX(ROW(E$1:E300)*(E301=E$1:E300)))))</f>
        <v/>
      </c>
      <c r="L301" s="25"/>
    </row>
    <row r="302" customFormat="false" ht="14.25" hidden="false" customHeight="false" outlineLevel="0" collapsed="false">
      <c r="A302" s="0" t="s">
        <v>122</v>
      </c>
      <c r="E302" s="20" t="str">
        <f aca="false">IF(D302="?OLD","!!!","")</f>
        <v/>
      </c>
      <c r="F302" s="21" t="str">
        <f aca="false">IF(OR(E302="",E302="!!!"),"",IF(NOT(ISNA(VLOOKUP(E302,E$1:E301,1,FALSE()))),"OLD",IF(AND(E302&lt;&gt;"",E302&lt;&gt;"!!!"),"NEW","")))</f>
        <v/>
      </c>
      <c r="G302" s="22" t="str">
        <f aca="false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aca="false">IF(J302&lt;&gt;1,"",IF(I302="SBJ","CB","?"))</f>
        <v/>
      </c>
      <c r="I302" s="24" t="str">
        <f aca="false">IF(OR(E302="",E302="!!!",F302="NEW"),"",INDEX(B$2:B301,-1+SUMPRODUCT(MAX(ROW(E$2:E301)*(E302=E$2:E301)))))</f>
        <v/>
      </c>
      <c r="J302" s="24" t="str">
        <f aca="true">IF(OR(E302="",E302="!!!",F302="NEW"),"",COUNTBLANK(OFFSET(A$1,,,SUMPRODUCT(MAX(ROW(E$2:E302)*(E302=E$2:E302)))))-COUNTBLANK(OFFSET(A$1,,,SUMPRODUCT(MAX(ROW(E$1:E301)*(E2=E$1:E301))))))</f>
        <v/>
      </c>
      <c r="K302" s="24" t="str">
        <f aca="false">IF(OR(E302="",E302="!!!",F302="NEW"),"",INDEX(J$1:J301,SUMPRODUCT(MAX(ROW(E$1:E301)*(E302=E$1:E301)))))</f>
        <v/>
      </c>
      <c r="L302" s="25"/>
    </row>
    <row r="303" customFormat="false" ht="14.25" hidden="false" customHeight="false" outlineLevel="0" collapsed="false">
      <c r="A303" s="0" t="s">
        <v>103</v>
      </c>
      <c r="B303" s="26" t="s">
        <v>104</v>
      </c>
      <c r="C303" s="26" t="s">
        <v>105</v>
      </c>
      <c r="E303" s="20" t="s">
        <v>106</v>
      </c>
      <c r="F303" s="21" t="str">
        <f aca="false">IF(OR(E303="",E303="!!!"),"",IF(NOT(ISNA(VLOOKUP(E303,E$1:E302,1,FALSE()))),"OLD",IF(AND(E303&lt;&gt;"",E303&lt;&gt;"!!!"),"NEW","")))</f>
        <v>OLD</v>
      </c>
      <c r="G303" s="22" t="str">
        <f aca="false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23" t="str">
        <f aca="false">IF(J303&lt;&gt;1,"",IF(I303="SBJ","CB","?"))</f>
        <v/>
      </c>
      <c r="I303" s="24" t="str">
        <f aca="false">IF(OR(E303="",E303="!!!",F303="NEW"),"",INDEX(B$2:B302,-1+SUMPRODUCT(MAX(ROW(E$2:E302)*(E303=E$2:E302)))))</f>
        <v>SBJ_3</v>
      </c>
      <c r="J303" s="24" t="n">
        <f aca="true">IF(OR(E303="",E303="!!!",F303="NEW"),"",COUNTBLANK(OFFSET(A$1,,,SUMPRODUCT(MAX(ROW(E$2:E303)*(E303=E$2:E303)))))-COUNTBLANK(OFFSET(A$1,,,SUMPRODUCT(MAX(ROW(E$1:E302)*(E2=E$1:E302))))))</f>
        <v>0</v>
      </c>
      <c r="K303" s="24" t="n">
        <f aca="false">IF(OR(E303="",E303="!!!",F303="NEW"),"",INDEX(J$1:J302,SUMPRODUCT(MAX(ROW(E$1:E302)*(E303=E$1:E302)))))</f>
        <v>0</v>
      </c>
      <c r="L303" s="27" t="s">
        <v>338</v>
      </c>
    </row>
    <row r="304" customFormat="false" ht="14.25" hidden="false" customHeight="false" outlineLevel="0" collapsed="false">
      <c r="A304" s="0" t="s">
        <v>90</v>
      </c>
      <c r="B304" s="26" t="s">
        <v>110</v>
      </c>
      <c r="E304" s="20" t="str">
        <f aca="false">IF(D304="?OLD","!!!","")</f>
        <v/>
      </c>
      <c r="F304" s="21" t="str">
        <f aca="false">IF(OR(E304="",E304="!!!"),"",IF(NOT(ISNA(VLOOKUP(E304,E$1:E303,1,FALSE()))),"OLD",IF(AND(E304&lt;&gt;"",E304&lt;&gt;"!!!"),"NEW","")))</f>
        <v/>
      </c>
      <c r="G304" s="22" t="str">
        <f aca="false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aca="false">IF(J304&lt;&gt;1,"",IF(I304="SBJ","CB","?"))</f>
        <v/>
      </c>
      <c r="I304" s="24" t="str">
        <f aca="false">IF(OR(E304="",E304="!!!",F304="NEW"),"",INDEX(B$2:B303,-1+SUMPRODUCT(MAX(ROW(E$2:E303)*(E304=E$2:E303)))))</f>
        <v/>
      </c>
      <c r="J304" s="24" t="str">
        <f aca="true">IF(OR(E304="",E304="!!!",F304="NEW"),"",COUNTBLANK(OFFSET(A$1,,,SUMPRODUCT(MAX(ROW(E$2:E304)*(E304=E$2:E304)))))-COUNTBLANK(OFFSET(A$1,,,SUMPRODUCT(MAX(ROW(E$1:E303)*(E2=E$1:E303))))))</f>
        <v/>
      </c>
      <c r="K304" s="24" t="str">
        <f aca="false">IF(OR(E304="",E304="!!!",F304="NEW"),"",INDEX(J$1:J303,SUMPRODUCT(MAX(ROW(E$1:E303)*(E304=E$1:E303)))))</f>
        <v/>
      </c>
      <c r="L304" s="25"/>
    </row>
    <row r="305" customFormat="false" ht="14.25" hidden="false" customHeight="false" outlineLevel="0" collapsed="false">
      <c r="A305" s="0" t="s">
        <v>339</v>
      </c>
      <c r="E305" s="20" t="str">
        <f aca="false">IF(D305="?OLD","!!!","")</f>
        <v/>
      </c>
      <c r="F305" s="21" t="str">
        <f aca="false">IF(OR(E305="",E305="!!!"),"",IF(NOT(ISNA(VLOOKUP(E305,E$1:E304,1,FALSE()))),"OLD",IF(AND(E305&lt;&gt;"",E305&lt;&gt;"!!!"),"NEW","")))</f>
        <v/>
      </c>
      <c r="G305" s="22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aca="false">IF(J305&lt;&gt;1,"",IF(I305="SBJ","CB","?"))</f>
        <v/>
      </c>
      <c r="I305" s="24" t="str">
        <f aca="false">IF(OR(E305="",E305="!!!",F305="NEW"),"",INDEX(B$2:B304,-1+SUMPRODUCT(MAX(ROW(E$2:E304)*(E305=E$2:E304)))))</f>
        <v/>
      </c>
      <c r="J305" s="24" t="str">
        <f aca="true">IF(OR(E305="",E305="!!!",F305="NEW"),"",COUNTBLANK(OFFSET(A$1,,,SUMPRODUCT(MAX(ROW(E$2:E305)*(E305=E$2:E305)))))-COUNTBLANK(OFFSET(A$1,,,SUMPRODUCT(MAX(ROW(E$1:E304)*(E2=E$1:E304))))))</f>
        <v/>
      </c>
      <c r="K305" s="24" t="str">
        <f aca="false">IF(OR(E305="",E305="!!!",F305="NEW"),"",INDEX(J$1:J304,SUMPRODUCT(MAX(ROW(E$1:E304)*(E305=E$1:E304)))))</f>
        <v/>
      </c>
      <c r="L305" s="25"/>
    </row>
    <row r="306" customFormat="false" ht="14.25" hidden="false" customHeight="false" outlineLevel="0" collapsed="false">
      <c r="A306" s="0" t="s">
        <v>340</v>
      </c>
      <c r="B306" s="26" t="s">
        <v>110</v>
      </c>
      <c r="C306" s="26" t="s">
        <v>341</v>
      </c>
      <c r="E306" s="20" t="str">
        <f aca="false">IF(D306="?OLD","!!!","")</f>
        <v/>
      </c>
      <c r="F306" s="21" t="str">
        <f aca="false">IF(OR(E306="",E306="!!!"),"",IF(NOT(ISNA(VLOOKUP(E306,E$1:E305,1,FALSE()))),"OLD",IF(AND(E306&lt;&gt;"",E306&lt;&gt;"!!!"),"NEW","")))</f>
        <v/>
      </c>
      <c r="G306" s="22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aca="false">IF(J306&lt;&gt;1,"",IF(I306="SBJ","CB","?"))</f>
        <v/>
      </c>
      <c r="I306" s="24" t="str">
        <f aca="false">IF(OR(E306="",E306="!!!",F306="NEW"),"",INDEX(B$2:B305,-1+SUMPRODUCT(MAX(ROW(E$2:E305)*(E306=E$2:E305)))))</f>
        <v/>
      </c>
      <c r="J306" s="24" t="str">
        <f aca="true">IF(OR(E306="",E306="!!!",F306="NEW"),"",COUNTBLANK(OFFSET(A$1,,,SUMPRODUCT(MAX(ROW(E$2:E306)*(E306=E$2:E306)))))-COUNTBLANK(OFFSET(A$1,,,SUMPRODUCT(MAX(ROW(E$1:E305)*(E2=E$1:E305))))))</f>
        <v/>
      </c>
      <c r="K306" s="24" t="str">
        <f aca="false">IF(OR(E306="",E306="!!!",F306="NEW"),"",INDEX(J$1:J305,SUMPRODUCT(MAX(ROW(E$1:E305)*(E306=E$1:E305)))))</f>
        <v/>
      </c>
      <c r="L306" s="25"/>
    </row>
    <row r="307" customFormat="false" ht="14.25" hidden="false" customHeight="false" outlineLevel="0" collapsed="false">
      <c r="A307" s="0" t="s">
        <v>342</v>
      </c>
      <c r="E307" s="20" t="str">
        <f aca="false">IF(D307="?OLD","!!!","")</f>
        <v/>
      </c>
      <c r="F307" s="21" t="str">
        <f aca="false">IF(OR(E307="",E307="!!!"),"",IF(NOT(ISNA(VLOOKUP(E307,E$1:E306,1,FALSE()))),"OLD",IF(AND(E307&lt;&gt;"",E307&lt;&gt;"!!!"),"NEW","")))</f>
        <v/>
      </c>
      <c r="G307" s="22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aca="false">IF(J307&lt;&gt;1,"",IF(I307="SBJ","CB","?"))</f>
        <v/>
      </c>
      <c r="I307" s="24" t="str">
        <f aca="false">IF(OR(E307="",E307="!!!",F307="NEW"),"",INDEX(B$2:B306,-1+SUMPRODUCT(MAX(ROW(E$2:E306)*(E307=E$2:E306)))))</f>
        <v/>
      </c>
      <c r="J307" s="24" t="str">
        <f aca="true">IF(OR(E307="",E307="!!!",F307="NEW"),"",COUNTBLANK(OFFSET(A$1,,,SUMPRODUCT(MAX(ROW(E$2:E307)*(E307=E$2:E307)))))-COUNTBLANK(OFFSET(A$1,,,SUMPRODUCT(MAX(ROW(E$1:E306)*(E2=E$1:E306))))))</f>
        <v/>
      </c>
      <c r="K307" s="24" t="str">
        <f aca="false">IF(OR(E307="",E307="!!!",F307="NEW"),"",INDEX(J$1:J306,SUMPRODUCT(MAX(ROW(E$1:E306)*(E307=E$1:E306)))))</f>
        <v/>
      </c>
      <c r="L307" s="25"/>
    </row>
    <row r="308" customFormat="false" ht="14.25" hidden="false" customHeight="false" outlineLevel="0" collapsed="false">
      <c r="A308" s="0" t="s">
        <v>142</v>
      </c>
      <c r="E308" s="20" t="str">
        <f aca="false">IF(D308="?OLD","!!!","")</f>
        <v/>
      </c>
      <c r="F308" s="21" t="str">
        <f aca="false">IF(OR(E308="",E308="!!!"),"",IF(NOT(ISNA(VLOOKUP(E308,E$1:E307,1,FALSE()))),"OLD",IF(AND(E308&lt;&gt;"",E308&lt;&gt;"!!!"),"NEW","")))</f>
        <v/>
      </c>
      <c r="G308" s="22" t="str">
        <f aca="false"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aca="false">IF(J308&lt;&gt;1,"",IF(I308="SBJ","CB","?"))</f>
        <v/>
      </c>
      <c r="I308" s="24" t="str">
        <f aca="false">IF(OR(E308="",E308="!!!",F308="NEW"),"",INDEX(B$2:B307,-1+SUMPRODUCT(MAX(ROW(E$2:E307)*(E308=E$2:E307)))))</f>
        <v/>
      </c>
      <c r="J308" s="24" t="str">
        <f aca="true">IF(OR(E308="",E308="!!!",F308="NEW"),"",COUNTBLANK(OFFSET(A$1,,,SUMPRODUCT(MAX(ROW(E$2:E308)*(E308=E$2:E308)))))-COUNTBLANK(OFFSET(A$1,,,SUMPRODUCT(MAX(ROW(E$1:E307)*(E2=E$1:E307))))))</f>
        <v/>
      </c>
      <c r="K308" s="24" t="str">
        <f aca="false">IF(OR(E308="",E308="!!!",F308="NEW"),"",INDEX(J$1:J307,SUMPRODUCT(MAX(ROW(E$1:E307)*(E308=E$1:E307)))))</f>
        <v/>
      </c>
      <c r="L308" s="25"/>
    </row>
    <row r="309" customFormat="false" ht="14.25" hidden="false" customHeight="false" outlineLevel="0" collapsed="false">
      <c r="A309" s="0" t="s">
        <v>343</v>
      </c>
      <c r="E309" s="20" t="str">
        <f aca="false">IF(D309="?OLD","!!!","")</f>
        <v/>
      </c>
      <c r="F309" s="21" t="str">
        <f aca="false">IF(OR(E309="",E309="!!!"),"",IF(NOT(ISNA(VLOOKUP(E309,E$1:E308,1,FALSE()))),"OLD",IF(AND(E309&lt;&gt;"",E309&lt;&gt;"!!!"),"NEW","")))</f>
        <v/>
      </c>
      <c r="G309" s="22" t="str">
        <f aca="false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aca="false">IF(J309&lt;&gt;1,"",IF(I309="SBJ","CB","?"))</f>
        <v/>
      </c>
      <c r="I309" s="24" t="str">
        <f aca="false">IF(OR(E309="",E309="!!!",F309="NEW"),"",INDEX(B$2:B308,-1+SUMPRODUCT(MAX(ROW(E$2:E308)*(E309=E$2:E308)))))</f>
        <v/>
      </c>
      <c r="J309" s="24" t="str">
        <f aca="true">IF(OR(E309="",E309="!!!",F309="NEW"),"",COUNTBLANK(OFFSET(A$1,,,SUMPRODUCT(MAX(ROW(E$2:E309)*(E309=E$2:E309)))))-COUNTBLANK(OFFSET(A$1,,,SUMPRODUCT(MAX(ROW(E$1:E308)*(E2=E$1:E308))))))</f>
        <v/>
      </c>
      <c r="K309" s="24" t="str">
        <f aca="false">IF(OR(E309="",E309="!!!",F309="NEW"),"",INDEX(J$1:J308,SUMPRODUCT(MAX(ROW(E$1:E308)*(E309=E$1:E308)))))</f>
        <v/>
      </c>
      <c r="L309" s="25"/>
    </row>
    <row r="310" customFormat="false" ht="14.25" hidden="false" customHeight="false" outlineLevel="0" collapsed="false">
      <c r="A310" s="0" t="s">
        <v>101</v>
      </c>
      <c r="E310" s="20" t="str">
        <f aca="false">IF(D310="?OLD","!!!","")</f>
        <v/>
      </c>
      <c r="F310" s="21" t="str">
        <f aca="false">IF(OR(E310="",E310="!!!"),"",IF(NOT(ISNA(VLOOKUP(E310,E$1:E309,1,FALSE()))),"OLD",IF(AND(E310&lt;&gt;"",E310&lt;&gt;"!!!"),"NEW","")))</f>
        <v/>
      </c>
      <c r="G310" s="22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aca="false">IF(J310&lt;&gt;1,"",IF(I310="SBJ","CB","?"))</f>
        <v/>
      </c>
      <c r="I310" s="24" t="str">
        <f aca="false">IF(OR(E310="",E310="!!!",F310="NEW"),"",INDEX(B$2:B309,-1+SUMPRODUCT(MAX(ROW(E$2:E309)*(E310=E$2:E309)))))</f>
        <v/>
      </c>
      <c r="J310" s="24" t="str">
        <f aca="true">IF(OR(E310="",E310="!!!",F310="NEW"),"",COUNTBLANK(OFFSET(A$1,,,SUMPRODUCT(MAX(ROW(E$2:E310)*(E310=E$2:E310)))))-COUNTBLANK(OFFSET(A$1,,,SUMPRODUCT(MAX(ROW(E$1:E309)*(E2=E$1:E309))))))</f>
        <v/>
      </c>
      <c r="K310" s="24" t="str">
        <f aca="false">IF(OR(E310="",E310="!!!",F310="NEW"),"",INDEX(J$1:J309,SUMPRODUCT(MAX(ROW(E$1:E309)*(E310=E$1:E309)))))</f>
        <v/>
      </c>
      <c r="L310" s="25"/>
    </row>
    <row r="311" customFormat="false" ht="14.25" hidden="false" customHeight="false" outlineLevel="0" collapsed="false">
      <c r="A311" s="0" t="s">
        <v>325</v>
      </c>
      <c r="E311" s="20" t="str">
        <f aca="false">IF(D311="?OLD","!!!","")</f>
        <v/>
      </c>
      <c r="F311" s="21" t="str">
        <f aca="false">IF(OR(E311="",E311="!!!"),"",IF(NOT(ISNA(VLOOKUP(E311,E$1:E310,1,FALSE()))),"OLD",IF(AND(E311&lt;&gt;"",E311&lt;&gt;"!!!"),"NEW","")))</f>
        <v/>
      </c>
      <c r="G311" s="22" t="str">
        <f aca="false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aca="false">IF(J311&lt;&gt;1,"",IF(I311="SBJ","CB","?"))</f>
        <v/>
      </c>
      <c r="I311" s="24" t="str">
        <f aca="false">IF(OR(E311="",E311="!!!",F311="NEW"),"",INDEX(B$2:B310,-1+SUMPRODUCT(MAX(ROW(E$2:E310)*(E311=E$2:E310)))))</f>
        <v/>
      </c>
      <c r="J311" s="24" t="str">
        <f aca="true">IF(OR(E311="",E311="!!!",F311="NEW"),"",COUNTBLANK(OFFSET(A$1,,,SUMPRODUCT(MAX(ROW(E$2:E311)*(E311=E$2:E311)))))-COUNTBLANK(OFFSET(A$1,,,SUMPRODUCT(MAX(ROW(E$1:E310)*(E2=E$1:E310))))))</f>
        <v/>
      </c>
      <c r="K311" s="24" t="str">
        <f aca="false">IF(OR(E311="",E311="!!!",F311="NEW"),"",INDEX(J$1:J310,SUMPRODUCT(MAX(ROW(E$1:E310)*(E311=E$1:E310)))))</f>
        <v/>
      </c>
      <c r="L311" s="25"/>
    </row>
    <row r="312" customFormat="false" ht="14.25" hidden="false" customHeight="false" outlineLevel="0" collapsed="false">
      <c r="A312" s="0" t="s">
        <v>254</v>
      </c>
      <c r="B312" s="26" t="s">
        <v>204</v>
      </c>
      <c r="C312" s="26" t="s">
        <v>209</v>
      </c>
      <c r="D312" s="26" t="s">
        <v>75</v>
      </c>
      <c r="E312" s="20" t="s">
        <v>106</v>
      </c>
      <c r="F312" s="21" t="str">
        <f aca="false">IF(OR(E312="",E312="!!!"),"",IF(NOT(ISNA(VLOOKUP(E312,E$1:E311,1,FALSE()))),"OLD",IF(AND(E312&lt;&gt;"",E312&lt;&gt;"!!!"),"NEW","")))</f>
        <v>OLD</v>
      </c>
      <c r="G312" s="22" t="str">
        <f aca="false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?IN_FOCUS</v>
      </c>
      <c r="H312" s="23" t="str">
        <f aca="false">IF(J312&lt;&gt;1,"",IF(I312="SBJ","CB","?"))</f>
        <v/>
      </c>
      <c r="I312" s="24" t="str">
        <f aca="false">IF(OR(E312="",E312="!!!",F312="NEW"),"",INDEX(B$2:B311,-1+SUMPRODUCT(MAX(ROW(E$2:E311)*(E312=E$2:E311)))))</f>
        <v>SBJ_3</v>
      </c>
      <c r="J312" s="24" t="n">
        <f aca="true">IF(OR(E312="",E312="!!!",F312="NEW"),"",COUNTBLANK(OFFSET(A$1,,,SUMPRODUCT(MAX(ROW(E$2:E312)*(E312=E$2:E312)))))-COUNTBLANK(OFFSET(A$1,,,SUMPRODUCT(MAX(ROW(E$1:E311)*(E2=E$1:E311))))))</f>
        <v>0</v>
      </c>
      <c r="K312" s="24" t="n">
        <f aca="false">IF(OR(E312="",E312="!!!",F312="NEW"),"",INDEX(J$1:J311,SUMPRODUCT(MAX(ROW(E$1:E311)*(E312=E$1:E311)))))</f>
        <v>0</v>
      </c>
      <c r="L312" s="25"/>
    </row>
    <row r="313" customFormat="false" ht="14.25" hidden="false" customHeight="false" outlineLevel="0" collapsed="false">
      <c r="A313" s="0" t="s">
        <v>344</v>
      </c>
      <c r="E313" s="20" t="str">
        <f aca="false">IF(D313="?OLD","!!!","")</f>
        <v/>
      </c>
      <c r="F313" s="21" t="str">
        <f aca="false">IF(OR(E313="",E313="!!!"),"",IF(NOT(ISNA(VLOOKUP(E313,E$1:E312,1,FALSE()))),"OLD",IF(AND(E313&lt;&gt;"",E313&lt;&gt;"!!!"),"NEW","")))</f>
        <v/>
      </c>
      <c r="G313" s="22" t="str">
        <f aca="false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aca="false">IF(J313&lt;&gt;1,"",IF(I313="SBJ","CB","?"))</f>
        <v/>
      </c>
      <c r="I313" s="24" t="str">
        <f aca="false">IF(OR(E313="",E313="!!!",F313="NEW"),"",INDEX(B$2:B312,-1+SUMPRODUCT(MAX(ROW(E$2:E312)*(E313=E$2:E312)))))</f>
        <v/>
      </c>
      <c r="J313" s="24" t="str">
        <f aca="true">IF(OR(E313="",E313="!!!",F313="NEW"),"",COUNTBLANK(OFFSET(A$1,,,SUMPRODUCT(MAX(ROW(E$2:E313)*(E313=E$2:E313)))))-COUNTBLANK(OFFSET(A$1,,,SUMPRODUCT(MAX(ROW(E$1:E312)*(E2=E$1:E312))))))</f>
        <v/>
      </c>
      <c r="K313" s="24" t="str">
        <f aca="false">IF(OR(E313="",E313="!!!",F313="NEW"),"",INDEX(J$1:J312,SUMPRODUCT(MAX(ROW(E$1:E312)*(E313=E$1:E312)))))</f>
        <v/>
      </c>
      <c r="L313" s="25"/>
    </row>
    <row r="314" customFormat="false" ht="14.25" hidden="false" customHeight="false" outlineLevel="0" collapsed="false">
      <c r="A314" s="0" t="s">
        <v>101</v>
      </c>
      <c r="E314" s="20" t="str">
        <f aca="false">IF(D314="?OLD","!!!","")</f>
        <v/>
      </c>
      <c r="F314" s="21" t="str">
        <f aca="false">IF(OR(E314="",E314="!!!"),"",IF(NOT(ISNA(VLOOKUP(E314,E$1:E313,1,FALSE()))),"OLD",IF(AND(E314&lt;&gt;"",E314&lt;&gt;"!!!"),"NEW","")))</f>
        <v/>
      </c>
      <c r="G314" s="22" t="str">
        <f aca="false"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aca="false">IF(J314&lt;&gt;1,"",IF(I314="SBJ","CB","?"))</f>
        <v/>
      </c>
      <c r="I314" s="24" t="str">
        <f aca="false">IF(OR(E314="",E314="!!!",F314="NEW"),"",INDEX(B$2:B313,-1+SUMPRODUCT(MAX(ROW(E$2:E313)*(E314=E$2:E313)))))</f>
        <v/>
      </c>
      <c r="J314" s="24" t="str">
        <f aca="true">IF(OR(E314="",E314="!!!",F314="NEW"),"",COUNTBLANK(OFFSET(A$1,,,SUMPRODUCT(MAX(ROW(E$2:E314)*(E314=E$2:E314)))))-COUNTBLANK(OFFSET(A$1,,,SUMPRODUCT(MAX(ROW(E$1:E313)*(E2=E$1:E313))))))</f>
        <v/>
      </c>
      <c r="K314" s="24" t="str">
        <f aca="false">IF(OR(E314="",E314="!!!",F314="NEW"),"",INDEX(J$1:J313,SUMPRODUCT(MAX(ROW(E$1:E313)*(E314=E$1:E313)))))</f>
        <v/>
      </c>
      <c r="L314" s="25"/>
    </row>
    <row r="315" customFormat="false" ht="14.25" hidden="false" customHeight="false" outlineLevel="0" collapsed="false">
      <c r="A315" s="0" t="s">
        <v>345</v>
      </c>
      <c r="E315" s="20" t="str">
        <f aca="false">IF(D315="?OLD","!!!","")</f>
        <v/>
      </c>
      <c r="F315" s="21" t="str">
        <f aca="false">IF(OR(E315="",E315="!!!"),"",IF(NOT(ISNA(VLOOKUP(E315,E$1:E314,1,FALSE()))),"OLD",IF(AND(E315&lt;&gt;"",E315&lt;&gt;"!!!"),"NEW","")))</f>
        <v/>
      </c>
      <c r="G315" s="22" t="str">
        <f aca="false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aca="false">IF(J315&lt;&gt;1,"",IF(I315="SBJ","CB","?"))</f>
        <v/>
      </c>
      <c r="I315" s="24" t="str">
        <f aca="false">IF(OR(E315="",E315="!!!",F315="NEW"),"",INDEX(B$2:B314,-1+SUMPRODUCT(MAX(ROW(E$2:E314)*(E315=E$2:E314)))))</f>
        <v/>
      </c>
      <c r="J315" s="24" t="str">
        <f aca="true">IF(OR(E315="",E315="!!!",F315="NEW"),"",COUNTBLANK(OFFSET(A$1,,,SUMPRODUCT(MAX(ROW(E$2:E315)*(E315=E$2:E315)))))-COUNTBLANK(OFFSET(A$1,,,SUMPRODUCT(MAX(ROW(E$1:E314)*(E2=E$1:E314))))))</f>
        <v/>
      </c>
      <c r="K315" s="24" t="str">
        <f aca="false">IF(OR(E315="",E315="!!!",F315="NEW"),"",INDEX(J$1:J314,SUMPRODUCT(MAX(ROW(E$1:E314)*(E315=E$1:E314)))))</f>
        <v/>
      </c>
      <c r="L315" s="25"/>
    </row>
    <row r="316" customFormat="false" ht="14.25" hidden="false" customHeight="false" outlineLevel="0" collapsed="false">
      <c r="A316" s="0" t="s">
        <v>254</v>
      </c>
      <c r="B316" s="26" t="s">
        <v>96</v>
      </c>
      <c r="C316" s="26" t="s">
        <v>209</v>
      </c>
      <c r="D316" s="26" t="s">
        <v>75</v>
      </c>
      <c r="E316" s="20" t="s">
        <v>106</v>
      </c>
      <c r="F316" s="21" t="str">
        <f aca="false">IF(OR(E316="",E316="!!!"),"",IF(NOT(ISNA(VLOOKUP(E316,E$1:E315,1,FALSE()))),"OLD",IF(AND(E316&lt;&gt;"",E316&lt;&gt;"!!!"),"NEW","")))</f>
        <v>OLD</v>
      </c>
      <c r="G316" s="22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?IN_FOCUS</v>
      </c>
      <c r="H316" s="23" t="str">
        <f aca="false">IF(J316&lt;&gt;1,"",IF(I316="SBJ","CB","?"))</f>
        <v/>
      </c>
      <c r="I316" s="24" t="str">
        <f aca="false">IF(OR(E316="",E316="!!!",F316="NEW"),"",INDEX(B$2:B315,-1+SUMPRODUCT(MAX(ROW(E$2:E315)*(E316=E$2:E315)))))</f>
        <v>SBJ_5</v>
      </c>
      <c r="J316" s="24" t="n">
        <f aca="true">IF(OR(E316="",E316="!!!",F316="NEW"),"",COUNTBLANK(OFFSET(A$1,,,SUMPRODUCT(MAX(ROW(E$2:E316)*(E316=E$2:E316)))))-COUNTBLANK(OFFSET(A$1,,,SUMPRODUCT(MAX(ROW(E$1:E315)*(E2=E$1:E315))))))</f>
        <v>0</v>
      </c>
      <c r="K316" s="24" t="n">
        <f aca="false">IF(OR(E316="",E316="!!!",F316="NEW"),"",INDEX(J$1:J315,SUMPRODUCT(MAX(ROW(E$1:E315)*(E316=E$1:E315)))))</f>
        <v>0</v>
      </c>
      <c r="L316" s="25"/>
    </row>
    <row r="317" customFormat="false" ht="14.25" hidden="false" customHeight="false" outlineLevel="0" collapsed="false">
      <c r="A317" s="0" t="s">
        <v>90</v>
      </c>
      <c r="B317" s="26" t="s">
        <v>154</v>
      </c>
      <c r="E317" s="20" t="str">
        <f aca="false">IF(D317="?OLD","!!!","")</f>
        <v/>
      </c>
      <c r="F317" s="21" t="str">
        <f aca="false">IF(OR(E317="",E317="!!!"),"",IF(NOT(ISNA(VLOOKUP(E317,E$1:E316,1,FALSE()))),"OLD",IF(AND(E317&lt;&gt;"",E317&lt;&gt;"!!!"),"NEW","")))</f>
        <v/>
      </c>
      <c r="G317" s="22" t="str">
        <f aca="false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aca="false">IF(J317&lt;&gt;1,"",IF(I317="SBJ","CB","?"))</f>
        <v/>
      </c>
      <c r="I317" s="24" t="str">
        <f aca="false">IF(OR(E317="",E317="!!!",F317="NEW"),"",INDEX(B$2:B316,-1+SUMPRODUCT(MAX(ROW(E$2:E316)*(E317=E$2:E316)))))</f>
        <v/>
      </c>
      <c r="J317" s="24" t="str">
        <f aca="true">IF(OR(E317="",E317="!!!",F317="NEW"),"",COUNTBLANK(OFFSET(A$1,,,SUMPRODUCT(MAX(ROW(E$2:E317)*(E317=E$2:E317)))))-COUNTBLANK(OFFSET(A$1,,,SUMPRODUCT(MAX(ROW(E$1:E316)*(E2=E$1:E316))))))</f>
        <v/>
      </c>
      <c r="K317" s="24" t="str">
        <f aca="false">IF(OR(E317="",E317="!!!",F317="NEW"),"",INDEX(J$1:J316,SUMPRODUCT(MAX(ROW(E$1:E316)*(E317=E$1:E316)))))</f>
        <v/>
      </c>
      <c r="L317" s="25"/>
    </row>
    <row r="318" customFormat="false" ht="14.25" hidden="false" customHeight="false" outlineLevel="0" collapsed="false">
      <c r="A318" s="0" t="s">
        <v>346</v>
      </c>
      <c r="B318" s="26" t="s">
        <v>154</v>
      </c>
      <c r="C318" s="26" t="s">
        <v>105</v>
      </c>
      <c r="E318" s="20" t="str">
        <f aca="false">IF(D318="?OLD","!!!","")</f>
        <v/>
      </c>
      <c r="F318" s="21" t="str">
        <f aca="false">IF(OR(E318="",E318="!!!"),"",IF(NOT(ISNA(VLOOKUP(E318,E$1:E317,1,FALSE()))),"OLD",IF(AND(E318&lt;&gt;"",E318&lt;&gt;"!!!"),"NEW","")))</f>
        <v/>
      </c>
      <c r="G318" s="22" t="str">
        <f aca="false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aca="false">IF(J318&lt;&gt;1,"",IF(I318="SBJ","CB","?"))</f>
        <v/>
      </c>
      <c r="I318" s="24" t="str">
        <f aca="false">IF(OR(E318="",E318="!!!",F318="NEW"),"",INDEX(B$2:B317,-1+SUMPRODUCT(MAX(ROW(E$2:E317)*(E318=E$2:E317)))))</f>
        <v/>
      </c>
      <c r="J318" s="24" t="str">
        <f aca="true">IF(OR(E318="",E318="!!!",F318="NEW"),"",COUNTBLANK(OFFSET(A$1,,,SUMPRODUCT(MAX(ROW(E$2:E318)*(E318=E$2:E318)))))-COUNTBLANK(OFFSET(A$1,,,SUMPRODUCT(MAX(ROW(E$1:E317)*(E2=E$1:E317))))))</f>
        <v/>
      </c>
      <c r="K318" s="24" t="str">
        <f aca="false">IF(OR(E318="",E318="!!!",F318="NEW"),"",INDEX(J$1:J317,SUMPRODUCT(MAX(ROW(E$1:E317)*(E318=E$1:E317)))))</f>
        <v/>
      </c>
      <c r="L318" s="25"/>
    </row>
    <row r="319" customFormat="false" ht="14.25" hidden="false" customHeight="false" outlineLevel="0" collapsed="false">
      <c r="A319" s="0" t="s">
        <v>237</v>
      </c>
      <c r="E319" s="20" t="str">
        <f aca="false">IF(D319="?OLD","!!!","")</f>
        <v/>
      </c>
      <c r="F319" s="21" t="str">
        <f aca="false">IF(OR(E319="",E319="!!!"),"",IF(NOT(ISNA(VLOOKUP(E319,E$1:E318,1,FALSE()))),"OLD",IF(AND(E319&lt;&gt;"",E319&lt;&gt;"!!!"),"NEW","")))</f>
        <v/>
      </c>
      <c r="G319" s="22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aca="false">IF(J319&lt;&gt;1,"",IF(I319="SBJ","CB","?"))</f>
        <v/>
      </c>
      <c r="I319" s="24" t="str">
        <f aca="false">IF(OR(E319="",E319="!!!",F319="NEW"),"",INDEX(B$2:B318,-1+SUMPRODUCT(MAX(ROW(E$2:E318)*(E319=E$2:E318)))))</f>
        <v/>
      </c>
      <c r="J319" s="24" t="str">
        <f aca="true">IF(OR(E319="",E319="!!!",F319="NEW"),"",COUNTBLANK(OFFSET(A$1,,,SUMPRODUCT(MAX(ROW(E$2:E319)*(E319=E$2:E319)))))-COUNTBLANK(OFFSET(A$1,,,SUMPRODUCT(MAX(ROW(E$1:E318)*(E2=E$1:E318))))))</f>
        <v/>
      </c>
      <c r="K319" s="24" t="str">
        <f aca="false">IF(OR(E319="",E319="!!!",F319="NEW"),"",INDEX(J$1:J318,SUMPRODUCT(MAX(ROW(E$1:E318)*(E319=E$1:E318)))))</f>
        <v/>
      </c>
      <c r="L319" s="25"/>
    </row>
    <row r="320" customFormat="false" ht="14.25" hidden="false" customHeight="false" outlineLevel="0" collapsed="false">
      <c r="A320" s="0" t="s">
        <v>86</v>
      </c>
      <c r="E320" s="20" t="str">
        <f aca="false">IF(D320="?OLD","!!!","")</f>
        <v/>
      </c>
      <c r="F320" s="21" t="str">
        <f aca="false">IF(OR(E320="",E320="!!!"),"",IF(NOT(ISNA(VLOOKUP(E320,E$1:E319,1,FALSE()))),"OLD",IF(AND(E320&lt;&gt;"",E320&lt;&gt;"!!!"),"NEW","")))</f>
        <v/>
      </c>
      <c r="G320" s="22" t="str">
        <f aca="false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aca="false">IF(J320&lt;&gt;1,"",IF(I320="SBJ","CB","?"))</f>
        <v/>
      </c>
      <c r="I320" s="24" t="str">
        <f aca="false">IF(OR(E320="",E320="!!!",F320="NEW"),"",INDEX(B$2:B319,-1+SUMPRODUCT(MAX(ROW(E$2:E319)*(E320=E$2:E319)))))</f>
        <v/>
      </c>
      <c r="J320" s="24" t="str">
        <f aca="true">IF(OR(E320="",E320="!!!",F320="NEW"),"",COUNTBLANK(OFFSET(A$1,,,SUMPRODUCT(MAX(ROW(E$2:E320)*(E320=E$2:E320)))))-COUNTBLANK(OFFSET(A$1,,,SUMPRODUCT(MAX(ROW(E$1:E319)*(E2=E$1:E319))))))</f>
        <v/>
      </c>
      <c r="K320" s="24" t="str">
        <f aca="false">IF(OR(E320="",E320="!!!",F320="NEW"),"",INDEX(J$1:J319,SUMPRODUCT(MAX(ROW(E$1:E319)*(E320=E$1:E319)))))</f>
        <v/>
      </c>
      <c r="L320" s="25"/>
    </row>
    <row r="321" customFormat="false" ht="14.25" hidden="false" customHeight="false" outlineLevel="0" collapsed="false">
      <c r="A321" s="0" t="s">
        <v>347</v>
      </c>
      <c r="E321" s="20" t="s">
        <v>348</v>
      </c>
      <c r="F321" s="21" t="str">
        <f aca="false">IF(OR(E321="",E321="!!!"),"",IF(NOT(ISNA(VLOOKUP(E321,E$1:E320,1,FALSE()))),"OLD",IF(AND(E321&lt;&gt;"",E321&lt;&gt;"!!!"),"NEW","")))</f>
        <v>NEW</v>
      </c>
      <c r="G321" s="22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?REFERENTIAL</v>
      </c>
      <c r="H321" s="23"/>
      <c r="I321" s="24" t="str">
        <f aca="false">IF(OR(E321="",E321="!!!",F321="NEW"),"",INDEX(B$2:B320,-1+SUMPRODUCT(MAX(ROW(E$2:E320)*(E321=E$2:E320)))))</f>
        <v/>
      </c>
      <c r="J321" s="24" t="str">
        <f aca="true">IF(OR(E321="",E321="!!!",F321="NEW"),"",COUNTBLANK(OFFSET(A$1,,,SUMPRODUCT(MAX(ROW(E$2:E321)*(E321=E$2:E321)))))-COUNTBLANK(OFFSET(A$1,,,SUMPRODUCT(MAX(ROW(E$1:E320)*(E2=E$1:E320))))))</f>
        <v/>
      </c>
      <c r="K321" s="24" t="str">
        <f aca="false">IF(OR(E321="",E321="!!!",F321="NEW"),"",INDEX(J$1:J320,SUMPRODUCT(MAX(ROW(E$1:E320)*(E321=E$1:E320)))))</f>
        <v/>
      </c>
      <c r="L321" s="27" t="s">
        <v>338</v>
      </c>
    </row>
    <row r="322" customFormat="false" ht="14.25" hidden="false" customHeight="false" outlineLevel="0" collapsed="false">
      <c r="A322" s="0" t="s">
        <v>140</v>
      </c>
      <c r="E322" s="20" t="str">
        <f aca="false">IF(D322="?OLD","!!!","")</f>
        <v/>
      </c>
      <c r="F322" s="21" t="str">
        <f aca="false">IF(OR(E322="",E322="!!!"),"",IF(NOT(ISNA(VLOOKUP(E322,E$1:E321,1,FALSE()))),"OLD",IF(AND(E322&lt;&gt;"",E322&lt;&gt;"!!!"),"NEW","")))</f>
        <v/>
      </c>
      <c r="G322" s="22" t="str">
        <f aca="false"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aca="false">IF(J322&lt;&gt;1,"",IF(I322="SBJ","CB","?"))</f>
        <v/>
      </c>
      <c r="I322" s="24" t="str">
        <f aca="false">IF(OR(E322="",E322="!!!",F322="NEW"),"",INDEX(B$2:B321,-1+SUMPRODUCT(MAX(ROW(E$2:E321)*(E322=E$2:E321)))))</f>
        <v/>
      </c>
      <c r="J322" s="24" t="str">
        <f aca="true">IF(OR(E322="",E322="!!!",F322="NEW"),"",COUNTBLANK(OFFSET(A$1,,,SUMPRODUCT(MAX(ROW(E$2:E322)*(E322=E$2:E322)))))-COUNTBLANK(OFFSET(A$1,,,SUMPRODUCT(MAX(ROW(E$1:E321)*(E2=E$1:E321))))))</f>
        <v/>
      </c>
      <c r="K322" s="24" t="str">
        <f aca="false">IF(OR(E322="",E322="!!!",F322="NEW"),"",INDEX(J$1:J321,SUMPRODUCT(MAX(ROW(E$1:E321)*(E322=E$1:E321)))))</f>
        <v/>
      </c>
      <c r="L322" s="25"/>
    </row>
    <row r="323" customFormat="false" ht="14.25" hidden="false" customHeight="false" outlineLevel="0" collapsed="false">
      <c r="A323" s="0" t="s">
        <v>349</v>
      </c>
      <c r="B323" s="26" t="s">
        <v>115</v>
      </c>
      <c r="C323" s="26" t="s">
        <v>105</v>
      </c>
      <c r="E323" s="20" t="str">
        <f aca="false">IF(D323="?OLD","!!!","")</f>
        <v/>
      </c>
      <c r="F323" s="21" t="str">
        <f aca="false">IF(OR(E323="",E323="!!!"),"",IF(NOT(ISNA(VLOOKUP(E323,E$1:E322,1,FALSE()))),"OLD",IF(AND(E323&lt;&gt;"",E323&lt;&gt;"!!!"),"NEW","")))</f>
        <v/>
      </c>
      <c r="G323" s="22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aca="false">IF(J323&lt;&gt;1,"",IF(I323="SBJ","CB","?"))</f>
        <v/>
      </c>
      <c r="I323" s="24" t="str">
        <f aca="false">IF(OR(E323="",E323="!!!",F323="NEW"),"",INDEX(B$2:B322,-1+SUMPRODUCT(MAX(ROW(E$2:E322)*(E323=E$2:E322)))))</f>
        <v/>
      </c>
      <c r="J323" s="24" t="str">
        <f aca="true">IF(OR(E323="",E323="!!!",F323="NEW"),"",COUNTBLANK(OFFSET(A$1,,,SUMPRODUCT(MAX(ROW(E$2:E323)*(E323=E$2:E323)))))-COUNTBLANK(OFFSET(A$1,,,SUMPRODUCT(MAX(ROW(E$1:E322)*(E2=E$1:E322))))))</f>
        <v/>
      </c>
      <c r="K323" s="24" t="str">
        <f aca="false">IF(OR(E323="",E323="!!!",F323="NEW"),"",INDEX(J$1:J322,SUMPRODUCT(MAX(ROW(E$1:E322)*(E323=E$1:E322)))))</f>
        <v/>
      </c>
      <c r="L323" s="25"/>
    </row>
    <row r="324" customFormat="false" ht="14.25" hidden="false" customHeight="false" outlineLevel="0" collapsed="false">
      <c r="A324" s="0" t="s">
        <v>101</v>
      </c>
      <c r="E324" s="20" t="str">
        <f aca="false">IF(D324="?OLD","!!!","")</f>
        <v/>
      </c>
      <c r="F324" s="21" t="str">
        <f aca="false">IF(OR(E324="",E324="!!!"),"",IF(NOT(ISNA(VLOOKUP(E324,E$1:E323,1,FALSE()))),"OLD",IF(AND(E324&lt;&gt;"",E324&lt;&gt;"!!!"),"NEW","")))</f>
        <v/>
      </c>
      <c r="G324" s="22" t="str">
        <f aca="false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aca="false">IF(J324&lt;&gt;1,"",IF(I324="SBJ","CB","?"))</f>
        <v/>
      </c>
      <c r="I324" s="24" t="str">
        <f aca="false">IF(OR(E324="",E324="!!!",F324="NEW"),"",INDEX(B$2:B323,-1+SUMPRODUCT(MAX(ROW(E$2:E323)*(E324=E$2:E323)))))</f>
        <v/>
      </c>
      <c r="J324" s="24" t="str">
        <f aca="true">IF(OR(E324="",E324="!!!",F324="NEW"),"",COUNTBLANK(OFFSET(A$1,,,SUMPRODUCT(MAX(ROW(E$2:E324)*(E324=E$2:E324)))))-COUNTBLANK(OFFSET(A$1,,,SUMPRODUCT(MAX(ROW(E$1:E323)*(E2=E$1:E323))))))</f>
        <v/>
      </c>
      <c r="K324" s="24" t="str">
        <f aca="false">IF(OR(E324="",E324="!!!",F324="NEW"),"",INDEX(J$1:J323,SUMPRODUCT(MAX(ROW(E$1:E323)*(E324=E$1:E323)))))</f>
        <v/>
      </c>
      <c r="L324" s="25"/>
    </row>
    <row r="325" customFormat="false" ht="14.25" hidden="false" customHeight="false" outlineLevel="0" collapsed="false">
      <c r="A325" s="0" t="s">
        <v>350</v>
      </c>
      <c r="B325" s="26" t="s">
        <v>307</v>
      </c>
      <c r="C325" s="26" t="s">
        <v>283</v>
      </c>
      <c r="D325" s="26" t="s">
        <v>75</v>
      </c>
      <c r="E325" s="20"/>
      <c r="F325" s="21" t="str">
        <f aca="false">IF(OR(E325="",E325="!!!"),"",IF(NOT(ISNA(VLOOKUP(E325,E$1:E324,1,FALSE()))),"OLD",IF(AND(E325&lt;&gt;"",E325&lt;&gt;"!!!"),"NEW","")))</f>
        <v/>
      </c>
      <c r="G325" s="22" t="str">
        <f aca="false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aca="false">IF(J325&lt;&gt;1,"",IF(I325="SBJ","CB","?"))</f>
        <v/>
      </c>
      <c r="I325" s="24" t="str">
        <f aca="false">IF(OR(E325="",E325="!!!",F325="NEW"),"",INDEX(B$2:B324,-1+SUMPRODUCT(MAX(ROW(E$2:E324)*(E325=E$2:E324)))))</f>
        <v/>
      </c>
      <c r="J325" s="24" t="str">
        <f aca="true">IF(OR(E325="",E325="!!!",F325="NEW"),"",COUNTBLANK(OFFSET(A$1,,,SUMPRODUCT(MAX(ROW(E$2:E325)*(E325=E$2:E325)))))-COUNTBLANK(OFFSET(A$1,,,SUMPRODUCT(MAX(ROW(E$1:E324)*(E2=E$1:E324))))))</f>
        <v/>
      </c>
      <c r="K325" s="24" t="str">
        <f aca="false">IF(OR(E325="",E325="!!!",F325="NEW"),"",INDEX(J$1:J324,SUMPRODUCT(MAX(ROW(E$1:E324)*(E325=E$1:E324)))))</f>
        <v/>
      </c>
      <c r="L325" s="27" t="s">
        <v>351</v>
      </c>
    </row>
    <row r="326" customFormat="false" ht="14.25" hidden="false" customHeight="false" outlineLevel="0" collapsed="false">
      <c r="A326" s="0" t="s">
        <v>101</v>
      </c>
      <c r="E326" s="20" t="str">
        <f aca="false">IF(D326="?OLD","!!!","")</f>
        <v/>
      </c>
      <c r="F326" s="21" t="str">
        <f aca="false">IF(OR(E326="",E326="!!!"),"",IF(NOT(ISNA(VLOOKUP(E326,E$1:E325,1,FALSE()))),"OLD",IF(AND(E326&lt;&gt;"",E326&lt;&gt;"!!!"),"NEW","")))</f>
        <v/>
      </c>
      <c r="G326" s="22" t="str">
        <f aca="false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aca="false">IF(J326&lt;&gt;1,"",IF(I326="SBJ","CB","?"))</f>
        <v/>
      </c>
      <c r="I326" s="24" t="str">
        <f aca="false">IF(OR(E326="",E326="!!!",F326="NEW"),"",INDEX(B$2:B325,-1+SUMPRODUCT(MAX(ROW(E$2:E325)*(E326=E$2:E325)))))</f>
        <v/>
      </c>
      <c r="J326" s="24" t="str">
        <f aca="true">IF(OR(E326="",E326="!!!",F326="NEW"),"",COUNTBLANK(OFFSET(A$1,,,SUMPRODUCT(MAX(ROW(E$2:E326)*(E326=E$2:E326)))))-COUNTBLANK(OFFSET(A$1,,,SUMPRODUCT(MAX(ROW(E$1:E325)*(E2=E$1:E325))))))</f>
        <v/>
      </c>
      <c r="K326" s="24" t="str">
        <f aca="false">IF(OR(E326="",E326="!!!",F326="NEW"),"",INDEX(J$1:J325,SUMPRODUCT(MAX(ROW(E$1:E325)*(E326=E$1:E325)))))</f>
        <v/>
      </c>
      <c r="L326" s="25"/>
    </row>
    <row r="327" customFormat="false" ht="14.25" hidden="false" customHeight="false" outlineLevel="0" collapsed="false">
      <c r="A327" s="0" t="s">
        <v>352</v>
      </c>
      <c r="B327" s="26" t="s">
        <v>307</v>
      </c>
      <c r="C327" s="26" t="s">
        <v>105</v>
      </c>
      <c r="E327" s="20" t="str">
        <f aca="false">IF(D327="?OLD","!!!","")</f>
        <v/>
      </c>
      <c r="F327" s="21" t="str">
        <f aca="false">IF(OR(E327="",E327="!!!"),"",IF(NOT(ISNA(VLOOKUP(E327,E$1:E326,1,FALSE()))),"OLD",IF(AND(E327&lt;&gt;"",E327&lt;&gt;"!!!"),"NEW","")))</f>
        <v/>
      </c>
      <c r="G327" s="22" t="str">
        <f aca="false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aca="false">IF(J327&lt;&gt;1,"",IF(I327="SBJ","CB","?"))</f>
        <v/>
      </c>
      <c r="I327" s="24" t="str">
        <f aca="false">IF(OR(E327="",E327="!!!",F327="NEW"),"",INDEX(B$2:B326,-1+SUMPRODUCT(MAX(ROW(E$2:E326)*(E327=E$2:E326)))))</f>
        <v/>
      </c>
      <c r="J327" s="24" t="str">
        <f aca="true">IF(OR(E327="",E327="!!!",F327="NEW"),"",COUNTBLANK(OFFSET(A$1,,,SUMPRODUCT(MAX(ROW(E$2:E327)*(E327=E$2:E327)))))-COUNTBLANK(OFFSET(A$1,,,SUMPRODUCT(MAX(ROW(E$1:E326)*(E2=E$1:E326))))))</f>
        <v/>
      </c>
      <c r="K327" s="24" t="str">
        <f aca="false">IF(OR(E327="",E327="!!!",F327="NEW"),"",INDEX(J$1:J326,SUMPRODUCT(MAX(ROW(E$1:E326)*(E327=E$1:E326)))))</f>
        <v/>
      </c>
      <c r="L327" s="25"/>
    </row>
    <row r="328" customFormat="false" ht="14.25" hidden="false" customHeight="false" outlineLevel="0" collapsed="false">
      <c r="A328" s="0" t="s">
        <v>101</v>
      </c>
      <c r="E328" s="20" t="str">
        <f aca="false">IF(D328="?OLD","!!!","")</f>
        <v/>
      </c>
      <c r="F328" s="21" t="str">
        <f aca="false">IF(OR(E328="",E328="!!!"),"",IF(NOT(ISNA(VLOOKUP(E328,E$1:E327,1,FALSE()))),"OLD",IF(AND(E328&lt;&gt;"",E328&lt;&gt;"!!!"),"NEW","")))</f>
        <v/>
      </c>
      <c r="G328" s="22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aca="false">IF(J328&lt;&gt;1,"",IF(I328="SBJ","CB","?"))</f>
        <v/>
      </c>
      <c r="I328" s="24" t="str">
        <f aca="false">IF(OR(E328="",E328="!!!",F328="NEW"),"",INDEX(B$2:B327,-1+SUMPRODUCT(MAX(ROW(E$2:E327)*(E328=E$2:E327)))))</f>
        <v/>
      </c>
      <c r="J328" s="24" t="str">
        <f aca="true">IF(OR(E328="",E328="!!!",F328="NEW"),"",COUNTBLANK(OFFSET(A$1,,,SUMPRODUCT(MAX(ROW(E$2:E328)*(E328=E$2:E328)))))-COUNTBLANK(OFFSET(A$1,,,SUMPRODUCT(MAX(ROW(E$1:E327)*(E2=E$1:E327))))))</f>
        <v/>
      </c>
      <c r="K328" s="24" t="str">
        <f aca="false">IF(OR(E328="",E328="!!!",F328="NEW"),"",INDEX(J$1:J327,SUMPRODUCT(MAX(ROW(E$1:E327)*(E328=E$1:E327)))))</f>
        <v/>
      </c>
      <c r="L328" s="25"/>
    </row>
    <row r="329" customFormat="false" ht="14.25" hidden="false" customHeight="false" outlineLevel="0" collapsed="false">
      <c r="A329" s="0" t="s">
        <v>353</v>
      </c>
      <c r="B329" s="26" t="s">
        <v>307</v>
      </c>
      <c r="C329" s="26" t="s">
        <v>105</v>
      </c>
      <c r="E329" s="20" t="str">
        <f aca="false">IF(D329="?OLD","!!!","")</f>
        <v/>
      </c>
      <c r="F329" s="21" t="str">
        <f aca="false">IF(OR(E329="",E329="!!!"),"",IF(NOT(ISNA(VLOOKUP(E329,E$1:E328,1,FALSE()))),"OLD",IF(AND(E329&lt;&gt;"",E329&lt;&gt;"!!!"),"NEW","")))</f>
        <v/>
      </c>
      <c r="G329" s="22" t="str">
        <f aca="false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aca="false">IF(J329&lt;&gt;1,"",IF(I329="SBJ","CB","?"))</f>
        <v/>
      </c>
      <c r="I329" s="24" t="str">
        <f aca="false">IF(OR(E329="",E329="!!!",F329="NEW"),"",INDEX(B$2:B328,-1+SUMPRODUCT(MAX(ROW(E$2:E328)*(E329=E$2:E328)))))</f>
        <v/>
      </c>
      <c r="J329" s="24" t="str">
        <f aca="true">IF(OR(E329="",E329="!!!",F329="NEW"),"",COUNTBLANK(OFFSET(A$1,,,SUMPRODUCT(MAX(ROW(E$2:E329)*(E329=E$2:E329)))))-COUNTBLANK(OFFSET(A$1,,,SUMPRODUCT(MAX(ROW(E$1:E328)*(E2=E$1:E328))))))</f>
        <v/>
      </c>
      <c r="K329" s="24" t="str">
        <f aca="false">IF(OR(E329="",E329="!!!",F329="NEW"),"",INDEX(J$1:J328,SUMPRODUCT(MAX(ROW(E$1:E328)*(E329=E$1:E328)))))</f>
        <v/>
      </c>
      <c r="L329" s="25"/>
    </row>
    <row r="330" customFormat="false" ht="14.25" hidden="false" customHeight="false" outlineLevel="0" collapsed="false">
      <c r="A330" s="0" t="s">
        <v>16</v>
      </c>
      <c r="E330" s="20" t="str">
        <f aca="false">IF(D330="?OLD","!!!","")</f>
        <v/>
      </c>
      <c r="F330" s="21" t="str">
        <f aca="false">IF(OR(E330="",E330="!!!"),"",IF(NOT(ISNA(VLOOKUP(E330,E$1:E329,1,FALSE()))),"OLD",IF(AND(E330&lt;&gt;"",E330&lt;&gt;"!!!"),"NEW","")))</f>
        <v/>
      </c>
      <c r="G330" s="22" t="str">
        <f aca="false"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aca="false">IF(J330&lt;&gt;1,"",IF(I330="SBJ","CB","?"))</f>
        <v/>
      </c>
      <c r="I330" s="24" t="str">
        <f aca="false">IF(OR(E330="",E330="!!!",F330="NEW"),"",INDEX(B$2:B329,-1+SUMPRODUCT(MAX(ROW(E$2:E329)*(E330=E$2:E329)))))</f>
        <v/>
      </c>
      <c r="J330" s="24" t="str">
        <f aca="true">IF(OR(E330="",E330="!!!",F330="NEW"),"",COUNTBLANK(OFFSET(A$1,,,SUMPRODUCT(MAX(ROW(E$2:E330)*(E330=E$2:E330)))))-COUNTBLANK(OFFSET(A$1,,,SUMPRODUCT(MAX(ROW(E$1:E329)*(E2=E$1:E329))))))</f>
        <v/>
      </c>
      <c r="K330" s="24" t="str">
        <f aca="false">IF(OR(E330="",E330="!!!",F330="NEW"),"",INDEX(J$1:J329,SUMPRODUCT(MAX(ROW(E$1:E329)*(E330=E$1:E329)))))</f>
        <v/>
      </c>
      <c r="L330" s="25"/>
    </row>
    <row r="331" customFormat="false" ht="14.25" hidden="false" customHeight="false" outlineLevel="0" collapsed="false">
      <c r="A331" s="0" t="s">
        <v>87</v>
      </c>
      <c r="B331" s="26" t="s">
        <v>96</v>
      </c>
      <c r="C331" s="26" t="s">
        <v>88</v>
      </c>
      <c r="D331" s="26" t="s">
        <v>75</v>
      </c>
      <c r="E331" s="20" t="s">
        <v>168</v>
      </c>
      <c r="F331" s="21" t="str">
        <f aca="false">IF(OR(E331="",E331="!!!"),"",IF(NOT(ISNA(VLOOKUP(E331,E$1:E330,1,FALSE()))),"OLD",IF(AND(E331&lt;&gt;"",E331&lt;&gt;"!!!"),"NEW","")))</f>
        <v>OLD</v>
      </c>
      <c r="G331" s="22" t="str">
        <f aca="false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?IN_FOCUS</v>
      </c>
      <c r="H331" s="23" t="str">
        <f aca="false">IF(J331&lt;&gt;1,"",IF(I331="SBJ","CB","?"))</f>
        <v/>
      </c>
      <c r="I331" s="24" t="str">
        <f aca="false">IF(OR(E331="",E331="!!!",F331="NEW"),"",INDEX(B$2:B330,-1+SUMPRODUCT(MAX(ROW(E$2:E330)*(E331=E$2:E330)))))</f>
        <v>SBJ_2</v>
      </c>
      <c r="J331" s="24" t="n">
        <f aca="true">IF(OR(E331="",E331="!!!",F331="NEW"),"",COUNTBLANK(OFFSET(A$1,,,SUMPRODUCT(MAX(ROW(E$2:E331)*(E331=E$2:E331)))))-COUNTBLANK(OFFSET(A$1,,,SUMPRODUCT(MAX(ROW(E$1:E330)*(E2=E$1:E330))))))</f>
        <v>0</v>
      </c>
      <c r="K331" s="24" t="n">
        <f aca="false">IF(OR(E331="",E331="!!!",F331="NEW"),"",INDEX(J$1:J330,SUMPRODUCT(MAX(ROW(E$1:E330)*(E331=E$1:E330)))))</f>
        <v>0</v>
      </c>
      <c r="L331" s="25"/>
    </row>
    <row r="332" customFormat="false" ht="14.25" hidden="false" customHeight="false" outlineLevel="0" collapsed="false">
      <c r="A332" s="0" t="s">
        <v>337</v>
      </c>
      <c r="E332" s="20" t="str">
        <f aca="false">IF(D332="?OLD","!!!","")</f>
        <v/>
      </c>
      <c r="F332" s="21" t="str">
        <f aca="false">IF(OR(E332="",E332="!!!"),"",IF(NOT(ISNA(VLOOKUP(E332,E$1:E331,1,FALSE()))),"OLD",IF(AND(E332&lt;&gt;"",E332&lt;&gt;"!!!"),"NEW","")))</f>
        <v/>
      </c>
      <c r="G332" s="22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aca="false">IF(J332&lt;&gt;1,"",IF(I332="SBJ","CB","?"))</f>
        <v/>
      </c>
      <c r="I332" s="24" t="str">
        <f aca="false">IF(OR(E332="",E332="!!!",F332="NEW"),"",INDEX(B$2:B331,-1+SUMPRODUCT(MAX(ROW(E$2:E331)*(E332=E$2:E331)))))</f>
        <v/>
      </c>
      <c r="J332" s="24" t="str">
        <f aca="true">IF(OR(E332="",E332="!!!",F332="NEW"),"",COUNTBLANK(OFFSET(A$1,,,SUMPRODUCT(MAX(ROW(E$2:E332)*(E332=E$2:E332)))))-COUNTBLANK(OFFSET(A$1,,,SUMPRODUCT(MAX(ROW(E$1:E331)*(E2=E$1:E331))))))</f>
        <v/>
      </c>
      <c r="K332" s="24" t="str">
        <f aca="false">IF(OR(E332="",E332="!!!",F332="NEW"),"",INDEX(J$1:J331,SUMPRODUCT(MAX(ROW(E$1:E331)*(E332=E$1:E331)))))</f>
        <v/>
      </c>
      <c r="L332" s="25"/>
    </row>
    <row r="333" customFormat="false" ht="14.25" hidden="false" customHeight="false" outlineLevel="0" collapsed="false">
      <c r="A333" s="0" t="s">
        <v>354</v>
      </c>
      <c r="E333" s="20" t="str">
        <f aca="false">IF(D333="?OLD","!!!","")</f>
        <v/>
      </c>
      <c r="F333" s="21" t="str">
        <f aca="false">IF(OR(E333="",E333="!!!"),"",IF(NOT(ISNA(VLOOKUP(E333,E$1:E332,1,FALSE()))),"OLD",IF(AND(E333&lt;&gt;"",E333&lt;&gt;"!!!"),"NEW","")))</f>
        <v/>
      </c>
      <c r="G333" s="22" t="str">
        <f aca="false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aca="false">IF(J333&lt;&gt;1,"",IF(I333="SBJ","CB","?"))</f>
        <v/>
      </c>
      <c r="I333" s="24" t="str">
        <f aca="false">IF(OR(E333="",E333="!!!",F333="NEW"),"",INDEX(B$2:B332,-1+SUMPRODUCT(MAX(ROW(E$2:E332)*(E333=E$2:E332)))))</f>
        <v/>
      </c>
      <c r="J333" s="24" t="str">
        <f aca="true">IF(OR(E333="",E333="!!!",F333="NEW"),"",COUNTBLANK(OFFSET(A$1,,,SUMPRODUCT(MAX(ROW(E$2:E333)*(E333=E$2:E333)))))-COUNTBLANK(OFFSET(A$1,,,SUMPRODUCT(MAX(ROW(E$1:E332)*(E2=E$1:E332))))))</f>
        <v/>
      </c>
      <c r="K333" s="24" t="str">
        <f aca="false">IF(OR(E333="",E333="!!!",F333="NEW"),"",INDEX(J$1:J332,SUMPRODUCT(MAX(ROW(E$1:E332)*(E333=E$1:E332)))))</f>
        <v/>
      </c>
      <c r="L333" s="25"/>
    </row>
    <row r="334" customFormat="false" ht="14.25" hidden="false" customHeight="false" outlineLevel="0" collapsed="false">
      <c r="A334" s="0" t="s">
        <v>101</v>
      </c>
      <c r="E334" s="20" t="str">
        <f aca="false">IF(D334="?OLD","!!!","")</f>
        <v/>
      </c>
      <c r="F334" s="21" t="str">
        <f aca="false">IF(OR(E334="",E334="!!!"),"",IF(NOT(ISNA(VLOOKUP(E334,E$1:E333,1,FALSE()))),"OLD",IF(AND(E334&lt;&gt;"",E334&lt;&gt;"!!!"),"NEW","")))</f>
        <v/>
      </c>
      <c r="G334" s="22" t="str">
        <f aca="false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aca="false">IF(J334&lt;&gt;1,"",IF(I334="SBJ","CB","?"))</f>
        <v/>
      </c>
      <c r="I334" s="24" t="str">
        <f aca="false">IF(OR(E334="",E334="!!!",F334="NEW"),"",INDEX(B$2:B333,-1+SUMPRODUCT(MAX(ROW(E$2:E333)*(E334=E$2:E333)))))</f>
        <v/>
      </c>
      <c r="J334" s="24" t="str">
        <f aca="true">IF(OR(E334="",E334="!!!",F334="NEW"),"",COUNTBLANK(OFFSET(A$1,,,SUMPRODUCT(MAX(ROW(E$2:E334)*(E334=E$2:E334)))))-COUNTBLANK(OFFSET(A$1,,,SUMPRODUCT(MAX(ROW(E$1:E333)*(E2=E$1:E333))))))</f>
        <v/>
      </c>
      <c r="K334" s="24" t="str">
        <f aca="false">IF(OR(E334="",E334="!!!",F334="NEW"),"",INDEX(J$1:J333,SUMPRODUCT(MAX(ROW(E$1:E333)*(E334=E$1:E333)))))</f>
        <v/>
      </c>
      <c r="L334" s="25"/>
    </row>
    <row r="335" customFormat="false" ht="14.25" hidden="false" customHeight="false" outlineLevel="0" collapsed="false">
      <c r="A335" s="0" t="s">
        <v>136</v>
      </c>
      <c r="B335" s="26" t="s">
        <v>96</v>
      </c>
      <c r="E335" s="20" t="str">
        <f aca="false">IF(D335="?OLD","!!!","")</f>
        <v/>
      </c>
      <c r="F335" s="21" t="str">
        <f aca="false">IF(OR(E335="",E335="!!!"),"",IF(NOT(ISNA(VLOOKUP(E335,E$1:E334,1,FALSE()))),"OLD",IF(AND(E335&lt;&gt;"",E335&lt;&gt;"!!!"),"NEW","")))</f>
        <v/>
      </c>
      <c r="G335" s="22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aca="false">IF(J335&lt;&gt;1,"",IF(I335="SBJ","CB","?"))</f>
        <v/>
      </c>
      <c r="I335" s="24" t="str">
        <f aca="false">IF(OR(E335="",E335="!!!",F335="NEW"),"",INDEX(B$2:B334,-1+SUMPRODUCT(MAX(ROW(E$2:E334)*(E335=E$2:E334)))))</f>
        <v/>
      </c>
      <c r="J335" s="24" t="str">
        <f aca="true">IF(OR(E335="",E335="!!!",F335="NEW"),"",COUNTBLANK(OFFSET(A$1,,,SUMPRODUCT(MAX(ROW(E$2:E335)*(E335=E$2:E335)))))-COUNTBLANK(OFFSET(A$1,,,SUMPRODUCT(MAX(ROW(E$1:E334)*(E2=E$1:E334))))))</f>
        <v/>
      </c>
      <c r="K335" s="24" t="str">
        <f aca="false">IF(OR(E335="",E335="!!!",F335="NEW"),"",INDEX(J$1:J334,SUMPRODUCT(MAX(ROW(E$1:E334)*(E335=E$1:E334)))))</f>
        <v/>
      </c>
      <c r="L335" s="25"/>
    </row>
    <row r="336" customFormat="false" ht="14.25" hidden="false" customHeight="false" outlineLevel="0" collapsed="false">
      <c r="A336" s="0" t="s">
        <v>92</v>
      </c>
      <c r="E336" s="20" t="str">
        <f aca="false">IF(D336="?OLD","!!!","")</f>
        <v/>
      </c>
      <c r="F336" s="21" t="str">
        <f aca="false">IF(OR(E336="",E336="!!!"),"",IF(NOT(ISNA(VLOOKUP(E336,E$1:E335,1,FALSE()))),"OLD",IF(AND(E336&lt;&gt;"",E336&lt;&gt;"!!!"),"NEW","")))</f>
        <v/>
      </c>
      <c r="G336" s="22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aca="false">IF(J336&lt;&gt;1,"",IF(I336="SBJ","CB","?"))</f>
        <v/>
      </c>
      <c r="I336" s="24" t="str">
        <f aca="false">IF(OR(E336="",E336="!!!",F336="NEW"),"",INDEX(B$2:B335,-1+SUMPRODUCT(MAX(ROW(E$2:E335)*(E336=E$2:E335)))))</f>
        <v/>
      </c>
      <c r="J336" s="24" t="str">
        <f aca="true">IF(OR(E336="",E336="!!!",F336="NEW"),"",COUNTBLANK(OFFSET(A$1,,,SUMPRODUCT(MAX(ROW(E$2:E336)*(E336=E$2:E336)))))-COUNTBLANK(OFFSET(A$1,,,SUMPRODUCT(MAX(ROW(E$1:E335)*(E2=E$1:E335))))))</f>
        <v/>
      </c>
      <c r="K336" s="24" t="str">
        <f aca="false">IF(OR(E336="",E336="!!!",F336="NEW"),"",INDEX(J$1:J335,SUMPRODUCT(MAX(ROW(E$1:E335)*(E336=E$1:E335)))))</f>
        <v/>
      </c>
      <c r="L336" s="25"/>
    </row>
    <row r="337" customFormat="false" ht="14.25" hidden="false" customHeight="false" outlineLevel="0" collapsed="false">
      <c r="A337" s="0" t="s">
        <v>355</v>
      </c>
      <c r="E337" s="20" t="str">
        <f aca="false">IF(D337="?OLD","!!!","")</f>
        <v/>
      </c>
      <c r="F337" s="21" t="str">
        <f aca="false">IF(OR(E337="",E337="!!!"),"",IF(NOT(ISNA(VLOOKUP(E337,E$1:E336,1,FALSE()))),"OLD",IF(AND(E337&lt;&gt;"",E337&lt;&gt;"!!!"),"NEW","")))</f>
        <v/>
      </c>
      <c r="G337" s="22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aca="false">IF(J337&lt;&gt;1,"",IF(I337="SBJ","CB","?"))</f>
        <v/>
      </c>
      <c r="I337" s="24" t="str">
        <f aca="false">IF(OR(E337="",E337="!!!",F337="NEW"),"",INDEX(B$2:B336,-1+SUMPRODUCT(MAX(ROW(E$2:E336)*(E337=E$2:E336)))))</f>
        <v/>
      </c>
      <c r="J337" s="24" t="str">
        <f aca="true">IF(OR(E337="",E337="!!!",F337="NEW"),"",COUNTBLANK(OFFSET(A$1,,,SUMPRODUCT(MAX(ROW(E$2:E337)*(E337=E$2:E337)))))-COUNTBLANK(OFFSET(A$1,,,SUMPRODUCT(MAX(ROW(E$1:E336)*(E2=E$1:E336))))))</f>
        <v/>
      </c>
      <c r="K337" s="24" t="str">
        <f aca="false">IF(OR(E337="",E337="!!!",F337="NEW"),"",INDEX(J$1:J336,SUMPRODUCT(MAX(ROW(E$1:E336)*(E337=E$1:E336)))))</f>
        <v/>
      </c>
      <c r="L337" s="25"/>
    </row>
    <row r="338" customFormat="false" ht="14.25" hidden="false" customHeight="false" outlineLevel="0" collapsed="false">
      <c r="A338" s="0" t="s">
        <v>356</v>
      </c>
      <c r="B338" s="26" t="s">
        <v>82</v>
      </c>
      <c r="C338" s="26" t="s">
        <v>105</v>
      </c>
      <c r="E338" s="20" t="s">
        <v>348</v>
      </c>
      <c r="F338" s="21" t="str">
        <f aca="false">IF(OR(E338="",E338="!!!"),"",IF(NOT(ISNA(VLOOKUP(E338,E$1:E337,1,FALSE()))),"OLD",IF(AND(E338&lt;&gt;"",E338&lt;&gt;"!!!"),"NEW","")))</f>
        <v>OLD</v>
      </c>
      <c r="G338" s="22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23" t="str">
        <f aca="false">IF(J338&lt;&gt;1,"",IF(I338="SBJ","CB","?"))</f>
        <v/>
      </c>
      <c r="I338" s="24" t="n">
        <f aca="false">IF(OR(E338="",E338="!!!",F338="NEW"),"",INDEX(B$2:B337,-1+SUMPRODUCT(MAX(ROW(E$2:E337)*(E338=E$2:E337)))))</f>
        <v>0</v>
      </c>
      <c r="J338" s="24" t="n">
        <f aca="true">IF(OR(E338="",E338="!!!",F338="NEW"),"",COUNTBLANK(OFFSET(A$1,,,SUMPRODUCT(MAX(ROW(E$2:E338)*(E338=E$2:E338)))))-COUNTBLANK(OFFSET(A$1,,,SUMPRODUCT(MAX(ROW(E$1:E337)*(E2=E$1:E337))))))</f>
        <v>0</v>
      </c>
      <c r="K338" s="24" t="str">
        <f aca="false">IF(OR(E338="",E338="!!!",F338="NEW"),"",INDEX(J$1:J337,SUMPRODUCT(MAX(ROW(E$1:E337)*(E338=E$1:E337)))))</f>
        <v/>
      </c>
      <c r="L338" s="25"/>
    </row>
    <row r="339" customFormat="false" ht="14.25" hidden="false" customHeight="false" outlineLevel="0" collapsed="false">
      <c r="A339" s="0" t="s">
        <v>86</v>
      </c>
      <c r="E339" s="20" t="str">
        <f aca="false">IF(D339="?OLD","!!!","")</f>
        <v/>
      </c>
      <c r="F339" s="21" t="str">
        <f aca="false">IF(OR(E339="",E339="!!!"),"",IF(NOT(ISNA(VLOOKUP(E339,E$1:E338,1,FALSE()))),"OLD",IF(AND(E339&lt;&gt;"",E339&lt;&gt;"!!!"),"NEW","")))</f>
        <v/>
      </c>
      <c r="G339" s="22" t="str">
        <f aca="false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aca="false">IF(J339&lt;&gt;1,"",IF(I339="SBJ","CB","?"))</f>
        <v/>
      </c>
      <c r="I339" s="24" t="str">
        <f aca="false">IF(OR(E339="",E339="!!!",F339="NEW"),"",INDEX(B$2:B338,-1+SUMPRODUCT(MAX(ROW(E$2:E338)*(E339=E$2:E338)))))</f>
        <v/>
      </c>
      <c r="J339" s="24" t="str">
        <f aca="true">IF(OR(E339="",E339="!!!",F339="NEW"),"",COUNTBLANK(OFFSET(A$1,,,SUMPRODUCT(MAX(ROW(E$2:E339)*(E339=E$2:E339)))))-COUNTBLANK(OFFSET(A$1,,,SUMPRODUCT(MAX(ROW(E$1:E338)*(E2=E$1:E338))))))</f>
        <v/>
      </c>
      <c r="K339" s="24" t="str">
        <f aca="false">IF(OR(E339="",E339="!!!",F339="NEW"),"",INDEX(J$1:J338,SUMPRODUCT(MAX(ROW(E$1:E338)*(E339=E$1:E338)))))</f>
        <v/>
      </c>
      <c r="L339" s="25"/>
    </row>
    <row r="340" customFormat="false" ht="14.25" hidden="false" customHeight="false" outlineLevel="0" collapsed="false">
      <c r="A340" s="0" t="s">
        <v>357</v>
      </c>
      <c r="B340" s="26" t="s">
        <v>147</v>
      </c>
      <c r="C340" s="26" t="s">
        <v>151</v>
      </c>
      <c r="D340" s="26" t="s">
        <v>75</v>
      </c>
      <c r="E340" s="20"/>
      <c r="F340" s="21" t="str">
        <f aca="false">IF(OR(E340="",E340="!!!"),"",IF(NOT(ISNA(VLOOKUP(E340,E$1:E339,1,FALSE()))),"OLD",IF(AND(E340&lt;&gt;"",E340&lt;&gt;"!!!"),"NEW","")))</f>
        <v/>
      </c>
      <c r="G340" s="22" t="str">
        <f aca="false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aca="false">IF(J340&lt;&gt;1,"",IF(I340="SBJ","CB","?"))</f>
        <v/>
      </c>
      <c r="I340" s="24" t="str">
        <f aca="false">IF(OR(E340="",E340="!!!",F340="NEW"),"",INDEX(B$2:B339,-1+SUMPRODUCT(MAX(ROW(E$2:E339)*(E340=E$2:E339)))))</f>
        <v/>
      </c>
      <c r="J340" s="24" t="str">
        <f aca="true">IF(OR(E340="",E340="!!!",F340="NEW"),"",COUNTBLANK(OFFSET(A$1,,,SUMPRODUCT(MAX(ROW(E$2:E340)*(E340=E$2:E340)))))-COUNTBLANK(OFFSET(A$1,,,SUMPRODUCT(MAX(ROW(E$1:E339)*(E2=E$1:E339))))))</f>
        <v/>
      </c>
      <c r="K340" s="24" t="str">
        <f aca="false">IF(OR(E340="",E340="!!!",F340="NEW"),"",INDEX(J$1:J339,SUMPRODUCT(MAX(ROW(E$1:E339)*(E340=E$1:E339)))))</f>
        <v/>
      </c>
      <c r="L340" s="27" t="s">
        <v>358</v>
      </c>
    </row>
    <row r="341" customFormat="false" ht="14.25" hidden="false" customHeight="false" outlineLevel="0" collapsed="false">
      <c r="A341" s="0" t="s">
        <v>153</v>
      </c>
      <c r="B341" s="26" t="s">
        <v>96</v>
      </c>
      <c r="C341" s="26" t="s">
        <v>359</v>
      </c>
      <c r="D341" s="26" t="s">
        <v>75</v>
      </c>
      <c r="E341" s="20" t="s">
        <v>348</v>
      </c>
      <c r="F341" s="21" t="str">
        <f aca="false">IF(OR(E341="",E341="!!!"),"",IF(NOT(ISNA(VLOOKUP(E341,E$1:E340,1,FALSE()))),"OLD",IF(AND(E341&lt;&gt;"",E341&lt;&gt;"!!!"),"NEW","")))</f>
        <v>OLD</v>
      </c>
      <c r="G341" s="22" t="str">
        <f aca="false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?IN_FOCUS</v>
      </c>
      <c r="H341" s="23" t="str">
        <f aca="false">IF(J341&lt;&gt;1,"",IF(I341="SBJ","CB","?"))</f>
        <v/>
      </c>
      <c r="I341" s="24" t="str">
        <f aca="false">IF(OR(E341="",E341="!!!",F341="NEW"),"",INDEX(B$2:B340,-1+SUMPRODUCT(MAX(ROW(E$2:E340)*(E341=E$2:E340)))))</f>
        <v>other_2</v>
      </c>
      <c r="J341" s="24" t="n">
        <f aca="true">IF(OR(E341="",E341="!!!",F341="NEW"),"",COUNTBLANK(OFFSET(A$1,,,SUMPRODUCT(MAX(ROW(E$2:E341)*(E341=E$2:E341)))))-COUNTBLANK(OFFSET(A$1,,,SUMPRODUCT(MAX(ROW(E$1:E340)*(E2=E$1:E340))))))</f>
        <v>0</v>
      </c>
      <c r="K341" s="24" t="n">
        <f aca="false">IF(OR(E341="",E341="!!!",F341="NEW"),"",INDEX(J$1:J340,SUMPRODUCT(MAX(ROW(E$1:E340)*(E341=E$1:E340)))))</f>
        <v>0</v>
      </c>
      <c r="L341" s="25"/>
    </row>
    <row r="342" customFormat="false" ht="14.25" hidden="false" customHeight="false" outlineLevel="0" collapsed="false">
      <c r="A342" s="0" t="s">
        <v>167</v>
      </c>
      <c r="E342" s="20" t="str">
        <f aca="false">IF(D342="?OLD","!!!","")</f>
        <v/>
      </c>
      <c r="F342" s="21" t="str">
        <f aca="false">IF(OR(E342="",E342="!!!"),"",IF(NOT(ISNA(VLOOKUP(E342,E$1:E341,1,FALSE()))),"OLD",IF(AND(E342&lt;&gt;"",E342&lt;&gt;"!!!"),"NEW","")))</f>
        <v/>
      </c>
      <c r="G342" s="22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aca="false">IF(J342&lt;&gt;1,"",IF(I342="SBJ","CB","?"))</f>
        <v/>
      </c>
      <c r="I342" s="24" t="str">
        <f aca="false">IF(OR(E342="",E342="!!!",F342="NEW"),"",INDEX(B$2:B341,-1+SUMPRODUCT(MAX(ROW(E$2:E341)*(E342=E$2:E341)))))</f>
        <v/>
      </c>
      <c r="J342" s="24" t="str">
        <f aca="true">IF(OR(E342="",E342="!!!",F342="NEW"),"",COUNTBLANK(OFFSET(A$1,,,SUMPRODUCT(MAX(ROW(E$2:E342)*(E342=E$2:E342)))))-COUNTBLANK(OFFSET(A$1,,,SUMPRODUCT(MAX(ROW(E$1:E341)*(E2=E$1:E341))))))</f>
        <v/>
      </c>
      <c r="K342" s="24" t="str">
        <f aca="false">IF(OR(E342="",E342="!!!",F342="NEW"),"",INDEX(J$1:J341,SUMPRODUCT(MAX(ROW(E$1:E341)*(E342=E$1:E341)))))</f>
        <v/>
      </c>
      <c r="L342" s="25"/>
    </row>
    <row r="343" customFormat="false" ht="14.25" hidden="false" customHeight="false" outlineLevel="0" collapsed="false">
      <c r="A343" s="0" t="s">
        <v>360</v>
      </c>
      <c r="E343" s="20" t="str">
        <f aca="false">IF(D343="?OLD","!!!","")</f>
        <v/>
      </c>
      <c r="F343" s="21" t="str">
        <f aca="false">IF(OR(E343="",E343="!!!"),"",IF(NOT(ISNA(VLOOKUP(E343,E$1:E342,1,FALSE()))),"OLD",IF(AND(E343&lt;&gt;"",E343&lt;&gt;"!!!"),"NEW","")))</f>
        <v/>
      </c>
      <c r="G343" s="22" t="str">
        <f aca="false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aca="false">IF(J343&lt;&gt;1,"",IF(I343="SBJ","CB","?"))</f>
        <v/>
      </c>
      <c r="I343" s="24" t="str">
        <f aca="false">IF(OR(E343="",E343="!!!",F343="NEW"),"",INDEX(B$2:B342,-1+SUMPRODUCT(MAX(ROW(E$2:E342)*(E343=E$2:E342)))))</f>
        <v/>
      </c>
      <c r="J343" s="24" t="str">
        <f aca="true">IF(OR(E343="",E343="!!!",F343="NEW"),"",COUNTBLANK(OFFSET(A$1,,,SUMPRODUCT(MAX(ROW(E$2:E343)*(E343=E$2:E343)))))-COUNTBLANK(OFFSET(A$1,,,SUMPRODUCT(MAX(ROW(E$1:E342)*(E2=E$1:E342))))))</f>
        <v/>
      </c>
      <c r="K343" s="24" t="str">
        <f aca="false">IF(OR(E343="",E343="!!!",F343="NEW"),"",INDEX(J$1:J342,SUMPRODUCT(MAX(ROW(E$1:E342)*(E343=E$1:E342)))))</f>
        <v/>
      </c>
      <c r="L343" s="25"/>
    </row>
    <row r="344" customFormat="false" ht="14.25" hidden="false" customHeight="false" outlineLevel="0" collapsed="false">
      <c r="A344" s="0" t="s">
        <v>288</v>
      </c>
      <c r="E344" s="20" t="str">
        <f aca="false">IF(D344="?OLD","!!!","")</f>
        <v/>
      </c>
      <c r="F344" s="21" t="str">
        <f aca="false">IF(OR(E344="",E344="!!!"),"",IF(NOT(ISNA(VLOOKUP(E344,E$1:E343,1,FALSE()))),"OLD",IF(AND(E344&lt;&gt;"",E344&lt;&gt;"!!!"),"NEW","")))</f>
        <v/>
      </c>
      <c r="G344" s="22" t="str">
        <f aca="false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aca="false">IF(J344&lt;&gt;1,"",IF(I344="SBJ","CB","?"))</f>
        <v/>
      </c>
      <c r="I344" s="24" t="str">
        <f aca="false">IF(OR(E344="",E344="!!!",F344="NEW"),"",INDEX(B$2:B343,-1+SUMPRODUCT(MAX(ROW(E$2:E343)*(E344=E$2:E343)))))</f>
        <v/>
      </c>
      <c r="J344" s="24" t="str">
        <f aca="true">IF(OR(E344="",E344="!!!",F344="NEW"),"",COUNTBLANK(OFFSET(A$1,,,SUMPRODUCT(MAX(ROW(E$2:E344)*(E344=E$2:E344)))))-COUNTBLANK(OFFSET(A$1,,,SUMPRODUCT(MAX(ROW(E$1:E343)*(E2=E$1:E343))))))</f>
        <v/>
      </c>
      <c r="K344" s="24" t="str">
        <f aca="false">IF(OR(E344="",E344="!!!",F344="NEW"),"",INDEX(J$1:J343,SUMPRODUCT(MAX(ROW(E$1:E343)*(E344=E$1:E343)))))</f>
        <v/>
      </c>
      <c r="L344" s="25"/>
    </row>
    <row r="345" customFormat="false" ht="14.25" hidden="false" customHeight="false" outlineLevel="0" collapsed="false">
      <c r="A345" s="0" t="s">
        <v>101</v>
      </c>
      <c r="E345" s="20" t="str">
        <f aca="false">IF(D345="?OLD","!!!","")</f>
        <v/>
      </c>
      <c r="F345" s="21" t="str">
        <f aca="false">IF(OR(E345="",E345="!!!"),"",IF(NOT(ISNA(VLOOKUP(E345,E$1:E344,1,FALSE()))),"OLD",IF(AND(E345&lt;&gt;"",E345&lt;&gt;"!!!"),"NEW","")))</f>
        <v/>
      </c>
      <c r="G345" s="22" t="str">
        <f aca="false"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aca="false">IF(J345&lt;&gt;1,"",IF(I345="SBJ","CB","?"))</f>
        <v/>
      </c>
      <c r="I345" s="24" t="str">
        <f aca="false">IF(OR(E345="",E345="!!!",F345="NEW"),"",INDEX(B$2:B344,-1+SUMPRODUCT(MAX(ROW(E$2:E344)*(E345=E$2:E344)))))</f>
        <v/>
      </c>
      <c r="J345" s="24" t="str">
        <f aca="true">IF(OR(E345="",E345="!!!",F345="NEW"),"",COUNTBLANK(OFFSET(A$1,,,SUMPRODUCT(MAX(ROW(E$2:E345)*(E345=E$2:E345)))))-COUNTBLANK(OFFSET(A$1,,,SUMPRODUCT(MAX(ROW(E$1:E344)*(E2=E$1:E344))))))</f>
        <v/>
      </c>
      <c r="K345" s="24" t="str">
        <f aca="false">IF(OR(E345="",E345="!!!",F345="NEW"),"",INDEX(J$1:J344,SUMPRODUCT(MAX(ROW(E$1:E344)*(E345=E$1:E344)))))</f>
        <v/>
      </c>
      <c r="L345" s="25"/>
    </row>
    <row r="346" customFormat="false" ht="14.25" hidden="false" customHeight="false" outlineLevel="0" collapsed="false">
      <c r="A346" s="0" t="s">
        <v>271</v>
      </c>
      <c r="E346" s="20" t="str">
        <f aca="false">IF(D346="?OLD","!!!","")</f>
        <v/>
      </c>
      <c r="F346" s="21" t="str">
        <f aca="false">IF(OR(E346="",E346="!!!"),"",IF(NOT(ISNA(VLOOKUP(E346,E$1:E345,1,FALSE()))),"OLD",IF(AND(E346&lt;&gt;"",E346&lt;&gt;"!!!"),"NEW","")))</f>
        <v/>
      </c>
      <c r="G346" s="22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aca="false">IF(J346&lt;&gt;1,"",IF(I346="SBJ","CB","?"))</f>
        <v/>
      </c>
      <c r="I346" s="24" t="str">
        <f aca="false">IF(OR(E346="",E346="!!!",F346="NEW"),"",INDEX(B$2:B345,-1+SUMPRODUCT(MAX(ROW(E$2:E345)*(E346=E$2:E345)))))</f>
        <v/>
      </c>
      <c r="J346" s="24" t="str">
        <f aca="true">IF(OR(E346="",E346="!!!",F346="NEW"),"",COUNTBLANK(OFFSET(A$1,,,SUMPRODUCT(MAX(ROW(E$2:E346)*(E346=E$2:E346)))))-COUNTBLANK(OFFSET(A$1,,,SUMPRODUCT(MAX(ROW(E$1:E345)*(E2=E$1:E345))))))</f>
        <v/>
      </c>
      <c r="K346" s="24" t="str">
        <f aca="false">IF(OR(E346="",E346="!!!",F346="NEW"),"",INDEX(J$1:J345,SUMPRODUCT(MAX(ROW(E$1:E345)*(E346=E$1:E345)))))</f>
        <v/>
      </c>
      <c r="L346" s="25"/>
    </row>
    <row r="347" customFormat="false" ht="14.25" hidden="false" customHeight="false" outlineLevel="0" collapsed="false">
      <c r="A347" s="0" t="s">
        <v>254</v>
      </c>
      <c r="B347" s="26" t="s">
        <v>104</v>
      </c>
      <c r="C347" s="26" t="s">
        <v>209</v>
      </c>
      <c r="D347" s="26" t="s">
        <v>75</v>
      </c>
      <c r="E347" s="20" t="s">
        <v>348</v>
      </c>
      <c r="F347" s="21" t="str">
        <f aca="false">IF(OR(E347="",E347="!!!"),"",IF(NOT(ISNA(VLOOKUP(E347,E$1:E346,1,FALSE()))),"OLD",IF(AND(E347&lt;&gt;"",E347&lt;&gt;"!!!"),"NEW","")))</f>
        <v>OLD</v>
      </c>
      <c r="G347" s="22" t="str">
        <f aca="false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23" t="str">
        <f aca="false">IF(J347&lt;&gt;1,"",IF(I347="SBJ","CB","?"))</f>
        <v/>
      </c>
      <c r="I347" s="24" t="str">
        <f aca="false">IF(OR(E347="",E347="!!!",F347="NEW"),"",INDEX(B$2:B346,-1+SUMPRODUCT(MAX(ROW(E$2:E346)*(E347=E$2:E346)))))</f>
        <v>SBJ_2</v>
      </c>
      <c r="J347" s="24" t="n">
        <f aca="true">IF(OR(E347="",E347="!!!",F347="NEW"),"",COUNTBLANK(OFFSET(A$1,,,SUMPRODUCT(MAX(ROW(E$2:E347)*(E347=E$2:E347)))))-COUNTBLANK(OFFSET(A$1,,,SUMPRODUCT(MAX(ROW(E$1:E346)*(E2=E$1:E346))))))</f>
        <v>0</v>
      </c>
      <c r="K347" s="24" t="n">
        <f aca="false">IF(OR(E347="",E347="!!!",F347="NEW"),"",INDEX(J$1:J346,SUMPRODUCT(MAX(ROW(E$1:E346)*(E347=E$1:E346)))))</f>
        <v>0</v>
      </c>
      <c r="L347" s="25"/>
    </row>
    <row r="348" customFormat="false" ht="14.25" hidden="false" customHeight="false" outlineLevel="0" collapsed="false">
      <c r="A348" s="0" t="s">
        <v>167</v>
      </c>
      <c r="E348" s="20" t="str">
        <f aca="false">IF(D348="?OLD","!!!","")</f>
        <v/>
      </c>
      <c r="F348" s="21" t="str">
        <f aca="false">IF(OR(E348="",E348="!!!"),"",IF(NOT(ISNA(VLOOKUP(E348,E$1:E347,1,FALSE()))),"OLD",IF(AND(E348&lt;&gt;"",E348&lt;&gt;"!!!"),"NEW","")))</f>
        <v/>
      </c>
      <c r="G348" s="22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aca="false">IF(J348&lt;&gt;1,"",IF(I348="SBJ","CB","?"))</f>
        <v/>
      </c>
      <c r="I348" s="24" t="str">
        <f aca="false">IF(OR(E348="",E348="!!!",F348="NEW"),"",INDEX(B$2:B347,-1+SUMPRODUCT(MAX(ROW(E$2:E347)*(E348=E$2:E347)))))</f>
        <v/>
      </c>
      <c r="J348" s="24" t="str">
        <f aca="true">IF(OR(E348="",E348="!!!",F348="NEW"),"",COUNTBLANK(OFFSET(A$1,,,SUMPRODUCT(MAX(ROW(E$2:E348)*(E348=E$2:E348)))))-COUNTBLANK(OFFSET(A$1,,,SUMPRODUCT(MAX(ROW(E$1:E347)*(E2=E$1:E347))))))</f>
        <v/>
      </c>
      <c r="K348" s="24" t="str">
        <f aca="false">IF(OR(E348="",E348="!!!",F348="NEW"),"",INDEX(J$1:J347,SUMPRODUCT(MAX(ROW(E$1:E347)*(E348=E$1:E347)))))</f>
        <v/>
      </c>
      <c r="L348" s="25"/>
    </row>
    <row r="349" customFormat="false" ht="14.25" hidden="false" customHeight="false" outlineLevel="0" collapsed="false">
      <c r="A349" s="0" t="s">
        <v>116</v>
      </c>
      <c r="E349" s="20" t="str">
        <f aca="false">IF(D349="?OLD","!!!","")</f>
        <v/>
      </c>
      <c r="F349" s="21" t="str">
        <f aca="false">IF(OR(E349="",E349="!!!"),"",IF(NOT(ISNA(VLOOKUP(E349,E$1:E348,1,FALSE()))),"OLD",IF(AND(E349&lt;&gt;"",E349&lt;&gt;"!!!"),"NEW","")))</f>
        <v/>
      </c>
      <c r="G349" s="22" t="str">
        <f aca="false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aca="false">IF(J349&lt;&gt;1,"",IF(I349="SBJ","CB","?"))</f>
        <v/>
      </c>
      <c r="I349" s="24" t="str">
        <f aca="false">IF(OR(E349="",E349="!!!",F349="NEW"),"",INDEX(B$2:B348,-1+SUMPRODUCT(MAX(ROW(E$2:E348)*(E349=E$2:E348)))))</f>
        <v/>
      </c>
      <c r="J349" s="24" t="str">
        <f aca="true">IF(OR(E349="",E349="!!!",F349="NEW"),"",COUNTBLANK(OFFSET(A$1,,,SUMPRODUCT(MAX(ROW(E$2:E349)*(E349=E$2:E349)))))-COUNTBLANK(OFFSET(A$1,,,SUMPRODUCT(MAX(ROW(E$1:E348)*(E2=E$1:E348))))))</f>
        <v/>
      </c>
      <c r="K349" s="24" t="str">
        <f aca="false">IF(OR(E349="",E349="!!!",F349="NEW"),"",INDEX(J$1:J348,SUMPRODUCT(MAX(ROW(E$1:E348)*(E349=E$1:E348)))))</f>
        <v/>
      </c>
      <c r="L349" s="25"/>
    </row>
    <row r="350" customFormat="false" ht="14.25" hidden="false" customHeight="false" outlineLevel="0" collapsed="false">
      <c r="A350" s="0" t="s">
        <v>361</v>
      </c>
      <c r="E350" s="20" t="str">
        <f aca="false">IF(D350="?OLD","!!!","")</f>
        <v/>
      </c>
      <c r="F350" s="21" t="str">
        <f aca="false">IF(OR(E350="",E350="!!!"),"",IF(NOT(ISNA(VLOOKUP(E350,E$1:E349,1,FALSE()))),"OLD",IF(AND(E350&lt;&gt;"",E350&lt;&gt;"!!!"),"NEW","")))</f>
        <v/>
      </c>
      <c r="G350" s="22" t="str">
        <f aca="false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aca="false">IF(J350&lt;&gt;1,"",IF(I350="SBJ","CB","?"))</f>
        <v/>
      </c>
      <c r="I350" s="24" t="str">
        <f aca="false">IF(OR(E350="",E350="!!!",F350="NEW"),"",INDEX(B$2:B349,-1+SUMPRODUCT(MAX(ROW(E$2:E349)*(E350=E$2:E349)))))</f>
        <v/>
      </c>
      <c r="J350" s="24" t="str">
        <f aca="true">IF(OR(E350="",E350="!!!",F350="NEW"),"",COUNTBLANK(OFFSET(A$1,,,SUMPRODUCT(MAX(ROW(E$2:E350)*(E350=E$2:E350)))))-COUNTBLANK(OFFSET(A$1,,,SUMPRODUCT(MAX(ROW(E$1:E349)*(E2=E$1:E349))))))</f>
        <v/>
      </c>
      <c r="K350" s="24" t="str">
        <f aca="false">IF(OR(E350="",E350="!!!",F350="NEW"),"",INDEX(J$1:J349,SUMPRODUCT(MAX(ROW(E$1:E349)*(E350=E$1:E349)))))</f>
        <v/>
      </c>
      <c r="L350" s="25"/>
    </row>
    <row r="351" customFormat="false" ht="14.25" hidden="false" customHeight="false" outlineLevel="0" collapsed="false">
      <c r="A351" s="0" t="s">
        <v>86</v>
      </c>
      <c r="E351" s="20" t="str">
        <f aca="false">IF(D351="?OLD","!!!","")</f>
        <v/>
      </c>
      <c r="F351" s="21" t="str">
        <f aca="false">IF(OR(E351="",E351="!!!"),"",IF(NOT(ISNA(VLOOKUP(E351,E$1:E350,1,FALSE()))),"OLD",IF(AND(E351&lt;&gt;"",E351&lt;&gt;"!!!"),"NEW","")))</f>
        <v/>
      </c>
      <c r="G351" s="22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aca="false">IF(J351&lt;&gt;1,"",IF(I351="SBJ","CB","?"))</f>
        <v/>
      </c>
      <c r="I351" s="24" t="str">
        <f aca="false">IF(OR(E351="",E351="!!!",F351="NEW"),"",INDEX(B$2:B350,-1+SUMPRODUCT(MAX(ROW(E$2:E350)*(E351=E$2:E350)))))</f>
        <v/>
      </c>
      <c r="J351" s="24" t="str">
        <f aca="true">IF(OR(E351="",E351="!!!",F351="NEW"),"",COUNTBLANK(OFFSET(A$1,,,SUMPRODUCT(MAX(ROW(E$2:E351)*(E351=E$2:E351)))))-COUNTBLANK(OFFSET(A$1,,,SUMPRODUCT(MAX(ROW(E$1:E350)*(E2=E$1:E350))))))</f>
        <v/>
      </c>
      <c r="K351" s="24" t="str">
        <f aca="false">IF(OR(E351="",E351="!!!",F351="NEW"),"",INDEX(J$1:J350,SUMPRODUCT(MAX(ROW(E$1:E350)*(E351=E$1:E350)))))</f>
        <v/>
      </c>
      <c r="L351" s="25"/>
    </row>
    <row r="352" customFormat="false" ht="14.25" hidden="false" customHeight="false" outlineLevel="0" collapsed="false">
      <c r="A352" s="0" t="s">
        <v>362</v>
      </c>
      <c r="B352" s="26" t="s">
        <v>96</v>
      </c>
      <c r="C352" s="26" t="s">
        <v>105</v>
      </c>
      <c r="E352" s="20" t="s">
        <v>106</v>
      </c>
      <c r="F352" s="21" t="str">
        <f aca="false">IF(OR(E352="",E352="!!!"),"",IF(NOT(ISNA(VLOOKUP(E352,E$1:E351,1,FALSE()))),"OLD",IF(AND(E352&lt;&gt;"",E352&lt;&gt;"!!!"),"NEW","")))</f>
        <v>OLD</v>
      </c>
      <c r="G352" s="22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?IN_FOCUS</v>
      </c>
      <c r="H352" s="23" t="str">
        <f aca="false">IF(J352&lt;&gt;1,"",IF(I352="SBJ","CB","?"))</f>
        <v/>
      </c>
      <c r="I352" s="24" t="str">
        <f aca="false">IF(OR(E352="",E352="!!!",F352="NEW"),"",INDEX(B$2:B351,-1+SUMPRODUCT(MAX(ROW(E$2:E351)*(E352=E$2:E351)))))</f>
        <v>SBJ_2</v>
      </c>
      <c r="J352" s="24" t="n">
        <f aca="true">IF(OR(E352="",E352="!!!",F352="NEW"),"",COUNTBLANK(OFFSET(A$1,,,SUMPRODUCT(MAX(ROW(E$2:E352)*(E352=E$2:E352)))))-COUNTBLANK(OFFSET(A$1,,,SUMPRODUCT(MAX(ROW(E$1:E351)*(E2=E$1:E351))))))</f>
        <v>0</v>
      </c>
      <c r="K352" s="24" t="n">
        <f aca="false">IF(OR(E352="",E352="!!!",F352="NEW"),"",INDEX(J$1:J351,SUMPRODUCT(MAX(ROW(E$1:E351)*(E352=E$1:E351)))))</f>
        <v>0</v>
      </c>
      <c r="L352" s="25"/>
    </row>
    <row r="353" customFormat="false" ht="14.25" hidden="false" customHeight="false" outlineLevel="0" collapsed="false">
      <c r="A353" s="0" t="s">
        <v>363</v>
      </c>
      <c r="E353" s="20" t="str">
        <f aca="false">IF(D353="?OLD","!!!","")</f>
        <v/>
      </c>
      <c r="F353" s="21" t="str">
        <f aca="false">IF(OR(E353="",E353="!!!"),"",IF(NOT(ISNA(VLOOKUP(E353,E$1:E352,1,FALSE()))),"OLD",IF(AND(E353&lt;&gt;"",E353&lt;&gt;"!!!"),"NEW","")))</f>
        <v/>
      </c>
      <c r="G353" s="22" t="str">
        <f aca="false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aca="false">IF(J353&lt;&gt;1,"",IF(I353="SBJ","CB","?"))</f>
        <v/>
      </c>
      <c r="I353" s="24" t="str">
        <f aca="false">IF(OR(E353="",E353="!!!",F353="NEW"),"",INDEX(B$2:B352,-1+SUMPRODUCT(MAX(ROW(E$2:E352)*(E353=E$2:E352)))))</f>
        <v/>
      </c>
      <c r="J353" s="24" t="str">
        <f aca="true">IF(OR(E353="",E353="!!!",F353="NEW"),"",COUNTBLANK(OFFSET(A$1,,,SUMPRODUCT(MAX(ROW(E$2:E353)*(E353=E$2:E353)))))-COUNTBLANK(OFFSET(A$1,,,SUMPRODUCT(MAX(ROW(E$1:E352)*(E2=E$1:E352))))))</f>
        <v/>
      </c>
      <c r="K353" s="24" t="str">
        <f aca="false">IF(OR(E353="",E353="!!!",F353="NEW"),"",INDEX(J$1:J352,SUMPRODUCT(MAX(ROW(E$1:E352)*(E353=E$1:E352)))))</f>
        <v/>
      </c>
      <c r="L353" s="25"/>
    </row>
    <row r="354" customFormat="false" ht="14.25" hidden="false" customHeight="false" outlineLevel="0" collapsed="false">
      <c r="A354" s="0" t="s">
        <v>278</v>
      </c>
      <c r="E354" s="20" t="str">
        <f aca="false">IF(D354="?OLD","!!!","")</f>
        <v/>
      </c>
      <c r="F354" s="21" t="str">
        <f aca="false">IF(OR(E354="",E354="!!!"),"",IF(NOT(ISNA(VLOOKUP(E354,E$1:E353,1,FALSE()))),"OLD",IF(AND(E354&lt;&gt;"",E354&lt;&gt;"!!!"),"NEW","")))</f>
        <v/>
      </c>
      <c r="G354" s="22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aca="false">IF(J354&lt;&gt;1,"",IF(I354="SBJ","CB","?"))</f>
        <v/>
      </c>
      <c r="I354" s="24" t="str">
        <f aca="false">IF(OR(E354="",E354="!!!",F354="NEW"),"",INDEX(B$2:B353,-1+SUMPRODUCT(MAX(ROW(E$2:E353)*(E354=E$2:E353)))))</f>
        <v/>
      </c>
      <c r="J354" s="24" t="str">
        <f aca="true">IF(OR(E354="",E354="!!!",F354="NEW"),"",COUNTBLANK(OFFSET(A$1,,,SUMPRODUCT(MAX(ROW(E$2:E354)*(E354=E$2:E354)))))-COUNTBLANK(OFFSET(A$1,,,SUMPRODUCT(MAX(ROW(E$1:E353)*(E2=E$1:E353))))))</f>
        <v/>
      </c>
      <c r="K354" s="24" t="str">
        <f aca="false">IF(OR(E354="",E354="!!!",F354="NEW"),"",INDEX(J$1:J353,SUMPRODUCT(MAX(ROW(E$1:E353)*(E354=E$1:E353)))))</f>
        <v/>
      </c>
      <c r="L354" s="25"/>
    </row>
    <row r="355" customFormat="false" ht="14.25" hidden="false" customHeight="false" outlineLevel="0" collapsed="false">
      <c r="A355" s="0" t="s">
        <v>178</v>
      </c>
      <c r="E355" s="20" t="str">
        <f aca="false">IF(D355="?OLD","!!!","")</f>
        <v/>
      </c>
      <c r="F355" s="21" t="str">
        <f aca="false">IF(OR(E355="",E355="!!!"),"",IF(NOT(ISNA(VLOOKUP(E355,E$1:E354,1,FALSE()))),"OLD",IF(AND(E355&lt;&gt;"",E355&lt;&gt;"!!!"),"NEW","")))</f>
        <v/>
      </c>
      <c r="G355" s="22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aca="false">IF(J355&lt;&gt;1,"",IF(I355="SBJ","CB","?"))</f>
        <v/>
      </c>
      <c r="I355" s="24" t="str">
        <f aca="false">IF(OR(E355="",E355="!!!",F355="NEW"),"",INDEX(B$2:B354,-1+SUMPRODUCT(MAX(ROW(E$2:E354)*(E355=E$2:E354)))))</f>
        <v/>
      </c>
      <c r="J355" s="24" t="str">
        <f aca="true">IF(OR(E355="",E355="!!!",F355="NEW"),"",COUNTBLANK(OFFSET(A$1,,,SUMPRODUCT(MAX(ROW(E$2:E355)*(E355=E$2:E355)))))-COUNTBLANK(OFFSET(A$1,,,SUMPRODUCT(MAX(ROW(E$1:E354)*(E2=E$1:E354))))))</f>
        <v/>
      </c>
      <c r="K355" s="24" t="str">
        <f aca="false">IF(OR(E355="",E355="!!!",F355="NEW"),"",INDEX(J$1:J354,SUMPRODUCT(MAX(ROW(E$1:E354)*(E355=E$1:E354)))))</f>
        <v/>
      </c>
      <c r="L355" s="25"/>
    </row>
    <row r="356" customFormat="false" ht="14.25" hidden="false" customHeight="false" outlineLevel="0" collapsed="false">
      <c r="A356" s="0" t="s">
        <v>364</v>
      </c>
      <c r="B356" s="26" t="s">
        <v>115</v>
      </c>
      <c r="C356" s="26" t="s">
        <v>105</v>
      </c>
      <c r="E356" s="20"/>
      <c r="F356" s="21" t="str">
        <f aca="false">IF(OR(E356="",E356="!!!"),"",IF(NOT(ISNA(VLOOKUP(E356,E$1:E355,1,FALSE()))),"OLD",IF(AND(E356&lt;&gt;"",E356&lt;&gt;"!!!"),"NEW","")))</f>
        <v/>
      </c>
      <c r="G356" s="22" t="str">
        <f aca="false"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aca="false">IF(J356&lt;&gt;1,"",IF(I356="SBJ","CB","?"))</f>
        <v/>
      </c>
      <c r="I356" s="24" t="str">
        <f aca="false">IF(OR(E356="",E356="!!!",F356="NEW"),"",INDEX(B$2:B355,-1+SUMPRODUCT(MAX(ROW(E$2:E355)*(E356=E$2:E355)))))</f>
        <v/>
      </c>
      <c r="J356" s="24" t="str">
        <f aca="true">IF(OR(E356="",E356="!!!",F356="NEW"),"",COUNTBLANK(OFFSET(A$1,,,SUMPRODUCT(MAX(ROW(E$2:E356)*(E356=E$2:E356)))))-COUNTBLANK(OFFSET(A$1,,,SUMPRODUCT(MAX(ROW(E$1:E355)*(E2=E$1:E355))))))</f>
        <v/>
      </c>
      <c r="K356" s="24" t="str">
        <f aca="false">IF(OR(E356="",E356="!!!",F356="NEW"),"",INDEX(J$1:J355,SUMPRODUCT(MAX(ROW(E$1:E355)*(E356=E$1:E355)))))</f>
        <v/>
      </c>
      <c r="L356" s="25"/>
    </row>
    <row r="357" customFormat="false" ht="14.25" hidden="false" customHeight="false" outlineLevel="0" collapsed="false">
      <c r="A357" s="0" t="s">
        <v>140</v>
      </c>
      <c r="E357" s="20" t="str">
        <f aca="false">IF(D357="?OLD","!!!","")</f>
        <v/>
      </c>
      <c r="F357" s="21" t="str">
        <f aca="false">IF(OR(E357="",E357="!!!"),"",IF(NOT(ISNA(VLOOKUP(E357,E$1:E356,1,FALSE()))),"OLD",IF(AND(E357&lt;&gt;"",E357&lt;&gt;"!!!"),"NEW","")))</f>
        <v/>
      </c>
      <c r="G357" s="22" t="str">
        <f aca="false"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aca="false">IF(J357&lt;&gt;1,"",IF(I357="SBJ","CB","?"))</f>
        <v/>
      </c>
      <c r="I357" s="24" t="str">
        <f aca="false">IF(OR(E357="",E357="!!!",F357="NEW"),"",INDEX(B$2:B356,-1+SUMPRODUCT(MAX(ROW(E$2:E356)*(E357=E$2:E356)))))</f>
        <v/>
      </c>
      <c r="J357" s="24" t="str">
        <f aca="true">IF(OR(E357="",E357="!!!",F357="NEW"),"",COUNTBLANK(OFFSET(A$1,,,SUMPRODUCT(MAX(ROW(E$2:E357)*(E357=E$2:E357)))))-COUNTBLANK(OFFSET(A$1,,,SUMPRODUCT(MAX(ROW(E$1:E356)*(E2=E$1:E356))))))</f>
        <v/>
      </c>
      <c r="K357" s="24" t="str">
        <f aca="false">IF(OR(E357="",E357="!!!",F357="NEW"),"",INDEX(J$1:J356,SUMPRODUCT(MAX(ROW(E$1:E356)*(E357=E$1:E356)))))</f>
        <v/>
      </c>
      <c r="L357" s="25"/>
    </row>
    <row r="358" customFormat="false" ht="14.25" hidden="false" customHeight="false" outlineLevel="0" collapsed="false">
      <c r="A358" s="0" t="s">
        <v>365</v>
      </c>
      <c r="B358" s="26" t="s">
        <v>307</v>
      </c>
      <c r="C358" s="26" t="s">
        <v>283</v>
      </c>
      <c r="D358" s="26" t="s">
        <v>75</v>
      </c>
      <c r="E358" s="20" t="s">
        <v>366</v>
      </c>
      <c r="F358" s="21" t="str">
        <f aca="false">IF(OR(E358="",E358="!!!"),"",IF(NOT(ISNA(VLOOKUP(E358,E$1:E357,1,FALSE()))),"OLD",IF(AND(E358&lt;&gt;"",E358&lt;&gt;"!!!"),"NEW","")))</f>
        <v>NEW</v>
      </c>
      <c r="G358" s="22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?REFERENTIAL</v>
      </c>
      <c r="H358" s="23" t="str">
        <f aca="false">IF(J358&lt;&gt;1,"",IF(I358="SBJ","CB","?"))</f>
        <v/>
      </c>
      <c r="I358" s="24" t="str">
        <f aca="false">IF(OR(E358="",E358="!!!",F358="NEW"),"",INDEX(B$2:B357,-1+SUMPRODUCT(MAX(ROW(E$2:E357)*(E358=E$2:E357)))))</f>
        <v/>
      </c>
      <c r="J358" s="24" t="str">
        <f aca="true">IF(OR(E358="",E358="!!!",F358="NEW"),"",COUNTBLANK(OFFSET(A$1,,,SUMPRODUCT(MAX(ROW(E$2:E358)*(E358=E$2:E358)))))-COUNTBLANK(OFFSET(A$1,,,SUMPRODUCT(MAX(ROW(E$1:E357)*(E2=E$1:E357))))))</f>
        <v/>
      </c>
      <c r="K358" s="24" t="str">
        <f aca="false">IF(OR(E358="",E358="!!!",F358="NEW"),"",INDEX(J$1:J357,SUMPRODUCT(MAX(ROW(E$1:E357)*(E358=E$1:E357)))))</f>
        <v/>
      </c>
      <c r="L358" s="25"/>
    </row>
    <row r="359" customFormat="false" ht="14.25" hidden="false" customHeight="false" outlineLevel="0" collapsed="false">
      <c r="A359" s="0" t="s">
        <v>367</v>
      </c>
      <c r="E359" s="20" t="str">
        <f aca="false">IF(D359="?OLD","!!!","")</f>
        <v/>
      </c>
      <c r="F359" s="21" t="str">
        <f aca="false">IF(OR(E359="",E359="!!!"),"",IF(NOT(ISNA(VLOOKUP(E359,E$1:E358,1,FALSE()))),"OLD",IF(AND(E359&lt;&gt;"",E359&lt;&gt;"!!!"),"NEW","")))</f>
        <v/>
      </c>
      <c r="G359" s="22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aca="false">IF(J359&lt;&gt;1,"",IF(I359="SBJ","CB","?"))</f>
        <v/>
      </c>
      <c r="I359" s="24" t="str">
        <f aca="false">IF(OR(E359="",E359="!!!",F359="NEW"),"",INDEX(B$2:B358,-1+SUMPRODUCT(MAX(ROW(E$2:E358)*(E359=E$2:E358)))))</f>
        <v/>
      </c>
      <c r="J359" s="24" t="str">
        <f aca="true">IF(OR(E359="",E359="!!!",F359="NEW"),"",COUNTBLANK(OFFSET(A$1,,,SUMPRODUCT(MAX(ROW(E$2:E359)*(E359=E$2:E359)))))-COUNTBLANK(OFFSET(A$1,,,SUMPRODUCT(MAX(ROW(E$1:E358)*(E2=E$1:E358))))))</f>
        <v/>
      </c>
      <c r="K359" s="24" t="str">
        <f aca="false">IF(OR(E359="",E359="!!!",F359="NEW"),"",INDEX(J$1:J358,SUMPRODUCT(MAX(ROW(E$1:E358)*(E359=E$1:E358)))))</f>
        <v/>
      </c>
      <c r="L359" s="25"/>
    </row>
    <row r="360" customFormat="false" ht="14.25" hidden="false" customHeight="false" outlineLevel="0" collapsed="false">
      <c r="A360" s="0" t="s">
        <v>172</v>
      </c>
      <c r="E360" s="20" t="str">
        <f aca="false">IF(D360="?OLD","!!!","")</f>
        <v/>
      </c>
      <c r="F360" s="21" t="str">
        <f aca="false">IF(OR(E360="",E360="!!!"),"",IF(NOT(ISNA(VLOOKUP(E360,E$1:E359,1,FALSE()))),"OLD",IF(AND(E360&lt;&gt;"",E360&lt;&gt;"!!!"),"NEW","")))</f>
        <v/>
      </c>
      <c r="G360" s="22" t="str">
        <f aca="false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aca="false">IF(J360&lt;&gt;1,"",IF(I360="SBJ","CB","?"))</f>
        <v/>
      </c>
      <c r="I360" s="24" t="str">
        <f aca="false">IF(OR(E360="",E360="!!!",F360="NEW"),"",INDEX(B$2:B359,-1+SUMPRODUCT(MAX(ROW(E$2:E359)*(E360=E$2:E359)))))</f>
        <v/>
      </c>
      <c r="J360" s="24" t="str">
        <f aca="true">IF(OR(E360="",E360="!!!",F360="NEW"),"",COUNTBLANK(OFFSET(A$1,,,SUMPRODUCT(MAX(ROW(E$2:E360)*(E360=E$2:E360)))))-COUNTBLANK(OFFSET(A$1,,,SUMPRODUCT(MAX(ROW(E$1:E359)*(E2=E$1:E359))))))</f>
        <v/>
      </c>
      <c r="K360" s="24" t="str">
        <f aca="false">IF(OR(E360="",E360="!!!",F360="NEW"),"",INDEX(J$1:J359,SUMPRODUCT(MAX(ROW(E$1:E359)*(E360=E$1:E359)))))</f>
        <v/>
      </c>
      <c r="L360" s="25"/>
    </row>
    <row r="361" customFormat="false" ht="14.25" hidden="false" customHeight="false" outlineLevel="0" collapsed="false">
      <c r="A361" s="0" t="s">
        <v>368</v>
      </c>
      <c r="B361" s="26" t="s">
        <v>154</v>
      </c>
      <c r="C361" s="26" t="s">
        <v>105</v>
      </c>
      <c r="E361" s="20" t="s">
        <v>369</v>
      </c>
      <c r="F361" s="21" t="str">
        <f aca="false">IF(OR(E361="",E361="!!!"),"",IF(NOT(ISNA(VLOOKUP(E361,E$1:E360,1,FALSE()))),"OLD",IF(AND(E361&lt;&gt;"",E361&lt;&gt;"!!!"),"NEW","")))</f>
        <v>NEW</v>
      </c>
      <c r="G361" s="22" t="str">
        <f aca="false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?REFERENTIAL</v>
      </c>
      <c r="H361" s="23" t="str">
        <f aca="false">IF(J361&lt;&gt;1,"",IF(I361="SBJ","CB","?"))</f>
        <v/>
      </c>
      <c r="I361" s="24" t="str">
        <f aca="false">IF(OR(E361="",E361="!!!",F361="NEW"),"",INDEX(B$2:B360,-1+SUMPRODUCT(MAX(ROW(E$2:E360)*(E361=E$2:E360)))))</f>
        <v/>
      </c>
      <c r="J361" s="24" t="str">
        <f aca="true">IF(OR(E361="",E361="!!!",F361="NEW"),"",COUNTBLANK(OFFSET(A$1,,,SUMPRODUCT(MAX(ROW(E$2:E361)*(E361=E$2:E361)))))-COUNTBLANK(OFFSET(A$1,,,SUMPRODUCT(MAX(ROW(E$1:E360)*(E2=E$1:E360))))))</f>
        <v/>
      </c>
      <c r="K361" s="24" t="str">
        <f aca="false">IF(OR(E361="",E361="!!!",F361="NEW"),"",INDEX(J$1:J360,SUMPRODUCT(MAX(ROW(E$1:E360)*(E361=E$1:E360)))))</f>
        <v/>
      </c>
      <c r="L361" s="27" t="s">
        <v>370</v>
      </c>
    </row>
    <row r="362" customFormat="false" ht="14.25" hidden="false" customHeight="false" outlineLevel="0" collapsed="false">
      <c r="A362" s="0" t="s">
        <v>101</v>
      </c>
      <c r="E362" s="20" t="str">
        <f aca="false">IF(D362="?OLD","!!!","")</f>
        <v/>
      </c>
      <c r="F362" s="21" t="str">
        <f aca="false">IF(OR(E362="",E362="!!!"),"",IF(NOT(ISNA(VLOOKUP(E362,E$1:E361,1,FALSE()))),"OLD",IF(AND(E362&lt;&gt;"",E362&lt;&gt;"!!!"),"NEW","")))</f>
        <v/>
      </c>
      <c r="G362" s="22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aca="false">IF(J362&lt;&gt;1,"",IF(I362="SBJ","CB","?"))</f>
        <v/>
      </c>
      <c r="I362" s="24" t="str">
        <f aca="false">IF(OR(E362="",E362="!!!",F362="NEW"),"",INDEX(B$2:B361,-1+SUMPRODUCT(MAX(ROW(E$2:E361)*(E362=E$2:E361)))))</f>
        <v/>
      </c>
      <c r="J362" s="24" t="str">
        <f aca="true">IF(OR(E362="",E362="!!!",F362="NEW"),"",COUNTBLANK(OFFSET(A$1,,,SUMPRODUCT(MAX(ROW(E$2:E362)*(E362=E$2:E362)))))-COUNTBLANK(OFFSET(A$1,,,SUMPRODUCT(MAX(ROW(E$1:E361)*(E2=E$1:E361))))))</f>
        <v/>
      </c>
      <c r="K362" s="24" t="str">
        <f aca="false">IF(OR(E362="",E362="!!!",F362="NEW"),"",INDEX(J$1:J361,SUMPRODUCT(MAX(ROW(E$1:E361)*(E362=E$1:E361)))))</f>
        <v/>
      </c>
      <c r="L362" s="25"/>
    </row>
    <row r="363" customFormat="false" ht="14.25" hidden="false" customHeight="false" outlineLevel="0" collapsed="false">
      <c r="A363" s="0" t="s">
        <v>371</v>
      </c>
      <c r="B363" s="26" t="s">
        <v>147</v>
      </c>
      <c r="C363" s="26" t="s">
        <v>105</v>
      </c>
      <c r="E363" s="20" t="s">
        <v>372</v>
      </c>
      <c r="F363" s="21" t="str">
        <f aca="false">IF(OR(E363="",E363="!!!"),"",IF(NOT(ISNA(VLOOKUP(E363,E$1:E362,1,FALSE()))),"OLD",IF(AND(E363&lt;&gt;"",E363&lt;&gt;"!!!"),"NEW","")))</f>
        <v>NEW</v>
      </c>
      <c r="G363" s="22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?REFERENTIAL</v>
      </c>
      <c r="H363" s="23" t="str">
        <f aca="false">IF(J363&lt;&gt;1,"",IF(I363="SBJ","CB","?"))</f>
        <v/>
      </c>
      <c r="I363" s="24" t="str">
        <f aca="false">IF(OR(E363="",E363="!!!",F363="NEW"),"",INDEX(B$2:B362,-1+SUMPRODUCT(MAX(ROW(E$2:E362)*(E363=E$2:E362)))))</f>
        <v/>
      </c>
      <c r="J363" s="24" t="str">
        <f aca="true">IF(OR(E363="",E363="!!!",F363="NEW"),"",COUNTBLANK(OFFSET(A$1,,,SUMPRODUCT(MAX(ROW(E$2:E363)*(E363=E$2:E363)))))-COUNTBLANK(OFFSET(A$1,,,SUMPRODUCT(MAX(ROW(E$1:E362)*(E2=E$1:E362))))))</f>
        <v/>
      </c>
      <c r="K363" s="24" t="str">
        <f aca="false">IF(OR(E363="",E363="!!!",F363="NEW"),"",INDEX(J$1:J362,SUMPRODUCT(MAX(ROW(E$1:E362)*(E363=E$1:E362)))))</f>
        <v/>
      </c>
      <c r="L363" s="27" t="s">
        <v>373</v>
      </c>
    </row>
    <row r="364" customFormat="false" ht="14.25" hidden="false" customHeight="false" outlineLevel="0" collapsed="false">
      <c r="A364" s="0" t="s">
        <v>142</v>
      </c>
      <c r="E364" s="20" t="str">
        <f aca="false">IF(D364="?OLD","!!!","")</f>
        <v/>
      </c>
      <c r="F364" s="21" t="str">
        <f aca="false">IF(OR(E364="",E364="!!!"),"",IF(NOT(ISNA(VLOOKUP(E364,E$1:E363,1,FALSE()))),"OLD",IF(AND(E364&lt;&gt;"",E364&lt;&gt;"!!!"),"NEW","")))</f>
        <v/>
      </c>
      <c r="G364" s="22" t="str">
        <f aca="false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aca="false">IF(J364&lt;&gt;1,"",IF(I364="SBJ","CB","?"))</f>
        <v/>
      </c>
      <c r="I364" s="24" t="str">
        <f aca="false">IF(OR(E364="",E364="!!!",F364="NEW"),"",INDEX(B$2:B363,-1+SUMPRODUCT(MAX(ROW(E$2:E363)*(E364=E$2:E363)))))</f>
        <v/>
      </c>
      <c r="J364" s="24" t="str">
        <f aca="true">IF(OR(E364="",E364="!!!",F364="NEW"),"",COUNTBLANK(OFFSET(A$1,,,SUMPRODUCT(MAX(ROW(E$2:E364)*(E364=E$2:E364)))))-COUNTBLANK(OFFSET(A$1,,,SUMPRODUCT(MAX(ROW(E$1:E363)*(E2=E$1:E363))))))</f>
        <v/>
      </c>
      <c r="K364" s="24" t="str">
        <f aca="false">IF(OR(E364="",E364="!!!",F364="NEW"),"",INDEX(J$1:J363,SUMPRODUCT(MAX(ROW(E$1:E363)*(E364=E$1:E363)))))</f>
        <v/>
      </c>
      <c r="L364" s="25"/>
    </row>
    <row r="365" customFormat="false" ht="14.25" hidden="false" customHeight="false" outlineLevel="0" collapsed="false">
      <c r="A365" s="0" t="s">
        <v>146</v>
      </c>
      <c r="B365" s="26" t="s">
        <v>147</v>
      </c>
      <c r="C365" s="26" t="s">
        <v>105</v>
      </c>
      <c r="E365" s="20" t="s">
        <v>374</v>
      </c>
      <c r="F365" s="21" t="str">
        <f aca="false">IF(OR(E365="",E365="!!!"),"",IF(NOT(ISNA(VLOOKUP(E365,E$1:E364,1,FALSE()))),"OLD",IF(AND(E365&lt;&gt;"",E365&lt;&gt;"!!!"),"NEW","")))</f>
        <v>NEW</v>
      </c>
      <c r="G365" s="22" t="str">
        <f aca="false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?REFERENTIAL</v>
      </c>
      <c r="H365" s="23" t="str">
        <f aca="false">IF(J365&lt;&gt;1,"",IF(I365="SBJ","CB","?"))</f>
        <v/>
      </c>
      <c r="I365" s="24" t="str">
        <f aca="false">IF(OR(E365="",E365="!!!",F365="NEW"),"",INDEX(B$2:B364,-1+SUMPRODUCT(MAX(ROW(E$2:E364)*(E365=E$2:E364)))))</f>
        <v/>
      </c>
      <c r="J365" s="24" t="str">
        <f aca="true">IF(OR(E365="",E365="!!!",F365="NEW"),"",COUNTBLANK(OFFSET(A$1,,,SUMPRODUCT(MAX(ROW(E$2:E365)*(E365=E$2:E365)))))-COUNTBLANK(OFFSET(A$1,,,SUMPRODUCT(MAX(ROW(E$1:E364)*(E2=E$1:E364))))))</f>
        <v/>
      </c>
      <c r="K365" s="24" t="str">
        <f aca="false">IF(OR(E365="",E365="!!!",F365="NEW"),"",INDEX(J$1:J364,SUMPRODUCT(MAX(ROW(E$1:E364)*(E365=E$1:E364)))))</f>
        <v/>
      </c>
      <c r="L365" s="27" t="s">
        <v>375</v>
      </c>
    </row>
    <row r="366" customFormat="false" ht="14.25" hidden="false" customHeight="false" outlineLevel="0" collapsed="false">
      <c r="A366" s="0" t="s">
        <v>86</v>
      </c>
      <c r="E366" s="20" t="str">
        <f aca="false">IF(D366="?OLD","!!!","")</f>
        <v/>
      </c>
      <c r="F366" s="21" t="str">
        <f aca="false">IF(OR(E366="",E366="!!!"),"",IF(NOT(ISNA(VLOOKUP(E366,E$1:E365,1,FALSE()))),"OLD",IF(AND(E366&lt;&gt;"",E366&lt;&gt;"!!!"),"NEW","")))</f>
        <v/>
      </c>
      <c r="G366" s="22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aca="false">IF(J366&lt;&gt;1,"",IF(I366="SBJ","CB","?"))</f>
        <v/>
      </c>
      <c r="I366" s="24" t="str">
        <f aca="false">IF(OR(E366="",E366="!!!",F366="NEW"),"",INDEX(B$2:B365,-1+SUMPRODUCT(MAX(ROW(E$2:E365)*(E366=E$2:E365)))))</f>
        <v/>
      </c>
      <c r="J366" s="24" t="str">
        <f aca="true">IF(OR(E366="",E366="!!!",F366="NEW"),"",COUNTBLANK(OFFSET(A$1,,,SUMPRODUCT(MAX(ROW(E$2:E366)*(E366=E$2:E366)))))-COUNTBLANK(OFFSET(A$1,,,SUMPRODUCT(MAX(ROW(E$1:E365)*(E2=E$1:E365))))))</f>
        <v/>
      </c>
      <c r="K366" s="24" t="str">
        <f aca="false">IF(OR(E366="",E366="!!!",F366="NEW"),"",INDEX(J$1:J365,SUMPRODUCT(MAX(ROW(E$1:E365)*(E366=E$1:E365)))))</f>
        <v/>
      </c>
      <c r="L366" s="25"/>
    </row>
    <row r="367" customFormat="false" ht="14.25" hidden="false" customHeight="false" outlineLevel="0" collapsed="false">
      <c r="A367" s="0" t="s">
        <v>376</v>
      </c>
      <c r="E367" s="20" t="str">
        <f aca="false">IF(D367="?OLD","!!!","")</f>
        <v/>
      </c>
      <c r="F367" s="21" t="str">
        <f aca="false">IF(OR(E367="",E367="!!!"),"",IF(NOT(ISNA(VLOOKUP(E367,E$1:E366,1,FALSE()))),"OLD",IF(AND(E367&lt;&gt;"",E367&lt;&gt;"!!!"),"NEW","")))</f>
        <v/>
      </c>
      <c r="G367" s="22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aca="false">IF(J367&lt;&gt;1,"",IF(I367="SBJ","CB","?"))</f>
        <v/>
      </c>
      <c r="I367" s="24" t="str">
        <f aca="false">IF(OR(E367="",E367="!!!",F367="NEW"),"",INDEX(B$2:B366,-1+SUMPRODUCT(MAX(ROW(E$2:E366)*(E367=E$2:E366)))))</f>
        <v/>
      </c>
      <c r="J367" s="24" t="str">
        <f aca="true">IF(OR(E367="",E367="!!!",F367="NEW"),"",COUNTBLANK(OFFSET(A$1,,,SUMPRODUCT(MAX(ROW(E$2:E367)*(E367=E$2:E367)))))-COUNTBLANK(OFFSET(A$1,,,SUMPRODUCT(MAX(ROW(E$1:E366)*(E2=E$1:E366))))))</f>
        <v/>
      </c>
      <c r="K367" s="24" t="str">
        <f aca="false">IF(OR(E367="",E367="!!!",F367="NEW"),"",INDEX(J$1:J366,SUMPRODUCT(MAX(ROW(E$1:E366)*(E367=E$1:E366)))))</f>
        <v/>
      </c>
      <c r="L367" s="25"/>
    </row>
    <row r="368" customFormat="false" ht="14.25" hidden="false" customHeight="false" outlineLevel="0" collapsed="false">
      <c r="A368" s="0" t="s">
        <v>368</v>
      </c>
      <c r="B368" s="26" t="s">
        <v>147</v>
      </c>
      <c r="C368" s="26" t="s">
        <v>105</v>
      </c>
      <c r="E368" s="20" t="s">
        <v>369</v>
      </c>
      <c r="F368" s="21" t="str">
        <f aca="false">IF(OR(E368="",E368="!!!"),"",IF(NOT(ISNA(VLOOKUP(E368,E$1:E367,1,FALSE()))),"OLD",IF(AND(E368&lt;&gt;"",E368&lt;&gt;"!!!"),"NEW","")))</f>
        <v>OLD</v>
      </c>
      <c r="G368" s="22" t="str">
        <f aca="false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?IN_FOCUS</v>
      </c>
      <c r="H368" s="23" t="str">
        <f aca="false">IF(J368&lt;&gt;1,"",IF(I368="SBJ","CB","?"))</f>
        <v/>
      </c>
      <c r="I368" s="24" t="str">
        <f aca="false">IF(OR(E368="",E368="!!!",F368="NEW"),"",INDEX(B$2:B367,-1+SUMPRODUCT(MAX(ROW(E$2:E367)*(E368=E$2:E367)))))</f>
        <v>OBJ_2</v>
      </c>
      <c r="J368" s="28" t="n">
        <f aca="true">IF(OR(E368="",E368="!!!",F368="NEW"),"",COUNTBLANK(OFFSET(A$1,,,SUMPRODUCT(MAX(ROW(E$2:E368)*(E368=E$2:E368)))))-COUNTBLANK(OFFSET(A$1,,,SUMPRODUCT(MAX(ROW(E$1:E367)*(E2=E$1:E367))))))</f>
        <v>0</v>
      </c>
      <c r="K368" s="24" t="str">
        <f aca="false">IF(OR(E368="",E368="!!!",F368="NEW"),"",INDEX(J$1:J367,SUMPRODUCT(MAX(ROW(E$1:E367)*(E368=E$1:E367)))))</f>
        <v/>
      </c>
      <c r="L368" s="27" t="s">
        <v>377</v>
      </c>
    </row>
    <row r="369" customFormat="false" ht="14.25" hidden="false" customHeight="false" outlineLevel="0" collapsed="false">
      <c r="A369" s="0" t="s">
        <v>376</v>
      </c>
      <c r="E369" s="20" t="str">
        <f aca="false">IF(D369="?OLD","!!!","")</f>
        <v/>
      </c>
      <c r="F369" s="21" t="str">
        <f aca="false">IF(OR(E369="",E369="!!!"),"",IF(NOT(ISNA(VLOOKUP(E369,E$1:E368,1,FALSE()))),"OLD",IF(AND(E369&lt;&gt;"",E369&lt;&gt;"!!!"),"NEW","")))</f>
        <v/>
      </c>
      <c r="G369" s="22" t="str">
        <f aca="false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aca="false">IF(J369&lt;&gt;1,"",IF(I369="SBJ","CB","?"))</f>
        <v/>
      </c>
      <c r="I369" s="24" t="str">
        <f aca="false">IF(OR(E369="",E369="!!!",F369="NEW"),"",INDEX(B$2:B368,-1+SUMPRODUCT(MAX(ROW(E$2:E368)*(E369=E$2:E368)))))</f>
        <v/>
      </c>
      <c r="J369" s="24" t="str">
        <f aca="true">IF(OR(E369="",E369="!!!",F369="NEW"),"",COUNTBLANK(OFFSET(A$1,,,SUMPRODUCT(MAX(ROW(E$2:E369)*(E369=E$2:E369)))))-COUNTBLANK(OFFSET(A$1,,,SUMPRODUCT(MAX(ROW(E$1:E368)*(E2=E$1:E368))))))</f>
        <v/>
      </c>
      <c r="K369" s="24" t="str">
        <f aca="false">IF(OR(E369="",E369="!!!",F369="NEW"),"",INDEX(J$1:J368,SUMPRODUCT(MAX(ROW(E$1:E368)*(E369=E$1:E368)))))</f>
        <v/>
      </c>
      <c r="L369" s="25"/>
    </row>
    <row r="370" customFormat="false" ht="14.25" hidden="false" customHeight="false" outlineLevel="0" collapsed="false">
      <c r="A370" s="0" t="s">
        <v>378</v>
      </c>
      <c r="E370" s="20" t="str">
        <f aca="false">IF(D370="?OLD","!!!","")</f>
        <v/>
      </c>
      <c r="F370" s="21" t="str">
        <f aca="false">IF(OR(E370="",E370="!!!"),"",IF(NOT(ISNA(VLOOKUP(E370,E$1:E369,1,FALSE()))),"OLD",IF(AND(E370&lt;&gt;"",E370&lt;&gt;"!!!"),"NEW","")))</f>
        <v/>
      </c>
      <c r="G370" s="22" t="str">
        <f aca="false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aca="false">IF(J370&lt;&gt;1,"",IF(I370="SBJ","CB","?"))</f>
        <v/>
      </c>
      <c r="I370" s="24" t="str">
        <f aca="false">IF(OR(E370="",E370="!!!",F370="NEW"),"",INDEX(B$2:B369,-1+SUMPRODUCT(MAX(ROW(E$2:E369)*(E370=E$2:E369)))))</f>
        <v/>
      </c>
      <c r="J370" s="24" t="str">
        <f aca="true">IF(OR(E370="",E370="!!!",F370="NEW"),"",COUNTBLANK(OFFSET(A$1,,,SUMPRODUCT(MAX(ROW(E$2:E370)*(E370=E$2:E370)))))-COUNTBLANK(OFFSET(A$1,,,SUMPRODUCT(MAX(ROW(E$1:E369)*(E2=E$1:E369))))))</f>
        <v/>
      </c>
      <c r="K370" s="24" t="str">
        <f aca="false">IF(OR(E370="",E370="!!!",F370="NEW"),"",INDEX(J$1:J369,SUMPRODUCT(MAX(ROW(E$1:E369)*(E370=E$1:E369)))))</f>
        <v/>
      </c>
      <c r="L370" s="25"/>
    </row>
    <row r="371" customFormat="false" ht="14.25" hidden="false" customHeight="false" outlineLevel="0" collapsed="false">
      <c r="A371" s="0" t="s">
        <v>379</v>
      </c>
      <c r="B371" s="26" t="s">
        <v>96</v>
      </c>
      <c r="C371" s="26" t="s">
        <v>105</v>
      </c>
      <c r="E371" s="20" t="str">
        <f aca="false">IF(D371="?OLD","!!!","")</f>
        <v/>
      </c>
      <c r="F371" s="21" t="str">
        <f aca="false">IF(OR(E371="",E371="!!!"),"",IF(NOT(ISNA(VLOOKUP(E371,E$1:E370,1,FALSE()))),"OLD",IF(AND(E371&lt;&gt;"",E371&lt;&gt;"!!!"),"NEW","")))</f>
        <v/>
      </c>
      <c r="G371" s="22" t="str">
        <f aca="false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aca="false">IF(J371&lt;&gt;1,"",IF(I371="SBJ","CB","?"))</f>
        <v/>
      </c>
      <c r="I371" s="24" t="str">
        <f aca="false">IF(OR(E371="",E371="!!!",F371="NEW"),"",INDEX(B$2:B370,-1+SUMPRODUCT(MAX(ROW(E$2:E370)*(E371=E$2:E370)))))</f>
        <v/>
      </c>
      <c r="J371" s="24" t="str">
        <f aca="true">IF(OR(E371="",E371="!!!",F371="NEW"),"",COUNTBLANK(OFFSET(A$1,,,SUMPRODUCT(MAX(ROW(E$2:E371)*(E371=E$2:E371)))))-COUNTBLANK(OFFSET(A$1,,,SUMPRODUCT(MAX(ROW(E$1:E370)*(E2=E$1:E370))))))</f>
        <v/>
      </c>
      <c r="K371" s="24" t="str">
        <f aca="false">IF(OR(E371="",E371="!!!",F371="NEW"),"",INDEX(J$1:J370,SUMPRODUCT(MAX(ROW(E$1:E370)*(E371=E$1:E370)))))</f>
        <v/>
      </c>
      <c r="L371" s="25"/>
    </row>
    <row r="372" customFormat="false" ht="14.25" hidden="false" customHeight="false" outlineLevel="0" collapsed="false">
      <c r="A372" s="0" t="s">
        <v>101</v>
      </c>
      <c r="E372" s="20" t="str">
        <f aca="false">IF(D372="?OLD","!!!","")</f>
        <v/>
      </c>
      <c r="F372" s="21" t="str">
        <f aca="false">IF(OR(E372="",E372="!!!"),"",IF(NOT(ISNA(VLOOKUP(E372,E$1:E371,1,FALSE()))),"OLD",IF(AND(E372&lt;&gt;"",E372&lt;&gt;"!!!"),"NEW","")))</f>
        <v/>
      </c>
      <c r="G372" s="22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aca="false">IF(J372&lt;&gt;1,"",IF(I372="SBJ","CB","?"))</f>
        <v/>
      </c>
      <c r="I372" s="24" t="str">
        <f aca="false">IF(OR(E372="",E372="!!!",F372="NEW"),"",INDEX(B$2:B371,-1+SUMPRODUCT(MAX(ROW(E$2:E371)*(E372=E$2:E371)))))</f>
        <v/>
      </c>
      <c r="J372" s="24" t="str">
        <f aca="true">IF(OR(E372="",E372="!!!",F372="NEW"),"",COUNTBLANK(OFFSET(A$1,,,SUMPRODUCT(MAX(ROW(E$2:E372)*(E372=E$2:E372)))))-COUNTBLANK(OFFSET(A$1,,,SUMPRODUCT(MAX(ROW(E$1:E371)*(E2=E$1:E371))))))</f>
        <v/>
      </c>
      <c r="K372" s="24" t="str">
        <f aca="false">IF(OR(E372="",E372="!!!",F372="NEW"),"",INDEX(J$1:J371,SUMPRODUCT(MAX(ROW(E$1:E371)*(E372=E$1:E371)))))</f>
        <v/>
      </c>
      <c r="L372" s="25"/>
    </row>
    <row r="373" customFormat="false" ht="14.25" hidden="false" customHeight="false" outlineLevel="0" collapsed="false">
      <c r="A373" s="0" t="s">
        <v>380</v>
      </c>
      <c r="B373" s="26" t="s">
        <v>147</v>
      </c>
      <c r="C373" s="26" t="s">
        <v>105</v>
      </c>
      <c r="E373" s="20" t="str">
        <f aca="false">IF(D373="?OLD","!!!","")</f>
        <v/>
      </c>
      <c r="F373" s="21" t="str">
        <f aca="false">IF(OR(E373="",E373="!!!"),"",IF(NOT(ISNA(VLOOKUP(E373,E$1:E372,1,FALSE()))),"OLD",IF(AND(E373&lt;&gt;"",E373&lt;&gt;"!!!"),"NEW","")))</f>
        <v/>
      </c>
      <c r="G373" s="22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aca="false">IF(J373&lt;&gt;1,"",IF(I373="SBJ","CB","?"))</f>
        <v/>
      </c>
      <c r="I373" s="24" t="str">
        <f aca="false">IF(OR(E373="",E373="!!!",F373="NEW"),"",INDEX(B$2:B372,-1+SUMPRODUCT(MAX(ROW(E$2:E372)*(E373=E$2:E372)))))</f>
        <v/>
      </c>
      <c r="J373" s="24" t="str">
        <f aca="true">IF(OR(E373="",E373="!!!",F373="NEW"),"",COUNTBLANK(OFFSET(A$1,,,SUMPRODUCT(MAX(ROW(E$2:E373)*(E373=E$2:E373)))))-COUNTBLANK(OFFSET(A$1,,,SUMPRODUCT(MAX(ROW(E$1:E372)*(E2=E$1:E372))))))</f>
        <v/>
      </c>
      <c r="K373" s="24" t="str">
        <f aca="false">IF(OR(E373="",E373="!!!",F373="NEW"),"",INDEX(J$1:J372,SUMPRODUCT(MAX(ROW(E$1:E372)*(E373=E$1:E372)))))</f>
        <v/>
      </c>
      <c r="L373" s="25"/>
    </row>
    <row r="374" customFormat="false" ht="14.25" hidden="false" customHeight="false" outlineLevel="0" collapsed="false">
      <c r="A374" s="0" t="s">
        <v>101</v>
      </c>
      <c r="E374" s="20" t="str">
        <f aca="false">IF(D374="?OLD","!!!","")</f>
        <v/>
      </c>
      <c r="F374" s="21" t="str">
        <f aca="false">IF(OR(E374="",E374="!!!"),"",IF(NOT(ISNA(VLOOKUP(E374,E$1:E373,1,FALSE()))),"OLD",IF(AND(E374&lt;&gt;"",E374&lt;&gt;"!!!"),"NEW","")))</f>
        <v/>
      </c>
      <c r="G374" s="22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aca="false">IF(J374&lt;&gt;1,"",IF(I374="SBJ","CB","?"))</f>
        <v/>
      </c>
      <c r="I374" s="24" t="str">
        <f aca="false">IF(OR(E374="",E374="!!!",F374="NEW"),"",INDEX(B$2:B373,-1+SUMPRODUCT(MAX(ROW(E$2:E373)*(E374=E$2:E373)))))</f>
        <v/>
      </c>
      <c r="J374" s="24" t="str">
        <f aca="true">IF(OR(E374="",E374="!!!",F374="NEW"),"",COUNTBLANK(OFFSET(A$1,,,SUMPRODUCT(MAX(ROW(E$2:E374)*(E374=E$2:E374)))))-COUNTBLANK(OFFSET(A$1,,,SUMPRODUCT(MAX(ROW(E$1:E373)*(E2=E$1:E373))))))</f>
        <v/>
      </c>
      <c r="K374" s="24" t="str">
        <f aca="false">IF(OR(E374="",E374="!!!",F374="NEW"),"",INDEX(J$1:J373,SUMPRODUCT(MAX(ROW(E$1:E373)*(E374=E$1:E373)))))</f>
        <v/>
      </c>
      <c r="L374" s="25"/>
    </row>
    <row r="375" customFormat="false" ht="14.25" hidden="false" customHeight="false" outlineLevel="0" collapsed="false">
      <c r="A375" s="0" t="s">
        <v>381</v>
      </c>
      <c r="B375" s="26" t="s">
        <v>147</v>
      </c>
      <c r="C375" s="26" t="s">
        <v>105</v>
      </c>
      <c r="E375" s="20" t="str">
        <f aca="false">IF(D375="?OLD","!!!","")</f>
        <v/>
      </c>
      <c r="F375" s="21" t="str">
        <f aca="false">IF(OR(E375="",E375="!!!"),"",IF(NOT(ISNA(VLOOKUP(E375,E$1:E374,1,FALSE()))),"OLD",IF(AND(E375&lt;&gt;"",E375&lt;&gt;"!!!"),"NEW","")))</f>
        <v/>
      </c>
      <c r="G375" s="22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aca="false">IF(J375&lt;&gt;1,"",IF(I375="SBJ","CB","?"))</f>
        <v/>
      </c>
      <c r="I375" s="24" t="str">
        <f aca="false">IF(OR(E375="",E375="!!!",F375="NEW"),"",INDEX(B$2:B374,-1+SUMPRODUCT(MAX(ROW(E$2:E374)*(E375=E$2:E374)))))</f>
        <v/>
      </c>
      <c r="J375" s="24" t="str">
        <f aca="true">IF(OR(E375="",E375="!!!",F375="NEW"),"",COUNTBLANK(OFFSET(A$1,,,SUMPRODUCT(MAX(ROW(E$2:E375)*(E375=E$2:E375)))))-COUNTBLANK(OFFSET(A$1,,,SUMPRODUCT(MAX(ROW(E$1:E374)*(E2=E$1:E374))))))</f>
        <v/>
      </c>
      <c r="K375" s="24" t="str">
        <f aca="false">IF(OR(E375="",E375="!!!",F375="NEW"),"",INDEX(J$1:J374,SUMPRODUCT(MAX(ROW(E$1:E374)*(E375=E$1:E374)))))</f>
        <v/>
      </c>
      <c r="L375" s="25"/>
    </row>
    <row r="376" customFormat="false" ht="14.25" hidden="false" customHeight="false" outlineLevel="0" collapsed="false">
      <c r="A376" s="0" t="s">
        <v>142</v>
      </c>
      <c r="E376" s="20" t="str">
        <f aca="false">IF(D376="?OLD","!!!","")</f>
        <v/>
      </c>
      <c r="F376" s="21" t="str">
        <f aca="false">IF(OR(E376="",E376="!!!"),"",IF(NOT(ISNA(VLOOKUP(E376,E$1:E375,1,FALSE()))),"OLD",IF(AND(E376&lt;&gt;"",E376&lt;&gt;"!!!"),"NEW","")))</f>
        <v/>
      </c>
      <c r="G376" s="22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aca="false">IF(J376&lt;&gt;1,"",IF(I376="SBJ","CB","?"))</f>
        <v/>
      </c>
      <c r="I376" s="24" t="str">
        <f aca="false">IF(OR(E376="",E376="!!!",F376="NEW"),"",INDEX(B$2:B375,-1+SUMPRODUCT(MAX(ROW(E$2:E375)*(E376=E$2:E375)))))</f>
        <v/>
      </c>
      <c r="J376" s="24" t="str">
        <f aca="true">IF(OR(E376="",E376="!!!",F376="NEW"),"",COUNTBLANK(OFFSET(A$1,,,SUMPRODUCT(MAX(ROW(E$2:E376)*(E376=E$2:E376)))))-COUNTBLANK(OFFSET(A$1,,,SUMPRODUCT(MAX(ROW(E$1:E375)*(E2=E$1:E375))))))</f>
        <v/>
      </c>
      <c r="K376" s="24" t="str">
        <f aca="false">IF(OR(E376="",E376="!!!",F376="NEW"),"",INDEX(J$1:J375,SUMPRODUCT(MAX(ROW(E$1:E375)*(E376=E$1:E375)))))</f>
        <v/>
      </c>
      <c r="L376" s="25"/>
    </row>
    <row r="377" customFormat="false" ht="14.25" hidden="false" customHeight="false" outlineLevel="0" collapsed="false">
      <c r="A377" s="0" t="s">
        <v>382</v>
      </c>
      <c r="B377" s="26" t="s">
        <v>147</v>
      </c>
      <c r="C377" s="26" t="s">
        <v>105</v>
      </c>
      <c r="E377" s="20" t="str">
        <f aca="false">IF(D377="?OLD","!!!","")</f>
        <v/>
      </c>
      <c r="F377" s="21" t="str">
        <f aca="false">IF(OR(E377="",E377="!!!"),"",IF(NOT(ISNA(VLOOKUP(E377,E$1:E376,1,FALSE()))),"OLD",IF(AND(E377&lt;&gt;"",E377&lt;&gt;"!!!"),"NEW","")))</f>
        <v/>
      </c>
      <c r="G377" s="22" t="str">
        <f aca="false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aca="false">IF(J377&lt;&gt;1,"",IF(I377="SBJ","CB","?"))</f>
        <v/>
      </c>
      <c r="I377" s="24" t="str">
        <f aca="false">IF(OR(E377="",E377="!!!",F377="NEW"),"",INDEX(B$2:B376,-1+SUMPRODUCT(MAX(ROW(E$2:E376)*(E377=E$2:E376)))))</f>
        <v/>
      </c>
      <c r="J377" s="24" t="str">
        <f aca="true">IF(OR(E377="",E377="!!!",F377="NEW"),"",COUNTBLANK(OFFSET(A$1,,,SUMPRODUCT(MAX(ROW(E$2:E377)*(E377=E$2:E377)))))-COUNTBLANK(OFFSET(A$1,,,SUMPRODUCT(MAX(ROW(E$1:E376)*(E2=E$1:E376))))))</f>
        <v/>
      </c>
      <c r="K377" s="24" t="str">
        <f aca="false">IF(OR(E377="",E377="!!!",F377="NEW"),"",INDEX(J$1:J376,SUMPRODUCT(MAX(ROW(E$1:E376)*(E377=E$1:E376)))))</f>
        <v/>
      </c>
      <c r="L377" s="25"/>
    </row>
    <row r="378" customFormat="false" ht="14.25" hidden="false" customHeight="false" outlineLevel="0" collapsed="false">
      <c r="A378" s="0" t="s">
        <v>101</v>
      </c>
      <c r="E378" s="20" t="str">
        <f aca="false">IF(D378="?OLD","!!!","")</f>
        <v/>
      </c>
      <c r="F378" s="21" t="str">
        <f aca="false">IF(OR(E378="",E378="!!!"),"",IF(NOT(ISNA(VLOOKUP(E378,E$1:E377,1,FALSE()))),"OLD",IF(AND(E378&lt;&gt;"",E378&lt;&gt;"!!!"),"NEW","")))</f>
        <v/>
      </c>
      <c r="G378" s="22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aca="false">IF(J378&lt;&gt;1,"",IF(I378="SBJ","CB","?"))</f>
        <v/>
      </c>
      <c r="I378" s="24" t="str">
        <f aca="false">IF(OR(E378="",E378="!!!",F378="NEW"),"",INDEX(B$2:B377,-1+SUMPRODUCT(MAX(ROW(E$2:E377)*(E378=E$2:E377)))))</f>
        <v/>
      </c>
      <c r="J378" s="24" t="str">
        <f aca="true">IF(OR(E378="",E378="!!!",F378="NEW"),"",COUNTBLANK(OFFSET(A$1,,,SUMPRODUCT(MAX(ROW(E$2:E378)*(E378=E$2:E378)))))-COUNTBLANK(OFFSET(A$1,,,SUMPRODUCT(MAX(ROW(E$1:E377)*(E2=E$1:E377))))))</f>
        <v/>
      </c>
      <c r="K378" s="24" t="str">
        <f aca="false">IF(OR(E378="",E378="!!!",F378="NEW"),"",INDEX(J$1:J377,SUMPRODUCT(MAX(ROW(E$1:E377)*(E378=E$1:E377)))))</f>
        <v/>
      </c>
      <c r="L378" s="25"/>
    </row>
    <row r="379" customFormat="false" ht="14.25" hidden="false" customHeight="false" outlineLevel="0" collapsed="false">
      <c r="A379" s="0" t="s">
        <v>383</v>
      </c>
      <c r="E379" s="20" t="str">
        <f aca="false">IF(D379="?OLD","!!!","")</f>
        <v/>
      </c>
      <c r="F379" s="21" t="str">
        <f aca="false">IF(OR(E379="",E379="!!!"),"",IF(NOT(ISNA(VLOOKUP(E379,E$1:E378,1,FALSE()))),"OLD",IF(AND(E379&lt;&gt;"",E379&lt;&gt;"!!!"),"NEW","")))</f>
        <v/>
      </c>
      <c r="G379" s="22" t="str">
        <f aca="false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aca="false">IF(J379&lt;&gt;1,"",IF(I379="SBJ","CB","?"))</f>
        <v/>
      </c>
      <c r="I379" s="24" t="str">
        <f aca="false">IF(OR(E379="",E379="!!!",F379="NEW"),"",INDEX(B$2:B378,-1+SUMPRODUCT(MAX(ROW(E$2:E378)*(E379=E$2:E378)))))</f>
        <v/>
      </c>
      <c r="J379" s="24" t="str">
        <f aca="true">IF(OR(E379="",E379="!!!",F379="NEW"),"",COUNTBLANK(OFFSET(A$1,,,SUMPRODUCT(MAX(ROW(E$2:E379)*(E379=E$2:E379)))))-COUNTBLANK(OFFSET(A$1,,,SUMPRODUCT(MAX(ROW(E$1:E378)*(E2=E$1:E378))))))</f>
        <v/>
      </c>
      <c r="K379" s="24" t="str">
        <f aca="false">IF(OR(E379="",E379="!!!",F379="NEW"),"",INDEX(J$1:J378,SUMPRODUCT(MAX(ROW(E$1:E378)*(E379=E$1:E378)))))</f>
        <v/>
      </c>
      <c r="L379" s="25"/>
    </row>
    <row r="380" customFormat="false" ht="14.25" hidden="false" customHeight="false" outlineLevel="0" collapsed="false">
      <c r="A380" s="0" t="s">
        <v>172</v>
      </c>
      <c r="E380" s="20" t="str">
        <f aca="false">IF(D380="?OLD","!!!","")</f>
        <v/>
      </c>
      <c r="F380" s="21" t="str">
        <f aca="false">IF(OR(E380="",E380="!!!"),"",IF(NOT(ISNA(VLOOKUP(E380,E$1:E379,1,FALSE()))),"OLD",IF(AND(E380&lt;&gt;"",E380&lt;&gt;"!!!"),"NEW","")))</f>
        <v/>
      </c>
      <c r="G380" s="22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aca="false">IF(J380&lt;&gt;1,"",IF(I380="SBJ","CB","?"))</f>
        <v/>
      </c>
      <c r="I380" s="24" t="str">
        <f aca="false">IF(OR(E380="",E380="!!!",F380="NEW"),"",INDEX(B$2:B379,-1+SUMPRODUCT(MAX(ROW(E$2:E379)*(E380=E$2:E379)))))</f>
        <v/>
      </c>
      <c r="J380" s="24" t="str">
        <f aca="true">IF(OR(E380="",E380="!!!",F380="NEW"),"",COUNTBLANK(OFFSET(A$1,,,SUMPRODUCT(MAX(ROW(E$2:E380)*(E380=E$2:E380)))))-COUNTBLANK(OFFSET(A$1,,,SUMPRODUCT(MAX(ROW(E$1:E379)*(E2=E$1:E379))))))</f>
        <v/>
      </c>
      <c r="K380" s="24" t="str">
        <f aca="false">IF(OR(E380="",E380="!!!",F380="NEW"),"",INDEX(J$1:J379,SUMPRODUCT(MAX(ROW(E$1:E379)*(E380=E$1:E379)))))</f>
        <v/>
      </c>
      <c r="L380" s="25"/>
    </row>
    <row r="381" customFormat="false" ht="14.25" hidden="false" customHeight="false" outlineLevel="0" collapsed="false">
      <c r="A381" s="0" t="s">
        <v>136</v>
      </c>
      <c r="E381" s="20" t="str">
        <f aca="false">IF(D381="?OLD","!!!","")</f>
        <v/>
      </c>
      <c r="F381" s="21" t="str">
        <f aca="false">IF(OR(E381="",E381="!!!"),"",IF(NOT(ISNA(VLOOKUP(E381,E$1:E380,1,FALSE()))),"OLD",IF(AND(E381&lt;&gt;"",E381&lt;&gt;"!!!"),"NEW","")))</f>
        <v/>
      </c>
      <c r="G381" s="22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aca="false">IF(J381&lt;&gt;1,"",IF(I381="SBJ","CB","?"))</f>
        <v/>
      </c>
      <c r="I381" s="24" t="str">
        <f aca="false">IF(OR(E381="",E381="!!!",F381="NEW"),"",INDEX(B$2:B380,-1+SUMPRODUCT(MAX(ROW(E$2:E380)*(E381=E$2:E380)))))</f>
        <v/>
      </c>
      <c r="J381" s="24" t="str">
        <f aca="true">IF(OR(E381="",E381="!!!",F381="NEW"),"",COUNTBLANK(OFFSET(A$1,,,SUMPRODUCT(MAX(ROW(E$2:E381)*(E381=E$2:E381)))))-COUNTBLANK(OFFSET(A$1,,,SUMPRODUCT(MAX(ROW(E$1:E380)*(E2=E$1:E380))))))</f>
        <v/>
      </c>
      <c r="K381" s="24" t="str">
        <f aca="false">IF(OR(E381="",E381="!!!",F381="NEW"),"",INDEX(J$1:J380,SUMPRODUCT(MAX(ROW(E$1:E380)*(E381=E$1:E380)))))</f>
        <v/>
      </c>
      <c r="L381" s="25"/>
    </row>
    <row r="382" customFormat="false" ht="14.25" hidden="false" customHeight="false" outlineLevel="0" collapsed="false">
      <c r="A382" s="0" t="s">
        <v>384</v>
      </c>
      <c r="E382" s="20" t="str">
        <f aca="false">IF(D382="?OLD","!!!","")</f>
        <v/>
      </c>
      <c r="F382" s="21" t="str">
        <f aca="false">IF(OR(E382="",E382="!!!"),"",IF(NOT(ISNA(VLOOKUP(E382,E$1:E381,1,FALSE()))),"OLD",IF(AND(E382&lt;&gt;"",E382&lt;&gt;"!!!"),"NEW","")))</f>
        <v/>
      </c>
      <c r="G382" s="22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aca="false">IF(J382&lt;&gt;1,"",IF(I382="SBJ","CB","?"))</f>
        <v/>
      </c>
      <c r="I382" s="24" t="str">
        <f aca="false">IF(OR(E382="",E382="!!!",F382="NEW"),"",INDEX(B$2:B381,-1+SUMPRODUCT(MAX(ROW(E$2:E381)*(E382=E$2:E381)))))</f>
        <v/>
      </c>
      <c r="J382" s="24" t="str">
        <f aca="true">IF(OR(E382="",E382="!!!",F382="NEW"),"",COUNTBLANK(OFFSET(A$1,,,SUMPRODUCT(MAX(ROW(E$2:E382)*(E382=E$2:E382)))))-COUNTBLANK(OFFSET(A$1,,,SUMPRODUCT(MAX(ROW(E$1:E381)*(E2=E$1:E381))))))</f>
        <v/>
      </c>
      <c r="K382" s="24" t="str">
        <f aca="false">IF(OR(E382="",E382="!!!",F382="NEW"),"",INDEX(J$1:J381,SUMPRODUCT(MAX(ROW(E$1:E381)*(E382=E$1:E381)))))</f>
        <v/>
      </c>
      <c r="L382" s="25"/>
    </row>
    <row r="383" customFormat="false" ht="14.25" hidden="false" customHeight="false" outlineLevel="0" collapsed="false">
      <c r="A383" s="0" t="s">
        <v>385</v>
      </c>
      <c r="B383" s="26" t="s">
        <v>147</v>
      </c>
      <c r="C383" s="26" t="s">
        <v>74</v>
      </c>
      <c r="D383" s="26" t="s">
        <v>75</v>
      </c>
      <c r="E383" s="20" t="s">
        <v>386</v>
      </c>
      <c r="F383" s="21" t="s">
        <v>186</v>
      </c>
      <c r="G383" s="22" t="str">
        <f aca="false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?REFERENTIAL</v>
      </c>
      <c r="H383" s="23" t="str">
        <f aca="false">IF(J383&lt;&gt;1,"",IF(I383="SBJ","CB","?"))</f>
        <v/>
      </c>
      <c r="I383" s="24" t="str">
        <f aca="false">IF(OR(E383="",E383="!!!",F383="NEW"),"",INDEX(B$2:B382,-1+SUMPRODUCT(MAX(ROW(E$2:E382)*(E383=E$2:E382)))))</f>
        <v/>
      </c>
      <c r="J383" s="24" t="str">
        <f aca="true">IF(OR(E383="",E383="!!!",F383="NEW"),"",COUNTBLANK(OFFSET(A$1,,,SUMPRODUCT(MAX(ROW(E$2:E383)*(E383=E$2:E383)))))-COUNTBLANK(OFFSET(A$1,,,SUMPRODUCT(MAX(ROW(E$1:E382)*(E2=E$1:E382))))))</f>
        <v/>
      </c>
      <c r="K383" s="24" t="str">
        <f aca="false">IF(OR(E383="",E383="!!!",F383="NEW"),"",INDEX(J$1:J382,SUMPRODUCT(MAX(ROW(E$1:E382)*(E383=E$1:E382)))))</f>
        <v/>
      </c>
      <c r="L383" s="27" t="s">
        <v>387</v>
      </c>
    </row>
    <row r="384" customFormat="false" ht="14.25" hidden="false" customHeight="false" outlineLevel="0" collapsed="false">
      <c r="A384" s="0" t="s">
        <v>328</v>
      </c>
      <c r="E384" s="20" t="str">
        <f aca="false">IF(D384="?OLD","!!!","")</f>
        <v/>
      </c>
      <c r="F384" s="21" t="str">
        <f aca="false">IF(OR(E384="",E384="!!!"),"",IF(NOT(ISNA(VLOOKUP(E384,E$1:E383,1,FALSE()))),"OLD",IF(AND(E384&lt;&gt;"",E384&lt;&gt;"!!!"),"NEW","")))</f>
        <v/>
      </c>
      <c r="G384" s="22" t="str">
        <f aca="false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aca="false">IF(J384&lt;&gt;1,"",IF(I384="SBJ","CB","?"))</f>
        <v/>
      </c>
      <c r="I384" s="24" t="str">
        <f aca="false">IF(OR(E384="",E384="!!!",F384="NEW"),"",INDEX(B$2:B383,-1+SUMPRODUCT(MAX(ROW(E$2:E383)*(E384=E$2:E383)))))</f>
        <v/>
      </c>
      <c r="J384" s="24" t="str">
        <f aca="true">IF(OR(E384="",E384="!!!",F384="NEW"),"",COUNTBLANK(OFFSET(A$1,,,SUMPRODUCT(MAX(ROW(E$2:E384)*(E384=E$2:E384)))))-COUNTBLANK(OFFSET(A$1,,,SUMPRODUCT(MAX(ROW(E$1:E383)*(E2=E$1:E383))))))</f>
        <v/>
      </c>
      <c r="K384" s="24" t="str">
        <f aca="false">IF(OR(E384="",E384="!!!",F384="NEW"),"",INDEX(J$1:J383,SUMPRODUCT(MAX(ROW(E$1:E383)*(E384=E$1:E383)))))</f>
        <v/>
      </c>
      <c r="L384" s="25"/>
    </row>
    <row r="385" customFormat="false" ht="14.25" hidden="false" customHeight="false" outlineLevel="0" collapsed="false">
      <c r="A385" s="0" t="s">
        <v>251</v>
      </c>
      <c r="B385" s="26" t="s">
        <v>115</v>
      </c>
      <c r="C385" s="26" t="s">
        <v>283</v>
      </c>
      <c r="D385" s="26" t="s">
        <v>75</v>
      </c>
      <c r="E385" s="20" t="s">
        <v>252</v>
      </c>
      <c r="F385" s="21" t="str">
        <f aca="false">IF(OR(E385="",E385="!!!"),"",IF(NOT(ISNA(VLOOKUP(E385,E$1:E384,1,FALSE()))),"OLD",IF(AND(E385&lt;&gt;"",E385&lt;&gt;"!!!"),"NEW","")))</f>
        <v>OLD</v>
      </c>
      <c r="G385" s="22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?IN_FOCUS</v>
      </c>
      <c r="H385" s="23" t="str">
        <f aca="false">IF(J385&lt;&gt;1,"",IF(I385="SBJ","CB","?"))</f>
        <v/>
      </c>
      <c r="I385" s="24" t="str">
        <f aca="false">IF(OR(E385="",E385="!!!",F385="NEW"),"",INDEX(B$2:B384,-1+SUMPRODUCT(MAX(ROW(E$2:E384)*(E385=E$2:E384)))))</f>
        <v>SBJ_2</v>
      </c>
      <c r="J385" s="24" t="n">
        <f aca="true">IF(OR(E385="",E385="!!!",F385="NEW"),"",COUNTBLANK(OFFSET(A$1,,,SUMPRODUCT(MAX(ROW(E$2:E385)*(E385=E$2:E385)))))-COUNTBLANK(OFFSET(A$1,,,SUMPRODUCT(MAX(ROW(E$1:E384)*(E2=E$1:E384))))))</f>
        <v>0</v>
      </c>
      <c r="K385" s="24" t="n">
        <f aca="false">IF(OR(E385="",E385="!!!",F385="NEW"),"",INDEX(J$1:J384,SUMPRODUCT(MAX(ROW(E$1:E384)*(E385=E$1:E384)))))</f>
        <v>0</v>
      </c>
      <c r="L385" s="25"/>
    </row>
    <row r="386" customFormat="false" ht="14.25" hidden="false" customHeight="false" outlineLevel="0" collapsed="false">
      <c r="A386" s="0" t="s">
        <v>86</v>
      </c>
      <c r="E386" s="20" t="str">
        <f aca="false">IF(D386="?OLD","!!!","")</f>
        <v/>
      </c>
      <c r="F386" s="21" t="str">
        <f aca="false">IF(OR(E386="",E386="!!!"),"",IF(NOT(ISNA(VLOOKUP(E386,E$1:E385,1,FALSE()))),"OLD",IF(AND(E386&lt;&gt;"",E386&lt;&gt;"!!!"),"NEW","")))</f>
        <v/>
      </c>
      <c r="G386" s="22" t="str">
        <f aca="false"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aca="false">IF(J386&lt;&gt;1,"",IF(I386="SBJ","CB","?"))</f>
        <v/>
      </c>
      <c r="I386" s="24" t="str">
        <f aca="false">IF(OR(E386="",E386="!!!",F386="NEW"),"",INDEX(B$2:B385,-1+SUMPRODUCT(MAX(ROW(E$2:E385)*(E386=E$2:E385)))))</f>
        <v/>
      </c>
      <c r="J386" s="24" t="str">
        <f aca="true">IF(OR(E386="",E386="!!!",F386="NEW"),"",COUNTBLANK(OFFSET(A$1,,,SUMPRODUCT(MAX(ROW(E$2:E386)*(E386=E$2:E386)))))-COUNTBLANK(OFFSET(A$1,,,SUMPRODUCT(MAX(ROW(E$1:E385)*(E2=E$1:E385))))))</f>
        <v/>
      </c>
      <c r="K386" s="24" t="str">
        <f aca="false">IF(OR(E386="",E386="!!!",F386="NEW"),"",INDEX(J$1:J385,SUMPRODUCT(MAX(ROW(E$1:E385)*(E386=E$1:E385)))))</f>
        <v/>
      </c>
      <c r="L386" s="25"/>
    </row>
    <row r="387" customFormat="false" ht="14.25" hidden="false" customHeight="false" outlineLevel="0" collapsed="false">
      <c r="A387" s="0" t="s">
        <v>376</v>
      </c>
      <c r="E387" s="20" t="str">
        <f aca="false">IF(D387="?OLD","!!!","")</f>
        <v/>
      </c>
      <c r="F387" s="21" t="str">
        <f aca="false">IF(OR(E387="",E387="!!!"),"",IF(NOT(ISNA(VLOOKUP(E387,E$1:E386,1,FALSE()))),"OLD",IF(AND(E387&lt;&gt;"",E387&lt;&gt;"!!!"),"NEW","")))</f>
        <v/>
      </c>
      <c r="G387" s="22" t="str">
        <f aca="false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aca="false">IF(J387&lt;&gt;1,"",IF(I387="SBJ","CB","?"))</f>
        <v/>
      </c>
      <c r="I387" s="24" t="str">
        <f aca="false">IF(OR(E387="",E387="!!!",F387="NEW"),"",INDEX(B$2:B386,-1+SUMPRODUCT(MAX(ROW(E$2:E386)*(E387=E$2:E386)))))</f>
        <v/>
      </c>
      <c r="J387" s="24" t="str">
        <f aca="true">IF(OR(E387="",E387="!!!",F387="NEW"),"",COUNTBLANK(OFFSET(A$1,,,SUMPRODUCT(MAX(ROW(E$2:E387)*(E387=E$2:E387)))))-COUNTBLANK(OFFSET(A$1,,,SUMPRODUCT(MAX(ROW(E$1:E386)*(E2=E$1:E386))))))</f>
        <v/>
      </c>
      <c r="K387" s="24" t="str">
        <f aca="false">IF(OR(E387="",E387="!!!",F387="NEW"),"",INDEX(J$1:J386,SUMPRODUCT(MAX(ROW(E$1:E386)*(E387=E$1:E386)))))</f>
        <v/>
      </c>
      <c r="L387" s="25"/>
    </row>
    <row r="388" customFormat="false" ht="14.25" hidden="false" customHeight="false" outlineLevel="0" collapsed="false">
      <c r="A388" s="0" t="s">
        <v>371</v>
      </c>
      <c r="B388" s="26" t="s">
        <v>147</v>
      </c>
      <c r="C388" s="26" t="s">
        <v>283</v>
      </c>
      <c r="D388" s="26" t="s">
        <v>75</v>
      </c>
      <c r="E388" s="20" t="s">
        <v>372</v>
      </c>
      <c r="F388" s="21" t="str">
        <f aca="false">IF(OR(E388="",E388="!!!"),"",IF(NOT(ISNA(VLOOKUP(E388,E$1:E387,1,FALSE()))),"OLD",IF(AND(E388&lt;&gt;"",E388&lt;&gt;"!!!"),"NEW","")))</f>
        <v>OLD</v>
      </c>
      <c r="G388" s="22" t="str">
        <f aca="false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?IN_FOCUS</v>
      </c>
      <c r="H388" s="23" t="str">
        <f aca="false">IF(J388&lt;&gt;1,"",IF(I388="SBJ","CB","?"))</f>
        <v/>
      </c>
      <c r="I388" s="24" t="str">
        <f aca="false">IF(OR(E388="",E388="!!!",F388="NEW"),"",INDEX(B$2:B387,-1+SUMPRODUCT(MAX(ROW(E$2:E387)*(E388=E$2:E387)))))</f>
        <v>other_3</v>
      </c>
      <c r="J388" s="28" t="n">
        <f aca="true">IF(OR(E388="",E388="!!!",F388="NEW"),"",COUNTBLANK(OFFSET(A$1,,,SUMPRODUCT(MAX(ROW(E$2:E388)*(E388=E$2:E388)))))-COUNTBLANK(OFFSET(A$1,,,SUMPRODUCT(MAX(ROW(E$1:E387)*(E2=E$1:E387))))))</f>
        <v>0</v>
      </c>
      <c r="K388" s="24" t="str">
        <f aca="false">IF(OR(E388="",E388="!!!",F388="NEW"),"",INDEX(J$1:J387,SUMPRODUCT(MAX(ROW(E$1:E387)*(E388=E$1:E387)))))</f>
        <v/>
      </c>
      <c r="L388" s="25"/>
    </row>
    <row r="389" customFormat="false" ht="14.25" hidden="false" customHeight="false" outlineLevel="0" collapsed="false">
      <c r="A389" s="0" t="s">
        <v>376</v>
      </c>
      <c r="E389" s="20" t="str">
        <f aca="false">IF(D389="?OLD","!!!","")</f>
        <v/>
      </c>
      <c r="F389" s="21" t="str">
        <f aca="false">IF(OR(E389="",E389="!!!"),"",IF(NOT(ISNA(VLOOKUP(E389,E$1:E388,1,FALSE()))),"OLD",IF(AND(E389&lt;&gt;"",E389&lt;&gt;"!!!"),"NEW","")))</f>
        <v/>
      </c>
      <c r="G389" s="22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aca="false">IF(J389&lt;&gt;1,"",IF(I389="SBJ","CB","?"))</f>
        <v/>
      </c>
      <c r="I389" s="24" t="str">
        <f aca="false">IF(OR(E389="",E389="!!!",F389="NEW"),"",INDEX(B$2:B388,-1+SUMPRODUCT(MAX(ROW(E$2:E388)*(E389=E$2:E388)))))</f>
        <v/>
      </c>
      <c r="J389" s="24" t="str">
        <f aca="true">IF(OR(E389="",E389="!!!",F389="NEW"),"",COUNTBLANK(OFFSET(A$1,,,SUMPRODUCT(MAX(ROW(E$2:E389)*(E389=E$2:E389)))))-COUNTBLANK(OFFSET(A$1,,,SUMPRODUCT(MAX(ROW(E$1:E388)*(E2=E$1:E388))))))</f>
        <v/>
      </c>
      <c r="K389" s="24" t="str">
        <f aca="false">IF(OR(E389="",E389="!!!",F389="NEW"),"",INDEX(J$1:J388,SUMPRODUCT(MAX(ROW(E$1:E388)*(E389=E$1:E388)))))</f>
        <v/>
      </c>
      <c r="L389" s="25"/>
    </row>
    <row r="390" customFormat="false" ht="14.25" hidden="false" customHeight="false" outlineLevel="0" collapsed="false">
      <c r="A390" s="0" t="s">
        <v>388</v>
      </c>
      <c r="E390" s="20" t="str">
        <f aca="false">IF(D390="?OLD","!!!","")</f>
        <v/>
      </c>
      <c r="F390" s="21" t="str">
        <f aca="false">IF(OR(E390="",E390="!!!"),"",IF(NOT(ISNA(VLOOKUP(E390,E$1:E389,1,FALSE()))),"OLD",IF(AND(E390&lt;&gt;"",E390&lt;&gt;"!!!"),"NEW","")))</f>
        <v/>
      </c>
      <c r="G390" s="22" t="str">
        <f aca="false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aca="false">IF(J390&lt;&gt;1,"",IF(I390="SBJ","CB","?"))</f>
        <v/>
      </c>
      <c r="I390" s="24" t="str">
        <f aca="false">IF(OR(E390="",E390="!!!",F390="NEW"),"",INDEX(B$2:B389,-1+SUMPRODUCT(MAX(ROW(E$2:E389)*(E390=E$2:E389)))))</f>
        <v/>
      </c>
      <c r="J390" s="24" t="str">
        <f aca="true">IF(OR(E390="",E390="!!!",F390="NEW"),"",COUNTBLANK(OFFSET(A$1,,,SUMPRODUCT(MAX(ROW(E$2:E390)*(E390=E$2:E390)))))-COUNTBLANK(OFFSET(A$1,,,SUMPRODUCT(MAX(ROW(E$1:E389)*(E2=E$1:E389))))))</f>
        <v/>
      </c>
      <c r="K390" s="24" t="str">
        <f aca="false">IF(OR(E390="",E390="!!!",F390="NEW"),"",INDEX(J$1:J389,SUMPRODUCT(MAX(ROW(E$1:E389)*(E390=E$1:E389)))))</f>
        <v/>
      </c>
      <c r="L390" s="25"/>
    </row>
    <row r="391" customFormat="false" ht="14.25" hidden="false" customHeight="false" outlineLevel="0" collapsed="false">
      <c r="A391" s="0" t="s">
        <v>389</v>
      </c>
      <c r="B391" s="26" t="s">
        <v>154</v>
      </c>
      <c r="C391" s="26" t="s">
        <v>283</v>
      </c>
      <c r="D391" s="26" t="s">
        <v>75</v>
      </c>
      <c r="E391" s="20" t="s">
        <v>390</v>
      </c>
      <c r="F391" s="21" t="s">
        <v>186</v>
      </c>
      <c r="G391" s="22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?REFERENTIAL</v>
      </c>
      <c r="H391" s="23" t="str">
        <f aca="false">IF(J391&lt;&gt;1,"",IF(I391="SBJ","CB","?"))</f>
        <v/>
      </c>
      <c r="I391" s="24" t="str">
        <f aca="false">IF(OR(E391="",E391="!!!",F391="NEW"),"",INDEX(B$2:B390,-1+SUMPRODUCT(MAX(ROW(E$2:E390)*(E391=E$2:E390)))))</f>
        <v/>
      </c>
      <c r="J391" s="24" t="str">
        <f aca="true">IF(OR(E391="",E391="!!!",F391="NEW"),"",COUNTBLANK(OFFSET(A$1,,,SUMPRODUCT(MAX(ROW(E$2:E391)*(E391=E$2:E391)))))-COUNTBLANK(OFFSET(A$1,,,SUMPRODUCT(MAX(ROW(E$1:E390)*(E2=E$1:E390))))))</f>
        <v/>
      </c>
      <c r="K391" s="24" t="str">
        <f aca="false">IF(OR(E391="",E391="!!!",F391="NEW"),"",INDEX(J$1:J390,SUMPRODUCT(MAX(ROW(E$1:E390)*(E391=E$1:E390)))))</f>
        <v/>
      </c>
      <c r="L391" s="25"/>
    </row>
    <row r="392" customFormat="false" ht="14.25" hidden="false" customHeight="false" outlineLevel="0" collapsed="false">
      <c r="A392" s="0" t="s">
        <v>101</v>
      </c>
      <c r="E392" s="20" t="str">
        <f aca="false">IF(D392="?OLD","!!!","")</f>
        <v/>
      </c>
      <c r="F392" s="21" t="str">
        <f aca="false">IF(OR(E392="",E392="!!!"),"",IF(NOT(ISNA(VLOOKUP(E392,E$1:E391,1,FALSE()))),"OLD",IF(AND(E392&lt;&gt;"",E392&lt;&gt;"!!!"),"NEW","")))</f>
        <v/>
      </c>
      <c r="G392" s="22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aca="false">IF(J392&lt;&gt;1,"",IF(I392="SBJ","CB","?"))</f>
        <v/>
      </c>
      <c r="I392" s="24" t="str">
        <f aca="false">IF(OR(E392="",E392="!!!",F392="NEW"),"",INDEX(B$2:B391,-1+SUMPRODUCT(MAX(ROW(E$2:E391)*(E392=E$2:E391)))))</f>
        <v/>
      </c>
      <c r="J392" s="24" t="str">
        <f aca="true">IF(OR(E392="",E392="!!!",F392="NEW"),"",COUNTBLANK(OFFSET(A$1,,,SUMPRODUCT(MAX(ROW(E$2:E392)*(E392=E$2:E392)))))-COUNTBLANK(OFFSET(A$1,,,SUMPRODUCT(MAX(ROW(E$1:E391)*(E2=E$1:E391))))))</f>
        <v/>
      </c>
      <c r="K392" s="24" t="str">
        <f aca="false">IF(OR(E392="",E392="!!!",F392="NEW"),"",INDEX(J$1:J391,SUMPRODUCT(MAX(ROW(E$1:E391)*(E392=E$1:E391)))))</f>
        <v/>
      </c>
      <c r="L392" s="25"/>
    </row>
    <row r="393" customFormat="false" ht="14.25" hidden="false" customHeight="false" outlineLevel="0" collapsed="false">
      <c r="A393" s="0" t="s">
        <v>153</v>
      </c>
      <c r="B393" s="26" t="s">
        <v>147</v>
      </c>
      <c r="C393" s="26" t="s">
        <v>105</v>
      </c>
      <c r="E393" s="20" t="str">
        <f aca="false">IF(D393="?OLD","!!!","")</f>
        <v/>
      </c>
      <c r="F393" s="21" t="str">
        <f aca="false">IF(OR(E393="",E393="!!!"),"",IF(NOT(ISNA(VLOOKUP(E393,E$1:E392,1,FALSE()))),"OLD",IF(AND(E393&lt;&gt;"",E393&lt;&gt;"!!!"),"NEW","")))</f>
        <v/>
      </c>
      <c r="G393" s="22" t="str">
        <f aca="false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aca="false">IF(J393&lt;&gt;1,"",IF(I393="SBJ","CB","?"))</f>
        <v/>
      </c>
      <c r="I393" s="24" t="str">
        <f aca="false">IF(OR(E393="",E393="!!!",F393="NEW"),"",INDEX(B$2:B392,-1+SUMPRODUCT(MAX(ROW(E$2:E392)*(E393=E$2:E392)))))</f>
        <v/>
      </c>
      <c r="J393" s="24" t="str">
        <f aca="true">IF(OR(E393="",E393="!!!",F393="NEW"),"",COUNTBLANK(OFFSET(A$1,,,SUMPRODUCT(MAX(ROW(E$2:E393)*(E393=E$2:E393)))))-COUNTBLANK(OFFSET(A$1,,,SUMPRODUCT(MAX(ROW(E$1:E392)*(E2=E$1:E392))))))</f>
        <v/>
      </c>
      <c r="K393" s="24" t="str">
        <f aca="false">IF(OR(E393="",E393="!!!",F393="NEW"),"",INDEX(J$1:J392,SUMPRODUCT(MAX(ROW(E$1:E392)*(E393=E$1:E392)))))</f>
        <v/>
      </c>
      <c r="L393" s="25"/>
    </row>
    <row r="394" customFormat="false" ht="14.25" hidden="false" customHeight="false" outlineLevel="0" collapsed="false">
      <c r="A394" s="0" t="s">
        <v>140</v>
      </c>
      <c r="E394" s="20" t="str">
        <f aca="false">IF(D394="?OLD","!!!","")</f>
        <v/>
      </c>
      <c r="F394" s="21" t="str">
        <f aca="false">IF(OR(E394="",E394="!!!"),"",IF(NOT(ISNA(VLOOKUP(E394,E$1:E393,1,FALSE()))),"OLD",IF(AND(E394&lt;&gt;"",E394&lt;&gt;"!!!"),"NEW","")))</f>
        <v/>
      </c>
      <c r="G394" s="22" t="str">
        <f aca="false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aca="false">IF(J394&lt;&gt;1,"",IF(I394="SBJ","CB","?"))</f>
        <v/>
      </c>
      <c r="I394" s="24" t="str">
        <f aca="false">IF(OR(E394="",E394="!!!",F394="NEW"),"",INDEX(B$2:B393,-1+SUMPRODUCT(MAX(ROW(E$2:E393)*(E394=E$2:E393)))))</f>
        <v/>
      </c>
      <c r="J394" s="24" t="str">
        <f aca="true">IF(OR(E394="",E394="!!!",F394="NEW"),"",COUNTBLANK(OFFSET(A$1,,,SUMPRODUCT(MAX(ROW(E$2:E394)*(E394=E$2:E394)))))-COUNTBLANK(OFFSET(A$1,,,SUMPRODUCT(MAX(ROW(E$1:E393)*(E2=E$1:E393))))))</f>
        <v/>
      </c>
      <c r="K394" s="24" t="str">
        <f aca="false">IF(OR(E394="",E394="!!!",F394="NEW"),"",INDEX(J$1:J393,SUMPRODUCT(MAX(ROW(E$1:E393)*(E394=E$1:E393)))))</f>
        <v/>
      </c>
      <c r="L394" s="25"/>
    </row>
    <row r="395" customFormat="false" ht="14.25" hidden="false" customHeight="false" outlineLevel="0" collapsed="false">
      <c r="A395" s="0" t="s">
        <v>391</v>
      </c>
      <c r="E395" s="20" t="str">
        <f aca="false">IF(D395="?OLD","!!!","")</f>
        <v/>
      </c>
      <c r="F395" s="21" t="str">
        <f aca="false">IF(OR(E395="",E395="!!!"),"",IF(NOT(ISNA(VLOOKUP(E395,E$1:E394,1,FALSE()))),"OLD",IF(AND(E395&lt;&gt;"",E395&lt;&gt;"!!!"),"NEW","")))</f>
        <v/>
      </c>
      <c r="G395" s="22" t="str">
        <f aca="false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aca="false">IF(J395&lt;&gt;1,"",IF(I395="SBJ","CB","?"))</f>
        <v/>
      </c>
      <c r="I395" s="24" t="str">
        <f aca="false">IF(OR(E395="",E395="!!!",F395="NEW"),"",INDEX(B$2:B394,-1+SUMPRODUCT(MAX(ROW(E$2:E394)*(E395=E$2:E394)))))</f>
        <v/>
      </c>
      <c r="J395" s="24" t="str">
        <f aca="true">IF(OR(E395="",E395="!!!",F395="NEW"),"",COUNTBLANK(OFFSET(A$1,,,SUMPRODUCT(MAX(ROW(E$2:E395)*(E395=E$2:E395)))))-COUNTBLANK(OFFSET(A$1,,,SUMPRODUCT(MAX(ROW(E$1:E394)*(E2=E$1:E394))))))</f>
        <v/>
      </c>
      <c r="K395" s="24" t="str">
        <f aca="false">IF(OR(E395="",E395="!!!",F395="NEW"),"",INDEX(J$1:J394,SUMPRODUCT(MAX(ROW(E$1:E394)*(E395=E$1:E394)))))</f>
        <v/>
      </c>
      <c r="L395" s="25"/>
    </row>
    <row r="396" customFormat="false" ht="14.25" hidden="false" customHeight="false" outlineLevel="0" collapsed="false">
      <c r="A396" s="0" t="s">
        <v>16</v>
      </c>
      <c r="E396" s="20" t="str">
        <f aca="false">IF(D396="?OLD","!!!","")</f>
        <v/>
      </c>
      <c r="F396" s="21" t="str">
        <f aca="false">IF(OR(E396="",E396="!!!"),"",IF(NOT(ISNA(VLOOKUP(E396,E$1:E395,1,FALSE()))),"OLD",IF(AND(E396&lt;&gt;"",E396&lt;&gt;"!!!"),"NEW","")))</f>
        <v/>
      </c>
      <c r="G396" s="22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aca="false">IF(J396&lt;&gt;1,"",IF(I396="SBJ","CB","?"))</f>
        <v/>
      </c>
      <c r="I396" s="24" t="str">
        <f aca="false">IF(OR(E396="",E396="!!!",F396="NEW"),"",INDEX(B$2:B395,-1+SUMPRODUCT(MAX(ROW(E$2:E395)*(E396=E$2:E395)))))</f>
        <v/>
      </c>
      <c r="J396" s="24" t="str">
        <f aca="true">IF(OR(E396="",E396="!!!",F396="NEW"),"",COUNTBLANK(OFFSET(A$1,,,SUMPRODUCT(MAX(ROW(E$2:E396)*(E396=E$2:E396)))))-COUNTBLANK(OFFSET(A$1,,,SUMPRODUCT(MAX(ROW(E$1:E395)*(E2=E$1:E395))))))</f>
        <v/>
      </c>
      <c r="K396" s="24" t="str">
        <f aca="false">IF(OR(E396="",E396="!!!",F396="NEW"),"",INDEX(J$1:J395,SUMPRODUCT(MAX(ROW(E$1:E395)*(E396=E$1:E395)))))</f>
        <v/>
      </c>
      <c r="L396" s="25"/>
    </row>
    <row r="397" customFormat="false" ht="14.25" hidden="false" customHeight="false" outlineLevel="0" collapsed="false">
      <c r="A397" s="0" t="s">
        <v>392</v>
      </c>
      <c r="B397" s="26" t="s">
        <v>115</v>
      </c>
      <c r="C397" s="26" t="s">
        <v>105</v>
      </c>
      <c r="E397" s="20" t="str">
        <f aca="false">IF(D397="?OLD","!!!","")</f>
        <v/>
      </c>
      <c r="F397" s="21" t="str">
        <f aca="false">IF(OR(E397="",E397="!!!"),"",IF(NOT(ISNA(VLOOKUP(E397,E$1:E396,1,FALSE()))),"OLD",IF(AND(E397&lt;&gt;"",E397&lt;&gt;"!!!"),"NEW","")))</f>
        <v/>
      </c>
      <c r="G397" s="22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aca="false">IF(J397&lt;&gt;1,"",IF(I397="SBJ","CB","?"))</f>
        <v/>
      </c>
      <c r="I397" s="24" t="str">
        <f aca="false">IF(OR(E397="",E397="!!!",F397="NEW"),"",INDEX(B$2:B396,-1+SUMPRODUCT(MAX(ROW(E$2:E396)*(E397=E$2:E396)))))</f>
        <v/>
      </c>
      <c r="J397" s="24" t="str">
        <f aca="true">IF(OR(E397="",E397="!!!",F397="NEW"),"",COUNTBLANK(OFFSET(A$1,,,SUMPRODUCT(MAX(ROW(E$2:E397)*(E397=E$2:E397)))))-COUNTBLANK(OFFSET(A$1,,,SUMPRODUCT(MAX(ROW(E$1:E396)*(E2=E$1:E396))))))</f>
        <v/>
      </c>
      <c r="K397" s="24" t="str">
        <f aca="false">IF(OR(E397="",E397="!!!",F397="NEW"),"",INDEX(J$1:J396,SUMPRODUCT(MAX(ROW(E$1:E396)*(E397=E$1:E396)))))</f>
        <v/>
      </c>
      <c r="L397" s="25"/>
    </row>
    <row r="398" customFormat="false" ht="14.25" hidden="false" customHeight="false" outlineLevel="0" collapsed="false">
      <c r="A398" s="0" t="s">
        <v>142</v>
      </c>
      <c r="E398" s="20" t="str">
        <f aca="false">IF(D398="?OLD","!!!","")</f>
        <v/>
      </c>
      <c r="F398" s="21" t="str">
        <f aca="false">IF(OR(E398="",E398="!!!"),"",IF(NOT(ISNA(VLOOKUP(E398,E$1:E397,1,FALSE()))),"OLD",IF(AND(E398&lt;&gt;"",E398&lt;&gt;"!!!"),"NEW","")))</f>
        <v/>
      </c>
      <c r="G398" s="22" t="str">
        <f aca="false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aca="false">IF(J398&lt;&gt;1,"",IF(I398="SBJ","CB","?"))</f>
        <v/>
      </c>
      <c r="I398" s="24" t="str">
        <f aca="false">IF(OR(E398="",E398="!!!",F398="NEW"),"",INDEX(B$2:B397,-1+SUMPRODUCT(MAX(ROW(E$2:E397)*(E398=E$2:E397)))))</f>
        <v/>
      </c>
      <c r="J398" s="24" t="str">
        <f aca="true">IF(OR(E398="",E398="!!!",F398="NEW"),"",COUNTBLANK(OFFSET(A$1,,,SUMPRODUCT(MAX(ROW(E$2:E398)*(E398=E$2:E398)))))-COUNTBLANK(OFFSET(A$1,,,SUMPRODUCT(MAX(ROW(E$1:E397)*(E2=E$1:E397))))))</f>
        <v/>
      </c>
      <c r="K398" s="24" t="str">
        <f aca="false">IF(OR(E398="",E398="!!!",F398="NEW"),"",INDEX(J$1:J397,SUMPRODUCT(MAX(ROW(E$1:E397)*(E398=E$1:E397)))))</f>
        <v/>
      </c>
      <c r="L398" s="25"/>
    </row>
    <row r="399" customFormat="false" ht="14.25" hidden="false" customHeight="false" outlineLevel="0" collapsed="false">
      <c r="A399" s="0" t="s">
        <v>393</v>
      </c>
      <c r="B399" s="26" t="s">
        <v>307</v>
      </c>
      <c r="C399" s="26" t="s">
        <v>105</v>
      </c>
      <c r="E399" s="20" t="str">
        <f aca="false">IF(D399="?OLD","!!!","")</f>
        <v/>
      </c>
      <c r="F399" s="21" t="str">
        <f aca="false">IF(OR(E399="",E399="!!!"),"",IF(NOT(ISNA(VLOOKUP(E399,E$1:E398,1,FALSE()))),"OLD",IF(AND(E399&lt;&gt;"",E399&lt;&gt;"!!!"),"NEW","")))</f>
        <v/>
      </c>
      <c r="G399" s="22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aca="false">IF(J399&lt;&gt;1,"",IF(I399="SBJ","CB","?"))</f>
        <v/>
      </c>
      <c r="I399" s="24" t="str">
        <f aca="false">IF(OR(E399="",E399="!!!",F399="NEW"),"",INDEX(B$2:B398,-1+SUMPRODUCT(MAX(ROW(E$2:E398)*(E399=E$2:E398)))))</f>
        <v/>
      </c>
      <c r="J399" s="24" t="str">
        <f aca="true">IF(OR(E399="",E399="!!!",F399="NEW"),"",COUNTBLANK(OFFSET(A$1,,,SUMPRODUCT(MAX(ROW(E$2:E399)*(E399=E$2:E399)))))-COUNTBLANK(OFFSET(A$1,,,SUMPRODUCT(MAX(ROW(E$1:E398)*(E2=E$1:E398))))))</f>
        <v/>
      </c>
      <c r="K399" s="24" t="str">
        <f aca="false">IF(OR(E399="",E399="!!!",F399="NEW"),"",INDEX(J$1:J398,SUMPRODUCT(MAX(ROW(E$1:E398)*(E399=E$1:E398)))))</f>
        <v/>
      </c>
      <c r="L399" s="25"/>
    </row>
    <row r="400" customFormat="false" ht="14.25" hidden="false" customHeight="false" outlineLevel="0" collapsed="false">
      <c r="A400" s="0" t="s">
        <v>394</v>
      </c>
      <c r="E400" s="20" t="str">
        <f aca="false">IF(D400="?OLD","!!!","")</f>
        <v/>
      </c>
      <c r="F400" s="21" t="str">
        <f aca="false">IF(OR(E400="",E400="!!!"),"",IF(NOT(ISNA(VLOOKUP(E400,E$1:E399,1,FALSE()))),"OLD",IF(AND(E400&lt;&gt;"",E400&lt;&gt;"!!!"),"NEW","")))</f>
        <v/>
      </c>
      <c r="G400" s="22" t="str">
        <f aca="false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aca="false">IF(J400&lt;&gt;1,"",IF(I400="SBJ","CB","?"))</f>
        <v/>
      </c>
      <c r="I400" s="24" t="str">
        <f aca="false">IF(OR(E400="",E400="!!!",F400="NEW"),"",INDEX(B$2:B399,-1+SUMPRODUCT(MAX(ROW(E$2:E399)*(E400=E$2:E399)))))</f>
        <v/>
      </c>
      <c r="J400" s="24" t="str">
        <f aca="true">IF(OR(E400="",E400="!!!",F400="NEW"),"",COUNTBLANK(OFFSET(A$1,,,SUMPRODUCT(MAX(ROW(E$2:E400)*(E400=E$2:E400)))))-COUNTBLANK(OFFSET(A$1,,,SUMPRODUCT(MAX(ROW(E$1:E399)*(E2=E$1:E399))))))</f>
        <v/>
      </c>
      <c r="K400" s="24" t="str">
        <f aca="false">IF(OR(E400="",E400="!!!",F400="NEW"),"",INDEX(J$1:J399,SUMPRODUCT(MAX(ROW(E$1:E399)*(E400=E$1:E399)))))</f>
        <v/>
      </c>
      <c r="L400" s="25"/>
    </row>
    <row r="401" customFormat="false" ht="14.25" hidden="false" customHeight="false" outlineLevel="0" collapsed="false">
      <c r="A401" s="0" t="s">
        <v>395</v>
      </c>
      <c r="B401" s="26" t="s">
        <v>147</v>
      </c>
      <c r="C401" s="26" t="s">
        <v>283</v>
      </c>
      <c r="D401" s="26" t="s">
        <v>75</v>
      </c>
      <c r="E401" s="20"/>
      <c r="F401" s="21" t="str">
        <f aca="false">IF(OR(E401="",E401="!!!"),"",IF(NOT(ISNA(VLOOKUP(E401,E$1:E400,1,FALSE()))),"OLD",IF(AND(E401&lt;&gt;"",E401&lt;&gt;"!!!"),"NEW","")))</f>
        <v/>
      </c>
      <c r="G401" s="22" t="str">
        <f aca="false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aca="false">IF(J401&lt;&gt;1,"",IF(I401="SBJ","CB","?"))</f>
        <v/>
      </c>
      <c r="I401" s="24" t="str">
        <f aca="false">IF(OR(E401="",E401="!!!",F401="NEW"),"",INDEX(B$2:B400,-1+SUMPRODUCT(MAX(ROW(E$2:E400)*(E401=E$2:E400)))))</f>
        <v/>
      </c>
      <c r="J401" s="24" t="str">
        <f aca="true">IF(OR(E401="",E401="!!!",F401="NEW"),"",COUNTBLANK(OFFSET(A$1,,,SUMPRODUCT(MAX(ROW(E$2:E401)*(E401=E$2:E401)))))-COUNTBLANK(OFFSET(A$1,,,SUMPRODUCT(MAX(ROW(E$1:E400)*(E2=E$1:E400))))))</f>
        <v/>
      </c>
      <c r="K401" s="24" t="str">
        <f aca="false">IF(OR(E401="",E401="!!!",F401="NEW"),"",INDEX(J$1:J400,SUMPRODUCT(MAX(ROW(E$1:E400)*(E401=E$1:E400)))))</f>
        <v/>
      </c>
      <c r="L401" s="27" t="s">
        <v>358</v>
      </c>
    </row>
    <row r="402" customFormat="false" ht="14.25" hidden="false" customHeight="false" outlineLevel="0" collapsed="false">
      <c r="A402" s="0" t="s">
        <v>16</v>
      </c>
      <c r="E402" s="20" t="str">
        <f aca="false">IF(D402="?OLD","!!!","")</f>
        <v/>
      </c>
      <c r="F402" s="21" t="str">
        <f aca="false">IF(OR(E402="",E402="!!!"),"",IF(NOT(ISNA(VLOOKUP(E402,E$1:E401,1,FALSE()))),"OLD",IF(AND(E402&lt;&gt;"",E402&lt;&gt;"!!!"),"NEW","")))</f>
        <v/>
      </c>
      <c r="G402" s="22" t="str">
        <f aca="false"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aca="false">IF(J402&lt;&gt;1,"",IF(I402="SBJ","CB","?"))</f>
        <v/>
      </c>
      <c r="I402" s="24" t="str">
        <f aca="false">IF(OR(E402="",E402="!!!",F402="NEW"),"",INDEX(B$2:B401,-1+SUMPRODUCT(MAX(ROW(E$2:E401)*(E402=E$2:E401)))))</f>
        <v/>
      </c>
      <c r="J402" s="24" t="str">
        <f aca="true">IF(OR(E402="",E402="!!!",F402="NEW"),"",COUNTBLANK(OFFSET(A$1,,,SUMPRODUCT(MAX(ROW(E$2:E402)*(E402=E$2:E402)))))-COUNTBLANK(OFFSET(A$1,,,SUMPRODUCT(MAX(ROW(E$1:E401)*(E2=E$1:E401))))))</f>
        <v/>
      </c>
      <c r="K402" s="24" t="str">
        <f aca="false">IF(OR(E402="",E402="!!!",F402="NEW"),"",INDEX(J$1:J401,SUMPRODUCT(MAX(ROW(E$1:E401)*(E402=E$1:E401)))))</f>
        <v/>
      </c>
      <c r="L402" s="25"/>
    </row>
    <row r="403" customFormat="false" ht="14.25" hidden="false" customHeight="false" outlineLevel="0" collapsed="false">
      <c r="A403" s="0" t="s">
        <v>396</v>
      </c>
      <c r="E403" s="20" t="str">
        <f aca="false">IF(D403="?OLD","!!!","")</f>
        <v/>
      </c>
      <c r="F403" s="21" t="str">
        <f aca="false">IF(OR(E403="",E403="!!!"),"",IF(NOT(ISNA(VLOOKUP(E403,E$1:E402,1,FALSE()))),"OLD",IF(AND(E403&lt;&gt;"",E403&lt;&gt;"!!!"),"NEW","")))</f>
        <v/>
      </c>
      <c r="G403" s="22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aca="false">IF(J403&lt;&gt;1,"",IF(I403="SBJ","CB","?"))</f>
        <v/>
      </c>
      <c r="I403" s="24" t="str">
        <f aca="false">IF(OR(E403="",E403="!!!",F403="NEW"),"",INDEX(B$2:B402,-1+SUMPRODUCT(MAX(ROW(E$2:E402)*(E403=E$2:E402)))))</f>
        <v/>
      </c>
      <c r="J403" s="24" t="str">
        <f aca="true">IF(OR(E403="",E403="!!!",F403="NEW"),"",COUNTBLANK(OFFSET(A$1,,,SUMPRODUCT(MAX(ROW(E$2:E403)*(E403=E$2:E403)))))-COUNTBLANK(OFFSET(A$1,,,SUMPRODUCT(MAX(ROW(E$1:E402)*(E2=E$1:E402))))))</f>
        <v/>
      </c>
      <c r="K403" s="24" t="str">
        <f aca="false">IF(OR(E403="",E403="!!!",F403="NEW"),"",INDEX(J$1:J402,SUMPRODUCT(MAX(ROW(E$1:E402)*(E403=E$1:E402)))))</f>
        <v/>
      </c>
      <c r="L403" s="25"/>
    </row>
    <row r="404" customFormat="false" ht="14.25" hidden="false" customHeight="false" outlineLevel="0" collapsed="false">
      <c r="A404" s="0" t="s">
        <v>16</v>
      </c>
      <c r="E404" s="20" t="str">
        <f aca="false">IF(D404="?OLD","!!!","")</f>
        <v/>
      </c>
      <c r="F404" s="21" t="str">
        <f aca="false">IF(OR(E404="",E404="!!!"),"",IF(NOT(ISNA(VLOOKUP(E404,E$1:E403,1,FALSE()))),"OLD",IF(AND(E404&lt;&gt;"",E404&lt;&gt;"!!!"),"NEW","")))</f>
        <v/>
      </c>
      <c r="G404" s="22" t="str">
        <f aca="false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aca="false">IF(J404&lt;&gt;1,"",IF(I404="SBJ","CB","?"))</f>
        <v/>
      </c>
      <c r="I404" s="24" t="str">
        <f aca="false">IF(OR(E404="",E404="!!!",F404="NEW"),"",INDEX(B$2:B403,-1+SUMPRODUCT(MAX(ROW(E$2:E403)*(E404=E$2:E403)))))</f>
        <v/>
      </c>
      <c r="J404" s="24" t="str">
        <f aca="true">IF(OR(E404="",E404="!!!",F404="NEW"),"",COUNTBLANK(OFFSET(A$1,,,SUMPRODUCT(MAX(ROW(E$2:E404)*(E404=E$2:E404)))))-COUNTBLANK(OFFSET(A$1,,,SUMPRODUCT(MAX(ROW(E$1:E403)*(E2=E$1:E403))))))</f>
        <v/>
      </c>
      <c r="K404" s="24" t="str">
        <f aca="false">IF(OR(E404="",E404="!!!",F404="NEW"),"",INDEX(J$1:J403,SUMPRODUCT(MAX(ROW(E$1:E403)*(E404=E$1:E403)))))</f>
        <v/>
      </c>
      <c r="L404" s="25"/>
    </row>
    <row r="405" customFormat="false" ht="14.25" hidden="false" customHeight="false" outlineLevel="0" collapsed="false">
      <c r="A405" s="0" t="s">
        <v>397</v>
      </c>
      <c r="E405" s="20" t="s">
        <v>398</v>
      </c>
      <c r="F405" s="21" t="str">
        <f aca="false">IF(OR(E405="",E405="!!!"),"",IF(NOT(ISNA(VLOOKUP(E405,E$1:E404,1,FALSE()))),"OLD",IF(AND(E405&lt;&gt;"",E405&lt;&gt;"!!!"),"NEW","")))</f>
        <v>NEW</v>
      </c>
      <c r="G405" s="22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?REFERENTIAL</v>
      </c>
      <c r="H405" s="23" t="str">
        <f aca="false">IF(J405&lt;&gt;1,"",IF(I405="SBJ","CB","?"))</f>
        <v/>
      </c>
      <c r="I405" s="24" t="str">
        <f aca="false">IF(OR(E405="",E405="!!!",F405="NEW"),"",INDEX(B$2:B404,-1+SUMPRODUCT(MAX(ROW(E$2:E404)*(E405=E$2:E404)))))</f>
        <v/>
      </c>
      <c r="J405" s="24" t="str">
        <f aca="true">IF(OR(E405="",E405="!!!",F405="NEW"),"",COUNTBLANK(OFFSET(A$1,,,SUMPRODUCT(MAX(ROW(E$2:E405)*(E405=E$2:E405)))))-COUNTBLANK(OFFSET(A$1,,,SUMPRODUCT(MAX(ROW(E$1:E404)*(E2=E$1:E404))))))</f>
        <v/>
      </c>
      <c r="K405" s="24" t="str">
        <f aca="false">IF(OR(E405="",E405="!!!",F405="NEW"),"",INDEX(J$1:J404,SUMPRODUCT(MAX(ROW(E$1:E404)*(E405=E$1:E404)))))</f>
        <v/>
      </c>
      <c r="L405" s="25"/>
    </row>
    <row r="406" customFormat="false" ht="14.25" hidden="false" customHeight="false" outlineLevel="0" collapsed="false">
      <c r="A406" s="0" t="s">
        <v>142</v>
      </c>
      <c r="E406" s="20" t="str">
        <f aca="false">IF(D406="?OLD","!!!","")</f>
        <v/>
      </c>
      <c r="F406" s="21" t="str">
        <f aca="false">IF(OR(E406="",E406="!!!"),"",IF(NOT(ISNA(VLOOKUP(E406,E$1:E405,1,FALSE()))),"OLD",IF(AND(E406&lt;&gt;"",E406&lt;&gt;"!!!"),"NEW","")))</f>
        <v/>
      </c>
      <c r="G406" s="22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aca="false">IF(J406&lt;&gt;1,"",IF(I406="SBJ","CB","?"))</f>
        <v/>
      </c>
      <c r="I406" s="24" t="str">
        <f aca="false">IF(OR(E406="",E406="!!!",F406="NEW"),"",INDEX(B$2:B405,-1+SUMPRODUCT(MAX(ROW(E$2:E405)*(E406=E$2:E405)))))</f>
        <v/>
      </c>
      <c r="J406" s="24" t="str">
        <f aca="true">IF(OR(E406="",E406="!!!",F406="NEW"),"",COUNTBLANK(OFFSET(A$1,,,SUMPRODUCT(MAX(ROW(E$2:E406)*(E406=E$2:E406)))))-COUNTBLANK(OFFSET(A$1,,,SUMPRODUCT(MAX(ROW(E$1:E405)*(E2=E$1:E405))))))</f>
        <v/>
      </c>
      <c r="K406" s="24" t="str">
        <f aca="false">IF(OR(E406="",E406="!!!",F406="NEW"),"",INDEX(J$1:J405,SUMPRODUCT(MAX(ROW(E$1:E405)*(E406=E$1:E405)))))</f>
        <v/>
      </c>
      <c r="L406" s="25"/>
    </row>
    <row r="407" customFormat="false" ht="14.25" hidden="false" customHeight="false" outlineLevel="0" collapsed="false">
      <c r="A407" s="0" t="s">
        <v>399</v>
      </c>
      <c r="B407" s="26" t="s">
        <v>115</v>
      </c>
      <c r="C407" s="26" t="s">
        <v>105</v>
      </c>
      <c r="E407" s="20" t="str">
        <f aca="false">IF(D407="?OLD","!!!","")</f>
        <v/>
      </c>
      <c r="F407" s="21" t="str">
        <f aca="false">IF(OR(E407="",E407="!!!"),"",IF(NOT(ISNA(VLOOKUP(E407,E$1:E406,1,FALSE()))),"OLD",IF(AND(E407&lt;&gt;"",E407&lt;&gt;"!!!"),"NEW","")))</f>
        <v/>
      </c>
      <c r="G407" s="22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aca="false">IF(J407&lt;&gt;1,"",IF(I407="SBJ","CB","?"))</f>
        <v/>
      </c>
      <c r="I407" s="24" t="str">
        <f aca="false">IF(OR(E407="",E407="!!!",F407="NEW"),"",INDEX(B$2:B406,-1+SUMPRODUCT(MAX(ROW(E$2:E406)*(E407=E$2:E406)))))</f>
        <v/>
      </c>
      <c r="J407" s="24" t="str">
        <f aca="true">IF(OR(E407="",E407="!!!",F407="NEW"),"",COUNTBLANK(OFFSET(A$1,,,SUMPRODUCT(MAX(ROW(E$2:E407)*(E407=E$2:E407)))))-COUNTBLANK(OFFSET(A$1,,,SUMPRODUCT(MAX(ROW(E$1:E406)*(E2=E$1:E406))))))</f>
        <v/>
      </c>
      <c r="K407" s="24" t="str">
        <f aca="false">IF(OR(E407="",E407="!!!",F407="NEW"),"",INDEX(J$1:J406,SUMPRODUCT(MAX(ROW(E$1:E406)*(E407=E$1:E406)))))</f>
        <v/>
      </c>
      <c r="L407" s="25"/>
    </row>
    <row r="408" customFormat="false" ht="14.25" hidden="false" customHeight="false" outlineLevel="0" collapsed="false">
      <c r="A408" s="0" t="s">
        <v>16</v>
      </c>
      <c r="E408" s="20" t="str">
        <f aca="false">IF(D408="?OLD","!!!","")</f>
        <v/>
      </c>
      <c r="F408" s="21" t="str">
        <f aca="false">IF(OR(E408="",E408="!!!"),"",IF(NOT(ISNA(VLOOKUP(E408,E$1:E407,1,FALSE()))),"OLD",IF(AND(E408&lt;&gt;"",E408&lt;&gt;"!!!"),"NEW","")))</f>
        <v/>
      </c>
      <c r="G408" s="22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aca="false">IF(J408&lt;&gt;1,"",IF(I408="SBJ","CB","?"))</f>
        <v/>
      </c>
      <c r="I408" s="24" t="str">
        <f aca="false">IF(OR(E408="",E408="!!!",F408="NEW"),"",INDEX(B$2:B407,-1+SUMPRODUCT(MAX(ROW(E$2:E407)*(E408=E$2:E407)))))</f>
        <v/>
      </c>
      <c r="J408" s="24" t="str">
        <f aca="true">IF(OR(E408="",E408="!!!",F408="NEW"),"",COUNTBLANK(OFFSET(A$1,,,SUMPRODUCT(MAX(ROW(E$2:E408)*(E408=E$2:E408)))))-COUNTBLANK(OFFSET(A$1,,,SUMPRODUCT(MAX(ROW(E$1:E407)*(E2=E$1:E407))))))</f>
        <v/>
      </c>
      <c r="K408" s="24" t="str">
        <f aca="false">IF(OR(E408="",E408="!!!",F408="NEW"),"",INDEX(J$1:J407,SUMPRODUCT(MAX(ROW(E$1:E407)*(E408=E$1:E407)))))</f>
        <v/>
      </c>
      <c r="L408" s="25"/>
    </row>
    <row r="409" customFormat="false" ht="14.25" hidden="false" customHeight="false" outlineLevel="0" collapsed="false">
      <c r="A409" s="0" t="s">
        <v>142</v>
      </c>
      <c r="E409" s="20" t="str">
        <f aca="false">IF(D409="?OLD","!!!","")</f>
        <v/>
      </c>
      <c r="F409" s="21" t="str">
        <f aca="false">IF(OR(E409="",E409="!!!"),"",IF(NOT(ISNA(VLOOKUP(E409,E$1:E408,1,FALSE()))),"OLD",IF(AND(E409&lt;&gt;"",E409&lt;&gt;"!!!"),"NEW","")))</f>
        <v/>
      </c>
      <c r="G409" s="22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aca="false">IF(J409&lt;&gt;1,"",IF(I409="SBJ","CB","?"))</f>
        <v/>
      </c>
      <c r="I409" s="24" t="str">
        <f aca="false">IF(OR(E409="",E409="!!!",F409="NEW"),"",INDEX(B$2:B408,-1+SUMPRODUCT(MAX(ROW(E$2:E408)*(E409=E$2:E408)))))</f>
        <v/>
      </c>
      <c r="J409" s="24" t="str">
        <f aca="true">IF(OR(E409="",E409="!!!",F409="NEW"),"",COUNTBLANK(OFFSET(A$1,,,SUMPRODUCT(MAX(ROW(E$2:E409)*(E409=E$2:E409)))))-COUNTBLANK(OFFSET(A$1,,,SUMPRODUCT(MAX(ROW(E$1:E408)*(E2=E$1:E408))))))</f>
        <v/>
      </c>
      <c r="K409" s="24" t="str">
        <f aca="false">IF(OR(E409="",E409="!!!",F409="NEW"),"",INDEX(J$1:J408,SUMPRODUCT(MAX(ROW(E$1:E408)*(E409=E$1:E408)))))</f>
        <v/>
      </c>
      <c r="L409" s="25"/>
    </row>
    <row r="410" customFormat="false" ht="14.25" hidden="false" customHeight="false" outlineLevel="0" collapsed="false">
      <c r="A410" s="0" t="s">
        <v>400</v>
      </c>
      <c r="B410" s="26" t="s">
        <v>307</v>
      </c>
      <c r="C410" s="26" t="s">
        <v>105</v>
      </c>
      <c r="E410" s="20" t="str">
        <f aca="false">IF(D410="?OLD","!!!","")</f>
        <v/>
      </c>
      <c r="F410" s="21" t="str">
        <f aca="false">IF(OR(E410="",E410="!!!"),"",IF(NOT(ISNA(VLOOKUP(E410,E$1:E409,1,FALSE()))),"OLD",IF(AND(E410&lt;&gt;"",E410&lt;&gt;"!!!"),"NEW","")))</f>
        <v/>
      </c>
      <c r="G410" s="22" t="str">
        <f aca="false"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aca="false">IF(J410&lt;&gt;1,"",IF(I410="SBJ","CB","?"))</f>
        <v/>
      </c>
      <c r="I410" s="24" t="str">
        <f aca="false">IF(OR(E410="",E410="!!!",F410="NEW"),"",INDEX(B$2:B409,-1+SUMPRODUCT(MAX(ROW(E$2:E409)*(E410=E$2:E409)))))</f>
        <v/>
      </c>
      <c r="J410" s="24" t="str">
        <f aca="true">IF(OR(E410="",E410="!!!",F410="NEW"),"",COUNTBLANK(OFFSET(A$1,,,SUMPRODUCT(MAX(ROW(E$2:E410)*(E410=E$2:E410)))))-COUNTBLANK(OFFSET(A$1,,,SUMPRODUCT(MAX(ROW(E$1:E409)*(E2=E$1:E409))))))</f>
        <v/>
      </c>
      <c r="K410" s="24" t="str">
        <f aca="false">IF(OR(E410="",E410="!!!",F410="NEW"),"",INDEX(J$1:J409,SUMPRODUCT(MAX(ROW(E$1:E409)*(E410=E$1:E409)))))</f>
        <v/>
      </c>
      <c r="L410" s="25"/>
    </row>
    <row r="411" customFormat="false" ht="14.25" hidden="false" customHeight="false" outlineLevel="0" collapsed="false">
      <c r="A411" s="0" t="s">
        <v>86</v>
      </c>
      <c r="E411" s="20" t="str">
        <f aca="false">IF(D411="?OLD","!!!","")</f>
        <v/>
      </c>
      <c r="F411" s="21" t="str">
        <f aca="false">IF(OR(E411="",E411="!!!"),"",IF(NOT(ISNA(VLOOKUP(E411,E$1:E410,1,FALSE()))),"OLD",IF(AND(E411&lt;&gt;"",E411&lt;&gt;"!!!"),"NEW","")))</f>
        <v/>
      </c>
      <c r="G411" s="22" t="str">
        <f aca="false"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aca="false">IF(J411&lt;&gt;1,"",IF(I411="SBJ","CB","?"))</f>
        <v/>
      </c>
      <c r="I411" s="24" t="str">
        <f aca="false">IF(OR(E411="",E411="!!!",F411="NEW"),"",INDEX(B$2:B410,-1+SUMPRODUCT(MAX(ROW(E$2:E410)*(E411=E$2:E410)))))</f>
        <v/>
      </c>
      <c r="J411" s="24" t="str">
        <f aca="true">IF(OR(E411="",E411="!!!",F411="NEW"),"",COUNTBLANK(OFFSET(A$1,,,SUMPRODUCT(MAX(ROW(E$2:E411)*(E411=E$2:E411)))))-COUNTBLANK(OFFSET(A$1,,,SUMPRODUCT(MAX(ROW(E$1:E410)*(E2=E$1:E410))))))</f>
        <v/>
      </c>
      <c r="K411" s="24" t="str">
        <f aca="false">IF(OR(E411="",E411="!!!",F411="NEW"),"",INDEX(J$1:J410,SUMPRODUCT(MAX(ROW(E$1:E410)*(E411=E$1:E410)))))</f>
        <v/>
      </c>
      <c r="L411" s="25"/>
    </row>
    <row r="413" customFormat="false" ht="14.25" hidden="false" customHeight="false" outlineLevel="0" collapsed="false">
      <c r="A413" s="0" t="s">
        <v>401</v>
      </c>
      <c r="E413" s="20" t="str">
        <f aca="false">IF(D413="?OLD","!!!","")</f>
        <v/>
      </c>
      <c r="F413" s="21" t="str">
        <f aca="false">IF(OR(E413="",E413="!!!"),"",IF(NOT(ISNA(VLOOKUP(E413,E$1:E412,1,FALSE()))),"OLD",IF(AND(E413&lt;&gt;"",E413&lt;&gt;"!!!"),"NEW","")))</f>
        <v/>
      </c>
      <c r="G413" s="22" t="str">
        <f aca="false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aca="false">IF(J413&lt;&gt;1,"",IF(I413="SBJ","CB","?"))</f>
        <v/>
      </c>
      <c r="I413" s="24" t="str">
        <f aca="false">IF(OR(E413="",E413="!!!",F413="NEW"),"",INDEX(B$2:B412,-1+SUMPRODUCT(MAX(ROW(E$2:E412)*(E413=E$2:E412)))))</f>
        <v/>
      </c>
      <c r="J413" s="24" t="str">
        <f aca="true">IF(OR(E413="",E413="!!!",F413="NEW"),"",COUNTBLANK(OFFSET(A$1,,,SUMPRODUCT(MAX(ROW(E$2:E413)*(E413=E$2:E413)))))-COUNTBLANK(OFFSET(A$1,,,SUMPRODUCT(MAX(ROW(E$1:E412)*(E2=E$1:E412))))))</f>
        <v/>
      </c>
      <c r="K413" s="24" t="str">
        <f aca="false">IF(OR(E413="",E413="!!!",F413="NEW"),"",INDEX(J$1:J412,SUMPRODUCT(MAX(ROW(E$1:E412)*(E413=E$1:E412)))))</f>
        <v/>
      </c>
      <c r="L413" s="25"/>
    </row>
    <row r="414" customFormat="false" ht="14.25" hidden="false" customHeight="false" outlineLevel="0" collapsed="false">
      <c r="A414" s="0" t="s">
        <v>402</v>
      </c>
    </row>
    <row r="415" customFormat="false" ht="14.25" hidden="false" customHeight="false" outlineLevel="0" collapsed="false">
      <c r="A415" s="0" t="s">
        <v>376</v>
      </c>
      <c r="E415" s="20" t="str">
        <f aca="false">IF(D415="?OLD","!!!","")</f>
        <v/>
      </c>
      <c r="F415" s="21" t="str">
        <f aca="false">IF(OR(E415="",E415="!!!"),"",IF(NOT(ISNA(VLOOKUP(E415,E$1:E414,1,FALSE()))),"OLD",IF(AND(E415&lt;&gt;"",E415&lt;&gt;"!!!"),"NEW","")))</f>
        <v/>
      </c>
      <c r="G415" s="22" t="str">
        <f aca="false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aca="false">IF(J415&lt;&gt;1,"",IF(I415="SBJ","CB","?"))</f>
        <v/>
      </c>
      <c r="I415" s="24" t="str">
        <f aca="false">IF(OR(E415="",E415="!!!",F415="NEW"),"",INDEX(B$2:B414,-1+SUMPRODUCT(MAX(ROW(E$2:E414)*(E415=E$2:E414)))))</f>
        <v/>
      </c>
      <c r="J415" s="24" t="str">
        <f aca="true">IF(OR(E415="",E415="!!!",F415="NEW"),"",COUNTBLANK(OFFSET(A$1,,,SUMPRODUCT(MAX(ROW(E$2:E415)*(E415=E$2:E415)))))-COUNTBLANK(OFFSET(A$1,,,SUMPRODUCT(MAX(ROW(E$1:E414)*(E2=E$1:E414))))))</f>
        <v/>
      </c>
      <c r="K415" s="24" t="str">
        <f aca="false">IF(OR(E415="",E415="!!!",F415="NEW"),"",INDEX(J$1:J414,SUMPRODUCT(MAX(ROW(E$1:E414)*(E415=E$1:E414)))))</f>
        <v/>
      </c>
      <c r="L415" s="25"/>
    </row>
    <row r="416" customFormat="false" ht="14.25" hidden="false" customHeight="false" outlineLevel="0" collapsed="false">
      <c r="A416" s="0" t="s">
        <v>146</v>
      </c>
      <c r="B416" s="26" t="s">
        <v>258</v>
      </c>
      <c r="C416" s="26" t="s">
        <v>105</v>
      </c>
      <c r="E416" s="20" t="s">
        <v>374</v>
      </c>
      <c r="F416" s="21" t="str">
        <f aca="false">IF(OR(E416="",E416="!!!"),"",IF(NOT(ISNA(VLOOKUP(E416,E$1:E415,1,FALSE()))),"OLD",IF(AND(E416&lt;&gt;"",E416&lt;&gt;"!!!"),"NEW","")))</f>
        <v>OLD</v>
      </c>
      <c r="G416" s="22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?IN_FOCUS</v>
      </c>
      <c r="H416" s="23" t="str">
        <f aca="false">IF(J416&lt;&gt;1,"",IF(I416="SBJ","CB","?"))</f>
        <v/>
      </c>
      <c r="I416" s="24" t="str">
        <f aca="false">IF(OR(E416="",E416="!!!",F416="NEW"),"",INDEX(B$2:B415,-1+SUMPRODUCT(MAX(ROW(E$2:E415)*(E416=E$2:E415)))))</f>
        <v>other_3</v>
      </c>
      <c r="J416" s="24" t="n">
        <f aca="true">IF(OR(E416="",E416="!!!",F416="NEW"),"",COUNTBLANK(OFFSET(A$1,,,SUMPRODUCT(MAX(ROW(E$2:E416)*(E416=E$2:E416)))))-COUNTBLANK(OFFSET(A$1,,,SUMPRODUCT(MAX(ROW(E$1:E415)*(E2=E$1:E415))))))</f>
        <v>0</v>
      </c>
      <c r="K416" s="24" t="str">
        <f aca="false">IF(OR(E416="",E416="!!!",F416="NEW"),"",INDEX(J$1:J415,SUMPRODUCT(MAX(ROW(E$1:E415)*(E416=E$1:E415)))))</f>
        <v/>
      </c>
      <c r="L416" s="25"/>
    </row>
    <row r="417" customFormat="false" ht="14.25" hidden="false" customHeight="false" outlineLevel="0" collapsed="false">
      <c r="A417" s="0" t="s">
        <v>376</v>
      </c>
      <c r="E417" s="20" t="str">
        <f aca="false">IF(D417="?OLD","!!!","")</f>
        <v/>
      </c>
      <c r="F417" s="21" t="str">
        <f aca="false">IF(OR(E417="",E417="!!!"),"",IF(NOT(ISNA(VLOOKUP(E417,E$1:E416,1,FALSE()))),"OLD",IF(AND(E417&lt;&gt;"",E417&lt;&gt;"!!!"),"NEW","")))</f>
        <v/>
      </c>
      <c r="G417" s="22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aca="false">IF(J417&lt;&gt;1,"",IF(I417="SBJ","CB","?"))</f>
        <v/>
      </c>
      <c r="I417" s="24" t="str">
        <f aca="false">IF(OR(E417="",E417="!!!",F417="NEW"),"",INDEX(B$2:B416,-1+SUMPRODUCT(MAX(ROW(E$2:E416)*(E417=E$2:E416)))))</f>
        <v/>
      </c>
      <c r="J417" s="24" t="str">
        <f aca="true">IF(OR(E417="",E417="!!!",F417="NEW"),"",COUNTBLANK(OFFSET(A$1,,,SUMPRODUCT(MAX(ROW(E$2:E417)*(E417=E$2:E417)))))-COUNTBLANK(OFFSET(A$1,,,SUMPRODUCT(MAX(ROW(E$1:E416)*(E2=E$1:E416))))))</f>
        <v/>
      </c>
      <c r="K417" s="24" t="str">
        <f aca="false">IF(OR(E417="",E417="!!!",F417="NEW"),"",INDEX(J$1:J416,SUMPRODUCT(MAX(ROW(E$1:E416)*(E417=E$1:E416)))))</f>
        <v/>
      </c>
      <c r="L417" s="25"/>
    </row>
    <row r="418" customFormat="false" ht="14.25" hidden="false" customHeight="false" outlineLevel="0" collapsed="false">
      <c r="A418" s="0" t="s">
        <v>403</v>
      </c>
      <c r="E418" s="20" t="str">
        <f aca="false">IF(D418="?OLD","!!!","")</f>
        <v/>
      </c>
      <c r="F418" s="21" t="str">
        <f aca="false">IF(OR(E418="",E418="!!!"),"",IF(NOT(ISNA(VLOOKUP(E418,E$1:E417,1,FALSE()))),"OLD",IF(AND(E418&lt;&gt;"",E418&lt;&gt;"!!!"),"NEW","")))</f>
        <v/>
      </c>
      <c r="G418" s="22" t="str">
        <f aca="false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aca="false">IF(J418&lt;&gt;1,"",IF(I418="SBJ","CB","?"))</f>
        <v/>
      </c>
      <c r="I418" s="24" t="str">
        <f aca="false">IF(OR(E418="",E418="!!!",F418="NEW"),"",INDEX(B$2:B417,-1+SUMPRODUCT(MAX(ROW(E$2:E417)*(E418=E$2:E417)))))</f>
        <v/>
      </c>
      <c r="J418" s="24" t="str">
        <f aca="true">IF(OR(E418="",E418="!!!",F418="NEW"),"",COUNTBLANK(OFFSET(A$1,,,SUMPRODUCT(MAX(ROW(E$2:E418)*(E418=E$2:E418)))))-COUNTBLANK(OFFSET(A$1,,,SUMPRODUCT(MAX(ROW(E$1:E417)*(E2=E$1:E417))))))</f>
        <v/>
      </c>
      <c r="K418" s="24" t="str">
        <f aca="false">IF(OR(E418="",E418="!!!",F418="NEW"),"",INDEX(J$1:J417,SUMPRODUCT(MAX(ROW(E$1:E417)*(E418=E$1:E417)))))</f>
        <v/>
      </c>
      <c r="L418" s="25"/>
    </row>
    <row r="419" customFormat="false" ht="14.25" hidden="false" customHeight="false" outlineLevel="0" collapsed="false">
      <c r="A419" s="0" t="s">
        <v>136</v>
      </c>
      <c r="E419" s="20" t="str">
        <f aca="false">IF(D419="?OLD","!!!","")</f>
        <v/>
      </c>
      <c r="F419" s="21" t="str">
        <f aca="false">IF(OR(E419="",E419="!!!"),"",IF(NOT(ISNA(VLOOKUP(E419,E$1:E418,1,FALSE()))),"OLD",IF(AND(E419&lt;&gt;"",E419&lt;&gt;"!!!"),"NEW","")))</f>
        <v/>
      </c>
      <c r="G419" s="22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aca="false">IF(J419&lt;&gt;1,"",IF(I419="SBJ","CB","?"))</f>
        <v/>
      </c>
      <c r="I419" s="24" t="str">
        <f aca="false">IF(OR(E419="",E419="!!!",F419="NEW"),"",INDEX(B$2:B418,-1+SUMPRODUCT(MAX(ROW(E$2:E418)*(E419=E$2:E418)))))</f>
        <v/>
      </c>
      <c r="J419" s="24" t="str">
        <f aca="true">IF(OR(E419="",E419="!!!",F419="NEW"),"",COUNTBLANK(OFFSET(A$1,,,SUMPRODUCT(MAX(ROW(E$2:E419)*(E419=E$2:E419)))))-COUNTBLANK(OFFSET(A$1,,,SUMPRODUCT(MAX(ROW(E$1:E418)*(E2=E$1:E418))))))</f>
        <v/>
      </c>
      <c r="K419" s="24" t="str">
        <f aca="false">IF(OR(E419="",E419="!!!",F419="NEW"),"",INDEX(J$1:J418,SUMPRODUCT(MAX(ROW(E$1:E418)*(E419=E$1:E418)))))</f>
        <v/>
      </c>
      <c r="L419" s="25"/>
    </row>
    <row r="420" customFormat="false" ht="14.25" hidden="false" customHeight="false" outlineLevel="0" collapsed="false">
      <c r="A420" s="0" t="s">
        <v>404</v>
      </c>
      <c r="B420" s="26" t="s">
        <v>298</v>
      </c>
      <c r="C420" s="26" t="s">
        <v>74</v>
      </c>
      <c r="D420" s="26" t="s">
        <v>75</v>
      </c>
      <c r="E420" s="20"/>
      <c r="F420" s="21" t="s">
        <v>139</v>
      </c>
      <c r="G420" s="22" t="str">
        <f aca="false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aca="false">IF(J420&lt;&gt;1,"",IF(I420="SBJ","CB","?"))</f>
        <v/>
      </c>
      <c r="I420" s="24" t="str">
        <f aca="false">IF(OR(E420="",E420="!!!",F420="NEW"),"",INDEX(B$2:B419,-1+SUMPRODUCT(MAX(ROW(E$2:E419)*(E420=E$2:E419)))))</f>
        <v/>
      </c>
      <c r="J420" s="24" t="str">
        <f aca="true">IF(OR(E420="",E420="!!!",F420="NEW"),"",COUNTBLANK(OFFSET(A$1,,,SUMPRODUCT(MAX(ROW(E$2:E420)*(E420=E$2:E420)))))-COUNTBLANK(OFFSET(A$1,,,SUMPRODUCT(MAX(ROW(E$1:E419)*(E2=E$1:E419))))))</f>
        <v/>
      </c>
      <c r="K420" s="24" t="str">
        <f aca="false">IF(OR(E420="",E420="!!!",F420="NEW"),"",INDEX(J$1:J419,SUMPRODUCT(MAX(ROW(E$1:E419)*(E420=E$1:E419)))))</f>
        <v/>
      </c>
      <c r="L420" s="25"/>
    </row>
    <row r="421" customFormat="false" ht="14.25" hidden="false" customHeight="false" outlineLevel="0" collapsed="false">
      <c r="A421" s="0" t="s">
        <v>405</v>
      </c>
      <c r="E421" s="20" t="str">
        <f aca="false">IF(D421="?OLD","!!!","")</f>
        <v/>
      </c>
      <c r="F421" s="21" t="str">
        <f aca="false">IF(OR(E421="",E421="!!!"),"",IF(NOT(ISNA(VLOOKUP(E421,E$1:E420,1,FALSE()))),"OLD",IF(AND(E421&lt;&gt;"",E421&lt;&gt;"!!!"),"NEW","")))</f>
        <v/>
      </c>
      <c r="G421" s="22" t="str">
        <f aca="false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aca="false">IF(J421&lt;&gt;1,"",IF(I421="SBJ","CB","?"))</f>
        <v/>
      </c>
      <c r="I421" s="24" t="str">
        <f aca="false">IF(OR(E421="",E421="!!!",F421="NEW"),"",INDEX(B$2:B420,-1+SUMPRODUCT(MAX(ROW(E$2:E420)*(E421=E$2:E420)))))</f>
        <v/>
      </c>
      <c r="J421" s="24" t="str">
        <f aca="true">IF(OR(E421="",E421="!!!",F421="NEW"),"",COUNTBLANK(OFFSET(A$1,,,SUMPRODUCT(MAX(ROW(E$2:E421)*(E421=E$2:E421)))))-COUNTBLANK(OFFSET(A$1,,,SUMPRODUCT(MAX(ROW(E$1:E420)*(E2=E$1:E420))))))</f>
        <v/>
      </c>
      <c r="K421" s="24" t="str">
        <f aca="false">IF(OR(E421="",E421="!!!",F421="NEW"),"",INDEX(J$1:J420,SUMPRODUCT(MAX(ROW(E$1:E420)*(E421=E$1:E420)))))</f>
        <v/>
      </c>
      <c r="L421" s="25"/>
    </row>
    <row r="422" customFormat="false" ht="14.25" hidden="false" customHeight="false" outlineLevel="0" collapsed="false">
      <c r="A422" s="0" t="s">
        <v>160</v>
      </c>
      <c r="E422" s="20" t="str">
        <f aca="false">IF(D422="?OLD","!!!","")</f>
        <v/>
      </c>
      <c r="F422" s="21" t="str">
        <f aca="false">IF(OR(E422="",E422="!!!"),"",IF(NOT(ISNA(VLOOKUP(E422,E$1:E421,1,FALSE()))),"OLD",IF(AND(E422&lt;&gt;"",E422&lt;&gt;"!!!"),"NEW","")))</f>
        <v/>
      </c>
      <c r="G422" s="22" t="str">
        <f aca="false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aca="false">IF(J422&lt;&gt;1,"",IF(I422="SBJ","CB","?"))</f>
        <v/>
      </c>
      <c r="I422" s="24" t="str">
        <f aca="false">IF(OR(E422="",E422="!!!",F422="NEW"),"",INDEX(B$2:B421,-1+SUMPRODUCT(MAX(ROW(E$2:E421)*(E422=E$2:E421)))))</f>
        <v/>
      </c>
      <c r="J422" s="24" t="str">
        <f aca="true">IF(OR(E422="",E422="!!!",F422="NEW"),"",COUNTBLANK(OFFSET(A$1,,,SUMPRODUCT(MAX(ROW(E$2:E422)*(E422=E$2:E422)))))-COUNTBLANK(OFFSET(A$1,,,SUMPRODUCT(MAX(ROW(E$1:E421)*(E2=E$1:E421))))))</f>
        <v/>
      </c>
      <c r="K422" s="24" t="str">
        <f aca="false">IF(OR(E422="",E422="!!!",F422="NEW"),"",INDEX(J$1:J421,SUMPRODUCT(MAX(ROW(E$1:E421)*(E422=E$1:E421)))))</f>
        <v/>
      </c>
      <c r="L422" s="25"/>
    </row>
    <row r="423" customFormat="false" ht="14.25" hidden="false" customHeight="false" outlineLevel="0" collapsed="false">
      <c r="A423" s="0" t="s">
        <v>340</v>
      </c>
      <c r="B423" s="26" t="s">
        <v>307</v>
      </c>
      <c r="C423" s="26" t="s">
        <v>74</v>
      </c>
      <c r="D423" s="26" t="s">
        <v>75</v>
      </c>
      <c r="E423" s="20" t="s">
        <v>406</v>
      </c>
      <c r="F423" s="21" t="s">
        <v>107</v>
      </c>
      <c r="G423" s="22" t="e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#VALUE!</v>
      </c>
      <c r="H423" s="23" t="str">
        <f aca="false">IF(J423&lt;&gt;1,"",IF(I423="SBJ","CB","?"))</f>
        <v/>
      </c>
      <c r="I423" s="24" t="e">
        <f aca="false">IF(OR(E423="",E423="!!!",F423="NEW"),"",INDEX(B$2:B422,-1+SUMPRODUCT(MAX(ROW(E$2:E422)*(E423=E$2:E422)))))</f>
        <v>#VALUE!</v>
      </c>
      <c r="J423" s="24" t="n">
        <f aca="true">IF(OR(E423="",E423="!!!",F423="NEW"),"",COUNTBLANK(OFFSET(A$1,,,SUMPRODUCT(MAX(ROW(E$2:E423)*(E423=E$2:E423)))))-COUNTBLANK(OFFSET(A$1,,,SUMPRODUCT(MAX(ROW(E$1:E422)*(E2=E$1:E422))))))</f>
        <v>0</v>
      </c>
      <c r="K423" s="24" t="e">
        <f aca="false">IF(OR(E423="",E423="!!!",F423="NEW"),"",INDEX(J$1:J422,SUMPRODUCT(MAX(ROW(E$1:E422)*(E423=E$1:E422)))))</f>
        <v>#VALUE!</v>
      </c>
      <c r="L423" s="27" t="s">
        <v>197</v>
      </c>
    </row>
    <row r="424" customFormat="false" ht="14.25" hidden="false" customHeight="false" outlineLevel="0" collapsed="false">
      <c r="A424" s="0" t="s">
        <v>407</v>
      </c>
      <c r="E424" s="20" t="str">
        <f aca="false">IF(D424="?OLD","!!!","")</f>
        <v/>
      </c>
      <c r="F424" s="21" t="str">
        <f aca="false">IF(OR(E424="",E424="!!!"),"",IF(NOT(ISNA(VLOOKUP(E424,E$1:E423,1,FALSE()))),"OLD",IF(AND(E424&lt;&gt;"",E424&lt;&gt;"!!!"),"NEW","")))</f>
        <v/>
      </c>
      <c r="G424" s="22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aca="false">IF(J424&lt;&gt;1,"",IF(I424="SBJ","CB","?"))</f>
        <v/>
      </c>
      <c r="I424" s="24" t="str">
        <f aca="false">IF(OR(E424="",E424="!!!",F424="NEW"),"",INDEX(B$2:B423,-1+SUMPRODUCT(MAX(ROW(E$2:E423)*(E424=E$2:E423)))))</f>
        <v/>
      </c>
      <c r="J424" s="24" t="str">
        <f aca="true">IF(OR(E424="",E424="!!!",F424="NEW"),"",COUNTBLANK(OFFSET(A$1,,,SUMPRODUCT(MAX(ROW(E$2:E424)*(E424=E$2:E424)))))-COUNTBLANK(OFFSET(A$1,,,SUMPRODUCT(MAX(ROW(E$1:E423)*(E2=E$1:E423))))))</f>
        <v/>
      </c>
      <c r="K424" s="24" t="str">
        <f aca="false">IF(OR(E424="",E424="!!!",F424="NEW"),"",INDEX(J$1:J423,SUMPRODUCT(MAX(ROW(E$1:E423)*(E424=E$1:E423)))))</f>
        <v/>
      </c>
      <c r="L424" s="25"/>
    </row>
    <row r="425" customFormat="false" ht="14.25" hidden="false" customHeight="false" outlineLevel="0" collapsed="false">
      <c r="A425" s="0" t="s">
        <v>188</v>
      </c>
      <c r="E425" s="20" t="str">
        <f aca="false">IF(D425="?OLD","!!!","")</f>
        <v/>
      </c>
      <c r="F425" s="21" t="str">
        <f aca="false">IF(OR(E425="",E425="!!!"),"",IF(NOT(ISNA(VLOOKUP(E425,E$1:E424,1,FALSE()))),"OLD",IF(AND(E425&lt;&gt;"",E425&lt;&gt;"!!!"),"NEW","")))</f>
        <v/>
      </c>
      <c r="G425" s="22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aca="false">IF(J425&lt;&gt;1,"",IF(I425="SBJ","CB","?"))</f>
        <v/>
      </c>
      <c r="I425" s="24" t="str">
        <f aca="false">IF(OR(E425="",E425="!!!",F425="NEW"),"",INDEX(B$2:B424,-1+SUMPRODUCT(MAX(ROW(E$2:E424)*(E425=E$2:E424)))))</f>
        <v/>
      </c>
      <c r="J425" s="24" t="str">
        <f aca="true">IF(OR(E425="",E425="!!!",F425="NEW"),"",COUNTBLANK(OFFSET(A$1,,,SUMPRODUCT(MAX(ROW(E$2:E425)*(E425=E$2:E425)))))-COUNTBLANK(OFFSET(A$1,,,SUMPRODUCT(MAX(ROW(E$1:E424)*(E2=E$1:E424))))))</f>
        <v/>
      </c>
      <c r="K425" s="24" t="str">
        <f aca="false">IF(OR(E425="",E425="!!!",F425="NEW"),"",INDEX(J$1:J424,SUMPRODUCT(MAX(ROW(E$1:E424)*(E425=E$1:E424)))))</f>
        <v/>
      </c>
      <c r="L425" s="25"/>
    </row>
    <row r="426" customFormat="false" ht="14.25" hidden="false" customHeight="false" outlineLevel="0" collapsed="false">
      <c r="A426" s="0" t="s">
        <v>408</v>
      </c>
      <c r="B426" s="26" t="s">
        <v>307</v>
      </c>
      <c r="C426" s="26" t="s">
        <v>74</v>
      </c>
      <c r="D426" s="26" t="s">
        <v>75</v>
      </c>
      <c r="E426" s="20" t="s">
        <v>409</v>
      </c>
      <c r="F426" s="21" t="str">
        <f aca="false">IF(OR(E426="",E426="!!!"),"",IF(NOT(ISNA(VLOOKUP(E426,E$1:E425,1,FALSE()))),"OLD",IF(AND(E426&lt;&gt;"",E426&lt;&gt;"!!!"),"NEW","")))</f>
        <v>NEW</v>
      </c>
      <c r="G426" s="22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?REFERENTIAL</v>
      </c>
      <c r="H426" s="23" t="str">
        <f aca="false">IF(J426&lt;&gt;1,"",IF(I426="SBJ","CB","?"))</f>
        <v/>
      </c>
      <c r="I426" s="24" t="str">
        <f aca="false">IF(OR(E426="",E426="!!!",F426="NEW"),"",INDEX(B$2:B425,-1+SUMPRODUCT(MAX(ROW(E$2:E425)*(E426=E$2:E425)))))</f>
        <v/>
      </c>
      <c r="J426" s="24" t="str">
        <f aca="true">IF(OR(E426="",E426="!!!",F426="NEW"),"",COUNTBLANK(OFFSET(A$1,,,SUMPRODUCT(MAX(ROW(E$2:E426)*(E426=E$2:E426)))))-COUNTBLANK(OFFSET(A$1,,,SUMPRODUCT(MAX(ROW(E$1:E425)*(E2=E$1:E425))))))</f>
        <v/>
      </c>
      <c r="K426" s="24" t="str">
        <f aca="false">IF(OR(E426="",E426="!!!",F426="NEW"),"",INDEX(J$1:J425,SUMPRODUCT(MAX(ROW(E$1:E425)*(E426=E$1:E425)))))</f>
        <v/>
      </c>
      <c r="L426" s="25"/>
    </row>
    <row r="427" customFormat="false" ht="14.25" hidden="false" customHeight="false" outlineLevel="0" collapsed="false">
      <c r="A427" s="0" t="s">
        <v>142</v>
      </c>
      <c r="E427" s="20" t="str">
        <f aca="false">IF(D427="?OLD","!!!","")</f>
        <v/>
      </c>
      <c r="F427" s="21" t="str">
        <f aca="false">IF(OR(E427="",E427="!!!"),"",IF(NOT(ISNA(VLOOKUP(E427,E$1:E426,1,FALSE()))),"OLD",IF(AND(E427&lt;&gt;"",E427&lt;&gt;"!!!"),"NEW","")))</f>
        <v/>
      </c>
      <c r="G427" s="22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aca="false">IF(J427&lt;&gt;1,"",IF(I427="SBJ","CB","?"))</f>
        <v/>
      </c>
      <c r="I427" s="24" t="str">
        <f aca="false">IF(OR(E427="",E427="!!!",F427="NEW"),"",INDEX(B$2:B426,-1+SUMPRODUCT(MAX(ROW(E$2:E426)*(E427=E$2:E426)))))</f>
        <v/>
      </c>
      <c r="J427" s="24" t="str">
        <f aca="true">IF(OR(E427="",E427="!!!",F427="NEW"),"",COUNTBLANK(OFFSET(A$1,,,SUMPRODUCT(MAX(ROW(E$2:E427)*(E427=E$2:E427)))))-COUNTBLANK(OFFSET(A$1,,,SUMPRODUCT(MAX(ROW(E$1:E426)*(E2=E$1:E426))))))</f>
        <v/>
      </c>
      <c r="K427" s="24" t="str">
        <f aca="false">IF(OR(E427="",E427="!!!",F427="NEW"),"",INDEX(J$1:J426,SUMPRODUCT(MAX(ROW(E$1:E426)*(E427=E$1:E426)))))</f>
        <v/>
      </c>
      <c r="L427" s="25"/>
    </row>
    <row r="428" customFormat="false" ht="14.25" hidden="false" customHeight="false" outlineLevel="0" collapsed="false">
      <c r="A428" s="0" t="s">
        <v>103</v>
      </c>
      <c r="B428" s="26" t="s">
        <v>410</v>
      </c>
      <c r="C428" s="26" t="s">
        <v>105</v>
      </c>
      <c r="E428" s="20"/>
      <c r="F428" s="21" t="str">
        <f aca="false">IF(OR(E428="",E428="!!!"),"",IF(NOT(ISNA(VLOOKUP(E428,E$1:E427,1,FALSE()))),"OLD",IF(AND(E428&lt;&gt;"",E428&lt;&gt;"!!!"),"NEW","")))</f>
        <v/>
      </c>
      <c r="G428" s="22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aca="false">IF(J428&lt;&gt;1,"",IF(I428="SBJ","CB","?"))</f>
        <v/>
      </c>
      <c r="I428" s="24" t="str">
        <f aca="false">IF(OR(E428="",E428="!!!",F428="NEW"),"",INDEX(B$2:B427,-1+SUMPRODUCT(MAX(ROW(E$2:E427)*(E428=E$2:E427)))))</f>
        <v/>
      </c>
      <c r="J428" s="24" t="str">
        <f aca="true">IF(OR(E428="",E428="!!!",F428="NEW"),"",COUNTBLANK(OFFSET(A$1,,,SUMPRODUCT(MAX(ROW(E$2:E428)*(E428=E$2:E428)))))-COUNTBLANK(OFFSET(A$1,,,SUMPRODUCT(MAX(ROW(E$1:E427)*(E2=E$1:E427))))))</f>
        <v/>
      </c>
      <c r="K428" s="24" t="str">
        <f aca="false">IF(OR(E428="",E428="!!!",F428="NEW"),"",INDEX(J$1:J427,SUMPRODUCT(MAX(ROW(E$1:E427)*(E428=E$1:E427)))))</f>
        <v/>
      </c>
      <c r="L428" s="25"/>
    </row>
    <row r="429" customFormat="false" ht="14.25" hidden="false" customHeight="false" outlineLevel="0" collapsed="false">
      <c r="A429" s="0" t="s">
        <v>86</v>
      </c>
      <c r="E429" s="20" t="str">
        <f aca="false">IF(D429="?OLD","!!!","")</f>
        <v/>
      </c>
      <c r="F429" s="21" t="str">
        <f aca="false">IF(OR(E429="",E429="!!!"),"",IF(NOT(ISNA(VLOOKUP(E429,E$1:E428,1,FALSE()))),"OLD",IF(AND(E429&lt;&gt;"",E429&lt;&gt;"!!!"),"NEW","")))</f>
        <v/>
      </c>
      <c r="G429" s="22" t="str">
        <f aca="false"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aca="false">IF(J429&lt;&gt;1,"",IF(I429="SBJ","CB","?"))</f>
        <v/>
      </c>
      <c r="I429" s="24" t="str">
        <f aca="false">IF(OR(E429="",E429="!!!",F429="NEW"),"",INDEX(B$2:B428,-1+SUMPRODUCT(MAX(ROW(E$2:E428)*(E429=E$2:E428)))))</f>
        <v/>
      </c>
      <c r="J429" s="24" t="str">
        <f aca="true">IF(OR(E429="",E429="!!!",F429="NEW"),"",COUNTBLANK(OFFSET(A$1,,,SUMPRODUCT(MAX(ROW(E$2:E429)*(E429=E$2:E429)))))-COUNTBLANK(OFFSET(A$1,,,SUMPRODUCT(MAX(ROW(E$1:E428)*(E2=E$1:E428))))))</f>
        <v/>
      </c>
      <c r="K429" s="24" t="str">
        <f aca="false">IF(OR(E429="",E429="!!!",F429="NEW"),"",INDEX(J$1:J428,SUMPRODUCT(MAX(ROW(E$1:E428)*(E429=E$1:E428)))))</f>
        <v/>
      </c>
      <c r="L429" s="25"/>
    </row>
    <row r="430" customFormat="false" ht="14.25" hidden="false" customHeight="false" outlineLevel="0" collapsed="false">
      <c r="A430" s="0" t="s">
        <v>193</v>
      </c>
      <c r="B430" s="26" t="s">
        <v>204</v>
      </c>
      <c r="C430" s="26" t="s">
        <v>88</v>
      </c>
      <c r="D430" s="26" t="s">
        <v>75</v>
      </c>
      <c r="E430" s="20" t="s">
        <v>97</v>
      </c>
      <c r="F430" s="21" t="str">
        <f aca="false">IF(OR(E430="",E430="!!!"),"",IF(NOT(ISNA(VLOOKUP(E430,E$1:E429,1,FALSE()))),"OLD",IF(AND(E430&lt;&gt;"",E430&lt;&gt;"!!!"),"NEW","")))</f>
        <v>OLD</v>
      </c>
      <c r="G430" s="22" t="str">
        <f aca="false"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?IN_FOCUS</v>
      </c>
      <c r="H430" s="23" t="str">
        <f aca="false">IF(J430&lt;&gt;1,"",IF(I430="SBJ","CB","?"))</f>
        <v/>
      </c>
      <c r="I430" s="24" t="str">
        <f aca="false">IF(OR(E430="",E430="!!!",F430="NEW"),"",INDEX(B$2:B429,-1+SUMPRODUCT(MAX(ROW(E$2:E429)*(E430=E$2:E429)))))</f>
        <v>OBJ_2</v>
      </c>
      <c r="J430" s="24" t="n">
        <f aca="true">IF(OR(E430="",E430="!!!",F430="NEW"),"",COUNTBLANK(OFFSET(A$1,,,SUMPRODUCT(MAX(ROW(E$2:E430)*(E430=E$2:E430)))))-COUNTBLANK(OFFSET(A$1,,,SUMPRODUCT(MAX(ROW(E$1:E429)*(E2=E$1:E429))))))</f>
        <v>0</v>
      </c>
      <c r="K430" s="24" t="n">
        <f aca="false">IF(OR(E430="",E430="!!!",F430="NEW"),"",INDEX(J$1:J429,SUMPRODUCT(MAX(ROW(E$1:E429)*(E430=E$1:E429)))))</f>
        <v>0</v>
      </c>
      <c r="L430" s="25"/>
    </row>
    <row r="431" customFormat="false" ht="14.25" hidden="false" customHeight="false" outlineLevel="0" collapsed="false">
      <c r="A431" s="0" t="s">
        <v>411</v>
      </c>
      <c r="E431" s="20" t="str">
        <f aca="false">IF(D431="?OLD","!!!","")</f>
        <v/>
      </c>
      <c r="F431" s="21" t="str">
        <f aca="false">IF(OR(E431="",E431="!!!"),"",IF(NOT(ISNA(VLOOKUP(E431,E$1:E430,1,FALSE()))),"OLD",IF(AND(E431&lt;&gt;"",E431&lt;&gt;"!!!"),"NEW","")))</f>
        <v/>
      </c>
      <c r="G431" s="22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aca="false">IF(J431&lt;&gt;1,"",IF(I431="SBJ","CB","?"))</f>
        <v/>
      </c>
      <c r="I431" s="24" t="str">
        <f aca="false">IF(OR(E431="",E431="!!!",F431="NEW"),"",INDEX(B$2:B430,-1+SUMPRODUCT(MAX(ROW(E$2:E430)*(E431=E$2:E430)))))</f>
        <v/>
      </c>
      <c r="J431" s="24" t="str">
        <f aca="true">IF(OR(E431="",E431="!!!",F431="NEW"),"",COUNTBLANK(OFFSET(A$1,,,SUMPRODUCT(MAX(ROW(E$2:E431)*(E431=E$2:E431)))))-COUNTBLANK(OFFSET(A$1,,,SUMPRODUCT(MAX(ROW(E$1:E430)*(E2=E$1:E430))))))</f>
        <v/>
      </c>
      <c r="K431" s="24" t="str">
        <f aca="false">IF(OR(E431="",E431="!!!",F431="NEW"),"",INDEX(J$1:J430,SUMPRODUCT(MAX(ROW(E$1:E430)*(E431=E$1:E430)))))</f>
        <v/>
      </c>
      <c r="L431" s="25"/>
    </row>
    <row r="432" customFormat="false" ht="14.25" hidden="false" customHeight="false" outlineLevel="0" collapsed="false">
      <c r="A432" s="0" t="s">
        <v>412</v>
      </c>
      <c r="E432" s="20" t="str">
        <f aca="false">IF(D432="?OLD","!!!","")</f>
        <v/>
      </c>
      <c r="F432" s="21" t="str">
        <f aca="false">IF(OR(E432="",E432="!!!"),"",IF(NOT(ISNA(VLOOKUP(E432,E$1:E431,1,FALSE()))),"OLD",IF(AND(E432&lt;&gt;"",E432&lt;&gt;"!!!"),"NEW","")))</f>
        <v/>
      </c>
      <c r="G432" s="22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aca="false">IF(J432&lt;&gt;1,"",IF(I432="SBJ","CB","?"))</f>
        <v/>
      </c>
      <c r="I432" s="24" t="str">
        <f aca="false">IF(OR(E432="",E432="!!!",F432="NEW"),"",INDEX(B$2:B431,-1+SUMPRODUCT(MAX(ROW(E$2:E431)*(E432=E$2:E431)))))</f>
        <v/>
      </c>
      <c r="J432" s="24" t="str">
        <f aca="true">IF(OR(E432="",E432="!!!",F432="NEW"),"",COUNTBLANK(OFFSET(A$1,,,SUMPRODUCT(MAX(ROW(E$2:E432)*(E432=E$2:E432)))))-COUNTBLANK(OFFSET(A$1,,,SUMPRODUCT(MAX(ROW(E$1:E431)*(E2=E$1:E431))))))</f>
        <v/>
      </c>
      <c r="K432" s="24" t="str">
        <f aca="false">IF(OR(E432="",E432="!!!",F432="NEW"),"",INDEX(J$1:J431,SUMPRODUCT(MAX(ROW(E$1:E431)*(E432=E$1:E431)))))</f>
        <v/>
      </c>
      <c r="L432" s="25"/>
    </row>
    <row r="433" customFormat="false" ht="14.25" hidden="false" customHeight="false" outlineLevel="0" collapsed="false">
      <c r="A433" s="0" t="s">
        <v>413</v>
      </c>
      <c r="E433" s="20" t="str">
        <f aca="false">IF(D433="?OLD","!!!","")</f>
        <v/>
      </c>
      <c r="F433" s="21" t="str">
        <f aca="false">IF(OR(E433="",E433="!!!"),"",IF(NOT(ISNA(VLOOKUP(E433,E$1:E432,1,FALSE()))),"OLD",IF(AND(E433&lt;&gt;"",E433&lt;&gt;"!!!"),"NEW","")))</f>
        <v/>
      </c>
      <c r="G433" s="22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aca="false">IF(J433&lt;&gt;1,"",IF(I433="SBJ","CB","?"))</f>
        <v/>
      </c>
      <c r="I433" s="24" t="str">
        <f aca="false">IF(OR(E433="",E433="!!!",F433="NEW"),"",INDEX(B$2:B432,-1+SUMPRODUCT(MAX(ROW(E$2:E432)*(E433=E$2:E432)))))</f>
        <v/>
      </c>
      <c r="J433" s="24" t="str">
        <f aca="true">IF(OR(E433="",E433="!!!",F433="NEW"),"",COUNTBLANK(OFFSET(A$1,,,SUMPRODUCT(MAX(ROW(E$2:E433)*(E433=E$2:E433)))))-COUNTBLANK(OFFSET(A$1,,,SUMPRODUCT(MAX(ROW(E$1:E432)*(E2=E$1:E432))))))</f>
        <v/>
      </c>
      <c r="K433" s="24" t="str">
        <f aca="false">IF(OR(E433="",E433="!!!",F433="NEW"),"",INDEX(J$1:J432,SUMPRODUCT(MAX(ROW(E$1:E432)*(E433=E$1:E432)))))</f>
        <v/>
      </c>
      <c r="L433" s="25"/>
    </row>
    <row r="434" customFormat="false" ht="14.25" hidden="false" customHeight="false" outlineLevel="0" collapsed="false">
      <c r="A434" s="0" t="s">
        <v>101</v>
      </c>
      <c r="E434" s="20" t="str">
        <f aca="false">IF(D434="?OLD","!!!","")</f>
        <v/>
      </c>
      <c r="F434" s="21" t="str">
        <f aca="false">IF(OR(E434="",E434="!!!"),"",IF(NOT(ISNA(VLOOKUP(E434,E$1:E433,1,FALSE()))),"OLD",IF(AND(E434&lt;&gt;"",E434&lt;&gt;"!!!"),"NEW","")))</f>
        <v/>
      </c>
      <c r="G434" s="22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aca="false">IF(J434&lt;&gt;1,"",IF(I434="SBJ","CB","?"))</f>
        <v/>
      </c>
      <c r="I434" s="24" t="str">
        <f aca="false">IF(OR(E434="",E434="!!!",F434="NEW"),"",INDEX(B$2:B433,-1+SUMPRODUCT(MAX(ROW(E$2:E433)*(E434=E$2:E433)))))</f>
        <v/>
      </c>
      <c r="J434" s="24" t="str">
        <f aca="true">IF(OR(E434="",E434="!!!",F434="NEW"),"",COUNTBLANK(OFFSET(A$1,,,SUMPRODUCT(MAX(ROW(E$2:E434)*(E434=E$2:E434)))))-COUNTBLANK(OFFSET(A$1,,,SUMPRODUCT(MAX(ROW(E$1:E433)*(E2=E$1:E433))))))</f>
        <v/>
      </c>
      <c r="K434" s="24" t="str">
        <f aca="false">IF(OR(E434="",E434="!!!",F434="NEW"),"",INDEX(J$1:J433,SUMPRODUCT(MAX(ROW(E$1:E433)*(E434=E$1:E433)))))</f>
        <v/>
      </c>
      <c r="L434" s="25"/>
    </row>
    <row r="435" customFormat="false" ht="14.25" hidden="false" customHeight="false" outlineLevel="0" collapsed="false">
      <c r="A435" s="0" t="s">
        <v>123</v>
      </c>
      <c r="B435" s="26" t="s">
        <v>208</v>
      </c>
      <c r="C435" s="26" t="s">
        <v>88</v>
      </c>
      <c r="D435" s="26" t="s">
        <v>75</v>
      </c>
      <c r="E435" s="20"/>
      <c r="F435" s="21" t="s">
        <v>124</v>
      </c>
      <c r="G435" s="22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aca="false">IF(J435&lt;&gt;1,"",IF(I435="SBJ","CB","?"))</f>
        <v/>
      </c>
      <c r="I435" s="24" t="str">
        <f aca="false">IF(OR(E435="",E435="!!!",F435="NEW"),"",INDEX(B$2:B434,-1+SUMPRODUCT(MAX(ROW(E$2:E434)*(E435=E$2:E434)))))</f>
        <v/>
      </c>
      <c r="J435" s="24" t="str">
        <f aca="true">IF(OR(E435="",E435="!!!",F435="NEW"),"",COUNTBLANK(OFFSET(A$1,,,SUMPRODUCT(MAX(ROW(E$2:E435)*(E435=E$2:E435)))))-COUNTBLANK(OFFSET(A$1,,,SUMPRODUCT(MAX(ROW(E$1:E434)*(E2=E$1:E434))))))</f>
        <v/>
      </c>
      <c r="K435" s="24" t="str">
        <f aca="false">IF(OR(E435="",E435="!!!",F435="NEW"),"",INDEX(J$1:J434,SUMPRODUCT(MAX(ROW(E$1:E434)*(E435=E$1:E434)))))</f>
        <v/>
      </c>
      <c r="L435" s="25"/>
    </row>
    <row r="436" customFormat="false" ht="14.25" hidden="false" customHeight="false" outlineLevel="0" collapsed="false">
      <c r="A436" s="0" t="s">
        <v>129</v>
      </c>
      <c r="E436" s="20" t="str">
        <f aca="false">IF(D436="?OLD","!!!","")</f>
        <v/>
      </c>
      <c r="F436" s="21" t="str">
        <f aca="false">IF(OR(E436="",E436="!!!"),"",IF(NOT(ISNA(VLOOKUP(E436,E$1:E435,1,FALSE()))),"OLD",IF(AND(E436&lt;&gt;"",E436&lt;&gt;"!!!"),"NEW","")))</f>
        <v/>
      </c>
      <c r="G436" s="22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aca="false">IF(J436&lt;&gt;1,"",IF(I436="SBJ","CB","?"))</f>
        <v/>
      </c>
      <c r="I436" s="24" t="str">
        <f aca="false">IF(OR(E436="",E436="!!!",F436="NEW"),"",INDEX(B$2:B435,-1+SUMPRODUCT(MAX(ROW(E$2:E435)*(E436=E$2:E435)))))</f>
        <v/>
      </c>
      <c r="J436" s="24" t="str">
        <f aca="true">IF(OR(E436="",E436="!!!",F436="NEW"),"",COUNTBLANK(OFFSET(A$1,,,SUMPRODUCT(MAX(ROW(E$2:E436)*(E436=E$2:E436)))))-COUNTBLANK(OFFSET(A$1,,,SUMPRODUCT(MAX(ROW(E$1:E435)*(E2=E$1:E435))))))</f>
        <v/>
      </c>
      <c r="K436" s="24" t="str">
        <f aca="false">IF(OR(E436="",E436="!!!",F436="NEW"),"",INDEX(J$1:J435,SUMPRODUCT(MAX(ROW(E$1:E435)*(E436=E$1:E435)))))</f>
        <v/>
      </c>
      <c r="L436" s="25"/>
    </row>
    <row r="437" customFormat="false" ht="14.25" hidden="false" customHeight="false" outlineLevel="0" collapsed="false">
      <c r="A437" s="0" t="s">
        <v>125</v>
      </c>
      <c r="E437" s="20" t="str">
        <f aca="false">IF(D437="?OLD","!!!","")</f>
        <v/>
      </c>
      <c r="F437" s="21" t="str">
        <f aca="false">IF(OR(E437="",E437="!!!"),"",IF(NOT(ISNA(VLOOKUP(E437,E$1:E436,1,FALSE()))),"OLD",IF(AND(E437&lt;&gt;"",E437&lt;&gt;"!!!"),"NEW","")))</f>
        <v/>
      </c>
      <c r="G437" s="22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aca="false">IF(J437&lt;&gt;1,"",IF(I437="SBJ","CB","?"))</f>
        <v/>
      </c>
      <c r="I437" s="24" t="str">
        <f aca="false">IF(OR(E437="",E437="!!!",F437="NEW"),"",INDEX(B$2:B436,-1+SUMPRODUCT(MAX(ROW(E$2:E436)*(E437=E$2:E436)))))</f>
        <v/>
      </c>
      <c r="J437" s="24" t="str">
        <f aca="true">IF(OR(E437="",E437="!!!",F437="NEW"),"",COUNTBLANK(OFFSET(A$1,,,SUMPRODUCT(MAX(ROW(E$2:E437)*(E437=E$2:E437)))))-COUNTBLANK(OFFSET(A$1,,,SUMPRODUCT(MAX(ROW(E$1:E436)*(E2=E$1:E436))))))</f>
        <v/>
      </c>
      <c r="K437" s="24" t="str">
        <f aca="false">IF(OR(E437="",E437="!!!",F437="NEW"),"",INDEX(J$1:J436,SUMPRODUCT(MAX(ROW(E$1:E436)*(E437=E$1:E436)))))</f>
        <v/>
      </c>
      <c r="L437" s="25"/>
    </row>
    <row r="438" customFormat="false" ht="14.25" hidden="false" customHeight="false" outlineLevel="0" collapsed="false">
      <c r="A438" s="0" t="s">
        <v>136</v>
      </c>
      <c r="E438" s="20" t="str">
        <f aca="false">IF(D438="?OLD","!!!","")</f>
        <v/>
      </c>
      <c r="F438" s="21" t="str">
        <f aca="false">IF(OR(E438="",E438="!!!"),"",IF(NOT(ISNA(VLOOKUP(E438,E$1:E437,1,FALSE()))),"OLD",IF(AND(E438&lt;&gt;"",E438&lt;&gt;"!!!"),"NEW","")))</f>
        <v/>
      </c>
      <c r="G438" s="22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aca="false">IF(J438&lt;&gt;1,"",IF(I438="SBJ","CB","?"))</f>
        <v/>
      </c>
      <c r="I438" s="24" t="str">
        <f aca="false">IF(OR(E438="",E438="!!!",F438="NEW"),"",INDEX(B$2:B437,-1+SUMPRODUCT(MAX(ROW(E$2:E437)*(E438=E$2:E437)))))</f>
        <v/>
      </c>
      <c r="J438" s="24" t="str">
        <f aca="true">IF(OR(E438="",E438="!!!",F438="NEW"),"",COUNTBLANK(OFFSET(A$1,,,SUMPRODUCT(MAX(ROW(E$2:E438)*(E438=E$2:E438)))))-COUNTBLANK(OFFSET(A$1,,,SUMPRODUCT(MAX(ROW(E$1:E437)*(E2=E$1:E437))))))</f>
        <v/>
      </c>
      <c r="K438" s="24" t="str">
        <f aca="false">IF(OR(E438="",E438="!!!",F438="NEW"),"",INDEX(J$1:J437,SUMPRODUCT(MAX(ROW(E$1:E437)*(E438=E$1:E437)))))</f>
        <v/>
      </c>
      <c r="L438" s="25"/>
    </row>
    <row r="439" customFormat="false" ht="14.25" hidden="false" customHeight="false" outlineLevel="0" collapsed="false">
      <c r="A439" s="0" t="s">
        <v>92</v>
      </c>
      <c r="E439" s="20" t="str">
        <f aca="false">IF(D439="?OLD","!!!","")</f>
        <v/>
      </c>
      <c r="F439" s="21" t="str">
        <f aca="false">IF(OR(E439="",E439="!!!"),"",IF(NOT(ISNA(VLOOKUP(E439,E$1:E438,1,FALSE()))),"OLD",IF(AND(E439&lt;&gt;"",E439&lt;&gt;"!!!"),"NEW","")))</f>
        <v/>
      </c>
      <c r="G439" s="22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aca="false">IF(J439&lt;&gt;1,"",IF(I439="SBJ","CB","?"))</f>
        <v/>
      </c>
      <c r="I439" s="24" t="str">
        <f aca="false">IF(OR(E439="",E439="!!!",F439="NEW"),"",INDEX(B$2:B438,-1+SUMPRODUCT(MAX(ROW(E$2:E438)*(E439=E$2:E438)))))</f>
        <v/>
      </c>
      <c r="J439" s="24" t="str">
        <f aca="true">IF(OR(E439="",E439="!!!",F439="NEW"),"",COUNTBLANK(OFFSET(A$1,,,SUMPRODUCT(MAX(ROW(E$2:E439)*(E439=E$2:E439)))))-COUNTBLANK(OFFSET(A$1,,,SUMPRODUCT(MAX(ROW(E$1:E438)*(E2=E$1:E438))))))</f>
        <v/>
      </c>
      <c r="K439" s="24" t="str">
        <f aca="false">IF(OR(E439="",E439="!!!",F439="NEW"),"",INDEX(J$1:J438,SUMPRODUCT(MAX(ROW(E$1:E438)*(E439=E$1:E438)))))</f>
        <v/>
      </c>
      <c r="L439" s="25"/>
    </row>
    <row r="440" customFormat="false" ht="14.25" hidden="false" customHeight="false" outlineLevel="0" collapsed="false">
      <c r="A440" s="0" t="s">
        <v>137</v>
      </c>
      <c r="E440" s="20" t="str">
        <f aca="false">IF(D440="?OLD","!!!","")</f>
        <v/>
      </c>
      <c r="F440" s="21" t="str">
        <f aca="false">IF(OR(E440="",E440="!!!"),"",IF(NOT(ISNA(VLOOKUP(E440,E$1:E439,1,FALSE()))),"OLD",IF(AND(E440&lt;&gt;"",E440&lt;&gt;"!!!"),"NEW","")))</f>
        <v/>
      </c>
      <c r="G440" s="22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aca="false">IF(J440&lt;&gt;1,"",IF(I440="SBJ","CB","?"))</f>
        <v/>
      </c>
      <c r="I440" s="24" t="str">
        <f aca="false">IF(OR(E440="",E440="!!!",F440="NEW"),"",INDEX(B$2:B439,-1+SUMPRODUCT(MAX(ROW(E$2:E439)*(E440=E$2:E439)))))</f>
        <v/>
      </c>
      <c r="J440" s="24" t="str">
        <f aca="true">IF(OR(E440="",E440="!!!",F440="NEW"),"",COUNTBLANK(OFFSET(A$1,,,SUMPRODUCT(MAX(ROW(E$2:E440)*(E440=E$2:E440)))))-COUNTBLANK(OFFSET(A$1,,,SUMPRODUCT(MAX(ROW(E$1:E439)*(E2=E$1:E439))))))</f>
        <v/>
      </c>
      <c r="K440" s="24" t="str">
        <f aca="false">IF(OR(E440="",E440="!!!",F440="NEW"),"",INDEX(J$1:J439,SUMPRODUCT(MAX(ROW(E$1:E439)*(E440=E$1:E439)))))</f>
        <v/>
      </c>
      <c r="L440" s="25"/>
    </row>
    <row r="441" customFormat="false" ht="14.25" hidden="false" customHeight="false" outlineLevel="0" collapsed="false">
      <c r="A441" s="0" t="s">
        <v>153</v>
      </c>
      <c r="B441" s="26" t="s">
        <v>410</v>
      </c>
      <c r="C441" s="26" t="s">
        <v>74</v>
      </c>
      <c r="D441" s="26" t="s">
        <v>75</v>
      </c>
      <c r="E441" s="20" t="s">
        <v>281</v>
      </c>
      <c r="F441" s="21" t="str">
        <f aca="false">IF(OR(E441="",E441="!!!"),"",IF(NOT(ISNA(VLOOKUP(E441,E$1:E440,1,FALSE()))),"OLD",IF(AND(E441&lt;&gt;"",E441&lt;&gt;"!!!"),"NEW","")))</f>
        <v>OLD</v>
      </c>
      <c r="G441" s="22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?IN_FOCUS</v>
      </c>
      <c r="H441" s="23" t="str">
        <f aca="false">IF(J441&lt;&gt;1,"",IF(I441="SBJ","CB","?"))</f>
        <v/>
      </c>
      <c r="I441" s="24" t="str">
        <f aca="false">IF(OR(E441="",E441="!!!",F441="NEW"),"",INDEX(B$2:B440,-1+SUMPRODUCT(MAX(ROW(E$2:E440)*(E441=E$2:E440)))))</f>
        <v>SBJ_2</v>
      </c>
      <c r="J441" s="24" t="n">
        <f aca="true">IF(OR(E441="",E441="!!!",F441="NEW"),"",COUNTBLANK(OFFSET(A$1,,,SUMPRODUCT(MAX(ROW(E$2:E441)*(E441=E$2:E441)))))-COUNTBLANK(OFFSET(A$1,,,SUMPRODUCT(MAX(ROW(E$1:E440)*(E2=E$1:E440))))))</f>
        <v>0</v>
      </c>
      <c r="K441" s="24" t="n">
        <f aca="false">IF(OR(E441="",E441="!!!",F441="NEW"),"",INDEX(J$1:J440,SUMPRODUCT(MAX(ROW(E$1:E440)*(E441=E$1:E440)))))</f>
        <v>0</v>
      </c>
      <c r="L441" s="25"/>
    </row>
    <row r="442" customFormat="false" ht="14.25" hidden="false" customHeight="false" outlineLevel="0" collapsed="false">
      <c r="A442" s="0" t="s">
        <v>86</v>
      </c>
      <c r="E442" s="20" t="str">
        <f aca="false">IF(D442="?OLD","!!!","")</f>
        <v/>
      </c>
      <c r="F442" s="21" t="str">
        <f aca="false">IF(OR(E442="",E442="!!!"),"",IF(NOT(ISNA(VLOOKUP(E442,E$1:E441,1,FALSE()))),"OLD",IF(AND(E442&lt;&gt;"",E442&lt;&gt;"!!!"),"NEW","")))</f>
        <v/>
      </c>
      <c r="G442" s="22" t="str">
        <f aca="false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aca="false">IF(J442&lt;&gt;1,"",IF(I442="SBJ","CB","?"))</f>
        <v/>
      </c>
      <c r="I442" s="24" t="str">
        <f aca="false">IF(OR(E442="",E442="!!!",F442="NEW"),"",INDEX(B$2:B441,-1+SUMPRODUCT(MAX(ROW(E$2:E441)*(E442=E$2:E441)))))</f>
        <v/>
      </c>
      <c r="J442" s="24" t="str">
        <f aca="true">IF(OR(E442="",E442="!!!",F442="NEW"),"",COUNTBLANK(OFFSET(A$1,,,SUMPRODUCT(MAX(ROW(E$2:E442)*(E442=E$2:E442)))))-COUNTBLANK(OFFSET(A$1,,,SUMPRODUCT(MAX(ROW(E$1:E441)*(E2=E$1:E441))))))</f>
        <v/>
      </c>
      <c r="K442" s="24" t="str">
        <f aca="false">IF(OR(E442="",E442="!!!",F442="NEW"),"",INDEX(J$1:J441,SUMPRODUCT(MAX(ROW(E$1:E441)*(E442=E$1:E441)))))</f>
        <v/>
      </c>
      <c r="L442" s="25"/>
    </row>
    <row r="443" customFormat="false" ht="14.25" hidden="false" customHeight="false" outlineLevel="0" collapsed="false">
      <c r="A443" s="0" t="s">
        <v>322</v>
      </c>
      <c r="B443" s="26" t="s">
        <v>204</v>
      </c>
      <c r="C443" s="26" t="s">
        <v>283</v>
      </c>
      <c r="D443" s="26" t="s">
        <v>75</v>
      </c>
      <c r="E443" s="20"/>
      <c r="F443" s="21" t="str">
        <f aca="false">IF(OR(E443="",E443="!!!"),"",IF(NOT(ISNA(VLOOKUP(E443,E$1:E442,1,FALSE()))),"OLD",IF(AND(E443&lt;&gt;"",E443&lt;&gt;"!!!"),"NEW","")))</f>
        <v/>
      </c>
      <c r="G443" s="22" t="str">
        <f aca="false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aca="false">IF(J443&lt;&gt;1,"",IF(I443="SBJ","CB","?"))</f>
        <v/>
      </c>
      <c r="I443" s="24" t="str">
        <f aca="false">IF(OR(E443="",E443="!!!",F443="NEW"),"",INDEX(B$2:B442,-1+SUMPRODUCT(MAX(ROW(E$2:E442)*(E443=E$2:E442)))))</f>
        <v/>
      </c>
      <c r="J443" s="24" t="str">
        <f aca="true">IF(OR(E443="",E443="!!!",F443="NEW"),"",COUNTBLANK(OFFSET(A$1,,,SUMPRODUCT(MAX(ROW(E$2:E443)*(E443=E$2:E443)))))-COUNTBLANK(OFFSET(A$1,,,SUMPRODUCT(MAX(ROW(E$1:E442)*(E2=E$1:E442))))))</f>
        <v/>
      </c>
      <c r="K443" s="24" t="str">
        <f aca="false">IF(OR(E443="",E443="!!!",F443="NEW"),"",INDEX(J$1:J442,SUMPRODUCT(MAX(ROW(E$1:E442)*(E443=E$1:E442)))))</f>
        <v/>
      </c>
      <c r="L443" s="27" t="s">
        <v>134</v>
      </c>
    </row>
    <row r="444" customFormat="false" ht="14.25" hidden="false" customHeight="false" outlineLevel="0" collapsed="false">
      <c r="A444" s="0" t="s">
        <v>365</v>
      </c>
      <c r="E444" s="20" t="s">
        <v>366</v>
      </c>
      <c r="F444" s="21" t="str">
        <f aca="false">IF(OR(E444="",E444="!!!"),"",IF(NOT(ISNA(VLOOKUP(E444,E$1:E443,1,FALSE()))),"OLD",IF(AND(E444&lt;&gt;"",E444&lt;&gt;"!!!"),"NEW","")))</f>
        <v>OLD</v>
      </c>
      <c r="G444" s="22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?IN_FOCUS</v>
      </c>
      <c r="H444" s="23" t="str">
        <f aca="false">IF(J444&lt;&gt;1,"",IF(I444="SBJ","CB","?"))</f>
        <v/>
      </c>
      <c r="I444" s="24" t="str">
        <f aca="false">IF(OR(E444="",E444="!!!",F444="NEW"),"",INDEX(B$2:B443,-1+SUMPRODUCT(MAX(ROW(E$2:E443)*(E444=E$2:E443)))))</f>
        <v>other_5</v>
      </c>
      <c r="J444" s="24" t="n">
        <f aca="true">IF(OR(E444="",E444="!!!",F444="NEW"),"",COUNTBLANK(OFFSET(A$1,,,SUMPRODUCT(MAX(ROW(E$2:E444)*(E444=E$2:E444)))))-COUNTBLANK(OFFSET(A$1,,,SUMPRODUCT(MAX(ROW(E$1:E443)*(E2=E$1:E443))))))</f>
        <v>0</v>
      </c>
      <c r="K444" s="24" t="str">
        <f aca="false">IF(OR(E444="",E444="!!!",F444="NEW"),"",INDEX(J$1:J443,SUMPRODUCT(MAX(ROW(E$1:E443)*(E444=E$1:E443)))))</f>
        <v/>
      </c>
      <c r="L444" s="27" t="s">
        <v>414</v>
      </c>
    </row>
    <row r="445" customFormat="false" ht="14.25" hidden="false" customHeight="false" outlineLevel="0" collapsed="false">
      <c r="A445" s="0" t="s">
        <v>78</v>
      </c>
      <c r="E445" s="20" t="str">
        <f aca="false">IF(D445="?OLD","!!!","")</f>
        <v/>
      </c>
      <c r="F445" s="21" t="str">
        <f aca="false">IF(OR(E445="",E445="!!!"),"",IF(NOT(ISNA(VLOOKUP(E445,E$1:E444,1,FALSE()))),"OLD",IF(AND(E445&lt;&gt;"",E445&lt;&gt;"!!!"),"NEW","")))</f>
        <v/>
      </c>
      <c r="G445" s="22" t="str">
        <f aca="false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aca="false">IF(J445&lt;&gt;1,"",IF(I445="SBJ","CB","?"))</f>
        <v/>
      </c>
      <c r="I445" s="24" t="str">
        <f aca="false">IF(OR(E445="",E445="!!!",F445="NEW"),"",INDEX(B$2:B444,-1+SUMPRODUCT(MAX(ROW(E$2:E444)*(E445=E$2:E444)))))</f>
        <v/>
      </c>
      <c r="J445" s="24" t="str">
        <f aca="true">IF(OR(E445="",E445="!!!",F445="NEW"),"",COUNTBLANK(OFFSET(A$1,,,SUMPRODUCT(MAX(ROW(E$2:E445)*(E445=E$2:E445)))))-COUNTBLANK(OFFSET(A$1,,,SUMPRODUCT(MAX(ROW(E$1:E444)*(E2=E$1:E444))))))</f>
        <v/>
      </c>
      <c r="K445" s="24" t="str">
        <f aca="false">IF(OR(E445="",E445="!!!",F445="NEW"),"",INDEX(J$1:J444,SUMPRODUCT(MAX(ROW(E$1:E444)*(E445=E$1:E444)))))</f>
        <v/>
      </c>
      <c r="L445" s="25"/>
    </row>
    <row r="446" customFormat="false" ht="14.25" hidden="false" customHeight="false" outlineLevel="0" collapsed="false">
      <c r="A446" s="0" t="s">
        <v>160</v>
      </c>
      <c r="E446" s="20" t="str">
        <f aca="false">IF(D446="?OLD","!!!","")</f>
        <v/>
      </c>
      <c r="F446" s="21" t="str">
        <f aca="false">IF(OR(E446="",E446="!!!"),"",IF(NOT(ISNA(VLOOKUP(E446,E$1:E445,1,FALSE()))),"OLD",IF(AND(E446&lt;&gt;"",E446&lt;&gt;"!!!"),"NEW","")))</f>
        <v/>
      </c>
      <c r="G446" s="22" t="str">
        <f aca="false"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aca="false">IF(J446&lt;&gt;1,"",IF(I446="SBJ","CB","?"))</f>
        <v/>
      </c>
      <c r="I446" s="24" t="str">
        <f aca="false">IF(OR(E446="",E446="!!!",F446="NEW"),"",INDEX(B$2:B445,-1+SUMPRODUCT(MAX(ROW(E$2:E445)*(E446=E$2:E445)))))</f>
        <v/>
      </c>
      <c r="J446" s="24" t="str">
        <f aca="true">IF(OR(E446="",E446="!!!",F446="NEW"),"",COUNTBLANK(OFFSET(A$1,,,SUMPRODUCT(MAX(ROW(E$2:E446)*(E446=E$2:E446)))))-COUNTBLANK(OFFSET(A$1,,,SUMPRODUCT(MAX(ROW(E$1:E445)*(E2=E$1:E445))))))</f>
        <v/>
      </c>
      <c r="K446" s="24" t="str">
        <f aca="false">IF(OR(E446="",E446="!!!",F446="NEW"),"",INDEX(J$1:J445,SUMPRODUCT(MAX(ROW(E$1:E445)*(E446=E$1:E445)))))</f>
        <v/>
      </c>
      <c r="L446" s="25"/>
    </row>
    <row r="447" customFormat="false" ht="14.25" hidden="false" customHeight="false" outlineLevel="0" collapsed="false">
      <c r="A447" s="0" t="s">
        <v>415</v>
      </c>
      <c r="B447" s="26" t="s">
        <v>298</v>
      </c>
      <c r="C447" s="26" t="s">
        <v>74</v>
      </c>
      <c r="D447" s="26" t="s">
        <v>75</v>
      </c>
      <c r="E447" s="20"/>
      <c r="F447" s="21" t="s">
        <v>139</v>
      </c>
      <c r="G447" s="22" t="str">
        <f aca="false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aca="false">IF(J447&lt;&gt;1,"",IF(I447="SBJ","CB","?"))</f>
        <v/>
      </c>
      <c r="I447" s="24" t="str">
        <f aca="false">IF(OR(E447="",E447="!!!",F447="NEW"),"",INDEX(B$2:B446,-1+SUMPRODUCT(MAX(ROW(E$2:E446)*(E447=E$2:E446)))))</f>
        <v/>
      </c>
      <c r="J447" s="24" t="str">
        <f aca="true">IF(OR(E447="",E447="!!!",F447="NEW"),"",COUNTBLANK(OFFSET(A$1,,,SUMPRODUCT(MAX(ROW(E$2:E447)*(E447=E$2:E447)))))-COUNTBLANK(OFFSET(A$1,,,SUMPRODUCT(MAX(ROW(E$1:E446)*(E2=E$1:E446))))))</f>
        <v/>
      </c>
      <c r="K447" s="24" t="str">
        <f aca="false">IF(OR(E447="",E447="!!!",F447="NEW"),"",INDEX(J$1:J446,SUMPRODUCT(MAX(ROW(E$1:E446)*(E447=E$1:E446)))))</f>
        <v/>
      </c>
      <c r="L447" s="25"/>
    </row>
    <row r="448" customFormat="false" ht="14.25" hidden="false" customHeight="false" outlineLevel="0" collapsed="false">
      <c r="A448" s="0" t="s">
        <v>259</v>
      </c>
      <c r="E448" s="20" t="str">
        <f aca="false">IF(D448="?OLD","!!!","")</f>
        <v/>
      </c>
      <c r="F448" s="21" t="str">
        <f aca="false">IF(OR(E448="",E448="!!!"),"",IF(NOT(ISNA(VLOOKUP(E448,E$1:E447,1,FALSE()))),"OLD",IF(AND(E448&lt;&gt;"",E448&lt;&gt;"!!!"),"NEW","")))</f>
        <v/>
      </c>
      <c r="G448" s="22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aca="false">IF(J448&lt;&gt;1,"",IF(I448="SBJ","CB","?"))</f>
        <v/>
      </c>
      <c r="I448" s="24" t="str">
        <f aca="false">IF(OR(E448="",E448="!!!",F448="NEW"),"",INDEX(B$2:B447,-1+SUMPRODUCT(MAX(ROW(E$2:E447)*(E448=E$2:E447)))))</f>
        <v/>
      </c>
      <c r="J448" s="24" t="str">
        <f aca="true">IF(OR(E448="",E448="!!!",F448="NEW"),"",COUNTBLANK(OFFSET(A$1,,,SUMPRODUCT(MAX(ROW(E$2:E448)*(E448=E$2:E448)))))-COUNTBLANK(OFFSET(A$1,,,SUMPRODUCT(MAX(ROW(E$1:E447)*(E2=E$1:E447))))))</f>
        <v/>
      </c>
      <c r="K448" s="24" t="str">
        <f aca="false">IF(OR(E448="",E448="!!!",F448="NEW"),"",INDEX(J$1:J447,SUMPRODUCT(MAX(ROW(E$1:E447)*(E448=E$1:E447)))))</f>
        <v/>
      </c>
      <c r="L448" s="25"/>
    </row>
    <row r="449" customFormat="false" ht="14.25" hidden="false" customHeight="false" outlineLevel="0" collapsed="false">
      <c r="A449" s="0" t="s">
        <v>126</v>
      </c>
      <c r="B449" s="26" t="s">
        <v>307</v>
      </c>
      <c r="C449" s="26" t="s">
        <v>105</v>
      </c>
      <c r="E449" s="20"/>
      <c r="F449" s="21" t="str">
        <f aca="false">IF(OR(E449="",E449="!!!"),"",IF(NOT(ISNA(VLOOKUP(E449,E$1:E448,1,FALSE()))),"OLD",IF(AND(E449&lt;&gt;"",E449&lt;&gt;"!!!"),"NEW","")))</f>
        <v/>
      </c>
      <c r="G449" s="22" t="str">
        <f aca="false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aca="false">IF(J449&lt;&gt;1,"",IF(I449="SBJ","CB","?"))</f>
        <v/>
      </c>
      <c r="I449" s="24" t="str">
        <f aca="false">IF(OR(E449="",E449="!!!",F449="NEW"),"",INDEX(B$2:B448,-1+SUMPRODUCT(MAX(ROW(E$2:E448)*(E449=E$2:E448)))))</f>
        <v/>
      </c>
      <c r="J449" s="24" t="str">
        <f aca="true">IF(OR(E449="",E449="!!!",F449="NEW"),"",COUNTBLANK(OFFSET(A$1,,,SUMPRODUCT(MAX(ROW(E$2:E449)*(E449=E$2:E449)))))-COUNTBLANK(OFFSET(A$1,,,SUMPRODUCT(MAX(ROW(E$1:E448)*(E2=E$1:E448))))))</f>
        <v/>
      </c>
      <c r="K449" s="24" t="str">
        <f aca="false">IF(OR(E449="",E449="!!!",F449="NEW"),"",INDEX(J$1:J448,SUMPRODUCT(MAX(ROW(E$1:E448)*(E449=E$1:E448)))))</f>
        <v/>
      </c>
      <c r="L449" s="25"/>
    </row>
    <row r="450" customFormat="false" ht="14.25" hidden="false" customHeight="false" outlineLevel="0" collapsed="false">
      <c r="A450" s="0" t="s">
        <v>101</v>
      </c>
      <c r="E450" s="20" t="str">
        <f aca="false">IF(D450="?OLD","!!!","")</f>
        <v/>
      </c>
      <c r="F450" s="21" t="str">
        <f aca="false">IF(OR(E450="",E450="!!!"),"",IF(NOT(ISNA(VLOOKUP(E450,E$1:E449,1,FALSE()))),"OLD",IF(AND(E450&lt;&gt;"",E450&lt;&gt;"!!!"),"NEW","")))</f>
        <v/>
      </c>
      <c r="G450" s="22" t="str">
        <f aca="false"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aca="false">IF(J450&lt;&gt;1,"",IF(I450="SBJ","CB","?"))</f>
        <v/>
      </c>
      <c r="I450" s="24" t="str">
        <f aca="false">IF(OR(E450="",E450="!!!",F450="NEW"),"",INDEX(B$2:B449,-1+SUMPRODUCT(MAX(ROW(E$2:E449)*(E450=E$2:E449)))))</f>
        <v/>
      </c>
      <c r="J450" s="24" t="str">
        <f aca="true">IF(OR(E450="",E450="!!!",F450="NEW"),"",COUNTBLANK(OFFSET(A$1,,,SUMPRODUCT(MAX(ROW(E$2:E450)*(E450=E$2:E450)))))-COUNTBLANK(OFFSET(A$1,,,SUMPRODUCT(MAX(ROW(E$1:E449)*(E2=E$1:E449))))))</f>
        <v/>
      </c>
      <c r="K450" s="24" t="str">
        <f aca="false">IF(OR(E450="",E450="!!!",F450="NEW"),"",INDEX(J$1:J449,SUMPRODUCT(MAX(ROW(E$1:E449)*(E450=E$1:E449)))))</f>
        <v/>
      </c>
      <c r="L450" s="25"/>
    </row>
    <row r="451" customFormat="false" ht="14.25" hidden="false" customHeight="false" outlineLevel="0" collapsed="false">
      <c r="A451" s="0" t="s">
        <v>142</v>
      </c>
      <c r="E451" s="20" t="str">
        <f aca="false">IF(D451="?OLD","!!!","")</f>
        <v/>
      </c>
      <c r="F451" s="21" t="str">
        <f aca="false">IF(OR(E451="",E451="!!!"),"",IF(NOT(ISNA(VLOOKUP(E451,E$1:E450,1,FALSE()))),"OLD",IF(AND(E451&lt;&gt;"",E451&lt;&gt;"!!!"),"NEW","")))</f>
        <v/>
      </c>
      <c r="G451" s="22" t="str">
        <f aca="false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aca="false">IF(J451&lt;&gt;1,"",IF(I451="SBJ","CB","?"))</f>
        <v/>
      </c>
      <c r="I451" s="24" t="str">
        <f aca="false">IF(OR(E451="",E451="!!!",F451="NEW"),"",INDEX(B$2:B450,-1+SUMPRODUCT(MAX(ROW(E$2:E450)*(E451=E$2:E450)))))</f>
        <v/>
      </c>
      <c r="J451" s="24" t="str">
        <f aca="true">IF(OR(E451="",E451="!!!",F451="NEW"),"",COUNTBLANK(OFFSET(A$1,,,SUMPRODUCT(MAX(ROW(E$2:E451)*(E451=E$2:E451)))))-COUNTBLANK(OFFSET(A$1,,,SUMPRODUCT(MAX(ROW(E$1:E450)*(E2=E$1:E450))))))</f>
        <v/>
      </c>
      <c r="K451" s="24" t="str">
        <f aca="false">IF(OR(E451="",E451="!!!",F451="NEW"),"",INDEX(J$1:J450,SUMPRODUCT(MAX(ROW(E$1:E450)*(E451=E$1:E450)))))</f>
        <v/>
      </c>
      <c r="L451" s="25"/>
    </row>
    <row r="452" customFormat="false" ht="14.25" hidden="false" customHeight="false" outlineLevel="0" collapsed="false">
      <c r="A452" s="0" t="s">
        <v>195</v>
      </c>
      <c r="E452" s="20" t="str">
        <f aca="false">IF(D452="?OLD","!!!","")</f>
        <v/>
      </c>
      <c r="F452" s="21" t="str">
        <f aca="false">IF(OR(E452="",E452="!!!"),"",IF(NOT(ISNA(VLOOKUP(E452,E$1:E451,1,FALSE()))),"OLD",IF(AND(E452&lt;&gt;"",E452&lt;&gt;"!!!"),"NEW","")))</f>
        <v/>
      </c>
      <c r="G452" s="22" t="str">
        <f aca="false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aca="false">IF(J452&lt;&gt;1,"",IF(I452="SBJ","CB","?"))</f>
        <v/>
      </c>
      <c r="I452" s="24" t="str">
        <f aca="false">IF(OR(E452="",E452="!!!",F452="NEW"),"",INDEX(B$2:B451,-1+SUMPRODUCT(MAX(ROW(E$2:E451)*(E452=E$2:E451)))))</f>
        <v/>
      </c>
      <c r="J452" s="24" t="str">
        <f aca="true">IF(OR(E452="",E452="!!!",F452="NEW"),"",COUNTBLANK(OFFSET(A$1,,,SUMPRODUCT(MAX(ROW(E$2:E452)*(E452=E$2:E452)))))-COUNTBLANK(OFFSET(A$1,,,SUMPRODUCT(MAX(ROW(E$1:E451)*(E2=E$1:E451))))))</f>
        <v/>
      </c>
      <c r="K452" s="24" t="str">
        <f aca="false">IF(OR(E452="",E452="!!!",F452="NEW"),"",INDEX(J$1:J451,SUMPRODUCT(MAX(ROW(E$1:E451)*(E452=E$1:E451)))))</f>
        <v/>
      </c>
      <c r="L452" s="25"/>
    </row>
    <row r="453" customFormat="false" ht="14.25" hidden="false" customHeight="false" outlineLevel="0" collapsed="false">
      <c r="A453" s="0" t="s">
        <v>196</v>
      </c>
      <c r="B453" s="26" t="s">
        <v>416</v>
      </c>
      <c r="C453" s="26" t="s">
        <v>105</v>
      </c>
      <c r="E453" s="20" t="s">
        <v>417</v>
      </c>
      <c r="F453" s="21" t="str">
        <f aca="false">IF(OR(E453="",E453="!!!"),"",IF(NOT(ISNA(VLOOKUP(E453,E$1:E452,1,FALSE()))),"OLD",IF(AND(E453&lt;&gt;"",E453&lt;&gt;"!!!"),"NEW","")))</f>
        <v>NEW</v>
      </c>
      <c r="G453" s="22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?REFERENTIAL</v>
      </c>
      <c r="H453" s="23" t="str">
        <f aca="false">IF(J453&lt;&gt;1,"",IF(I453="SBJ","CB","?"))</f>
        <v/>
      </c>
      <c r="I453" s="24" t="str">
        <f aca="false">IF(OR(E453="",E453="!!!",F453="NEW"),"",INDEX(B$2:B452,-1+SUMPRODUCT(MAX(ROW(E$2:E452)*(E453=E$2:E452)))))</f>
        <v/>
      </c>
      <c r="J453" s="24" t="str">
        <f aca="true">IF(OR(E453="",E453="!!!",F453="NEW"),"",COUNTBLANK(OFFSET(A$1,,,SUMPRODUCT(MAX(ROW(E$2:E453)*(E453=E$2:E453)))))-COUNTBLANK(OFFSET(A$1,,,SUMPRODUCT(MAX(ROW(E$1:E452)*(E2=E$1:E452))))))</f>
        <v/>
      </c>
      <c r="K453" s="24" t="str">
        <f aca="false">IF(OR(E453="",E453="!!!",F453="NEW"),"",INDEX(J$1:J452,SUMPRODUCT(MAX(ROW(E$1:E452)*(E453=E$1:E452)))))</f>
        <v/>
      </c>
      <c r="L453" s="27" t="s">
        <v>338</v>
      </c>
    </row>
    <row r="454" customFormat="false" ht="14.25" hidden="false" customHeight="false" outlineLevel="0" collapsed="false">
      <c r="A454" s="0" t="s">
        <v>418</v>
      </c>
      <c r="E454" s="20" t="str">
        <f aca="false">IF(D454="?OLD","!!!","")</f>
        <v/>
      </c>
      <c r="F454" s="21" t="str">
        <f aca="false">IF(OR(E454="",E454="!!!"),"",IF(NOT(ISNA(VLOOKUP(E454,E$1:E453,1,FALSE()))),"OLD",IF(AND(E454&lt;&gt;"",E454&lt;&gt;"!!!"),"NEW","")))</f>
        <v/>
      </c>
      <c r="G454" s="22" t="str">
        <f aca="false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aca="false">IF(J454&lt;&gt;1,"",IF(I454="SBJ","CB","?"))</f>
        <v/>
      </c>
      <c r="I454" s="24" t="str">
        <f aca="false">IF(OR(E454="",E454="!!!",F454="NEW"),"",INDEX(B$2:B453,-1+SUMPRODUCT(MAX(ROW(E$2:E453)*(E454=E$2:E453)))))</f>
        <v/>
      </c>
      <c r="J454" s="24" t="str">
        <f aca="true">IF(OR(E454="",E454="!!!",F454="NEW"),"",COUNTBLANK(OFFSET(A$1,,,SUMPRODUCT(MAX(ROW(E$2:E454)*(E454=E$2:E454)))))-COUNTBLANK(OFFSET(A$1,,,SUMPRODUCT(MAX(ROW(E$1:E453)*(E2=E$1:E453))))))</f>
        <v/>
      </c>
      <c r="K454" s="24" t="str">
        <f aca="false">IF(OR(E454="",E454="!!!",F454="NEW"),"",INDEX(J$1:J453,SUMPRODUCT(MAX(ROW(E$1:E453)*(E454=E$1:E453)))))</f>
        <v/>
      </c>
      <c r="L454" s="25"/>
    </row>
    <row r="455" customFormat="false" ht="14.25" hidden="false" customHeight="false" outlineLevel="0" collapsed="false">
      <c r="A455" s="0" t="s">
        <v>365</v>
      </c>
      <c r="B455" s="26" t="s">
        <v>419</v>
      </c>
      <c r="C455" s="26" t="s">
        <v>283</v>
      </c>
      <c r="D455" s="26" t="s">
        <v>75</v>
      </c>
      <c r="E455" s="20" t="s">
        <v>366</v>
      </c>
      <c r="F455" s="21" t="str">
        <f aca="false">IF(OR(E455="",E455="!!!"),"",IF(NOT(ISNA(VLOOKUP(E455,E$1:E454,1,FALSE()))),"OLD",IF(AND(E455&lt;&gt;"",E455&lt;&gt;"!!!"),"NEW","")))</f>
        <v>OLD</v>
      </c>
      <c r="G455" s="22" t="str">
        <f aca="false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?IN_FOCUS</v>
      </c>
      <c r="H455" s="23" t="str">
        <f aca="false">IF(J455&lt;&gt;1,"",IF(I455="SBJ","CB","?"))</f>
        <v/>
      </c>
      <c r="I455" s="24" t="n">
        <f aca="false">IF(OR(E455="",E455="!!!",F455="NEW"),"",INDEX(B$2:B454,-1+SUMPRODUCT(MAX(ROW(E$2:E454)*(E455=E$2:E454)))))</f>
        <v>0</v>
      </c>
      <c r="J455" s="24" t="n">
        <f aca="true">IF(OR(E455="",E455="!!!",F455="NEW"),"",COUNTBLANK(OFFSET(A$1,,,SUMPRODUCT(MAX(ROW(E$2:E455)*(E455=E$2:E455)))))-COUNTBLANK(OFFSET(A$1,,,SUMPRODUCT(MAX(ROW(E$1:E454)*(E2=E$1:E454))))))</f>
        <v>0</v>
      </c>
      <c r="K455" s="24" t="n">
        <f aca="false">IF(OR(E455="",E455="!!!",F455="NEW"),"",INDEX(J$1:J454,SUMPRODUCT(MAX(ROW(E$1:E454)*(E455=E$1:E454)))))</f>
        <v>0</v>
      </c>
      <c r="L455" s="25"/>
    </row>
    <row r="456" customFormat="false" ht="14.25" hidden="false" customHeight="false" outlineLevel="0" collapsed="false">
      <c r="A456" s="0" t="s">
        <v>16</v>
      </c>
      <c r="E456" s="20" t="str">
        <f aca="false">IF(D456="?OLD","!!!","")</f>
        <v/>
      </c>
      <c r="F456" s="21" t="str">
        <f aca="false">IF(OR(E456="",E456="!!!"),"",IF(NOT(ISNA(VLOOKUP(E456,E$1:E455,1,FALSE()))),"OLD",IF(AND(E456&lt;&gt;"",E456&lt;&gt;"!!!"),"NEW","")))</f>
        <v/>
      </c>
      <c r="G456" s="22" t="str">
        <f aca="false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aca="false">IF(J456&lt;&gt;1,"",IF(I456="SBJ","CB","?"))</f>
        <v/>
      </c>
      <c r="I456" s="24" t="str">
        <f aca="false">IF(OR(E456="",E456="!!!",F456="NEW"),"",INDEX(B$2:B455,-1+SUMPRODUCT(MAX(ROW(E$2:E455)*(E456=E$2:E455)))))</f>
        <v/>
      </c>
      <c r="J456" s="24" t="str">
        <f aca="true">IF(OR(E456="",E456="!!!",F456="NEW"),"",COUNTBLANK(OFFSET(A$1,,,SUMPRODUCT(MAX(ROW(E$2:E456)*(E456=E$2:E456)))))-COUNTBLANK(OFFSET(A$1,,,SUMPRODUCT(MAX(ROW(E$1:E455)*(E2=E$1:E455))))))</f>
        <v/>
      </c>
      <c r="K456" s="24" t="str">
        <f aca="false">IF(OR(E456="",E456="!!!",F456="NEW"),"",INDEX(J$1:J455,SUMPRODUCT(MAX(ROW(E$1:E455)*(E456=E$1:E455)))))</f>
        <v/>
      </c>
      <c r="L456" s="25"/>
    </row>
    <row r="457" customFormat="false" ht="14.25" hidden="false" customHeight="false" outlineLevel="0" collapsed="false">
      <c r="A457" s="0" t="s">
        <v>420</v>
      </c>
      <c r="E457" s="20" t="str">
        <f aca="false">IF(D457="?OLD","!!!","")</f>
        <v/>
      </c>
      <c r="F457" s="21" t="str">
        <f aca="false">IF(OR(E457="",E457="!!!"),"",IF(NOT(ISNA(VLOOKUP(E457,E$1:E456,1,FALSE()))),"OLD",IF(AND(E457&lt;&gt;"",E457&lt;&gt;"!!!"),"NEW","")))</f>
        <v/>
      </c>
      <c r="G457" s="22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aca="false">IF(J457&lt;&gt;1,"",IF(I457="SBJ","CB","?"))</f>
        <v/>
      </c>
      <c r="I457" s="24" t="str">
        <f aca="false">IF(OR(E457="",E457="!!!",F457="NEW"),"",INDEX(B$2:B456,-1+SUMPRODUCT(MAX(ROW(E$2:E456)*(E457=E$2:E456)))))</f>
        <v/>
      </c>
      <c r="J457" s="24" t="str">
        <f aca="true">IF(OR(E457="",E457="!!!",F457="NEW"),"",COUNTBLANK(OFFSET(A$1,,,SUMPRODUCT(MAX(ROW(E$2:E457)*(E457=E$2:E457)))))-COUNTBLANK(OFFSET(A$1,,,SUMPRODUCT(MAX(ROW(E$1:E456)*(E2=E$1:E456))))))</f>
        <v/>
      </c>
      <c r="K457" s="24" t="str">
        <f aca="false">IF(OR(E457="",E457="!!!",F457="NEW"),"",INDEX(J$1:J456,SUMPRODUCT(MAX(ROW(E$1:E456)*(E457=E$1:E456)))))</f>
        <v/>
      </c>
      <c r="L457" s="25"/>
    </row>
    <row r="458" customFormat="false" ht="14.25" hidden="false" customHeight="false" outlineLevel="0" collapsed="false">
      <c r="A458" s="0" t="s">
        <v>142</v>
      </c>
      <c r="E458" s="20" t="str">
        <f aca="false">IF(D458="?OLD","!!!","")</f>
        <v/>
      </c>
      <c r="F458" s="21" t="str">
        <f aca="false">IF(OR(E458="",E458="!!!"),"",IF(NOT(ISNA(VLOOKUP(E458,E$1:E457,1,FALSE()))),"OLD",IF(AND(E458&lt;&gt;"",E458&lt;&gt;"!!!"),"NEW","")))</f>
        <v/>
      </c>
      <c r="G458" s="22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aca="false">IF(J458&lt;&gt;1,"",IF(I458="SBJ","CB","?"))</f>
        <v/>
      </c>
      <c r="I458" s="24" t="str">
        <f aca="false">IF(OR(E458="",E458="!!!",F458="NEW"),"",INDEX(B$2:B457,-1+SUMPRODUCT(MAX(ROW(E$2:E457)*(E458=E$2:E457)))))</f>
        <v/>
      </c>
      <c r="J458" s="24" t="str">
        <f aca="true">IF(OR(E458="",E458="!!!",F458="NEW"),"",COUNTBLANK(OFFSET(A$1,,,SUMPRODUCT(MAX(ROW(E$2:E458)*(E458=E$2:E458)))))-COUNTBLANK(OFFSET(A$1,,,SUMPRODUCT(MAX(ROW(E$1:E457)*(E2=E$1:E457))))))</f>
        <v/>
      </c>
      <c r="K458" s="24" t="str">
        <f aca="false">IF(OR(E458="",E458="!!!",F458="NEW"),"",INDEX(J$1:J457,SUMPRODUCT(MAX(ROW(E$1:E457)*(E458=E$1:E457)))))</f>
        <v/>
      </c>
      <c r="L458" s="25"/>
    </row>
    <row r="459" customFormat="false" ht="14.25" hidden="false" customHeight="false" outlineLevel="0" collapsed="false">
      <c r="A459" s="0" t="s">
        <v>421</v>
      </c>
      <c r="E459" s="20" t="str">
        <f aca="false">IF(D459="?OLD","!!!","")</f>
        <v/>
      </c>
      <c r="F459" s="21" t="str">
        <f aca="false">IF(OR(E459="",E459="!!!"),"",IF(NOT(ISNA(VLOOKUP(E459,E$1:E458,1,FALSE()))),"OLD",IF(AND(E459&lt;&gt;"",E459&lt;&gt;"!!!"),"NEW","")))</f>
        <v/>
      </c>
      <c r="G459" s="22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aca="false">IF(J459&lt;&gt;1,"",IF(I459="SBJ","CB","?"))</f>
        <v/>
      </c>
      <c r="I459" s="24" t="str">
        <f aca="false">IF(OR(E459="",E459="!!!",F459="NEW"),"",INDEX(B$2:B458,-1+SUMPRODUCT(MAX(ROW(E$2:E458)*(E459=E$2:E458)))))</f>
        <v/>
      </c>
      <c r="J459" s="24" t="str">
        <f aca="true">IF(OR(E459="",E459="!!!",F459="NEW"),"",COUNTBLANK(OFFSET(A$1,,,SUMPRODUCT(MAX(ROW(E$2:E459)*(E459=E$2:E459)))))-COUNTBLANK(OFFSET(A$1,,,SUMPRODUCT(MAX(ROW(E$1:E458)*(E2=E$1:E458))))))</f>
        <v/>
      </c>
      <c r="K459" s="24" t="str">
        <f aca="false">IF(OR(E459="",E459="!!!",F459="NEW"),"",INDEX(J$1:J458,SUMPRODUCT(MAX(ROW(E$1:E458)*(E459=E$1:E458)))))</f>
        <v/>
      </c>
      <c r="L459" s="25"/>
    </row>
    <row r="460" customFormat="false" ht="14.25" hidden="false" customHeight="false" outlineLevel="0" collapsed="false">
      <c r="A460" s="0" t="s">
        <v>420</v>
      </c>
      <c r="B460" s="26" t="s">
        <v>422</v>
      </c>
      <c r="C460" s="26" t="s">
        <v>105</v>
      </c>
      <c r="E460" s="20"/>
      <c r="F460" s="21" t="str">
        <f aca="false">IF(OR(E460="",E460="!!!"),"",IF(NOT(ISNA(VLOOKUP(E460,E$1:E459,1,FALSE()))),"OLD",IF(AND(E460&lt;&gt;"",E460&lt;&gt;"!!!"),"NEW","")))</f>
        <v/>
      </c>
      <c r="G460" s="22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aca="false">IF(J460&lt;&gt;1,"",IF(I460="SBJ","CB","?"))</f>
        <v/>
      </c>
      <c r="I460" s="24" t="str">
        <f aca="false">IF(OR(E460="",E460="!!!",F460="NEW"),"",INDEX(B$2:B459,-1+SUMPRODUCT(MAX(ROW(E$2:E459)*(E460=E$2:E459)))))</f>
        <v/>
      </c>
      <c r="J460" s="24" t="str">
        <f aca="true">IF(OR(E460="",E460="!!!",F460="NEW"),"",COUNTBLANK(OFFSET(A$1,,,SUMPRODUCT(MAX(ROW(E$2:E460)*(E460=E$2:E460)))))-COUNTBLANK(OFFSET(A$1,,,SUMPRODUCT(MAX(ROW(E$1:E459)*(E2=E$1:E459))))))</f>
        <v/>
      </c>
      <c r="K460" s="24" t="str">
        <f aca="false">IF(OR(E460="",E460="!!!",F460="NEW"),"",INDEX(J$1:J459,SUMPRODUCT(MAX(ROW(E$1:E459)*(E460=E$1:E459)))))</f>
        <v/>
      </c>
      <c r="L460" s="25"/>
    </row>
    <row r="461" customFormat="false" ht="14.25" hidden="false" customHeight="false" outlineLevel="0" collapsed="false">
      <c r="A461" s="0" t="s">
        <v>183</v>
      </c>
      <c r="E461" s="20" t="str">
        <f aca="false">IF(D461="?OLD","!!!","")</f>
        <v/>
      </c>
      <c r="F461" s="21" t="str">
        <f aca="false">IF(OR(E461="",E461="!!!"),"",IF(NOT(ISNA(VLOOKUP(E461,E$1:E460,1,FALSE()))),"OLD",IF(AND(E461&lt;&gt;"",E461&lt;&gt;"!!!"),"NEW","")))</f>
        <v/>
      </c>
      <c r="G461" s="22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aca="false">IF(J461&lt;&gt;1,"",IF(I461="SBJ","CB","?"))</f>
        <v/>
      </c>
      <c r="I461" s="24" t="str">
        <f aca="false">IF(OR(E461="",E461="!!!",F461="NEW"),"",INDEX(B$2:B460,-1+SUMPRODUCT(MAX(ROW(E$2:E460)*(E461=E$2:E460)))))</f>
        <v/>
      </c>
      <c r="J461" s="24" t="str">
        <f aca="true">IF(OR(E461="",E461="!!!",F461="NEW"),"",COUNTBLANK(OFFSET(A$1,,,SUMPRODUCT(MAX(ROW(E$2:E461)*(E461=E$2:E461)))))-COUNTBLANK(OFFSET(A$1,,,SUMPRODUCT(MAX(ROW(E$1:E460)*(E2=E$1:E460))))))</f>
        <v/>
      </c>
      <c r="K461" s="24" t="str">
        <f aca="false">IF(OR(E461="",E461="!!!",F461="NEW"),"",INDEX(J$1:J460,SUMPRODUCT(MAX(ROW(E$1:E460)*(E461=E$1:E460)))))</f>
        <v/>
      </c>
      <c r="L461" s="25"/>
    </row>
    <row r="462" customFormat="false" ht="14.25" hidden="false" customHeight="false" outlineLevel="0" collapsed="false">
      <c r="A462" s="0" t="s">
        <v>80</v>
      </c>
      <c r="E462" s="20" t="str">
        <f aca="false">IF(D462="?OLD","!!!","")</f>
        <v/>
      </c>
      <c r="F462" s="21" t="str">
        <f aca="false">IF(OR(E462="",E462="!!!"),"",IF(NOT(ISNA(VLOOKUP(E462,E$1:E461,1,FALSE()))),"OLD",IF(AND(E462&lt;&gt;"",E462&lt;&gt;"!!!"),"NEW","")))</f>
        <v/>
      </c>
      <c r="G462" s="22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aca="false">IF(J462&lt;&gt;1,"",IF(I462="SBJ","CB","?"))</f>
        <v/>
      </c>
      <c r="I462" s="24" t="str">
        <f aca="false">IF(OR(E462="",E462="!!!",F462="NEW"),"",INDEX(B$2:B461,-1+SUMPRODUCT(MAX(ROW(E$2:E461)*(E462=E$2:E461)))))</f>
        <v/>
      </c>
      <c r="J462" s="24" t="str">
        <f aca="true">IF(OR(E462="",E462="!!!",F462="NEW"),"",COUNTBLANK(OFFSET(A$1,,,SUMPRODUCT(MAX(ROW(E$2:E462)*(E462=E$2:E462)))))-COUNTBLANK(OFFSET(A$1,,,SUMPRODUCT(MAX(ROW(E$1:E461)*(E2=E$1:E461))))))</f>
        <v/>
      </c>
      <c r="K462" s="24" t="str">
        <f aca="false">IF(OR(E462="",E462="!!!",F462="NEW"),"",INDEX(J$1:J461,SUMPRODUCT(MAX(ROW(E$1:E461)*(E462=E$1:E461)))))</f>
        <v/>
      </c>
      <c r="L462" s="25"/>
    </row>
    <row r="463" customFormat="false" ht="14.25" hidden="false" customHeight="false" outlineLevel="0" collapsed="false">
      <c r="A463" s="0" t="s">
        <v>423</v>
      </c>
      <c r="B463" s="26" t="s">
        <v>424</v>
      </c>
      <c r="C463" s="26" t="s">
        <v>74</v>
      </c>
      <c r="D463" s="26" t="s">
        <v>75</v>
      </c>
      <c r="E463" s="20" t="s">
        <v>425</v>
      </c>
      <c r="F463" s="21" t="str">
        <f aca="false">IF(OR(E463="",E463="!!!"),"",IF(NOT(ISNA(VLOOKUP(E463,E$1:E462,1,FALSE()))),"OLD",IF(AND(E463&lt;&gt;"",E463&lt;&gt;"!!!"),"NEW","")))</f>
        <v>NEW</v>
      </c>
      <c r="G463" s="22" t="str">
        <f aca="false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?REFERENTIAL</v>
      </c>
      <c r="H463" s="23" t="str">
        <f aca="false">IF(J463&lt;&gt;1,"",IF(I463="SBJ","CB","?"))</f>
        <v/>
      </c>
      <c r="I463" s="24" t="str">
        <f aca="false">IF(OR(E463="",E463="!!!",F463="NEW"),"",INDEX(B$2:B462,-1+SUMPRODUCT(MAX(ROW(E$2:E462)*(E463=E$2:E462)))))</f>
        <v/>
      </c>
      <c r="J463" s="24" t="str">
        <f aca="true">IF(OR(E463="",E463="!!!",F463="NEW"),"",COUNTBLANK(OFFSET(A$1,,,SUMPRODUCT(MAX(ROW(E$2:E463)*(E463=E$2:E463)))))-COUNTBLANK(OFFSET(A$1,,,SUMPRODUCT(MAX(ROW(E$1:E462)*(E2=E$1:E462))))))</f>
        <v/>
      </c>
      <c r="K463" s="24" t="str">
        <f aca="false">IF(OR(E463="",E463="!!!",F463="NEW"),"",INDEX(J$1:J462,SUMPRODUCT(MAX(ROW(E$1:E462)*(E463=E$1:E462)))))</f>
        <v/>
      </c>
      <c r="L463" s="25"/>
    </row>
    <row r="464" customFormat="false" ht="14.25" hidden="false" customHeight="false" outlineLevel="0" collapsed="false">
      <c r="A464" s="0" t="s">
        <v>86</v>
      </c>
      <c r="E464" s="20" t="str">
        <f aca="false">IF(D464="?OLD","!!!","")</f>
        <v/>
      </c>
      <c r="F464" s="21" t="str">
        <f aca="false">IF(OR(E464="",E464="!!!"),"",IF(NOT(ISNA(VLOOKUP(E464,E$1:E463,1,FALSE()))),"OLD",IF(AND(E464&lt;&gt;"",E464&lt;&gt;"!!!"),"NEW","")))</f>
        <v/>
      </c>
      <c r="G464" s="22" t="str">
        <f aca="false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aca="false">IF(J464&lt;&gt;1,"",IF(I464="SBJ","CB","?"))</f>
        <v/>
      </c>
      <c r="I464" s="24" t="str">
        <f aca="false">IF(OR(E464="",E464="!!!",F464="NEW"),"",INDEX(B$2:B463,-1+SUMPRODUCT(MAX(ROW(E$2:E463)*(E464=E$2:E463)))))</f>
        <v/>
      </c>
      <c r="J464" s="24" t="str">
        <f aca="true">IF(OR(E464="",E464="!!!",F464="NEW"),"",COUNTBLANK(OFFSET(A$1,,,SUMPRODUCT(MAX(ROW(E$2:E464)*(E464=E$2:E464)))))-COUNTBLANK(OFFSET(A$1,,,SUMPRODUCT(MAX(ROW(E$1:E463)*(E2=E$1:E463))))))</f>
        <v/>
      </c>
      <c r="K464" s="24" t="str">
        <f aca="false">IF(OR(E464="",E464="!!!",F464="NEW"),"",INDEX(J$1:J463,SUMPRODUCT(MAX(ROW(E$1:E463)*(E464=E$1:E463)))))</f>
        <v/>
      </c>
      <c r="L464" s="25"/>
    </row>
    <row r="465" customFormat="false" ht="14.25" hidden="false" customHeight="false" outlineLevel="0" collapsed="false">
      <c r="A465" s="0" t="s">
        <v>426</v>
      </c>
      <c r="E465" s="20" t="s">
        <v>417</v>
      </c>
      <c r="F465" s="21" t="str">
        <f aca="false">IF(OR(E465="",E465="!!!"),"",IF(NOT(ISNA(VLOOKUP(E465,E$1:E464,1,FALSE()))),"OLD",IF(AND(E465&lt;&gt;"",E465&lt;&gt;"!!!"),"NEW","")))</f>
        <v>OLD</v>
      </c>
      <c r="G465" s="22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23" t="str">
        <f aca="false">IF(J465&lt;&gt;1,"",IF(I465="SBJ","CB","?"))</f>
        <v/>
      </c>
      <c r="I465" s="24" t="str">
        <f aca="false">IF(OR(E465="",E465="!!!",F465="NEW"),"",INDEX(B$2:B464,-1+SUMPRODUCT(MAX(ROW(E$2:E464)*(E465=E$2:E464)))))</f>
        <v>OBJ_7</v>
      </c>
      <c r="J465" s="24" t="n">
        <f aca="true">IF(OR(E465="",E465="!!!",F465="NEW"),"",COUNTBLANK(OFFSET(A$1,,,SUMPRODUCT(MAX(ROW(E$2:E465)*(E465=E$2:E465)))))-COUNTBLANK(OFFSET(A$1,,,SUMPRODUCT(MAX(ROW(E$1:E464)*(E2=E$1:E464))))))</f>
        <v>0</v>
      </c>
      <c r="K465" s="24" t="str">
        <f aca="false">IF(OR(E465="",E465="!!!",F465="NEW"),"",INDEX(J$1:J464,SUMPRODUCT(MAX(ROW(E$1:E464)*(E465=E$1:E464)))))</f>
        <v/>
      </c>
      <c r="L465" s="25"/>
    </row>
    <row r="466" customFormat="false" ht="14.25" hidden="false" customHeight="false" outlineLevel="0" collapsed="false">
      <c r="A466" s="0" t="s">
        <v>217</v>
      </c>
      <c r="E466" s="20" t="str">
        <f aca="false">IF(D466="?OLD","!!!","")</f>
        <v/>
      </c>
      <c r="F466" s="21" t="str">
        <f aca="false">IF(OR(E466="",E466="!!!"),"",IF(NOT(ISNA(VLOOKUP(E466,E$1:E465,1,FALSE()))),"OLD",IF(AND(E466&lt;&gt;"",E466&lt;&gt;"!!!"),"NEW","")))</f>
        <v/>
      </c>
      <c r="G466" s="22" t="str">
        <f aca="false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aca="false">IF(J466&lt;&gt;1,"",IF(I466="SBJ","CB","?"))</f>
        <v/>
      </c>
      <c r="I466" s="24" t="str">
        <f aca="false">IF(OR(E466="",E466="!!!",F466="NEW"),"",INDEX(B$2:B465,-1+SUMPRODUCT(MAX(ROW(E$2:E465)*(E466=E$2:E465)))))</f>
        <v/>
      </c>
      <c r="J466" s="24" t="str">
        <f aca="true">IF(OR(E466="",E466="!!!",F466="NEW"),"",COUNTBLANK(OFFSET(A$1,,,SUMPRODUCT(MAX(ROW(E$2:E466)*(E466=E$2:E466)))))-COUNTBLANK(OFFSET(A$1,,,SUMPRODUCT(MAX(ROW(E$1:E465)*(E2=E$1:E465))))))</f>
        <v/>
      </c>
      <c r="K466" s="24" t="str">
        <f aca="false">IF(OR(E466="",E466="!!!",F466="NEW"),"",INDEX(J$1:J465,SUMPRODUCT(MAX(ROW(E$1:E465)*(E466=E$1:E465)))))</f>
        <v/>
      </c>
      <c r="L466" s="25"/>
    </row>
    <row r="467" customFormat="false" ht="14.25" hidden="false" customHeight="false" outlineLevel="0" collapsed="false">
      <c r="A467" s="0" t="s">
        <v>162</v>
      </c>
      <c r="E467" s="20" t="str">
        <f aca="false">IF(D467="?OLD","!!!","")</f>
        <v/>
      </c>
      <c r="F467" s="21" t="str">
        <f aca="false">IF(OR(E467="",E467="!!!"),"",IF(NOT(ISNA(VLOOKUP(E467,E$1:E466,1,FALSE()))),"OLD",IF(AND(E467&lt;&gt;"",E467&lt;&gt;"!!!"),"NEW","")))</f>
        <v/>
      </c>
      <c r="G467" s="22" t="str">
        <f aca="false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aca="false">IF(J467&lt;&gt;1,"",IF(I467="SBJ","CB","?"))</f>
        <v/>
      </c>
      <c r="I467" s="24" t="str">
        <f aca="false">IF(OR(E467="",E467="!!!",F467="NEW"),"",INDEX(B$2:B466,-1+SUMPRODUCT(MAX(ROW(E$2:E466)*(E467=E$2:E466)))))</f>
        <v/>
      </c>
      <c r="J467" s="24" t="str">
        <f aca="true">IF(OR(E467="",E467="!!!",F467="NEW"),"",COUNTBLANK(OFFSET(A$1,,,SUMPRODUCT(MAX(ROW(E$2:E467)*(E467=E$2:E467)))))-COUNTBLANK(OFFSET(A$1,,,SUMPRODUCT(MAX(ROW(E$1:E466)*(E2=E$1:E466))))))</f>
        <v/>
      </c>
      <c r="K467" s="24" t="str">
        <f aca="false">IF(OR(E467="",E467="!!!",F467="NEW"),"",INDEX(J$1:J466,SUMPRODUCT(MAX(ROW(E$1:E466)*(E467=E$1:E466)))))</f>
        <v/>
      </c>
      <c r="L467" s="25"/>
    </row>
    <row r="468" customFormat="false" ht="14.25" hidden="false" customHeight="false" outlineLevel="0" collapsed="false">
      <c r="A468" s="0" t="s">
        <v>427</v>
      </c>
      <c r="B468" s="26" t="s">
        <v>204</v>
      </c>
      <c r="C468" s="26" t="s">
        <v>105</v>
      </c>
      <c r="E468" s="20" t="str">
        <f aca="false">IF(D468="?OLD","!!!","")</f>
        <v/>
      </c>
      <c r="F468" s="21" t="str">
        <f aca="false">IF(OR(E468="",E468="!!!"),"",IF(NOT(ISNA(VLOOKUP(E468,E$1:E467,1,FALSE()))),"OLD",IF(AND(E468&lt;&gt;"",E468&lt;&gt;"!!!"),"NEW","")))</f>
        <v/>
      </c>
      <c r="G468" s="22" t="str">
        <f aca="false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aca="false">IF(J468&lt;&gt;1,"",IF(I468="SBJ","CB","?"))</f>
        <v/>
      </c>
      <c r="I468" s="24" t="str">
        <f aca="false">IF(OR(E468="",E468="!!!",F468="NEW"),"",INDEX(B$2:B467,-1+SUMPRODUCT(MAX(ROW(E$2:E467)*(E468=E$2:E467)))))</f>
        <v/>
      </c>
      <c r="J468" s="24" t="str">
        <f aca="true">IF(OR(E468="",E468="!!!",F468="NEW"),"",COUNTBLANK(OFFSET(A$1,,,SUMPRODUCT(MAX(ROW(E$2:E468)*(E468=E$2:E468)))))-COUNTBLANK(OFFSET(A$1,,,SUMPRODUCT(MAX(ROW(E$1:E467)*(E2=E$1:E467))))))</f>
        <v/>
      </c>
      <c r="K468" s="24" t="str">
        <f aca="false">IF(OR(E468="",E468="!!!",F468="NEW"),"",INDEX(J$1:J467,SUMPRODUCT(MAX(ROW(E$1:E467)*(E468=E$1:E467)))))</f>
        <v/>
      </c>
      <c r="L468" s="25"/>
    </row>
    <row r="469" customFormat="false" ht="14.25" hidden="false" customHeight="false" outlineLevel="0" collapsed="false">
      <c r="A469" s="0" t="s">
        <v>407</v>
      </c>
      <c r="E469" s="20" t="str">
        <f aca="false">IF(D469="?OLD","!!!","")</f>
        <v/>
      </c>
      <c r="F469" s="21" t="str">
        <f aca="false">IF(OR(E469="",E469="!!!"),"",IF(NOT(ISNA(VLOOKUP(E469,E$1:E468,1,FALSE()))),"OLD",IF(AND(E469&lt;&gt;"",E469&lt;&gt;"!!!"),"NEW","")))</f>
        <v/>
      </c>
      <c r="G469" s="22" t="str">
        <f aca="false"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aca="false">IF(J469&lt;&gt;1,"",IF(I469="SBJ","CB","?"))</f>
        <v/>
      </c>
      <c r="I469" s="24" t="str">
        <f aca="false">IF(OR(E469="",E469="!!!",F469="NEW"),"",INDEX(B$2:B468,-1+SUMPRODUCT(MAX(ROW(E$2:E468)*(E469=E$2:E468)))))</f>
        <v/>
      </c>
      <c r="J469" s="24" t="str">
        <f aca="true">IF(OR(E469="",E469="!!!",F469="NEW"),"",COUNTBLANK(OFFSET(A$1,,,SUMPRODUCT(MAX(ROW(E$2:E469)*(E469=E$2:E469)))))-COUNTBLANK(OFFSET(A$1,,,SUMPRODUCT(MAX(ROW(E$1:E468)*(E2=E$1:E468))))))</f>
        <v/>
      </c>
      <c r="K469" s="24" t="str">
        <f aca="false">IF(OR(E469="",E469="!!!",F469="NEW"),"",INDEX(J$1:J468,SUMPRODUCT(MAX(ROW(E$1:E468)*(E469=E$1:E468)))))</f>
        <v/>
      </c>
      <c r="L469" s="25"/>
    </row>
    <row r="470" customFormat="false" ht="14.25" hidden="false" customHeight="false" outlineLevel="0" collapsed="false">
      <c r="A470" s="0" t="s">
        <v>428</v>
      </c>
      <c r="B470" s="26" t="s">
        <v>307</v>
      </c>
      <c r="C470" s="26" t="s">
        <v>105</v>
      </c>
      <c r="E470" s="20" t="str">
        <f aca="false">IF(D470="?OLD","!!!","")</f>
        <v/>
      </c>
      <c r="F470" s="21" t="str">
        <f aca="false">IF(OR(E470="",E470="!!!"),"",IF(NOT(ISNA(VLOOKUP(E470,E$1:E469,1,FALSE()))),"OLD",IF(AND(E470&lt;&gt;"",E470&lt;&gt;"!!!"),"NEW","")))</f>
        <v/>
      </c>
      <c r="G470" s="22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aca="false">IF(J470&lt;&gt;1,"",IF(I470="SBJ","CB","?"))</f>
        <v/>
      </c>
      <c r="I470" s="24" t="str">
        <f aca="false">IF(OR(E470="",E470="!!!",F470="NEW"),"",INDEX(B$2:B469,-1+SUMPRODUCT(MAX(ROW(E$2:E469)*(E470=E$2:E469)))))</f>
        <v/>
      </c>
      <c r="J470" s="24" t="str">
        <f aca="true">IF(OR(E470="",E470="!!!",F470="NEW"),"",COUNTBLANK(OFFSET(A$1,,,SUMPRODUCT(MAX(ROW(E$2:E470)*(E470=E$2:E470)))))-COUNTBLANK(OFFSET(A$1,,,SUMPRODUCT(MAX(ROW(E$1:E469)*(E2=E$1:E469))))))</f>
        <v/>
      </c>
      <c r="K470" s="24" t="str">
        <f aca="false">IF(OR(E470="",E470="!!!",F470="NEW"),"",INDEX(J$1:J469,SUMPRODUCT(MAX(ROW(E$1:E469)*(E470=E$1:E469)))))</f>
        <v/>
      </c>
      <c r="L470" s="25"/>
    </row>
    <row r="471" customFormat="false" ht="14.25" hidden="false" customHeight="false" outlineLevel="0" collapsed="false">
      <c r="A471" s="0" t="s">
        <v>328</v>
      </c>
      <c r="E471" s="20" t="str">
        <f aca="false">IF(D471="?OLD","!!!","")</f>
        <v/>
      </c>
      <c r="F471" s="21" t="str">
        <f aca="false">IF(OR(E471="",E471="!!!"),"",IF(NOT(ISNA(VLOOKUP(E471,E$1:E470,1,FALSE()))),"OLD",IF(AND(E471&lt;&gt;"",E471&lt;&gt;"!!!"),"NEW","")))</f>
        <v/>
      </c>
      <c r="G471" s="22" t="str">
        <f aca="false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aca="false">IF(J471&lt;&gt;1,"",IF(I471="SBJ","CB","?"))</f>
        <v/>
      </c>
      <c r="I471" s="24" t="str">
        <f aca="false">IF(OR(E471="",E471="!!!",F471="NEW"),"",INDEX(B$2:B470,-1+SUMPRODUCT(MAX(ROW(E$2:E470)*(E471=E$2:E470)))))</f>
        <v/>
      </c>
      <c r="J471" s="24" t="str">
        <f aca="true">IF(OR(E471="",E471="!!!",F471="NEW"),"",COUNTBLANK(OFFSET(A$1,,,SUMPRODUCT(MAX(ROW(E$2:E471)*(E471=E$2:E471)))))-COUNTBLANK(OFFSET(A$1,,,SUMPRODUCT(MAX(ROW(E$1:E470)*(E2=E$1:E470))))))</f>
        <v/>
      </c>
      <c r="K471" s="24" t="str">
        <f aca="false">IF(OR(E471="",E471="!!!",F471="NEW"),"",INDEX(J$1:J470,SUMPRODUCT(MAX(ROW(E$1:E470)*(E471=E$1:E470)))))</f>
        <v/>
      </c>
      <c r="L471" s="25"/>
    </row>
    <row r="472" customFormat="false" ht="14.25" hidden="false" customHeight="false" outlineLevel="0" collapsed="false">
      <c r="A472" s="0" t="s">
        <v>429</v>
      </c>
      <c r="B472" s="26" t="s">
        <v>410</v>
      </c>
      <c r="C472" s="26" t="s">
        <v>105</v>
      </c>
      <c r="E472" s="20" t="str">
        <f aca="false">IF(D472="?OLD","!!!","")</f>
        <v/>
      </c>
      <c r="F472" s="21" t="str">
        <f aca="false">IF(OR(E472="",E472="!!!"),"",IF(NOT(ISNA(VLOOKUP(E472,E$1:E471,1,FALSE()))),"OLD",IF(AND(E472&lt;&gt;"",E472&lt;&gt;"!!!"),"NEW","")))</f>
        <v/>
      </c>
      <c r="G472" s="22" t="str">
        <f aca="false"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aca="false">IF(J472&lt;&gt;1,"",IF(I472="SBJ","CB","?"))</f>
        <v/>
      </c>
      <c r="I472" s="24" t="str">
        <f aca="false">IF(OR(E472="",E472="!!!",F472="NEW"),"",INDEX(B$2:B471,-1+SUMPRODUCT(MAX(ROW(E$2:E471)*(E472=E$2:E471)))))</f>
        <v/>
      </c>
      <c r="J472" s="24" t="str">
        <f aca="true">IF(OR(E472="",E472="!!!",F472="NEW"),"",COUNTBLANK(OFFSET(A$1,,,SUMPRODUCT(MAX(ROW(E$2:E472)*(E472=E$2:E472)))))-COUNTBLANK(OFFSET(A$1,,,SUMPRODUCT(MAX(ROW(E$1:E471)*(E2=E$1:E471))))))</f>
        <v/>
      </c>
      <c r="K472" s="24" t="str">
        <f aca="false">IF(OR(E472="",E472="!!!",F472="NEW"),"",INDEX(J$1:J471,SUMPRODUCT(MAX(ROW(E$1:E471)*(E472=E$1:E471)))))</f>
        <v/>
      </c>
      <c r="L472" s="25"/>
    </row>
    <row r="473" customFormat="false" ht="14.25" hidden="false" customHeight="false" outlineLevel="0" collapsed="false">
      <c r="A473" s="0" t="s">
        <v>237</v>
      </c>
      <c r="E473" s="20" t="str">
        <f aca="false">IF(D473="?OLD","!!!","")</f>
        <v/>
      </c>
      <c r="F473" s="21" t="str">
        <f aca="false">IF(OR(E473="",E473="!!!"),"",IF(NOT(ISNA(VLOOKUP(E473,E$1:E472,1,FALSE()))),"OLD",IF(AND(E473&lt;&gt;"",E473&lt;&gt;"!!!"),"NEW","")))</f>
        <v/>
      </c>
      <c r="G473" s="22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aca="false">IF(J473&lt;&gt;1,"",IF(I473="SBJ","CB","?"))</f>
        <v/>
      </c>
      <c r="I473" s="24" t="str">
        <f aca="false">IF(OR(E473="",E473="!!!",F473="NEW"),"",INDEX(B$2:B472,-1+SUMPRODUCT(MAX(ROW(E$2:E472)*(E473=E$2:E472)))))</f>
        <v/>
      </c>
      <c r="J473" s="24" t="str">
        <f aca="true">IF(OR(E473="",E473="!!!",F473="NEW"),"",COUNTBLANK(OFFSET(A$1,,,SUMPRODUCT(MAX(ROW(E$2:E473)*(E473=E$2:E473)))))-COUNTBLANK(OFFSET(A$1,,,SUMPRODUCT(MAX(ROW(E$1:E472)*(E2=E$1:E472))))))</f>
        <v/>
      </c>
      <c r="K473" s="24" t="str">
        <f aca="false">IF(OR(E473="",E473="!!!",F473="NEW"),"",INDEX(J$1:J472,SUMPRODUCT(MAX(ROW(E$1:E472)*(E473=E$1:E472)))))</f>
        <v/>
      </c>
      <c r="L473" s="25"/>
    </row>
    <row r="474" customFormat="false" ht="14.25" hidden="false" customHeight="false" outlineLevel="0" collapsed="false">
      <c r="A474" s="0" t="s">
        <v>430</v>
      </c>
      <c r="B474" s="26" t="s">
        <v>410</v>
      </c>
      <c r="C474" s="26" t="s">
        <v>105</v>
      </c>
      <c r="E474" s="20" t="str">
        <f aca="false">IF(D474="?OLD","!!!","")</f>
        <v/>
      </c>
      <c r="F474" s="21" t="str">
        <f aca="false">IF(OR(E474="",E474="!!!"),"",IF(NOT(ISNA(VLOOKUP(E474,E$1:E473,1,FALSE()))),"OLD",IF(AND(E474&lt;&gt;"",E474&lt;&gt;"!!!"),"NEW","")))</f>
        <v/>
      </c>
      <c r="G474" s="22" t="str">
        <f aca="false"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aca="false">IF(J474&lt;&gt;1,"",IF(I474="SBJ","CB","?"))</f>
        <v/>
      </c>
      <c r="I474" s="24" t="str">
        <f aca="false">IF(OR(E474="",E474="!!!",F474="NEW"),"",INDEX(B$2:B473,-1+SUMPRODUCT(MAX(ROW(E$2:E473)*(E474=E$2:E473)))))</f>
        <v/>
      </c>
      <c r="J474" s="24" t="str">
        <f aca="true">IF(OR(E474="",E474="!!!",F474="NEW"),"",COUNTBLANK(OFFSET(A$1,,,SUMPRODUCT(MAX(ROW(E$2:E474)*(E474=E$2:E474)))))-COUNTBLANK(OFFSET(A$1,,,SUMPRODUCT(MAX(ROW(E$1:E473)*(E2=E$1:E473))))))</f>
        <v/>
      </c>
      <c r="K474" s="24" t="str">
        <f aca="false">IF(OR(E474="",E474="!!!",F474="NEW"),"",INDEX(J$1:J473,SUMPRODUCT(MAX(ROW(E$1:E473)*(E474=E$1:E473)))))</f>
        <v/>
      </c>
      <c r="L474" s="25"/>
    </row>
    <row r="475" customFormat="false" ht="14.25" hidden="false" customHeight="false" outlineLevel="0" collapsed="false">
      <c r="A475" s="0" t="s">
        <v>142</v>
      </c>
      <c r="E475" s="20" t="str">
        <f aca="false">IF(D475="?OLD","!!!","")</f>
        <v/>
      </c>
      <c r="F475" s="21" t="str">
        <f aca="false">IF(OR(E475="",E475="!!!"),"",IF(NOT(ISNA(VLOOKUP(E475,E$1:E474,1,FALSE()))),"OLD",IF(AND(E475&lt;&gt;"",E475&lt;&gt;"!!!"),"NEW","")))</f>
        <v/>
      </c>
      <c r="G475" s="22" t="str">
        <f aca="false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aca="false">IF(J475&lt;&gt;1,"",IF(I475="SBJ","CB","?"))</f>
        <v/>
      </c>
      <c r="I475" s="24" t="str">
        <f aca="false">IF(OR(E475="",E475="!!!",F475="NEW"),"",INDEX(B$2:B474,-1+SUMPRODUCT(MAX(ROW(E$2:E474)*(E475=E$2:E474)))))</f>
        <v/>
      </c>
      <c r="J475" s="24" t="str">
        <f aca="true">IF(OR(E475="",E475="!!!",F475="NEW"),"",COUNTBLANK(OFFSET(A$1,,,SUMPRODUCT(MAX(ROW(E$2:E475)*(E475=E$2:E475)))))-COUNTBLANK(OFFSET(A$1,,,SUMPRODUCT(MAX(ROW(E$1:E474)*(E2=E$1:E474))))))</f>
        <v/>
      </c>
      <c r="K475" s="24" t="str">
        <f aca="false">IF(OR(E475="",E475="!!!",F475="NEW"),"",INDEX(J$1:J474,SUMPRODUCT(MAX(ROW(E$1:E474)*(E475=E$1:E474)))))</f>
        <v/>
      </c>
      <c r="L475" s="25"/>
    </row>
    <row r="476" customFormat="false" ht="14.25" hidden="false" customHeight="false" outlineLevel="0" collapsed="false">
      <c r="A476" s="0" t="s">
        <v>237</v>
      </c>
      <c r="E476" s="20" t="str">
        <f aca="false">IF(D476="?OLD","!!!","")</f>
        <v/>
      </c>
      <c r="F476" s="21" t="str">
        <f aca="false">IF(OR(E476="",E476="!!!"),"",IF(NOT(ISNA(VLOOKUP(E476,E$1:E475,1,FALSE()))),"OLD",IF(AND(E476&lt;&gt;"",E476&lt;&gt;"!!!"),"NEW","")))</f>
        <v/>
      </c>
      <c r="G476" s="22" t="str">
        <f aca="false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aca="false">IF(J476&lt;&gt;1,"",IF(I476="SBJ","CB","?"))</f>
        <v/>
      </c>
      <c r="I476" s="24" t="str">
        <f aca="false">IF(OR(E476="",E476="!!!",F476="NEW"),"",INDEX(B$2:B475,-1+SUMPRODUCT(MAX(ROW(E$2:E475)*(E476=E$2:E475)))))</f>
        <v/>
      </c>
      <c r="J476" s="24" t="str">
        <f aca="true">IF(OR(E476="",E476="!!!",F476="NEW"),"",COUNTBLANK(OFFSET(A$1,,,SUMPRODUCT(MAX(ROW(E$2:E476)*(E476=E$2:E476)))))-COUNTBLANK(OFFSET(A$1,,,SUMPRODUCT(MAX(ROW(E$1:E475)*(E2=E$1:E475))))))</f>
        <v/>
      </c>
      <c r="K476" s="24" t="str">
        <f aca="false">IF(OR(E476="",E476="!!!",F476="NEW"),"",INDEX(J$1:J475,SUMPRODUCT(MAX(ROW(E$1:E475)*(E476=E$1:E475)))))</f>
        <v/>
      </c>
      <c r="L476" s="25"/>
    </row>
    <row r="477" customFormat="false" ht="14.25" hidden="false" customHeight="false" outlineLevel="0" collapsed="false">
      <c r="A477" s="0" t="s">
        <v>80</v>
      </c>
      <c r="E477" s="20" t="str">
        <f aca="false">IF(D477="?OLD","!!!","")</f>
        <v/>
      </c>
      <c r="F477" s="21" t="str">
        <f aca="false">IF(OR(E477="",E477="!!!"),"",IF(NOT(ISNA(VLOOKUP(E477,E$1:E476,1,FALSE()))),"OLD",IF(AND(E477&lt;&gt;"",E477&lt;&gt;"!!!"),"NEW","")))</f>
        <v/>
      </c>
      <c r="G477" s="22" t="str">
        <f aca="false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aca="false">IF(J477&lt;&gt;1,"",IF(I477="SBJ","CB","?"))</f>
        <v/>
      </c>
      <c r="I477" s="24" t="str">
        <f aca="false">IF(OR(E477="",E477="!!!",F477="NEW"),"",INDEX(B$2:B476,-1+SUMPRODUCT(MAX(ROW(E$2:E476)*(E477=E$2:E476)))))</f>
        <v/>
      </c>
      <c r="J477" s="24" t="str">
        <f aca="true">IF(OR(E477="",E477="!!!",F477="NEW"),"",COUNTBLANK(OFFSET(A$1,,,SUMPRODUCT(MAX(ROW(E$2:E477)*(E477=E$2:E477)))))-COUNTBLANK(OFFSET(A$1,,,SUMPRODUCT(MAX(ROW(E$1:E476)*(E2=E$1:E476))))))</f>
        <v/>
      </c>
      <c r="K477" s="24" t="str">
        <f aca="false">IF(OR(E477="",E477="!!!",F477="NEW"),"",INDEX(J$1:J476,SUMPRODUCT(MAX(ROW(E$1:E476)*(E477=E$1:E476)))))</f>
        <v/>
      </c>
      <c r="L477" s="25"/>
    </row>
    <row r="478" customFormat="false" ht="14.25" hidden="false" customHeight="false" outlineLevel="0" collapsed="false">
      <c r="A478" s="0" t="s">
        <v>431</v>
      </c>
      <c r="B478" s="26" t="s">
        <v>424</v>
      </c>
      <c r="C478" s="26" t="s">
        <v>74</v>
      </c>
      <c r="D478" s="26" t="s">
        <v>75</v>
      </c>
      <c r="E478" s="20" t="s">
        <v>235</v>
      </c>
      <c r="F478" s="21" t="str">
        <f aca="false">IF(OR(E478="",E478="!!!"),"",IF(NOT(ISNA(VLOOKUP(E478,E$1:E477,1,FALSE()))),"OLD",IF(AND(E478&lt;&gt;"",E478&lt;&gt;"!!!"),"NEW","")))</f>
        <v>OLD</v>
      </c>
      <c r="G478" s="22" t="str">
        <f aca="false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?IN_FOCUS</v>
      </c>
      <c r="H478" s="23" t="str">
        <f aca="false">IF(J478&lt;&gt;1,"",IF(I478="SBJ","CB","?"))</f>
        <v/>
      </c>
      <c r="I478" s="24" t="str">
        <f aca="false">IF(OR(E478="",E478="!!!",F478="NEW"),"",INDEX(B$2:B477,-1+SUMPRODUCT(MAX(ROW(E$2:E477)*(E478=E$2:E477)))))</f>
        <v>other_2</v>
      </c>
      <c r="J478" s="24" t="n">
        <f aca="true">IF(OR(E478="",E478="!!!",F478="NEW"),"",COUNTBLANK(OFFSET(A$1,,,SUMPRODUCT(MAX(ROW(E$2:E478)*(E478=E$2:E478)))))-COUNTBLANK(OFFSET(A$1,,,SUMPRODUCT(MAX(ROW(E$1:E477)*(E2=E$1:E477))))))</f>
        <v>0</v>
      </c>
      <c r="K478" s="24" t="str">
        <f aca="false">IF(OR(E478="",E478="!!!",F478="NEW"),"",INDEX(J$1:J477,SUMPRODUCT(MAX(ROW(E$1:E477)*(E478=E$1:E477)))))</f>
        <v/>
      </c>
      <c r="L478" s="27" t="s">
        <v>432</v>
      </c>
    </row>
    <row r="479" customFormat="false" ht="14.25" hidden="false" customHeight="false" outlineLevel="0" collapsed="false">
      <c r="A479" s="0" t="s">
        <v>433</v>
      </c>
      <c r="E479" s="20" t="str">
        <f aca="false">IF(D479="?OLD","!!!","")</f>
        <v/>
      </c>
      <c r="F479" s="21" t="str">
        <f aca="false">IF(OR(E479="",E479="!!!"),"",IF(NOT(ISNA(VLOOKUP(E479,E$1:E478,1,FALSE()))),"OLD",IF(AND(E479&lt;&gt;"",E479&lt;&gt;"!!!"),"NEW","")))</f>
        <v/>
      </c>
      <c r="G479" s="22" t="str">
        <f aca="false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aca="false">IF(J479&lt;&gt;1,"",IF(I479="SBJ","CB","?"))</f>
        <v/>
      </c>
      <c r="I479" s="24" t="str">
        <f aca="false">IF(OR(E479="",E479="!!!",F479="NEW"),"",INDEX(B$2:B478,-1+SUMPRODUCT(MAX(ROW(E$2:E478)*(E479=E$2:E478)))))</f>
        <v/>
      </c>
      <c r="J479" s="24" t="str">
        <f aca="true">IF(OR(E479="",E479="!!!",F479="NEW"),"",COUNTBLANK(OFFSET(A$1,,,SUMPRODUCT(MAX(ROW(E$2:E479)*(E479=E$2:E479)))))-COUNTBLANK(OFFSET(A$1,,,SUMPRODUCT(MAX(ROW(E$1:E478)*(E2=E$1:E478))))))</f>
        <v/>
      </c>
      <c r="K479" s="24" t="str">
        <f aca="false">IF(OR(E479="",E479="!!!",F479="NEW"),"",INDEX(J$1:J478,SUMPRODUCT(MAX(ROW(E$1:E478)*(E479=E$1:E478)))))</f>
        <v/>
      </c>
      <c r="L479" s="25"/>
    </row>
    <row r="480" customFormat="false" ht="14.25" hidden="false" customHeight="false" outlineLevel="0" collapsed="false">
      <c r="A480" s="0" t="s">
        <v>142</v>
      </c>
      <c r="E480" s="20" t="str">
        <f aca="false">IF(D480="?OLD","!!!","")</f>
        <v/>
      </c>
      <c r="F480" s="21" t="str">
        <f aca="false">IF(OR(E480="",E480="!!!"),"",IF(NOT(ISNA(VLOOKUP(E480,E$1:E479,1,FALSE()))),"OLD",IF(AND(E480&lt;&gt;"",E480&lt;&gt;"!!!"),"NEW","")))</f>
        <v/>
      </c>
      <c r="G480" s="22" t="str">
        <f aca="false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aca="false">IF(J480&lt;&gt;1,"",IF(I480="SBJ","CB","?"))</f>
        <v/>
      </c>
      <c r="I480" s="24" t="str">
        <f aca="false">IF(OR(E480="",E480="!!!",F480="NEW"),"",INDEX(B$2:B479,-1+SUMPRODUCT(MAX(ROW(E$2:E479)*(E480=E$2:E479)))))</f>
        <v/>
      </c>
      <c r="J480" s="24" t="str">
        <f aca="true">IF(OR(E480="",E480="!!!",F480="NEW"),"",COUNTBLANK(OFFSET(A$1,,,SUMPRODUCT(MAX(ROW(E$2:E480)*(E480=E$2:E480)))))-COUNTBLANK(OFFSET(A$1,,,SUMPRODUCT(MAX(ROW(E$1:E479)*(E2=E$1:E479))))))</f>
        <v/>
      </c>
      <c r="K480" s="24" t="str">
        <f aca="false">IF(OR(E480="",E480="!!!",F480="NEW"),"",INDEX(J$1:J479,SUMPRODUCT(MAX(ROW(E$1:E479)*(E480=E$1:E479)))))</f>
        <v/>
      </c>
      <c r="L480" s="25"/>
    </row>
    <row r="481" customFormat="false" ht="14.25" hidden="false" customHeight="false" outlineLevel="0" collapsed="false">
      <c r="A481" s="0" t="s">
        <v>434</v>
      </c>
      <c r="B481" s="26" t="s">
        <v>410</v>
      </c>
      <c r="C481" s="26" t="s">
        <v>105</v>
      </c>
      <c r="E481" s="20" t="s">
        <v>435</v>
      </c>
      <c r="F481" s="21" t="str">
        <f aca="false">IF(OR(E481="",E481="!!!"),"",IF(NOT(ISNA(VLOOKUP(E481,E$1:E480,1,FALSE()))),"OLD",IF(AND(E481&lt;&gt;"",E481&lt;&gt;"!!!"),"NEW","")))</f>
        <v>NEW</v>
      </c>
      <c r="G481" s="22" t="str">
        <f aca="false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?REFERENTIAL</v>
      </c>
      <c r="H481" s="23" t="str">
        <f aca="false">IF(J481&lt;&gt;1,"",IF(I481="SBJ","CB","?"))</f>
        <v/>
      </c>
      <c r="I481" s="24" t="str">
        <f aca="false">IF(OR(E481="",E481="!!!",F481="NEW"),"",INDEX(B$2:B480,-1+SUMPRODUCT(MAX(ROW(E$2:E480)*(E481=E$2:E480)))))</f>
        <v/>
      </c>
      <c r="J481" s="24" t="str">
        <f aca="true">IF(OR(E481="",E481="!!!",F481="NEW"),"",COUNTBLANK(OFFSET(A$1,,,SUMPRODUCT(MAX(ROW(E$2:E481)*(E481=E$2:E481)))))-COUNTBLANK(OFFSET(A$1,,,SUMPRODUCT(MAX(ROW(E$1:E480)*(E2=E$1:E480))))))</f>
        <v/>
      </c>
      <c r="K481" s="24" t="str">
        <f aca="false">IF(OR(E481="",E481="!!!",F481="NEW"),"",INDEX(J$1:J480,SUMPRODUCT(MAX(ROW(E$1:E480)*(E481=E$1:E480)))))</f>
        <v/>
      </c>
      <c r="L481" s="27" t="s">
        <v>338</v>
      </c>
    </row>
    <row r="482" customFormat="false" ht="14.25" hidden="false" customHeight="false" outlineLevel="0" collapsed="false">
      <c r="A482" s="0" t="s">
        <v>259</v>
      </c>
      <c r="E482" s="20" t="str">
        <f aca="false">IF(D482="?OLD","!!!","")</f>
        <v/>
      </c>
      <c r="F482" s="21" t="str">
        <f aca="false">IF(OR(E482="",E482="!!!"),"",IF(NOT(ISNA(VLOOKUP(E482,E$1:E481,1,FALSE()))),"OLD",IF(AND(E482&lt;&gt;"",E482&lt;&gt;"!!!"),"NEW","")))</f>
        <v/>
      </c>
      <c r="G482" s="22" t="str">
        <f aca="false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aca="false">IF(J482&lt;&gt;1,"",IF(I482="SBJ","CB","?"))</f>
        <v/>
      </c>
      <c r="I482" s="24" t="str">
        <f aca="false">IF(OR(E482="",E482="!!!",F482="NEW"),"",INDEX(B$2:B481,-1+SUMPRODUCT(MAX(ROW(E$2:E481)*(E482=E$2:E481)))))</f>
        <v/>
      </c>
      <c r="J482" s="24" t="str">
        <f aca="true">IF(OR(E482="",E482="!!!",F482="NEW"),"",COUNTBLANK(OFFSET(A$1,,,SUMPRODUCT(MAX(ROW(E$2:E482)*(E482=E$2:E482)))))-COUNTBLANK(OFFSET(A$1,,,SUMPRODUCT(MAX(ROW(E$1:E481)*(E2=E$1:E481))))))</f>
        <v/>
      </c>
      <c r="K482" s="24" t="str">
        <f aca="false">IF(OR(E482="",E482="!!!",F482="NEW"),"",INDEX(J$1:J481,SUMPRODUCT(MAX(ROW(E$1:E481)*(E482=E$1:E481)))))</f>
        <v/>
      </c>
      <c r="L482" s="25"/>
    </row>
    <row r="483" customFormat="false" ht="14.25" hidden="false" customHeight="false" outlineLevel="0" collapsed="false">
      <c r="A483" s="0" t="s">
        <v>136</v>
      </c>
      <c r="E483" s="20" t="str">
        <f aca="false">IF(D483="?OLD","!!!","")</f>
        <v/>
      </c>
      <c r="F483" s="21" t="str">
        <f aca="false">IF(OR(E483="",E483="!!!"),"",IF(NOT(ISNA(VLOOKUP(E483,E$1:E482,1,FALSE()))),"OLD",IF(AND(E483&lt;&gt;"",E483&lt;&gt;"!!!"),"NEW","")))</f>
        <v/>
      </c>
      <c r="G483" s="22" t="str">
        <f aca="false"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aca="false">IF(J483&lt;&gt;1,"",IF(I483="SBJ","CB","?"))</f>
        <v/>
      </c>
      <c r="I483" s="24" t="str">
        <f aca="false">IF(OR(E483="",E483="!!!",F483="NEW"),"",INDEX(B$2:B482,-1+SUMPRODUCT(MAX(ROW(E$2:E482)*(E483=E$2:E482)))))</f>
        <v/>
      </c>
      <c r="J483" s="24" t="str">
        <f aca="true">IF(OR(E483="",E483="!!!",F483="NEW"),"",COUNTBLANK(OFFSET(A$1,,,SUMPRODUCT(MAX(ROW(E$2:E483)*(E483=E$2:E483)))))-COUNTBLANK(OFFSET(A$1,,,SUMPRODUCT(MAX(ROW(E$1:E482)*(E2=E$1:E482))))))</f>
        <v/>
      </c>
      <c r="K483" s="24" t="str">
        <f aca="false">IF(OR(E483="",E483="!!!",F483="NEW"),"",INDEX(J$1:J482,SUMPRODUCT(MAX(ROW(E$1:E482)*(E483=E$1:E482)))))</f>
        <v/>
      </c>
      <c r="L483" s="25"/>
    </row>
    <row r="484" customFormat="false" ht="14.25" hidden="false" customHeight="false" outlineLevel="0" collapsed="false">
      <c r="A484" s="0" t="s">
        <v>436</v>
      </c>
      <c r="B484" s="26" t="s">
        <v>307</v>
      </c>
      <c r="C484" s="26" t="s">
        <v>74</v>
      </c>
      <c r="D484" s="26" t="s">
        <v>75</v>
      </c>
      <c r="E484" s="20" t="s">
        <v>437</v>
      </c>
      <c r="F484" s="21" t="str">
        <f aca="false">IF(OR(E484="",E484="!!!"),"",IF(NOT(ISNA(VLOOKUP(E484,E$1:E483,1,FALSE()))),"OLD",IF(AND(E484&lt;&gt;"",E484&lt;&gt;"!!!"),"NEW","")))</f>
        <v>NEW</v>
      </c>
      <c r="G484" s="22" t="str">
        <f aca="false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?REFERENTIAL</v>
      </c>
      <c r="H484" s="23" t="str">
        <f aca="false">IF(J484&lt;&gt;1,"",IF(I484="SBJ","CB","?"))</f>
        <v/>
      </c>
      <c r="I484" s="24" t="str">
        <f aca="false">IF(OR(E484="",E484="!!!",F484="NEW"),"",INDEX(B$2:B483,-1+SUMPRODUCT(MAX(ROW(E$2:E483)*(E484=E$2:E483)))))</f>
        <v/>
      </c>
      <c r="J484" s="24" t="str">
        <f aca="true">IF(OR(E484="",E484="!!!",F484="NEW"),"",COUNTBLANK(OFFSET(A$1,,,SUMPRODUCT(MAX(ROW(E$2:E484)*(E484=E$2:E484)))))-COUNTBLANK(OFFSET(A$1,,,SUMPRODUCT(MAX(ROW(E$1:E483)*(E2=E$1:E483))))))</f>
        <v/>
      </c>
      <c r="K484" s="24" t="str">
        <f aca="false">IF(OR(E484="",E484="!!!",F484="NEW"),"",INDEX(J$1:J483,SUMPRODUCT(MAX(ROW(E$1:E483)*(E484=E$1:E483)))))</f>
        <v/>
      </c>
      <c r="L484" s="25"/>
    </row>
    <row r="485" customFormat="false" ht="14.25" hidden="false" customHeight="false" outlineLevel="0" collapsed="false">
      <c r="A485" s="0" t="s">
        <v>438</v>
      </c>
      <c r="E485" s="20" t="str">
        <f aca="false">IF(D485="?OLD","!!!","")</f>
        <v/>
      </c>
      <c r="F485" s="21" t="str">
        <f aca="false">IF(OR(E485="",E485="!!!"),"",IF(NOT(ISNA(VLOOKUP(E485,E$1:E484,1,FALSE()))),"OLD",IF(AND(E485&lt;&gt;"",E485&lt;&gt;"!!!"),"NEW","")))</f>
        <v/>
      </c>
      <c r="G485" s="22" t="str">
        <f aca="false"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aca="false">IF(J485&lt;&gt;1,"",IF(I485="SBJ","CB","?"))</f>
        <v/>
      </c>
      <c r="I485" s="24" t="str">
        <f aca="false">IF(OR(E485="",E485="!!!",F485="NEW"),"",INDEX(B$2:B484,-1+SUMPRODUCT(MAX(ROW(E$2:E484)*(E485=E$2:E484)))))</f>
        <v/>
      </c>
      <c r="J485" s="24" t="str">
        <f aca="true">IF(OR(E485="",E485="!!!",F485="NEW"),"",COUNTBLANK(OFFSET(A$1,,,SUMPRODUCT(MAX(ROW(E$2:E485)*(E485=E$2:E485)))))-COUNTBLANK(OFFSET(A$1,,,SUMPRODUCT(MAX(ROW(E$1:E484)*(E2=E$1:E484))))))</f>
        <v/>
      </c>
      <c r="K485" s="24" t="str">
        <f aca="false">IF(OR(E485="",E485="!!!",F485="NEW"),"",INDEX(J$1:J484,SUMPRODUCT(MAX(ROW(E$1:E484)*(E485=E$1:E484)))))</f>
        <v/>
      </c>
      <c r="L485" s="25"/>
    </row>
    <row r="486" customFormat="false" ht="14.25" hidden="false" customHeight="false" outlineLevel="0" collapsed="false">
      <c r="A486" s="0" t="s">
        <v>245</v>
      </c>
      <c r="E486" s="20" t="str">
        <f aca="false">IF(D486="?OLD","!!!","")</f>
        <v/>
      </c>
      <c r="F486" s="21" t="str">
        <f aca="false">IF(OR(E486="",E486="!!!"),"",IF(NOT(ISNA(VLOOKUP(E486,E$1:E485,1,FALSE()))),"OLD",IF(AND(E486&lt;&gt;"",E486&lt;&gt;"!!!"),"NEW","")))</f>
        <v/>
      </c>
      <c r="G486" s="22" t="str">
        <f aca="false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aca="false">IF(J486&lt;&gt;1,"",IF(I486="SBJ","CB","?"))</f>
        <v/>
      </c>
      <c r="I486" s="24" t="str">
        <f aca="false">IF(OR(E486="",E486="!!!",F486="NEW"),"",INDEX(B$2:B485,-1+SUMPRODUCT(MAX(ROW(E$2:E485)*(E486=E$2:E485)))))</f>
        <v/>
      </c>
      <c r="J486" s="24" t="str">
        <f aca="true">IF(OR(E486="",E486="!!!",F486="NEW"),"",COUNTBLANK(OFFSET(A$1,,,SUMPRODUCT(MAX(ROW(E$2:E486)*(E486=E$2:E486)))))-COUNTBLANK(OFFSET(A$1,,,SUMPRODUCT(MAX(ROW(E$1:E485)*(E2=E$1:E485))))))</f>
        <v/>
      </c>
      <c r="K486" s="24" t="str">
        <f aca="false">IF(OR(E486="",E486="!!!",F486="NEW"),"",INDEX(J$1:J485,SUMPRODUCT(MAX(ROW(E$1:E485)*(E486=E$1:E485)))))</f>
        <v/>
      </c>
      <c r="L486" s="25"/>
    </row>
    <row r="487" customFormat="false" ht="14.25" hidden="false" customHeight="false" outlineLevel="0" collapsed="false">
      <c r="A487" s="0" t="s">
        <v>101</v>
      </c>
      <c r="E487" s="20" t="str">
        <f aca="false">IF(D487="?OLD","!!!","")</f>
        <v/>
      </c>
      <c r="F487" s="21" t="str">
        <f aca="false">IF(OR(E487="",E487="!!!"),"",IF(NOT(ISNA(VLOOKUP(E487,E$1:E486,1,FALSE()))),"OLD",IF(AND(E487&lt;&gt;"",E487&lt;&gt;"!!!"),"NEW","")))</f>
        <v/>
      </c>
      <c r="G487" s="22" t="str">
        <f aca="false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aca="false">IF(J487&lt;&gt;1,"",IF(I487="SBJ","CB","?"))</f>
        <v/>
      </c>
      <c r="I487" s="24" t="str">
        <f aca="false">IF(OR(E487="",E487="!!!",F487="NEW"),"",INDEX(B$2:B486,-1+SUMPRODUCT(MAX(ROW(E$2:E486)*(E487=E$2:E486)))))</f>
        <v/>
      </c>
      <c r="J487" s="24" t="str">
        <f aca="true">IF(OR(E487="",E487="!!!",F487="NEW"),"",COUNTBLANK(OFFSET(A$1,,,SUMPRODUCT(MAX(ROW(E$2:E487)*(E487=E$2:E487)))))-COUNTBLANK(OFFSET(A$1,,,SUMPRODUCT(MAX(ROW(E$1:E486)*(E2=E$1:E486))))))</f>
        <v/>
      </c>
      <c r="K487" s="24" t="str">
        <f aca="false">IF(OR(E487="",E487="!!!",F487="NEW"),"",INDEX(J$1:J486,SUMPRODUCT(MAX(ROW(E$1:E486)*(E487=E$1:E486)))))</f>
        <v/>
      </c>
      <c r="L487" s="25"/>
    </row>
    <row r="488" customFormat="false" ht="14.25" hidden="false" customHeight="false" outlineLevel="0" collapsed="false">
      <c r="A488" s="0" t="s">
        <v>136</v>
      </c>
      <c r="B488" s="26" t="s">
        <v>208</v>
      </c>
      <c r="C488" s="26" t="s">
        <v>209</v>
      </c>
      <c r="D488" s="26" t="s">
        <v>75</v>
      </c>
      <c r="E488" s="20"/>
      <c r="F488" s="21" t="str">
        <f aca="false">IF(OR(E488="",E488="!!!"),"",IF(NOT(ISNA(VLOOKUP(E488,E$1:E487,1,FALSE()))),"OLD",IF(AND(E488&lt;&gt;"",E488&lt;&gt;"!!!"),"NEW","")))</f>
        <v/>
      </c>
      <c r="G488" s="22" t="str">
        <f aca="false"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aca="false">IF(J488&lt;&gt;1,"",IF(I488="SBJ","CB","?"))</f>
        <v/>
      </c>
      <c r="I488" s="24" t="str">
        <f aca="false">IF(OR(E488="",E488="!!!",F488="NEW"),"",INDEX(B$2:B487,-1+SUMPRODUCT(MAX(ROW(E$2:E487)*(E488=E$2:E487)))))</f>
        <v/>
      </c>
      <c r="J488" s="24" t="str">
        <f aca="true">IF(OR(E488="",E488="!!!",F488="NEW"),"",COUNTBLANK(OFFSET(A$1,,,SUMPRODUCT(MAX(ROW(E$2:E488)*(E488=E$2:E488)))))-COUNTBLANK(OFFSET(A$1,,,SUMPRODUCT(MAX(ROW(E$1:E487)*(E2=E$1:E487))))))</f>
        <v/>
      </c>
      <c r="K488" s="24" t="str">
        <f aca="false">IF(OR(E488="",E488="!!!",F488="NEW"),"",INDEX(J$1:J487,SUMPRODUCT(MAX(ROW(E$1:E487)*(E488=E$1:E487)))))</f>
        <v/>
      </c>
      <c r="L488" s="27" t="s">
        <v>439</v>
      </c>
    </row>
    <row r="489" customFormat="false" ht="14.25" hidden="false" customHeight="false" outlineLevel="0" collapsed="false">
      <c r="A489" s="0" t="s">
        <v>123</v>
      </c>
      <c r="B489" s="26" t="s">
        <v>214</v>
      </c>
      <c r="C489" s="26" t="s">
        <v>88</v>
      </c>
      <c r="D489" s="26" t="s">
        <v>75</v>
      </c>
      <c r="E489" s="20" t="s">
        <v>435</v>
      </c>
      <c r="F489" s="21" t="str">
        <f aca="false">IF(OR(E489="",E489="!!!"),"",IF(NOT(ISNA(VLOOKUP(E489,E$1:E488,1,FALSE()))),"OLD",IF(AND(E489&lt;&gt;"",E489&lt;&gt;"!!!"),"NEW","")))</f>
        <v>OLD</v>
      </c>
      <c r="G489" s="22" t="str">
        <f aca="false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?IN_FOCUS</v>
      </c>
      <c r="H489" s="23" t="str">
        <f aca="false">IF(J489&lt;&gt;1,"",IF(I489="SBJ","CB","?"))</f>
        <v/>
      </c>
      <c r="I489" s="24" t="str">
        <f aca="false">IF(OR(E489="",E489="!!!",F489="NEW"),"",INDEX(B$2:B488,-1+SUMPRODUCT(MAX(ROW(E$2:E488)*(E489=E$2:E488)))))</f>
        <v>other_6</v>
      </c>
      <c r="J489" s="24" t="n">
        <f aca="true">IF(OR(E489="",E489="!!!",F489="NEW"),"",COUNTBLANK(OFFSET(A$1,,,SUMPRODUCT(MAX(ROW(E$2:E489)*(E489=E$2:E489)))))-COUNTBLANK(OFFSET(A$1,,,SUMPRODUCT(MAX(ROW(E$1:E488)*(E2=E$1:E488))))))</f>
        <v>0</v>
      </c>
      <c r="K489" s="24" t="str">
        <f aca="false">IF(OR(E489="",E489="!!!",F489="NEW"),"",INDEX(J$1:J488,SUMPRODUCT(MAX(ROW(E$1:E488)*(E489=E$1:E488)))))</f>
        <v/>
      </c>
      <c r="L489" s="25"/>
    </row>
    <row r="490" customFormat="false" ht="14.25" hidden="false" customHeight="false" outlineLevel="0" collapsed="false">
      <c r="A490" s="0" t="s">
        <v>259</v>
      </c>
      <c r="E490" s="20" t="str">
        <f aca="false">IF(D490="?OLD","!!!","")</f>
        <v/>
      </c>
      <c r="F490" s="21" t="str">
        <f aca="false">IF(OR(E490="",E490="!!!"),"",IF(NOT(ISNA(VLOOKUP(E490,E$1:E489,1,FALSE()))),"OLD",IF(AND(E490&lt;&gt;"",E490&lt;&gt;"!!!"),"NEW","")))</f>
        <v/>
      </c>
      <c r="G490" s="22" t="str">
        <f aca="false"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aca="false">IF(J490&lt;&gt;1,"",IF(I490="SBJ","CB","?"))</f>
        <v/>
      </c>
      <c r="I490" s="24" t="str">
        <f aca="false">IF(OR(E490="",E490="!!!",F490="NEW"),"",INDEX(B$2:B489,-1+SUMPRODUCT(MAX(ROW(E$2:E489)*(E490=E$2:E489)))))</f>
        <v/>
      </c>
      <c r="J490" s="24" t="str">
        <f aca="true">IF(OR(E490="",E490="!!!",F490="NEW"),"",COUNTBLANK(OFFSET(A$1,,,SUMPRODUCT(MAX(ROW(E$2:E490)*(E490=E$2:E490)))))-COUNTBLANK(OFFSET(A$1,,,SUMPRODUCT(MAX(ROW(E$1:E489)*(E2=E$1:E489))))))</f>
        <v/>
      </c>
      <c r="K490" s="24" t="str">
        <f aca="false">IF(OR(E490="",E490="!!!",F490="NEW"),"",INDEX(J$1:J489,SUMPRODUCT(MAX(ROW(E$1:E489)*(E490=E$1:E489)))))</f>
        <v/>
      </c>
      <c r="L490" s="25"/>
    </row>
    <row r="491" customFormat="false" ht="14.25" hidden="false" customHeight="false" outlineLevel="0" collapsed="false">
      <c r="A491" s="0" t="s">
        <v>440</v>
      </c>
      <c r="E491" s="20" t="str">
        <f aca="false">IF(D491="?OLD","!!!","")</f>
        <v/>
      </c>
      <c r="F491" s="21" t="str">
        <f aca="false">IF(OR(E491="",E491="!!!"),"",IF(NOT(ISNA(VLOOKUP(E491,E$1:E490,1,FALSE()))),"OLD",IF(AND(E491&lt;&gt;"",E491&lt;&gt;"!!!"),"NEW","")))</f>
        <v/>
      </c>
      <c r="G491" s="22" t="str">
        <f aca="false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aca="false">IF(J491&lt;&gt;1,"",IF(I491="SBJ","CB","?"))</f>
        <v/>
      </c>
      <c r="I491" s="24" t="str">
        <f aca="false">IF(OR(E491="",E491="!!!",F491="NEW"),"",INDEX(B$2:B490,-1+SUMPRODUCT(MAX(ROW(E$2:E490)*(E491=E$2:E490)))))</f>
        <v/>
      </c>
      <c r="J491" s="24" t="str">
        <f aca="true">IF(OR(E491="",E491="!!!",F491="NEW"),"",COUNTBLANK(OFFSET(A$1,,,SUMPRODUCT(MAX(ROW(E$2:E491)*(E491=E$2:E491)))))-COUNTBLANK(OFFSET(A$1,,,SUMPRODUCT(MAX(ROW(E$1:E490)*(E2=E$1:E490))))))</f>
        <v/>
      </c>
      <c r="K491" s="24" t="str">
        <f aca="false">IF(OR(E491="",E491="!!!",F491="NEW"),"",INDEX(J$1:J490,SUMPRODUCT(MAX(ROW(E$1:E490)*(E491=E$1:E490)))))</f>
        <v/>
      </c>
      <c r="L491" s="25"/>
    </row>
    <row r="492" customFormat="false" ht="14.25" hidden="false" customHeight="false" outlineLevel="0" collapsed="false">
      <c r="A492" s="0" t="s">
        <v>142</v>
      </c>
      <c r="E492" s="20" t="str">
        <f aca="false">IF(D492="?OLD","!!!","")</f>
        <v/>
      </c>
      <c r="F492" s="21" t="str">
        <f aca="false">IF(OR(E492="",E492="!!!"),"",IF(NOT(ISNA(VLOOKUP(E492,E$1:E491,1,FALSE()))),"OLD",IF(AND(E492&lt;&gt;"",E492&lt;&gt;"!!!"),"NEW","")))</f>
        <v/>
      </c>
      <c r="G492" s="22" t="str">
        <f aca="false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aca="false">IF(J492&lt;&gt;1,"",IF(I492="SBJ","CB","?"))</f>
        <v/>
      </c>
      <c r="I492" s="24" t="str">
        <f aca="false">IF(OR(E492="",E492="!!!",F492="NEW"),"",INDEX(B$2:B491,-1+SUMPRODUCT(MAX(ROW(E$2:E491)*(E492=E$2:E491)))))</f>
        <v/>
      </c>
      <c r="J492" s="24" t="str">
        <f aca="true">IF(OR(E492="",E492="!!!",F492="NEW"),"",COUNTBLANK(OFFSET(A$1,,,SUMPRODUCT(MAX(ROW(E$2:E492)*(E492=E$2:E492)))))-COUNTBLANK(OFFSET(A$1,,,SUMPRODUCT(MAX(ROW(E$1:E491)*(E2=E$1:E491))))))</f>
        <v/>
      </c>
      <c r="K492" s="24" t="str">
        <f aca="false">IF(OR(E492="",E492="!!!",F492="NEW"),"",INDEX(J$1:J491,SUMPRODUCT(MAX(ROW(E$1:E491)*(E492=E$1:E491)))))</f>
        <v/>
      </c>
      <c r="L492" s="25"/>
    </row>
    <row r="493" customFormat="false" ht="14.25" hidden="false" customHeight="false" outlineLevel="0" collapsed="false">
      <c r="A493" s="0" t="s">
        <v>441</v>
      </c>
      <c r="E493" s="20" t="str">
        <f aca="false">IF(D493="?OLD","!!!","")</f>
        <v/>
      </c>
      <c r="F493" s="21" t="str">
        <f aca="false">IF(OR(E493="",E493="!!!"),"",IF(NOT(ISNA(VLOOKUP(E493,E$1:E492,1,FALSE()))),"OLD",IF(AND(E493&lt;&gt;"",E493&lt;&gt;"!!!"),"NEW","")))</f>
        <v/>
      </c>
      <c r="G493" s="22" t="str">
        <f aca="false"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aca="false">IF(J493&lt;&gt;1,"",IF(I493="SBJ","CB","?"))</f>
        <v/>
      </c>
      <c r="I493" s="24" t="str">
        <f aca="false">IF(OR(E493="",E493="!!!",F493="NEW"),"",INDEX(B$2:B492,-1+SUMPRODUCT(MAX(ROW(E$2:E492)*(E493=E$2:E492)))))</f>
        <v/>
      </c>
      <c r="J493" s="24" t="str">
        <f aca="true">IF(OR(E493="",E493="!!!",F493="NEW"),"",COUNTBLANK(OFFSET(A$1,,,SUMPRODUCT(MAX(ROW(E$2:E493)*(E493=E$2:E493)))))-COUNTBLANK(OFFSET(A$1,,,SUMPRODUCT(MAX(ROW(E$1:E492)*(E2=E$1:E492))))))</f>
        <v/>
      </c>
      <c r="K493" s="24" t="str">
        <f aca="false">IF(OR(E493="",E493="!!!",F493="NEW"),"",INDEX(J$1:J492,SUMPRODUCT(MAX(ROW(E$1:E492)*(E493=E$1:E492)))))</f>
        <v/>
      </c>
      <c r="L493" s="25"/>
    </row>
    <row r="494" customFormat="false" ht="14.25" hidden="false" customHeight="false" outlineLevel="0" collapsed="false">
      <c r="A494" s="0" t="s">
        <v>442</v>
      </c>
      <c r="B494" s="26" t="s">
        <v>410</v>
      </c>
      <c r="C494" s="26" t="s">
        <v>105</v>
      </c>
      <c r="E494" s="20" t="str">
        <f aca="false">IF(D494="?OLD","!!!","")</f>
        <v/>
      </c>
      <c r="F494" s="21" t="str">
        <f aca="false">IF(OR(E494="",E494="!!!"),"",IF(NOT(ISNA(VLOOKUP(E494,E$1:E493,1,FALSE()))),"OLD",IF(AND(E494&lt;&gt;"",E494&lt;&gt;"!!!"),"NEW","")))</f>
        <v/>
      </c>
      <c r="G494" s="22" t="str">
        <f aca="false"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aca="false">IF(J494&lt;&gt;1,"",IF(I494="SBJ","CB","?"))</f>
        <v/>
      </c>
      <c r="I494" s="24" t="str">
        <f aca="false">IF(OR(E494="",E494="!!!",F494="NEW"),"",INDEX(B$2:B493,-1+SUMPRODUCT(MAX(ROW(E$2:E493)*(E494=E$2:E493)))))</f>
        <v/>
      </c>
      <c r="J494" s="24" t="str">
        <f aca="true">IF(OR(E494="",E494="!!!",F494="NEW"),"",COUNTBLANK(OFFSET(A$1,,,SUMPRODUCT(MAX(ROW(E$2:E494)*(E494=E$2:E494)))))-COUNTBLANK(OFFSET(A$1,,,SUMPRODUCT(MAX(ROW(E$1:E493)*(E2=E$1:E493))))))</f>
        <v/>
      </c>
      <c r="K494" s="24" t="str">
        <f aca="false">IF(OR(E494="",E494="!!!",F494="NEW"),"",INDEX(J$1:J493,SUMPRODUCT(MAX(ROW(E$1:E493)*(E494=E$1:E493)))))</f>
        <v/>
      </c>
      <c r="L494" s="25"/>
    </row>
    <row r="495" customFormat="false" ht="14.25" hidden="false" customHeight="false" outlineLevel="0" collapsed="false">
      <c r="A495" s="0" t="s">
        <v>443</v>
      </c>
      <c r="E495" s="20" t="str">
        <f aca="false">IF(D495="?OLD","!!!","")</f>
        <v/>
      </c>
      <c r="F495" s="21" t="str">
        <f aca="false">IF(OR(E495="",E495="!!!"),"",IF(NOT(ISNA(VLOOKUP(E495,E$1:E494,1,FALSE()))),"OLD",IF(AND(E495&lt;&gt;"",E495&lt;&gt;"!!!"),"NEW","")))</f>
        <v/>
      </c>
      <c r="G495" s="22" t="str">
        <f aca="false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aca="false">IF(J495&lt;&gt;1,"",IF(I495="SBJ","CB","?"))</f>
        <v/>
      </c>
      <c r="I495" s="24" t="str">
        <f aca="false">IF(OR(E495="",E495="!!!",F495="NEW"),"",INDEX(B$2:B494,-1+SUMPRODUCT(MAX(ROW(E$2:E494)*(E495=E$2:E494)))))</f>
        <v/>
      </c>
      <c r="J495" s="24" t="str">
        <f aca="true">IF(OR(E495="",E495="!!!",F495="NEW"),"",COUNTBLANK(OFFSET(A$1,,,SUMPRODUCT(MAX(ROW(E$2:E495)*(E495=E$2:E495)))))-COUNTBLANK(OFFSET(A$1,,,SUMPRODUCT(MAX(ROW(E$1:E494)*(E2=E$1:E494))))))</f>
        <v/>
      </c>
      <c r="K495" s="24" t="str">
        <f aca="false">IF(OR(E495="",E495="!!!",F495="NEW"),"",INDEX(J$1:J494,SUMPRODUCT(MAX(ROW(E$1:E494)*(E495=E$1:E494)))))</f>
        <v/>
      </c>
      <c r="L495" s="25"/>
    </row>
    <row r="496" customFormat="false" ht="14.25" hidden="false" customHeight="false" outlineLevel="0" collapsed="false">
      <c r="A496" s="0" t="s">
        <v>86</v>
      </c>
      <c r="E496" s="20" t="str">
        <f aca="false">IF(D496="?OLD","!!!","")</f>
        <v/>
      </c>
      <c r="F496" s="21" t="str">
        <f aca="false">IF(OR(E496="",E496="!!!"),"",IF(NOT(ISNA(VLOOKUP(E496,E$1:E495,1,FALSE()))),"OLD",IF(AND(E496&lt;&gt;"",E496&lt;&gt;"!!!"),"NEW","")))</f>
        <v/>
      </c>
      <c r="G496" s="22" t="str">
        <f aca="false"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aca="false">IF(J496&lt;&gt;1,"",IF(I496="SBJ","CB","?"))</f>
        <v/>
      </c>
      <c r="I496" s="24" t="str">
        <f aca="false">IF(OR(E496="",E496="!!!",F496="NEW"),"",INDEX(B$2:B495,-1+SUMPRODUCT(MAX(ROW(E$2:E495)*(E496=E$2:E495)))))</f>
        <v/>
      </c>
      <c r="J496" s="24" t="str">
        <f aca="true">IF(OR(E496="",E496="!!!",F496="NEW"),"",COUNTBLANK(OFFSET(A$1,,,SUMPRODUCT(MAX(ROW(E$2:E496)*(E496=E$2:E496)))))-COUNTBLANK(OFFSET(A$1,,,SUMPRODUCT(MAX(ROW(E$1:E495)*(E2=E$1:E495))))))</f>
        <v/>
      </c>
      <c r="K496" s="24" t="str">
        <f aca="false">IF(OR(E496="",E496="!!!",F496="NEW"),"",INDEX(J$1:J495,SUMPRODUCT(MAX(ROW(E$1:E495)*(E496=E$1:E495)))))</f>
        <v/>
      </c>
      <c r="L496" s="25"/>
    </row>
    <row r="497" customFormat="false" ht="14.25" hidden="false" customHeight="false" outlineLevel="0" collapsed="false">
      <c r="A497" s="0" t="s">
        <v>444</v>
      </c>
      <c r="E497" s="20" t="str">
        <f aca="false">IF(D497="?OLD","!!!","")</f>
        <v/>
      </c>
      <c r="F497" s="21" t="str">
        <f aca="false">IF(OR(E497="",E497="!!!"),"",IF(NOT(ISNA(VLOOKUP(E497,E$1:E496,1,FALSE()))),"OLD",IF(AND(E497&lt;&gt;"",E497&lt;&gt;"!!!"),"NEW","")))</f>
        <v/>
      </c>
      <c r="G497" s="22" t="str">
        <f aca="false"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aca="false">IF(J497&lt;&gt;1,"",IF(I497="SBJ","CB","?"))</f>
        <v/>
      </c>
      <c r="I497" s="24" t="str">
        <f aca="false">IF(OR(E497="",E497="!!!",F497="NEW"),"",INDEX(B$2:B496,-1+SUMPRODUCT(MAX(ROW(E$2:E496)*(E497=E$2:E496)))))</f>
        <v/>
      </c>
      <c r="J497" s="24" t="str">
        <f aca="true">IF(OR(E497="",E497="!!!",F497="NEW"),"",COUNTBLANK(OFFSET(A$1,,,SUMPRODUCT(MAX(ROW(E$2:E497)*(E497=E$2:E497)))))-COUNTBLANK(OFFSET(A$1,,,SUMPRODUCT(MAX(ROW(E$1:E496)*(E2=E$1:E496))))))</f>
        <v/>
      </c>
      <c r="K497" s="24" t="str">
        <f aca="false">IF(OR(E497="",E497="!!!",F497="NEW"),"",INDEX(J$1:J496,SUMPRODUCT(MAX(ROW(E$1:E496)*(E497=E$1:E496)))))</f>
        <v/>
      </c>
      <c r="L497" s="25"/>
    </row>
    <row r="498" customFormat="false" ht="14.25" hidden="false" customHeight="false" outlineLevel="0" collapsed="false">
      <c r="A498" s="0" t="s">
        <v>445</v>
      </c>
      <c r="E498" s="20" t="str">
        <f aca="false">IF(D498="?OLD","!!!","")</f>
        <v/>
      </c>
      <c r="F498" s="21" t="str">
        <f aca="false">IF(OR(E498="",E498="!!!"),"",IF(NOT(ISNA(VLOOKUP(E498,E$1:E497,1,FALSE()))),"OLD",IF(AND(E498&lt;&gt;"",E498&lt;&gt;"!!!"),"NEW","")))</f>
        <v/>
      </c>
      <c r="G498" s="22" t="str">
        <f aca="false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aca="false">IF(J498&lt;&gt;1,"",IF(I498="SBJ","CB","?"))</f>
        <v/>
      </c>
      <c r="I498" s="24" t="str">
        <f aca="false">IF(OR(E498="",E498="!!!",F498="NEW"),"",INDEX(B$2:B497,-1+SUMPRODUCT(MAX(ROW(E$2:E497)*(E498=E$2:E497)))))</f>
        <v/>
      </c>
      <c r="J498" s="24" t="str">
        <f aca="true">IF(OR(E498="",E498="!!!",F498="NEW"),"",COUNTBLANK(OFFSET(A$1,,,SUMPRODUCT(MAX(ROW(E$2:E498)*(E498=E$2:E498)))))-COUNTBLANK(OFFSET(A$1,,,SUMPRODUCT(MAX(ROW(E$1:E497)*(E2=E$1:E497))))))</f>
        <v/>
      </c>
      <c r="K498" s="24" t="str">
        <f aca="false">IF(OR(E498="",E498="!!!",F498="NEW"),"",INDEX(J$1:J497,SUMPRODUCT(MAX(ROW(E$1:E497)*(E498=E$1:E497)))))</f>
        <v/>
      </c>
      <c r="L498" s="27" t="s">
        <v>338</v>
      </c>
    </row>
    <row r="499" customFormat="false" ht="14.25" hidden="false" customHeight="false" outlineLevel="0" collapsed="false">
      <c r="A499" s="0" t="s">
        <v>126</v>
      </c>
      <c r="B499" s="26" t="s">
        <v>208</v>
      </c>
      <c r="C499" s="26" t="s">
        <v>105</v>
      </c>
      <c r="E499" s="20" t="s">
        <v>127</v>
      </c>
      <c r="F499" s="21" t="str">
        <f aca="false">IF(OR(E499="",E499="!!!"),"",IF(NOT(ISNA(VLOOKUP(E499,E$1:E498,1,FALSE()))),"OLD",IF(AND(E499&lt;&gt;"",E499&lt;&gt;"!!!"),"NEW","")))</f>
        <v>OLD</v>
      </c>
      <c r="G499" s="22" t="str">
        <f aca="false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?IN_FOCUS</v>
      </c>
      <c r="H499" s="23" t="str">
        <f aca="false">IF(J499&lt;&gt;1,"",IF(I499="SBJ","CB","?"))</f>
        <v/>
      </c>
      <c r="I499" s="24" t="str">
        <f aca="false">IF(OR(E499="",E499="!!!",F499="NEW"),"",INDEX(B$2:B498,-1+SUMPRODUCT(MAX(ROW(E$2:E498)*(E499=E$2:E498)))))</f>
        <v>OBJ_2</v>
      </c>
      <c r="J499" s="24" t="n">
        <f aca="true">IF(OR(E499="",E499="!!!",F499="NEW"),"",COUNTBLANK(OFFSET(A$1,,,SUMPRODUCT(MAX(ROW(E$2:E499)*(E499=E$2:E499)))))-COUNTBLANK(OFFSET(A$1,,,SUMPRODUCT(MAX(ROW(E$1:E498)*(E2=E$1:E498))))))</f>
        <v>0</v>
      </c>
      <c r="K499" s="24" t="n">
        <f aca="false">IF(OR(E499="",E499="!!!",F499="NEW"),"",INDEX(J$1:J498,SUMPRODUCT(MAX(ROW(E$1:E498)*(E499=E$1:E498)))))</f>
        <v>0</v>
      </c>
      <c r="L499" s="25"/>
    </row>
    <row r="500" customFormat="false" ht="14.25" hidden="false" customHeight="false" outlineLevel="0" collapsed="false">
      <c r="A500" s="0" t="s">
        <v>329</v>
      </c>
      <c r="E500" s="20" t="s">
        <v>330</v>
      </c>
      <c r="F500" s="21" t="str">
        <f aca="false">IF(OR(E500="",E500="!!!"),"",IF(NOT(ISNA(VLOOKUP(E500,E$1:E499,1,FALSE()))),"OLD",IF(AND(E500&lt;&gt;"",E500&lt;&gt;"!!!"),"NEW","")))</f>
        <v>OLD</v>
      </c>
      <c r="G500" s="22" t="str">
        <f aca="false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?IN_FOCUS</v>
      </c>
      <c r="H500" s="23" t="str">
        <f aca="false">IF(J500&lt;&gt;1,"",IF(I500="SBJ","CB","?"))</f>
        <v/>
      </c>
      <c r="I500" s="24" t="n">
        <f aca="false">IF(OR(E500="",E500="!!!",F500="NEW"),"",INDEX(B$2:B499,-1+SUMPRODUCT(MAX(ROW(E$2:E499)*(E500=E$2:E499)))))</f>
        <v>0</v>
      </c>
      <c r="J500" s="24" t="n">
        <f aca="true">IF(OR(E500="",E500="!!!",F500="NEW"),"",COUNTBLANK(OFFSET(A$1,,,SUMPRODUCT(MAX(ROW(E$2:E500)*(E500=E$2:E500)))))-COUNTBLANK(OFFSET(A$1,,,SUMPRODUCT(MAX(ROW(E$1:E499)*(E2=E$1:E499))))))</f>
        <v>0</v>
      </c>
      <c r="K500" s="24" t="n">
        <f aca="false">IF(OR(E500="",E500="!!!",F500="NEW"),"",INDEX(J$1:J499,SUMPRODUCT(MAX(ROW(E$1:E499)*(E500=E$1:E499)))))</f>
        <v>0</v>
      </c>
      <c r="L500" s="25"/>
    </row>
    <row r="501" customFormat="false" ht="14.25" hidden="false" customHeight="false" outlineLevel="0" collapsed="false">
      <c r="A501" s="0" t="s">
        <v>339</v>
      </c>
      <c r="E501" s="20" t="str">
        <f aca="false">IF(D501="?OLD","!!!","")</f>
        <v/>
      </c>
      <c r="F501" s="21" t="str">
        <f aca="false">IF(OR(E501="",E501="!!!"),"",IF(NOT(ISNA(VLOOKUP(E501,E$1:E500,1,FALSE()))),"OLD",IF(AND(E501&lt;&gt;"",E501&lt;&gt;"!!!"),"NEW","")))</f>
        <v/>
      </c>
      <c r="G501" s="22" t="str">
        <f aca="false"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aca="false">IF(J501&lt;&gt;1,"",IF(I501="SBJ","CB","?"))</f>
        <v/>
      </c>
      <c r="I501" s="24" t="str">
        <f aca="false">IF(OR(E501="",E501="!!!",F501="NEW"),"",INDEX(B$2:B500,-1+SUMPRODUCT(MAX(ROW(E$2:E500)*(E501=E$2:E500)))))</f>
        <v/>
      </c>
      <c r="J501" s="24" t="str">
        <f aca="true">IF(OR(E501="",E501="!!!",F501="NEW"),"",COUNTBLANK(OFFSET(A$1,,,SUMPRODUCT(MAX(ROW(E$2:E501)*(E501=E$2:E501)))))-COUNTBLANK(OFFSET(A$1,,,SUMPRODUCT(MAX(ROW(E$1:E500)*(E2=E$1:E500))))))</f>
        <v/>
      </c>
      <c r="K501" s="24" t="str">
        <f aca="false">IF(OR(E501="",E501="!!!",F501="NEW"),"",INDEX(J$1:J500,SUMPRODUCT(MAX(ROW(E$1:E500)*(E501=E$1:E500)))))</f>
        <v/>
      </c>
      <c r="L501" s="25"/>
    </row>
    <row r="502" customFormat="false" ht="14.25" hidden="false" customHeight="false" outlineLevel="0" collapsed="false">
      <c r="A502" s="0" t="s">
        <v>446</v>
      </c>
      <c r="B502" s="26" t="s">
        <v>204</v>
      </c>
      <c r="C502" s="26" t="s">
        <v>341</v>
      </c>
      <c r="E502" s="20"/>
      <c r="F502" s="21"/>
      <c r="G502" s="22" t="str">
        <f aca="false"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aca="false">IF(J502&lt;&gt;1,"",IF(I502="SBJ","CB","?"))</f>
        <v/>
      </c>
      <c r="I502" s="24" t="str">
        <f aca="false">IF(OR(E502="",E502="!!!",F502="NEW"),"",INDEX(B$2:B501,-1+SUMPRODUCT(MAX(ROW(E$2:E501)*(E502=E$2:E501)))))</f>
        <v/>
      </c>
      <c r="J502" s="24" t="str">
        <f aca="true">IF(OR(E502="",E502="!!!",F502="NEW"),"",COUNTBLANK(OFFSET(A$1,,,SUMPRODUCT(MAX(ROW(E$2:E502)*(E502=E$2:E502)))))-COUNTBLANK(OFFSET(A$1,,,SUMPRODUCT(MAX(ROW(E$1:E501)*(E2=E$1:E501))))))</f>
        <v/>
      </c>
      <c r="K502" s="24" t="str">
        <f aca="false">IF(OR(E502="",E502="!!!",F502="NEW"),"",INDEX(J$1:J501,SUMPRODUCT(MAX(ROW(E$1:E501)*(E502=E$1:E501)))))</f>
        <v/>
      </c>
      <c r="L502" s="25"/>
    </row>
    <row r="503" customFormat="false" ht="14.25" hidden="false" customHeight="false" outlineLevel="0" collapsed="false">
      <c r="A503" s="0" t="s">
        <v>78</v>
      </c>
      <c r="E503" s="20" t="str">
        <f aca="false">IF(D503="?OLD","!!!","")</f>
        <v/>
      </c>
      <c r="F503" s="21" t="str">
        <f aca="false">IF(OR(E503="",E503="!!!"),"",IF(NOT(ISNA(VLOOKUP(E503,E$1:E502,1,FALSE()))),"OLD",IF(AND(E503&lt;&gt;"",E503&lt;&gt;"!!!"),"NEW","")))</f>
        <v/>
      </c>
      <c r="G503" s="22" t="str">
        <f aca="false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aca="false">IF(J503&lt;&gt;1,"",IF(I503="SBJ","CB","?"))</f>
        <v/>
      </c>
      <c r="I503" s="24" t="str">
        <f aca="false">IF(OR(E503="",E503="!!!",F503="NEW"),"",INDEX(B$2:B502,-1+SUMPRODUCT(MAX(ROW(E$2:E502)*(E503=E$2:E502)))))</f>
        <v/>
      </c>
      <c r="J503" s="24" t="str">
        <f aca="true">IF(OR(E503="",E503="!!!",F503="NEW"),"",COUNTBLANK(OFFSET(A$1,,,SUMPRODUCT(MAX(ROW(E$2:E503)*(E503=E$2:E503)))))-COUNTBLANK(OFFSET(A$1,,,SUMPRODUCT(MAX(ROW(E$1:E502)*(E2=E$1:E502))))))</f>
        <v/>
      </c>
      <c r="K503" s="24" t="str">
        <f aca="false">IF(OR(E503="",E503="!!!",F503="NEW"),"",INDEX(J$1:J502,SUMPRODUCT(MAX(ROW(E$1:E502)*(E503=E$1:E502)))))</f>
        <v/>
      </c>
      <c r="L503" s="25"/>
    </row>
    <row r="504" customFormat="false" ht="14.25" hidden="false" customHeight="false" outlineLevel="0" collapsed="false">
      <c r="A504" s="0" t="s">
        <v>101</v>
      </c>
      <c r="E504" s="20" t="str">
        <f aca="false">IF(D504="?OLD","!!!","")</f>
        <v/>
      </c>
      <c r="F504" s="21" t="str">
        <f aca="false">IF(OR(E504="",E504="!!!"),"",IF(NOT(ISNA(VLOOKUP(E504,E$1:E503,1,FALSE()))),"OLD",IF(AND(E504&lt;&gt;"",E504&lt;&gt;"!!!"),"NEW","")))</f>
        <v/>
      </c>
      <c r="G504" s="22" t="str">
        <f aca="false"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aca="false">IF(J504&lt;&gt;1,"",IF(I504="SBJ","CB","?"))</f>
        <v/>
      </c>
      <c r="I504" s="24" t="str">
        <f aca="false">IF(OR(E504="",E504="!!!",F504="NEW"),"",INDEX(B$2:B503,-1+SUMPRODUCT(MAX(ROW(E$2:E503)*(E504=E$2:E503)))))</f>
        <v/>
      </c>
      <c r="J504" s="24" t="str">
        <f aca="true">IF(OR(E504="",E504="!!!",F504="NEW"),"",COUNTBLANK(OFFSET(A$1,,,SUMPRODUCT(MAX(ROW(E$2:E504)*(E504=E$2:E504)))))-COUNTBLANK(OFFSET(A$1,,,SUMPRODUCT(MAX(ROW(E$1:E503)*(E2=E$1:E503))))))</f>
        <v/>
      </c>
      <c r="K504" s="24" t="str">
        <f aca="false">IF(OR(E504="",E504="!!!",F504="NEW"),"",INDEX(J$1:J503,SUMPRODUCT(MAX(ROW(E$1:E503)*(E504=E$1:E503)))))</f>
        <v/>
      </c>
      <c r="L504" s="25"/>
    </row>
    <row r="505" customFormat="false" ht="14.25" hidden="false" customHeight="false" outlineLevel="0" collapsed="false">
      <c r="A505" s="0" t="s">
        <v>142</v>
      </c>
      <c r="E505" s="20" t="str">
        <f aca="false">IF(D505="?OLD","!!!","")</f>
        <v/>
      </c>
      <c r="F505" s="21" t="str">
        <f aca="false">IF(OR(E505="",E505="!!!"),"",IF(NOT(ISNA(VLOOKUP(E505,E$1:E504,1,FALSE()))),"OLD",IF(AND(E505&lt;&gt;"",E505&lt;&gt;"!!!"),"NEW","")))</f>
        <v/>
      </c>
      <c r="G505" s="22" t="str">
        <f aca="false"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aca="false">IF(J505&lt;&gt;1,"",IF(I505="SBJ","CB","?"))</f>
        <v/>
      </c>
      <c r="I505" s="24" t="str">
        <f aca="false">IF(OR(E505="",E505="!!!",F505="NEW"),"",INDEX(B$2:B504,-1+SUMPRODUCT(MAX(ROW(E$2:E504)*(E505=E$2:E504)))))</f>
        <v/>
      </c>
      <c r="J505" s="24" t="str">
        <f aca="true">IF(OR(E505="",E505="!!!",F505="NEW"),"",COUNTBLANK(OFFSET(A$1,,,SUMPRODUCT(MAX(ROW(E$2:E505)*(E505=E$2:E505)))))-COUNTBLANK(OFFSET(A$1,,,SUMPRODUCT(MAX(ROW(E$1:E504)*(E2=E$1:E504))))))</f>
        <v/>
      </c>
      <c r="K505" s="24" t="str">
        <f aca="false">IF(OR(E505="",E505="!!!",F505="NEW"),"",INDEX(J$1:J504,SUMPRODUCT(MAX(ROW(E$1:E504)*(E505=E$1:E504)))))</f>
        <v/>
      </c>
      <c r="L505" s="25"/>
    </row>
    <row r="506" customFormat="false" ht="14.25" hidden="false" customHeight="false" outlineLevel="0" collapsed="false">
      <c r="A506" s="0" t="s">
        <v>123</v>
      </c>
      <c r="E506" s="20" t="s">
        <v>127</v>
      </c>
      <c r="F506" s="21" t="str">
        <f aca="false">IF(OR(E506="",E506="!!!"),"",IF(NOT(ISNA(VLOOKUP(E506,E$1:E505,1,FALSE()))),"OLD",IF(AND(E506&lt;&gt;"",E506&lt;&gt;"!!!"),"NEW","")))</f>
        <v>OLD</v>
      </c>
      <c r="G506" s="22" t="str">
        <f aca="false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?IN_FOCUS</v>
      </c>
      <c r="H506" s="23" t="str">
        <f aca="false">IF(J506&lt;&gt;1,"",IF(I506="SBJ","CB","?"))</f>
        <v/>
      </c>
      <c r="I506" s="24" t="str">
        <f aca="false">IF(OR(E506="",E506="!!!",F506="NEW"),"",INDEX(B$2:B505,-1+SUMPRODUCT(MAX(ROW(E$2:E505)*(E506=E$2:E505)))))</f>
        <v>SBJ_6</v>
      </c>
      <c r="J506" s="24" t="n">
        <f aca="true">IF(OR(E506="",E506="!!!",F506="NEW"),"",COUNTBLANK(OFFSET(A$1,,,SUMPRODUCT(MAX(ROW(E$2:E506)*(E506=E$2:E506)))))-COUNTBLANK(OFFSET(A$1,,,SUMPRODUCT(MAX(ROW(E$1:E505)*(E2=E$1:E505))))))</f>
        <v>0</v>
      </c>
      <c r="K506" s="24" t="n">
        <f aca="false">IF(OR(E506="",E506="!!!",F506="NEW"),"",INDEX(J$1:J505,SUMPRODUCT(MAX(ROW(E$1:E505)*(E506=E$1:E505)))))</f>
        <v>0</v>
      </c>
      <c r="L506" s="25"/>
    </row>
    <row r="507" customFormat="false" ht="14.25" hidden="false" customHeight="false" outlineLevel="0" collapsed="false">
      <c r="A507" s="0" t="s">
        <v>447</v>
      </c>
      <c r="E507" s="20" t="str">
        <f aca="false">IF(D507="?OLD","!!!","")</f>
        <v/>
      </c>
      <c r="F507" s="21" t="str">
        <f aca="false">IF(OR(E507="",E507="!!!"),"",IF(NOT(ISNA(VLOOKUP(E507,E$1:E506,1,FALSE()))),"OLD",IF(AND(E507&lt;&gt;"",E507&lt;&gt;"!!!"),"NEW","")))</f>
        <v/>
      </c>
      <c r="G507" s="22" t="str">
        <f aca="false"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aca="false">IF(J507&lt;&gt;1,"",IF(I507="SBJ","CB","?"))</f>
        <v/>
      </c>
      <c r="I507" s="24" t="str">
        <f aca="false">IF(OR(E507="",E507="!!!",F507="NEW"),"",INDEX(B$2:B506,-1+SUMPRODUCT(MAX(ROW(E$2:E506)*(E507=E$2:E506)))))</f>
        <v/>
      </c>
      <c r="J507" s="24" t="str">
        <f aca="true">IF(OR(E507="",E507="!!!",F507="NEW"),"",COUNTBLANK(OFFSET(A$1,,,SUMPRODUCT(MAX(ROW(E$2:E507)*(E507=E$2:E507)))))-COUNTBLANK(OFFSET(A$1,,,SUMPRODUCT(MAX(ROW(E$1:E506)*(E2=E$1:E506))))))</f>
        <v/>
      </c>
      <c r="K507" s="24" t="str">
        <f aca="false">IF(OR(E507="",E507="!!!",F507="NEW"),"",INDEX(J$1:J506,SUMPRODUCT(MAX(ROW(E$1:E506)*(E507=E$1:E506)))))</f>
        <v/>
      </c>
      <c r="L507" s="25"/>
    </row>
    <row r="508" customFormat="false" ht="14.25" hidden="false" customHeight="false" outlineLevel="0" collapsed="false">
      <c r="A508" s="0" t="s">
        <v>448</v>
      </c>
      <c r="E508" s="20" t="str">
        <f aca="false">IF(D508="?OLD","!!!","")</f>
        <v/>
      </c>
      <c r="F508" s="21" t="str">
        <f aca="false">IF(OR(E508="",E508="!!!"),"",IF(NOT(ISNA(VLOOKUP(E508,E$1:E507,1,FALSE()))),"OLD",IF(AND(E508&lt;&gt;"",E508&lt;&gt;"!!!"),"NEW","")))</f>
        <v/>
      </c>
      <c r="G508" s="22" t="str">
        <f aca="false"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aca="false">IF(J508&lt;&gt;1,"",IF(I508="SBJ","CB","?"))</f>
        <v/>
      </c>
      <c r="I508" s="24" t="str">
        <f aca="false">IF(OR(E508="",E508="!!!",F508="NEW"),"",INDEX(B$2:B507,-1+SUMPRODUCT(MAX(ROW(E$2:E507)*(E508=E$2:E507)))))</f>
        <v/>
      </c>
      <c r="J508" s="24" t="str">
        <f aca="true">IF(OR(E508="",E508="!!!",F508="NEW"),"",COUNTBLANK(OFFSET(A$1,,,SUMPRODUCT(MAX(ROW(E$2:E508)*(E508=E$2:E508)))))-COUNTBLANK(OFFSET(A$1,,,SUMPRODUCT(MAX(ROW(E$1:E507)*(E2=E$1:E507))))))</f>
        <v/>
      </c>
      <c r="K508" s="24" t="str">
        <f aca="false">IF(OR(E508="",E508="!!!",F508="NEW"),"",INDEX(J$1:J507,SUMPRODUCT(MAX(ROW(E$1:E507)*(E508=E$1:E507)))))</f>
        <v/>
      </c>
      <c r="L508" s="25"/>
    </row>
    <row r="509" customFormat="false" ht="14.25" hidden="false" customHeight="false" outlineLevel="0" collapsed="false">
      <c r="A509" s="0" t="s">
        <v>449</v>
      </c>
      <c r="E509" s="20" t="str">
        <f aca="false">IF(D509="?OLD","!!!","")</f>
        <v/>
      </c>
      <c r="F509" s="21" t="str">
        <f aca="false">IF(OR(E509="",E509="!!!"),"",IF(NOT(ISNA(VLOOKUP(E509,E$1:E508,1,FALSE()))),"OLD",IF(AND(E509&lt;&gt;"",E509&lt;&gt;"!!!"),"NEW","")))</f>
        <v/>
      </c>
      <c r="G509" s="22" t="str">
        <f aca="false"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aca="false">IF(J509&lt;&gt;1,"",IF(I509="SBJ","CB","?"))</f>
        <v/>
      </c>
      <c r="I509" s="24" t="str">
        <f aca="false">IF(OR(E509="",E509="!!!",F509="NEW"),"",INDEX(B$2:B508,-1+SUMPRODUCT(MAX(ROW(E$2:E508)*(E509=E$2:E508)))))</f>
        <v/>
      </c>
      <c r="J509" s="24" t="str">
        <f aca="true">IF(OR(E509="",E509="!!!",F509="NEW"),"",COUNTBLANK(OFFSET(A$1,,,SUMPRODUCT(MAX(ROW(E$2:E509)*(E509=E$2:E509)))))-COUNTBLANK(OFFSET(A$1,,,SUMPRODUCT(MAX(ROW(E$1:E508)*(E2=E$1:E508))))))</f>
        <v/>
      </c>
      <c r="K509" s="24" t="str">
        <f aca="false">IF(OR(E509="",E509="!!!",F509="NEW"),"",INDEX(J$1:J508,SUMPRODUCT(MAX(ROW(E$1:E508)*(E509=E$1:E508)))))</f>
        <v/>
      </c>
      <c r="L509" s="25"/>
    </row>
    <row r="510" customFormat="false" ht="14.25" hidden="false" customHeight="false" outlineLevel="0" collapsed="false">
      <c r="A510" s="0" t="s">
        <v>450</v>
      </c>
      <c r="E510" s="20" t="str">
        <f aca="false">IF(D510="?OLD","!!!","")</f>
        <v/>
      </c>
      <c r="F510" s="21" t="str">
        <f aca="false">IF(OR(E510="",E510="!!!"),"",IF(NOT(ISNA(VLOOKUP(E510,E$1:E509,1,FALSE()))),"OLD",IF(AND(E510&lt;&gt;"",E510&lt;&gt;"!!!"),"NEW","")))</f>
        <v/>
      </c>
      <c r="G510" s="22" t="str">
        <f aca="false"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aca="false">IF(J510&lt;&gt;1,"",IF(I510="SBJ","CB","?"))</f>
        <v/>
      </c>
      <c r="I510" s="24" t="str">
        <f aca="false">IF(OR(E510="",E510="!!!",F510="NEW"),"",INDEX(B$2:B509,-1+SUMPRODUCT(MAX(ROW(E$2:E509)*(E510=E$2:E509)))))</f>
        <v/>
      </c>
      <c r="J510" s="24" t="str">
        <f aca="true">IF(OR(E510="",E510="!!!",F510="NEW"),"",COUNTBLANK(OFFSET(A$1,,,SUMPRODUCT(MAX(ROW(E$2:E510)*(E510=E$2:E510)))))-COUNTBLANK(OFFSET(A$1,,,SUMPRODUCT(MAX(ROW(E$1:E509)*(E2=E$1:E509))))))</f>
        <v/>
      </c>
      <c r="K510" s="24" t="str">
        <f aca="false">IF(OR(E510="",E510="!!!",F510="NEW"),"",INDEX(J$1:J509,SUMPRODUCT(MAX(ROW(E$1:E509)*(E510=E$1:E509)))))</f>
        <v/>
      </c>
      <c r="L510" s="25"/>
    </row>
    <row r="511" customFormat="false" ht="14.25" hidden="false" customHeight="false" outlineLevel="0" collapsed="false">
      <c r="A511" s="0" t="s">
        <v>101</v>
      </c>
      <c r="E511" s="20" t="str">
        <f aca="false">IF(D511="?OLD","!!!","")</f>
        <v/>
      </c>
      <c r="F511" s="21" t="str">
        <f aca="false">IF(OR(E511="",E511="!!!"),"",IF(NOT(ISNA(VLOOKUP(E511,E$1:E510,1,FALSE()))),"OLD",IF(AND(E511&lt;&gt;"",E511&lt;&gt;"!!!"),"NEW","")))</f>
        <v/>
      </c>
      <c r="G511" s="22" t="str">
        <f aca="false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aca="false">IF(J511&lt;&gt;1,"",IF(I511="SBJ","CB","?"))</f>
        <v/>
      </c>
      <c r="I511" s="24" t="str">
        <f aca="false">IF(OR(E511="",E511="!!!",F511="NEW"),"",INDEX(B$2:B510,-1+SUMPRODUCT(MAX(ROW(E$2:E510)*(E511=E$2:E510)))))</f>
        <v/>
      </c>
      <c r="J511" s="24" t="str">
        <f aca="true">IF(OR(E511="",E511="!!!",F511="NEW"),"",COUNTBLANK(OFFSET(A$1,,,SUMPRODUCT(MAX(ROW(E$2:E511)*(E511=E$2:E511)))))-COUNTBLANK(OFFSET(A$1,,,SUMPRODUCT(MAX(ROW(E$1:E510)*(E2=E$1:E510))))))</f>
        <v/>
      </c>
      <c r="K511" s="24" t="str">
        <f aca="false">IF(OR(E511="",E511="!!!",F511="NEW"),"",INDEX(J$1:J510,SUMPRODUCT(MAX(ROW(E$1:E510)*(E511=E$1:E510)))))</f>
        <v/>
      </c>
      <c r="L511" s="25"/>
    </row>
    <row r="512" customFormat="false" ht="14.25" hidden="false" customHeight="false" outlineLevel="0" collapsed="false">
      <c r="A512" s="0" t="s">
        <v>451</v>
      </c>
      <c r="E512" s="20"/>
      <c r="F512" s="21" t="str">
        <f aca="false">IF(OR(E512="",E512="!!!"),"",IF(NOT(ISNA(VLOOKUP(E512,E$1:E511,1,FALSE()))),"OLD",IF(AND(E512&lt;&gt;"",E512&lt;&gt;"!!!"),"NEW","")))</f>
        <v/>
      </c>
      <c r="G512" s="22" t="str">
        <f aca="false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aca="false">IF(J512&lt;&gt;1,"",IF(I512="SBJ","CB","?"))</f>
        <v/>
      </c>
      <c r="I512" s="24" t="str">
        <f aca="false">IF(OR(E512="",E512="!!!",F512="NEW"),"",INDEX(B$2:B511,-1+SUMPRODUCT(MAX(ROW(E$2:E511)*(E512=E$2:E511)))))</f>
        <v/>
      </c>
      <c r="J512" s="24" t="str">
        <f aca="true">IF(OR(E512="",E512="!!!",F512="NEW"),"",COUNTBLANK(OFFSET(A$1,,,SUMPRODUCT(MAX(ROW(E$2:E512)*(E512=E$2:E512)))))-COUNTBLANK(OFFSET(A$1,,,SUMPRODUCT(MAX(ROW(E$1:E511)*(E2=E$1:E511))))))</f>
        <v/>
      </c>
      <c r="K512" s="24" t="str">
        <f aca="false">IF(OR(E512="",E512="!!!",F512="NEW"),"",INDEX(J$1:J511,SUMPRODUCT(MAX(ROW(E$1:E511)*(E512=E$1:E511)))))</f>
        <v/>
      </c>
      <c r="L512" s="25"/>
    </row>
    <row r="513" customFormat="false" ht="14.25" hidden="false" customHeight="false" outlineLevel="0" collapsed="false">
      <c r="A513" s="0" t="s">
        <v>112</v>
      </c>
      <c r="E513" s="20" t="str">
        <f aca="false">IF(D513="?OLD","!!!","")</f>
        <v/>
      </c>
      <c r="F513" s="21" t="str">
        <f aca="false">IF(OR(E513="",E513="!!!"),"",IF(NOT(ISNA(VLOOKUP(E513,E$1:E512,1,FALSE()))),"OLD",IF(AND(E513&lt;&gt;"",E513&lt;&gt;"!!!"),"NEW","")))</f>
        <v/>
      </c>
      <c r="G513" s="22" t="str">
        <f aca="false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aca="false">IF(J513&lt;&gt;1,"",IF(I513="SBJ","CB","?"))</f>
        <v/>
      </c>
      <c r="I513" s="24" t="str">
        <f aca="false">IF(OR(E513="",E513="!!!",F513="NEW"),"",INDEX(B$2:B512,-1+SUMPRODUCT(MAX(ROW(E$2:E512)*(E513=E$2:E512)))))</f>
        <v/>
      </c>
      <c r="J513" s="24" t="str">
        <f aca="true">IF(OR(E513="",E513="!!!",F513="NEW"),"",COUNTBLANK(OFFSET(A$1,,,SUMPRODUCT(MAX(ROW(E$2:E513)*(E513=E$2:E513)))))-COUNTBLANK(OFFSET(A$1,,,SUMPRODUCT(MAX(ROW(E$1:E512)*(E2=E$1:E512))))))</f>
        <v/>
      </c>
      <c r="K513" s="24" t="str">
        <f aca="false">IF(OR(E513="",E513="!!!",F513="NEW"),"",INDEX(J$1:J512,SUMPRODUCT(MAX(ROW(E$1:E512)*(E513=E$1:E512)))))</f>
        <v/>
      </c>
      <c r="L513" s="25"/>
    </row>
    <row r="514" customFormat="false" ht="14.25" hidden="false" customHeight="false" outlineLevel="0" collapsed="false">
      <c r="A514" s="0" t="s">
        <v>452</v>
      </c>
      <c r="B514" s="26" t="s">
        <v>104</v>
      </c>
      <c r="C514" s="26" t="s">
        <v>74</v>
      </c>
      <c r="D514" s="26" t="s">
        <v>75</v>
      </c>
      <c r="E514" s="20" t="s">
        <v>453</v>
      </c>
      <c r="F514" s="21" t="str">
        <f aca="false">IF(OR(E514="",E514="!!!"),"",IF(NOT(ISNA(VLOOKUP(E514,E$1:E513,1,FALSE()))),"OLD",IF(AND(E514&lt;&gt;"",E514&lt;&gt;"!!!"),"NEW","")))</f>
        <v>NEW</v>
      </c>
      <c r="G514" s="22" t="str">
        <f aca="false"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?REFERENTIAL</v>
      </c>
      <c r="H514" s="23" t="str">
        <f aca="false">IF(J514&lt;&gt;1,"",IF(I514="SBJ","CB","?"))</f>
        <v/>
      </c>
      <c r="I514" s="24" t="str">
        <f aca="false">IF(OR(E514="",E514="!!!",F514="NEW"),"",INDEX(B$2:B513,-1+SUMPRODUCT(MAX(ROW(E$2:E513)*(E514=E$2:E513)))))</f>
        <v/>
      </c>
      <c r="J514" s="24" t="str">
        <f aca="true">IF(OR(E514="",E514="!!!",F514="NEW"),"",COUNTBLANK(OFFSET(A$1,,,SUMPRODUCT(MAX(ROW(E$2:E514)*(E514=E$2:E514)))))-COUNTBLANK(OFFSET(A$1,,,SUMPRODUCT(MAX(ROW(E$1:E513)*(E2=E$1:E513))))))</f>
        <v/>
      </c>
      <c r="K514" s="24" t="str">
        <f aca="false">IF(OR(E514="",E514="!!!",F514="NEW"),"",INDEX(J$1:J513,SUMPRODUCT(MAX(ROW(E$1:E513)*(E514=E$1:E513)))))</f>
        <v/>
      </c>
      <c r="L514" s="25"/>
    </row>
    <row r="515" customFormat="false" ht="14.25" hidden="false" customHeight="false" outlineLevel="0" collapsed="false">
      <c r="A515" s="0" t="s">
        <v>454</v>
      </c>
      <c r="E515" s="20" t="str">
        <f aca="false">IF(D515="?OLD","!!!","")</f>
        <v/>
      </c>
      <c r="F515" s="21" t="str">
        <f aca="false">IF(OR(E515="",E515="!!!"),"",IF(NOT(ISNA(VLOOKUP(E515,E$1:E514,1,FALSE()))),"OLD",IF(AND(E515&lt;&gt;"",E515&lt;&gt;"!!!"),"NEW","")))</f>
        <v/>
      </c>
      <c r="G515" s="22" t="str">
        <f aca="false"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aca="false">IF(J515&lt;&gt;1,"",IF(I515="SBJ","CB","?"))</f>
        <v/>
      </c>
      <c r="I515" s="24" t="str">
        <f aca="false">IF(OR(E515="",E515="!!!",F515="NEW"),"",INDEX(B$2:B514,-1+SUMPRODUCT(MAX(ROW(E$2:E514)*(E515=E$2:E514)))))</f>
        <v/>
      </c>
      <c r="J515" s="24" t="str">
        <f aca="true">IF(OR(E515="",E515="!!!",F515="NEW"),"",COUNTBLANK(OFFSET(A$1,,,SUMPRODUCT(MAX(ROW(E$2:E515)*(E515=E$2:E515)))))-COUNTBLANK(OFFSET(A$1,,,SUMPRODUCT(MAX(ROW(E$1:E514)*(E2=E$1:E514))))))</f>
        <v/>
      </c>
      <c r="K515" s="24" t="str">
        <f aca="false">IF(OR(E515="",E515="!!!",F515="NEW"),"",INDEX(J$1:J514,SUMPRODUCT(MAX(ROW(E$1:E514)*(E515=E$1:E514)))))</f>
        <v/>
      </c>
      <c r="L515" s="25"/>
    </row>
    <row r="516" customFormat="false" ht="14.25" hidden="false" customHeight="false" outlineLevel="0" collapsed="false">
      <c r="A516" s="0" t="s">
        <v>455</v>
      </c>
      <c r="E516" s="20" t="str">
        <f aca="false">IF(D516="?OLD","!!!","")</f>
        <v/>
      </c>
      <c r="F516" s="21" t="str">
        <f aca="false">IF(OR(E516="",E516="!!!"),"",IF(NOT(ISNA(VLOOKUP(E516,E$1:E515,1,FALSE()))),"OLD",IF(AND(E516&lt;&gt;"",E516&lt;&gt;"!!!"),"NEW","")))</f>
        <v/>
      </c>
      <c r="G516" s="22" t="str">
        <f aca="false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aca="false">IF(J516&lt;&gt;1,"",IF(I516="SBJ","CB","?"))</f>
        <v/>
      </c>
      <c r="I516" s="24" t="str">
        <f aca="false">IF(OR(E516="",E516="!!!",F516="NEW"),"",INDEX(B$2:B515,-1+SUMPRODUCT(MAX(ROW(E$2:E515)*(E516=E$2:E515)))))</f>
        <v/>
      </c>
      <c r="J516" s="24" t="str">
        <f aca="true">IF(OR(E516="",E516="!!!",F516="NEW"),"",COUNTBLANK(OFFSET(A$1,,,SUMPRODUCT(MAX(ROW(E$2:E516)*(E516=E$2:E516)))))-COUNTBLANK(OFFSET(A$1,,,SUMPRODUCT(MAX(ROW(E$1:E515)*(E2=E$1:E515))))))</f>
        <v/>
      </c>
      <c r="K516" s="24" t="str">
        <f aca="false">IF(OR(E516="",E516="!!!",F516="NEW"),"",INDEX(J$1:J515,SUMPRODUCT(MAX(ROW(E$1:E515)*(E516=E$1:E515)))))</f>
        <v/>
      </c>
      <c r="L516" s="25"/>
    </row>
    <row r="517" customFormat="false" ht="14.25" hidden="false" customHeight="false" outlineLevel="0" collapsed="false">
      <c r="A517" s="0" t="s">
        <v>456</v>
      </c>
      <c r="B517" s="26" t="s">
        <v>258</v>
      </c>
      <c r="C517" s="26" t="s">
        <v>283</v>
      </c>
      <c r="D517" s="26" t="s">
        <v>75</v>
      </c>
      <c r="E517" s="20"/>
      <c r="F517" s="21" t="str">
        <f aca="false">IF(OR(E517="",E517="!!!"),"",IF(NOT(ISNA(VLOOKUP(E517,E$1:E516,1,FALSE()))),"OLD",IF(AND(E517&lt;&gt;"",E517&lt;&gt;"!!!"),"NEW","")))</f>
        <v/>
      </c>
      <c r="G517" s="22" t="str">
        <f aca="false"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aca="false">IF(J517&lt;&gt;1,"",IF(I517="SBJ","CB","?"))</f>
        <v/>
      </c>
      <c r="I517" s="24" t="str">
        <f aca="false">IF(OR(E517="",E517="!!!",F517="NEW"),"",INDEX(B$2:B516,-1+SUMPRODUCT(MAX(ROW(E$2:E516)*(E517=E$2:E516)))))</f>
        <v/>
      </c>
      <c r="J517" s="24" t="str">
        <f aca="true">IF(OR(E517="",E517="!!!",F517="NEW"),"",COUNTBLANK(OFFSET(A$1,,,SUMPRODUCT(MAX(ROW(E$2:E517)*(E517=E$2:E517)))))-COUNTBLANK(OFFSET(A$1,,,SUMPRODUCT(MAX(ROW(E$1:E516)*(E2=E$1:E516))))))</f>
        <v/>
      </c>
      <c r="K517" s="24" t="str">
        <f aca="false">IF(OR(E517="",E517="!!!",F517="NEW"),"",INDEX(J$1:J516,SUMPRODUCT(MAX(ROW(E$1:E516)*(E517=E$1:E516)))))</f>
        <v/>
      </c>
      <c r="L517" s="27" t="s">
        <v>134</v>
      </c>
    </row>
    <row r="518" customFormat="false" ht="14.25" hidden="false" customHeight="false" outlineLevel="0" collapsed="false">
      <c r="A518" s="0" t="s">
        <v>457</v>
      </c>
      <c r="B518" s="26" t="s">
        <v>110</v>
      </c>
      <c r="C518" s="26" t="s">
        <v>283</v>
      </c>
      <c r="D518" s="26" t="s">
        <v>75</v>
      </c>
      <c r="E518" s="20"/>
      <c r="F518" s="21" t="str">
        <f aca="false">IF(OR(E518="",E518="!!!"),"",IF(NOT(ISNA(VLOOKUP(E518,E$1:E517,1,FALSE()))),"OLD",IF(AND(E518&lt;&gt;"",E518&lt;&gt;"!!!"),"NEW","")))</f>
        <v/>
      </c>
      <c r="G518" s="22" t="str">
        <f aca="false"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aca="false">IF(J518&lt;&gt;1,"",IF(I518="SBJ","CB","?"))</f>
        <v/>
      </c>
      <c r="I518" s="24" t="str">
        <f aca="false">IF(OR(E518="",E518="!!!",F518="NEW"),"",INDEX(B$2:B517,-1+SUMPRODUCT(MAX(ROW(E$2:E517)*(E518=E$2:E517)))))</f>
        <v/>
      </c>
      <c r="J518" s="24" t="str">
        <f aca="true">IF(OR(E518="",E518="!!!",F518="NEW"),"",COUNTBLANK(OFFSET(A$1,,,SUMPRODUCT(MAX(ROW(E$2:E518)*(E518=E$2:E518)))))-COUNTBLANK(OFFSET(A$1,,,SUMPRODUCT(MAX(ROW(E$1:E517)*(E2=E$1:E517))))))</f>
        <v/>
      </c>
      <c r="K518" s="24" t="str">
        <f aca="false">IF(OR(E518="",E518="!!!",F518="NEW"),"",INDEX(J$1:J517,SUMPRODUCT(MAX(ROW(E$1:E517)*(E518=E$1:E517)))))</f>
        <v/>
      </c>
      <c r="L518" s="27" t="s">
        <v>134</v>
      </c>
    </row>
    <row r="519" customFormat="false" ht="14.25" hidden="false" customHeight="false" outlineLevel="0" collapsed="false">
      <c r="A519" s="0" t="s">
        <v>78</v>
      </c>
      <c r="E519" s="20" t="str">
        <f aca="false">IF(D519="?OLD","!!!","")</f>
        <v/>
      </c>
      <c r="F519" s="21" t="str">
        <f aca="false">IF(OR(E519="",E519="!!!"),"",IF(NOT(ISNA(VLOOKUP(E519,E$1:E518,1,FALSE()))),"OLD",IF(AND(E519&lt;&gt;"",E519&lt;&gt;"!!!"),"NEW","")))</f>
        <v/>
      </c>
      <c r="G519" s="22" t="str">
        <f aca="false"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aca="false">IF(J519&lt;&gt;1,"",IF(I519="SBJ","CB","?"))</f>
        <v/>
      </c>
      <c r="I519" s="24" t="str">
        <f aca="false">IF(OR(E519="",E519="!!!",F519="NEW"),"",INDEX(B$2:B518,-1+SUMPRODUCT(MAX(ROW(E$2:E518)*(E519=E$2:E518)))))</f>
        <v/>
      </c>
      <c r="J519" s="24" t="str">
        <f aca="true">IF(OR(E519="",E519="!!!",F519="NEW"),"",COUNTBLANK(OFFSET(A$1,,,SUMPRODUCT(MAX(ROW(E$2:E519)*(E519=E$2:E519)))))-COUNTBLANK(OFFSET(A$1,,,SUMPRODUCT(MAX(ROW(E$1:E518)*(E2=E$1:E518))))))</f>
        <v/>
      </c>
      <c r="K519" s="24" t="str">
        <f aca="false">IF(OR(E519="",E519="!!!",F519="NEW"),"",INDEX(J$1:J518,SUMPRODUCT(MAX(ROW(E$1:E518)*(E519=E$1:E518)))))</f>
        <v/>
      </c>
      <c r="L519" s="25"/>
    </row>
    <row r="520" customFormat="false" ht="14.25" hidden="false" customHeight="false" outlineLevel="0" collapsed="false">
      <c r="A520" s="0" t="s">
        <v>101</v>
      </c>
      <c r="E520" s="20" t="str">
        <f aca="false">IF(D520="?OLD","!!!","")</f>
        <v/>
      </c>
      <c r="F520" s="21" t="str">
        <f aca="false">IF(OR(E520="",E520="!!!"),"",IF(NOT(ISNA(VLOOKUP(E520,E$1:E519,1,FALSE()))),"OLD",IF(AND(E520&lt;&gt;"",E520&lt;&gt;"!!!"),"NEW","")))</f>
        <v/>
      </c>
      <c r="G520" s="22" t="str">
        <f aca="false"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aca="false">IF(J520&lt;&gt;1,"",IF(I520="SBJ","CB","?"))</f>
        <v/>
      </c>
      <c r="I520" s="24" t="str">
        <f aca="false">IF(OR(E520="",E520="!!!",F520="NEW"),"",INDEX(B$2:B519,-1+SUMPRODUCT(MAX(ROW(E$2:E519)*(E520=E$2:E519)))))</f>
        <v/>
      </c>
      <c r="J520" s="24" t="str">
        <f aca="true">IF(OR(E520="",E520="!!!",F520="NEW"),"",COUNTBLANK(OFFSET(A$1,,,SUMPRODUCT(MAX(ROW(E$2:E520)*(E520=E$2:E520)))))-COUNTBLANK(OFFSET(A$1,,,SUMPRODUCT(MAX(ROW(E$1:E519)*(E2=E$1:E519))))))</f>
        <v/>
      </c>
      <c r="K520" s="24" t="str">
        <f aca="false">IF(OR(E520="",E520="!!!",F520="NEW"),"",INDEX(J$1:J519,SUMPRODUCT(MAX(ROW(E$1:E519)*(E520=E$1:E519)))))</f>
        <v/>
      </c>
      <c r="L520" s="25"/>
    </row>
    <row r="521" customFormat="false" ht="14.25" hidden="false" customHeight="false" outlineLevel="0" collapsed="false">
      <c r="A521" s="0" t="s">
        <v>102</v>
      </c>
      <c r="E521" s="20" t="str">
        <f aca="false">IF(D521="?OLD","!!!","")</f>
        <v/>
      </c>
      <c r="F521" s="21" t="str">
        <f aca="false">IF(OR(E521="",E521="!!!"),"",IF(NOT(ISNA(VLOOKUP(E521,E$1:E520,1,FALSE()))),"OLD",IF(AND(E521&lt;&gt;"",E521&lt;&gt;"!!!"),"NEW","")))</f>
        <v/>
      </c>
      <c r="G521" s="22" t="str">
        <f aca="false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aca="false">IF(J521&lt;&gt;1,"",IF(I521="SBJ","CB","?"))</f>
        <v/>
      </c>
      <c r="I521" s="24" t="str">
        <f aca="false">IF(OR(E521="",E521="!!!",F521="NEW"),"",INDEX(B$2:B520,-1+SUMPRODUCT(MAX(ROW(E$2:E520)*(E521=E$2:E520)))))</f>
        <v/>
      </c>
      <c r="J521" s="24" t="str">
        <f aca="true">IF(OR(E521="",E521="!!!",F521="NEW"),"",COUNTBLANK(OFFSET(A$1,,,SUMPRODUCT(MAX(ROW(E$2:E521)*(E521=E$2:E521)))))-COUNTBLANK(OFFSET(A$1,,,SUMPRODUCT(MAX(ROW(E$1:E520)*(E2=E$1:E520))))))</f>
        <v/>
      </c>
      <c r="K521" s="24" t="str">
        <f aca="false">IF(OR(E521="",E521="!!!",F521="NEW"),"",INDEX(J$1:J520,SUMPRODUCT(MAX(ROW(E$1:E520)*(E521=E$1:E520)))))</f>
        <v/>
      </c>
      <c r="L521" s="25"/>
    </row>
    <row r="522" customFormat="false" ht="14.25" hidden="false" customHeight="false" outlineLevel="0" collapsed="false">
      <c r="A522" s="0" t="s">
        <v>136</v>
      </c>
      <c r="E522" s="20" t="str">
        <f aca="false">IF(D522="?OLD","!!!","")</f>
        <v/>
      </c>
      <c r="F522" s="21" t="str">
        <f aca="false">IF(OR(E522="",E522="!!!"),"",IF(NOT(ISNA(VLOOKUP(E522,E$1:E521,1,FALSE()))),"OLD",IF(AND(E522&lt;&gt;"",E522&lt;&gt;"!!!"),"NEW","")))</f>
        <v/>
      </c>
      <c r="G522" s="22" t="str">
        <f aca="false"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aca="false">IF(J522&lt;&gt;1,"",IF(I522="SBJ","CB","?"))</f>
        <v/>
      </c>
      <c r="I522" s="24" t="str">
        <f aca="false">IF(OR(E522="",E522="!!!",F522="NEW"),"",INDEX(B$2:B521,-1+SUMPRODUCT(MAX(ROW(E$2:E521)*(E522=E$2:E521)))))</f>
        <v/>
      </c>
      <c r="J522" s="24" t="str">
        <f aca="true">IF(OR(E522="",E522="!!!",F522="NEW"),"",COUNTBLANK(OFFSET(A$1,,,SUMPRODUCT(MAX(ROW(E$2:E522)*(E522=E$2:E522)))))-COUNTBLANK(OFFSET(A$1,,,SUMPRODUCT(MAX(ROW(E$1:E521)*(E2=E$1:E521))))))</f>
        <v/>
      </c>
      <c r="K522" s="24" t="str">
        <f aca="false">IF(OR(E522="",E522="!!!",F522="NEW"),"",INDEX(J$1:J521,SUMPRODUCT(MAX(ROW(E$1:E521)*(E522=E$1:E521)))))</f>
        <v/>
      </c>
      <c r="L522" s="25"/>
    </row>
    <row r="523" customFormat="false" ht="14.25" hidden="false" customHeight="false" outlineLevel="0" collapsed="false">
      <c r="A523" s="0" t="s">
        <v>458</v>
      </c>
      <c r="E523" s="20" t="str">
        <f aca="false">IF(D523="?OLD","!!!","")</f>
        <v/>
      </c>
      <c r="F523" s="21" t="str">
        <f aca="false">IF(OR(E523="",E523="!!!"),"",IF(NOT(ISNA(VLOOKUP(E523,E$1:E522,1,FALSE()))),"OLD",IF(AND(E523&lt;&gt;"",E523&lt;&gt;"!!!"),"NEW","")))</f>
        <v/>
      </c>
      <c r="G523" s="22" t="str">
        <f aca="false"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aca="false">IF(J523&lt;&gt;1,"",IF(I523="SBJ","CB","?"))</f>
        <v/>
      </c>
      <c r="I523" s="24" t="str">
        <f aca="false">IF(OR(E523="",E523="!!!",F523="NEW"),"",INDEX(B$2:B522,-1+SUMPRODUCT(MAX(ROW(E$2:E522)*(E523=E$2:E522)))))</f>
        <v/>
      </c>
      <c r="J523" s="24" t="str">
        <f aca="true">IF(OR(E523="",E523="!!!",F523="NEW"),"",COUNTBLANK(OFFSET(A$1,,,SUMPRODUCT(MAX(ROW(E$2:E523)*(E523=E$2:E523)))))-COUNTBLANK(OFFSET(A$1,,,SUMPRODUCT(MAX(ROW(E$1:E522)*(E2=E$1:E522))))))</f>
        <v/>
      </c>
      <c r="K523" s="24" t="str">
        <f aca="false">IF(OR(E523="",E523="!!!",F523="NEW"),"",INDEX(J$1:J522,SUMPRODUCT(MAX(ROW(E$1:E522)*(E523=E$1:E522)))))</f>
        <v/>
      </c>
      <c r="L523" s="25"/>
    </row>
    <row r="524" customFormat="false" ht="14.25" hidden="false" customHeight="false" outlineLevel="0" collapsed="false">
      <c r="A524" s="0" t="s">
        <v>459</v>
      </c>
      <c r="B524" s="26" t="s">
        <v>258</v>
      </c>
      <c r="C524" s="26" t="s">
        <v>74</v>
      </c>
      <c r="D524" s="26" t="s">
        <v>75</v>
      </c>
      <c r="E524" s="20" t="s">
        <v>460</v>
      </c>
      <c r="F524" s="21" t="s">
        <v>107</v>
      </c>
      <c r="G524" s="22" t="e">
        <f aca="false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#VALUE!</v>
      </c>
      <c r="H524" s="23" t="str">
        <f aca="false">IF(J524&lt;&gt;1,"",IF(I524="SBJ","CB","?"))</f>
        <v/>
      </c>
      <c r="I524" s="24" t="e">
        <f aca="false">IF(OR(E524="",E524="!!!",F524="NEW"),"",INDEX(B$2:B523,-1+SUMPRODUCT(MAX(ROW(E$2:E523)*(E524=E$2:E523)))))</f>
        <v>#VALUE!</v>
      </c>
      <c r="J524" s="24" t="n">
        <f aca="true">IF(OR(E524="",E524="!!!",F524="NEW"),"",COUNTBLANK(OFFSET(A$1,,,SUMPRODUCT(MAX(ROW(E$2:E524)*(E524=E$2:E524)))))-COUNTBLANK(OFFSET(A$1,,,SUMPRODUCT(MAX(ROW(E$1:E523)*(E2=E$1:E523))))))</f>
        <v>0</v>
      </c>
      <c r="K524" s="24" t="e">
        <f aca="false">IF(OR(E524="",E524="!!!",F524="NEW"),"",INDEX(J$1:J523,SUMPRODUCT(MAX(ROW(E$1:E523)*(E524=E$1:E523)))))</f>
        <v>#VALUE!</v>
      </c>
      <c r="L524" s="25"/>
    </row>
    <row r="525" customFormat="false" ht="14.25" hidden="false" customHeight="false" outlineLevel="0" collapsed="false">
      <c r="A525" s="0" t="s">
        <v>454</v>
      </c>
      <c r="E525" s="20" t="str">
        <f aca="false">IF(D525="?OLD","!!!","")</f>
        <v/>
      </c>
      <c r="F525" s="21" t="str">
        <f aca="false">IF(OR(E525="",E525="!!!"),"",IF(NOT(ISNA(VLOOKUP(E525,E$1:E524,1,FALSE()))),"OLD",IF(AND(E525&lt;&gt;"",E525&lt;&gt;"!!!"),"NEW","")))</f>
        <v/>
      </c>
      <c r="G525" s="22" t="str">
        <f aca="false"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aca="false">IF(J525&lt;&gt;1,"",IF(I525="SBJ","CB","?"))</f>
        <v/>
      </c>
      <c r="I525" s="24" t="str">
        <f aca="false">IF(OR(E525="",E525="!!!",F525="NEW"),"",INDEX(B$2:B524,-1+SUMPRODUCT(MAX(ROW(E$2:E524)*(E525=E$2:E524)))))</f>
        <v/>
      </c>
      <c r="J525" s="24" t="str">
        <f aca="true">IF(OR(E525="",E525="!!!",F525="NEW"),"",COUNTBLANK(OFFSET(A$1,,,SUMPRODUCT(MAX(ROW(E$2:E525)*(E525=E$2:E525)))))-COUNTBLANK(OFFSET(A$1,,,SUMPRODUCT(MAX(ROW(E$1:E524)*(E2=E$1:E524))))))</f>
        <v/>
      </c>
      <c r="K525" s="24" t="str">
        <f aca="false">IF(OR(E525="",E525="!!!",F525="NEW"),"",INDEX(J$1:J524,SUMPRODUCT(MAX(ROW(E$1:E524)*(E525=E$1:E524)))))</f>
        <v/>
      </c>
      <c r="L525" s="25"/>
    </row>
    <row r="526" customFormat="false" ht="14.25" hidden="false" customHeight="false" outlineLevel="0" collapsed="false">
      <c r="A526" s="0" t="s">
        <v>367</v>
      </c>
      <c r="E526" s="20"/>
      <c r="F526" s="21"/>
      <c r="G526" s="22" t="str">
        <f aca="false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aca="false">IF(J526&lt;&gt;1,"",IF(I526="SBJ","CB","?"))</f>
        <v/>
      </c>
      <c r="I526" s="24" t="str">
        <f aca="false">IF(OR(E526="",E526="!!!",F526="NEW"),"",INDEX(B$2:B525,-1+SUMPRODUCT(MAX(ROW(E$2:E525)*(E526=E$2:E525)))))</f>
        <v/>
      </c>
      <c r="J526" s="24" t="str">
        <f aca="true">IF(OR(E526="",E526="!!!",F526="NEW"),"",COUNTBLANK(OFFSET(A$1,,,SUMPRODUCT(MAX(ROW(E$2:E526)*(E526=E$2:E526)))))-COUNTBLANK(OFFSET(A$1,,,SUMPRODUCT(MAX(ROW(E$1:E525)*(E2=E$1:E525))))))</f>
        <v/>
      </c>
      <c r="K526" s="24" t="str">
        <f aca="false">IF(OR(E526="",E526="!!!",F526="NEW"),"",INDEX(J$1:J525,SUMPRODUCT(MAX(ROW(E$1:E525)*(E526=E$1:E525)))))</f>
        <v/>
      </c>
      <c r="L526" s="25"/>
    </row>
    <row r="527" customFormat="false" ht="14.25" hidden="false" customHeight="false" outlineLevel="0" collapsed="false">
      <c r="A527" s="0" t="s">
        <v>86</v>
      </c>
      <c r="E527" s="20" t="str">
        <f aca="false">IF(D527="?OLD","!!!","")</f>
        <v/>
      </c>
      <c r="F527" s="21" t="str">
        <f aca="false">IF(OR(E527="",E527="!!!"),"",IF(NOT(ISNA(VLOOKUP(E527,E$1:E526,1,FALSE()))),"OLD",IF(AND(E527&lt;&gt;"",E527&lt;&gt;"!!!"),"NEW","")))</f>
        <v/>
      </c>
      <c r="G527" s="22" t="str">
        <f aca="false"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aca="false">IF(J527&lt;&gt;1,"",IF(I527="SBJ","CB","?"))</f>
        <v/>
      </c>
      <c r="I527" s="24" t="str">
        <f aca="false">IF(OR(E527="",E527="!!!",F527="NEW"),"",INDEX(B$2:B526,-1+SUMPRODUCT(MAX(ROW(E$2:E526)*(E527=E$2:E526)))))</f>
        <v/>
      </c>
      <c r="J527" s="24" t="str">
        <f aca="true">IF(OR(E527="",E527="!!!",F527="NEW"),"",COUNTBLANK(OFFSET(A$1,,,SUMPRODUCT(MAX(ROW(E$2:E527)*(E527=E$2:E527)))))-COUNTBLANK(OFFSET(A$1,,,SUMPRODUCT(MAX(ROW(E$1:E526)*(E2=E$1:E526))))))</f>
        <v/>
      </c>
      <c r="K527" s="24" t="str">
        <f aca="false">IF(OR(E527="",E527="!!!",F527="NEW"),"",INDEX(J$1:J526,SUMPRODUCT(MAX(ROW(E$1:E526)*(E527=E$1:E526)))))</f>
        <v/>
      </c>
      <c r="L527" s="25"/>
    </row>
    <row r="528" customFormat="false" ht="14.25" hidden="false" customHeight="false" outlineLevel="0" collapsed="false">
      <c r="A528" s="0" t="s">
        <v>87</v>
      </c>
      <c r="B528" s="26" t="s">
        <v>96</v>
      </c>
      <c r="C528" s="26" t="s">
        <v>88</v>
      </c>
      <c r="D528" s="26" t="s">
        <v>75</v>
      </c>
      <c r="E528" s="20" t="s">
        <v>460</v>
      </c>
      <c r="F528" s="21" t="str">
        <f aca="false">IF(OR(E528="",E528="!!!"),"",IF(NOT(ISNA(VLOOKUP(E528,E$1:E527,1,FALSE()))),"OLD",IF(AND(E528&lt;&gt;"",E528&lt;&gt;"!!!"),"NEW","")))</f>
        <v>OLD</v>
      </c>
      <c r="G528" s="22" t="str">
        <f aca="false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?IN_FOCUS</v>
      </c>
      <c r="H528" s="23" t="str">
        <f aca="false">IF(J528&lt;&gt;1,"",IF(I528="SBJ","CB","?"))</f>
        <v/>
      </c>
      <c r="I528" s="24" t="str">
        <f aca="false">IF(OR(E528="",E528="!!!",F528="NEW"),"",INDEX(B$2:B527,-1+SUMPRODUCT(MAX(ROW(E$2:E527)*(E528=E$2:E527)))))</f>
        <v>SBJ_4</v>
      </c>
      <c r="J528" s="24" t="n">
        <f aca="true">IF(OR(E528="",E528="!!!",F528="NEW"),"",COUNTBLANK(OFFSET(A$1,,,SUMPRODUCT(MAX(ROW(E$2:E528)*(E528=E$2:E528)))))-COUNTBLANK(OFFSET(A$1,,,SUMPRODUCT(MAX(ROW(E$1:E527)*(E2=E$1:E527))))))</f>
        <v>0</v>
      </c>
      <c r="K528" s="24" t="n">
        <f aca="false">IF(OR(E528="",E528="!!!",F528="NEW"),"",INDEX(J$1:J527,SUMPRODUCT(MAX(ROW(E$1:E527)*(E528=E$1:E527)))))</f>
        <v>0</v>
      </c>
      <c r="L528" s="25"/>
    </row>
    <row r="529" customFormat="false" ht="14.25" hidden="false" customHeight="false" outlineLevel="0" collapsed="false">
      <c r="A529" s="0" t="s">
        <v>461</v>
      </c>
      <c r="E529" s="20" t="str">
        <f aca="false">IF(D529="?OLD","!!!","")</f>
        <v/>
      </c>
      <c r="F529" s="21" t="str">
        <f aca="false">IF(OR(E529="",E529="!!!"),"",IF(NOT(ISNA(VLOOKUP(E529,E$1:E528,1,FALSE()))),"OLD",IF(AND(E529&lt;&gt;"",E529&lt;&gt;"!!!"),"NEW","")))</f>
        <v/>
      </c>
      <c r="G529" s="22" t="str">
        <f aca="false"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aca="false">IF(J529&lt;&gt;1,"",IF(I529="SBJ","CB","?"))</f>
        <v/>
      </c>
      <c r="I529" s="24" t="str">
        <f aca="false">IF(OR(E529="",E529="!!!",F529="NEW"),"",INDEX(B$2:B528,-1+SUMPRODUCT(MAX(ROW(E$2:E528)*(E529=E$2:E528)))))</f>
        <v/>
      </c>
      <c r="J529" s="24" t="str">
        <f aca="true">IF(OR(E529="",E529="!!!",F529="NEW"),"",COUNTBLANK(OFFSET(A$1,,,SUMPRODUCT(MAX(ROW(E$2:E529)*(E529=E$2:E529)))))-COUNTBLANK(OFFSET(A$1,,,SUMPRODUCT(MAX(ROW(E$1:E528)*(E2=E$1:E528))))))</f>
        <v/>
      </c>
      <c r="K529" s="24" t="str">
        <f aca="false">IF(OR(E529="",E529="!!!",F529="NEW"),"",INDEX(J$1:J528,SUMPRODUCT(MAX(ROW(E$1:E528)*(E529=E$1:E528)))))</f>
        <v/>
      </c>
      <c r="L529" s="25"/>
    </row>
    <row r="530" customFormat="false" ht="14.25" hidden="false" customHeight="false" outlineLevel="0" collapsed="false">
      <c r="A530" s="0" t="s">
        <v>101</v>
      </c>
      <c r="E530" s="20" t="str">
        <f aca="false">IF(D530="?OLD","!!!","")</f>
        <v/>
      </c>
      <c r="F530" s="21" t="str">
        <f aca="false">IF(OR(E530="",E530="!!!"),"",IF(NOT(ISNA(VLOOKUP(E530,E$1:E529,1,FALSE()))),"OLD",IF(AND(E530&lt;&gt;"",E530&lt;&gt;"!!!"),"NEW","")))</f>
        <v/>
      </c>
      <c r="G530" s="22" t="str">
        <f aca="false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aca="false">IF(J530&lt;&gt;1,"",IF(I530="SBJ","CB","?"))</f>
        <v/>
      </c>
      <c r="I530" s="24" t="str">
        <f aca="false">IF(OR(E530="",E530="!!!",F530="NEW"),"",INDEX(B$2:B529,-1+SUMPRODUCT(MAX(ROW(E$2:E529)*(E530=E$2:E529)))))</f>
        <v/>
      </c>
      <c r="J530" s="24" t="str">
        <f aca="true">IF(OR(E530="",E530="!!!",F530="NEW"),"",COUNTBLANK(OFFSET(A$1,,,SUMPRODUCT(MAX(ROW(E$2:E530)*(E530=E$2:E530)))))-COUNTBLANK(OFFSET(A$1,,,SUMPRODUCT(MAX(ROW(E$1:E529)*(E2=E$1:E529))))))</f>
        <v/>
      </c>
      <c r="K530" s="24" t="str">
        <f aca="false">IF(OR(E530="",E530="!!!",F530="NEW"),"",INDEX(J$1:J529,SUMPRODUCT(MAX(ROW(E$1:E529)*(E530=E$1:E529)))))</f>
        <v/>
      </c>
      <c r="L530" s="25"/>
    </row>
    <row r="531" customFormat="false" ht="14.25" hidden="false" customHeight="false" outlineLevel="0" collapsed="false">
      <c r="A531" s="0" t="s">
        <v>126</v>
      </c>
      <c r="B531" s="26" t="s">
        <v>258</v>
      </c>
      <c r="C531" s="26" t="s">
        <v>105</v>
      </c>
      <c r="E531" s="20" t="s">
        <v>127</v>
      </c>
      <c r="F531" s="21" t="str">
        <f aca="false">IF(OR(E531="",E531="!!!"),"",IF(NOT(ISNA(VLOOKUP(E531,E$1:E530,1,FALSE()))),"OLD",IF(AND(E531&lt;&gt;"",E531&lt;&gt;"!!!"),"NEW","")))</f>
        <v>OLD</v>
      </c>
      <c r="G531" s="22" t="str">
        <f aca="false"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?IN_FOCUS</v>
      </c>
      <c r="H531" s="23" t="str">
        <f aca="false">IF(J531&lt;&gt;1,"",IF(I531="SBJ","CB","?"))</f>
        <v/>
      </c>
      <c r="I531" s="24" t="n">
        <f aca="false">IF(OR(E531="",E531="!!!",F531="NEW"),"",INDEX(B$2:B530,-1+SUMPRODUCT(MAX(ROW(E$2:E530)*(E531=E$2:E530)))))</f>
        <v>0</v>
      </c>
      <c r="J531" s="24" t="n">
        <f aca="true">IF(OR(E531="",E531="!!!",F531="NEW"),"",COUNTBLANK(OFFSET(A$1,,,SUMPRODUCT(MAX(ROW(E$2:E531)*(E531=E$2:E531)))))-COUNTBLANK(OFFSET(A$1,,,SUMPRODUCT(MAX(ROW(E$1:E530)*(E2=E$1:E530))))))</f>
        <v>0</v>
      </c>
      <c r="K531" s="24" t="n">
        <f aca="false">IF(OR(E531="",E531="!!!",F531="NEW"),"",INDEX(J$1:J530,SUMPRODUCT(MAX(ROW(E$1:E530)*(E531=E$1:E530)))))</f>
        <v>0</v>
      </c>
      <c r="L531" s="25"/>
    </row>
    <row r="532" customFormat="false" ht="14.25" hidden="false" customHeight="false" outlineLevel="0" collapsed="false">
      <c r="A532" s="0" t="s">
        <v>116</v>
      </c>
      <c r="E532" s="20" t="str">
        <f aca="false">IF(D532="?OLD","!!!","")</f>
        <v/>
      </c>
      <c r="F532" s="21" t="str">
        <f aca="false">IF(OR(E532="",E532="!!!"),"",IF(NOT(ISNA(VLOOKUP(E532,E$1:E531,1,FALSE()))),"OLD",IF(AND(E532&lt;&gt;"",E532&lt;&gt;"!!!"),"NEW","")))</f>
        <v/>
      </c>
      <c r="G532" s="22" t="str">
        <f aca="false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aca="false">IF(J532&lt;&gt;1,"",IF(I532="SBJ","CB","?"))</f>
        <v/>
      </c>
      <c r="I532" s="24" t="str">
        <f aca="false">IF(OR(E532="",E532="!!!",F532="NEW"),"",INDEX(B$2:B531,-1+SUMPRODUCT(MAX(ROW(E$2:E531)*(E532=E$2:E531)))))</f>
        <v/>
      </c>
      <c r="J532" s="24" t="str">
        <f aca="true">IF(OR(E532="",E532="!!!",F532="NEW"),"",COUNTBLANK(OFFSET(A$1,,,SUMPRODUCT(MAX(ROW(E$2:E532)*(E532=E$2:E532)))))-COUNTBLANK(OFFSET(A$1,,,SUMPRODUCT(MAX(ROW(E$1:E531)*(E2=E$1:E531))))))</f>
        <v/>
      </c>
      <c r="K532" s="24" t="str">
        <f aca="false">IF(OR(E532="",E532="!!!",F532="NEW"),"",INDEX(J$1:J531,SUMPRODUCT(MAX(ROW(E$1:E531)*(E532=E$1:E531)))))</f>
        <v/>
      </c>
      <c r="L532" s="25"/>
    </row>
    <row r="533" customFormat="false" ht="14.25" hidden="false" customHeight="false" outlineLevel="0" collapsed="false">
      <c r="A533" s="0" t="s">
        <v>462</v>
      </c>
      <c r="E533" s="20" t="str">
        <f aca="false">IF(D533="?OLD","!!!","")</f>
        <v/>
      </c>
      <c r="F533" s="21" t="str">
        <f aca="false">IF(OR(E533="",E533="!!!"),"",IF(NOT(ISNA(VLOOKUP(E533,E$1:E532,1,FALSE()))),"OLD",IF(AND(E533&lt;&gt;"",E533&lt;&gt;"!!!"),"NEW","")))</f>
        <v/>
      </c>
      <c r="G533" s="22" t="str">
        <f aca="false"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aca="false">IF(J533&lt;&gt;1,"",IF(I533="SBJ","CB","?"))</f>
        <v/>
      </c>
      <c r="I533" s="24" t="str">
        <f aca="false">IF(OR(E533="",E533="!!!",F533="NEW"),"",INDEX(B$2:B532,-1+SUMPRODUCT(MAX(ROW(E$2:E532)*(E533=E$2:E532)))))</f>
        <v/>
      </c>
      <c r="J533" s="24" t="str">
        <f aca="true">IF(OR(E533="",E533="!!!",F533="NEW"),"",COUNTBLANK(OFFSET(A$1,,,SUMPRODUCT(MAX(ROW(E$2:E533)*(E533=E$2:E533)))))-COUNTBLANK(OFFSET(A$1,,,SUMPRODUCT(MAX(ROW(E$1:E532)*(E2=E$1:E532))))))</f>
        <v/>
      </c>
      <c r="K533" s="24" t="str">
        <f aca="false">IF(OR(E533="",E533="!!!",F533="NEW"),"",INDEX(J$1:J532,SUMPRODUCT(MAX(ROW(E$1:E532)*(E533=E$1:E532)))))</f>
        <v/>
      </c>
      <c r="L533" s="25"/>
    </row>
    <row r="534" customFormat="false" ht="14.25" hidden="false" customHeight="false" outlineLevel="0" collapsed="false">
      <c r="A534" s="0" t="s">
        <v>200</v>
      </c>
      <c r="E534" s="20" t="str">
        <f aca="false">IF(D534="?OLD","!!!","")</f>
        <v/>
      </c>
      <c r="F534" s="21" t="str">
        <f aca="false">IF(OR(E534="",E534="!!!"),"",IF(NOT(ISNA(VLOOKUP(E534,E$1:E533,1,FALSE()))),"OLD",IF(AND(E534&lt;&gt;"",E534&lt;&gt;"!!!"),"NEW","")))</f>
        <v/>
      </c>
      <c r="G534" s="22" t="str">
        <f aca="false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aca="false">IF(J534&lt;&gt;1,"",IF(I534="SBJ","CB","?"))</f>
        <v/>
      </c>
      <c r="I534" s="24" t="str">
        <f aca="false">IF(OR(E534="",E534="!!!",F534="NEW"),"",INDEX(B$2:B533,-1+SUMPRODUCT(MAX(ROW(E$2:E533)*(E534=E$2:E533)))))</f>
        <v/>
      </c>
      <c r="J534" s="24" t="str">
        <f aca="true">IF(OR(E534="",E534="!!!",F534="NEW"),"",COUNTBLANK(OFFSET(A$1,,,SUMPRODUCT(MAX(ROW(E$2:E534)*(E534=E$2:E534)))))-COUNTBLANK(OFFSET(A$1,,,SUMPRODUCT(MAX(ROW(E$1:E533)*(E2=E$1:E533))))))</f>
        <v/>
      </c>
      <c r="K534" s="24" t="str">
        <f aca="false">IF(OR(E534="",E534="!!!",F534="NEW"),"",INDEX(J$1:J533,SUMPRODUCT(MAX(ROW(E$1:E533)*(E534=E$1:E533)))))</f>
        <v/>
      </c>
      <c r="L534" s="25"/>
    </row>
    <row r="535" customFormat="false" ht="14.25" hidden="false" customHeight="false" outlineLevel="0" collapsed="false">
      <c r="A535" s="0" t="s">
        <v>288</v>
      </c>
      <c r="E535" s="20" t="str">
        <f aca="false">IF(D535="?OLD","!!!","")</f>
        <v/>
      </c>
      <c r="F535" s="21" t="str">
        <f aca="false">IF(OR(E535="",E535="!!!"),"",IF(NOT(ISNA(VLOOKUP(E535,E$1:E534,1,FALSE()))),"OLD",IF(AND(E535&lt;&gt;"",E535&lt;&gt;"!!!"),"NEW","")))</f>
        <v/>
      </c>
      <c r="G535" s="22" t="str">
        <f aca="false"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aca="false">IF(J535&lt;&gt;1,"",IF(I535="SBJ","CB","?"))</f>
        <v/>
      </c>
      <c r="I535" s="24" t="str">
        <f aca="false">IF(OR(E535="",E535="!!!",F535="NEW"),"",INDEX(B$2:B534,-1+SUMPRODUCT(MAX(ROW(E$2:E534)*(E535=E$2:E534)))))</f>
        <v/>
      </c>
      <c r="J535" s="24" t="str">
        <f aca="true">IF(OR(E535="",E535="!!!",F535="NEW"),"",COUNTBLANK(OFFSET(A$1,,,SUMPRODUCT(MAX(ROW(E$2:E535)*(E535=E$2:E535)))))-COUNTBLANK(OFFSET(A$1,,,SUMPRODUCT(MAX(ROW(E$1:E534)*(E2=E$1:E534))))))</f>
        <v/>
      </c>
      <c r="K535" s="24" t="str">
        <f aca="false">IF(OR(E535="",E535="!!!",F535="NEW"),"",INDEX(J$1:J534,SUMPRODUCT(MAX(ROW(E$1:E534)*(E535=E$1:E534)))))</f>
        <v/>
      </c>
      <c r="L535" s="25"/>
    </row>
    <row r="536" customFormat="false" ht="14.25" hidden="false" customHeight="false" outlineLevel="0" collapsed="false">
      <c r="A536" s="0" t="s">
        <v>101</v>
      </c>
      <c r="E536" s="20" t="str">
        <f aca="false">IF(D536="?OLD","!!!","")</f>
        <v/>
      </c>
      <c r="F536" s="21" t="str">
        <f aca="false">IF(OR(E536="",E536="!!!"),"",IF(NOT(ISNA(VLOOKUP(E536,E$1:E535,1,FALSE()))),"OLD",IF(AND(E536&lt;&gt;"",E536&lt;&gt;"!!!"),"NEW","")))</f>
        <v/>
      </c>
      <c r="G536" s="22" t="str">
        <f aca="false"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aca="false">IF(J536&lt;&gt;1,"",IF(I536="SBJ","CB","?"))</f>
        <v/>
      </c>
      <c r="I536" s="24" t="str">
        <f aca="false">IF(OR(E536="",E536="!!!",F536="NEW"),"",INDEX(B$2:B535,-1+SUMPRODUCT(MAX(ROW(E$2:E535)*(E536=E$2:E535)))))</f>
        <v/>
      </c>
      <c r="J536" s="24" t="str">
        <f aca="true">IF(OR(E536="",E536="!!!",F536="NEW"),"",COUNTBLANK(OFFSET(A$1,,,SUMPRODUCT(MAX(ROW(E$2:E536)*(E536=E$2:E536)))))-COUNTBLANK(OFFSET(A$1,,,SUMPRODUCT(MAX(ROW(E$1:E535)*(E2=E$1:E535))))))</f>
        <v/>
      </c>
      <c r="K536" s="24" t="str">
        <f aca="false">IF(OR(E536="",E536="!!!",F536="NEW"),"",INDEX(J$1:J535,SUMPRODUCT(MAX(ROW(E$1:E535)*(E536=E$1:E535)))))</f>
        <v/>
      </c>
      <c r="L536" s="25"/>
    </row>
    <row r="537" customFormat="false" ht="14.25" hidden="false" customHeight="false" outlineLevel="0" collapsed="false">
      <c r="A537" s="0" t="s">
        <v>463</v>
      </c>
      <c r="E537" s="20" t="str">
        <f aca="false">IF(D537="?OLD","!!!","")</f>
        <v/>
      </c>
      <c r="F537" s="21" t="str">
        <f aca="false">IF(OR(E537="",E537="!!!"),"",IF(NOT(ISNA(VLOOKUP(E537,E$1:E536,1,FALSE()))),"OLD",IF(AND(E537&lt;&gt;"",E537&lt;&gt;"!!!"),"NEW","")))</f>
        <v/>
      </c>
      <c r="G537" s="22" t="str">
        <f aca="false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aca="false">IF(J537&lt;&gt;1,"",IF(I537="SBJ","CB","?"))</f>
        <v/>
      </c>
      <c r="I537" s="24" t="str">
        <f aca="false">IF(OR(E537="",E537="!!!",F537="NEW"),"",INDEX(B$2:B536,-1+SUMPRODUCT(MAX(ROW(E$2:E536)*(E537=E$2:E536)))))</f>
        <v/>
      </c>
      <c r="J537" s="24" t="str">
        <f aca="true">IF(OR(E537="",E537="!!!",F537="NEW"),"",COUNTBLANK(OFFSET(A$1,,,SUMPRODUCT(MAX(ROW(E$2:E537)*(E537=E$2:E537)))))-COUNTBLANK(OFFSET(A$1,,,SUMPRODUCT(MAX(ROW(E$1:E536)*(E2=E$1:E536))))))</f>
        <v/>
      </c>
      <c r="K537" s="24" t="str">
        <f aca="false">IF(OR(E537="",E537="!!!",F537="NEW"),"",INDEX(J$1:J536,SUMPRODUCT(MAX(ROW(E$1:E536)*(E537=E$1:E536)))))</f>
        <v/>
      </c>
      <c r="L537" s="25"/>
    </row>
    <row r="538" customFormat="false" ht="14.25" hidden="false" customHeight="false" outlineLevel="0" collapsed="false">
      <c r="A538" s="0" t="s">
        <v>200</v>
      </c>
      <c r="E538" s="20" t="str">
        <f aca="false">IF(D538="?OLD","!!!","")</f>
        <v/>
      </c>
      <c r="F538" s="21" t="str">
        <f aca="false">IF(OR(E538="",E538="!!!"),"",IF(NOT(ISNA(VLOOKUP(E538,E$1:E537,1,FALSE()))),"OLD",IF(AND(E538&lt;&gt;"",E538&lt;&gt;"!!!"),"NEW","")))</f>
        <v/>
      </c>
      <c r="G538" s="22" t="str">
        <f aca="false"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aca="false">IF(J538&lt;&gt;1,"",IF(I538="SBJ","CB","?"))</f>
        <v/>
      </c>
      <c r="I538" s="24" t="str">
        <f aca="false">IF(OR(E538="",E538="!!!",F538="NEW"),"",INDEX(B$2:B537,-1+SUMPRODUCT(MAX(ROW(E$2:E537)*(E538=E$2:E537)))))</f>
        <v/>
      </c>
      <c r="J538" s="24" t="str">
        <f aca="true">IF(OR(E538="",E538="!!!",F538="NEW"),"",COUNTBLANK(OFFSET(A$1,,,SUMPRODUCT(MAX(ROW(E$2:E538)*(E538=E$2:E538)))))-COUNTBLANK(OFFSET(A$1,,,SUMPRODUCT(MAX(ROW(E$1:E537)*(E2=E$1:E537))))))</f>
        <v/>
      </c>
      <c r="K538" s="24" t="str">
        <f aca="false">IF(OR(E538="",E538="!!!",F538="NEW"),"",INDEX(J$1:J537,SUMPRODUCT(MAX(ROW(E$1:E537)*(E538=E$1:E537)))))</f>
        <v/>
      </c>
      <c r="L538" s="25"/>
    </row>
    <row r="539" customFormat="false" ht="14.25" hidden="false" customHeight="false" outlineLevel="0" collapsed="false">
      <c r="A539" s="0" t="s">
        <v>464</v>
      </c>
      <c r="E539" s="20" t="str">
        <f aca="false">IF(D539="?OLD","!!!","")</f>
        <v/>
      </c>
      <c r="F539" s="21" t="str">
        <f aca="false">IF(OR(E539="",E539="!!!"),"",IF(NOT(ISNA(VLOOKUP(E539,E$1:E538,1,FALSE()))),"OLD",IF(AND(E539&lt;&gt;"",E539&lt;&gt;"!!!"),"NEW","")))</f>
        <v/>
      </c>
      <c r="G539" s="22" t="str">
        <f aca="false"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aca="false">IF(J539&lt;&gt;1,"",IF(I539="SBJ","CB","?"))</f>
        <v/>
      </c>
      <c r="I539" s="24" t="str">
        <f aca="false">IF(OR(E539="",E539="!!!",F539="NEW"),"",INDEX(B$2:B538,-1+SUMPRODUCT(MAX(ROW(E$2:E538)*(E539=E$2:E538)))))</f>
        <v/>
      </c>
      <c r="J539" s="24" t="str">
        <f aca="true">IF(OR(E539="",E539="!!!",F539="NEW"),"",COUNTBLANK(OFFSET(A$1,,,SUMPRODUCT(MAX(ROW(E$2:E539)*(E539=E$2:E539)))))-COUNTBLANK(OFFSET(A$1,,,SUMPRODUCT(MAX(ROW(E$1:E538)*(E2=E$1:E538))))))</f>
        <v/>
      </c>
      <c r="K539" s="24" t="str">
        <f aca="false">IF(OR(E539="",E539="!!!",F539="NEW"),"",INDEX(J$1:J538,SUMPRODUCT(MAX(ROW(E$1:E538)*(E539=E$1:E538)))))</f>
        <v/>
      </c>
      <c r="L539" s="25"/>
    </row>
    <row r="540" customFormat="false" ht="14.25" hidden="false" customHeight="false" outlineLevel="0" collapsed="false">
      <c r="A540" s="0" t="s">
        <v>259</v>
      </c>
      <c r="E540" s="20" t="str">
        <f aca="false">IF(D540="?OLD","!!!","")</f>
        <v/>
      </c>
      <c r="F540" s="21" t="str">
        <f aca="false">IF(OR(E540="",E540="!!!"),"",IF(NOT(ISNA(VLOOKUP(E540,E$1:E539,1,FALSE()))),"OLD",IF(AND(E540&lt;&gt;"",E540&lt;&gt;"!!!"),"NEW","")))</f>
        <v/>
      </c>
      <c r="G540" s="22" t="str">
        <f aca="false"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aca="false">IF(J540&lt;&gt;1,"",IF(I540="SBJ","CB","?"))</f>
        <v/>
      </c>
      <c r="I540" s="24" t="str">
        <f aca="false">IF(OR(E540="",E540="!!!",F540="NEW"),"",INDEX(B$2:B539,-1+SUMPRODUCT(MAX(ROW(E$2:E539)*(E540=E$2:E539)))))</f>
        <v/>
      </c>
      <c r="J540" s="24" t="str">
        <f aca="true">IF(OR(E540="",E540="!!!",F540="NEW"),"",COUNTBLANK(OFFSET(A$1,,,SUMPRODUCT(MAX(ROW(E$2:E540)*(E540=E$2:E540)))))-COUNTBLANK(OFFSET(A$1,,,SUMPRODUCT(MAX(ROW(E$1:E539)*(E2=E$1:E539))))))</f>
        <v/>
      </c>
      <c r="K540" s="24" t="str">
        <f aca="false">IF(OR(E540="",E540="!!!",F540="NEW"),"",INDEX(J$1:J539,SUMPRODUCT(MAX(ROW(E$1:E539)*(E540=E$1:E539)))))</f>
        <v/>
      </c>
      <c r="L540" s="25"/>
    </row>
    <row r="541" customFormat="false" ht="14.25" hidden="false" customHeight="false" outlineLevel="0" collapsed="false">
      <c r="A541" s="0" t="s">
        <v>188</v>
      </c>
      <c r="E541" s="20" t="str">
        <f aca="false">IF(D541="?OLD","!!!","")</f>
        <v/>
      </c>
      <c r="F541" s="21" t="str">
        <f aca="false">IF(OR(E541="",E541="!!!"),"",IF(NOT(ISNA(VLOOKUP(E541,E$1:E540,1,FALSE()))),"OLD",IF(AND(E541&lt;&gt;"",E541&lt;&gt;"!!!"),"NEW","")))</f>
        <v/>
      </c>
      <c r="G541" s="22" t="str">
        <f aca="false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aca="false">IF(J541&lt;&gt;1,"",IF(I541="SBJ","CB","?"))</f>
        <v/>
      </c>
      <c r="I541" s="24" t="str">
        <f aca="false">IF(OR(E541="",E541="!!!",F541="NEW"),"",INDEX(B$2:B540,-1+SUMPRODUCT(MAX(ROW(E$2:E540)*(E541=E$2:E540)))))</f>
        <v/>
      </c>
      <c r="J541" s="24" t="str">
        <f aca="true">IF(OR(E541="",E541="!!!",F541="NEW"),"",COUNTBLANK(OFFSET(A$1,,,SUMPRODUCT(MAX(ROW(E$2:E541)*(E541=E$2:E541)))))-COUNTBLANK(OFFSET(A$1,,,SUMPRODUCT(MAX(ROW(E$1:E540)*(E2=E$1:E540))))))</f>
        <v/>
      </c>
      <c r="K541" s="24" t="str">
        <f aca="false">IF(OR(E541="",E541="!!!",F541="NEW"),"",INDEX(J$1:J540,SUMPRODUCT(MAX(ROW(E$1:E540)*(E541=E$1:E540)))))</f>
        <v/>
      </c>
      <c r="L541" s="25"/>
    </row>
    <row r="542" customFormat="false" ht="14.25" hidden="false" customHeight="false" outlineLevel="0" collapsed="false">
      <c r="A542" s="0" t="s">
        <v>465</v>
      </c>
      <c r="B542" s="26" t="s">
        <v>147</v>
      </c>
      <c r="C542" s="26" t="s">
        <v>74</v>
      </c>
      <c r="D542" s="26" t="s">
        <v>75</v>
      </c>
      <c r="E542" s="20" t="s">
        <v>466</v>
      </c>
      <c r="F542" s="21" t="str">
        <f aca="false">IF(OR(E542="",E542="!!!"),"",IF(NOT(ISNA(VLOOKUP(E542,E$1:E541,1,FALSE()))),"OLD",IF(AND(E542&lt;&gt;"",E542&lt;&gt;"!!!"),"NEW","")))</f>
        <v>NEW</v>
      </c>
      <c r="G542" s="22" t="str">
        <f aca="false"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?REFERENTIAL</v>
      </c>
      <c r="H542" s="23" t="str">
        <f aca="false">IF(J542&lt;&gt;1,"",IF(I542="SBJ","CB","?"))</f>
        <v/>
      </c>
      <c r="I542" s="24" t="str">
        <f aca="false">IF(OR(E542="",E542="!!!",F542="NEW"),"",INDEX(B$2:B541,-1+SUMPRODUCT(MAX(ROW(E$2:E541)*(E542=E$2:E541)))))</f>
        <v/>
      </c>
      <c r="J542" s="24" t="str">
        <f aca="true">IF(OR(E542="",E542="!!!",F542="NEW"),"",COUNTBLANK(OFFSET(A$1,,,SUMPRODUCT(MAX(ROW(E$2:E542)*(E542=E$2:E542)))))-COUNTBLANK(OFFSET(A$1,,,SUMPRODUCT(MAX(ROW(E$1:E541)*(E2=E$1:E541))))))</f>
        <v/>
      </c>
      <c r="K542" s="24" t="str">
        <f aca="false">IF(OR(E542="",E542="!!!",F542="NEW"),"",INDEX(J$1:J541,SUMPRODUCT(MAX(ROW(E$1:E541)*(E542=E$1:E541)))))</f>
        <v/>
      </c>
      <c r="L542" s="25"/>
    </row>
    <row r="543" customFormat="false" ht="14.25" hidden="false" customHeight="false" outlineLevel="0" collapsed="false">
      <c r="A543" s="0" t="s">
        <v>155</v>
      </c>
      <c r="E543" s="20" t="str">
        <f aca="false">IF(D543="?OLD","!!!","")</f>
        <v/>
      </c>
      <c r="F543" s="21" t="str">
        <f aca="false">IF(OR(E543="",E543="!!!"),"",IF(NOT(ISNA(VLOOKUP(E543,E$1:E542,1,FALSE()))),"OLD",IF(AND(E543&lt;&gt;"",E543&lt;&gt;"!!!"),"NEW","")))</f>
        <v/>
      </c>
      <c r="G543" s="22" t="str">
        <f aca="false"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aca="false">IF(J543&lt;&gt;1,"",IF(I543="SBJ","CB","?"))</f>
        <v/>
      </c>
      <c r="I543" s="24" t="str">
        <f aca="false">IF(OR(E543="",E543="!!!",F543="NEW"),"",INDEX(B$2:B542,-1+SUMPRODUCT(MAX(ROW(E$2:E542)*(E543=E$2:E542)))))</f>
        <v/>
      </c>
      <c r="J543" s="24" t="str">
        <f aca="true">IF(OR(E543="",E543="!!!",F543="NEW"),"",COUNTBLANK(OFFSET(A$1,,,SUMPRODUCT(MAX(ROW(E$2:E543)*(E543=E$2:E543)))))-COUNTBLANK(OFFSET(A$1,,,SUMPRODUCT(MAX(ROW(E$1:E542)*(E2=E$1:E542))))))</f>
        <v/>
      </c>
      <c r="K543" s="24" t="str">
        <f aca="false">IF(OR(E543="",E543="!!!",F543="NEW"),"",INDEX(J$1:J542,SUMPRODUCT(MAX(ROW(E$1:E542)*(E543=E$1:E542)))))</f>
        <v/>
      </c>
      <c r="L543" s="25"/>
    </row>
    <row r="544" customFormat="false" ht="14.25" hidden="false" customHeight="false" outlineLevel="0" collapsed="false">
      <c r="A544" s="0" t="s">
        <v>467</v>
      </c>
      <c r="E544" s="20" t="str">
        <f aca="false">IF(D544="?OLD","!!!","")</f>
        <v/>
      </c>
      <c r="F544" s="21" t="str">
        <f aca="false">IF(OR(E544="",E544="!!!"),"",IF(NOT(ISNA(VLOOKUP(E544,E$1:E543,1,FALSE()))),"OLD",IF(AND(E544&lt;&gt;"",E544&lt;&gt;"!!!"),"NEW","")))</f>
        <v/>
      </c>
      <c r="G544" s="22" t="str">
        <f aca="false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aca="false">IF(J544&lt;&gt;1,"",IF(I544="SBJ","CB","?"))</f>
        <v/>
      </c>
      <c r="I544" s="24" t="str">
        <f aca="false">IF(OR(E544="",E544="!!!",F544="NEW"),"",INDEX(B$2:B543,-1+SUMPRODUCT(MAX(ROW(E$2:E543)*(E544=E$2:E543)))))</f>
        <v/>
      </c>
      <c r="J544" s="24" t="str">
        <f aca="true">IF(OR(E544="",E544="!!!",F544="NEW"),"",COUNTBLANK(OFFSET(A$1,,,SUMPRODUCT(MAX(ROW(E$2:E544)*(E544=E$2:E544)))))-COUNTBLANK(OFFSET(A$1,,,SUMPRODUCT(MAX(ROW(E$1:E543)*(E2=E$1:E543))))))</f>
        <v/>
      </c>
      <c r="K544" s="24" t="str">
        <f aca="false">IF(OR(E544="",E544="!!!",F544="NEW"),"",INDEX(J$1:J543,SUMPRODUCT(MAX(ROW(E$1:E543)*(E544=E$1:E543)))))</f>
        <v/>
      </c>
      <c r="L544" s="25"/>
    </row>
    <row r="545" customFormat="false" ht="14.25" hidden="false" customHeight="false" outlineLevel="0" collapsed="false">
      <c r="A545" s="0" t="s">
        <v>86</v>
      </c>
      <c r="E545" s="20" t="str">
        <f aca="false">IF(D545="?OLD","!!!","")</f>
        <v/>
      </c>
      <c r="F545" s="21" t="str">
        <f aca="false">IF(OR(E545="",E545="!!!"),"",IF(NOT(ISNA(VLOOKUP(E545,E$1:E544,1,FALSE()))),"OLD",IF(AND(E545&lt;&gt;"",E545&lt;&gt;"!!!"),"NEW","")))</f>
        <v/>
      </c>
      <c r="G545" s="22" t="str">
        <f aca="false"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aca="false">IF(J545&lt;&gt;1,"",IF(I545="SBJ","CB","?"))</f>
        <v/>
      </c>
      <c r="I545" s="24" t="str">
        <f aca="false">IF(OR(E545="",E545="!!!",F545="NEW"),"",INDEX(B$2:B544,-1+SUMPRODUCT(MAX(ROW(E$2:E544)*(E545=E$2:E544)))))</f>
        <v/>
      </c>
      <c r="J545" s="24" t="str">
        <f aca="true">IF(OR(E545="",E545="!!!",F545="NEW"),"",COUNTBLANK(OFFSET(A$1,,,SUMPRODUCT(MAX(ROW(E$2:E545)*(E545=E$2:E545)))))-COUNTBLANK(OFFSET(A$1,,,SUMPRODUCT(MAX(ROW(E$1:E544)*(E2=E$1:E544))))))</f>
        <v/>
      </c>
      <c r="K545" s="24" t="str">
        <f aca="false">IF(OR(E545="",E545="!!!",F545="NEW"),"",INDEX(J$1:J544,SUMPRODUCT(MAX(ROW(E$1:E544)*(E545=E$1:E544)))))</f>
        <v/>
      </c>
      <c r="L545" s="25"/>
    </row>
    <row r="546" customFormat="false" ht="14.25" hidden="false" customHeight="false" outlineLevel="0" collapsed="false">
      <c r="A546" s="0" t="s">
        <v>468</v>
      </c>
      <c r="B546" s="26" t="s">
        <v>104</v>
      </c>
      <c r="C546" s="26" t="s">
        <v>105</v>
      </c>
      <c r="E546" s="20" t="str">
        <f aca="false">IF(D546="?OLD","!!!","")</f>
        <v/>
      </c>
      <c r="F546" s="21" t="str">
        <f aca="false">IF(OR(E546="",E546="!!!"),"",IF(NOT(ISNA(VLOOKUP(E546,E$1:E545,1,FALSE()))),"OLD",IF(AND(E546&lt;&gt;"",E546&lt;&gt;"!!!"),"NEW","")))</f>
        <v/>
      </c>
      <c r="G546" s="22" t="str">
        <f aca="false"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aca="false">IF(J546&lt;&gt;1,"",IF(I546="SBJ","CB","?"))</f>
        <v/>
      </c>
      <c r="I546" s="24" t="str">
        <f aca="false">IF(OR(E546="",E546="!!!",F546="NEW"),"",INDEX(B$2:B545,-1+SUMPRODUCT(MAX(ROW(E$2:E545)*(E546=E$2:E545)))))</f>
        <v/>
      </c>
      <c r="J546" s="24" t="str">
        <f aca="true">IF(OR(E546="",E546="!!!",F546="NEW"),"",COUNTBLANK(OFFSET(A$1,,,SUMPRODUCT(MAX(ROW(E$2:E546)*(E546=E$2:E546)))))-COUNTBLANK(OFFSET(A$1,,,SUMPRODUCT(MAX(ROW(E$1:E545)*(E2=E$1:E545))))))</f>
        <v/>
      </c>
      <c r="K546" s="24" t="str">
        <f aca="false">IF(OR(E546="",E546="!!!",F546="NEW"),"",INDEX(J$1:J545,SUMPRODUCT(MAX(ROW(E$1:E545)*(E546=E$1:E545)))))</f>
        <v/>
      </c>
      <c r="L546" s="25"/>
    </row>
    <row r="547" customFormat="false" ht="14.25" hidden="false" customHeight="false" outlineLevel="0" collapsed="false">
      <c r="A547" s="0" t="s">
        <v>469</v>
      </c>
      <c r="E547" s="20"/>
      <c r="F547" s="21" t="str">
        <f aca="false">IF(OR(E547="",E547="!!!"),"",IF(NOT(ISNA(VLOOKUP(E547,E$1:E546,1,FALSE()))),"OLD",IF(AND(E547&lt;&gt;"",E547&lt;&gt;"!!!"),"NEW","")))</f>
        <v/>
      </c>
      <c r="G547" s="22" t="str">
        <f aca="false"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aca="false">IF(J547&lt;&gt;1,"",IF(I547="SBJ","CB","?"))</f>
        <v/>
      </c>
      <c r="I547" s="24" t="str">
        <f aca="false">IF(OR(E547="",E547="!!!",F547="NEW"),"",INDEX(B$2:B546,-1+SUMPRODUCT(MAX(ROW(E$2:E546)*(E547=E$2:E546)))))</f>
        <v/>
      </c>
      <c r="J547" s="24" t="str">
        <f aca="true">IF(OR(E547="",E547="!!!",F547="NEW"),"",COUNTBLANK(OFFSET(A$1,,,SUMPRODUCT(MAX(ROW(E$2:E547)*(E547=E$2:E547)))))-COUNTBLANK(OFFSET(A$1,,,SUMPRODUCT(MAX(ROW(E$1:E546)*(E2=E$1:E546))))))</f>
        <v/>
      </c>
      <c r="K547" s="24" t="str">
        <f aca="false">IF(OR(E547="",E547="!!!",F547="NEW"),"",INDEX(J$1:J546,SUMPRODUCT(MAX(ROW(E$1:E546)*(E547=E$1:E546)))))</f>
        <v/>
      </c>
      <c r="L547" s="25"/>
    </row>
    <row r="548" customFormat="false" ht="14.25" hidden="false" customHeight="false" outlineLevel="0" collapsed="false">
      <c r="A548" s="0" t="s">
        <v>470</v>
      </c>
      <c r="B548" s="26" t="s">
        <v>115</v>
      </c>
      <c r="C548" s="26" t="s">
        <v>119</v>
      </c>
      <c r="E548" s="20" t="s">
        <v>471</v>
      </c>
      <c r="F548" s="21" t="str">
        <f aca="false">IF(OR(E548="",E548="!!!"),"",IF(NOT(ISNA(VLOOKUP(E548,E$1:E547,1,FALSE()))),"OLD",IF(AND(E548&lt;&gt;"",E548&lt;&gt;"!!!"),"NEW","")))</f>
        <v>NEW</v>
      </c>
      <c r="G548" s="22" t="str">
        <f aca="false"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?REFERENTIAL</v>
      </c>
      <c r="H548" s="23" t="str">
        <f aca="false">IF(J548&lt;&gt;1,"",IF(I548="SBJ","CB","?"))</f>
        <v/>
      </c>
      <c r="I548" s="24" t="str">
        <f aca="false">IF(OR(E548="",E548="!!!",F548="NEW"),"",INDEX(B$2:B547,-1+SUMPRODUCT(MAX(ROW(E$2:E547)*(E548=E$2:E547)))))</f>
        <v/>
      </c>
      <c r="J548" s="24" t="str">
        <f aca="true">IF(OR(E548="",E548="!!!",F548="NEW"),"",COUNTBLANK(OFFSET(A$1,,,SUMPRODUCT(MAX(ROW(E$2:E548)*(E548=E$2:E548)))))-COUNTBLANK(OFFSET(A$1,,,SUMPRODUCT(MAX(ROW(E$1:E547)*(E2=E$1:E547))))))</f>
        <v/>
      </c>
      <c r="K548" s="24" t="str">
        <f aca="false">IF(OR(E548="",E548="!!!",F548="NEW"),"",INDEX(J$1:J547,SUMPRODUCT(MAX(ROW(E$1:E547)*(E548=E$1:E547)))))</f>
        <v/>
      </c>
      <c r="L548" s="27" t="s">
        <v>472</v>
      </c>
    </row>
    <row r="549" customFormat="false" ht="14.25" hidden="false" customHeight="false" outlineLevel="0" collapsed="false">
      <c r="A549" s="0" t="s">
        <v>112</v>
      </c>
      <c r="E549" s="20" t="str">
        <f aca="false">IF(D549="?OLD","!!!","")</f>
        <v/>
      </c>
      <c r="F549" s="21" t="str">
        <f aca="false">IF(OR(E549="",E549="!!!"),"",IF(NOT(ISNA(VLOOKUP(E549,E$1:E548,1,FALSE()))),"OLD",IF(AND(E549&lt;&gt;"",E549&lt;&gt;"!!!"),"NEW","")))</f>
        <v/>
      </c>
      <c r="G549" s="22" t="str">
        <f aca="false"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aca="false">IF(J549&lt;&gt;1,"",IF(I549="SBJ","CB","?"))</f>
        <v/>
      </c>
      <c r="I549" s="24" t="str">
        <f aca="false">IF(OR(E549="",E549="!!!",F549="NEW"),"",INDEX(B$2:B548,-1+SUMPRODUCT(MAX(ROW(E$2:E548)*(E549=E$2:E548)))))</f>
        <v/>
      </c>
      <c r="J549" s="24" t="str">
        <f aca="true">IF(OR(E549="",E549="!!!",F549="NEW"),"",COUNTBLANK(OFFSET(A$1,,,SUMPRODUCT(MAX(ROW(E$2:E549)*(E549=E$2:E549)))))-COUNTBLANK(OFFSET(A$1,,,SUMPRODUCT(MAX(ROW(E$1:E548)*(E2=E$1:E548))))))</f>
        <v/>
      </c>
      <c r="K549" s="24" t="str">
        <f aca="false">IF(OR(E549="",E549="!!!",F549="NEW"),"",INDEX(J$1:J548,SUMPRODUCT(MAX(ROW(E$1:E548)*(E549=E$1:E548)))))</f>
        <v/>
      </c>
      <c r="L549" s="25"/>
    </row>
    <row r="550" customFormat="false" ht="14.25" hidden="false" customHeight="false" outlineLevel="0" collapsed="false">
      <c r="A550" s="0" t="s">
        <v>459</v>
      </c>
      <c r="B550" s="26" t="s">
        <v>307</v>
      </c>
      <c r="C550" s="26" t="s">
        <v>74</v>
      </c>
      <c r="D550" s="26" t="s">
        <v>75</v>
      </c>
      <c r="E550" s="20" t="s">
        <v>460</v>
      </c>
      <c r="F550" s="21" t="str">
        <f aca="false">IF(OR(E550="",E550="!!!"),"",IF(NOT(ISNA(VLOOKUP(E550,E$1:E549,1,FALSE()))),"OLD",IF(AND(E550&lt;&gt;"",E550&lt;&gt;"!!!"),"NEW","")))</f>
        <v>OLD</v>
      </c>
      <c r="G550" s="22" t="str">
        <f aca="false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3" t="str">
        <f aca="false">IF(J550&lt;&gt;1,"",IF(I550="SBJ","CB","?"))</f>
        <v/>
      </c>
      <c r="I550" s="24" t="str">
        <f aca="false">IF(OR(E550="",E550="!!!",F550="NEW"),"",INDEX(B$2:B549,-1+SUMPRODUCT(MAX(ROW(E$2:E549)*(E550=E$2:E549)))))</f>
        <v>SBJ_2</v>
      </c>
      <c r="J550" s="24" t="n">
        <f aca="true">IF(OR(E550="",E550="!!!",F550="NEW"),"",COUNTBLANK(OFFSET(A$1,,,SUMPRODUCT(MAX(ROW(E$2:E550)*(E550=E$2:E550)))))-COUNTBLANK(OFFSET(A$1,,,SUMPRODUCT(MAX(ROW(E$1:E549)*(E2=E$1:E549))))))</f>
        <v>0</v>
      </c>
      <c r="K550" s="24" t="n">
        <f aca="false">IF(OR(E550="",E550="!!!",F550="NEW"),"",INDEX(J$1:J549,SUMPRODUCT(MAX(ROW(E$1:E549)*(E550=E$1:E549)))))</f>
        <v>0</v>
      </c>
      <c r="L550" s="25"/>
    </row>
    <row r="551" customFormat="false" ht="14.25" hidden="false" customHeight="false" outlineLevel="0" collapsed="false">
      <c r="A551" s="0" t="s">
        <v>473</v>
      </c>
      <c r="E551" s="20" t="str">
        <f aca="false">IF(D551="?OLD","!!!","")</f>
        <v/>
      </c>
      <c r="F551" s="21" t="str">
        <f aca="false">IF(OR(E551="",E551="!!!"),"",IF(NOT(ISNA(VLOOKUP(E551,E$1:E550,1,FALSE()))),"OLD",IF(AND(E551&lt;&gt;"",E551&lt;&gt;"!!!"),"NEW","")))</f>
        <v/>
      </c>
      <c r="G551" s="22" t="str">
        <f aca="false"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aca="false">IF(J551&lt;&gt;1,"",IF(I551="SBJ","CB","?"))</f>
        <v/>
      </c>
      <c r="I551" s="24" t="str">
        <f aca="false">IF(OR(E551="",E551="!!!",F551="NEW"),"",INDEX(B$2:B550,-1+SUMPRODUCT(MAX(ROW(E$2:E550)*(E551=E$2:E550)))))</f>
        <v/>
      </c>
      <c r="J551" s="24" t="str">
        <f aca="true">IF(OR(E551="",E551="!!!",F551="NEW"),"",COUNTBLANK(OFFSET(A$1,,,SUMPRODUCT(MAX(ROW(E$2:E551)*(E551=E$2:E551)))))-COUNTBLANK(OFFSET(A$1,,,SUMPRODUCT(MAX(ROW(E$1:E550)*(E2=E$1:E550))))))</f>
        <v/>
      </c>
      <c r="K551" s="24" t="str">
        <f aca="false">IF(OR(E551="",E551="!!!",F551="NEW"),"",INDEX(J$1:J550,SUMPRODUCT(MAX(ROW(E$1:E550)*(E551=E$1:E550)))))</f>
        <v/>
      </c>
      <c r="L551" s="25"/>
    </row>
    <row r="552" customFormat="false" ht="14.25" hidden="false" customHeight="false" outlineLevel="0" collapsed="false">
      <c r="A552" s="0" t="s">
        <v>467</v>
      </c>
      <c r="B552" s="26" t="s">
        <v>82</v>
      </c>
      <c r="C552" s="26" t="s">
        <v>105</v>
      </c>
      <c r="E552" s="20" t="s">
        <v>474</v>
      </c>
      <c r="F552" s="21" t="str">
        <f aca="false">IF(OR(E552="",E552="!!!"),"",IF(NOT(ISNA(VLOOKUP(E552,E$1:E551,1,FALSE()))),"OLD",IF(AND(E552&lt;&gt;"",E552&lt;&gt;"!!!"),"NEW","")))</f>
        <v>NEW</v>
      </c>
      <c r="G552" s="22" t="str">
        <f aca="false"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?REFERENTIAL</v>
      </c>
      <c r="H552" s="23" t="str">
        <f aca="false">IF(J552&lt;&gt;1,"",IF(I552="SBJ","CB","?"))</f>
        <v/>
      </c>
      <c r="I552" s="24" t="str">
        <f aca="false">IF(OR(E552="",E552="!!!",F552="NEW"),"",INDEX(B$2:B551,-1+SUMPRODUCT(MAX(ROW(E$2:E551)*(E552=E$2:E551)))))</f>
        <v/>
      </c>
      <c r="J552" s="24" t="str">
        <f aca="true">IF(OR(E552="",E552="!!!",F552="NEW"),"",COUNTBLANK(OFFSET(A$1,,,SUMPRODUCT(MAX(ROW(E$2:E552)*(E552=E$2:E552)))))-COUNTBLANK(OFFSET(A$1,,,SUMPRODUCT(MAX(ROW(E$1:E551)*(E2=E$1:E551))))))</f>
        <v/>
      </c>
      <c r="K552" s="24" t="str">
        <f aca="false">IF(OR(E552="",E552="!!!",F552="NEW"),"",INDEX(J$1:J551,SUMPRODUCT(MAX(ROW(E$1:E551)*(E552=E$1:E551)))))</f>
        <v/>
      </c>
      <c r="L552" s="27" t="s">
        <v>475</v>
      </c>
    </row>
    <row r="553" customFormat="false" ht="14.25" hidden="false" customHeight="false" outlineLevel="0" collapsed="false">
      <c r="A553" s="0" t="s">
        <v>79</v>
      </c>
      <c r="E553" s="20" t="str">
        <f aca="false">IF(D553="?OLD","!!!","")</f>
        <v/>
      </c>
      <c r="F553" s="21" t="str">
        <f aca="false">IF(OR(E553="",E553="!!!"),"",IF(NOT(ISNA(VLOOKUP(E553,E$1:E552,1,FALSE()))),"OLD",IF(AND(E553&lt;&gt;"",E553&lt;&gt;"!!!"),"NEW","")))</f>
        <v/>
      </c>
      <c r="G553" s="22" t="str">
        <f aca="false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aca="false">IF(J553&lt;&gt;1,"",IF(I553="SBJ","CB","?"))</f>
        <v/>
      </c>
      <c r="I553" s="24" t="str">
        <f aca="false">IF(OR(E553="",E553="!!!",F553="NEW"),"",INDEX(B$2:B552,-1+SUMPRODUCT(MAX(ROW(E$2:E552)*(E553=E$2:E552)))))</f>
        <v/>
      </c>
      <c r="J553" s="24" t="str">
        <f aca="true">IF(OR(E553="",E553="!!!",F553="NEW"),"",COUNTBLANK(OFFSET(A$1,,,SUMPRODUCT(MAX(ROW(E$2:E553)*(E553=E$2:E553)))))-COUNTBLANK(OFFSET(A$1,,,SUMPRODUCT(MAX(ROW(E$1:E552)*(E2=E$1:E552))))))</f>
        <v/>
      </c>
      <c r="K553" s="24" t="str">
        <f aca="false">IF(OR(E553="",E553="!!!",F553="NEW"),"",INDEX(J$1:J552,SUMPRODUCT(MAX(ROW(E$1:E552)*(E553=E$1:E552)))))</f>
        <v/>
      </c>
      <c r="L553" s="25"/>
    </row>
    <row r="554" customFormat="false" ht="14.25" hidden="false" customHeight="false" outlineLevel="0" collapsed="false">
      <c r="A554" s="0" t="s">
        <v>126</v>
      </c>
      <c r="B554" s="26" t="s">
        <v>115</v>
      </c>
      <c r="C554" s="26" t="s">
        <v>105</v>
      </c>
      <c r="E554" s="20"/>
      <c r="F554" s="21" t="str">
        <f aca="false">IF(OR(E554="",E554="!!!"),"",IF(NOT(ISNA(VLOOKUP(E554,E$1:E553,1,FALSE()))),"OLD",IF(AND(E554&lt;&gt;"",E554&lt;&gt;"!!!"),"NEW","")))</f>
        <v/>
      </c>
      <c r="G554" s="22" t="str">
        <f aca="false"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aca="false">IF(J554&lt;&gt;1,"",IF(I554="SBJ","CB","?"))</f>
        <v/>
      </c>
      <c r="I554" s="24" t="str">
        <f aca="false">IF(OR(E554="",E554="!!!",F554="NEW"),"",INDEX(B$2:B553,-1+SUMPRODUCT(MAX(ROW(E$2:E553)*(E554=E$2:E553)))))</f>
        <v/>
      </c>
      <c r="J554" s="24" t="str">
        <f aca="true">IF(OR(E554="",E554="!!!",F554="NEW"),"",COUNTBLANK(OFFSET(A$1,,,SUMPRODUCT(MAX(ROW(E$2:E554)*(E554=E$2:E554)))))-COUNTBLANK(OFFSET(A$1,,,SUMPRODUCT(MAX(ROW(E$1:E553)*(E2=E$1:E553))))))</f>
        <v/>
      </c>
      <c r="K554" s="24" t="str">
        <f aca="false">IF(OR(E554="",E554="!!!",F554="NEW"),"",INDEX(J$1:J553,SUMPRODUCT(MAX(ROW(E$1:E553)*(E554=E$1:E553)))))</f>
        <v/>
      </c>
      <c r="L554" s="25"/>
    </row>
    <row r="555" customFormat="false" ht="14.25" hidden="false" customHeight="false" outlineLevel="0" collapsed="false">
      <c r="A555" s="0" t="s">
        <v>136</v>
      </c>
      <c r="E555" s="20" t="str">
        <f aca="false">IF(D555="?OLD","!!!","")</f>
        <v/>
      </c>
      <c r="F555" s="21" t="str">
        <f aca="false">IF(OR(E555="",E555="!!!"),"",IF(NOT(ISNA(VLOOKUP(E555,E$1:E554,1,FALSE()))),"OLD",IF(AND(E555&lt;&gt;"",E555&lt;&gt;"!!!"),"NEW","")))</f>
        <v/>
      </c>
      <c r="G555" s="22" t="str">
        <f aca="false"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aca="false">IF(J555&lt;&gt;1,"",IF(I555="SBJ","CB","?"))</f>
        <v/>
      </c>
      <c r="I555" s="24" t="str">
        <f aca="false">IF(OR(E555="",E555="!!!",F555="NEW"),"",INDEX(B$2:B554,-1+SUMPRODUCT(MAX(ROW(E$2:E554)*(E555=E$2:E554)))))</f>
        <v/>
      </c>
      <c r="J555" s="24" t="str">
        <f aca="true">IF(OR(E555="",E555="!!!",F555="NEW"),"",COUNTBLANK(OFFSET(A$1,,,SUMPRODUCT(MAX(ROW(E$2:E555)*(E555=E$2:E555)))))-COUNTBLANK(OFFSET(A$1,,,SUMPRODUCT(MAX(ROW(E$1:E554)*(E2=E$1:E554))))))</f>
        <v/>
      </c>
      <c r="K555" s="24" t="str">
        <f aca="false">IF(OR(E555="",E555="!!!",F555="NEW"),"",INDEX(J$1:J554,SUMPRODUCT(MAX(ROW(E$1:E554)*(E555=E$1:E554)))))</f>
        <v/>
      </c>
      <c r="L555" s="25"/>
    </row>
    <row r="556" customFormat="false" ht="14.25" hidden="false" customHeight="false" outlineLevel="0" collapsed="false">
      <c r="A556" s="0" t="s">
        <v>476</v>
      </c>
      <c r="B556" s="26" t="s">
        <v>110</v>
      </c>
      <c r="C556" s="26" t="s">
        <v>74</v>
      </c>
      <c r="D556" s="26" t="s">
        <v>75</v>
      </c>
      <c r="E556" s="20" t="s">
        <v>477</v>
      </c>
      <c r="F556" s="21" t="str">
        <f aca="false">IF(OR(E556="",E556="!!!"),"",IF(NOT(ISNA(VLOOKUP(E556,E$1:E555,1,FALSE()))),"OLD",IF(AND(E556&lt;&gt;"",E556&lt;&gt;"!!!"),"NEW","")))</f>
        <v>NEW</v>
      </c>
      <c r="G556" s="22" t="str">
        <f aca="false"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?REFERENTIAL</v>
      </c>
      <c r="H556" s="23" t="str">
        <f aca="false">IF(J556&lt;&gt;1,"",IF(I556="SBJ","CB","?"))</f>
        <v/>
      </c>
      <c r="I556" s="24" t="str">
        <f aca="false">IF(OR(E556="",E556="!!!",F556="NEW"),"",INDEX(B$2:B555,-1+SUMPRODUCT(MAX(ROW(E$2:E555)*(E556=E$2:E555)))))</f>
        <v/>
      </c>
      <c r="J556" s="24" t="str">
        <f aca="true">IF(OR(E556="",E556="!!!",F556="NEW"),"",COUNTBLANK(OFFSET(A$1,,,SUMPRODUCT(MAX(ROW(E$2:E556)*(E556=E$2:E556)))))-COUNTBLANK(OFFSET(A$1,,,SUMPRODUCT(MAX(ROW(E$1:E555)*(E2=E$1:E555))))))</f>
        <v/>
      </c>
      <c r="K556" s="24" t="str">
        <f aca="false">IF(OR(E556="",E556="!!!",F556="NEW"),"",INDEX(J$1:J555,SUMPRODUCT(MAX(ROW(E$1:E555)*(E556=E$1:E555)))))</f>
        <v/>
      </c>
      <c r="L556" s="25"/>
    </row>
    <row r="557" customFormat="false" ht="14.25" hidden="false" customHeight="false" outlineLevel="0" collapsed="false">
      <c r="A557" s="0" t="s">
        <v>259</v>
      </c>
      <c r="E557" s="20" t="str">
        <f aca="false">IF(D557="?OLD","!!!","")</f>
        <v/>
      </c>
      <c r="F557" s="21" t="str">
        <f aca="false">IF(OR(E557="",E557="!!!"),"",IF(NOT(ISNA(VLOOKUP(E557,E$1:E556,1,FALSE()))),"OLD",IF(AND(E557&lt;&gt;"",E557&lt;&gt;"!!!"),"NEW","")))</f>
        <v/>
      </c>
      <c r="G557" s="22" t="str">
        <f aca="false"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aca="false">IF(J557&lt;&gt;1,"",IF(I557="SBJ","CB","?"))</f>
        <v/>
      </c>
      <c r="I557" s="24" t="str">
        <f aca="false">IF(OR(E557="",E557="!!!",F557="NEW"),"",INDEX(B$2:B556,-1+SUMPRODUCT(MAX(ROW(E$2:E556)*(E557=E$2:E556)))))</f>
        <v/>
      </c>
      <c r="J557" s="24" t="str">
        <f aca="true">IF(OR(E557="",E557="!!!",F557="NEW"),"",COUNTBLANK(OFFSET(A$1,,,SUMPRODUCT(MAX(ROW(E$2:E557)*(E557=E$2:E557)))))-COUNTBLANK(OFFSET(A$1,,,SUMPRODUCT(MAX(ROW(E$1:E556)*(E2=E$1:E556))))))</f>
        <v/>
      </c>
      <c r="K557" s="24" t="str">
        <f aca="false">IF(OR(E557="",E557="!!!",F557="NEW"),"",INDEX(J$1:J556,SUMPRODUCT(MAX(ROW(E$1:E556)*(E557=E$1:E556)))))</f>
        <v/>
      </c>
      <c r="L557" s="25"/>
    </row>
    <row r="558" customFormat="false" ht="14.25" hidden="false" customHeight="false" outlineLevel="0" collapsed="false">
      <c r="A558" s="0" t="s">
        <v>478</v>
      </c>
      <c r="E558" s="20" t="str">
        <f aca="false">IF(D558="?OLD","!!!","")</f>
        <v/>
      </c>
      <c r="F558" s="21" t="str">
        <f aca="false">IF(OR(E558="",E558="!!!"),"",IF(NOT(ISNA(VLOOKUP(E558,E$1:E557,1,FALSE()))),"OLD",IF(AND(E558&lt;&gt;"",E558&lt;&gt;"!!!"),"NEW","")))</f>
        <v/>
      </c>
      <c r="G558" s="22" t="str">
        <f aca="false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aca="false">IF(J558&lt;&gt;1,"",IF(I558="SBJ","CB","?"))</f>
        <v/>
      </c>
      <c r="I558" s="24" t="str">
        <f aca="false">IF(OR(E558="",E558="!!!",F558="NEW"),"",INDEX(B$2:B557,-1+SUMPRODUCT(MAX(ROW(E$2:E557)*(E558=E$2:E557)))))</f>
        <v/>
      </c>
      <c r="J558" s="24" t="str">
        <f aca="true">IF(OR(E558="",E558="!!!",F558="NEW"),"",COUNTBLANK(OFFSET(A$1,,,SUMPRODUCT(MAX(ROW(E$2:E558)*(E558=E$2:E558)))))-COUNTBLANK(OFFSET(A$1,,,SUMPRODUCT(MAX(ROW(E$1:E557)*(E2=E$1:E557))))))</f>
        <v/>
      </c>
      <c r="K558" s="24" t="str">
        <f aca="false">IF(OR(E558="",E558="!!!",F558="NEW"),"",INDEX(J$1:J557,SUMPRODUCT(MAX(ROW(E$1:E557)*(E558=E$1:E557)))))</f>
        <v/>
      </c>
      <c r="L558" s="25"/>
    </row>
    <row r="559" customFormat="false" ht="14.25" hidden="false" customHeight="false" outlineLevel="0" collapsed="false">
      <c r="A559" s="0" t="s">
        <v>16</v>
      </c>
      <c r="E559" s="20" t="str">
        <f aca="false">IF(D559="?OLD","!!!","")</f>
        <v/>
      </c>
      <c r="F559" s="21" t="str">
        <f aca="false">IF(OR(E559="",E559="!!!"),"",IF(NOT(ISNA(VLOOKUP(E559,E$1:E558,1,FALSE()))),"OLD",IF(AND(E559&lt;&gt;"",E559&lt;&gt;"!!!"),"NEW","")))</f>
        <v/>
      </c>
      <c r="G559" s="22" t="str">
        <f aca="false"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aca="false">IF(J559&lt;&gt;1,"",IF(I559="SBJ","CB","?"))</f>
        <v/>
      </c>
      <c r="I559" s="24" t="str">
        <f aca="false">IF(OR(E559="",E559="!!!",F559="NEW"),"",INDEX(B$2:B558,-1+SUMPRODUCT(MAX(ROW(E$2:E558)*(E559=E$2:E558)))))</f>
        <v/>
      </c>
      <c r="J559" s="24" t="str">
        <f aca="true">IF(OR(E559="",E559="!!!",F559="NEW"),"",COUNTBLANK(OFFSET(A$1,,,SUMPRODUCT(MAX(ROW(E$2:E559)*(E559=E$2:E559)))))-COUNTBLANK(OFFSET(A$1,,,SUMPRODUCT(MAX(ROW(E$1:E558)*(E2=E$1:E558))))))</f>
        <v/>
      </c>
      <c r="K559" s="24" t="str">
        <f aca="false">IF(OR(E559="",E559="!!!",F559="NEW"),"",INDEX(J$1:J558,SUMPRODUCT(MAX(ROW(E$1:E558)*(E559=E$1:E558)))))</f>
        <v/>
      </c>
      <c r="L559" s="25"/>
    </row>
    <row r="560" customFormat="false" ht="14.25" hidden="false" customHeight="false" outlineLevel="0" collapsed="false">
      <c r="A560" s="0" t="s">
        <v>479</v>
      </c>
      <c r="B560" s="26" t="s">
        <v>115</v>
      </c>
      <c r="C560" s="26" t="s">
        <v>105</v>
      </c>
      <c r="E560" s="20" t="str">
        <f aca="false">IF(D560="?OLD","!!!","")</f>
        <v/>
      </c>
      <c r="F560" s="21" t="str">
        <f aca="false">IF(OR(E560="",E560="!!!"),"",IF(NOT(ISNA(VLOOKUP(E560,E$1:E559,1,FALSE()))),"OLD",IF(AND(E560&lt;&gt;"",E560&lt;&gt;"!!!"),"NEW","")))</f>
        <v/>
      </c>
      <c r="G560" s="22" t="str">
        <f aca="false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aca="false">IF(J560&lt;&gt;1,"",IF(I560="SBJ","CB","?"))</f>
        <v/>
      </c>
      <c r="I560" s="24" t="str">
        <f aca="false">IF(OR(E560="",E560="!!!",F560="NEW"),"",INDEX(B$2:B559,-1+SUMPRODUCT(MAX(ROW(E$2:E559)*(E560=E$2:E559)))))</f>
        <v/>
      </c>
      <c r="J560" s="24" t="str">
        <f aca="true">IF(OR(E560="",E560="!!!",F560="NEW"),"",COUNTBLANK(OFFSET(A$1,,,SUMPRODUCT(MAX(ROW(E$2:E560)*(E560=E$2:E560)))))-COUNTBLANK(OFFSET(A$1,,,SUMPRODUCT(MAX(ROW(E$1:E559)*(E2=E$1:E559))))))</f>
        <v/>
      </c>
      <c r="K560" s="24" t="str">
        <f aca="false">IF(OR(E560="",E560="!!!",F560="NEW"),"",INDEX(J$1:J559,SUMPRODUCT(MAX(ROW(E$1:E559)*(E560=E$1:E559)))))</f>
        <v/>
      </c>
      <c r="L560" s="25"/>
    </row>
    <row r="561" customFormat="false" ht="14.25" hidden="false" customHeight="false" outlineLevel="0" collapsed="false">
      <c r="A561" s="0" t="s">
        <v>101</v>
      </c>
      <c r="E561" s="20" t="str">
        <f aca="false">IF(D561="?OLD","!!!","")</f>
        <v/>
      </c>
      <c r="F561" s="21" t="str">
        <f aca="false">IF(OR(E561="",E561="!!!"),"",IF(NOT(ISNA(VLOOKUP(E561,E$1:E560,1,FALSE()))),"OLD",IF(AND(E561&lt;&gt;"",E561&lt;&gt;"!!!"),"NEW","")))</f>
        <v/>
      </c>
      <c r="G561" s="22" t="str">
        <f aca="false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aca="false">IF(J561&lt;&gt;1,"",IF(I561="SBJ","CB","?"))</f>
        <v/>
      </c>
      <c r="I561" s="24" t="str">
        <f aca="false">IF(OR(E561="",E561="!!!",F561="NEW"),"",INDEX(B$2:B560,-1+SUMPRODUCT(MAX(ROW(E$2:E560)*(E561=E$2:E560)))))</f>
        <v/>
      </c>
      <c r="J561" s="24" t="str">
        <f aca="true">IF(OR(E561="",E561="!!!",F561="NEW"),"",COUNTBLANK(OFFSET(A$1,,,SUMPRODUCT(MAX(ROW(E$2:E561)*(E561=E$2:E561)))))-COUNTBLANK(OFFSET(A$1,,,SUMPRODUCT(MAX(ROW(E$1:E560)*(E2=E$1:E560))))))</f>
        <v/>
      </c>
      <c r="K561" s="24" t="str">
        <f aca="false">IF(OR(E561="",E561="!!!",F561="NEW"),"",INDEX(J$1:J560,SUMPRODUCT(MAX(ROW(E$1:E560)*(E561=E$1:E560)))))</f>
        <v/>
      </c>
      <c r="L561" s="25"/>
    </row>
    <row r="562" customFormat="false" ht="14.25" hidden="false" customHeight="false" outlineLevel="0" collapsed="false">
      <c r="A562" s="0" t="s">
        <v>480</v>
      </c>
      <c r="B562" s="26" t="s">
        <v>258</v>
      </c>
      <c r="C562" s="26" t="s">
        <v>209</v>
      </c>
      <c r="D562" s="26" t="s">
        <v>75</v>
      </c>
      <c r="E562" s="20" t="s">
        <v>474</v>
      </c>
      <c r="F562" s="21" t="s">
        <v>481</v>
      </c>
      <c r="G562" s="22" t="str">
        <f aca="false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?IN_FOCUS</v>
      </c>
      <c r="H562" s="23" t="str">
        <f aca="false">IF(J562&lt;&gt;1,"",IF(I562="SBJ","CB","?"))</f>
        <v/>
      </c>
      <c r="I562" s="24" t="str">
        <f aca="false">IF(OR(E562="",E562="!!!",F562="NEW"),"",INDEX(B$2:B561,-1+SUMPRODUCT(MAX(ROW(E$2:E561)*(E562=E$2:E561)))))</f>
        <v>other_2</v>
      </c>
      <c r="J562" s="24" t="n">
        <f aca="true">IF(OR(E562="",E562="!!!",F562="NEW"),"",COUNTBLANK(OFFSET(A$1,,,SUMPRODUCT(MAX(ROW(E$2:E562)*(E562=E$2:E562)))))-COUNTBLANK(OFFSET(A$1,,,SUMPRODUCT(MAX(ROW(E$1:E561)*(E2=E$1:E561))))))</f>
        <v>0</v>
      </c>
      <c r="K562" s="24" t="str">
        <f aca="false">IF(OR(E562="",E562="!!!",F562="NEW"),"",INDEX(J$1:J561,SUMPRODUCT(MAX(ROW(E$1:E561)*(E562=E$1:E561)))))</f>
        <v/>
      </c>
      <c r="L562" s="27" t="s">
        <v>482</v>
      </c>
    </row>
    <row r="563" customFormat="false" ht="14.25" hidden="false" customHeight="false" outlineLevel="0" collapsed="false">
      <c r="A563" s="0" t="s">
        <v>155</v>
      </c>
      <c r="B563" s="26" t="s">
        <v>307</v>
      </c>
      <c r="C563" s="26" t="s">
        <v>111</v>
      </c>
      <c r="E563" s="20" t="str">
        <f aca="false">IF(D563="?OLD","!!!","")</f>
        <v/>
      </c>
      <c r="F563" s="21" t="str">
        <f aca="false">IF(OR(E563="",E563="!!!"),"",IF(NOT(ISNA(VLOOKUP(E563,E$1:E562,1,FALSE()))),"OLD",IF(AND(E563&lt;&gt;"",E563&lt;&gt;"!!!"),"NEW","")))</f>
        <v/>
      </c>
      <c r="G563" s="22" t="str">
        <f aca="false"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aca="false">IF(J563&lt;&gt;1,"",IF(I563="SBJ","CB","?"))</f>
        <v/>
      </c>
      <c r="I563" s="24" t="str">
        <f aca="false">IF(OR(E563="",E563="!!!",F563="NEW"),"",INDEX(B$2:B562,-1+SUMPRODUCT(MAX(ROW(E$2:E562)*(E563=E$2:E562)))))</f>
        <v/>
      </c>
      <c r="J563" s="24" t="str">
        <f aca="true">IF(OR(E563="",E563="!!!",F563="NEW"),"",COUNTBLANK(OFFSET(A$1,,,SUMPRODUCT(MAX(ROW(E$2:E563)*(E563=E$2:E563)))))-COUNTBLANK(OFFSET(A$1,,,SUMPRODUCT(MAX(ROW(E$1:E562)*(E2=E$1:E562))))))</f>
        <v/>
      </c>
      <c r="K563" s="24" t="str">
        <f aca="false">IF(OR(E563="",E563="!!!",F563="NEW"),"",INDEX(J$1:J562,SUMPRODUCT(MAX(ROW(E$1:E562)*(E563=E$1:E562)))))</f>
        <v/>
      </c>
      <c r="L563" s="25"/>
    </row>
    <row r="564" customFormat="false" ht="14.25" hidden="false" customHeight="false" outlineLevel="0" collapsed="false">
      <c r="A564" s="0" t="s">
        <v>483</v>
      </c>
      <c r="E564" s="20" t="str">
        <f aca="false">IF(D564="?OLD","!!!","")</f>
        <v/>
      </c>
      <c r="F564" s="21" t="str">
        <f aca="false">IF(OR(E564="",E564="!!!"),"",IF(NOT(ISNA(VLOOKUP(E564,E$1:E563,1,FALSE()))),"OLD",IF(AND(E564&lt;&gt;"",E564&lt;&gt;"!!!"),"NEW","")))</f>
        <v/>
      </c>
      <c r="G564" s="22" t="str">
        <f aca="false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aca="false">IF(J564&lt;&gt;1,"",IF(I564="SBJ","CB","?"))</f>
        <v/>
      </c>
      <c r="I564" s="24" t="str">
        <f aca="false">IF(OR(E564="",E564="!!!",F564="NEW"),"",INDEX(B$2:B563,-1+SUMPRODUCT(MAX(ROW(E$2:E563)*(E564=E$2:E563)))))</f>
        <v/>
      </c>
      <c r="J564" s="24" t="str">
        <f aca="true">IF(OR(E564="",E564="!!!",F564="NEW"),"",COUNTBLANK(OFFSET(A$1,,,SUMPRODUCT(MAX(ROW(E$2:E564)*(E564=E$2:E564)))))-COUNTBLANK(OFFSET(A$1,,,SUMPRODUCT(MAX(ROW(E$1:E563)*(E2=E$1:E563))))))</f>
        <v/>
      </c>
      <c r="K564" s="24" t="str">
        <f aca="false">IF(OR(E564="",E564="!!!",F564="NEW"),"",INDEX(J$1:J563,SUMPRODUCT(MAX(ROW(E$1:E563)*(E564=E$1:E563)))))</f>
        <v/>
      </c>
      <c r="L564" s="25"/>
    </row>
    <row r="565" customFormat="false" ht="14.25" hidden="false" customHeight="false" outlineLevel="0" collapsed="false">
      <c r="A565" s="0" t="s">
        <v>484</v>
      </c>
      <c r="B565" s="26" t="s">
        <v>115</v>
      </c>
      <c r="C565" s="26" t="s">
        <v>341</v>
      </c>
      <c r="E565" s="20" t="str">
        <f aca="false">IF(D565="?OLD","!!!","")</f>
        <v/>
      </c>
      <c r="F565" s="21" t="str">
        <f aca="false">IF(OR(E565="",E565="!!!"),"",IF(NOT(ISNA(VLOOKUP(E565,E$1:E564,1,FALSE()))),"OLD",IF(AND(E565&lt;&gt;"",E565&lt;&gt;"!!!"),"NEW","")))</f>
        <v/>
      </c>
      <c r="G565" s="22" t="str">
        <f aca="false"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aca="false">IF(J565&lt;&gt;1,"",IF(I565="SBJ","CB","?"))</f>
        <v/>
      </c>
      <c r="I565" s="24" t="str">
        <f aca="false">IF(OR(E565="",E565="!!!",F565="NEW"),"",INDEX(B$2:B564,-1+SUMPRODUCT(MAX(ROW(E$2:E564)*(E565=E$2:E564)))))</f>
        <v/>
      </c>
      <c r="J565" s="24" t="str">
        <f aca="true">IF(OR(E565="",E565="!!!",F565="NEW"),"",COUNTBLANK(OFFSET(A$1,,,SUMPRODUCT(MAX(ROW(E$2:E565)*(E565=E$2:E565)))))-COUNTBLANK(OFFSET(A$1,,,SUMPRODUCT(MAX(ROW(E$1:E564)*(E2=E$1:E564))))))</f>
        <v/>
      </c>
      <c r="K565" s="24" t="str">
        <f aca="false">IF(OR(E565="",E565="!!!",F565="NEW"),"",INDEX(J$1:J564,SUMPRODUCT(MAX(ROW(E$1:E564)*(E565=E$1:E564)))))</f>
        <v/>
      </c>
      <c r="L565" s="25"/>
    </row>
    <row r="566" customFormat="false" ht="14.25" hidden="false" customHeight="false" outlineLevel="0" collapsed="false">
      <c r="A566" s="0" t="s">
        <v>79</v>
      </c>
      <c r="E566" s="20" t="str">
        <f aca="false">IF(D566="?OLD","!!!","")</f>
        <v/>
      </c>
      <c r="F566" s="21" t="str">
        <f aca="false">IF(OR(E566="",E566="!!!"),"",IF(NOT(ISNA(VLOOKUP(E566,E$1:E565,1,FALSE()))),"OLD",IF(AND(E566&lt;&gt;"",E566&lt;&gt;"!!!"),"NEW","")))</f>
        <v/>
      </c>
      <c r="G566" s="22" t="str">
        <f aca="false"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aca="false">IF(J566&lt;&gt;1,"",IF(I566="SBJ","CB","?"))</f>
        <v/>
      </c>
      <c r="I566" s="24" t="str">
        <f aca="false">IF(OR(E566="",E566="!!!",F566="NEW"),"",INDEX(B$2:B565,-1+SUMPRODUCT(MAX(ROW(E$2:E565)*(E566=E$2:E565)))))</f>
        <v/>
      </c>
      <c r="J566" s="24" t="str">
        <f aca="true">IF(OR(E566="",E566="!!!",F566="NEW"),"",COUNTBLANK(OFFSET(A$1,,,SUMPRODUCT(MAX(ROW(E$2:E566)*(E566=E$2:E566)))))-COUNTBLANK(OFFSET(A$1,,,SUMPRODUCT(MAX(ROW(E$1:E565)*(E2=E$1:E565))))))</f>
        <v/>
      </c>
      <c r="K566" s="24" t="str">
        <f aca="false">IF(OR(E566="",E566="!!!",F566="NEW"),"",INDEX(J$1:J565,SUMPRODUCT(MAX(ROW(E$1:E565)*(E566=E$1:E565)))))</f>
        <v/>
      </c>
      <c r="L566" s="25"/>
    </row>
    <row r="567" customFormat="false" ht="14.25" hidden="false" customHeight="false" outlineLevel="0" collapsed="false">
      <c r="A567" s="0" t="s">
        <v>485</v>
      </c>
      <c r="E567" s="20" t="s">
        <v>471</v>
      </c>
      <c r="F567" s="21" t="str">
        <f aca="false">IF(OR(E567="",E567="!!!"),"",IF(NOT(ISNA(VLOOKUP(E567,E$1:E566,1,FALSE()))),"OLD",IF(AND(E567&lt;&gt;"",E567&lt;&gt;"!!!"),"NEW","")))</f>
        <v>OLD</v>
      </c>
      <c r="G567" s="22" t="str">
        <f aca="false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?IN_FOCUS</v>
      </c>
      <c r="H567" s="23" t="str">
        <f aca="false">IF(J567&lt;&gt;1,"",IF(I567="SBJ","CB","?"))</f>
        <v/>
      </c>
      <c r="I567" s="28" t="str">
        <f aca="false">IF(OR(E567="",E567="!!!",F567="NEW"),"",INDEX(B$2:B566,-1+SUMPRODUCT(MAX(ROW(E$2:E566)*(E567=E$2:E566)))))</f>
        <v>other_4</v>
      </c>
      <c r="J567" s="28" t="n">
        <f aca="true">IF(OR(E567="",E567="!!!",F567="NEW"),"",COUNTBLANK(OFFSET(A$1,,,SUMPRODUCT(MAX(ROW(E$2:E567)*(E567=E$2:E567)))))-COUNTBLANK(OFFSET(A$1,,,SUMPRODUCT(MAX(ROW(E$1:E566)*(E2=E$1:E566))))))</f>
        <v>0</v>
      </c>
      <c r="K567" s="24" t="str">
        <f aca="false">IF(OR(E567="",E567="!!!",F567="NEW"),"",INDEX(J$1:J566,SUMPRODUCT(MAX(ROW(E$1:E566)*(E567=E$1:E566)))))</f>
        <v/>
      </c>
      <c r="L567" s="27" t="s">
        <v>486</v>
      </c>
    </row>
    <row r="568" customFormat="false" ht="14.25" hidden="false" customHeight="false" outlineLevel="0" collapsed="false">
      <c r="A568" s="0" t="s">
        <v>487</v>
      </c>
      <c r="B568" s="26" t="s">
        <v>115</v>
      </c>
      <c r="C568" s="26" t="s">
        <v>488</v>
      </c>
      <c r="E568" s="20" t="str">
        <f aca="false">IF(D568="?OLD","!!!","")</f>
        <v/>
      </c>
      <c r="F568" s="21" t="str">
        <f aca="false">IF(OR(E568="",E568="!!!"),"",IF(NOT(ISNA(VLOOKUP(E568,E$1:E567,1,FALSE()))),"OLD",IF(AND(E568&lt;&gt;"",E568&lt;&gt;"!!!"),"NEW","")))</f>
        <v/>
      </c>
      <c r="G568" s="22" t="str">
        <f aca="false"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aca="false">IF(J568&lt;&gt;1,"",IF(I568="SBJ","CB","?"))</f>
        <v/>
      </c>
      <c r="I568" s="24" t="str">
        <f aca="false">IF(OR(E568="",E568="!!!",F568="NEW"),"",INDEX(B$2:B567,-1+SUMPRODUCT(MAX(ROW(E$2:E567)*(E568=E$2:E567)))))</f>
        <v/>
      </c>
      <c r="J568" s="24" t="str">
        <f aca="true">IF(OR(E568="",E568="!!!",F568="NEW"),"",COUNTBLANK(OFFSET(A$1,,,SUMPRODUCT(MAX(ROW(E$2:E568)*(E568=E$2:E568)))))-COUNTBLANK(OFFSET(A$1,,,SUMPRODUCT(MAX(ROW(E$1:E567)*(E2=E$1:E567))))))</f>
        <v/>
      </c>
      <c r="K568" s="24" t="str">
        <f aca="false">IF(OR(E568="",E568="!!!",F568="NEW"),"",INDEX(J$1:J567,SUMPRODUCT(MAX(ROW(E$1:E567)*(E568=E$1:E567)))))</f>
        <v/>
      </c>
      <c r="L568" s="25"/>
    </row>
    <row r="569" customFormat="false" ht="14.25" hidden="false" customHeight="false" outlineLevel="0" collapsed="false">
      <c r="A569" s="0" t="s">
        <v>489</v>
      </c>
      <c r="E569" s="20" t="str">
        <f aca="false">IF(D569="?OLD","!!!","")</f>
        <v/>
      </c>
      <c r="F569" s="21" t="str">
        <f aca="false">IF(OR(E569="",E569="!!!"),"",IF(NOT(ISNA(VLOOKUP(E569,E$1:E568,1,FALSE()))),"OLD",IF(AND(E569&lt;&gt;"",E569&lt;&gt;"!!!"),"NEW","")))</f>
        <v/>
      </c>
      <c r="G569" s="22" t="str">
        <f aca="false"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aca="false">IF(J569&lt;&gt;1,"",IF(I569="SBJ","CB","?"))</f>
        <v/>
      </c>
      <c r="I569" s="24" t="str">
        <f aca="false">IF(OR(E569="",E569="!!!",F569="NEW"),"",INDEX(B$2:B568,-1+SUMPRODUCT(MAX(ROW(E$2:E568)*(E569=E$2:E568)))))</f>
        <v/>
      </c>
      <c r="J569" s="24" t="str">
        <f aca="true">IF(OR(E569="",E569="!!!",F569="NEW"),"",COUNTBLANK(OFFSET(A$1,,,SUMPRODUCT(MAX(ROW(E$2:E569)*(E569=E$2:E569)))))-COUNTBLANK(OFFSET(A$1,,,SUMPRODUCT(MAX(ROW(E$1:E568)*(E2=E$1:E568))))))</f>
        <v/>
      </c>
      <c r="K569" s="24" t="str">
        <f aca="false">IF(OR(E569="",E569="!!!",F569="NEW"),"",INDEX(J$1:J568,SUMPRODUCT(MAX(ROW(E$1:E568)*(E569=E$1:E568)))))</f>
        <v/>
      </c>
      <c r="L569" s="25"/>
    </row>
    <row r="570" customFormat="false" ht="14.25" hidden="false" customHeight="false" outlineLevel="0" collapsed="false">
      <c r="A570" s="0" t="s">
        <v>86</v>
      </c>
      <c r="E570" s="20" t="str">
        <f aca="false">IF(D570="?OLD","!!!","")</f>
        <v/>
      </c>
      <c r="F570" s="21" t="str">
        <f aca="false">IF(OR(E570="",E570="!!!"),"",IF(NOT(ISNA(VLOOKUP(E570,E$1:E569,1,FALSE()))),"OLD",IF(AND(E570&lt;&gt;"",E570&lt;&gt;"!!!"),"NEW","")))</f>
        <v/>
      </c>
      <c r="G570" s="22" t="str">
        <f aca="false"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aca="false">IF(J570&lt;&gt;1,"",IF(I570="SBJ","CB","?"))</f>
        <v/>
      </c>
      <c r="I570" s="24" t="str">
        <f aca="false">IF(OR(E570="",E570="!!!",F570="NEW"),"",INDEX(B$2:B569,-1+SUMPRODUCT(MAX(ROW(E$2:E569)*(E570=E$2:E569)))))</f>
        <v/>
      </c>
      <c r="J570" s="24" t="str">
        <f aca="true">IF(OR(E570="",E570="!!!",F570="NEW"),"",COUNTBLANK(OFFSET(A$1,,,SUMPRODUCT(MAX(ROW(E$2:E570)*(E570=E$2:E570)))))-COUNTBLANK(OFFSET(A$1,,,SUMPRODUCT(MAX(ROW(E$1:E569)*(E2=E$1:E569))))))</f>
        <v/>
      </c>
      <c r="K570" s="24" t="str">
        <f aca="false">IF(OR(E570="",E570="!!!",F570="NEW"),"",INDEX(J$1:J569,SUMPRODUCT(MAX(ROW(E$1:E569)*(E570=E$1:E569)))))</f>
        <v/>
      </c>
      <c r="L570" s="25"/>
    </row>
    <row r="571" customFormat="false" ht="14.25" hidden="false" customHeight="false" outlineLevel="0" collapsed="false">
      <c r="A571" s="0" t="s">
        <v>322</v>
      </c>
      <c r="E571" s="20" t="str">
        <f aca="false">IF(D571="?OLD","!!!","")</f>
        <v/>
      </c>
      <c r="F571" s="21" t="str">
        <f aca="false">IF(OR(E571="",E571="!!!"),"",IF(NOT(ISNA(VLOOKUP(E571,E$1:E570,1,FALSE()))),"OLD",IF(AND(E571&lt;&gt;"",E571&lt;&gt;"!!!"),"NEW","")))</f>
        <v/>
      </c>
      <c r="G571" s="22" t="str">
        <f aca="false"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aca="false">IF(J571&lt;&gt;1,"",IF(I571="SBJ","CB","?"))</f>
        <v/>
      </c>
      <c r="I571" s="24" t="str">
        <f aca="false">IF(OR(E571="",E571="!!!",F571="NEW"),"",INDEX(B$2:B570,-1+SUMPRODUCT(MAX(ROW(E$2:E570)*(E571=E$2:E570)))))</f>
        <v/>
      </c>
      <c r="J571" s="24" t="str">
        <f aca="true">IF(OR(E571="",E571="!!!",F571="NEW"),"",COUNTBLANK(OFFSET(A$1,,,SUMPRODUCT(MAX(ROW(E$2:E571)*(E571=E$2:E571)))))-COUNTBLANK(OFFSET(A$1,,,SUMPRODUCT(MAX(ROW(E$1:E570)*(E2=E$1:E570))))))</f>
        <v/>
      </c>
      <c r="K571" s="24" t="str">
        <f aca="false">IF(OR(E571="",E571="!!!",F571="NEW"),"",INDEX(J$1:J570,SUMPRODUCT(MAX(ROW(E$1:E570)*(E571=E$1:E570)))))</f>
        <v/>
      </c>
      <c r="L571" s="25"/>
    </row>
    <row r="572" customFormat="false" ht="14.25" hidden="false" customHeight="false" outlineLevel="0" collapsed="false">
      <c r="A572" s="0" t="s">
        <v>490</v>
      </c>
      <c r="E572" s="20" t="str">
        <f aca="false">IF(D572="?OLD","!!!","")</f>
        <v/>
      </c>
      <c r="F572" s="21" t="str">
        <f aca="false">IF(OR(E572="",E572="!!!"),"",IF(NOT(ISNA(VLOOKUP(E572,E$1:E571,1,FALSE()))),"OLD",IF(AND(E572&lt;&gt;"",E572&lt;&gt;"!!!"),"NEW","")))</f>
        <v/>
      </c>
      <c r="G572" s="22" t="str">
        <f aca="false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aca="false">IF(J572&lt;&gt;1,"",IF(I572="SBJ","CB","?"))</f>
        <v/>
      </c>
      <c r="I572" s="24" t="str">
        <f aca="false">IF(OR(E572="",E572="!!!",F572="NEW"),"",INDEX(B$2:B571,-1+SUMPRODUCT(MAX(ROW(E$2:E571)*(E572=E$2:E571)))))</f>
        <v/>
      </c>
      <c r="J572" s="24" t="str">
        <f aca="true">IF(OR(E572="",E572="!!!",F572="NEW"),"",COUNTBLANK(OFFSET(A$1,,,SUMPRODUCT(MAX(ROW(E$2:E572)*(E572=E$2:E572)))))-COUNTBLANK(OFFSET(A$1,,,SUMPRODUCT(MAX(ROW(E$1:E571)*(E2=E$1:E571))))))</f>
        <v/>
      </c>
      <c r="K572" s="24" t="str">
        <f aca="false">IF(OR(E572="",E572="!!!",F572="NEW"),"",INDEX(J$1:J571,SUMPRODUCT(MAX(ROW(E$1:E571)*(E572=E$1:E571)))))</f>
        <v/>
      </c>
      <c r="L572" s="25"/>
    </row>
    <row r="573" customFormat="false" ht="14.25" hidden="false" customHeight="false" outlineLevel="0" collapsed="false">
      <c r="A573" s="0" t="s">
        <v>470</v>
      </c>
      <c r="B573" s="26" t="s">
        <v>258</v>
      </c>
      <c r="C573" s="26" t="s">
        <v>119</v>
      </c>
      <c r="E573" s="20" t="s">
        <v>491</v>
      </c>
      <c r="F573" s="21" t="str">
        <f aca="false">IF(OR(E573="",E573="!!!"),"",IF(NOT(ISNA(VLOOKUP(E573,E$1:E572,1,FALSE()))),"OLD",IF(AND(E573&lt;&gt;"",E573&lt;&gt;"!!!"),"NEW","")))</f>
        <v>NEW</v>
      </c>
      <c r="G573" s="22" t="s">
        <v>492</v>
      </c>
      <c r="H573" s="23" t="str">
        <f aca="false">IF(J573&lt;&gt;1,"",IF(I573="SBJ","CB","?"))</f>
        <v/>
      </c>
      <c r="I573" s="24" t="str">
        <f aca="false">IF(OR(E573="",E573="!!!",F573="NEW"),"",INDEX(B$2:B572,-1+SUMPRODUCT(MAX(ROW(E$2:E572)*(E573=E$2:E572)))))</f>
        <v/>
      </c>
      <c r="J573" s="24" t="str">
        <f aca="true">IF(OR(E573="",E573="!!!",F573="NEW"),"",COUNTBLANK(OFFSET(A$1,,,SUMPRODUCT(MAX(ROW(E$2:E573)*(E573=E$2:E573)))))-COUNTBLANK(OFFSET(A$1,,,SUMPRODUCT(MAX(ROW(E$1:E572)*(E2=E$1:E572))))))</f>
        <v/>
      </c>
      <c r="K573" s="24" t="str">
        <f aca="false">IF(OR(E573="",E573="!!!",F573="NEW"),"",INDEX(J$1:J572,SUMPRODUCT(MAX(ROW(E$1:E572)*(E573=E$1:E572)))))</f>
        <v/>
      </c>
      <c r="L573" s="27" t="s">
        <v>493</v>
      </c>
    </row>
    <row r="574" customFormat="false" ht="14.25" hidden="false" customHeight="false" outlineLevel="0" collapsed="false">
      <c r="A574" s="0" t="s">
        <v>467</v>
      </c>
      <c r="E574" s="20" t="str">
        <f aca="false">IF(D574="?OLD","!!!","")</f>
        <v/>
      </c>
      <c r="F574" s="21" t="str">
        <f aca="false">IF(OR(E574="",E574="!!!"),"",IF(NOT(ISNA(VLOOKUP(E574,E$1:E573,1,FALSE()))),"OLD",IF(AND(E574&lt;&gt;"",E574&lt;&gt;"!!!"),"NEW","")))</f>
        <v/>
      </c>
      <c r="G574" s="22" t="str">
        <f aca="false"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aca="false">IF(J574&lt;&gt;1,"",IF(I574="SBJ","CB","?"))</f>
        <v/>
      </c>
      <c r="I574" s="24" t="str">
        <f aca="false">IF(OR(E574="",E574="!!!",F574="NEW"),"",INDEX(B$2:B573,-1+SUMPRODUCT(MAX(ROW(E$2:E573)*(E574=E$2:E573)))))</f>
        <v/>
      </c>
      <c r="J574" s="24" t="str">
        <f aca="true">IF(OR(E574="",E574="!!!",F574="NEW"),"",COUNTBLANK(OFFSET(A$1,,,SUMPRODUCT(MAX(ROW(E$2:E574)*(E574=E$2:E574)))))-COUNTBLANK(OFFSET(A$1,,,SUMPRODUCT(MAX(ROW(E$1:E573)*(E2=E$1:E573))))))</f>
        <v/>
      </c>
      <c r="K574" s="24" t="str">
        <f aca="false">IF(OR(E574="",E574="!!!",F574="NEW"),"",INDEX(J$1:J573,SUMPRODUCT(MAX(ROW(E$1:E573)*(E574=E$1:E573)))))</f>
        <v/>
      </c>
      <c r="L574" s="25"/>
    </row>
    <row r="575" customFormat="false" ht="14.25" hidden="false" customHeight="false" outlineLevel="0" collapsed="false">
      <c r="A575" s="0" t="s">
        <v>365</v>
      </c>
      <c r="B575" s="26" t="s">
        <v>419</v>
      </c>
      <c r="C575" s="26" t="s">
        <v>283</v>
      </c>
      <c r="D575" s="26" t="s">
        <v>75</v>
      </c>
      <c r="E575" s="20" t="s">
        <v>366</v>
      </c>
      <c r="F575" s="21" t="str">
        <f aca="false">IF(OR(E575="",E575="!!!"),"",IF(NOT(ISNA(VLOOKUP(E575,E$1:E574,1,FALSE()))),"OLD",IF(AND(E575&lt;&gt;"",E575&lt;&gt;"!!!"),"NEW","")))</f>
        <v>OLD</v>
      </c>
      <c r="G575" s="22" t="str">
        <f aca="false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?IN_FOCUS</v>
      </c>
      <c r="H575" s="23" t="str">
        <f aca="false">IF(J575&lt;&gt;1,"",IF(I575="SBJ","CB","?"))</f>
        <v/>
      </c>
      <c r="I575" s="24" t="str">
        <f aca="false">IF(OR(E575="",E575="!!!",F575="NEW"),"",INDEX(B$2:B574,-1+SUMPRODUCT(MAX(ROW(E$2:E574)*(E575=E$2:E574)))))</f>
        <v>SBJ_7</v>
      </c>
      <c r="J575" s="24" t="n">
        <f aca="true">IF(OR(E575="",E575="!!!",F575="NEW"),"",COUNTBLANK(OFFSET(A$1,,,SUMPRODUCT(MAX(ROW(E$2:E575)*(E575=E$2:E575)))))-COUNTBLANK(OFFSET(A$1,,,SUMPRODUCT(MAX(ROW(E$1:E574)*(E2=E$1:E574))))))</f>
        <v>0</v>
      </c>
      <c r="K575" s="24" t="n">
        <f aca="false">IF(OR(E575="",E575="!!!",F575="NEW"),"",INDEX(J$1:J574,SUMPRODUCT(MAX(ROW(E$1:E574)*(E575=E$1:E574)))))</f>
        <v>0</v>
      </c>
      <c r="L575" s="25"/>
    </row>
    <row r="576" customFormat="false" ht="14.25" hidden="false" customHeight="false" outlineLevel="0" collapsed="false">
      <c r="A576" s="0" t="s">
        <v>200</v>
      </c>
      <c r="E576" s="20" t="str">
        <f aca="false">IF(D576="?OLD","!!!","")</f>
        <v/>
      </c>
      <c r="F576" s="21" t="str">
        <f aca="false">IF(OR(E576="",E576="!!!"),"",IF(NOT(ISNA(VLOOKUP(E576,E$1:E575,1,FALSE()))),"OLD",IF(AND(E576&lt;&gt;"",E576&lt;&gt;"!!!"),"NEW","")))</f>
        <v/>
      </c>
      <c r="G576" s="22" t="str">
        <f aca="false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aca="false">IF(J576&lt;&gt;1,"",IF(I576="SBJ","CB","?"))</f>
        <v/>
      </c>
      <c r="I576" s="24" t="str">
        <f aca="false">IF(OR(E576="",E576="!!!",F576="NEW"),"",INDEX(B$2:B575,-1+SUMPRODUCT(MAX(ROW(E$2:E575)*(E576=E$2:E575)))))</f>
        <v/>
      </c>
      <c r="J576" s="24" t="str">
        <f aca="true">IF(OR(E576="",E576="!!!",F576="NEW"),"",COUNTBLANK(OFFSET(A$1,,,SUMPRODUCT(MAX(ROW(E$2:E576)*(E576=E$2:E576)))))-COUNTBLANK(OFFSET(A$1,,,SUMPRODUCT(MAX(ROW(E$1:E575)*(E2=E$1:E575))))))</f>
        <v/>
      </c>
      <c r="K576" s="24" t="str">
        <f aca="false">IF(OR(E576="",E576="!!!",F576="NEW"),"",INDEX(J$1:J575,SUMPRODUCT(MAX(ROW(E$1:E575)*(E576=E$1:E575)))))</f>
        <v/>
      </c>
      <c r="L576" s="25"/>
    </row>
    <row r="577" customFormat="false" ht="14.25" hidden="false" customHeight="false" outlineLevel="0" collapsed="false">
      <c r="A577" s="0" t="s">
        <v>136</v>
      </c>
      <c r="E577" s="20" t="str">
        <f aca="false">IF(D577="?OLD","!!!","")</f>
        <v/>
      </c>
      <c r="F577" s="21" t="str">
        <f aca="false">IF(OR(E577="",E577="!!!"),"",IF(NOT(ISNA(VLOOKUP(E577,E$1:E576,1,FALSE()))),"OLD",IF(AND(E577&lt;&gt;"",E577&lt;&gt;"!!!"),"NEW","")))</f>
        <v/>
      </c>
      <c r="G577" s="22" t="str">
        <f aca="false"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aca="false">IF(J577&lt;&gt;1,"",IF(I577="SBJ","CB","?"))</f>
        <v/>
      </c>
      <c r="I577" s="24" t="str">
        <f aca="false">IF(OR(E577="",E577="!!!",F577="NEW"),"",INDEX(B$2:B576,-1+SUMPRODUCT(MAX(ROW(E$2:E576)*(E577=E$2:E576)))))</f>
        <v/>
      </c>
      <c r="J577" s="24" t="str">
        <f aca="true">IF(OR(E577="",E577="!!!",F577="NEW"),"",COUNTBLANK(OFFSET(A$1,,,SUMPRODUCT(MAX(ROW(E$2:E577)*(E577=E$2:E577)))))-COUNTBLANK(OFFSET(A$1,,,SUMPRODUCT(MAX(ROW(E$1:E576)*(E2=E$1:E576))))))</f>
        <v/>
      </c>
      <c r="K577" s="24" t="str">
        <f aca="false">IF(OR(E577="",E577="!!!",F577="NEW"),"",INDEX(J$1:J576,SUMPRODUCT(MAX(ROW(E$1:E576)*(E577=E$1:E576)))))</f>
        <v/>
      </c>
      <c r="L577" s="25"/>
    </row>
    <row r="578" customFormat="false" ht="14.25" hidden="false" customHeight="false" outlineLevel="0" collapsed="false">
      <c r="A578" s="0" t="s">
        <v>494</v>
      </c>
      <c r="B578" s="26" t="s">
        <v>307</v>
      </c>
      <c r="C578" s="26" t="s">
        <v>74</v>
      </c>
      <c r="D578" s="26" t="s">
        <v>75</v>
      </c>
      <c r="E578" s="20" t="s">
        <v>495</v>
      </c>
      <c r="F578" s="21" t="s">
        <v>107</v>
      </c>
      <c r="G578" s="22" t="e">
        <f aca="false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#VALUE!</v>
      </c>
      <c r="H578" s="23" t="str">
        <f aca="false">IF(J578&lt;&gt;1,"",IF(I578="SBJ","CB","?"))</f>
        <v/>
      </c>
      <c r="I578" s="24" t="e">
        <f aca="false">IF(OR(E578="",E578="!!!",F578="NEW"),"",INDEX(B$2:B577,-1+SUMPRODUCT(MAX(ROW(E$2:E577)*(E578=E$2:E577)))))</f>
        <v>#VALUE!</v>
      </c>
      <c r="J578" s="24" t="n">
        <f aca="true">IF(OR(E578="",E578="!!!",F578="NEW"),"",COUNTBLANK(OFFSET(A$1,,,SUMPRODUCT(MAX(ROW(E$2:E578)*(E578=E$2:E578)))))-COUNTBLANK(OFFSET(A$1,,,SUMPRODUCT(MAX(ROW(E$1:E577)*(E2=E$1:E577))))))</f>
        <v>0</v>
      </c>
      <c r="K578" s="24" t="e">
        <f aca="false">IF(OR(E578="",E578="!!!",F578="NEW"),"",INDEX(J$1:J577,SUMPRODUCT(MAX(ROW(E$1:E577)*(E578=E$1:E577)))))</f>
        <v>#VALUE!</v>
      </c>
      <c r="L578" s="27" t="s">
        <v>496</v>
      </c>
    </row>
    <row r="579" customFormat="false" ht="14.25" hidden="false" customHeight="false" outlineLevel="0" collapsed="false">
      <c r="A579" s="0" t="s">
        <v>497</v>
      </c>
      <c r="E579" s="20" t="str">
        <f aca="false">IF(D579="?OLD","!!!","")</f>
        <v/>
      </c>
      <c r="F579" s="21" t="str">
        <f aca="false">IF(OR(E579="",E579="!!!"),"",IF(NOT(ISNA(VLOOKUP(E579,E$1:E578,1,FALSE()))),"OLD",IF(AND(E579&lt;&gt;"",E579&lt;&gt;"!!!"),"NEW","")))</f>
        <v/>
      </c>
      <c r="G579" s="22" t="str">
        <f aca="false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aca="false">IF(J579&lt;&gt;1,"",IF(I579="SBJ","CB","?"))</f>
        <v/>
      </c>
      <c r="I579" s="24" t="str">
        <f aca="false">IF(OR(E579="",E579="!!!",F579="NEW"),"",INDEX(B$2:B578,-1+SUMPRODUCT(MAX(ROW(E$2:E578)*(E579=E$2:E578)))))</f>
        <v/>
      </c>
      <c r="J579" s="24" t="str">
        <f aca="true">IF(OR(E579="",E579="!!!",F579="NEW"),"",COUNTBLANK(OFFSET(A$1,,,SUMPRODUCT(MAX(ROW(E$2:E579)*(E579=E$2:E579)))))-COUNTBLANK(OFFSET(A$1,,,SUMPRODUCT(MAX(ROW(E$1:E578)*(E2=E$1:E578))))))</f>
        <v/>
      </c>
      <c r="K579" s="24" t="str">
        <f aca="false">IF(OR(E579="",E579="!!!",F579="NEW"),"",INDEX(J$1:J578,SUMPRODUCT(MAX(ROW(E$1:E578)*(E579=E$1:E578)))))</f>
        <v/>
      </c>
      <c r="L579" s="25"/>
    </row>
    <row r="580" customFormat="false" ht="14.25" hidden="false" customHeight="false" outlineLevel="0" collapsed="false">
      <c r="A580" s="0" t="s">
        <v>200</v>
      </c>
      <c r="E580" s="20" t="str">
        <f aca="false">IF(D580="?OLD","!!!","")</f>
        <v/>
      </c>
      <c r="F580" s="21" t="str">
        <f aca="false">IF(OR(E580="",E580="!!!"),"",IF(NOT(ISNA(VLOOKUP(E580,E$1:E579,1,FALSE()))),"OLD",IF(AND(E580&lt;&gt;"",E580&lt;&gt;"!!!"),"NEW","")))</f>
        <v/>
      </c>
      <c r="G580" s="22" t="str">
        <f aca="false"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aca="false">IF(J580&lt;&gt;1,"",IF(I580="SBJ","CB","?"))</f>
        <v/>
      </c>
      <c r="I580" s="24" t="str">
        <f aca="false">IF(OR(E580="",E580="!!!",F580="NEW"),"",INDEX(B$2:B579,-1+SUMPRODUCT(MAX(ROW(E$2:E579)*(E580=E$2:E579)))))</f>
        <v/>
      </c>
      <c r="J580" s="24" t="str">
        <f aca="true">IF(OR(E580="",E580="!!!",F580="NEW"),"",COUNTBLANK(OFFSET(A$1,,,SUMPRODUCT(MAX(ROW(E$2:E580)*(E580=E$2:E580)))))-COUNTBLANK(OFFSET(A$1,,,SUMPRODUCT(MAX(ROW(E$1:E579)*(E2=E$1:E579))))))</f>
        <v/>
      </c>
      <c r="K580" s="24" t="str">
        <f aca="false">IF(OR(E580="",E580="!!!",F580="NEW"),"",INDEX(J$1:J579,SUMPRODUCT(MAX(ROW(E$1:E579)*(E580=E$1:E579)))))</f>
        <v/>
      </c>
      <c r="L580" s="25"/>
    </row>
    <row r="581" customFormat="false" ht="14.25" hidden="false" customHeight="false" outlineLevel="0" collapsed="false">
      <c r="A581" s="0" t="s">
        <v>288</v>
      </c>
      <c r="E581" s="20" t="str">
        <f aca="false">IF(D581="?OLD","!!!","")</f>
        <v/>
      </c>
      <c r="F581" s="21" t="str">
        <f aca="false">IF(OR(E581="",E581="!!!"),"",IF(NOT(ISNA(VLOOKUP(E581,E$1:E580,1,FALSE()))),"OLD",IF(AND(E581&lt;&gt;"",E581&lt;&gt;"!!!"),"NEW","")))</f>
        <v/>
      </c>
      <c r="G581" s="22" t="str">
        <f aca="false"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aca="false">IF(J581&lt;&gt;1,"",IF(I581="SBJ","CB","?"))</f>
        <v/>
      </c>
      <c r="I581" s="24" t="str">
        <f aca="false">IF(OR(E581="",E581="!!!",F581="NEW"),"",INDEX(B$2:B580,-1+SUMPRODUCT(MAX(ROW(E$2:E580)*(E581=E$2:E580)))))</f>
        <v/>
      </c>
      <c r="J581" s="24" t="str">
        <f aca="true">IF(OR(E581="",E581="!!!",F581="NEW"),"",COUNTBLANK(OFFSET(A$1,,,SUMPRODUCT(MAX(ROW(E$2:E581)*(E581=E$2:E581)))))-COUNTBLANK(OFFSET(A$1,,,SUMPRODUCT(MAX(ROW(E$1:E580)*(E2=E$1:E580))))))</f>
        <v/>
      </c>
      <c r="K581" s="24" t="str">
        <f aca="false">IF(OR(E581="",E581="!!!",F581="NEW"),"",INDEX(J$1:J580,SUMPRODUCT(MAX(ROW(E$1:E580)*(E581=E$1:E580)))))</f>
        <v/>
      </c>
      <c r="L581" s="25"/>
    </row>
    <row r="582" customFormat="false" ht="14.25" hidden="false" customHeight="false" outlineLevel="0" collapsed="false">
      <c r="A582" s="0" t="s">
        <v>259</v>
      </c>
      <c r="E582" s="20" t="str">
        <f aca="false">IF(D582="?OLD","!!!","")</f>
        <v/>
      </c>
      <c r="F582" s="21" t="str">
        <f aca="false">IF(OR(E582="",E582="!!!"),"",IF(NOT(ISNA(VLOOKUP(E582,E$1:E581,1,FALSE()))),"OLD",IF(AND(E582&lt;&gt;"",E582&lt;&gt;"!!!"),"NEW","")))</f>
        <v/>
      </c>
      <c r="G582" s="22" t="str">
        <f aca="false"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aca="false">IF(J582&lt;&gt;1,"",IF(I582="SBJ","CB","?"))</f>
        <v/>
      </c>
      <c r="I582" s="24" t="str">
        <f aca="false">IF(OR(E582="",E582="!!!",F582="NEW"),"",INDEX(B$2:B581,-1+SUMPRODUCT(MAX(ROW(E$2:E581)*(E582=E$2:E581)))))</f>
        <v/>
      </c>
      <c r="J582" s="24" t="str">
        <f aca="true">IF(OR(E582="",E582="!!!",F582="NEW"),"",COUNTBLANK(OFFSET(A$1,,,SUMPRODUCT(MAX(ROW(E$2:E582)*(E582=E$2:E582)))))-COUNTBLANK(OFFSET(A$1,,,SUMPRODUCT(MAX(ROW(E$1:E581)*(E2=E$1:E581))))))</f>
        <v/>
      </c>
      <c r="K582" s="24" t="str">
        <f aca="false">IF(OR(E582="",E582="!!!",F582="NEW"),"",INDEX(J$1:J581,SUMPRODUCT(MAX(ROW(E$1:E581)*(E582=E$1:E581)))))</f>
        <v/>
      </c>
      <c r="L582" s="25"/>
    </row>
    <row r="583" customFormat="false" ht="14.25" hidden="false" customHeight="false" outlineLevel="0" collapsed="false">
      <c r="A583" s="0" t="s">
        <v>136</v>
      </c>
      <c r="E583" s="20" t="str">
        <f aca="false">IF(D583="?OLD","!!!","")</f>
        <v/>
      </c>
      <c r="F583" s="21" t="str">
        <f aca="false">IF(OR(E583="",E583="!!!"),"",IF(NOT(ISNA(VLOOKUP(E583,E$1:E582,1,FALSE()))),"OLD",IF(AND(E583&lt;&gt;"",E583&lt;&gt;"!!!"),"NEW","")))</f>
        <v/>
      </c>
      <c r="G583" s="22" t="str">
        <f aca="false"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aca="false">IF(J583&lt;&gt;1,"",IF(I583="SBJ","CB","?"))</f>
        <v/>
      </c>
      <c r="I583" s="24" t="str">
        <f aca="false">IF(OR(E583="",E583="!!!",F583="NEW"),"",INDEX(B$2:B582,-1+SUMPRODUCT(MAX(ROW(E$2:E582)*(E583=E$2:E582)))))</f>
        <v/>
      </c>
      <c r="J583" s="24" t="str">
        <f aca="true">IF(OR(E583="",E583="!!!",F583="NEW"),"",COUNTBLANK(OFFSET(A$1,,,SUMPRODUCT(MAX(ROW(E$2:E583)*(E583=E$2:E583)))))-COUNTBLANK(OFFSET(A$1,,,SUMPRODUCT(MAX(ROW(E$1:E582)*(E2=E$1:E582))))))</f>
        <v/>
      </c>
      <c r="K583" s="24" t="str">
        <f aca="false">IF(OR(E583="",E583="!!!",F583="NEW"),"",INDEX(J$1:J582,SUMPRODUCT(MAX(ROW(E$1:E582)*(E583=E$1:E582)))))</f>
        <v/>
      </c>
      <c r="L583" s="25"/>
    </row>
    <row r="584" customFormat="false" ht="14.25" hidden="false" customHeight="false" outlineLevel="0" collapsed="false">
      <c r="A584" s="0" t="s">
        <v>494</v>
      </c>
      <c r="B584" s="26" t="s">
        <v>307</v>
      </c>
      <c r="C584" s="26" t="s">
        <v>74</v>
      </c>
      <c r="D584" s="26" t="s">
        <v>75</v>
      </c>
      <c r="E584" s="20" t="s">
        <v>495</v>
      </c>
      <c r="F584" s="21" t="str">
        <f aca="false">IF(OR(E584="",E584="!!!"),"",IF(NOT(ISNA(VLOOKUP(E584,E$1:E583,1,FALSE()))),"OLD",IF(AND(E584&lt;&gt;"",E584&lt;&gt;"!!!"),"NEW","")))</f>
        <v>OLD</v>
      </c>
      <c r="G584" s="22" t="str">
        <f aca="false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?IN_FOCUS</v>
      </c>
      <c r="H584" s="23" t="str">
        <f aca="false">IF(J584&lt;&gt;1,"",IF(I584="SBJ","CB","?"))</f>
        <v/>
      </c>
      <c r="I584" s="24" t="str">
        <f aca="false">IF(OR(E584="",E584="!!!",F584="NEW"),"",INDEX(B$2:B583,-1+SUMPRODUCT(MAX(ROW(E$2:E583)*(E584=E$2:E583)))))</f>
        <v>other_5</v>
      </c>
      <c r="J584" s="24" t="n">
        <f aca="true">IF(OR(E584="",E584="!!!",F584="NEW"),"",COUNTBLANK(OFFSET(A$1,,,SUMPRODUCT(MAX(ROW(E$2:E584)*(E584=E$2:E584)))))-COUNTBLANK(OFFSET(A$1,,,SUMPRODUCT(MAX(ROW(E$1:E583)*(E2=E$1:E583))))))</f>
        <v>0</v>
      </c>
      <c r="K584" s="24" t="n">
        <f aca="false">IF(OR(E584="",E584="!!!",F584="NEW"),"",INDEX(J$1:J583,SUMPRODUCT(MAX(ROW(E$1:E583)*(E584=E$1:E583)))))</f>
        <v>0</v>
      </c>
      <c r="L584" s="25"/>
    </row>
    <row r="585" customFormat="false" ht="14.25" hidden="false" customHeight="false" outlineLevel="0" collapsed="false">
      <c r="A585" s="0" t="s">
        <v>498</v>
      </c>
      <c r="E585" s="20" t="s">
        <v>491</v>
      </c>
      <c r="F585" s="21" t="str">
        <f aca="false">IF(OR(E585="",E585="!!!"),"",IF(NOT(ISNA(VLOOKUP(E585,E$1:E584,1,FALSE()))),"OLD",IF(AND(E585&lt;&gt;"",E585&lt;&gt;"!!!"),"NEW","")))</f>
        <v>OLD</v>
      </c>
      <c r="G585" s="22" t="str">
        <f aca="false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?IN_FOCUS</v>
      </c>
      <c r="H585" s="23" t="str">
        <f aca="false">IF(J585&lt;&gt;1,"",IF(I585="SBJ","CB","?"))</f>
        <v/>
      </c>
      <c r="I585" s="24" t="str">
        <f aca="false">IF(OR(E585="",E585="!!!",F585="NEW"),"",INDEX(B$2:B584,-1+SUMPRODUCT(MAX(ROW(E$2:E584)*(E585=E$2:E584)))))</f>
        <v>SBJ_4</v>
      </c>
      <c r="J585" s="24" t="n">
        <f aca="true">IF(OR(E585="",E585="!!!",F585="NEW"),"",COUNTBLANK(OFFSET(A$1,,,SUMPRODUCT(MAX(ROW(E$2:E585)*(E585=E$2:E585)))))-COUNTBLANK(OFFSET(A$1,,,SUMPRODUCT(MAX(ROW(E$1:E584)*(E2=E$1:E584))))))</f>
        <v>0</v>
      </c>
      <c r="K585" s="24" t="str">
        <f aca="false">IF(OR(E585="",E585="!!!",F585="NEW"),"",INDEX(J$1:J584,SUMPRODUCT(MAX(ROW(E$1:E584)*(E585=E$1:E584)))))</f>
        <v/>
      </c>
      <c r="L585" s="25"/>
    </row>
    <row r="586" customFormat="false" ht="14.25" hidden="false" customHeight="false" outlineLevel="0" collapsed="false">
      <c r="A586" s="0" t="s">
        <v>499</v>
      </c>
      <c r="B586" s="26" t="s">
        <v>410</v>
      </c>
      <c r="C586" s="26" t="s">
        <v>488</v>
      </c>
      <c r="E586" s="20" t="s">
        <v>406</v>
      </c>
      <c r="F586" s="21" t="s">
        <v>273</v>
      </c>
      <c r="G586" s="22" t="str">
        <f aca="false"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?IN_FOCUS</v>
      </c>
      <c r="H586" s="23" t="str">
        <f aca="false">IF(J586&lt;&gt;1,"",IF(I586="SBJ","CB","?"))</f>
        <v/>
      </c>
      <c r="I586" s="24" t="str">
        <f aca="false">IF(OR(E586="",E586="!!!",F586="NEW"),"",INDEX(B$2:B585,-1+SUMPRODUCT(MAX(ROW(E$2:E585)*(E586=E$2:E585)))))</f>
        <v>other_5</v>
      </c>
      <c r="J586" s="24" t="n">
        <f aca="true">IF(OR(E586="",E586="!!!",F586="NEW"),"",COUNTBLANK(OFFSET(A$1,,,SUMPRODUCT(MAX(ROW(E$2:E586)*(E586=E$2:E586)))))-COUNTBLANK(OFFSET(A$1,,,SUMPRODUCT(MAX(ROW(E$1:E585)*(E2=E$1:E585))))))</f>
        <v>0</v>
      </c>
      <c r="K586" s="24" t="n">
        <f aca="false">IF(OR(E586="",E586="!!!",F586="NEW"),"",INDEX(J$1:J585,SUMPRODUCT(MAX(ROW(E$1:E585)*(E586=E$1:E585)))))</f>
        <v>0</v>
      </c>
      <c r="L586" s="27" t="s">
        <v>338</v>
      </c>
    </row>
    <row r="587" customFormat="false" ht="14.25" hidden="false" customHeight="false" outlineLevel="0" collapsed="false">
      <c r="A587" s="0" t="s">
        <v>86</v>
      </c>
      <c r="E587" s="20" t="str">
        <f aca="false">IF(D587="?OLD","!!!","")</f>
        <v/>
      </c>
      <c r="F587" s="21" t="str">
        <f aca="false">IF(OR(E587="",E587="!!!"),"",IF(NOT(ISNA(VLOOKUP(E587,E$1:E586,1,FALSE()))),"OLD",IF(AND(E587&lt;&gt;"",E587&lt;&gt;"!!!"),"NEW","")))</f>
        <v/>
      </c>
      <c r="G587" s="22" t="str">
        <f aca="false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aca="false">IF(J587&lt;&gt;1,"",IF(I587="SBJ","CB","?"))</f>
        <v/>
      </c>
      <c r="I587" s="24" t="str">
        <f aca="false">IF(OR(E587="",E587="!!!",F587="NEW"),"",INDEX(B$2:B586,-1+SUMPRODUCT(MAX(ROW(E$2:E586)*(E587=E$2:E586)))))</f>
        <v/>
      </c>
      <c r="J587" s="24" t="str">
        <f aca="true">IF(OR(E587="",E587="!!!",F587="NEW"),"",COUNTBLANK(OFFSET(A$1,,,SUMPRODUCT(MAX(ROW(E$2:E587)*(E587=E$2:E587)))))-COUNTBLANK(OFFSET(A$1,,,SUMPRODUCT(MAX(ROW(E$1:E586)*(E2=E$1:E586))))))</f>
        <v/>
      </c>
      <c r="K587" s="24" t="str">
        <f aca="false">IF(OR(E587="",E587="!!!",F587="NEW"),"",INDEX(J$1:J586,SUMPRODUCT(MAX(ROW(E$1:E586)*(E587=E$1:E586)))))</f>
        <v/>
      </c>
      <c r="L587" s="25"/>
    </row>
    <row r="588" customFormat="false" ht="14.25" hidden="false" customHeight="false" outlineLevel="0" collapsed="false">
      <c r="A588" s="0" t="s">
        <v>500</v>
      </c>
      <c r="B588" s="26" t="s">
        <v>73</v>
      </c>
      <c r="C588" s="26" t="s">
        <v>283</v>
      </c>
      <c r="D588" s="26" t="s">
        <v>75</v>
      </c>
      <c r="E588" s="20"/>
      <c r="F588" s="21" t="str">
        <f aca="false">IF(OR(E588="",E588="!!!"),"",IF(NOT(ISNA(VLOOKUP(E588,E$1:E587,1,FALSE()))),"OLD",IF(AND(E588&lt;&gt;"",E588&lt;&gt;"!!!"),"NEW","")))</f>
        <v/>
      </c>
      <c r="G588" s="22" t="str">
        <f aca="false"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aca="false">IF(J588&lt;&gt;1,"",IF(I588="SBJ","CB","?"))</f>
        <v/>
      </c>
      <c r="I588" s="24" t="str">
        <f aca="false">IF(OR(E588="",E588="!!!",F588="NEW"),"",INDEX(B$2:B587,-1+SUMPRODUCT(MAX(ROW(E$2:E587)*(E588=E$2:E587)))))</f>
        <v/>
      </c>
      <c r="J588" s="24" t="str">
        <f aca="true">IF(OR(E588="",E588="!!!",F588="NEW"),"",COUNTBLANK(OFFSET(A$1,,,SUMPRODUCT(MAX(ROW(E$2:E588)*(E588=E$2:E588)))))-COUNTBLANK(OFFSET(A$1,,,SUMPRODUCT(MAX(ROW(E$1:E587)*(E2=E$1:E587))))))</f>
        <v/>
      </c>
      <c r="K588" s="24" t="str">
        <f aca="false">IF(OR(E588="",E588="!!!",F588="NEW"),"",INDEX(J$1:J587,SUMPRODUCT(MAX(ROW(E$1:E587)*(E588=E$1:E587)))))</f>
        <v/>
      </c>
      <c r="L588" s="27" t="s">
        <v>134</v>
      </c>
    </row>
    <row r="589" customFormat="false" ht="14.25" hidden="false" customHeight="false" outlineLevel="0" collapsed="false">
      <c r="A589" s="0" t="s">
        <v>136</v>
      </c>
      <c r="E589" s="20" t="str">
        <f aca="false">IF(D589="?OLD","!!!","")</f>
        <v/>
      </c>
      <c r="F589" s="21" t="str">
        <f aca="false">IF(OR(E589="",E589="!!!"),"",IF(NOT(ISNA(VLOOKUP(E589,E$1:E588,1,FALSE()))),"OLD",IF(AND(E589&lt;&gt;"",E589&lt;&gt;"!!!"),"NEW","")))</f>
        <v/>
      </c>
      <c r="G589" s="22" t="str">
        <f aca="false"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aca="false">IF(J589&lt;&gt;1,"",IF(I589="SBJ","CB","?"))</f>
        <v/>
      </c>
      <c r="I589" s="24" t="str">
        <f aca="false">IF(OR(E589="",E589="!!!",F589="NEW"),"",INDEX(B$2:B588,-1+SUMPRODUCT(MAX(ROW(E$2:E588)*(E589=E$2:E588)))))</f>
        <v/>
      </c>
      <c r="J589" s="24" t="str">
        <f aca="true">IF(OR(E589="",E589="!!!",F589="NEW"),"",COUNTBLANK(OFFSET(A$1,,,SUMPRODUCT(MAX(ROW(E$2:E589)*(E589=E$2:E589)))))-COUNTBLANK(OFFSET(A$1,,,SUMPRODUCT(MAX(ROW(E$1:E588)*(E2=E$1:E588))))))</f>
        <v/>
      </c>
      <c r="K589" s="24" t="str">
        <f aca="false">IF(OR(E589="",E589="!!!",F589="NEW"),"",INDEX(J$1:J588,SUMPRODUCT(MAX(ROW(E$1:E588)*(E589=E$1:E588)))))</f>
        <v/>
      </c>
      <c r="L589" s="25"/>
    </row>
    <row r="590" customFormat="false" ht="14.25" hidden="false" customHeight="false" outlineLevel="0" collapsed="false">
      <c r="A590" s="0" t="s">
        <v>459</v>
      </c>
      <c r="B590" s="26" t="s">
        <v>96</v>
      </c>
      <c r="C590" s="26" t="s">
        <v>74</v>
      </c>
      <c r="D590" s="26" t="s">
        <v>75</v>
      </c>
      <c r="E590" s="20" t="s">
        <v>460</v>
      </c>
      <c r="F590" s="21" t="str">
        <f aca="false">IF(OR(E590="",E590="!!!"),"",IF(NOT(ISNA(VLOOKUP(E590,E$1:E589,1,FALSE()))),"OLD",IF(AND(E590&lt;&gt;"",E590&lt;&gt;"!!!"),"NEW","")))</f>
        <v>OLD</v>
      </c>
      <c r="G590" s="22" t="str">
        <f aca="false"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?IN_FOCUS</v>
      </c>
      <c r="H590" s="23" t="str">
        <f aca="false">IF(J590&lt;&gt;1,"",IF(I590="SBJ","CB","?"))</f>
        <v/>
      </c>
      <c r="I590" s="24" t="str">
        <f aca="false">IF(OR(E590="",E590="!!!",F590="NEW"),"",INDEX(B$2:B589,-1+SUMPRODUCT(MAX(ROW(E$2:E589)*(E590=E$2:E589)))))</f>
        <v>other_5</v>
      </c>
      <c r="J590" s="24" t="n">
        <f aca="true">IF(OR(E590="",E590="!!!",F590="NEW"),"",COUNTBLANK(OFFSET(A$1,,,SUMPRODUCT(MAX(ROW(E$2:E590)*(E590=E$2:E590)))))-COUNTBLANK(OFFSET(A$1,,,SUMPRODUCT(MAX(ROW(E$1:E589)*(E2=E$1:E589))))))</f>
        <v>0</v>
      </c>
      <c r="K590" s="24" t="n">
        <f aca="false">IF(OR(E590="",E590="!!!",F590="NEW"),"",INDEX(J$1:J589,SUMPRODUCT(MAX(ROW(E$1:E589)*(E590=E$1:E589)))))</f>
        <v>0</v>
      </c>
      <c r="L590" s="25"/>
    </row>
    <row r="591" customFormat="false" ht="14.25" hidden="false" customHeight="false" outlineLevel="0" collapsed="false">
      <c r="A591" s="0" t="s">
        <v>467</v>
      </c>
      <c r="E591" s="20" t="str">
        <f aca="false">IF(D591="?OLD","!!!","")</f>
        <v/>
      </c>
      <c r="F591" s="21" t="str">
        <f aca="false">IF(OR(E591="",E591="!!!"),"",IF(NOT(ISNA(VLOOKUP(E591,E$1:E590,1,FALSE()))),"OLD",IF(AND(E591&lt;&gt;"",E591&lt;&gt;"!!!"),"NEW","")))</f>
        <v/>
      </c>
      <c r="G591" s="22" t="str">
        <f aca="false"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aca="false">IF(J591&lt;&gt;1,"",IF(I591="SBJ","CB","?"))</f>
        <v/>
      </c>
      <c r="I591" s="24" t="str">
        <f aca="false">IF(OR(E591="",E591="!!!",F591="NEW"),"",INDEX(B$2:B590,-1+SUMPRODUCT(MAX(ROW(E$2:E590)*(E591=E$2:E590)))))</f>
        <v/>
      </c>
      <c r="J591" s="24" t="str">
        <f aca="true">IF(OR(E591="",E591="!!!",F591="NEW"),"",COUNTBLANK(OFFSET(A$1,,,SUMPRODUCT(MAX(ROW(E$2:E591)*(E591=E$2:E591)))))-COUNTBLANK(OFFSET(A$1,,,SUMPRODUCT(MAX(ROW(E$1:E590)*(E2=E$1:E590))))))</f>
        <v/>
      </c>
      <c r="K591" s="24" t="str">
        <f aca="false">IF(OR(E591="",E591="!!!",F591="NEW"),"",INDEX(J$1:J590,SUMPRODUCT(MAX(ROW(E$1:E590)*(E591=E$1:E590)))))</f>
        <v/>
      </c>
      <c r="L591" s="25"/>
    </row>
    <row r="592" customFormat="false" ht="14.25" hidden="false" customHeight="false" outlineLevel="0" collapsed="false">
      <c r="A592" s="0" t="s">
        <v>160</v>
      </c>
      <c r="E592" s="20" t="s">
        <v>495</v>
      </c>
      <c r="F592" s="21" t="str">
        <f aca="false">IF(OR(E592="",E592="!!!"),"",IF(NOT(ISNA(VLOOKUP(E592,E$1:E591,1,FALSE()))),"OLD",IF(AND(E592&lt;&gt;"",E592&lt;&gt;"!!!"),"NEW","")))</f>
        <v>OLD</v>
      </c>
      <c r="G592" s="22" t="str">
        <f aca="false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?IN_FOCUS</v>
      </c>
      <c r="H592" s="23" t="str">
        <f aca="false">IF(J592&lt;&gt;1,"",IF(I592="SBJ","CB","?"))</f>
        <v/>
      </c>
      <c r="I592" s="24" t="str">
        <f aca="false">IF(OR(E592="",E592="!!!",F592="NEW"),"",INDEX(B$2:B591,-1+SUMPRODUCT(MAX(ROW(E$2:E591)*(E592=E$2:E591)))))</f>
        <v>other_5</v>
      </c>
      <c r="J592" s="24" t="n">
        <f aca="true">IF(OR(E592="",E592="!!!",F592="NEW"),"",COUNTBLANK(OFFSET(A$1,,,SUMPRODUCT(MAX(ROW(E$2:E592)*(E592=E$2:E592)))))-COUNTBLANK(OFFSET(A$1,,,SUMPRODUCT(MAX(ROW(E$1:E591)*(E2=E$1:E591))))))</f>
        <v>0</v>
      </c>
      <c r="K592" s="24" t="n">
        <f aca="false">IF(OR(E592="",E592="!!!",F592="NEW"),"",INDEX(J$1:J591,SUMPRODUCT(MAX(ROW(E$1:E591)*(E592=E$1:E591)))))</f>
        <v>0</v>
      </c>
      <c r="L592" s="27" t="s">
        <v>501</v>
      </c>
    </row>
    <row r="593" customFormat="false" ht="14.25" hidden="false" customHeight="false" outlineLevel="0" collapsed="false">
      <c r="A593" s="0" t="s">
        <v>268</v>
      </c>
      <c r="E593" s="20" t="str">
        <f aca="false">IF(D593="?OLD","!!!","")</f>
        <v/>
      </c>
      <c r="F593" s="21" t="str">
        <f aca="false">IF(OR(E593="",E593="!!!"),"",IF(NOT(ISNA(VLOOKUP(E593,E$1:E592,1,FALSE()))),"OLD",IF(AND(E593&lt;&gt;"",E593&lt;&gt;"!!!"),"NEW","")))</f>
        <v/>
      </c>
      <c r="G593" s="22" t="str">
        <f aca="false"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aca="false">IF(J593&lt;&gt;1,"",IF(I593="SBJ","CB","?"))</f>
        <v/>
      </c>
      <c r="I593" s="24" t="str">
        <f aca="false">IF(OR(E593="",E593="!!!",F593="NEW"),"",INDEX(B$2:B592,-1+SUMPRODUCT(MAX(ROW(E$2:E592)*(E593=E$2:E592)))))</f>
        <v/>
      </c>
      <c r="J593" s="24" t="str">
        <f aca="true">IF(OR(E593="",E593="!!!",F593="NEW"),"",COUNTBLANK(OFFSET(A$1,,,SUMPRODUCT(MAX(ROW(E$2:E593)*(E593=E$2:E593)))))-COUNTBLANK(OFFSET(A$1,,,SUMPRODUCT(MAX(ROW(E$1:E592)*(E2=E$1:E592))))))</f>
        <v/>
      </c>
      <c r="K593" s="24" t="str">
        <f aca="false">IF(OR(E593="",E593="!!!",F593="NEW"),"",INDEX(J$1:J592,SUMPRODUCT(MAX(ROW(E$1:E592)*(E593=E$1:E592)))))</f>
        <v/>
      </c>
      <c r="L593" s="25"/>
    </row>
    <row r="594" customFormat="false" ht="14.25" hidden="false" customHeight="false" outlineLevel="0" collapsed="false">
      <c r="A594" s="0" t="s">
        <v>269</v>
      </c>
      <c r="E594" s="20" t="str">
        <f aca="false">IF(D594="?OLD","!!!","")</f>
        <v/>
      </c>
      <c r="F594" s="21" t="str">
        <f aca="false">IF(OR(E594="",E594="!!!"),"",IF(NOT(ISNA(VLOOKUP(E594,E$1:E593,1,FALSE()))),"OLD",IF(AND(E594&lt;&gt;"",E594&lt;&gt;"!!!"),"NEW","")))</f>
        <v/>
      </c>
      <c r="G594" s="22" t="str">
        <f aca="false"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aca="false">IF(J594&lt;&gt;1,"",IF(I594="SBJ","CB","?"))</f>
        <v/>
      </c>
      <c r="I594" s="24" t="str">
        <f aca="false">IF(OR(E594="",E594="!!!",F594="NEW"),"",INDEX(B$2:B593,-1+SUMPRODUCT(MAX(ROW(E$2:E593)*(E594=E$2:E593)))))</f>
        <v/>
      </c>
      <c r="J594" s="24" t="str">
        <f aca="true">IF(OR(E594="",E594="!!!",F594="NEW"),"",COUNTBLANK(OFFSET(A$1,,,SUMPRODUCT(MAX(ROW(E$2:E594)*(E594=E$2:E594)))))-COUNTBLANK(OFFSET(A$1,,,SUMPRODUCT(MAX(ROW(E$1:E593)*(E2=E$1:E593))))))</f>
        <v/>
      </c>
      <c r="K594" s="24" t="str">
        <f aca="false">IF(OR(E594="",E594="!!!",F594="NEW"),"",INDEX(J$1:J593,SUMPRODUCT(MAX(ROW(E$1:E593)*(E594=E$1:E593)))))</f>
        <v/>
      </c>
      <c r="L594" s="25"/>
    </row>
    <row r="595" customFormat="false" ht="14.25" hidden="false" customHeight="false" outlineLevel="0" collapsed="false">
      <c r="A595" s="0" t="s">
        <v>86</v>
      </c>
      <c r="E595" s="20" t="str">
        <f aca="false">IF(D595="?OLD","!!!","")</f>
        <v/>
      </c>
      <c r="F595" s="21" t="str">
        <f aca="false">IF(OR(E595="",E595="!!!"),"",IF(NOT(ISNA(VLOOKUP(E595,E$1:E594,1,FALSE()))),"OLD",IF(AND(E595&lt;&gt;"",E595&lt;&gt;"!!!"),"NEW","")))</f>
        <v/>
      </c>
      <c r="G595" s="22" t="str">
        <f aca="false"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aca="false">IF(J595&lt;&gt;1,"",IF(I595="SBJ","CB","?"))</f>
        <v/>
      </c>
      <c r="I595" s="24" t="str">
        <f aca="false">IF(OR(E595="",E595="!!!",F595="NEW"),"",INDEX(B$2:B594,-1+SUMPRODUCT(MAX(ROW(E$2:E594)*(E595=E$2:E594)))))</f>
        <v/>
      </c>
      <c r="J595" s="24" t="str">
        <f aca="true">IF(OR(E595="",E595="!!!",F595="NEW"),"",COUNTBLANK(OFFSET(A$1,,,SUMPRODUCT(MAX(ROW(E$2:E595)*(E595=E$2:E595)))))-COUNTBLANK(OFFSET(A$1,,,SUMPRODUCT(MAX(ROW(E$1:E594)*(E2=E$1:E594))))))</f>
        <v/>
      </c>
      <c r="K595" s="24" t="str">
        <f aca="false">IF(OR(E595="",E595="!!!",F595="NEW"),"",INDEX(J$1:J594,SUMPRODUCT(MAX(ROW(E$1:E594)*(E595=E$1:E594)))))</f>
        <v/>
      </c>
      <c r="L595" s="25"/>
    </row>
    <row r="596" customFormat="false" ht="14.25" hidden="false" customHeight="false" outlineLevel="0" collapsed="false">
      <c r="A596" s="0" t="s">
        <v>126</v>
      </c>
      <c r="B596" s="26" t="s">
        <v>104</v>
      </c>
      <c r="C596" s="26" t="s">
        <v>359</v>
      </c>
      <c r="D596" s="26" t="s">
        <v>75</v>
      </c>
      <c r="E596" s="20" t="s">
        <v>179</v>
      </c>
      <c r="F596" s="21" t="str">
        <f aca="false">IF(OR(E596="",E596="!!!"),"",IF(NOT(ISNA(VLOOKUP(E596,E$1:E595,1,FALSE()))),"OLD",IF(AND(E596&lt;&gt;"",E596&lt;&gt;"!!!"),"NEW","")))</f>
        <v>OLD</v>
      </c>
      <c r="G596" s="22" t="str">
        <f aca="false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?IN_FOCUS</v>
      </c>
      <c r="H596" s="23" t="str">
        <f aca="false">IF(J596&lt;&gt;1,"",IF(I596="SBJ","CB","?"))</f>
        <v/>
      </c>
      <c r="I596" s="24" t="str">
        <f aca="false">IF(OR(E596="",E596="!!!",F596="NEW"),"",INDEX(B$2:B595,-1+SUMPRODUCT(MAX(ROW(E$2:E595)*(E596=E$2:E595)))))</f>
        <v>other_2</v>
      </c>
      <c r="J596" s="24" t="n">
        <f aca="true">IF(OR(E596="",E596="!!!",F596="NEW"),"",COUNTBLANK(OFFSET(A$1,,,SUMPRODUCT(MAX(ROW(E$2:E596)*(E596=E$2:E596)))))-COUNTBLANK(OFFSET(A$1,,,SUMPRODUCT(MAX(ROW(E$1:E595)*(E2=E$1:E595))))))</f>
        <v>0</v>
      </c>
      <c r="K596" s="24" t="str">
        <f aca="false">IF(OR(E596="",E596="!!!",F596="NEW"),"",INDEX(J$1:J595,SUMPRODUCT(MAX(ROW(E$1:E595)*(E596=E$1:E595)))))</f>
        <v/>
      </c>
      <c r="L596" s="25"/>
    </row>
    <row r="597" customFormat="false" ht="14.25" hidden="false" customHeight="false" outlineLevel="0" collapsed="false">
      <c r="A597" s="0" t="s">
        <v>502</v>
      </c>
      <c r="E597" s="20" t="str">
        <f aca="false">IF(D597="?OLD","!!!","")</f>
        <v/>
      </c>
      <c r="F597" s="21" t="str">
        <f aca="false">IF(OR(E597="",E597="!!!"),"",IF(NOT(ISNA(VLOOKUP(E597,E$1:E596,1,FALSE()))),"OLD",IF(AND(E597&lt;&gt;"",E597&lt;&gt;"!!!"),"NEW","")))</f>
        <v/>
      </c>
      <c r="G597" s="22" t="str">
        <f aca="false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aca="false">IF(J597&lt;&gt;1,"",IF(I597="SBJ","CB","?"))</f>
        <v/>
      </c>
      <c r="I597" s="24" t="str">
        <f aca="false">IF(OR(E597="",E597="!!!",F597="NEW"),"",INDEX(B$2:B596,-1+SUMPRODUCT(MAX(ROW(E$2:E596)*(E597=E$2:E596)))))</f>
        <v/>
      </c>
      <c r="J597" s="24" t="str">
        <f aca="true">IF(OR(E597="",E597="!!!",F597="NEW"),"",COUNTBLANK(OFFSET(A$1,,,SUMPRODUCT(MAX(ROW(E$2:E597)*(E597=E$2:E597)))))-COUNTBLANK(OFFSET(A$1,,,SUMPRODUCT(MAX(ROW(E$1:E596)*(E2=E$1:E596))))))</f>
        <v/>
      </c>
      <c r="K597" s="24" t="str">
        <f aca="false">IF(OR(E597="",E597="!!!",F597="NEW"),"",INDEX(J$1:J596,SUMPRODUCT(MAX(ROW(E$1:E596)*(E597=E$1:E596)))))</f>
        <v/>
      </c>
      <c r="L597" s="25"/>
    </row>
    <row r="598" customFormat="false" ht="14.25" hidden="false" customHeight="false" outlineLevel="0" collapsed="false">
      <c r="A598" s="0" t="s">
        <v>503</v>
      </c>
      <c r="E598" s="20" t="str">
        <f aca="false">IF(D598="?OLD","!!!","")</f>
        <v/>
      </c>
      <c r="F598" s="21" t="str">
        <f aca="false">IF(OR(E598="",E598="!!!"),"",IF(NOT(ISNA(VLOOKUP(E598,E$1:E597,1,FALSE()))),"OLD",IF(AND(E598&lt;&gt;"",E598&lt;&gt;"!!!"),"NEW","")))</f>
        <v/>
      </c>
      <c r="G598" s="22" t="str">
        <f aca="false"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aca="false">IF(J598&lt;&gt;1,"",IF(I598="SBJ","CB","?"))</f>
        <v/>
      </c>
      <c r="I598" s="24" t="str">
        <f aca="false">IF(OR(E598="",E598="!!!",F598="NEW"),"",INDEX(B$2:B597,-1+SUMPRODUCT(MAX(ROW(E$2:E597)*(E598=E$2:E597)))))</f>
        <v/>
      </c>
      <c r="J598" s="24" t="str">
        <f aca="true">IF(OR(E598="",E598="!!!",F598="NEW"),"",COUNTBLANK(OFFSET(A$1,,,SUMPRODUCT(MAX(ROW(E$2:E598)*(E598=E$2:E598)))))-COUNTBLANK(OFFSET(A$1,,,SUMPRODUCT(MAX(ROW(E$1:E597)*(E2=E$1:E597))))))</f>
        <v/>
      </c>
      <c r="K598" s="24" t="str">
        <f aca="false">IF(OR(E598="",E598="!!!",F598="NEW"),"",INDEX(J$1:J597,SUMPRODUCT(MAX(ROW(E$1:E597)*(E598=E$1:E597)))))</f>
        <v/>
      </c>
      <c r="L598" s="25"/>
    </row>
    <row r="599" customFormat="false" ht="14.25" hidden="false" customHeight="false" outlineLevel="0" collapsed="false">
      <c r="A599" s="0" t="s">
        <v>504</v>
      </c>
      <c r="B599" s="26" t="s">
        <v>110</v>
      </c>
      <c r="C599" s="26" t="s">
        <v>105</v>
      </c>
      <c r="E599" s="20" t="str">
        <f aca="false">IF(D599="?OLD","!!!","")</f>
        <v/>
      </c>
      <c r="F599" s="21" t="str">
        <f aca="false">IF(OR(E599="",E599="!!!"),"",IF(NOT(ISNA(VLOOKUP(E599,E$1:E598,1,FALSE()))),"OLD",IF(AND(E599&lt;&gt;"",E599&lt;&gt;"!!!"),"NEW","")))</f>
        <v/>
      </c>
      <c r="G599" s="22" t="str">
        <f aca="false"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aca="false">IF(J599&lt;&gt;1,"",IF(I599="SBJ","CB","?"))</f>
        <v/>
      </c>
      <c r="I599" s="24" t="str">
        <f aca="false">IF(OR(E599="",E599="!!!",F599="NEW"),"",INDEX(B$2:B598,-1+SUMPRODUCT(MAX(ROW(E$2:E598)*(E599=E$2:E598)))))</f>
        <v/>
      </c>
      <c r="J599" s="24" t="str">
        <f aca="true">IF(OR(E599="",E599="!!!",F599="NEW"),"",COUNTBLANK(OFFSET(A$1,,,SUMPRODUCT(MAX(ROW(E$2:E599)*(E599=E$2:E599)))))-COUNTBLANK(OFFSET(A$1,,,SUMPRODUCT(MAX(ROW(E$1:E598)*(E2=E$1:E598))))))</f>
        <v/>
      </c>
      <c r="K599" s="24" t="str">
        <f aca="false">IF(OR(E599="",E599="!!!",F599="NEW"),"",INDEX(J$1:J598,SUMPRODUCT(MAX(ROW(E$1:E598)*(E599=E$1:E598)))))</f>
        <v/>
      </c>
      <c r="L599" s="25"/>
    </row>
    <row r="600" customFormat="false" ht="14.25" hidden="false" customHeight="false" outlineLevel="0" collapsed="false">
      <c r="A600" s="0" t="s">
        <v>86</v>
      </c>
      <c r="E600" s="20" t="str">
        <f aca="false">IF(D600="?OLD","!!!","")</f>
        <v/>
      </c>
      <c r="F600" s="21" t="str">
        <f aca="false">IF(OR(E600="",E600="!!!"),"",IF(NOT(ISNA(VLOOKUP(E600,E$1:E599,1,FALSE()))),"OLD",IF(AND(E600&lt;&gt;"",E600&lt;&gt;"!!!"),"NEW","")))</f>
        <v/>
      </c>
      <c r="G600" s="22" t="str">
        <f aca="false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aca="false">IF(J600&lt;&gt;1,"",IF(I600="SBJ","CB","?"))</f>
        <v/>
      </c>
      <c r="I600" s="24" t="str">
        <f aca="false">IF(OR(E600="",E600="!!!",F600="NEW"),"",INDEX(B$2:B599,-1+SUMPRODUCT(MAX(ROW(E$2:E599)*(E600=E$2:E599)))))</f>
        <v/>
      </c>
      <c r="J600" s="24" t="str">
        <f aca="true">IF(OR(E600="",E600="!!!",F600="NEW"),"",COUNTBLANK(OFFSET(A$1,,,SUMPRODUCT(MAX(ROW(E$2:E600)*(E600=E$2:E600)))))-COUNTBLANK(OFFSET(A$1,,,SUMPRODUCT(MAX(ROW(E$1:E599)*(E2=E$1:E599))))))</f>
        <v/>
      </c>
      <c r="K600" s="24" t="str">
        <f aca="false">IF(OR(E600="",E600="!!!",F600="NEW"),"",INDEX(J$1:J599,SUMPRODUCT(MAX(ROW(E$1:E599)*(E600=E$1:E599)))))</f>
        <v/>
      </c>
      <c r="L600" s="25"/>
    </row>
    <row r="601" customFormat="false" ht="14.25" hidden="false" customHeight="false" outlineLevel="0" collapsed="false">
      <c r="A601" s="0" t="s">
        <v>505</v>
      </c>
      <c r="E601" s="20" t="str">
        <f aca="false">IF(D601="?OLD","!!!","")</f>
        <v/>
      </c>
      <c r="F601" s="21" t="str">
        <f aca="false">IF(OR(E601="",E601="!!!"),"",IF(NOT(ISNA(VLOOKUP(E601,E$1:E600,1,FALSE()))),"OLD",IF(AND(E601&lt;&gt;"",E601&lt;&gt;"!!!"),"NEW","")))</f>
        <v/>
      </c>
      <c r="G601" s="22" t="str">
        <f aca="false"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aca="false">IF(J601&lt;&gt;1,"",IF(I601="SBJ","CB","?"))</f>
        <v/>
      </c>
      <c r="I601" s="24" t="str">
        <f aca="false">IF(OR(E601="",E601="!!!",F601="NEW"),"",INDEX(B$2:B600,-1+SUMPRODUCT(MAX(ROW(E$2:E600)*(E601=E$2:E600)))))</f>
        <v/>
      </c>
      <c r="J601" s="24" t="str">
        <f aca="true">IF(OR(E601="",E601="!!!",F601="NEW"),"",COUNTBLANK(OFFSET(A$1,,,SUMPRODUCT(MAX(ROW(E$2:E601)*(E601=E$2:E601)))))-COUNTBLANK(OFFSET(A$1,,,SUMPRODUCT(MAX(ROW(E$1:E600)*(E2=E$1:E600))))))</f>
        <v/>
      </c>
      <c r="K601" s="24" t="str">
        <f aca="false">IF(OR(E601="",E601="!!!",F601="NEW"),"",INDEX(J$1:J600,SUMPRODUCT(MAX(ROW(E$1:E600)*(E601=E$1:E600)))))</f>
        <v/>
      </c>
      <c r="L601" s="25"/>
    </row>
    <row r="602" customFormat="false" ht="14.25" hidden="false" customHeight="false" outlineLevel="0" collapsed="false">
      <c r="A602" s="0" t="s">
        <v>506</v>
      </c>
      <c r="E602" s="20" t="str">
        <f aca="false">IF(D602="?OLD","!!!","")</f>
        <v/>
      </c>
      <c r="F602" s="21" t="str">
        <f aca="false">IF(OR(E602="",E602="!!!"),"",IF(NOT(ISNA(VLOOKUP(E602,E$1:E601,1,FALSE()))),"OLD",IF(AND(E602&lt;&gt;"",E602&lt;&gt;"!!!"),"NEW","")))</f>
        <v/>
      </c>
      <c r="G602" s="22" t="str">
        <f aca="false"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aca="false">IF(J602&lt;&gt;1,"",IF(I602="SBJ","CB","?"))</f>
        <v/>
      </c>
      <c r="I602" s="24" t="str">
        <f aca="false">IF(OR(E602="",E602="!!!",F602="NEW"),"",INDEX(B$2:B601,-1+SUMPRODUCT(MAX(ROW(E$2:E601)*(E602=E$2:E601)))))</f>
        <v/>
      </c>
      <c r="J602" s="24" t="str">
        <f aca="true">IF(OR(E602="",E602="!!!",F602="NEW"),"",COUNTBLANK(OFFSET(A$1,,,SUMPRODUCT(MAX(ROW(E$2:E602)*(E602=E$2:E602)))))-COUNTBLANK(OFFSET(A$1,,,SUMPRODUCT(MAX(ROW(E$1:E601)*(E2=E$1:E601))))))</f>
        <v/>
      </c>
      <c r="K602" s="24" t="str">
        <f aca="false">IF(OR(E602="",E602="!!!",F602="NEW"),"",INDEX(J$1:J601,SUMPRODUCT(MAX(ROW(E$1:E601)*(E602=E$1:E601)))))</f>
        <v/>
      </c>
      <c r="L602" s="25"/>
    </row>
    <row r="603" customFormat="false" ht="14.25" hidden="false" customHeight="false" outlineLevel="0" collapsed="false">
      <c r="A603" s="0" t="s">
        <v>340</v>
      </c>
      <c r="B603" s="26" t="s">
        <v>104</v>
      </c>
      <c r="C603" s="26" t="s">
        <v>105</v>
      </c>
      <c r="E603" s="20" t="s">
        <v>406</v>
      </c>
      <c r="F603" s="21" t="str">
        <f aca="false">IF(OR(E603="",E603="!!!"),"",IF(NOT(ISNA(VLOOKUP(E603,E$1:E602,1,FALSE()))),"OLD",IF(AND(E603&lt;&gt;"",E603&lt;&gt;"!!!"),"NEW","")))</f>
        <v>OLD</v>
      </c>
      <c r="G603" s="22" t="str">
        <f aca="false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?IN_FOCUS</v>
      </c>
      <c r="H603" s="23" t="str">
        <f aca="false">IF(J603&lt;&gt;1,"",IF(I603="SBJ","CB","?"))</f>
        <v/>
      </c>
      <c r="I603" s="24" t="str">
        <f aca="false">IF(OR(E603="",E603="!!!",F603="NEW"),"",INDEX(B$2:B602,-1+SUMPRODUCT(MAX(ROW(E$2:E602)*(E603=E$2:E602)))))</f>
        <v>other_6</v>
      </c>
      <c r="J603" s="24" t="n">
        <f aca="true">IF(OR(E603="",E603="!!!",F603="NEW"),"",COUNTBLANK(OFFSET(A$1,,,SUMPRODUCT(MAX(ROW(E$2:E603)*(E603=E$2:E603)))))-COUNTBLANK(OFFSET(A$1,,,SUMPRODUCT(MAX(ROW(E$1:E602)*(E2=E$1:E602))))))</f>
        <v>0</v>
      </c>
      <c r="K603" s="24" t="n">
        <f aca="false">IF(OR(E603="",E603="!!!",F603="NEW"),"",INDEX(J$1:J602,SUMPRODUCT(MAX(ROW(E$1:E602)*(E603=E$1:E602)))))</f>
        <v>0</v>
      </c>
      <c r="L603" s="25"/>
    </row>
    <row r="604" customFormat="false" ht="14.25" hidden="false" customHeight="false" outlineLevel="0" collapsed="false">
      <c r="A604" s="0" t="s">
        <v>365</v>
      </c>
      <c r="B604" s="26" t="s">
        <v>115</v>
      </c>
      <c r="C604" s="26" t="s">
        <v>283</v>
      </c>
      <c r="D604" s="26" t="s">
        <v>75</v>
      </c>
      <c r="E604" s="20" t="s">
        <v>366</v>
      </c>
      <c r="F604" s="21" t="str">
        <f aca="false">IF(OR(E604="",E604="!!!"),"",IF(NOT(ISNA(VLOOKUP(E604,E$1:E603,1,FALSE()))),"OLD",IF(AND(E604&lt;&gt;"",E604&lt;&gt;"!!!"),"NEW","")))</f>
        <v>OLD</v>
      </c>
      <c r="G604" s="22" t="str">
        <f aca="false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?IN_FOCUS</v>
      </c>
      <c r="H604" s="23" t="str">
        <f aca="false">IF(J604&lt;&gt;1,"",IF(I604="SBJ","CB","?"))</f>
        <v/>
      </c>
      <c r="I604" s="24" t="str">
        <f aca="false">IF(OR(E604="",E604="!!!",F604="NEW"),"",INDEX(B$2:B603,-1+SUMPRODUCT(MAX(ROW(E$2:E603)*(E604=E$2:E603)))))</f>
        <v>SBJ_7</v>
      </c>
      <c r="J604" s="24" t="n">
        <f aca="true">IF(OR(E604="",E604="!!!",F604="NEW"),"",COUNTBLANK(OFFSET(A$1,,,SUMPRODUCT(MAX(ROW(E$2:E604)*(E604=E$2:E604)))))-COUNTBLANK(OFFSET(A$1,,,SUMPRODUCT(MAX(ROW(E$1:E603)*(E2=E$1:E603))))))</f>
        <v>0</v>
      </c>
      <c r="K604" s="24" t="n">
        <f aca="false">IF(OR(E604="",E604="!!!",F604="NEW"),"",INDEX(J$1:J603,SUMPRODUCT(MAX(ROW(E$1:E603)*(E604=E$1:E603)))))</f>
        <v>0</v>
      </c>
      <c r="L604" s="25"/>
    </row>
    <row r="605" customFormat="false" ht="14.25" hidden="false" customHeight="false" outlineLevel="0" collapsed="false">
      <c r="A605" s="0" t="s">
        <v>101</v>
      </c>
      <c r="E605" s="20" t="str">
        <f aca="false">IF(D605="?OLD","!!!","")</f>
        <v/>
      </c>
      <c r="F605" s="21" t="str">
        <f aca="false">IF(OR(E605="",E605="!!!"),"",IF(NOT(ISNA(VLOOKUP(E605,E$1:E604,1,FALSE()))),"OLD",IF(AND(E605&lt;&gt;"",E605&lt;&gt;"!!!"),"NEW","")))</f>
        <v/>
      </c>
      <c r="G605" s="22" t="str">
        <f aca="false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aca="false">IF(J605&lt;&gt;1,"",IF(I605="SBJ","CB","?"))</f>
        <v/>
      </c>
      <c r="I605" s="24" t="str">
        <f aca="false">IF(OR(E605="",E605="!!!",F605="NEW"),"",INDEX(B$2:B604,-1+SUMPRODUCT(MAX(ROW(E$2:E604)*(E605=E$2:E604)))))</f>
        <v/>
      </c>
      <c r="J605" s="24" t="str">
        <f aca="true">IF(OR(E605="",E605="!!!",F605="NEW"),"",COUNTBLANK(OFFSET(A$1,,,SUMPRODUCT(MAX(ROW(E$2:E605)*(E605=E$2:E605)))))-COUNTBLANK(OFFSET(A$1,,,SUMPRODUCT(MAX(ROW(E$1:E604)*(E2=E$1:E604))))))</f>
        <v/>
      </c>
      <c r="K605" s="24" t="str">
        <f aca="false">IF(OR(E605="",E605="!!!",F605="NEW"),"",INDEX(J$1:J604,SUMPRODUCT(MAX(ROW(E$1:E604)*(E605=E$1:E604)))))</f>
        <v/>
      </c>
      <c r="L605" s="25"/>
    </row>
    <row r="606" customFormat="false" ht="14.25" hidden="false" customHeight="false" outlineLevel="0" collapsed="false">
      <c r="A606" s="0" t="s">
        <v>125</v>
      </c>
      <c r="E606" s="20" t="str">
        <f aca="false">IF(D606="?OLD","!!!","")</f>
        <v/>
      </c>
      <c r="F606" s="21" t="str">
        <f aca="false">IF(OR(E606="",E606="!!!"),"",IF(NOT(ISNA(VLOOKUP(E606,E$1:E605,1,FALSE()))),"OLD",IF(AND(E606&lt;&gt;"",E606&lt;&gt;"!!!"),"NEW","")))</f>
        <v/>
      </c>
      <c r="G606" s="22" t="str">
        <f aca="false"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aca="false">IF(J606&lt;&gt;1,"",IF(I606="SBJ","CB","?"))</f>
        <v/>
      </c>
      <c r="I606" s="24" t="str">
        <f aca="false">IF(OR(E606="",E606="!!!",F606="NEW"),"",INDEX(B$2:B605,-1+SUMPRODUCT(MAX(ROW(E$2:E605)*(E606=E$2:E605)))))</f>
        <v/>
      </c>
      <c r="J606" s="24" t="str">
        <f aca="true">IF(OR(E606="",E606="!!!",F606="NEW"),"",COUNTBLANK(OFFSET(A$1,,,SUMPRODUCT(MAX(ROW(E$2:E606)*(E606=E$2:E606)))))-COUNTBLANK(OFFSET(A$1,,,SUMPRODUCT(MAX(ROW(E$1:E605)*(E2=E$1:E605))))))</f>
        <v/>
      </c>
      <c r="K606" s="24" t="str">
        <f aca="false">IF(OR(E606="",E606="!!!",F606="NEW"),"",INDEX(J$1:J605,SUMPRODUCT(MAX(ROW(E$1:E605)*(E606=E$1:E605)))))</f>
        <v/>
      </c>
      <c r="L606" s="25"/>
    </row>
    <row r="607" customFormat="false" ht="14.25" hidden="false" customHeight="false" outlineLevel="0" collapsed="false">
      <c r="A607" s="0" t="s">
        <v>507</v>
      </c>
      <c r="E607" s="20" t="str">
        <f aca="false">IF(D607="?OLD","!!!","")</f>
        <v/>
      </c>
      <c r="F607" s="21" t="str">
        <f aca="false">IF(OR(E607="",E607="!!!"),"",IF(NOT(ISNA(VLOOKUP(E607,E$1:E606,1,FALSE()))),"OLD",IF(AND(E607&lt;&gt;"",E607&lt;&gt;"!!!"),"NEW","")))</f>
        <v/>
      </c>
      <c r="G607" s="22" t="str">
        <f aca="false"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aca="false">IF(J607&lt;&gt;1,"",IF(I607="SBJ","CB","?"))</f>
        <v/>
      </c>
      <c r="I607" s="24" t="str">
        <f aca="false">IF(OR(E607="",E607="!!!",F607="NEW"),"",INDEX(B$2:B606,-1+SUMPRODUCT(MAX(ROW(E$2:E606)*(E607=E$2:E606)))))</f>
        <v/>
      </c>
      <c r="J607" s="24" t="str">
        <f aca="true">IF(OR(E607="",E607="!!!",F607="NEW"),"",COUNTBLANK(OFFSET(A$1,,,SUMPRODUCT(MAX(ROW(E$2:E607)*(E607=E$2:E607)))))-COUNTBLANK(OFFSET(A$1,,,SUMPRODUCT(MAX(ROW(E$1:E606)*(E2=E$1:E606))))))</f>
        <v/>
      </c>
      <c r="K607" s="24" t="str">
        <f aca="false">IF(OR(E607="",E607="!!!",F607="NEW"),"",INDEX(J$1:J606,SUMPRODUCT(MAX(ROW(E$1:E606)*(E607=E$1:E606)))))</f>
        <v/>
      </c>
      <c r="L607" s="25"/>
    </row>
    <row r="608" customFormat="false" ht="14.25" hidden="false" customHeight="false" outlineLevel="0" collapsed="false">
      <c r="A608" s="0" t="s">
        <v>508</v>
      </c>
      <c r="B608" s="26" t="s">
        <v>304</v>
      </c>
      <c r="C608" s="26" t="s">
        <v>105</v>
      </c>
      <c r="E608" s="20" t="str">
        <f aca="false">IF(D608="?OLD","!!!","")</f>
        <v/>
      </c>
      <c r="F608" s="21" t="str">
        <f aca="false">IF(OR(E608="",E608="!!!"),"",IF(NOT(ISNA(VLOOKUP(E608,E$1:E607,1,FALSE()))),"OLD",IF(AND(E608&lt;&gt;"",E608&lt;&gt;"!!!"),"NEW","")))</f>
        <v/>
      </c>
      <c r="G608" s="22" t="str">
        <f aca="false"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aca="false">IF(J608&lt;&gt;1,"",IF(I608="SBJ","CB","?"))</f>
        <v/>
      </c>
      <c r="I608" s="24" t="str">
        <f aca="false">IF(OR(E608="",E608="!!!",F608="NEW"),"",INDEX(B$2:B607,-1+SUMPRODUCT(MAX(ROW(E$2:E607)*(E608=E$2:E607)))))</f>
        <v/>
      </c>
      <c r="J608" s="24" t="str">
        <f aca="true">IF(OR(E608="",E608="!!!",F608="NEW"),"",COUNTBLANK(OFFSET(A$1,,,SUMPRODUCT(MAX(ROW(E$2:E608)*(E608=E$2:E608)))))-COUNTBLANK(OFFSET(A$1,,,SUMPRODUCT(MAX(ROW(E$1:E607)*(E2=E$1:E607))))))</f>
        <v/>
      </c>
      <c r="K608" s="24" t="str">
        <f aca="false">IF(OR(E608="",E608="!!!",F608="NEW"),"",INDEX(J$1:J607,SUMPRODUCT(MAX(ROW(E$1:E607)*(E608=E$1:E607)))))</f>
        <v/>
      </c>
      <c r="L608" s="25"/>
    </row>
    <row r="609" customFormat="false" ht="14.25" hidden="false" customHeight="false" outlineLevel="0" collapsed="false">
      <c r="A609" s="0" t="s">
        <v>155</v>
      </c>
      <c r="E609" s="20" t="str">
        <f aca="false">IF(D609="?OLD","!!!","")</f>
        <v/>
      </c>
      <c r="F609" s="21" t="str">
        <f aca="false">IF(OR(E609="",E609="!!!"),"",IF(NOT(ISNA(VLOOKUP(E609,E$1:E608,1,FALSE()))),"OLD",IF(AND(E609&lt;&gt;"",E609&lt;&gt;"!!!"),"NEW","")))</f>
        <v/>
      </c>
      <c r="G609" s="22" t="str">
        <f aca="false"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aca="false">IF(J609&lt;&gt;1,"",IF(I609="SBJ","CB","?"))</f>
        <v/>
      </c>
      <c r="I609" s="24" t="str">
        <f aca="false">IF(OR(E609="",E609="!!!",F609="NEW"),"",INDEX(B$2:B608,-1+SUMPRODUCT(MAX(ROW(E$2:E608)*(E609=E$2:E608)))))</f>
        <v/>
      </c>
      <c r="J609" s="24" t="str">
        <f aca="true">IF(OR(E609="",E609="!!!",F609="NEW"),"",COUNTBLANK(OFFSET(A$1,,,SUMPRODUCT(MAX(ROW(E$2:E609)*(E609=E$2:E609)))))-COUNTBLANK(OFFSET(A$1,,,SUMPRODUCT(MAX(ROW(E$1:E608)*(E2=E$1:E608))))))</f>
        <v/>
      </c>
      <c r="K609" s="24" t="str">
        <f aca="false">IF(OR(E609="",E609="!!!",F609="NEW"),"",INDEX(J$1:J608,SUMPRODUCT(MAX(ROW(E$1:E608)*(E609=E$1:E608)))))</f>
        <v/>
      </c>
      <c r="L609" s="25"/>
    </row>
    <row r="610" customFormat="false" ht="14.25" hidden="false" customHeight="false" outlineLevel="0" collapsed="false">
      <c r="A610" s="0" t="s">
        <v>509</v>
      </c>
      <c r="E610" s="20" t="str">
        <f aca="false">IF(D610="?OLD","!!!","")</f>
        <v/>
      </c>
      <c r="F610" s="21" t="str">
        <f aca="false">IF(OR(E610="",E610="!!!"),"",IF(NOT(ISNA(VLOOKUP(E610,E$1:E609,1,FALSE()))),"OLD",IF(AND(E610&lt;&gt;"",E610&lt;&gt;"!!!"),"NEW","")))</f>
        <v/>
      </c>
      <c r="G610" s="22" t="str">
        <f aca="false"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aca="false">IF(J610&lt;&gt;1,"",IF(I610="SBJ","CB","?"))</f>
        <v/>
      </c>
      <c r="I610" s="24" t="str">
        <f aca="false">IF(OR(E610="",E610="!!!",F610="NEW"),"",INDEX(B$2:B609,-1+SUMPRODUCT(MAX(ROW(E$2:E609)*(E610=E$2:E609)))))</f>
        <v/>
      </c>
      <c r="J610" s="24" t="str">
        <f aca="true">IF(OR(E610="",E610="!!!",F610="NEW"),"",COUNTBLANK(OFFSET(A$1,,,SUMPRODUCT(MAX(ROW(E$2:E610)*(E610=E$2:E610)))))-COUNTBLANK(OFFSET(A$1,,,SUMPRODUCT(MAX(ROW(E$1:E609)*(E2=E$1:E609))))))</f>
        <v/>
      </c>
      <c r="K610" s="24" t="str">
        <f aca="false">IF(OR(E610="",E610="!!!",F610="NEW"),"",INDEX(J$1:J609,SUMPRODUCT(MAX(ROW(E$1:E609)*(E610=E$1:E609)))))</f>
        <v/>
      </c>
      <c r="L610" s="25"/>
    </row>
    <row r="611" customFormat="false" ht="14.25" hidden="false" customHeight="false" outlineLevel="0" collapsed="false">
      <c r="A611" s="0" t="s">
        <v>455</v>
      </c>
      <c r="E611" s="20" t="str">
        <f aca="false">IF(D611="?OLD","!!!","")</f>
        <v/>
      </c>
      <c r="F611" s="21" t="str">
        <f aca="false">IF(OR(E611="",E611="!!!"),"",IF(NOT(ISNA(VLOOKUP(E611,E$1:E610,1,FALSE()))),"OLD",IF(AND(E611&lt;&gt;"",E611&lt;&gt;"!!!"),"NEW","")))</f>
        <v/>
      </c>
      <c r="G611" s="22" t="str">
        <f aca="false"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aca="false">IF(J611&lt;&gt;1,"",IF(I611="SBJ","CB","?"))</f>
        <v/>
      </c>
      <c r="I611" s="24" t="str">
        <f aca="false">IF(OR(E611="",E611="!!!",F611="NEW"),"",INDEX(B$2:B610,-1+SUMPRODUCT(MAX(ROW(E$2:E610)*(E611=E$2:E610)))))</f>
        <v/>
      </c>
      <c r="J611" s="24" t="str">
        <f aca="true">IF(OR(E611="",E611="!!!",F611="NEW"),"",COUNTBLANK(OFFSET(A$1,,,SUMPRODUCT(MAX(ROW(E$2:E611)*(E611=E$2:E611)))))-COUNTBLANK(OFFSET(A$1,,,SUMPRODUCT(MAX(ROW(E$1:E610)*(E2=E$1:E610))))))</f>
        <v/>
      </c>
      <c r="K611" s="24" t="str">
        <f aca="false">IF(OR(E611="",E611="!!!",F611="NEW"),"",INDEX(J$1:J610,SUMPRODUCT(MAX(ROW(E$1:E610)*(E611=E$1:E610)))))</f>
        <v/>
      </c>
      <c r="L611" s="25"/>
    </row>
    <row r="612" customFormat="false" ht="14.25" hidden="false" customHeight="false" outlineLevel="0" collapsed="false">
      <c r="A612" s="0" t="s">
        <v>510</v>
      </c>
      <c r="E612" s="20" t="str">
        <f aca="false">IF(D612="?OLD","!!!","")</f>
        <v/>
      </c>
      <c r="F612" s="21" t="str">
        <f aca="false">IF(OR(E612="",E612="!!!"),"",IF(NOT(ISNA(VLOOKUP(E612,E$1:E611,1,FALSE()))),"OLD",IF(AND(E612&lt;&gt;"",E612&lt;&gt;"!!!"),"NEW","")))</f>
        <v/>
      </c>
      <c r="G612" s="22" t="str">
        <f aca="false"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aca="false">IF(J612&lt;&gt;1,"",IF(I612="SBJ","CB","?"))</f>
        <v/>
      </c>
      <c r="I612" s="24" t="str">
        <f aca="false">IF(OR(E612="",E612="!!!",F612="NEW"),"",INDEX(B$2:B611,-1+SUMPRODUCT(MAX(ROW(E$2:E611)*(E612=E$2:E611)))))</f>
        <v/>
      </c>
      <c r="J612" s="24" t="str">
        <f aca="true">IF(OR(E612="",E612="!!!",F612="NEW"),"",COUNTBLANK(OFFSET(A$1,,,SUMPRODUCT(MAX(ROW(E$2:E612)*(E612=E$2:E612)))))-COUNTBLANK(OFFSET(A$1,,,SUMPRODUCT(MAX(ROW(E$1:E611)*(E2=E$1:E611))))))</f>
        <v/>
      </c>
      <c r="K612" s="24" t="str">
        <f aca="false">IF(OR(E612="",E612="!!!",F612="NEW"),"",INDEX(J$1:J611,SUMPRODUCT(MAX(ROW(E$1:E611)*(E612=E$1:E611)))))</f>
        <v/>
      </c>
      <c r="L612" s="25"/>
    </row>
    <row r="613" customFormat="false" ht="14.25" hidden="false" customHeight="false" outlineLevel="0" collapsed="false">
      <c r="A613" s="0" t="s">
        <v>511</v>
      </c>
      <c r="B613" s="26" t="s">
        <v>104</v>
      </c>
      <c r="C613" s="26" t="s">
        <v>341</v>
      </c>
      <c r="E613" s="20" t="str">
        <f aca="false">IF(D613="?OLD","!!!","")</f>
        <v/>
      </c>
      <c r="F613" s="21" t="str">
        <f aca="false">IF(OR(E613="",E613="!!!"),"",IF(NOT(ISNA(VLOOKUP(E613,E$1:E612,1,FALSE()))),"OLD",IF(AND(E613&lt;&gt;"",E613&lt;&gt;"!!!"),"NEW","")))</f>
        <v/>
      </c>
      <c r="G613" s="22" t="str">
        <f aca="false"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aca="false">IF(J613&lt;&gt;1,"",IF(I613="SBJ","CB","?"))</f>
        <v/>
      </c>
      <c r="I613" s="24" t="str">
        <f aca="false">IF(OR(E613="",E613="!!!",F613="NEW"),"",INDEX(B$2:B612,-1+SUMPRODUCT(MAX(ROW(E$2:E612)*(E613=E$2:E612)))))</f>
        <v/>
      </c>
      <c r="J613" s="24" t="str">
        <f aca="true">IF(OR(E613="",E613="!!!",F613="NEW"),"",COUNTBLANK(OFFSET(A$1,,,SUMPRODUCT(MAX(ROW(E$2:E613)*(E613=E$2:E613)))))-COUNTBLANK(OFFSET(A$1,,,SUMPRODUCT(MAX(ROW(E$1:E612)*(E2=E$1:E612))))))</f>
        <v/>
      </c>
      <c r="K613" s="24" t="str">
        <f aca="false">IF(OR(E613="",E613="!!!",F613="NEW"),"",INDEX(J$1:J612,SUMPRODUCT(MAX(ROW(E$1:E612)*(E613=E$1:E612)))))</f>
        <v/>
      </c>
      <c r="L613" s="25"/>
    </row>
    <row r="614" customFormat="false" ht="14.25" hidden="false" customHeight="false" outlineLevel="0" collapsed="false">
      <c r="A614" s="0" t="s">
        <v>129</v>
      </c>
      <c r="E614" s="20" t="str">
        <f aca="false">IF(D614="?OLD","!!!","")</f>
        <v/>
      </c>
      <c r="F614" s="21" t="str">
        <f aca="false">IF(OR(E614="",E614="!!!"),"",IF(NOT(ISNA(VLOOKUP(E614,E$1:E613,1,FALSE()))),"OLD",IF(AND(E614&lt;&gt;"",E614&lt;&gt;"!!!"),"NEW","")))</f>
        <v/>
      </c>
      <c r="G614" s="22" t="str">
        <f aca="false"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aca="false">IF(J614&lt;&gt;1,"",IF(I614="SBJ","CB","?"))</f>
        <v/>
      </c>
      <c r="I614" s="24" t="str">
        <f aca="false">IF(OR(E614="",E614="!!!",F614="NEW"),"",INDEX(B$2:B613,-1+SUMPRODUCT(MAX(ROW(E$2:E613)*(E614=E$2:E613)))))</f>
        <v/>
      </c>
      <c r="J614" s="24" t="str">
        <f aca="true">IF(OR(E614="",E614="!!!",F614="NEW"),"",COUNTBLANK(OFFSET(A$1,,,SUMPRODUCT(MAX(ROW(E$2:E614)*(E614=E$2:E614)))))-COUNTBLANK(OFFSET(A$1,,,SUMPRODUCT(MAX(ROW(E$1:E613)*(E2=E$1:E613))))))</f>
        <v/>
      </c>
      <c r="K614" s="24" t="str">
        <f aca="false">IF(OR(E614="",E614="!!!",F614="NEW"),"",INDEX(J$1:J613,SUMPRODUCT(MAX(ROW(E$1:E613)*(E614=E$1:E613)))))</f>
        <v/>
      </c>
      <c r="L614" s="25"/>
    </row>
    <row r="615" customFormat="false" ht="14.25" hidden="false" customHeight="false" outlineLevel="0" collapsed="false">
      <c r="A615" s="0" t="s">
        <v>213</v>
      </c>
      <c r="B615" s="26" t="s">
        <v>110</v>
      </c>
      <c r="C615" s="26" t="s">
        <v>209</v>
      </c>
      <c r="D615" s="26" t="s">
        <v>75</v>
      </c>
      <c r="E615" s="20" t="s">
        <v>207</v>
      </c>
      <c r="F615" s="21" t="str">
        <f aca="false">IF(OR(E615="",E615="!!!"),"",IF(NOT(ISNA(VLOOKUP(E615,E$1:E614,1,FALSE()))),"OLD",IF(AND(E615&lt;&gt;"",E615&lt;&gt;"!!!"),"NEW","")))</f>
        <v>OLD</v>
      </c>
      <c r="G615" s="22" t="str">
        <f aca="false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?IN_FOCUS</v>
      </c>
      <c r="H615" s="23" t="str">
        <f aca="false">IF(J615&lt;&gt;1,"",IF(I615="SBJ","CB","?"))</f>
        <v/>
      </c>
      <c r="I615" s="24" t="str">
        <f aca="false">IF(OR(E615="",E615="!!!",F615="NEW"),"",INDEX(B$2:B614,-1+SUMPRODUCT(MAX(ROW(E$2:E614)*(E615=E$2:E614)))))</f>
        <v>OBJ_2</v>
      </c>
      <c r="J615" s="24" t="n">
        <f aca="true">IF(OR(E615="",E615="!!!",F615="NEW"),"",COUNTBLANK(OFFSET(A$1,,,SUMPRODUCT(MAX(ROW(E$2:E615)*(E615=E$2:E615)))))-COUNTBLANK(OFFSET(A$1,,,SUMPRODUCT(MAX(ROW(E$1:E614)*(E2=E$1:E614))))))</f>
        <v>0</v>
      </c>
      <c r="K615" s="24" t="n">
        <f aca="false">IF(OR(E615="",E615="!!!",F615="NEW"),"",INDEX(J$1:J614,SUMPRODUCT(MAX(ROW(E$1:E614)*(E615=E$1:E614)))))</f>
        <v>0</v>
      </c>
      <c r="L615" s="27" t="s">
        <v>512</v>
      </c>
    </row>
    <row r="616" customFormat="false" ht="14.25" hidden="false" customHeight="false" outlineLevel="0" collapsed="false">
      <c r="A616" s="0" t="s">
        <v>513</v>
      </c>
      <c r="E616" s="20" t="str">
        <f aca="false">IF(D616="?OLD","!!!","")</f>
        <v/>
      </c>
      <c r="F616" s="21" t="str">
        <f aca="false">IF(OR(E616="",E616="!!!"),"",IF(NOT(ISNA(VLOOKUP(E616,E$1:E615,1,FALSE()))),"OLD",IF(AND(E616&lt;&gt;"",E616&lt;&gt;"!!!"),"NEW","")))</f>
        <v/>
      </c>
      <c r="G616" s="22" t="str">
        <f aca="false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aca="false">IF(J616&lt;&gt;1,"",IF(I616="SBJ","CB","?"))</f>
        <v/>
      </c>
      <c r="I616" s="24" t="str">
        <f aca="false">IF(OR(E616="",E616="!!!",F616="NEW"),"",INDEX(B$2:B615,-1+SUMPRODUCT(MAX(ROW(E$2:E615)*(E616=E$2:E615)))))</f>
        <v/>
      </c>
      <c r="J616" s="24" t="str">
        <f aca="true">IF(OR(E616="",E616="!!!",F616="NEW"),"",COUNTBLANK(OFFSET(A$1,,,SUMPRODUCT(MAX(ROW(E$2:E616)*(E616=E$2:E616)))))-COUNTBLANK(OFFSET(A$1,,,SUMPRODUCT(MAX(ROW(E$1:E615)*(E2=E$1:E615))))))</f>
        <v/>
      </c>
      <c r="K616" s="24" t="str">
        <f aca="false">IF(OR(E616="",E616="!!!",F616="NEW"),"",INDEX(J$1:J615,SUMPRODUCT(MAX(ROW(E$1:E615)*(E616=E$1:E615)))))</f>
        <v/>
      </c>
      <c r="L616" s="25"/>
    </row>
    <row r="617" customFormat="false" ht="14.25" hidden="false" customHeight="false" outlineLevel="0" collapsed="false">
      <c r="A617" s="0" t="s">
        <v>155</v>
      </c>
      <c r="B617" s="26" t="s">
        <v>115</v>
      </c>
      <c r="C617" s="26" t="s">
        <v>111</v>
      </c>
      <c r="E617" s="20" t="str">
        <f aca="false">IF(D617="?OLD","!!!","")</f>
        <v/>
      </c>
      <c r="F617" s="21" t="str">
        <f aca="false">IF(OR(E617="",E617="!!!"),"",IF(NOT(ISNA(VLOOKUP(E617,E$1:E616,1,FALSE()))),"OLD",IF(AND(E617&lt;&gt;"",E617&lt;&gt;"!!!"),"NEW","")))</f>
        <v/>
      </c>
      <c r="G617" s="22" t="str">
        <f aca="false"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aca="false">IF(J617&lt;&gt;1,"",IF(I617="SBJ","CB","?"))</f>
        <v/>
      </c>
      <c r="I617" s="24" t="str">
        <f aca="false">IF(OR(E617="",E617="!!!",F617="NEW"),"",INDEX(B$2:B616,-1+SUMPRODUCT(MAX(ROW(E$2:E616)*(E617=E$2:E616)))))</f>
        <v/>
      </c>
      <c r="J617" s="24" t="str">
        <f aca="true">IF(OR(E617="",E617="!!!",F617="NEW"),"",COUNTBLANK(OFFSET(A$1,,,SUMPRODUCT(MAX(ROW(E$2:E617)*(E617=E$2:E617)))))-COUNTBLANK(OFFSET(A$1,,,SUMPRODUCT(MAX(ROW(E$1:E616)*(E2=E$1:E616))))))</f>
        <v/>
      </c>
      <c r="K617" s="24" t="str">
        <f aca="false">IF(OR(E617="",E617="!!!",F617="NEW"),"",INDEX(J$1:J616,SUMPRODUCT(MAX(ROW(E$1:E616)*(E617=E$1:E616)))))</f>
        <v/>
      </c>
      <c r="L617" s="25"/>
    </row>
    <row r="618" customFormat="false" ht="14.25" hidden="false" customHeight="false" outlineLevel="0" collapsed="false">
      <c r="A618" s="0" t="s">
        <v>514</v>
      </c>
      <c r="B618" s="26" t="s">
        <v>147</v>
      </c>
      <c r="C618" s="26" t="s">
        <v>105</v>
      </c>
      <c r="E618" s="20" t="str">
        <f aca="false">IF(D618="?OLD","!!!","")</f>
        <v/>
      </c>
      <c r="F618" s="21" t="str">
        <f aca="false">IF(OR(E618="",E618="!!!"),"",IF(NOT(ISNA(VLOOKUP(E618,E$1:E617,1,FALSE()))),"OLD",IF(AND(E618&lt;&gt;"",E618&lt;&gt;"!!!"),"NEW","")))</f>
        <v/>
      </c>
      <c r="G618" s="22" t="str">
        <f aca="false"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aca="false">IF(J618&lt;&gt;1,"",IF(I618="SBJ","CB","?"))</f>
        <v/>
      </c>
      <c r="I618" s="24" t="str">
        <f aca="false">IF(OR(E618="",E618="!!!",F618="NEW"),"",INDEX(B$2:B617,-1+SUMPRODUCT(MAX(ROW(E$2:E617)*(E618=E$2:E617)))))</f>
        <v/>
      </c>
      <c r="J618" s="24" t="str">
        <f aca="true">IF(OR(E618="",E618="!!!",F618="NEW"),"",COUNTBLANK(OFFSET(A$1,,,SUMPRODUCT(MAX(ROW(E$2:E618)*(E618=E$2:E618)))))-COUNTBLANK(OFFSET(A$1,,,SUMPRODUCT(MAX(ROW(E$1:E617)*(E2=E$1:E617))))))</f>
        <v/>
      </c>
      <c r="K618" s="24" t="str">
        <f aca="false">IF(OR(E618="",E618="!!!",F618="NEW"),"",INDEX(J$1:J617,SUMPRODUCT(MAX(ROW(E$1:E617)*(E618=E$1:E617)))))</f>
        <v/>
      </c>
      <c r="L618" s="25"/>
    </row>
    <row r="619" customFormat="false" ht="14.25" hidden="false" customHeight="false" outlineLevel="0" collapsed="false">
      <c r="A619" s="0" t="s">
        <v>86</v>
      </c>
      <c r="E619" s="20" t="str">
        <f aca="false">IF(D619="?OLD","!!!","")</f>
        <v/>
      </c>
      <c r="F619" s="21" t="str">
        <f aca="false">IF(OR(E619="",E619="!!!"),"",IF(NOT(ISNA(VLOOKUP(E619,E$1:E618,1,FALSE()))),"OLD",IF(AND(E619&lt;&gt;"",E619&lt;&gt;"!!!"),"NEW","")))</f>
        <v/>
      </c>
      <c r="G619" s="22" t="str">
        <f aca="false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aca="false">IF(J619&lt;&gt;1,"",IF(I619="SBJ","CB","?"))</f>
        <v/>
      </c>
      <c r="I619" s="24" t="str">
        <f aca="false">IF(OR(E619="",E619="!!!",F619="NEW"),"",INDEX(B$2:B618,-1+SUMPRODUCT(MAX(ROW(E$2:E618)*(E619=E$2:E618)))))</f>
        <v/>
      </c>
      <c r="J619" s="24" t="str">
        <f aca="true">IF(OR(E619="",E619="!!!",F619="NEW"),"",COUNTBLANK(OFFSET(A$1,,,SUMPRODUCT(MAX(ROW(E$2:E619)*(E619=E$2:E619)))))-COUNTBLANK(OFFSET(A$1,,,SUMPRODUCT(MAX(ROW(E$1:E618)*(E2=E$1:E618))))))</f>
        <v/>
      </c>
      <c r="K619" s="24" t="str">
        <f aca="false">IF(OR(E619="",E619="!!!",F619="NEW"),"",INDEX(J$1:J618,SUMPRODUCT(MAX(ROW(E$1:E618)*(E619=E$1:E618)))))</f>
        <v/>
      </c>
      <c r="L619" s="25"/>
    </row>
    <row r="620" customFormat="false" ht="14.25" hidden="false" customHeight="false" outlineLevel="0" collapsed="false">
      <c r="A620" s="0" t="s">
        <v>515</v>
      </c>
      <c r="E620" s="20" t="str">
        <f aca="false">IF(D620="?OLD","!!!","")</f>
        <v/>
      </c>
      <c r="F620" s="21" t="str">
        <f aca="false">IF(OR(E620="",E620="!!!"),"",IF(NOT(ISNA(VLOOKUP(E620,E$1:E619,1,FALSE()))),"OLD",IF(AND(E620&lt;&gt;"",E620&lt;&gt;"!!!"),"NEW","")))</f>
        <v/>
      </c>
      <c r="G620" s="22" t="str">
        <f aca="false"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aca="false">IF(J620&lt;&gt;1,"",IF(I620="SBJ","CB","?"))</f>
        <v/>
      </c>
      <c r="I620" s="24" t="str">
        <f aca="false">IF(OR(E620="",E620="!!!",F620="NEW"),"",INDEX(B$2:B619,-1+SUMPRODUCT(MAX(ROW(E$2:E619)*(E620=E$2:E619)))))</f>
        <v/>
      </c>
      <c r="J620" s="24" t="str">
        <f aca="true">IF(OR(E620="",E620="!!!",F620="NEW"),"",COUNTBLANK(OFFSET(A$1,,,SUMPRODUCT(MAX(ROW(E$2:E620)*(E620=E$2:E620)))))-COUNTBLANK(OFFSET(A$1,,,SUMPRODUCT(MAX(ROW(E$1:E619)*(E2=E$1:E619))))))</f>
        <v/>
      </c>
      <c r="K620" s="24" t="str">
        <f aca="false">IF(OR(E620="",E620="!!!",F620="NEW"),"",INDEX(J$1:J619,SUMPRODUCT(MAX(ROW(E$1:E619)*(E620=E$1:E619)))))</f>
        <v/>
      </c>
      <c r="L620" s="25"/>
    </row>
    <row r="621" customFormat="false" ht="14.25" hidden="false" customHeight="false" outlineLevel="0" collapsed="false">
      <c r="A621" s="0" t="s">
        <v>80</v>
      </c>
      <c r="E621" s="20" t="str">
        <f aca="false">IF(D621="?OLD","!!!","")</f>
        <v/>
      </c>
      <c r="F621" s="21" t="str">
        <f aca="false">IF(OR(E621="",E621="!!!"),"",IF(NOT(ISNA(VLOOKUP(E621,E$1:E620,1,FALSE()))),"OLD",IF(AND(E621&lt;&gt;"",E621&lt;&gt;"!!!"),"NEW","")))</f>
        <v/>
      </c>
      <c r="G621" s="22" t="str">
        <f aca="false"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aca="false">IF(J621&lt;&gt;1,"",IF(I621="SBJ","CB","?"))</f>
        <v/>
      </c>
      <c r="I621" s="24" t="str">
        <f aca="false">IF(OR(E621="",E621="!!!",F621="NEW"),"",INDEX(B$2:B620,-1+SUMPRODUCT(MAX(ROW(E$2:E620)*(E621=E$2:E620)))))</f>
        <v/>
      </c>
      <c r="J621" s="24" t="str">
        <f aca="true">IF(OR(E621="",E621="!!!",F621="NEW"),"",COUNTBLANK(OFFSET(A$1,,,SUMPRODUCT(MAX(ROW(E$2:E621)*(E621=E$2:E621)))))-COUNTBLANK(OFFSET(A$1,,,SUMPRODUCT(MAX(ROW(E$1:E620)*(E2=E$1:E620))))))</f>
        <v/>
      </c>
      <c r="K621" s="24" t="str">
        <f aca="false">IF(OR(E621="",E621="!!!",F621="NEW"),"",INDEX(J$1:J620,SUMPRODUCT(MAX(ROW(E$1:E620)*(E621=E$1:E620)))))</f>
        <v/>
      </c>
      <c r="L621" s="25"/>
    </row>
    <row r="622" customFormat="false" ht="14.25" hidden="false" customHeight="false" outlineLevel="0" collapsed="false">
      <c r="A622" s="0" t="s">
        <v>516</v>
      </c>
      <c r="B622" s="26" t="s">
        <v>82</v>
      </c>
      <c r="C622" s="26" t="s">
        <v>517</v>
      </c>
      <c r="D622" s="26" t="s">
        <v>75</v>
      </c>
      <c r="E622" s="20" t="n">
        <v>2012</v>
      </c>
      <c r="F622" s="21" t="str">
        <f aca="false">IF(OR(E622="",E622="!!!"),"",IF(NOT(ISNA(VLOOKUP(E622,E$1:E621,1,FALSE()))),"OLD",IF(AND(E622&lt;&gt;"",E622&lt;&gt;"!!!"),"NEW","")))</f>
        <v>NEW</v>
      </c>
      <c r="G622" s="22" t="str">
        <f aca="false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?REFERENTIAL</v>
      </c>
      <c r="H622" s="23" t="str">
        <f aca="false">IF(J622&lt;&gt;1,"",IF(I622="SBJ","CB","?"))</f>
        <v/>
      </c>
      <c r="I622" s="24" t="str">
        <f aca="false">IF(OR(E622="",E622="!!!",F622="NEW"),"",INDEX(B$2:B621,-1+SUMPRODUCT(MAX(ROW(E$2:E621)*(E622=E$2:E621)))))</f>
        <v/>
      </c>
      <c r="J622" s="24" t="str">
        <f aca="true">IF(OR(E622="",E622="!!!",F622="NEW"),"",COUNTBLANK(OFFSET(A$1,,,SUMPRODUCT(MAX(ROW(E$2:E622)*(E622=E$2:E622)))))-COUNTBLANK(OFFSET(A$1,,,SUMPRODUCT(MAX(ROW(E$1:E621)*(E2=E$1:E621))))))</f>
        <v/>
      </c>
      <c r="K622" s="24" t="str">
        <f aca="false">IF(OR(E622="",E622="!!!",F622="NEW"),"",INDEX(J$1:J621,SUMPRODUCT(MAX(ROW(E$1:E621)*(E622=E$1:E621)))))</f>
        <v/>
      </c>
      <c r="L622" s="27" t="s">
        <v>240</v>
      </c>
    </row>
    <row r="623" customFormat="false" ht="14.25" hidden="false" customHeight="false" outlineLevel="0" collapsed="false">
      <c r="A623" s="0" t="s">
        <v>518</v>
      </c>
      <c r="E623" s="20" t="str">
        <f aca="false">IF(D623="?OLD","!!!","")</f>
        <v/>
      </c>
      <c r="F623" s="21" t="str">
        <f aca="false">IF(OR(E623="",E623="!!!"),"",IF(NOT(ISNA(VLOOKUP(E623,E$1:E622,1,FALSE()))),"OLD",IF(AND(E623&lt;&gt;"",E623&lt;&gt;"!!!"),"NEW","")))</f>
        <v/>
      </c>
      <c r="G623" s="22" t="str">
        <f aca="false"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aca="false">IF(J623&lt;&gt;1,"",IF(I623="SBJ","CB","?"))</f>
        <v/>
      </c>
      <c r="I623" s="24" t="str">
        <f aca="false">IF(OR(E623="",E623="!!!",F623="NEW"),"",INDEX(B$2:B622,-1+SUMPRODUCT(MAX(ROW(E$2:E622)*(E623=E$2:E622)))))</f>
        <v/>
      </c>
      <c r="J623" s="24" t="str">
        <f aca="true">IF(OR(E623="",E623="!!!",F623="NEW"),"",COUNTBLANK(OFFSET(A$1,,,SUMPRODUCT(MAX(ROW(E$2:E623)*(E623=E$2:E623)))))-COUNTBLANK(OFFSET(A$1,,,SUMPRODUCT(MAX(ROW(E$1:E622)*(E2=E$1:E622))))))</f>
        <v/>
      </c>
      <c r="K623" s="24" t="str">
        <f aca="false">IF(OR(E623="",E623="!!!",F623="NEW"),"",INDEX(J$1:J622,SUMPRODUCT(MAX(ROW(E$1:E622)*(E623=E$1:E622)))))</f>
        <v/>
      </c>
      <c r="L623" s="25"/>
    </row>
    <row r="624" customFormat="false" ht="14.25" hidden="false" customHeight="false" outlineLevel="0" collapsed="false">
      <c r="A624" s="0" t="s">
        <v>181</v>
      </c>
      <c r="E624" s="20" t="str">
        <f aca="false">IF(D624="?OLD","!!!","")</f>
        <v/>
      </c>
      <c r="F624" s="21" t="str">
        <f aca="false">IF(OR(E624="",E624="!!!"),"",IF(NOT(ISNA(VLOOKUP(E624,E$1:E623,1,FALSE()))),"OLD",IF(AND(E624&lt;&gt;"",E624&lt;&gt;"!!!"),"NEW","")))</f>
        <v/>
      </c>
      <c r="G624" s="22" t="str">
        <f aca="false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aca="false">IF(J624&lt;&gt;1,"",IF(I624="SBJ","CB","?"))</f>
        <v/>
      </c>
      <c r="I624" s="24" t="str">
        <f aca="false">IF(OR(E624="",E624="!!!",F624="NEW"),"",INDEX(B$2:B623,-1+SUMPRODUCT(MAX(ROW(E$2:E623)*(E624=E$2:E623)))))</f>
        <v/>
      </c>
      <c r="J624" s="24" t="str">
        <f aca="true">IF(OR(E624="",E624="!!!",F624="NEW"),"",COUNTBLANK(OFFSET(A$1,,,SUMPRODUCT(MAX(ROW(E$2:E624)*(E624=E$2:E624)))))-COUNTBLANK(OFFSET(A$1,,,SUMPRODUCT(MAX(ROW(E$1:E623)*(E2=E$1:E623))))))</f>
        <v/>
      </c>
      <c r="K624" s="24" t="str">
        <f aca="false">IF(OR(E624="",E624="!!!",F624="NEW"),"",INDEX(J$1:J623,SUMPRODUCT(MAX(ROW(E$1:E623)*(E624=E$1:E623)))))</f>
        <v/>
      </c>
      <c r="L624" s="25"/>
    </row>
    <row r="625" customFormat="false" ht="14.25" hidden="false" customHeight="false" outlineLevel="0" collapsed="false">
      <c r="A625" s="0" t="s">
        <v>519</v>
      </c>
      <c r="B625" s="26" t="s">
        <v>96</v>
      </c>
      <c r="C625" s="26" t="s">
        <v>283</v>
      </c>
      <c r="D625" s="26" t="s">
        <v>75</v>
      </c>
      <c r="E625" s="20" t="s">
        <v>520</v>
      </c>
      <c r="F625" s="21" t="str">
        <f aca="false">IF(OR(E625="",E625="!!!"),"",IF(NOT(ISNA(VLOOKUP(E625,E$1:E624,1,FALSE()))),"OLD",IF(AND(E625&lt;&gt;"",E625&lt;&gt;"!!!"),"NEW","")))</f>
        <v>NEW</v>
      </c>
      <c r="G625" s="22" t="str">
        <f aca="false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?REFERENTIAL</v>
      </c>
      <c r="H625" s="23" t="str">
        <f aca="false">IF(J625&lt;&gt;1,"",IF(I625="SBJ","CB","?"))</f>
        <v/>
      </c>
      <c r="I625" s="24" t="str">
        <f aca="false">IF(OR(E625="",E625="!!!",F625="NEW"),"",INDEX(B$2:B624,-1+SUMPRODUCT(MAX(ROW(E$2:E624)*(E625=E$2:E624)))))</f>
        <v/>
      </c>
      <c r="J625" s="24" t="str">
        <f aca="true">IF(OR(E625="",E625="!!!",F625="NEW"),"",COUNTBLANK(OFFSET(A$1,,,SUMPRODUCT(MAX(ROW(E$2:E625)*(E625=E$2:E625)))))-COUNTBLANK(OFFSET(A$1,,,SUMPRODUCT(MAX(ROW(E$1:E624)*(E2=E$1:E624))))))</f>
        <v/>
      </c>
      <c r="K625" s="24" t="str">
        <f aca="false">IF(OR(E625="",E625="!!!",F625="NEW"),"",INDEX(J$1:J624,SUMPRODUCT(MAX(ROW(E$1:E624)*(E625=E$1:E624)))))</f>
        <v/>
      </c>
      <c r="L625" s="25"/>
    </row>
    <row r="626" customFormat="false" ht="14.25" hidden="false" customHeight="false" outlineLevel="0" collapsed="false">
      <c r="A626" s="0" t="s">
        <v>521</v>
      </c>
      <c r="E626" s="20" t="str">
        <f aca="false">IF(D626="?OLD","!!!","")</f>
        <v/>
      </c>
      <c r="F626" s="21" t="str">
        <f aca="false">IF(OR(E626="",E626="!!!"),"",IF(NOT(ISNA(VLOOKUP(E626,E$1:E625,1,FALSE()))),"OLD",IF(AND(E626&lt;&gt;"",E626&lt;&gt;"!!!"),"NEW","")))</f>
        <v/>
      </c>
      <c r="G626" s="22" t="str">
        <f aca="false"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aca="false">IF(J626&lt;&gt;1,"",IF(I626="SBJ","CB","?"))</f>
        <v/>
      </c>
      <c r="I626" s="24" t="str">
        <f aca="false">IF(OR(E626="",E626="!!!",F626="NEW"),"",INDEX(B$2:B625,-1+SUMPRODUCT(MAX(ROW(E$2:E625)*(E626=E$2:E625)))))</f>
        <v/>
      </c>
      <c r="J626" s="24" t="str">
        <f aca="true">IF(OR(E626="",E626="!!!",F626="NEW"),"",COUNTBLANK(OFFSET(A$1,,,SUMPRODUCT(MAX(ROW(E$2:E626)*(E626=E$2:E626)))))-COUNTBLANK(OFFSET(A$1,,,SUMPRODUCT(MAX(ROW(E$1:E625)*(E2=E$1:E625))))))</f>
        <v/>
      </c>
      <c r="K626" s="24" t="str">
        <f aca="false">IF(OR(E626="",E626="!!!",F626="NEW"),"",INDEX(J$1:J625,SUMPRODUCT(MAX(ROW(E$1:E625)*(E626=E$1:E625)))))</f>
        <v/>
      </c>
      <c r="L626" s="25"/>
    </row>
    <row r="627" customFormat="false" ht="14.25" hidden="false" customHeight="false" outlineLevel="0" collapsed="false">
      <c r="A627" s="0" t="s">
        <v>522</v>
      </c>
      <c r="E627" s="20" t="str">
        <f aca="false">IF(D627="?OLD","!!!","")</f>
        <v/>
      </c>
      <c r="F627" s="21" t="str">
        <f aca="false">IF(OR(E627="",E627="!!!"),"",IF(NOT(ISNA(VLOOKUP(E627,E$1:E626,1,FALSE()))),"OLD",IF(AND(E627&lt;&gt;"",E627&lt;&gt;"!!!"),"NEW","")))</f>
        <v/>
      </c>
      <c r="G627" s="22" t="str">
        <f aca="false"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aca="false">IF(J627&lt;&gt;1,"",IF(I627="SBJ","CB","?"))</f>
        <v/>
      </c>
      <c r="I627" s="24" t="str">
        <f aca="false">IF(OR(E627="",E627="!!!",F627="NEW"),"",INDEX(B$2:B626,-1+SUMPRODUCT(MAX(ROW(E$2:E626)*(E627=E$2:E626)))))</f>
        <v/>
      </c>
      <c r="J627" s="24" t="str">
        <f aca="true">IF(OR(E627="",E627="!!!",F627="NEW"),"",COUNTBLANK(OFFSET(A$1,,,SUMPRODUCT(MAX(ROW(E$2:E627)*(E627=E$2:E627)))))-COUNTBLANK(OFFSET(A$1,,,SUMPRODUCT(MAX(ROW(E$1:E626)*(E2=E$1:E626))))))</f>
        <v/>
      </c>
      <c r="K627" s="24" t="str">
        <f aca="false">IF(OR(E627="",E627="!!!",F627="NEW"),"",INDEX(J$1:J626,SUMPRODUCT(MAX(ROW(E$1:E626)*(E627=E$1:E626)))))</f>
        <v/>
      </c>
      <c r="L627" s="25"/>
    </row>
    <row r="628" customFormat="false" ht="14.25" hidden="false" customHeight="false" outlineLevel="0" collapsed="false">
      <c r="A628" s="0" t="s">
        <v>523</v>
      </c>
      <c r="B628" s="26" t="s">
        <v>110</v>
      </c>
      <c r="C628" s="26" t="s">
        <v>119</v>
      </c>
      <c r="E628" s="20" t="str">
        <f aca="false">IF(D628="?OLD","!!!","")</f>
        <v/>
      </c>
      <c r="F628" s="21" t="str">
        <f aca="false">IF(OR(E628="",E628="!!!"),"",IF(NOT(ISNA(VLOOKUP(E628,E$1:E627,1,FALSE()))),"OLD",IF(AND(E628&lt;&gt;"",E628&lt;&gt;"!!!"),"NEW","")))</f>
        <v/>
      </c>
      <c r="G628" s="22" t="str">
        <f aca="false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aca="false">IF(J628&lt;&gt;1,"",IF(I628="SBJ","CB","?"))</f>
        <v/>
      </c>
      <c r="I628" s="24" t="str">
        <f aca="false">IF(OR(E628="",E628="!!!",F628="NEW"),"",INDEX(B$2:B627,-1+SUMPRODUCT(MAX(ROW(E$2:E627)*(E628=E$2:E627)))))</f>
        <v/>
      </c>
      <c r="J628" s="24" t="str">
        <f aca="true">IF(OR(E628="",E628="!!!",F628="NEW"),"",COUNTBLANK(OFFSET(A$1,,,SUMPRODUCT(MAX(ROW(E$2:E628)*(E628=E$2:E628)))))-COUNTBLANK(OFFSET(A$1,,,SUMPRODUCT(MAX(ROW(E$1:E627)*(E2=E$1:E627))))))</f>
        <v/>
      </c>
      <c r="K628" s="24" t="str">
        <f aca="false">IF(OR(E628="",E628="!!!",F628="NEW"),"",INDEX(J$1:J627,SUMPRODUCT(MAX(ROW(E$1:E627)*(E628=E$1:E627)))))</f>
        <v/>
      </c>
      <c r="L628" s="25"/>
    </row>
    <row r="629" customFormat="false" ht="14.25" hidden="false" customHeight="false" outlineLevel="0" collapsed="false">
      <c r="A629" s="0" t="s">
        <v>79</v>
      </c>
      <c r="E629" s="20" t="str">
        <f aca="false">IF(D629="?OLD","!!!","")</f>
        <v/>
      </c>
      <c r="F629" s="21" t="str">
        <f aca="false">IF(OR(E629="",E629="!!!"),"",IF(NOT(ISNA(VLOOKUP(E629,E$1:E628,1,FALSE()))),"OLD",IF(AND(E629&lt;&gt;"",E629&lt;&gt;"!!!"),"NEW","")))</f>
        <v/>
      </c>
      <c r="G629" s="22" t="str">
        <f aca="false"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aca="false">IF(J629&lt;&gt;1,"",IF(I629="SBJ","CB","?"))</f>
        <v/>
      </c>
      <c r="I629" s="24" t="str">
        <f aca="false">IF(OR(E629="",E629="!!!",F629="NEW"),"",INDEX(B$2:B628,-1+SUMPRODUCT(MAX(ROW(E$2:E628)*(E629=E$2:E628)))))</f>
        <v/>
      </c>
      <c r="J629" s="24" t="str">
        <f aca="true">IF(OR(E629="",E629="!!!",F629="NEW"),"",COUNTBLANK(OFFSET(A$1,,,SUMPRODUCT(MAX(ROW(E$2:E629)*(E629=E$2:E629)))))-COUNTBLANK(OFFSET(A$1,,,SUMPRODUCT(MAX(ROW(E$1:E628)*(E2=E$1:E628))))))</f>
        <v/>
      </c>
      <c r="K629" s="24" t="str">
        <f aca="false">IF(OR(E629="",E629="!!!",F629="NEW"),"",INDEX(J$1:J628,SUMPRODUCT(MAX(ROW(E$1:E628)*(E629=E$1:E628)))))</f>
        <v/>
      </c>
      <c r="L629" s="25"/>
    </row>
    <row r="630" customFormat="false" ht="14.25" hidden="false" customHeight="false" outlineLevel="0" collapsed="false">
      <c r="A630" s="0" t="s">
        <v>136</v>
      </c>
      <c r="E630" s="20" t="str">
        <f aca="false">IF(D630="?OLD","!!!","")</f>
        <v/>
      </c>
      <c r="F630" s="21" t="str">
        <f aca="false">IF(OR(E630="",E630="!!!"),"",IF(NOT(ISNA(VLOOKUP(E630,E$1:E629,1,FALSE()))),"OLD",IF(AND(E630&lt;&gt;"",E630&lt;&gt;"!!!"),"NEW","")))</f>
        <v/>
      </c>
      <c r="G630" s="22" t="str">
        <f aca="false"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aca="false">IF(J630&lt;&gt;1,"",IF(I630="SBJ","CB","?"))</f>
        <v/>
      </c>
      <c r="I630" s="24" t="str">
        <f aca="false">IF(OR(E630="",E630="!!!",F630="NEW"),"",INDEX(B$2:B629,-1+SUMPRODUCT(MAX(ROW(E$2:E629)*(E630=E$2:E629)))))</f>
        <v/>
      </c>
      <c r="J630" s="24" t="str">
        <f aca="true">IF(OR(E630="",E630="!!!",F630="NEW"),"",COUNTBLANK(OFFSET(A$1,,,SUMPRODUCT(MAX(ROW(E$2:E630)*(E630=E$2:E630)))))-COUNTBLANK(OFFSET(A$1,,,SUMPRODUCT(MAX(ROW(E$1:E629)*(E2=E$1:E629))))))</f>
        <v/>
      </c>
      <c r="K630" s="24" t="str">
        <f aca="false">IF(OR(E630="",E630="!!!",F630="NEW"),"",INDEX(J$1:J629,SUMPRODUCT(MAX(ROW(E$1:E629)*(E630=E$1:E629)))))</f>
        <v/>
      </c>
      <c r="L630" s="25"/>
    </row>
    <row r="631" customFormat="false" ht="14.25" hidden="false" customHeight="false" outlineLevel="0" collapsed="false">
      <c r="A631" s="0" t="s">
        <v>524</v>
      </c>
      <c r="B631" s="26" t="s">
        <v>147</v>
      </c>
      <c r="C631" s="26" t="s">
        <v>283</v>
      </c>
      <c r="D631" s="26" t="s">
        <v>75</v>
      </c>
      <c r="E631" s="20" t="s">
        <v>525</v>
      </c>
      <c r="F631" s="21" t="str">
        <f aca="false">IF(OR(E631="",E631="!!!"),"",IF(NOT(ISNA(VLOOKUP(E631,E$1:E630,1,FALSE()))),"OLD",IF(AND(E631&lt;&gt;"",E631&lt;&gt;"!!!"),"NEW","")))</f>
        <v>NEW</v>
      </c>
      <c r="G631" s="22"/>
      <c r="H631" s="23" t="str">
        <f aca="false">IF(J631&lt;&gt;1,"",IF(I631="SBJ","CB","?"))</f>
        <v/>
      </c>
      <c r="I631" s="24" t="str">
        <f aca="false">IF(OR(E631="",E631="!!!",F631="NEW"),"",INDEX(B$2:B630,-1+SUMPRODUCT(MAX(ROW(E$2:E630)*(E631=E$2:E630)))))</f>
        <v/>
      </c>
      <c r="J631" s="24" t="str">
        <f aca="true">IF(OR(E631="",E631="!!!",F631="NEW"),"",COUNTBLANK(OFFSET(A$1,,,SUMPRODUCT(MAX(ROW(E$2:E631)*(E631=E$2:E631)))))-COUNTBLANK(OFFSET(A$1,,,SUMPRODUCT(MAX(ROW(E$1:E630)*(E2=E$1:E630))))))</f>
        <v/>
      </c>
      <c r="K631" s="24" t="str">
        <f aca="false">IF(OR(E631="",E631="!!!",F631="NEW"),"",INDEX(J$1:J630,SUMPRODUCT(MAX(ROW(E$1:E630)*(E631=E$1:E630)))))</f>
        <v/>
      </c>
      <c r="L631" s="25"/>
    </row>
    <row r="632" customFormat="false" ht="14.25" hidden="false" customHeight="false" outlineLevel="0" collapsed="false">
      <c r="A632" s="0" t="s">
        <v>16</v>
      </c>
      <c r="E632" s="20" t="str">
        <f aca="false">IF(D632="?OLD","!!!","")</f>
        <v/>
      </c>
      <c r="F632" s="21" t="str">
        <f aca="false">IF(OR(E632="",E632="!!!"),"",IF(NOT(ISNA(VLOOKUP(E632,E$1:E631,1,FALSE()))),"OLD",IF(AND(E632&lt;&gt;"",E632&lt;&gt;"!!!"),"NEW","")))</f>
        <v/>
      </c>
      <c r="G632" s="22" t="str">
        <f aca="false"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aca="false">IF(J632&lt;&gt;1,"",IF(I632="SBJ","CB","?"))</f>
        <v/>
      </c>
      <c r="I632" s="24" t="str">
        <f aca="false">IF(OR(E632="",E632="!!!",F632="NEW"),"",INDEX(B$2:B631,-1+SUMPRODUCT(MAX(ROW(E$2:E631)*(E632=E$2:E631)))))</f>
        <v/>
      </c>
      <c r="J632" s="24" t="str">
        <f aca="true">IF(OR(E632="",E632="!!!",F632="NEW"),"",COUNTBLANK(OFFSET(A$1,,,SUMPRODUCT(MAX(ROW(E$2:E632)*(E632=E$2:E632)))))-COUNTBLANK(OFFSET(A$1,,,SUMPRODUCT(MAX(ROW(E$1:E631)*(E2=E$1:E631))))))</f>
        <v/>
      </c>
      <c r="K632" s="24" t="str">
        <f aca="false">IF(OR(E632="",E632="!!!",F632="NEW"),"",INDEX(J$1:J631,SUMPRODUCT(MAX(ROW(E$1:E631)*(E632=E$1:E631)))))</f>
        <v/>
      </c>
      <c r="L632" s="25"/>
    </row>
    <row r="633" customFormat="false" ht="14.25" hidden="false" customHeight="false" outlineLevel="0" collapsed="false">
      <c r="A633" s="0" t="s">
        <v>526</v>
      </c>
      <c r="E633" s="20"/>
      <c r="F633" s="21" t="str">
        <f aca="false">IF(OR(E633="",E633="!!!"),"",IF(NOT(ISNA(VLOOKUP(E633,E$1:E632,1,FALSE()))),"OLD",IF(AND(E633&lt;&gt;"",E633&lt;&gt;"!!!"),"NEW","")))</f>
        <v/>
      </c>
      <c r="G633" s="22" t="str">
        <f aca="false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aca="false">IF(J633&lt;&gt;1,"",IF(I633="SBJ","CB","?"))</f>
        <v/>
      </c>
      <c r="I633" s="24" t="str">
        <f aca="false">IF(OR(E633="",E633="!!!",F633="NEW"),"",INDEX(B$2:B632,-1+SUMPRODUCT(MAX(ROW(E$2:E632)*(E633=E$2:E632)))))</f>
        <v/>
      </c>
      <c r="J633" s="24" t="str">
        <f aca="true">IF(OR(E633="",E633="!!!",F633="NEW"),"",COUNTBLANK(OFFSET(A$1,,,SUMPRODUCT(MAX(ROW(E$2:E633)*(E633=E$2:E633)))))-COUNTBLANK(OFFSET(A$1,,,SUMPRODUCT(MAX(ROW(E$1:E632)*(E2=E$1:E632))))))</f>
        <v/>
      </c>
      <c r="K633" s="24" t="str">
        <f aca="false">IF(OR(E633="",E633="!!!",F633="NEW"),"",INDEX(J$1:J632,SUMPRODUCT(MAX(ROW(E$1:E632)*(E633=E$1:E632)))))</f>
        <v/>
      </c>
      <c r="L633" s="25"/>
    </row>
    <row r="634" customFormat="false" ht="14.25" hidden="false" customHeight="false" outlineLevel="0" collapsed="false">
      <c r="A634" s="0" t="s">
        <v>527</v>
      </c>
      <c r="E634" s="20" t="str">
        <f aca="false">IF(D634="?OLD","!!!","")</f>
        <v/>
      </c>
      <c r="F634" s="21" t="str">
        <f aca="false">IF(OR(E634="",E634="!!!"),"",IF(NOT(ISNA(VLOOKUP(E634,E$1:E633,1,FALSE()))),"OLD",IF(AND(E634&lt;&gt;"",E634&lt;&gt;"!!!"),"NEW","")))</f>
        <v/>
      </c>
      <c r="G634" s="22" t="str">
        <f aca="false"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aca="false">IF(J634&lt;&gt;1,"",IF(I634="SBJ","CB","?"))</f>
        <v/>
      </c>
      <c r="I634" s="24" t="str">
        <f aca="false">IF(OR(E634="",E634="!!!",F634="NEW"),"",INDEX(B$2:B633,-1+SUMPRODUCT(MAX(ROW(E$2:E633)*(E634=E$2:E633)))))</f>
        <v/>
      </c>
      <c r="J634" s="24" t="str">
        <f aca="true">IF(OR(E634="",E634="!!!",F634="NEW"),"",COUNTBLANK(OFFSET(A$1,,,SUMPRODUCT(MAX(ROW(E$2:E634)*(E634=E$2:E634)))))-COUNTBLANK(OFFSET(A$1,,,SUMPRODUCT(MAX(ROW(E$1:E633)*(E2=E$1:E633))))))</f>
        <v/>
      </c>
      <c r="K634" s="24" t="str">
        <f aca="false">IF(OR(E634="",E634="!!!",F634="NEW"),"",INDEX(J$1:J633,SUMPRODUCT(MAX(ROW(E$1:E633)*(E634=E$1:E633)))))</f>
        <v/>
      </c>
      <c r="L634" s="25"/>
    </row>
    <row r="635" customFormat="false" ht="14.25" hidden="false" customHeight="false" outlineLevel="0" collapsed="false">
      <c r="A635" s="0" t="s">
        <v>142</v>
      </c>
      <c r="E635" s="20" t="str">
        <f aca="false">IF(D635="?OLD","!!!","")</f>
        <v/>
      </c>
      <c r="F635" s="21" t="str">
        <f aca="false">IF(OR(E635="",E635="!!!"),"",IF(NOT(ISNA(VLOOKUP(E635,E$1:E634,1,FALSE()))),"OLD",IF(AND(E635&lt;&gt;"",E635&lt;&gt;"!!!"),"NEW","")))</f>
        <v/>
      </c>
      <c r="G635" s="22" t="str">
        <f aca="false"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aca="false">IF(J635&lt;&gt;1,"",IF(I635="SBJ","CB","?"))</f>
        <v/>
      </c>
      <c r="I635" s="24" t="str">
        <f aca="false">IF(OR(E635="",E635="!!!",F635="NEW"),"",INDEX(B$2:B634,-1+SUMPRODUCT(MAX(ROW(E$2:E634)*(E635=E$2:E634)))))</f>
        <v/>
      </c>
      <c r="J635" s="24" t="str">
        <f aca="true">IF(OR(E635="",E635="!!!",F635="NEW"),"",COUNTBLANK(OFFSET(A$1,,,SUMPRODUCT(MAX(ROW(E$2:E635)*(E635=E$2:E635)))))-COUNTBLANK(OFFSET(A$1,,,SUMPRODUCT(MAX(ROW(E$1:E634)*(E2=E$1:E634))))))</f>
        <v/>
      </c>
      <c r="K635" s="24" t="str">
        <f aca="false">IF(OR(E635="",E635="!!!",F635="NEW"),"",INDEX(J$1:J634,SUMPRODUCT(MAX(ROW(E$1:E634)*(E635=E$1:E634)))))</f>
        <v/>
      </c>
      <c r="L635" s="25"/>
    </row>
    <row r="636" customFormat="false" ht="14.25" hidden="false" customHeight="false" outlineLevel="0" collapsed="false">
      <c r="A636" s="0" t="s">
        <v>528</v>
      </c>
      <c r="E636" s="20" t="str">
        <f aca="false">IF(D636="?OLD","!!!","")</f>
        <v/>
      </c>
      <c r="F636" s="21" t="str">
        <f aca="false">IF(OR(E636="",E636="!!!"),"",IF(NOT(ISNA(VLOOKUP(E636,E$1:E635,1,FALSE()))),"OLD",IF(AND(E636&lt;&gt;"",E636&lt;&gt;"!!!"),"NEW","")))</f>
        <v/>
      </c>
      <c r="G636" s="22" t="str">
        <f aca="false"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aca="false">IF(J636&lt;&gt;1,"",IF(I636="SBJ","CB","?"))</f>
        <v/>
      </c>
      <c r="I636" s="24" t="str">
        <f aca="false">IF(OR(E636="",E636="!!!",F636="NEW"),"",INDEX(B$2:B635,-1+SUMPRODUCT(MAX(ROW(E$2:E635)*(E636=E$2:E635)))))</f>
        <v/>
      </c>
      <c r="J636" s="24" t="str">
        <f aca="true">IF(OR(E636="",E636="!!!",F636="NEW"),"",COUNTBLANK(OFFSET(A$1,,,SUMPRODUCT(MAX(ROW(E$2:E636)*(E636=E$2:E636)))))-COUNTBLANK(OFFSET(A$1,,,SUMPRODUCT(MAX(ROW(E$1:E635)*(E2=E$1:E635))))))</f>
        <v/>
      </c>
      <c r="K636" s="24" t="str">
        <f aca="false">IF(OR(E636="",E636="!!!",F636="NEW"),"",INDEX(J$1:J635,SUMPRODUCT(MAX(ROW(E$1:E635)*(E636=E$1:E635)))))</f>
        <v/>
      </c>
      <c r="L636" s="25"/>
    </row>
    <row r="637" customFormat="false" ht="14.25" hidden="false" customHeight="false" outlineLevel="0" collapsed="false">
      <c r="A637" s="0" t="s">
        <v>529</v>
      </c>
      <c r="E637" s="20" t="str">
        <f aca="false">IF(D637="?OLD","!!!","")</f>
        <v/>
      </c>
      <c r="F637" s="21" t="str">
        <f aca="false">IF(OR(E637="",E637="!!!"),"",IF(NOT(ISNA(VLOOKUP(E637,E$1:E636,1,FALSE()))),"OLD",IF(AND(E637&lt;&gt;"",E637&lt;&gt;"!!!"),"NEW","")))</f>
        <v/>
      </c>
      <c r="G637" s="22" t="str">
        <f aca="false"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aca="false">IF(J637&lt;&gt;1,"",IF(I637="SBJ","CB","?"))</f>
        <v/>
      </c>
      <c r="I637" s="24" t="str">
        <f aca="false">IF(OR(E637="",E637="!!!",F637="NEW"),"",INDEX(B$2:B636,-1+SUMPRODUCT(MAX(ROW(E$2:E636)*(E637=E$2:E636)))))</f>
        <v/>
      </c>
      <c r="J637" s="24" t="str">
        <f aca="true">IF(OR(E637="",E637="!!!",F637="NEW"),"",COUNTBLANK(OFFSET(A$1,,,SUMPRODUCT(MAX(ROW(E$2:E637)*(E637=E$2:E637)))))-COUNTBLANK(OFFSET(A$1,,,SUMPRODUCT(MAX(ROW(E$1:E636)*(E2=E$1:E636))))))</f>
        <v/>
      </c>
      <c r="K637" s="24" t="str">
        <f aca="false">IF(OR(E637="",E637="!!!",F637="NEW"),"",INDEX(J$1:J636,SUMPRODUCT(MAX(ROW(E$1:E636)*(E637=E$1:E636)))))</f>
        <v/>
      </c>
      <c r="L637" s="25"/>
    </row>
    <row r="638" customFormat="false" ht="14.25" hidden="false" customHeight="false" outlineLevel="0" collapsed="false">
      <c r="A638" s="0" t="s">
        <v>530</v>
      </c>
      <c r="B638" s="26" t="s">
        <v>304</v>
      </c>
      <c r="C638" s="26" t="s">
        <v>119</v>
      </c>
      <c r="E638" s="20" t="str">
        <f aca="false">IF(D638="?OLD","!!!","")</f>
        <v/>
      </c>
      <c r="F638" s="21" t="str">
        <f aca="false">IF(OR(E638="",E638="!!!"),"",IF(NOT(ISNA(VLOOKUP(E638,E$1:E637,1,FALSE()))),"OLD",IF(AND(E638&lt;&gt;"",E638&lt;&gt;"!!!"),"NEW","")))</f>
        <v/>
      </c>
      <c r="G638" s="22" t="str">
        <f aca="false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aca="false">IF(J638&lt;&gt;1,"",IF(I638="SBJ","CB","?"))</f>
        <v/>
      </c>
      <c r="I638" s="24" t="str">
        <f aca="false">IF(OR(E638="",E638="!!!",F638="NEW"),"",INDEX(B$2:B637,-1+SUMPRODUCT(MAX(ROW(E$2:E637)*(E638=E$2:E637)))))</f>
        <v/>
      </c>
      <c r="J638" s="24" t="str">
        <f aca="true">IF(OR(E638="",E638="!!!",F638="NEW"),"",COUNTBLANK(OFFSET(A$1,,,SUMPRODUCT(MAX(ROW(E$2:E638)*(E638=E$2:E638)))))-COUNTBLANK(OFFSET(A$1,,,SUMPRODUCT(MAX(ROW(E$1:E637)*(E2=E$1:E637))))))</f>
        <v/>
      </c>
      <c r="K638" s="24" t="str">
        <f aca="false">IF(OR(E638="",E638="!!!",F638="NEW"),"",INDEX(J$1:J637,SUMPRODUCT(MAX(ROW(E$1:E637)*(E638=E$1:E637)))))</f>
        <v/>
      </c>
      <c r="L638" s="25"/>
    </row>
    <row r="639" customFormat="false" ht="14.25" hidden="false" customHeight="false" outlineLevel="0" collapsed="false">
      <c r="A639" s="0" t="s">
        <v>531</v>
      </c>
      <c r="E639" s="20" t="str">
        <f aca="false">IF(D639="?OLD","!!!","")</f>
        <v/>
      </c>
      <c r="F639" s="21" t="str">
        <f aca="false">IF(OR(E639="",E639="!!!"),"",IF(NOT(ISNA(VLOOKUP(E639,E$1:E638,1,FALSE()))),"OLD",IF(AND(E639&lt;&gt;"",E639&lt;&gt;"!!!"),"NEW","")))</f>
        <v/>
      </c>
      <c r="G639" s="22" t="str">
        <f aca="false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aca="false">IF(J639&lt;&gt;1,"",IF(I639="SBJ","CB","?"))</f>
        <v/>
      </c>
      <c r="I639" s="24" t="str">
        <f aca="false">IF(OR(E639="",E639="!!!",F639="NEW"),"",INDEX(B$2:B638,-1+SUMPRODUCT(MAX(ROW(E$2:E638)*(E639=E$2:E638)))))</f>
        <v/>
      </c>
      <c r="J639" s="24" t="str">
        <f aca="true">IF(OR(E639="",E639="!!!",F639="NEW"),"",COUNTBLANK(OFFSET(A$1,,,SUMPRODUCT(MAX(ROW(E$2:E639)*(E639=E$2:E639)))))-COUNTBLANK(OFFSET(A$1,,,SUMPRODUCT(MAX(ROW(E$1:E638)*(E2=E$1:E638))))))</f>
        <v/>
      </c>
      <c r="K639" s="24" t="str">
        <f aca="false">IF(OR(E639="",E639="!!!",F639="NEW"),"",INDEX(J$1:J638,SUMPRODUCT(MAX(ROW(E$1:E638)*(E639=E$1:E638)))))</f>
        <v/>
      </c>
      <c r="L639" s="25"/>
    </row>
    <row r="640" customFormat="false" ht="14.25" hidden="false" customHeight="false" outlineLevel="0" collapsed="false">
      <c r="A640" s="0" t="s">
        <v>86</v>
      </c>
      <c r="E640" s="20" t="str">
        <f aca="false">IF(D640="?OLD","!!!","")</f>
        <v/>
      </c>
      <c r="F640" s="21" t="str">
        <f aca="false">IF(OR(E640="",E640="!!!"),"",IF(NOT(ISNA(VLOOKUP(E640,E$1:E639,1,FALSE()))),"OLD",IF(AND(E640&lt;&gt;"",E640&lt;&gt;"!!!"),"NEW","")))</f>
        <v/>
      </c>
      <c r="G640" s="22" t="str">
        <f aca="false"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aca="false">IF(J640&lt;&gt;1,"",IF(I640="SBJ","CB","?"))</f>
        <v/>
      </c>
      <c r="I640" s="24" t="str">
        <f aca="false">IF(OR(E640="",E640="!!!",F640="NEW"),"",INDEX(B$2:B639,-1+SUMPRODUCT(MAX(ROW(E$2:E639)*(E640=E$2:E639)))))</f>
        <v/>
      </c>
      <c r="J640" s="24" t="str">
        <f aca="true">IF(OR(E640="",E640="!!!",F640="NEW"),"",COUNTBLANK(OFFSET(A$1,,,SUMPRODUCT(MAX(ROW(E$2:E640)*(E640=E$2:E640)))))-COUNTBLANK(OFFSET(A$1,,,SUMPRODUCT(MAX(ROW(E$1:E639)*(E2=E$1:E639))))))</f>
        <v/>
      </c>
      <c r="K640" s="24" t="str">
        <f aca="false">IF(OR(E640="",E640="!!!",F640="NEW"),"",INDEX(J$1:J639,SUMPRODUCT(MAX(ROW(E$1:E639)*(E640=E$1:E639)))))</f>
        <v/>
      </c>
      <c r="L640" s="25"/>
    </row>
    <row r="641" customFormat="false" ht="14.25" hidden="false" customHeight="false" outlineLevel="0" collapsed="false">
      <c r="A641" s="0" t="s">
        <v>247</v>
      </c>
      <c r="B641" s="26" t="s">
        <v>147</v>
      </c>
      <c r="C641" s="26" t="s">
        <v>209</v>
      </c>
      <c r="D641" s="26" t="s">
        <v>75</v>
      </c>
      <c r="E641" s="20" t="s">
        <v>520</v>
      </c>
      <c r="F641" s="21" t="s">
        <v>273</v>
      </c>
      <c r="G641" s="22" t="str">
        <f aca="false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?IN_FOCUS</v>
      </c>
      <c r="H641" s="23" t="str">
        <f aca="false">IF(J641&lt;&gt;1,"",IF(I641="SBJ","CB","?"))</f>
        <v/>
      </c>
      <c r="I641" s="24" t="str">
        <f aca="false">IF(OR(E641="",E641="!!!",F641="NEW"),"",INDEX(B$2:B640,-1+SUMPRODUCT(MAX(ROW(E$2:E640)*(E641=E$2:E640)))))</f>
        <v>SBJ_2</v>
      </c>
      <c r="J641" s="24" t="n">
        <f aca="true">IF(OR(E641="",E641="!!!",F641="NEW"),"",COUNTBLANK(OFFSET(A$1,,,SUMPRODUCT(MAX(ROW(E$2:E641)*(E641=E$2:E641)))))-COUNTBLANK(OFFSET(A$1,,,SUMPRODUCT(MAX(ROW(E$1:E640)*(E2=E$1:E640))))))</f>
        <v>0</v>
      </c>
      <c r="K641" s="24" t="str">
        <f aca="false">IF(OR(E641="",E641="!!!",F641="NEW"),"",INDEX(J$1:J640,SUMPRODUCT(MAX(ROW(E$1:E640)*(E641=E$1:E640)))))</f>
        <v/>
      </c>
      <c r="L641" s="27" t="s">
        <v>532</v>
      </c>
    </row>
    <row r="642" customFormat="false" ht="14.25" hidden="false" customHeight="false" outlineLevel="0" collapsed="false">
      <c r="A642" s="0" t="s">
        <v>533</v>
      </c>
      <c r="E642" s="20" t="str">
        <f aca="false">IF(D642="?OLD","!!!","")</f>
        <v/>
      </c>
      <c r="F642" s="21" t="str">
        <f aca="false">IF(OR(E642="",E642="!!!"),"",IF(NOT(ISNA(VLOOKUP(E642,E$1:E641,1,FALSE()))),"OLD",IF(AND(E642&lt;&gt;"",E642&lt;&gt;"!!!"),"NEW","")))</f>
        <v/>
      </c>
      <c r="G642" s="22" t="str">
        <f aca="false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aca="false">IF(J642&lt;&gt;1,"",IF(I642="SBJ","CB","?"))</f>
        <v/>
      </c>
      <c r="I642" s="24" t="str">
        <f aca="false">IF(OR(E642="",E642="!!!",F642="NEW"),"",INDEX(B$2:B641,-1+SUMPRODUCT(MAX(ROW(E$2:E641)*(E642=E$2:E641)))))</f>
        <v/>
      </c>
      <c r="J642" s="24" t="str">
        <f aca="true">IF(OR(E642="",E642="!!!",F642="NEW"),"",COUNTBLANK(OFFSET(A$1,,,SUMPRODUCT(MAX(ROW(E$2:E642)*(E642=E$2:E642)))))-COUNTBLANK(OFFSET(A$1,,,SUMPRODUCT(MAX(ROW(E$1:E641)*(E2=E$1:E641))))))</f>
        <v/>
      </c>
      <c r="K642" s="24" t="str">
        <f aca="false">IF(OR(E642="",E642="!!!",F642="NEW"),"",INDEX(J$1:J641,SUMPRODUCT(MAX(ROW(E$1:E641)*(E642=E$1:E641)))))</f>
        <v/>
      </c>
      <c r="L642" s="25"/>
    </row>
    <row r="643" customFormat="false" ht="14.25" hidden="false" customHeight="false" outlineLevel="0" collapsed="false">
      <c r="A643" s="0" t="s">
        <v>136</v>
      </c>
      <c r="E643" s="20" t="str">
        <f aca="false">IF(D643="?OLD","!!!","")</f>
        <v/>
      </c>
      <c r="F643" s="21" t="str">
        <f aca="false">IF(OR(E643="",E643="!!!"),"",IF(NOT(ISNA(VLOOKUP(E643,E$1:E642,1,FALSE()))),"OLD",IF(AND(E643&lt;&gt;"",E643&lt;&gt;"!!!"),"NEW","")))</f>
        <v/>
      </c>
      <c r="G643" s="22" t="str">
        <f aca="false"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aca="false">IF(J643&lt;&gt;1,"",IF(I643="SBJ","CB","?"))</f>
        <v/>
      </c>
      <c r="I643" s="24" t="str">
        <f aca="false">IF(OR(E643="",E643="!!!",F643="NEW"),"",INDEX(B$2:B642,-1+SUMPRODUCT(MAX(ROW(E$2:E642)*(E643=E$2:E642)))))</f>
        <v/>
      </c>
      <c r="J643" s="24" t="str">
        <f aca="true">IF(OR(E643="",E643="!!!",F643="NEW"),"",COUNTBLANK(OFFSET(A$1,,,SUMPRODUCT(MAX(ROW(E$2:E643)*(E643=E$2:E643)))))-COUNTBLANK(OFFSET(A$1,,,SUMPRODUCT(MAX(ROW(E$1:E642)*(E2=E$1:E642))))))</f>
        <v/>
      </c>
      <c r="K643" s="24" t="str">
        <f aca="false">IF(OR(E643="",E643="!!!",F643="NEW"),"",INDEX(J$1:J642,SUMPRODUCT(MAX(ROW(E$1:E642)*(E643=E$1:E642)))))</f>
        <v/>
      </c>
      <c r="L643" s="25"/>
    </row>
    <row r="644" customFormat="false" ht="14.25" hidden="false" customHeight="false" outlineLevel="0" collapsed="false">
      <c r="A644" s="0" t="s">
        <v>534</v>
      </c>
      <c r="B644" s="26" t="s">
        <v>104</v>
      </c>
      <c r="C644" s="26" t="s">
        <v>74</v>
      </c>
      <c r="D644" s="26" t="s">
        <v>75</v>
      </c>
      <c r="E644" s="20" t="s">
        <v>535</v>
      </c>
      <c r="F644" s="21" t="str">
        <f aca="false">IF(OR(E644="",E644="!!!"),"",IF(NOT(ISNA(VLOOKUP(E644,E$1:E643,1,FALSE()))),"OLD",IF(AND(E644&lt;&gt;"",E644&lt;&gt;"!!!"),"NEW","")))</f>
        <v>NEW</v>
      </c>
      <c r="G644" s="22" t="str">
        <f aca="false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?REFERENTIAL</v>
      </c>
      <c r="H644" s="23" t="str">
        <f aca="false">IF(J644&lt;&gt;1,"",IF(I644="SBJ","CB","?"))</f>
        <v/>
      </c>
      <c r="I644" s="24" t="str">
        <f aca="false">IF(OR(E644="",E644="!!!",F644="NEW"),"",INDEX(B$2:B643,-1+SUMPRODUCT(MAX(ROW(E$2:E643)*(E644=E$2:E643)))))</f>
        <v/>
      </c>
      <c r="J644" s="24" t="str">
        <f aca="true">IF(OR(E644="",E644="!!!",F644="NEW"),"",COUNTBLANK(OFFSET(A$1,,,SUMPRODUCT(MAX(ROW(E$2:E644)*(E644=E$2:E644)))))-COUNTBLANK(OFFSET(A$1,,,SUMPRODUCT(MAX(ROW(E$1:E643)*(E2=E$1:E643))))))</f>
        <v/>
      </c>
      <c r="K644" s="24" t="str">
        <f aca="false">IF(OR(E644="",E644="!!!",F644="NEW"),"",INDEX(J$1:J643,SUMPRODUCT(MAX(ROW(E$1:E643)*(E644=E$1:E643)))))</f>
        <v/>
      </c>
      <c r="L644" s="25"/>
    </row>
    <row r="645" customFormat="false" ht="14.25" hidden="false" customHeight="false" outlineLevel="0" collapsed="false">
      <c r="A645" s="0" t="s">
        <v>142</v>
      </c>
      <c r="E645" s="20" t="str">
        <f aca="false">IF(D645="?OLD","!!!","")</f>
        <v/>
      </c>
      <c r="F645" s="21" t="str">
        <f aca="false">IF(OR(E645="",E645="!!!"),"",IF(NOT(ISNA(VLOOKUP(E645,E$1:E644,1,FALSE()))),"OLD",IF(AND(E645&lt;&gt;"",E645&lt;&gt;"!!!"),"NEW","")))</f>
        <v/>
      </c>
      <c r="G645" s="22" t="str">
        <f aca="false"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aca="false">IF(J645&lt;&gt;1,"",IF(I645="SBJ","CB","?"))</f>
        <v/>
      </c>
      <c r="I645" s="24" t="str">
        <f aca="false">IF(OR(E645="",E645="!!!",F645="NEW"),"",INDEX(B$2:B644,-1+SUMPRODUCT(MAX(ROW(E$2:E644)*(E645=E$2:E644)))))</f>
        <v/>
      </c>
      <c r="J645" s="24" t="str">
        <f aca="true">IF(OR(E645="",E645="!!!",F645="NEW"),"",COUNTBLANK(OFFSET(A$1,,,SUMPRODUCT(MAX(ROW(E$2:E645)*(E645=E$2:E645)))))-COUNTBLANK(OFFSET(A$1,,,SUMPRODUCT(MAX(ROW(E$1:E644)*(E2=E$1:E644))))))</f>
        <v/>
      </c>
      <c r="K645" s="24" t="str">
        <f aca="false">IF(OR(E645="",E645="!!!",F645="NEW"),"",INDEX(J$1:J644,SUMPRODUCT(MAX(ROW(E$1:E644)*(E645=E$1:E644)))))</f>
        <v/>
      </c>
      <c r="L645" s="25"/>
    </row>
    <row r="646" customFormat="false" ht="14.25" hidden="false" customHeight="false" outlineLevel="0" collapsed="false">
      <c r="A646" s="0" t="s">
        <v>536</v>
      </c>
      <c r="E646" s="20" t="str">
        <f aca="false">IF(D646="?OLD","!!!","")</f>
        <v/>
      </c>
      <c r="F646" s="21" t="str">
        <f aca="false">IF(OR(E646="",E646="!!!"),"",IF(NOT(ISNA(VLOOKUP(E646,E$1:E645,1,FALSE()))),"OLD",IF(AND(E646&lt;&gt;"",E646&lt;&gt;"!!!"),"NEW","")))</f>
        <v/>
      </c>
      <c r="G646" s="22" t="str">
        <f aca="false"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aca="false">IF(J646&lt;&gt;1,"",IF(I646="SBJ","CB","?"))</f>
        <v/>
      </c>
      <c r="I646" s="24" t="str">
        <f aca="false">IF(OR(E646="",E646="!!!",F646="NEW"),"",INDEX(B$2:B645,-1+SUMPRODUCT(MAX(ROW(E$2:E645)*(E646=E$2:E645)))))</f>
        <v/>
      </c>
      <c r="J646" s="24" t="str">
        <f aca="true">IF(OR(E646="",E646="!!!",F646="NEW"),"",COUNTBLANK(OFFSET(A$1,,,SUMPRODUCT(MAX(ROW(E$2:E646)*(E646=E$2:E646)))))-COUNTBLANK(OFFSET(A$1,,,SUMPRODUCT(MAX(ROW(E$1:E645)*(E2=E$1:E645))))))</f>
        <v/>
      </c>
      <c r="K646" s="24" t="str">
        <f aca="false">IF(OR(E646="",E646="!!!",F646="NEW"),"",INDEX(J$1:J645,SUMPRODUCT(MAX(ROW(E$1:E645)*(E646=E$1:E645)))))</f>
        <v/>
      </c>
      <c r="L646" s="25"/>
    </row>
    <row r="647" customFormat="false" ht="14.25" hidden="false" customHeight="false" outlineLevel="0" collapsed="false">
      <c r="A647" s="0" t="s">
        <v>537</v>
      </c>
      <c r="E647" s="20" t="str">
        <f aca="false">IF(D647="?OLD","!!!","")</f>
        <v/>
      </c>
      <c r="F647" s="21" t="str">
        <f aca="false">IF(OR(E647="",E647="!!!"),"",IF(NOT(ISNA(VLOOKUP(E647,E$1:E646,1,FALSE()))),"OLD",IF(AND(E647&lt;&gt;"",E647&lt;&gt;"!!!"),"NEW","")))</f>
        <v/>
      </c>
      <c r="G647" s="22" t="str">
        <f aca="false"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aca="false">IF(J647&lt;&gt;1,"",IF(I647="SBJ","CB","?"))</f>
        <v/>
      </c>
      <c r="I647" s="24" t="str">
        <f aca="false">IF(OR(E647="",E647="!!!",F647="NEW"),"",INDEX(B$2:B646,-1+SUMPRODUCT(MAX(ROW(E$2:E646)*(E647=E$2:E646)))))</f>
        <v/>
      </c>
      <c r="J647" s="24" t="str">
        <f aca="true">IF(OR(E647="",E647="!!!",F647="NEW"),"",COUNTBLANK(OFFSET(A$1,,,SUMPRODUCT(MAX(ROW(E$2:E647)*(E647=E$2:E647)))))-COUNTBLANK(OFFSET(A$1,,,SUMPRODUCT(MAX(ROW(E$1:E646)*(E2=E$1:E646))))))</f>
        <v/>
      </c>
      <c r="K647" s="24" t="str">
        <f aca="false">IF(OR(E647="",E647="!!!",F647="NEW"),"",INDEX(J$1:J646,SUMPRODUCT(MAX(ROW(E$1:E646)*(E647=E$1:E646)))))</f>
        <v/>
      </c>
      <c r="L647" s="25"/>
    </row>
    <row r="648" customFormat="false" ht="14.25" hidden="false" customHeight="false" outlineLevel="0" collapsed="false">
      <c r="A648" s="0" t="s">
        <v>538</v>
      </c>
      <c r="B648" s="26" t="s">
        <v>298</v>
      </c>
      <c r="C648" s="26" t="s">
        <v>119</v>
      </c>
      <c r="E648" s="20" t="s">
        <v>539</v>
      </c>
      <c r="F648" s="21" t="str">
        <f aca="false">IF(OR(E648="",E648="!!!"),"",IF(NOT(ISNA(VLOOKUP(E648,E$1:E647,1,FALSE()))),"OLD",IF(AND(E648&lt;&gt;"",E648&lt;&gt;"!!!"),"NEW","")))</f>
        <v>NEW</v>
      </c>
      <c r="G648" s="22" t="str">
        <f aca="false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?REFERENTIAL</v>
      </c>
      <c r="H648" s="23" t="str">
        <f aca="false">IF(J648&lt;&gt;1,"",IF(I648="SBJ","CB","?"))</f>
        <v/>
      </c>
      <c r="I648" s="24" t="str">
        <f aca="false">IF(OR(E648="",E648="!!!",F648="NEW"),"",INDEX(B$2:B647,-1+SUMPRODUCT(MAX(ROW(E$2:E647)*(E648=E$2:E647)))))</f>
        <v/>
      </c>
      <c r="J648" s="24" t="str">
        <f aca="true">IF(OR(E648="",E648="!!!",F648="NEW"),"",COUNTBLANK(OFFSET(A$1,,,SUMPRODUCT(MAX(ROW(E$2:E648)*(E648=E$2:E648)))))-COUNTBLANK(OFFSET(A$1,,,SUMPRODUCT(MAX(ROW(E$1:E647)*(E2=E$1:E647))))))</f>
        <v/>
      </c>
      <c r="K648" s="24" t="str">
        <f aca="false">IF(OR(E648="",E648="!!!",F648="NEW"),"",INDEX(J$1:J647,SUMPRODUCT(MAX(ROW(E$1:E647)*(E648=E$1:E647)))))</f>
        <v/>
      </c>
      <c r="L648" s="25"/>
    </row>
    <row r="649" customFormat="false" ht="14.25" hidden="false" customHeight="false" outlineLevel="0" collapsed="false">
      <c r="A649" s="0" t="s">
        <v>540</v>
      </c>
      <c r="E649" s="20" t="str">
        <f aca="false">IF(D649="?OLD","!!!","")</f>
        <v/>
      </c>
      <c r="F649" s="21" t="str">
        <f aca="false">IF(OR(E649="",E649="!!!"),"",IF(NOT(ISNA(VLOOKUP(E649,E$1:E648,1,FALSE()))),"OLD",IF(AND(E649&lt;&gt;"",E649&lt;&gt;"!!!"),"NEW","")))</f>
        <v/>
      </c>
      <c r="G649" s="22" t="str">
        <f aca="false"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aca="false">IF(J649&lt;&gt;1,"",IF(I649="SBJ","CB","?"))</f>
        <v/>
      </c>
      <c r="I649" s="24" t="str">
        <f aca="false">IF(OR(E649="",E649="!!!",F649="NEW"),"",INDEX(B$2:B648,-1+SUMPRODUCT(MAX(ROW(E$2:E648)*(E649=E$2:E648)))))</f>
        <v/>
      </c>
      <c r="J649" s="24" t="str">
        <f aca="true">IF(OR(E649="",E649="!!!",F649="NEW"),"",COUNTBLANK(OFFSET(A$1,,,SUMPRODUCT(MAX(ROW(E$2:E649)*(E649=E$2:E649)))))-COUNTBLANK(OFFSET(A$1,,,SUMPRODUCT(MAX(ROW(E$1:E648)*(E2=E$1:E648))))))</f>
        <v/>
      </c>
      <c r="K649" s="24" t="str">
        <f aca="false">IF(OR(E649="",E649="!!!",F649="NEW"),"",INDEX(J$1:J648,SUMPRODUCT(MAX(ROW(E$1:E648)*(E649=E$1:E648)))))</f>
        <v/>
      </c>
      <c r="L649" s="25"/>
    </row>
    <row r="650" customFormat="false" ht="14.25" hidden="false" customHeight="false" outlineLevel="0" collapsed="false">
      <c r="A650" s="0" t="s">
        <v>86</v>
      </c>
      <c r="E650" s="20" t="str">
        <f aca="false">IF(D650="?OLD","!!!","")</f>
        <v/>
      </c>
      <c r="F650" s="21" t="str">
        <f aca="false">IF(OR(E650="",E650="!!!"),"",IF(NOT(ISNA(VLOOKUP(E650,E$1:E649,1,FALSE()))),"OLD",IF(AND(E650&lt;&gt;"",E650&lt;&gt;"!!!"),"NEW","")))</f>
        <v/>
      </c>
      <c r="G650" s="22" t="str">
        <f aca="false"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aca="false">IF(J650&lt;&gt;1,"",IF(I650="SBJ","CB","?"))</f>
        <v/>
      </c>
      <c r="I650" s="24" t="str">
        <f aca="false">IF(OR(E650="",E650="!!!",F650="NEW"),"",INDEX(B$2:B649,-1+SUMPRODUCT(MAX(ROW(E$2:E649)*(E650=E$2:E649)))))</f>
        <v/>
      </c>
      <c r="J650" s="24" t="str">
        <f aca="true">IF(OR(E650="",E650="!!!",F650="NEW"),"",COUNTBLANK(OFFSET(A$1,,,SUMPRODUCT(MAX(ROW(E$2:E650)*(E650=E$2:E650)))))-COUNTBLANK(OFFSET(A$1,,,SUMPRODUCT(MAX(ROW(E$1:E649)*(E2=E$1:E649))))))</f>
        <v/>
      </c>
      <c r="K650" s="24" t="str">
        <f aca="false">IF(OR(E650="",E650="!!!",F650="NEW"),"",INDEX(J$1:J649,SUMPRODUCT(MAX(ROW(E$1:E649)*(E650=E$1:E649)))))</f>
        <v/>
      </c>
      <c r="L650" s="25"/>
    </row>
    <row r="651" customFormat="false" ht="14.25" hidden="false" customHeight="false" outlineLevel="0" collapsed="false">
      <c r="A651" s="0" t="s">
        <v>357</v>
      </c>
      <c r="B651" s="26" t="s">
        <v>82</v>
      </c>
      <c r="C651" s="26" t="s">
        <v>151</v>
      </c>
      <c r="D651" s="26" t="s">
        <v>75</v>
      </c>
      <c r="E651" s="20"/>
      <c r="F651" s="21" t="str">
        <f aca="false">IF(OR(E651="",E651="!!!"),"",IF(NOT(ISNA(VLOOKUP(E651,E$1:E650,1,FALSE()))),"OLD",IF(AND(E651&lt;&gt;"",E651&lt;&gt;"!!!"),"NEW","")))</f>
        <v/>
      </c>
      <c r="G651" s="22" t="str">
        <f aca="false"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aca="false">IF(J651&lt;&gt;1,"",IF(I651="SBJ","CB","?"))</f>
        <v/>
      </c>
      <c r="I651" s="24" t="str">
        <f aca="false">IF(OR(E651="",E651="!!!",F651="NEW"),"",INDEX(B$2:B650,-1+SUMPRODUCT(MAX(ROW(E$2:E650)*(E651=E$2:E650)))))</f>
        <v/>
      </c>
      <c r="J651" s="24" t="str">
        <f aca="true">IF(OR(E651="",E651="!!!",F651="NEW"),"",COUNTBLANK(OFFSET(A$1,,,SUMPRODUCT(MAX(ROW(E$2:E651)*(E651=E$2:E651)))))-COUNTBLANK(OFFSET(A$1,,,SUMPRODUCT(MAX(ROW(E$1:E650)*(E2=E$1:E650))))))</f>
        <v/>
      </c>
      <c r="K651" s="24" t="str">
        <f aca="false">IF(OR(E651="",E651="!!!",F651="NEW"),"",INDEX(J$1:J650,SUMPRODUCT(MAX(ROW(E$1:E650)*(E651=E$1:E650)))))</f>
        <v/>
      </c>
      <c r="L651" s="27" t="s">
        <v>541</v>
      </c>
    </row>
    <row r="652" customFormat="false" ht="14.25" hidden="false" customHeight="false" outlineLevel="0" collapsed="false">
      <c r="A652" s="0" t="s">
        <v>542</v>
      </c>
      <c r="B652" s="26" t="s">
        <v>73</v>
      </c>
      <c r="C652" s="26" t="s">
        <v>359</v>
      </c>
      <c r="D652" s="26" t="s">
        <v>75</v>
      </c>
      <c r="E652" s="20" t="s">
        <v>543</v>
      </c>
      <c r="F652" s="21" t="s">
        <v>211</v>
      </c>
      <c r="G652" s="22" t="e">
        <f aca="false"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#VALUE!</v>
      </c>
      <c r="H652" s="23" t="str">
        <f aca="false">IF(J652&lt;&gt;1,"",IF(I652="SBJ","CB","?"))</f>
        <v/>
      </c>
      <c r="I652" s="24" t="e">
        <f aca="false">IF(OR(E652="",E652="!!!",F652="NEW"),"",INDEX(B$2:B651,-1+SUMPRODUCT(MAX(ROW(E$2:E651)*(E652=E$2:E651)))))</f>
        <v>#VALUE!</v>
      </c>
      <c r="J652" s="24" t="n">
        <f aca="true">IF(OR(E652="",E652="!!!",F652="NEW"),"",COUNTBLANK(OFFSET(A$1,,,SUMPRODUCT(MAX(ROW(E$2:E652)*(E652=E$2:E652)))))-COUNTBLANK(OFFSET(A$1,,,SUMPRODUCT(MAX(ROW(E$1:E651)*(E2=E$1:E651))))))</f>
        <v>0</v>
      </c>
      <c r="K652" s="24" t="e">
        <f aca="false">IF(OR(E652="",E652="!!!",F652="NEW"),"",INDEX(J$1:J651,SUMPRODUCT(MAX(ROW(E$1:E651)*(E652=E$1:E651)))))</f>
        <v>#VALUE!</v>
      </c>
      <c r="L652" s="25"/>
    </row>
    <row r="653" customFormat="false" ht="14.25" hidden="false" customHeight="false" outlineLevel="0" collapsed="false">
      <c r="A653" s="0" t="s">
        <v>20</v>
      </c>
      <c r="E653" s="20" t="str">
        <f aca="false">IF(D653="?OLD","!!!","")</f>
        <v/>
      </c>
      <c r="F653" s="21" t="str">
        <f aca="false">IF(OR(E653="",E653="!!!"),"",IF(NOT(ISNA(VLOOKUP(E653,E$1:E652,1,FALSE()))),"OLD",IF(AND(E653&lt;&gt;"",E653&lt;&gt;"!!!"),"NEW","")))</f>
        <v/>
      </c>
      <c r="G653" s="22" t="str">
        <f aca="false"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aca="false">IF(J653&lt;&gt;1,"",IF(I653="SBJ","CB","?"))</f>
        <v/>
      </c>
      <c r="I653" s="24" t="str">
        <f aca="false">IF(OR(E653="",E653="!!!",F653="NEW"),"",INDEX(B$2:B652,-1+SUMPRODUCT(MAX(ROW(E$2:E652)*(E653=E$2:E652)))))</f>
        <v/>
      </c>
      <c r="J653" s="24" t="str">
        <f aca="true">IF(OR(E653="",E653="!!!",F653="NEW"),"",COUNTBLANK(OFFSET(A$1,,,SUMPRODUCT(MAX(ROW(E$2:E653)*(E653=E$2:E653)))))-COUNTBLANK(OFFSET(A$1,,,SUMPRODUCT(MAX(ROW(E$1:E652)*(E2=E$1:E652))))))</f>
        <v/>
      </c>
      <c r="K653" s="24" t="str">
        <f aca="false">IF(OR(E653="",E653="!!!",F653="NEW"),"",INDEX(J$1:J652,SUMPRODUCT(MAX(ROW(E$1:E652)*(E653=E$1:E652)))))</f>
        <v/>
      </c>
      <c r="L653" s="25"/>
    </row>
    <row r="654" customFormat="false" ht="14.25" hidden="false" customHeight="false" outlineLevel="0" collapsed="false">
      <c r="A654" s="0" t="s">
        <v>544</v>
      </c>
      <c r="E654" s="20" t="str">
        <f aca="false">IF(D654="?OLD","!!!","")</f>
        <v/>
      </c>
      <c r="F654" s="21" t="str">
        <f aca="false">IF(OR(E654="",E654="!!!"),"",IF(NOT(ISNA(VLOOKUP(E654,E$1:E653,1,FALSE()))),"OLD",IF(AND(E654&lt;&gt;"",E654&lt;&gt;"!!!"),"NEW","")))</f>
        <v/>
      </c>
      <c r="G654" s="22" t="str">
        <f aca="false"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aca="false">IF(J654&lt;&gt;1,"",IF(I654="SBJ","CB","?"))</f>
        <v/>
      </c>
      <c r="I654" s="24" t="str">
        <f aca="false">IF(OR(E654="",E654="!!!",F654="NEW"),"",INDEX(B$2:B653,-1+SUMPRODUCT(MAX(ROW(E$2:E653)*(E654=E$2:E653)))))</f>
        <v/>
      </c>
      <c r="J654" s="24" t="str">
        <f aca="true">IF(OR(E654="",E654="!!!",F654="NEW"),"",COUNTBLANK(OFFSET(A$1,,,SUMPRODUCT(MAX(ROW(E$2:E654)*(E654=E$2:E654)))))-COUNTBLANK(OFFSET(A$1,,,SUMPRODUCT(MAX(ROW(E$1:E653)*(E2=E$1:E653))))))</f>
        <v/>
      </c>
      <c r="K654" s="24" t="str">
        <f aca="false">IF(OR(E654="",E654="!!!",F654="NEW"),"",INDEX(J$1:J653,SUMPRODUCT(MAX(ROW(E$1:E653)*(E654=E$1:E653)))))</f>
        <v/>
      </c>
      <c r="L654" s="25"/>
    </row>
    <row r="655" customFormat="false" ht="14.25" hidden="false" customHeight="false" outlineLevel="0" collapsed="false">
      <c r="A655" s="0" t="s">
        <v>545</v>
      </c>
      <c r="E655" s="20" t="str">
        <f aca="false">IF(D655="?OLD","!!!","")</f>
        <v/>
      </c>
      <c r="F655" s="21" t="str">
        <f aca="false">IF(OR(E655="",E655="!!!"),"",IF(NOT(ISNA(VLOOKUP(E655,E$1:E654,1,FALSE()))),"OLD",IF(AND(E655&lt;&gt;"",E655&lt;&gt;"!!!"),"NEW","")))</f>
        <v/>
      </c>
      <c r="G655" s="22" t="str">
        <f aca="false"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aca="false">IF(J655&lt;&gt;1,"",IF(I655="SBJ","CB","?"))</f>
        <v/>
      </c>
      <c r="I655" s="24" t="str">
        <f aca="false">IF(OR(E655="",E655="!!!",F655="NEW"),"",INDEX(B$2:B654,-1+SUMPRODUCT(MAX(ROW(E$2:E654)*(E655=E$2:E654)))))</f>
        <v/>
      </c>
      <c r="J655" s="24" t="str">
        <f aca="true">IF(OR(E655="",E655="!!!",F655="NEW"),"",COUNTBLANK(OFFSET(A$1,,,SUMPRODUCT(MAX(ROW(E$2:E655)*(E655=E$2:E655)))))-COUNTBLANK(OFFSET(A$1,,,SUMPRODUCT(MAX(ROW(E$1:E654)*(E2=E$1:E654))))))</f>
        <v/>
      </c>
      <c r="K655" s="24" t="str">
        <f aca="false">IF(OR(E655="",E655="!!!",F655="NEW"),"",INDEX(J$1:J654,SUMPRODUCT(MAX(ROW(E$1:E654)*(E655=E$1:E654)))))</f>
        <v/>
      </c>
      <c r="L655" s="25"/>
    </row>
    <row r="656" customFormat="false" ht="14.25" hidden="false" customHeight="false" outlineLevel="0" collapsed="false">
      <c r="A656" s="0" t="s">
        <v>546</v>
      </c>
      <c r="B656" s="26" t="s">
        <v>91</v>
      </c>
      <c r="C656" s="26" t="s">
        <v>341</v>
      </c>
      <c r="E656" s="20" t="str">
        <f aca="false">IF(D656="?OLD","!!!","")</f>
        <v/>
      </c>
      <c r="F656" s="21" t="str">
        <f aca="false">IF(OR(E656="",E656="!!!"),"",IF(NOT(ISNA(VLOOKUP(E656,E$1:E655,1,FALSE()))),"OLD",IF(AND(E656&lt;&gt;"",E656&lt;&gt;"!!!"),"NEW","")))</f>
        <v/>
      </c>
      <c r="G656" s="22" t="str">
        <f aca="false"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aca="false">IF(J656&lt;&gt;1,"",IF(I656="SBJ","CB","?"))</f>
        <v/>
      </c>
      <c r="I656" s="24" t="str">
        <f aca="false">IF(OR(E656="",E656="!!!",F656="NEW"),"",INDEX(B$2:B655,-1+SUMPRODUCT(MAX(ROW(E$2:E655)*(E656=E$2:E655)))))</f>
        <v/>
      </c>
      <c r="J656" s="24" t="str">
        <f aca="true">IF(OR(E656="",E656="!!!",F656="NEW"),"",COUNTBLANK(OFFSET(A$1,,,SUMPRODUCT(MAX(ROW(E$2:E656)*(E656=E$2:E656)))))-COUNTBLANK(OFFSET(A$1,,,SUMPRODUCT(MAX(ROW(E$1:E655)*(E2=E$1:E655))))))</f>
        <v/>
      </c>
      <c r="K656" s="24" t="str">
        <f aca="false">IF(OR(E656="",E656="!!!",F656="NEW"),"",INDEX(J$1:J655,SUMPRODUCT(MAX(ROW(E$1:E655)*(E656=E$1:E655)))))</f>
        <v/>
      </c>
      <c r="L656" s="25"/>
    </row>
    <row r="657" customFormat="false" ht="14.25" hidden="false" customHeight="false" outlineLevel="0" collapsed="false">
      <c r="A657" s="0" t="s">
        <v>142</v>
      </c>
      <c r="E657" s="20" t="str">
        <f aca="false">IF(D657="?OLD","!!!","")</f>
        <v/>
      </c>
      <c r="F657" s="21" t="str">
        <f aca="false">IF(OR(E657="",E657="!!!"),"",IF(NOT(ISNA(VLOOKUP(E657,E$1:E656,1,FALSE()))),"OLD",IF(AND(E657&lt;&gt;"",E657&lt;&gt;"!!!"),"NEW","")))</f>
        <v/>
      </c>
      <c r="G657" s="22" t="str">
        <f aca="false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aca="false">IF(J657&lt;&gt;1,"",IF(I657="SBJ","CB","?"))</f>
        <v/>
      </c>
      <c r="I657" s="24" t="str">
        <f aca="false">IF(OR(E657="",E657="!!!",F657="NEW"),"",INDEX(B$2:B656,-1+SUMPRODUCT(MAX(ROW(E$2:E656)*(E657=E$2:E656)))))</f>
        <v/>
      </c>
      <c r="J657" s="24" t="str">
        <f aca="true">IF(OR(E657="",E657="!!!",F657="NEW"),"",COUNTBLANK(OFFSET(A$1,,,SUMPRODUCT(MAX(ROW(E$2:E657)*(E657=E$2:E657)))))-COUNTBLANK(OFFSET(A$1,,,SUMPRODUCT(MAX(ROW(E$1:E656)*(E2=E$1:E656))))))</f>
        <v/>
      </c>
      <c r="K657" s="24" t="str">
        <f aca="false">IF(OR(E657="",E657="!!!",F657="NEW"),"",INDEX(J$1:J656,SUMPRODUCT(MAX(ROW(E$1:E656)*(E657=E$1:E656)))))</f>
        <v/>
      </c>
      <c r="L657" s="25"/>
    </row>
    <row r="658" customFormat="false" ht="14.25" hidden="false" customHeight="false" outlineLevel="0" collapsed="false">
      <c r="A658" s="0" t="s">
        <v>547</v>
      </c>
      <c r="E658" s="20" t="str">
        <f aca="false">IF(D658="?OLD","!!!","")</f>
        <v/>
      </c>
      <c r="F658" s="21" t="str">
        <f aca="false">IF(OR(E658="",E658="!!!"),"",IF(NOT(ISNA(VLOOKUP(E658,E$1:E657,1,FALSE()))),"OLD",IF(AND(E658&lt;&gt;"",E658&lt;&gt;"!!!"),"NEW","")))</f>
        <v/>
      </c>
      <c r="G658" s="22" t="str">
        <f aca="false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aca="false">IF(J658&lt;&gt;1,"",IF(I658="SBJ","CB","?"))</f>
        <v/>
      </c>
      <c r="I658" s="24" t="str">
        <f aca="false">IF(OR(E658="",E658="!!!",F658="NEW"),"",INDEX(B$2:B657,-1+SUMPRODUCT(MAX(ROW(E$2:E657)*(E658=E$2:E657)))))</f>
        <v/>
      </c>
      <c r="J658" s="24" t="str">
        <f aca="true">IF(OR(E658="",E658="!!!",F658="NEW"),"",COUNTBLANK(OFFSET(A$1,,,SUMPRODUCT(MAX(ROW(E$2:E658)*(E658=E$2:E658)))))-COUNTBLANK(OFFSET(A$1,,,SUMPRODUCT(MAX(ROW(E$1:E657)*(E2=E$1:E657))))))</f>
        <v/>
      </c>
      <c r="K658" s="24" t="str">
        <f aca="false">IF(OR(E658="",E658="!!!",F658="NEW"),"",INDEX(J$1:J657,SUMPRODUCT(MAX(ROW(E$1:E657)*(E658=E$1:E657)))))</f>
        <v/>
      </c>
      <c r="L658" s="25"/>
    </row>
    <row r="659" customFormat="false" ht="14.25" hidden="false" customHeight="false" outlineLevel="0" collapsed="false">
      <c r="A659" s="0" t="s">
        <v>548</v>
      </c>
      <c r="B659" s="26" t="s">
        <v>115</v>
      </c>
      <c r="C659" s="26" t="s">
        <v>133</v>
      </c>
      <c r="D659" s="26" t="s">
        <v>75</v>
      </c>
      <c r="E659" s="20"/>
      <c r="F659" s="21" t="s">
        <v>107</v>
      </c>
      <c r="G659" s="22" t="str">
        <f aca="false"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aca="false">IF(J659&lt;&gt;1,"",IF(I659="SBJ","CB","?"))</f>
        <v/>
      </c>
      <c r="I659" s="24" t="str">
        <f aca="false">IF(OR(E659="",E659="!!!",F659="NEW"),"",INDEX(B$2:B658,-1+SUMPRODUCT(MAX(ROW(E$2:E658)*(E659=E$2:E658)))))</f>
        <v/>
      </c>
      <c r="J659" s="24" t="str">
        <f aca="true">IF(OR(E659="",E659="!!!",F659="NEW"),"",COUNTBLANK(OFFSET(A$1,,,SUMPRODUCT(MAX(ROW(E$2:E659)*(E659=E$2:E659)))))-COUNTBLANK(OFFSET(A$1,,,SUMPRODUCT(MAX(ROW(E$1:E658)*(E2=E$1:E658))))))</f>
        <v/>
      </c>
      <c r="K659" s="24" t="str">
        <f aca="false">IF(OR(E659="",E659="!!!",F659="NEW"),"",INDEX(J$1:J658,SUMPRODUCT(MAX(ROW(E$1:E658)*(E659=E$1:E658)))))</f>
        <v/>
      </c>
      <c r="L659" s="25"/>
    </row>
    <row r="660" customFormat="false" ht="14.25" hidden="false" customHeight="false" outlineLevel="0" collapsed="false">
      <c r="A660" s="0" t="s">
        <v>549</v>
      </c>
      <c r="E660" s="20" t="str">
        <f aca="false">IF(D660="?OLD","!!!","")</f>
        <v/>
      </c>
      <c r="F660" s="21" t="str">
        <f aca="false">IF(OR(E660="",E660="!!!"),"",IF(NOT(ISNA(VLOOKUP(E660,E$1:E659,1,FALSE()))),"OLD",IF(AND(E660&lt;&gt;"",E660&lt;&gt;"!!!"),"NEW","")))</f>
        <v/>
      </c>
      <c r="G660" s="22" t="str">
        <f aca="false"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aca="false">IF(J660&lt;&gt;1,"",IF(I660="SBJ","CB","?"))</f>
        <v/>
      </c>
      <c r="I660" s="24" t="str">
        <f aca="false">IF(OR(E660="",E660="!!!",F660="NEW"),"",INDEX(B$2:B659,-1+SUMPRODUCT(MAX(ROW(E$2:E659)*(E660=E$2:E659)))))</f>
        <v/>
      </c>
      <c r="J660" s="24" t="str">
        <f aca="true">IF(OR(E660="",E660="!!!",F660="NEW"),"",COUNTBLANK(OFFSET(A$1,,,SUMPRODUCT(MAX(ROW(E$2:E660)*(E660=E$2:E660)))))-COUNTBLANK(OFFSET(A$1,,,SUMPRODUCT(MAX(ROW(E$1:E659)*(E2=E$1:E659))))))</f>
        <v/>
      </c>
      <c r="K660" s="24" t="str">
        <f aca="false">IF(OR(E660="",E660="!!!",F660="NEW"),"",INDEX(J$1:J659,SUMPRODUCT(MAX(ROW(E$1:E659)*(E660=E$1:E659)))))</f>
        <v/>
      </c>
      <c r="L660" s="25"/>
    </row>
    <row r="661" customFormat="false" ht="14.25" hidden="false" customHeight="false" outlineLevel="0" collapsed="false">
      <c r="A661" s="0" t="s">
        <v>16</v>
      </c>
      <c r="E661" s="20" t="str">
        <f aca="false">IF(D661="?OLD","!!!","")</f>
        <v/>
      </c>
      <c r="F661" s="21" t="str">
        <f aca="false">IF(OR(E661="",E661="!!!"),"",IF(NOT(ISNA(VLOOKUP(E661,E$1:E660,1,FALSE()))),"OLD",IF(AND(E661&lt;&gt;"",E661&lt;&gt;"!!!"),"NEW","")))</f>
        <v/>
      </c>
      <c r="G661" s="22" t="str">
        <f aca="false"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aca="false">IF(J661&lt;&gt;1,"",IF(I661="SBJ","CB","?"))</f>
        <v/>
      </c>
      <c r="I661" s="24" t="str">
        <f aca="false">IF(OR(E661="",E661="!!!",F661="NEW"),"",INDEX(B$2:B660,-1+SUMPRODUCT(MAX(ROW(E$2:E660)*(E661=E$2:E660)))))</f>
        <v/>
      </c>
      <c r="J661" s="24" t="str">
        <f aca="true">IF(OR(E661="",E661="!!!",F661="NEW"),"",COUNTBLANK(OFFSET(A$1,,,SUMPRODUCT(MAX(ROW(E$2:E661)*(E661=E$2:E661)))))-COUNTBLANK(OFFSET(A$1,,,SUMPRODUCT(MAX(ROW(E$1:E660)*(E2=E$1:E660))))))</f>
        <v/>
      </c>
      <c r="K661" s="24" t="str">
        <f aca="false">IF(OR(E661="",E661="!!!",F661="NEW"),"",INDEX(J$1:J660,SUMPRODUCT(MAX(ROW(E$1:E660)*(E661=E$1:E660)))))</f>
        <v/>
      </c>
      <c r="L661" s="25"/>
    </row>
    <row r="662" customFormat="false" ht="14.25" hidden="false" customHeight="false" outlineLevel="0" collapsed="false">
      <c r="A662" s="0" t="s">
        <v>550</v>
      </c>
      <c r="B662" s="26" t="s">
        <v>82</v>
      </c>
      <c r="C662" s="26" t="s">
        <v>105</v>
      </c>
      <c r="E662" s="20" t="str">
        <f aca="false">IF(D662="?OLD","!!!","")</f>
        <v/>
      </c>
      <c r="F662" s="21" t="str">
        <f aca="false">IF(OR(E662="",E662="!!!"),"",IF(NOT(ISNA(VLOOKUP(E662,E$1:E661,1,FALSE()))),"OLD",IF(AND(E662&lt;&gt;"",E662&lt;&gt;"!!!"),"NEW","")))</f>
        <v/>
      </c>
      <c r="G662" s="22" t="str">
        <f aca="false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aca="false">IF(J662&lt;&gt;1,"",IF(I662="SBJ","CB","?"))</f>
        <v/>
      </c>
      <c r="I662" s="24" t="str">
        <f aca="false">IF(OR(E662="",E662="!!!",F662="NEW"),"",INDEX(B$2:B661,-1+SUMPRODUCT(MAX(ROW(E$2:E661)*(E662=E$2:E661)))))</f>
        <v/>
      </c>
      <c r="J662" s="24" t="str">
        <f aca="true">IF(OR(E662="",E662="!!!",F662="NEW"),"",COUNTBLANK(OFFSET(A$1,,,SUMPRODUCT(MAX(ROW(E$2:E662)*(E662=E$2:E662)))))-COUNTBLANK(OFFSET(A$1,,,SUMPRODUCT(MAX(ROW(E$1:E661)*(E2=E$1:E661))))))</f>
        <v/>
      </c>
      <c r="K662" s="24" t="str">
        <f aca="false">IF(OR(E662="",E662="!!!",F662="NEW"),"",INDEX(J$1:J661,SUMPRODUCT(MAX(ROW(E$1:E661)*(E662=E$1:E661)))))</f>
        <v/>
      </c>
      <c r="L662" s="25"/>
    </row>
    <row r="663" customFormat="false" ht="14.25" hidden="false" customHeight="false" outlineLevel="0" collapsed="false">
      <c r="A663" s="0" t="s">
        <v>86</v>
      </c>
      <c r="E663" s="20" t="str">
        <f aca="false">IF(D663="?OLD","!!!","")</f>
        <v/>
      </c>
      <c r="F663" s="21" t="str">
        <f aca="false">IF(OR(E663="",E663="!!!"),"",IF(NOT(ISNA(VLOOKUP(E663,E$1:E662,1,FALSE()))),"OLD",IF(AND(E663&lt;&gt;"",E663&lt;&gt;"!!!"),"NEW","")))</f>
        <v/>
      </c>
      <c r="G663" s="22" t="str">
        <f aca="false"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aca="false">IF(J663&lt;&gt;1,"",IF(I663="SBJ","CB","?"))</f>
        <v/>
      </c>
      <c r="I663" s="24" t="str">
        <f aca="false">IF(OR(E663="",E663="!!!",F663="NEW"),"",INDEX(B$2:B662,-1+SUMPRODUCT(MAX(ROW(E$2:E662)*(E663=E$2:E662)))))</f>
        <v/>
      </c>
      <c r="J663" s="24" t="str">
        <f aca="true">IF(OR(E663="",E663="!!!",F663="NEW"),"",COUNTBLANK(OFFSET(A$1,,,SUMPRODUCT(MAX(ROW(E$2:E663)*(E663=E$2:E663)))))-COUNTBLANK(OFFSET(A$1,,,SUMPRODUCT(MAX(ROW(E$1:E662)*(E2=E$1:E662))))))</f>
        <v/>
      </c>
      <c r="K663" s="24" t="str">
        <f aca="false">IF(OR(E663="",E663="!!!",F663="NEW"),"",INDEX(J$1:J662,SUMPRODUCT(MAX(ROW(E$1:E662)*(E663=E$1:E662)))))</f>
        <v/>
      </c>
      <c r="L663" s="25"/>
    </row>
    <row r="664" customFormat="false" ht="14.25" hidden="false" customHeight="false" outlineLevel="0" collapsed="false">
      <c r="A664" s="0" t="s">
        <v>551</v>
      </c>
      <c r="B664" s="26" t="s">
        <v>96</v>
      </c>
      <c r="C664" s="26" t="s">
        <v>552</v>
      </c>
      <c r="D664" s="26" t="s">
        <v>75</v>
      </c>
      <c r="E664" s="20" t="s">
        <v>553</v>
      </c>
      <c r="F664" s="21" t="s">
        <v>273</v>
      </c>
      <c r="G664" s="22" t="e">
        <f aca="false"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#VALUE!</v>
      </c>
      <c r="H664" s="23" t="str">
        <f aca="false">IF(J664&lt;&gt;1,"",IF(I664="SBJ","CB","?"))</f>
        <v/>
      </c>
      <c r="I664" s="24" t="e">
        <f aca="false">IF(OR(E664="",E664="!!!",F664="NEW"),"",INDEX(B$2:B663,-1+SUMPRODUCT(MAX(ROW(E$2:E663)*(E664=E$2:E663)))))</f>
        <v>#VALUE!</v>
      </c>
      <c r="J664" s="24" t="n">
        <f aca="true">IF(OR(E664="",E664="!!!",F664="NEW"),"",COUNTBLANK(OFFSET(A$1,,,SUMPRODUCT(MAX(ROW(E$2:E664)*(E664=E$2:E664)))))-COUNTBLANK(OFFSET(A$1,,,SUMPRODUCT(MAX(ROW(E$1:E663)*(E2=E$1:E663))))))</f>
        <v>0</v>
      </c>
      <c r="K664" s="24" t="e">
        <f aca="false">IF(OR(E664="",E664="!!!",F664="NEW"),"",INDEX(J$1:J663,SUMPRODUCT(MAX(ROW(E$1:E663)*(E664=E$1:E663)))))</f>
        <v>#VALUE!</v>
      </c>
      <c r="L664" s="25"/>
    </row>
    <row r="665" customFormat="false" ht="14.25" hidden="false" customHeight="false" outlineLevel="0" collapsed="false">
      <c r="A665" s="0" t="s">
        <v>245</v>
      </c>
      <c r="E665" s="20" t="str">
        <f aca="false">IF(D665="?OLD","!!!","")</f>
        <v/>
      </c>
      <c r="F665" s="21" t="str">
        <f aca="false">IF(OR(E665="",E665="!!!"),"",IF(NOT(ISNA(VLOOKUP(E665,E$1:E664,1,FALSE()))),"OLD",IF(AND(E665&lt;&gt;"",E665&lt;&gt;"!!!"),"NEW","")))</f>
        <v/>
      </c>
      <c r="G665" s="22" t="str">
        <f aca="false"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aca="false">IF(J665&lt;&gt;1,"",IF(I665="SBJ","CB","?"))</f>
        <v/>
      </c>
      <c r="I665" s="24" t="str">
        <f aca="false">IF(OR(E665="",E665="!!!",F665="NEW"),"",INDEX(B$2:B664,-1+SUMPRODUCT(MAX(ROW(E$2:E664)*(E665=E$2:E664)))))</f>
        <v/>
      </c>
      <c r="J665" s="24" t="str">
        <f aca="true">IF(OR(E665="",E665="!!!",F665="NEW"),"",COUNTBLANK(OFFSET(A$1,,,SUMPRODUCT(MAX(ROW(E$2:E665)*(E665=E$2:E665)))))-COUNTBLANK(OFFSET(A$1,,,SUMPRODUCT(MAX(ROW(E$1:E664)*(E2=E$1:E664))))))</f>
        <v/>
      </c>
      <c r="K665" s="24" t="str">
        <f aca="false">IF(OR(E665="",E665="!!!",F665="NEW"),"",INDEX(J$1:J664,SUMPRODUCT(MAX(ROW(E$1:E664)*(E665=E$1:E664)))))</f>
        <v/>
      </c>
      <c r="L665" s="25"/>
    </row>
    <row r="666" customFormat="false" ht="14.25" hidden="false" customHeight="false" outlineLevel="0" collapsed="false">
      <c r="A666" s="0" t="s">
        <v>554</v>
      </c>
      <c r="E666" s="20" t="str">
        <f aca="false">IF(D666="?OLD","!!!","")</f>
        <v/>
      </c>
      <c r="F666" s="21" t="str">
        <f aca="false">IF(OR(E666="",E666="!!!"),"",IF(NOT(ISNA(VLOOKUP(E666,E$1:E665,1,FALSE()))),"OLD",IF(AND(E666&lt;&gt;"",E666&lt;&gt;"!!!"),"NEW","")))</f>
        <v/>
      </c>
      <c r="G666" s="22" t="str">
        <f aca="false"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aca="false">IF(J666&lt;&gt;1,"",IF(I666="SBJ","CB","?"))</f>
        <v/>
      </c>
      <c r="I666" s="24" t="str">
        <f aca="false">IF(OR(E666="",E666="!!!",F666="NEW"),"",INDEX(B$2:B665,-1+SUMPRODUCT(MAX(ROW(E$2:E665)*(E666=E$2:E665)))))</f>
        <v/>
      </c>
      <c r="J666" s="24" t="str">
        <f aca="true">IF(OR(E666="",E666="!!!",F666="NEW"),"",COUNTBLANK(OFFSET(A$1,,,SUMPRODUCT(MAX(ROW(E$2:E666)*(E666=E$2:E666)))))-COUNTBLANK(OFFSET(A$1,,,SUMPRODUCT(MAX(ROW(E$1:E665)*(E2=E$1:E665))))))</f>
        <v/>
      </c>
      <c r="K666" s="24" t="str">
        <f aca="false">IF(OR(E666="",E666="!!!",F666="NEW"),"",INDEX(J$1:J665,SUMPRODUCT(MAX(ROW(E$1:E665)*(E666=E$1:E665)))))</f>
        <v/>
      </c>
      <c r="L666" s="25"/>
    </row>
    <row r="667" customFormat="false" ht="14.25" hidden="false" customHeight="false" outlineLevel="0" collapsed="false">
      <c r="A667" s="0" t="s">
        <v>555</v>
      </c>
      <c r="E667" s="20" t="str">
        <f aca="false">IF(D667="?OLD","!!!","")</f>
        <v/>
      </c>
      <c r="F667" s="21" t="str">
        <f aca="false">IF(OR(E667="",E667="!!!"),"",IF(NOT(ISNA(VLOOKUP(E667,E$1:E666,1,FALSE()))),"OLD",IF(AND(E667&lt;&gt;"",E667&lt;&gt;"!!!"),"NEW","")))</f>
        <v/>
      </c>
      <c r="G667" s="22" t="str">
        <f aca="false"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aca="false">IF(J667&lt;&gt;1,"",IF(I667="SBJ","CB","?"))</f>
        <v/>
      </c>
      <c r="I667" s="24" t="str">
        <f aca="false">IF(OR(E667="",E667="!!!",F667="NEW"),"",INDEX(B$2:B666,-1+SUMPRODUCT(MAX(ROW(E$2:E666)*(E667=E$2:E666)))))</f>
        <v/>
      </c>
      <c r="J667" s="24" t="str">
        <f aca="true">IF(OR(E667="",E667="!!!",F667="NEW"),"",COUNTBLANK(OFFSET(A$1,,,SUMPRODUCT(MAX(ROW(E$2:E667)*(E667=E$2:E667)))))-COUNTBLANK(OFFSET(A$1,,,SUMPRODUCT(MAX(ROW(E$1:E666)*(E2=E$1:E666))))))</f>
        <v/>
      </c>
      <c r="K667" s="24" t="str">
        <f aca="false">IF(OR(E667="",E667="!!!",F667="NEW"),"",INDEX(J$1:J666,SUMPRODUCT(MAX(ROW(E$1:E666)*(E667=E$1:E666)))))</f>
        <v/>
      </c>
      <c r="L667" s="25"/>
    </row>
    <row r="668" customFormat="false" ht="14.25" hidden="false" customHeight="false" outlineLevel="0" collapsed="false">
      <c r="A668" s="0" t="s">
        <v>556</v>
      </c>
      <c r="B668" s="26" t="s">
        <v>82</v>
      </c>
      <c r="C668" s="26" t="s">
        <v>119</v>
      </c>
      <c r="E668" s="20" t="str">
        <f aca="false">IF(D668="?OLD","!!!","")</f>
        <v/>
      </c>
      <c r="F668" s="21" t="str">
        <f aca="false">IF(OR(E668="",E668="!!!"),"",IF(NOT(ISNA(VLOOKUP(E668,E$1:E667,1,FALSE()))),"OLD",IF(AND(E668&lt;&gt;"",E668&lt;&gt;"!!!"),"NEW","")))</f>
        <v/>
      </c>
      <c r="G668" s="22" t="str">
        <f aca="false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aca="false">IF(J668&lt;&gt;1,"",IF(I668="SBJ","CB","?"))</f>
        <v/>
      </c>
      <c r="I668" s="24" t="str">
        <f aca="false">IF(OR(E668="",E668="!!!",F668="NEW"),"",INDEX(B$2:B667,-1+SUMPRODUCT(MAX(ROW(E$2:E667)*(E668=E$2:E667)))))</f>
        <v/>
      </c>
      <c r="J668" s="24" t="str">
        <f aca="true">IF(OR(E668="",E668="!!!",F668="NEW"),"",COUNTBLANK(OFFSET(A$1,,,SUMPRODUCT(MAX(ROW(E$2:E668)*(E668=E$2:E668)))))-COUNTBLANK(OFFSET(A$1,,,SUMPRODUCT(MAX(ROW(E$1:E667)*(E2=E$1:E667))))))</f>
        <v/>
      </c>
      <c r="K668" s="24" t="str">
        <f aca="false">IF(OR(E668="",E668="!!!",F668="NEW"),"",INDEX(J$1:J667,SUMPRODUCT(MAX(ROW(E$1:E667)*(E668=E$1:E667)))))</f>
        <v/>
      </c>
      <c r="L668" s="25"/>
    </row>
    <row r="669" customFormat="false" ht="14.25" hidden="false" customHeight="false" outlineLevel="0" collapsed="false">
      <c r="A669" s="0" t="s">
        <v>86</v>
      </c>
      <c r="E669" s="20" t="str">
        <f aca="false">IF(D669="?OLD","!!!","")</f>
        <v/>
      </c>
      <c r="F669" s="21" t="str">
        <f aca="false">IF(OR(E669="",E669="!!!"),"",IF(NOT(ISNA(VLOOKUP(E669,E$1:E668,1,FALSE()))),"OLD",IF(AND(E669&lt;&gt;"",E669&lt;&gt;"!!!"),"NEW","")))</f>
        <v/>
      </c>
      <c r="G669" s="22" t="str">
        <f aca="false"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aca="false">IF(J669&lt;&gt;1,"",IF(I669="SBJ","CB","?"))</f>
        <v/>
      </c>
      <c r="I669" s="24" t="str">
        <f aca="false">IF(OR(E669="",E669="!!!",F669="NEW"),"",INDEX(B$2:B668,-1+SUMPRODUCT(MAX(ROW(E$2:E668)*(E669=E$2:E668)))))</f>
        <v/>
      </c>
      <c r="J669" s="24" t="str">
        <f aca="true">IF(OR(E669="",E669="!!!",F669="NEW"),"",COUNTBLANK(OFFSET(A$1,,,SUMPRODUCT(MAX(ROW(E$2:E669)*(E669=E$2:E669)))))-COUNTBLANK(OFFSET(A$1,,,SUMPRODUCT(MAX(ROW(E$1:E668)*(E2=E$1:E668))))))</f>
        <v/>
      </c>
      <c r="K669" s="24" t="str">
        <f aca="false">IF(OR(E669="",E669="!!!",F669="NEW"),"",INDEX(J$1:J668,SUMPRODUCT(MAX(ROW(E$1:E668)*(E669=E$1:E668)))))</f>
        <v/>
      </c>
      <c r="L669" s="27" t="s">
        <v>557</v>
      </c>
    </row>
    <row r="671" customFormat="false" ht="14.25" hidden="false" customHeight="false" outlineLevel="0" collapsed="false">
      <c r="A671" s="0" t="s">
        <v>401</v>
      </c>
      <c r="E671" s="20" t="str">
        <f aca="false">IF(D671="?OLD","!!!","")</f>
        <v/>
      </c>
      <c r="F671" s="21" t="str">
        <f aca="false">IF(OR(E671="",E671="!!!"),"",IF(NOT(ISNA(VLOOKUP(E671,E$1:E670,1,FALSE()))),"OLD",IF(AND(E671&lt;&gt;"",E671&lt;&gt;"!!!"),"NEW","")))</f>
        <v/>
      </c>
      <c r="G671" s="22" t="str">
        <f aca="false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aca="false">IF(J671&lt;&gt;1,"",IF(I671="SBJ","CB","?"))</f>
        <v/>
      </c>
      <c r="I671" s="24" t="str">
        <f aca="false">IF(OR(E671="",E671="!!!",F671="NEW"),"",INDEX(B$2:B670,-1+SUMPRODUCT(MAX(ROW(E$2:E670)*(E671=E$2:E670)))))</f>
        <v/>
      </c>
      <c r="J671" s="24" t="str">
        <f aca="true">IF(OR(E671="",E671="!!!",F671="NEW"),"",COUNTBLANK(OFFSET(A$1,,,SUMPRODUCT(MAX(ROW(E$2:E671)*(E671=E$2:E671)))))-COUNTBLANK(OFFSET(A$1,,,SUMPRODUCT(MAX(ROW(E$1:E670)*(E2=E$1:E670))))))</f>
        <v/>
      </c>
      <c r="K671" s="24" t="str">
        <f aca="false">IF(OR(E671="",E671="!!!",F671="NEW"),"",INDEX(J$1:J670,SUMPRODUCT(MAX(ROW(E$1:E670)*(E671=E$1:E670)))))</f>
        <v/>
      </c>
      <c r="L671" s="25"/>
    </row>
    <row r="672" customFormat="false" ht="14.25" hidden="false" customHeight="false" outlineLevel="0" collapsed="false">
      <c r="A672" s="0" t="s">
        <v>558</v>
      </c>
    </row>
    <row r="673" customFormat="false" ht="14.25" hidden="false" customHeight="false" outlineLevel="0" collapsed="false">
      <c r="A673" s="0" t="s">
        <v>559</v>
      </c>
      <c r="B673" s="26" t="s">
        <v>560</v>
      </c>
      <c r="C673" s="26" t="s">
        <v>283</v>
      </c>
      <c r="D673" s="26" t="s">
        <v>75</v>
      </c>
      <c r="E673" s="20" t="s">
        <v>561</v>
      </c>
      <c r="F673" s="21" t="str">
        <f aca="false">IF(OR(E673="",E673="!!!"),"",IF(NOT(ISNA(VLOOKUP(E673,E$1:E672,1,FALSE()))),"OLD",IF(AND(E673&lt;&gt;"",E673&lt;&gt;"!!!"),"NEW","")))</f>
        <v>NEW</v>
      </c>
      <c r="G673" s="22" t="str">
        <f aca="false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?REFERENTIAL</v>
      </c>
      <c r="H673" s="23" t="str">
        <f aca="false">IF(J673&lt;&gt;1,"",IF(I673="SBJ","CB","?"))</f>
        <v/>
      </c>
      <c r="I673" s="24" t="str">
        <f aca="false">IF(OR(E673="",E673="!!!",F673="NEW"),"",INDEX(B$2:B672,-1+SUMPRODUCT(MAX(ROW(E$2:E672)*(E673=E$2:E672)))))</f>
        <v/>
      </c>
      <c r="J673" s="24" t="str">
        <f aca="true">IF(OR(E673="",E673="!!!",F673="NEW"),"",COUNTBLANK(OFFSET(A$1,,,SUMPRODUCT(MAX(ROW(E$2:E673)*(E673=E$2:E673)))))-COUNTBLANK(OFFSET(A$1,,,SUMPRODUCT(MAX(ROW(E$1:E672)*(E2=E$1:E672))))))</f>
        <v/>
      </c>
      <c r="K673" s="24" t="str">
        <f aca="false">IF(OR(E673="",E673="!!!",F673="NEW"),"",INDEX(J$1:J672,SUMPRODUCT(MAX(ROW(E$1:E672)*(E673=E$1:E672)))))</f>
        <v/>
      </c>
      <c r="L673" s="27" t="s">
        <v>562</v>
      </c>
    </row>
    <row r="674" customFormat="false" ht="14.25" hidden="false" customHeight="false" outlineLevel="0" collapsed="false">
      <c r="A674" s="0" t="s">
        <v>237</v>
      </c>
      <c r="E674" s="20" t="str">
        <f aca="false">IF(D674="?OLD","!!!","")</f>
        <v/>
      </c>
      <c r="F674" s="21" t="str">
        <f aca="false">IF(OR(E674="",E674="!!!"),"",IF(NOT(ISNA(VLOOKUP(E674,E$1:E673,1,FALSE()))),"OLD",IF(AND(E674&lt;&gt;"",E674&lt;&gt;"!!!"),"NEW","")))</f>
        <v/>
      </c>
      <c r="G674" s="22" t="str">
        <f aca="false"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3" t="str">
        <f aca="false">IF(J674&lt;&gt;1,"",IF(I674="SBJ","CB","?"))</f>
        <v/>
      </c>
      <c r="I674" s="24" t="str">
        <f aca="false">IF(OR(E674="",E674="!!!",F674="NEW"),"",INDEX(B$2:B673,-1+SUMPRODUCT(MAX(ROW(E$2:E673)*(E674=E$2:E673)))))</f>
        <v/>
      </c>
      <c r="J674" s="24" t="str">
        <f aca="true">IF(OR(E674="",E674="!!!",F674="NEW"),"",COUNTBLANK(OFFSET(A$1,,,SUMPRODUCT(MAX(ROW(E$2:E674)*(E674=E$2:E674)))))-COUNTBLANK(OFFSET(A$1,,,SUMPRODUCT(MAX(ROW(E$1:E673)*(E2=E$1:E673))))))</f>
        <v/>
      </c>
      <c r="K674" s="24" t="str">
        <f aca="false">IF(OR(E674="",E674="!!!",F674="NEW"),"",INDEX(J$1:J673,SUMPRODUCT(MAX(ROW(E$1:E673)*(E674=E$1:E673)))))</f>
        <v/>
      </c>
      <c r="L674" s="25"/>
    </row>
    <row r="675" customFormat="false" ht="14.25" hidden="false" customHeight="false" outlineLevel="0" collapsed="false">
      <c r="A675" s="0" t="s">
        <v>563</v>
      </c>
      <c r="B675" s="26" t="s">
        <v>422</v>
      </c>
      <c r="C675" s="26" t="s">
        <v>105</v>
      </c>
      <c r="E675" s="20" t="str">
        <f aca="false">IF(D675="?OLD","!!!","")</f>
        <v/>
      </c>
      <c r="F675" s="21" t="str">
        <f aca="false">IF(OR(E675="",E675="!!!"),"",IF(NOT(ISNA(VLOOKUP(E675,E$1:E674,1,FALSE()))),"OLD",IF(AND(E675&lt;&gt;"",E675&lt;&gt;"!!!"),"NEW","")))</f>
        <v/>
      </c>
      <c r="G675" s="22" t="str">
        <f aca="false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aca="false">IF(J675&lt;&gt;1,"",IF(I675="SBJ","CB","?"))</f>
        <v/>
      </c>
      <c r="I675" s="24" t="str">
        <f aca="false">IF(OR(E675="",E675="!!!",F675="NEW"),"",INDEX(B$2:B674,-1+SUMPRODUCT(MAX(ROW(E$2:E674)*(E675=E$2:E674)))))</f>
        <v/>
      </c>
      <c r="J675" s="24" t="str">
        <f aca="true">IF(OR(E675="",E675="!!!",F675="NEW"),"",COUNTBLANK(OFFSET(A$1,,,SUMPRODUCT(MAX(ROW(E$2:E675)*(E675=E$2:E675)))))-COUNTBLANK(OFFSET(A$1,,,SUMPRODUCT(MAX(ROW(E$1:E674)*(E2=E$1:E674))))))</f>
        <v/>
      </c>
      <c r="K675" s="24" t="str">
        <f aca="false">IF(OR(E675="",E675="!!!",F675="NEW"),"",INDEX(J$1:J674,SUMPRODUCT(MAX(ROW(E$1:E674)*(E675=E$1:E674)))))</f>
        <v/>
      </c>
      <c r="L675" s="25"/>
    </row>
    <row r="676" customFormat="false" ht="14.25" hidden="false" customHeight="false" outlineLevel="0" collapsed="false">
      <c r="A676" s="0" t="s">
        <v>564</v>
      </c>
      <c r="E676" s="20" t="str">
        <f aca="false">IF(D676="?OLD","!!!","")</f>
        <v/>
      </c>
      <c r="F676" s="21" t="str">
        <f aca="false">IF(OR(E676="",E676="!!!"),"",IF(NOT(ISNA(VLOOKUP(E676,E$1:E675,1,FALSE()))),"OLD",IF(AND(E676&lt;&gt;"",E676&lt;&gt;"!!!"),"NEW","")))</f>
        <v/>
      </c>
      <c r="G676" s="22" t="str">
        <f aca="false"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aca="false">IF(J676&lt;&gt;1,"",IF(I676="SBJ","CB","?"))</f>
        <v/>
      </c>
      <c r="I676" s="24" t="str">
        <f aca="false">IF(OR(E676="",E676="!!!",F676="NEW"),"",INDEX(B$2:B675,-1+SUMPRODUCT(MAX(ROW(E$2:E675)*(E676=E$2:E675)))))</f>
        <v/>
      </c>
      <c r="J676" s="24" t="str">
        <f aca="true">IF(OR(E676="",E676="!!!",F676="NEW"),"",COUNTBLANK(OFFSET(A$1,,,SUMPRODUCT(MAX(ROW(E$2:E676)*(E676=E$2:E676)))))-COUNTBLANK(OFFSET(A$1,,,SUMPRODUCT(MAX(ROW(E$1:E675)*(E2=E$1:E675))))))</f>
        <v/>
      </c>
      <c r="K676" s="24" t="str">
        <f aca="false">IF(OR(E676="",E676="!!!",F676="NEW"),"",INDEX(J$1:J675,SUMPRODUCT(MAX(ROW(E$1:E675)*(E676=E$1:E675)))))</f>
        <v/>
      </c>
      <c r="L676" s="25"/>
    </row>
    <row r="677" customFormat="false" ht="14.25" hidden="false" customHeight="false" outlineLevel="0" collapsed="false">
      <c r="A677" s="0" t="s">
        <v>142</v>
      </c>
      <c r="E677" s="20" t="str">
        <f aca="false">IF(D677="?OLD","!!!","")</f>
        <v/>
      </c>
      <c r="F677" s="21" t="str">
        <f aca="false">IF(OR(E677="",E677="!!!"),"",IF(NOT(ISNA(VLOOKUP(E677,E$1:E676,1,FALSE()))),"OLD",IF(AND(E677&lt;&gt;"",E677&lt;&gt;"!!!"),"NEW","")))</f>
        <v/>
      </c>
      <c r="G677" s="22" t="str">
        <f aca="false"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aca="false">IF(J677&lt;&gt;1,"",IF(I677="SBJ","CB","?"))</f>
        <v/>
      </c>
      <c r="I677" s="24" t="str">
        <f aca="false">IF(OR(E677="",E677="!!!",F677="NEW"),"",INDEX(B$2:B676,-1+SUMPRODUCT(MAX(ROW(E$2:E676)*(E677=E$2:E676)))))</f>
        <v/>
      </c>
      <c r="J677" s="24" t="str">
        <f aca="true">IF(OR(E677="",E677="!!!",F677="NEW"),"",COUNTBLANK(OFFSET(A$1,,,SUMPRODUCT(MAX(ROW(E$2:E677)*(E677=E$2:E677)))))-COUNTBLANK(OFFSET(A$1,,,SUMPRODUCT(MAX(ROW(E$1:E676)*(E2=E$1:E676))))))</f>
        <v/>
      </c>
      <c r="K677" s="24" t="str">
        <f aca="false">IF(OR(E677="",E677="!!!",F677="NEW"),"",INDEX(J$1:J676,SUMPRODUCT(MAX(ROW(E$1:E676)*(E677=E$1:E676)))))</f>
        <v/>
      </c>
      <c r="L677" s="25"/>
    </row>
    <row r="678" customFormat="false" ht="14.25" hidden="false" customHeight="false" outlineLevel="0" collapsed="false">
      <c r="A678" s="0" t="s">
        <v>136</v>
      </c>
      <c r="E678" s="20" t="str">
        <f aca="false">IF(D678="?OLD","!!!","")</f>
        <v/>
      </c>
      <c r="F678" s="21" t="str">
        <f aca="false">IF(OR(E678="",E678="!!!"),"",IF(NOT(ISNA(VLOOKUP(E678,E$1:E677,1,FALSE()))),"OLD",IF(AND(E678&lt;&gt;"",E678&lt;&gt;"!!!"),"NEW","")))</f>
        <v/>
      </c>
      <c r="G678" s="22" t="str">
        <f aca="false"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aca="false">IF(J678&lt;&gt;1,"",IF(I678="SBJ","CB","?"))</f>
        <v/>
      </c>
      <c r="I678" s="24" t="str">
        <f aca="false">IF(OR(E678="",E678="!!!",F678="NEW"),"",INDEX(B$2:B677,-1+SUMPRODUCT(MAX(ROW(E$2:E677)*(E678=E$2:E677)))))</f>
        <v/>
      </c>
      <c r="J678" s="24" t="str">
        <f aca="true">IF(OR(E678="",E678="!!!",F678="NEW"),"",COUNTBLANK(OFFSET(A$1,,,SUMPRODUCT(MAX(ROW(E$2:E678)*(E678=E$2:E678)))))-COUNTBLANK(OFFSET(A$1,,,SUMPRODUCT(MAX(ROW(E$1:E677)*(E2=E$1:E677))))))</f>
        <v/>
      </c>
      <c r="K678" s="24" t="str">
        <f aca="false">IF(OR(E678="",E678="!!!",F678="NEW"),"",INDEX(J$1:J677,SUMPRODUCT(MAX(ROW(E$1:E677)*(E678=E$1:E677)))))</f>
        <v/>
      </c>
      <c r="L678" s="25"/>
    </row>
    <row r="679" customFormat="false" ht="14.25" hidden="false" customHeight="false" outlineLevel="0" collapsed="false">
      <c r="A679" s="0" t="s">
        <v>565</v>
      </c>
      <c r="B679" s="26" t="s">
        <v>566</v>
      </c>
      <c r="C679" s="26" t="s">
        <v>74</v>
      </c>
      <c r="D679" s="26" t="s">
        <v>75</v>
      </c>
      <c r="E679" s="20" t="s">
        <v>257</v>
      </c>
      <c r="F679" s="21" t="str">
        <f aca="false">IF(OR(E679="",E679="!!!"),"",IF(NOT(ISNA(VLOOKUP(E679,E$1:E678,1,FALSE()))),"OLD",IF(AND(E679&lt;&gt;"",E679&lt;&gt;"!!!"),"NEW","")))</f>
        <v>OLD</v>
      </c>
      <c r="G679" s="22" t="str">
        <f aca="false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?IN_FOCUS</v>
      </c>
      <c r="H679" s="23" t="str">
        <f aca="false">IF(J679&lt;&gt;1,"",IF(I679="SBJ","CB","?"))</f>
        <v/>
      </c>
      <c r="I679" s="24" t="str">
        <f aca="false">IF(OR(E679="",E679="!!!",F679="NEW"),"",INDEX(B$2:B678,-1+SUMPRODUCT(MAX(ROW(E$2:E678)*(E679=E$2:E678)))))</f>
        <v>SBJ_2</v>
      </c>
      <c r="J679" s="24" t="n">
        <f aca="true">IF(OR(E679="",E679="!!!",F679="NEW"),"",COUNTBLANK(OFFSET(A$1,,,SUMPRODUCT(MAX(ROW(E$2:E679)*(E679=E$2:E679)))))-COUNTBLANK(OFFSET(A$1,,,SUMPRODUCT(MAX(ROW(E$1:E678)*(E2=E$1:E678))))))</f>
        <v>0</v>
      </c>
      <c r="K679" s="24" t="str">
        <f aca="false">IF(OR(E679="",E679="!!!",F679="NEW"),"",INDEX(J$1:J678,SUMPRODUCT(MAX(ROW(E$1:E678)*(E679=E$1:E678)))))</f>
        <v/>
      </c>
      <c r="L679" s="25"/>
    </row>
    <row r="680" customFormat="false" ht="14.25" hidden="false" customHeight="false" outlineLevel="0" collapsed="false">
      <c r="A680" s="0" t="s">
        <v>328</v>
      </c>
      <c r="E680" s="20" t="str">
        <f aca="false">IF(D680="?OLD","!!!","")</f>
        <v/>
      </c>
      <c r="F680" s="21" t="str">
        <f aca="false">IF(OR(E680="",E680="!!!"),"",IF(NOT(ISNA(VLOOKUP(E680,E$1:E679,1,FALSE()))),"OLD",IF(AND(E680&lt;&gt;"",E680&lt;&gt;"!!!"),"NEW","")))</f>
        <v/>
      </c>
      <c r="G680" s="22" t="str">
        <f aca="false"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aca="false">IF(J680&lt;&gt;1,"",IF(I680="SBJ","CB","?"))</f>
        <v/>
      </c>
      <c r="I680" s="24" t="str">
        <f aca="false">IF(OR(E680="",E680="!!!",F680="NEW"),"",INDEX(B$2:B679,-1+SUMPRODUCT(MAX(ROW(E$2:E679)*(E680=E$2:E679)))))</f>
        <v/>
      </c>
      <c r="J680" s="24" t="str">
        <f aca="true">IF(OR(E680="",E680="!!!",F680="NEW"),"",COUNTBLANK(OFFSET(A$1,,,SUMPRODUCT(MAX(ROW(E$2:E680)*(E680=E$2:E680)))))-COUNTBLANK(OFFSET(A$1,,,SUMPRODUCT(MAX(ROW(E$1:E679)*(E2=E$1:E679))))))</f>
        <v/>
      </c>
      <c r="K680" s="24" t="str">
        <f aca="false">IF(OR(E680="",E680="!!!",F680="NEW"),"",INDEX(J$1:J679,SUMPRODUCT(MAX(ROW(E$1:E679)*(E680=E$1:E679)))))</f>
        <v/>
      </c>
      <c r="L680" s="25"/>
    </row>
    <row r="681" customFormat="false" ht="14.25" hidden="false" customHeight="false" outlineLevel="0" collapsed="false">
      <c r="A681" s="0" t="s">
        <v>567</v>
      </c>
      <c r="E681" s="20" t="str">
        <f aca="false">IF(D681="?OLD","!!!","")</f>
        <v/>
      </c>
      <c r="F681" s="21" t="str">
        <f aca="false">IF(OR(E681="",E681="!!!"),"",IF(NOT(ISNA(VLOOKUP(E681,E$1:E680,1,FALSE()))),"OLD",IF(AND(E681&lt;&gt;"",E681&lt;&gt;"!!!"),"NEW","")))</f>
        <v/>
      </c>
      <c r="G681" s="22" t="str">
        <f aca="false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aca="false">IF(J681&lt;&gt;1,"",IF(I681="SBJ","CB","?"))</f>
        <v/>
      </c>
      <c r="I681" s="24" t="str">
        <f aca="false">IF(OR(E681="",E681="!!!",F681="NEW"),"",INDEX(B$2:B680,-1+SUMPRODUCT(MAX(ROW(E$2:E680)*(E681=E$2:E680)))))</f>
        <v/>
      </c>
      <c r="J681" s="24" t="str">
        <f aca="true">IF(OR(E681="",E681="!!!",F681="NEW"),"",COUNTBLANK(OFFSET(A$1,,,SUMPRODUCT(MAX(ROW(E$2:E681)*(E681=E$2:E681)))))-COUNTBLANK(OFFSET(A$1,,,SUMPRODUCT(MAX(ROW(E$1:E680)*(E2=E$1:E680))))))</f>
        <v/>
      </c>
      <c r="K681" s="24" t="str">
        <f aca="false">IF(OR(E681="",E681="!!!",F681="NEW"),"",INDEX(J$1:J680,SUMPRODUCT(MAX(ROW(E$1:E680)*(E681=E$1:E680)))))</f>
        <v/>
      </c>
      <c r="L681" s="25"/>
    </row>
    <row r="682" customFormat="false" ht="14.25" hidden="false" customHeight="false" outlineLevel="0" collapsed="false">
      <c r="A682" s="0" t="s">
        <v>568</v>
      </c>
      <c r="E682" s="20" t="str">
        <f aca="false">IF(D682="?OLD","!!!","")</f>
        <v/>
      </c>
      <c r="F682" s="21" t="str">
        <f aca="false">IF(OR(E682="",E682="!!!"),"",IF(NOT(ISNA(VLOOKUP(E682,E$1:E681,1,FALSE()))),"OLD",IF(AND(E682&lt;&gt;"",E682&lt;&gt;"!!!"),"NEW","")))</f>
        <v/>
      </c>
      <c r="G682" s="22" t="str">
        <f aca="false"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3" t="str">
        <f aca="false">IF(J682&lt;&gt;1,"",IF(I682="SBJ","CB","?"))</f>
        <v/>
      </c>
      <c r="I682" s="24" t="str">
        <f aca="false">IF(OR(E682="",E682="!!!",F682="NEW"),"",INDEX(B$2:B681,-1+SUMPRODUCT(MAX(ROW(E$2:E681)*(E682=E$2:E681)))))</f>
        <v/>
      </c>
      <c r="J682" s="24" t="str">
        <f aca="true">IF(OR(E682="",E682="!!!",F682="NEW"),"",COUNTBLANK(OFFSET(A$1,,,SUMPRODUCT(MAX(ROW(E$2:E682)*(E682=E$2:E682)))))-COUNTBLANK(OFFSET(A$1,,,SUMPRODUCT(MAX(ROW(E$1:E681)*(E2=E$1:E681))))))</f>
        <v/>
      </c>
      <c r="K682" s="24" t="str">
        <f aca="false">IF(OR(E682="",E682="!!!",F682="NEW"),"",INDEX(J$1:J681,SUMPRODUCT(MAX(ROW(E$1:E681)*(E682=E$1:E681)))))</f>
        <v/>
      </c>
      <c r="L682" s="25"/>
    </row>
    <row r="683" customFormat="false" ht="14.25" hidden="false" customHeight="false" outlineLevel="0" collapsed="false">
      <c r="A683" s="0" t="s">
        <v>569</v>
      </c>
      <c r="E683" s="20" t="str">
        <f aca="false">IF(D683="?OLD","!!!","")</f>
        <v/>
      </c>
      <c r="F683" s="21" t="str">
        <f aca="false">IF(OR(E683="",E683="!!!"),"",IF(NOT(ISNA(VLOOKUP(E683,E$1:E682,1,FALSE()))),"OLD",IF(AND(E683&lt;&gt;"",E683&lt;&gt;"!!!"),"NEW","")))</f>
        <v/>
      </c>
      <c r="G683" s="22" t="str">
        <f aca="false"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aca="false">IF(J683&lt;&gt;1,"",IF(I683="SBJ","CB","?"))</f>
        <v/>
      </c>
      <c r="I683" s="24" t="str">
        <f aca="false">IF(OR(E683="",E683="!!!",F683="NEW"),"",INDEX(B$2:B682,-1+SUMPRODUCT(MAX(ROW(E$2:E682)*(E683=E$2:E682)))))</f>
        <v/>
      </c>
      <c r="J683" s="24" t="str">
        <f aca="true">IF(OR(E683="",E683="!!!",F683="NEW"),"",COUNTBLANK(OFFSET(A$1,,,SUMPRODUCT(MAX(ROW(E$2:E683)*(E683=E$2:E683)))))-COUNTBLANK(OFFSET(A$1,,,SUMPRODUCT(MAX(ROW(E$1:E682)*(E2=E$1:E682))))))</f>
        <v/>
      </c>
      <c r="K683" s="24" t="str">
        <f aca="false">IF(OR(E683="",E683="!!!",F683="NEW"),"",INDEX(J$1:J682,SUMPRODUCT(MAX(ROW(E$1:E682)*(E683=E$1:E682)))))</f>
        <v/>
      </c>
      <c r="L683" s="25"/>
    </row>
    <row r="684" customFormat="false" ht="14.25" hidden="false" customHeight="false" outlineLevel="0" collapsed="false">
      <c r="A684" s="0" t="s">
        <v>570</v>
      </c>
      <c r="B684" s="26" t="s">
        <v>571</v>
      </c>
      <c r="C684" s="26" t="s">
        <v>105</v>
      </c>
      <c r="E684" s="20" t="str">
        <f aca="false">IF(D684="?OLD","!!!","")</f>
        <v/>
      </c>
      <c r="F684" s="21" t="str">
        <f aca="false">IF(OR(E684="",E684="!!!"),"",IF(NOT(ISNA(VLOOKUP(E684,E$1:E683,1,FALSE()))),"OLD",IF(AND(E684&lt;&gt;"",E684&lt;&gt;"!!!"),"NEW","")))</f>
        <v/>
      </c>
      <c r="G684" s="22" t="str">
        <f aca="false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aca="false">IF(J684&lt;&gt;1,"",IF(I684="SBJ","CB","?"))</f>
        <v/>
      </c>
      <c r="I684" s="24" t="str">
        <f aca="false">IF(OR(E684="",E684="!!!",F684="NEW"),"",INDEX(B$2:B683,-1+SUMPRODUCT(MAX(ROW(E$2:E683)*(E684=E$2:E683)))))</f>
        <v/>
      </c>
      <c r="J684" s="24" t="str">
        <f aca="true">IF(OR(E684="",E684="!!!",F684="NEW"),"",COUNTBLANK(OFFSET(A$1,,,SUMPRODUCT(MAX(ROW(E$2:E684)*(E684=E$2:E684)))))-COUNTBLANK(OFFSET(A$1,,,SUMPRODUCT(MAX(ROW(E$1:E683)*(E2=E$1:E683))))))</f>
        <v/>
      </c>
      <c r="K684" s="24" t="str">
        <f aca="false">IF(OR(E684="",E684="!!!",F684="NEW"),"",INDEX(J$1:J683,SUMPRODUCT(MAX(ROW(E$1:E683)*(E684=E$1:E683)))))</f>
        <v/>
      </c>
      <c r="L684" s="25"/>
    </row>
    <row r="685" customFormat="false" ht="14.25" hidden="false" customHeight="false" outlineLevel="0" collapsed="false">
      <c r="A685" s="0" t="s">
        <v>572</v>
      </c>
      <c r="E685" s="20" t="s">
        <v>573</v>
      </c>
      <c r="F685" s="21" t="str">
        <f aca="false">IF(OR(E685="",E685="!!!"),"",IF(NOT(ISNA(VLOOKUP(E685,E$1:E684,1,FALSE()))),"OLD",IF(AND(E685&lt;&gt;"",E685&lt;&gt;"!!!"),"NEW","")))</f>
        <v>NEW</v>
      </c>
      <c r="G685" s="22" t="str">
        <f aca="false"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?REFERENTIAL</v>
      </c>
      <c r="H685" s="23" t="str">
        <f aca="false">IF(J685&lt;&gt;1,"",IF(I685="SBJ","CB","?"))</f>
        <v/>
      </c>
      <c r="I685" s="24" t="str">
        <f aca="false">IF(OR(E685="",E685="!!!",F685="NEW"),"",INDEX(B$2:B684,-1+SUMPRODUCT(MAX(ROW(E$2:E684)*(E685=E$2:E684)))))</f>
        <v/>
      </c>
      <c r="J685" s="24" t="str">
        <f aca="true">IF(OR(E685="",E685="!!!",F685="NEW"),"",COUNTBLANK(OFFSET(A$1,,,SUMPRODUCT(MAX(ROW(E$2:E685)*(E685=E$2:E685)))))-COUNTBLANK(OFFSET(A$1,,,SUMPRODUCT(MAX(ROW(E$1:E684)*(E2=E$1:E684))))))</f>
        <v/>
      </c>
      <c r="K685" s="24" t="str">
        <f aca="false">IF(OR(E685="",E685="!!!",F685="NEW"),"",INDEX(J$1:J684,SUMPRODUCT(MAX(ROW(E$1:E684)*(E685=E$1:E684)))))</f>
        <v/>
      </c>
      <c r="L685" s="27" t="s">
        <v>158</v>
      </c>
    </row>
    <row r="686" customFormat="false" ht="14.25" hidden="false" customHeight="false" outlineLevel="0" collapsed="false">
      <c r="A686" s="0" t="s">
        <v>86</v>
      </c>
      <c r="E686" s="20" t="str">
        <f aca="false">IF(D686="?OLD","!!!","")</f>
        <v/>
      </c>
      <c r="F686" s="21" t="str">
        <f aca="false">IF(OR(E686="",E686="!!!"),"",IF(NOT(ISNA(VLOOKUP(E686,E$1:E685,1,FALSE()))),"OLD",IF(AND(E686&lt;&gt;"",E686&lt;&gt;"!!!"),"NEW","")))</f>
        <v/>
      </c>
      <c r="G686" s="22" t="str">
        <f aca="false"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aca="false">IF(J686&lt;&gt;1,"",IF(I686="SBJ","CB","?"))</f>
        <v/>
      </c>
      <c r="I686" s="24" t="str">
        <f aca="false">IF(OR(E686="",E686="!!!",F686="NEW"),"",INDEX(B$2:B685,-1+SUMPRODUCT(MAX(ROW(E$2:E685)*(E686=E$2:E685)))))</f>
        <v/>
      </c>
      <c r="J686" s="24" t="str">
        <f aca="true">IF(OR(E686="",E686="!!!",F686="NEW"),"",COUNTBLANK(OFFSET(A$1,,,SUMPRODUCT(MAX(ROW(E$2:E686)*(E686=E$2:E686)))))-COUNTBLANK(OFFSET(A$1,,,SUMPRODUCT(MAX(ROW(E$1:E685)*(E2=E$1:E685))))))</f>
        <v/>
      </c>
      <c r="K686" s="24" t="str">
        <f aca="false">IF(OR(E686="",E686="!!!",F686="NEW"),"",INDEX(J$1:J685,SUMPRODUCT(MAX(ROW(E$1:E685)*(E686=E$1:E685)))))</f>
        <v/>
      </c>
      <c r="L686" s="25"/>
    </row>
    <row r="687" customFormat="false" ht="14.25" hidden="false" customHeight="false" outlineLevel="0" collapsed="false">
      <c r="A687" s="0" t="s">
        <v>265</v>
      </c>
      <c r="B687" s="26" t="s">
        <v>571</v>
      </c>
      <c r="C687" s="26" t="s">
        <v>209</v>
      </c>
      <c r="D687" s="26" t="s">
        <v>75</v>
      </c>
      <c r="E687" s="20" t="s">
        <v>573</v>
      </c>
      <c r="F687" s="21" t="str">
        <f aca="false">IF(OR(E687="",E687="!!!"),"",IF(NOT(ISNA(VLOOKUP(E687,E$1:E686,1,FALSE()))),"OLD",IF(AND(E687&lt;&gt;"",E687&lt;&gt;"!!!"),"NEW","")))</f>
        <v>OLD</v>
      </c>
      <c r="G687" s="22" t="str">
        <f aca="false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?IN_FOCUS</v>
      </c>
      <c r="H687" s="23" t="str">
        <f aca="false">IF(J687&lt;&gt;1,"",IF(I687="SBJ","CB","?"))</f>
        <v/>
      </c>
      <c r="I687" s="24" t="n">
        <f aca="false">IF(OR(E687="",E687="!!!",F687="NEW"),"",INDEX(B$2:B686,-1+SUMPRODUCT(MAX(ROW(E$2:E686)*(E687=E$2:E686)))))</f>
        <v>0</v>
      </c>
      <c r="J687" s="24" t="n">
        <f aca="true">IF(OR(E687="",E687="!!!",F687="NEW"),"",COUNTBLANK(OFFSET(A$1,,,SUMPRODUCT(MAX(ROW(E$2:E687)*(E687=E$2:E687)))))-COUNTBLANK(OFFSET(A$1,,,SUMPRODUCT(MAX(ROW(E$1:E686)*(E2=E$1:E686))))))</f>
        <v>0</v>
      </c>
      <c r="K687" s="24" t="str">
        <f aca="false">IF(OR(E687="",E687="!!!",F687="NEW"),"",INDEX(J$1:J686,SUMPRODUCT(MAX(ROW(E$1:E686)*(E687=E$1:E686)))))</f>
        <v/>
      </c>
      <c r="L687" s="25"/>
    </row>
    <row r="688" customFormat="false" ht="14.25" hidden="false" customHeight="false" outlineLevel="0" collapsed="false">
      <c r="A688" s="0" t="s">
        <v>167</v>
      </c>
      <c r="E688" s="20" t="str">
        <f aca="false">IF(D688="?OLD","!!!","")</f>
        <v/>
      </c>
      <c r="F688" s="21" t="str">
        <f aca="false">IF(OR(E688="",E688="!!!"),"",IF(NOT(ISNA(VLOOKUP(E688,E$1:E687,1,FALSE()))),"OLD",IF(AND(E688&lt;&gt;"",E688&lt;&gt;"!!!"),"NEW","")))</f>
        <v/>
      </c>
      <c r="G688" s="22" t="str">
        <f aca="false"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aca="false">IF(J688&lt;&gt;1,"",IF(I688="SBJ","CB","?"))</f>
        <v/>
      </c>
      <c r="I688" s="24" t="str">
        <f aca="false">IF(OR(E688="",E688="!!!",F688="NEW"),"",INDEX(B$2:B687,-1+SUMPRODUCT(MAX(ROW(E$2:E687)*(E688=E$2:E687)))))</f>
        <v/>
      </c>
      <c r="J688" s="24" t="str">
        <f aca="true">IF(OR(E688="",E688="!!!",F688="NEW"),"",COUNTBLANK(OFFSET(A$1,,,SUMPRODUCT(MAX(ROW(E$2:E688)*(E688=E$2:E688)))))-COUNTBLANK(OFFSET(A$1,,,SUMPRODUCT(MAX(ROW(E$1:E687)*(E2=E$1:E687))))))</f>
        <v/>
      </c>
      <c r="K688" s="24" t="str">
        <f aca="false">IF(OR(E688="",E688="!!!",F688="NEW"),"",INDEX(J$1:J687,SUMPRODUCT(MAX(ROW(E$1:E687)*(E688=E$1:E687)))))</f>
        <v/>
      </c>
      <c r="L688" s="25"/>
    </row>
    <row r="689" customFormat="false" ht="14.25" hidden="false" customHeight="false" outlineLevel="0" collapsed="false">
      <c r="A689" s="0" t="s">
        <v>39</v>
      </c>
      <c r="E689" s="20" t="str">
        <f aca="false">IF(D689="?OLD","!!!","")</f>
        <v/>
      </c>
      <c r="F689" s="21" t="str">
        <f aca="false">IF(OR(E689="",E689="!!!"),"",IF(NOT(ISNA(VLOOKUP(E689,E$1:E688,1,FALSE()))),"OLD",IF(AND(E689&lt;&gt;"",E689&lt;&gt;"!!!"),"NEW","")))</f>
        <v/>
      </c>
      <c r="G689" s="22" t="str">
        <f aca="false"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aca="false">IF(J689&lt;&gt;1,"",IF(I689="SBJ","CB","?"))</f>
        <v/>
      </c>
      <c r="I689" s="24" t="str">
        <f aca="false">IF(OR(E689="",E689="!!!",F689="NEW"),"",INDEX(B$2:B688,-1+SUMPRODUCT(MAX(ROW(E$2:E688)*(E689=E$2:E688)))))</f>
        <v/>
      </c>
      <c r="J689" s="24" t="str">
        <f aca="true">IF(OR(E689="",E689="!!!",F689="NEW"),"",COUNTBLANK(OFFSET(A$1,,,SUMPRODUCT(MAX(ROW(E$2:E689)*(E689=E$2:E689)))))-COUNTBLANK(OFFSET(A$1,,,SUMPRODUCT(MAX(ROW(E$1:E688)*(E2=E$1:E688))))))</f>
        <v/>
      </c>
      <c r="K689" s="24" t="str">
        <f aca="false">IF(OR(E689="",E689="!!!",F689="NEW"),"",INDEX(J$1:J688,SUMPRODUCT(MAX(ROW(E$1:E688)*(E689=E$1:E688)))))</f>
        <v/>
      </c>
      <c r="L689" s="25"/>
    </row>
    <row r="690" customFormat="false" ht="14.25" hidden="false" customHeight="false" outlineLevel="0" collapsed="false">
      <c r="A690" s="0" t="s">
        <v>568</v>
      </c>
      <c r="E690" s="20" t="str">
        <f aca="false">IF(D690="?OLD","!!!","")</f>
        <v/>
      </c>
      <c r="F690" s="21" t="str">
        <f aca="false">IF(OR(E690="",E690="!!!"),"",IF(NOT(ISNA(VLOOKUP(E690,E$1:E689,1,FALSE()))),"OLD",IF(AND(E690&lt;&gt;"",E690&lt;&gt;"!!!"),"NEW","")))</f>
        <v/>
      </c>
      <c r="G690" s="22" t="str">
        <f aca="false"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aca="false">IF(J690&lt;&gt;1,"",IF(I690="SBJ","CB","?"))</f>
        <v/>
      </c>
      <c r="I690" s="24" t="str">
        <f aca="false">IF(OR(E690="",E690="!!!",F690="NEW"),"",INDEX(B$2:B689,-1+SUMPRODUCT(MAX(ROW(E$2:E689)*(E690=E$2:E689)))))</f>
        <v/>
      </c>
      <c r="J690" s="24" t="str">
        <f aca="true">IF(OR(E690="",E690="!!!",F690="NEW"),"",COUNTBLANK(OFFSET(A$1,,,SUMPRODUCT(MAX(ROW(E$2:E690)*(E690=E$2:E690)))))-COUNTBLANK(OFFSET(A$1,,,SUMPRODUCT(MAX(ROW(E$1:E689)*(E2=E$1:E689))))))</f>
        <v/>
      </c>
      <c r="K690" s="24" t="str">
        <f aca="false">IF(OR(E690="",E690="!!!",F690="NEW"),"",INDEX(J$1:J689,SUMPRODUCT(MAX(ROW(E$1:E689)*(E690=E$1:E689)))))</f>
        <v/>
      </c>
      <c r="L690" s="25"/>
    </row>
    <row r="691" customFormat="false" ht="14.25" hidden="false" customHeight="false" outlineLevel="0" collapsed="false">
      <c r="A691" s="0" t="s">
        <v>574</v>
      </c>
      <c r="B691" s="26" t="s">
        <v>419</v>
      </c>
      <c r="C691" s="26" t="s">
        <v>119</v>
      </c>
      <c r="E691" s="20" t="str">
        <f aca="false">IF(D691="?OLD","!!!","")</f>
        <v/>
      </c>
      <c r="F691" s="21" t="str">
        <f aca="false">IF(OR(E691="",E691="!!!"),"",IF(NOT(ISNA(VLOOKUP(E691,E$1:E690,1,FALSE()))),"OLD",IF(AND(E691&lt;&gt;"",E691&lt;&gt;"!!!"),"NEW","")))</f>
        <v/>
      </c>
      <c r="G691" s="22" t="str">
        <f aca="false"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aca="false">IF(J691&lt;&gt;1,"",IF(I691="SBJ","CB","?"))</f>
        <v/>
      </c>
      <c r="I691" s="24" t="str">
        <f aca="false">IF(OR(E691="",E691="!!!",F691="NEW"),"",INDEX(B$2:B690,-1+SUMPRODUCT(MAX(ROW(E$2:E690)*(E691=E$2:E690)))))</f>
        <v/>
      </c>
      <c r="J691" s="24" t="str">
        <f aca="true">IF(OR(E691="",E691="!!!",F691="NEW"),"",COUNTBLANK(OFFSET(A$1,,,SUMPRODUCT(MAX(ROW(E$2:E691)*(E691=E$2:E691)))))-COUNTBLANK(OFFSET(A$1,,,SUMPRODUCT(MAX(ROW(E$1:E690)*(E2=E$1:E690))))))</f>
        <v/>
      </c>
      <c r="K691" s="24" t="str">
        <f aca="false">IF(OR(E691="",E691="!!!",F691="NEW"),"",INDEX(J$1:J690,SUMPRODUCT(MAX(ROW(E$1:E690)*(E691=E$1:E690)))))</f>
        <v/>
      </c>
      <c r="L691" s="25"/>
    </row>
    <row r="692" customFormat="false" ht="14.25" hidden="false" customHeight="false" outlineLevel="0" collapsed="false">
      <c r="A692" s="0" t="s">
        <v>198</v>
      </c>
      <c r="E692" s="20" t="str">
        <f aca="false">IF(D692="?OLD","!!!","")</f>
        <v/>
      </c>
      <c r="F692" s="21" t="str">
        <f aca="false">IF(OR(E692="",E692="!!!"),"",IF(NOT(ISNA(VLOOKUP(E692,E$1:E691,1,FALSE()))),"OLD",IF(AND(E692&lt;&gt;"",E692&lt;&gt;"!!!"),"NEW","")))</f>
        <v/>
      </c>
      <c r="G692" s="22" t="str">
        <f aca="false"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aca="false">IF(J692&lt;&gt;1,"",IF(I692="SBJ","CB","?"))</f>
        <v/>
      </c>
      <c r="I692" s="24" t="str">
        <f aca="false">IF(OR(E692="",E692="!!!",F692="NEW"),"",INDEX(B$2:B691,-1+SUMPRODUCT(MAX(ROW(E$2:E691)*(E692=E$2:E691)))))</f>
        <v/>
      </c>
      <c r="J692" s="24" t="str">
        <f aca="true">IF(OR(E692="",E692="!!!",F692="NEW"),"",COUNTBLANK(OFFSET(A$1,,,SUMPRODUCT(MAX(ROW(E$2:E692)*(E692=E$2:E692)))))-COUNTBLANK(OFFSET(A$1,,,SUMPRODUCT(MAX(ROW(E$1:E691)*(E2=E$1:E691))))))</f>
        <v/>
      </c>
      <c r="K692" s="24" t="str">
        <f aca="false">IF(OR(E692="",E692="!!!",F692="NEW"),"",INDEX(J$1:J691,SUMPRODUCT(MAX(ROW(E$1:E691)*(E692=E$1:E691)))))</f>
        <v/>
      </c>
      <c r="L692" s="25"/>
    </row>
    <row r="693" customFormat="false" ht="14.25" hidden="false" customHeight="false" outlineLevel="0" collapsed="false">
      <c r="A693" s="0" t="s">
        <v>178</v>
      </c>
      <c r="E693" s="20" t="str">
        <f aca="false">IF(D693="?OLD","!!!","")</f>
        <v/>
      </c>
      <c r="F693" s="21" t="str">
        <f aca="false">IF(OR(E693="",E693="!!!"),"",IF(NOT(ISNA(VLOOKUP(E693,E$1:E692,1,FALSE()))),"OLD",IF(AND(E693&lt;&gt;"",E693&lt;&gt;"!!!"),"NEW","")))</f>
        <v/>
      </c>
      <c r="G693" s="22" t="str">
        <f aca="false"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aca="false">IF(J693&lt;&gt;1,"",IF(I693="SBJ","CB","?"))</f>
        <v/>
      </c>
      <c r="I693" s="24" t="str">
        <f aca="false">IF(OR(E693="",E693="!!!",F693="NEW"),"",INDEX(B$2:B692,-1+SUMPRODUCT(MAX(ROW(E$2:E692)*(E693=E$2:E692)))))</f>
        <v/>
      </c>
      <c r="J693" s="24" t="str">
        <f aca="true">IF(OR(E693="",E693="!!!",F693="NEW"),"",COUNTBLANK(OFFSET(A$1,,,SUMPRODUCT(MAX(ROW(E$2:E693)*(E693=E$2:E693)))))-COUNTBLANK(OFFSET(A$1,,,SUMPRODUCT(MAX(ROW(E$1:E692)*(E2=E$1:E692))))))</f>
        <v/>
      </c>
      <c r="K693" s="24" t="str">
        <f aca="false">IF(OR(E693="",E693="!!!",F693="NEW"),"",INDEX(J$1:J692,SUMPRODUCT(MAX(ROW(E$1:E692)*(E693=E$1:E692)))))</f>
        <v/>
      </c>
      <c r="L693" s="25"/>
    </row>
    <row r="694" customFormat="false" ht="14.25" hidden="false" customHeight="false" outlineLevel="0" collapsed="false">
      <c r="A694" s="0" t="s">
        <v>188</v>
      </c>
      <c r="E694" s="20" t="str">
        <f aca="false">IF(D694="?OLD","!!!","")</f>
        <v/>
      </c>
      <c r="F694" s="21" t="str">
        <f aca="false">IF(OR(E694="",E694="!!!"),"",IF(NOT(ISNA(VLOOKUP(E694,E$1:E693,1,FALSE()))),"OLD",IF(AND(E694&lt;&gt;"",E694&lt;&gt;"!!!"),"NEW","")))</f>
        <v/>
      </c>
      <c r="G694" s="22" t="str">
        <f aca="false"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aca="false">IF(J694&lt;&gt;1,"",IF(I694="SBJ","CB","?"))</f>
        <v/>
      </c>
      <c r="I694" s="24" t="str">
        <f aca="false">IF(OR(E694="",E694="!!!",F694="NEW"),"",INDEX(B$2:B693,-1+SUMPRODUCT(MAX(ROW(E$2:E693)*(E694=E$2:E693)))))</f>
        <v/>
      </c>
      <c r="J694" s="24" t="str">
        <f aca="true">IF(OR(E694="",E694="!!!",F694="NEW"),"",COUNTBLANK(OFFSET(A$1,,,SUMPRODUCT(MAX(ROW(E$2:E694)*(E694=E$2:E694)))))-COUNTBLANK(OFFSET(A$1,,,SUMPRODUCT(MAX(ROW(E$1:E693)*(E2=E$1:E693))))))</f>
        <v/>
      </c>
      <c r="K694" s="24" t="str">
        <f aca="false">IF(OR(E694="",E694="!!!",F694="NEW"),"",INDEX(J$1:J693,SUMPRODUCT(MAX(ROW(E$1:E693)*(E694=E$1:E693)))))</f>
        <v/>
      </c>
      <c r="L694" s="25"/>
    </row>
    <row r="695" customFormat="false" ht="14.25" hidden="false" customHeight="false" outlineLevel="0" collapsed="false">
      <c r="A695" s="0" t="s">
        <v>575</v>
      </c>
      <c r="B695" s="26" t="s">
        <v>424</v>
      </c>
      <c r="C695" s="26" t="s">
        <v>74</v>
      </c>
      <c r="D695" s="26" t="s">
        <v>75</v>
      </c>
      <c r="E695" s="20" t="s">
        <v>576</v>
      </c>
      <c r="F695" s="21" t="str">
        <f aca="false">IF(OR(E695="",E695="!!!"),"",IF(NOT(ISNA(VLOOKUP(E695,E$1:E694,1,FALSE()))),"OLD",IF(AND(E695&lt;&gt;"",E695&lt;&gt;"!!!"),"NEW","")))</f>
        <v>NEW</v>
      </c>
      <c r="G695" s="22" t="str">
        <f aca="false"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?REFERENTIAL</v>
      </c>
      <c r="H695" s="23" t="str">
        <f aca="false">IF(J695&lt;&gt;1,"",IF(I695="SBJ","CB","?"))</f>
        <v/>
      </c>
      <c r="I695" s="24" t="str">
        <f aca="false">IF(OR(E695="",E695="!!!",F695="NEW"),"",INDEX(B$2:B694,-1+SUMPRODUCT(MAX(ROW(E$2:E694)*(E695=E$2:E694)))))</f>
        <v/>
      </c>
      <c r="J695" s="24" t="str">
        <f aca="true">IF(OR(E695="",E695="!!!",F695="NEW"),"",COUNTBLANK(OFFSET(A$1,,,SUMPRODUCT(MAX(ROW(E$2:E695)*(E695=E$2:E695)))))-COUNTBLANK(OFFSET(A$1,,,SUMPRODUCT(MAX(ROW(E$1:E694)*(E2=E$1:E694))))))</f>
        <v/>
      </c>
      <c r="K695" s="24" t="str">
        <f aca="false">IF(OR(E695="",E695="!!!",F695="NEW"),"",INDEX(J$1:J694,SUMPRODUCT(MAX(ROW(E$1:E694)*(E695=E$1:E694)))))</f>
        <v/>
      </c>
      <c r="L695" s="25"/>
    </row>
    <row r="696" customFormat="false" ht="14.25" hidden="false" customHeight="false" outlineLevel="0" collapsed="false">
      <c r="A696" s="0" t="s">
        <v>86</v>
      </c>
      <c r="E696" s="20" t="str">
        <f aca="false">IF(D696="?OLD","!!!","")</f>
        <v/>
      </c>
      <c r="F696" s="21" t="str">
        <f aca="false">IF(OR(E696="",E696="!!!"),"",IF(NOT(ISNA(VLOOKUP(E696,E$1:E695,1,FALSE()))),"OLD",IF(AND(E696&lt;&gt;"",E696&lt;&gt;"!!!"),"NEW","")))</f>
        <v/>
      </c>
      <c r="G696" s="22" t="str">
        <f aca="false"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aca="false">IF(J696&lt;&gt;1,"",IF(I696="SBJ","CB","?"))</f>
        <v/>
      </c>
      <c r="I696" s="24" t="str">
        <f aca="false">IF(OR(E696="",E696="!!!",F696="NEW"),"",INDEX(B$2:B695,-1+SUMPRODUCT(MAX(ROW(E$2:E695)*(E696=E$2:E695)))))</f>
        <v/>
      </c>
      <c r="J696" s="24" t="str">
        <f aca="true">IF(OR(E696="",E696="!!!",F696="NEW"),"",COUNTBLANK(OFFSET(A$1,,,SUMPRODUCT(MAX(ROW(E$2:E696)*(E696=E$2:E696)))))-COUNTBLANK(OFFSET(A$1,,,SUMPRODUCT(MAX(ROW(E$1:E695)*(E2=E$1:E695))))))</f>
        <v/>
      </c>
      <c r="K696" s="24" t="str">
        <f aca="false">IF(OR(E696="",E696="!!!",F696="NEW"),"",INDEX(J$1:J695,SUMPRODUCT(MAX(ROW(E$1:E695)*(E696=E$1:E695)))))</f>
        <v/>
      </c>
      <c r="L696" s="25"/>
    </row>
    <row r="697" customFormat="false" ht="14.25" hidden="false" customHeight="false" outlineLevel="0" collapsed="false">
      <c r="A697" s="0" t="s">
        <v>577</v>
      </c>
      <c r="B697" s="26" t="s">
        <v>208</v>
      </c>
      <c r="C697" s="26" t="s">
        <v>105</v>
      </c>
      <c r="E697" s="20" t="str">
        <f aca="false">IF(D697="?OLD","!!!","")</f>
        <v/>
      </c>
      <c r="F697" s="21" t="str">
        <f aca="false">IF(OR(E697="",E697="!!!"),"",IF(NOT(ISNA(VLOOKUP(E697,E$1:E696,1,FALSE()))),"OLD",IF(AND(E697&lt;&gt;"",E697&lt;&gt;"!!!"),"NEW","")))</f>
        <v/>
      </c>
      <c r="G697" s="22" t="str">
        <f aca="false"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aca="false">IF(J697&lt;&gt;1,"",IF(I697="SBJ","CB","?"))</f>
        <v/>
      </c>
      <c r="I697" s="24" t="str">
        <f aca="false">IF(OR(E697="",E697="!!!",F697="NEW"),"",INDEX(B$2:B696,-1+SUMPRODUCT(MAX(ROW(E$2:E696)*(E697=E$2:E696)))))</f>
        <v/>
      </c>
      <c r="J697" s="24" t="str">
        <f aca="true">IF(OR(E697="",E697="!!!",F697="NEW"),"",COUNTBLANK(OFFSET(A$1,,,SUMPRODUCT(MAX(ROW(E$2:E697)*(E697=E$2:E697)))))-COUNTBLANK(OFFSET(A$1,,,SUMPRODUCT(MAX(ROW(E$1:E696)*(E2=E$1:E696))))))</f>
        <v/>
      </c>
      <c r="K697" s="24" t="str">
        <f aca="false">IF(OR(E697="",E697="!!!",F697="NEW"),"",INDEX(J$1:J696,SUMPRODUCT(MAX(ROW(E$1:E696)*(E697=E$1:E696)))))</f>
        <v/>
      </c>
      <c r="L697" s="25"/>
    </row>
    <row r="698" customFormat="false" ht="14.25" hidden="false" customHeight="false" outlineLevel="0" collapsed="false">
      <c r="A698" s="0" t="s">
        <v>101</v>
      </c>
      <c r="E698" s="20" t="str">
        <f aca="false">IF(D698="?OLD","!!!","")</f>
        <v/>
      </c>
      <c r="F698" s="21" t="str">
        <f aca="false">IF(OR(E698="",E698="!!!"),"",IF(NOT(ISNA(VLOOKUP(E698,E$1:E697,1,FALSE()))),"OLD",IF(AND(E698&lt;&gt;"",E698&lt;&gt;"!!!"),"NEW","")))</f>
        <v/>
      </c>
      <c r="G698" s="22" t="str">
        <f aca="false"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aca="false">IF(J698&lt;&gt;1,"",IF(I698="SBJ","CB","?"))</f>
        <v/>
      </c>
      <c r="I698" s="24" t="str">
        <f aca="false">IF(OR(E698="",E698="!!!",F698="NEW"),"",INDEX(B$2:B697,-1+SUMPRODUCT(MAX(ROW(E$2:E697)*(E698=E$2:E697)))))</f>
        <v/>
      </c>
      <c r="J698" s="24" t="str">
        <f aca="true">IF(OR(E698="",E698="!!!",F698="NEW"),"",COUNTBLANK(OFFSET(A$1,,,SUMPRODUCT(MAX(ROW(E$2:E698)*(E698=E$2:E698)))))-COUNTBLANK(OFFSET(A$1,,,SUMPRODUCT(MAX(ROW(E$1:E697)*(E2=E$1:E697))))))</f>
        <v/>
      </c>
      <c r="K698" s="24" t="str">
        <f aca="false">IF(OR(E698="",E698="!!!",F698="NEW"),"",INDEX(J$1:J697,SUMPRODUCT(MAX(ROW(E$1:E697)*(E698=E$1:E697)))))</f>
        <v/>
      </c>
      <c r="L698" s="25"/>
    </row>
    <row r="699" customFormat="false" ht="14.25" hidden="false" customHeight="false" outlineLevel="0" collapsed="false">
      <c r="A699" s="0" t="s">
        <v>497</v>
      </c>
      <c r="E699" s="20" t="str">
        <f aca="false">IF(D699="?OLD","!!!","")</f>
        <v/>
      </c>
      <c r="F699" s="21" t="str">
        <f aca="false">IF(OR(E699="",E699="!!!"),"",IF(NOT(ISNA(VLOOKUP(E699,E$1:E698,1,FALSE()))),"OLD",IF(AND(E699&lt;&gt;"",E699&lt;&gt;"!!!"),"NEW","")))</f>
        <v/>
      </c>
      <c r="G699" s="22" t="str">
        <f aca="false"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aca="false">IF(J699&lt;&gt;1,"",IF(I699="SBJ","CB","?"))</f>
        <v/>
      </c>
      <c r="I699" s="24" t="str">
        <f aca="false">IF(OR(E699="",E699="!!!",F699="NEW"),"",INDEX(B$2:B698,-1+SUMPRODUCT(MAX(ROW(E$2:E698)*(E699=E$2:E698)))))</f>
        <v/>
      </c>
      <c r="J699" s="24" t="str">
        <f aca="true">IF(OR(E699="",E699="!!!",F699="NEW"),"",COUNTBLANK(OFFSET(A$1,,,SUMPRODUCT(MAX(ROW(E$2:E699)*(E699=E$2:E699)))))-COUNTBLANK(OFFSET(A$1,,,SUMPRODUCT(MAX(ROW(E$1:E698)*(E2=E$1:E698))))))</f>
        <v/>
      </c>
      <c r="K699" s="24" t="str">
        <f aca="false">IF(OR(E699="",E699="!!!",F699="NEW"),"",INDEX(J$1:J698,SUMPRODUCT(MAX(ROW(E$1:E698)*(E699=E$1:E698)))))</f>
        <v/>
      </c>
      <c r="L699" s="25"/>
    </row>
    <row r="700" customFormat="false" ht="14.25" hidden="false" customHeight="false" outlineLevel="0" collapsed="false">
      <c r="A700" s="0" t="s">
        <v>455</v>
      </c>
      <c r="E700" s="20" t="str">
        <f aca="false">IF(D700="?OLD","!!!","")</f>
        <v/>
      </c>
      <c r="F700" s="21" t="str">
        <f aca="false">IF(OR(E700="",E700="!!!"),"",IF(NOT(ISNA(VLOOKUP(E700,E$1:E699,1,FALSE()))),"OLD",IF(AND(E700&lt;&gt;"",E700&lt;&gt;"!!!"),"NEW","")))</f>
        <v/>
      </c>
      <c r="G700" s="22" t="str">
        <f aca="false"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aca="false">IF(J700&lt;&gt;1,"",IF(I700="SBJ","CB","?"))</f>
        <v/>
      </c>
      <c r="I700" s="24" t="str">
        <f aca="false">IF(OR(E700="",E700="!!!",F700="NEW"),"",INDEX(B$2:B699,-1+SUMPRODUCT(MAX(ROW(E$2:E699)*(E700=E$2:E699)))))</f>
        <v/>
      </c>
      <c r="J700" s="24" t="str">
        <f aca="true">IF(OR(E700="",E700="!!!",F700="NEW"),"",COUNTBLANK(OFFSET(A$1,,,SUMPRODUCT(MAX(ROW(E$2:E700)*(E700=E$2:E700)))))-COUNTBLANK(OFFSET(A$1,,,SUMPRODUCT(MAX(ROW(E$1:E699)*(E2=E$1:E699))))))</f>
        <v/>
      </c>
      <c r="K700" s="24" t="str">
        <f aca="false">IF(OR(E700="",E700="!!!",F700="NEW"),"",INDEX(J$1:J699,SUMPRODUCT(MAX(ROW(E$1:E699)*(E700=E$1:E699)))))</f>
        <v/>
      </c>
      <c r="L700" s="25"/>
    </row>
    <row r="701" customFormat="false" ht="14.25" hidden="false" customHeight="false" outlineLevel="0" collapsed="false">
      <c r="A701" s="0" t="s">
        <v>510</v>
      </c>
      <c r="E701" s="20" t="str">
        <f aca="false">IF(D701="?OLD","!!!","")</f>
        <v/>
      </c>
      <c r="F701" s="21" t="str">
        <f aca="false">IF(OR(E701="",E701="!!!"),"",IF(NOT(ISNA(VLOOKUP(E701,E$1:E700,1,FALSE()))),"OLD",IF(AND(E701&lt;&gt;"",E701&lt;&gt;"!!!"),"NEW","")))</f>
        <v/>
      </c>
      <c r="G701" s="22" t="str">
        <f aca="false"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aca="false">IF(J701&lt;&gt;1,"",IF(I701="SBJ","CB","?"))</f>
        <v/>
      </c>
      <c r="I701" s="24" t="str">
        <f aca="false">IF(OR(E701="",E701="!!!",F701="NEW"),"",INDEX(B$2:B700,-1+SUMPRODUCT(MAX(ROW(E$2:E700)*(E701=E$2:E700)))))</f>
        <v/>
      </c>
      <c r="J701" s="24" t="str">
        <f aca="true">IF(OR(E701="",E701="!!!",F701="NEW"),"",COUNTBLANK(OFFSET(A$1,,,SUMPRODUCT(MAX(ROW(E$2:E701)*(E701=E$2:E701)))))-COUNTBLANK(OFFSET(A$1,,,SUMPRODUCT(MAX(ROW(E$1:E700)*(E2=E$1:E700))))))</f>
        <v/>
      </c>
      <c r="K701" s="24" t="str">
        <f aca="false">IF(OR(E701="",E701="!!!",F701="NEW"),"",INDEX(J$1:J700,SUMPRODUCT(MAX(ROW(E$1:E700)*(E701=E$1:E700)))))</f>
        <v/>
      </c>
      <c r="L701" s="25"/>
    </row>
    <row r="702" customFormat="false" ht="14.25" hidden="false" customHeight="false" outlineLevel="0" collapsed="false">
      <c r="A702" s="0" t="s">
        <v>578</v>
      </c>
      <c r="E702" s="20" t="str">
        <f aca="false">IF(D702="?OLD","!!!","")</f>
        <v/>
      </c>
      <c r="F702" s="21" t="str">
        <f aca="false">IF(OR(E702="",E702="!!!"),"",IF(NOT(ISNA(VLOOKUP(E702,E$1:E701,1,FALSE()))),"OLD",IF(AND(E702&lt;&gt;"",E702&lt;&gt;"!!!"),"NEW","")))</f>
        <v/>
      </c>
      <c r="G702" s="22" t="str">
        <f aca="false"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aca="false">IF(J702&lt;&gt;1,"",IF(I702="SBJ","CB","?"))</f>
        <v/>
      </c>
      <c r="I702" s="24" t="str">
        <f aca="false">IF(OR(E702="",E702="!!!",F702="NEW"),"",INDEX(B$2:B701,-1+SUMPRODUCT(MAX(ROW(E$2:E701)*(E702=E$2:E701)))))</f>
        <v/>
      </c>
      <c r="J702" s="24" t="str">
        <f aca="true">IF(OR(E702="",E702="!!!",F702="NEW"),"",COUNTBLANK(OFFSET(A$1,,,SUMPRODUCT(MAX(ROW(E$2:E702)*(E702=E$2:E702)))))-COUNTBLANK(OFFSET(A$1,,,SUMPRODUCT(MAX(ROW(E$1:E701)*(E2=E$1:E701))))))</f>
        <v/>
      </c>
      <c r="K702" s="24" t="str">
        <f aca="false">IF(OR(E702="",E702="!!!",F702="NEW"),"",INDEX(J$1:J701,SUMPRODUCT(MAX(ROW(E$1:E701)*(E702=E$1:E701)))))</f>
        <v/>
      </c>
      <c r="L702" s="25"/>
    </row>
    <row r="703" customFormat="false" ht="14.25" hidden="false" customHeight="false" outlineLevel="0" collapsed="false">
      <c r="A703" s="0" t="s">
        <v>511</v>
      </c>
      <c r="B703" s="26" t="s">
        <v>424</v>
      </c>
      <c r="C703" s="26" t="s">
        <v>341</v>
      </c>
      <c r="E703" s="20" t="str">
        <f aca="false">IF(D703="?OLD","!!!","")</f>
        <v/>
      </c>
      <c r="F703" s="21" t="str">
        <f aca="false">IF(OR(E703="",E703="!!!"),"",IF(NOT(ISNA(VLOOKUP(E703,E$1:E702,1,FALSE()))),"OLD",IF(AND(E703&lt;&gt;"",E703&lt;&gt;"!!!"),"NEW","")))</f>
        <v/>
      </c>
      <c r="G703" s="22" t="str">
        <f aca="false"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aca="false">IF(J703&lt;&gt;1,"",IF(I703="SBJ","CB","?"))</f>
        <v/>
      </c>
      <c r="I703" s="24" t="str">
        <f aca="false">IF(OR(E703="",E703="!!!",F703="NEW"),"",INDEX(B$2:B702,-1+SUMPRODUCT(MAX(ROW(E$2:E702)*(E703=E$2:E702)))))</f>
        <v/>
      </c>
      <c r="J703" s="24" t="str">
        <f aca="true">IF(OR(E703="",E703="!!!",F703="NEW"),"",COUNTBLANK(OFFSET(A$1,,,SUMPRODUCT(MAX(ROW(E$2:E703)*(E703=E$2:E703)))))-COUNTBLANK(OFFSET(A$1,,,SUMPRODUCT(MAX(ROW(E$1:E702)*(E2=E$1:E702))))))</f>
        <v/>
      </c>
      <c r="K703" s="24" t="str">
        <f aca="false">IF(OR(E703="",E703="!!!",F703="NEW"),"",INDEX(J$1:J702,SUMPRODUCT(MAX(ROW(E$1:E702)*(E703=E$1:E702)))))</f>
        <v/>
      </c>
      <c r="L703" s="25"/>
    </row>
    <row r="704" customFormat="false" ht="14.25" hidden="false" customHeight="false" outlineLevel="0" collapsed="false">
      <c r="A704" s="0" t="s">
        <v>78</v>
      </c>
      <c r="E704" s="20" t="str">
        <f aca="false">IF(D704="?OLD","!!!","")</f>
        <v/>
      </c>
      <c r="F704" s="21" t="str">
        <f aca="false">IF(OR(E704="",E704="!!!"),"",IF(NOT(ISNA(VLOOKUP(E704,E$1:E703,1,FALSE()))),"OLD",IF(AND(E704&lt;&gt;"",E704&lt;&gt;"!!!"),"NEW","")))</f>
        <v/>
      </c>
      <c r="G704" s="22" t="str">
        <f aca="false"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aca="false">IF(J704&lt;&gt;1,"",IF(I704="SBJ","CB","?"))</f>
        <v/>
      </c>
      <c r="I704" s="24" t="str">
        <f aca="false">IF(OR(E704="",E704="!!!",F704="NEW"),"",INDEX(B$2:B703,-1+SUMPRODUCT(MAX(ROW(E$2:E703)*(E704=E$2:E703)))))</f>
        <v/>
      </c>
      <c r="J704" s="24" t="str">
        <f aca="true">IF(OR(E704="",E704="!!!",F704="NEW"),"",COUNTBLANK(OFFSET(A$1,,,SUMPRODUCT(MAX(ROW(E$2:E704)*(E704=E$2:E704)))))-COUNTBLANK(OFFSET(A$1,,,SUMPRODUCT(MAX(ROW(E$1:E703)*(E2=E$1:E703))))))</f>
        <v/>
      </c>
      <c r="K704" s="24" t="str">
        <f aca="false">IF(OR(E704="",E704="!!!",F704="NEW"),"",INDEX(J$1:J703,SUMPRODUCT(MAX(ROW(E$1:E703)*(E704=E$1:E703)))))</f>
        <v/>
      </c>
      <c r="L704" s="25"/>
    </row>
    <row r="705" customFormat="false" ht="14.25" hidden="false" customHeight="false" outlineLevel="0" collapsed="false">
      <c r="A705" s="0" t="s">
        <v>579</v>
      </c>
      <c r="B705" s="26" t="s">
        <v>204</v>
      </c>
      <c r="C705" s="26" t="s">
        <v>283</v>
      </c>
      <c r="D705" s="26" t="s">
        <v>75</v>
      </c>
      <c r="E705" s="20" t="s">
        <v>580</v>
      </c>
      <c r="F705" s="21" t="str">
        <f aca="false">IF(OR(E705="",E705="!!!"),"",IF(NOT(ISNA(VLOOKUP(E705,E$1:E704,1,FALSE()))),"OLD",IF(AND(E705&lt;&gt;"",E705&lt;&gt;"!!!"),"NEW","")))</f>
        <v>NEW</v>
      </c>
      <c r="G705" s="22" t="str">
        <f aca="false"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?REFERENTIAL</v>
      </c>
      <c r="H705" s="23" t="str">
        <f aca="false">IF(J705&lt;&gt;1,"",IF(I705="SBJ","CB","?"))</f>
        <v/>
      </c>
      <c r="I705" s="24" t="str">
        <f aca="false">IF(OR(E705="",E705="!!!",F705="NEW"),"",INDEX(B$2:B704,-1+SUMPRODUCT(MAX(ROW(E$2:E704)*(E705=E$2:E704)))))</f>
        <v/>
      </c>
      <c r="J705" s="24" t="str">
        <f aca="true">IF(OR(E705="",E705="!!!",F705="NEW"),"",COUNTBLANK(OFFSET(A$1,,,SUMPRODUCT(MAX(ROW(E$2:E705)*(E705=E$2:E705)))))-COUNTBLANK(OFFSET(A$1,,,SUMPRODUCT(MAX(ROW(E$1:E704)*(E2=E$1:E704))))))</f>
        <v/>
      </c>
      <c r="K705" s="24" t="str">
        <f aca="false">IF(OR(E705="",E705="!!!",F705="NEW"),"",INDEX(J$1:J704,SUMPRODUCT(MAX(ROW(E$1:E704)*(E705=E$1:E704)))))</f>
        <v/>
      </c>
      <c r="L705" s="25"/>
    </row>
    <row r="706" customFormat="false" ht="14.25" hidden="false" customHeight="false" outlineLevel="0" collapsed="false">
      <c r="A706" s="0" t="s">
        <v>86</v>
      </c>
      <c r="E706" s="20" t="str">
        <f aca="false">IF(D706="?OLD","!!!","")</f>
        <v/>
      </c>
      <c r="F706" s="21" t="str">
        <f aca="false">IF(OR(E706="",E706="!!!"),"",IF(NOT(ISNA(VLOOKUP(E706,E$1:E705,1,FALSE()))),"OLD",IF(AND(E706&lt;&gt;"",E706&lt;&gt;"!!!"),"NEW","")))</f>
        <v/>
      </c>
      <c r="G706" s="22" t="str">
        <f aca="false"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aca="false">IF(J706&lt;&gt;1,"",IF(I706="SBJ","CB","?"))</f>
        <v/>
      </c>
      <c r="I706" s="24" t="str">
        <f aca="false">IF(OR(E706="",E706="!!!",F706="NEW"),"",INDEX(B$2:B705,-1+SUMPRODUCT(MAX(ROW(E$2:E705)*(E706=E$2:E705)))))</f>
        <v/>
      </c>
      <c r="J706" s="24" t="str">
        <f aca="true">IF(OR(E706="",E706="!!!",F706="NEW"),"",COUNTBLANK(OFFSET(A$1,,,SUMPRODUCT(MAX(ROW(E$2:E706)*(E706=E$2:E706)))))-COUNTBLANK(OFFSET(A$1,,,SUMPRODUCT(MAX(ROW(E$1:E705)*(E2=E$1:E705))))))</f>
        <v/>
      </c>
      <c r="K706" s="24" t="str">
        <f aca="false">IF(OR(E706="",E706="!!!",F706="NEW"),"",INDEX(J$1:J705,SUMPRODUCT(MAX(ROW(E$1:E705)*(E706=E$1:E705)))))</f>
        <v/>
      </c>
      <c r="L706" s="25"/>
    </row>
    <row r="707" customFormat="false" ht="14.25" hidden="false" customHeight="false" outlineLevel="0" collapsed="false">
      <c r="A707" s="0" t="s">
        <v>579</v>
      </c>
      <c r="E707" s="20" t="s">
        <v>580</v>
      </c>
      <c r="F707" s="21" t="str">
        <f aca="false">IF(OR(E707="",E707="!!!"),"",IF(NOT(ISNA(VLOOKUP(E707,E$1:E706,1,FALSE()))),"OLD",IF(AND(E707&lt;&gt;"",E707&lt;&gt;"!!!"),"NEW","")))</f>
        <v>OLD</v>
      </c>
      <c r="G707" s="22" t="str">
        <f aca="false"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?IN_FOCUS</v>
      </c>
      <c r="H707" s="23" t="str">
        <f aca="false">IF(J707&lt;&gt;1,"",IF(I707="SBJ","CB","?"))</f>
        <v/>
      </c>
      <c r="I707" s="24" t="str">
        <f aca="false">IF(OR(E707="",E707="!!!",F707="NEW"),"",INDEX(B$2:B706,-1+SUMPRODUCT(MAX(ROW(E$2:E706)*(E707=E$2:E706)))))</f>
        <v>SBJ_5</v>
      </c>
      <c r="J707" s="24" t="n">
        <f aca="true">IF(OR(E707="",E707="!!!",F707="NEW"),"",COUNTBLANK(OFFSET(A$1,,,SUMPRODUCT(MAX(ROW(E$2:E707)*(E707=E$2:E707)))))-COUNTBLANK(OFFSET(A$1,,,SUMPRODUCT(MAX(ROW(E$1:E706)*(E2=E$1:E706))))))</f>
        <v>0</v>
      </c>
      <c r="K707" s="24" t="str">
        <f aca="false">IF(OR(E707="",E707="!!!",F707="NEW"),"",INDEX(J$1:J706,SUMPRODUCT(MAX(ROW(E$1:E706)*(E707=E$1:E706)))))</f>
        <v/>
      </c>
      <c r="L707" s="25"/>
    </row>
    <row r="708" customFormat="false" ht="14.25" hidden="false" customHeight="false" outlineLevel="0" collapsed="false">
      <c r="A708" s="0" t="s">
        <v>78</v>
      </c>
      <c r="E708" s="20" t="str">
        <f aca="false">IF(D708="?OLD","!!!","")</f>
        <v/>
      </c>
      <c r="F708" s="21" t="str">
        <f aca="false">IF(OR(E708="",E708="!!!"),"",IF(NOT(ISNA(VLOOKUP(E708,E$1:E707,1,FALSE()))),"OLD",IF(AND(E708&lt;&gt;"",E708&lt;&gt;"!!!"),"NEW","")))</f>
        <v/>
      </c>
      <c r="G708" s="22" t="str">
        <f aca="false"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aca="false">IF(J708&lt;&gt;1,"",IF(I708="SBJ","CB","?"))</f>
        <v/>
      </c>
      <c r="I708" s="24" t="str">
        <f aca="false">IF(OR(E708="",E708="!!!",F708="NEW"),"",INDEX(B$2:B707,-1+SUMPRODUCT(MAX(ROW(E$2:E707)*(E708=E$2:E707)))))</f>
        <v/>
      </c>
      <c r="J708" s="24" t="str">
        <f aca="true">IF(OR(E708="",E708="!!!",F708="NEW"),"",COUNTBLANK(OFFSET(A$1,,,SUMPRODUCT(MAX(ROW(E$2:E708)*(E708=E$2:E708)))))-COUNTBLANK(OFFSET(A$1,,,SUMPRODUCT(MAX(ROW(E$1:E707)*(E2=E$1:E707))))))</f>
        <v/>
      </c>
      <c r="K708" s="24" t="str">
        <f aca="false">IF(OR(E708="",E708="!!!",F708="NEW"),"",INDEX(J$1:J707,SUMPRODUCT(MAX(ROW(E$1:E707)*(E708=E$1:E707)))))</f>
        <v/>
      </c>
      <c r="L708" s="25"/>
    </row>
    <row r="709" customFormat="false" ht="14.25" hidden="false" customHeight="false" outlineLevel="0" collapsed="false">
      <c r="A709" s="0" t="s">
        <v>339</v>
      </c>
      <c r="E709" s="20" t="str">
        <f aca="false">IF(D709="?OLD","!!!","")</f>
        <v/>
      </c>
      <c r="F709" s="21" t="str">
        <f aca="false">IF(OR(E709="",E709="!!!"),"",IF(NOT(ISNA(VLOOKUP(E709,E$1:E708,1,FALSE()))),"OLD",IF(AND(E709&lt;&gt;"",E709&lt;&gt;"!!!"),"NEW","")))</f>
        <v/>
      </c>
      <c r="G709" s="22" t="str">
        <f aca="false"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aca="false">IF(J709&lt;&gt;1,"",IF(I709="SBJ","CB","?"))</f>
        <v/>
      </c>
      <c r="I709" s="24" t="str">
        <f aca="false">IF(OR(E709="",E709="!!!",F709="NEW"),"",INDEX(B$2:B708,-1+SUMPRODUCT(MAX(ROW(E$2:E708)*(E709=E$2:E708)))))</f>
        <v/>
      </c>
      <c r="J709" s="24" t="str">
        <f aca="true">IF(OR(E709="",E709="!!!",F709="NEW"),"",COUNTBLANK(OFFSET(A$1,,,SUMPRODUCT(MAX(ROW(E$2:E709)*(E709=E$2:E709)))))-COUNTBLANK(OFFSET(A$1,,,SUMPRODUCT(MAX(ROW(E$1:E708)*(E2=E$1:E708))))))</f>
        <v/>
      </c>
      <c r="K709" s="24" t="str">
        <f aca="false">IF(OR(E709="",E709="!!!",F709="NEW"),"",INDEX(J$1:J708,SUMPRODUCT(MAX(ROW(E$1:E708)*(E709=E$1:E708)))))</f>
        <v/>
      </c>
      <c r="L709" s="25"/>
    </row>
    <row r="710" customFormat="false" ht="14.25" hidden="false" customHeight="false" outlineLevel="0" collapsed="false">
      <c r="A710" s="0" t="s">
        <v>581</v>
      </c>
      <c r="B710" s="26" t="s">
        <v>115</v>
      </c>
      <c r="C710" s="26" t="s">
        <v>283</v>
      </c>
      <c r="D710" s="26" t="s">
        <v>75</v>
      </c>
      <c r="E710" s="20" t="s">
        <v>582</v>
      </c>
      <c r="F710" s="21" t="str">
        <f aca="false">IF(OR(E710="",E710="!!!"),"",IF(NOT(ISNA(VLOOKUP(E710,E$1:E709,1,FALSE()))),"OLD",IF(AND(E710&lt;&gt;"",E710&lt;&gt;"!!!"),"NEW","")))</f>
        <v>NEW</v>
      </c>
      <c r="G710" s="22" t="str">
        <f aca="false"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?REFERENTIAL</v>
      </c>
      <c r="H710" s="23" t="str">
        <f aca="false">IF(J710&lt;&gt;1,"",IF(I710="SBJ","CB","?"))</f>
        <v/>
      </c>
      <c r="I710" s="24" t="str">
        <f aca="false">IF(OR(E710="",E710="!!!",F710="NEW"),"",INDEX(B$2:B709,-1+SUMPRODUCT(MAX(ROW(E$2:E709)*(E710=E$2:E709)))))</f>
        <v/>
      </c>
      <c r="J710" s="24" t="str">
        <f aca="true">IF(OR(E710="",E710="!!!",F710="NEW"),"",COUNTBLANK(OFFSET(A$1,,,SUMPRODUCT(MAX(ROW(E$2:E710)*(E710=E$2:E710)))))-COUNTBLANK(OFFSET(A$1,,,SUMPRODUCT(MAX(ROW(E$1:E709)*(E2=E$1:E709))))))</f>
        <v/>
      </c>
      <c r="K710" s="24" t="str">
        <f aca="false">IF(OR(E710="",E710="!!!",F710="NEW"),"",INDEX(J$1:J709,SUMPRODUCT(MAX(ROW(E$1:E709)*(E710=E$1:E709)))))</f>
        <v/>
      </c>
      <c r="L710" s="27" t="s">
        <v>583</v>
      </c>
    </row>
    <row r="711" customFormat="false" ht="14.25" hidden="false" customHeight="false" outlineLevel="0" collapsed="false">
      <c r="A711" s="0" t="s">
        <v>16</v>
      </c>
      <c r="E711" s="20" t="str">
        <f aca="false">IF(D711="?OLD","!!!","")</f>
        <v/>
      </c>
      <c r="F711" s="21" t="str">
        <f aca="false">IF(OR(E711="",E711="!!!"),"",IF(NOT(ISNA(VLOOKUP(E711,E$1:E710,1,FALSE()))),"OLD",IF(AND(E711&lt;&gt;"",E711&lt;&gt;"!!!"),"NEW","")))</f>
        <v/>
      </c>
      <c r="G711" s="22" t="str">
        <f aca="false"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aca="false">IF(J711&lt;&gt;1,"",IF(I711="SBJ","CB","?"))</f>
        <v/>
      </c>
      <c r="I711" s="24" t="str">
        <f aca="false">IF(OR(E711="",E711="!!!",F711="NEW"),"",INDEX(B$2:B710,-1+SUMPRODUCT(MAX(ROW(E$2:E710)*(E711=E$2:E710)))))</f>
        <v/>
      </c>
      <c r="J711" s="24" t="str">
        <f aca="true">IF(OR(E711="",E711="!!!",F711="NEW"),"",COUNTBLANK(OFFSET(A$1,,,SUMPRODUCT(MAX(ROW(E$2:E711)*(E711=E$2:E711)))))-COUNTBLANK(OFFSET(A$1,,,SUMPRODUCT(MAX(ROW(E$1:E710)*(E2=E$1:E710))))))</f>
        <v/>
      </c>
      <c r="K711" s="24" t="str">
        <f aca="false">IF(OR(E711="",E711="!!!",F711="NEW"),"",INDEX(J$1:J710,SUMPRODUCT(MAX(ROW(E$1:E710)*(E711=E$1:E710)))))</f>
        <v/>
      </c>
      <c r="L711" s="25"/>
    </row>
    <row r="712" customFormat="false" ht="14.25" hidden="false" customHeight="false" outlineLevel="0" collapsed="false">
      <c r="A712" s="0" t="s">
        <v>584</v>
      </c>
      <c r="E712" s="20" t="str">
        <f aca="false">IF(D712="?OLD","!!!","")</f>
        <v/>
      </c>
      <c r="F712" s="21" t="s">
        <v>139</v>
      </c>
      <c r="G712" s="22" t="str">
        <f aca="false"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aca="false">IF(J712&lt;&gt;1,"",IF(I712="SBJ","CB","?"))</f>
        <v/>
      </c>
      <c r="I712" s="24" t="str">
        <f aca="false">IF(OR(E712="",E712="!!!",F712="NEW"),"",INDEX(B$2:B711,-1+SUMPRODUCT(MAX(ROW(E$2:E711)*(E712=E$2:E711)))))</f>
        <v/>
      </c>
      <c r="J712" s="24" t="str">
        <f aca="true">IF(OR(E712="",E712="!!!",F712="NEW"),"",COUNTBLANK(OFFSET(A$1,,,SUMPRODUCT(MAX(ROW(E$2:E712)*(E712=E$2:E712)))))-COUNTBLANK(OFFSET(A$1,,,SUMPRODUCT(MAX(ROW(E$1:E711)*(E2=E$1:E711))))))</f>
        <v/>
      </c>
      <c r="K712" s="24" t="str">
        <f aca="false">IF(OR(E712="",E712="!!!",F712="NEW"),"",INDEX(J$1:J711,SUMPRODUCT(MAX(ROW(E$1:E711)*(E712=E$1:E711)))))</f>
        <v/>
      </c>
      <c r="L712" s="25"/>
    </row>
    <row r="713" customFormat="false" ht="14.25" hidden="false" customHeight="false" outlineLevel="0" collapsed="false">
      <c r="A713" s="0" t="s">
        <v>86</v>
      </c>
      <c r="E713" s="20" t="str">
        <f aca="false">IF(D713="?OLD","!!!","")</f>
        <v/>
      </c>
      <c r="F713" s="21" t="str">
        <f aca="false">IF(OR(E713="",E713="!!!"),"",IF(NOT(ISNA(VLOOKUP(E713,E$1:E712,1,FALSE()))),"OLD",IF(AND(E713&lt;&gt;"",E713&lt;&gt;"!!!"),"NEW","")))</f>
        <v/>
      </c>
      <c r="G713" s="22" t="str">
        <f aca="false"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aca="false">IF(J713&lt;&gt;1,"",IF(I713="SBJ","CB","?"))</f>
        <v/>
      </c>
      <c r="I713" s="24" t="str">
        <f aca="false">IF(OR(E713="",E713="!!!",F713="NEW"),"",INDEX(B$2:B712,-1+SUMPRODUCT(MAX(ROW(E$2:E712)*(E713=E$2:E712)))))</f>
        <v/>
      </c>
      <c r="J713" s="24" t="str">
        <f aca="true">IF(OR(E713="",E713="!!!",F713="NEW"),"",COUNTBLANK(OFFSET(A$1,,,SUMPRODUCT(MAX(ROW(E$2:E713)*(E713=E$2:E713)))))-COUNTBLANK(OFFSET(A$1,,,SUMPRODUCT(MAX(ROW(E$1:E712)*(E2=E$1:E712))))))</f>
        <v/>
      </c>
      <c r="K713" s="24" t="str">
        <f aca="false">IF(OR(E713="",E713="!!!",F713="NEW"),"",INDEX(J$1:J712,SUMPRODUCT(MAX(ROW(E$1:E712)*(E713=E$1:E712)))))</f>
        <v/>
      </c>
      <c r="L713" s="25"/>
    </row>
    <row r="714" customFormat="false" ht="14.25" hidden="false" customHeight="false" outlineLevel="0" collapsed="false">
      <c r="A714" s="0" t="s">
        <v>585</v>
      </c>
      <c r="E714" s="20" t="str">
        <f aca="false">IF(D714="?OLD","!!!","")</f>
        <v/>
      </c>
      <c r="F714" s="21" t="str">
        <f aca="false">IF(OR(E714="",E714="!!!"),"",IF(NOT(ISNA(VLOOKUP(E714,E$1:E713,1,FALSE()))),"OLD",IF(AND(E714&lt;&gt;"",E714&lt;&gt;"!!!"),"NEW","")))</f>
        <v/>
      </c>
      <c r="G714" s="22" t="str">
        <f aca="false"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aca="false">IF(J714&lt;&gt;1,"",IF(I714="SBJ","CB","?"))</f>
        <v/>
      </c>
      <c r="I714" s="24" t="str">
        <f aca="false">IF(OR(E714="",E714="!!!",F714="NEW"),"",INDEX(B$2:B713,-1+SUMPRODUCT(MAX(ROW(E$2:E713)*(E714=E$2:E713)))))</f>
        <v/>
      </c>
      <c r="J714" s="24" t="str">
        <f aca="true">IF(OR(E714="",E714="!!!",F714="NEW"),"",COUNTBLANK(OFFSET(A$1,,,SUMPRODUCT(MAX(ROW(E$2:E714)*(E714=E$2:E714)))))-COUNTBLANK(OFFSET(A$1,,,SUMPRODUCT(MAX(ROW(E$1:E713)*(E2=E$1:E713))))))</f>
        <v/>
      </c>
      <c r="K714" s="24" t="str">
        <f aca="false">IF(OR(E714="",E714="!!!",F714="NEW"),"",INDEX(J$1:J713,SUMPRODUCT(MAX(ROW(E$1:E713)*(E714=E$1:E713)))))</f>
        <v/>
      </c>
      <c r="L714" s="25"/>
    </row>
    <row r="715" customFormat="false" ht="14.25" hidden="false" customHeight="false" outlineLevel="0" collapsed="false">
      <c r="A715" s="0" t="s">
        <v>586</v>
      </c>
      <c r="E715" s="20" t="str">
        <f aca="false">IF(D715="?OLD","!!!","")</f>
        <v/>
      </c>
      <c r="F715" s="21" t="str">
        <f aca="false">IF(OR(E715="",E715="!!!"),"",IF(NOT(ISNA(VLOOKUP(E715,E$1:E714,1,FALSE()))),"OLD",IF(AND(E715&lt;&gt;"",E715&lt;&gt;"!!!"),"NEW","")))</f>
        <v/>
      </c>
      <c r="G715" s="22" t="str">
        <f aca="false"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aca="false">IF(J715&lt;&gt;1,"",IF(I715="SBJ","CB","?"))</f>
        <v/>
      </c>
      <c r="I715" s="24" t="str">
        <f aca="false">IF(OR(E715="",E715="!!!",F715="NEW"),"",INDEX(B$2:B714,-1+SUMPRODUCT(MAX(ROW(E$2:E714)*(E715=E$2:E714)))))</f>
        <v/>
      </c>
      <c r="J715" s="24" t="str">
        <f aca="true">IF(OR(E715="",E715="!!!",F715="NEW"),"",COUNTBLANK(OFFSET(A$1,,,SUMPRODUCT(MAX(ROW(E$2:E715)*(E715=E$2:E715)))))-COUNTBLANK(OFFSET(A$1,,,SUMPRODUCT(MAX(ROW(E$1:E714)*(E2=E$1:E714))))))</f>
        <v/>
      </c>
      <c r="K715" s="24" t="str">
        <f aca="false">IF(OR(E715="",E715="!!!",F715="NEW"),"",INDEX(J$1:J714,SUMPRODUCT(MAX(ROW(E$1:E714)*(E715=E$1:E714)))))</f>
        <v/>
      </c>
      <c r="L715" s="25"/>
    </row>
    <row r="716" customFormat="false" ht="14.25" hidden="false" customHeight="false" outlineLevel="0" collapsed="false">
      <c r="A716" s="0" t="s">
        <v>483</v>
      </c>
      <c r="E716" s="20" t="str">
        <f aca="false">IF(D716="?OLD","!!!","")</f>
        <v/>
      </c>
      <c r="F716" s="21" t="str">
        <f aca="false">IF(OR(E716="",E716="!!!"),"",IF(NOT(ISNA(VLOOKUP(E716,E$1:E715,1,FALSE()))),"OLD",IF(AND(E716&lt;&gt;"",E716&lt;&gt;"!!!"),"NEW","")))</f>
        <v/>
      </c>
      <c r="G716" s="22" t="str">
        <f aca="false"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aca="false">IF(J716&lt;&gt;1,"",IF(I716="SBJ","CB","?"))</f>
        <v/>
      </c>
      <c r="I716" s="24" t="str">
        <f aca="false">IF(OR(E716="",E716="!!!",F716="NEW"),"",INDEX(B$2:B715,-1+SUMPRODUCT(MAX(ROW(E$2:E715)*(E716=E$2:E715)))))</f>
        <v/>
      </c>
      <c r="J716" s="24" t="str">
        <f aca="true">IF(OR(E716="",E716="!!!",F716="NEW"),"",COUNTBLANK(OFFSET(A$1,,,SUMPRODUCT(MAX(ROW(E$2:E716)*(E716=E$2:E716)))))-COUNTBLANK(OFFSET(A$1,,,SUMPRODUCT(MAX(ROW(E$1:E715)*(E2=E$1:E715))))))</f>
        <v/>
      </c>
      <c r="K716" s="24" t="str">
        <f aca="false">IF(OR(E716="",E716="!!!",F716="NEW"),"",INDEX(J$1:J715,SUMPRODUCT(MAX(ROW(E$1:E715)*(E716=E$1:E715)))))</f>
        <v/>
      </c>
      <c r="L716" s="25"/>
    </row>
    <row r="717" customFormat="false" ht="14.25" hidden="false" customHeight="false" outlineLevel="0" collapsed="false">
      <c r="A717" s="0" t="s">
        <v>587</v>
      </c>
      <c r="B717" s="26" t="s">
        <v>410</v>
      </c>
      <c r="C717" s="26" t="s">
        <v>341</v>
      </c>
      <c r="E717" s="20" t="str">
        <f aca="false">IF(D717="?OLD","!!!","")</f>
        <v/>
      </c>
      <c r="F717" s="21" t="str">
        <f aca="false">IF(OR(E717="",E717="!!!"),"",IF(NOT(ISNA(VLOOKUP(E717,E$1:E716,1,FALSE()))),"OLD",IF(AND(E717&lt;&gt;"",E717&lt;&gt;"!!!"),"NEW","")))</f>
        <v/>
      </c>
      <c r="G717" s="22" t="str">
        <f aca="false"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aca="false">IF(J717&lt;&gt;1,"",IF(I717="SBJ","CB","?"))</f>
        <v/>
      </c>
      <c r="I717" s="24" t="str">
        <f aca="false">IF(OR(E717="",E717="!!!",F717="NEW"),"",INDEX(B$2:B716,-1+SUMPRODUCT(MAX(ROW(E$2:E716)*(E717=E$2:E716)))))</f>
        <v/>
      </c>
      <c r="J717" s="24" t="str">
        <f aca="true">IF(OR(E717="",E717="!!!",F717="NEW"),"",COUNTBLANK(OFFSET(A$1,,,SUMPRODUCT(MAX(ROW(E$2:E717)*(E717=E$2:E717)))))-COUNTBLANK(OFFSET(A$1,,,SUMPRODUCT(MAX(ROW(E$1:E716)*(E2=E$1:E716))))))</f>
        <v/>
      </c>
      <c r="K717" s="24" t="str">
        <f aca="false">IF(OR(E717="",E717="!!!",F717="NEW"),"",INDEX(J$1:J716,SUMPRODUCT(MAX(ROW(E$1:E716)*(E717=E$1:E716)))))</f>
        <v/>
      </c>
      <c r="L717" s="25"/>
    </row>
    <row r="718" customFormat="false" ht="14.25" hidden="false" customHeight="false" outlineLevel="0" collapsed="false">
      <c r="A718" s="0" t="s">
        <v>588</v>
      </c>
      <c r="E718" s="20" t="str">
        <f aca="false">IF(D718="?OLD","!!!","")</f>
        <v/>
      </c>
      <c r="F718" s="21" t="str">
        <f aca="false">IF(OR(E718="",E718="!!!"),"",IF(NOT(ISNA(VLOOKUP(E718,E$1:E717,1,FALSE()))),"OLD",IF(AND(E718&lt;&gt;"",E718&lt;&gt;"!!!"),"NEW","")))</f>
        <v/>
      </c>
      <c r="G718" s="22" t="str">
        <f aca="false"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aca="false">IF(J718&lt;&gt;1,"",IF(I718="SBJ","CB","?"))</f>
        <v/>
      </c>
      <c r="I718" s="24" t="str">
        <f aca="false">IF(OR(E718="",E718="!!!",F718="NEW"),"",INDEX(B$2:B717,-1+SUMPRODUCT(MAX(ROW(E$2:E717)*(E718=E$2:E717)))))</f>
        <v/>
      </c>
      <c r="J718" s="24" t="str">
        <f aca="true">IF(OR(E718="",E718="!!!",F718="NEW"),"",COUNTBLANK(OFFSET(A$1,,,SUMPRODUCT(MAX(ROW(E$2:E718)*(E718=E$2:E718)))))-COUNTBLANK(OFFSET(A$1,,,SUMPRODUCT(MAX(ROW(E$1:E717)*(E2=E$1:E717))))))</f>
        <v/>
      </c>
      <c r="K718" s="24" t="str">
        <f aca="false">IF(OR(E718="",E718="!!!",F718="NEW"),"",INDEX(J$1:J717,SUMPRODUCT(MAX(ROW(E$1:E717)*(E718=E$1:E717)))))</f>
        <v/>
      </c>
      <c r="L718" s="25"/>
    </row>
    <row r="719" customFormat="false" ht="14.25" hidden="false" customHeight="false" outlineLevel="0" collapsed="false">
      <c r="A719" s="0" t="s">
        <v>254</v>
      </c>
      <c r="B719" s="26" t="s">
        <v>208</v>
      </c>
      <c r="C719" s="26" t="s">
        <v>209</v>
      </c>
      <c r="D719" s="26" t="s">
        <v>75</v>
      </c>
      <c r="E719" s="20" t="s">
        <v>580</v>
      </c>
      <c r="F719" s="21" t="str">
        <f aca="false">IF(OR(E719="",E719="!!!"),"",IF(NOT(ISNA(VLOOKUP(E719,E$1:E718,1,FALSE()))),"OLD",IF(AND(E719&lt;&gt;"",E719&lt;&gt;"!!!"),"NEW","")))</f>
        <v>OLD</v>
      </c>
      <c r="G719" s="22" t="str">
        <f aca="false"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?IN_FOCUS</v>
      </c>
      <c r="H719" s="23" t="str">
        <f aca="false">IF(J719&lt;&gt;1,"",IF(I719="SBJ","CB","?"))</f>
        <v/>
      </c>
      <c r="I719" s="24" t="n">
        <f aca="false">IF(OR(E719="",E719="!!!",F719="NEW"),"",INDEX(B$2:B718,-1+SUMPRODUCT(MAX(ROW(E$2:E718)*(E719=E$2:E718)))))</f>
        <v>0</v>
      </c>
      <c r="J719" s="24" t="n">
        <f aca="true">IF(OR(E719="",E719="!!!",F719="NEW"),"",COUNTBLANK(OFFSET(A$1,,,SUMPRODUCT(MAX(ROW(E$2:E719)*(E719=E$2:E719)))))-COUNTBLANK(OFFSET(A$1,,,SUMPRODUCT(MAX(ROW(E$1:E718)*(E2=E$1:E718))))))</f>
        <v>0</v>
      </c>
      <c r="K719" s="24" t="n">
        <f aca="false">IF(OR(E719="",E719="!!!",F719="NEW"),"",INDEX(J$1:J718,SUMPRODUCT(MAX(ROW(E$1:E718)*(E719=E$1:E718)))))</f>
        <v>0</v>
      </c>
      <c r="L719" s="25"/>
    </row>
    <row r="720" customFormat="false" ht="14.25" hidden="false" customHeight="false" outlineLevel="0" collapsed="false">
      <c r="A720" s="0" t="s">
        <v>589</v>
      </c>
      <c r="E720" s="20" t="s">
        <v>580</v>
      </c>
      <c r="F720" s="21" t="str">
        <f aca="false">IF(OR(E720="",E720="!!!"),"",IF(NOT(ISNA(VLOOKUP(E720,E$1:E719,1,FALSE()))),"OLD",IF(AND(E720&lt;&gt;"",E720&lt;&gt;"!!!"),"NEW","")))</f>
        <v>OLD</v>
      </c>
      <c r="G720" s="22" t="str">
        <f aca="false"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?IN_FOCUS</v>
      </c>
      <c r="H720" s="23" t="str">
        <f aca="false">IF(J720&lt;&gt;1,"",IF(I720="SBJ","CB","?"))</f>
        <v/>
      </c>
      <c r="I720" s="24" t="str">
        <f aca="false">IF(OR(E720="",E720="!!!",F720="NEW"),"",INDEX(B$2:B719,-1+SUMPRODUCT(MAX(ROW(E$2:E719)*(E720=E$2:E719)))))</f>
        <v>SBJ_6</v>
      </c>
      <c r="J720" s="24" t="n">
        <f aca="true">IF(OR(E720="",E720="!!!",F720="NEW"),"",COUNTBLANK(OFFSET(A$1,,,SUMPRODUCT(MAX(ROW(E$2:E720)*(E720=E$2:E720)))))-COUNTBLANK(OFFSET(A$1,,,SUMPRODUCT(MAX(ROW(E$1:E719)*(E2=E$1:E719))))))</f>
        <v>0</v>
      </c>
      <c r="K720" s="24" t="n">
        <f aca="false">IF(OR(E720="",E720="!!!",F720="NEW"),"",INDEX(J$1:J719,SUMPRODUCT(MAX(ROW(E$1:E719)*(E720=E$1:E719)))))</f>
        <v>0</v>
      </c>
      <c r="L720" s="25"/>
    </row>
    <row r="721" customFormat="false" ht="14.25" hidden="false" customHeight="false" outlineLevel="0" collapsed="false">
      <c r="A721" s="0" t="s">
        <v>590</v>
      </c>
      <c r="B721" s="26" t="s">
        <v>214</v>
      </c>
      <c r="C721" s="26" t="s">
        <v>488</v>
      </c>
      <c r="E721" s="20" t="s">
        <v>591</v>
      </c>
      <c r="F721" s="21" t="str">
        <f aca="false">IF(OR(E721="",E721="!!!"),"",IF(NOT(ISNA(VLOOKUP(E721,E$1:E720,1,FALSE()))),"OLD",IF(AND(E721&lt;&gt;"",E721&lt;&gt;"!!!"),"NEW","")))</f>
        <v>NEW</v>
      </c>
      <c r="G721" s="22" t="str">
        <f aca="false"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?REFERENTIAL</v>
      </c>
      <c r="H721" s="23" t="str">
        <f aca="false">IF(J721&lt;&gt;1,"",IF(I721="SBJ","CB","?"))</f>
        <v/>
      </c>
      <c r="I721" s="24" t="str">
        <f aca="false">IF(OR(E721="",E721="!!!",F721="NEW"),"",INDEX(B$2:B720,-1+SUMPRODUCT(MAX(ROW(E$2:E720)*(E721=E$2:E720)))))</f>
        <v/>
      </c>
      <c r="J721" s="24" t="str">
        <f aca="true">IF(OR(E721="",E721="!!!",F721="NEW"),"",COUNTBLANK(OFFSET(A$1,,,SUMPRODUCT(MAX(ROW(E$2:E721)*(E721=E$2:E721)))))-COUNTBLANK(OFFSET(A$1,,,SUMPRODUCT(MAX(ROW(E$1:E720)*(E2=E$1:E720))))))</f>
        <v/>
      </c>
      <c r="K721" s="24" t="str">
        <f aca="false">IF(OR(E721="",E721="!!!",F721="NEW"),"",INDEX(J$1:J720,SUMPRODUCT(MAX(ROW(E$1:E720)*(E721=E$1:E720)))))</f>
        <v/>
      </c>
      <c r="L721" s="25"/>
    </row>
    <row r="722" customFormat="false" ht="14.25" hidden="false" customHeight="false" outlineLevel="0" collapsed="false">
      <c r="A722" s="0" t="s">
        <v>101</v>
      </c>
      <c r="E722" s="20" t="str">
        <f aca="false">IF(D722="?OLD","!!!","")</f>
        <v/>
      </c>
      <c r="F722" s="21" t="str">
        <f aca="false">IF(OR(E722="",E722="!!!"),"",IF(NOT(ISNA(VLOOKUP(E722,E$1:E721,1,FALSE()))),"OLD",IF(AND(E722&lt;&gt;"",E722&lt;&gt;"!!!"),"NEW","")))</f>
        <v/>
      </c>
      <c r="G722" s="22" t="str">
        <f aca="false"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aca="false">IF(J722&lt;&gt;1,"",IF(I722="SBJ","CB","?"))</f>
        <v/>
      </c>
      <c r="I722" s="24" t="str">
        <f aca="false">IF(OR(E722="",E722="!!!",F722="NEW"),"",INDEX(B$2:B721,-1+SUMPRODUCT(MAX(ROW(E$2:E721)*(E722=E$2:E721)))))</f>
        <v/>
      </c>
      <c r="J722" s="24" t="str">
        <f aca="true">IF(OR(E722="",E722="!!!",F722="NEW"),"",COUNTBLANK(OFFSET(A$1,,,SUMPRODUCT(MAX(ROW(E$2:E722)*(E722=E$2:E722)))))-COUNTBLANK(OFFSET(A$1,,,SUMPRODUCT(MAX(ROW(E$1:E721)*(E2=E$1:E721))))))</f>
        <v/>
      </c>
      <c r="K722" s="24" t="str">
        <f aca="false">IF(OR(E722="",E722="!!!",F722="NEW"),"",INDEX(J$1:J721,SUMPRODUCT(MAX(ROW(E$1:E721)*(E722=E$1:E721)))))</f>
        <v/>
      </c>
      <c r="L722" s="25"/>
    </row>
    <row r="723" customFormat="false" ht="14.25" hidden="false" customHeight="false" outlineLevel="0" collapsed="false">
      <c r="A723" s="0" t="s">
        <v>592</v>
      </c>
      <c r="E723" s="20" t="str">
        <f aca="false">IF(D723="?OLD","!!!","")</f>
        <v/>
      </c>
      <c r="F723" s="21" t="str">
        <f aca="false">IF(OR(E723="",E723="!!!"),"",IF(NOT(ISNA(VLOOKUP(E723,E$1:E722,1,FALSE()))),"OLD",IF(AND(E723&lt;&gt;"",E723&lt;&gt;"!!!"),"NEW","")))</f>
        <v/>
      </c>
      <c r="G723" s="22" t="str">
        <f aca="false"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aca="false">IF(J723&lt;&gt;1,"",IF(I723="SBJ","CB","?"))</f>
        <v/>
      </c>
      <c r="I723" s="24" t="str">
        <f aca="false">IF(OR(E723="",E723="!!!",F723="NEW"),"",INDEX(B$2:B722,-1+SUMPRODUCT(MAX(ROW(E$2:E722)*(E723=E$2:E722)))))</f>
        <v/>
      </c>
      <c r="J723" s="24" t="str">
        <f aca="true">IF(OR(E723="",E723="!!!",F723="NEW"),"",COUNTBLANK(OFFSET(A$1,,,SUMPRODUCT(MAX(ROW(E$2:E723)*(E723=E$2:E723)))))-COUNTBLANK(OFFSET(A$1,,,SUMPRODUCT(MAX(ROW(E$1:E722)*(E2=E$1:E722))))))</f>
        <v/>
      </c>
      <c r="K723" s="24" t="str">
        <f aca="false">IF(OR(E723="",E723="!!!",F723="NEW"),"",INDEX(J$1:J722,SUMPRODUCT(MAX(ROW(E$1:E722)*(E723=E$1:E722)))))</f>
        <v/>
      </c>
      <c r="L723" s="25"/>
    </row>
    <row r="724" customFormat="false" ht="14.25" hidden="false" customHeight="false" outlineLevel="0" collapsed="false">
      <c r="A724" s="0" t="s">
        <v>16</v>
      </c>
      <c r="E724" s="20" t="str">
        <f aca="false">IF(D724="?OLD","!!!","")</f>
        <v/>
      </c>
      <c r="F724" s="21" t="str">
        <f aca="false">IF(OR(E724="",E724="!!!"),"",IF(NOT(ISNA(VLOOKUP(E724,E$1:E723,1,FALSE()))),"OLD",IF(AND(E724&lt;&gt;"",E724&lt;&gt;"!!!"),"NEW","")))</f>
        <v/>
      </c>
      <c r="G724" s="22" t="str">
        <f aca="false"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aca="false">IF(J724&lt;&gt;1,"",IF(I724="SBJ","CB","?"))</f>
        <v/>
      </c>
      <c r="I724" s="24" t="str">
        <f aca="false">IF(OR(E724="",E724="!!!",F724="NEW"),"",INDEX(B$2:B723,-1+SUMPRODUCT(MAX(ROW(E$2:E723)*(E724=E$2:E723)))))</f>
        <v/>
      </c>
      <c r="J724" s="24" t="str">
        <f aca="true">IF(OR(E724="",E724="!!!",F724="NEW"),"",COUNTBLANK(OFFSET(A$1,,,SUMPRODUCT(MAX(ROW(E$2:E724)*(E724=E$2:E724)))))-COUNTBLANK(OFFSET(A$1,,,SUMPRODUCT(MAX(ROW(E$1:E723)*(E2=E$1:E723))))))</f>
        <v/>
      </c>
      <c r="K724" s="24" t="str">
        <f aca="false">IF(OR(E724="",E724="!!!",F724="NEW"),"",INDEX(J$1:J723,SUMPRODUCT(MAX(ROW(E$1:E723)*(E724=E$1:E723)))))</f>
        <v/>
      </c>
      <c r="L724" s="25"/>
    </row>
    <row r="725" customFormat="false" ht="14.25" hidden="false" customHeight="false" outlineLevel="0" collapsed="false">
      <c r="A725" s="0" t="s">
        <v>593</v>
      </c>
      <c r="B725" s="26" t="s">
        <v>424</v>
      </c>
      <c r="C725" s="26" t="s">
        <v>105</v>
      </c>
      <c r="E725" s="20" t="str">
        <f aca="false">IF(D725="?OLD","!!!","")</f>
        <v/>
      </c>
      <c r="F725" s="21" t="str">
        <f aca="false">IF(OR(E725="",E725="!!!"),"",IF(NOT(ISNA(VLOOKUP(E725,E$1:E724,1,FALSE()))),"OLD",IF(AND(E725&lt;&gt;"",E725&lt;&gt;"!!!"),"NEW","")))</f>
        <v/>
      </c>
      <c r="G725" s="22" t="str">
        <f aca="false"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aca="false">IF(J725&lt;&gt;1,"",IF(I725="SBJ","CB","?"))</f>
        <v/>
      </c>
      <c r="I725" s="24" t="str">
        <f aca="false">IF(OR(E725="",E725="!!!",F725="NEW"),"",INDEX(B$2:B724,-1+SUMPRODUCT(MAX(ROW(E$2:E724)*(E725=E$2:E724)))))</f>
        <v/>
      </c>
      <c r="J725" s="24" t="str">
        <f aca="true">IF(OR(E725="",E725="!!!",F725="NEW"),"",COUNTBLANK(OFFSET(A$1,,,SUMPRODUCT(MAX(ROW(E$2:E725)*(E725=E$2:E725)))))-COUNTBLANK(OFFSET(A$1,,,SUMPRODUCT(MAX(ROW(E$1:E724)*(E2=E$1:E724))))))</f>
        <v/>
      </c>
      <c r="K725" s="24" t="str">
        <f aca="false">IF(OR(E725="",E725="!!!",F725="NEW"),"",INDEX(J$1:J724,SUMPRODUCT(MAX(ROW(E$1:E724)*(E725=E$1:E724)))))</f>
        <v/>
      </c>
      <c r="L725" s="25"/>
    </row>
    <row r="726" customFormat="false" ht="14.25" hidden="false" customHeight="false" outlineLevel="0" collapsed="false">
      <c r="A726" s="0" t="s">
        <v>101</v>
      </c>
      <c r="E726" s="20" t="str">
        <f aca="false">IF(D726="?OLD","!!!","")</f>
        <v/>
      </c>
      <c r="F726" s="21" t="str">
        <f aca="false">IF(OR(E726="",E726="!!!"),"",IF(NOT(ISNA(VLOOKUP(E726,E$1:E725,1,FALSE()))),"OLD",IF(AND(E726&lt;&gt;"",E726&lt;&gt;"!!!"),"NEW","")))</f>
        <v/>
      </c>
      <c r="G726" s="22" t="str">
        <f aca="false"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aca="false">IF(J726&lt;&gt;1,"",IF(I726="SBJ","CB","?"))</f>
        <v/>
      </c>
      <c r="I726" s="24" t="str">
        <f aca="false">IF(OR(E726="",E726="!!!",F726="NEW"),"",INDEX(B$2:B725,-1+SUMPRODUCT(MAX(ROW(E$2:E725)*(E726=E$2:E725)))))</f>
        <v/>
      </c>
      <c r="J726" s="24" t="str">
        <f aca="true">IF(OR(E726="",E726="!!!",F726="NEW"),"",COUNTBLANK(OFFSET(A$1,,,SUMPRODUCT(MAX(ROW(E$2:E726)*(E726=E$2:E726)))))-COUNTBLANK(OFFSET(A$1,,,SUMPRODUCT(MAX(ROW(E$1:E725)*(E2=E$1:E725))))))</f>
        <v/>
      </c>
      <c r="K726" s="24" t="str">
        <f aca="false">IF(OR(E726="",E726="!!!",F726="NEW"),"",INDEX(J$1:J725,SUMPRODUCT(MAX(ROW(E$1:E725)*(E726=E$1:E725)))))</f>
        <v/>
      </c>
      <c r="L726" s="25"/>
    </row>
    <row r="727" customFormat="false" ht="14.25" hidden="false" customHeight="false" outlineLevel="0" collapsed="false">
      <c r="A727" s="0" t="s">
        <v>142</v>
      </c>
      <c r="E727" s="20" t="str">
        <f aca="false">IF(D727="?OLD","!!!","")</f>
        <v/>
      </c>
      <c r="F727" s="21" t="str">
        <f aca="false">IF(OR(E727="",E727="!!!"),"",IF(NOT(ISNA(VLOOKUP(E727,E$1:E726,1,FALSE()))),"OLD",IF(AND(E727&lt;&gt;"",E727&lt;&gt;"!!!"),"NEW","")))</f>
        <v/>
      </c>
      <c r="G727" s="22" t="str">
        <f aca="false"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aca="false">IF(J727&lt;&gt;1,"",IF(I727="SBJ","CB","?"))</f>
        <v/>
      </c>
      <c r="I727" s="24" t="str">
        <f aca="false">IF(OR(E727="",E727="!!!",F727="NEW"),"",INDEX(B$2:B726,-1+SUMPRODUCT(MAX(ROW(E$2:E726)*(E727=E$2:E726)))))</f>
        <v/>
      </c>
      <c r="J727" s="24" t="str">
        <f aca="true">IF(OR(E727="",E727="!!!",F727="NEW"),"",COUNTBLANK(OFFSET(A$1,,,SUMPRODUCT(MAX(ROW(E$2:E727)*(E727=E$2:E727)))))-COUNTBLANK(OFFSET(A$1,,,SUMPRODUCT(MAX(ROW(E$1:E726)*(E2=E$1:E726))))))</f>
        <v/>
      </c>
      <c r="K727" s="24" t="str">
        <f aca="false">IF(OR(E727="",E727="!!!",F727="NEW"),"",INDEX(J$1:J726,SUMPRODUCT(MAX(ROW(E$1:E726)*(E727=E$1:E726)))))</f>
        <v/>
      </c>
      <c r="L727" s="25"/>
    </row>
    <row r="728" customFormat="false" ht="14.25" hidden="false" customHeight="false" outlineLevel="0" collapsed="false">
      <c r="A728" s="0" t="s">
        <v>594</v>
      </c>
      <c r="E728" s="20" t="s">
        <v>595</v>
      </c>
      <c r="F728" s="21" t="str">
        <f aca="false">IF(OR(E728="",E728="!!!"),"",IF(NOT(ISNA(VLOOKUP(E728,E$1:E727,1,FALSE()))),"OLD",IF(AND(E728&lt;&gt;"",E728&lt;&gt;"!!!"),"NEW","")))</f>
        <v>NEW</v>
      </c>
      <c r="G728" s="22" t="str">
        <f aca="false"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?REFERENTIAL</v>
      </c>
      <c r="H728" s="23" t="str">
        <f aca="false">IF(J728&lt;&gt;1,"",IF(I728="SBJ","CB","?"))</f>
        <v/>
      </c>
      <c r="I728" s="24" t="str">
        <f aca="false">IF(OR(E728="",E728="!!!",F728="NEW"),"",INDEX(B$2:B727,-1+SUMPRODUCT(MAX(ROW(E$2:E727)*(E728=E$2:E727)))))</f>
        <v/>
      </c>
      <c r="J728" s="24" t="str">
        <f aca="true">IF(OR(E728="",E728="!!!",F728="NEW"),"",COUNTBLANK(OFFSET(A$1,,,SUMPRODUCT(MAX(ROW(E$2:E728)*(E728=E$2:E728)))))-COUNTBLANK(OFFSET(A$1,,,SUMPRODUCT(MAX(ROW(E$1:E727)*(E2=E$1:E727))))))</f>
        <v/>
      </c>
      <c r="K728" s="24" t="str">
        <f aca="false">IF(OR(E728="",E728="!!!",F728="NEW"),"",INDEX(J$1:J727,SUMPRODUCT(MAX(ROW(E$1:E727)*(E728=E$1:E727)))))</f>
        <v/>
      </c>
      <c r="L728" s="27" t="s">
        <v>158</v>
      </c>
    </row>
    <row r="729" customFormat="false" ht="14.25" hidden="false" customHeight="false" outlineLevel="0" collapsed="false">
      <c r="A729" s="0" t="s">
        <v>136</v>
      </c>
      <c r="E729" s="20" t="str">
        <f aca="false">IF(D729="?OLD","!!!","")</f>
        <v/>
      </c>
      <c r="F729" s="21" t="str">
        <f aca="false">IF(OR(E729="",E729="!!!"),"",IF(NOT(ISNA(VLOOKUP(E729,E$1:E728,1,FALSE()))),"OLD",IF(AND(E729&lt;&gt;"",E729&lt;&gt;"!!!"),"NEW","")))</f>
        <v/>
      </c>
      <c r="G729" s="22" t="str">
        <f aca="false"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aca="false">IF(J729&lt;&gt;1,"",IF(I729="SBJ","CB","?"))</f>
        <v/>
      </c>
      <c r="I729" s="24" t="str">
        <f aca="false">IF(OR(E729="",E729="!!!",F729="NEW"),"",INDEX(B$2:B728,-1+SUMPRODUCT(MAX(ROW(E$2:E728)*(E729=E$2:E728)))))</f>
        <v/>
      </c>
      <c r="J729" s="24" t="str">
        <f aca="true">IF(OR(E729="",E729="!!!",F729="NEW"),"",COUNTBLANK(OFFSET(A$1,,,SUMPRODUCT(MAX(ROW(E$2:E729)*(E729=E$2:E729)))))-COUNTBLANK(OFFSET(A$1,,,SUMPRODUCT(MAX(ROW(E$1:E728)*(E2=E$1:E728))))))</f>
        <v/>
      </c>
      <c r="K729" s="24" t="str">
        <f aca="false">IF(OR(E729="",E729="!!!",F729="NEW"),"",INDEX(J$1:J728,SUMPRODUCT(MAX(ROW(E$1:E728)*(E729=E$1:E728)))))</f>
        <v/>
      </c>
      <c r="L729" s="25"/>
    </row>
    <row r="730" customFormat="false" ht="14.25" hidden="false" customHeight="false" outlineLevel="0" collapsed="false">
      <c r="A730" s="0" t="s">
        <v>596</v>
      </c>
      <c r="B730" s="26" t="s">
        <v>416</v>
      </c>
      <c r="C730" s="26" t="s">
        <v>74</v>
      </c>
      <c r="D730" s="26" t="s">
        <v>75</v>
      </c>
      <c r="E730" s="20" t="s">
        <v>597</v>
      </c>
      <c r="F730" s="21" t="str">
        <f aca="false">IF(OR(E730="",E730="!!!"),"",IF(NOT(ISNA(VLOOKUP(E730,E$1:E729,1,FALSE()))),"OLD",IF(AND(E730&lt;&gt;"",E730&lt;&gt;"!!!"),"NEW","")))</f>
        <v>NEW</v>
      </c>
      <c r="G730" s="22" t="str">
        <f aca="false"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?REFERENTIAL</v>
      </c>
      <c r="H730" s="23" t="str">
        <f aca="false">IF(J730&lt;&gt;1,"",IF(I730="SBJ","CB","?"))</f>
        <v/>
      </c>
      <c r="I730" s="24" t="str">
        <f aca="false">IF(OR(E730="",E730="!!!",F730="NEW"),"",INDEX(B$2:B729,-1+SUMPRODUCT(MAX(ROW(E$2:E729)*(E730=E$2:E729)))))</f>
        <v/>
      </c>
      <c r="J730" s="24" t="str">
        <f aca="true">IF(OR(E730="",E730="!!!",F730="NEW"),"",COUNTBLANK(OFFSET(A$1,,,SUMPRODUCT(MAX(ROW(E$2:E730)*(E730=E$2:E730)))))-COUNTBLANK(OFFSET(A$1,,,SUMPRODUCT(MAX(ROW(E$1:E729)*(E2=E$1:E729))))))</f>
        <v/>
      </c>
      <c r="K730" s="24" t="str">
        <f aca="false">IF(OR(E730="",E730="!!!",F730="NEW"),"",INDEX(J$1:J729,SUMPRODUCT(MAX(ROW(E$1:E729)*(E730=E$1:E729)))))</f>
        <v/>
      </c>
      <c r="L730" s="25"/>
    </row>
    <row r="731" customFormat="false" ht="14.25" hidden="false" customHeight="false" outlineLevel="0" collapsed="false">
      <c r="A731" s="0" t="s">
        <v>79</v>
      </c>
      <c r="E731" s="20" t="str">
        <f aca="false">IF(D731="?OLD","!!!","")</f>
        <v/>
      </c>
      <c r="F731" s="21" t="str">
        <f aca="false">IF(OR(E731="",E731="!!!"),"",IF(NOT(ISNA(VLOOKUP(E731,E$1:E730,1,FALSE()))),"OLD",IF(AND(E731&lt;&gt;"",E731&lt;&gt;"!!!"),"NEW","")))</f>
        <v/>
      </c>
      <c r="G731" s="22" t="str">
        <f aca="false"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aca="false">IF(J731&lt;&gt;1,"",IF(I731="SBJ","CB","?"))</f>
        <v/>
      </c>
      <c r="I731" s="24" t="str">
        <f aca="false">IF(OR(E731="",E731="!!!",F731="NEW"),"",INDEX(B$2:B730,-1+SUMPRODUCT(MAX(ROW(E$2:E730)*(E731=E$2:E730)))))</f>
        <v/>
      </c>
      <c r="J731" s="24" t="str">
        <f aca="true">IF(OR(E731="",E731="!!!",F731="NEW"),"",COUNTBLANK(OFFSET(A$1,,,SUMPRODUCT(MAX(ROW(E$2:E731)*(E731=E$2:E731)))))-COUNTBLANK(OFFSET(A$1,,,SUMPRODUCT(MAX(ROW(E$1:E730)*(E2=E$1:E730))))))</f>
        <v/>
      </c>
      <c r="K731" s="24" t="str">
        <f aca="false">IF(OR(E731="",E731="!!!",F731="NEW"),"",INDEX(J$1:J730,SUMPRODUCT(MAX(ROW(E$1:E730)*(E731=E$1:E730)))))</f>
        <v/>
      </c>
      <c r="L731" s="25"/>
    </row>
    <row r="732" customFormat="false" ht="14.25" hidden="false" customHeight="false" outlineLevel="0" collapsed="false">
      <c r="A732" s="0" t="s">
        <v>160</v>
      </c>
      <c r="E732" s="20" t="str">
        <f aca="false">IF(D732="?OLD","!!!","")</f>
        <v/>
      </c>
      <c r="F732" s="21" t="str">
        <f aca="false">IF(OR(E732="",E732="!!!"),"",IF(NOT(ISNA(VLOOKUP(E732,E$1:E731,1,FALSE()))),"OLD",IF(AND(E732&lt;&gt;"",E732&lt;&gt;"!!!"),"NEW","")))</f>
        <v/>
      </c>
      <c r="G732" s="22" t="str">
        <f aca="false"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aca="false">IF(J732&lt;&gt;1,"",IF(I732="SBJ","CB","?"))</f>
        <v/>
      </c>
      <c r="I732" s="24" t="str">
        <f aca="false">IF(OR(E732="",E732="!!!",F732="NEW"),"",INDEX(B$2:B731,-1+SUMPRODUCT(MAX(ROW(E$2:E731)*(E732=E$2:E731)))))</f>
        <v/>
      </c>
      <c r="J732" s="24" t="str">
        <f aca="true">IF(OR(E732="",E732="!!!",F732="NEW"),"",COUNTBLANK(OFFSET(A$1,,,SUMPRODUCT(MAX(ROW(E$2:E732)*(E732=E$2:E732)))))-COUNTBLANK(OFFSET(A$1,,,SUMPRODUCT(MAX(ROW(E$1:E731)*(E2=E$1:E731))))))</f>
        <v/>
      </c>
      <c r="K732" s="24" t="str">
        <f aca="false">IF(OR(E732="",E732="!!!",F732="NEW"),"",INDEX(J$1:J731,SUMPRODUCT(MAX(ROW(E$1:E731)*(E732=E$1:E731)))))</f>
        <v/>
      </c>
      <c r="L732" s="25"/>
    </row>
    <row r="733" customFormat="false" ht="14.25" hidden="false" customHeight="false" outlineLevel="0" collapsed="false">
      <c r="A733" s="0" t="s">
        <v>598</v>
      </c>
      <c r="B733" s="26" t="s">
        <v>422</v>
      </c>
      <c r="C733" s="26" t="s">
        <v>74</v>
      </c>
      <c r="D733" s="26" t="s">
        <v>75</v>
      </c>
      <c r="E733" s="20" t="s">
        <v>599</v>
      </c>
      <c r="F733" s="21" t="str">
        <f aca="false">IF(OR(E733="",E733="!!!"),"",IF(NOT(ISNA(VLOOKUP(E733,E$1:E732,1,FALSE()))),"OLD",IF(AND(E733&lt;&gt;"",E733&lt;&gt;"!!!"),"NEW","")))</f>
        <v>NEW</v>
      </c>
      <c r="G733" s="22" t="str">
        <f aca="false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?REFERENTIAL</v>
      </c>
      <c r="H733" s="23" t="str">
        <f aca="false">IF(J733&lt;&gt;1,"",IF(I733="SBJ","CB","?"))</f>
        <v/>
      </c>
      <c r="I733" s="24" t="str">
        <f aca="false">IF(OR(E733="",E733="!!!",F733="NEW"),"",INDEX(B$2:B732,-1+SUMPRODUCT(MAX(ROW(E$2:E732)*(E733=E$2:E732)))))</f>
        <v/>
      </c>
      <c r="J733" s="24" t="str">
        <f aca="true">IF(OR(E733="",E733="!!!",F733="NEW"),"",COUNTBLANK(OFFSET(A$1,,,SUMPRODUCT(MAX(ROW(E$2:E733)*(E733=E$2:E733)))))-COUNTBLANK(OFFSET(A$1,,,SUMPRODUCT(MAX(ROW(E$1:E732)*(E2=E$1:E732))))))</f>
        <v/>
      </c>
      <c r="K733" s="24" t="str">
        <f aca="false">IF(OR(E733="",E733="!!!",F733="NEW"),"",INDEX(J$1:J732,SUMPRODUCT(MAX(ROW(E$1:E732)*(E733=E$1:E732)))))</f>
        <v/>
      </c>
      <c r="L733" s="25"/>
    </row>
    <row r="734" customFormat="false" ht="14.25" hidden="false" customHeight="false" outlineLevel="0" collapsed="false">
      <c r="A734" s="0" t="s">
        <v>86</v>
      </c>
      <c r="E734" s="20" t="str">
        <f aca="false">IF(D734="?OLD","!!!","")</f>
        <v/>
      </c>
      <c r="F734" s="21" t="str">
        <f aca="false">IF(OR(E734="",E734="!!!"),"",IF(NOT(ISNA(VLOOKUP(E734,E$1:E733,1,FALSE()))),"OLD",IF(AND(E734&lt;&gt;"",E734&lt;&gt;"!!!"),"NEW","")))</f>
        <v/>
      </c>
      <c r="G734" s="22" t="str">
        <f aca="false"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aca="false">IF(J734&lt;&gt;1,"",IF(I734="SBJ","CB","?"))</f>
        <v/>
      </c>
      <c r="I734" s="24" t="str">
        <f aca="false">IF(OR(E734="",E734="!!!",F734="NEW"),"",INDEX(B$2:B733,-1+SUMPRODUCT(MAX(ROW(E$2:E733)*(E734=E$2:E733)))))</f>
        <v/>
      </c>
      <c r="J734" s="24" t="str">
        <f aca="true">IF(OR(E734="",E734="!!!",F734="NEW"),"",COUNTBLANK(OFFSET(A$1,,,SUMPRODUCT(MAX(ROW(E$2:E734)*(E734=E$2:E734)))))-COUNTBLANK(OFFSET(A$1,,,SUMPRODUCT(MAX(ROW(E$1:E733)*(E2=E$1:E733))))))</f>
        <v/>
      </c>
      <c r="K734" s="24" t="str">
        <f aca="false">IF(OR(E734="",E734="!!!",F734="NEW"),"",INDEX(J$1:J733,SUMPRODUCT(MAX(ROW(E$1:E733)*(E734=E$1:E733)))))</f>
        <v/>
      </c>
      <c r="L734" s="25"/>
    </row>
    <row r="735" customFormat="false" ht="14.25" hidden="false" customHeight="false" outlineLevel="0" collapsed="false">
      <c r="A735" s="0" t="s">
        <v>265</v>
      </c>
      <c r="B735" s="26" t="s">
        <v>104</v>
      </c>
      <c r="C735" s="26" t="s">
        <v>151</v>
      </c>
      <c r="D735" s="26" t="s">
        <v>75</v>
      </c>
      <c r="E735" s="20" t="s">
        <v>595</v>
      </c>
      <c r="F735" s="21" t="str">
        <f aca="false">IF(OR(E735="",E735="!!!"),"",IF(NOT(ISNA(VLOOKUP(E735,E$1:E734,1,FALSE()))),"OLD",IF(AND(E735&lt;&gt;"",E735&lt;&gt;"!!!"),"NEW","")))</f>
        <v>OLD</v>
      </c>
      <c r="G735" s="22" t="str">
        <f aca="false"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?IN_FOCUS</v>
      </c>
      <c r="H735" s="23" t="str">
        <f aca="false">IF(J735&lt;&gt;1,"",IF(I735="SBJ","CB","?"))</f>
        <v/>
      </c>
      <c r="I735" s="24" t="n">
        <f aca="false">IF(OR(E735="",E735="!!!",F735="NEW"),"",INDEX(B$2:B734,-1+SUMPRODUCT(MAX(ROW(E$2:E734)*(E735=E$2:E734)))))</f>
        <v>0</v>
      </c>
      <c r="J735" s="24" t="n">
        <f aca="true">IF(OR(E735="",E735="!!!",F735="NEW"),"",COUNTBLANK(OFFSET(A$1,,,SUMPRODUCT(MAX(ROW(E$2:E735)*(E735=E$2:E735)))))-COUNTBLANK(OFFSET(A$1,,,SUMPRODUCT(MAX(ROW(E$1:E734)*(E2=E$1:E734))))))</f>
        <v>0</v>
      </c>
      <c r="K735" s="24" t="str">
        <f aca="false">IF(OR(E735="",E735="!!!",F735="NEW"),"",INDEX(J$1:J734,SUMPRODUCT(MAX(ROW(E$1:E734)*(E735=E$1:E734)))))</f>
        <v/>
      </c>
      <c r="L735" s="25"/>
    </row>
    <row r="736" customFormat="false" ht="14.25" hidden="false" customHeight="false" outlineLevel="0" collapsed="false">
      <c r="A736" s="0" t="s">
        <v>78</v>
      </c>
      <c r="E736" s="20" t="str">
        <f aca="false">IF(D736="?OLD","!!!","")</f>
        <v/>
      </c>
      <c r="F736" s="21" t="str">
        <f aca="false">IF(OR(E736="",E736="!!!"),"",IF(NOT(ISNA(VLOOKUP(E736,E$1:E735,1,FALSE()))),"OLD",IF(AND(E736&lt;&gt;"",E736&lt;&gt;"!!!"),"NEW","")))</f>
        <v/>
      </c>
      <c r="G736" s="22" t="str">
        <f aca="false"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aca="false">IF(J736&lt;&gt;1,"",IF(I736="SBJ","CB","?"))</f>
        <v/>
      </c>
      <c r="I736" s="24" t="str">
        <f aca="false">IF(OR(E736="",E736="!!!",F736="NEW"),"",INDEX(B$2:B735,-1+SUMPRODUCT(MAX(ROW(E$2:E735)*(E736=E$2:E735)))))</f>
        <v/>
      </c>
      <c r="J736" s="24" t="str">
        <f aca="true">IF(OR(E736="",E736="!!!",F736="NEW"),"",COUNTBLANK(OFFSET(A$1,,,SUMPRODUCT(MAX(ROW(E$2:E736)*(E736=E$2:E736)))))-COUNTBLANK(OFFSET(A$1,,,SUMPRODUCT(MAX(ROW(E$1:E735)*(E2=E$1:E735))))))</f>
        <v/>
      </c>
      <c r="K736" s="24" t="str">
        <f aca="false">IF(OR(E736="",E736="!!!",F736="NEW"),"",INDEX(J$1:J735,SUMPRODUCT(MAX(ROW(E$1:E735)*(E736=E$1:E735)))))</f>
        <v/>
      </c>
      <c r="L736" s="25"/>
    </row>
    <row r="737" customFormat="false" ht="14.25" hidden="false" customHeight="false" outlineLevel="0" collapsed="false">
      <c r="A737" s="0" t="s">
        <v>339</v>
      </c>
      <c r="E737" s="20" t="str">
        <f aca="false">IF(D737="?OLD","!!!","")</f>
        <v/>
      </c>
      <c r="F737" s="21" t="str">
        <f aca="false">IF(OR(E737="",E737="!!!"),"",IF(NOT(ISNA(VLOOKUP(E737,E$1:E736,1,FALSE()))),"OLD",IF(AND(E737&lt;&gt;"",E737&lt;&gt;"!!!"),"NEW","")))</f>
        <v/>
      </c>
      <c r="G737" s="22" t="str">
        <f aca="false"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aca="false">IF(J737&lt;&gt;1,"",IF(I737="SBJ","CB","?"))</f>
        <v/>
      </c>
      <c r="I737" s="24" t="str">
        <f aca="false">IF(OR(E737="",E737="!!!",F737="NEW"),"",INDEX(B$2:B736,-1+SUMPRODUCT(MAX(ROW(E$2:E736)*(E737=E$2:E736)))))</f>
        <v/>
      </c>
      <c r="J737" s="24" t="str">
        <f aca="true">IF(OR(E737="",E737="!!!",F737="NEW"),"",COUNTBLANK(OFFSET(A$1,,,SUMPRODUCT(MAX(ROW(E$2:E737)*(E737=E$2:E737)))))-COUNTBLANK(OFFSET(A$1,,,SUMPRODUCT(MAX(ROW(E$1:E736)*(E2=E$1:E736))))))</f>
        <v/>
      </c>
      <c r="K737" s="24" t="str">
        <f aca="false">IF(OR(E737="",E737="!!!",F737="NEW"),"",INDEX(J$1:J736,SUMPRODUCT(MAX(ROW(E$1:E736)*(E737=E$1:E736)))))</f>
        <v/>
      </c>
      <c r="L737" s="25"/>
    </row>
    <row r="738" customFormat="false" ht="14.25" hidden="false" customHeight="false" outlineLevel="0" collapsed="false">
      <c r="A738" s="0" t="s">
        <v>92</v>
      </c>
      <c r="E738" s="20" t="str">
        <f aca="false">IF(D738="?OLD","!!!","")</f>
        <v/>
      </c>
      <c r="F738" s="21" t="str">
        <f aca="false">IF(OR(E738="",E738="!!!"),"",IF(NOT(ISNA(VLOOKUP(E738,E$1:E737,1,FALSE()))),"OLD",IF(AND(E738&lt;&gt;"",E738&lt;&gt;"!!!"),"NEW","")))</f>
        <v/>
      </c>
      <c r="G738" s="22" t="str">
        <f aca="false"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aca="false">IF(J738&lt;&gt;1,"",IF(I738="SBJ","CB","?"))</f>
        <v/>
      </c>
      <c r="I738" s="24" t="str">
        <f aca="false">IF(OR(E738="",E738="!!!",F738="NEW"),"",INDEX(B$2:B737,-1+SUMPRODUCT(MAX(ROW(E$2:E737)*(E738=E$2:E737)))))</f>
        <v/>
      </c>
      <c r="J738" s="24" t="str">
        <f aca="true">IF(OR(E738="",E738="!!!",F738="NEW"),"",COUNTBLANK(OFFSET(A$1,,,SUMPRODUCT(MAX(ROW(E$2:E738)*(E738=E$2:E738)))))-COUNTBLANK(OFFSET(A$1,,,SUMPRODUCT(MAX(ROW(E$1:E737)*(E2=E$1:E737))))))</f>
        <v/>
      </c>
      <c r="K738" s="24" t="str">
        <f aca="false">IF(OR(E738="",E738="!!!",F738="NEW"),"",INDEX(J$1:J737,SUMPRODUCT(MAX(ROW(E$1:E737)*(E738=E$1:E737)))))</f>
        <v/>
      </c>
      <c r="L738" s="25"/>
    </row>
    <row r="739" customFormat="false" ht="14.25" hidden="false" customHeight="false" outlineLevel="0" collapsed="false">
      <c r="A739" s="0" t="s">
        <v>600</v>
      </c>
      <c r="E739" s="20" t="str">
        <f aca="false">IF(D739="?OLD","!!!","")</f>
        <v/>
      </c>
      <c r="F739" s="21" t="str">
        <f aca="false">IF(OR(E739="",E739="!!!"),"",IF(NOT(ISNA(VLOOKUP(E739,E$1:E738,1,FALSE()))),"OLD",IF(AND(E739&lt;&gt;"",E739&lt;&gt;"!!!"),"NEW","")))</f>
        <v/>
      </c>
      <c r="G739" s="22" t="str">
        <f aca="false"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aca="false">IF(J739&lt;&gt;1,"",IF(I739="SBJ","CB","?"))</f>
        <v/>
      </c>
      <c r="I739" s="24" t="str">
        <f aca="false">IF(OR(E739="",E739="!!!",F739="NEW"),"",INDEX(B$2:B738,-1+SUMPRODUCT(MAX(ROW(E$2:E738)*(E739=E$2:E738)))))</f>
        <v/>
      </c>
      <c r="J739" s="24" t="str">
        <f aca="true">IF(OR(E739="",E739="!!!",F739="NEW"),"",COUNTBLANK(OFFSET(A$1,,,SUMPRODUCT(MAX(ROW(E$2:E739)*(E739=E$2:E739)))))-COUNTBLANK(OFFSET(A$1,,,SUMPRODUCT(MAX(ROW(E$1:E738)*(E2=E$1:E738))))))</f>
        <v/>
      </c>
      <c r="K739" s="24" t="str">
        <f aca="false">IF(OR(E739="",E739="!!!",F739="NEW"),"",INDEX(J$1:J738,SUMPRODUCT(MAX(ROW(E$1:E738)*(E739=E$1:E738)))))</f>
        <v/>
      </c>
      <c r="L739" s="25"/>
    </row>
    <row r="740" customFormat="false" ht="14.25" hidden="false" customHeight="false" outlineLevel="0" collapsed="false">
      <c r="A740" s="0" t="s">
        <v>601</v>
      </c>
      <c r="E740" s="20" t="str">
        <f aca="false">IF(D740="?OLD","!!!","")</f>
        <v/>
      </c>
      <c r="F740" s="21" t="str">
        <f aca="false">IF(OR(E740="",E740="!!!"),"",IF(NOT(ISNA(VLOOKUP(E740,E$1:E739,1,FALSE()))),"OLD",IF(AND(E740&lt;&gt;"",E740&lt;&gt;"!!!"),"NEW","")))</f>
        <v/>
      </c>
      <c r="G740" s="22" t="str">
        <f aca="false"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aca="false">IF(J740&lt;&gt;1,"",IF(I740="SBJ","CB","?"))</f>
        <v/>
      </c>
      <c r="I740" s="24" t="str">
        <f aca="false">IF(OR(E740="",E740="!!!",F740="NEW"),"",INDEX(B$2:B739,-1+SUMPRODUCT(MAX(ROW(E$2:E739)*(E740=E$2:E739)))))</f>
        <v/>
      </c>
      <c r="J740" s="24" t="str">
        <f aca="true">IF(OR(E740="",E740="!!!",F740="NEW"),"",COUNTBLANK(OFFSET(A$1,,,SUMPRODUCT(MAX(ROW(E$2:E740)*(E740=E$2:E740)))))-COUNTBLANK(OFFSET(A$1,,,SUMPRODUCT(MAX(ROW(E$1:E739)*(E2=E$1:E739))))))</f>
        <v/>
      </c>
      <c r="K740" s="24" t="str">
        <f aca="false">IF(OR(E740="",E740="!!!",F740="NEW"),"",INDEX(J$1:J739,SUMPRODUCT(MAX(ROW(E$1:E739)*(E740=E$1:E739)))))</f>
        <v/>
      </c>
      <c r="L740" s="25"/>
    </row>
    <row r="741" customFormat="false" ht="14.25" hidden="false" customHeight="false" outlineLevel="0" collapsed="false">
      <c r="A741" s="0" t="s">
        <v>86</v>
      </c>
      <c r="E741" s="20" t="str">
        <f aca="false">IF(D741="?OLD","!!!","")</f>
        <v/>
      </c>
      <c r="F741" s="21" t="str">
        <f aca="false">IF(OR(E741="",E741="!!!"),"",IF(NOT(ISNA(VLOOKUP(E741,E$1:E740,1,FALSE()))),"OLD",IF(AND(E741&lt;&gt;"",E741&lt;&gt;"!!!"),"NEW","")))</f>
        <v/>
      </c>
      <c r="G741" s="22" t="str">
        <f aca="false"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aca="false">IF(J741&lt;&gt;1,"",IF(I741="SBJ","CB","?"))</f>
        <v/>
      </c>
      <c r="I741" s="24" t="str">
        <f aca="false">IF(OR(E741="",E741="!!!",F741="NEW"),"",INDEX(B$2:B740,-1+SUMPRODUCT(MAX(ROW(E$2:E740)*(E741=E$2:E740)))))</f>
        <v/>
      </c>
      <c r="J741" s="24" t="str">
        <f aca="true">IF(OR(E741="",E741="!!!",F741="NEW"),"",COUNTBLANK(OFFSET(A$1,,,SUMPRODUCT(MAX(ROW(E$2:E741)*(E741=E$2:E741)))))-COUNTBLANK(OFFSET(A$1,,,SUMPRODUCT(MAX(ROW(E$1:E740)*(E2=E$1:E740))))))</f>
        <v/>
      </c>
      <c r="K741" s="24" t="str">
        <f aca="false">IF(OR(E741="",E741="!!!",F741="NEW"),"",INDEX(J$1:J740,SUMPRODUCT(MAX(ROW(E$1:E740)*(E741=E$1:E740)))))</f>
        <v/>
      </c>
      <c r="L741" s="25"/>
    </row>
    <row r="742" customFormat="false" ht="14.25" hidden="false" customHeight="false" outlineLevel="0" collapsed="false">
      <c r="A742" s="0" t="s">
        <v>602</v>
      </c>
      <c r="B742" s="26" t="s">
        <v>91</v>
      </c>
      <c r="C742" s="26" t="s">
        <v>603</v>
      </c>
      <c r="E742" s="20" t="str">
        <f aca="false">IF(D742="?OLD","!!!","")</f>
        <v/>
      </c>
      <c r="F742" s="21" t="str">
        <f aca="false">IF(OR(E742="",E742="!!!"),"",IF(NOT(ISNA(VLOOKUP(E742,E$1:E741,1,FALSE()))),"OLD",IF(AND(E742&lt;&gt;"",E742&lt;&gt;"!!!"),"NEW","")))</f>
        <v/>
      </c>
      <c r="G742" s="22" t="str">
        <f aca="false"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aca="false">IF(J742&lt;&gt;1,"",IF(I742="SBJ","CB","?"))</f>
        <v/>
      </c>
      <c r="I742" s="24" t="str">
        <f aca="false">IF(OR(E742="",E742="!!!",F742="NEW"),"",INDEX(B$2:B741,-1+SUMPRODUCT(MAX(ROW(E$2:E741)*(E742=E$2:E741)))))</f>
        <v/>
      </c>
      <c r="J742" s="24" t="str">
        <f aca="true">IF(OR(E742="",E742="!!!",F742="NEW"),"",COUNTBLANK(OFFSET(A$1,,,SUMPRODUCT(MAX(ROW(E$2:E742)*(E742=E$2:E742)))))-COUNTBLANK(OFFSET(A$1,,,SUMPRODUCT(MAX(ROW(E$1:E741)*(E2=E$1:E741))))))</f>
        <v/>
      </c>
      <c r="K742" s="24" t="str">
        <f aca="false">IF(OR(E742="",E742="!!!",F742="NEW"),"",INDEX(J$1:J741,SUMPRODUCT(MAX(ROW(E$1:E741)*(E742=E$1:E741)))))</f>
        <v/>
      </c>
      <c r="L742" s="25"/>
    </row>
    <row r="743" customFormat="false" ht="14.25" hidden="false" customHeight="false" outlineLevel="0" collapsed="false">
      <c r="A743" s="0" t="s">
        <v>604</v>
      </c>
      <c r="E743" s="20" t="str">
        <f aca="false">IF(D743="?OLD","!!!","")</f>
        <v/>
      </c>
      <c r="F743" s="21" t="str">
        <f aca="false">IF(OR(E743="",E743="!!!"),"",IF(NOT(ISNA(VLOOKUP(E743,E$1:E742,1,FALSE()))),"OLD",IF(AND(E743&lt;&gt;"",E743&lt;&gt;"!!!"),"NEW","")))</f>
        <v/>
      </c>
      <c r="G743" s="22" t="str">
        <f aca="false"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aca="false">IF(J743&lt;&gt;1,"",IF(I743="SBJ","CB","?"))</f>
        <v/>
      </c>
      <c r="I743" s="24" t="str">
        <f aca="false">IF(OR(E743="",E743="!!!",F743="NEW"),"",INDEX(B$2:B742,-1+SUMPRODUCT(MAX(ROW(E$2:E742)*(E743=E$2:E742)))))</f>
        <v/>
      </c>
      <c r="J743" s="24" t="str">
        <f aca="true">IF(OR(E743="",E743="!!!",F743="NEW"),"",COUNTBLANK(OFFSET(A$1,,,SUMPRODUCT(MAX(ROW(E$2:E743)*(E743=E$2:E743)))))-COUNTBLANK(OFFSET(A$1,,,SUMPRODUCT(MAX(ROW(E$1:E742)*(E2=E$1:E742))))))</f>
        <v/>
      </c>
      <c r="K743" s="24" t="str">
        <f aca="false">IF(OR(E743="",E743="!!!",F743="NEW"),"",INDEX(J$1:J742,SUMPRODUCT(MAX(ROW(E$1:E742)*(E743=E$1:E742)))))</f>
        <v/>
      </c>
      <c r="L743" s="25"/>
    </row>
    <row r="744" customFormat="false" ht="14.25" hidden="false" customHeight="false" outlineLevel="0" collapsed="false">
      <c r="A744" s="0" t="s">
        <v>254</v>
      </c>
      <c r="B744" s="26" t="s">
        <v>73</v>
      </c>
      <c r="C744" s="26" t="s">
        <v>209</v>
      </c>
      <c r="D744" s="26" t="s">
        <v>75</v>
      </c>
      <c r="E744" s="20" t="s">
        <v>580</v>
      </c>
      <c r="F744" s="21" t="str">
        <f aca="false">IF(OR(E744="",E744="!!!"),"",IF(NOT(ISNA(VLOOKUP(E744,E$1:E743,1,FALSE()))),"OLD",IF(AND(E744&lt;&gt;"",E744&lt;&gt;"!!!"),"NEW","")))</f>
        <v>OLD</v>
      </c>
      <c r="G744" s="22" t="str">
        <f aca="false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?IN_FOCUS</v>
      </c>
      <c r="H744" s="23" t="str">
        <f aca="false">IF(J744&lt;&gt;1,"",IF(I744="SBJ","CB","?"))</f>
        <v/>
      </c>
      <c r="I744" s="24" t="n">
        <f aca="false">IF(OR(E744="",E744="!!!",F744="NEW"),"",INDEX(B$2:B743,-1+SUMPRODUCT(MAX(ROW(E$2:E743)*(E744=E$2:E743)))))</f>
        <v>0</v>
      </c>
      <c r="J744" s="24" t="n">
        <f aca="true">IF(OR(E744="",E744="!!!",F744="NEW"),"",COUNTBLANK(OFFSET(A$1,,,SUMPRODUCT(MAX(ROW(E$2:E744)*(E744=E$2:E744)))))-COUNTBLANK(OFFSET(A$1,,,SUMPRODUCT(MAX(ROW(E$1:E743)*(E2=E$1:E743))))))</f>
        <v>0</v>
      </c>
      <c r="K744" s="24" t="n">
        <f aca="false">IF(OR(E744="",E744="!!!",F744="NEW"),"",INDEX(J$1:J743,SUMPRODUCT(MAX(ROW(E$1:E743)*(E744=E$1:E743)))))</f>
        <v>0</v>
      </c>
      <c r="L744" s="25"/>
    </row>
    <row r="745" customFormat="false" ht="14.25" hidden="false" customHeight="false" outlineLevel="0" collapsed="false">
      <c r="A745" s="0" t="s">
        <v>160</v>
      </c>
      <c r="E745" s="20" t="s">
        <v>595</v>
      </c>
      <c r="F745" s="21" t="str">
        <f aca="false">IF(OR(E745="",E745="!!!"),"",IF(NOT(ISNA(VLOOKUP(E745,E$1:E744,1,FALSE()))),"OLD",IF(AND(E745&lt;&gt;"",E745&lt;&gt;"!!!"),"NEW","")))</f>
        <v>OLD</v>
      </c>
      <c r="G745" s="22" t="str">
        <f aca="false"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?IN_FOCUS</v>
      </c>
      <c r="H745" s="23" t="str">
        <f aca="false">IF(J745&lt;&gt;1,"",IF(I745="SBJ","CB","?"))</f>
        <v/>
      </c>
      <c r="I745" s="24" t="str">
        <f aca="false">IF(OR(E745="",E745="!!!",F745="NEW"),"",INDEX(B$2:B744,-1+SUMPRODUCT(MAX(ROW(E$2:E744)*(E745=E$2:E744)))))</f>
        <v>SBJ_3</v>
      </c>
      <c r="J745" s="28" t="n">
        <f aca="true">IF(OR(E745="",E745="!!!",F745="NEW"),"",COUNTBLANK(OFFSET(A$1,,,SUMPRODUCT(MAX(ROW(E$2:E745)*(E745=E$2:E745)))))-COUNTBLANK(OFFSET(A$1,,,SUMPRODUCT(MAX(ROW(E$1:E744)*(E2=E$1:E744))))))</f>
        <v>0</v>
      </c>
      <c r="K745" s="28" t="n">
        <f aca="false">IF(OR(E745="",E745="!!!",F745="NEW"),"",INDEX(J$1:J744,SUMPRODUCT(MAX(ROW(E$1:E744)*(E745=E$1:E744)))))</f>
        <v>0</v>
      </c>
      <c r="L745" s="27" t="s">
        <v>605</v>
      </c>
    </row>
    <row r="746" customFormat="false" ht="14.25" hidden="false" customHeight="false" outlineLevel="0" collapsed="false">
      <c r="A746" s="0" t="s">
        <v>606</v>
      </c>
      <c r="E746" s="20" t="str">
        <f aca="false">IF(D746="?OLD","!!!","")</f>
        <v/>
      </c>
      <c r="F746" s="21" t="str">
        <f aca="false">IF(OR(E746="",E746="!!!"),"",IF(NOT(ISNA(VLOOKUP(E746,E$1:E745,1,FALSE()))),"OLD",IF(AND(E746&lt;&gt;"",E746&lt;&gt;"!!!"),"NEW","")))</f>
        <v/>
      </c>
      <c r="G746" s="22" t="str">
        <f aca="false"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aca="false">IF(J746&lt;&gt;1,"",IF(I746="SBJ","CB","?"))</f>
        <v/>
      </c>
      <c r="I746" s="24" t="str">
        <f aca="false">IF(OR(E746="",E746="!!!",F746="NEW"),"",INDEX(B$2:B745,-1+SUMPRODUCT(MAX(ROW(E$2:E745)*(E746=E$2:E745)))))</f>
        <v/>
      </c>
      <c r="J746" s="24" t="str">
        <f aca="true">IF(OR(E746="",E746="!!!",F746="NEW"),"",COUNTBLANK(OFFSET(A$1,,,SUMPRODUCT(MAX(ROW(E$2:E746)*(E746=E$2:E746)))))-COUNTBLANK(OFFSET(A$1,,,SUMPRODUCT(MAX(ROW(E$1:E745)*(E2=E$1:E745))))))</f>
        <v/>
      </c>
      <c r="K746" s="24" t="str">
        <f aca="false">IF(OR(E746="",E746="!!!",F746="NEW"),"",INDEX(J$1:J745,SUMPRODUCT(MAX(ROW(E$1:E745)*(E746=E$1:E745)))))</f>
        <v/>
      </c>
      <c r="L746" s="25"/>
    </row>
    <row r="747" customFormat="false" ht="14.25" hidden="false" customHeight="false" outlineLevel="0" collapsed="false">
      <c r="A747" s="0" t="s">
        <v>455</v>
      </c>
      <c r="E747" s="20" t="str">
        <f aca="false">IF(D747="?OLD","!!!","")</f>
        <v/>
      </c>
      <c r="F747" s="21" t="str">
        <f aca="false">IF(OR(E747="",E747="!!!"),"",IF(NOT(ISNA(VLOOKUP(E747,E$1:E746,1,FALSE()))),"OLD",IF(AND(E747&lt;&gt;"",E747&lt;&gt;"!!!"),"NEW","")))</f>
        <v/>
      </c>
      <c r="G747" s="22" t="str">
        <f aca="false"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aca="false">IF(J747&lt;&gt;1,"",IF(I747="SBJ","CB","?"))</f>
        <v/>
      </c>
      <c r="I747" s="24" t="str">
        <f aca="false">IF(OR(E747="",E747="!!!",F747="NEW"),"",INDEX(B$2:B746,-1+SUMPRODUCT(MAX(ROW(E$2:E746)*(E747=E$2:E746)))))</f>
        <v/>
      </c>
      <c r="J747" s="24" t="str">
        <f aca="true">IF(OR(E747="",E747="!!!",F747="NEW"),"",COUNTBLANK(OFFSET(A$1,,,SUMPRODUCT(MAX(ROW(E$2:E747)*(E747=E$2:E747)))))-COUNTBLANK(OFFSET(A$1,,,SUMPRODUCT(MAX(ROW(E$1:E746)*(E2=E$1:E746))))))</f>
        <v/>
      </c>
      <c r="K747" s="24" t="str">
        <f aca="false">IF(OR(E747="",E747="!!!",F747="NEW"),"",INDEX(J$1:J746,SUMPRODUCT(MAX(ROW(E$1:E746)*(E747=E$1:E746)))))</f>
        <v/>
      </c>
      <c r="L747" s="25"/>
    </row>
    <row r="748" customFormat="false" ht="14.25" hidden="false" customHeight="false" outlineLevel="0" collapsed="false">
      <c r="A748" s="0" t="s">
        <v>71</v>
      </c>
      <c r="E748" s="20" t="str">
        <f aca="false">IF(D748="?OLD","!!!","")</f>
        <v/>
      </c>
      <c r="F748" s="21" t="str">
        <f aca="false">IF(OR(E748="",E748="!!!"),"",IF(NOT(ISNA(VLOOKUP(E748,E$1:E747,1,FALSE()))),"OLD",IF(AND(E748&lt;&gt;"",E748&lt;&gt;"!!!"),"NEW","")))</f>
        <v/>
      </c>
      <c r="G748" s="22" t="str">
        <f aca="false"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aca="false">IF(J748&lt;&gt;1,"",IF(I748="SBJ","CB","?"))</f>
        <v/>
      </c>
      <c r="I748" s="24" t="str">
        <f aca="false">IF(OR(E748="",E748="!!!",F748="NEW"),"",INDEX(B$2:B747,-1+SUMPRODUCT(MAX(ROW(E$2:E747)*(E748=E$2:E747)))))</f>
        <v/>
      </c>
      <c r="J748" s="24" t="str">
        <f aca="true">IF(OR(E748="",E748="!!!",F748="NEW"),"",COUNTBLANK(OFFSET(A$1,,,SUMPRODUCT(MAX(ROW(E$2:E748)*(E748=E$2:E748)))))-COUNTBLANK(OFFSET(A$1,,,SUMPRODUCT(MAX(ROW(E$1:E747)*(E2=E$1:E747))))))</f>
        <v/>
      </c>
      <c r="K748" s="24" t="str">
        <f aca="false">IF(OR(E748="",E748="!!!",F748="NEW"),"",INDEX(J$1:J747,SUMPRODUCT(MAX(ROW(E$1:E747)*(E748=E$1:E747)))))</f>
        <v/>
      </c>
      <c r="L748" s="25"/>
    </row>
    <row r="749" customFormat="false" ht="14.25" hidden="false" customHeight="false" outlineLevel="0" collapsed="false">
      <c r="A749" s="0" t="s">
        <v>592</v>
      </c>
      <c r="B749" s="26" t="s">
        <v>96</v>
      </c>
      <c r="C749" s="26" t="s">
        <v>283</v>
      </c>
      <c r="D749" s="26" t="s">
        <v>75</v>
      </c>
      <c r="E749" s="20"/>
      <c r="F749" s="21" t="str">
        <f aca="false">IF(OR(E749="",E749="!!!"),"",IF(NOT(ISNA(VLOOKUP(E749,E$1:E748,1,FALSE()))),"OLD",IF(AND(E749&lt;&gt;"",E749&lt;&gt;"!!!"),"NEW","")))</f>
        <v/>
      </c>
      <c r="G749" s="22" t="str">
        <f aca="false"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aca="false">IF(J749&lt;&gt;1,"",IF(I749="SBJ","CB","?"))</f>
        <v/>
      </c>
      <c r="I749" s="24" t="str">
        <f aca="false">IF(OR(E749="",E749="!!!",F749="NEW"),"",INDEX(B$2:B748,-1+SUMPRODUCT(MAX(ROW(E$2:E748)*(E749=E$2:E748)))))</f>
        <v/>
      </c>
      <c r="J749" s="24" t="str">
        <f aca="true">IF(OR(E749="",E749="!!!",F749="NEW"),"",COUNTBLANK(OFFSET(A$1,,,SUMPRODUCT(MAX(ROW(E$2:E749)*(E749=E$2:E749)))))-COUNTBLANK(OFFSET(A$1,,,SUMPRODUCT(MAX(ROW(E$1:E748)*(E2=E$1:E748))))))</f>
        <v/>
      </c>
      <c r="K749" s="24" t="str">
        <f aca="false">IF(OR(E749="",E749="!!!",F749="NEW"),"",INDEX(J$1:J748,SUMPRODUCT(MAX(ROW(E$1:E748)*(E749=E$1:E748)))))</f>
        <v/>
      </c>
      <c r="L749" s="27" t="s">
        <v>541</v>
      </c>
    </row>
    <row r="750" customFormat="false" ht="14.25" hidden="false" customHeight="false" outlineLevel="0" collapsed="false">
      <c r="A750" s="0" t="s">
        <v>16</v>
      </c>
      <c r="E750" s="20" t="str">
        <f aca="false">IF(D750="?OLD","!!!","")</f>
        <v/>
      </c>
      <c r="F750" s="21" t="str">
        <f aca="false">IF(OR(E750="",E750="!!!"),"",IF(NOT(ISNA(VLOOKUP(E750,E$1:E749,1,FALSE()))),"OLD",IF(AND(E750&lt;&gt;"",E750&lt;&gt;"!!!"),"NEW","")))</f>
        <v/>
      </c>
      <c r="G750" s="22" t="str">
        <f aca="false"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aca="false">IF(J750&lt;&gt;1,"",IF(I750="SBJ","CB","?"))</f>
        <v/>
      </c>
      <c r="I750" s="24" t="str">
        <f aca="false">IF(OR(E750="",E750="!!!",F750="NEW"),"",INDEX(B$2:B749,-1+SUMPRODUCT(MAX(ROW(E$2:E749)*(E750=E$2:E749)))))</f>
        <v/>
      </c>
      <c r="J750" s="24" t="str">
        <f aca="true">IF(OR(E750="",E750="!!!",F750="NEW"),"",COUNTBLANK(OFFSET(A$1,,,SUMPRODUCT(MAX(ROW(E$2:E750)*(E750=E$2:E750)))))-COUNTBLANK(OFFSET(A$1,,,SUMPRODUCT(MAX(ROW(E$1:E749)*(E2=E$1:E749))))))</f>
        <v/>
      </c>
      <c r="K750" s="24" t="str">
        <f aca="false">IF(OR(E750="",E750="!!!",F750="NEW"),"",INDEX(J$1:J749,SUMPRODUCT(MAX(ROW(E$1:E749)*(E750=E$1:E749)))))</f>
        <v/>
      </c>
      <c r="L750" s="25"/>
    </row>
    <row r="751" customFormat="false" ht="14.25" hidden="false" customHeight="false" outlineLevel="0" collapsed="false">
      <c r="A751" s="0" t="s">
        <v>607</v>
      </c>
      <c r="E751" s="20" t="s">
        <v>608</v>
      </c>
      <c r="F751" s="21" t="str">
        <f aca="false">IF(OR(E751="",E751="!!!"),"",IF(NOT(ISNA(VLOOKUP(E751,E$1:E750,1,FALSE()))),"OLD",IF(AND(E751&lt;&gt;"",E751&lt;&gt;"!!!"),"NEW","")))</f>
        <v>NEW</v>
      </c>
      <c r="G751" s="22" t="str">
        <f aca="false"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?REFERENTIAL</v>
      </c>
      <c r="H751" s="23" t="str">
        <f aca="false">IF(J751&lt;&gt;1,"",IF(I751="SBJ","CB","?"))</f>
        <v/>
      </c>
      <c r="I751" s="24" t="str">
        <f aca="false">IF(OR(E751="",E751="!!!",F751="NEW"),"",INDEX(B$2:B750,-1+SUMPRODUCT(MAX(ROW(E$2:E750)*(E751=E$2:E750)))))</f>
        <v/>
      </c>
      <c r="J751" s="24" t="str">
        <f aca="true">IF(OR(E751="",E751="!!!",F751="NEW"),"",COUNTBLANK(OFFSET(A$1,,,SUMPRODUCT(MAX(ROW(E$2:E751)*(E751=E$2:E751)))))-COUNTBLANK(OFFSET(A$1,,,SUMPRODUCT(MAX(ROW(E$1:E750)*(E2=E$1:E750))))))</f>
        <v/>
      </c>
      <c r="K751" s="24" t="str">
        <f aca="false">IF(OR(E751="",E751="!!!",F751="NEW"),"",INDEX(J$1:J750,SUMPRODUCT(MAX(ROW(E$1:E750)*(E751=E$1:E750)))))</f>
        <v/>
      </c>
      <c r="L751" s="25"/>
    </row>
    <row r="752" customFormat="false" ht="14.25" hidden="false" customHeight="false" outlineLevel="0" collapsed="false">
      <c r="A752" s="0" t="s">
        <v>609</v>
      </c>
      <c r="E752" s="20" t="str">
        <f aca="false">IF(D752="?OLD","!!!","")</f>
        <v/>
      </c>
      <c r="F752" s="21" t="str">
        <f aca="false">IF(OR(E752="",E752="!!!"),"",IF(NOT(ISNA(VLOOKUP(E752,E$1:E751,1,FALSE()))),"OLD",IF(AND(E752&lt;&gt;"",E752&lt;&gt;"!!!"),"NEW","")))</f>
        <v/>
      </c>
      <c r="G752" s="22" t="str">
        <f aca="false"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aca="false">IF(J752&lt;&gt;1,"",IF(I752="SBJ","CB","?"))</f>
        <v/>
      </c>
      <c r="I752" s="24" t="str">
        <f aca="false">IF(OR(E752="",E752="!!!",F752="NEW"),"",INDEX(B$2:B751,-1+SUMPRODUCT(MAX(ROW(E$2:E751)*(E752=E$2:E751)))))</f>
        <v/>
      </c>
      <c r="J752" s="24" t="str">
        <f aca="true">IF(OR(E752="",E752="!!!",F752="NEW"),"",COUNTBLANK(OFFSET(A$1,,,SUMPRODUCT(MAX(ROW(E$2:E752)*(E752=E$2:E752)))))-COUNTBLANK(OFFSET(A$1,,,SUMPRODUCT(MAX(ROW(E$1:E751)*(E2=E$1:E751))))))</f>
        <v/>
      </c>
      <c r="K752" s="24" t="str">
        <f aca="false">IF(OR(E752="",E752="!!!",F752="NEW"),"",INDEX(J$1:J751,SUMPRODUCT(MAX(ROW(E$1:E751)*(E752=E$1:E751)))))</f>
        <v/>
      </c>
      <c r="L752" s="25"/>
    </row>
    <row r="753" customFormat="false" ht="14.25" hidden="false" customHeight="false" outlineLevel="0" collapsed="false">
      <c r="A753" s="0" t="s">
        <v>610</v>
      </c>
      <c r="E753" s="20" t="str">
        <f aca="false">IF(D753="?OLD","!!!","")</f>
        <v/>
      </c>
      <c r="F753" s="21" t="str">
        <f aca="false">IF(OR(E753="",E753="!!!"),"",IF(NOT(ISNA(VLOOKUP(E753,E$1:E752,1,FALSE()))),"OLD",IF(AND(E753&lt;&gt;"",E753&lt;&gt;"!!!"),"NEW","")))</f>
        <v/>
      </c>
      <c r="G753" s="22" t="str">
        <f aca="false"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aca="false">IF(J753&lt;&gt;1,"",IF(I753="SBJ","CB","?"))</f>
        <v/>
      </c>
      <c r="I753" s="24" t="str">
        <f aca="false">IF(OR(E753="",E753="!!!",F753="NEW"),"",INDEX(B$2:B752,-1+SUMPRODUCT(MAX(ROW(E$2:E752)*(E753=E$2:E752)))))</f>
        <v/>
      </c>
      <c r="J753" s="24" t="str">
        <f aca="true">IF(OR(E753="",E753="!!!",F753="NEW"),"",COUNTBLANK(OFFSET(A$1,,,SUMPRODUCT(MAX(ROW(E$2:E753)*(E753=E$2:E753)))))-COUNTBLANK(OFFSET(A$1,,,SUMPRODUCT(MAX(ROW(E$1:E752)*(E2=E$1:E752))))))</f>
        <v/>
      </c>
      <c r="K753" s="24" t="str">
        <f aca="false">IF(OR(E753="",E753="!!!",F753="NEW"),"",INDEX(J$1:J752,SUMPRODUCT(MAX(ROW(E$1:E752)*(E753=E$1:E752)))))</f>
        <v/>
      </c>
      <c r="L753" s="25"/>
    </row>
    <row r="754" customFormat="false" ht="14.25" hidden="false" customHeight="false" outlineLevel="0" collapsed="false">
      <c r="A754" s="0" t="s">
        <v>101</v>
      </c>
      <c r="E754" s="20" t="str">
        <f aca="false">IF(D754="?OLD","!!!","")</f>
        <v/>
      </c>
      <c r="F754" s="21" t="str">
        <f aca="false">IF(OR(E754="",E754="!!!"),"",IF(NOT(ISNA(VLOOKUP(E754,E$1:E753,1,FALSE()))),"OLD",IF(AND(E754&lt;&gt;"",E754&lt;&gt;"!!!"),"NEW","")))</f>
        <v/>
      </c>
      <c r="G754" s="22" t="str">
        <f aca="false"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aca="false">IF(J754&lt;&gt;1,"",IF(I754="SBJ","CB","?"))</f>
        <v/>
      </c>
      <c r="I754" s="24" t="str">
        <f aca="false">IF(OR(E754="",E754="!!!",F754="NEW"),"",INDEX(B$2:B753,-1+SUMPRODUCT(MAX(ROW(E$2:E753)*(E754=E$2:E753)))))</f>
        <v/>
      </c>
      <c r="J754" s="24" t="str">
        <f aca="true">IF(OR(E754="",E754="!!!",F754="NEW"),"",COUNTBLANK(OFFSET(A$1,,,SUMPRODUCT(MAX(ROW(E$2:E754)*(E754=E$2:E754)))))-COUNTBLANK(OFFSET(A$1,,,SUMPRODUCT(MAX(ROW(E$1:E753)*(E2=E$1:E753))))))</f>
        <v/>
      </c>
      <c r="K754" s="24" t="str">
        <f aca="false">IF(OR(E754="",E754="!!!",F754="NEW"),"",INDEX(J$1:J753,SUMPRODUCT(MAX(ROW(E$1:E753)*(E754=E$1:E753)))))</f>
        <v/>
      </c>
      <c r="L754" s="25"/>
    </row>
    <row r="755" customFormat="false" ht="14.25" hidden="false" customHeight="false" outlineLevel="0" collapsed="false">
      <c r="A755" s="0" t="s">
        <v>271</v>
      </c>
      <c r="E755" s="20" t="str">
        <f aca="false">IF(D755="?OLD","!!!","")</f>
        <v/>
      </c>
      <c r="F755" s="21" t="str">
        <f aca="false">IF(OR(E755="",E755="!!!"),"",IF(NOT(ISNA(VLOOKUP(E755,E$1:E754,1,FALSE()))),"OLD",IF(AND(E755&lt;&gt;"",E755&lt;&gt;"!!!"),"NEW","")))</f>
        <v/>
      </c>
      <c r="G755" s="22" t="str">
        <f aca="false"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aca="false">IF(J755&lt;&gt;1,"",IF(I755="SBJ","CB","?"))</f>
        <v/>
      </c>
      <c r="I755" s="24" t="str">
        <f aca="false">IF(OR(E755="",E755="!!!",F755="NEW"),"",INDEX(B$2:B754,-1+SUMPRODUCT(MAX(ROW(E$2:E754)*(E755=E$2:E754)))))</f>
        <v/>
      </c>
      <c r="J755" s="24" t="str">
        <f aca="true">IF(OR(E755="",E755="!!!",F755="NEW"),"",COUNTBLANK(OFFSET(A$1,,,SUMPRODUCT(MAX(ROW(E$2:E755)*(E755=E$2:E755)))))-COUNTBLANK(OFFSET(A$1,,,SUMPRODUCT(MAX(ROW(E$1:E754)*(E2=E$1:E754))))))</f>
        <v/>
      </c>
      <c r="K755" s="24" t="str">
        <f aca="false">IF(OR(E755="",E755="!!!",F755="NEW"),"",INDEX(J$1:J754,SUMPRODUCT(MAX(ROW(E$1:E754)*(E755=E$1:E754)))))</f>
        <v/>
      </c>
      <c r="L755" s="25"/>
    </row>
    <row r="756" customFormat="false" ht="14.25" hidden="false" customHeight="false" outlineLevel="0" collapsed="false">
      <c r="A756" s="0" t="s">
        <v>123</v>
      </c>
      <c r="E756" s="20" t="str">
        <f aca="false">IF(D756="?OLD","!!!","")</f>
        <v/>
      </c>
      <c r="F756" s="21" t="s">
        <v>124</v>
      </c>
      <c r="G756" s="22" t="str">
        <f aca="false"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aca="false">IF(J756&lt;&gt;1,"",IF(I756="SBJ","CB","?"))</f>
        <v/>
      </c>
      <c r="I756" s="24" t="str">
        <f aca="false">IF(OR(E756="",E756="!!!",F756="NEW"),"",INDEX(B$2:B755,-1+SUMPRODUCT(MAX(ROW(E$2:E755)*(E756=E$2:E755)))))</f>
        <v/>
      </c>
      <c r="J756" s="24" t="str">
        <f aca="true">IF(OR(E756="",E756="!!!",F756="NEW"),"",COUNTBLANK(OFFSET(A$1,,,SUMPRODUCT(MAX(ROW(E$2:E756)*(E756=E$2:E756)))))-COUNTBLANK(OFFSET(A$1,,,SUMPRODUCT(MAX(ROW(E$1:E755)*(E2=E$1:E755))))))</f>
        <v/>
      </c>
      <c r="K756" s="24" t="str">
        <f aca="false">IF(OR(E756="",E756="!!!",F756="NEW"),"",INDEX(J$1:J755,SUMPRODUCT(MAX(ROW(E$1:E755)*(E756=E$1:E755)))))</f>
        <v/>
      </c>
      <c r="L756" s="25"/>
    </row>
    <row r="757" customFormat="false" ht="14.25" hidden="false" customHeight="false" outlineLevel="0" collapsed="false">
      <c r="A757" s="0" t="s">
        <v>230</v>
      </c>
      <c r="E757" s="20" t="str">
        <f aca="false">IF(D757="?OLD","!!!","")</f>
        <v/>
      </c>
      <c r="F757" s="21" t="str">
        <f aca="false">IF(OR(E757="",E757="!!!"),"",IF(NOT(ISNA(VLOOKUP(E757,E$1:E756,1,FALSE()))),"OLD",IF(AND(E757&lt;&gt;"",E757&lt;&gt;"!!!"),"NEW","")))</f>
        <v/>
      </c>
      <c r="G757" s="22" t="str">
        <f aca="false"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aca="false">IF(J757&lt;&gt;1,"",IF(I757="SBJ","CB","?"))</f>
        <v/>
      </c>
      <c r="I757" s="24" t="str">
        <f aca="false">IF(OR(E757="",E757="!!!",F757="NEW"),"",INDEX(B$2:B756,-1+SUMPRODUCT(MAX(ROW(E$2:E756)*(E757=E$2:E756)))))</f>
        <v/>
      </c>
      <c r="J757" s="24" t="str">
        <f aca="true">IF(OR(E757="",E757="!!!",F757="NEW"),"",COUNTBLANK(OFFSET(A$1,,,SUMPRODUCT(MAX(ROW(E$2:E757)*(E757=E$2:E757)))))-COUNTBLANK(OFFSET(A$1,,,SUMPRODUCT(MAX(ROW(E$1:E756)*(E2=E$1:E756))))))</f>
        <v/>
      </c>
      <c r="K757" s="24" t="str">
        <f aca="false">IF(OR(E757="",E757="!!!",F757="NEW"),"",INDEX(J$1:J756,SUMPRODUCT(MAX(ROW(E$1:E756)*(E757=E$1:E756)))))</f>
        <v/>
      </c>
      <c r="L757" s="25"/>
    </row>
    <row r="758" customFormat="false" ht="14.25" hidden="false" customHeight="false" outlineLevel="0" collapsed="false">
      <c r="A758" s="0" t="s">
        <v>611</v>
      </c>
      <c r="E758" s="20" t="str">
        <f aca="false">IF(D758="?OLD","!!!","")</f>
        <v/>
      </c>
      <c r="F758" s="21" t="str">
        <f aca="false">IF(OR(E758="",E758="!!!"),"",IF(NOT(ISNA(VLOOKUP(E758,E$1:E757,1,FALSE()))),"OLD",IF(AND(E758&lt;&gt;"",E758&lt;&gt;"!!!"),"NEW","")))</f>
        <v/>
      </c>
      <c r="G758" s="22" t="str">
        <f aca="false"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aca="false">IF(J758&lt;&gt;1,"",IF(I758="SBJ","CB","?"))</f>
        <v/>
      </c>
      <c r="I758" s="24" t="str">
        <f aca="false">IF(OR(E758="",E758="!!!",F758="NEW"),"",INDEX(B$2:B757,-1+SUMPRODUCT(MAX(ROW(E$2:E757)*(E758=E$2:E757)))))</f>
        <v/>
      </c>
      <c r="J758" s="24" t="str">
        <f aca="true">IF(OR(E758="",E758="!!!",F758="NEW"),"",COUNTBLANK(OFFSET(A$1,,,SUMPRODUCT(MAX(ROW(E$2:E758)*(E758=E$2:E758)))))-COUNTBLANK(OFFSET(A$1,,,SUMPRODUCT(MAX(ROW(E$1:E757)*(E2=E$1:E757))))))</f>
        <v/>
      </c>
      <c r="K758" s="24" t="str">
        <f aca="false">IF(OR(E758="",E758="!!!",F758="NEW"),"",INDEX(J$1:J757,SUMPRODUCT(MAX(ROW(E$1:E757)*(E758=E$1:E757)))))</f>
        <v/>
      </c>
      <c r="L758" s="25"/>
    </row>
    <row r="759" customFormat="false" ht="14.25" hidden="false" customHeight="false" outlineLevel="0" collapsed="false">
      <c r="A759" s="0" t="s">
        <v>479</v>
      </c>
      <c r="B759" s="26" t="s">
        <v>258</v>
      </c>
      <c r="C759" s="26" t="s">
        <v>105</v>
      </c>
      <c r="E759" s="20" t="str">
        <f aca="false">IF(D759="?OLD","!!!","")</f>
        <v/>
      </c>
      <c r="F759" s="21" t="str">
        <f aca="false">IF(OR(E759="",E759="!!!"),"",IF(NOT(ISNA(VLOOKUP(E759,E$1:E758,1,FALSE()))),"OLD",IF(AND(E759&lt;&gt;"",E759&lt;&gt;"!!!"),"NEW","")))</f>
        <v/>
      </c>
      <c r="G759" s="22" t="str">
        <f aca="false"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aca="false">IF(J759&lt;&gt;1,"",IF(I759="SBJ","CB","?"))</f>
        <v/>
      </c>
      <c r="I759" s="24" t="str">
        <f aca="false">IF(OR(E759="",E759="!!!",F759="NEW"),"",INDEX(B$2:B758,-1+SUMPRODUCT(MAX(ROW(E$2:E758)*(E759=E$2:E758)))))</f>
        <v/>
      </c>
      <c r="J759" s="24" t="str">
        <f aca="true">IF(OR(E759="",E759="!!!",F759="NEW"),"",COUNTBLANK(OFFSET(A$1,,,SUMPRODUCT(MAX(ROW(E$2:E759)*(E759=E$2:E759)))))-COUNTBLANK(OFFSET(A$1,,,SUMPRODUCT(MAX(ROW(E$1:E758)*(E2=E$1:E758))))))</f>
        <v/>
      </c>
      <c r="K759" s="24" t="str">
        <f aca="false">IF(OR(E759="",E759="!!!",F759="NEW"),"",INDEX(J$1:J758,SUMPRODUCT(MAX(ROW(E$1:E758)*(E759=E$1:E758)))))</f>
        <v/>
      </c>
      <c r="L759" s="25"/>
    </row>
    <row r="760" customFormat="false" ht="14.25" hidden="false" customHeight="false" outlineLevel="0" collapsed="false">
      <c r="A760" s="0" t="s">
        <v>183</v>
      </c>
      <c r="E760" s="20" t="str">
        <f aca="false">IF(D760="?OLD","!!!","")</f>
        <v/>
      </c>
      <c r="F760" s="21" t="str">
        <f aca="false">IF(OR(E760="",E760="!!!"),"",IF(NOT(ISNA(VLOOKUP(E760,E$1:E759,1,FALSE()))),"OLD",IF(AND(E760&lt;&gt;"",E760&lt;&gt;"!!!"),"NEW","")))</f>
        <v/>
      </c>
      <c r="G760" s="22" t="str">
        <f aca="false"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aca="false">IF(J760&lt;&gt;1,"",IF(I760="SBJ","CB","?"))</f>
        <v/>
      </c>
      <c r="I760" s="24" t="str">
        <f aca="false">IF(OR(E760="",E760="!!!",F760="NEW"),"",INDEX(B$2:B759,-1+SUMPRODUCT(MAX(ROW(E$2:E759)*(E760=E$2:E759)))))</f>
        <v/>
      </c>
      <c r="J760" s="24" t="str">
        <f aca="true">IF(OR(E760="",E760="!!!",F760="NEW"),"",COUNTBLANK(OFFSET(A$1,,,SUMPRODUCT(MAX(ROW(E$2:E760)*(E760=E$2:E760)))))-COUNTBLANK(OFFSET(A$1,,,SUMPRODUCT(MAX(ROW(E$1:E759)*(E2=E$1:E759))))))</f>
        <v/>
      </c>
      <c r="K760" s="24" t="str">
        <f aca="false">IF(OR(E760="",E760="!!!",F760="NEW"),"",INDEX(J$1:J759,SUMPRODUCT(MAX(ROW(E$1:E759)*(E760=E$1:E759)))))</f>
        <v/>
      </c>
      <c r="L760" s="25"/>
    </row>
    <row r="761" customFormat="false" ht="14.25" hidden="false" customHeight="false" outlineLevel="0" collapsed="false">
      <c r="A761" s="0" t="s">
        <v>612</v>
      </c>
      <c r="B761" s="26" t="s">
        <v>307</v>
      </c>
      <c r="C761" s="26" t="s">
        <v>105</v>
      </c>
      <c r="E761" s="20" t="str">
        <f aca="false">IF(D761="?OLD","!!!","")</f>
        <v/>
      </c>
      <c r="F761" s="21" t="str">
        <f aca="false">IF(OR(E761="",E761="!!!"),"",IF(NOT(ISNA(VLOOKUP(E761,E$1:E760,1,FALSE()))),"OLD",IF(AND(E761&lt;&gt;"",E761&lt;&gt;"!!!"),"NEW","")))</f>
        <v/>
      </c>
      <c r="G761" s="22" t="str">
        <f aca="false"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aca="false">IF(J761&lt;&gt;1,"",IF(I761="SBJ","CB","?"))</f>
        <v/>
      </c>
      <c r="I761" s="24" t="str">
        <f aca="false">IF(OR(E761="",E761="!!!",F761="NEW"),"",INDEX(B$2:B760,-1+SUMPRODUCT(MAX(ROW(E$2:E760)*(E761=E$2:E760)))))</f>
        <v/>
      </c>
      <c r="J761" s="24" t="str">
        <f aca="true">IF(OR(E761="",E761="!!!",F761="NEW"),"",COUNTBLANK(OFFSET(A$1,,,SUMPRODUCT(MAX(ROW(E$2:E761)*(E761=E$2:E761)))))-COUNTBLANK(OFFSET(A$1,,,SUMPRODUCT(MAX(ROW(E$1:E760)*(E2=E$1:E760))))))</f>
        <v/>
      </c>
      <c r="K761" s="24" t="str">
        <f aca="false">IF(OR(E761="",E761="!!!",F761="NEW"),"",INDEX(J$1:J760,SUMPRODUCT(MAX(ROW(E$1:E760)*(E761=E$1:E760)))))</f>
        <v/>
      </c>
      <c r="L761" s="25"/>
    </row>
    <row r="762" customFormat="false" ht="14.25" hidden="false" customHeight="false" outlineLevel="0" collapsed="false">
      <c r="A762" s="0" t="s">
        <v>200</v>
      </c>
      <c r="E762" s="20" t="str">
        <f aca="false">IF(D762="?OLD","!!!","")</f>
        <v/>
      </c>
      <c r="F762" s="21" t="str">
        <f aca="false">IF(OR(E762="",E762="!!!"),"",IF(NOT(ISNA(VLOOKUP(E762,E$1:E761,1,FALSE()))),"OLD",IF(AND(E762&lt;&gt;"",E762&lt;&gt;"!!!"),"NEW","")))</f>
        <v/>
      </c>
      <c r="G762" s="22" t="str">
        <f aca="false"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aca="false">IF(J762&lt;&gt;1,"",IF(I762="SBJ","CB","?"))</f>
        <v/>
      </c>
      <c r="I762" s="24" t="str">
        <f aca="false">IF(OR(E762="",E762="!!!",F762="NEW"),"",INDEX(B$2:B761,-1+SUMPRODUCT(MAX(ROW(E$2:E761)*(E762=E$2:E761)))))</f>
        <v/>
      </c>
      <c r="J762" s="24" t="str">
        <f aca="true">IF(OR(E762="",E762="!!!",F762="NEW"),"",COUNTBLANK(OFFSET(A$1,,,SUMPRODUCT(MAX(ROW(E$2:E762)*(E762=E$2:E762)))))-COUNTBLANK(OFFSET(A$1,,,SUMPRODUCT(MAX(ROW(E$1:E761)*(E2=E$1:E761))))))</f>
        <v/>
      </c>
      <c r="K762" s="24" t="str">
        <f aca="false">IF(OR(E762="",E762="!!!",F762="NEW"),"",INDEX(J$1:J761,SUMPRODUCT(MAX(ROW(E$1:E761)*(E762=E$1:E761)))))</f>
        <v/>
      </c>
      <c r="L762" s="25"/>
    </row>
    <row r="763" customFormat="false" ht="14.25" hidden="false" customHeight="false" outlineLevel="0" collapsed="false">
      <c r="A763" s="0" t="s">
        <v>183</v>
      </c>
      <c r="E763" s="20" t="str">
        <f aca="false">IF(D763="?OLD","!!!","")</f>
        <v/>
      </c>
      <c r="F763" s="21" t="str">
        <f aca="false">IF(OR(E763="",E763="!!!"),"",IF(NOT(ISNA(VLOOKUP(E763,E$1:E762,1,FALSE()))),"OLD",IF(AND(E763&lt;&gt;"",E763&lt;&gt;"!!!"),"NEW","")))</f>
        <v/>
      </c>
      <c r="G763" s="22" t="str">
        <f aca="false"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aca="false">IF(J763&lt;&gt;1,"",IF(I763="SBJ","CB","?"))</f>
        <v/>
      </c>
      <c r="I763" s="24" t="str">
        <f aca="false">IF(OR(E763="",E763="!!!",F763="NEW"),"",INDEX(B$2:B762,-1+SUMPRODUCT(MAX(ROW(E$2:E762)*(E763=E$2:E762)))))</f>
        <v/>
      </c>
      <c r="J763" s="24" t="str">
        <f aca="true">IF(OR(E763="",E763="!!!",F763="NEW"),"",COUNTBLANK(OFFSET(A$1,,,SUMPRODUCT(MAX(ROW(E$2:E763)*(E763=E$2:E763)))))-COUNTBLANK(OFFSET(A$1,,,SUMPRODUCT(MAX(ROW(E$1:E762)*(E2=E$1:E762))))))</f>
        <v/>
      </c>
      <c r="K763" s="24" t="str">
        <f aca="false">IF(OR(E763="",E763="!!!",F763="NEW"),"",INDEX(J$1:J762,SUMPRODUCT(MAX(ROW(E$1:E762)*(E763=E$1:E762)))))</f>
        <v/>
      </c>
      <c r="L763" s="25"/>
    </row>
    <row r="764" customFormat="false" ht="14.25" hidden="false" customHeight="false" outlineLevel="0" collapsed="false">
      <c r="A764" s="0" t="s">
        <v>613</v>
      </c>
      <c r="B764" s="26" t="s">
        <v>410</v>
      </c>
      <c r="C764" s="26" t="s">
        <v>105</v>
      </c>
      <c r="E764" s="20" t="str">
        <f aca="false">IF(D764="?OLD","!!!","")</f>
        <v/>
      </c>
      <c r="F764" s="21" t="str">
        <f aca="false">IF(OR(E764="",E764="!!!"),"",IF(NOT(ISNA(VLOOKUP(E764,E$1:E763,1,FALSE()))),"OLD",IF(AND(E764&lt;&gt;"",E764&lt;&gt;"!!!"),"NEW","")))</f>
        <v/>
      </c>
      <c r="G764" s="22" t="str">
        <f aca="false"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aca="false">IF(J764&lt;&gt;1,"",IF(I764="SBJ","CB","?"))</f>
        <v/>
      </c>
      <c r="I764" s="24" t="str">
        <f aca="false">IF(OR(E764="",E764="!!!",F764="NEW"),"",INDEX(B$2:B763,-1+SUMPRODUCT(MAX(ROW(E$2:E763)*(E764=E$2:E763)))))</f>
        <v/>
      </c>
      <c r="J764" s="24" t="str">
        <f aca="true">IF(OR(E764="",E764="!!!",F764="NEW"),"",COUNTBLANK(OFFSET(A$1,,,SUMPRODUCT(MAX(ROW(E$2:E764)*(E764=E$2:E764)))))-COUNTBLANK(OFFSET(A$1,,,SUMPRODUCT(MAX(ROW(E$1:E763)*(E2=E$1:E763))))))</f>
        <v/>
      </c>
      <c r="K764" s="24" t="str">
        <f aca="false">IF(OR(E764="",E764="!!!",F764="NEW"),"",INDEX(J$1:J763,SUMPRODUCT(MAX(ROW(E$1:E763)*(E764=E$1:E763)))))</f>
        <v/>
      </c>
      <c r="L764" s="25"/>
    </row>
    <row r="765" customFormat="false" ht="14.25" hidden="false" customHeight="false" outlineLevel="0" collapsed="false">
      <c r="A765" s="0" t="s">
        <v>101</v>
      </c>
      <c r="E765" s="20" t="str">
        <f aca="false">IF(D765="?OLD","!!!","")</f>
        <v/>
      </c>
      <c r="F765" s="21" t="str">
        <f aca="false">IF(OR(E765="",E765="!!!"),"",IF(NOT(ISNA(VLOOKUP(E765,E$1:E764,1,FALSE()))),"OLD",IF(AND(E765&lt;&gt;"",E765&lt;&gt;"!!!"),"NEW","")))</f>
        <v/>
      </c>
      <c r="G765" s="22" t="str">
        <f aca="false"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aca="false">IF(J765&lt;&gt;1,"",IF(I765="SBJ","CB","?"))</f>
        <v/>
      </c>
      <c r="I765" s="24" t="str">
        <f aca="false">IF(OR(E765="",E765="!!!",F765="NEW"),"",INDEX(B$2:B764,-1+SUMPRODUCT(MAX(ROW(E$2:E764)*(E765=E$2:E764)))))</f>
        <v/>
      </c>
      <c r="J765" s="24" t="str">
        <f aca="true">IF(OR(E765="",E765="!!!",F765="NEW"),"",COUNTBLANK(OFFSET(A$1,,,SUMPRODUCT(MAX(ROW(E$2:E765)*(E765=E$2:E765)))))-COUNTBLANK(OFFSET(A$1,,,SUMPRODUCT(MAX(ROW(E$1:E764)*(E2=E$1:E764))))))</f>
        <v/>
      </c>
      <c r="K765" s="24" t="str">
        <f aca="false">IF(OR(E765="",E765="!!!",F765="NEW"),"",INDEX(J$1:J764,SUMPRODUCT(MAX(ROW(E$1:E764)*(E765=E$1:E764)))))</f>
        <v/>
      </c>
      <c r="L765" s="25"/>
    </row>
    <row r="766" customFormat="false" ht="14.25" hidden="false" customHeight="false" outlineLevel="0" collapsed="false">
      <c r="A766" s="0" t="s">
        <v>142</v>
      </c>
      <c r="E766" s="20" t="str">
        <f aca="false">IF(D766="?OLD","!!!","")</f>
        <v/>
      </c>
      <c r="F766" s="21" t="str">
        <f aca="false">IF(OR(E766="",E766="!!!"),"",IF(NOT(ISNA(VLOOKUP(E766,E$1:E765,1,FALSE()))),"OLD",IF(AND(E766&lt;&gt;"",E766&lt;&gt;"!!!"),"NEW","")))</f>
        <v/>
      </c>
      <c r="G766" s="22" t="str">
        <f aca="false"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aca="false">IF(J766&lt;&gt;1,"",IF(I766="SBJ","CB","?"))</f>
        <v/>
      </c>
      <c r="I766" s="24" t="str">
        <f aca="false">IF(OR(E766="",E766="!!!",F766="NEW"),"",INDEX(B$2:B765,-1+SUMPRODUCT(MAX(ROW(E$2:E765)*(E766=E$2:E765)))))</f>
        <v/>
      </c>
      <c r="J766" s="24" t="str">
        <f aca="true">IF(OR(E766="",E766="!!!",F766="NEW"),"",COUNTBLANK(OFFSET(A$1,,,SUMPRODUCT(MAX(ROW(E$2:E766)*(E766=E$2:E766)))))-COUNTBLANK(OFFSET(A$1,,,SUMPRODUCT(MAX(ROW(E$1:E765)*(E2=E$1:E765))))))</f>
        <v/>
      </c>
      <c r="K766" s="24" t="str">
        <f aca="false">IF(OR(E766="",E766="!!!",F766="NEW"),"",INDEX(J$1:J765,SUMPRODUCT(MAX(ROW(E$1:E765)*(E766=E$1:E765)))))</f>
        <v/>
      </c>
      <c r="L766" s="25"/>
    </row>
    <row r="767" customFormat="false" ht="14.25" hidden="false" customHeight="false" outlineLevel="0" collapsed="false">
      <c r="A767" s="0" t="s">
        <v>614</v>
      </c>
      <c r="B767" s="26" t="s">
        <v>410</v>
      </c>
      <c r="C767" s="26" t="s">
        <v>151</v>
      </c>
      <c r="D767" s="26" t="s">
        <v>75</v>
      </c>
      <c r="E767" s="20"/>
      <c r="F767" s="21" t="str">
        <f aca="false">IF(OR(E767="",E767="!!!"),"",IF(NOT(ISNA(VLOOKUP(E767,E$1:E766,1,FALSE()))),"OLD",IF(AND(E767&lt;&gt;"",E767&lt;&gt;"!!!"),"NEW","")))</f>
        <v/>
      </c>
      <c r="G767" s="22" t="str">
        <f aca="false"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aca="false">IF(J767&lt;&gt;1,"",IF(I767="SBJ","CB","?"))</f>
        <v/>
      </c>
      <c r="I767" s="24" t="str">
        <f aca="false">IF(OR(E767="",E767="!!!",F767="NEW"),"",INDEX(B$2:B766,-1+SUMPRODUCT(MAX(ROW(E$2:E766)*(E767=E$2:E766)))))</f>
        <v/>
      </c>
      <c r="J767" s="24" t="str">
        <f aca="true">IF(OR(E767="",E767="!!!",F767="NEW"),"",COUNTBLANK(OFFSET(A$1,,,SUMPRODUCT(MAX(ROW(E$2:E767)*(E767=E$2:E767)))))-COUNTBLANK(OFFSET(A$1,,,SUMPRODUCT(MAX(ROW(E$1:E766)*(E2=E$1:E766))))))</f>
        <v/>
      </c>
      <c r="K767" s="24" t="str">
        <f aca="false">IF(OR(E767="",E767="!!!",F767="NEW"),"",INDEX(J$1:J766,SUMPRODUCT(MAX(ROW(E$1:E766)*(E767=E$1:E766)))))</f>
        <v/>
      </c>
      <c r="L767" s="27" t="s">
        <v>541</v>
      </c>
    </row>
    <row r="768" customFormat="false" ht="14.25" hidden="false" customHeight="false" outlineLevel="0" collapsed="false">
      <c r="A768" s="0" t="s">
        <v>340</v>
      </c>
      <c r="B768" s="26" t="s">
        <v>307</v>
      </c>
      <c r="C768" s="26" t="s">
        <v>359</v>
      </c>
      <c r="D768" s="26" t="s">
        <v>75</v>
      </c>
      <c r="E768" s="20" t="s">
        <v>580</v>
      </c>
      <c r="F768" s="21" t="str">
        <f aca="false">IF(OR(E768="",E768="!!!"),"",IF(NOT(ISNA(VLOOKUP(E768,E$1:E767,1,FALSE()))),"OLD",IF(AND(E768&lt;&gt;"",E768&lt;&gt;"!!!"),"NEW","")))</f>
        <v>OLD</v>
      </c>
      <c r="G768" s="22" t="str">
        <f aca="false"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?IN_FOCUS</v>
      </c>
      <c r="H768" s="23" t="str">
        <f aca="false">IF(J768&lt;&gt;1,"",IF(I768="SBJ","CB","?"))</f>
        <v/>
      </c>
      <c r="I768" s="24" t="str">
        <f aca="false">IF(OR(E768="",E768="!!!",F768="NEW"),"",INDEX(B$2:B767,-1+SUMPRODUCT(MAX(ROW(E$2:E767)*(E768=E$2:E767)))))</f>
        <v>SBJ</v>
      </c>
      <c r="J768" s="24" t="n">
        <f aca="true">IF(OR(E768="",E768="!!!",F768="NEW"),"",COUNTBLANK(OFFSET(A$1,,,SUMPRODUCT(MAX(ROW(E$2:E768)*(E768=E$2:E768)))))-COUNTBLANK(OFFSET(A$1,,,SUMPRODUCT(MAX(ROW(E$1:E767)*(E2=E$1:E767))))))</f>
        <v>0</v>
      </c>
      <c r="K768" s="24" t="n">
        <f aca="false">IF(OR(E768="",E768="!!!",F768="NEW"),"",INDEX(J$1:J767,SUMPRODUCT(MAX(ROW(E$1:E767)*(E768=E$1:E767)))))</f>
        <v>0</v>
      </c>
      <c r="L768" s="25"/>
    </row>
    <row r="769" customFormat="false" ht="14.25" hidden="false" customHeight="false" outlineLevel="0" collapsed="false">
      <c r="A769" s="0" t="s">
        <v>181</v>
      </c>
      <c r="E769" s="20" t="str">
        <f aca="false">IF(D769="?OLD","!!!","")</f>
        <v/>
      </c>
      <c r="F769" s="21" t="str">
        <f aca="false">IF(OR(E769="",E769="!!!"),"",IF(NOT(ISNA(VLOOKUP(E769,E$1:E768,1,FALSE()))),"OLD",IF(AND(E769&lt;&gt;"",E769&lt;&gt;"!!!"),"NEW","")))</f>
        <v/>
      </c>
      <c r="G769" s="22" t="str">
        <f aca="false"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aca="false">IF(J769&lt;&gt;1,"",IF(I769="SBJ","CB","?"))</f>
        <v/>
      </c>
      <c r="I769" s="24" t="str">
        <f aca="false">IF(OR(E769="",E769="!!!",F769="NEW"),"",INDEX(B$2:B768,-1+SUMPRODUCT(MAX(ROW(E$2:E768)*(E769=E$2:E768)))))</f>
        <v/>
      </c>
      <c r="J769" s="24" t="str">
        <f aca="true">IF(OR(E769="",E769="!!!",F769="NEW"),"",COUNTBLANK(OFFSET(A$1,,,SUMPRODUCT(MAX(ROW(E$2:E769)*(E769=E$2:E769)))))-COUNTBLANK(OFFSET(A$1,,,SUMPRODUCT(MAX(ROW(E$1:E768)*(E2=E$1:E768))))))</f>
        <v/>
      </c>
      <c r="K769" s="24" t="str">
        <f aca="false">IF(OR(E769="",E769="!!!",F769="NEW"),"",INDEX(J$1:J768,SUMPRODUCT(MAX(ROW(E$1:E768)*(E769=E$1:E768)))))</f>
        <v/>
      </c>
      <c r="L769" s="25"/>
    </row>
    <row r="770" customFormat="false" ht="14.25" hidden="false" customHeight="false" outlineLevel="0" collapsed="false">
      <c r="A770" s="0" t="s">
        <v>136</v>
      </c>
      <c r="E770" s="20"/>
      <c r="F770" s="21"/>
      <c r="G770" s="22" t="str">
        <f aca="false"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aca="false">IF(J770&lt;&gt;1,"",IF(I770="SBJ","CB","?"))</f>
        <v/>
      </c>
      <c r="I770" s="24" t="str">
        <f aca="false">IF(OR(E770="",E770="!!!",F770="NEW"),"",INDEX(B$2:B769,-1+SUMPRODUCT(MAX(ROW(E$2:E769)*(E770=E$2:E769)))))</f>
        <v/>
      </c>
      <c r="J770" s="24" t="str">
        <f aca="true">IF(OR(E770="",E770="!!!",F770="NEW"),"",COUNTBLANK(OFFSET(A$1,,,SUMPRODUCT(MAX(ROW(E$2:E770)*(E770=E$2:E770)))))-COUNTBLANK(OFFSET(A$1,,,SUMPRODUCT(MAX(ROW(E$1:E769)*(E2=E$1:E769))))))</f>
        <v/>
      </c>
      <c r="K770" s="24" t="str">
        <f aca="false">IF(OR(E770="",E770="!!!",F770="NEW"),"",INDEX(J$1:J769,SUMPRODUCT(MAX(ROW(E$1:E769)*(E770=E$1:E769)))))</f>
        <v/>
      </c>
      <c r="L770" s="25"/>
    </row>
    <row r="771" customFormat="false" ht="14.25" hidden="false" customHeight="false" outlineLevel="0" collapsed="false">
      <c r="A771" s="0" t="s">
        <v>101</v>
      </c>
      <c r="E771" s="20" t="str">
        <f aca="false">IF(D771="?OLD","!!!","")</f>
        <v/>
      </c>
      <c r="F771" s="21" t="str">
        <f aca="false">IF(OR(E771="",E771="!!!"),"",IF(NOT(ISNA(VLOOKUP(E771,E$1:E770,1,FALSE()))),"OLD",IF(AND(E771&lt;&gt;"",E771&lt;&gt;"!!!"),"NEW","")))</f>
        <v/>
      </c>
      <c r="G771" s="22" t="str">
        <f aca="false"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aca="false">IF(J771&lt;&gt;1,"",IF(I771="SBJ","CB","?"))</f>
        <v/>
      </c>
      <c r="I771" s="24" t="str">
        <f aca="false">IF(OR(E771="",E771="!!!",F771="NEW"),"",INDEX(B$2:B770,-1+SUMPRODUCT(MAX(ROW(E$2:E770)*(E771=E$2:E770)))))</f>
        <v/>
      </c>
      <c r="J771" s="24" t="str">
        <f aca="true">IF(OR(E771="",E771="!!!",F771="NEW"),"",COUNTBLANK(OFFSET(A$1,,,SUMPRODUCT(MAX(ROW(E$2:E771)*(E771=E$2:E771)))))-COUNTBLANK(OFFSET(A$1,,,SUMPRODUCT(MAX(ROW(E$1:E770)*(E2=E$1:E770))))))</f>
        <v/>
      </c>
      <c r="K771" s="24" t="str">
        <f aca="false">IF(OR(E771="",E771="!!!",F771="NEW"),"",INDEX(J$1:J770,SUMPRODUCT(MAX(ROW(E$1:E770)*(E771=E$1:E770)))))</f>
        <v/>
      </c>
      <c r="L771" s="25"/>
    </row>
    <row r="772" customFormat="false" ht="14.25" hidden="false" customHeight="false" outlineLevel="0" collapsed="false">
      <c r="A772" s="0" t="s">
        <v>140</v>
      </c>
      <c r="E772" s="20" t="str">
        <f aca="false">IF(D772="?OLD","!!!","")</f>
        <v/>
      </c>
      <c r="F772" s="21" t="str">
        <f aca="false">IF(OR(E772="",E772="!!!"),"",IF(NOT(ISNA(VLOOKUP(E772,E$1:E771,1,FALSE()))),"OLD",IF(AND(E772&lt;&gt;"",E772&lt;&gt;"!!!"),"NEW","")))</f>
        <v/>
      </c>
      <c r="G772" s="22" t="str">
        <f aca="false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aca="false">IF(J772&lt;&gt;1,"",IF(I772="SBJ","CB","?"))</f>
        <v/>
      </c>
      <c r="I772" s="24" t="str">
        <f aca="false">IF(OR(E772="",E772="!!!",F772="NEW"),"",INDEX(B$2:B771,-1+SUMPRODUCT(MAX(ROW(E$2:E771)*(E772=E$2:E771)))))</f>
        <v/>
      </c>
      <c r="J772" s="24" t="str">
        <f aca="true">IF(OR(E772="",E772="!!!",F772="NEW"),"",COUNTBLANK(OFFSET(A$1,,,SUMPRODUCT(MAX(ROW(E$2:E772)*(E772=E$2:E772)))))-COUNTBLANK(OFFSET(A$1,,,SUMPRODUCT(MAX(ROW(E$1:E771)*(E2=E$1:E771))))))</f>
        <v/>
      </c>
      <c r="K772" s="24" t="str">
        <f aca="false">IF(OR(E772="",E772="!!!",F772="NEW"),"",INDEX(J$1:J771,SUMPRODUCT(MAX(ROW(E$1:E771)*(E772=E$1:E771)))))</f>
        <v/>
      </c>
      <c r="L772" s="25"/>
    </row>
    <row r="773" customFormat="false" ht="14.25" hidden="false" customHeight="false" outlineLevel="0" collapsed="false">
      <c r="A773" s="0" t="s">
        <v>254</v>
      </c>
      <c r="B773" s="26" t="s">
        <v>258</v>
      </c>
      <c r="C773" s="26" t="s">
        <v>209</v>
      </c>
      <c r="D773" s="26" t="s">
        <v>75</v>
      </c>
      <c r="E773" s="20" t="s">
        <v>580</v>
      </c>
      <c r="F773" s="21" t="str">
        <f aca="false">IF(OR(E773="",E773="!!!"),"",IF(NOT(ISNA(VLOOKUP(E773,E$1:E772,1,FALSE()))),"OLD",IF(AND(E773&lt;&gt;"",E773&lt;&gt;"!!!"),"NEW","")))</f>
        <v>OLD</v>
      </c>
      <c r="G773" s="22" t="str">
        <f aca="false"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?IN_FOCUS</v>
      </c>
      <c r="H773" s="23" t="str">
        <f aca="false">IF(J773&lt;&gt;1,"",IF(I773="SBJ","CB","?"))</f>
        <v/>
      </c>
      <c r="I773" s="24" t="str">
        <f aca="false">IF(OR(E773="",E773="!!!",F773="NEW"),"",INDEX(B$2:B772,-1+SUMPRODUCT(MAX(ROW(E$2:E772)*(E773=E$2:E772)))))</f>
        <v>other_5</v>
      </c>
      <c r="J773" s="24" t="n">
        <f aca="true">IF(OR(E773="",E773="!!!",F773="NEW"),"",COUNTBLANK(OFFSET(A$1,,,SUMPRODUCT(MAX(ROW(E$2:E773)*(E773=E$2:E773)))))-COUNTBLANK(OFFSET(A$1,,,SUMPRODUCT(MAX(ROW(E$1:E772)*(E2=E$1:E772))))))</f>
        <v>0</v>
      </c>
      <c r="K773" s="24" t="n">
        <f aca="false">IF(OR(E773="",E773="!!!",F773="NEW"),"",INDEX(J$1:J772,SUMPRODUCT(MAX(ROW(E$1:E772)*(E773=E$1:E772)))))</f>
        <v>0</v>
      </c>
      <c r="L773" s="25"/>
    </row>
    <row r="774" customFormat="false" ht="14.25" hidden="false" customHeight="false" outlineLevel="0" collapsed="false">
      <c r="A774" s="0" t="s">
        <v>123</v>
      </c>
      <c r="B774" s="26" t="s">
        <v>258</v>
      </c>
      <c r="C774" s="26" t="s">
        <v>88</v>
      </c>
      <c r="D774" s="26" t="s">
        <v>75</v>
      </c>
      <c r="E774" s="20" t="s">
        <v>615</v>
      </c>
      <c r="F774" s="21" t="str">
        <f aca="false">IF(OR(E774="",E774="!!!"),"",IF(NOT(ISNA(VLOOKUP(E774,E$1:E773,1,FALSE()))),"OLD",IF(AND(E774&lt;&gt;"",E774&lt;&gt;"!!!"),"NEW","")))</f>
        <v>NEW</v>
      </c>
      <c r="G774" s="22" t="str">
        <f aca="false"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?REFERENTIAL</v>
      </c>
      <c r="H774" s="23" t="str">
        <f aca="false">IF(J774&lt;&gt;1,"",IF(I774="SBJ","CB","?"))</f>
        <v/>
      </c>
      <c r="I774" s="24" t="str">
        <f aca="false">IF(OR(E774="",E774="!!!",F774="NEW"),"",INDEX(B$2:B773,-1+SUMPRODUCT(MAX(ROW(E$2:E773)*(E774=E$2:E773)))))</f>
        <v/>
      </c>
      <c r="J774" s="24" t="str">
        <f aca="true">IF(OR(E774="",E774="!!!",F774="NEW"),"",COUNTBLANK(OFFSET(A$1,,,SUMPRODUCT(MAX(ROW(E$2:E774)*(E774=E$2:E774)))))-COUNTBLANK(OFFSET(A$1,,,SUMPRODUCT(MAX(ROW(E$1:E773)*(E2=E$1:E773))))))</f>
        <v/>
      </c>
      <c r="K774" s="24" t="str">
        <f aca="false">IF(OR(E774="",E774="!!!",F774="NEW"),"",INDEX(J$1:J773,SUMPRODUCT(MAX(ROW(E$1:E773)*(E774=E$1:E773)))))</f>
        <v/>
      </c>
      <c r="L774" s="27" t="s">
        <v>616</v>
      </c>
    </row>
    <row r="775" customFormat="false" ht="14.25" hidden="false" customHeight="false" outlineLevel="0" collapsed="false">
      <c r="A775" s="0" t="s">
        <v>617</v>
      </c>
      <c r="B775" s="26" t="s">
        <v>110</v>
      </c>
      <c r="C775" s="26" t="s">
        <v>74</v>
      </c>
      <c r="D775" s="26" t="s">
        <v>75</v>
      </c>
      <c r="E775" s="20"/>
      <c r="F775" s="21" t="str">
        <f aca="false">IF(OR(E775="",E775="!!!"),"",IF(NOT(ISNA(VLOOKUP(E775,E$1:E774,1,FALSE()))),"OLD",IF(AND(E775&lt;&gt;"",E775&lt;&gt;"!!!"),"NEW","")))</f>
        <v/>
      </c>
      <c r="G775" s="22" t="str">
        <f aca="false"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aca="false">IF(J775&lt;&gt;1,"",IF(I775="SBJ","CB","?"))</f>
        <v/>
      </c>
      <c r="I775" s="24" t="str">
        <f aca="false">IF(OR(E775="",E775="!!!",F775="NEW"),"",INDEX(B$2:B774,-1+SUMPRODUCT(MAX(ROW(E$2:E774)*(E775=E$2:E774)))))</f>
        <v/>
      </c>
      <c r="J775" s="24" t="str">
        <f aca="true">IF(OR(E775="",E775="!!!",F775="NEW"),"",COUNTBLANK(OFFSET(A$1,,,SUMPRODUCT(MAX(ROW(E$2:E775)*(E775=E$2:E775)))))-COUNTBLANK(OFFSET(A$1,,,SUMPRODUCT(MAX(ROW(E$1:E774)*(E2=E$1:E774))))))</f>
        <v/>
      </c>
      <c r="K775" s="24" t="str">
        <f aca="false">IF(OR(E775="",E775="!!!",F775="NEW"),"",INDEX(J$1:J774,SUMPRODUCT(MAX(ROW(E$1:E774)*(E775=E$1:E774)))))</f>
        <v/>
      </c>
      <c r="L775" s="27" t="s">
        <v>134</v>
      </c>
    </row>
    <row r="776" customFormat="false" ht="14.25" hidden="false" customHeight="false" outlineLevel="0" collapsed="false">
      <c r="A776" s="0" t="s">
        <v>101</v>
      </c>
      <c r="E776" s="20" t="str">
        <f aca="false">IF(D776="?OLD","!!!","")</f>
        <v/>
      </c>
      <c r="F776" s="21" t="str">
        <f aca="false">IF(OR(E776="",E776="!!!"),"",IF(NOT(ISNA(VLOOKUP(E776,E$1:E775,1,FALSE()))),"OLD",IF(AND(E776&lt;&gt;"",E776&lt;&gt;"!!!"),"NEW","")))</f>
        <v/>
      </c>
      <c r="G776" s="22" t="str">
        <f aca="false"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aca="false">IF(J776&lt;&gt;1,"",IF(I776="SBJ","CB","?"))</f>
        <v/>
      </c>
      <c r="I776" s="24" t="str">
        <f aca="false">IF(OR(E776="",E776="!!!",F776="NEW"),"",INDEX(B$2:B775,-1+SUMPRODUCT(MAX(ROW(E$2:E775)*(E776=E$2:E775)))))</f>
        <v/>
      </c>
      <c r="J776" s="24" t="str">
        <f aca="true">IF(OR(E776="",E776="!!!",F776="NEW"),"",COUNTBLANK(OFFSET(A$1,,,SUMPRODUCT(MAX(ROW(E$2:E776)*(E776=E$2:E776)))))-COUNTBLANK(OFFSET(A$1,,,SUMPRODUCT(MAX(ROW(E$1:E775)*(E2=E$1:E775))))))</f>
        <v/>
      </c>
      <c r="K776" s="24" t="str">
        <f aca="false">IF(OR(E776="",E776="!!!",F776="NEW"),"",INDEX(J$1:J775,SUMPRODUCT(MAX(ROW(E$1:E775)*(E776=E$1:E775)))))</f>
        <v/>
      </c>
      <c r="L776" s="25"/>
    </row>
    <row r="777" customFormat="false" ht="14.25" hidden="false" customHeight="false" outlineLevel="0" collapsed="false">
      <c r="A777" s="0" t="s">
        <v>376</v>
      </c>
      <c r="E777" s="20" t="str">
        <f aca="false">IF(D777="?OLD","!!!","")</f>
        <v/>
      </c>
      <c r="F777" s="21" t="str">
        <f aca="false">IF(OR(E777="",E777="!!!"),"",IF(NOT(ISNA(VLOOKUP(E777,E$1:E776,1,FALSE()))),"OLD",IF(AND(E777&lt;&gt;"",E777&lt;&gt;"!!!"),"NEW","")))</f>
        <v/>
      </c>
      <c r="G777" s="22" t="str">
        <f aca="false"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aca="false">IF(J777&lt;&gt;1,"",IF(I777="SBJ","CB","?"))</f>
        <v/>
      </c>
      <c r="I777" s="24" t="str">
        <f aca="false">IF(OR(E777="",E777="!!!",F777="NEW"),"",INDEX(B$2:B776,-1+SUMPRODUCT(MAX(ROW(E$2:E776)*(E777=E$2:E776)))))</f>
        <v/>
      </c>
      <c r="J777" s="24" t="str">
        <f aca="true">IF(OR(E777="",E777="!!!",F777="NEW"),"",COUNTBLANK(OFFSET(A$1,,,SUMPRODUCT(MAX(ROW(E$2:E777)*(E777=E$2:E777)))))-COUNTBLANK(OFFSET(A$1,,,SUMPRODUCT(MAX(ROW(E$1:E776)*(E2=E$1:E776))))))</f>
        <v/>
      </c>
      <c r="K777" s="24" t="str">
        <f aca="false">IF(OR(E777="",E777="!!!",F777="NEW"),"",INDEX(J$1:J776,SUMPRODUCT(MAX(ROW(E$1:E776)*(E777=E$1:E776)))))</f>
        <v/>
      </c>
      <c r="L777" s="25"/>
    </row>
    <row r="778" customFormat="false" ht="14.25" hidden="false" customHeight="false" outlineLevel="0" collapsed="false">
      <c r="A778" s="0" t="s">
        <v>618</v>
      </c>
      <c r="E778" s="20" t="str">
        <f aca="false">IF(D778="?OLD","!!!","")</f>
        <v/>
      </c>
      <c r="F778" s="21" t="str">
        <f aca="false">IF(OR(E778="",E778="!!!"),"",IF(NOT(ISNA(VLOOKUP(E778,E$1:E777,1,FALSE()))),"OLD",IF(AND(E778&lt;&gt;"",E778&lt;&gt;"!!!"),"NEW","")))</f>
        <v/>
      </c>
      <c r="G778" s="22" t="str">
        <f aca="false"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aca="false">IF(J778&lt;&gt;1,"",IF(I778="SBJ","CB","?"))</f>
        <v/>
      </c>
      <c r="I778" s="24" t="str">
        <f aca="false">IF(OR(E778="",E778="!!!",F778="NEW"),"",INDEX(B$2:B777,-1+SUMPRODUCT(MAX(ROW(E$2:E777)*(E778=E$2:E777)))))</f>
        <v/>
      </c>
      <c r="J778" s="24" t="str">
        <f aca="true">IF(OR(E778="",E778="!!!",F778="NEW"),"",COUNTBLANK(OFFSET(A$1,,,SUMPRODUCT(MAX(ROW(E$2:E778)*(E778=E$2:E778)))))-COUNTBLANK(OFFSET(A$1,,,SUMPRODUCT(MAX(ROW(E$1:E777)*(E2=E$1:E777))))))</f>
        <v/>
      </c>
      <c r="K778" s="24" t="str">
        <f aca="false">IF(OR(E778="",E778="!!!",F778="NEW"),"",INDEX(J$1:J777,SUMPRODUCT(MAX(ROW(E$1:E777)*(E778=E$1:E777)))))</f>
        <v/>
      </c>
      <c r="L778" s="25"/>
    </row>
    <row r="779" customFormat="false" ht="14.25" hidden="false" customHeight="false" outlineLevel="0" collapsed="false">
      <c r="A779" s="0" t="s">
        <v>619</v>
      </c>
      <c r="E779" s="20" t="str">
        <f aca="false">IF(D779="?OLD","!!!","")</f>
        <v/>
      </c>
      <c r="F779" s="21" t="str">
        <f aca="false">IF(OR(E779="",E779="!!!"),"",IF(NOT(ISNA(VLOOKUP(E779,E$1:E778,1,FALSE()))),"OLD",IF(AND(E779&lt;&gt;"",E779&lt;&gt;"!!!"),"NEW","")))</f>
        <v/>
      </c>
      <c r="G779" s="22" t="str">
        <f aca="false"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aca="false">IF(J779&lt;&gt;1,"",IF(I779="SBJ","CB","?"))</f>
        <v/>
      </c>
      <c r="I779" s="24" t="str">
        <f aca="false">IF(OR(E779="",E779="!!!",F779="NEW"),"",INDEX(B$2:B778,-1+SUMPRODUCT(MAX(ROW(E$2:E778)*(E779=E$2:E778)))))</f>
        <v/>
      </c>
      <c r="J779" s="24" t="str">
        <f aca="true">IF(OR(E779="",E779="!!!",F779="NEW"),"",COUNTBLANK(OFFSET(A$1,,,SUMPRODUCT(MAX(ROW(E$2:E779)*(E779=E$2:E779)))))-COUNTBLANK(OFFSET(A$1,,,SUMPRODUCT(MAX(ROW(E$1:E778)*(E2=E$1:E778))))))</f>
        <v/>
      </c>
      <c r="K779" s="24" t="str">
        <f aca="false">IF(OR(E779="",E779="!!!",F779="NEW"),"",INDEX(J$1:J778,SUMPRODUCT(MAX(ROW(E$1:E778)*(E779=E$1:E778)))))</f>
        <v/>
      </c>
      <c r="L779" s="25"/>
    </row>
    <row r="780" customFormat="false" ht="14.25" hidden="false" customHeight="false" outlineLevel="0" collapsed="false">
      <c r="A780" s="0" t="s">
        <v>72</v>
      </c>
      <c r="B780" s="26" t="s">
        <v>307</v>
      </c>
      <c r="C780" s="26" t="s">
        <v>283</v>
      </c>
      <c r="D780" s="26" t="s">
        <v>75</v>
      </c>
      <c r="E780" s="20" t="s">
        <v>615</v>
      </c>
      <c r="F780" s="21" t="str">
        <f aca="false">IF(OR(E780="",E780="!!!"),"",IF(NOT(ISNA(VLOOKUP(E780,E$1:E779,1,FALSE()))),"OLD",IF(AND(E780&lt;&gt;"",E780&lt;&gt;"!!!"),"NEW","")))</f>
        <v>OLD</v>
      </c>
      <c r="G780" s="22" t="str">
        <f aca="false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?IN_FOCUS</v>
      </c>
      <c r="H780" s="23" t="str">
        <f aca="false">IF(J780&lt;&gt;1,"",IF(I780="SBJ","CB","?"))</f>
        <v/>
      </c>
      <c r="I780" s="24" t="str">
        <f aca="false">IF(OR(E780="",E780="!!!",F780="NEW"),"",INDEX(B$2:B779,-1+SUMPRODUCT(MAX(ROW(E$2:E779)*(E780=E$2:E779)))))</f>
        <v>SBJ_4</v>
      </c>
      <c r="J780" s="24" t="n">
        <f aca="true">IF(OR(E780="",E780="!!!",F780="NEW"),"",COUNTBLANK(OFFSET(A$1,,,SUMPRODUCT(MAX(ROW(E$2:E780)*(E780=E$2:E780)))))-COUNTBLANK(OFFSET(A$1,,,SUMPRODUCT(MAX(ROW(E$1:E779)*(E2=E$1:E779))))))</f>
        <v>0</v>
      </c>
      <c r="K780" s="24" t="str">
        <f aca="false">IF(OR(E780="",E780="!!!",F780="NEW"),"",INDEX(J$1:J779,SUMPRODUCT(MAX(ROW(E$1:E779)*(E780=E$1:E779)))))</f>
        <v/>
      </c>
      <c r="L780" s="25"/>
    </row>
    <row r="781" customFormat="false" ht="14.25" hidden="false" customHeight="false" outlineLevel="0" collapsed="false">
      <c r="A781" s="0" t="s">
        <v>376</v>
      </c>
      <c r="E781" s="20" t="str">
        <f aca="false">IF(D781="?OLD","!!!","")</f>
        <v/>
      </c>
      <c r="F781" s="21" t="str">
        <f aca="false">IF(OR(E781="",E781="!!!"),"",IF(NOT(ISNA(VLOOKUP(E781,E$1:E780,1,FALSE()))),"OLD",IF(AND(E781&lt;&gt;"",E781&lt;&gt;"!!!"),"NEW","")))</f>
        <v/>
      </c>
      <c r="G781" s="22" t="str">
        <f aca="false"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aca="false">IF(J781&lt;&gt;1,"",IF(I781="SBJ","CB","?"))</f>
        <v/>
      </c>
      <c r="I781" s="24" t="str">
        <f aca="false">IF(OR(E781="",E781="!!!",F781="NEW"),"",INDEX(B$2:B780,-1+SUMPRODUCT(MAX(ROW(E$2:E780)*(E781=E$2:E780)))))</f>
        <v/>
      </c>
      <c r="J781" s="24" t="str">
        <f aca="true">IF(OR(E781="",E781="!!!",F781="NEW"),"",COUNTBLANK(OFFSET(A$1,,,SUMPRODUCT(MAX(ROW(E$2:E781)*(E781=E$2:E781)))))-COUNTBLANK(OFFSET(A$1,,,SUMPRODUCT(MAX(ROW(E$1:E780)*(E2=E$1:E780))))))</f>
        <v/>
      </c>
      <c r="K781" s="24" t="str">
        <f aca="false">IF(OR(E781="",E781="!!!",F781="NEW"),"",INDEX(J$1:J780,SUMPRODUCT(MAX(ROW(E$1:E780)*(E781=E$1:E780)))))</f>
        <v/>
      </c>
      <c r="L781" s="25"/>
    </row>
    <row r="782" customFormat="false" ht="14.25" hidden="false" customHeight="false" outlineLevel="0" collapsed="false">
      <c r="A782" s="0" t="s">
        <v>79</v>
      </c>
      <c r="E782" s="20" t="str">
        <f aca="false">IF(D782="?OLD","!!!","")</f>
        <v/>
      </c>
      <c r="F782" s="21" t="str">
        <f aca="false">IF(OR(E782="",E782="!!!"),"",IF(NOT(ISNA(VLOOKUP(E782,E$1:E781,1,FALSE()))),"OLD",IF(AND(E782&lt;&gt;"",E782&lt;&gt;"!!!"),"NEW","")))</f>
        <v/>
      </c>
      <c r="G782" s="22" t="str">
        <f aca="false"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aca="false">IF(J782&lt;&gt;1,"",IF(I782="SBJ","CB","?"))</f>
        <v/>
      </c>
      <c r="I782" s="24" t="str">
        <f aca="false">IF(OR(E782="",E782="!!!",F782="NEW"),"",INDEX(B$2:B781,-1+SUMPRODUCT(MAX(ROW(E$2:E781)*(E782=E$2:E781)))))</f>
        <v/>
      </c>
      <c r="J782" s="24" t="str">
        <f aca="true">IF(OR(E782="",E782="!!!",F782="NEW"),"",COUNTBLANK(OFFSET(A$1,,,SUMPRODUCT(MAX(ROW(E$2:E782)*(E782=E$2:E782)))))-COUNTBLANK(OFFSET(A$1,,,SUMPRODUCT(MAX(ROW(E$1:E781)*(E2=E$1:E781))))))</f>
        <v/>
      </c>
      <c r="K782" s="24" t="str">
        <f aca="false">IF(OR(E782="",E782="!!!",F782="NEW"),"",INDEX(J$1:J781,SUMPRODUCT(MAX(ROW(E$1:E781)*(E782=E$1:E781)))))</f>
        <v/>
      </c>
      <c r="L782" s="25"/>
    </row>
    <row r="783" customFormat="false" ht="14.25" hidden="false" customHeight="false" outlineLevel="0" collapsed="false">
      <c r="A783" s="0" t="s">
        <v>80</v>
      </c>
      <c r="E783" s="20" t="str">
        <f aca="false">IF(D783="?OLD","!!!","")</f>
        <v/>
      </c>
      <c r="F783" s="21" t="str">
        <f aca="false">IF(OR(E783="",E783="!!!"),"",IF(NOT(ISNA(VLOOKUP(E783,E$1:E782,1,FALSE()))),"OLD",IF(AND(E783&lt;&gt;"",E783&lt;&gt;"!!!"),"NEW","")))</f>
        <v/>
      </c>
      <c r="G783" s="22" t="str">
        <f aca="false"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aca="false">IF(J783&lt;&gt;1,"",IF(I783="SBJ","CB","?"))</f>
        <v/>
      </c>
      <c r="I783" s="24" t="str">
        <f aca="false">IF(OR(E783="",E783="!!!",F783="NEW"),"",INDEX(B$2:B782,-1+SUMPRODUCT(MAX(ROW(E$2:E782)*(E783=E$2:E782)))))</f>
        <v/>
      </c>
      <c r="J783" s="24" t="str">
        <f aca="true">IF(OR(E783="",E783="!!!",F783="NEW"),"",COUNTBLANK(OFFSET(A$1,,,SUMPRODUCT(MAX(ROW(E$2:E783)*(E783=E$2:E783)))))-COUNTBLANK(OFFSET(A$1,,,SUMPRODUCT(MAX(ROW(E$1:E782)*(E2=E$1:E782))))))</f>
        <v/>
      </c>
      <c r="K783" s="24" t="str">
        <f aca="false">IF(OR(E783="",E783="!!!",F783="NEW"),"",INDEX(J$1:J782,SUMPRODUCT(MAX(ROW(E$1:E782)*(E783=E$1:E782)))))</f>
        <v/>
      </c>
      <c r="L783" s="25"/>
    </row>
    <row r="784" customFormat="false" ht="14.25" hidden="false" customHeight="false" outlineLevel="0" collapsed="false">
      <c r="A784" s="0" t="s">
        <v>620</v>
      </c>
      <c r="B784" s="26" t="s">
        <v>307</v>
      </c>
      <c r="C784" s="26" t="s">
        <v>74</v>
      </c>
      <c r="D784" s="26" t="s">
        <v>75</v>
      </c>
      <c r="E784" s="20" t="s">
        <v>621</v>
      </c>
      <c r="F784" s="21" t="str">
        <f aca="false">IF(OR(E784="",E784="!!!"),"",IF(NOT(ISNA(VLOOKUP(E784,E$1:E783,1,FALSE()))),"OLD",IF(AND(E784&lt;&gt;"",E784&lt;&gt;"!!!"),"NEW","")))</f>
        <v>NEW</v>
      </c>
      <c r="G784" s="22" t="str">
        <f aca="false"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?REFERENTIAL</v>
      </c>
      <c r="H784" s="23" t="str">
        <f aca="false">IF(J784&lt;&gt;1,"",IF(I784="SBJ","CB","?"))</f>
        <v/>
      </c>
      <c r="I784" s="24" t="str">
        <f aca="false">IF(OR(E784="",E784="!!!",F784="NEW"),"",INDEX(B$2:B783,-1+SUMPRODUCT(MAX(ROW(E$2:E783)*(E784=E$2:E783)))))</f>
        <v/>
      </c>
      <c r="J784" s="24" t="str">
        <f aca="true">IF(OR(E784="",E784="!!!",F784="NEW"),"",COUNTBLANK(OFFSET(A$1,,,SUMPRODUCT(MAX(ROW(E$2:E784)*(E784=E$2:E784)))))-COUNTBLANK(OFFSET(A$1,,,SUMPRODUCT(MAX(ROW(E$1:E783)*(E2=E$1:E783))))))</f>
        <v/>
      </c>
      <c r="K784" s="24" t="str">
        <f aca="false">IF(OR(E784="",E784="!!!",F784="NEW"),"",INDEX(J$1:J783,SUMPRODUCT(MAX(ROW(E$1:E783)*(E784=E$1:E783)))))</f>
        <v/>
      </c>
      <c r="L784" s="25"/>
    </row>
    <row r="785" customFormat="false" ht="14.25" hidden="false" customHeight="false" outlineLevel="0" collapsed="false">
      <c r="A785" s="0" t="s">
        <v>172</v>
      </c>
      <c r="E785" s="20" t="str">
        <f aca="false">IF(D785="?OLD","!!!","")</f>
        <v/>
      </c>
      <c r="F785" s="21" t="str">
        <f aca="false">IF(OR(E785="",E785="!!!"),"",IF(NOT(ISNA(VLOOKUP(E785,E$1:E784,1,FALSE()))),"OLD",IF(AND(E785&lt;&gt;"",E785&lt;&gt;"!!!"),"NEW","")))</f>
        <v/>
      </c>
      <c r="G785" s="22" t="str">
        <f aca="false"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aca="false">IF(J785&lt;&gt;1,"",IF(I785="SBJ","CB","?"))</f>
        <v/>
      </c>
      <c r="I785" s="24" t="str">
        <f aca="false">IF(OR(E785="",E785="!!!",F785="NEW"),"",INDEX(B$2:B784,-1+SUMPRODUCT(MAX(ROW(E$2:E784)*(E785=E$2:E784)))))</f>
        <v/>
      </c>
      <c r="J785" s="24" t="str">
        <f aca="true">IF(OR(E785="",E785="!!!",F785="NEW"),"",COUNTBLANK(OFFSET(A$1,,,SUMPRODUCT(MAX(ROW(E$2:E785)*(E785=E$2:E785)))))-COUNTBLANK(OFFSET(A$1,,,SUMPRODUCT(MAX(ROW(E$1:E784)*(E2=E$1:E784))))))</f>
        <v/>
      </c>
      <c r="K785" s="24" t="str">
        <f aca="false">IF(OR(E785="",E785="!!!",F785="NEW"),"",INDEX(J$1:J784,SUMPRODUCT(MAX(ROW(E$1:E784)*(E785=E$1:E784)))))</f>
        <v/>
      </c>
      <c r="L785" s="25"/>
    </row>
    <row r="786" customFormat="false" ht="14.25" hidden="false" customHeight="false" outlineLevel="0" collapsed="false">
      <c r="A786" s="0" t="s">
        <v>622</v>
      </c>
      <c r="E786" s="20" t="str">
        <f aca="false">IF(D786="?OLD","!!!","")</f>
        <v/>
      </c>
      <c r="F786" s="21" t="str">
        <f aca="false">IF(OR(E786="",E786="!!!"),"",IF(NOT(ISNA(VLOOKUP(E786,E$1:E785,1,FALSE()))),"OLD",IF(AND(E786&lt;&gt;"",E786&lt;&gt;"!!!"),"NEW","")))</f>
        <v/>
      </c>
      <c r="G786" s="22" t="str">
        <f aca="false"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aca="false">IF(J786&lt;&gt;1,"",IF(I786="SBJ","CB","?"))</f>
        <v/>
      </c>
      <c r="I786" s="24" t="str">
        <f aca="false">IF(OR(E786="",E786="!!!",F786="NEW"),"",INDEX(B$2:B785,-1+SUMPRODUCT(MAX(ROW(E$2:E785)*(E786=E$2:E785)))))</f>
        <v/>
      </c>
      <c r="J786" s="24" t="str">
        <f aca="true">IF(OR(E786="",E786="!!!",F786="NEW"),"",COUNTBLANK(OFFSET(A$1,,,SUMPRODUCT(MAX(ROW(E$2:E786)*(E786=E$2:E786)))))-COUNTBLANK(OFFSET(A$1,,,SUMPRODUCT(MAX(ROW(E$1:E785)*(E2=E$1:E785))))))</f>
        <v/>
      </c>
      <c r="K786" s="24" t="str">
        <f aca="false">IF(OR(E786="",E786="!!!",F786="NEW"),"",INDEX(J$1:J785,SUMPRODUCT(MAX(ROW(E$1:E785)*(E786=E$1:E785)))))</f>
        <v/>
      </c>
      <c r="L786" s="25"/>
    </row>
    <row r="787" customFormat="false" ht="14.25" hidden="false" customHeight="false" outlineLevel="0" collapsed="false">
      <c r="A787" s="0" t="s">
        <v>231</v>
      </c>
      <c r="B787" s="26" t="s">
        <v>410</v>
      </c>
      <c r="C787" s="26" t="s">
        <v>119</v>
      </c>
      <c r="E787" s="20" t="str">
        <f aca="false">IF(D787="?OLD","!!!","")</f>
        <v/>
      </c>
      <c r="F787" s="21" t="str">
        <f aca="false">IF(OR(E787="",E787="!!!"),"",IF(NOT(ISNA(VLOOKUP(E787,E$1:E786,1,FALSE()))),"OLD",IF(AND(E787&lt;&gt;"",E787&lt;&gt;"!!!"),"NEW","")))</f>
        <v/>
      </c>
      <c r="G787" s="22" t="str">
        <f aca="false"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aca="false">IF(J787&lt;&gt;1,"",IF(I787="SBJ","CB","?"))</f>
        <v/>
      </c>
      <c r="I787" s="24" t="str">
        <f aca="false">IF(OR(E787="",E787="!!!",F787="NEW"),"",INDEX(B$2:B786,-1+SUMPRODUCT(MAX(ROW(E$2:E786)*(E787=E$2:E786)))))</f>
        <v/>
      </c>
      <c r="J787" s="24" t="str">
        <f aca="true">IF(OR(E787="",E787="!!!",F787="NEW"),"",COUNTBLANK(OFFSET(A$1,,,SUMPRODUCT(MAX(ROW(E$2:E787)*(E787=E$2:E787)))))-COUNTBLANK(OFFSET(A$1,,,SUMPRODUCT(MAX(ROW(E$1:E786)*(E2=E$1:E786))))))</f>
        <v/>
      </c>
      <c r="K787" s="24" t="str">
        <f aca="false">IF(OR(E787="",E787="!!!",F787="NEW"),"",INDEX(J$1:J786,SUMPRODUCT(MAX(ROW(E$1:E786)*(E787=E$1:E786)))))</f>
        <v/>
      </c>
      <c r="L787" s="25"/>
    </row>
    <row r="788" customFormat="false" ht="14.25" hidden="false" customHeight="false" outlineLevel="0" collapsed="false">
      <c r="A788" s="0" t="s">
        <v>232</v>
      </c>
      <c r="B788" s="26" t="s">
        <v>204</v>
      </c>
      <c r="C788" s="26" t="s">
        <v>105</v>
      </c>
      <c r="E788" s="20" t="s">
        <v>225</v>
      </c>
      <c r="F788" s="21" t="str">
        <f aca="false">IF(OR(E788="",E788="!!!"),"",IF(NOT(ISNA(VLOOKUP(E788,E$1:E787,1,FALSE()))),"OLD",IF(AND(E788&lt;&gt;"",E788&lt;&gt;"!!!"),"NEW","")))</f>
        <v>OLD</v>
      </c>
      <c r="G788" s="22" t="str">
        <f aca="false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?IN_FOCUS</v>
      </c>
      <c r="H788" s="23" t="str">
        <f aca="false">IF(J788&lt;&gt;1,"",IF(I788="SBJ","CB","?"))</f>
        <v/>
      </c>
      <c r="I788" s="24" t="str">
        <f aca="false">IF(OR(E788="",E788="!!!",F788="NEW"),"",INDEX(B$2:B787,-1+SUMPRODUCT(MAX(ROW(E$2:E787)*(E788=E$2:E787)))))</f>
        <v>SBJ_3</v>
      </c>
      <c r="J788" s="24" t="n">
        <f aca="true">IF(OR(E788="",E788="!!!",F788="NEW"),"",COUNTBLANK(OFFSET(A$1,,,SUMPRODUCT(MAX(ROW(E$2:E788)*(E788=E$2:E788)))))-COUNTBLANK(OFFSET(A$1,,,SUMPRODUCT(MAX(ROW(E$1:E787)*(E2=E$1:E787))))))</f>
        <v>0</v>
      </c>
      <c r="K788" s="24" t="n">
        <f aca="false">IF(OR(E788="",E788="!!!",F788="NEW"),"",INDEX(J$1:J787,SUMPRODUCT(MAX(ROW(E$1:E787)*(E788=E$1:E787)))))</f>
        <v>0</v>
      </c>
      <c r="L788" s="27" t="s">
        <v>623</v>
      </c>
    </row>
    <row r="789" customFormat="false" ht="14.25" hidden="false" customHeight="false" outlineLevel="0" collapsed="false">
      <c r="A789" s="0" t="s">
        <v>624</v>
      </c>
      <c r="E789" s="20" t="str">
        <f aca="false">IF(D789="?OLD","!!!","")</f>
        <v/>
      </c>
      <c r="F789" s="21" t="str">
        <f aca="false">IF(OR(E789="",E789="!!!"),"",IF(NOT(ISNA(VLOOKUP(E789,E$1:E788,1,FALSE()))),"OLD",IF(AND(E789&lt;&gt;"",E789&lt;&gt;"!!!"),"NEW","")))</f>
        <v/>
      </c>
      <c r="G789" s="22" t="str">
        <f aca="false"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aca="false">IF(J789&lt;&gt;1,"",IF(I789="SBJ","CB","?"))</f>
        <v/>
      </c>
      <c r="I789" s="24" t="str">
        <f aca="false">IF(OR(E789="",E789="!!!",F789="NEW"),"",INDEX(B$2:B788,-1+SUMPRODUCT(MAX(ROW(E$2:E788)*(E789=E$2:E788)))))</f>
        <v/>
      </c>
      <c r="J789" s="24" t="str">
        <f aca="true">IF(OR(E789="",E789="!!!",F789="NEW"),"",COUNTBLANK(OFFSET(A$1,,,SUMPRODUCT(MAX(ROW(E$2:E789)*(E789=E$2:E789)))))-COUNTBLANK(OFFSET(A$1,,,SUMPRODUCT(MAX(ROW(E$1:E788)*(E2=E$1:E788))))))</f>
        <v/>
      </c>
      <c r="K789" s="24" t="str">
        <f aca="false">IF(OR(E789="",E789="!!!",F789="NEW"),"",INDEX(J$1:J788,SUMPRODUCT(MAX(ROW(E$1:E788)*(E789=E$1:E788)))))</f>
        <v/>
      </c>
      <c r="L789" s="25"/>
    </row>
    <row r="790" customFormat="false" ht="14.25" hidden="false" customHeight="false" outlineLevel="0" collapsed="false">
      <c r="A790" s="0" t="s">
        <v>112</v>
      </c>
      <c r="E790" s="20" t="str">
        <f aca="false">IF(D790="?OLD","!!!","")</f>
        <v/>
      </c>
      <c r="F790" s="21" t="str">
        <f aca="false">IF(OR(E790="",E790="!!!"),"",IF(NOT(ISNA(VLOOKUP(E790,E$1:E789,1,FALSE()))),"OLD",IF(AND(E790&lt;&gt;"",E790&lt;&gt;"!!!"),"NEW","")))</f>
        <v/>
      </c>
      <c r="G790" s="22" t="str">
        <f aca="false"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aca="false">IF(J790&lt;&gt;1,"",IF(I790="SBJ","CB","?"))</f>
        <v/>
      </c>
      <c r="I790" s="24" t="str">
        <f aca="false">IF(OR(E790="",E790="!!!",F790="NEW"),"",INDEX(B$2:B789,-1+SUMPRODUCT(MAX(ROW(E$2:E789)*(E790=E$2:E789)))))</f>
        <v/>
      </c>
      <c r="J790" s="24" t="str">
        <f aca="true">IF(OR(E790="",E790="!!!",F790="NEW"),"",COUNTBLANK(OFFSET(A$1,,,SUMPRODUCT(MAX(ROW(E$2:E790)*(E790=E$2:E790)))))-COUNTBLANK(OFFSET(A$1,,,SUMPRODUCT(MAX(ROW(E$1:E789)*(E2=E$1:E789))))))</f>
        <v/>
      </c>
      <c r="K790" s="24" t="str">
        <f aca="false">IF(OR(E790="",E790="!!!",F790="NEW"),"",INDEX(J$1:J789,SUMPRODUCT(MAX(ROW(E$1:E789)*(E790=E$1:E789)))))</f>
        <v/>
      </c>
      <c r="L790" s="25"/>
    </row>
    <row r="791" customFormat="false" ht="14.25" hidden="false" customHeight="false" outlineLevel="0" collapsed="false">
      <c r="A791" s="0" t="s">
        <v>625</v>
      </c>
      <c r="B791" s="26" t="s">
        <v>410</v>
      </c>
      <c r="C791" s="26" t="s">
        <v>74</v>
      </c>
      <c r="D791" s="26" t="s">
        <v>75</v>
      </c>
      <c r="E791" s="20" t="s">
        <v>626</v>
      </c>
      <c r="F791" s="21" t="str">
        <f aca="false">IF(OR(E791="",E791="!!!"),"",IF(NOT(ISNA(VLOOKUP(E791,E$1:E790,1,FALSE()))),"OLD",IF(AND(E791&lt;&gt;"",E791&lt;&gt;"!!!"),"NEW","")))</f>
        <v>NEW</v>
      </c>
      <c r="G791" s="22" t="str">
        <f aca="false"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?REFERENTIAL</v>
      </c>
      <c r="H791" s="23" t="str">
        <f aca="false">IF(J791&lt;&gt;1,"",IF(I791="SBJ","CB","?"))</f>
        <v/>
      </c>
      <c r="I791" s="24" t="str">
        <f aca="false">IF(OR(E791="",E791="!!!",F791="NEW"),"",INDEX(B$2:B790,-1+SUMPRODUCT(MAX(ROW(E$2:E790)*(E791=E$2:E790)))))</f>
        <v/>
      </c>
      <c r="J791" s="24" t="str">
        <f aca="true">IF(OR(E791="",E791="!!!",F791="NEW"),"",COUNTBLANK(OFFSET(A$1,,,SUMPRODUCT(MAX(ROW(E$2:E791)*(E791=E$2:E791)))))-COUNTBLANK(OFFSET(A$1,,,SUMPRODUCT(MAX(ROW(E$1:E790)*(E2=E$1:E790))))))</f>
        <v/>
      </c>
      <c r="K791" s="24" t="str">
        <f aca="false">IF(OR(E791="",E791="!!!",F791="NEW"),"",INDEX(J$1:J790,SUMPRODUCT(MAX(ROW(E$1:E790)*(E791=E$1:E790)))))</f>
        <v/>
      </c>
      <c r="L791" s="25"/>
    </row>
    <row r="792" customFormat="false" ht="14.25" hidden="false" customHeight="false" outlineLevel="0" collapsed="false">
      <c r="A792" s="0" t="s">
        <v>101</v>
      </c>
      <c r="E792" s="20" t="str">
        <f aca="false">IF(D792="?OLD","!!!","")</f>
        <v/>
      </c>
      <c r="F792" s="21" t="str">
        <f aca="false">IF(OR(E792="",E792="!!!"),"",IF(NOT(ISNA(VLOOKUP(E792,E$1:E791,1,FALSE()))),"OLD",IF(AND(E792&lt;&gt;"",E792&lt;&gt;"!!!"),"NEW","")))</f>
        <v/>
      </c>
      <c r="G792" s="22" t="str">
        <f aca="false"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3" t="str">
        <f aca="false">IF(J792&lt;&gt;1,"",IF(I792="SBJ","CB","?"))</f>
        <v/>
      </c>
      <c r="I792" s="24" t="str">
        <f aca="false">IF(OR(E792="",E792="!!!",F792="NEW"),"",INDEX(B$2:B791,-1+SUMPRODUCT(MAX(ROW(E$2:E791)*(E792=E$2:E791)))))</f>
        <v/>
      </c>
      <c r="J792" s="24" t="str">
        <f aca="true">IF(OR(E792="",E792="!!!",F792="NEW"),"",COUNTBLANK(OFFSET(A$1,,,SUMPRODUCT(MAX(ROW(E$2:E792)*(E792=E$2:E792)))))-COUNTBLANK(OFFSET(A$1,,,SUMPRODUCT(MAX(ROW(E$1:E791)*(E2=E$1:E791))))))</f>
        <v/>
      </c>
      <c r="K792" s="24" t="str">
        <f aca="false">IF(OR(E792="",E792="!!!",F792="NEW"),"",INDEX(J$1:J791,SUMPRODUCT(MAX(ROW(E$1:E791)*(E792=E$1:E791)))))</f>
        <v/>
      </c>
      <c r="L792" s="25"/>
    </row>
    <row r="793" customFormat="false" ht="14.25" hidden="false" customHeight="false" outlineLevel="0" collapsed="false">
      <c r="A793" s="0" t="s">
        <v>136</v>
      </c>
      <c r="E793" s="20"/>
      <c r="F793" s="21" t="str">
        <f aca="false">IF(OR(E793="",E793="!!!"),"",IF(NOT(ISNA(VLOOKUP(E793,E$1:E792,1,FALSE()))),"OLD",IF(AND(E793&lt;&gt;"",E793&lt;&gt;"!!!"),"NEW","")))</f>
        <v/>
      </c>
      <c r="G793" s="22" t="str">
        <f aca="false"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aca="false">IF(J793&lt;&gt;1,"",IF(I793="SBJ","CB","?"))</f>
        <v/>
      </c>
      <c r="I793" s="24" t="str">
        <f aca="false">IF(OR(E793="",E793="!!!",F793="NEW"),"",INDEX(B$2:B792,-1+SUMPRODUCT(MAX(ROW(E$2:E792)*(E793=E$2:E792)))))</f>
        <v/>
      </c>
      <c r="J793" s="24" t="str">
        <f aca="true">IF(OR(E793="",E793="!!!",F793="NEW"),"",COUNTBLANK(OFFSET(A$1,,,SUMPRODUCT(MAX(ROW(E$2:E793)*(E793=E$2:E793)))))-COUNTBLANK(OFFSET(A$1,,,SUMPRODUCT(MAX(ROW(E$1:E792)*(E2=E$1:E792))))))</f>
        <v/>
      </c>
      <c r="K793" s="24" t="str">
        <f aca="false">IF(OR(E793="",E793="!!!",F793="NEW"),"",INDEX(J$1:J792,SUMPRODUCT(MAX(ROW(E$1:E792)*(E793=E$1:E792)))))</f>
        <v/>
      </c>
      <c r="L793" s="25"/>
    </row>
    <row r="794" customFormat="false" ht="14.25" hidden="false" customHeight="false" outlineLevel="0" collapsed="false">
      <c r="A794" s="0" t="s">
        <v>627</v>
      </c>
      <c r="B794" s="26" t="s">
        <v>424</v>
      </c>
      <c r="C794" s="26" t="s">
        <v>74</v>
      </c>
      <c r="D794" s="26" t="s">
        <v>75</v>
      </c>
      <c r="E794" s="20"/>
      <c r="F794" s="21" t="str">
        <f aca="false">IF(OR(E794="",E794="!!!"),"",IF(NOT(ISNA(VLOOKUP(E794,E$1:E793,1,FALSE()))),"OLD",IF(AND(E794&lt;&gt;"",E794&lt;&gt;"!!!"),"NEW","")))</f>
        <v/>
      </c>
      <c r="G794" s="22" t="str">
        <f aca="false"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aca="false">IF(J794&lt;&gt;1,"",IF(I794="SBJ","CB","?"))</f>
        <v/>
      </c>
      <c r="I794" s="24" t="str">
        <f aca="false">IF(OR(E794="",E794="!!!",F794="NEW"),"",INDEX(B$2:B793,-1+SUMPRODUCT(MAX(ROW(E$2:E793)*(E794=E$2:E793)))))</f>
        <v/>
      </c>
      <c r="J794" s="24" t="str">
        <f aca="true">IF(OR(E794="",E794="!!!",F794="NEW"),"",COUNTBLANK(OFFSET(A$1,,,SUMPRODUCT(MAX(ROW(E$2:E794)*(E794=E$2:E794)))))-COUNTBLANK(OFFSET(A$1,,,SUMPRODUCT(MAX(ROW(E$1:E793)*(E2=E$1:E793))))))</f>
        <v/>
      </c>
      <c r="K794" s="24" t="str">
        <f aca="false">IF(OR(E794="",E794="!!!",F794="NEW"),"",INDEX(J$1:J793,SUMPRODUCT(MAX(ROW(E$1:E793)*(E794=E$1:E793)))))</f>
        <v/>
      </c>
      <c r="L794" s="25"/>
    </row>
    <row r="795" customFormat="false" ht="14.25" hidden="false" customHeight="false" outlineLevel="0" collapsed="false">
      <c r="A795" s="0" t="s">
        <v>101</v>
      </c>
      <c r="E795" s="20" t="str">
        <f aca="false">IF(D795="?OLD","!!!","")</f>
        <v/>
      </c>
      <c r="F795" s="21" t="str">
        <f aca="false">IF(OR(E795="",E795="!!!"),"",IF(NOT(ISNA(VLOOKUP(E795,E$1:E794,1,FALSE()))),"OLD",IF(AND(E795&lt;&gt;"",E795&lt;&gt;"!!!"),"NEW","")))</f>
        <v/>
      </c>
      <c r="G795" s="22" t="str">
        <f aca="false"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aca="false">IF(J795&lt;&gt;1,"",IF(I795="SBJ","CB","?"))</f>
        <v/>
      </c>
      <c r="I795" s="24" t="str">
        <f aca="false">IF(OR(E795="",E795="!!!",F795="NEW"),"",INDEX(B$2:B794,-1+SUMPRODUCT(MAX(ROW(E$2:E794)*(E795=E$2:E794)))))</f>
        <v/>
      </c>
      <c r="J795" s="24" t="str">
        <f aca="true">IF(OR(E795="",E795="!!!",F795="NEW"),"",COUNTBLANK(OFFSET(A$1,,,SUMPRODUCT(MAX(ROW(E$2:E795)*(E795=E$2:E795)))))-COUNTBLANK(OFFSET(A$1,,,SUMPRODUCT(MAX(ROW(E$1:E794)*(E2=E$1:E794))))))</f>
        <v/>
      </c>
      <c r="K795" s="24" t="str">
        <f aca="false">IF(OR(E795="",E795="!!!",F795="NEW"),"",INDEX(J$1:J794,SUMPRODUCT(MAX(ROW(E$1:E794)*(E795=E$1:E794)))))</f>
        <v/>
      </c>
      <c r="L795" s="25"/>
    </row>
    <row r="796" customFormat="false" ht="14.25" hidden="false" customHeight="false" outlineLevel="0" collapsed="false">
      <c r="A796" s="0" t="s">
        <v>628</v>
      </c>
      <c r="B796" s="26" t="s">
        <v>424</v>
      </c>
      <c r="C796" s="26" t="s">
        <v>105</v>
      </c>
      <c r="E796" s="20" t="str">
        <f aca="false">IF(D796="?OLD","!!!","")</f>
        <v/>
      </c>
      <c r="F796" s="21" t="str">
        <f aca="false">IF(OR(E796="",E796="!!!"),"",IF(NOT(ISNA(VLOOKUP(E796,E$1:E795,1,FALSE()))),"OLD",IF(AND(E796&lt;&gt;"",E796&lt;&gt;"!!!"),"NEW","")))</f>
        <v/>
      </c>
      <c r="G796" s="22" t="str">
        <f aca="false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aca="false">IF(J796&lt;&gt;1,"",IF(I796="SBJ","CB","?"))</f>
        <v/>
      </c>
      <c r="I796" s="24" t="str">
        <f aca="false">IF(OR(E796="",E796="!!!",F796="NEW"),"",INDEX(B$2:B795,-1+SUMPRODUCT(MAX(ROW(E$2:E795)*(E796=E$2:E795)))))</f>
        <v/>
      </c>
      <c r="J796" s="24" t="str">
        <f aca="true">IF(OR(E796="",E796="!!!",F796="NEW"),"",COUNTBLANK(OFFSET(A$1,,,SUMPRODUCT(MAX(ROW(E$2:E796)*(E796=E$2:E796)))))-COUNTBLANK(OFFSET(A$1,,,SUMPRODUCT(MAX(ROW(E$1:E795)*(E2=E$1:E795))))))</f>
        <v/>
      </c>
      <c r="K796" s="24" t="str">
        <f aca="false">IF(OR(E796="",E796="!!!",F796="NEW"),"",INDEX(J$1:J795,SUMPRODUCT(MAX(ROW(E$1:E795)*(E796=E$1:E795)))))</f>
        <v/>
      </c>
      <c r="L796" s="25"/>
    </row>
    <row r="797" customFormat="false" ht="14.25" hidden="false" customHeight="false" outlineLevel="0" collapsed="false">
      <c r="A797" s="0" t="s">
        <v>142</v>
      </c>
      <c r="E797" s="20" t="str">
        <f aca="false">IF(D797="?OLD","!!!","")</f>
        <v/>
      </c>
      <c r="F797" s="21" t="str">
        <f aca="false">IF(OR(E797="",E797="!!!"),"",IF(NOT(ISNA(VLOOKUP(E797,E$1:E796,1,FALSE()))),"OLD",IF(AND(E797&lt;&gt;"",E797&lt;&gt;"!!!"),"NEW","")))</f>
        <v/>
      </c>
      <c r="G797" s="22" t="str">
        <f aca="false"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aca="false">IF(J797&lt;&gt;1,"",IF(I797="SBJ","CB","?"))</f>
        <v/>
      </c>
      <c r="I797" s="24" t="str">
        <f aca="false">IF(OR(E797="",E797="!!!",F797="NEW"),"",INDEX(B$2:B796,-1+SUMPRODUCT(MAX(ROW(E$2:E796)*(E797=E$2:E796)))))</f>
        <v/>
      </c>
      <c r="J797" s="24" t="str">
        <f aca="true">IF(OR(E797="",E797="!!!",F797="NEW"),"",COUNTBLANK(OFFSET(A$1,,,SUMPRODUCT(MAX(ROW(E$2:E797)*(E797=E$2:E797)))))-COUNTBLANK(OFFSET(A$1,,,SUMPRODUCT(MAX(ROW(E$1:E796)*(E2=E$1:E796))))))</f>
        <v/>
      </c>
      <c r="K797" s="24" t="str">
        <f aca="false">IF(OR(E797="",E797="!!!",F797="NEW"),"",INDEX(J$1:J796,SUMPRODUCT(MAX(ROW(E$1:E796)*(E797=E$1:E796)))))</f>
        <v/>
      </c>
      <c r="L797" s="25"/>
    </row>
    <row r="798" customFormat="false" ht="14.25" hidden="false" customHeight="false" outlineLevel="0" collapsed="false">
      <c r="A798" s="0" t="s">
        <v>612</v>
      </c>
      <c r="B798" s="26" t="s">
        <v>424</v>
      </c>
      <c r="C798" s="26" t="s">
        <v>105</v>
      </c>
      <c r="E798" s="20" t="str">
        <f aca="false">IF(D798="?OLD","!!!","")</f>
        <v/>
      </c>
      <c r="F798" s="21" t="str">
        <f aca="false">IF(OR(E798="",E798="!!!"),"",IF(NOT(ISNA(VLOOKUP(E798,E$1:E797,1,FALSE()))),"OLD",IF(AND(E798&lt;&gt;"",E798&lt;&gt;"!!!"),"NEW","")))</f>
        <v/>
      </c>
      <c r="G798" s="22" t="str">
        <f aca="false"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aca="false">IF(J798&lt;&gt;1,"",IF(I798="SBJ","CB","?"))</f>
        <v/>
      </c>
      <c r="I798" s="24" t="str">
        <f aca="false">IF(OR(E798="",E798="!!!",F798="NEW"),"",INDEX(B$2:B797,-1+SUMPRODUCT(MAX(ROW(E$2:E797)*(E798=E$2:E797)))))</f>
        <v/>
      </c>
      <c r="J798" s="24" t="str">
        <f aca="true">IF(OR(E798="",E798="!!!",F798="NEW"),"",COUNTBLANK(OFFSET(A$1,,,SUMPRODUCT(MAX(ROW(E$2:E798)*(E798=E$2:E798)))))-COUNTBLANK(OFFSET(A$1,,,SUMPRODUCT(MAX(ROW(E$1:E797)*(E2=E$1:E797))))))</f>
        <v/>
      </c>
      <c r="K798" s="24" t="str">
        <f aca="false">IF(OR(E798="",E798="!!!",F798="NEW"),"",INDEX(J$1:J797,SUMPRODUCT(MAX(ROW(E$1:E797)*(E798=E$1:E797)))))</f>
        <v/>
      </c>
      <c r="L798" s="25"/>
    </row>
    <row r="799" customFormat="false" ht="14.25" hidden="false" customHeight="false" outlineLevel="0" collapsed="false">
      <c r="A799" s="0" t="s">
        <v>629</v>
      </c>
      <c r="E799" s="20" t="str">
        <f aca="false">IF(D799="?OLD","!!!","")</f>
        <v/>
      </c>
      <c r="F799" s="21" t="str">
        <f aca="false">IF(OR(E799="",E799="!!!"),"",IF(NOT(ISNA(VLOOKUP(E799,E$1:E798,1,FALSE()))),"OLD",IF(AND(E799&lt;&gt;"",E799&lt;&gt;"!!!"),"NEW","")))</f>
        <v/>
      </c>
      <c r="G799" s="22" t="str">
        <f aca="false"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aca="false">IF(J799&lt;&gt;1,"",IF(I799="SBJ","CB","?"))</f>
        <v/>
      </c>
      <c r="I799" s="24" t="str">
        <f aca="false">IF(OR(E799="",E799="!!!",F799="NEW"),"",INDEX(B$2:B798,-1+SUMPRODUCT(MAX(ROW(E$2:E798)*(E799=E$2:E798)))))</f>
        <v/>
      </c>
      <c r="J799" s="24" t="str">
        <f aca="true">IF(OR(E799="",E799="!!!",F799="NEW"),"",COUNTBLANK(OFFSET(A$1,,,SUMPRODUCT(MAX(ROW(E$2:E799)*(E799=E$2:E799)))))-COUNTBLANK(OFFSET(A$1,,,SUMPRODUCT(MAX(ROW(E$1:E798)*(E2=E$1:E798))))))</f>
        <v/>
      </c>
      <c r="K799" s="24" t="str">
        <f aca="false">IF(OR(E799="",E799="!!!",F799="NEW"),"",INDEX(J$1:J798,SUMPRODUCT(MAX(ROW(E$1:E798)*(E799=E$1:E798)))))</f>
        <v/>
      </c>
      <c r="L799" s="25"/>
    </row>
    <row r="800" customFormat="false" ht="14.25" hidden="false" customHeight="false" outlineLevel="0" collapsed="false">
      <c r="A800" s="0" t="s">
        <v>86</v>
      </c>
      <c r="E800" s="20" t="str">
        <f aca="false">IF(D800="?OLD","!!!","")</f>
        <v/>
      </c>
      <c r="F800" s="21" t="str">
        <f aca="false">IF(OR(E800="",E800="!!!"),"",IF(NOT(ISNA(VLOOKUP(E800,E$1:E799,1,FALSE()))),"OLD",IF(AND(E800&lt;&gt;"",E800&lt;&gt;"!!!"),"NEW","")))</f>
        <v/>
      </c>
      <c r="G800" s="22" t="str">
        <f aca="false"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aca="false">IF(J800&lt;&gt;1,"",IF(I800="SBJ","CB","?"))</f>
        <v/>
      </c>
      <c r="I800" s="24" t="str">
        <f aca="false">IF(OR(E800="",E800="!!!",F800="NEW"),"",INDEX(B$2:B799,-1+SUMPRODUCT(MAX(ROW(E$2:E799)*(E800=E$2:E799)))))</f>
        <v/>
      </c>
      <c r="J800" s="24" t="str">
        <f aca="true">IF(OR(E800="",E800="!!!",F800="NEW"),"",COUNTBLANK(OFFSET(A$1,,,SUMPRODUCT(MAX(ROW(E$2:E800)*(E800=E$2:E800)))))-COUNTBLANK(OFFSET(A$1,,,SUMPRODUCT(MAX(ROW(E$1:E799)*(E2=E$1:E799))))))</f>
        <v/>
      </c>
      <c r="K800" s="24" t="str">
        <f aca="false">IF(OR(E800="",E800="!!!",F800="NEW"),"",INDEX(J$1:J799,SUMPRODUCT(MAX(ROW(E$1:E799)*(E800=E$1:E799)))))</f>
        <v/>
      </c>
      <c r="L800" s="25"/>
    </row>
    <row r="801" customFormat="false" ht="14.25" hidden="false" customHeight="false" outlineLevel="0" collapsed="false">
      <c r="A801" s="0" t="s">
        <v>630</v>
      </c>
      <c r="E801" s="20" t="str">
        <f aca="false">IF(D801="?OLD","!!!","")</f>
        <v/>
      </c>
      <c r="F801" s="21" t="str">
        <f aca="false">IF(OR(E801="",E801="!!!"),"",IF(NOT(ISNA(VLOOKUP(E801,E$1:E800,1,FALSE()))),"OLD",IF(AND(E801&lt;&gt;"",E801&lt;&gt;"!!!"),"NEW","")))</f>
        <v/>
      </c>
      <c r="G801" s="22" t="str">
        <f aca="false"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aca="false">IF(J801&lt;&gt;1,"",IF(I801="SBJ","CB","?"))</f>
        <v/>
      </c>
      <c r="I801" s="24" t="str">
        <f aca="false">IF(OR(E801="",E801="!!!",F801="NEW"),"",INDEX(B$2:B800,-1+SUMPRODUCT(MAX(ROW(E$2:E800)*(E801=E$2:E800)))))</f>
        <v/>
      </c>
      <c r="J801" s="24" t="str">
        <f aca="true">IF(OR(E801="",E801="!!!",F801="NEW"),"",COUNTBLANK(OFFSET(A$1,,,SUMPRODUCT(MAX(ROW(E$2:E801)*(E801=E$2:E801)))))-COUNTBLANK(OFFSET(A$1,,,SUMPRODUCT(MAX(ROW(E$1:E800)*(E2=E$1:E800))))))</f>
        <v/>
      </c>
      <c r="K801" s="24" t="str">
        <f aca="false">IF(OR(E801="",E801="!!!",F801="NEW"),"",INDEX(J$1:J800,SUMPRODUCT(MAX(ROW(E$1:E800)*(E801=E$1:E800)))))</f>
        <v/>
      </c>
      <c r="L801" s="25"/>
    </row>
    <row r="802" customFormat="false" ht="14.25" hidden="false" customHeight="false" outlineLevel="0" collapsed="false">
      <c r="A802" s="0" t="s">
        <v>631</v>
      </c>
      <c r="E802" s="20" t="str">
        <f aca="false">IF(D802="?OLD","!!!","")</f>
        <v/>
      </c>
      <c r="F802" s="21" t="str">
        <f aca="false">IF(OR(E802="",E802="!!!"),"",IF(NOT(ISNA(VLOOKUP(E802,E$1:E801,1,FALSE()))),"OLD",IF(AND(E802&lt;&gt;"",E802&lt;&gt;"!!!"),"NEW","")))</f>
        <v/>
      </c>
      <c r="G802" s="22" t="str">
        <f aca="false"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aca="false">IF(J802&lt;&gt;1,"",IF(I802="SBJ","CB","?"))</f>
        <v/>
      </c>
      <c r="I802" s="24" t="str">
        <f aca="false">IF(OR(E802="",E802="!!!",F802="NEW"),"",INDEX(B$2:B801,-1+SUMPRODUCT(MAX(ROW(E$2:E801)*(E802=E$2:E801)))))</f>
        <v/>
      </c>
      <c r="J802" s="24" t="str">
        <f aca="true">IF(OR(E802="",E802="!!!",F802="NEW"),"",COUNTBLANK(OFFSET(A$1,,,SUMPRODUCT(MAX(ROW(E$2:E802)*(E802=E$2:E802)))))-COUNTBLANK(OFFSET(A$1,,,SUMPRODUCT(MAX(ROW(E$1:E801)*(E2=E$1:E801))))))</f>
        <v/>
      </c>
      <c r="K802" s="24" t="str">
        <f aca="false">IF(OR(E802="",E802="!!!",F802="NEW"),"",INDEX(J$1:J801,SUMPRODUCT(MAX(ROW(E$1:E801)*(E802=E$1:E801)))))</f>
        <v/>
      </c>
      <c r="L802" s="25"/>
    </row>
    <row r="803" customFormat="false" ht="14.25" hidden="false" customHeight="false" outlineLevel="0" collapsed="false">
      <c r="A803" s="0" t="s">
        <v>87</v>
      </c>
      <c r="B803" s="26" t="s">
        <v>104</v>
      </c>
      <c r="C803" s="26" t="s">
        <v>88</v>
      </c>
      <c r="D803" s="26" t="s">
        <v>75</v>
      </c>
      <c r="E803" s="20" t="s">
        <v>168</v>
      </c>
      <c r="F803" s="21" t="str">
        <f aca="false">IF(OR(E803="",E803="!!!"),"",IF(NOT(ISNA(VLOOKUP(E803,E$1:E802,1,FALSE()))),"OLD",IF(AND(E803&lt;&gt;"",E803&lt;&gt;"!!!"),"NEW","")))</f>
        <v>OLD</v>
      </c>
      <c r="G803" s="22" t="str">
        <f aca="false"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?IN_FOCUS</v>
      </c>
      <c r="H803" s="23" t="str">
        <f aca="false">IF(J803&lt;&gt;1,"",IF(I803="SBJ","CB","?"))</f>
        <v/>
      </c>
      <c r="I803" s="24" t="str">
        <f aca="false">IF(OR(E803="",E803="!!!",F803="NEW"),"",INDEX(B$2:B802,-1+SUMPRODUCT(MAX(ROW(E$2:E802)*(E803=E$2:E802)))))</f>
        <v>SBJ_2</v>
      </c>
      <c r="J803" s="24" t="n">
        <f aca="true">IF(OR(E803="",E803="!!!",F803="NEW"),"",COUNTBLANK(OFFSET(A$1,,,SUMPRODUCT(MAX(ROW(E$2:E803)*(E803=E$2:E803)))))-COUNTBLANK(OFFSET(A$1,,,SUMPRODUCT(MAX(ROW(E$1:E802)*(E2=E$1:E802))))))</f>
        <v>0</v>
      </c>
      <c r="K803" s="24" t="n">
        <f aca="false">IF(OR(E803="",E803="!!!",F803="NEW"),"",INDEX(J$1:J802,SUMPRODUCT(MAX(ROW(E$1:E802)*(E803=E$1:E802)))))</f>
        <v>0</v>
      </c>
      <c r="L803" s="25"/>
    </row>
    <row r="804" customFormat="false" ht="14.25" hidden="false" customHeight="false" outlineLevel="0" collapsed="false">
      <c r="A804" s="0" t="s">
        <v>90</v>
      </c>
      <c r="B804" s="26" t="s">
        <v>110</v>
      </c>
      <c r="E804" s="20" t="str">
        <f aca="false">IF(D804="?OLD","!!!","")</f>
        <v/>
      </c>
      <c r="F804" s="21" t="str">
        <f aca="false">IF(OR(E804="",E804="!!!"),"",IF(NOT(ISNA(VLOOKUP(E804,E$1:E803,1,FALSE()))),"OLD",IF(AND(E804&lt;&gt;"",E804&lt;&gt;"!!!"),"NEW","")))</f>
        <v/>
      </c>
      <c r="G804" s="22" t="str">
        <f aca="false"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aca="false">IF(J804&lt;&gt;1,"",IF(I804="SBJ","CB","?"))</f>
        <v/>
      </c>
      <c r="I804" s="24" t="str">
        <f aca="false">IF(OR(E804="",E804="!!!",F804="NEW"),"",INDEX(B$2:B803,-1+SUMPRODUCT(MAX(ROW(E$2:E803)*(E804=E$2:E803)))))</f>
        <v/>
      </c>
      <c r="J804" s="24" t="str">
        <f aca="true">IF(OR(E804="",E804="!!!",F804="NEW"),"",COUNTBLANK(OFFSET(A$1,,,SUMPRODUCT(MAX(ROW(E$2:E804)*(E804=E$2:E804)))))-COUNTBLANK(OFFSET(A$1,,,SUMPRODUCT(MAX(ROW(E$1:E803)*(E2=E$1:E803))))))</f>
        <v/>
      </c>
      <c r="K804" s="24" t="str">
        <f aca="false">IF(OR(E804="",E804="!!!",F804="NEW"),"",INDEX(J$1:J803,SUMPRODUCT(MAX(ROW(E$1:E803)*(E804=E$1:E803)))))</f>
        <v/>
      </c>
      <c r="L804" s="25"/>
    </row>
    <row r="805" customFormat="false" ht="14.25" hidden="false" customHeight="false" outlineLevel="0" collapsed="false">
      <c r="A805" s="0" t="s">
        <v>632</v>
      </c>
      <c r="E805" s="20" t="str">
        <f aca="false">IF(D805="?OLD","!!!","")</f>
        <v/>
      </c>
      <c r="F805" s="21" t="str">
        <f aca="false">IF(OR(E805="",E805="!!!"),"",IF(NOT(ISNA(VLOOKUP(E805,E$1:E804,1,FALSE()))),"OLD",IF(AND(E805&lt;&gt;"",E805&lt;&gt;"!!!"),"NEW","")))</f>
        <v/>
      </c>
      <c r="G805" s="22" t="str">
        <f aca="false"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aca="false">IF(J805&lt;&gt;1,"",IF(I805="SBJ","CB","?"))</f>
        <v/>
      </c>
      <c r="I805" s="24" t="str">
        <f aca="false">IF(OR(E805="",E805="!!!",F805="NEW"),"",INDEX(B$2:B804,-1+SUMPRODUCT(MAX(ROW(E$2:E804)*(E805=E$2:E804)))))</f>
        <v/>
      </c>
      <c r="J805" s="24" t="str">
        <f aca="true">IF(OR(E805="",E805="!!!",F805="NEW"),"",COUNTBLANK(OFFSET(A$1,,,SUMPRODUCT(MAX(ROW(E$2:E805)*(E805=E$2:E805)))))-COUNTBLANK(OFFSET(A$1,,,SUMPRODUCT(MAX(ROW(E$1:E804)*(E2=E$1:E804))))))</f>
        <v/>
      </c>
      <c r="K805" s="24" t="str">
        <f aca="false">IF(OR(E805="",E805="!!!",F805="NEW"),"",INDEX(J$1:J804,SUMPRODUCT(MAX(ROW(E$1:E804)*(E805=E$1:E804)))))</f>
        <v/>
      </c>
      <c r="L805" s="25"/>
    </row>
    <row r="806" customFormat="false" ht="14.25" hidden="false" customHeight="false" outlineLevel="0" collapsed="false">
      <c r="A806" s="0" t="s">
        <v>101</v>
      </c>
      <c r="E806" s="20" t="str">
        <f aca="false">IF(D806="?OLD","!!!","")</f>
        <v/>
      </c>
      <c r="F806" s="21" t="str">
        <f aca="false">IF(OR(E806="",E806="!!!"),"",IF(NOT(ISNA(VLOOKUP(E806,E$1:E805,1,FALSE()))),"OLD",IF(AND(E806&lt;&gt;"",E806&lt;&gt;"!!!"),"NEW","")))</f>
        <v/>
      </c>
      <c r="G806" s="22" t="str">
        <f aca="false"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aca="false">IF(J806&lt;&gt;1,"",IF(I806="SBJ","CB","?"))</f>
        <v/>
      </c>
      <c r="I806" s="24" t="str">
        <f aca="false">IF(OR(E806="",E806="!!!",F806="NEW"),"",INDEX(B$2:B805,-1+SUMPRODUCT(MAX(ROW(E$2:E805)*(E806=E$2:E805)))))</f>
        <v/>
      </c>
      <c r="J806" s="24" t="str">
        <f aca="true">IF(OR(E806="",E806="!!!",F806="NEW"),"",COUNTBLANK(OFFSET(A$1,,,SUMPRODUCT(MAX(ROW(E$2:E806)*(E806=E$2:E806)))))-COUNTBLANK(OFFSET(A$1,,,SUMPRODUCT(MAX(ROW(E$1:E805)*(E2=E$1:E805))))))</f>
        <v/>
      </c>
      <c r="K806" s="24" t="str">
        <f aca="false">IF(OR(E806="",E806="!!!",F806="NEW"),"",INDEX(J$1:J805,SUMPRODUCT(MAX(ROW(E$1:E805)*(E806=E$1:E805)))))</f>
        <v/>
      </c>
      <c r="L806" s="25"/>
    </row>
    <row r="807" customFormat="false" ht="14.25" hidden="false" customHeight="false" outlineLevel="0" collapsed="false">
      <c r="A807" s="0" t="s">
        <v>167</v>
      </c>
      <c r="E807" s="20" t="str">
        <f aca="false">IF(D807="?OLD","!!!","")</f>
        <v/>
      </c>
      <c r="F807" s="21" t="str">
        <f aca="false">IF(OR(E807="",E807="!!!"),"",IF(NOT(ISNA(VLOOKUP(E807,E$1:E806,1,FALSE()))),"OLD",IF(AND(E807&lt;&gt;"",E807&lt;&gt;"!!!"),"NEW","")))</f>
        <v/>
      </c>
      <c r="G807" s="22" t="str">
        <f aca="false"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aca="false">IF(J807&lt;&gt;1,"",IF(I807="SBJ","CB","?"))</f>
        <v/>
      </c>
      <c r="I807" s="24" t="str">
        <f aca="false">IF(OR(E807="",E807="!!!",F807="NEW"),"",INDEX(B$2:B806,-1+SUMPRODUCT(MAX(ROW(E$2:E806)*(E807=E$2:E806)))))</f>
        <v/>
      </c>
      <c r="J807" s="24" t="str">
        <f aca="true">IF(OR(E807="",E807="!!!",F807="NEW"),"",COUNTBLANK(OFFSET(A$1,,,SUMPRODUCT(MAX(ROW(E$2:E807)*(E807=E$2:E807)))))-COUNTBLANK(OFFSET(A$1,,,SUMPRODUCT(MAX(ROW(E$1:E806)*(E2=E$1:E806))))))</f>
        <v/>
      </c>
      <c r="K807" s="24" t="str">
        <f aca="false">IF(OR(E807="",E807="!!!",F807="NEW"),"",INDEX(J$1:J806,SUMPRODUCT(MAX(ROW(E$1:E806)*(E807=E$1:E806)))))</f>
        <v/>
      </c>
      <c r="L807" s="25"/>
    </row>
    <row r="808" customFormat="false" ht="14.25" hidden="false" customHeight="false" outlineLevel="0" collapsed="false">
      <c r="A808" s="0" t="s">
        <v>160</v>
      </c>
      <c r="E808" s="20" t="s">
        <v>580</v>
      </c>
      <c r="F808" s="21" t="str">
        <f aca="false">IF(OR(E808="",E808="!!!"),"",IF(NOT(ISNA(VLOOKUP(E808,E$1:E807,1,FALSE()))),"OLD",IF(AND(E808&lt;&gt;"",E808&lt;&gt;"!!!"),"NEW","")))</f>
        <v>OLD</v>
      </c>
      <c r="G808" s="22" t="str">
        <f aca="false"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?IN_FOCUS</v>
      </c>
      <c r="H808" s="23" t="str">
        <f aca="false">IF(J808&lt;&gt;1,"",IF(I808="SBJ","CB","?"))</f>
        <v/>
      </c>
      <c r="I808" s="24" t="str">
        <f aca="false">IF(OR(E808="",E808="!!!",F808="NEW"),"",INDEX(B$2:B807,-1+SUMPRODUCT(MAX(ROW(E$2:E807)*(E808=E$2:E807)))))</f>
        <v>SBJ_4</v>
      </c>
      <c r="J808" s="24" t="n">
        <f aca="true">IF(OR(E808="",E808="!!!",F808="NEW"),"",COUNTBLANK(OFFSET(A$1,,,SUMPRODUCT(MAX(ROW(E$2:E808)*(E808=E$2:E808)))))-COUNTBLANK(OFFSET(A$1,,,SUMPRODUCT(MAX(ROW(E$1:E807)*(E2=E$1:E807))))))</f>
        <v>0</v>
      </c>
      <c r="K808" s="24" t="n">
        <f aca="false">IF(OR(E808="",E808="!!!",F808="NEW"),"",INDEX(J$1:J807,SUMPRODUCT(MAX(ROW(E$1:E807)*(E808=E$1:E807)))))</f>
        <v>0</v>
      </c>
      <c r="L808" s="25"/>
    </row>
    <row r="809" customFormat="false" ht="14.25" hidden="false" customHeight="false" outlineLevel="0" collapsed="false">
      <c r="A809" s="0" t="s">
        <v>159</v>
      </c>
      <c r="B809" s="26" t="s">
        <v>96</v>
      </c>
      <c r="C809" s="26" t="s">
        <v>359</v>
      </c>
      <c r="D809" s="26" t="s">
        <v>75</v>
      </c>
      <c r="E809" s="20"/>
      <c r="F809" s="21" t="str">
        <f aca="false">IF(OR(E809="",E809="!!!"),"",IF(NOT(ISNA(VLOOKUP(E809,E$1:E808,1,FALSE()))),"OLD",IF(AND(E809&lt;&gt;"",E809&lt;&gt;"!!!"),"NEW","")))</f>
        <v/>
      </c>
      <c r="G809" s="22" t="str">
        <f aca="false"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aca="false">IF(J809&lt;&gt;1,"",IF(I809="SBJ","CB","?"))</f>
        <v/>
      </c>
      <c r="I809" s="24" t="str">
        <f aca="false">IF(OR(E809="",E809="!!!",F809="NEW"),"",INDEX(B$2:B808,-1+SUMPRODUCT(MAX(ROW(E$2:E808)*(E809=E$2:E808)))))</f>
        <v/>
      </c>
      <c r="J809" s="24" t="str">
        <f aca="true">IF(OR(E809="",E809="!!!",F809="NEW"),"",COUNTBLANK(OFFSET(A$1,,,SUMPRODUCT(MAX(ROW(E$2:E809)*(E809=E$2:E809)))))-COUNTBLANK(OFFSET(A$1,,,SUMPRODUCT(MAX(ROW(E$1:E808)*(E2=E$1:E808))))))</f>
        <v/>
      </c>
      <c r="K809" s="24" t="str">
        <f aca="false">IF(OR(E809="",E809="!!!",F809="NEW"),"",INDEX(J$1:J808,SUMPRODUCT(MAX(ROW(E$1:E808)*(E809=E$1:E808)))))</f>
        <v/>
      </c>
      <c r="L809" s="27" t="s">
        <v>134</v>
      </c>
    </row>
    <row r="810" customFormat="false" ht="14.25" hidden="false" customHeight="false" outlineLevel="0" collapsed="false">
      <c r="A810" s="0" t="s">
        <v>116</v>
      </c>
      <c r="E810" s="20" t="str">
        <f aca="false">IF(D810="?OLD","!!!","")</f>
        <v/>
      </c>
      <c r="F810" s="21" t="str">
        <f aca="false">IF(OR(E810="",E810="!!!"),"",IF(NOT(ISNA(VLOOKUP(E810,E$1:E809,1,FALSE()))),"OLD",IF(AND(E810&lt;&gt;"",E810&lt;&gt;"!!!"),"NEW","")))</f>
        <v/>
      </c>
      <c r="G810" s="22" t="str">
        <f aca="false"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aca="false">IF(J810&lt;&gt;1,"",IF(I810="SBJ","CB","?"))</f>
        <v/>
      </c>
      <c r="I810" s="24" t="str">
        <f aca="false">IF(OR(E810="",E810="!!!",F810="NEW"),"",INDEX(B$2:B809,-1+SUMPRODUCT(MAX(ROW(E$2:E809)*(E810=E$2:E809)))))</f>
        <v/>
      </c>
      <c r="J810" s="24" t="str">
        <f aca="true">IF(OR(E810="",E810="!!!",F810="NEW"),"",COUNTBLANK(OFFSET(A$1,,,SUMPRODUCT(MAX(ROW(E$2:E810)*(E810=E$2:E810)))))-COUNTBLANK(OFFSET(A$1,,,SUMPRODUCT(MAX(ROW(E$1:E809)*(E2=E$1:E809))))))</f>
        <v/>
      </c>
      <c r="K810" s="24" t="str">
        <f aca="false">IF(OR(E810="",E810="!!!",F810="NEW"),"",INDEX(J$1:J809,SUMPRODUCT(MAX(ROW(E$1:E809)*(E810=E$1:E809)))))</f>
        <v/>
      </c>
      <c r="L810" s="25"/>
    </row>
    <row r="811" customFormat="false" ht="14.25" hidden="false" customHeight="false" outlineLevel="0" collapsed="false">
      <c r="A811" s="0" t="s">
        <v>462</v>
      </c>
      <c r="E811" s="20" t="str">
        <f aca="false">IF(D811="?OLD","!!!","")</f>
        <v/>
      </c>
      <c r="F811" s="21" t="str">
        <f aca="false">IF(OR(E811="",E811="!!!"),"",IF(NOT(ISNA(VLOOKUP(E811,E$1:E810,1,FALSE()))),"OLD",IF(AND(E811&lt;&gt;"",E811&lt;&gt;"!!!"),"NEW","")))</f>
        <v/>
      </c>
      <c r="G811" s="22" t="str">
        <f aca="false"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aca="false">IF(J811&lt;&gt;1,"",IF(I811="SBJ","CB","?"))</f>
        <v/>
      </c>
      <c r="I811" s="24" t="str">
        <f aca="false">IF(OR(E811="",E811="!!!",F811="NEW"),"",INDEX(B$2:B810,-1+SUMPRODUCT(MAX(ROW(E$2:E810)*(E811=E$2:E810)))))</f>
        <v/>
      </c>
      <c r="J811" s="24" t="str">
        <f aca="true">IF(OR(E811="",E811="!!!",F811="NEW"),"",COUNTBLANK(OFFSET(A$1,,,SUMPRODUCT(MAX(ROW(E$2:E811)*(E811=E$2:E811)))))-COUNTBLANK(OFFSET(A$1,,,SUMPRODUCT(MAX(ROW(E$1:E810)*(E2=E$1:E810))))))</f>
        <v/>
      </c>
      <c r="K811" s="24" t="str">
        <f aca="false">IF(OR(E811="",E811="!!!",F811="NEW"),"",INDEX(J$1:J810,SUMPRODUCT(MAX(ROW(E$1:E810)*(E811=E$1:E810)))))</f>
        <v/>
      </c>
      <c r="L811" s="25"/>
    </row>
    <row r="812" customFormat="false" ht="14.25" hidden="false" customHeight="false" outlineLevel="0" collapsed="false">
      <c r="A812" s="0" t="s">
        <v>633</v>
      </c>
      <c r="B812" s="26" t="s">
        <v>73</v>
      </c>
      <c r="C812" s="26" t="s">
        <v>105</v>
      </c>
      <c r="E812" s="20" t="str">
        <f aca="false">IF(D812="?OLD","!!!","")</f>
        <v/>
      </c>
      <c r="F812" s="21" t="str">
        <f aca="false">IF(OR(E812="",E812="!!!"),"",IF(NOT(ISNA(VLOOKUP(E812,E$1:E811,1,FALSE()))),"OLD",IF(AND(E812&lt;&gt;"",E812&lt;&gt;"!!!"),"NEW","")))</f>
        <v/>
      </c>
      <c r="G812" s="22" t="str">
        <f aca="false"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aca="false">IF(J812&lt;&gt;1,"",IF(I812="SBJ","CB","?"))</f>
        <v/>
      </c>
      <c r="I812" s="24" t="str">
        <f aca="false">IF(OR(E812="",E812="!!!",F812="NEW"),"",INDEX(B$2:B811,-1+SUMPRODUCT(MAX(ROW(E$2:E811)*(E812=E$2:E811)))))</f>
        <v/>
      </c>
      <c r="J812" s="24" t="str">
        <f aca="true">IF(OR(E812="",E812="!!!",F812="NEW"),"",COUNTBLANK(OFFSET(A$1,,,SUMPRODUCT(MAX(ROW(E$2:E812)*(E812=E$2:E812)))))-COUNTBLANK(OFFSET(A$1,,,SUMPRODUCT(MAX(ROW(E$1:E811)*(E2=E$1:E811))))))</f>
        <v/>
      </c>
      <c r="K812" s="24" t="str">
        <f aca="false">IF(OR(E812="",E812="!!!",F812="NEW"),"",INDEX(J$1:J811,SUMPRODUCT(MAX(ROW(E$1:E811)*(E812=E$1:E811)))))</f>
        <v/>
      </c>
      <c r="L812" s="25"/>
    </row>
    <row r="813" customFormat="false" ht="14.25" hidden="false" customHeight="false" outlineLevel="0" collapsed="false">
      <c r="A813" s="0" t="s">
        <v>455</v>
      </c>
      <c r="E813" s="20" t="str">
        <f aca="false">IF(D813="?OLD","!!!","")</f>
        <v/>
      </c>
      <c r="F813" s="21" t="str">
        <f aca="false">IF(OR(E813="",E813="!!!"),"",IF(NOT(ISNA(VLOOKUP(E813,E$1:E812,1,FALSE()))),"OLD",IF(AND(E813&lt;&gt;"",E813&lt;&gt;"!!!"),"NEW","")))</f>
        <v/>
      </c>
      <c r="G813" s="22" t="str">
        <f aca="false"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aca="false">IF(J813&lt;&gt;1,"",IF(I813="SBJ","CB","?"))</f>
        <v/>
      </c>
      <c r="I813" s="24" t="str">
        <f aca="false">IF(OR(E813="",E813="!!!",F813="NEW"),"",INDEX(B$2:B812,-1+SUMPRODUCT(MAX(ROW(E$2:E812)*(E813=E$2:E812)))))</f>
        <v/>
      </c>
      <c r="J813" s="24" t="str">
        <f aca="true">IF(OR(E813="",E813="!!!",F813="NEW"),"",COUNTBLANK(OFFSET(A$1,,,SUMPRODUCT(MAX(ROW(E$2:E813)*(E813=E$2:E813)))))-COUNTBLANK(OFFSET(A$1,,,SUMPRODUCT(MAX(ROW(E$1:E812)*(E2=E$1:E812))))))</f>
        <v/>
      </c>
      <c r="K813" s="24" t="str">
        <f aca="false">IF(OR(E813="",E813="!!!",F813="NEW"),"",INDEX(J$1:J812,SUMPRODUCT(MAX(ROW(E$1:E812)*(E813=E$1:E812)))))</f>
        <v/>
      </c>
      <c r="L813" s="25"/>
    </row>
    <row r="814" customFormat="false" ht="14.25" hidden="false" customHeight="false" outlineLevel="0" collapsed="false">
      <c r="A814" s="0" t="s">
        <v>193</v>
      </c>
      <c r="B814" s="26" t="s">
        <v>104</v>
      </c>
      <c r="C814" s="26" t="s">
        <v>88</v>
      </c>
      <c r="D814" s="26" t="s">
        <v>75</v>
      </c>
      <c r="E814" s="20" t="s">
        <v>97</v>
      </c>
      <c r="F814" s="21" t="str">
        <f aca="false">IF(OR(E814="",E814="!!!"),"",IF(NOT(ISNA(VLOOKUP(E814,E$1:E813,1,FALSE()))),"OLD",IF(AND(E814&lt;&gt;"",E814&lt;&gt;"!!!"),"NEW","")))</f>
        <v>OLD</v>
      </c>
      <c r="G814" s="22" t="str">
        <f aca="false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?IN_FOCUS</v>
      </c>
      <c r="H814" s="23" t="str">
        <f aca="false">IF(J814&lt;&gt;1,"",IF(I814="SBJ","CB","?"))</f>
        <v/>
      </c>
      <c r="I814" s="24" t="str">
        <f aca="false">IF(OR(E814="",E814="!!!",F814="NEW"),"",INDEX(B$2:B813,-1+SUMPRODUCT(MAX(ROW(E$2:E813)*(E814=E$2:E813)))))</f>
        <v>SBJ_5</v>
      </c>
      <c r="J814" s="24" t="n">
        <f aca="true">IF(OR(E814="",E814="!!!",F814="NEW"),"",COUNTBLANK(OFFSET(A$1,,,SUMPRODUCT(MAX(ROW(E$2:E814)*(E814=E$2:E814)))))-COUNTBLANK(OFFSET(A$1,,,SUMPRODUCT(MAX(ROW(E$1:E813)*(E2=E$1:E813))))))</f>
        <v>0</v>
      </c>
      <c r="K814" s="24" t="n">
        <f aca="false">IF(OR(E814="",E814="!!!",F814="NEW"),"",INDEX(J$1:J813,SUMPRODUCT(MAX(ROW(E$1:E813)*(E814=E$1:E813)))))</f>
        <v>0</v>
      </c>
      <c r="L814" s="25"/>
    </row>
    <row r="815" customFormat="false" ht="14.25" hidden="false" customHeight="false" outlineLevel="0" collapsed="false">
      <c r="A815" s="0" t="s">
        <v>132</v>
      </c>
      <c r="B815" s="26" t="s">
        <v>115</v>
      </c>
      <c r="C815" s="26" t="s">
        <v>209</v>
      </c>
      <c r="D815" s="26" t="s">
        <v>75</v>
      </c>
      <c r="E815" s="20"/>
      <c r="F815" s="21" t="str">
        <f aca="false">IF(OR(E815="",E815="!!!"),"",IF(NOT(ISNA(VLOOKUP(E815,E$1:E814,1,FALSE()))),"OLD",IF(AND(E815&lt;&gt;"",E815&lt;&gt;"!!!"),"NEW","")))</f>
        <v/>
      </c>
      <c r="G815" s="22" t="str">
        <f aca="false"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aca="false">IF(J815&lt;&gt;1,"",IF(I815="SBJ","CB","?"))</f>
        <v/>
      </c>
      <c r="I815" s="24" t="str">
        <f aca="false">IF(OR(E815="",E815="!!!",F815="NEW"),"",INDEX(B$2:B814,-1+SUMPRODUCT(MAX(ROW(E$2:E814)*(E815=E$2:E814)))))</f>
        <v/>
      </c>
      <c r="J815" s="24" t="str">
        <f aca="true">IF(OR(E815="",E815="!!!",F815="NEW"),"",COUNTBLANK(OFFSET(A$1,,,SUMPRODUCT(MAX(ROW(E$2:E815)*(E815=E$2:E815)))))-COUNTBLANK(OFFSET(A$1,,,SUMPRODUCT(MAX(ROW(E$1:E814)*(E2=E$1:E814))))))</f>
        <v/>
      </c>
      <c r="K815" s="24" t="str">
        <f aca="false">IF(OR(E815="",E815="!!!",F815="NEW"),"",INDEX(J$1:J814,SUMPRODUCT(MAX(ROW(E$1:E814)*(E815=E$1:E814)))))</f>
        <v/>
      </c>
      <c r="L815" s="27" t="s">
        <v>134</v>
      </c>
    </row>
    <row r="816" customFormat="false" ht="14.25" hidden="false" customHeight="false" outlineLevel="0" collapsed="false">
      <c r="A816" s="0" t="s">
        <v>101</v>
      </c>
      <c r="E816" s="20" t="str">
        <f aca="false">IF(D816="?OLD","!!!","")</f>
        <v/>
      </c>
      <c r="F816" s="21" t="str">
        <f aca="false">IF(OR(E816="",E816="!!!"),"",IF(NOT(ISNA(VLOOKUP(E816,E$1:E815,1,FALSE()))),"OLD",IF(AND(E816&lt;&gt;"",E816&lt;&gt;"!!!"),"NEW","")))</f>
        <v/>
      </c>
      <c r="G816" s="22" t="str">
        <f aca="false"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aca="false">IF(J816&lt;&gt;1,"",IF(I816="SBJ","CB","?"))</f>
        <v/>
      </c>
      <c r="I816" s="24" t="str">
        <f aca="false">IF(OR(E816="",E816="!!!",F816="NEW"),"",INDEX(B$2:B815,-1+SUMPRODUCT(MAX(ROW(E$2:E815)*(E816=E$2:E815)))))</f>
        <v/>
      </c>
      <c r="J816" s="24" t="str">
        <f aca="true">IF(OR(E816="",E816="!!!",F816="NEW"),"",COUNTBLANK(OFFSET(A$1,,,SUMPRODUCT(MAX(ROW(E$2:E816)*(E816=E$2:E816)))))-COUNTBLANK(OFFSET(A$1,,,SUMPRODUCT(MAX(ROW(E$1:E815)*(E2=E$1:E815))))))</f>
        <v/>
      </c>
      <c r="K816" s="24" t="str">
        <f aca="false">IF(OR(E816="",E816="!!!",F816="NEW"),"",INDEX(J$1:J815,SUMPRODUCT(MAX(ROW(E$1:E815)*(E816=E$1:E815)))))</f>
        <v/>
      </c>
      <c r="L816" s="25"/>
    </row>
    <row r="817" customFormat="false" ht="14.25" hidden="false" customHeight="false" outlineLevel="0" collapsed="false">
      <c r="A817" s="0" t="s">
        <v>634</v>
      </c>
      <c r="E817" s="20" t="str">
        <f aca="false">IF(D817="?OLD","!!!","")</f>
        <v/>
      </c>
      <c r="F817" s="21" t="str">
        <f aca="false">IF(OR(E817="",E817="!!!"),"",IF(NOT(ISNA(VLOOKUP(E817,E$1:E816,1,FALSE()))),"OLD",IF(AND(E817&lt;&gt;"",E817&lt;&gt;"!!!"),"NEW","")))</f>
        <v/>
      </c>
      <c r="G817" s="22" t="str">
        <f aca="false"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aca="false">IF(J817&lt;&gt;1,"",IF(I817="SBJ","CB","?"))</f>
        <v/>
      </c>
      <c r="I817" s="24" t="str">
        <f aca="false">IF(OR(E817="",E817="!!!",F817="NEW"),"",INDEX(B$2:B816,-1+SUMPRODUCT(MAX(ROW(E$2:E816)*(E817=E$2:E816)))))</f>
        <v/>
      </c>
      <c r="J817" s="24" t="str">
        <f aca="true">IF(OR(E817="",E817="!!!",F817="NEW"),"",COUNTBLANK(OFFSET(A$1,,,SUMPRODUCT(MAX(ROW(E$2:E817)*(E817=E$2:E817)))))-COUNTBLANK(OFFSET(A$1,,,SUMPRODUCT(MAX(ROW(E$1:E816)*(E2=E$1:E816))))))</f>
        <v/>
      </c>
      <c r="K817" s="24" t="str">
        <f aca="false">IF(OR(E817="",E817="!!!",F817="NEW"),"",INDEX(J$1:J816,SUMPRODUCT(MAX(ROW(E$1:E816)*(E817=E$1:E816)))))</f>
        <v/>
      </c>
      <c r="L817" s="25"/>
    </row>
    <row r="818" customFormat="false" ht="14.25" hidden="false" customHeight="false" outlineLevel="0" collapsed="false">
      <c r="A818" s="0" t="s">
        <v>635</v>
      </c>
      <c r="E818" s="20" t="str">
        <f aca="false">IF(D818="?OLD","!!!","")</f>
        <v/>
      </c>
      <c r="F818" s="21" t="str">
        <f aca="false">IF(OR(E818="",E818="!!!"),"",IF(NOT(ISNA(VLOOKUP(E818,E$1:E817,1,FALSE()))),"OLD",IF(AND(E818&lt;&gt;"",E818&lt;&gt;"!!!"),"NEW","")))</f>
        <v/>
      </c>
      <c r="G818" s="22" t="str">
        <f aca="false"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aca="false">IF(J818&lt;&gt;1,"",IF(I818="SBJ","CB","?"))</f>
        <v/>
      </c>
      <c r="I818" s="24" t="str">
        <f aca="false">IF(OR(E818="",E818="!!!",F818="NEW"),"",INDEX(B$2:B817,-1+SUMPRODUCT(MAX(ROW(E$2:E817)*(E818=E$2:E817)))))</f>
        <v/>
      </c>
      <c r="J818" s="24" t="str">
        <f aca="true">IF(OR(E818="",E818="!!!",F818="NEW"),"",COUNTBLANK(OFFSET(A$1,,,SUMPRODUCT(MAX(ROW(E$2:E818)*(E818=E$2:E818)))))-COUNTBLANK(OFFSET(A$1,,,SUMPRODUCT(MAX(ROW(E$1:E817)*(E2=E$1:E817))))))</f>
        <v/>
      </c>
      <c r="K818" s="24" t="str">
        <f aca="false">IF(OR(E818="",E818="!!!",F818="NEW"),"",INDEX(J$1:J817,SUMPRODUCT(MAX(ROW(E$1:E817)*(E818=E$1:E817)))))</f>
        <v/>
      </c>
      <c r="L818" s="25"/>
    </row>
    <row r="819" customFormat="false" ht="14.25" hidden="false" customHeight="false" outlineLevel="0" collapsed="false">
      <c r="A819" s="0" t="s">
        <v>101</v>
      </c>
      <c r="E819" s="20" t="str">
        <f aca="false">IF(D819="?OLD","!!!","")</f>
        <v/>
      </c>
      <c r="F819" s="21" t="str">
        <f aca="false">IF(OR(E819="",E819="!!!"),"",IF(NOT(ISNA(VLOOKUP(E819,E$1:E818,1,FALSE()))),"OLD",IF(AND(E819&lt;&gt;"",E819&lt;&gt;"!!!"),"NEW","")))</f>
        <v/>
      </c>
      <c r="G819" s="22" t="str">
        <f aca="false"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aca="false">IF(J819&lt;&gt;1,"",IF(I819="SBJ","CB","?"))</f>
        <v/>
      </c>
      <c r="I819" s="24" t="str">
        <f aca="false">IF(OR(E819="",E819="!!!",F819="NEW"),"",INDEX(B$2:B818,-1+SUMPRODUCT(MAX(ROW(E$2:E818)*(E819=E$2:E818)))))</f>
        <v/>
      </c>
      <c r="J819" s="24" t="str">
        <f aca="true">IF(OR(E819="",E819="!!!",F819="NEW"),"",COUNTBLANK(OFFSET(A$1,,,SUMPRODUCT(MAX(ROW(E$2:E819)*(E819=E$2:E819)))))-COUNTBLANK(OFFSET(A$1,,,SUMPRODUCT(MAX(ROW(E$1:E818)*(E2=E$1:E818))))))</f>
        <v/>
      </c>
      <c r="K819" s="24" t="str">
        <f aca="false">IF(OR(E819="",E819="!!!",F819="NEW"),"",INDEX(J$1:J818,SUMPRODUCT(MAX(ROW(E$1:E818)*(E819=E$1:E818)))))</f>
        <v/>
      </c>
      <c r="L819" s="25"/>
    </row>
    <row r="820" customFormat="false" ht="14.25" hidden="false" customHeight="false" outlineLevel="0" collapsed="false">
      <c r="A820" s="0" t="s">
        <v>636</v>
      </c>
      <c r="E820" s="20" t="str">
        <f aca="false">IF(D820="?OLD","!!!","")</f>
        <v/>
      </c>
      <c r="F820" s="21" t="str">
        <f aca="false">IF(OR(E820="",E820="!!!"),"",IF(NOT(ISNA(VLOOKUP(E820,E$1:E819,1,FALSE()))),"OLD",IF(AND(E820&lt;&gt;"",E820&lt;&gt;"!!!"),"NEW","")))</f>
        <v/>
      </c>
      <c r="G820" s="22" t="str">
        <f aca="false"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aca="false">IF(J820&lt;&gt;1,"",IF(I820="SBJ","CB","?"))</f>
        <v/>
      </c>
      <c r="I820" s="24" t="str">
        <f aca="false">IF(OR(E820="",E820="!!!",F820="NEW"),"",INDEX(B$2:B819,-1+SUMPRODUCT(MAX(ROW(E$2:E819)*(E820=E$2:E819)))))</f>
        <v/>
      </c>
      <c r="J820" s="24" t="str">
        <f aca="true">IF(OR(E820="",E820="!!!",F820="NEW"),"",COUNTBLANK(OFFSET(A$1,,,SUMPRODUCT(MAX(ROW(E$2:E820)*(E820=E$2:E820)))))-COUNTBLANK(OFFSET(A$1,,,SUMPRODUCT(MAX(ROW(E$1:E819)*(E2=E$1:E819))))))</f>
        <v/>
      </c>
      <c r="K820" s="24" t="str">
        <f aca="false">IF(OR(E820="",E820="!!!",F820="NEW"),"",INDEX(J$1:J819,SUMPRODUCT(MAX(ROW(E$1:E819)*(E820=E$1:E819)))))</f>
        <v/>
      </c>
      <c r="L820" s="25"/>
    </row>
    <row r="821" customFormat="false" ht="14.25" hidden="false" customHeight="false" outlineLevel="0" collapsed="false">
      <c r="A821" s="0" t="s">
        <v>340</v>
      </c>
      <c r="B821" s="26" t="s">
        <v>258</v>
      </c>
      <c r="C821" s="26" t="s">
        <v>105</v>
      </c>
      <c r="E821" s="20"/>
      <c r="F821" s="21" t="str">
        <f aca="false">IF(OR(E821="",E821="!!!"),"",IF(NOT(ISNA(VLOOKUP(E821,E$1:E820,1,FALSE()))),"OLD",IF(AND(E821&lt;&gt;"",E821&lt;&gt;"!!!"),"NEW","")))</f>
        <v/>
      </c>
      <c r="G821" s="22" t="str">
        <f aca="false"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aca="false">IF(J821&lt;&gt;1,"",IF(I821="SBJ","CB","?"))</f>
        <v/>
      </c>
      <c r="I821" s="24" t="str">
        <f aca="false">IF(OR(E821="",E821="!!!",F821="NEW"),"",INDEX(B$2:B820,-1+SUMPRODUCT(MAX(ROW(E$2:E820)*(E821=E$2:E820)))))</f>
        <v/>
      </c>
      <c r="J821" s="24" t="str">
        <f aca="true">IF(OR(E821="",E821="!!!",F821="NEW"),"",COUNTBLANK(OFFSET(A$1,,,SUMPRODUCT(MAX(ROW(E$2:E821)*(E821=E$2:E821)))))-COUNTBLANK(OFFSET(A$1,,,SUMPRODUCT(MAX(ROW(E$1:E820)*(E2=E$1:E820))))))</f>
        <v/>
      </c>
      <c r="K821" s="24" t="str">
        <f aca="false">IF(OR(E821="",E821="!!!",F821="NEW"),"",INDEX(J$1:J820,SUMPRODUCT(MAX(ROW(E$1:E820)*(E821=E$1:E820)))))</f>
        <v/>
      </c>
      <c r="L821" s="25"/>
    </row>
    <row r="822" customFormat="false" ht="14.25" hidden="false" customHeight="false" outlineLevel="0" collapsed="false">
      <c r="A822" s="0" t="s">
        <v>101</v>
      </c>
      <c r="E822" s="20" t="str">
        <f aca="false">IF(D822="?OLD","!!!","")</f>
        <v/>
      </c>
      <c r="F822" s="21" t="str">
        <f aca="false">IF(OR(E822="",E822="!!!"),"",IF(NOT(ISNA(VLOOKUP(E822,E$1:E821,1,FALSE()))),"OLD",IF(AND(E822&lt;&gt;"",E822&lt;&gt;"!!!"),"NEW","")))</f>
        <v/>
      </c>
      <c r="G822" s="22" t="str">
        <f aca="false"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aca="false">IF(J822&lt;&gt;1,"",IF(I822="SBJ","CB","?"))</f>
        <v/>
      </c>
      <c r="I822" s="24" t="str">
        <f aca="false">IF(OR(E822="",E822="!!!",F822="NEW"),"",INDEX(B$2:B821,-1+SUMPRODUCT(MAX(ROW(E$2:E821)*(E822=E$2:E821)))))</f>
        <v/>
      </c>
      <c r="J822" s="24" t="str">
        <f aca="true">IF(OR(E822="",E822="!!!",F822="NEW"),"",COUNTBLANK(OFFSET(A$1,,,SUMPRODUCT(MAX(ROW(E$2:E822)*(E822=E$2:E822)))))-COUNTBLANK(OFFSET(A$1,,,SUMPRODUCT(MAX(ROW(E$1:E821)*(E2=E$1:E821))))))</f>
        <v/>
      </c>
      <c r="K822" s="24" t="str">
        <f aca="false">IF(OR(E822="",E822="!!!",F822="NEW"),"",INDEX(J$1:J821,SUMPRODUCT(MAX(ROW(E$1:E821)*(E822=E$1:E821)))))</f>
        <v/>
      </c>
      <c r="L822" s="25"/>
    </row>
    <row r="823" customFormat="false" ht="14.25" hidden="false" customHeight="false" outlineLevel="0" collapsed="false">
      <c r="A823" s="0" t="s">
        <v>136</v>
      </c>
      <c r="E823" s="20"/>
      <c r="F823" s="21" t="str">
        <f aca="false">IF(OR(E823="",E823="!!!"),"",IF(NOT(ISNA(VLOOKUP(E823,E$1:E822,1,FALSE()))),"OLD",IF(AND(E823&lt;&gt;"",E823&lt;&gt;"!!!"),"NEW","")))</f>
        <v/>
      </c>
      <c r="G823" s="22" t="str">
        <f aca="false"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aca="false">IF(J823&lt;&gt;1,"",IF(I823="SBJ","CB","?"))</f>
        <v/>
      </c>
      <c r="I823" s="24" t="str">
        <f aca="false">IF(OR(E823="",E823="!!!",F823="NEW"),"",INDEX(B$2:B822,-1+SUMPRODUCT(MAX(ROW(E$2:E822)*(E823=E$2:E822)))))</f>
        <v/>
      </c>
      <c r="J823" s="24" t="str">
        <f aca="true">IF(OR(E823="",E823="!!!",F823="NEW"),"",COUNTBLANK(OFFSET(A$1,,,SUMPRODUCT(MAX(ROW(E$2:E823)*(E823=E$2:E823)))))-COUNTBLANK(OFFSET(A$1,,,SUMPRODUCT(MAX(ROW(E$1:E822)*(E2=E$1:E822))))))</f>
        <v/>
      </c>
      <c r="K823" s="24" t="str">
        <f aca="false">IF(OR(E823="",E823="!!!",F823="NEW"),"",INDEX(J$1:J822,SUMPRODUCT(MAX(ROW(E$1:E822)*(E823=E$1:E822)))))</f>
        <v/>
      </c>
      <c r="L823" s="25"/>
    </row>
    <row r="824" customFormat="false" ht="14.25" hidden="false" customHeight="false" outlineLevel="0" collapsed="false">
      <c r="A824" s="0" t="s">
        <v>126</v>
      </c>
      <c r="B824" s="26" t="s">
        <v>304</v>
      </c>
      <c r="C824" s="26" t="s">
        <v>74</v>
      </c>
      <c r="D824" s="26" t="s">
        <v>75</v>
      </c>
      <c r="E824" s="20" t="s">
        <v>179</v>
      </c>
      <c r="F824" s="21" t="str">
        <f aca="false">IF(OR(E824="",E824="!!!"),"",IF(NOT(ISNA(VLOOKUP(E824,E$1:E823,1,FALSE()))),"OLD",IF(AND(E824&lt;&gt;"",E824&lt;&gt;"!!!"),"NEW","")))</f>
        <v>OLD</v>
      </c>
      <c r="G824" s="22" t="str">
        <f aca="false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3" t="str">
        <f aca="false">IF(J824&lt;&gt;1,"",IF(I824="SBJ","CB","?"))</f>
        <v/>
      </c>
      <c r="I824" s="24" t="str">
        <f aca="false">IF(OR(E824="",E824="!!!",F824="NEW"),"",INDEX(B$2:B823,-1+SUMPRODUCT(MAX(ROW(E$2:E823)*(E824=E$2:E823)))))</f>
        <v>SBJ_3</v>
      </c>
      <c r="J824" s="24" t="n">
        <f aca="true">IF(OR(E824="",E824="!!!",F824="NEW"),"",COUNTBLANK(OFFSET(A$1,,,SUMPRODUCT(MAX(ROW(E$2:E824)*(E824=E$2:E824)))))-COUNTBLANK(OFFSET(A$1,,,SUMPRODUCT(MAX(ROW(E$1:E823)*(E2=E$1:E823))))))</f>
        <v>0</v>
      </c>
      <c r="K824" s="24" t="n">
        <f aca="false">IF(OR(E824="",E824="!!!",F824="NEW"),"",INDEX(J$1:J823,SUMPRODUCT(MAX(ROW(E$1:E823)*(E824=E$1:E823)))))</f>
        <v>0</v>
      </c>
      <c r="L824" s="25"/>
    </row>
    <row r="825" customFormat="false" ht="14.25" hidden="false" customHeight="false" outlineLevel="0" collapsed="false">
      <c r="A825" s="0" t="s">
        <v>637</v>
      </c>
      <c r="E825" s="20" t="str">
        <f aca="false">IF(D825="?OLD","!!!","")</f>
        <v/>
      </c>
      <c r="F825" s="21" t="str">
        <f aca="false">IF(OR(E825="",E825="!!!"),"",IF(NOT(ISNA(VLOOKUP(E825,E$1:E824,1,FALSE()))),"OLD",IF(AND(E825&lt;&gt;"",E825&lt;&gt;"!!!"),"NEW","")))</f>
        <v/>
      </c>
      <c r="G825" s="22" t="str">
        <f aca="false"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aca="false">IF(J825&lt;&gt;1,"",IF(I825="SBJ","CB","?"))</f>
        <v/>
      </c>
      <c r="I825" s="24" t="str">
        <f aca="false">IF(OR(E825="",E825="!!!",F825="NEW"),"",INDEX(B$2:B824,-1+SUMPRODUCT(MAX(ROW(E$2:E824)*(E825=E$2:E824)))))</f>
        <v/>
      </c>
      <c r="J825" s="24" t="str">
        <f aca="true">IF(OR(E825="",E825="!!!",F825="NEW"),"",COUNTBLANK(OFFSET(A$1,,,SUMPRODUCT(MAX(ROW(E$2:E825)*(E825=E$2:E825)))))-COUNTBLANK(OFFSET(A$1,,,SUMPRODUCT(MAX(ROW(E$1:E824)*(E2=E$1:E824))))))</f>
        <v/>
      </c>
      <c r="K825" s="24" t="str">
        <f aca="false">IF(OR(E825="",E825="!!!",F825="NEW"),"",INDEX(J$1:J824,SUMPRODUCT(MAX(ROW(E$1:E824)*(E825=E$1:E824)))))</f>
        <v/>
      </c>
      <c r="L825" s="25"/>
    </row>
    <row r="826" customFormat="false" ht="14.25" hidden="false" customHeight="false" outlineLevel="0" collapsed="false">
      <c r="A826" s="0" t="s">
        <v>101</v>
      </c>
      <c r="E826" s="20" t="str">
        <f aca="false">IF(D826="?OLD","!!!","")</f>
        <v/>
      </c>
      <c r="F826" s="21" t="str">
        <f aca="false">IF(OR(E826="",E826="!!!"),"",IF(NOT(ISNA(VLOOKUP(E826,E$1:E825,1,FALSE()))),"OLD",IF(AND(E826&lt;&gt;"",E826&lt;&gt;"!!!"),"NEW","")))</f>
        <v/>
      </c>
      <c r="G826" s="22" t="str">
        <f aca="false"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aca="false">IF(J826&lt;&gt;1,"",IF(I826="SBJ","CB","?"))</f>
        <v/>
      </c>
      <c r="I826" s="24" t="str">
        <f aca="false">IF(OR(E826="",E826="!!!",F826="NEW"),"",INDEX(B$2:B825,-1+SUMPRODUCT(MAX(ROW(E$2:E825)*(E826=E$2:E825)))))</f>
        <v/>
      </c>
      <c r="J826" s="24" t="str">
        <f aca="true">IF(OR(E826="",E826="!!!",F826="NEW"),"",COUNTBLANK(OFFSET(A$1,,,SUMPRODUCT(MAX(ROW(E$2:E826)*(E826=E$2:E826)))))-COUNTBLANK(OFFSET(A$1,,,SUMPRODUCT(MAX(ROW(E$1:E825)*(E2=E$1:E825))))))</f>
        <v/>
      </c>
      <c r="K826" s="24" t="str">
        <f aca="false">IF(OR(E826="",E826="!!!",F826="NEW"),"",INDEX(J$1:J825,SUMPRODUCT(MAX(ROW(E$1:E825)*(E826=E$1:E825)))))</f>
        <v/>
      </c>
      <c r="L826" s="25"/>
    </row>
    <row r="827" customFormat="false" ht="14.25" hidden="false" customHeight="false" outlineLevel="0" collapsed="false">
      <c r="A827" s="0" t="s">
        <v>638</v>
      </c>
      <c r="E827" s="20" t="str">
        <f aca="false">IF(D827="?OLD","!!!","")</f>
        <v/>
      </c>
      <c r="F827" s="21" t="str">
        <f aca="false">IF(OR(E827="",E827="!!!"),"",IF(NOT(ISNA(VLOOKUP(E827,E$1:E826,1,FALSE()))),"OLD",IF(AND(E827&lt;&gt;"",E827&lt;&gt;"!!!"),"NEW","")))</f>
        <v/>
      </c>
      <c r="G827" s="22" t="str">
        <f aca="false"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aca="false">IF(J827&lt;&gt;1,"",IF(I827="SBJ","CB","?"))</f>
        <v/>
      </c>
      <c r="I827" s="24" t="str">
        <f aca="false">IF(OR(E827="",E827="!!!",F827="NEW"),"",INDEX(B$2:B826,-1+SUMPRODUCT(MAX(ROW(E$2:E826)*(E827=E$2:E826)))))</f>
        <v/>
      </c>
      <c r="J827" s="24" t="str">
        <f aca="true">IF(OR(E827="",E827="!!!",F827="NEW"),"",COUNTBLANK(OFFSET(A$1,,,SUMPRODUCT(MAX(ROW(E$2:E827)*(E827=E$2:E827)))))-COUNTBLANK(OFFSET(A$1,,,SUMPRODUCT(MAX(ROW(E$1:E826)*(E2=E$1:E826))))))</f>
        <v/>
      </c>
      <c r="K827" s="24" t="str">
        <f aca="false">IF(OR(E827="",E827="!!!",F827="NEW"),"",INDEX(J$1:J826,SUMPRODUCT(MAX(ROW(E$1:E826)*(E827=E$1:E826)))))</f>
        <v/>
      </c>
      <c r="L827" s="25"/>
    </row>
    <row r="828" customFormat="false" ht="14.25" hidden="false" customHeight="false" outlineLevel="0" collapsed="false">
      <c r="A828" s="0" t="s">
        <v>639</v>
      </c>
      <c r="E828" s="20" t="str">
        <f aca="false">IF(D828="?OLD","!!!","")</f>
        <v/>
      </c>
      <c r="F828" s="21" t="str">
        <f aca="false">IF(OR(E828="",E828="!!!"),"",IF(NOT(ISNA(VLOOKUP(E828,E$1:E827,1,FALSE()))),"OLD",IF(AND(E828&lt;&gt;"",E828&lt;&gt;"!!!"),"NEW","")))</f>
        <v/>
      </c>
      <c r="G828" s="22" t="str">
        <f aca="false"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aca="false">IF(J828&lt;&gt;1,"",IF(I828="SBJ","CB","?"))</f>
        <v/>
      </c>
      <c r="I828" s="24" t="str">
        <f aca="false">IF(OR(E828="",E828="!!!",F828="NEW"),"",INDEX(B$2:B827,-1+SUMPRODUCT(MAX(ROW(E$2:E827)*(E828=E$2:E827)))))</f>
        <v/>
      </c>
      <c r="J828" s="24" t="str">
        <f aca="true">IF(OR(E828="",E828="!!!",F828="NEW"),"",COUNTBLANK(OFFSET(A$1,,,SUMPRODUCT(MAX(ROW(E$2:E828)*(E828=E$2:E828)))))-COUNTBLANK(OFFSET(A$1,,,SUMPRODUCT(MAX(ROW(E$1:E827)*(E2=E$1:E827))))))</f>
        <v/>
      </c>
      <c r="K828" s="24" t="str">
        <f aca="false">IF(OR(E828="",E828="!!!",F828="NEW"),"",INDEX(J$1:J827,SUMPRODUCT(MAX(ROW(E$1:E827)*(E828=E$1:E827)))))</f>
        <v/>
      </c>
      <c r="L828" s="25"/>
    </row>
    <row r="829" customFormat="false" ht="14.25" hidden="false" customHeight="false" outlineLevel="0" collapsed="false">
      <c r="A829" s="0" t="s">
        <v>640</v>
      </c>
      <c r="E829" s="20" t="str">
        <f aca="false">IF(D829="?OLD","!!!","")</f>
        <v/>
      </c>
      <c r="F829" s="21" t="str">
        <f aca="false">IF(OR(E829="",E829="!!!"),"",IF(NOT(ISNA(VLOOKUP(E829,E$1:E828,1,FALSE()))),"OLD",IF(AND(E829&lt;&gt;"",E829&lt;&gt;"!!!"),"NEW","")))</f>
        <v/>
      </c>
      <c r="G829" s="22" t="str">
        <f aca="false"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aca="false">IF(J829&lt;&gt;1,"",IF(I829="SBJ","CB","?"))</f>
        <v/>
      </c>
      <c r="I829" s="24" t="str">
        <f aca="false">IF(OR(E829="",E829="!!!",F829="NEW"),"",INDEX(B$2:B828,-1+SUMPRODUCT(MAX(ROW(E$2:E828)*(E829=E$2:E828)))))</f>
        <v/>
      </c>
      <c r="J829" s="24" t="str">
        <f aca="true">IF(OR(E829="",E829="!!!",F829="NEW"),"",COUNTBLANK(OFFSET(A$1,,,SUMPRODUCT(MAX(ROW(E$2:E829)*(E829=E$2:E829)))))-COUNTBLANK(OFFSET(A$1,,,SUMPRODUCT(MAX(ROW(E$1:E828)*(E2=E$1:E828))))))</f>
        <v/>
      </c>
      <c r="K829" s="24" t="str">
        <f aca="false">IF(OR(E829="",E829="!!!",F829="NEW"),"",INDEX(J$1:J828,SUMPRODUCT(MAX(ROW(E$1:E828)*(E829=E$1:E828)))))</f>
        <v/>
      </c>
      <c r="L829" s="25"/>
    </row>
    <row r="830" customFormat="false" ht="14.25" hidden="false" customHeight="false" outlineLevel="0" collapsed="false">
      <c r="A830" s="0" t="s">
        <v>641</v>
      </c>
      <c r="E830" s="20" t="str">
        <f aca="false">IF(D830="?OLD","!!!","")</f>
        <v/>
      </c>
      <c r="F830" s="21" t="str">
        <f aca="false">IF(OR(E830="",E830="!!!"),"",IF(NOT(ISNA(VLOOKUP(E830,E$1:E829,1,FALSE()))),"OLD",IF(AND(E830&lt;&gt;"",E830&lt;&gt;"!!!"),"NEW","")))</f>
        <v/>
      </c>
      <c r="G830" s="22" t="str">
        <f aca="false"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aca="false">IF(J830&lt;&gt;1,"",IF(I830="SBJ","CB","?"))</f>
        <v/>
      </c>
      <c r="I830" s="24" t="str">
        <f aca="false">IF(OR(E830="",E830="!!!",F830="NEW"),"",INDEX(B$2:B829,-1+SUMPRODUCT(MAX(ROW(E$2:E829)*(E830=E$2:E829)))))</f>
        <v/>
      </c>
      <c r="J830" s="24" t="str">
        <f aca="true">IF(OR(E830="",E830="!!!",F830="NEW"),"",COUNTBLANK(OFFSET(A$1,,,SUMPRODUCT(MAX(ROW(E$2:E830)*(E830=E$2:E830)))))-COUNTBLANK(OFFSET(A$1,,,SUMPRODUCT(MAX(ROW(E$1:E829)*(E2=E$1:E829))))))</f>
        <v/>
      </c>
      <c r="K830" s="24" t="str">
        <f aca="false">IF(OR(E830="",E830="!!!",F830="NEW"),"",INDEX(J$1:J829,SUMPRODUCT(MAX(ROW(E$1:E829)*(E830=E$1:E829)))))</f>
        <v/>
      </c>
      <c r="L830" s="25"/>
    </row>
    <row r="831" customFormat="false" ht="14.25" hidden="false" customHeight="false" outlineLevel="0" collapsed="false">
      <c r="A831" s="0" t="s">
        <v>455</v>
      </c>
      <c r="E831" s="20" t="str">
        <f aca="false">IF(D831="?OLD","!!!","")</f>
        <v/>
      </c>
      <c r="F831" s="21" t="str">
        <f aca="false">IF(OR(E831="",E831="!!!"),"",IF(NOT(ISNA(VLOOKUP(E831,E$1:E830,1,FALSE()))),"OLD",IF(AND(E831&lt;&gt;"",E831&lt;&gt;"!!!"),"NEW","")))</f>
        <v/>
      </c>
      <c r="G831" s="22" t="str">
        <f aca="false"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aca="false">IF(J831&lt;&gt;1,"",IF(I831="SBJ","CB","?"))</f>
        <v/>
      </c>
      <c r="I831" s="24" t="str">
        <f aca="false">IF(OR(E831="",E831="!!!",F831="NEW"),"",INDEX(B$2:B830,-1+SUMPRODUCT(MAX(ROW(E$2:E830)*(E831=E$2:E830)))))</f>
        <v/>
      </c>
      <c r="J831" s="24" t="str">
        <f aca="true">IF(OR(E831="",E831="!!!",F831="NEW"),"",COUNTBLANK(OFFSET(A$1,,,SUMPRODUCT(MAX(ROW(E$2:E831)*(E831=E$2:E831)))))-COUNTBLANK(OFFSET(A$1,,,SUMPRODUCT(MAX(ROW(E$1:E830)*(E2=E$1:E830))))))</f>
        <v/>
      </c>
      <c r="K831" s="24" t="str">
        <f aca="false">IF(OR(E831="",E831="!!!",F831="NEW"),"",INDEX(J$1:J830,SUMPRODUCT(MAX(ROW(E$1:E830)*(E831=E$1:E830)))))</f>
        <v/>
      </c>
      <c r="L831" s="25"/>
    </row>
    <row r="832" customFormat="false" ht="14.25" hidden="false" customHeight="false" outlineLevel="0" collapsed="false">
      <c r="A832" s="0" t="s">
        <v>71</v>
      </c>
      <c r="E832" s="20" t="str">
        <f aca="false">IF(D832="?OLD","!!!","")</f>
        <v/>
      </c>
      <c r="F832" s="21" t="str">
        <f aca="false">IF(OR(E832="",E832="!!!"),"",IF(NOT(ISNA(VLOOKUP(E832,E$1:E831,1,FALSE()))),"OLD",IF(AND(E832&lt;&gt;"",E832&lt;&gt;"!!!"),"NEW","")))</f>
        <v/>
      </c>
      <c r="G832" s="22" t="str">
        <f aca="false"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aca="false">IF(J832&lt;&gt;1,"",IF(I832="SBJ","CB","?"))</f>
        <v/>
      </c>
      <c r="I832" s="24" t="str">
        <f aca="false">IF(OR(E832="",E832="!!!",F832="NEW"),"",INDEX(B$2:B831,-1+SUMPRODUCT(MAX(ROW(E$2:E831)*(E832=E$2:E831)))))</f>
        <v/>
      </c>
      <c r="J832" s="24" t="str">
        <f aca="true">IF(OR(E832="",E832="!!!",F832="NEW"),"",COUNTBLANK(OFFSET(A$1,,,SUMPRODUCT(MAX(ROW(E$2:E832)*(E832=E$2:E832)))))-COUNTBLANK(OFFSET(A$1,,,SUMPRODUCT(MAX(ROW(E$1:E831)*(E2=E$1:E831))))))</f>
        <v/>
      </c>
      <c r="K832" s="24" t="str">
        <f aca="false">IF(OR(E832="",E832="!!!",F832="NEW"),"",INDEX(J$1:J831,SUMPRODUCT(MAX(ROW(E$1:E831)*(E832=E$1:E831)))))</f>
        <v/>
      </c>
      <c r="L832" s="25"/>
    </row>
    <row r="833" customFormat="false" ht="14.25" hidden="false" customHeight="false" outlineLevel="0" collapsed="false">
      <c r="A833" s="0" t="s">
        <v>642</v>
      </c>
      <c r="E833" s="20" t="str">
        <f aca="false">IF(D833="?OLD","!!!","")</f>
        <v/>
      </c>
      <c r="F833" s="21" t="str">
        <f aca="false">IF(OR(E833="",E833="!!!"),"",IF(NOT(ISNA(VLOOKUP(E833,E$1:E832,1,FALSE()))),"OLD",IF(AND(E833&lt;&gt;"",E833&lt;&gt;"!!!"),"NEW","")))</f>
        <v/>
      </c>
      <c r="G833" s="22" t="str">
        <f aca="false"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aca="false">IF(J833&lt;&gt;1,"",IF(I833="SBJ","CB","?"))</f>
        <v/>
      </c>
      <c r="I833" s="24" t="str">
        <f aca="false">IF(OR(E833="",E833="!!!",F833="NEW"),"",INDEX(B$2:B832,-1+SUMPRODUCT(MAX(ROW(E$2:E832)*(E833=E$2:E832)))))</f>
        <v/>
      </c>
      <c r="J833" s="24" t="str">
        <f aca="true">IF(OR(E833="",E833="!!!",F833="NEW"),"",COUNTBLANK(OFFSET(A$1,,,SUMPRODUCT(MAX(ROW(E$2:E833)*(E833=E$2:E833)))))-COUNTBLANK(OFFSET(A$1,,,SUMPRODUCT(MAX(ROW(E$1:E832)*(E2=E$1:E832))))))</f>
        <v/>
      </c>
      <c r="K833" s="24" t="str">
        <f aca="false">IF(OR(E833="",E833="!!!",F833="NEW"),"",INDEX(J$1:J832,SUMPRODUCT(MAX(ROW(E$1:E832)*(E833=E$1:E832)))))</f>
        <v/>
      </c>
      <c r="L833" s="25"/>
    </row>
    <row r="834" customFormat="false" ht="14.25" hidden="false" customHeight="false" outlineLevel="0" collapsed="false">
      <c r="A834" s="0" t="s">
        <v>643</v>
      </c>
      <c r="B834" s="26" t="s">
        <v>258</v>
      </c>
      <c r="C834" s="26" t="s">
        <v>74</v>
      </c>
      <c r="D834" s="26" t="s">
        <v>75</v>
      </c>
      <c r="E834" s="20" t="s">
        <v>644</v>
      </c>
      <c r="F834" s="21" t="str">
        <f aca="false">IF(OR(E834="",E834="!!!"),"",IF(NOT(ISNA(VLOOKUP(E834,E$1:E833,1,FALSE()))),"OLD",IF(AND(E834&lt;&gt;"",E834&lt;&gt;"!!!"),"NEW","")))</f>
        <v>NEW</v>
      </c>
      <c r="G834" s="22" t="str">
        <f aca="false"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?REFERENTIAL</v>
      </c>
      <c r="H834" s="23" t="str">
        <f aca="false">IF(J834&lt;&gt;1,"",IF(I834="SBJ","CB","?"))</f>
        <v/>
      </c>
      <c r="I834" s="24" t="str">
        <f aca="false">IF(OR(E834="",E834="!!!",F834="NEW"),"",INDEX(B$2:B833,-1+SUMPRODUCT(MAX(ROW(E$2:E833)*(E834=E$2:E833)))))</f>
        <v/>
      </c>
      <c r="J834" s="24" t="str">
        <f aca="true">IF(OR(E834="",E834="!!!",F834="NEW"),"",COUNTBLANK(OFFSET(A$1,,,SUMPRODUCT(MAX(ROW(E$2:E834)*(E834=E$2:E834)))))-COUNTBLANK(OFFSET(A$1,,,SUMPRODUCT(MAX(ROW(E$1:E833)*(E2=E$1:E833))))))</f>
        <v/>
      </c>
      <c r="K834" s="24" t="str">
        <f aca="false">IF(OR(E834="",E834="!!!",F834="NEW"),"",INDEX(J$1:J833,SUMPRODUCT(MAX(ROW(E$1:E833)*(E834=E$1:E833)))))</f>
        <v/>
      </c>
      <c r="L834" s="25"/>
    </row>
    <row r="835" customFormat="false" ht="14.25" hidden="false" customHeight="false" outlineLevel="0" collapsed="false">
      <c r="A835" s="0" t="s">
        <v>78</v>
      </c>
      <c r="E835" s="20" t="str">
        <f aca="false">IF(D835="?OLD","!!!","")</f>
        <v/>
      </c>
      <c r="F835" s="21" t="str">
        <f aca="false">IF(OR(E835="",E835="!!!"),"",IF(NOT(ISNA(VLOOKUP(E835,E$1:E834,1,FALSE()))),"OLD",IF(AND(E835&lt;&gt;"",E835&lt;&gt;"!!!"),"NEW","")))</f>
        <v/>
      </c>
      <c r="G835" s="22" t="str">
        <f aca="false"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aca="false">IF(J835&lt;&gt;1,"",IF(I835="SBJ","CB","?"))</f>
        <v/>
      </c>
      <c r="I835" s="24" t="str">
        <f aca="false">IF(OR(E835="",E835="!!!",F835="NEW"),"",INDEX(B$2:B834,-1+SUMPRODUCT(MAX(ROW(E$2:E834)*(E835=E$2:E834)))))</f>
        <v/>
      </c>
      <c r="J835" s="24" t="str">
        <f aca="true">IF(OR(E835="",E835="!!!",F835="NEW"),"",COUNTBLANK(OFFSET(A$1,,,SUMPRODUCT(MAX(ROW(E$2:E835)*(E835=E$2:E835)))))-COUNTBLANK(OFFSET(A$1,,,SUMPRODUCT(MAX(ROW(E$1:E834)*(E2=E$1:E834))))))</f>
        <v/>
      </c>
      <c r="K835" s="24" t="str">
        <f aca="false">IF(OR(E835="",E835="!!!",F835="NEW"),"",INDEX(J$1:J834,SUMPRODUCT(MAX(ROW(E$1:E834)*(E835=E$1:E834)))))</f>
        <v/>
      </c>
      <c r="L835" s="25"/>
    </row>
    <row r="836" customFormat="false" ht="14.25" hidden="false" customHeight="false" outlineLevel="0" collapsed="false">
      <c r="A836" s="0" t="s">
        <v>645</v>
      </c>
      <c r="E836" s="20" t="str">
        <f aca="false">IF(D836="?OLD","!!!","")</f>
        <v/>
      </c>
      <c r="F836" s="21" t="str">
        <f aca="false">IF(OR(E836="",E836="!!!"),"",IF(NOT(ISNA(VLOOKUP(E836,E$1:E835,1,FALSE()))),"OLD",IF(AND(E836&lt;&gt;"",E836&lt;&gt;"!!!"),"NEW","")))</f>
        <v/>
      </c>
      <c r="G836" s="22" t="str">
        <f aca="false"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aca="false">IF(J836&lt;&gt;1,"",IF(I836="SBJ","CB","?"))</f>
        <v/>
      </c>
      <c r="I836" s="24" t="str">
        <f aca="false">IF(OR(E836="",E836="!!!",F836="NEW"),"",INDEX(B$2:B835,-1+SUMPRODUCT(MAX(ROW(E$2:E835)*(E836=E$2:E835)))))</f>
        <v/>
      </c>
      <c r="J836" s="24" t="str">
        <f aca="true">IF(OR(E836="",E836="!!!",F836="NEW"),"",COUNTBLANK(OFFSET(A$1,,,SUMPRODUCT(MAX(ROW(E$2:E836)*(E836=E$2:E836)))))-COUNTBLANK(OFFSET(A$1,,,SUMPRODUCT(MAX(ROW(E$1:E835)*(E2=E$1:E835))))))</f>
        <v/>
      </c>
      <c r="K836" s="24" t="str">
        <f aca="false">IF(OR(E836="",E836="!!!",F836="NEW"),"",INDEX(J$1:J835,SUMPRODUCT(MAX(ROW(E$1:E835)*(E836=E$1:E835)))))</f>
        <v/>
      </c>
      <c r="L836" s="25"/>
    </row>
    <row r="837" customFormat="false" ht="14.25" hidden="false" customHeight="false" outlineLevel="0" collapsed="false">
      <c r="A837" s="0" t="s">
        <v>86</v>
      </c>
      <c r="E837" s="20" t="str">
        <f aca="false">IF(D837="?OLD","!!!","")</f>
        <v/>
      </c>
      <c r="F837" s="21" t="str">
        <f aca="false">IF(OR(E837="",E837="!!!"),"",IF(NOT(ISNA(VLOOKUP(E837,E$1:E836,1,FALSE()))),"OLD",IF(AND(E837&lt;&gt;"",E837&lt;&gt;"!!!"),"NEW","")))</f>
        <v/>
      </c>
      <c r="G837" s="22" t="str">
        <f aca="false"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aca="false">IF(J837&lt;&gt;1,"",IF(I837="SBJ","CB","?"))</f>
        <v/>
      </c>
      <c r="I837" s="24" t="str">
        <f aca="false">IF(OR(E837="",E837="!!!",F837="NEW"),"",INDEX(B$2:B836,-1+SUMPRODUCT(MAX(ROW(E$2:E836)*(E837=E$2:E836)))))</f>
        <v/>
      </c>
      <c r="J837" s="24" t="str">
        <f aca="true">IF(OR(E837="",E837="!!!",F837="NEW"),"",COUNTBLANK(OFFSET(A$1,,,SUMPRODUCT(MAX(ROW(E$2:E837)*(E837=E$2:E837)))))-COUNTBLANK(OFFSET(A$1,,,SUMPRODUCT(MAX(ROW(E$1:E836)*(E2=E$1:E836))))))</f>
        <v/>
      </c>
      <c r="K837" s="24" t="str">
        <f aca="false">IF(OR(E837="",E837="!!!",F837="NEW"),"",INDEX(J$1:J836,SUMPRODUCT(MAX(ROW(E$1:E836)*(E837=E$1:E836)))))</f>
        <v/>
      </c>
      <c r="L837" s="25"/>
    </row>
    <row r="838" customFormat="false" ht="14.25" hidden="false" customHeight="false" outlineLevel="0" collapsed="false">
      <c r="A838" s="0" t="s">
        <v>71</v>
      </c>
      <c r="E838" s="20" t="str">
        <f aca="false">IF(D838="?OLD","!!!","")</f>
        <v/>
      </c>
      <c r="F838" s="21" t="str">
        <f aca="false">IF(OR(E838="",E838="!!!"),"",IF(NOT(ISNA(VLOOKUP(E838,E$1:E837,1,FALSE()))),"OLD",IF(AND(E838&lt;&gt;"",E838&lt;&gt;"!!!"),"NEW","")))</f>
        <v/>
      </c>
      <c r="G838" s="22" t="str">
        <f aca="false"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aca="false">IF(J838&lt;&gt;1,"",IF(I838="SBJ","CB","?"))</f>
        <v/>
      </c>
      <c r="I838" s="24" t="str">
        <f aca="false">IF(OR(E838="",E838="!!!",F838="NEW"),"",INDEX(B$2:B837,-1+SUMPRODUCT(MAX(ROW(E$2:E837)*(E838=E$2:E837)))))</f>
        <v/>
      </c>
      <c r="J838" s="24" t="str">
        <f aca="true">IF(OR(E838="",E838="!!!",F838="NEW"),"",COUNTBLANK(OFFSET(A$1,,,SUMPRODUCT(MAX(ROW(E$2:E838)*(E838=E$2:E838)))))-COUNTBLANK(OFFSET(A$1,,,SUMPRODUCT(MAX(ROW(E$1:E837)*(E2=E$1:E837))))))</f>
        <v/>
      </c>
      <c r="K838" s="24" t="str">
        <f aca="false">IF(OR(E838="",E838="!!!",F838="NEW"),"",INDEX(J$1:J837,SUMPRODUCT(MAX(ROW(E$1:E837)*(E838=E$1:E837)))))</f>
        <v/>
      </c>
      <c r="L838" s="25"/>
    </row>
    <row r="839" customFormat="false" ht="14.25" hidden="false" customHeight="false" outlineLevel="0" collapsed="false">
      <c r="A839" s="0" t="s">
        <v>646</v>
      </c>
      <c r="B839" s="26" t="s">
        <v>258</v>
      </c>
      <c r="C839" s="26" t="s">
        <v>105</v>
      </c>
      <c r="E839" s="20" t="s">
        <v>647</v>
      </c>
      <c r="F839" s="21" t="str">
        <f aca="false">IF(OR(E839="",E839="!!!"),"",IF(NOT(ISNA(VLOOKUP(E839,E$1:E838,1,FALSE()))),"OLD",IF(AND(E839&lt;&gt;"",E839&lt;&gt;"!!!"),"NEW","")))</f>
        <v>NEW</v>
      </c>
      <c r="G839" s="22" t="str">
        <f aca="false"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?REFERENTIAL</v>
      </c>
      <c r="H839" s="23" t="str">
        <f aca="false">IF(J839&lt;&gt;1,"",IF(I839="SBJ","CB","?"))</f>
        <v/>
      </c>
      <c r="I839" s="24" t="str">
        <f aca="false">IF(OR(E839="",E839="!!!",F839="NEW"),"",INDEX(B$2:B838,-1+SUMPRODUCT(MAX(ROW(E$2:E838)*(E839=E$2:E838)))))</f>
        <v/>
      </c>
      <c r="J839" s="24" t="str">
        <f aca="true">IF(OR(E839="",E839="!!!",F839="NEW"),"",COUNTBLANK(OFFSET(A$1,,,SUMPRODUCT(MAX(ROW(E$2:E839)*(E839=E$2:E839)))))-COUNTBLANK(OFFSET(A$1,,,SUMPRODUCT(MAX(ROW(E$1:E838)*(E2=E$1:E838))))))</f>
        <v/>
      </c>
      <c r="K839" s="24" t="str">
        <f aca="false">IF(OR(E839="",E839="!!!",F839="NEW"),"",INDEX(J$1:J838,SUMPRODUCT(MAX(ROW(E$1:E838)*(E839=E$1:E838)))))</f>
        <v/>
      </c>
      <c r="L839" s="25"/>
    </row>
    <row r="840" customFormat="false" ht="14.25" hidden="false" customHeight="false" outlineLevel="0" collapsed="false">
      <c r="A840" s="0" t="s">
        <v>648</v>
      </c>
      <c r="E840" s="20" t="str">
        <f aca="false">IF(D840="?OLD","!!!","")</f>
        <v/>
      </c>
      <c r="F840" s="21" t="str">
        <f aca="false">IF(OR(E840="",E840="!!!"),"",IF(NOT(ISNA(VLOOKUP(E840,E$1:E839,1,FALSE()))),"OLD",IF(AND(E840&lt;&gt;"",E840&lt;&gt;"!!!"),"NEW","")))</f>
        <v/>
      </c>
      <c r="G840" s="22" t="str">
        <f aca="false"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aca="false">IF(J840&lt;&gt;1,"",IF(I840="SBJ","CB","?"))</f>
        <v/>
      </c>
      <c r="I840" s="24" t="str">
        <f aca="false">IF(OR(E840="",E840="!!!",F840="NEW"),"",INDEX(B$2:B839,-1+SUMPRODUCT(MAX(ROW(E$2:E839)*(E840=E$2:E839)))))</f>
        <v/>
      </c>
      <c r="J840" s="24" t="str">
        <f aca="true">IF(OR(E840="",E840="!!!",F840="NEW"),"",COUNTBLANK(OFFSET(A$1,,,SUMPRODUCT(MAX(ROW(E$2:E840)*(E840=E$2:E840)))))-COUNTBLANK(OFFSET(A$1,,,SUMPRODUCT(MAX(ROW(E$1:E839)*(E2=E$1:E839))))))</f>
        <v/>
      </c>
      <c r="K840" s="24" t="str">
        <f aca="false">IF(OR(E840="",E840="!!!",F840="NEW"),"",INDEX(J$1:J839,SUMPRODUCT(MAX(ROW(E$1:E839)*(E840=E$1:E839)))))</f>
        <v/>
      </c>
      <c r="L840" s="25"/>
    </row>
    <row r="841" customFormat="false" ht="14.25" hidden="false" customHeight="false" outlineLevel="0" collapsed="false">
      <c r="A841" s="0" t="s">
        <v>101</v>
      </c>
      <c r="E841" s="20" t="str">
        <f aca="false">IF(D841="?OLD","!!!","")</f>
        <v/>
      </c>
      <c r="F841" s="21" t="str">
        <f aca="false">IF(OR(E841="",E841="!!!"),"",IF(NOT(ISNA(VLOOKUP(E841,E$1:E840,1,FALSE()))),"OLD",IF(AND(E841&lt;&gt;"",E841&lt;&gt;"!!!"),"NEW","")))</f>
        <v/>
      </c>
      <c r="G841" s="22" t="str">
        <f aca="false"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3" t="str">
        <f aca="false">IF(J841&lt;&gt;1,"",IF(I841="SBJ","CB","?"))</f>
        <v/>
      </c>
      <c r="I841" s="24" t="str">
        <f aca="false">IF(OR(E841="",E841="!!!",F841="NEW"),"",INDEX(B$2:B840,-1+SUMPRODUCT(MAX(ROW(E$2:E840)*(E841=E$2:E840)))))</f>
        <v/>
      </c>
      <c r="J841" s="24" t="str">
        <f aca="true">IF(OR(E841="",E841="!!!",F841="NEW"),"",COUNTBLANK(OFFSET(A$1,,,SUMPRODUCT(MAX(ROW(E$2:E841)*(E841=E$2:E841)))))-COUNTBLANK(OFFSET(A$1,,,SUMPRODUCT(MAX(ROW(E$1:E840)*(E2=E$1:E840))))))</f>
        <v/>
      </c>
      <c r="K841" s="24" t="str">
        <f aca="false">IF(OR(E841="",E841="!!!",F841="NEW"),"",INDEX(J$1:J840,SUMPRODUCT(MAX(ROW(E$1:E840)*(E841=E$1:E840)))))</f>
        <v/>
      </c>
      <c r="L841" s="25"/>
    </row>
    <row r="842" customFormat="false" ht="14.25" hidden="false" customHeight="false" outlineLevel="0" collapsed="false">
      <c r="A842" s="0" t="s">
        <v>102</v>
      </c>
      <c r="E842" s="20" t="str">
        <f aca="false">IF(D842="?OLD","!!!","")</f>
        <v/>
      </c>
      <c r="F842" s="21" t="str">
        <f aca="false">IF(OR(E842="",E842="!!!"),"",IF(NOT(ISNA(VLOOKUP(E842,E$1:E841,1,FALSE()))),"OLD",IF(AND(E842&lt;&gt;"",E842&lt;&gt;"!!!"),"NEW","")))</f>
        <v/>
      </c>
      <c r="G842" s="22" t="str">
        <f aca="false"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aca="false">IF(J842&lt;&gt;1,"",IF(I842="SBJ","CB","?"))</f>
        <v/>
      </c>
      <c r="I842" s="24" t="str">
        <f aca="false">IF(OR(E842="",E842="!!!",F842="NEW"),"",INDEX(B$2:B841,-1+SUMPRODUCT(MAX(ROW(E$2:E841)*(E842=E$2:E841)))))</f>
        <v/>
      </c>
      <c r="J842" s="24" t="str">
        <f aca="true">IF(OR(E842="",E842="!!!",F842="NEW"),"",COUNTBLANK(OFFSET(A$1,,,SUMPRODUCT(MAX(ROW(E$2:E842)*(E842=E$2:E842)))))-COUNTBLANK(OFFSET(A$1,,,SUMPRODUCT(MAX(ROW(E$1:E841)*(E2=E$1:E841))))))</f>
        <v/>
      </c>
      <c r="K842" s="24" t="str">
        <f aca="false">IF(OR(E842="",E842="!!!",F842="NEW"),"",INDEX(J$1:J841,SUMPRODUCT(MAX(ROW(E$1:E841)*(E842=E$1:E841)))))</f>
        <v/>
      </c>
      <c r="L842" s="25"/>
    </row>
    <row r="843" customFormat="false" ht="14.25" hidden="false" customHeight="false" outlineLevel="0" collapsed="false">
      <c r="A843" s="0" t="s">
        <v>649</v>
      </c>
      <c r="B843" s="26" t="s">
        <v>208</v>
      </c>
      <c r="C843" s="26" t="s">
        <v>105</v>
      </c>
      <c r="E843" s="20" t="str">
        <f aca="false">IF(D843="?OLD","!!!","")</f>
        <v/>
      </c>
      <c r="F843" s="21" t="str">
        <f aca="false">IF(OR(E843="",E843="!!!"),"",IF(NOT(ISNA(VLOOKUP(E843,E$1:E842,1,FALSE()))),"OLD",IF(AND(E843&lt;&gt;"",E843&lt;&gt;"!!!"),"NEW","")))</f>
        <v/>
      </c>
      <c r="G843" s="22" t="str">
        <f aca="false"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3" t="str">
        <f aca="false">IF(J843&lt;&gt;1,"",IF(I843="SBJ","CB","?"))</f>
        <v/>
      </c>
      <c r="I843" s="24" t="str">
        <f aca="false">IF(OR(E843="",E843="!!!",F843="NEW"),"",INDEX(B$2:B842,-1+SUMPRODUCT(MAX(ROW(E$2:E842)*(E843=E$2:E842)))))</f>
        <v/>
      </c>
      <c r="J843" s="24" t="str">
        <f aca="true">IF(OR(E843="",E843="!!!",F843="NEW"),"",COUNTBLANK(OFFSET(A$1,,,SUMPRODUCT(MAX(ROW(E$2:E843)*(E843=E$2:E843)))))-COUNTBLANK(OFFSET(A$1,,,SUMPRODUCT(MAX(ROW(E$1:E842)*(E2=E$1:E842))))))</f>
        <v/>
      </c>
      <c r="K843" s="24" t="str">
        <f aca="false">IF(OR(E843="",E843="!!!",F843="NEW"),"",INDEX(J$1:J842,SUMPRODUCT(MAX(ROW(E$1:E842)*(E843=E$1:E842)))))</f>
        <v/>
      </c>
      <c r="L843" s="25"/>
    </row>
    <row r="844" customFormat="false" ht="14.25" hidden="false" customHeight="false" outlineLevel="0" collapsed="false">
      <c r="A844" s="0" t="s">
        <v>650</v>
      </c>
      <c r="E844" s="20" t="str">
        <f aca="false">IF(D844="?OLD","!!!","")</f>
        <v/>
      </c>
      <c r="F844" s="21" t="str">
        <f aca="false">IF(OR(E844="",E844="!!!"),"",IF(NOT(ISNA(VLOOKUP(E844,E$1:E843,1,FALSE()))),"OLD",IF(AND(E844&lt;&gt;"",E844&lt;&gt;"!!!"),"NEW","")))</f>
        <v/>
      </c>
      <c r="G844" s="22" t="str">
        <f aca="false"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3" t="str">
        <f aca="false">IF(J844&lt;&gt;1,"",IF(I844="SBJ","CB","?"))</f>
        <v/>
      </c>
      <c r="I844" s="24" t="str">
        <f aca="false">IF(OR(E844="",E844="!!!",F844="NEW"),"",INDEX(B$2:B843,-1+SUMPRODUCT(MAX(ROW(E$2:E843)*(E844=E$2:E843)))))</f>
        <v/>
      </c>
      <c r="J844" s="24" t="str">
        <f aca="true">IF(OR(E844="",E844="!!!",F844="NEW"),"",COUNTBLANK(OFFSET(A$1,,,SUMPRODUCT(MAX(ROW(E$2:E844)*(E844=E$2:E844)))))-COUNTBLANK(OFFSET(A$1,,,SUMPRODUCT(MAX(ROW(E$1:E843)*(E2=E$1:E843))))))</f>
        <v/>
      </c>
      <c r="K844" s="24" t="str">
        <f aca="false">IF(OR(E844="",E844="!!!",F844="NEW"),"",INDEX(J$1:J843,SUMPRODUCT(MAX(ROW(E$1:E843)*(E844=E$1:E843)))))</f>
        <v/>
      </c>
      <c r="L844" s="25"/>
    </row>
    <row r="845" customFormat="false" ht="14.25" hidden="false" customHeight="false" outlineLevel="0" collapsed="false">
      <c r="A845" s="0" t="s">
        <v>651</v>
      </c>
      <c r="E845" s="20" t="str">
        <f aca="false">IF(D845="?OLD","!!!","")</f>
        <v/>
      </c>
      <c r="F845" s="21" t="str">
        <f aca="false">IF(OR(E845="",E845="!!!"),"",IF(NOT(ISNA(VLOOKUP(E845,E$1:E844,1,FALSE()))),"OLD",IF(AND(E845&lt;&gt;"",E845&lt;&gt;"!!!"),"NEW","")))</f>
        <v/>
      </c>
      <c r="G845" s="22" t="str">
        <f aca="false"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3" t="str">
        <f aca="false">IF(J845&lt;&gt;1,"",IF(I845="SBJ","CB","?"))</f>
        <v/>
      </c>
      <c r="I845" s="24" t="str">
        <f aca="false">IF(OR(E845="",E845="!!!",F845="NEW"),"",INDEX(B$2:B844,-1+SUMPRODUCT(MAX(ROW(E$2:E844)*(E845=E$2:E844)))))</f>
        <v/>
      </c>
      <c r="J845" s="24" t="str">
        <f aca="true">IF(OR(E845="",E845="!!!",F845="NEW"),"",COUNTBLANK(OFFSET(A$1,,,SUMPRODUCT(MAX(ROW(E$2:E845)*(E845=E$2:E845)))))-COUNTBLANK(OFFSET(A$1,,,SUMPRODUCT(MAX(ROW(E$1:E844)*(E2=E$1:E844))))))</f>
        <v/>
      </c>
      <c r="K845" s="24" t="str">
        <f aca="false">IF(OR(E845="",E845="!!!",F845="NEW"),"",INDEX(J$1:J844,SUMPRODUCT(MAX(ROW(E$1:E844)*(E845=E$1:E844)))))</f>
        <v/>
      </c>
      <c r="L845" s="25"/>
    </row>
    <row r="846" customFormat="false" ht="14.25" hidden="false" customHeight="false" outlineLevel="0" collapsed="false">
      <c r="A846" s="0" t="s">
        <v>365</v>
      </c>
      <c r="B846" s="26" t="s">
        <v>410</v>
      </c>
      <c r="C846" s="26" t="s">
        <v>283</v>
      </c>
      <c r="D846" s="26" t="s">
        <v>75</v>
      </c>
      <c r="E846" s="20" t="s">
        <v>366</v>
      </c>
      <c r="F846" s="21" t="str">
        <f aca="false">IF(OR(E846="",E846="!!!"),"",IF(NOT(ISNA(VLOOKUP(E846,E$1:E845,1,FALSE()))),"OLD",IF(AND(E846&lt;&gt;"",E846&lt;&gt;"!!!"),"NEW","")))</f>
        <v>OLD</v>
      </c>
      <c r="G846" s="22" t="str">
        <f aca="false"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?IN_FOCUS</v>
      </c>
      <c r="H846" s="23" t="str">
        <f aca="false">IF(J846&lt;&gt;1,"",IF(I846="SBJ","CB","?"))</f>
        <v/>
      </c>
      <c r="I846" s="24" t="str">
        <f aca="false">IF(OR(E846="",E846="!!!",F846="NEW"),"",INDEX(B$2:B845,-1+SUMPRODUCT(MAX(ROW(E$2:E845)*(E846=E$2:E845)))))</f>
        <v>other_4</v>
      </c>
      <c r="J846" s="24" t="n">
        <f aca="true">IF(OR(E846="",E846="!!!",F846="NEW"),"",COUNTBLANK(OFFSET(A$1,,,SUMPRODUCT(MAX(ROW(E$2:E846)*(E846=E$2:E846)))))-COUNTBLANK(OFFSET(A$1,,,SUMPRODUCT(MAX(ROW(E$1:E845)*(E2=E$1:E845))))))</f>
        <v>0</v>
      </c>
      <c r="K846" s="24" t="n">
        <f aca="false">IF(OR(E846="",E846="!!!",F846="NEW"),"",INDEX(J$1:J845,SUMPRODUCT(MAX(ROW(E$1:E845)*(E846=E$1:E845)))))</f>
        <v>0</v>
      </c>
      <c r="L846" s="27" t="s">
        <v>541</v>
      </c>
    </row>
    <row r="847" customFormat="false" ht="14.25" hidden="false" customHeight="false" outlineLevel="0" collapsed="false">
      <c r="A847" s="0" t="s">
        <v>16</v>
      </c>
      <c r="E847" s="20" t="str">
        <f aca="false">IF(D847="?OLD","!!!","")</f>
        <v/>
      </c>
      <c r="F847" s="21" t="str">
        <f aca="false">IF(OR(E847="",E847="!!!"),"",IF(NOT(ISNA(VLOOKUP(E847,E$1:E846,1,FALSE()))),"OLD",IF(AND(E847&lt;&gt;"",E847&lt;&gt;"!!!"),"NEW","")))</f>
        <v/>
      </c>
      <c r="G847" s="22" t="str">
        <f aca="false"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aca="false">IF(J847&lt;&gt;1,"",IF(I847="SBJ","CB","?"))</f>
        <v/>
      </c>
      <c r="I847" s="24" t="str">
        <f aca="false">IF(OR(E847="",E847="!!!",F847="NEW"),"",INDEX(B$2:B846,-1+SUMPRODUCT(MAX(ROW(E$2:E846)*(E847=E$2:E846)))))</f>
        <v/>
      </c>
      <c r="J847" s="24" t="str">
        <f aca="true">IF(OR(E847="",E847="!!!",F847="NEW"),"",COUNTBLANK(OFFSET(A$1,,,SUMPRODUCT(MAX(ROW(E$2:E847)*(E847=E$2:E847)))))-COUNTBLANK(OFFSET(A$1,,,SUMPRODUCT(MAX(ROW(E$1:E846)*(E2=E$1:E846))))))</f>
        <v/>
      </c>
      <c r="K847" s="24" t="str">
        <f aca="false">IF(OR(E847="",E847="!!!",F847="NEW"),"",INDEX(J$1:J846,SUMPRODUCT(MAX(ROW(E$1:E846)*(E847=E$1:E846)))))</f>
        <v/>
      </c>
      <c r="L847" s="25"/>
    </row>
    <row r="848" customFormat="false" ht="14.25" hidden="false" customHeight="false" outlineLevel="0" collapsed="false">
      <c r="A848" s="0" t="s">
        <v>652</v>
      </c>
      <c r="E848" s="20" t="s">
        <v>653</v>
      </c>
      <c r="F848" s="21" t="str">
        <f aca="false">IF(OR(E848="",E848="!!!"),"",IF(NOT(ISNA(VLOOKUP(E848,E$1:E847,1,FALSE()))),"OLD",IF(AND(E848&lt;&gt;"",E848&lt;&gt;"!!!"),"NEW","")))</f>
        <v>NEW</v>
      </c>
      <c r="G848" s="22" t="str">
        <f aca="false"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?REFERENTIAL</v>
      </c>
      <c r="H848" s="23" t="str">
        <f aca="false">IF(J848&lt;&gt;1,"",IF(I848="SBJ","CB","?"))</f>
        <v/>
      </c>
      <c r="I848" s="24" t="str">
        <f aca="false">IF(OR(E848="",E848="!!!",F848="NEW"),"",INDEX(B$2:B847,-1+SUMPRODUCT(MAX(ROW(E$2:E847)*(E848=E$2:E847)))))</f>
        <v/>
      </c>
      <c r="J848" s="24" t="str">
        <f aca="true">IF(OR(E848="",E848="!!!",F848="NEW"),"",COUNTBLANK(OFFSET(A$1,,,SUMPRODUCT(MAX(ROW(E$2:E848)*(E848=E$2:E848)))))-COUNTBLANK(OFFSET(A$1,,,SUMPRODUCT(MAX(ROW(E$1:E847)*(E2=E$1:E847))))))</f>
        <v/>
      </c>
      <c r="K848" s="24" t="str">
        <f aca="false">IF(OR(E848="",E848="!!!",F848="NEW"),"",INDEX(J$1:J847,SUMPRODUCT(MAX(ROW(E$1:E847)*(E848=E$1:E847)))))</f>
        <v/>
      </c>
      <c r="L848" s="25"/>
    </row>
    <row r="849" customFormat="false" ht="14.25" hidden="false" customHeight="false" outlineLevel="0" collapsed="false">
      <c r="A849" s="0" t="s">
        <v>654</v>
      </c>
      <c r="E849" s="20" t="str">
        <f aca="false">IF(D849="?OLD","!!!","")</f>
        <v/>
      </c>
      <c r="F849" s="21" t="str">
        <f aca="false">IF(OR(E849="",E849="!!!"),"",IF(NOT(ISNA(VLOOKUP(E849,E$1:E848,1,FALSE()))),"OLD",IF(AND(E849&lt;&gt;"",E849&lt;&gt;"!!!"),"NEW","")))</f>
        <v/>
      </c>
      <c r="G849" s="22" t="str">
        <f aca="false"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aca="false">IF(J849&lt;&gt;1,"",IF(I849="SBJ","CB","?"))</f>
        <v/>
      </c>
      <c r="I849" s="24" t="str">
        <f aca="false">IF(OR(E849="",E849="!!!",F849="NEW"),"",INDEX(B$2:B848,-1+SUMPRODUCT(MAX(ROW(E$2:E848)*(E849=E$2:E848)))))</f>
        <v/>
      </c>
      <c r="J849" s="24" t="str">
        <f aca="true">IF(OR(E849="",E849="!!!",F849="NEW"),"",COUNTBLANK(OFFSET(A$1,,,SUMPRODUCT(MAX(ROW(E$2:E849)*(E849=E$2:E849)))))-COUNTBLANK(OFFSET(A$1,,,SUMPRODUCT(MAX(ROW(E$1:E848)*(E2=E$1:E848))))))</f>
        <v/>
      </c>
      <c r="K849" s="24" t="str">
        <f aca="false">IF(OR(E849="",E849="!!!",F849="NEW"),"",INDEX(J$1:J848,SUMPRODUCT(MAX(ROW(E$1:E848)*(E849=E$1:E848)))))</f>
        <v/>
      </c>
      <c r="L849" s="25"/>
    </row>
    <row r="850" customFormat="false" ht="14.25" hidden="false" customHeight="false" outlineLevel="0" collapsed="false">
      <c r="A850" s="0" t="s">
        <v>640</v>
      </c>
      <c r="E850" s="20" t="str">
        <f aca="false">IF(D850="?OLD","!!!","")</f>
        <v/>
      </c>
      <c r="F850" s="21" t="str">
        <f aca="false">IF(OR(E850="",E850="!!!"),"",IF(NOT(ISNA(VLOOKUP(E850,E$1:E849,1,FALSE()))),"OLD",IF(AND(E850&lt;&gt;"",E850&lt;&gt;"!!!"),"NEW","")))</f>
        <v/>
      </c>
      <c r="G850" s="22" t="str">
        <f aca="false"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aca="false">IF(J850&lt;&gt;1,"",IF(I850="SBJ","CB","?"))</f>
        <v/>
      </c>
      <c r="I850" s="24" t="str">
        <f aca="false">IF(OR(E850="",E850="!!!",F850="NEW"),"",INDEX(B$2:B849,-1+SUMPRODUCT(MAX(ROW(E$2:E849)*(E850=E$2:E849)))))</f>
        <v/>
      </c>
      <c r="J850" s="24" t="str">
        <f aca="true">IF(OR(E850="",E850="!!!",F850="NEW"),"",COUNTBLANK(OFFSET(A$1,,,SUMPRODUCT(MAX(ROW(E$2:E850)*(E850=E$2:E850)))))-COUNTBLANK(OFFSET(A$1,,,SUMPRODUCT(MAX(ROW(E$1:E849)*(E2=E$1:E849))))))</f>
        <v/>
      </c>
      <c r="K850" s="24" t="str">
        <f aca="false">IF(OR(E850="",E850="!!!",F850="NEW"),"",INDEX(J$1:J849,SUMPRODUCT(MAX(ROW(E$1:E849)*(E850=E$1:E849)))))</f>
        <v/>
      </c>
      <c r="L850" s="25"/>
    </row>
    <row r="851" customFormat="false" ht="14.25" hidden="false" customHeight="false" outlineLevel="0" collapsed="false">
      <c r="A851" s="0" t="s">
        <v>655</v>
      </c>
      <c r="B851" s="26" t="s">
        <v>204</v>
      </c>
      <c r="C851" s="26" t="s">
        <v>105</v>
      </c>
      <c r="E851" s="20" t="str">
        <f aca="false">IF(D851="?OLD","!!!","")</f>
        <v/>
      </c>
      <c r="F851" s="21" t="str">
        <f aca="false">IF(OR(E851="",E851="!!!"),"",IF(NOT(ISNA(VLOOKUP(E851,E$1:E850,1,FALSE()))),"OLD",IF(AND(E851&lt;&gt;"",E851&lt;&gt;"!!!"),"NEW","")))</f>
        <v/>
      </c>
      <c r="G851" s="22" t="str">
        <f aca="false"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aca="false">IF(J851&lt;&gt;1,"",IF(I851="SBJ","CB","?"))</f>
        <v/>
      </c>
      <c r="I851" s="24" t="str">
        <f aca="false">IF(OR(E851="",E851="!!!",F851="NEW"),"",INDEX(B$2:B850,-1+SUMPRODUCT(MAX(ROW(E$2:E850)*(E851=E$2:E850)))))</f>
        <v/>
      </c>
      <c r="J851" s="24" t="str">
        <f aca="true">IF(OR(E851="",E851="!!!",F851="NEW"),"",COUNTBLANK(OFFSET(A$1,,,SUMPRODUCT(MAX(ROW(E$2:E851)*(E851=E$2:E851)))))-COUNTBLANK(OFFSET(A$1,,,SUMPRODUCT(MAX(ROW(E$1:E850)*(E2=E$1:E850))))))</f>
        <v/>
      </c>
      <c r="K851" s="24" t="str">
        <f aca="false">IF(OR(E851="",E851="!!!",F851="NEW"),"",INDEX(J$1:J850,SUMPRODUCT(MAX(ROW(E$1:E850)*(E851=E$1:E850)))))</f>
        <v/>
      </c>
      <c r="L851" s="25"/>
    </row>
    <row r="852" customFormat="false" ht="14.25" hidden="false" customHeight="false" outlineLevel="0" collapsed="false">
      <c r="A852" s="0" t="s">
        <v>140</v>
      </c>
      <c r="E852" s="20" t="str">
        <f aca="false">IF(D852="?OLD","!!!","")</f>
        <v/>
      </c>
      <c r="F852" s="21" t="str">
        <f aca="false">IF(OR(E852="",E852="!!!"),"",IF(NOT(ISNA(VLOOKUP(E852,E$1:E851,1,FALSE()))),"OLD",IF(AND(E852&lt;&gt;"",E852&lt;&gt;"!!!"),"NEW","")))</f>
        <v/>
      </c>
      <c r="G852" s="22" t="str">
        <f aca="false"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aca="false">IF(J852&lt;&gt;1,"",IF(I852="SBJ","CB","?"))</f>
        <v/>
      </c>
      <c r="I852" s="24" t="str">
        <f aca="false">IF(OR(E852="",E852="!!!",F852="NEW"),"",INDEX(B$2:B851,-1+SUMPRODUCT(MAX(ROW(E$2:E851)*(E852=E$2:E851)))))</f>
        <v/>
      </c>
      <c r="J852" s="24" t="str">
        <f aca="true">IF(OR(E852="",E852="!!!",F852="NEW"),"",COUNTBLANK(OFFSET(A$1,,,SUMPRODUCT(MAX(ROW(E$2:E852)*(E852=E$2:E852)))))-COUNTBLANK(OFFSET(A$1,,,SUMPRODUCT(MAX(ROW(E$1:E851)*(E2=E$1:E851))))))</f>
        <v/>
      </c>
      <c r="K852" s="24" t="str">
        <f aca="false">IF(OR(E852="",E852="!!!",F852="NEW"),"",INDEX(J$1:J851,SUMPRODUCT(MAX(ROW(E$1:E851)*(E852=E$1:E851)))))</f>
        <v/>
      </c>
      <c r="L852" s="25"/>
    </row>
    <row r="853" customFormat="false" ht="14.25" hidden="false" customHeight="false" outlineLevel="0" collapsed="false">
      <c r="A853" s="0" t="s">
        <v>656</v>
      </c>
      <c r="E853" s="20" t="str">
        <f aca="false">IF(D853="?OLD","!!!","")</f>
        <v/>
      </c>
      <c r="F853" s="21" t="str">
        <f aca="false">IF(OR(E853="",E853="!!!"),"",IF(NOT(ISNA(VLOOKUP(E853,E$1:E852,1,FALSE()))),"OLD",IF(AND(E853&lt;&gt;"",E853&lt;&gt;"!!!"),"NEW","")))</f>
        <v/>
      </c>
      <c r="G853" s="22" t="str">
        <f aca="false"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aca="false">IF(J853&lt;&gt;1,"",IF(I853="SBJ","CB","?"))</f>
        <v/>
      </c>
      <c r="I853" s="24" t="str">
        <f aca="false">IF(OR(E853="",E853="!!!",F853="NEW"),"",INDEX(B$2:B852,-1+SUMPRODUCT(MAX(ROW(E$2:E852)*(E853=E$2:E852)))))</f>
        <v/>
      </c>
      <c r="J853" s="24" t="str">
        <f aca="true">IF(OR(E853="",E853="!!!",F853="NEW"),"",COUNTBLANK(OFFSET(A$1,,,SUMPRODUCT(MAX(ROW(E$2:E853)*(E853=E$2:E853)))))-COUNTBLANK(OFFSET(A$1,,,SUMPRODUCT(MAX(ROW(E$1:E852)*(E2=E$1:E852))))))</f>
        <v/>
      </c>
      <c r="K853" s="24" t="str">
        <f aca="false">IF(OR(E853="",E853="!!!",F853="NEW"),"",INDEX(J$1:J852,SUMPRODUCT(MAX(ROW(E$1:E852)*(E853=E$1:E852)))))</f>
        <v/>
      </c>
      <c r="L853" s="25"/>
    </row>
    <row r="854" customFormat="false" ht="14.25" hidden="false" customHeight="false" outlineLevel="0" collapsed="false">
      <c r="A854" s="0" t="s">
        <v>86</v>
      </c>
      <c r="E854" s="20" t="str">
        <f aca="false">IF(D854="?OLD","!!!","")</f>
        <v/>
      </c>
      <c r="F854" s="21" t="str">
        <f aca="false">IF(OR(E854="",E854="!!!"),"",IF(NOT(ISNA(VLOOKUP(E854,E$1:E853,1,FALSE()))),"OLD",IF(AND(E854&lt;&gt;"",E854&lt;&gt;"!!!"),"NEW","")))</f>
        <v/>
      </c>
      <c r="G854" s="22" t="str">
        <f aca="false"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aca="false">IF(J854&lt;&gt;1,"",IF(I854="SBJ","CB","?"))</f>
        <v/>
      </c>
      <c r="I854" s="24" t="str">
        <f aca="false">IF(OR(E854="",E854="!!!",F854="NEW"),"",INDEX(B$2:B853,-1+SUMPRODUCT(MAX(ROW(E$2:E853)*(E854=E$2:E853)))))</f>
        <v/>
      </c>
      <c r="J854" s="24" t="str">
        <f aca="true">IF(OR(E854="",E854="!!!",F854="NEW"),"",COUNTBLANK(OFFSET(A$1,,,SUMPRODUCT(MAX(ROW(E$2:E854)*(E854=E$2:E854)))))-COUNTBLANK(OFFSET(A$1,,,SUMPRODUCT(MAX(ROW(E$1:E853)*(E2=E$1:E853))))))</f>
        <v/>
      </c>
      <c r="K854" s="24" t="str">
        <f aca="false">IF(OR(E854="",E854="!!!",F854="NEW"),"",INDEX(J$1:J853,SUMPRODUCT(MAX(ROW(E$1:E853)*(E854=E$1:E853)))))</f>
        <v/>
      </c>
      <c r="L854" s="25"/>
    </row>
    <row r="856" customFormat="false" ht="14.25" hidden="false" customHeight="false" outlineLevel="0" collapsed="false">
      <c r="A856" s="0" t="s">
        <v>657</v>
      </c>
    </row>
    <row r="857" customFormat="false" ht="14.25" hidden="false" customHeight="false" outlineLevel="0" collapsed="false">
      <c r="A857" s="0" t="s">
        <v>515</v>
      </c>
      <c r="E857" s="20" t="str">
        <f aca="false">IF(D857="?OLD","!!!","")</f>
        <v/>
      </c>
      <c r="F857" s="21" t="str">
        <f aca="false">IF(OR(E857="",E857="!!!"),"",IF(NOT(ISNA(VLOOKUP(E857,E$1:E856,1,FALSE()))),"OLD",IF(AND(E857&lt;&gt;"",E857&lt;&gt;"!!!"),"NEW","")))</f>
        <v/>
      </c>
      <c r="G857" s="22" t="str">
        <f aca="false"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aca="false">IF(J857&lt;&gt;1,"",IF(I857="SBJ","CB","?"))</f>
        <v/>
      </c>
      <c r="I857" s="24" t="str">
        <f aca="false">IF(OR(E857="",E857="!!!",F857="NEW"),"",INDEX(B$2:B856,-1+SUMPRODUCT(MAX(ROW(E$2:E856)*(E857=E$2:E856)))))</f>
        <v/>
      </c>
      <c r="J857" s="24" t="str">
        <f aca="true">IF(OR(E857="",E857="!!!",F857="NEW"),"",COUNTBLANK(OFFSET(A$1,,,SUMPRODUCT(MAX(ROW(E$2:E857)*(E857=E$2:E857)))))-COUNTBLANK(OFFSET(A$1,,,SUMPRODUCT(MAX(ROW(E$1:E856)*(E2=E$1:E856))))))</f>
        <v/>
      </c>
      <c r="K857" s="24" t="str">
        <f aca="false">IF(OR(E857="",E857="!!!",F857="NEW"),"",INDEX(J$1:J856,SUMPRODUCT(MAX(ROW(E$1:E856)*(E857=E$1:E856)))))</f>
        <v/>
      </c>
      <c r="L857" s="25"/>
    </row>
    <row r="858" customFormat="false" ht="14.25" hidden="false" customHeight="false" outlineLevel="0" collapsed="false">
      <c r="A858" s="0" t="s">
        <v>658</v>
      </c>
      <c r="B858" s="26" t="s">
        <v>307</v>
      </c>
      <c r="C858" s="26" t="s">
        <v>105</v>
      </c>
      <c r="E858" s="20" t="str">
        <f aca="false">IF(D858="?OLD","!!!","")</f>
        <v/>
      </c>
      <c r="F858" s="21" t="str">
        <f aca="false">IF(OR(E858="",E858="!!!"),"",IF(NOT(ISNA(VLOOKUP(E858,E$1:E857,1,FALSE()))),"OLD",IF(AND(E858&lt;&gt;"",E858&lt;&gt;"!!!"),"NEW","")))</f>
        <v/>
      </c>
      <c r="G858" s="22" t="str">
        <f aca="false"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aca="false">IF(J858&lt;&gt;1,"",IF(I858="SBJ","CB","?"))</f>
        <v/>
      </c>
      <c r="I858" s="24" t="str">
        <f aca="false">IF(OR(E858="",E858="!!!",F858="NEW"),"",INDEX(B$2:B857,-1+SUMPRODUCT(MAX(ROW(E$2:E857)*(E858=E$2:E857)))))</f>
        <v/>
      </c>
      <c r="J858" s="24" t="str">
        <f aca="true">IF(OR(E858="",E858="!!!",F858="NEW"),"",COUNTBLANK(OFFSET(A$1,,,SUMPRODUCT(MAX(ROW(E$2:E858)*(E858=E$2:E858)))))-COUNTBLANK(OFFSET(A$1,,,SUMPRODUCT(MAX(ROW(E$1:E857)*(E2=E$1:E857))))))</f>
        <v/>
      </c>
      <c r="K858" s="24" t="str">
        <f aca="false">IF(OR(E858="",E858="!!!",F858="NEW"),"",INDEX(J$1:J857,SUMPRODUCT(MAX(ROW(E$1:E857)*(E858=E$1:E857)))))</f>
        <v/>
      </c>
      <c r="L858" s="25"/>
    </row>
    <row r="859" customFormat="false" ht="14.25" hidden="false" customHeight="false" outlineLevel="0" collapsed="false">
      <c r="A859" s="0" t="s">
        <v>467</v>
      </c>
      <c r="E859" s="20" t="str">
        <f aca="false">IF(D859="?OLD","!!!","")</f>
        <v/>
      </c>
      <c r="F859" s="21" t="str">
        <f aca="false">IF(OR(E859="",E859="!!!"),"",IF(NOT(ISNA(VLOOKUP(E859,E$1:E858,1,FALSE()))),"OLD",IF(AND(E859&lt;&gt;"",E859&lt;&gt;"!!!"),"NEW","")))</f>
        <v/>
      </c>
      <c r="G859" s="22" t="str">
        <f aca="false"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aca="false">IF(J859&lt;&gt;1,"",IF(I859="SBJ","CB","?"))</f>
        <v/>
      </c>
      <c r="I859" s="24" t="str">
        <f aca="false">IF(OR(E859="",E859="!!!",F859="NEW"),"",INDEX(B$2:B858,-1+SUMPRODUCT(MAX(ROW(E$2:E858)*(E859=E$2:E858)))))</f>
        <v/>
      </c>
      <c r="J859" s="24" t="str">
        <f aca="true">IF(OR(E859="",E859="!!!",F859="NEW"),"",COUNTBLANK(OFFSET(A$1,,,SUMPRODUCT(MAX(ROW(E$2:E859)*(E859=E$2:E859)))))-COUNTBLANK(OFFSET(A$1,,,SUMPRODUCT(MAX(ROW(E$1:E858)*(E2=E$1:E858))))))</f>
        <v/>
      </c>
      <c r="K859" s="24" t="str">
        <f aca="false">IF(OR(E859="",E859="!!!",F859="NEW"),"",INDEX(J$1:J858,SUMPRODUCT(MAX(ROW(E$1:E858)*(E859=E$1:E858)))))</f>
        <v/>
      </c>
      <c r="L859" s="25"/>
    </row>
    <row r="860" customFormat="false" ht="14.25" hidden="false" customHeight="false" outlineLevel="0" collapsed="false">
      <c r="A860" s="0" t="s">
        <v>207</v>
      </c>
      <c r="B860" s="26" t="s">
        <v>204</v>
      </c>
      <c r="C860" s="26" t="s">
        <v>209</v>
      </c>
      <c r="D860" s="26" t="s">
        <v>75</v>
      </c>
      <c r="E860" s="20" t="s">
        <v>207</v>
      </c>
      <c r="F860" s="21" t="str">
        <f aca="false">IF(OR(E860="",E860="!!!"),"",IF(NOT(ISNA(VLOOKUP(E860,E$1:E859,1,FALSE()))),"OLD",IF(AND(E860&lt;&gt;"",E860&lt;&gt;"!!!"),"NEW","")))</f>
        <v>OLD</v>
      </c>
      <c r="G860" s="22" t="str">
        <f aca="false"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?IN_FOCUS</v>
      </c>
      <c r="H860" s="23" t="str">
        <f aca="false">IF(J860&lt;&gt;1,"",IF(I860="SBJ","CB","?"))</f>
        <v/>
      </c>
      <c r="I860" s="24" t="str">
        <f aca="false">IF(OR(E860="",E860="!!!",F860="NEW"),"",INDEX(B$2:B859,-1+SUMPRODUCT(MAX(ROW(E$2:E859)*(E860=E$2:E859)))))</f>
        <v>OBJ_3</v>
      </c>
      <c r="J860" s="24" t="n">
        <f aca="true">IF(OR(E860="",E860="!!!",F860="NEW"),"",COUNTBLANK(OFFSET(A$1,,,SUMPRODUCT(MAX(ROW(E$2:E860)*(E860=E$2:E860)))))-COUNTBLANK(OFFSET(A$1,,,SUMPRODUCT(MAX(ROW(E$1:E859)*(E2=E$1:E859))))))</f>
        <v>0</v>
      </c>
      <c r="K860" s="24" t="n">
        <f aca="false">IF(OR(E860="",E860="!!!",F860="NEW"),"",INDEX(J$1:J859,SUMPRODUCT(MAX(ROW(E$1:E859)*(E860=E$1:E859)))))</f>
        <v>0</v>
      </c>
      <c r="L860" s="27" t="s">
        <v>659</v>
      </c>
    </row>
    <row r="861" customFormat="false" ht="14.25" hidden="false" customHeight="false" outlineLevel="0" collapsed="false">
      <c r="A861" s="0" t="s">
        <v>188</v>
      </c>
      <c r="E861" s="20" t="str">
        <f aca="false">IF(D861="?OLD","!!!","")</f>
        <v/>
      </c>
      <c r="F861" s="21" t="str">
        <f aca="false">IF(OR(E861="",E861="!!!"),"",IF(NOT(ISNA(VLOOKUP(E861,E$1:E860,1,FALSE()))),"OLD",IF(AND(E861&lt;&gt;"",E861&lt;&gt;"!!!"),"NEW","")))</f>
        <v/>
      </c>
      <c r="G861" s="22" t="str">
        <f aca="false"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aca="false">IF(J861&lt;&gt;1,"",IF(I861="SBJ","CB","?"))</f>
        <v/>
      </c>
      <c r="I861" s="24" t="str">
        <f aca="false">IF(OR(E861="",E861="!!!",F861="NEW"),"",INDEX(B$2:B860,-1+SUMPRODUCT(MAX(ROW(E$2:E860)*(E861=E$2:E860)))))</f>
        <v/>
      </c>
      <c r="J861" s="24" t="str">
        <f aca="true">IF(OR(E861="",E861="!!!",F861="NEW"),"",COUNTBLANK(OFFSET(A$1,,,SUMPRODUCT(MAX(ROW(E$2:E861)*(E861=E$2:E861)))))-COUNTBLANK(OFFSET(A$1,,,SUMPRODUCT(MAX(ROW(E$1:E860)*(E2=E$1:E860))))))</f>
        <v/>
      </c>
      <c r="K861" s="24" t="str">
        <f aca="false">IF(OR(E861="",E861="!!!",F861="NEW"),"",INDEX(J$1:J860,SUMPRODUCT(MAX(ROW(E$1:E860)*(E861=E$1:E860)))))</f>
        <v/>
      </c>
      <c r="L861" s="25"/>
    </row>
    <row r="862" customFormat="false" ht="14.25" hidden="false" customHeight="false" outlineLevel="0" collapsed="false">
      <c r="A862" s="0" t="s">
        <v>660</v>
      </c>
      <c r="B862" s="26" t="s">
        <v>304</v>
      </c>
      <c r="C862" s="26" t="s">
        <v>283</v>
      </c>
      <c r="D862" s="26" t="s">
        <v>75</v>
      </c>
      <c r="E862" s="20" t="s">
        <v>661</v>
      </c>
      <c r="F862" s="21" t="str">
        <f aca="false">IF(OR(E862="",E862="!!!"),"",IF(NOT(ISNA(VLOOKUP(E862,E$1:E861,1,FALSE()))),"OLD",IF(AND(E862&lt;&gt;"",E862&lt;&gt;"!!!"),"NEW","")))</f>
        <v>NEW</v>
      </c>
      <c r="G862" s="22" t="str">
        <f aca="false"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?REFERENTIAL</v>
      </c>
      <c r="H862" s="23" t="str">
        <f aca="false">IF(J862&lt;&gt;1,"",IF(I862="SBJ","CB","?"))</f>
        <v/>
      </c>
      <c r="I862" s="24" t="str">
        <f aca="false">IF(OR(E862="",E862="!!!",F862="NEW"),"",INDEX(B$2:B861,-1+SUMPRODUCT(MAX(ROW(E$2:E861)*(E862=E$2:E861)))))</f>
        <v/>
      </c>
      <c r="J862" s="24" t="str">
        <f aca="true">IF(OR(E862="",E862="!!!",F862="NEW"),"",COUNTBLANK(OFFSET(A$1,,,SUMPRODUCT(MAX(ROW(E$2:E862)*(E862=E$2:E862)))))-COUNTBLANK(OFFSET(A$1,,,SUMPRODUCT(MAX(ROW(E$1:E861)*(E2=E$1:E861))))))</f>
        <v/>
      </c>
      <c r="K862" s="24" t="str">
        <f aca="false">IF(OR(E862="",E862="!!!",F862="NEW"),"",INDEX(J$1:J861,SUMPRODUCT(MAX(ROW(E$1:E861)*(E862=E$1:E861)))))</f>
        <v/>
      </c>
      <c r="L862" s="25"/>
    </row>
    <row r="863" customFormat="false" ht="14.25" hidden="false" customHeight="false" outlineLevel="0" collapsed="false">
      <c r="A863" s="0" t="s">
        <v>662</v>
      </c>
      <c r="E863" s="20" t="str">
        <f aca="false">IF(D863="?OLD","!!!","")</f>
        <v/>
      </c>
      <c r="F863" s="21" t="str">
        <f aca="false">IF(OR(E863="",E863="!!!"),"",IF(NOT(ISNA(VLOOKUP(E863,E$1:E862,1,FALSE()))),"OLD",IF(AND(E863&lt;&gt;"",E863&lt;&gt;"!!!"),"NEW","")))</f>
        <v/>
      </c>
      <c r="G863" s="22" t="str">
        <f aca="false"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aca="false">IF(J863&lt;&gt;1,"",IF(I863="SBJ","CB","?"))</f>
        <v/>
      </c>
      <c r="I863" s="24" t="str">
        <f aca="false">IF(OR(E863="",E863="!!!",F863="NEW"),"",INDEX(B$2:B862,-1+SUMPRODUCT(MAX(ROW(E$2:E862)*(E863=E$2:E862)))))</f>
        <v/>
      </c>
      <c r="J863" s="24" t="str">
        <f aca="true">IF(OR(E863="",E863="!!!",F863="NEW"),"",COUNTBLANK(OFFSET(A$1,,,SUMPRODUCT(MAX(ROW(E$2:E863)*(E863=E$2:E863)))))-COUNTBLANK(OFFSET(A$1,,,SUMPRODUCT(MAX(ROW(E$1:E862)*(E2=E$1:E862))))))</f>
        <v/>
      </c>
      <c r="K863" s="24" t="str">
        <f aca="false">IF(OR(E863="",E863="!!!",F863="NEW"),"",INDEX(J$1:J862,SUMPRODUCT(MAX(ROW(E$1:E862)*(E863=E$1:E862)))))</f>
        <v/>
      </c>
      <c r="L863" s="25"/>
    </row>
    <row r="864" customFormat="false" ht="14.25" hidden="false" customHeight="false" outlineLevel="0" collapsed="false">
      <c r="A864" s="0" t="s">
        <v>663</v>
      </c>
      <c r="E864" s="20" t="str">
        <f aca="false">IF(D864="?OLD","!!!","")</f>
        <v/>
      </c>
      <c r="F864" s="21" t="str">
        <f aca="false">IF(OR(E864="",E864="!!!"),"",IF(NOT(ISNA(VLOOKUP(E864,E$1:E863,1,FALSE()))),"OLD",IF(AND(E864&lt;&gt;"",E864&lt;&gt;"!!!"),"NEW","")))</f>
        <v/>
      </c>
      <c r="G864" s="22" t="str">
        <f aca="false"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aca="false">IF(J864&lt;&gt;1,"",IF(I864="SBJ","CB","?"))</f>
        <v/>
      </c>
      <c r="I864" s="24" t="str">
        <f aca="false">IF(OR(E864="",E864="!!!",F864="NEW"),"",INDEX(B$2:B863,-1+SUMPRODUCT(MAX(ROW(E$2:E863)*(E864=E$2:E863)))))</f>
        <v/>
      </c>
      <c r="J864" s="24" t="str">
        <f aca="true">IF(OR(E864="",E864="!!!",F864="NEW"),"",COUNTBLANK(OFFSET(A$1,,,SUMPRODUCT(MAX(ROW(E$2:E864)*(E864=E$2:E864)))))-COUNTBLANK(OFFSET(A$1,,,SUMPRODUCT(MAX(ROW(E$1:E863)*(E2=E$1:E863))))))</f>
        <v/>
      </c>
      <c r="K864" s="24" t="str">
        <f aca="false">IF(OR(E864="",E864="!!!",F864="NEW"),"",INDEX(J$1:J863,SUMPRODUCT(MAX(ROW(E$1:E863)*(E864=E$1:E863)))))</f>
        <v/>
      </c>
      <c r="L864" s="25"/>
    </row>
    <row r="865" customFormat="false" ht="14.25" hidden="false" customHeight="false" outlineLevel="0" collapsed="false">
      <c r="A865" s="0" t="s">
        <v>101</v>
      </c>
      <c r="E865" s="20" t="str">
        <f aca="false">IF(D865="?OLD","!!!","")</f>
        <v/>
      </c>
      <c r="F865" s="21" t="str">
        <f aca="false">IF(OR(E865="",E865="!!!"),"",IF(NOT(ISNA(VLOOKUP(E865,E$1:E864,1,FALSE()))),"OLD",IF(AND(E865&lt;&gt;"",E865&lt;&gt;"!!!"),"NEW","")))</f>
        <v/>
      </c>
      <c r="G865" s="22" t="str">
        <f aca="false"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aca="false">IF(J865&lt;&gt;1,"",IF(I865="SBJ","CB","?"))</f>
        <v/>
      </c>
      <c r="I865" s="24" t="str">
        <f aca="false">IF(OR(E865="",E865="!!!",F865="NEW"),"",INDEX(B$2:B864,-1+SUMPRODUCT(MAX(ROW(E$2:E864)*(E865=E$2:E864)))))</f>
        <v/>
      </c>
      <c r="J865" s="24" t="str">
        <f aca="true">IF(OR(E865="",E865="!!!",F865="NEW"),"",COUNTBLANK(OFFSET(A$1,,,SUMPRODUCT(MAX(ROW(E$2:E865)*(E865=E$2:E865)))))-COUNTBLANK(OFFSET(A$1,,,SUMPRODUCT(MAX(ROW(E$1:E864)*(E2=E$1:E864))))))</f>
        <v/>
      </c>
      <c r="K865" s="24" t="str">
        <f aca="false">IF(OR(E865="",E865="!!!",F865="NEW"),"",INDEX(J$1:J864,SUMPRODUCT(MAX(ROW(E$1:E864)*(E865=E$1:E864)))))</f>
        <v/>
      </c>
      <c r="L865" s="25"/>
    </row>
    <row r="866" customFormat="false" ht="14.25" hidden="false" customHeight="false" outlineLevel="0" collapsed="false">
      <c r="A866" s="0" t="s">
        <v>339</v>
      </c>
      <c r="E866" s="20" t="str">
        <f aca="false">IF(D866="?OLD","!!!","")</f>
        <v/>
      </c>
      <c r="F866" s="21" t="str">
        <f aca="false">IF(OR(E866="",E866="!!!"),"",IF(NOT(ISNA(VLOOKUP(E866,E$1:E865,1,FALSE()))),"OLD",IF(AND(E866&lt;&gt;"",E866&lt;&gt;"!!!"),"NEW","")))</f>
        <v/>
      </c>
      <c r="G866" s="22" t="str">
        <f aca="false"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aca="false">IF(J866&lt;&gt;1,"",IF(I866="SBJ","CB","?"))</f>
        <v/>
      </c>
      <c r="I866" s="24" t="str">
        <f aca="false">IF(OR(E866="",E866="!!!",F866="NEW"),"",INDEX(B$2:B865,-1+SUMPRODUCT(MAX(ROW(E$2:E865)*(E866=E$2:E865)))))</f>
        <v/>
      </c>
      <c r="J866" s="24" t="str">
        <f aca="true">IF(OR(E866="",E866="!!!",F866="NEW"),"",COUNTBLANK(OFFSET(A$1,,,SUMPRODUCT(MAX(ROW(E$2:E866)*(E866=E$2:E866)))))-COUNTBLANK(OFFSET(A$1,,,SUMPRODUCT(MAX(ROW(E$1:E865)*(E2=E$1:E865))))))</f>
        <v/>
      </c>
      <c r="K866" s="24" t="str">
        <f aca="false">IF(OR(E866="",E866="!!!",F866="NEW"),"",INDEX(J$1:J865,SUMPRODUCT(MAX(ROW(E$1:E865)*(E866=E$1:E865)))))</f>
        <v/>
      </c>
      <c r="L866" s="25"/>
    </row>
    <row r="867" customFormat="false" ht="14.25" hidden="false" customHeight="false" outlineLevel="0" collapsed="false">
      <c r="A867" s="0" t="s">
        <v>663</v>
      </c>
      <c r="B867" s="26" t="s">
        <v>410</v>
      </c>
      <c r="C867" s="26" t="s">
        <v>341</v>
      </c>
      <c r="E867" s="20"/>
      <c r="F867" s="21" t="str">
        <f aca="false">IF(OR(E867="",E867="!!!"),"",IF(NOT(ISNA(VLOOKUP(E867,E$1:E866,1,FALSE()))),"OLD",IF(AND(E867&lt;&gt;"",E867&lt;&gt;"!!!"),"NEW","")))</f>
        <v/>
      </c>
      <c r="G867" s="22" t="str">
        <f aca="false"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aca="false">IF(J867&lt;&gt;1,"",IF(I867="SBJ","CB","?"))</f>
        <v/>
      </c>
      <c r="I867" s="24" t="str">
        <f aca="false">IF(OR(E867="",E867="!!!",F867="NEW"),"",INDEX(B$2:B866,-1+SUMPRODUCT(MAX(ROW(E$2:E866)*(E867=E$2:E866)))))</f>
        <v/>
      </c>
      <c r="J867" s="24" t="str">
        <f aca="true">IF(OR(E867="",E867="!!!",F867="NEW"),"",COUNTBLANK(OFFSET(A$1,,,SUMPRODUCT(MAX(ROW(E$2:E867)*(E867=E$2:E867)))))-COUNTBLANK(OFFSET(A$1,,,SUMPRODUCT(MAX(ROW(E$1:E866)*(E2=E$1:E866))))))</f>
        <v/>
      </c>
      <c r="K867" s="24" t="str">
        <f aca="false">IF(OR(E867="",E867="!!!",F867="NEW"),"",INDEX(J$1:J866,SUMPRODUCT(MAX(ROW(E$1:E866)*(E867=E$1:E866)))))</f>
        <v/>
      </c>
      <c r="L867" s="25"/>
    </row>
    <row r="868" customFormat="false" ht="14.25" hidden="false" customHeight="false" outlineLevel="0" collapsed="false">
      <c r="A868" s="0" t="s">
        <v>259</v>
      </c>
      <c r="E868" s="20" t="str">
        <f aca="false">IF(D868="?OLD","!!!","")</f>
        <v/>
      </c>
      <c r="F868" s="21" t="str">
        <f aca="false">IF(OR(E868="",E868="!!!"),"",IF(NOT(ISNA(VLOOKUP(E868,E$1:E867,1,FALSE()))),"OLD",IF(AND(E868&lt;&gt;"",E868&lt;&gt;"!!!"),"NEW","")))</f>
        <v/>
      </c>
      <c r="G868" s="22" t="str">
        <f aca="false"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3" t="str">
        <f aca="false">IF(J868&lt;&gt;1,"",IF(I868="SBJ","CB","?"))</f>
        <v/>
      </c>
      <c r="I868" s="24" t="str">
        <f aca="false">IF(OR(E868="",E868="!!!",F868="NEW"),"",INDEX(B$2:B867,-1+SUMPRODUCT(MAX(ROW(E$2:E867)*(E868=E$2:E867)))))</f>
        <v/>
      </c>
      <c r="J868" s="24" t="str">
        <f aca="true">IF(OR(E868="",E868="!!!",F868="NEW"),"",COUNTBLANK(OFFSET(A$1,,,SUMPRODUCT(MAX(ROW(E$2:E868)*(E868=E$2:E868)))))-COUNTBLANK(OFFSET(A$1,,,SUMPRODUCT(MAX(ROW(E$1:E867)*(E2=E$1:E867))))))</f>
        <v/>
      </c>
      <c r="K868" s="24" t="str">
        <f aca="false">IF(OR(E868="",E868="!!!",F868="NEW"),"",INDEX(J$1:J867,SUMPRODUCT(MAX(ROW(E$1:E867)*(E868=E$1:E867)))))</f>
        <v/>
      </c>
      <c r="L868" s="25"/>
    </row>
    <row r="869" customFormat="false" ht="14.25" hidden="false" customHeight="false" outlineLevel="0" collapsed="false">
      <c r="A869" s="0" t="s">
        <v>664</v>
      </c>
      <c r="B869" s="26" t="s">
        <v>424</v>
      </c>
      <c r="C869" s="26" t="s">
        <v>105</v>
      </c>
      <c r="E869" s="20" t="str">
        <f aca="false">IF(D869="?OLD","!!!","")</f>
        <v/>
      </c>
      <c r="F869" s="21" t="str">
        <f aca="false">IF(OR(E869="",E869="!!!"),"",IF(NOT(ISNA(VLOOKUP(E869,E$1:E868,1,FALSE()))),"OLD",IF(AND(E869&lt;&gt;"",E869&lt;&gt;"!!!"),"NEW","")))</f>
        <v/>
      </c>
      <c r="G869" s="22" t="str">
        <f aca="false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3" t="str">
        <f aca="false">IF(J869&lt;&gt;1,"",IF(I869="SBJ","CB","?"))</f>
        <v/>
      </c>
      <c r="I869" s="24" t="str">
        <f aca="false">IF(OR(E869="",E869="!!!",F869="NEW"),"",INDEX(B$2:B868,-1+SUMPRODUCT(MAX(ROW(E$2:E868)*(E869=E$2:E868)))))</f>
        <v/>
      </c>
      <c r="J869" s="24" t="str">
        <f aca="true">IF(OR(E869="",E869="!!!",F869="NEW"),"",COUNTBLANK(OFFSET(A$1,,,SUMPRODUCT(MAX(ROW(E$2:E869)*(E869=E$2:E869)))))-COUNTBLANK(OFFSET(A$1,,,SUMPRODUCT(MAX(ROW(E$1:E868)*(E2=E$1:E868))))))</f>
        <v/>
      </c>
      <c r="K869" s="24" t="str">
        <f aca="false">IF(OR(E869="",E869="!!!",F869="NEW"),"",INDEX(J$1:J868,SUMPRODUCT(MAX(ROW(E$1:E868)*(E869=E$1:E868)))))</f>
        <v/>
      </c>
      <c r="L869" s="25"/>
    </row>
    <row r="870" customFormat="false" ht="14.25" hidden="false" customHeight="false" outlineLevel="0" collapsed="false">
      <c r="A870" s="0" t="s">
        <v>624</v>
      </c>
      <c r="E870" s="20" t="str">
        <f aca="false">IF(D870="?OLD","!!!","")</f>
        <v/>
      </c>
      <c r="F870" s="21" t="str">
        <f aca="false">IF(OR(E870="",E870="!!!"),"",IF(NOT(ISNA(VLOOKUP(E870,E$1:E869,1,FALSE()))),"OLD",IF(AND(E870&lt;&gt;"",E870&lt;&gt;"!!!"),"NEW","")))</f>
        <v/>
      </c>
      <c r="G870" s="22" t="str">
        <f aca="false"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aca="false">IF(J870&lt;&gt;1,"",IF(I870="SBJ","CB","?"))</f>
        <v/>
      </c>
      <c r="I870" s="24" t="str">
        <f aca="false">IF(OR(E870="",E870="!!!",F870="NEW"),"",INDEX(B$2:B869,-1+SUMPRODUCT(MAX(ROW(E$2:E869)*(E870=E$2:E869)))))</f>
        <v/>
      </c>
      <c r="J870" s="24" t="str">
        <f aca="true">IF(OR(E870="",E870="!!!",F870="NEW"),"",COUNTBLANK(OFFSET(A$1,,,SUMPRODUCT(MAX(ROW(E$2:E870)*(E870=E$2:E870)))))-COUNTBLANK(OFFSET(A$1,,,SUMPRODUCT(MAX(ROW(E$1:E869)*(E2=E$1:E869))))))</f>
        <v/>
      </c>
      <c r="K870" s="24" t="str">
        <f aca="false">IF(OR(E870="",E870="!!!",F870="NEW"),"",INDEX(J$1:J869,SUMPRODUCT(MAX(ROW(E$1:E869)*(E870=E$1:E869)))))</f>
        <v/>
      </c>
      <c r="L870" s="25"/>
    </row>
    <row r="871" customFormat="false" ht="14.25" hidden="false" customHeight="false" outlineLevel="0" collapsed="false">
      <c r="A871" s="0" t="s">
        <v>665</v>
      </c>
      <c r="E871" s="20" t="str">
        <f aca="false">IF(D871="?OLD","!!!","")</f>
        <v/>
      </c>
      <c r="F871" s="21" t="str">
        <f aca="false">IF(OR(E871="",E871="!!!"),"",IF(NOT(ISNA(VLOOKUP(E871,E$1:E870,1,FALSE()))),"OLD",IF(AND(E871&lt;&gt;"",E871&lt;&gt;"!!!"),"NEW","")))</f>
        <v/>
      </c>
      <c r="G871" s="22" t="str">
        <f aca="false"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aca="false">IF(J871&lt;&gt;1,"",IF(I871="SBJ","CB","?"))</f>
        <v/>
      </c>
      <c r="I871" s="24" t="str">
        <f aca="false">IF(OR(E871="",E871="!!!",F871="NEW"),"",INDEX(B$2:B870,-1+SUMPRODUCT(MAX(ROW(E$2:E870)*(E871=E$2:E870)))))</f>
        <v/>
      </c>
      <c r="J871" s="24" t="str">
        <f aca="true">IF(OR(E871="",E871="!!!",F871="NEW"),"",COUNTBLANK(OFFSET(A$1,,,SUMPRODUCT(MAX(ROW(E$2:E871)*(E871=E$2:E871)))))-COUNTBLANK(OFFSET(A$1,,,SUMPRODUCT(MAX(ROW(E$1:E870)*(E2=E$1:E870))))))</f>
        <v/>
      </c>
      <c r="K871" s="24" t="str">
        <f aca="false">IF(OR(E871="",E871="!!!",F871="NEW"),"",INDEX(J$1:J870,SUMPRODUCT(MAX(ROW(E$1:E870)*(E871=E$1:E870)))))</f>
        <v/>
      </c>
      <c r="L871" s="25"/>
    </row>
    <row r="872" customFormat="false" ht="14.25" hidden="false" customHeight="false" outlineLevel="0" collapsed="false">
      <c r="A872" s="0" t="s">
        <v>666</v>
      </c>
      <c r="B872" s="26" t="s">
        <v>422</v>
      </c>
      <c r="C872" s="26" t="s">
        <v>105</v>
      </c>
      <c r="E872" s="20" t="str">
        <f aca="false">IF(D872="?OLD","!!!","")</f>
        <v/>
      </c>
      <c r="F872" s="21" t="str">
        <f aca="false">IF(OR(E872="",E872="!!!"),"",IF(NOT(ISNA(VLOOKUP(E872,E$1:E871,1,FALSE()))),"OLD",IF(AND(E872&lt;&gt;"",E872&lt;&gt;"!!!"),"NEW","")))</f>
        <v/>
      </c>
      <c r="G872" s="22" t="str">
        <f aca="false"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aca="false">IF(J872&lt;&gt;1,"",IF(I872="SBJ","CB","?"))</f>
        <v/>
      </c>
      <c r="I872" s="24" t="str">
        <f aca="false">IF(OR(E872="",E872="!!!",F872="NEW"),"",INDEX(B$2:B871,-1+SUMPRODUCT(MAX(ROW(E$2:E871)*(E872=E$2:E871)))))</f>
        <v/>
      </c>
      <c r="J872" s="24" t="str">
        <f aca="true">IF(OR(E872="",E872="!!!",F872="NEW"),"",COUNTBLANK(OFFSET(A$1,,,SUMPRODUCT(MAX(ROW(E$2:E872)*(E872=E$2:E872)))))-COUNTBLANK(OFFSET(A$1,,,SUMPRODUCT(MAX(ROW(E$1:E871)*(E2=E$1:E871))))))</f>
        <v/>
      </c>
      <c r="K872" s="24" t="str">
        <f aca="false">IF(OR(E872="",E872="!!!",F872="NEW"),"",INDEX(J$1:J871,SUMPRODUCT(MAX(ROW(E$1:E871)*(E872=E$1:E871)))))</f>
        <v/>
      </c>
      <c r="L872" s="25"/>
    </row>
    <row r="873" customFormat="false" ht="14.25" hidden="false" customHeight="false" outlineLevel="0" collapsed="false">
      <c r="A873" s="0" t="s">
        <v>178</v>
      </c>
      <c r="E873" s="20" t="str">
        <f aca="false">IF(D873="?OLD","!!!","")</f>
        <v/>
      </c>
      <c r="F873" s="21" t="str">
        <f aca="false">IF(OR(E873="",E873="!!!"),"",IF(NOT(ISNA(VLOOKUP(E873,E$1:E872,1,FALSE()))),"OLD",IF(AND(E873&lt;&gt;"",E873&lt;&gt;"!!!"),"NEW","")))</f>
        <v/>
      </c>
      <c r="G873" s="22" t="str">
        <f aca="false"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aca="false">IF(J873&lt;&gt;1,"",IF(I873="SBJ","CB","?"))</f>
        <v/>
      </c>
      <c r="I873" s="24" t="str">
        <f aca="false">IF(OR(E873="",E873="!!!",F873="NEW"),"",INDEX(B$2:B872,-1+SUMPRODUCT(MAX(ROW(E$2:E872)*(E873=E$2:E872)))))</f>
        <v/>
      </c>
      <c r="J873" s="24" t="str">
        <f aca="true">IF(OR(E873="",E873="!!!",F873="NEW"),"",COUNTBLANK(OFFSET(A$1,,,SUMPRODUCT(MAX(ROW(E$2:E873)*(E873=E$2:E873)))))-COUNTBLANK(OFFSET(A$1,,,SUMPRODUCT(MAX(ROW(E$1:E872)*(E2=E$1:E872))))))</f>
        <v/>
      </c>
      <c r="K873" s="24" t="str">
        <f aca="false">IF(OR(E873="",E873="!!!",F873="NEW"),"",INDEX(J$1:J872,SUMPRODUCT(MAX(ROW(E$1:E872)*(E873=E$1:E872)))))</f>
        <v/>
      </c>
      <c r="L873" s="25"/>
    </row>
    <row r="874" customFormat="false" ht="14.25" hidden="false" customHeight="false" outlineLevel="0" collapsed="false">
      <c r="A874" s="0" t="s">
        <v>112</v>
      </c>
      <c r="E874" s="20" t="str">
        <f aca="false">IF(D874="?OLD","!!!","")</f>
        <v/>
      </c>
      <c r="F874" s="21" t="str">
        <f aca="false">IF(OR(E874="",E874="!!!"),"",IF(NOT(ISNA(VLOOKUP(E874,E$1:E873,1,FALSE()))),"OLD",IF(AND(E874&lt;&gt;"",E874&lt;&gt;"!!!"),"NEW","")))</f>
        <v/>
      </c>
      <c r="G874" s="22" t="str">
        <f aca="false"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aca="false">IF(J874&lt;&gt;1,"",IF(I874="SBJ","CB","?"))</f>
        <v/>
      </c>
      <c r="I874" s="24" t="str">
        <f aca="false">IF(OR(E874="",E874="!!!",F874="NEW"),"",INDEX(B$2:B873,-1+SUMPRODUCT(MAX(ROW(E$2:E873)*(E874=E$2:E873)))))</f>
        <v/>
      </c>
      <c r="J874" s="24" t="str">
        <f aca="true">IF(OR(E874="",E874="!!!",F874="NEW"),"",COUNTBLANK(OFFSET(A$1,,,SUMPRODUCT(MAX(ROW(E$2:E874)*(E874=E$2:E874)))))-COUNTBLANK(OFFSET(A$1,,,SUMPRODUCT(MAX(ROW(E$1:E873)*(E2=E$1:E873))))))</f>
        <v/>
      </c>
      <c r="K874" s="24" t="str">
        <f aca="false">IF(OR(E874="",E874="!!!",F874="NEW"),"",INDEX(J$1:J873,SUMPRODUCT(MAX(ROW(E$1:E873)*(E874=E$1:E873)))))</f>
        <v/>
      </c>
      <c r="L874" s="25"/>
    </row>
    <row r="875" customFormat="false" ht="14.25" hidden="false" customHeight="false" outlineLevel="0" collapsed="false">
      <c r="A875" s="0" t="s">
        <v>667</v>
      </c>
      <c r="E875" s="20" t="str">
        <f aca="false">IF(D875="?OLD","!!!","")</f>
        <v/>
      </c>
      <c r="F875" s="21" t="str">
        <f aca="false">IF(OR(E875="",E875="!!!"),"",IF(NOT(ISNA(VLOOKUP(E875,E$1:E874,1,FALSE()))),"OLD",IF(AND(E875&lt;&gt;"",E875&lt;&gt;"!!!"),"NEW","")))</f>
        <v/>
      </c>
      <c r="G875" s="22" t="str">
        <f aca="false"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aca="false">IF(J875&lt;&gt;1,"",IF(I875="SBJ","CB","?"))</f>
        <v/>
      </c>
      <c r="I875" s="24" t="str">
        <f aca="false">IF(OR(E875="",E875="!!!",F875="NEW"),"",INDEX(B$2:B874,-1+SUMPRODUCT(MAX(ROW(E$2:E874)*(E875=E$2:E874)))))</f>
        <v/>
      </c>
      <c r="J875" s="24" t="str">
        <f aca="true">IF(OR(E875="",E875="!!!",F875="NEW"),"",COUNTBLANK(OFFSET(A$1,,,SUMPRODUCT(MAX(ROW(E$2:E875)*(E875=E$2:E875)))))-COUNTBLANK(OFFSET(A$1,,,SUMPRODUCT(MAX(ROW(E$1:E874)*(E2=E$1:E874))))))</f>
        <v/>
      </c>
      <c r="K875" s="24" t="str">
        <f aca="false">IF(OR(E875="",E875="!!!",F875="NEW"),"",INDEX(J$1:J874,SUMPRODUCT(MAX(ROW(E$1:E874)*(E875=E$1:E874)))))</f>
        <v/>
      </c>
      <c r="L875" s="25"/>
    </row>
    <row r="876" customFormat="false" ht="14.25" hidden="false" customHeight="false" outlineLevel="0" collapsed="false">
      <c r="A876" s="0" t="s">
        <v>72</v>
      </c>
      <c r="B876" s="26" t="s">
        <v>571</v>
      </c>
      <c r="C876" s="26" t="s">
        <v>74</v>
      </c>
      <c r="D876" s="26" t="s">
        <v>75</v>
      </c>
      <c r="E876" s="20" t="s">
        <v>76</v>
      </c>
      <c r="F876" s="21" t="str">
        <f aca="false">IF(OR(E876="",E876="!!!"),"",IF(NOT(ISNA(VLOOKUP(E876,E$1:E875,1,FALSE()))),"OLD",IF(AND(E876&lt;&gt;"",E876&lt;&gt;"!!!"),"NEW","")))</f>
        <v>OLD</v>
      </c>
      <c r="G876" s="22" t="str">
        <f aca="false"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?IN_FOCUS</v>
      </c>
      <c r="H876" s="23" t="str">
        <f aca="false">IF(J876&lt;&gt;1,"",IF(I876="SBJ","CB","?"))</f>
        <v/>
      </c>
      <c r="I876" s="24" t="str">
        <f aca="false">IF(OR(E876="",E876="!!!",F876="NEW"),"",INDEX(B$2:B875,-1+SUMPRODUCT(MAX(ROW(E$2:E875)*(E876=E$2:E875)))))</f>
        <v>SBJ</v>
      </c>
      <c r="J876" s="24" t="n">
        <f aca="true">IF(OR(E876="",E876="!!!",F876="NEW"),"",COUNTBLANK(OFFSET(A$1,,,SUMPRODUCT(MAX(ROW(E$2:E876)*(E876=E$2:E876)))))-COUNTBLANK(OFFSET(A$1,,,SUMPRODUCT(MAX(ROW(E$1:E875)*(E2=E$1:E875))))))</f>
        <v>0</v>
      </c>
      <c r="K876" s="24" t="n">
        <f aca="false">IF(OR(E876="",E876="!!!",F876="NEW"),"",INDEX(J$1:J875,SUMPRODUCT(MAX(ROW(E$1:E875)*(E876=E$1:E875)))))</f>
        <v>0</v>
      </c>
      <c r="L876" s="25"/>
    </row>
    <row r="877" customFormat="false" ht="14.25" hidden="false" customHeight="false" outlineLevel="0" collapsed="false">
      <c r="A877" s="0" t="s">
        <v>86</v>
      </c>
      <c r="E877" s="20" t="str">
        <f aca="false">IF(D877="?OLD","!!!","")</f>
        <v/>
      </c>
      <c r="F877" s="21" t="str">
        <f aca="false">IF(OR(E877="",E877="!!!"),"",IF(NOT(ISNA(VLOOKUP(E877,E$1:E876,1,FALSE()))),"OLD",IF(AND(E877&lt;&gt;"",E877&lt;&gt;"!!!"),"NEW","")))</f>
        <v/>
      </c>
      <c r="G877" s="22" t="str">
        <f aca="false"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aca="false">IF(J877&lt;&gt;1,"",IF(I877="SBJ","CB","?"))</f>
        <v/>
      </c>
      <c r="I877" s="24" t="str">
        <f aca="false">IF(OR(E877="",E877="!!!",F877="NEW"),"",INDEX(B$2:B876,-1+SUMPRODUCT(MAX(ROW(E$2:E876)*(E877=E$2:E876)))))</f>
        <v/>
      </c>
      <c r="J877" s="24" t="str">
        <f aca="true">IF(OR(E877="",E877="!!!",F877="NEW"),"",COUNTBLANK(OFFSET(A$1,,,SUMPRODUCT(MAX(ROW(E$2:E877)*(E877=E$2:E877)))))-COUNTBLANK(OFFSET(A$1,,,SUMPRODUCT(MAX(ROW(E$1:E876)*(E2=E$1:E876))))))</f>
        <v/>
      </c>
      <c r="K877" s="24" t="str">
        <f aca="false">IF(OR(E877="",E877="!!!",F877="NEW"),"",INDEX(J$1:J876,SUMPRODUCT(MAX(ROW(E$1:E876)*(E877=E$1:E876)))))</f>
        <v/>
      </c>
      <c r="L877" s="25"/>
    </row>
    <row r="878" customFormat="false" ht="14.25" hidden="false" customHeight="false" outlineLevel="0" collapsed="false">
      <c r="A878" s="0" t="s">
        <v>94</v>
      </c>
      <c r="E878" s="20" t="str">
        <f aca="false">IF(D878="?OLD","!!!","")</f>
        <v/>
      </c>
      <c r="F878" s="21" t="str">
        <f aca="false">IF(OR(E878="",E878="!!!"),"",IF(NOT(ISNA(VLOOKUP(E878,E$1:E877,1,FALSE()))),"OLD",IF(AND(E878&lt;&gt;"",E878&lt;&gt;"!!!"),"NEW","")))</f>
        <v/>
      </c>
      <c r="G878" s="22" t="str">
        <f aca="false"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aca="false">IF(J878&lt;&gt;1,"",IF(I878="SBJ","CB","?"))</f>
        <v/>
      </c>
      <c r="I878" s="24" t="str">
        <f aca="false">IF(OR(E878="",E878="!!!",F878="NEW"),"",INDEX(B$2:B877,-1+SUMPRODUCT(MAX(ROW(E$2:E877)*(E878=E$2:E877)))))</f>
        <v/>
      </c>
      <c r="J878" s="24" t="str">
        <f aca="true">IF(OR(E878="",E878="!!!",F878="NEW"),"",COUNTBLANK(OFFSET(A$1,,,SUMPRODUCT(MAX(ROW(E$2:E878)*(E878=E$2:E878)))))-COUNTBLANK(OFFSET(A$1,,,SUMPRODUCT(MAX(ROW(E$1:E877)*(E2=E$1:E877))))))</f>
        <v/>
      </c>
      <c r="K878" s="24" t="str">
        <f aca="false">IF(OR(E878="",E878="!!!",F878="NEW"),"",INDEX(J$1:J877,SUMPRODUCT(MAX(ROW(E$1:E877)*(E878=E$1:E877)))))</f>
        <v/>
      </c>
      <c r="L878" s="25"/>
    </row>
    <row r="879" customFormat="false" ht="14.25" hidden="false" customHeight="false" outlineLevel="0" collapsed="false">
      <c r="A879" s="0" t="s">
        <v>79</v>
      </c>
      <c r="E879" s="20" t="str">
        <f aca="false">IF(D879="?OLD","!!!","")</f>
        <v/>
      </c>
      <c r="F879" s="21" t="str">
        <f aca="false">IF(OR(E879="",E879="!!!"),"",IF(NOT(ISNA(VLOOKUP(E879,E$1:E878,1,FALSE()))),"OLD",IF(AND(E879&lt;&gt;"",E879&lt;&gt;"!!!"),"NEW","")))</f>
        <v/>
      </c>
      <c r="G879" s="22" t="str">
        <f aca="false"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aca="false">IF(J879&lt;&gt;1,"",IF(I879="SBJ","CB","?"))</f>
        <v/>
      </c>
      <c r="I879" s="24" t="str">
        <f aca="false">IF(OR(E879="",E879="!!!",F879="NEW"),"",INDEX(B$2:B878,-1+SUMPRODUCT(MAX(ROW(E$2:E878)*(E879=E$2:E878)))))</f>
        <v/>
      </c>
      <c r="J879" s="24" t="str">
        <f aca="true">IF(OR(E879="",E879="!!!",F879="NEW"),"",COUNTBLANK(OFFSET(A$1,,,SUMPRODUCT(MAX(ROW(E$2:E879)*(E879=E$2:E879)))))-COUNTBLANK(OFFSET(A$1,,,SUMPRODUCT(MAX(ROW(E$1:E878)*(E2=E$1:E878))))))</f>
        <v/>
      </c>
      <c r="K879" s="24" t="str">
        <f aca="false">IF(OR(E879="",E879="!!!",F879="NEW"),"",INDEX(J$1:J878,SUMPRODUCT(MAX(ROW(E$1:E878)*(E879=E$1:E878)))))</f>
        <v/>
      </c>
      <c r="L879" s="25"/>
    </row>
    <row r="880" customFormat="false" ht="14.25" hidden="false" customHeight="false" outlineLevel="0" collapsed="false">
      <c r="A880" s="0" t="s">
        <v>668</v>
      </c>
      <c r="B880" s="26" t="s">
        <v>410</v>
      </c>
      <c r="C880" s="26" t="s">
        <v>105</v>
      </c>
      <c r="E880" s="20" t="str">
        <f aca="false">IF(D880="?OLD","!!!","")</f>
        <v/>
      </c>
      <c r="F880" s="21" t="str">
        <f aca="false">IF(OR(E880="",E880="!!!"),"",IF(NOT(ISNA(VLOOKUP(E880,E$1:E879,1,FALSE()))),"OLD",IF(AND(E880&lt;&gt;"",E880&lt;&gt;"!!!"),"NEW","")))</f>
        <v/>
      </c>
      <c r="G880" s="22" t="str">
        <f aca="false"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aca="false">IF(J880&lt;&gt;1,"",IF(I880="SBJ","CB","?"))</f>
        <v/>
      </c>
      <c r="I880" s="24" t="str">
        <f aca="false">IF(OR(E880="",E880="!!!",F880="NEW"),"",INDEX(B$2:B879,-1+SUMPRODUCT(MAX(ROW(E$2:E879)*(E880=E$2:E879)))))</f>
        <v/>
      </c>
      <c r="J880" s="24" t="str">
        <f aca="true">IF(OR(E880="",E880="!!!",F880="NEW"),"",COUNTBLANK(OFFSET(A$1,,,SUMPRODUCT(MAX(ROW(E$2:E880)*(E880=E$2:E880)))))-COUNTBLANK(OFFSET(A$1,,,SUMPRODUCT(MAX(ROW(E$1:E879)*(E2=E$1:E879))))))</f>
        <v/>
      </c>
      <c r="K880" s="24" t="str">
        <f aca="false">IF(OR(E880="",E880="!!!",F880="NEW"),"",INDEX(J$1:J879,SUMPRODUCT(MAX(ROW(E$1:E879)*(E880=E$1:E879)))))</f>
        <v/>
      </c>
      <c r="L880" s="25"/>
    </row>
    <row r="881" customFormat="false" ht="14.25" hidden="false" customHeight="false" outlineLevel="0" collapsed="false">
      <c r="A881" s="0" t="s">
        <v>467</v>
      </c>
      <c r="E881" s="20" t="str">
        <f aca="false">IF(D881="?OLD","!!!","")</f>
        <v/>
      </c>
      <c r="F881" s="21" t="str">
        <f aca="false">IF(OR(E881="",E881="!!!"),"",IF(NOT(ISNA(VLOOKUP(E881,E$1:E880,1,FALSE()))),"OLD",IF(AND(E881&lt;&gt;"",E881&lt;&gt;"!!!"),"NEW","")))</f>
        <v/>
      </c>
      <c r="G881" s="22" t="str">
        <f aca="false"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3" t="str">
        <f aca="false">IF(J881&lt;&gt;1,"",IF(I881="SBJ","CB","?"))</f>
        <v/>
      </c>
      <c r="I881" s="24" t="str">
        <f aca="false">IF(OR(E881="",E881="!!!",F881="NEW"),"",INDEX(B$2:B880,-1+SUMPRODUCT(MAX(ROW(E$2:E880)*(E881=E$2:E880)))))</f>
        <v/>
      </c>
      <c r="J881" s="24" t="str">
        <f aca="true">IF(OR(E881="",E881="!!!",F881="NEW"),"",COUNTBLANK(OFFSET(A$1,,,SUMPRODUCT(MAX(ROW(E$2:E881)*(E881=E$2:E881)))))-COUNTBLANK(OFFSET(A$1,,,SUMPRODUCT(MAX(ROW(E$1:E880)*(E2=E$1:E880))))))</f>
        <v/>
      </c>
      <c r="K881" s="24" t="str">
        <f aca="false">IF(OR(E881="",E881="!!!",F881="NEW"),"",INDEX(J$1:J880,SUMPRODUCT(MAX(ROW(E$1:E880)*(E881=E$1:E880)))))</f>
        <v/>
      </c>
      <c r="L881" s="25"/>
    </row>
    <row r="882" customFormat="false" ht="14.25" hidden="false" customHeight="false" outlineLevel="0" collapsed="false">
      <c r="A882" s="0" t="s">
        <v>207</v>
      </c>
      <c r="B882" s="26" t="s">
        <v>208</v>
      </c>
      <c r="C882" s="26" t="s">
        <v>209</v>
      </c>
      <c r="D882" s="26" t="s">
        <v>75</v>
      </c>
      <c r="E882" s="20" t="s">
        <v>207</v>
      </c>
      <c r="F882" s="21" t="str">
        <f aca="false">IF(OR(E882="",E882="!!!"),"",IF(NOT(ISNA(VLOOKUP(E882,E$1:E881,1,FALSE()))),"OLD",IF(AND(E882&lt;&gt;"",E882&lt;&gt;"!!!"),"NEW","")))</f>
        <v>OLD</v>
      </c>
      <c r="G882" s="22" t="str">
        <f aca="false"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?IN_FOCUS</v>
      </c>
      <c r="H882" s="23" t="str">
        <f aca="false">IF(J882&lt;&gt;1,"",IF(I882="SBJ","CB","?"))</f>
        <v/>
      </c>
      <c r="I882" s="24" t="str">
        <f aca="false">IF(OR(E882="",E882="!!!",F882="NEW"),"",INDEX(B$2:B881,-1+SUMPRODUCT(MAX(ROW(E$2:E881)*(E882=E$2:E881)))))</f>
        <v>SBJ_5</v>
      </c>
      <c r="J882" s="24" t="n">
        <f aca="true">IF(OR(E882="",E882="!!!",F882="NEW"),"",COUNTBLANK(OFFSET(A$1,,,SUMPRODUCT(MAX(ROW(E$2:E882)*(E882=E$2:E882)))))-COUNTBLANK(OFFSET(A$1,,,SUMPRODUCT(MAX(ROW(E$1:E881)*(E2=E$1:E881))))))</f>
        <v>0</v>
      </c>
      <c r="K882" s="24" t="n">
        <f aca="false">IF(OR(E882="",E882="!!!",F882="NEW"),"",INDEX(J$1:J881,SUMPRODUCT(MAX(ROW(E$1:E881)*(E882=E$1:E881)))))</f>
        <v>0</v>
      </c>
      <c r="L882" s="25"/>
    </row>
    <row r="883" customFormat="false" ht="14.25" hidden="false" customHeight="false" outlineLevel="0" collapsed="false">
      <c r="A883" s="0" t="s">
        <v>136</v>
      </c>
      <c r="E883" s="20" t="str">
        <f aca="false">IF(D883="?OLD","!!!","")</f>
        <v/>
      </c>
      <c r="F883" s="21" t="str">
        <f aca="false">IF(OR(E883="",E883="!!!"),"",IF(NOT(ISNA(VLOOKUP(E883,E$1:E882,1,FALSE()))),"OLD",IF(AND(E883&lt;&gt;"",E883&lt;&gt;"!!!"),"NEW","")))</f>
        <v/>
      </c>
      <c r="G883" s="22" t="str">
        <f aca="false"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aca="false">IF(J883&lt;&gt;1,"",IF(I883="SBJ","CB","?"))</f>
        <v/>
      </c>
      <c r="I883" s="24" t="str">
        <f aca="false">IF(OR(E883="",E883="!!!",F883="NEW"),"",INDEX(B$2:B882,-1+SUMPRODUCT(MAX(ROW(E$2:E882)*(E883=E$2:E882)))))</f>
        <v/>
      </c>
      <c r="J883" s="24" t="str">
        <f aca="true">IF(OR(E883="",E883="!!!",F883="NEW"),"",COUNTBLANK(OFFSET(A$1,,,SUMPRODUCT(MAX(ROW(E$2:E883)*(E883=E$2:E883)))))-COUNTBLANK(OFFSET(A$1,,,SUMPRODUCT(MAX(ROW(E$1:E882)*(E2=E$1:E882))))))</f>
        <v/>
      </c>
      <c r="K883" s="24" t="str">
        <f aca="false">IF(OR(E883="",E883="!!!",F883="NEW"),"",INDEX(J$1:J882,SUMPRODUCT(MAX(ROW(E$1:E882)*(E883=E$1:E882)))))</f>
        <v/>
      </c>
      <c r="L883" s="25"/>
    </row>
    <row r="884" customFormat="false" ht="14.25" hidden="false" customHeight="false" outlineLevel="0" collapsed="false">
      <c r="A884" s="0" t="s">
        <v>669</v>
      </c>
      <c r="B884" s="26" t="s">
        <v>214</v>
      </c>
      <c r="C884" s="26" t="s">
        <v>74</v>
      </c>
      <c r="D884" s="26" t="s">
        <v>75</v>
      </c>
      <c r="E884" s="20" t="s">
        <v>670</v>
      </c>
      <c r="F884" s="21" t="str">
        <f aca="false">IF(OR(E884="",E884="!!!"),"",IF(NOT(ISNA(VLOOKUP(E884,E$1:E883,1,FALSE()))),"OLD",IF(AND(E884&lt;&gt;"",E884&lt;&gt;"!!!"),"NEW","")))</f>
        <v>NEW</v>
      </c>
      <c r="G884" s="22" t="str">
        <f aca="false"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?REFERENTIAL</v>
      </c>
      <c r="H884" s="23" t="str">
        <f aca="false">IF(J884&lt;&gt;1,"",IF(I884="SBJ","CB","?"))</f>
        <v/>
      </c>
      <c r="I884" s="24" t="str">
        <f aca="false">IF(OR(E884="",E884="!!!",F884="NEW"),"",INDEX(B$2:B883,-1+SUMPRODUCT(MAX(ROW(E$2:E883)*(E884=E$2:E883)))))</f>
        <v/>
      </c>
      <c r="J884" s="24" t="str">
        <f aca="true">IF(OR(E884="",E884="!!!",F884="NEW"),"",COUNTBLANK(OFFSET(A$1,,,SUMPRODUCT(MAX(ROW(E$2:E884)*(E884=E$2:E884)))))-COUNTBLANK(OFFSET(A$1,,,SUMPRODUCT(MAX(ROW(E$1:E883)*(E2=E$1:E883))))))</f>
        <v/>
      </c>
      <c r="K884" s="24" t="str">
        <f aca="false">IF(OR(E884="",E884="!!!",F884="NEW"),"",INDEX(J$1:J883,SUMPRODUCT(MAX(ROW(E$1:E883)*(E884=E$1:E883)))))</f>
        <v/>
      </c>
      <c r="L884" s="25"/>
    </row>
    <row r="885" customFormat="false" ht="14.25" hidden="false" customHeight="false" outlineLevel="0" collapsed="false">
      <c r="A885" s="0" t="s">
        <v>328</v>
      </c>
      <c r="E885" s="20" t="str">
        <f aca="false">IF(D885="?OLD","!!!","")</f>
        <v/>
      </c>
      <c r="F885" s="21" t="str">
        <f aca="false">IF(OR(E885="",E885="!!!"),"",IF(NOT(ISNA(VLOOKUP(E885,E$1:E884,1,FALSE()))),"OLD",IF(AND(E885&lt;&gt;"",E885&lt;&gt;"!!!"),"NEW","")))</f>
        <v/>
      </c>
      <c r="G885" s="22" t="str">
        <f aca="false"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aca="false">IF(J885&lt;&gt;1,"",IF(I885="SBJ","CB","?"))</f>
        <v/>
      </c>
      <c r="I885" s="24" t="str">
        <f aca="false">IF(OR(E885="",E885="!!!",F885="NEW"),"",INDEX(B$2:B884,-1+SUMPRODUCT(MAX(ROW(E$2:E884)*(E885=E$2:E884)))))</f>
        <v/>
      </c>
      <c r="J885" s="24" t="str">
        <f aca="true">IF(OR(E885="",E885="!!!",F885="NEW"),"",COUNTBLANK(OFFSET(A$1,,,SUMPRODUCT(MAX(ROW(E$2:E885)*(E885=E$2:E885)))))-COUNTBLANK(OFFSET(A$1,,,SUMPRODUCT(MAX(ROW(E$1:E884)*(E2=E$1:E884))))))</f>
        <v/>
      </c>
      <c r="K885" s="24" t="str">
        <f aca="false">IF(OR(E885="",E885="!!!",F885="NEW"),"",INDEX(J$1:J884,SUMPRODUCT(MAX(ROW(E$1:E884)*(E885=E$1:E884)))))</f>
        <v/>
      </c>
      <c r="L885" s="25"/>
    </row>
    <row r="886" customFormat="false" ht="14.25" hidden="false" customHeight="false" outlineLevel="0" collapsed="false">
      <c r="A886" s="0" t="s">
        <v>340</v>
      </c>
      <c r="B886" s="26" t="s">
        <v>424</v>
      </c>
      <c r="C886" s="26" t="s">
        <v>105</v>
      </c>
      <c r="E886" s="20"/>
      <c r="F886" s="21" t="str">
        <f aca="false">IF(OR(E886="",E886="!!!"),"",IF(NOT(ISNA(VLOOKUP(E886,E$1:E885,1,FALSE()))),"OLD",IF(AND(E886&lt;&gt;"",E886&lt;&gt;"!!!"),"NEW","")))</f>
        <v/>
      </c>
      <c r="G886" s="22" t="str">
        <f aca="false"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3" t="str">
        <f aca="false">IF(J886&lt;&gt;1,"",IF(I886="SBJ","CB","?"))</f>
        <v/>
      </c>
      <c r="I886" s="24" t="str">
        <f aca="false">IF(OR(E886="",E886="!!!",F886="NEW"),"",INDEX(B$2:B885,-1+SUMPRODUCT(MAX(ROW(E$2:E885)*(E886=E$2:E885)))))</f>
        <v/>
      </c>
      <c r="J886" s="24" t="str">
        <f aca="true">IF(OR(E886="",E886="!!!",F886="NEW"),"",COUNTBLANK(OFFSET(A$1,,,SUMPRODUCT(MAX(ROW(E$2:E886)*(E886=E$2:E886)))))-COUNTBLANK(OFFSET(A$1,,,SUMPRODUCT(MAX(ROW(E$1:E885)*(E2=E$1:E885))))))</f>
        <v/>
      </c>
      <c r="K886" s="24" t="str">
        <f aca="false">IF(OR(E886="",E886="!!!",F886="NEW"),"",INDEX(J$1:J885,SUMPRODUCT(MAX(ROW(E$1:E885)*(E886=E$1:E885)))))</f>
        <v/>
      </c>
      <c r="L886" s="25"/>
    </row>
    <row r="887" customFormat="false" ht="14.25" hidden="false" customHeight="false" outlineLevel="0" collapsed="false">
      <c r="A887" s="0" t="s">
        <v>650</v>
      </c>
      <c r="E887" s="20" t="str">
        <f aca="false">IF(D887="?OLD","!!!","")</f>
        <v/>
      </c>
      <c r="F887" s="21" t="str">
        <f aca="false">IF(OR(E887="",E887="!!!"),"",IF(NOT(ISNA(VLOOKUP(E887,E$1:E886,1,FALSE()))),"OLD",IF(AND(E887&lt;&gt;"",E887&lt;&gt;"!!!"),"NEW","")))</f>
        <v/>
      </c>
      <c r="G887" s="22" t="str">
        <f aca="false"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aca="false">IF(J887&lt;&gt;1,"",IF(I887="SBJ","CB","?"))</f>
        <v/>
      </c>
      <c r="I887" s="24" t="str">
        <f aca="false">IF(OR(E887="",E887="!!!",F887="NEW"),"",INDEX(B$2:B886,-1+SUMPRODUCT(MAX(ROW(E$2:E886)*(E887=E$2:E886)))))</f>
        <v/>
      </c>
      <c r="J887" s="24" t="str">
        <f aca="true">IF(OR(E887="",E887="!!!",F887="NEW"),"",COUNTBLANK(OFFSET(A$1,,,SUMPRODUCT(MAX(ROW(E$2:E887)*(E887=E$2:E887)))))-COUNTBLANK(OFFSET(A$1,,,SUMPRODUCT(MAX(ROW(E$1:E886)*(E2=E$1:E886))))))</f>
        <v/>
      </c>
      <c r="K887" s="24" t="str">
        <f aca="false">IF(OR(E887="",E887="!!!",F887="NEW"),"",INDEX(J$1:J886,SUMPRODUCT(MAX(ROW(E$1:E886)*(E887=E$1:E886)))))</f>
        <v/>
      </c>
      <c r="L887" s="25"/>
    </row>
    <row r="888" customFormat="false" ht="14.25" hidden="false" customHeight="false" outlineLevel="0" collapsed="false">
      <c r="A888" s="0" t="s">
        <v>112</v>
      </c>
      <c r="E888" s="20" t="str">
        <f aca="false">IF(D888="?OLD","!!!","")</f>
        <v/>
      </c>
      <c r="F888" s="21" t="str">
        <f aca="false">IF(OR(E888="",E888="!!!"),"",IF(NOT(ISNA(VLOOKUP(E888,E$1:E887,1,FALSE()))),"OLD",IF(AND(E888&lt;&gt;"",E888&lt;&gt;"!!!"),"NEW","")))</f>
        <v/>
      </c>
      <c r="G888" s="22" t="str">
        <f aca="false"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aca="false">IF(J888&lt;&gt;1,"",IF(I888="SBJ","CB","?"))</f>
        <v/>
      </c>
      <c r="I888" s="24" t="str">
        <f aca="false">IF(OR(E888="",E888="!!!",F888="NEW"),"",INDEX(B$2:B887,-1+SUMPRODUCT(MAX(ROW(E$2:E887)*(E888=E$2:E887)))))</f>
        <v/>
      </c>
      <c r="J888" s="24" t="str">
        <f aca="true">IF(OR(E888="",E888="!!!",F888="NEW"),"",COUNTBLANK(OFFSET(A$1,,,SUMPRODUCT(MAX(ROW(E$2:E888)*(E888=E$2:E888)))))-COUNTBLANK(OFFSET(A$1,,,SUMPRODUCT(MAX(ROW(E$1:E887)*(E2=E$1:E887))))))</f>
        <v/>
      </c>
      <c r="K888" s="24" t="str">
        <f aca="false">IF(OR(E888="",E888="!!!",F888="NEW"),"",INDEX(J$1:J887,SUMPRODUCT(MAX(ROW(E$1:E887)*(E888=E$1:E887)))))</f>
        <v/>
      </c>
      <c r="L888" s="25"/>
    </row>
    <row r="889" customFormat="false" ht="14.25" hidden="false" customHeight="false" outlineLevel="0" collapsed="false">
      <c r="A889" s="0" t="s">
        <v>671</v>
      </c>
      <c r="E889" s="20" t="str">
        <f aca="false">IF(D889="?OLD","!!!","")</f>
        <v/>
      </c>
      <c r="F889" s="21" t="str">
        <f aca="false">IF(OR(E889="",E889="!!!"),"",IF(NOT(ISNA(VLOOKUP(E889,E$1:E888,1,FALSE()))),"OLD",IF(AND(E889&lt;&gt;"",E889&lt;&gt;"!!!"),"NEW","")))</f>
        <v/>
      </c>
      <c r="G889" s="22" t="str">
        <f aca="false"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3" t="str">
        <f aca="false">IF(J889&lt;&gt;1,"",IF(I889="SBJ","CB","?"))</f>
        <v/>
      </c>
      <c r="I889" s="24" t="str">
        <f aca="false">IF(OR(E889="",E889="!!!",F889="NEW"),"",INDEX(B$2:B888,-1+SUMPRODUCT(MAX(ROW(E$2:E888)*(E889=E$2:E888)))))</f>
        <v/>
      </c>
      <c r="J889" s="24" t="str">
        <f aca="true">IF(OR(E889="",E889="!!!",F889="NEW"),"",COUNTBLANK(OFFSET(A$1,,,SUMPRODUCT(MAX(ROW(E$2:E889)*(E889=E$2:E889)))))-COUNTBLANK(OFFSET(A$1,,,SUMPRODUCT(MAX(ROW(E$1:E888)*(E2=E$1:E888))))))</f>
        <v/>
      </c>
      <c r="K889" s="24" t="str">
        <f aca="false">IF(OR(E889="",E889="!!!",F889="NEW"),"",INDEX(J$1:J888,SUMPRODUCT(MAX(ROW(E$1:E888)*(E889=E$1:E888)))))</f>
        <v/>
      </c>
      <c r="L889" s="25"/>
    </row>
    <row r="890" customFormat="false" ht="14.25" hidden="false" customHeight="false" outlineLevel="0" collapsed="false">
      <c r="A890" s="0" t="s">
        <v>365</v>
      </c>
      <c r="B890" s="26" t="s">
        <v>424</v>
      </c>
      <c r="C890" s="26" t="s">
        <v>283</v>
      </c>
      <c r="D890" s="26" t="s">
        <v>75</v>
      </c>
      <c r="E890" s="20" t="s">
        <v>366</v>
      </c>
      <c r="F890" s="21" t="str">
        <f aca="false">IF(OR(E890="",E890="!!!"),"",IF(NOT(ISNA(VLOOKUP(E890,E$1:E889,1,FALSE()))),"OLD",IF(AND(E890&lt;&gt;"",E890&lt;&gt;"!!!"),"NEW","")))</f>
        <v>OLD</v>
      </c>
      <c r="G890" s="22" t="str">
        <f aca="false"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?IN_FOCUS</v>
      </c>
      <c r="H890" s="23" t="str">
        <f aca="false">IF(J890&lt;&gt;1,"",IF(I890="SBJ","CB","?"))</f>
        <v/>
      </c>
      <c r="I890" s="24" t="str">
        <f aca="false">IF(OR(E890="",E890="!!!",F890="NEW"),"",INDEX(B$2:B889,-1+SUMPRODUCT(MAX(ROW(E$2:E889)*(E890=E$2:E889)))))</f>
        <v>other_6</v>
      </c>
      <c r="J890" s="24" t="n">
        <f aca="true">IF(OR(E890="",E890="!!!",F890="NEW"),"",COUNTBLANK(OFFSET(A$1,,,SUMPRODUCT(MAX(ROW(E$2:E890)*(E890=E$2:E890)))))-COUNTBLANK(OFFSET(A$1,,,SUMPRODUCT(MAX(ROW(E$1:E889)*(E2=E$1:E889))))))</f>
        <v>0</v>
      </c>
      <c r="K890" s="24" t="n">
        <f aca="false">IF(OR(E890="",E890="!!!",F890="NEW"),"",INDEX(J$1:J889,SUMPRODUCT(MAX(ROW(E$1:E889)*(E890=E$1:E889)))))</f>
        <v>0</v>
      </c>
      <c r="L890" s="27" t="s">
        <v>541</v>
      </c>
    </row>
    <row r="891" customFormat="false" ht="14.25" hidden="false" customHeight="false" outlineLevel="0" collapsed="false">
      <c r="A891" s="0" t="s">
        <v>16</v>
      </c>
      <c r="E891" s="20" t="str">
        <f aca="false">IF(D891="?OLD","!!!","")</f>
        <v/>
      </c>
      <c r="F891" s="21" t="str">
        <f aca="false">IF(OR(E891="",E891="!!!"),"",IF(NOT(ISNA(VLOOKUP(E891,E$1:E890,1,FALSE()))),"OLD",IF(AND(E891&lt;&gt;"",E891&lt;&gt;"!!!"),"NEW","")))</f>
        <v/>
      </c>
      <c r="G891" s="22" t="str">
        <f aca="false"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aca="false">IF(J891&lt;&gt;1,"",IF(I891="SBJ","CB","?"))</f>
        <v/>
      </c>
      <c r="I891" s="24" t="str">
        <f aca="false">IF(OR(E891="",E891="!!!",F891="NEW"),"",INDEX(B$2:B890,-1+SUMPRODUCT(MAX(ROW(E$2:E890)*(E891=E$2:E890)))))</f>
        <v/>
      </c>
      <c r="J891" s="24" t="str">
        <f aca="true">IF(OR(E891="",E891="!!!",F891="NEW"),"",COUNTBLANK(OFFSET(A$1,,,SUMPRODUCT(MAX(ROW(E$2:E891)*(E891=E$2:E891)))))-COUNTBLANK(OFFSET(A$1,,,SUMPRODUCT(MAX(ROW(E$1:E890)*(E2=E$1:E890))))))</f>
        <v/>
      </c>
      <c r="K891" s="24" t="str">
        <f aca="false">IF(OR(E891="",E891="!!!",F891="NEW"),"",INDEX(J$1:J890,SUMPRODUCT(MAX(ROW(E$1:E890)*(E891=E$1:E890)))))</f>
        <v/>
      </c>
      <c r="L891" s="25"/>
    </row>
    <row r="892" customFormat="false" ht="14.25" hidden="false" customHeight="false" outlineLevel="0" collapsed="false">
      <c r="A892" s="0" t="s">
        <v>652</v>
      </c>
      <c r="E892" s="20" t="s">
        <v>653</v>
      </c>
      <c r="F892" s="21" t="str">
        <f aca="false">IF(OR(E892="",E892="!!!"),"",IF(NOT(ISNA(VLOOKUP(E892,E$1:E891,1,FALSE()))),"OLD",IF(AND(E892&lt;&gt;"",E892&lt;&gt;"!!!"),"NEW","")))</f>
        <v>OLD</v>
      </c>
      <c r="G892" s="22" t="str">
        <f aca="false"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?IN_FOCUS</v>
      </c>
      <c r="H892" s="23" t="str">
        <f aca="false">IF(J892&lt;&gt;1,"",IF(I892="SBJ","CB","?"))</f>
        <v/>
      </c>
      <c r="I892" s="24" t="n">
        <f aca="false">IF(OR(E892="",E892="!!!",F892="NEW"),"",INDEX(B$2:B891,-1+SUMPRODUCT(MAX(ROW(E$2:E891)*(E892=E$2:E891)))))</f>
        <v>0</v>
      </c>
      <c r="J892" s="24" t="n">
        <f aca="true">IF(OR(E892="",E892="!!!",F892="NEW"),"",COUNTBLANK(OFFSET(A$1,,,SUMPRODUCT(MAX(ROW(E$2:E892)*(E892=E$2:E892)))))-COUNTBLANK(OFFSET(A$1,,,SUMPRODUCT(MAX(ROW(E$1:E891)*(E2=E$1:E891))))))</f>
        <v>0</v>
      </c>
      <c r="K892" s="24" t="str">
        <f aca="false">IF(OR(E892="",E892="!!!",F892="NEW"),"",INDEX(J$1:J891,SUMPRODUCT(MAX(ROW(E$1:E891)*(E892=E$1:E891)))))</f>
        <v/>
      </c>
      <c r="L892" s="25"/>
    </row>
    <row r="893" customFormat="false" ht="14.25" hidden="false" customHeight="false" outlineLevel="0" collapsed="false">
      <c r="A893" s="0" t="s">
        <v>86</v>
      </c>
      <c r="E893" s="20" t="str">
        <f aca="false">IF(D893="?OLD","!!!","")</f>
        <v/>
      </c>
      <c r="F893" s="21" t="str">
        <f aca="false">IF(OR(E893="",E893="!!!"),"",IF(NOT(ISNA(VLOOKUP(E893,E$1:E892,1,FALSE()))),"OLD",IF(AND(E893&lt;&gt;"",E893&lt;&gt;"!!!"),"NEW","")))</f>
        <v/>
      </c>
      <c r="G893" s="22" t="str">
        <f aca="false"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aca="false">IF(J893&lt;&gt;1,"",IF(I893="SBJ","CB","?"))</f>
        <v/>
      </c>
      <c r="I893" s="24" t="str">
        <f aca="false">IF(OR(E893="",E893="!!!",F893="NEW"),"",INDEX(B$2:B892,-1+SUMPRODUCT(MAX(ROW(E$2:E892)*(E893=E$2:E892)))))</f>
        <v/>
      </c>
      <c r="J893" s="24" t="str">
        <f aca="true">IF(OR(E893="",E893="!!!",F893="NEW"),"",COUNTBLANK(OFFSET(A$1,,,SUMPRODUCT(MAX(ROW(E$2:E893)*(E893=E$2:E893)))))-COUNTBLANK(OFFSET(A$1,,,SUMPRODUCT(MAX(ROW(E$1:E892)*(E2=E$1:E892))))))</f>
        <v/>
      </c>
      <c r="K893" s="24" t="str">
        <f aca="false">IF(OR(E893="",E893="!!!",F893="NEW"),"",INDEX(J$1:J892,SUMPRODUCT(MAX(ROW(E$1:E892)*(E893=E$1:E892)))))</f>
        <v/>
      </c>
      <c r="L893" s="25"/>
    </row>
    <row r="894" customFormat="false" ht="14.25" hidden="false" customHeight="false" outlineLevel="0" collapsed="false">
      <c r="A894" s="0" t="s">
        <v>672</v>
      </c>
      <c r="B894" s="26" t="s">
        <v>410</v>
      </c>
      <c r="C894" s="26" t="s">
        <v>105</v>
      </c>
      <c r="E894" s="20" t="str">
        <f aca="false">IF(D894="?OLD","!!!","")</f>
        <v/>
      </c>
      <c r="F894" s="21" t="str">
        <f aca="false">IF(OR(E894="",E894="!!!"),"",IF(NOT(ISNA(VLOOKUP(E894,E$1:E893,1,FALSE()))),"OLD",IF(AND(E894&lt;&gt;"",E894&lt;&gt;"!!!"),"NEW","")))</f>
        <v/>
      </c>
      <c r="G894" s="22" t="str">
        <f aca="false"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aca="false">IF(J894&lt;&gt;1,"",IF(I894="SBJ","CB","?"))</f>
        <v/>
      </c>
      <c r="I894" s="24" t="str">
        <f aca="false">IF(OR(E894="",E894="!!!",F894="NEW"),"",INDEX(B$2:B893,-1+SUMPRODUCT(MAX(ROW(E$2:E893)*(E894=E$2:E893)))))</f>
        <v/>
      </c>
      <c r="J894" s="24" t="str">
        <f aca="true">IF(OR(E894="",E894="!!!",F894="NEW"),"",COUNTBLANK(OFFSET(A$1,,,SUMPRODUCT(MAX(ROW(E$2:E894)*(E894=E$2:E894)))))-COUNTBLANK(OFFSET(A$1,,,SUMPRODUCT(MAX(ROW(E$1:E893)*(E2=E$1:E893))))))</f>
        <v/>
      </c>
      <c r="K894" s="24" t="str">
        <f aca="false">IF(OR(E894="",E894="!!!",F894="NEW"),"",INDEX(J$1:J893,SUMPRODUCT(MAX(ROW(E$1:E893)*(E894=E$1:E893)))))</f>
        <v/>
      </c>
      <c r="L894" s="25"/>
    </row>
    <row r="895" customFormat="false" ht="14.25" hidden="false" customHeight="false" outlineLevel="0" collapsed="false">
      <c r="A895" s="0" t="s">
        <v>405</v>
      </c>
      <c r="E895" s="20" t="str">
        <f aca="false">IF(D895="?OLD","!!!","")</f>
        <v/>
      </c>
      <c r="F895" s="21" t="str">
        <f aca="false">IF(OR(E895="",E895="!!!"),"",IF(NOT(ISNA(VLOOKUP(E895,E$1:E894,1,FALSE()))),"OLD",IF(AND(E895&lt;&gt;"",E895&lt;&gt;"!!!"),"NEW","")))</f>
        <v/>
      </c>
      <c r="G895" s="22" t="str">
        <f aca="false"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aca="false">IF(J895&lt;&gt;1,"",IF(I895="SBJ","CB","?"))</f>
        <v/>
      </c>
      <c r="I895" s="24" t="str">
        <f aca="false">IF(OR(E895="",E895="!!!",F895="NEW"),"",INDEX(B$2:B894,-1+SUMPRODUCT(MAX(ROW(E$2:E894)*(E895=E$2:E894)))))</f>
        <v/>
      </c>
      <c r="J895" s="24" t="str">
        <f aca="true">IF(OR(E895="",E895="!!!",F895="NEW"),"",COUNTBLANK(OFFSET(A$1,,,SUMPRODUCT(MAX(ROW(E$2:E895)*(E895=E$2:E895)))))-COUNTBLANK(OFFSET(A$1,,,SUMPRODUCT(MAX(ROW(E$1:E894)*(E2=E$1:E894))))))</f>
        <v/>
      </c>
      <c r="K895" s="24" t="str">
        <f aca="false">IF(OR(E895="",E895="!!!",F895="NEW"),"",INDEX(J$1:J894,SUMPRODUCT(MAX(ROW(E$1:E894)*(E895=E$1:E894)))))</f>
        <v/>
      </c>
      <c r="L895" s="25"/>
    </row>
    <row r="896" customFormat="false" ht="14.25" hidden="false" customHeight="false" outlineLevel="0" collapsed="false">
      <c r="A896" s="0" t="s">
        <v>673</v>
      </c>
      <c r="E896" s="20" t="str">
        <f aca="false">IF(D896="?OLD","!!!","")</f>
        <v/>
      </c>
      <c r="F896" s="21" t="str">
        <f aca="false">IF(OR(E896="",E896="!!!"),"",IF(NOT(ISNA(VLOOKUP(E896,E$1:E895,1,FALSE()))),"OLD",IF(AND(E896&lt;&gt;"",E896&lt;&gt;"!!!"),"NEW","")))</f>
        <v/>
      </c>
      <c r="G896" s="22" t="str">
        <f aca="false"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aca="false">IF(J896&lt;&gt;1,"",IF(I896="SBJ","CB","?"))</f>
        <v/>
      </c>
      <c r="I896" s="24" t="str">
        <f aca="false">IF(OR(E896="",E896="!!!",F896="NEW"),"",INDEX(B$2:B895,-1+SUMPRODUCT(MAX(ROW(E$2:E895)*(E896=E$2:E895)))))</f>
        <v/>
      </c>
      <c r="J896" s="24" t="str">
        <f aca="true">IF(OR(E896="",E896="!!!",F896="NEW"),"",COUNTBLANK(OFFSET(A$1,,,SUMPRODUCT(MAX(ROW(E$2:E896)*(E896=E$2:E896)))))-COUNTBLANK(OFFSET(A$1,,,SUMPRODUCT(MAX(ROW(E$1:E895)*(E2=E$1:E895))))))</f>
        <v/>
      </c>
      <c r="K896" s="24" t="str">
        <f aca="false">IF(OR(E896="",E896="!!!",F896="NEW"),"",INDEX(J$1:J895,SUMPRODUCT(MAX(ROW(E$1:E895)*(E896=E$1:E895)))))</f>
        <v/>
      </c>
      <c r="L896" s="25"/>
    </row>
    <row r="897" customFormat="false" ht="14.25" hidden="false" customHeight="false" outlineLevel="0" collapsed="false">
      <c r="A897" s="0" t="s">
        <v>674</v>
      </c>
      <c r="B897" s="26" t="s">
        <v>424</v>
      </c>
      <c r="C897" s="26" t="s">
        <v>119</v>
      </c>
      <c r="E897" s="20" t="str">
        <f aca="false">IF(D897="?OLD","!!!","")</f>
        <v/>
      </c>
      <c r="F897" s="21" t="str">
        <f aca="false">IF(OR(E897="",E897="!!!"),"",IF(NOT(ISNA(VLOOKUP(E897,E$1:E896,1,FALSE()))),"OLD",IF(AND(E897&lt;&gt;"",E897&lt;&gt;"!!!"),"NEW","")))</f>
        <v/>
      </c>
      <c r="G897" s="22" t="str">
        <f aca="false"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3" t="str">
        <f aca="false">IF(J897&lt;&gt;1,"",IF(I897="SBJ","CB","?"))</f>
        <v/>
      </c>
      <c r="I897" s="24" t="str">
        <f aca="false">IF(OR(E897="",E897="!!!",F897="NEW"),"",INDEX(B$2:B896,-1+SUMPRODUCT(MAX(ROW(E$2:E896)*(E897=E$2:E896)))))</f>
        <v/>
      </c>
      <c r="J897" s="24" t="str">
        <f aca="true">IF(OR(E897="",E897="!!!",F897="NEW"),"",COUNTBLANK(OFFSET(A$1,,,SUMPRODUCT(MAX(ROW(E$2:E897)*(E897=E$2:E897)))))-COUNTBLANK(OFFSET(A$1,,,SUMPRODUCT(MAX(ROW(E$1:E896)*(E2=E$1:E896))))))</f>
        <v/>
      </c>
      <c r="K897" s="24" t="str">
        <f aca="false">IF(OR(E897="",E897="!!!",F897="NEW"),"",INDEX(J$1:J896,SUMPRODUCT(MAX(ROW(E$1:E896)*(E897=E$1:E896)))))</f>
        <v/>
      </c>
      <c r="L897" s="25"/>
    </row>
    <row r="898" customFormat="false" ht="14.25" hidden="false" customHeight="false" outlineLevel="0" collapsed="false">
      <c r="A898" s="0" t="s">
        <v>675</v>
      </c>
      <c r="B898" s="26" t="s">
        <v>410</v>
      </c>
      <c r="C898" s="26" t="s">
        <v>209</v>
      </c>
      <c r="D898" s="26" t="s">
        <v>75</v>
      </c>
      <c r="E898" s="20"/>
      <c r="F898" s="21" t="str">
        <f aca="false">IF(OR(E898="",E898="!!!"),"",IF(NOT(ISNA(VLOOKUP(E898,E$1:E897,1,FALSE()))),"OLD",IF(AND(E898&lt;&gt;"",E898&lt;&gt;"!!!"),"NEW","")))</f>
        <v/>
      </c>
      <c r="G898" s="22" t="str">
        <f aca="false"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3" t="str">
        <f aca="false">IF(J898&lt;&gt;1,"",IF(I898="SBJ","CB","?"))</f>
        <v/>
      </c>
      <c r="I898" s="24" t="str">
        <f aca="false">IF(OR(E898="",E898="!!!",F898="NEW"),"",INDEX(B$2:B897,-1+SUMPRODUCT(MAX(ROW(E$2:E897)*(E898=E$2:E897)))))</f>
        <v/>
      </c>
      <c r="J898" s="24" t="str">
        <f aca="true">IF(OR(E898="",E898="!!!",F898="NEW"),"",COUNTBLANK(OFFSET(A$1,,,SUMPRODUCT(MAX(ROW(E$2:E898)*(E898=E$2:E898)))))-COUNTBLANK(OFFSET(A$1,,,SUMPRODUCT(MAX(ROW(E$1:E897)*(E2=E$1:E897))))))</f>
        <v/>
      </c>
      <c r="K898" s="24" t="str">
        <f aca="false">IF(OR(E898="",E898="!!!",F898="NEW"),"",INDEX(J$1:J897,SUMPRODUCT(MAX(ROW(E$1:E897)*(E898=E$1:E897)))))</f>
        <v/>
      </c>
      <c r="L898" s="27" t="s">
        <v>134</v>
      </c>
    </row>
    <row r="899" customFormat="false" ht="14.25" hidden="false" customHeight="false" outlineLevel="0" collapsed="false">
      <c r="A899" s="0" t="s">
        <v>676</v>
      </c>
      <c r="B899" s="26" t="s">
        <v>304</v>
      </c>
      <c r="C899" s="26" t="s">
        <v>119</v>
      </c>
      <c r="E899" s="20" t="s">
        <v>677</v>
      </c>
      <c r="F899" s="21" t="str">
        <f aca="false">IF(OR(E899="",E899="!!!"),"",IF(NOT(ISNA(VLOOKUP(E899,E$1:E898,1,FALSE()))),"OLD",IF(AND(E899&lt;&gt;"",E899&lt;&gt;"!!!"),"NEW","")))</f>
        <v>NEW</v>
      </c>
      <c r="G899" s="22" t="str">
        <f aca="false"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?REFERENTIAL</v>
      </c>
      <c r="H899" s="23" t="str">
        <f aca="false">IF(J899&lt;&gt;1,"",IF(I899="SBJ","CB","?"))</f>
        <v/>
      </c>
      <c r="I899" s="24" t="str">
        <f aca="false">IF(OR(E899="",E899="!!!",F899="NEW"),"",INDEX(B$2:B898,-1+SUMPRODUCT(MAX(ROW(E$2:E898)*(E899=E$2:E898)))))</f>
        <v/>
      </c>
      <c r="J899" s="24" t="str">
        <f aca="true">IF(OR(E899="",E899="!!!",F899="NEW"),"",COUNTBLANK(OFFSET(A$1,,,SUMPRODUCT(MAX(ROW(E$2:E899)*(E899=E$2:E899)))))-COUNTBLANK(OFFSET(A$1,,,SUMPRODUCT(MAX(ROW(E$1:E898)*(E2=E$1:E898))))))</f>
        <v/>
      </c>
      <c r="K899" s="24" t="str">
        <f aca="false">IF(OR(E899="",E899="!!!",F899="NEW"),"",INDEX(J$1:J898,SUMPRODUCT(MAX(ROW(E$1:E898)*(E899=E$1:E898)))))</f>
        <v/>
      </c>
      <c r="L899" s="27" t="s">
        <v>158</v>
      </c>
    </row>
    <row r="900" customFormat="false" ht="14.25" hidden="false" customHeight="false" outlineLevel="0" collapsed="false">
      <c r="A900" s="0" t="s">
        <v>86</v>
      </c>
      <c r="E900" s="20" t="str">
        <f aca="false">IF(D900="?OLD","!!!","")</f>
        <v/>
      </c>
      <c r="F900" s="21" t="str">
        <f aca="false">IF(OR(E900="",E900="!!!"),"",IF(NOT(ISNA(VLOOKUP(E900,E$1:E899,1,FALSE()))),"OLD",IF(AND(E900&lt;&gt;"",E900&lt;&gt;"!!!"),"NEW","")))</f>
        <v/>
      </c>
      <c r="G900" s="22" t="str">
        <f aca="false"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aca="false">IF(J900&lt;&gt;1,"",IF(I900="SBJ","CB","?"))</f>
        <v/>
      </c>
      <c r="I900" s="24" t="str">
        <f aca="false">IF(OR(E900="",E900="!!!",F900="NEW"),"",INDEX(B$2:B899,-1+SUMPRODUCT(MAX(ROW(E$2:E899)*(E900=E$2:E899)))))</f>
        <v/>
      </c>
      <c r="J900" s="24" t="str">
        <f aca="true">IF(OR(E900="",E900="!!!",F900="NEW"),"",COUNTBLANK(OFFSET(A$1,,,SUMPRODUCT(MAX(ROW(E$2:E900)*(E900=E$2:E900)))))-COUNTBLANK(OFFSET(A$1,,,SUMPRODUCT(MAX(ROW(E$1:E899)*(E2=E$1:E899))))))</f>
        <v/>
      </c>
      <c r="K900" s="24" t="str">
        <f aca="false">IF(OR(E900="",E900="!!!",F900="NEW"),"",INDEX(J$1:J899,SUMPRODUCT(MAX(ROW(E$1:E899)*(E900=E$1:E899)))))</f>
        <v/>
      </c>
      <c r="L900" s="25"/>
    </row>
    <row r="901" customFormat="false" ht="14.25" hidden="false" customHeight="false" outlineLevel="0" collapsed="false">
      <c r="A901" s="0" t="s">
        <v>265</v>
      </c>
      <c r="B901" s="26" t="s">
        <v>410</v>
      </c>
      <c r="C901" s="26" t="s">
        <v>151</v>
      </c>
      <c r="D901" s="26" t="s">
        <v>75</v>
      </c>
      <c r="E901" s="20" t="s">
        <v>677</v>
      </c>
      <c r="F901" s="21" t="str">
        <f aca="false">IF(OR(E901="",E901="!!!"),"",IF(NOT(ISNA(VLOOKUP(E901,E$1:E900,1,FALSE()))),"OLD",IF(AND(E901&lt;&gt;"",E901&lt;&gt;"!!!"),"NEW","")))</f>
        <v>OLD</v>
      </c>
      <c r="G901" s="22" t="str">
        <f aca="false"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?IN_FOCUS</v>
      </c>
      <c r="H901" s="23" t="str">
        <f aca="false">IF(J901&lt;&gt;1,"",IF(I901="SBJ","CB","?"))</f>
        <v/>
      </c>
      <c r="I901" s="24" t="str">
        <f aca="false">IF(OR(E901="",E901="!!!",F901="NEW"),"",INDEX(B$2:B900,-1+SUMPRODUCT(MAX(ROW(E$2:E900)*(E901=E$2:E900)))))</f>
        <v>OBJ_5</v>
      </c>
      <c r="J901" s="24" t="n">
        <f aca="true">IF(OR(E901="",E901="!!!",F901="NEW"),"",COUNTBLANK(OFFSET(A$1,,,SUMPRODUCT(MAX(ROW(E$2:E901)*(E901=E$2:E901)))))-COUNTBLANK(OFFSET(A$1,,,SUMPRODUCT(MAX(ROW(E$1:E900)*(E2=E$1:E900))))))</f>
        <v>0</v>
      </c>
      <c r="K901" s="24" t="str">
        <f aca="false">IF(OR(E901="",E901="!!!",F901="NEW"),"",INDEX(J$1:J900,SUMPRODUCT(MAX(ROW(E$1:E900)*(E901=E$1:E900)))))</f>
        <v/>
      </c>
      <c r="L901" s="25"/>
    </row>
    <row r="902" customFormat="false" ht="14.25" hidden="false" customHeight="false" outlineLevel="0" collapsed="false">
      <c r="A902" s="0" t="s">
        <v>78</v>
      </c>
      <c r="E902" s="20" t="str">
        <f aca="false">IF(D902="?OLD","!!!","")</f>
        <v/>
      </c>
      <c r="F902" s="21" t="str">
        <f aca="false">IF(OR(E902="",E902="!!!"),"",IF(NOT(ISNA(VLOOKUP(E902,E$1:E901,1,FALSE()))),"OLD",IF(AND(E902&lt;&gt;"",E902&lt;&gt;"!!!"),"NEW","")))</f>
        <v/>
      </c>
      <c r="G902" s="22" t="str">
        <f aca="false"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aca="false">IF(J902&lt;&gt;1,"",IF(I902="SBJ","CB","?"))</f>
        <v/>
      </c>
      <c r="I902" s="24" t="str">
        <f aca="false">IF(OR(E902="",E902="!!!",F902="NEW"),"",INDEX(B$2:B901,-1+SUMPRODUCT(MAX(ROW(E$2:E901)*(E902=E$2:E901)))))</f>
        <v/>
      </c>
      <c r="J902" s="24" t="str">
        <f aca="true">IF(OR(E902="",E902="!!!",F902="NEW"),"",COUNTBLANK(OFFSET(A$1,,,SUMPRODUCT(MAX(ROW(E$2:E902)*(E902=E$2:E902)))))-COUNTBLANK(OFFSET(A$1,,,SUMPRODUCT(MAX(ROW(E$1:E901)*(E2=E$1:E901))))))</f>
        <v/>
      </c>
      <c r="K902" s="24" t="str">
        <f aca="false">IF(OR(E902="",E902="!!!",F902="NEW"),"",INDEX(J$1:J901,SUMPRODUCT(MAX(ROW(E$1:E901)*(E902=E$1:E901)))))</f>
        <v/>
      </c>
      <c r="L902" s="25"/>
    </row>
    <row r="903" customFormat="false" ht="14.25" hidden="false" customHeight="false" outlineLevel="0" collapsed="false">
      <c r="A903" s="0" t="s">
        <v>678</v>
      </c>
      <c r="E903" s="20" t="str">
        <f aca="false">IF(D903="?OLD","!!!","")</f>
        <v/>
      </c>
      <c r="F903" s="21" t="str">
        <f aca="false">IF(OR(E903="",E903="!!!"),"",IF(NOT(ISNA(VLOOKUP(E903,E$1:E902,1,FALSE()))),"OLD",IF(AND(E903&lt;&gt;"",E903&lt;&gt;"!!!"),"NEW","")))</f>
        <v/>
      </c>
      <c r="G903" s="22" t="str">
        <f aca="false"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aca="false">IF(J903&lt;&gt;1,"",IF(I903="SBJ","CB","?"))</f>
        <v/>
      </c>
      <c r="I903" s="24" t="str">
        <f aca="false">IF(OR(E903="",E903="!!!",F903="NEW"),"",INDEX(B$2:B902,-1+SUMPRODUCT(MAX(ROW(E$2:E902)*(E903=E$2:E902)))))</f>
        <v/>
      </c>
      <c r="J903" s="24" t="str">
        <f aca="true">IF(OR(E903="",E903="!!!",F903="NEW"),"",COUNTBLANK(OFFSET(A$1,,,SUMPRODUCT(MAX(ROW(E$2:E903)*(E903=E$2:E903)))))-COUNTBLANK(OFFSET(A$1,,,SUMPRODUCT(MAX(ROW(E$1:E902)*(E2=E$1:E902))))))</f>
        <v/>
      </c>
      <c r="K903" s="24" t="str">
        <f aca="false">IF(OR(E903="",E903="!!!",F903="NEW"),"",INDEX(J$1:J902,SUMPRODUCT(MAX(ROW(E$1:E902)*(E903=E$1:E902)))))</f>
        <v/>
      </c>
      <c r="L903" s="25"/>
    </row>
    <row r="904" customFormat="false" ht="14.25" hidden="false" customHeight="false" outlineLevel="0" collapsed="false">
      <c r="A904" s="0" t="s">
        <v>679</v>
      </c>
      <c r="E904" s="20" t="str">
        <f aca="false">IF(D904="?OLD","!!!","")</f>
        <v/>
      </c>
      <c r="F904" s="21" t="str">
        <f aca="false">IF(OR(E904="",E904="!!!"),"",IF(NOT(ISNA(VLOOKUP(E904,E$1:E903,1,FALSE()))),"OLD",IF(AND(E904&lt;&gt;"",E904&lt;&gt;"!!!"),"NEW","")))</f>
        <v/>
      </c>
      <c r="G904" s="22" t="str">
        <f aca="false"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aca="false">IF(J904&lt;&gt;1,"",IF(I904="SBJ","CB","?"))</f>
        <v/>
      </c>
      <c r="I904" s="24" t="str">
        <f aca="false">IF(OR(E904="",E904="!!!",F904="NEW"),"",INDEX(B$2:B903,-1+SUMPRODUCT(MAX(ROW(E$2:E903)*(E904=E$2:E903)))))</f>
        <v/>
      </c>
      <c r="J904" s="24" t="str">
        <f aca="true">IF(OR(E904="",E904="!!!",F904="NEW"),"",COUNTBLANK(OFFSET(A$1,,,SUMPRODUCT(MAX(ROW(E$2:E904)*(E904=E$2:E904)))))-COUNTBLANK(OFFSET(A$1,,,SUMPRODUCT(MAX(ROW(E$1:E903)*(E2=E$1:E903))))))</f>
        <v/>
      </c>
      <c r="K904" s="24" t="str">
        <f aca="false">IF(OR(E904="",E904="!!!",F904="NEW"),"",INDEX(J$1:J903,SUMPRODUCT(MAX(ROW(E$1:E903)*(E904=E$1:E903)))))</f>
        <v/>
      </c>
      <c r="L904" s="25"/>
    </row>
    <row r="905" customFormat="false" ht="14.25" hidden="false" customHeight="false" outlineLevel="0" collapsed="false">
      <c r="A905" s="0" t="s">
        <v>101</v>
      </c>
      <c r="E905" s="20" t="str">
        <f aca="false">IF(D905="?OLD","!!!","")</f>
        <v/>
      </c>
      <c r="F905" s="21" t="str">
        <f aca="false">IF(OR(E905="",E905="!!!"),"",IF(NOT(ISNA(VLOOKUP(E905,E$1:E904,1,FALSE()))),"OLD",IF(AND(E905&lt;&gt;"",E905&lt;&gt;"!!!"),"NEW","")))</f>
        <v/>
      </c>
      <c r="G905" s="22" t="str">
        <f aca="false"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aca="false">IF(J905&lt;&gt;1,"",IF(I905="SBJ","CB","?"))</f>
        <v/>
      </c>
      <c r="I905" s="24" t="str">
        <f aca="false">IF(OR(E905="",E905="!!!",F905="NEW"),"",INDEX(B$2:B904,-1+SUMPRODUCT(MAX(ROW(E$2:E904)*(E905=E$2:E904)))))</f>
        <v/>
      </c>
      <c r="J905" s="24" t="str">
        <f aca="true">IF(OR(E905="",E905="!!!",F905="NEW"),"",COUNTBLANK(OFFSET(A$1,,,SUMPRODUCT(MAX(ROW(E$2:E905)*(E905=E$2:E905)))))-COUNTBLANK(OFFSET(A$1,,,SUMPRODUCT(MAX(ROW(E$1:E904)*(E2=E$1:E904))))))</f>
        <v/>
      </c>
      <c r="K905" s="24" t="str">
        <f aca="false">IF(OR(E905="",E905="!!!",F905="NEW"),"",INDEX(J$1:J904,SUMPRODUCT(MAX(ROW(E$1:E904)*(E905=E$1:E904)))))</f>
        <v/>
      </c>
      <c r="L905" s="25"/>
    </row>
    <row r="906" customFormat="false" ht="14.25" hidden="false" customHeight="false" outlineLevel="0" collapsed="false">
      <c r="A906" s="0" t="s">
        <v>497</v>
      </c>
      <c r="E906" s="20" t="str">
        <f aca="false">IF(D906="?OLD","!!!","")</f>
        <v/>
      </c>
      <c r="F906" s="21" t="str">
        <f aca="false">IF(OR(E906="",E906="!!!"),"",IF(NOT(ISNA(VLOOKUP(E906,E$1:E905,1,FALSE()))),"OLD",IF(AND(E906&lt;&gt;"",E906&lt;&gt;"!!!"),"NEW","")))</f>
        <v/>
      </c>
      <c r="G906" s="22" t="str">
        <f aca="false"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aca="false">IF(J906&lt;&gt;1,"",IF(I906="SBJ","CB","?"))</f>
        <v/>
      </c>
      <c r="I906" s="24" t="str">
        <f aca="false">IF(OR(E906="",E906="!!!",F906="NEW"),"",INDEX(B$2:B905,-1+SUMPRODUCT(MAX(ROW(E$2:E905)*(E906=E$2:E905)))))</f>
        <v/>
      </c>
      <c r="J906" s="24" t="str">
        <f aca="true">IF(OR(E906="",E906="!!!",F906="NEW"),"",COUNTBLANK(OFFSET(A$1,,,SUMPRODUCT(MAX(ROW(E$2:E906)*(E906=E$2:E906)))))-COUNTBLANK(OFFSET(A$1,,,SUMPRODUCT(MAX(ROW(E$1:E905)*(E2=E$1:E905))))))</f>
        <v/>
      </c>
      <c r="K906" s="24" t="str">
        <f aca="false">IF(OR(E906="",E906="!!!",F906="NEW"),"",INDEX(J$1:J905,SUMPRODUCT(MAX(ROW(E$1:E905)*(E906=E$1:E905)))))</f>
        <v/>
      </c>
      <c r="L906" s="25"/>
    </row>
    <row r="907" customFormat="false" ht="14.25" hidden="false" customHeight="false" outlineLevel="0" collapsed="false">
      <c r="A907" s="0" t="s">
        <v>455</v>
      </c>
      <c r="E907" s="20" t="str">
        <f aca="false">IF(D907="?OLD","!!!","")</f>
        <v/>
      </c>
      <c r="F907" s="21" t="str">
        <f aca="false">IF(OR(E907="",E907="!!!"),"",IF(NOT(ISNA(VLOOKUP(E907,E$1:E906,1,FALSE()))),"OLD",IF(AND(E907&lt;&gt;"",E907&lt;&gt;"!!!"),"NEW","")))</f>
        <v/>
      </c>
      <c r="G907" s="22" t="str">
        <f aca="false"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aca="false">IF(J907&lt;&gt;1,"",IF(I907="SBJ","CB","?"))</f>
        <v/>
      </c>
      <c r="I907" s="24" t="str">
        <f aca="false">IF(OR(E907="",E907="!!!",F907="NEW"),"",INDEX(B$2:B906,-1+SUMPRODUCT(MAX(ROW(E$2:E906)*(E907=E$2:E906)))))</f>
        <v/>
      </c>
      <c r="J907" s="24" t="str">
        <f aca="true">IF(OR(E907="",E907="!!!",F907="NEW"),"",COUNTBLANK(OFFSET(A$1,,,SUMPRODUCT(MAX(ROW(E$2:E907)*(E907=E$2:E907)))))-COUNTBLANK(OFFSET(A$1,,,SUMPRODUCT(MAX(ROW(E$1:E906)*(E2=E$1:E906))))))</f>
        <v/>
      </c>
      <c r="K907" s="24" t="str">
        <f aca="false">IF(OR(E907="",E907="!!!",F907="NEW"),"",INDEX(J$1:J906,SUMPRODUCT(MAX(ROW(E$1:E906)*(E907=E$1:E906)))))</f>
        <v/>
      </c>
      <c r="L907" s="25"/>
    </row>
    <row r="908" customFormat="false" ht="14.25" hidden="false" customHeight="false" outlineLevel="0" collapsed="false">
      <c r="A908" s="0" t="s">
        <v>322</v>
      </c>
      <c r="B908" s="26" t="s">
        <v>115</v>
      </c>
      <c r="C908" s="26" t="s">
        <v>105</v>
      </c>
      <c r="E908" s="20" t="str">
        <f aca="false">IF(D908="?OLD","!!!","")</f>
        <v/>
      </c>
      <c r="F908" s="21" t="str">
        <f aca="false">IF(OR(E908="",E908="!!!"),"",IF(NOT(ISNA(VLOOKUP(E908,E$1:E907,1,FALSE()))),"OLD",IF(AND(E908&lt;&gt;"",E908&lt;&gt;"!!!"),"NEW","")))</f>
        <v/>
      </c>
      <c r="G908" s="22" t="str">
        <f aca="false"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aca="false">IF(J908&lt;&gt;1,"",IF(I908="SBJ","CB","?"))</f>
        <v/>
      </c>
      <c r="I908" s="24" t="str">
        <f aca="false">IF(OR(E908="",E908="!!!",F908="NEW"),"",INDEX(B$2:B907,-1+SUMPRODUCT(MAX(ROW(E$2:E907)*(E908=E$2:E907)))))</f>
        <v/>
      </c>
      <c r="J908" s="24" t="str">
        <f aca="true">IF(OR(E908="",E908="!!!",F908="NEW"),"",COUNTBLANK(OFFSET(A$1,,,SUMPRODUCT(MAX(ROW(E$2:E908)*(E908=E$2:E908)))))-COUNTBLANK(OFFSET(A$1,,,SUMPRODUCT(MAX(ROW(E$1:E907)*(E2=E$1:E907))))))</f>
        <v/>
      </c>
      <c r="K908" s="24" t="str">
        <f aca="false">IF(OR(E908="",E908="!!!",F908="NEW"),"",INDEX(J$1:J907,SUMPRODUCT(MAX(ROW(E$1:E907)*(E908=E$1:E907)))))</f>
        <v/>
      </c>
      <c r="L908" s="25"/>
    </row>
    <row r="909" customFormat="false" ht="14.25" hidden="false" customHeight="false" outlineLevel="0" collapsed="false">
      <c r="A909" s="0" t="s">
        <v>207</v>
      </c>
      <c r="B909" s="26" t="s">
        <v>258</v>
      </c>
      <c r="C909" s="26" t="s">
        <v>209</v>
      </c>
      <c r="D909" s="26" t="s">
        <v>75</v>
      </c>
      <c r="E909" s="20" t="s">
        <v>207</v>
      </c>
      <c r="F909" s="21" t="str">
        <f aca="false">IF(OR(E909="",E909="!!!"),"",IF(NOT(ISNA(VLOOKUP(E909,E$1:E908,1,FALSE()))),"OLD",IF(AND(E909&lt;&gt;"",E909&lt;&gt;"!!!"),"NEW","")))</f>
        <v>OLD</v>
      </c>
      <c r="G909" s="22" t="str">
        <f aca="false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?IN_FOCUS</v>
      </c>
      <c r="H909" s="23" t="str">
        <f aca="false">IF(J909&lt;&gt;1,"",IF(I909="SBJ","CB","?"))</f>
        <v/>
      </c>
      <c r="I909" s="24" t="str">
        <f aca="false">IF(OR(E909="",E909="!!!",F909="NEW"),"",INDEX(B$2:B908,-1+SUMPRODUCT(MAX(ROW(E$2:E908)*(E909=E$2:E908)))))</f>
        <v>SBJ_6</v>
      </c>
      <c r="J909" s="24" t="n">
        <f aca="true">IF(OR(E909="",E909="!!!",F909="NEW"),"",COUNTBLANK(OFFSET(A$1,,,SUMPRODUCT(MAX(ROW(E$2:E909)*(E909=E$2:E909)))))-COUNTBLANK(OFFSET(A$1,,,SUMPRODUCT(MAX(ROW(E$1:E908)*(E2=E$1:E908))))))</f>
        <v>0</v>
      </c>
      <c r="K909" s="24" t="n">
        <f aca="false">IF(OR(E909="",E909="!!!",F909="NEW"),"",INDEX(J$1:J908,SUMPRODUCT(MAX(ROW(E$1:E908)*(E909=E$1:E908)))))</f>
        <v>0</v>
      </c>
      <c r="L909" s="27" t="s">
        <v>680</v>
      </c>
    </row>
    <row r="910" customFormat="false" ht="14.25" hidden="false" customHeight="false" outlineLevel="0" collapsed="false">
      <c r="A910" s="0" t="s">
        <v>681</v>
      </c>
      <c r="E910" s="20" t="str">
        <f aca="false">IF(D910="?OLD","!!!","")</f>
        <v/>
      </c>
      <c r="F910" s="21" t="str">
        <f aca="false">IF(OR(E910="",E910="!!!"),"",IF(NOT(ISNA(VLOOKUP(E910,E$1:E909,1,FALSE()))),"OLD",IF(AND(E910&lt;&gt;"",E910&lt;&gt;"!!!"),"NEW","")))</f>
        <v/>
      </c>
      <c r="G910" s="22" t="str">
        <f aca="false"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aca="false">IF(J910&lt;&gt;1,"",IF(I910="SBJ","CB","?"))</f>
        <v/>
      </c>
      <c r="I910" s="24" t="str">
        <f aca="false">IF(OR(E910="",E910="!!!",F910="NEW"),"",INDEX(B$2:B909,-1+SUMPRODUCT(MAX(ROW(E$2:E909)*(E910=E$2:E909)))))</f>
        <v/>
      </c>
      <c r="J910" s="24" t="str">
        <f aca="true">IF(OR(E910="",E910="!!!",F910="NEW"),"",COUNTBLANK(OFFSET(A$1,,,SUMPRODUCT(MAX(ROW(E$2:E910)*(E910=E$2:E910)))))-COUNTBLANK(OFFSET(A$1,,,SUMPRODUCT(MAX(ROW(E$1:E909)*(E2=E$1:E909))))))</f>
        <v/>
      </c>
      <c r="K910" s="24" t="str">
        <f aca="false">IF(OR(E910="",E910="!!!",F910="NEW"),"",INDEX(J$1:J909,SUMPRODUCT(MAX(ROW(E$1:E909)*(E910=E$1:E909)))))</f>
        <v/>
      </c>
      <c r="L910" s="25"/>
    </row>
    <row r="911" customFormat="false" ht="14.25" hidden="false" customHeight="false" outlineLevel="0" collapsed="false">
      <c r="A911" s="0" t="s">
        <v>611</v>
      </c>
      <c r="E911" s="20" t="str">
        <f aca="false">IF(D911="?OLD","!!!","")</f>
        <v/>
      </c>
      <c r="F911" s="21" t="str">
        <f aca="false">IF(OR(E911="",E911="!!!"),"",IF(NOT(ISNA(VLOOKUP(E911,E$1:E910,1,FALSE()))),"OLD",IF(AND(E911&lt;&gt;"",E911&lt;&gt;"!!!"),"NEW","")))</f>
        <v/>
      </c>
      <c r="G911" s="22" t="str">
        <f aca="false"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aca="false">IF(J911&lt;&gt;1,"",IF(I911="SBJ","CB","?"))</f>
        <v/>
      </c>
      <c r="I911" s="24" t="str">
        <f aca="false">IF(OR(E911="",E911="!!!",F911="NEW"),"",INDEX(B$2:B910,-1+SUMPRODUCT(MAX(ROW(E$2:E910)*(E911=E$2:E910)))))</f>
        <v/>
      </c>
      <c r="J911" s="24" t="str">
        <f aca="true">IF(OR(E911="",E911="!!!",F911="NEW"),"",COUNTBLANK(OFFSET(A$1,,,SUMPRODUCT(MAX(ROW(E$2:E911)*(E911=E$2:E911)))))-COUNTBLANK(OFFSET(A$1,,,SUMPRODUCT(MAX(ROW(E$1:E910)*(E2=E$1:E910))))))</f>
        <v/>
      </c>
      <c r="K911" s="24" t="str">
        <f aca="false">IF(OR(E911="",E911="!!!",F911="NEW"),"",INDEX(J$1:J910,SUMPRODUCT(MAX(ROW(E$1:E910)*(E911=E$1:E910)))))</f>
        <v/>
      </c>
      <c r="L911" s="25"/>
    </row>
    <row r="912" customFormat="false" ht="14.25" hidden="false" customHeight="false" outlineLevel="0" collapsed="false">
      <c r="A912" s="0" t="s">
        <v>86</v>
      </c>
      <c r="E912" s="20" t="str">
        <f aca="false">IF(D912="?OLD","!!!","")</f>
        <v/>
      </c>
      <c r="F912" s="21" t="str">
        <f aca="false">IF(OR(E912="",E912="!!!"),"",IF(NOT(ISNA(VLOOKUP(E912,E$1:E911,1,FALSE()))),"OLD",IF(AND(E912&lt;&gt;"",E912&lt;&gt;"!!!"),"NEW","")))</f>
        <v/>
      </c>
      <c r="G912" s="22" t="str">
        <f aca="false"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3" t="str">
        <f aca="false">IF(J912&lt;&gt;1,"",IF(I912="SBJ","CB","?"))</f>
        <v/>
      </c>
      <c r="I912" s="24" t="str">
        <f aca="false">IF(OR(E912="",E912="!!!",F912="NEW"),"",INDEX(B$2:B911,-1+SUMPRODUCT(MAX(ROW(E$2:E911)*(E912=E$2:E911)))))</f>
        <v/>
      </c>
      <c r="J912" s="24" t="str">
        <f aca="true">IF(OR(E912="",E912="!!!",F912="NEW"),"",COUNTBLANK(OFFSET(A$1,,,SUMPRODUCT(MAX(ROW(E$2:E912)*(E912=E$2:E912)))))-COUNTBLANK(OFFSET(A$1,,,SUMPRODUCT(MAX(ROW(E$1:E911)*(E2=E$1:E911))))))</f>
        <v/>
      </c>
      <c r="K912" s="24" t="str">
        <f aca="false">IF(OR(E912="",E912="!!!",F912="NEW"),"",INDEX(J$1:J911,SUMPRODUCT(MAX(ROW(E$1:E911)*(E912=E$1:E911)))))</f>
        <v/>
      </c>
      <c r="L912" s="25"/>
    </row>
    <row r="913" customFormat="false" ht="14.25" hidden="false" customHeight="false" outlineLevel="0" collapsed="false">
      <c r="A913" s="0" t="s">
        <v>193</v>
      </c>
      <c r="B913" s="26" t="s">
        <v>96</v>
      </c>
      <c r="C913" s="26" t="s">
        <v>88</v>
      </c>
      <c r="D913" s="26" t="s">
        <v>75</v>
      </c>
      <c r="E913" s="20" t="s">
        <v>97</v>
      </c>
      <c r="F913" s="21" t="str">
        <f aca="false">IF(OR(E913="",E913="!!!"),"",IF(NOT(ISNA(VLOOKUP(E913,E$1:E912,1,FALSE()))),"OLD",IF(AND(E913&lt;&gt;"",E913&lt;&gt;"!!!"),"NEW","")))</f>
        <v>OLD</v>
      </c>
      <c r="G913" s="22" t="str">
        <f aca="false"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?IN_FOCUS</v>
      </c>
      <c r="H913" s="23" t="str">
        <f aca="false">IF(J913&lt;&gt;1,"",IF(I913="SBJ","CB","?"))</f>
        <v/>
      </c>
      <c r="I913" s="24" t="str">
        <f aca="false">IF(OR(E913="",E913="!!!",F913="NEW"),"",INDEX(B$2:B912,-1+SUMPRODUCT(MAX(ROW(E$2:E912)*(E913=E$2:E912)))))</f>
        <v>SBJ_3</v>
      </c>
      <c r="J913" s="24" t="n">
        <f aca="true">IF(OR(E913="",E913="!!!",F913="NEW"),"",COUNTBLANK(OFFSET(A$1,,,SUMPRODUCT(MAX(ROW(E$2:E913)*(E913=E$2:E913)))))-COUNTBLANK(OFFSET(A$1,,,SUMPRODUCT(MAX(ROW(E$1:E912)*(E2=E$1:E912))))))</f>
        <v>0</v>
      </c>
      <c r="K913" s="24" t="n">
        <f aca="false">IF(OR(E913="",E913="!!!",F913="NEW"),"",INDEX(J$1:J912,SUMPRODUCT(MAX(ROW(E$1:E912)*(E913=E$1:E912)))))</f>
        <v>0</v>
      </c>
      <c r="L913" s="25"/>
    </row>
    <row r="914" customFormat="false" ht="14.25" hidden="false" customHeight="false" outlineLevel="0" collapsed="false">
      <c r="A914" s="0" t="s">
        <v>682</v>
      </c>
      <c r="B914" s="26" t="s">
        <v>73</v>
      </c>
      <c r="E914" s="20" t="str">
        <f aca="false">IF(D914="?OLD","!!!","")</f>
        <v/>
      </c>
      <c r="F914" s="21" t="str">
        <f aca="false">IF(OR(E914="",E914="!!!"),"",IF(NOT(ISNA(VLOOKUP(E914,E$1:E913,1,FALSE()))),"OLD",IF(AND(E914&lt;&gt;"",E914&lt;&gt;"!!!"),"NEW","")))</f>
        <v/>
      </c>
      <c r="G914" s="22" t="str">
        <f aca="false"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aca="false">IF(J914&lt;&gt;1,"",IF(I914="SBJ","CB","?"))</f>
        <v/>
      </c>
      <c r="I914" s="24" t="str">
        <f aca="false">IF(OR(E914="",E914="!!!",F914="NEW"),"",INDEX(B$2:B913,-1+SUMPRODUCT(MAX(ROW(E$2:E913)*(E914=E$2:E913)))))</f>
        <v/>
      </c>
      <c r="J914" s="24" t="str">
        <f aca="true">IF(OR(E914="",E914="!!!",F914="NEW"),"",COUNTBLANK(OFFSET(A$1,,,SUMPRODUCT(MAX(ROW(E$2:E914)*(E914=E$2:E914)))))-COUNTBLANK(OFFSET(A$1,,,SUMPRODUCT(MAX(ROW(E$1:E913)*(E2=E$1:E913))))))</f>
        <v/>
      </c>
      <c r="K914" s="24" t="str">
        <f aca="false">IF(OR(E914="",E914="!!!",F914="NEW"),"",INDEX(J$1:J913,SUMPRODUCT(MAX(ROW(E$1:E913)*(E914=E$1:E913)))))</f>
        <v/>
      </c>
      <c r="L914" s="25"/>
    </row>
    <row r="915" customFormat="false" ht="14.25" hidden="false" customHeight="false" outlineLevel="0" collapsed="false">
      <c r="A915" s="0" t="s">
        <v>611</v>
      </c>
      <c r="E915" s="20" t="str">
        <f aca="false">IF(D915="?OLD","!!!","")</f>
        <v/>
      </c>
      <c r="F915" s="21" t="str">
        <f aca="false">IF(OR(E915="",E915="!!!"),"",IF(NOT(ISNA(VLOOKUP(E915,E$1:E914,1,FALSE()))),"OLD",IF(AND(E915&lt;&gt;"",E915&lt;&gt;"!!!"),"NEW","")))</f>
        <v/>
      </c>
      <c r="G915" s="22" t="str">
        <f aca="false"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3" t="str">
        <f aca="false">IF(J915&lt;&gt;1,"",IF(I915="SBJ","CB","?"))</f>
        <v/>
      </c>
      <c r="I915" s="24" t="str">
        <f aca="false">IF(OR(E915="",E915="!!!",F915="NEW"),"",INDEX(B$2:B914,-1+SUMPRODUCT(MAX(ROW(E$2:E914)*(E915=E$2:E914)))))</f>
        <v/>
      </c>
      <c r="J915" s="24" t="str">
        <f aca="true">IF(OR(E915="",E915="!!!",F915="NEW"),"",COUNTBLANK(OFFSET(A$1,,,SUMPRODUCT(MAX(ROW(E$2:E915)*(E915=E$2:E915)))))-COUNTBLANK(OFFSET(A$1,,,SUMPRODUCT(MAX(ROW(E$1:E914)*(E2=E$1:E914))))))</f>
        <v/>
      </c>
      <c r="K915" s="24" t="str">
        <f aca="false">IF(OR(E915="",E915="!!!",F915="NEW"),"",INDEX(J$1:J914,SUMPRODUCT(MAX(ROW(E$1:E914)*(E915=E$1:E914)))))</f>
        <v/>
      </c>
      <c r="L915" s="25"/>
    </row>
    <row r="916" customFormat="false" ht="14.25" hidden="false" customHeight="false" outlineLevel="0" collapsed="false">
      <c r="A916" s="0" t="s">
        <v>86</v>
      </c>
      <c r="E916" s="20" t="str">
        <f aca="false">IF(D916="?OLD","!!!","")</f>
        <v/>
      </c>
      <c r="F916" s="21" t="str">
        <f aca="false">IF(OR(E916="",E916="!!!"),"",IF(NOT(ISNA(VLOOKUP(E916,E$1:E915,1,FALSE()))),"OLD",IF(AND(E916&lt;&gt;"",E916&lt;&gt;"!!!"),"NEW","")))</f>
        <v/>
      </c>
      <c r="G916" s="22" t="str">
        <f aca="false"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3" t="str">
        <f aca="false">IF(J916&lt;&gt;1,"",IF(I916="SBJ","CB","?"))</f>
        <v/>
      </c>
      <c r="I916" s="24" t="str">
        <f aca="false">IF(OR(E916="",E916="!!!",F916="NEW"),"",INDEX(B$2:B915,-1+SUMPRODUCT(MAX(ROW(E$2:E915)*(E916=E$2:E915)))))</f>
        <v/>
      </c>
      <c r="J916" s="24" t="str">
        <f aca="true">IF(OR(E916="",E916="!!!",F916="NEW"),"",COUNTBLANK(OFFSET(A$1,,,SUMPRODUCT(MAX(ROW(E$2:E916)*(E916=E$2:E916)))))-COUNTBLANK(OFFSET(A$1,,,SUMPRODUCT(MAX(ROW(E$1:E915)*(E2=E$1:E915))))))</f>
        <v/>
      </c>
      <c r="K916" s="24" t="str">
        <f aca="false">IF(OR(E916="",E916="!!!",F916="NEW"),"",INDEX(J$1:J915,SUMPRODUCT(MAX(ROW(E$1:E915)*(E916=E$1:E915)))))</f>
        <v/>
      </c>
      <c r="L916" s="25"/>
    </row>
    <row r="917" customFormat="false" ht="14.25" hidden="false" customHeight="false" outlineLevel="0" collapsed="false">
      <c r="A917" s="0" t="s">
        <v>515</v>
      </c>
      <c r="E917" s="20" t="str">
        <f aca="false">IF(D917="?OLD","!!!","")</f>
        <v/>
      </c>
      <c r="F917" s="21" t="str">
        <f aca="false">IF(OR(E917="",E917="!!!"),"",IF(NOT(ISNA(VLOOKUP(E917,E$1:E916,1,FALSE()))),"OLD",IF(AND(E917&lt;&gt;"",E917&lt;&gt;"!!!"),"NEW","")))</f>
        <v/>
      </c>
      <c r="G917" s="22" t="str">
        <f aca="false"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aca="false">IF(J917&lt;&gt;1,"",IF(I917="SBJ","CB","?"))</f>
        <v/>
      </c>
      <c r="I917" s="24" t="str">
        <f aca="false">IF(OR(E917="",E917="!!!",F917="NEW"),"",INDEX(B$2:B916,-1+SUMPRODUCT(MAX(ROW(E$2:E916)*(E917=E$2:E916)))))</f>
        <v/>
      </c>
      <c r="J917" s="24" t="str">
        <f aca="true">IF(OR(E917="",E917="!!!",F917="NEW"),"",COUNTBLANK(OFFSET(A$1,,,SUMPRODUCT(MAX(ROW(E$2:E917)*(E917=E$2:E917)))))-COUNTBLANK(OFFSET(A$1,,,SUMPRODUCT(MAX(ROW(E$1:E916)*(E2=E$1:E916))))))</f>
        <v/>
      </c>
      <c r="K917" s="24" t="str">
        <f aca="false">IF(OR(E917="",E917="!!!",F917="NEW"),"",INDEX(J$1:J916,SUMPRODUCT(MAX(ROW(E$1:E916)*(E917=E$1:E916)))))</f>
        <v/>
      </c>
      <c r="L917" s="25"/>
    </row>
    <row r="918" customFormat="false" ht="14.25" hidden="false" customHeight="false" outlineLevel="0" collapsed="false">
      <c r="A918" s="0" t="s">
        <v>109</v>
      </c>
      <c r="B918" s="26" t="s">
        <v>147</v>
      </c>
      <c r="C918" s="26" t="s">
        <v>111</v>
      </c>
      <c r="E918" s="20" t="str">
        <f aca="false">IF(D918="?OLD","!!!","")</f>
        <v/>
      </c>
      <c r="F918" s="21" t="str">
        <f aca="false">IF(OR(E918="",E918="!!!"),"",IF(NOT(ISNA(VLOOKUP(E918,E$1:E917,1,FALSE()))),"OLD",IF(AND(E918&lt;&gt;"",E918&lt;&gt;"!!!"),"NEW","")))</f>
        <v/>
      </c>
      <c r="G918" s="22" t="str">
        <f aca="false"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aca="false">IF(J918&lt;&gt;1,"",IF(I918="SBJ","CB","?"))</f>
        <v/>
      </c>
      <c r="I918" s="24" t="str">
        <f aca="false">IF(OR(E918="",E918="!!!",F918="NEW"),"",INDEX(B$2:B917,-1+SUMPRODUCT(MAX(ROW(E$2:E917)*(E918=E$2:E917)))))</f>
        <v/>
      </c>
      <c r="J918" s="24" t="str">
        <f aca="true">IF(OR(E918="",E918="!!!",F918="NEW"),"",COUNTBLANK(OFFSET(A$1,,,SUMPRODUCT(MAX(ROW(E$2:E918)*(E918=E$2:E918)))))-COUNTBLANK(OFFSET(A$1,,,SUMPRODUCT(MAX(ROW(E$1:E917)*(E2=E$1:E917))))))</f>
        <v/>
      </c>
      <c r="K918" s="24" t="str">
        <f aca="false">IF(OR(E918="",E918="!!!",F918="NEW"),"",INDEX(J$1:J917,SUMPRODUCT(MAX(ROW(E$1:E917)*(E918=E$1:E917)))))</f>
        <v/>
      </c>
      <c r="L918" s="25"/>
    </row>
    <row r="919" customFormat="false" ht="14.25" hidden="false" customHeight="false" outlineLevel="0" collapsed="false">
      <c r="A919" s="0" t="s">
        <v>683</v>
      </c>
      <c r="B919" s="26" t="s">
        <v>82</v>
      </c>
      <c r="C919" s="26" t="s">
        <v>119</v>
      </c>
      <c r="E919" s="20" t="str">
        <f aca="false">IF(D919="?OLD","!!!","")</f>
        <v/>
      </c>
      <c r="F919" s="21" t="str">
        <f aca="false">IF(OR(E919="",E919="!!!"),"",IF(NOT(ISNA(VLOOKUP(E919,E$1:E918,1,FALSE()))),"OLD",IF(AND(E919&lt;&gt;"",E919&lt;&gt;"!!!"),"NEW","")))</f>
        <v/>
      </c>
      <c r="G919" s="22" t="str">
        <f aca="false"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aca="false">IF(J919&lt;&gt;1,"",IF(I919="SBJ","CB","?"))</f>
        <v/>
      </c>
      <c r="I919" s="24" t="str">
        <f aca="false">IF(OR(E919="",E919="!!!",F919="NEW"),"",INDEX(B$2:B918,-1+SUMPRODUCT(MAX(ROW(E$2:E918)*(E919=E$2:E918)))))</f>
        <v/>
      </c>
      <c r="J919" s="24" t="str">
        <f aca="true">IF(OR(E919="",E919="!!!",F919="NEW"),"",COUNTBLANK(OFFSET(A$1,,,SUMPRODUCT(MAX(ROW(E$2:E919)*(E919=E$2:E919)))))-COUNTBLANK(OFFSET(A$1,,,SUMPRODUCT(MAX(ROW(E$1:E918)*(E2=E$1:E918))))))</f>
        <v/>
      </c>
      <c r="K919" s="24" t="str">
        <f aca="false">IF(OR(E919="",E919="!!!",F919="NEW"),"",INDEX(J$1:J918,SUMPRODUCT(MAX(ROW(E$1:E918)*(E919=E$1:E918)))))</f>
        <v/>
      </c>
      <c r="L919" s="25"/>
    </row>
    <row r="920" customFormat="false" ht="14.25" hidden="false" customHeight="false" outlineLevel="0" collapsed="false">
      <c r="A920" s="0" t="s">
        <v>78</v>
      </c>
      <c r="E920" s="20" t="str">
        <f aca="false">IF(D920="?OLD","!!!","")</f>
        <v/>
      </c>
      <c r="F920" s="21" t="str">
        <f aca="false">IF(OR(E920="",E920="!!!"),"",IF(NOT(ISNA(VLOOKUP(E920,E$1:E919,1,FALSE()))),"OLD",IF(AND(E920&lt;&gt;"",E920&lt;&gt;"!!!"),"NEW","")))</f>
        <v/>
      </c>
      <c r="G920" s="22" t="str">
        <f aca="false"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aca="false">IF(J920&lt;&gt;1,"",IF(I920="SBJ","CB","?"))</f>
        <v/>
      </c>
      <c r="I920" s="24" t="str">
        <f aca="false">IF(OR(E920="",E920="!!!",F920="NEW"),"",INDEX(B$2:B919,-1+SUMPRODUCT(MAX(ROW(E$2:E919)*(E920=E$2:E919)))))</f>
        <v/>
      </c>
      <c r="J920" s="24" t="str">
        <f aca="true">IF(OR(E920="",E920="!!!",F920="NEW"),"",COUNTBLANK(OFFSET(A$1,,,SUMPRODUCT(MAX(ROW(E$2:E920)*(E920=E$2:E920)))))-COUNTBLANK(OFFSET(A$1,,,SUMPRODUCT(MAX(ROW(E$1:E919)*(E2=E$1:E919))))))</f>
        <v/>
      </c>
      <c r="K920" s="24" t="str">
        <f aca="false">IF(OR(E920="",E920="!!!",F920="NEW"),"",INDEX(J$1:J919,SUMPRODUCT(MAX(ROW(E$1:E919)*(E920=E$1:E919)))))</f>
        <v/>
      </c>
      <c r="L920" s="25"/>
    </row>
    <row r="921" customFormat="false" ht="14.25" hidden="false" customHeight="false" outlineLevel="0" collapsed="false">
      <c r="A921" s="0" t="s">
        <v>365</v>
      </c>
      <c r="B921" s="26" t="s">
        <v>73</v>
      </c>
      <c r="C921" s="26" t="s">
        <v>283</v>
      </c>
      <c r="D921" s="26" t="s">
        <v>75</v>
      </c>
      <c r="E921" s="20" t="s">
        <v>366</v>
      </c>
      <c r="F921" s="21" t="str">
        <f aca="false">IF(OR(E921="",E921="!!!"),"",IF(NOT(ISNA(VLOOKUP(E921,E$1:E920,1,FALSE()))),"OLD",IF(AND(E921&lt;&gt;"",E921&lt;&gt;"!!!"),"NEW","")))</f>
        <v>OLD</v>
      </c>
      <c r="G921" s="22" t="str">
        <f aca="false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3" t="str">
        <f aca="false">IF(J921&lt;&gt;1,"",IF(I921="SBJ","CB","?"))</f>
        <v/>
      </c>
      <c r="I921" s="24" t="str">
        <f aca="false">IF(OR(E921="",E921="!!!",F921="NEW"),"",INDEX(B$2:B920,-1+SUMPRODUCT(MAX(ROW(E$2:E920)*(E921=E$2:E920)))))</f>
        <v>other_7</v>
      </c>
      <c r="J921" s="24" t="n">
        <f aca="true">IF(OR(E921="",E921="!!!",F921="NEW"),"",COUNTBLANK(OFFSET(A$1,,,SUMPRODUCT(MAX(ROW(E$2:E921)*(E921=E$2:E921)))))-COUNTBLANK(OFFSET(A$1,,,SUMPRODUCT(MAX(ROW(E$1:E920)*(E2=E$1:E920))))))</f>
        <v>0</v>
      </c>
      <c r="K921" s="24" t="n">
        <f aca="false">IF(OR(E921="",E921="!!!",F921="NEW"),"",INDEX(J$1:J920,SUMPRODUCT(MAX(ROW(E$1:E920)*(E921=E$1:E920)))))</f>
        <v>0</v>
      </c>
      <c r="L921" s="25"/>
    </row>
    <row r="922" customFormat="false" ht="14.25" hidden="false" customHeight="false" outlineLevel="0" collapsed="false">
      <c r="A922" s="0" t="s">
        <v>339</v>
      </c>
      <c r="E922" s="20" t="str">
        <f aca="false">IF(D922="?OLD","!!!","")</f>
        <v/>
      </c>
      <c r="F922" s="21" t="str">
        <f aca="false">IF(OR(E922="",E922="!!!"),"",IF(NOT(ISNA(VLOOKUP(E922,E$1:E921,1,FALSE()))),"OLD",IF(AND(E922&lt;&gt;"",E922&lt;&gt;"!!!"),"NEW","")))</f>
        <v/>
      </c>
      <c r="G922" s="22" t="str">
        <f aca="false"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aca="false">IF(J922&lt;&gt;1,"",IF(I922="SBJ","CB","?"))</f>
        <v/>
      </c>
      <c r="I922" s="24" t="str">
        <f aca="false">IF(OR(E922="",E922="!!!",F922="NEW"),"",INDEX(B$2:B921,-1+SUMPRODUCT(MAX(ROW(E$2:E921)*(E922=E$2:E921)))))</f>
        <v/>
      </c>
      <c r="J922" s="24" t="str">
        <f aca="true">IF(OR(E922="",E922="!!!",F922="NEW"),"",COUNTBLANK(OFFSET(A$1,,,SUMPRODUCT(MAX(ROW(E$2:E922)*(E922=E$2:E922)))))-COUNTBLANK(OFFSET(A$1,,,SUMPRODUCT(MAX(ROW(E$1:E921)*(E2=E$1:E921))))))</f>
        <v/>
      </c>
      <c r="K922" s="24" t="str">
        <f aca="false">IF(OR(E922="",E922="!!!",F922="NEW"),"",INDEX(J$1:J921,SUMPRODUCT(MAX(ROW(E$1:E921)*(E922=E$1:E921)))))</f>
        <v/>
      </c>
      <c r="L922" s="25"/>
    </row>
    <row r="923" customFormat="false" ht="14.25" hidden="false" customHeight="false" outlineLevel="0" collapsed="false">
      <c r="A923" s="0" t="s">
        <v>684</v>
      </c>
      <c r="B923" s="26" t="s">
        <v>131</v>
      </c>
      <c r="C923" s="26" t="s">
        <v>341</v>
      </c>
      <c r="E923" s="20" t="str">
        <f aca="false">IF(D923="?OLD","!!!","")</f>
        <v/>
      </c>
      <c r="F923" s="21" t="str">
        <f aca="false">IF(OR(E923="",E923="!!!"),"",IF(NOT(ISNA(VLOOKUP(E923,E$1:E922,1,FALSE()))),"OLD",IF(AND(E923&lt;&gt;"",E923&lt;&gt;"!!!"),"NEW","")))</f>
        <v/>
      </c>
      <c r="G923" s="22" t="str">
        <f aca="false"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aca="false">IF(J923&lt;&gt;1,"",IF(I923="SBJ","CB","?"))</f>
        <v/>
      </c>
      <c r="I923" s="24" t="str">
        <f aca="false">IF(OR(E923="",E923="!!!",F923="NEW"),"",INDEX(B$2:B922,-1+SUMPRODUCT(MAX(ROW(E$2:E922)*(E923=E$2:E922)))))</f>
        <v/>
      </c>
      <c r="J923" s="24" t="str">
        <f aca="true">IF(OR(E923="",E923="!!!",F923="NEW"),"",COUNTBLANK(OFFSET(A$1,,,SUMPRODUCT(MAX(ROW(E$2:E923)*(E923=E$2:E923)))))-COUNTBLANK(OFFSET(A$1,,,SUMPRODUCT(MAX(ROW(E$1:E922)*(E2=E$1:E922))))))</f>
        <v/>
      </c>
      <c r="K923" s="24" t="str">
        <f aca="false">IF(OR(E923="",E923="!!!",F923="NEW"),"",INDEX(J$1:J922,SUMPRODUCT(MAX(ROW(E$1:E922)*(E923=E$1:E922)))))</f>
        <v/>
      </c>
      <c r="L923" s="25"/>
    </row>
    <row r="924" customFormat="false" ht="14.25" hidden="false" customHeight="false" outlineLevel="0" collapsed="false">
      <c r="A924" s="0" t="s">
        <v>259</v>
      </c>
      <c r="E924" s="20" t="str">
        <f aca="false">IF(D924="?OLD","!!!","")</f>
        <v/>
      </c>
      <c r="F924" s="21" t="str">
        <f aca="false">IF(OR(E924="",E924="!!!"),"",IF(NOT(ISNA(VLOOKUP(E924,E$1:E923,1,FALSE()))),"OLD",IF(AND(E924&lt;&gt;"",E924&lt;&gt;"!!!"),"NEW","")))</f>
        <v/>
      </c>
      <c r="G924" s="22" t="str">
        <f aca="false"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aca="false">IF(J924&lt;&gt;1,"",IF(I924="SBJ","CB","?"))</f>
        <v/>
      </c>
      <c r="I924" s="24" t="str">
        <f aca="false">IF(OR(E924="",E924="!!!",F924="NEW"),"",INDEX(B$2:B923,-1+SUMPRODUCT(MAX(ROW(E$2:E923)*(E924=E$2:E923)))))</f>
        <v/>
      </c>
      <c r="J924" s="24" t="str">
        <f aca="true">IF(OR(E924="",E924="!!!",F924="NEW"),"",COUNTBLANK(OFFSET(A$1,,,SUMPRODUCT(MAX(ROW(E$2:E924)*(E924=E$2:E924)))))-COUNTBLANK(OFFSET(A$1,,,SUMPRODUCT(MAX(ROW(E$1:E923)*(E2=E$1:E923))))))</f>
        <v/>
      </c>
      <c r="K924" s="24" t="str">
        <f aca="false">IF(OR(E924="",E924="!!!",F924="NEW"),"",INDEX(J$1:J923,SUMPRODUCT(MAX(ROW(E$1:E923)*(E924=E$1:E923)))))</f>
        <v/>
      </c>
      <c r="L924" s="25"/>
    </row>
    <row r="925" customFormat="false" ht="14.25" hidden="false" customHeight="false" outlineLevel="0" collapsed="false">
      <c r="A925" s="0" t="s">
        <v>685</v>
      </c>
      <c r="E925" s="20" t="str">
        <f aca="false">IF(D925="?OLD","!!!","")</f>
        <v/>
      </c>
      <c r="F925" s="21" t="str">
        <f aca="false">IF(OR(E925="",E925="!!!"),"",IF(NOT(ISNA(VLOOKUP(E925,E$1:E924,1,FALSE()))),"OLD",IF(AND(E925&lt;&gt;"",E925&lt;&gt;"!!!"),"NEW","")))</f>
        <v/>
      </c>
      <c r="G925" s="22" t="str">
        <f aca="false"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aca="false">IF(J925&lt;&gt;1,"",IF(I925="SBJ","CB","?"))</f>
        <v/>
      </c>
      <c r="I925" s="24" t="str">
        <f aca="false">IF(OR(E925="",E925="!!!",F925="NEW"),"",INDEX(B$2:B924,-1+SUMPRODUCT(MAX(ROW(E$2:E924)*(E925=E$2:E924)))))</f>
        <v/>
      </c>
      <c r="J925" s="24" t="str">
        <f aca="true">IF(OR(E925="",E925="!!!",F925="NEW"),"",COUNTBLANK(OFFSET(A$1,,,SUMPRODUCT(MAX(ROW(E$2:E925)*(E925=E$2:E925)))))-COUNTBLANK(OFFSET(A$1,,,SUMPRODUCT(MAX(ROW(E$1:E924)*(E2=E$1:E924))))))</f>
        <v/>
      </c>
      <c r="K925" s="24" t="str">
        <f aca="false">IF(OR(E925="",E925="!!!",F925="NEW"),"",INDEX(J$1:J924,SUMPRODUCT(MAX(ROW(E$1:E924)*(E925=E$1:E924)))))</f>
        <v/>
      </c>
      <c r="L925" s="25"/>
    </row>
    <row r="926" customFormat="false" ht="14.25" hidden="false" customHeight="false" outlineLevel="0" collapsed="false">
      <c r="A926" s="0" t="s">
        <v>686</v>
      </c>
      <c r="B926" s="26" t="s">
        <v>131</v>
      </c>
      <c r="C926" s="26" t="s">
        <v>105</v>
      </c>
      <c r="E926" s="20" t="s">
        <v>687</v>
      </c>
      <c r="F926" s="21" t="str">
        <f aca="false">IF(OR(E926="",E926="!!!"),"",IF(NOT(ISNA(VLOOKUP(E926,E$1:E925,1,FALSE()))),"OLD",IF(AND(E926&lt;&gt;"",E926&lt;&gt;"!!!"),"NEW","")))</f>
        <v>NEW</v>
      </c>
      <c r="G926" s="22" t="str">
        <f aca="false"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?REFERENTIAL</v>
      </c>
      <c r="H926" s="23" t="str">
        <f aca="false">IF(J926&lt;&gt;1,"",IF(I926="SBJ","CB","?"))</f>
        <v/>
      </c>
      <c r="I926" s="24" t="str">
        <f aca="false">IF(OR(E926="",E926="!!!",F926="NEW"),"",INDEX(B$2:B925,-1+SUMPRODUCT(MAX(ROW(E$2:E925)*(E926=E$2:E925)))))</f>
        <v/>
      </c>
      <c r="J926" s="24" t="str">
        <f aca="true">IF(OR(E926="",E926="!!!",F926="NEW"),"",COUNTBLANK(OFFSET(A$1,,,SUMPRODUCT(MAX(ROW(E$2:E926)*(E926=E$2:E926)))))-COUNTBLANK(OFFSET(A$1,,,SUMPRODUCT(MAX(ROW(E$1:E925)*(E2=E$1:E925))))))</f>
        <v/>
      </c>
      <c r="K926" s="24" t="str">
        <f aca="false">IF(OR(E926="",E926="!!!",F926="NEW"),"",INDEX(J$1:J925,SUMPRODUCT(MAX(ROW(E$1:E925)*(E926=E$1:E925)))))</f>
        <v/>
      </c>
      <c r="L926" s="27" t="s">
        <v>688</v>
      </c>
    </row>
    <row r="927" customFormat="false" ht="14.25" hidden="false" customHeight="false" outlineLevel="0" collapsed="false">
      <c r="A927" s="0" t="s">
        <v>86</v>
      </c>
      <c r="E927" s="20" t="str">
        <f aca="false">IF(D927="?OLD","!!!","")</f>
        <v/>
      </c>
      <c r="F927" s="21" t="str">
        <f aca="false">IF(OR(E927="",E927="!!!"),"",IF(NOT(ISNA(VLOOKUP(E927,E$1:E926,1,FALSE()))),"OLD",IF(AND(E927&lt;&gt;"",E927&lt;&gt;"!!!"),"NEW","")))</f>
        <v/>
      </c>
      <c r="G927" s="22" t="str">
        <f aca="false"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aca="false">IF(J927&lt;&gt;1,"",IF(I927="SBJ","CB","?"))</f>
        <v/>
      </c>
      <c r="I927" s="24" t="str">
        <f aca="false">IF(OR(E927="",E927="!!!",F927="NEW"),"",INDEX(B$2:B926,-1+SUMPRODUCT(MAX(ROW(E$2:E926)*(E927=E$2:E926)))))</f>
        <v/>
      </c>
      <c r="J927" s="24" t="str">
        <f aca="true">IF(OR(E927="",E927="!!!",F927="NEW"),"",COUNTBLANK(OFFSET(A$1,,,SUMPRODUCT(MAX(ROW(E$2:E927)*(E927=E$2:E927)))))-COUNTBLANK(OFFSET(A$1,,,SUMPRODUCT(MAX(ROW(E$1:E926)*(E2=E$1:E926))))))</f>
        <v/>
      </c>
      <c r="K927" s="24" t="str">
        <f aca="false">IF(OR(E927="",E927="!!!",F927="NEW"),"",INDEX(J$1:J926,SUMPRODUCT(MAX(ROW(E$1:E926)*(E927=E$1:E926)))))</f>
        <v/>
      </c>
      <c r="L927" s="25"/>
    </row>
    <row r="928" customFormat="false" ht="14.25" hidden="false" customHeight="false" outlineLevel="0" collapsed="false">
      <c r="A928" s="0" t="s">
        <v>515</v>
      </c>
      <c r="E928" s="20" t="str">
        <f aca="false">IF(D928="?OLD","!!!","")</f>
        <v/>
      </c>
      <c r="F928" s="21" t="str">
        <f aca="false">IF(OR(E928="",E928="!!!"),"",IF(NOT(ISNA(VLOOKUP(E928,E$1:E927,1,FALSE()))),"OLD",IF(AND(E928&lt;&gt;"",E928&lt;&gt;"!!!"),"NEW","")))</f>
        <v/>
      </c>
      <c r="G928" s="22" t="str">
        <f aca="false"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aca="false">IF(J928&lt;&gt;1,"",IF(I928="SBJ","CB","?"))</f>
        <v/>
      </c>
      <c r="I928" s="24" t="str">
        <f aca="false">IF(OR(E928="",E928="!!!",F928="NEW"),"",INDEX(B$2:B927,-1+SUMPRODUCT(MAX(ROW(E$2:E927)*(E928=E$2:E927)))))</f>
        <v/>
      </c>
      <c r="J928" s="24" t="str">
        <f aca="true">IF(OR(E928="",E928="!!!",F928="NEW"),"",COUNTBLANK(OFFSET(A$1,,,SUMPRODUCT(MAX(ROW(E$2:E928)*(E928=E$2:E928)))))-COUNTBLANK(OFFSET(A$1,,,SUMPRODUCT(MAX(ROW(E$1:E927)*(E2=E$1:E927))))))</f>
        <v/>
      </c>
      <c r="K928" s="24" t="str">
        <f aca="false">IF(OR(E928="",E928="!!!",F928="NEW"),"",INDEX(J$1:J927,SUMPRODUCT(MAX(ROW(E$1:E927)*(E928=E$1:E927)))))</f>
        <v/>
      </c>
      <c r="L928" s="25"/>
    </row>
    <row r="929" customFormat="false" ht="14.25" hidden="false" customHeight="false" outlineLevel="0" collapsed="false">
      <c r="A929" s="0" t="s">
        <v>658</v>
      </c>
      <c r="B929" s="26" t="s">
        <v>82</v>
      </c>
      <c r="C929" s="26" t="s">
        <v>105</v>
      </c>
      <c r="E929" s="20" t="str">
        <f aca="false">IF(D929="?OLD","!!!","")</f>
        <v/>
      </c>
      <c r="F929" s="21" t="str">
        <f aca="false">IF(OR(E929="",E929="!!!"),"",IF(NOT(ISNA(VLOOKUP(E929,E$1:E928,1,FALSE()))),"OLD",IF(AND(E929&lt;&gt;"",E929&lt;&gt;"!!!"),"NEW","")))</f>
        <v/>
      </c>
      <c r="G929" s="22" t="str">
        <f aca="false"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aca="false">IF(J929&lt;&gt;1,"",IF(I929="SBJ","CB","?"))</f>
        <v/>
      </c>
      <c r="I929" s="24" t="str">
        <f aca="false">IF(OR(E929="",E929="!!!",F929="NEW"),"",INDEX(B$2:B928,-1+SUMPRODUCT(MAX(ROW(E$2:E928)*(E929=E$2:E928)))))</f>
        <v/>
      </c>
      <c r="J929" s="24" t="str">
        <f aca="true">IF(OR(E929="",E929="!!!",F929="NEW"),"",COUNTBLANK(OFFSET(A$1,,,SUMPRODUCT(MAX(ROW(E$2:E929)*(E929=E$2:E929)))))-COUNTBLANK(OFFSET(A$1,,,SUMPRODUCT(MAX(ROW(E$1:E928)*(E2=E$1:E928))))))</f>
        <v/>
      </c>
      <c r="K929" s="24" t="str">
        <f aca="false">IF(OR(E929="",E929="!!!",F929="NEW"),"",INDEX(J$1:J928,SUMPRODUCT(MAX(ROW(E$1:E928)*(E929=E$1:E928)))))</f>
        <v/>
      </c>
      <c r="L929" s="25"/>
    </row>
    <row r="930" customFormat="false" ht="14.25" hidden="false" customHeight="false" outlineLevel="0" collapsed="false">
      <c r="A930" s="0" t="s">
        <v>467</v>
      </c>
      <c r="E930" s="20" t="str">
        <f aca="false">IF(D930="?OLD","!!!","")</f>
        <v/>
      </c>
      <c r="F930" s="21" t="str">
        <f aca="false">IF(OR(E930="",E930="!!!"),"",IF(NOT(ISNA(VLOOKUP(E930,E$1:E929,1,FALSE()))),"OLD",IF(AND(E930&lt;&gt;"",E930&lt;&gt;"!!!"),"NEW","")))</f>
        <v/>
      </c>
      <c r="G930" s="22" t="str">
        <f aca="false"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aca="false">IF(J930&lt;&gt;1,"",IF(I930="SBJ","CB","?"))</f>
        <v/>
      </c>
      <c r="I930" s="24" t="str">
        <f aca="false">IF(OR(E930="",E930="!!!",F930="NEW"),"",INDEX(B$2:B929,-1+SUMPRODUCT(MAX(ROW(E$2:E929)*(E930=E$2:E929)))))</f>
        <v/>
      </c>
      <c r="J930" s="24" t="str">
        <f aca="true">IF(OR(E930="",E930="!!!",F930="NEW"),"",COUNTBLANK(OFFSET(A$1,,,SUMPRODUCT(MAX(ROW(E$2:E930)*(E930=E$2:E930)))))-COUNTBLANK(OFFSET(A$1,,,SUMPRODUCT(MAX(ROW(E$1:E929)*(E2=E$1:E929))))))</f>
        <v/>
      </c>
      <c r="K930" s="24" t="str">
        <f aca="false">IF(OR(E930="",E930="!!!",F930="NEW"),"",INDEX(J$1:J929,SUMPRODUCT(MAX(ROW(E$1:E929)*(E930=E$1:E929)))))</f>
        <v/>
      </c>
      <c r="L930" s="25"/>
    </row>
    <row r="931" customFormat="false" ht="14.25" hidden="false" customHeight="false" outlineLevel="0" collapsed="false">
      <c r="A931" s="0" t="s">
        <v>207</v>
      </c>
      <c r="B931" s="26" t="s">
        <v>96</v>
      </c>
      <c r="C931" s="26" t="s">
        <v>209</v>
      </c>
      <c r="D931" s="26" t="s">
        <v>75</v>
      </c>
      <c r="E931" s="20" t="s">
        <v>207</v>
      </c>
      <c r="F931" s="21" t="str">
        <f aca="false">IF(OR(E931="",E931="!!!"),"",IF(NOT(ISNA(VLOOKUP(E931,E$1:E930,1,FALSE()))),"OLD",IF(AND(E931&lt;&gt;"",E931&lt;&gt;"!!!"),"NEW","")))</f>
        <v>OLD</v>
      </c>
      <c r="G931" s="22" t="str">
        <f aca="false"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?IN_FOCUS</v>
      </c>
      <c r="H931" s="23" t="str">
        <f aca="false">IF(J931&lt;&gt;1,"",IF(I931="SBJ","CB","?"))</f>
        <v/>
      </c>
      <c r="I931" s="24" t="str">
        <f aca="false">IF(OR(E931="",E931="!!!",F931="NEW"),"",INDEX(B$2:B930,-1+SUMPRODUCT(MAX(ROW(E$2:E930)*(E931=E$2:E930)))))</f>
        <v>SBJ_4</v>
      </c>
      <c r="J931" s="24" t="n">
        <f aca="true">IF(OR(E931="",E931="!!!",F931="NEW"),"",COUNTBLANK(OFFSET(A$1,,,SUMPRODUCT(MAX(ROW(E$2:E931)*(E931=E$2:E931)))))-COUNTBLANK(OFFSET(A$1,,,SUMPRODUCT(MAX(ROW(E$1:E930)*(E2=E$1:E930))))))</f>
        <v>0</v>
      </c>
      <c r="K931" s="24" t="n">
        <f aca="false">IF(OR(E931="",E931="!!!",F931="NEW"),"",INDEX(J$1:J930,SUMPRODUCT(MAX(ROW(E$1:E930)*(E931=E$1:E930)))))</f>
        <v>0</v>
      </c>
      <c r="L931" s="25"/>
    </row>
    <row r="932" customFormat="false" ht="14.25" hidden="false" customHeight="false" outlineLevel="0" collapsed="false">
      <c r="A932" s="0" t="s">
        <v>136</v>
      </c>
      <c r="E932" s="20" t="str">
        <f aca="false">IF(D932="?OLD","!!!","")</f>
        <v/>
      </c>
      <c r="F932" s="21" t="str">
        <f aca="false">IF(OR(E932="",E932="!!!"),"",IF(NOT(ISNA(VLOOKUP(E932,E$1:E931,1,FALSE()))),"OLD",IF(AND(E932&lt;&gt;"",E932&lt;&gt;"!!!"),"NEW","")))</f>
        <v/>
      </c>
      <c r="G932" s="22" t="str">
        <f aca="false"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3" t="str">
        <f aca="false">IF(J932&lt;&gt;1,"",IF(I932="SBJ","CB","?"))</f>
        <v/>
      </c>
      <c r="I932" s="24" t="str">
        <f aca="false">IF(OR(E932="",E932="!!!",F932="NEW"),"",INDEX(B$2:B931,-1+SUMPRODUCT(MAX(ROW(E$2:E931)*(E932=E$2:E931)))))</f>
        <v/>
      </c>
      <c r="J932" s="24" t="str">
        <f aca="true">IF(OR(E932="",E932="!!!",F932="NEW"),"",COUNTBLANK(OFFSET(A$1,,,SUMPRODUCT(MAX(ROW(E$2:E932)*(E932=E$2:E932)))))-COUNTBLANK(OFFSET(A$1,,,SUMPRODUCT(MAX(ROW(E$1:E931)*(E2=E$1:E931))))))</f>
        <v/>
      </c>
      <c r="K932" s="24" t="str">
        <f aca="false">IF(OR(E932="",E932="!!!",F932="NEW"),"",INDEX(J$1:J931,SUMPRODUCT(MAX(ROW(E$1:E931)*(E932=E$1:E931)))))</f>
        <v/>
      </c>
      <c r="L932" s="25"/>
    </row>
    <row r="933" customFormat="false" ht="14.25" hidden="false" customHeight="false" outlineLevel="0" collapsed="false">
      <c r="A933" s="0" t="s">
        <v>652</v>
      </c>
      <c r="B933" s="26" t="s">
        <v>154</v>
      </c>
      <c r="C933" s="26" t="s">
        <v>74</v>
      </c>
      <c r="D933" s="26" t="s">
        <v>75</v>
      </c>
      <c r="E933" s="20" t="s">
        <v>689</v>
      </c>
      <c r="F933" s="21" t="str">
        <f aca="false">IF(OR(E933="",E933="!!!"),"",IF(NOT(ISNA(VLOOKUP(E933,E$1:E932,1,FALSE()))),"OLD",IF(AND(E933&lt;&gt;"",E933&lt;&gt;"!!!"),"NEW","")))</f>
        <v>NEW</v>
      </c>
      <c r="G933" s="22" t="str">
        <f aca="false"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?REFERENTIAL</v>
      </c>
      <c r="H933" s="23" t="str">
        <f aca="false">IF(J933&lt;&gt;1,"",IF(I933="SBJ","CB","?"))</f>
        <v/>
      </c>
      <c r="I933" s="24" t="str">
        <f aca="false">IF(OR(E933="",E933="!!!",F933="NEW"),"",INDEX(B$2:B932,-1+SUMPRODUCT(MAX(ROW(E$2:E932)*(E933=E$2:E932)))))</f>
        <v/>
      </c>
      <c r="J933" s="24" t="str">
        <f aca="true">IF(OR(E933="",E933="!!!",F933="NEW"),"",COUNTBLANK(OFFSET(A$1,,,SUMPRODUCT(MAX(ROW(E$2:E933)*(E933=E$2:E933)))))-COUNTBLANK(OFFSET(A$1,,,SUMPRODUCT(MAX(ROW(E$1:E932)*(E2=E$1:E932))))))</f>
        <v/>
      </c>
      <c r="K933" s="24" t="str">
        <f aca="false">IF(OR(E933="",E933="!!!",F933="NEW"),"",INDEX(J$1:J932,SUMPRODUCT(MAX(ROW(E$1:E932)*(E933=E$1:E932)))))</f>
        <v/>
      </c>
      <c r="L933" s="25"/>
    </row>
    <row r="934" customFormat="false" ht="14.25" hidden="false" customHeight="false" outlineLevel="0" collapsed="false">
      <c r="A934" s="0" t="s">
        <v>112</v>
      </c>
      <c r="E934" s="20" t="str">
        <f aca="false">IF(D934="?OLD","!!!","")</f>
        <v/>
      </c>
      <c r="F934" s="21" t="str">
        <f aca="false">IF(OR(E934="",E934="!!!"),"",IF(NOT(ISNA(VLOOKUP(E934,E$1:E933,1,FALSE()))),"OLD",IF(AND(E934&lt;&gt;"",E934&lt;&gt;"!!!"),"NEW","")))</f>
        <v/>
      </c>
      <c r="G934" s="22" t="str">
        <f aca="false"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3" t="str">
        <f aca="false">IF(J934&lt;&gt;1,"",IF(I934="SBJ","CB","?"))</f>
        <v/>
      </c>
      <c r="I934" s="24" t="str">
        <f aca="false">IF(OR(E934="",E934="!!!",F934="NEW"),"",INDEX(B$2:B933,-1+SUMPRODUCT(MAX(ROW(E$2:E933)*(E934=E$2:E933)))))</f>
        <v/>
      </c>
      <c r="J934" s="24" t="str">
        <f aca="true">IF(OR(E934="",E934="!!!",F934="NEW"),"",COUNTBLANK(OFFSET(A$1,,,SUMPRODUCT(MAX(ROW(E$2:E934)*(E934=E$2:E934)))))-COUNTBLANK(OFFSET(A$1,,,SUMPRODUCT(MAX(ROW(E$1:E933)*(E2=E$1:E933))))))</f>
        <v/>
      </c>
      <c r="K934" s="24" t="str">
        <f aca="false">IF(OR(E934="",E934="!!!",F934="NEW"),"",INDEX(J$1:J933,SUMPRODUCT(MAX(ROW(E$1:E933)*(E934=E$1:E933)))))</f>
        <v/>
      </c>
      <c r="L934" s="25"/>
    </row>
    <row r="935" customFormat="false" ht="14.25" hidden="false" customHeight="false" outlineLevel="0" collapsed="false">
      <c r="A935" s="0" t="s">
        <v>690</v>
      </c>
      <c r="E935" s="20" t="str">
        <f aca="false">IF(D935="?OLD","!!!","")</f>
        <v/>
      </c>
      <c r="F935" s="21" t="str">
        <f aca="false">IF(OR(E935="",E935="!!!"),"",IF(NOT(ISNA(VLOOKUP(E935,E$1:E934,1,FALSE()))),"OLD",IF(AND(E935&lt;&gt;"",E935&lt;&gt;"!!!"),"NEW","")))</f>
        <v/>
      </c>
      <c r="G935" s="22" t="str">
        <f aca="false"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aca="false">IF(J935&lt;&gt;1,"",IF(I935="SBJ","CB","?"))</f>
        <v/>
      </c>
      <c r="I935" s="24" t="str">
        <f aca="false">IF(OR(E935="",E935="!!!",F935="NEW"),"",INDEX(B$2:B934,-1+SUMPRODUCT(MAX(ROW(E$2:E934)*(E935=E$2:E934)))))</f>
        <v/>
      </c>
      <c r="J935" s="24" t="str">
        <f aca="true">IF(OR(E935="",E935="!!!",F935="NEW"),"",COUNTBLANK(OFFSET(A$1,,,SUMPRODUCT(MAX(ROW(E$2:E935)*(E935=E$2:E935)))))-COUNTBLANK(OFFSET(A$1,,,SUMPRODUCT(MAX(ROW(E$1:E934)*(E2=E$1:E934))))))</f>
        <v/>
      </c>
      <c r="K935" s="24" t="str">
        <f aca="false">IF(OR(E935="",E935="!!!",F935="NEW"),"",INDEX(J$1:J934,SUMPRODUCT(MAX(ROW(E$1:E934)*(E935=E$1:E934)))))</f>
        <v/>
      </c>
      <c r="L935" s="25"/>
    </row>
    <row r="936" customFormat="false" ht="14.25" hidden="false" customHeight="false" outlineLevel="0" collapsed="false">
      <c r="A936" s="0" t="s">
        <v>113</v>
      </c>
      <c r="E936" s="20" t="str">
        <f aca="false">IF(D936="?OLD","!!!","")</f>
        <v/>
      </c>
      <c r="F936" s="21" t="str">
        <f aca="false">IF(OR(E936="",E936="!!!"),"",IF(NOT(ISNA(VLOOKUP(E936,E$1:E935,1,FALSE()))),"OLD",IF(AND(E936&lt;&gt;"",E936&lt;&gt;"!!!"),"NEW","")))</f>
        <v/>
      </c>
      <c r="G936" s="22" t="str">
        <f aca="false"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aca="false">IF(J936&lt;&gt;1,"",IF(I936="SBJ","CB","?"))</f>
        <v/>
      </c>
      <c r="I936" s="24" t="str">
        <f aca="false">IF(OR(E936="",E936="!!!",F936="NEW"),"",INDEX(B$2:B935,-1+SUMPRODUCT(MAX(ROW(E$2:E935)*(E936=E$2:E935)))))</f>
        <v/>
      </c>
      <c r="J936" s="24" t="str">
        <f aca="true">IF(OR(E936="",E936="!!!",F936="NEW"),"",COUNTBLANK(OFFSET(A$1,,,SUMPRODUCT(MAX(ROW(E$2:E936)*(E936=E$2:E936)))))-COUNTBLANK(OFFSET(A$1,,,SUMPRODUCT(MAX(ROW(E$1:E935)*(E2=E$1:E935))))))</f>
        <v/>
      </c>
      <c r="K936" s="24" t="str">
        <f aca="false">IF(OR(E936="",E936="!!!",F936="NEW"),"",INDEX(J$1:J935,SUMPRODUCT(MAX(ROW(E$1:E935)*(E936=E$1:E935)))))</f>
        <v/>
      </c>
      <c r="L936" s="25"/>
    </row>
    <row r="937" customFormat="false" ht="14.25" hidden="false" customHeight="false" outlineLevel="0" collapsed="false">
      <c r="A937" s="0" t="s">
        <v>691</v>
      </c>
      <c r="E937" s="20" t="str">
        <f aca="false">IF(D937="?OLD","!!!","")</f>
        <v/>
      </c>
      <c r="F937" s="21" t="str">
        <f aca="false">IF(OR(E937="",E937="!!!"),"",IF(NOT(ISNA(VLOOKUP(E937,E$1:E936,1,FALSE()))),"OLD",IF(AND(E937&lt;&gt;"",E937&lt;&gt;"!!!"),"NEW","")))</f>
        <v/>
      </c>
      <c r="G937" s="22" t="str">
        <f aca="false"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aca="false">IF(J937&lt;&gt;1,"",IF(I937="SBJ","CB","?"))</f>
        <v/>
      </c>
      <c r="I937" s="24" t="str">
        <f aca="false">IF(OR(E937="",E937="!!!",F937="NEW"),"",INDEX(B$2:B936,-1+SUMPRODUCT(MAX(ROW(E$2:E936)*(E937=E$2:E936)))))</f>
        <v/>
      </c>
      <c r="J937" s="24" t="str">
        <f aca="true">IF(OR(E937="",E937="!!!",F937="NEW"),"",COUNTBLANK(OFFSET(A$1,,,SUMPRODUCT(MAX(ROW(E$2:E937)*(E937=E$2:E937)))))-COUNTBLANK(OFFSET(A$1,,,SUMPRODUCT(MAX(ROW(E$1:E936)*(E2=E$1:E936))))))</f>
        <v/>
      </c>
      <c r="K937" s="24" t="str">
        <f aca="false">IF(OR(E937="",E937="!!!",F937="NEW"),"",INDEX(J$1:J936,SUMPRODUCT(MAX(ROW(E$1:E936)*(E937=E$1:E936)))))</f>
        <v/>
      </c>
      <c r="L937" s="25"/>
    </row>
    <row r="938" customFormat="false" ht="14.25" hidden="false" customHeight="false" outlineLevel="0" collapsed="false">
      <c r="A938" s="0" t="s">
        <v>340</v>
      </c>
      <c r="B938" s="26" t="s">
        <v>147</v>
      </c>
      <c r="C938" s="26" t="s">
        <v>517</v>
      </c>
      <c r="D938" s="26" t="s">
        <v>75</v>
      </c>
      <c r="E938" s="20" t="s">
        <v>692</v>
      </c>
      <c r="F938" s="21" t="str">
        <f aca="false">IF(OR(E938="",E938="!!!"),"",IF(NOT(ISNA(VLOOKUP(E938,E$1:E937,1,FALSE()))),"OLD",IF(AND(E938&lt;&gt;"",E938&lt;&gt;"!!!"),"NEW","")))</f>
        <v>NEW</v>
      </c>
      <c r="G938" s="22" t="str">
        <f aca="false"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?REFERENTIAL</v>
      </c>
      <c r="H938" s="23" t="str">
        <f aca="false">IF(J938&lt;&gt;1,"",IF(I938="SBJ","CB","?"))</f>
        <v/>
      </c>
      <c r="I938" s="24" t="str">
        <f aca="false">IF(OR(E938="",E938="!!!",F938="NEW"),"",INDEX(B$2:B937,-1+SUMPRODUCT(MAX(ROW(E$2:E937)*(E938=E$2:E937)))))</f>
        <v/>
      </c>
      <c r="J938" s="24" t="str">
        <f aca="true">IF(OR(E938="",E938="!!!",F938="NEW"),"",COUNTBLANK(OFFSET(A$1,,,SUMPRODUCT(MAX(ROW(E$2:E938)*(E938=E$2:E938)))))-COUNTBLANK(OFFSET(A$1,,,SUMPRODUCT(MAX(ROW(E$1:E937)*(E2=E$1:E937))))))</f>
        <v/>
      </c>
      <c r="K938" s="24" t="str">
        <f aca="false">IF(OR(E938="",E938="!!!",F938="NEW"),"",INDEX(J$1:J937,SUMPRODUCT(MAX(ROW(E$1:E937)*(E938=E$1:E937)))))</f>
        <v/>
      </c>
      <c r="L938" s="27" t="s">
        <v>693</v>
      </c>
    </row>
    <row r="939" customFormat="false" ht="14.25" hidden="false" customHeight="false" outlineLevel="0" collapsed="false">
      <c r="A939" s="0" t="s">
        <v>142</v>
      </c>
      <c r="E939" s="20" t="str">
        <f aca="false">IF(D939="?OLD","!!!","")</f>
        <v/>
      </c>
      <c r="F939" s="21" t="str">
        <f aca="false">IF(OR(E939="",E939="!!!"),"",IF(NOT(ISNA(VLOOKUP(E939,E$1:E938,1,FALSE()))),"OLD",IF(AND(E939&lt;&gt;"",E939&lt;&gt;"!!!"),"NEW","")))</f>
        <v/>
      </c>
      <c r="G939" s="22" t="str">
        <f aca="false"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aca="false">IF(J939&lt;&gt;1,"",IF(I939="SBJ","CB","?"))</f>
        <v/>
      </c>
      <c r="I939" s="24" t="str">
        <f aca="false">IF(OR(E939="",E939="!!!",F939="NEW"),"",INDEX(B$2:B938,-1+SUMPRODUCT(MAX(ROW(E$2:E938)*(E939=E$2:E938)))))</f>
        <v/>
      </c>
      <c r="J939" s="24" t="str">
        <f aca="true">IF(OR(E939="",E939="!!!",F939="NEW"),"",COUNTBLANK(OFFSET(A$1,,,SUMPRODUCT(MAX(ROW(E$2:E939)*(E939=E$2:E939)))))-COUNTBLANK(OFFSET(A$1,,,SUMPRODUCT(MAX(ROW(E$1:E938)*(E2=E$1:E938))))))</f>
        <v/>
      </c>
      <c r="K939" s="24" t="str">
        <f aca="false">IF(OR(E939="",E939="!!!",F939="NEW"),"",INDEX(J$1:J938,SUMPRODUCT(MAX(ROW(E$1:E938)*(E939=E$1:E938)))))</f>
        <v/>
      </c>
      <c r="L939" s="25"/>
    </row>
    <row r="940" customFormat="false" ht="14.25" hidden="false" customHeight="false" outlineLevel="0" collapsed="false">
      <c r="A940" s="0" t="s">
        <v>79</v>
      </c>
      <c r="E940" s="20" t="str">
        <f aca="false">IF(D940="?OLD","!!!","")</f>
        <v/>
      </c>
      <c r="F940" s="21" t="str">
        <f aca="false">IF(OR(E940="",E940="!!!"),"",IF(NOT(ISNA(VLOOKUP(E940,E$1:E939,1,FALSE()))),"OLD",IF(AND(E940&lt;&gt;"",E940&lt;&gt;"!!!"),"NEW","")))</f>
        <v/>
      </c>
      <c r="G940" s="22" t="str">
        <f aca="false"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3" t="str">
        <f aca="false">IF(J940&lt;&gt;1,"",IF(I940="SBJ","CB","?"))</f>
        <v/>
      </c>
      <c r="I940" s="24" t="str">
        <f aca="false">IF(OR(E940="",E940="!!!",F940="NEW"),"",INDEX(B$2:B939,-1+SUMPRODUCT(MAX(ROW(E$2:E939)*(E940=E$2:E939)))))</f>
        <v/>
      </c>
      <c r="J940" s="24" t="str">
        <f aca="true">IF(OR(E940="",E940="!!!",F940="NEW"),"",COUNTBLANK(OFFSET(A$1,,,SUMPRODUCT(MAX(ROW(E$2:E940)*(E940=E$2:E940)))))-COUNTBLANK(OFFSET(A$1,,,SUMPRODUCT(MAX(ROW(E$1:E939)*(E2=E$1:E939))))))</f>
        <v/>
      </c>
      <c r="K940" s="24" t="str">
        <f aca="false">IF(OR(E940="",E940="!!!",F940="NEW"),"",INDEX(J$1:J939,SUMPRODUCT(MAX(ROW(E$1:E939)*(E940=E$1:E939)))))</f>
        <v/>
      </c>
      <c r="L940" s="25"/>
    </row>
    <row r="941" customFormat="false" ht="14.25" hidden="false" customHeight="false" outlineLevel="0" collapsed="false">
      <c r="A941" s="0" t="s">
        <v>668</v>
      </c>
      <c r="B941" s="26" t="s">
        <v>147</v>
      </c>
      <c r="C941" s="26" t="s">
        <v>105</v>
      </c>
      <c r="E941" s="20" t="str">
        <f aca="false">IF(D941="?OLD","!!!","")</f>
        <v/>
      </c>
      <c r="F941" s="21" t="str">
        <f aca="false">IF(OR(E941="",E941="!!!"),"",IF(NOT(ISNA(VLOOKUP(E941,E$1:E940,1,FALSE()))),"OLD",IF(AND(E941&lt;&gt;"",E941&lt;&gt;"!!!"),"NEW","")))</f>
        <v/>
      </c>
      <c r="G941" s="22" t="str">
        <f aca="false"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3" t="str">
        <f aca="false">IF(J941&lt;&gt;1,"",IF(I941="SBJ","CB","?"))</f>
        <v/>
      </c>
      <c r="I941" s="24" t="str">
        <f aca="false">IF(OR(E941="",E941="!!!",F941="NEW"),"",INDEX(B$2:B940,-1+SUMPRODUCT(MAX(ROW(E$2:E940)*(E941=E$2:E940)))))</f>
        <v/>
      </c>
      <c r="J941" s="24" t="str">
        <f aca="true">IF(OR(E941="",E941="!!!",F941="NEW"),"",COUNTBLANK(OFFSET(A$1,,,SUMPRODUCT(MAX(ROW(E$2:E941)*(E941=E$2:E941)))))-COUNTBLANK(OFFSET(A$1,,,SUMPRODUCT(MAX(ROW(E$1:E940)*(E2=E$1:E940))))))</f>
        <v/>
      </c>
      <c r="K941" s="24" t="str">
        <f aca="false">IF(OR(E941="",E941="!!!",F941="NEW"),"",INDEX(J$1:J940,SUMPRODUCT(MAX(ROW(E$1:E940)*(E941=E$1:E940)))))</f>
        <v/>
      </c>
      <c r="L941" s="25"/>
    </row>
    <row r="942" customFormat="false" ht="14.25" hidden="false" customHeight="false" outlineLevel="0" collapsed="false">
      <c r="A942" s="0" t="s">
        <v>467</v>
      </c>
      <c r="E942" s="20" t="str">
        <f aca="false">IF(D942="?OLD","!!!","")</f>
        <v/>
      </c>
      <c r="F942" s="21" t="str">
        <f aca="false">IF(OR(E942="",E942="!!!"),"",IF(NOT(ISNA(VLOOKUP(E942,E$1:E941,1,FALSE()))),"OLD",IF(AND(E942&lt;&gt;"",E942&lt;&gt;"!!!"),"NEW","")))</f>
        <v/>
      </c>
      <c r="G942" s="22" t="str">
        <f aca="false"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aca="false">IF(J942&lt;&gt;1,"",IF(I942="SBJ","CB","?"))</f>
        <v/>
      </c>
      <c r="I942" s="24" t="str">
        <f aca="false">IF(OR(E942="",E942="!!!",F942="NEW"),"",INDEX(B$2:B941,-1+SUMPRODUCT(MAX(ROW(E$2:E941)*(E942=E$2:E941)))))</f>
        <v/>
      </c>
      <c r="J942" s="24" t="str">
        <f aca="true">IF(OR(E942="",E942="!!!",F942="NEW"),"",COUNTBLANK(OFFSET(A$1,,,SUMPRODUCT(MAX(ROW(E$2:E942)*(E942=E$2:E942)))))-COUNTBLANK(OFFSET(A$1,,,SUMPRODUCT(MAX(ROW(E$1:E941)*(E2=E$1:E941))))))</f>
        <v/>
      </c>
      <c r="K942" s="24" t="str">
        <f aca="false">IF(OR(E942="",E942="!!!",F942="NEW"),"",INDEX(J$1:J941,SUMPRODUCT(MAX(ROW(E$1:E941)*(E942=E$1:E941)))))</f>
        <v/>
      </c>
      <c r="L942" s="25"/>
    </row>
    <row r="943" customFormat="false" ht="14.25" hidden="false" customHeight="false" outlineLevel="0" collapsed="false">
      <c r="A943" s="0" t="s">
        <v>207</v>
      </c>
      <c r="B943" s="26" t="s">
        <v>104</v>
      </c>
      <c r="C943" s="26" t="s">
        <v>209</v>
      </c>
      <c r="D943" s="26" t="s">
        <v>75</v>
      </c>
      <c r="E943" s="20" t="s">
        <v>207</v>
      </c>
      <c r="F943" s="21" t="str">
        <f aca="false">IF(OR(E943="",E943="!!!"),"",IF(NOT(ISNA(VLOOKUP(E943,E$1:E942,1,FALSE()))),"OLD",IF(AND(E943&lt;&gt;"",E943&lt;&gt;"!!!"),"NEW","")))</f>
        <v>OLD</v>
      </c>
      <c r="G943" s="22" t="str">
        <f aca="false"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?IN_FOCUS</v>
      </c>
      <c r="H943" s="23" t="str">
        <f aca="false">IF(J943&lt;&gt;1,"",IF(I943="SBJ","CB","?"))</f>
        <v/>
      </c>
      <c r="I943" s="24" t="str">
        <f aca="false">IF(OR(E943="",E943="!!!",F943="NEW"),"",INDEX(B$2:B942,-1+SUMPRODUCT(MAX(ROW(E$2:E942)*(E943=E$2:E942)))))</f>
        <v>SBJ_2</v>
      </c>
      <c r="J943" s="24" t="n">
        <f aca="true">IF(OR(E943="",E943="!!!",F943="NEW"),"",COUNTBLANK(OFFSET(A$1,,,SUMPRODUCT(MAX(ROW(E$2:E943)*(E943=E$2:E943)))))-COUNTBLANK(OFFSET(A$1,,,SUMPRODUCT(MAX(ROW(E$1:E942)*(E2=E$1:E942))))))</f>
        <v>0</v>
      </c>
      <c r="K943" s="24" t="n">
        <f aca="false">IF(OR(E943="",E943="!!!",F943="NEW"),"",INDEX(J$1:J942,SUMPRODUCT(MAX(ROW(E$1:E942)*(E943=E$1:E942)))))</f>
        <v>0</v>
      </c>
      <c r="L943" s="25"/>
    </row>
    <row r="944" customFormat="false" ht="14.25" hidden="false" customHeight="false" outlineLevel="0" collapsed="false">
      <c r="A944" s="0" t="s">
        <v>694</v>
      </c>
      <c r="E944" s="20" t="str">
        <f aca="false">IF(D944="?OLD","!!!","")</f>
        <v/>
      </c>
      <c r="F944" s="21" t="str">
        <f aca="false">IF(OR(E944="",E944="!!!"),"",IF(NOT(ISNA(VLOOKUP(E944,E$1:E943,1,FALSE()))),"OLD",IF(AND(E944&lt;&gt;"",E944&lt;&gt;"!!!"),"NEW","")))</f>
        <v/>
      </c>
      <c r="G944" s="22" t="str">
        <f aca="false"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aca="false">IF(J944&lt;&gt;1,"",IF(I944="SBJ","CB","?"))</f>
        <v/>
      </c>
      <c r="I944" s="24" t="str">
        <f aca="false">IF(OR(E944="",E944="!!!",F944="NEW"),"",INDEX(B$2:B943,-1+SUMPRODUCT(MAX(ROW(E$2:E943)*(E944=E$2:E943)))))</f>
        <v/>
      </c>
      <c r="J944" s="24" t="str">
        <f aca="true">IF(OR(E944="",E944="!!!",F944="NEW"),"",COUNTBLANK(OFFSET(A$1,,,SUMPRODUCT(MAX(ROW(E$2:E944)*(E944=E$2:E944)))))-COUNTBLANK(OFFSET(A$1,,,SUMPRODUCT(MAX(ROW(E$1:E943)*(E2=E$1:E943))))))</f>
        <v/>
      </c>
      <c r="K944" s="24" t="str">
        <f aca="false">IF(OR(E944="",E944="!!!",F944="NEW"),"",INDEX(J$1:J943,SUMPRODUCT(MAX(ROW(E$1:E943)*(E944=E$1:E943)))))</f>
        <v/>
      </c>
      <c r="L944" s="25"/>
    </row>
    <row r="945" customFormat="false" ht="14.25" hidden="false" customHeight="false" outlineLevel="0" collapsed="false">
      <c r="A945" s="0" t="s">
        <v>669</v>
      </c>
      <c r="B945" s="26" t="s">
        <v>110</v>
      </c>
      <c r="C945" s="26" t="s">
        <v>341</v>
      </c>
      <c r="E945" s="20" t="str">
        <f aca="false">IF(D945="?OLD","!!!","")</f>
        <v/>
      </c>
      <c r="F945" s="21" t="str">
        <f aca="false">IF(OR(E945="",E945="!!!"),"",IF(NOT(ISNA(VLOOKUP(E945,E$1:E944,1,FALSE()))),"OLD",IF(AND(E945&lt;&gt;"",E945&lt;&gt;"!!!"),"NEW","")))</f>
        <v/>
      </c>
      <c r="G945" s="22" t="str">
        <f aca="false"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aca="false">IF(J945&lt;&gt;1,"",IF(I945="SBJ","CB","?"))</f>
        <v/>
      </c>
      <c r="I945" s="24" t="str">
        <f aca="false">IF(OR(E945="",E945="!!!",F945="NEW"),"",INDEX(B$2:B944,-1+SUMPRODUCT(MAX(ROW(E$2:E944)*(E945=E$2:E944)))))</f>
        <v/>
      </c>
      <c r="J945" s="24" t="str">
        <f aca="true">IF(OR(E945="",E945="!!!",F945="NEW"),"",COUNTBLANK(OFFSET(A$1,,,SUMPRODUCT(MAX(ROW(E$2:E945)*(E945=E$2:E945)))))-COUNTBLANK(OFFSET(A$1,,,SUMPRODUCT(MAX(ROW(E$1:E944)*(E2=E$1:E944))))))</f>
        <v/>
      </c>
      <c r="K945" s="24" t="str">
        <f aca="false">IF(OR(E945="",E945="!!!",F945="NEW"),"",INDEX(J$1:J944,SUMPRODUCT(MAX(ROW(E$1:E944)*(E945=E$1:E944)))))</f>
        <v/>
      </c>
      <c r="L945" s="25"/>
    </row>
    <row r="946" customFormat="false" ht="14.25" hidden="false" customHeight="false" outlineLevel="0" collapsed="false">
      <c r="A946" s="0" t="s">
        <v>328</v>
      </c>
      <c r="E946" s="20" t="str">
        <f aca="false">IF(D946="?OLD","!!!","")</f>
        <v/>
      </c>
      <c r="F946" s="21" t="str">
        <f aca="false">IF(OR(E946="",E946="!!!"),"",IF(NOT(ISNA(VLOOKUP(E946,E$1:E945,1,FALSE()))),"OLD",IF(AND(E946&lt;&gt;"",E946&lt;&gt;"!!!"),"NEW","")))</f>
        <v/>
      </c>
      <c r="G946" s="22" t="str">
        <f aca="false"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aca="false">IF(J946&lt;&gt;1,"",IF(I946="SBJ","CB","?"))</f>
        <v/>
      </c>
      <c r="I946" s="24" t="str">
        <f aca="false">IF(OR(E946="",E946="!!!",F946="NEW"),"",INDEX(B$2:B945,-1+SUMPRODUCT(MAX(ROW(E$2:E945)*(E946=E$2:E945)))))</f>
        <v/>
      </c>
      <c r="J946" s="24" t="str">
        <f aca="true">IF(OR(E946="",E946="!!!",F946="NEW"),"",COUNTBLANK(OFFSET(A$1,,,SUMPRODUCT(MAX(ROW(E$2:E946)*(E946=E$2:E946)))))-COUNTBLANK(OFFSET(A$1,,,SUMPRODUCT(MAX(ROW(E$1:E945)*(E2=E$1:E945))))))</f>
        <v/>
      </c>
      <c r="K946" s="24" t="str">
        <f aca="false">IF(OR(E946="",E946="!!!",F946="NEW"),"",INDEX(J$1:J945,SUMPRODUCT(MAX(ROW(E$1:E945)*(E946=E$1:E945)))))</f>
        <v/>
      </c>
      <c r="L946" s="25"/>
    </row>
    <row r="947" customFormat="false" ht="14.25" hidden="false" customHeight="false" outlineLevel="0" collapsed="false">
      <c r="A947" s="0" t="s">
        <v>340</v>
      </c>
      <c r="B947" s="26" t="s">
        <v>115</v>
      </c>
      <c r="C947" s="26" t="s">
        <v>105</v>
      </c>
      <c r="E947" s="20" t="s">
        <v>695</v>
      </c>
      <c r="F947" s="21" t="str">
        <f aca="false">IF(OR(E947="",E947="!!!"),"",IF(NOT(ISNA(VLOOKUP(E947,E$1:E946,1,FALSE()))),"OLD",IF(AND(E947&lt;&gt;"",E947&lt;&gt;"!!!"),"NEW","")))</f>
        <v>NEW</v>
      </c>
      <c r="G947" s="22" t="str">
        <f aca="false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?REFERENTIAL</v>
      </c>
      <c r="H947" s="23" t="str">
        <f aca="false">IF(J947&lt;&gt;1,"",IF(I947="SBJ","CB","?"))</f>
        <v/>
      </c>
      <c r="I947" s="24" t="str">
        <f aca="false">IF(OR(E947="",E947="!!!",F947="NEW"),"",INDEX(B$2:B946,-1+SUMPRODUCT(MAX(ROW(E$2:E946)*(E947=E$2:E946)))))</f>
        <v/>
      </c>
      <c r="J947" s="24" t="str">
        <f aca="true">IF(OR(E947="",E947="!!!",F947="NEW"),"",COUNTBLANK(OFFSET(A$1,,,SUMPRODUCT(MAX(ROW(E$2:E947)*(E947=E$2:E947)))))-COUNTBLANK(OFFSET(A$1,,,SUMPRODUCT(MAX(ROW(E$1:E946)*(E2=E$1:E946))))))</f>
        <v/>
      </c>
      <c r="K947" s="24" t="str">
        <f aca="false">IF(OR(E947="",E947="!!!",F947="NEW"),"",INDEX(J$1:J946,SUMPRODUCT(MAX(ROW(E$1:E946)*(E947=E$1:E946)))))</f>
        <v/>
      </c>
      <c r="L947" s="25"/>
    </row>
    <row r="948" customFormat="false" ht="14.25" hidden="false" customHeight="false" outlineLevel="0" collapsed="false">
      <c r="A948" s="0" t="s">
        <v>650</v>
      </c>
      <c r="E948" s="20" t="str">
        <f aca="false">IF(D948="?OLD","!!!","")</f>
        <v/>
      </c>
      <c r="F948" s="21" t="str">
        <f aca="false">IF(OR(E948="",E948="!!!"),"",IF(NOT(ISNA(VLOOKUP(E948,E$1:E947,1,FALSE()))),"OLD",IF(AND(E948&lt;&gt;"",E948&lt;&gt;"!!!"),"NEW","")))</f>
        <v/>
      </c>
      <c r="G948" s="22" t="str">
        <f aca="false"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aca="false">IF(J948&lt;&gt;1,"",IF(I948="SBJ","CB","?"))</f>
        <v/>
      </c>
      <c r="I948" s="24" t="str">
        <f aca="false">IF(OR(E948="",E948="!!!",F948="NEW"),"",INDEX(B$2:B947,-1+SUMPRODUCT(MAX(ROW(E$2:E947)*(E948=E$2:E947)))))</f>
        <v/>
      </c>
      <c r="J948" s="24" t="str">
        <f aca="true">IF(OR(E948="",E948="!!!",F948="NEW"),"",COUNTBLANK(OFFSET(A$1,,,SUMPRODUCT(MAX(ROW(E$2:E948)*(E948=E$2:E948)))))-COUNTBLANK(OFFSET(A$1,,,SUMPRODUCT(MAX(ROW(E$1:E947)*(E2=E$1:E947))))))</f>
        <v/>
      </c>
      <c r="K948" s="24" t="str">
        <f aca="false">IF(OR(E948="",E948="!!!",F948="NEW"),"",INDEX(J$1:J947,SUMPRODUCT(MAX(ROW(E$1:E947)*(E948=E$1:E947)))))</f>
        <v/>
      </c>
      <c r="L948" s="25"/>
    </row>
    <row r="949" customFormat="false" ht="14.25" hidden="false" customHeight="false" outlineLevel="0" collapsed="false">
      <c r="A949" s="0" t="s">
        <v>696</v>
      </c>
      <c r="E949" s="20" t="str">
        <f aca="false">IF(D949="?OLD","!!!","")</f>
        <v/>
      </c>
      <c r="F949" s="21" t="str">
        <f aca="false">IF(OR(E949="",E949="!!!"),"",IF(NOT(ISNA(VLOOKUP(E949,E$1:E948,1,FALSE()))),"OLD",IF(AND(E949&lt;&gt;"",E949&lt;&gt;"!!!"),"NEW","")))</f>
        <v/>
      </c>
      <c r="G949" s="22" t="str">
        <f aca="false"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aca="false">IF(J949&lt;&gt;1,"",IF(I949="SBJ","CB","?"))</f>
        <v/>
      </c>
      <c r="I949" s="24" t="str">
        <f aca="false">IF(OR(E949="",E949="!!!",F949="NEW"),"",INDEX(B$2:B948,-1+SUMPRODUCT(MAX(ROW(E$2:E948)*(E949=E$2:E948)))))</f>
        <v/>
      </c>
      <c r="J949" s="24" t="str">
        <f aca="true">IF(OR(E949="",E949="!!!",F949="NEW"),"",COUNTBLANK(OFFSET(A$1,,,SUMPRODUCT(MAX(ROW(E$2:E949)*(E949=E$2:E949)))))-COUNTBLANK(OFFSET(A$1,,,SUMPRODUCT(MAX(ROW(E$1:E948)*(E2=E$1:E948))))))</f>
        <v/>
      </c>
      <c r="K949" s="24" t="str">
        <f aca="false">IF(OR(E949="",E949="!!!",F949="NEW"),"",INDEX(J$1:J948,SUMPRODUCT(MAX(ROW(E$1:E948)*(E949=E$1:E948)))))</f>
        <v/>
      </c>
      <c r="L949" s="25"/>
    </row>
    <row r="950" customFormat="false" ht="14.25" hidden="false" customHeight="false" outlineLevel="0" collapsed="false">
      <c r="A950" s="0" t="s">
        <v>697</v>
      </c>
      <c r="B950" s="26" t="s">
        <v>115</v>
      </c>
      <c r="C950" s="26" t="s">
        <v>105</v>
      </c>
      <c r="E950" s="20" t="str">
        <f aca="false">IF(D950="?OLD","!!!","")</f>
        <v/>
      </c>
      <c r="F950" s="21" t="str">
        <f aca="false">IF(OR(E950="",E950="!!!"),"",IF(NOT(ISNA(VLOOKUP(E950,E$1:E949,1,FALSE()))),"OLD",IF(AND(E950&lt;&gt;"",E950&lt;&gt;"!!!"),"NEW","")))</f>
        <v/>
      </c>
      <c r="G950" s="22" t="str">
        <f aca="false"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aca="false">IF(J950&lt;&gt;1,"",IF(I950="SBJ","CB","?"))</f>
        <v/>
      </c>
      <c r="I950" s="24" t="str">
        <f aca="false">IF(OR(E950="",E950="!!!",F950="NEW"),"",INDEX(B$2:B949,-1+SUMPRODUCT(MAX(ROW(E$2:E949)*(E950=E$2:E949)))))</f>
        <v/>
      </c>
      <c r="J950" s="24" t="str">
        <f aca="true">IF(OR(E950="",E950="!!!",F950="NEW"),"",COUNTBLANK(OFFSET(A$1,,,SUMPRODUCT(MAX(ROW(E$2:E950)*(E950=E$2:E950)))))-COUNTBLANK(OFFSET(A$1,,,SUMPRODUCT(MAX(ROW(E$1:E949)*(E2=E$1:E949))))))</f>
        <v/>
      </c>
      <c r="K950" s="24" t="str">
        <f aca="false">IF(OR(E950="",E950="!!!",F950="NEW"),"",INDEX(J$1:J949,SUMPRODUCT(MAX(ROW(E$1:E949)*(E950=E$1:E949)))))</f>
        <v/>
      </c>
      <c r="L950" s="25"/>
    </row>
    <row r="951" customFormat="false" ht="14.25" hidden="false" customHeight="false" outlineLevel="0" collapsed="false">
      <c r="A951" s="0" t="s">
        <v>142</v>
      </c>
      <c r="E951" s="20" t="str">
        <f aca="false">IF(D951="?OLD","!!!","")</f>
        <v/>
      </c>
      <c r="F951" s="21" t="str">
        <f aca="false">IF(OR(E951="",E951="!!!"),"",IF(NOT(ISNA(VLOOKUP(E951,E$1:E950,1,FALSE()))),"OLD",IF(AND(E951&lt;&gt;"",E951&lt;&gt;"!!!"),"NEW","")))</f>
        <v/>
      </c>
      <c r="G951" s="22" t="str">
        <f aca="false"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aca="false">IF(J951&lt;&gt;1,"",IF(I951="SBJ","CB","?"))</f>
        <v/>
      </c>
      <c r="I951" s="24" t="str">
        <f aca="false">IF(OR(E951="",E951="!!!",F951="NEW"),"",INDEX(B$2:B950,-1+SUMPRODUCT(MAX(ROW(E$2:E950)*(E951=E$2:E950)))))</f>
        <v/>
      </c>
      <c r="J951" s="24" t="str">
        <f aca="true">IF(OR(E951="",E951="!!!",F951="NEW"),"",COUNTBLANK(OFFSET(A$1,,,SUMPRODUCT(MAX(ROW(E$2:E951)*(E951=E$2:E951)))))-COUNTBLANK(OFFSET(A$1,,,SUMPRODUCT(MAX(ROW(E$1:E950)*(E2=E$1:E950))))))</f>
        <v/>
      </c>
      <c r="K951" s="24" t="str">
        <f aca="false">IF(OR(E951="",E951="!!!",F951="NEW"),"",INDEX(J$1:J950,SUMPRODUCT(MAX(ROW(E$1:E950)*(E951=E$1:E950)))))</f>
        <v/>
      </c>
      <c r="L951" s="25"/>
    </row>
    <row r="952" customFormat="false" ht="14.25" hidden="false" customHeight="false" outlineLevel="0" collapsed="false">
      <c r="A952" s="0" t="s">
        <v>698</v>
      </c>
      <c r="B952" s="26" t="s">
        <v>307</v>
      </c>
      <c r="C952" s="26" t="s">
        <v>105</v>
      </c>
      <c r="E952" s="20" t="str">
        <f aca="false">IF(D952="?OLD","!!!","")</f>
        <v/>
      </c>
      <c r="F952" s="21" t="str">
        <f aca="false">IF(OR(E952="",E952="!!!"),"",IF(NOT(ISNA(VLOOKUP(E952,E$1:E951,1,FALSE()))),"OLD",IF(AND(E952&lt;&gt;"",E952&lt;&gt;"!!!"),"NEW","")))</f>
        <v/>
      </c>
      <c r="G952" s="22" t="str">
        <f aca="false"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aca="false">IF(J952&lt;&gt;1,"",IF(I952="SBJ","CB","?"))</f>
        <v/>
      </c>
      <c r="I952" s="24" t="str">
        <f aca="false">IF(OR(E952="",E952="!!!",F952="NEW"),"",INDEX(B$2:B951,-1+SUMPRODUCT(MAX(ROW(E$2:E951)*(E952=E$2:E951)))))</f>
        <v/>
      </c>
      <c r="J952" s="24" t="str">
        <f aca="true">IF(OR(E952="",E952="!!!",F952="NEW"),"",COUNTBLANK(OFFSET(A$1,,,SUMPRODUCT(MAX(ROW(E$2:E952)*(E952=E$2:E952)))))-COUNTBLANK(OFFSET(A$1,,,SUMPRODUCT(MAX(ROW(E$1:E951)*(E2=E$1:E951))))))</f>
        <v/>
      </c>
      <c r="K952" s="24" t="str">
        <f aca="false">IF(OR(E952="",E952="!!!",F952="NEW"),"",INDEX(J$1:J951,SUMPRODUCT(MAX(ROW(E$1:E951)*(E952=E$1:E951)))))</f>
        <v/>
      </c>
      <c r="L952" s="25"/>
    </row>
    <row r="953" customFormat="false" ht="14.25" hidden="false" customHeight="false" outlineLevel="0" collapsed="false">
      <c r="A953" s="0" t="s">
        <v>86</v>
      </c>
      <c r="E953" s="20" t="str">
        <f aca="false">IF(D953="?OLD","!!!","")</f>
        <v/>
      </c>
      <c r="F953" s="21" t="str">
        <f aca="false">IF(OR(E953="",E953="!!!"),"",IF(NOT(ISNA(VLOOKUP(E953,E$1:E952,1,FALSE()))),"OLD",IF(AND(E953&lt;&gt;"",E953&lt;&gt;"!!!"),"NEW","")))</f>
        <v/>
      </c>
      <c r="G953" s="22" t="str">
        <f aca="false"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3" t="str">
        <f aca="false">IF(J953&lt;&gt;1,"",IF(I953="SBJ","CB","?"))</f>
        <v/>
      </c>
      <c r="I953" s="24" t="str">
        <f aca="false">IF(OR(E953="",E953="!!!",F953="NEW"),"",INDEX(B$2:B952,-1+SUMPRODUCT(MAX(ROW(E$2:E952)*(E953=E$2:E952)))))</f>
        <v/>
      </c>
      <c r="J953" s="24" t="str">
        <f aca="true">IF(OR(E953="",E953="!!!",F953="NEW"),"",COUNTBLANK(OFFSET(A$1,,,SUMPRODUCT(MAX(ROW(E$2:E953)*(E953=E$2:E953)))))-COUNTBLANK(OFFSET(A$1,,,SUMPRODUCT(MAX(ROW(E$1:E952)*(E2=E$1:E952))))))</f>
        <v/>
      </c>
      <c r="K953" s="24" t="str">
        <f aca="false">IF(OR(E953="",E953="!!!",F953="NEW"),"",INDEX(J$1:J952,SUMPRODUCT(MAX(ROW(E$1:E952)*(E953=E$1:E952)))))</f>
        <v/>
      </c>
      <c r="L953" s="25"/>
    </row>
    <row r="955" customFormat="false" ht="14.25" hidden="false" customHeight="false" outlineLevel="0" collapsed="false">
      <c r="A955" s="0" t="s">
        <v>699</v>
      </c>
    </row>
    <row r="956" customFormat="false" ht="14.25" hidden="false" customHeight="false" outlineLevel="0" collapsed="false">
      <c r="A956" s="0" t="s">
        <v>672</v>
      </c>
      <c r="E956" s="20" t="str">
        <f aca="false">IF(D956="?OLD","!!!","")</f>
        <v/>
      </c>
      <c r="F956" s="21" t="str">
        <f aca="false">IF(OR(E956="",E956="!!!"),"",IF(NOT(ISNA(VLOOKUP(E956,E$1:E955,1,FALSE()))),"OLD",IF(AND(E956&lt;&gt;"",E956&lt;&gt;"!!!"),"NEW","")))</f>
        <v/>
      </c>
      <c r="G956" s="22" t="str">
        <f aca="false"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aca="false">IF(J956&lt;&gt;1,"",IF(I956="SBJ","CB","?"))</f>
        <v/>
      </c>
      <c r="I956" s="24" t="str">
        <f aca="false">IF(OR(E956="",E956="!!!",F956="NEW"),"",INDEX(B$2:B955,-1+SUMPRODUCT(MAX(ROW(E$2:E955)*(E956=E$2:E955)))))</f>
        <v/>
      </c>
      <c r="J956" s="24" t="str">
        <f aca="true">IF(OR(E956="",E956="!!!",F956="NEW"),"",COUNTBLANK(OFFSET(A$1,,,SUMPRODUCT(MAX(ROW(E$2:E956)*(E956=E$2:E956)))))-COUNTBLANK(OFFSET(A$1,,,SUMPRODUCT(MAX(ROW(E$1:E955)*(E2=E$1:E955))))))</f>
        <v/>
      </c>
      <c r="K956" s="24" t="str">
        <f aca="false">IF(OR(E956="",E956="!!!",F956="NEW"),"",INDEX(J$1:J955,SUMPRODUCT(MAX(ROW(E$1:E955)*(E956=E$1:E955)))))</f>
        <v/>
      </c>
      <c r="L956" s="25"/>
    </row>
    <row r="957" customFormat="false" ht="14.25" hidden="false" customHeight="false" outlineLevel="0" collapsed="false">
      <c r="A957" s="0" t="s">
        <v>700</v>
      </c>
      <c r="E957" s="20" t="str">
        <f aca="false">IF(D957="?OLD","!!!","")</f>
        <v/>
      </c>
      <c r="F957" s="21" t="str">
        <f aca="false">IF(OR(E957="",E957="!!!"),"",IF(NOT(ISNA(VLOOKUP(E957,E$1:E956,1,FALSE()))),"OLD",IF(AND(E957&lt;&gt;"",E957&lt;&gt;"!!!"),"NEW","")))</f>
        <v/>
      </c>
      <c r="G957" s="22" t="str">
        <f aca="false"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aca="false">IF(J957&lt;&gt;1,"",IF(I957="SBJ","CB","?"))</f>
        <v/>
      </c>
      <c r="I957" s="24" t="str">
        <f aca="false">IF(OR(E957="",E957="!!!",F957="NEW"),"",INDEX(B$2:B956,-1+SUMPRODUCT(MAX(ROW(E$2:E956)*(E957=E$2:E956)))))</f>
        <v/>
      </c>
      <c r="J957" s="24" t="str">
        <f aca="true">IF(OR(E957="",E957="!!!",F957="NEW"),"",COUNTBLANK(OFFSET(A$1,,,SUMPRODUCT(MAX(ROW(E$2:E957)*(E957=E$2:E957)))))-COUNTBLANK(OFFSET(A$1,,,SUMPRODUCT(MAX(ROW(E$1:E956)*(E2=E$1:E956))))))</f>
        <v/>
      </c>
      <c r="K957" s="24" t="str">
        <f aca="false">IF(OR(E957="",E957="!!!",F957="NEW"),"",INDEX(J$1:J956,SUMPRODUCT(MAX(ROW(E$1:E956)*(E957=E$1:E956)))))</f>
        <v/>
      </c>
      <c r="L957" s="25"/>
    </row>
    <row r="958" customFormat="false" ht="14.25" hidden="false" customHeight="false" outlineLevel="0" collapsed="false">
      <c r="A958" s="0" t="s">
        <v>701</v>
      </c>
      <c r="E958" s="20" t="str">
        <f aca="false">IF(D958="?OLD","!!!","")</f>
        <v/>
      </c>
      <c r="F958" s="21" t="str">
        <f aca="false">IF(OR(E958="",E958="!!!"),"",IF(NOT(ISNA(VLOOKUP(E958,E$1:E957,1,FALSE()))),"OLD",IF(AND(E958&lt;&gt;"",E958&lt;&gt;"!!!"),"NEW","")))</f>
        <v/>
      </c>
      <c r="G958" s="22" t="str">
        <f aca="false"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aca="false">IF(J958&lt;&gt;1,"",IF(I958="SBJ","CB","?"))</f>
        <v/>
      </c>
      <c r="I958" s="24" t="str">
        <f aca="false">IF(OR(E958="",E958="!!!",F958="NEW"),"",INDEX(B$2:B957,-1+SUMPRODUCT(MAX(ROW(E$2:E957)*(E958=E$2:E957)))))</f>
        <v/>
      </c>
      <c r="J958" s="24" t="str">
        <f aca="true">IF(OR(E958="",E958="!!!",F958="NEW"),"",COUNTBLANK(OFFSET(A$1,,,SUMPRODUCT(MAX(ROW(E$2:E958)*(E958=E$2:E958)))))-COUNTBLANK(OFFSET(A$1,,,SUMPRODUCT(MAX(ROW(E$1:E957)*(E2=E$1:E957))))))</f>
        <v/>
      </c>
      <c r="K958" s="24" t="str">
        <f aca="false">IF(OR(E958="",E958="!!!",F958="NEW"),"",INDEX(J$1:J957,SUMPRODUCT(MAX(ROW(E$1:E957)*(E958=E$1:E957)))))</f>
        <v/>
      </c>
      <c r="L958" s="25"/>
    </row>
    <row r="959" customFormat="false" ht="14.25" hidden="false" customHeight="false" outlineLevel="0" collapsed="false">
      <c r="A959" s="0" t="s">
        <v>674</v>
      </c>
      <c r="B959" s="26" t="s">
        <v>131</v>
      </c>
      <c r="C959" s="26" t="s">
        <v>119</v>
      </c>
      <c r="E959" s="20" t="str">
        <f aca="false">IF(D959="?OLD","!!!","")</f>
        <v/>
      </c>
      <c r="F959" s="21" t="str">
        <f aca="false">IF(OR(E959="",E959="!!!"),"",IF(NOT(ISNA(VLOOKUP(E959,E$1:E958,1,FALSE()))),"OLD",IF(AND(E959&lt;&gt;"",E959&lt;&gt;"!!!"),"NEW","")))</f>
        <v/>
      </c>
      <c r="G959" s="22" t="str">
        <f aca="false"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3" t="str">
        <f aca="false">IF(J959&lt;&gt;1,"",IF(I959="SBJ","CB","?"))</f>
        <v/>
      </c>
      <c r="I959" s="24" t="str">
        <f aca="false">IF(OR(E959="",E959="!!!",F959="NEW"),"",INDEX(B$2:B958,-1+SUMPRODUCT(MAX(ROW(E$2:E958)*(E959=E$2:E958)))))</f>
        <v/>
      </c>
      <c r="J959" s="24" t="str">
        <f aca="true">IF(OR(E959="",E959="!!!",F959="NEW"),"",COUNTBLANK(OFFSET(A$1,,,SUMPRODUCT(MAX(ROW(E$2:E959)*(E959=E$2:E959)))))-COUNTBLANK(OFFSET(A$1,,,SUMPRODUCT(MAX(ROW(E$1:E958)*(E2=E$1:E958))))))</f>
        <v/>
      </c>
      <c r="K959" s="24" t="str">
        <f aca="false">IF(OR(E959="",E959="!!!",F959="NEW"),"",INDEX(J$1:J958,SUMPRODUCT(MAX(ROW(E$1:E958)*(E959=E$1:E958)))))</f>
        <v/>
      </c>
      <c r="L959" s="25"/>
    </row>
    <row r="960" customFormat="false" ht="14.25" hidden="false" customHeight="false" outlineLevel="0" collapsed="false">
      <c r="A960" s="0" t="s">
        <v>35</v>
      </c>
      <c r="E960" s="20"/>
      <c r="F960" s="21" t="str">
        <f aca="false">IF(OR(E960="",E960="!!!"),"",IF(NOT(ISNA(VLOOKUP(E960,E$1:E959,1,FALSE()))),"OLD",IF(AND(E960&lt;&gt;"",E960&lt;&gt;"!!!"),"NEW","")))</f>
        <v/>
      </c>
      <c r="G960" s="22" t="str">
        <f aca="false"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3" t="str">
        <f aca="false">IF(J960&lt;&gt;1,"",IF(I960="SBJ","CB","?"))</f>
        <v/>
      </c>
      <c r="I960" s="24" t="str">
        <f aca="false">IF(OR(E960="",E960="!!!",F960="NEW"),"",INDEX(B$2:B959,-1+SUMPRODUCT(MAX(ROW(E$2:E959)*(E960=E$2:E959)))))</f>
        <v/>
      </c>
      <c r="J960" s="24" t="str">
        <f aca="true">IF(OR(E960="",E960="!!!",F960="NEW"),"",COUNTBLANK(OFFSET(A$1,,,SUMPRODUCT(MAX(ROW(E$2:E960)*(E960=E$2:E960)))))-COUNTBLANK(OFFSET(A$1,,,SUMPRODUCT(MAX(ROW(E$1:E959)*(E2=E$1:E959))))))</f>
        <v/>
      </c>
      <c r="K960" s="24" t="str">
        <f aca="false">IF(OR(E960="",E960="!!!",F960="NEW"),"",INDEX(J$1:J959,SUMPRODUCT(MAX(ROW(E$1:E959)*(E960=E$1:E959)))))</f>
        <v/>
      </c>
      <c r="L960" s="25"/>
    </row>
    <row r="961" customFormat="false" ht="14.25" hidden="false" customHeight="false" outlineLevel="0" collapsed="false">
      <c r="A961" s="0" t="s">
        <v>254</v>
      </c>
      <c r="B961" s="26" t="s">
        <v>73</v>
      </c>
      <c r="C961" s="26" t="s">
        <v>209</v>
      </c>
      <c r="D961" s="26" t="s">
        <v>75</v>
      </c>
      <c r="E961" s="20" t="s">
        <v>695</v>
      </c>
      <c r="F961" s="21" t="str">
        <f aca="false">IF(OR(E961="",E961="!!!"),"",IF(NOT(ISNA(VLOOKUP(E961,E$1:E960,1,FALSE()))),"OLD",IF(AND(E961&lt;&gt;"",E961&lt;&gt;"!!!"),"NEW","")))</f>
        <v>OLD</v>
      </c>
      <c r="G961" s="22" t="str">
        <f aca="false"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?IN_FOCUS</v>
      </c>
      <c r="H961" s="23" t="str">
        <f aca="false">IF(J961&lt;&gt;1,"",IF(I961="SBJ","CB","?"))</f>
        <v/>
      </c>
      <c r="I961" s="24" t="str">
        <f aca="false">IF(OR(E961="",E961="!!!",F961="NEW"),"",INDEX(B$2:B960,-1+SUMPRODUCT(MAX(ROW(E$2:E960)*(E961=E$2:E960)))))</f>
        <v>other_4</v>
      </c>
      <c r="J961" s="24" t="n">
        <f aca="true">IF(OR(E961="",E961="!!!",F961="NEW"),"",COUNTBLANK(OFFSET(A$1,,,SUMPRODUCT(MAX(ROW(E$2:E961)*(E961=E$2:E961)))))-COUNTBLANK(OFFSET(A$1,,,SUMPRODUCT(MAX(ROW(E$1:E960)*(E2=E$1:E960))))))</f>
        <v>0</v>
      </c>
      <c r="K961" s="24" t="str">
        <f aca="false">IF(OR(E961="",E961="!!!",F961="NEW"),"",INDEX(J$1:J960,SUMPRODUCT(MAX(ROW(E$1:E960)*(E961=E$1:E960)))))</f>
        <v/>
      </c>
      <c r="L961" s="25"/>
    </row>
    <row r="962" customFormat="false" ht="14.25" hidden="false" customHeight="false" outlineLevel="0" collapsed="false">
      <c r="A962" s="0" t="s">
        <v>136</v>
      </c>
      <c r="E962" s="20" t="str">
        <f aca="false">IF(D962="?OLD","!!!","")</f>
        <v/>
      </c>
      <c r="F962" s="21" t="str">
        <f aca="false">IF(OR(E962="",E962="!!!"),"",IF(NOT(ISNA(VLOOKUP(E962,E$1:E961,1,FALSE()))),"OLD",IF(AND(E962&lt;&gt;"",E962&lt;&gt;"!!!"),"NEW","")))</f>
        <v/>
      </c>
      <c r="G962" s="22" t="str">
        <f aca="false"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aca="false">IF(J962&lt;&gt;1,"",IF(I962="SBJ","CB","?"))</f>
        <v/>
      </c>
      <c r="I962" s="24" t="str">
        <f aca="false">IF(OR(E962="",E962="!!!",F962="NEW"),"",INDEX(B$2:B961,-1+SUMPRODUCT(MAX(ROW(E$2:E961)*(E962=E$2:E961)))))</f>
        <v/>
      </c>
      <c r="J962" s="24" t="str">
        <f aca="true">IF(OR(E962="",E962="!!!",F962="NEW"),"",COUNTBLANK(OFFSET(A$1,,,SUMPRODUCT(MAX(ROW(E$2:E962)*(E962=E$2:E962)))))-COUNTBLANK(OFFSET(A$1,,,SUMPRODUCT(MAX(ROW(E$1:E961)*(E2=E$1:E961))))))</f>
        <v/>
      </c>
      <c r="K962" s="24" t="str">
        <f aca="false">IF(OR(E962="",E962="!!!",F962="NEW"),"",INDEX(J$1:J961,SUMPRODUCT(MAX(ROW(E$1:E961)*(E962=E$1:E961)))))</f>
        <v/>
      </c>
      <c r="L962" s="25"/>
    </row>
    <row r="963" customFormat="false" ht="14.25" hidden="false" customHeight="false" outlineLevel="0" collapsed="false">
      <c r="A963" s="0" t="s">
        <v>686</v>
      </c>
      <c r="B963" s="26" t="s">
        <v>91</v>
      </c>
      <c r="C963" s="26" t="s">
        <v>74</v>
      </c>
      <c r="D963" s="26" t="s">
        <v>75</v>
      </c>
      <c r="E963" s="20" t="s">
        <v>687</v>
      </c>
      <c r="F963" s="21" t="str">
        <f aca="false">IF(OR(E963="",E963="!!!"),"",IF(NOT(ISNA(VLOOKUP(E963,E$1:E962,1,FALSE()))),"OLD",IF(AND(E963&lt;&gt;"",E963&lt;&gt;"!!!"),"NEW","")))</f>
        <v>OLD</v>
      </c>
      <c r="G963" s="22" t="str">
        <f aca="false"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?IN_FOCUS</v>
      </c>
      <c r="H963" s="23" t="str">
        <f aca="false">IF(J963&lt;&gt;1,"",IF(I963="SBJ","CB","?"))</f>
        <v/>
      </c>
      <c r="I963" s="24" t="str">
        <f aca="false">IF(OR(E963="",E963="!!!",F963="NEW"),"",INDEX(B$2:B962,-1+SUMPRODUCT(MAX(ROW(E$2:E962)*(E963=E$2:E962)))))</f>
        <v>other</v>
      </c>
      <c r="J963" s="24" t="n">
        <f aca="true">IF(OR(E963="",E963="!!!",F963="NEW"),"",COUNTBLANK(OFFSET(A$1,,,SUMPRODUCT(MAX(ROW(E$2:E963)*(E963=E$2:E963)))))-COUNTBLANK(OFFSET(A$1,,,SUMPRODUCT(MAX(ROW(E$1:E962)*(E2=E$1:E962))))))</f>
        <v>0</v>
      </c>
      <c r="K963" s="24" t="str">
        <f aca="false">IF(OR(E963="",E963="!!!",F963="NEW"),"",INDEX(J$1:J962,SUMPRODUCT(MAX(ROW(E$1:E962)*(E963=E$1:E962)))))</f>
        <v/>
      </c>
      <c r="L963" s="25"/>
    </row>
    <row r="964" customFormat="false" ht="14.25" hidden="false" customHeight="false" outlineLevel="0" collapsed="false">
      <c r="A964" s="0" t="s">
        <v>125</v>
      </c>
      <c r="E964" s="20" t="str">
        <f aca="false">IF(D964="?OLD","!!!","")</f>
        <v/>
      </c>
      <c r="F964" s="21" t="str">
        <f aca="false">IF(OR(E964="",E964="!!!"),"",IF(NOT(ISNA(VLOOKUP(E964,E$1:E963,1,FALSE()))),"OLD",IF(AND(E964&lt;&gt;"",E964&lt;&gt;"!!!"),"NEW","")))</f>
        <v/>
      </c>
      <c r="G964" s="22" t="str">
        <f aca="false"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aca="false">IF(J964&lt;&gt;1,"",IF(I964="SBJ","CB","?"))</f>
        <v/>
      </c>
      <c r="I964" s="24" t="str">
        <f aca="false">IF(OR(E964="",E964="!!!",F964="NEW"),"",INDEX(B$2:B963,-1+SUMPRODUCT(MAX(ROW(E$2:E963)*(E964=E$2:E963)))))</f>
        <v/>
      </c>
      <c r="J964" s="24" t="str">
        <f aca="true">IF(OR(E964="",E964="!!!",F964="NEW"),"",COUNTBLANK(OFFSET(A$1,,,SUMPRODUCT(MAX(ROW(E$2:E964)*(E964=E$2:E964)))))-COUNTBLANK(OFFSET(A$1,,,SUMPRODUCT(MAX(ROW(E$1:E963)*(E2=E$1:E963))))))</f>
        <v/>
      </c>
      <c r="K964" s="24" t="str">
        <f aca="false">IF(OR(E964="",E964="!!!",F964="NEW"),"",INDEX(J$1:J963,SUMPRODUCT(MAX(ROW(E$1:E963)*(E964=E$1:E963)))))</f>
        <v/>
      </c>
      <c r="L964" s="25"/>
    </row>
    <row r="965" customFormat="false" ht="14.25" hidden="false" customHeight="false" outlineLevel="0" collapsed="false">
      <c r="A965" s="0" t="s">
        <v>702</v>
      </c>
      <c r="E965" s="20" t="str">
        <f aca="false">IF(D965="?OLD","!!!","")</f>
        <v/>
      </c>
      <c r="F965" s="21" t="str">
        <f aca="false">IF(OR(E965="",E965="!!!"),"",IF(NOT(ISNA(VLOOKUP(E965,E$1:E964,1,FALSE()))),"OLD",IF(AND(E965&lt;&gt;"",E965&lt;&gt;"!!!"),"NEW","")))</f>
        <v/>
      </c>
      <c r="G965" s="22" t="str">
        <f aca="false"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aca="false">IF(J965&lt;&gt;1,"",IF(I965="SBJ","CB","?"))</f>
        <v/>
      </c>
      <c r="I965" s="24" t="str">
        <f aca="false">IF(OR(E965="",E965="!!!",F965="NEW"),"",INDEX(B$2:B964,-1+SUMPRODUCT(MAX(ROW(E$2:E964)*(E965=E$2:E964)))))</f>
        <v/>
      </c>
      <c r="J965" s="24" t="str">
        <f aca="true">IF(OR(E965="",E965="!!!",F965="NEW"),"",COUNTBLANK(OFFSET(A$1,,,SUMPRODUCT(MAX(ROW(E$2:E965)*(E965=E$2:E965)))))-COUNTBLANK(OFFSET(A$1,,,SUMPRODUCT(MAX(ROW(E$1:E964)*(E2=E$1:E964))))))</f>
        <v/>
      </c>
      <c r="K965" s="24" t="str">
        <f aca="false">IF(OR(E965="",E965="!!!",F965="NEW"),"",INDEX(J$1:J964,SUMPRODUCT(MAX(ROW(E$1:E964)*(E965=E$1:E964)))))</f>
        <v/>
      </c>
      <c r="L965" s="25"/>
    </row>
    <row r="966" customFormat="false" ht="14.25" hidden="false" customHeight="false" outlineLevel="0" collapsed="false">
      <c r="A966" s="0" t="s">
        <v>703</v>
      </c>
      <c r="E966" s="20" t="str">
        <f aca="false">IF(D966="?OLD","!!!","")</f>
        <v/>
      </c>
      <c r="F966" s="21" t="str">
        <f aca="false">IF(OR(E966="",E966="!!!"),"",IF(NOT(ISNA(VLOOKUP(E966,E$1:E965,1,FALSE()))),"OLD",IF(AND(E966&lt;&gt;"",E966&lt;&gt;"!!!"),"NEW","")))</f>
        <v/>
      </c>
      <c r="G966" s="22" t="str">
        <f aca="false"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aca="false">IF(J966&lt;&gt;1,"",IF(I966="SBJ","CB","?"))</f>
        <v/>
      </c>
      <c r="I966" s="24" t="str">
        <f aca="false">IF(OR(E966="",E966="!!!",F966="NEW"),"",INDEX(B$2:B965,-1+SUMPRODUCT(MAX(ROW(E$2:E965)*(E966=E$2:E965)))))</f>
        <v/>
      </c>
      <c r="J966" s="24" t="str">
        <f aca="true">IF(OR(E966="",E966="!!!",F966="NEW"),"",COUNTBLANK(OFFSET(A$1,,,SUMPRODUCT(MAX(ROW(E$2:E966)*(E966=E$2:E966)))))-COUNTBLANK(OFFSET(A$1,,,SUMPRODUCT(MAX(ROW(E$1:E965)*(E2=E$1:E965))))))</f>
        <v/>
      </c>
      <c r="K966" s="24" t="str">
        <f aca="false">IF(OR(E966="",E966="!!!",F966="NEW"),"",INDEX(J$1:J965,SUMPRODUCT(MAX(ROW(E$1:E965)*(E966=E$1:E965)))))</f>
        <v/>
      </c>
      <c r="L966" s="25"/>
    </row>
    <row r="967" customFormat="false" ht="14.25" hidden="false" customHeight="false" outlineLevel="0" collapsed="false">
      <c r="A967" s="0" t="s">
        <v>704</v>
      </c>
      <c r="B967" s="26" t="s">
        <v>131</v>
      </c>
      <c r="C967" s="26" t="s">
        <v>119</v>
      </c>
      <c r="E967" s="20" t="str">
        <f aca="false">IF(D967="?OLD","!!!","")</f>
        <v/>
      </c>
      <c r="F967" s="21" t="str">
        <f aca="false">IF(OR(E967="",E967="!!!"),"",IF(NOT(ISNA(VLOOKUP(E967,E$1:E966,1,FALSE()))),"OLD",IF(AND(E967&lt;&gt;"",E967&lt;&gt;"!!!"),"NEW","")))</f>
        <v/>
      </c>
      <c r="G967" s="22" t="str">
        <f aca="false"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aca="false">IF(J967&lt;&gt;1,"",IF(I967="SBJ","CB","?"))</f>
        <v/>
      </c>
      <c r="I967" s="24" t="str">
        <f aca="false">IF(OR(E967="",E967="!!!",F967="NEW"),"",INDEX(B$2:B966,-1+SUMPRODUCT(MAX(ROW(E$2:E966)*(E967=E$2:E966)))))</f>
        <v/>
      </c>
      <c r="J967" s="24" t="str">
        <f aca="true">IF(OR(E967="",E967="!!!",F967="NEW"),"",COUNTBLANK(OFFSET(A$1,,,SUMPRODUCT(MAX(ROW(E$2:E967)*(E967=E$2:E967)))))-COUNTBLANK(OFFSET(A$1,,,SUMPRODUCT(MAX(ROW(E$1:E966)*(E2=E$1:E966))))))</f>
        <v/>
      </c>
      <c r="K967" s="24" t="str">
        <f aca="false">IF(OR(E967="",E967="!!!",F967="NEW"),"",INDEX(J$1:J966,SUMPRODUCT(MAX(ROW(E$1:E966)*(E967=E$1:E966)))))</f>
        <v/>
      </c>
      <c r="L967" s="25"/>
    </row>
    <row r="968" customFormat="false" ht="14.25" hidden="false" customHeight="false" outlineLevel="0" collapsed="false">
      <c r="A968" s="0" t="s">
        <v>86</v>
      </c>
      <c r="E968" s="20" t="str">
        <f aca="false">IF(D968="?OLD","!!!","")</f>
        <v/>
      </c>
      <c r="F968" s="21" t="str">
        <f aca="false">IF(OR(E968="",E968="!!!"),"",IF(NOT(ISNA(VLOOKUP(E968,E$1:E967,1,FALSE()))),"OLD",IF(AND(E968&lt;&gt;"",E968&lt;&gt;"!!!"),"NEW","")))</f>
        <v/>
      </c>
      <c r="G968" s="22" t="str">
        <f aca="false"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aca="false">IF(J968&lt;&gt;1,"",IF(I968="SBJ","CB","?"))</f>
        <v/>
      </c>
      <c r="I968" s="24" t="str">
        <f aca="false">IF(OR(E968="",E968="!!!",F968="NEW"),"",INDEX(B$2:B967,-1+SUMPRODUCT(MAX(ROW(E$2:E967)*(E968=E$2:E967)))))</f>
        <v/>
      </c>
      <c r="J968" s="24" t="str">
        <f aca="true">IF(OR(E968="",E968="!!!",F968="NEW"),"",COUNTBLANK(OFFSET(A$1,,,SUMPRODUCT(MAX(ROW(E$2:E968)*(E968=E$2:E968)))))-COUNTBLANK(OFFSET(A$1,,,SUMPRODUCT(MAX(ROW(E$1:E967)*(E2=E$1:E967))))))</f>
        <v/>
      </c>
      <c r="K968" s="24" t="str">
        <f aca="false">IF(OR(E968="",E968="!!!",F968="NEW"),"",INDEX(J$1:J967,SUMPRODUCT(MAX(ROW(E$1:E967)*(E968=E$1:E967)))))</f>
        <v/>
      </c>
      <c r="L968" s="25"/>
    </row>
    <row r="969" customFormat="false" ht="14.25" hidden="false" customHeight="false" outlineLevel="0" collapsed="false">
      <c r="A969" s="0" t="s">
        <v>705</v>
      </c>
      <c r="B969" s="26" t="s">
        <v>131</v>
      </c>
      <c r="C969" s="26" t="s">
        <v>105</v>
      </c>
      <c r="E969" s="20" t="str">
        <f aca="false">IF(D969="?OLD","!!!","")</f>
        <v/>
      </c>
      <c r="F969" s="21" t="str">
        <f aca="false">IF(OR(E969="",E969="!!!"),"",IF(NOT(ISNA(VLOOKUP(E969,E$1:E968,1,FALSE()))),"OLD",IF(AND(E969&lt;&gt;"",E969&lt;&gt;"!!!"),"NEW","")))</f>
        <v/>
      </c>
      <c r="G969" s="22" t="str">
        <f aca="false"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aca="false">IF(J969&lt;&gt;1,"",IF(I969="SBJ","CB","?"))</f>
        <v/>
      </c>
      <c r="I969" s="24" t="str">
        <f aca="false">IF(OR(E969="",E969="!!!",F969="NEW"),"",INDEX(B$2:B968,-1+SUMPRODUCT(MAX(ROW(E$2:E968)*(E969=E$2:E968)))))</f>
        <v/>
      </c>
      <c r="J969" s="24" t="str">
        <f aca="true">IF(OR(E969="",E969="!!!",F969="NEW"),"",COUNTBLANK(OFFSET(A$1,,,SUMPRODUCT(MAX(ROW(E$2:E969)*(E969=E$2:E969)))))-COUNTBLANK(OFFSET(A$1,,,SUMPRODUCT(MAX(ROW(E$1:E968)*(E2=E$1:E968))))))</f>
        <v/>
      </c>
      <c r="K969" s="24" t="str">
        <f aca="false">IF(OR(E969="",E969="!!!",F969="NEW"),"",INDEX(J$1:J968,SUMPRODUCT(MAX(ROW(E$1:E968)*(E969=E$1:E968)))))</f>
        <v/>
      </c>
      <c r="L969" s="25"/>
    </row>
    <row r="970" customFormat="false" ht="14.25" hidden="false" customHeight="false" outlineLevel="0" collapsed="false">
      <c r="A970" s="0" t="s">
        <v>101</v>
      </c>
      <c r="E970" s="20" t="str">
        <f aca="false">IF(D970="?OLD","!!!","")</f>
        <v/>
      </c>
      <c r="F970" s="21" t="str">
        <f aca="false">IF(OR(E970="",E970="!!!"),"",IF(NOT(ISNA(VLOOKUP(E970,E$1:E969,1,FALSE()))),"OLD",IF(AND(E970&lt;&gt;"",E970&lt;&gt;"!!!"),"NEW","")))</f>
        <v/>
      </c>
      <c r="G970" s="22" t="str">
        <f aca="false"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aca="false">IF(J970&lt;&gt;1,"",IF(I970="SBJ","CB","?"))</f>
        <v/>
      </c>
      <c r="I970" s="24" t="str">
        <f aca="false">IF(OR(E970="",E970="!!!",F970="NEW"),"",INDEX(B$2:B969,-1+SUMPRODUCT(MAX(ROW(E$2:E969)*(E970=E$2:E969)))))</f>
        <v/>
      </c>
      <c r="J970" s="24" t="str">
        <f aca="true">IF(OR(E970="",E970="!!!",F970="NEW"),"",COUNTBLANK(OFFSET(A$1,,,SUMPRODUCT(MAX(ROW(E$2:E970)*(E970=E$2:E970)))))-COUNTBLANK(OFFSET(A$1,,,SUMPRODUCT(MAX(ROW(E$1:E969)*(E2=E$1:E969))))))</f>
        <v/>
      </c>
      <c r="K970" s="24" t="str">
        <f aca="false">IF(OR(E970="",E970="!!!",F970="NEW"),"",INDEX(J$1:J969,SUMPRODUCT(MAX(ROW(E$1:E969)*(E970=E$1:E969)))))</f>
        <v/>
      </c>
      <c r="L970" s="25"/>
    </row>
    <row r="971" customFormat="false" ht="14.25" hidden="false" customHeight="false" outlineLevel="0" collapsed="false">
      <c r="A971" s="0" t="s">
        <v>160</v>
      </c>
      <c r="B971" s="26" t="s">
        <v>96</v>
      </c>
      <c r="C971" s="26" t="s">
        <v>151</v>
      </c>
      <c r="D971" s="26" t="s">
        <v>75</v>
      </c>
      <c r="E971" s="20" t="s">
        <v>706</v>
      </c>
      <c r="F971" s="21" t="s">
        <v>211</v>
      </c>
      <c r="G971" s="22" t="e">
        <f aca="false"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#VALUE!</v>
      </c>
      <c r="H971" s="23" t="str">
        <f aca="false">IF(J971&lt;&gt;1,"",IF(I971="SBJ","CB","?"))</f>
        <v/>
      </c>
      <c r="I971" s="24" t="e">
        <f aca="false">IF(OR(E971="",E971="!!!",F971="NEW"),"",INDEX(B$2:B970,-1+SUMPRODUCT(MAX(ROW(E$2:E970)*(E971=E$2:E970)))))</f>
        <v>#VALUE!</v>
      </c>
      <c r="J971" s="24" t="n">
        <f aca="true">IF(OR(E971="",E971="!!!",F971="NEW"),"",COUNTBLANK(OFFSET(A$1,,,SUMPRODUCT(MAX(ROW(E$2:E971)*(E971=E$2:E971)))))-COUNTBLANK(OFFSET(A$1,,,SUMPRODUCT(MAX(ROW(E$1:E970)*(E2=E$1:E970))))))</f>
        <v>0</v>
      </c>
      <c r="K971" s="24" t="e">
        <f aca="false">IF(OR(E971="",E971="!!!",F971="NEW"),"",INDEX(J$1:J970,SUMPRODUCT(MAX(ROW(E$1:E970)*(E971=E$1:E970)))))</f>
        <v>#VALUE!</v>
      </c>
      <c r="L971" s="25"/>
    </row>
    <row r="972" customFormat="false" ht="14.25" hidden="false" customHeight="false" outlineLevel="0" collapsed="false">
      <c r="A972" s="0" t="s">
        <v>78</v>
      </c>
      <c r="E972" s="20" t="str">
        <f aca="false">IF(D972="?OLD","!!!","")</f>
        <v/>
      </c>
      <c r="F972" s="21" t="str">
        <f aca="false">IF(OR(E972="",E972="!!!"),"",IF(NOT(ISNA(VLOOKUP(E972,E$1:E971,1,FALSE()))),"OLD",IF(AND(E972&lt;&gt;"",E972&lt;&gt;"!!!"),"NEW","")))</f>
        <v/>
      </c>
      <c r="G972" s="22" t="str">
        <f aca="false"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aca="false">IF(J972&lt;&gt;1,"",IF(I972="SBJ","CB","?"))</f>
        <v/>
      </c>
      <c r="I972" s="24" t="str">
        <f aca="false">IF(OR(E972="",E972="!!!",F972="NEW"),"",INDEX(B$2:B971,-1+SUMPRODUCT(MAX(ROW(E$2:E971)*(E972=E$2:E971)))))</f>
        <v/>
      </c>
      <c r="J972" s="24" t="str">
        <f aca="true">IF(OR(E972="",E972="!!!",F972="NEW"),"",COUNTBLANK(OFFSET(A$1,,,SUMPRODUCT(MAX(ROW(E$2:E972)*(E972=E$2:E972)))))-COUNTBLANK(OFFSET(A$1,,,SUMPRODUCT(MAX(ROW(E$1:E971)*(E2=E$1:E971))))))</f>
        <v/>
      </c>
      <c r="K972" s="24" t="str">
        <f aca="false">IF(OR(E972="",E972="!!!",F972="NEW"),"",INDEX(J$1:J971,SUMPRODUCT(MAX(ROW(E$1:E971)*(E972=E$1:E971)))))</f>
        <v/>
      </c>
      <c r="L972" s="25"/>
    </row>
    <row r="973" customFormat="false" ht="14.25" hidden="false" customHeight="false" outlineLevel="0" collapsed="false">
      <c r="A973" s="0" t="s">
        <v>694</v>
      </c>
      <c r="E973" s="20" t="str">
        <f aca="false">IF(D973="?OLD","!!!","")</f>
        <v/>
      </c>
      <c r="F973" s="21" t="str">
        <f aca="false">IF(OR(E973="",E973="!!!"),"",IF(NOT(ISNA(VLOOKUP(E973,E$1:E972,1,FALSE()))),"OLD",IF(AND(E973&lt;&gt;"",E973&lt;&gt;"!!!"),"NEW","")))</f>
        <v/>
      </c>
      <c r="G973" s="22" t="str">
        <f aca="false"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aca="false">IF(J973&lt;&gt;1,"",IF(I973="SBJ","CB","?"))</f>
        <v/>
      </c>
      <c r="I973" s="24" t="str">
        <f aca="false">IF(OR(E973="",E973="!!!",F973="NEW"),"",INDEX(B$2:B972,-1+SUMPRODUCT(MAX(ROW(E$2:E972)*(E973=E$2:E972)))))</f>
        <v/>
      </c>
      <c r="J973" s="24" t="str">
        <f aca="true">IF(OR(E973="",E973="!!!",F973="NEW"),"",COUNTBLANK(OFFSET(A$1,,,SUMPRODUCT(MAX(ROW(E$2:E973)*(E973=E$2:E973)))))-COUNTBLANK(OFFSET(A$1,,,SUMPRODUCT(MAX(ROW(E$1:E972)*(E2=E$1:E972))))))</f>
        <v/>
      </c>
      <c r="K973" s="24" t="str">
        <f aca="false">IF(OR(E973="",E973="!!!",F973="NEW"),"",INDEX(J$1:J972,SUMPRODUCT(MAX(ROW(E$1:E972)*(E973=E$1:E972)))))</f>
        <v/>
      </c>
      <c r="L973" s="25"/>
    </row>
    <row r="974" customFormat="false" ht="14.25" hidden="false" customHeight="false" outlineLevel="0" collapsed="false">
      <c r="A974" s="0" t="s">
        <v>707</v>
      </c>
      <c r="B974" s="26" t="s">
        <v>131</v>
      </c>
      <c r="C974" s="26" t="s">
        <v>341</v>
      </c>
      <c r="E974" s="20"/>
      <c r="F974" s="21"/>
      <c r="G974" s="22" t="str">
        <f aca="false"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3" t="str">
        <f aca="false">IF(J974&lt;&gt;1,"",IF(I974="SBJ","CB","?"))</f>
        <v/>
      </c>
      <c r="I974" s="24" t="str">
        <f aca="false">IF(OR(E974="",E974="!!!",F974="NEW"),"",INDEX(B$2:B973,-1+SUMPRODUCT(MAX(ROW(E$2:E973)*(E974=E$2:E973)))))</f>
        <v/>
      </c>
      <c r="J974" s="24" t="str">
        <f aca="true">IF(OR(E974="",E974="!!!",F974="NEW"),"",COUNTBLANK(OFFSET(A$1,,,SUMPRODUCT(MAX(ROW(E$2:E974)*(E974=E$2:E974)))))-COUNTBLANK(OFFSET(A$1,,,SUMPRODUCT(MAX(ROW(E$1:E973)*(E2=E$1:E973))))))</f>
        <v/>
      </c>
      <c r="K974" s="24" t="str">
        <f aca="false">IF(OR(E974="",E974="!!!",F974="NEW"),"",INDEX(J$1:J973,SUMPRODUCT(MAX(ROW(E$1:E973)*(E974=E$1:E973)))))</f>
        <v/>
      </c>
      <c r="L974" s="25"/>
    </row>
    <row r="975" customFormat="false" ht="14.25" hidden="false" customHeight="false" outlineLevel="0" collapsed="false">
      <c r="A975" s="0" t="s">
        <v>101</v>
      </c>
      <c r="E975" s="20" t="str">
        <f aca="false">IF(D975="?OLD","!!!","")</f>
        <v/>
      </c>
      <c r="F975" s="21" t="str">
        <f aca="false">IF(OR(E975="",E975="!!!"),"",IF(NOT(ISNA(VLOOKUP(E975,E$1:E974,1,FALSE()))),"OLD",IF(AND(E975&lt;&gt;"",E975&lt;&gt;"!!!"),"NEW","")))</f>
        <v/>
      </c>
      <c r="G975" s="22" t="str">
        <f aca="false"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aca="false">IF(J975&lt;&gt;1,"",IF(I975="SBJ","CB","?"))</f>
        <v/>
      </c>
      <c r="I975" s="24" t="str">
        <f aca="false">IF(OR(E975="",E975="!!!",F975="NEW"),"",INDEX(B$2:B974,-1+SUMPRODUCT(MAX(ROW(E$2:E974)*(E975=E$2:E974)))))</f>
        <v/>
      </c>
      <c r="J975" s="24" t="str">
        <f aca="true">IF(OR(E975="",E975="!!!",F975="NEW"),"",COUNTBLANK(OFFSET(A$1,,,SUMPRODUCT(MAX(ROW(E$2:E975)*(E975=E$2:E975)))))-COUNTBLANK(OFFSET(A$1,,,SUMPRODUCT(MAX(ROW(E$1:E974)*(E2=E$1:E974))))))</f>
        <v/>
      </c>
      <c r="K975" s="24" t="str">
        <f aca="false">IF(OR(E975="",E975="!!!",F975="NEW"),"",INDEX(J$1:J974,SUMPRODUCT(MAX(ROW(E$1:E974)*(E975=E$1:E974)))))</f>
        <v/>
      </c>
      <c r="L975" s="25"/>
    </row>
    <row r="976" customFormat="false" ht="14.25" hidden="false" customHeight="false" outlineLevel="0" collapsed="false">
      <c r="A976" s="0" t="s">
        <v>675</v>
      </c>
      <c r="B976" s="26" t="s">
        <v>147</v>
      </c>
      <c r="C976" s="26" t="s">
        <v>209</v>
      </c>
      <c r="D976" s="26" t="s">
        <v>75</v>
      </c>
      <c r="E976" s="20"/>
      <c r="F976" s="21" t="str">
        <f aca="false">IF(OR(E976="",E976="!!!"),"",IF(NOT(ISNA(VLOOKUP(E976,E$1:E975,1,FALSE()))),"OLD",IF(AND(E976&lt;&gt;"",E976&lt;&gt;"!!!"),"NEW","")))</f>
        <v/>
      </c>
      <c r="G976" s="22" t="str">
        <f aca="false"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aca="false">IF(J976&lt;&gt;1,"",IF(I976="SBJ","CB","?"))</f>
        <v/>
      </c>
      <c r="I976" s="24" t="str">
        <f aca="false">IF(OR(E976="",E976="!!!",F976="NEW"),"",INDEX(B$2:B975,-1+SUMPRODUCT(MAX(ROW(E$2:E975)*(E976=E$2:E975)))))</f>
        <v/>
      </c>
      <c r="J976" s="24" t="str">
        <f aca="true">IF(OR(E976="",E976="!!!",F976="NEW"),"",COUNTBLANK(OFFSET(A$1,,,SUMPRODUCT(MAX(ROW(E$2:E976)*(E976=E$2:E976)))))-COUNTBLANK(OFFSET(A$1,,,SUMPRODUCT(MAX(ROW(E$1:E975)*(E2=E$1:E975))))))</f>
        <v/>
      </c>
      <c r="K976" s="24" t="str">
        <f aca="false">IF(OR(E976="",E976="!!!",F976="NEW"),"",INDEX(J$1:J975,SUMPRODUCT(MAX(ROW(E$1:E975)*(E976=E$1:E975)))))</f>
        <v/>
      </c>
      <c r="L976" s="27" t="s">
        <v>134</v>
      </c>
    </row>
    <row r="977" customFormat="false" ht="14.25" hidden="false" customHeight="false" outlineLevel="0" collapsed="false">
      <c r="A977" s="0" t="s">
        <v>708</v>
      </c>
      <c r="B977" s="26" t="s">
        <v>82</v>
      </c>
      <c r="C977" s="26" t="s">
        <v>119</v>
      </c>
      <c r="E977" s="20" t="str">
        <f aca="false">IF(D977="?OLD","!!!","")</f>
        <v/>
      </c>
      <c r="F977" s="21" t="str">
        <f aca="false">IF(OR(E977="",E977="!!!"),"",IF(NOT(ISNA(VLOOKUP(E977,E$1:E976,1,FALSE()))),"OLD",IF(AND(E977&lt;&gt;"",E977&lt;&gt;"!!!"),"NEW","")))</f>
        <v/>
      </c>
      <c r="G977" s="22" t="str">
        <f aca="false"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3" t="str">
        <f aca="false">IF(J977&lt;&gt;1,"",IF(I977="SBJ","CB","?"))</f>
        <v/>
      </c>
      <c r="I977" s="24" t="str">
        <f aca="false">IF(OR(E977="",E977="!!!",F977="NEW"),"",INDEX(B$2:B976,-1+SUMPRODUCT(MAX(ROW(E$2:E976)*(E977=E$2:E976)))))</f>
        <v/>
      </c>
      <c r="J977" s="24" t="str">
        <f aca="true">IF(OR(E977="",E977="!!!",F977="NEW"),"",COUNTBLANK(OFFSET(A$1,,,SUMPRODUCT(MAX(ROW(E$2:E977)*(E977=E$2:E977)))))-COUNTBLANK(OFFSET(A$1,,,SUMPRODUCT(MAX(ROW(E$1:E976)*(E2=E$1:E976))))))</f>
        <v/>
      </c>
      <c r="K977" s="24" t="str">
        <f aca="false">IF(OR(E977="",E977="!!!",F977="NEW"),"",INDEX(J$1:J976,SUMPRODUCT(MAX(ROW(E$1:E976)*(E977=E$1:E976)))))</f>
        <v/>
      </c>
      <c r="L977" s="25"/>
    </row>
    <row r="978" customFormat="false" ht="14.25" hidden="false" customHeight="false" outlineLevel="0" collapsed="false">
      <c r="A978" s="0" t="s">
        <v>86</v>
      </c>
      <c r="E978" s="20" t="str">
        <f aca="false">IF(D978="?OLD","!!!","")</f>
        <v/>
      </c>
      <c r="F978" s="21" t="str">
        <f aca="false">IF(OR(E978="",E978="!!!"),"",IF(NOT(ISNA(VLOOKUP(E978,E$1:E977,1,FALSE()))),"OLD",IF(AND(E978&lt;&gt;"",E978&lt;&gt;"!!!"),"NEW","")))</f>
        <v/>
      </c>
      <c r="G978" s="22" t="str">
        <f aca="false"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3" t="str">
        <f aca="false">IF(J978&lt;&gt;1,"",IF(I978="SBJ","CB","?"))</f>
        <v/>
      </c>
      <c r="I978" s="24" t="str">
        <f aca="false">IF(OR(E978="",E978="!!!",F978="NEW"),"",INDEX(B$2:B977,-1+SUMPRODUCT(MAX(ROW(E$2:E977)*(E978=E$2:E977)))))</f>
        <v/>
      </c>
      <c r="J978" s="24" t="str">
        <f aca="true">IF(OR(E978="",E978="!!!",F978="NEW"),"",COUNTBLANK(OFFSET(A$1,,,SUMPRODUCT(MAX(ROW(E$2:E978)*(E978=E$2:E978)))))-COUNTBLANK(OFFSET(A$1,,,SUMPRODUCT(MAX(ROW(E$1:E977)*(E2=E$1:E977))))))</f>
        <v/>
      </c>
      <c r="K978" s="24" t="str">
        <f aca="false">IF(OR(E978="",E978="!!!",F978="NEW"),"",INDEX(J$1:J977,SUMPRODUCT(MAX(ROW(E$1:E977)*(E978=E$1:E977)))))</f>
        <v/>
      </c>
      <c r="L978" s="25"/>
    </row>
    <row r="979" customFormat="false" ht="14.25" hidden="false" customHeight="false" outlineLevel="0" collapsed="false">
      <c r="A979" s="0" t="s">
        <v>322</v>
      </c>
      <c r="E979" s="20" t="str">
        <f aca="false">IF(D979="?OLD","!!!","")</f>
        <v/>
      </c>
      <c r="F979" s="21" t="str">
        <f aca="false">IF(OR(E979="",E979="!!!"),"",IF(NOT(ISNA(VLOOKUP(E979,E$1:E978,1,FALSE()))),"OLD",IF(AND(E979&lt;&gt;"",E979&lt;&gt;"!!!"),"NEW","")))</f>
        <v/>
      </c>
      <c r="G979" s="22" t="str">
        <f aca="false"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aca="false">IF(J979&lt;&gt;1,"",IF(I979="SBJ","CB","?"))</f>
        <v/>
      </c>
      <c r="I979" s="24" t="str">
        <f aca="false">IF(OR(E979="",E979="!!!",F979="NEW"),"",INDEX(B$2:B978,-1+SUMPRODUCT(MAX(ROW(E$2:E978)*(E979=E$2:E978)))))</f>
        <v/>
      </c>
      <c r="J979" s="24" t="str">
        <f aca="true">IF(OR(E979="",E979="!!!",F979="NEW"),"",COUNTBLANK(OFFSET(A$1,,,SUMPRODUCT(MAX(ROW(E$2:E979)*(E979=E$2:E979)))))-COUNTBLANK(OFFSET(A$1,,,SUMPRODUCT(MAX(ROW(E$1:E978)*(E2=E$1:E978))))))</f>
        <v/>
      </c>
      <c r="K979" s="24" t="str">
        <f aca="false">IF(OR(E979="",E979="!!!",F979="NEW"),"",INDEX(J$1:J978,SUMPRODUCT(MAX(ROW(E$1:E978)*(E979=E$1:E978)))))</f>
        <v/>
      </c>
      <c r="L979" s="25"/>
    </row>
    <row r="980" customFormat="false" ht="14.25" hidden="false" customHeight="false" outlineLevel="0" collapsed="false">
      <c r="A980" s="0" t="s">
        <v>123</v>
      </c>
      <c r="B980" s="26" t="s">
        <v>96</v>
      </c>
      <c r="C980" s="26" t="s">
        <v>88</v>
      </c>
      <c r="D980" s="26" t="s">
        <v>75</v>
      </c>
      <c r="E980" s="20" t="s">
        <v>709</v>
      </c>
      <c r="F980" s="21" t="s">
        <v>273</v>
      </c>
      <c r="G980" s="22" t="e">
        <f aca="false"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#VALUE!</v>
      </c>
      <c r="H980" s="23" t="str">
        <f aca="false">IF(J980&lt;&gt;1,"",IF(I980="SBJ","CB","?"))</f>
        <v/>
      </c>
      <c r="I980" s="24" t="e">
        <f aca="false">IF(OR(E980="",E980="!!!",F980="NEW"),"",INDEX(B$2:B979,-1+SUMPRODUCT(MAX(ROW(E$2:E979)*(E980=E$2:E979)))))</f>
        <v>#VALUE!</v>
      </c>
      <c r="J980" s="24" t="n">
        <f aca="true">IF(OR(E980="",E980="!!!",F980="NEW"),"",COUNTBLANK(OFFSET(A$1,,,SUMPRODUCT(MAX(ROW(E$2:E980)*(E980=E$2:E980)))))-COUNTBLANK(OFFSET(A$1,,,SUMPRODUCT(MAX(ROW(E$1:E979)*(E2=E$1:E979))))))</f>
        <v>0</v>
      </c>
      <c r="K980" s="24" t="e">
        <f aca="false">IF(OR(E980="",E980="!!!",F980="NEW"),"",INDEX(J$1:J979,SUMPRODUCT(MAX(ROW(E$1:E979)*(E980=E$1:E979)))))</f>
        <v>#VALUE!</v>
      </c>
      <c r="L980" s="25"/>
    </row>
    <row r="981" customFormat="false" ht="14.25" hidden="false" customHeight="false" outlineLevel="0" collapsed="false">
      <c r="A981" s="0" t="s">
        <v>175</v>
      </c>
      <c r="E981" s="20" t="str">
        <f aca="false">IF(D981="?OLD","!!!","")</f>
        <v/>
      </c>
      <c r="F981" s="21" t="str">
        <f aca="false">IF(OR(E981="",E981="!!!"),"",IF(NOT(ISNA(VLOOKUP(E981,E$1:E980,1,FALSE()))),"OLD",IF(AND(E981&lt;&gt;"",E981&lt;&gt;"!!!"),"NEW","")))</f>
        <v/>
      </c>
      <c r="G981" s="22" t="str">
        <f aca="false"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aca="false">IF(J981&lt;&gt;1,"",IF(I981="SBJ","CB","?"))</f>
        <v/>
      </c>
      <c r="I981" s="24" t="str">
        <f aca="false">IF(OR(E981="",E981="!!!",F981="NEW"),"",INDEX(B$2:B980,-1+SUMPRODUCT(MAX(ROW(E$2:E980)*(E981=E$2:E980)))))</f>
        <v/>
      </c>
      <c r="J981" s="24" t="str">
        <f aca="true">IF(OR(E981="",E981="!!!",F981="NEW"),"",COUNTBLANK(OFFSET(A$1,,,SUMPRODUCT(MAX(ROW(E$2:E981)*(E981=E$2:E981)))))-COUNTBLANK(OFFSET(A$1,,,SUMPRODUCT(MAX(ROW(E$1:E980)*(E2=E$1:E980))))))</f>
        <v/>
      </c>
      <c r="K981" s="24" t="str">
        <f aca="false">IF(OR(E981="",E981="!!!",F981="NEW"),"",INDEX(J$1:J980,SUMPRODUCT(MAX(ROW(E$1:E980)*(E981=E$1:E980)))))</f>
        <v/>
      </c>
      <c r="L981" s="25"/>
    </row>
    <row r="982" customFormat="false" ht="14.25" hidden="false" customHeight="false" outlineLevel="0" collapsed="false">
      <c r="A982" s="0" t="s">
        <v>710</v>
      </c>
      <c r="E982" s="20" t="str">
        <f aca="false">IF(D982="?OLD","!!!","")</f>
        <v/>
      </c>
      <c r="F982" s="21" t="str">
        <f aca="false">IF(OR(E982="",E982="!!!"),"",IF(NOT(ISNA(VLOOKUP(E982,E$1:E981,1,FALSE()))),"OLD",IF(AND(E982&lt;&gt;"",E982&lt;&gt;"!!!"),"NEW","")))</f>
        <v/>
      </c>
      <c r="G982" s="22" t="str">
        <f aca="false"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3" t="str">
        <f aca="false">IF(J982&lt;&gt;1,"",IF(I982="SBJ","CB","?"))</f>
        <v/>
      </c>
      <c r="I982" s="24" t="str">
        <f aca="false">IF(OR(E982="",E982="!!!",F982="NEW"),"",INDEX(B$2:B981,-1+SUMPRODUCT(MAX(ROW(E$2:E981)*(E982=E$2:E981)))))</f>
        <v/>
      </c>
      <c r="J982" s="24" t="str">
        <f aca="true">IF(OR(E982="",E982="!!!",F982="NEW"),"",COUNTBLANK(OFFSET(A$1,,,SUMPRODUCT(MAX(ROW(E$2:E982)*(E982=E$2:E982)))))-COUNTBLANK(OFFSET(A$1,,,SUMPRODUCT(MAX(ROW(E$1:E981)*(E2=E$1:E981))))))</f>
        <v/>
      </c>
      <c r="K982" s="24" t="str">
        <f aca="false">IF(OR(E982="",E982="!!!",F982="NEW"),"",INDEX(J$1:J981,SUMPRODUCT(MAX(ROW(E$1:E981)*(E982=E$1:E981)))))</f>
        <v/>
      </c>
      <c r="L982" s="25"/>
    </row>
    <row r="983" customFormat="false" ht="14.25" hidden="false" customHeight="false" outlineLevel="0" collapsed="false">
      <c r="A983" s="0" t="s">
        <v>101</v>
      </c>
      <c r="E983" s="20" t="str">
        <f aca="false">IF(D983="?OLD","!!!","")</f>
        <v/>
      </c>
      <c r="F983" s="21" t="str">
        <f aca="false">IF(OR(E983="",E983="!!!"),"",IF(NOT(ISNA(VLOOKUP(E983,E$1:E982,1,FALSE()))),"OLD",IF(AND(E983&lt;&gt;"",E983&lt;&gt;"!!!"),"NEW","")))</f>
        <v/>
      </c>
      <c r="G983" s="22" t="str">
        <f aca="false"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3" t="str">
        <f aca="false">IF(J983&lt;&gt;1,"",IF(I983="SBJ","CB","?"))</f>
        <v/>
      </c>
      <c r="I983" s="24" t="str">
        <f aca="false">IF(OR(E983="",E983="!!!",F983="NEW"),"",INDEX(B$2:B982,-1+SUMPRODUCT(MAX(ROW(E$2:E982)*(E983=E$2:E982)))))</f>
        <v/>
      </c>
      <c r="J983" s="24" t="str">
        <f aca="true">IF(OR(E983="",E983="!!!",F983="NEW"),"",COUNTBLANK(OFFSET(A$1,,,SUMPRODUCT(MAX(ROW(E$2:E983)*(E983=E$2:E983)))))-COUNTBLANK(OFFSET(A$1,,,SUMPRODUCT(MAX(ROW(E$1:E982)*(E2=E$1:E982))))))</f>
        <v/>
      </c>
      <c r="K983" s="24" t="str">
        <f aca="false">IF(OR(E983="",E983="!!!",F983="NEW"),"",INDEX(J$1:J982,SUMPRODUCT(MAX(ROW(E$1:E982)*(E983=E$1:E982)))))</f>
        <v/>
      </c>
      <c r="L983" s="25"/>
    </row>
    <row r="984" customFormat="false" ht="14.25" hidden="false" customHeight="false" outlineLevel="0" collapsed="false">
      <c r="A984" s="0" t="s">
        <v>102</v>
      </c>
      <c r="E984" s="20" t="str">
        <f aca="false">IF(D984="?OLD","!!!","")</f>
        <v/>
      </c>
      <c r="F984" s="21" t="str">
        <f aca="false">IF(OR(E984="",E984="!!!"),"",IF(NOT(ISNA(VLOOKUP(E984,E$1:E983,1,FALSE()))),"OLD",IF(AND(E984&lt;&gt;"",E984&lt;&gt;"!!!"),"NEW","")))</f>
        <v/>
      </c>
      <c r="G984" s="22" t="str">
        <f aca="false"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aca="false">IF(J984&lt;&gt;1,"",IF(I984="SBJ","CB","?"))</f>
        <v/>
      </c>
      <c r="I984" s="24" t="str">
        <f aca="false">IF(OR(E984="",E984="!!!",F984="NEW"),"",INDEX(B$2:B983,-1+SUMPRODUCT(MAX(ROW(E$2:E983)*(E984=E$2:E983)))))</f>
        <v/>
      </c>
      <c r="J984" s="24" t="str">
        <f aca="true">IF(OR(E984="",E984="!!!",F984="NEW"),"",COUNTBLANK(OFFSET(A$1,,,SUMPRODUCT(MAX(ROW(E$2:E984)*(E984=E$2:E984)))))-COUNTBLANK(OFFSET(A$1,,,SUMPRODUCT(MAX(ROW(E$1:E983)*(E2=E$1:E983))))))</f>
        <v/>
      </c>
      <c r="K984" s="24" t="str">
        <f aca="false">IF(OR(E984="",E984="!!!",F984="NEW"),"",INDEX(J$1:J983,SUMPRODUCT(MAX(ROW(E$1:E983)*(E984=E$1:E983)))))</f>
        <v/>
      </c>
      <c r="L984" s="25"/>
    </row>
    <row r="985" customFormat="false" ht="14.25" hidden="false" customHeight="false" outlineLevel="0" collapsed="false">
      <c r="A985" s="0" t="s">
        <v>711</v>
      </c>
      <c r="E985" s="20" t="str">
        <f aca="false">IF(D985="?OLD","!!!","")</f>
        <v/>
      </c>
      <c r="F985" s="21" t="str">
        <f aca="false">IF(OR(E985="",E985="!!!"),"",IF(NOT(ISNA(VLOOKUP(E985,E$1:E984,1,FALSE()))),"OLD",IF(AND(E985&lt;&gt;"",E985&lt;&gt;"!!!"),"NEW","")))</f>
        <v/>
      </c>
      <c r="G985" s="22" t="str">
        <f aca="false"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aca="false">IF(J985&lt;&gt;1,"",IF(I985="SBJ","CB","?"))</f>
        <v/>
      </c>
      <c r="I985" s="24" t="str">
        <f aca="false">IF(OR(E985="",E985="!!!",F985="NEW"),"",INDEX(B$2:B984,-1+SUMPRODUCT(MAX(ROW(E$2:E984)*(E985=E$2:E984)))))</f>
        <v/>
      </c>
      <c r="J985" s="24" t="str">
        <f aca="true">IF(OR(E985="",E985="!!!",F985="NEW"),"",COUNTBLANK(OFFSET(A$1,,,SUMPRODUCT(MAX(ROW(E$2:E985)*(E985=E$2:E985)))))-COUNTBLANK(OFFSET(A$1,,,SUMPRODUCT(MAX(ROW(E$1:E984)*(E2=E$1:E984))))))</f>
        <v/>
      </c>
      <c r="K985" s="24" t="str">
        <f aca="false">IF(OR(E985="",E985="!!!",F985="NEW"),"",INDEX(J$1:J984,SUMPRODUCT(MAX(ROW(E$1:E984)*(E985=E$1:E984)))))</f>
        <v/>
      </c>
      <c r="L985" s="25"/>
    </row>
    <row r="986" customFormat="false" ht="14.25" hidden="false" customHeight="false" outlineLevel="0" collapsed="false">
      <c r="A986" s="0" t="s">
        <v>712</v>
      </c>
      <c r="B986" s="26" t="s">
        <v>104</v>
      </c>
      <c r="C986" s="26" t="s">
        <v>105</v>
      </c>
      <c r="E986" s="20" t="s">
        <v>713</v>
      </c>
      <c r="F986" s="21" t="str">
        <f aca="false">IF(OR(E986="",E986="!!!"),"",IF(NOT(ISNA(VLOOKUP(E986,E$1:E985,1,FALSE()))),"OLD",IF(AND(E986&lt;&gt;"",E986&lt;&gt;"!!!"),"NEW","")))</f>
        <v>NEW</v>
      </c>
      <c r="G986" s="22" t="str">
        <f aca="false"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?REFERENTIAL</v>
      </c>
      <c r="H986" s="23" t="str">
        <f aca="false">IF(J986&lt;&gt;1,"",IF(I986="SBJ","CB","?"))</f>
        <v/>
      </c>
      <c r="I986" s="24" t="str">
        <f aca="false">IF(OR(E986="",E986="!!!",F986="NEW"),"",INDEX(B$2:B985,-1+SUMPRODUCT(MAX(ROW(E$2:E985)*(E986=E$2:E985)))))</f>
        <v/>
      </c>
      <c r="J986" s="24" t="str">
        <f aca="true">IF(OR(E986="",E986="!!!",F986="NEW"),"",COUNTBLANK(OFFSET(A$1,,,SUMPRODUCT(MAX(ROW(E$2:E986)*(E986=E$2:E986)))))-COUNTBLANK(OFFSET(A$1,,,SUMPRODUCT(MAX(ROW(E$1:E985)*(E2=E$1:E985))))))</f>
        <v/>
      </c>
      <c r="K986" s="24" t="str">
        <f aca="false">IF(OR(E986="",E986="!!!",F986="NEW"),"",INDEX(J$1:J985,SUMPRODUCT(MAX(ROW(E$1:E985)*(E986=E$1:E985)))))</f>
        <v/>
      </c>
      <c r="L986" s="27" t="s">
        <v>338</v>
      </c>
    </row>
    <row r="987" customFormat="false" ht="14.25" hidden="false" customHeight="false" outlineLevel="0" collapsed="false">
      <c r="A987" s="0" t="s">
        <v>650</v>
      </c>
      <c r="E987" s="20" t="str">
        <f aca="false">IF(D987="?OLD","!!!","")</f>
        <v/>
      </c>
      <c r="F987" s="21" t="str">
        <f aca="false">IF(OR(E987="",E987="!!!"),"",IF(NOT(ISNA(VLOOKUP(E987,E$1:E986,1,FALSE()))),"OLD",IF(AND(E987&lt;&gt;"",E987&lt;&gt;"!!!"),"NEW","")))</f>
        <v/>
      </c>
      <c r="G987" s="22" t="str">
        <f aca="false"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3" t="str">
        <f aca="false">IF(J987&lt;&gt;1,"",IF(I987="SBJ","CB","?"))</f>
        <v/>
      </c>
      <c r="I987" s="24" t="str">
        <f aca="false">IF(OR(E987="",E987="!!!",F987="NEW"),"",INDEX(B$2:B986,-1+SUMPRODUCT(MAX(ROW(E$2:E986)*(E987=E$2:E986)))))</f>
        <v/>
      </c>
      <c r="J987" s="24" t="str">
        <f aca="true">IF(OR(E987="",E987="!!!",F987="NEW"),"",COUNTBLANK(OFFSET(A$1,,,SUMPRODUCT(MAX(ROW(E$2:E987)*(E987=E$2:E987)))))-COUNTBLANK(OFFSET(A$1,,,SUMPRODUCT(MAX(ROW(E$1:E986)*(E2=E$1:E986))))))</f>
        <v/>
      </c>
      <c r="K987" s="24" t="str">
        <f aca="false">IF(OR(E987="",E987="!!!",F987="NEW"),"",INDEX(J$1:J986,SUMPRODUCT(MAX(ROW(E$1:E986)*(E987=E$1:E986)))))</f>
        <v/>
      </c>
      <c r="L987" s="25"/>
    </row>
    <row r="988" customFormat="false" ht="14.25" hidden="false" customHeight="false" outlineLevel="0" collapsed="false">
      <c r="A988" s="0" t="s">
        <v>714</v>
      </c>
      <c r="E988" s="20" t="str">
        <f aca="false">IF(D988="?OLD","!!!","")</f>
        <v/>
      </c>
      <c r="F988" s="21" t="str">
        <f aca="false">IF(OR(E988="",E988="!!!"),"",IF(NOT(ISNA(VLOOKUP(E988,E$1:E987,1,FALSE()))),"OLD",IF(AND(E988&lt;&gt;"",E988&lt;&gt;"!!!"),"NEW","")))</f>
        <v/>
      </c>
      <c r="G988" s="22" t="str">
        <f aca="false"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aca="false">IF(J988&lt;&gt;1,"",IF(I988="SBJ","CB","?"))</f>
        <v/>
      </c>
      <c r="I988" s="24" t="str">
        <f aca="false">IF(OR(E988="",E988="!!!",F988="NEW"),"",INDEX(B$2:B987,-1+SUMPRODUCT(MAX(ROW(E$2:E987)*(E988=E$2:E987)))))</f>
        <v/>
      </c>
      <c r="J988" s="24" t="str">
        <f aca="true">IF(OR(E988="",E988="!!!",F988="NEW"),"",COUNTBLANK(OFFSET(A$1,,,SUMPRODUCT(MAX(ROW(E$2:E988)*(E988=E$2:E988)))))-COUNTBLANK(OFFSET(A$1,,,SUMPRODUCT(MAX(ROW(E$1:E987)*(E2=E$1:E987))))))</f>
        <v/>
      </c>
      <c r="K988" s="24" t="str">
        <f aca="false">IF(OR(E988="",E988="!!!",F988="NEW"),"",INDEX(J$1:J987,SUMPRODUCT(MAX(ROW(E$1:E987)*(E988=E$1:E987)))))</f>
        <v/>
      </c>
      <c r="L988" s="25"/>
    </row>
    <row r="989" customFormat="false" ht="14.25" hidden="false" customHeight="false" outlineLevel="0" collapsed="false">
      <c r="A989" s="0" t="s">
        <v>164</v>
      </c>
      <c r="B989" s="26" t="s">
        <v>115</v>
      </c>
      <c r="C989" s="26" t="s">
        <v>105</v>
      </c>
      <c r="E989" s="20" t="str">
        <f aca="false">IF(D989="?OLD","!!!","")</f>
        <v/>
      </c>
      <c r="F989" s="21" t="str">
        <f aca="false">IF(OR(E989="",E989="!!!"),"",IF(NOT(ISNA(VLOOKUP(E989,E$1:E988,1,FALSE()))),"OLD",IF(AND(E989&lt;&gt;"",E989&lt;&gt;"!!!"),"NEW","")))</f>
        <v/>
      </c>
      <c r="G989" s="22" t="str">
        <f aca="false"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aca="false">IF(J989&lt;&gt;1,"",IF(I989="SBJ","CB","?"))</f>
        <v/>
      </c>
      <c r="I989" s="24" t="str">
        <f aca="false">IF(OR(E989="",E989="!!!",F989="NEW"),"",INDEX(B$2:B988,-1+SUMPRODUCT(MAX(ROW(E$2:E988)*(E989=E$2:E988)))))</f>
        <v/>
      </c>
      <c r="J989" s="24" t="str">
        <f aca="true">IF(OR(E989="",E989="!!!",F989="NEW"),"",COUNTBLANK(OFFSET(A$1,,,SUMPRODUCT(MAX(ROW(E$2:E989)*(E989=E$2:E989)))))-COUNTBLANK(OFFSET(A$1,,,SUMPRODUCT(MAX(ROW(E$1:E988)*(E2=E$1:E988))))))</f>
        <v/>
      </c>
      <c r="K989" s="24" t="str">
        <f aca="false">IF(OR(E989="",E989="!!!",F989="NEW"),"",INDEX(J$1:J988,SUMPRODUCT(MAX(ROW(E$1:E988)*(E989=E$1:E988)))))</f>
        <v/>
      </c>
      <c r="L989" s="25"/>
    </row>
    <row r="990" customFormat="false" ht="14.25" hidden="false" customHeight="false" outlineLevel="0" collapsed="false">
      <c r="A990" s="0" t="s">
        <v>715</v>
      </c>
      <c r="E990" s="20" t="str">
        <f aca="false">IF(D990="?OLD","!!!","")</f>
        <v/>
      </c>
      <c r="F990" s="21" t="str">
        <f aca="false">IF(OR(E990="",E990="!!!"),"",IF(NOT(ISNA(VLOOKUP(E990,E$1:E989,1,FALSE()))),"OLD",IF(AND(E990&lt;&gt;"",E990&lt;&gt;"!!!"),"NEW","")))</f>
        <v/>
      </c>
      <c r="G990" s="22" t="str">
        <f aca="false"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aca="false">IF(J990&lt;&gt;1,"",IF(I990="SBJ","CB","?"))</f>
        <v/>
      </c>
      <c r="I990" s="24" t="str">
        <f aca="false">IF(OR(E990="",E990="!!!",F990="NEW"),"",INDEX(B$2:B989,-1+SUMPRODUCT(MAX(ROW(E$2:E989)*(E990=E$2:E989)))))</f>
        <v/>
      </c>
      <c r="J990" s="24" t="str">
        <f aca="true">IF(OR(E990="",E990="!!!",F990="NEW"),"",COUNTBLANK(OFFSET(A$1,,,SUMPRODUCT(MAX(ROW(E$2:E990)*(E990=E$2:E990)))))-COUNTBLANK(OFFSET(A$1,,,SUMPRODUCT(MAX(ROW(E$1:E989)*(E2=E$1:E989))))))</f>
        <v/>
      </c>
      <c r="K990" s="24" t="str">
        <f aca="false">IF(OR(E990="",E990="!!!",F990="NEW"),"",INDEX(J$1:J989,SUMPRODUCT(MAX(ROW(E$1:E989)*(E990=E$1:E989)))))</f>
        <v/>
      </c>
      <c r="L990" s="25"/>
    </row>
    <row r="991" customFormat="false" ht="14.25" hidden="false" customHeight="false" outlineLevel="0" collapsed="false">
      <c r="A991" s="0" t="s">
        <v>78</v>
      </c>
      <c r="E991" s="20" t="str">
        <f aca="false">IF(D991="?OLD","!!!","")</f>
        <v/>
      </c>
      <c r="F991" s="21" t="str">
        <f aca="false">IF(OR(E991="",E991="!!!"),"",IF(NOT(ISNA(VLOOKUP(E991,E$1:E990,1,FALSE()))),"OLD",IF(AND(E991&lt;&gt;"",E991&lt;&gt;"!!!"),"NEW","")))</f>
        <v/>
      </c>
      <c r="G991" s="22" t="str">
        <f aca="false"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aca="false">IF(J991&lt;&gt;1,"",IF(I991="SBJ","CB","?"))</f>
        <v/>
      </c>
      <c r="I991" s="24" t="str">
        <f aca="false">IF(OR(E991="",E991="!!!",F991="NEW"),"",INDEX(B$2:B990,-1+SUMPRODUCT(MAX(ROW(E$2:E990)*(E991=E$2:E990)))))</f>
        <v/>
      </c>
      <c r="J991" s="24" t="str">
        <f aca="true">IF(OR(E991="",E991="!!!",F991="NEW"),"",COUNTBLANK(OFFSET(A$1,,,SUMPRODUCT(MAX(ROW(E$2:E991)*(E991=E$2:E991)))))-COUNTBLANK(OFFSET(A$1,,,SUMPRODUCT(MAX(ROW(E$1:E990)*(E2=E$1:E990))))))</f>
        <v/>
      </c>
      <c r="K991" s="24" t="str">
        <f aca="false">IF(OR(E991="",E991="!!!",F991="NEW"),"",INDEX(J$1:J990,SUMPRODUCT(MAX(ROW(E$1:E990)*(E991=E$1:E990)))))</f>
        <v/>
      </c>
      <c r="L991" s="25"/>
    </row>
    <row r="992" customFormat="false" ht="14.25" hidden="false" customHeight="false" outlineLevel="0" collapsed="false">
      <c r="A992" s="0" t="s">
        <v>86</v>
      </c>
      <c r="E992" s="20" t="str">
        <f aca="false">IF(D992="?OLD","!!!","")</f>
        <v/>
      </c>
      <c r="F992" s="21" t="str">
        <f aca="false">IF(OR(E992="",E992="!!!"),"",IF(NOT(ISNA(VLOOKUP(E992,E$1:E991,1,FALSE()))),"OLD",IF(AND(E992&lt;&gt;"",E992&lt;&gt;"!!!"),"NEW","")))</f>
        <v/>
      </c>
      <c r="G992" s="22" t="str">
        <f aca="false"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aca="false">IF(J992&lt;&gt;1,"",IF(I992="SBJ","CB","?"))</f>
        <v/>
      </c>
      <c r="I992" s="24" t="str">
        <f aca="false">IF(OR(E992="",E992="!!!",F992="NEW"),"",INDEX(B$2:B991,-1+SUMPRODUCT(MAX(ROW(E$2:E991)*(E992=E$2:E991)))))</f>
        <v/>
      </c>
      <c r="J992" s="24" t="str">
        <f aca="true">IF(OR(E992="",E992="!!!",F992="NEW"),"",COUNTBLANK(OFFSET(A$1,,,SUMPRODUCT(MAX(ROW(E$2:E992)*(E992=E$2:E992)))))-COUNTBLANK(OFFSET(A$1,,,SUMPRODUCT(MAX(ROW(E$1:E991)*(E2=E$1:E991))))))</f>
        <v/>
      </c>
      <c r="K992" s="24" t="str">
        <f aca="false">IF(OR(E992="",E992="!!!",F992="NEW"),"",INDEX(J$1:J991,SUMPRODUCT(MAX(ROW(E$1:E991)*(E992=E$1:E991)))))</f>
        <v/>
      </c>
      <c r="L992" s="25"/>
    </row>
    <row r="993" customFormat="false" ht="14.25" hidden="false" customHeight="false" outlineLevel="0" collapsed="false">
      <c r="A993" s="0" t="s">
        <v>444</v>
      </c>
      <c r="E993" s="20" t="str">
        <f aca="false">IF(D993="?OLD","!!!","")</f>
        <v/>
      </c>
      <c r="F993" s="21" t="str">
        <f aca="false">IF(OR(E993="",E993="!!!"),"",IF(NOT(ISNA(VLOOKUP(E993,E$1:E992,1,FALSE()))),"OLD",IF(AND(E993&lt;&gt;"",E993&lt;&gt;"!!!"),"NEW","")))</f>
        <v/>
      </c>
      <c r="G993" s="22" t="str">
        <f aca="false"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aca="false">IF(J993&lt;&gt;1,"",IF(I993="SBJ","CB","?"))</f>
        <v/>
      </c>
      <c r="I993" s="24" t="str">
        <f aca="false">IF(OR(E993="",E993="!!!",F993="NEW"),"",INDEX(B$2:B992,-1+SUMPRODUCT(MAX(ROW(E$2:E992)*(E993=E$2:E992)))))</f>
        <v/>
      </c>
      <c r="J993" s="24" t="str">
        <f aca="true">IF(OR(E993="",E993="!!!",F993="NEW"),"",COUNTBLANK(OFFSET(A$1,,,SUMPRODUCT(MAX(ROW(E$2:E993)*(E993=E$2:E993)))))-COUNTBLANK(OFFSET(A$1,,,SUMPRODUCT(MAX(ROW(E$1:E992)*(E2=E$1:E992))))))</f>
        <v/>
      </c>
      <c r="K993" s="24" t="str">
        <f aca="false">IF(OR(E993="",E993="!!!",F993="NEW"),"",INDEX(J$1:J992,SUMPRODUCT(MAX(ROW(E$1:E992)*(E993=E$1:E992)))))</f>
        <v/>
      </c>
      <c r="L993" s="25"/>
    </row>
    <row r="994" customFormat="false" ht="14.25" hidden="false" customHeight="false" outlineLevel="0" collapsed="false">
      <c r="A994" s="0" t="s">
        <v>136</v>
      </c>
      <c r="E994" s="20" t="str">
        <f aca="false">IF(D994="?OLD","!!!","")</f>
        <v/>
      </c>
      <c r="F994" s="21" t="str">
        <f aca="false">IF(OR(E994="",E994="!!!"),"",IF(NOT(ISNA(VLOOKUP(E994,E$1:E993,1,FALSE()))),"OLD",IF(AND(E994&lt;&gt;"",E994&lt;&gt;"!!!"),"NEW","")))</f>
        <v/>
      </c>
      <c r="G994" s="22" t="str">
        <f aca="false"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aca="false">IF(J994&lt;&gt;1,"",IF(I994="SBJ","CB","?"))</f>
        <v/>
      </c>
      <c r="I994" s="24" t="str">
        <f aca="false">IF(OR(E994="",E994="!!!",F994="NEW"),"",INDEX(B$2:B993,-1+SUMPRODUCT(MAX(ROW(E$2:E993)*(E994=E$2:E993)))))</f>
        <v/>
      </c>
      <c r="J994" s="24" t="str">
        <f aca="true">IF(OR(E994="",E994="!!!",F994="NEW"),"",COUNTBLANK(OFFSET(A$1,,,SUMPRODUCT(MAX(ROW(E$2:E994)*(E994=E$2:E994)))))-COUNTBLANK(OFFSET(A$1,,,SUMPRODUCT(MAX(ROW(E$1:E993)*(E2=E$1:E993))))))</f>
        <v/>
      </c>
      <c r="K994" s="24" t="str">
        <f aca="false">IF(OR(E994="",E994="!!!",F994="NEW"),"",INDEX(J$1:J993,SUMPRODUCT(MAX(ROW(E$1:E993)*(E994=E$1:E993)))))</f>
        <v/>
      </c>
      <c r="L994" s="25"/>
    </row>
    <row r="995" customFormat="false" ht="14.25" hidden="false" customHeight="false" outlineLevel="0" collapsed="false">
      <c r="A995" s="0" t="s">
        <v>716</v>
      </c>
      <c r="B995" s="26" t="s">
        <v>258</v>
      </c>
      <c r="C995" s="26" t="s">
        <v>74</v>
      </c>
      <c r="D995" s="26" t="s">
        <v>75</v>
      </c>
      <c r="E995" s="20" t="s">
        <v>717</v>
      </c>
      <c r="F995" s="21" t="str">
        <f aca="false">IF(OR(E995="",E995="!!!"),"",IF(NOT(ISNA(VLOOKUP(E995,E$1:E994,1,FALSE()))),"OLD",IF(AND(E995&lt;&gt;"",E995&lt;&gt;"!!!"),"NEW","")))</f>
        <v>NEW</v>
      </c>
      <c r="G995" s="22" t="str">
        <f aca="false"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?REFERENTIAL</v>
      </c>
      <c r="H995" s="23" t="str">
        <f aca="false">IF(J995&lt;&gt;1,"",IF(I995="SBJ","CB","?"))</f>
        <v/>
      </c>
      <c r="I995" s="24" t="str">
        <f aca="false">IF(OR(E995="",E995="!!!",F995="NEW"),"",INDEX(B$2:B994,-1+SUMPRODUCT(MAX(ROW(E$2:E994)*(E995=E$2:E994)))))</f>
        <v/>
      </c>
      <c r="J995" s="24" t="str">
        <f aca="true">IF(OR(E995="",E995="!!!",F995="NEW"),"",COUNTBLANK(OFFSET(A$1,,,SUMPRODUCT(MAX(ROW(E$2:E995)*(E995=E$2:E995)))))-COUNTBLANK(OFFSET(A$1,,,SUMPRODUCT(MAX(ROW(E$1:E994)*(E2=E$1:E994))))))</f>
        <v/>
      </c>
      <c r="K995" s="24" t="str">
        <f aca="false">IF(OR(E995="",E995="!!!",F995="NEW"),"",INDEX(J$1:J994,SUMPRODUCT(MAX(ROW(E$1:E994)*(E995=E$1:E994)))))</f>
        <v/>
      </c>
      <c r="L995" s="25"/>
    </row>
    <row r="996" customFormat="false" ht="14.25" hidden="false" customHeight="false" outlineLevel="0" collapsed="false">
      <c r="A996" s="0" t="s">
        <v>718</v>
      </c>
      <c r="E996" s="20" t="str">
        <f aca="false">IF(D996="?OLD","!!!","")</f>
        <v/>
      </c>
      <c r="F996" s="21" t="str">
        <f aca="false">IF(OR(E996="",E996="!!!"),"",IF(NOT(ISNA(VLOOKUP(E996,E$1:E995,1,FALSE()))),"OLD",IF(AND(E996&lt;&gt;"",E996&lt;&gt;"!!!"),"NEW","")))</f>
        <v/>
      </c>
      <c r="G996" s="22" t="str">
        <f aca="false"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aca="false">IF(J996&lt;&gt;1,"",IF(I996="SBJ","CB","?"))</f>
        <v/>
      </c>
      <c r="I996" s="24" t="str">
        <f aca="false">IF(OR(E996="",E996="!!!",F996="NEW"),"",INDEX(B$2:B995,-1+SUMPRODUCT(MAX(ROW(E$2:E995)*(E996=E$2:E995)))))</f>
        <v/>
      </c>
      <c r="J996" s="24" t="str">
        <f aca="true">IF(OR(E996="",E996="!!!",F996="NEW"),"",COUNTBLANK(OFFSET(A$1,,,SUMPRODUCT(MAX(ROW(E$2:E996)*(E996=E$2:E996)))))-COUNTBLANK(OFFSET(A$1,,,SUMPRODUCT(MAX(ROW(E$1:E995)*(E2=E$1:E995))))))</f>
        <v/>
      </c>
      <c r="K996" s="24" t="str">
        <f aca="false">IF(OR(E996="",E996="!!!",F996="NEW"),"",INDEX(J$1:J995,SUMPRODUCT(MAX(ROW(E$1:E995)*(E996=E$1:E995)))))</f>
        <v/>
      </c>
      <c r="L996" s="25"/>
    </row>
    <row r="997" customFormat="false" ht="14.25" hidden="false" customHeight="false" outlineLevel="0" collapsed="false">
      <c r="A997" s="0" t="s">
        <v>497</v>
      </c>
      <c r="E997" s="20" t="str">
        <f aca="false">IF(D997="?OLD","!!!","")</f>
        <v/>
      </c>
      <c r="F997" s="21" t="str">
        <f aca="false">IF(OR(E997="",E997="!!!"),"",IF(NOT(ISNA(VLOOKUP(E997,E$1:E996,1,FALSE()))),"OLD",IF(AND(E997&lt;&gt;"",E997&lt;&gt;"!!!"),"NEW","")))</f>
        <v/>
      </c>
      <c r="G997" s="22" t="str">
        <f aca="false"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aca="false">IF(J997&lt;&gt;1,"",IF(I997="SBJ","CB","?"))</f>
        <v/>
      </c>
      <c r="I997" s="24" t="str">
        <f aca="false">IF(OR(E997="",E997="!!!",F997="NEW"),"",INDEX(B$2:B996,-1+SUMPRODUCT(MAX(ROW(E$2:E996)*(E997=E$2:E996)))))</f>
        <v/>
      </c>
      <c r="J997" s="24" t="str">
        <f aca="true">IF(OR(E997="",E997="!!!",F997="NEW"),"",COUNTBLANK(OFFSET(A$1,,,SUMPRODUCT(MAX(ROW(E$2:E997)*(E997=E$2:E997)))))-COUNTBLANK(OFFSET(A$1,,,SUMPRODUCT(MAX(ROW(E$1:E996)*(E2=E$1:E996))))))</f>
        <v/>
      </c>
      <c r="K997" s="24" t="str">
        <f aca="false">IF(OR(E997="",E997="!!!",F997="NEW"),"",INDEX(J$1:J996,SUMPRODUCT(MAX(ROW(E$1:E996)*(E997=E$1:E996)))))</f>
        <v/>
      </c>
      <c r="L997" s="25"/>
    </row>
    <row r="998" customFormat="false" ht="14.25" hidden="false" customHeight="false" outlineLevel="0" collapsed="false">
      <c r="A998" s="0" t="s">
        <v>202</v>
      </c>
      <c r="E998" s="20" t="str">
        <f aca="false">IF(D998="?OLD","!!!","")</f>
        <v/>
      </c>
      <c r="F998" s="21" t="str">
        <f aca="false">IF(OR(E998="",E998="!!!"),"",IF(NOT(ISNA(VLOOKUP(E998,E$1:E997,1,FALSE()))),"OLD",IF(AND(E998&lt;&gt;"",E998&lt;&gt;"!!!"),"NEW","")))</f>
        <v/>
      </c>
      <c r="G998" s="22" t="str">
        <f aca="false"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aca="false">IF(J998&lt;&gt;1,"",IF(I998="SBJ","CB","?"))</f>
        <v/>
      </c>
      <c r="I998" s="24" t="str">
        <f aca="false">IF(OR(E998="",E998="!!!",F998="NEW"),"",INDEX(B$2:B997,-1+SUMPRODUCT(MAX(ROW(E$2:E997)*(E998=E$2:E997)))))</f>
        <v/>
      </c>
      <c r="J998" s="24" t="str">
        <f aca="true">IF(OR(E998="",E998="!!!",F998="NEW"),"",COUNTBLANK(OFFSET(A$1,,,SUMPRODUCT(MAX(ROW(E$2:E998)*(E998=E$2:E998)))))-COUNTBLANK(OFFSET(A$1,,,SUMPRODUCT(MAX(ROW(E$1:E997)*(E2=E$1:E997))))))</f>
        <v/>
      </c>
      <c r="K998" s="24" t="str">
        <f aca="false">IF(OR(E998="",E998="!!!",F998="NEW"),"",INDEX(J$1:J997,SUMPRODUCT(MAX(ROW(E$1:E997)*(E998=E$1:E997)))))</f>
        <v/>
      </c>
      <c r="L998" s="25"/>
    </row>
    <row r="999" customFormat="false" ht="14.25" hidden="false" customHeight="false" outlineLevel="0" collapsed="false">
      <c r="A999" s="0" t="s">
        <v>167</v>
      </c>
      <c r="E999" s="20" t="str">
        <f aca="false">IF(D999="?OLD","!!!","")</f>
        <v/>
      </c>
      <c r="F999" s="21" t="str">
        <f aca="false">IF(OR(E999="",E999="!!!"),"",IF(NOT(ISNA(VLOOKUP(E999,E$1:E998,1,FALSE()))),"OLD",IF(AND(E999&lt;&gt;"",E999&lt;&gt;"!!!"),"NEW","")))</f>
        <v/>
      </c>
      <c r="G999" s="22" t="str">
        <f aca="false"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aca="false">IF(J999&lt;&gt;1,"",IF(I999="SBJ","CB","?"))</f>
        <v/>
      </c>
      <c r="I999" s="24" t="str">
        <f aca="false">IF(OR(E999="",E999="!!!",F999="NEW"),"",INDEX(B$2:B998,-1+SUMPRODUCT(MAX(ROW(E$2:E998)*(E999=E$2:E998)))))</f>
        <v/>
      </c>
      <c r="J999" s="24" t="str">
        <f aca="true">IF(OR(E999="",E999="!!!",F999="NEW"),"",COUNTBLANK(OFFSET(A$1,,,SUMPRODUCT(MAX(ROW(E$2:E999)*(E999=E$2:E999)))))-COUNTBLANK(OFFSET(A$1,,,SUMPRODUCT(MAX(ROW(E$1:E998)*(E2=E$1:E998))))))</f>
        <v/>
      </c>
      <c r="K999" s="24" t="str">
        <f aca="false">IF(OR(E999="",E999="!!!",F999="NEW"),"",INDEX(J$1:J998,SUMPRODUCT(MAX(ROW(E$1:E998)*(E999=E$1:E998)))))</f>
        <v/>
      </c>
      <c r="L999" s="25"/>
    </row>
    <row r="1000" customFormat="false" ht="14.25" hidden="false" customHeight="false" outlineLevel="0" collapsed="false">
      <c r="A1000" s="0" t="s">
        <v>101</v>
      </c>
      <c r="E1000" s="20" t="str">
        <f aca="false">IF(D1000="?OLD","!!!","")</f>
        <v/>
      </c>
      <c r="F1000" s="21" t="str">
        <f aca="false">IF(OR(E1000="",E1000="!!!"),"",IF(NOT(ISNA(VLOOKUP(E1000,E$1:E999,1,FALSE()))),"OLD",IF(AND(E1000&lt;&gt;"",E1000&lt;&gt;"!!!"),"NEW","")))</f>
        <v/>
      </c>
      <c r="G1000" s="22" t="str">
        <f aca="false"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3" t="str">
        <f aca="false">IF(J1000&lt;&gt;1,"",IF(I1000="SBJ","CB","?"))</f>
        <v/>
      </c>
      <c r="I1000" s="24" t="str">
        <f aca="false">IF(OR(E1000="",E1000="!!!",F1000="NEW"),"",INDEX(B$2:B999,-1+SUMPRODUCT(MAX(ROW(E$2:E999)*(E1000=E$2:E999)))))</f>
        <v/>
      </c>
      <c r="J1000" s="24" t="str">
        <f aca="true">IF(OR(E1000="",E1000="!!!",F1000="NEW"),"",COUNTBLANK(OFFSET(A$1,,,SUMPRODUCT(MAX(ROW(E$2:E1000)*(E1000=E$2:E1000)))))-COUNTBLANK(OFFSET(A$1,,,SUMPRODUCT(MAX(ROW(E$1:E999)*(E2=E$1:E999))))))</f>
        <v/>
      </c>
      <c r="K1000" s="24" t="str">
        <f aca="false">IF(OR(E1000="",E1000="!!!",F1000="NEW"),"",INDEX(J$1:J999,SUMPRODUCT(MAX(ROW(E$1:E999)*(E1000=E$1:E999)))))</f>
        <v/>
      </c>
      <c r="L1000" s="25"/>
    </row>
    <row r="1001" customFormat="false" ht="14.25" hidden="false" customHeight="false" outlineLevel="0" collapsed="false">
      <c r="A1001" s="0" t="s">
        <v>142</v>
      </c>
      <c r="E1001" s="20" t="str">
        <f aca="false">IF(D1001="?OLD","!!!","")</f>
        <v/>
      </c>
      <c r="F1001" s="21" t="str">
        <f aca="false">IF(OR(E1001="",E1001="!!!"),"",IF(NOT(ISNA(VLOOKUP(E1001,E$1:E1000,1,FALSE()))),"OLD",IF(AND(E1001&lt;&gt;"",E1001&lt;&gt;"!!!"),"NEW","")))</f>
        <v/>
      </c>
      <c r="G1001" s="22" t="str">
        <f aca="false"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3" t="str">
        <f aca="false">IF(J1001&lt;&gt;1,"",IF(I1001="SBJ","CB","?"))</f>
        <v/>
      </c>
      <c r="I1001" s="24" t="str">
        <f aca="false">IF(OR(E1001="",E1001="!!!",F1001="NEW"),"",INDEX(B$2:B1000,-1+SUMPRODUCT(MAX(ROW(E$2:E1000)*(E1001=E$2:E1000)))))</f>
        <v/>
      </c>
      <c r="J1001" s="24" t="str">
        <f aca="true">IF(OR(E1001="",E1001="!!!",F1001="NEW"),"",COUNTBLANK(OFFSET(A$1,,,SUMPRODUCT(MAX(ROW(E$2:E1001)*(E1001=E$2:E1001)))))-COUNTBLANK(OFFSET(A$1,,,SUMPRODUCT(MAX(ROW(E$1:E1000)*(E2=E$1:E1000))))))</f>
        <v/>
      </c>
      <c r="K1001" s="24" t="str">
        <f aca="false">IF(OR(E1001="",E1001="!!!",F1001="NEW"),"",INDEX(J$1:J1000,SUMPRODUCT(MAX(ROW(E$1:E1000)*(E1001=E$1:E1000)))))</f>
        <v/>
      </c>
      <c r="L1001" s="25"/>
    </row>
    <row r="1002" customFormat="false" ht="14.25" hidden="false" customHeight="false" outlineLevel="0" collapsed="false">
      <c r="A1002" s="0" t="s">
        <v>123</v>
      </c>
      <c r="B1002" s="26" t="s">
        <v>204</v>
      </c>
      <c r="C1002" s="26" t="s">
        <v>88</v>
      </c>
      <c r="D1002" s="26" t="s">
        <v>75</v>
      </c>
      <c r="E1002" s="20" t="s">
        <v>713</v>
      </c>
      <c r="F1002" s="21" t="str">
        <f aca="false">IF(OR(E1002="",E1002="!!!"),"",IF(NOT(ISNA(VLOOKUP(E1002,E$1:E1001,1,FALSE()))),"OLD",IF(AND(E1002&lt;&gt;"",E1002&lt;&gt;"!!!"),"NEW","")))</f>
        <v>OLD</v>
      </c>
      <c r="G1002" s="22" t="str">
        <f aca="false"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?IN_FOCUS</v>
      </c>
      <c r="H1002" s="23" t="str">
        <f aca="false">IF(J1002&lt;&gt;1,"",IF(I1002="SBJ","CB","?"))</f>
        <v/>
      </c>
      <c r="I1002" s="24" t="str">
        <f aca="false">IF(OR(E1002="",E1002="!!!",F1002="NEW"),"",INDEX(B$2:B1001,-1+SUMPRODUCT(MAX(ROW(E$2:E1001)*(E1002=E$2:E1001)))))</f>
        <v>SBJ_3</v>
      </c>
      <c r="J1002" s="24" t="n">
        <f aca="true">IF(OR(E1002="",E1002="!!!",F1002="NEW"),"",COUNTBLANK(OFFSET(A$1,,,SUMPRODUCT(MAX(ROW(E$2:E1002)*(E1002=E$2:E1002)))))-COUNTBLANK(OFFSET(A$1,,,SUMPRODUCT(MAX(ROW(E$1:E1001)*(E2=E$1:E1001))))))</f>
        <v>0</v>
      </c>
      <c r="K1002" s="24" t="str">
        <f aca="false">IF(OR(E1002="",E1002="!!!",F1002="NEW"),"",INDEX(J$1:J1001,SUMPRODUCT(MAX(ROW(E$1:E1001)*(E1002=E$1:E1001)))))</f>
        <v/>
      </c>
      <c r="L1002" s="25"/>
    </row>
    <row r="1003" customFormat="false" ht="14.25" hidden="false" customHeight="false" outlineLevel="0" collapsed="false">
      <c r="A1003" s="0" t="s">
        <v>640</v>
      </c>
      <c r="E1003" s="20" t="str">
        <f aca="false">IF(D1003="?OLD","!!!","")</f>
        <v/>
      </c>
      <c r="F1003" s="21" t="str">
        <f aca="false">IF(OR(E1003="",E1003="!!!"),"",IF(NOT(ISNA(VLOOKUP(E1003,E$1:E1002,1,FALSE()))),"OLD",IF(AND(E1003&lt;&gt;"",E1003&lt;&gt;"!!!"),"NEW","")))</f>
        <v/>
      </c>
      <c r="G1003" s="22" t="str">
        <f aca="false"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aca="false">IF(J1003&lt;&gt;1,"",IF(I1003="SBJ","CB","?"))</f>
        <v/>
      </c>
      <c r="I1003" s="24" t="str">
        <f aca="false">IF(OR(E1003="",E1003="!!!",F1003="NEW"),"",INDEX(B$2:B1002,-1+SUMPRODUCT(MAX(ROW(E$2:E1002)*(E1003=E$2:E1002)))))</f>
        <v/>
      </c>
      <c r="J1003" s="24" t="str">
        <f aca="true">IF(OR(E1003="",E1003="!!!",F1003="NEW"),"",COUNTBLANK(OFFSET(A$1,,,SUMPRODUCT(MAX(ROW(E$2:E1003)*(E1003=E$2:E1003)))))-COUNTBLANK(OFFSET(A$1,,,SUMPRODUCT(MAX(ROW(E$1:E1002)*(E2=E$1:E1002))))))</f>
        <v/>
      </c>
      <c r="K1003" s="24" t="str">
        <f aca="false">IF(OR(E1003="",E1003="!!!",F1003="NEW"),"",INDEX(J$1:J1002,SUMPRODUCT(MAX(ROW(E$1:E1002)*(E1003=E$1:E1002)))))</f>
        <v/>
      </c>
      <c r="L1003" s="25"/>
    </row>
    <row r="1004" customFormat="false" ht="14.25" hidden="false" customHeight="false" outlineLevel="0" collapsed="false">
      <c r="A1004" s="0" t="s">
        <v>259</v>
      </c>
      <c r="E1004" s="20" t="str">
        <f aca="false">IF(D1004="?OLD","!!!","")</f>
        <v/>
      </c>
      <c r="F1004" s="21" t="str">
        <f aca="false">IF(OR(E1004="",E1004="!!!"),"",IF(NOT(ISNA(VLOOKUP(E1004,E$1:E1003,1,FALSE()))),"OLD",IF(AND(E1004&lt;&gt;"",E1004&lt;&gt;"!!!"),"NEW","")))</f>
        <v/>
      </c>
      <c r="G1004" s="22" t="str">
        <f aca="false"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aca="false">IF(J1004&lt;&gt;1,"",IF(I1004="SBJ","CB","?"))</f>
        <v/>
      </c>
      <c r="I1004" s="24" t="str">
        <f aca="false">IF(OR(E1004="",E1004="!!!",F1004="NEW"),"",INDEX(B$2:B1003,-1+SUMPRODUCT(MAX(ROW(E$2:E1003)*(E1004=E$2:E1003)))))</f>
        <v/>
      </c>
      <c r="J1004" s="24" t="str">
        <f aca="true">IF(OR(E1004="",E1004="!!!",F1004="NEW"),"",COUNTBLANK(OFFSET(A$1,,,SUMPRODUCT(MAX(ROW(E$2:E1004)*(E1004=E$2:E1004)))))-COUNTBLANK(OFFSET(A$1,,,SUMPRODUCT(MAX(ROW(E$1:E1003)*(E2=E$1:E1003))))))</f>
        <v/>
      </c>
      <c r="K1004" s="24" t="str">
        <f aca="false">IF(OR(E1004="",E1004="!!!",F1004="NEW"),"",INDEX(J$1:J1003,SUMPRODUCT(MAX(ROW(E$1:E1003)*(E1004=E$1:E1003)))))</f>
        <v/>
      </c>
      <c r="L1004" s="25"/>
    </row>
    <row r="1005" customFormat="false" ht="14.25" hidden="false" customHeight="false" outlineLevel="0" collapsed="false">
      <c r="A1005" s="0" t="s">
        <v>188</v>
      </c>
      <c r="E1005" s="20" t="str">
        <f aca="false">IF(D1005="?OLD","!!!","")</f>
        <v/>
      </c>
      <c r="F1005" s="21" t="str">
        <f aca="false">IF(OR(E1005="",E1005="!!!"),"",IF(NOT(ISNA(VLOOKUP(E1005,E$1:E1004,1,FALSE()))),"OLD",IF(AND(E1005&lt;&gt;"",E1005&lt;&gt;"!!!"),"NEW","")))</f>
        <v/>
      </c>
      <c r="G1005" s="22" t="str">
        <f aca="false"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aca="false">IF(J1005&lt;&gt;1,"",IF(I1005="SBJ","CB","?"))</f>
        <v/>
      </c>
      <c r="I1005" s="24" t="str">
        <f aca="false">IF(OR(E1005="",E1005="!!!",F1005="NEW"),"",INDEX(B$2:B1004,-1+SUMPRODUCT(MAX(ROW(E$2:E1004)*(E1005=E$2:E1004)))))</f>
        <v/>
      </c>
      <c r="J1005" s="24" t="str">
        <f aca="true">IF(OR(E1005="",E1005="!!!",F1005="NEW"),"",COUNTBLANK(OFFSET(A$1,,,SUMPRODUCT(MAX(ROW(E$2:E1005)*(E1005=E$2:E1005)))))-COUNTBLANK(OFFSET(A$1,,,SUMPRODUCT(MAX(ROW(E$1:E1004)*(E2=E$1:E1004))))))</f>
        <v/>
      </c>
      <c r="K1005" s="24" t="str">
        <f aca="false">IF(OR(E1005="",E1005="!!!",F1005="NEW"),"",INDEX(J$1:J1004,SUMPRODUCT(MAX(ROW(E$1:E1004)*(E1005=E$1:E1004)))))</f>
        <v/>
      </c>
      <c r="L1005" s="25"/>
    </row>
    <row r="1006" customFormat="false" ht="14.25" hidden="false" customHeight="false" outlineLevel="0" collapsed="false">
      <c r="A1006" s="0" t="s">
        <v>431</v>
      </c>
      <c r="B1006" s="26" t="s">
        <v>307</v>
      </c>
      <c r="C1006" s="26" t="s">
        <v>74</v>
      </c>
      <c r="D1006" s="26" t="s">
        <v>75</v>
      </c>
      <c r="E1006" s="20" t="s">
        <v>235</v>
      </c>
      <c r="F1006" s="21" t="str">
        <f aca="false">IF(OR(E1006="",E1006="!!!"),"",IF(NOT(ISNA(VLOOKUP(E1006,E$1:E1005,1,FALSE()))),"OLD",IF(AND(E1006&lt;&gt;"",E1006&lt;&gt;"!!!"),"NEW","")))</f>
        <v>OLD</v>
      </c>
      <c r="G1006" s="22" t="str">
        <f aca="false"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?IN_FOCUS</v>
      </c>
      <c r="H1006" s="23" t="str">
        <f aca="false">IF(J1006&lt;&gt;1,"",IF(I1006="SBJ","CB","?"))</f>
        <v/>
      </c>
      <c r="I1006" s="24" t="str">
        <f aca="false">IF(OR(E1006="",E1006="!!!",F1006="NEW"),"",INDEX(B$2:B1005,-1+SUMPRODUCT(MAX(ROW(E$2:E1005)*(E1006=E$2:E1005)))))</f>
        <v>other_7</v>
      </c>
      <c r="J1006" s="24" t="n">
        <f aca="true">IF(OR(E1006="",E1006="!!!",F1006="NEW"),"",COUNTBLANK(OFFSET(A$1,,,SUMPRODUCT(MAX(ROW(E$2:E1006)*(E1006=E$2:E1006)))))-COUNTBLANK(OFFSET(A$1,,,SUMPRODUCT(MAX(ROW(E$1:E1005)*(E2=E$1:E1005))))))</f>
        <v>0</v>
      </c>
      <c r="K1006" s="24" t="n">
        <f aca="false">IF(OR(E1006="",E1006="!!!",F1006="NEW"),"",INDEX(J$1:J1005,SUMPRODUCT(MAX(ROW(E$1:E1005)*(E1006=E$1:E1005)))))</f>
        <v>0</v>
      </c>
      <c r="L1006" s="25"/>
    </row>
    <row r="1007" customFormat="false" ht="14.25" hidden="false" customHeight="false" outlineLevel="0" collapsed="false">
      <c r="A1007" s="0" t="s">
        <v>78</v>
      </c>
      <c r="E1007" s="20" t="str">
        <f aca="false">IF(D1007="?OLD","!!!","")</f>
        <v/>
      </c>
      <c r="F1007" s="21" t="str">
        <f aca="false">IF(OR(E1007="",E1007="!!!"),"",IF(NOT(ISNA(VLOOKUP(E1007,E$1:E1006,1,FALSE()))),"OLD",IF(AND(E1007&lt;&gt;"",E1007&lt;&gt;"!!!"),"NEW","")))</f>
        <v/>
      </c>
      <c r="G1007" s="22" t="str">
        <f aca="false"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aca="false">IF(J1007&lt;&gt;1,"",IF(I1007="SBJ","CB","?"))</f>
        <v/>
      </c>
      <c r="I1007" s="24" t="str">
        <f aca="false">IF(OR(E1007="",E1007="!!!",F1007="NEW"),"",INDEX(B$2:B1006,-1+SUMPRODUCT(MAX(ROW(E$2:E1006)*(E1007=E$2:E1006)))))</f>
        <v/>
      </c>
      <c r="J1007" s="24" t="str">
        <f aca="true">IF(OR(E1007="",E1007="!!!",F1007="NEW"),"",COUNTBLANK(OFFSET(A$1,,,SUMPRODUCT(MAX(ROW(E$2:E1007)*(E1007=E$2:E1007)))))-COUNTBLANK(OFFSET(A$1,,,SUMPRODUCT(MAX(ROW(E$1:E1006)*(E2=E$1:E1006))))))</f>
        <v/>
      </c>
      <c r="K1007" s="24" t="str">
        <f aca="false">IF(OR(E1007="",E1007="!!!",F1007="NEW"),"",INDEX(J$1:J1006,SUMPRODUCT(MAX(ROW(E$1:E1006)*(E1007=E$1:E1006)))))</f>
        <v/>
      </c>
      <c r="L1007" s="25"/>
    </row>
    <row r="1008" customFormat="false" ht="14.25" hidden="false" customHeight="false" outlineLevel="0" collapsed="false">
      <c r="A1008" s="0" t="s">
        <v>101</v>
      </c>
      <c r="E1008" s="20" t="str">
        <f aca="false">IF(D1008="?OLD","!!!","")</f>
        <v/>
      </c>
      <c r="F1008" s="21" t="str">
        <f aca="false">IF(OR(E1008="",E1008="!!!"),"",IF(NOT(ISNA(VLOOKUP(E1008,E$1:E1007,1,FALSE()))),"OLD",IF(AND(E1008&lt;&gt;"",E1008&lt;&gt;"!!!"),"NEW","")))</f>
        <v/>
      </c>
      <c r="G1008" s="22" t="str">
        <f aca="false"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3" t="str">
        <f aca="false">IF(J1008&lt;&gt;1,"",IF(I1008="SBJ","CB","?"))</f>
        <v/>
      </c>
      <c r="I1008" s="24" t="str">
        <f aca="false">IF(OR(E1008="",E1008="!!!",F1008="NEW"),"",INDEX(B$2:B1007,-1+SUMPRODUCT(MAX(ROW(E$2:E1007)*(E1008=E$2:E1007)))))</f>
        <v/>
      </c>
      <c r="J1008" s="24" t="str">
        <f aca="true">IF(OR(E1008="",E1008="!!!",F1008="NEW"),"",COUNTBLANK(OFFSET(A$1,,,SUMPRODUCT(MAX(ROW(E$2:E1008)*(E1008=E$2:E1008)))))-COUNTBLANK(OFFSET(A$1,,,SUMPRODUCT(MAX(ROW(E$1:E1007)*(E2=E$1:E1007))))))</f>
        <v/>
      </c>
      <c r="K1008" s="24" t="str">
        <f aca="false">IF(OR(E1008="",E1008="!!!",F1008="NEW"),"",INDEX(J$1:J1007,SUMPRODUCT(MAX(ROW(E$1:E1007)*(E1008=E$1:E1007)))))</f>
        <v/>
      </c>
      <c r="L1008" s="25"/>
    </row>
    <row r="1009" customFormat="false" ht="14.25" hidden="false" customHeight="false" outlineLevel="0" collapsed="false">
      <c r="A1009" s="0" t="s">
        <v>719</v>
      </c>
      <c r="E1009" s="20" t="str">
        <f aca="false">IF(D1009="?OLD","!!!","")</f>
        <v/>
      </c>
      <c r="F1009" s="21" t="str">
        <f aca="false">IF(OR(E1009="",E1009="!!!"),"",IF(NOT(ISNA(VLOOKUP(E1009,E$1:E1008,1,FALSE()))),"OLD",IF(AND(E1009&lt;&gt;"",E1009&lt;&gt;"!!!"),"NEW","")))</f>
        <v/>
      </c>
      <c r="G1009" s="22" t="str">
        <f aca="false"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3" t="str">
        <f aca="false">IF(J1009&lt;&gt;1,"",IF(I1009="SBJ","CB","?"))</f>
        <v/>
      </c>
      <c r="I1009" s="24" t="str">
        <f aca="false">IF(OR(E1009="",E1009="!!!",F1009="NEW"),"",INDEX(B$2:B1008,-1+SUMPRODUCT(MAX(ROW(E$2:E1008)*(E1009=E$2:E1008)))))</f>
        <v/>
      </c>
      <c r="J1009" s="24" t="str">
        <f aca="true">IF(OR(E1009="",E1009="!!!",F1009="NEW"),"",COUNTBLANK(OFFSET(A$1,,,SUMPRODUCT(MAX(ROW(E$2:E1009)*(E1009=E$2:E1009)))))-COUNTBLANK(OFFSET(A$1,,,SUMPRODUCT(MAX(ROW(E$1:E1008)*(E2=E$1:E1008))))))</f>
        <v/>
      </c>
      <c r="K1009" s="24" t="str">
        <f aca="false">IF(OR(E1009="",E1009="!!!",F1009="NEW"),"",INDEX(J$1:J1008,SUMPRODUCT(MAX(ROW(E$1:E1008)*(E1009=E$1:E1008)))))</f>
        <v/>
      </c>
      <c r="L1009" s="25"/>
    </row>
    <row r="1010" customFormat="false" ht="14.25" hidden="false" customHeight="false" outlineLevel="0" collapsed="false">
      <c r="A1010" s="0" t="s">
        <v>123</v>
      </c>
      <c r="B1010" s="26" t="s">
        <v>96</v>
      </c>
      <c r="C1010" s="26" t="s">
        <v>88</v>
      </c>
      <c r="D1010" s="26" t="s">
        <v>75</v>
      </c>
      <c r="E1010" s="20" t="s">
        <v>713</v>
      </c>
      <c r="F1010" s="21" t="str">
        <f aca="false">IF(OR(E1010="",E1010="!!!"),"",IF(NOT(ISNA(VLOOKUP(E1010,E$1:E1009,1,FALSE()))),"OLD",IF(AND(E1010&lt;&gt;"",E1010&lt;&gt;"!!!"),"NEW","")))</f>
        <v>OLD</v>
      </c>
      <c r="G1010" s="22" t="str">
        <f aca="false"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?IN_FOCUS</v>
      </c>
      <c r="H1010" s="23" t="str">
        <f aca="false">IF(J1010&lt;&gt;1,"",IF(I1010="SBJ","CB","?"))</f>
        <v/>
      </c>
      <c r="I1010" s="24" t="str">
        <f aca="false">IF(OR(E1010="",E1010="!!!",F1010="NEW"),"",INDEX(B$2:B1009,-1+SUMPRODUCT(MAX(ROW(E$2:E1009)*(E1010=E$2:E1009)))))</f>
        <v>SBJ_5</v>
      </c>
      <c r="J1010" s="24" t="n">
        <f aca="true">IF(OR(E1010="",E1010="!!!",F1010="NEW"),"",COUNTBLANK(OFFSET(A$1,,,SUMPRODUCT(MAX(ROW(E$2:E1010)*(E1010=E$2:E1010)))))-COUNTBLANK(OFFSET(A$1,,,SUMPRODUCT(MAX(ROW(E$1:E1009)*(E2=E$1:E1009))))))</f>
        <v>0</v>
      </c>
      <c r="K1010" s="24" t="n">
        <f aca="false">IF(OR(E1010="",E1010="!!!",F1010="NEW"),"",INDEX(J$1:J1009,SUMPRODUCT(MAX(ROW(E$1:E1009)*(E1010=E$1:E1009)))))</f>
        <v>0</v>
      </c>
      <c r="L1010" s="25"/>
    </row>
    <row r="1011" customFormat="false" ht="14.25" hidden="false" customHeight="false" outlineLevel="0" collapsed="false">
      <c r="A1011" s="0" t="s">
        <v>116</v>
      </c>
      <c r="E1011" s="20" t="str">
        <f aca="false">IF(D1011="?OLD","!!!","")</f>
        <v/>
      </c>
      <c r="F1011" s="21" t="str">
        <f aca="false">IF(OR(E1011="",E1011="!!!"),"",IF(NOT(ISNA(VLOOKUP(E1011,E$1:E1010,1,FALSE()))),"OLD",IF(AND(E1011&lt;&gt;"",E1011&lt;&gt;"!!!"),"NEW","")))</f>
        <v/>
      </c>
      <c r="G1011" s="22" t="str">
        <f aca="false"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aca="false">IF(J1011&lt;&gt;1,"",IF(I1011="SBJ","CB","?"))</f>
        <v/>
      </c>
      <c r="I1011" s="24" t="str">
        <f aca="false">IF(OR(E1011="",E1011="!!!",F1011="NEW"),"",INDEX(B$2:B1010,-1+SUMPRODUCT(MAX(ROW(E$2:E1010)*(E1011=E$2:E1010)))))</f>
        <v/>
      </c>
      <c r="J1011" s="24" t="str">
        <f aca="true">IF(OR(E1011="",E1011="!!!",F1011="NEW"),"",COUNTBLANK(OFFSET(A$1,,,SUMPRODUCT(MAX(ROW(E$2:E1011)*(E1011=E$2:E1011)))))-COUNTBLANK(OFFSET(A$1,,,SUMPRODUCT(MAX(ROW(E$1:E1010)*(E2=E$1:E1010))))))</f>
        <v/>
      </c>
      <c r="K1011" s="24" t="str">
        <f aca="false">IF(OR(E1011="",E1011="!!!",F1011="NEW"),"",INDEX(J$1:J1010,SUMPRODUCT(MAX(ROW(E$1:E1010)*(E1011=E$1:E1010)))))</f>
        <v/>
      </c>
      <c r="L1011" s="25"/>
    </row>
    <row r="1012" customFormat="false" ht="14.25" hidden="false" customHeight="false" outlineLevel="0" collapsed="false">
      <c r="A1012" s="0" t="s">
        <v>720</v>
      </c>
      <c r="B1012" s="26" t="s">
        <v>131</v>
      </c>
      <c r="C1012" s="26" t="s">
        <v>488</v>
      </c>
      <c r="E1012" s="20" t="str">
        <f aca="false">IF(D1012="?OLD","!!!","")</f>
        <v/>
      </c>
      <c r="F1012" s="21" t="str">
        <f aca="false">IF(OR(E1012="",E1012="!!!"),"",IF(NOT(ISNA(VLOOKUP(E1012,E$1:E1011,1,FALSE()))),"OLD",IF(AND(E1012&lt;&gt;"",E1012&lt;&gt;"!!!"),"NEW","")))</f>
        <v/>
      </c>
      <c r="G1012" s="22" t="str">
        <f aca="false"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aca="false">IF(J1012&lt;&gt;1,"",IF(I1012="SBJ","CB","?"))</f>
        <v/>
      </c>
      <c r="I1012" s="24" t="str">
        <f aca="false">IF(OR(E1012="",E1012="!!!",F1012="NEW"),"",INDEX(B$2:B1011,-1+SUMPRODUCT(MAX(ROW(E$2:E1011)*(E1012=E$2:E1011)))))</f>
        <v/>
      </c>
      <c r="J1012" s="24" t="str">
        <f aca="true">IF(OR(E1012="",E1012="!!!",F1012="NEW"),"",COUNTBLANK(OFFSET(A$1,,,SUMPRODUCT(MAX(ROW(E$2:E1012)*(E1012=E$2:E1012)))))-COUNTBLANK(OFFSET(A$1,,,SUMPRODUCT(MAX(ROW(E$1:E1011)*(E2=E$1:E1011))))))</f>
        <v/>
      </c>
      <c r="K1012" s="24" t="str">
        <f aca="false">IF(OR(E1012="",E1012="!!!",F1012="NEW"),"",INDEX(J$1:J1011,SUMPRODUCT(MAX(ROW(E$1:E1011)*(E1012=E$1:E1011)))))</f>
        <v/>
      </c>
      <c r="L1012" s="25"/>
    </row>
    <row r="1013" customFormat="false" ht="14.25" hidden="false" customHeight="false" outlineLevel="0" collapsed="false">
      <c r="A1013" s="0" t="s">
        <v>246</v>
      </c>
      <c r="E1013" s="20" t="str">
        <f aca="false">IF(D1013="?OLD","!!!","")</f>
        <v/>
      </c>
      <c r="F1013" s="21" t="str">
        <f aca="false">IF(OR(E1013="",E1013="!!!"),"",IF(NOT(ISNA(VLOOKUP(E1013,E$1:E1012,1,FALSE()))),"OLD",IF(AND(E1013&lt;&gt;"",E1013&lt;&gt;"!!!"),"NEW","")))</f>
        <v/>
      </c>
      <c r="G1013" s="22" t="str">
        <f aca="false"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aca="false">IF(J1013&lt;&gt;1,"",IF(I1013="SBJ","CB","?"))</f>
        <v/>
      </c>
      <c r="I1013" s="24" t="str">
        <f aca="false">IF(OR(E1013="",E1013="!!!",F1013="NEW"),"",INDEX(B$2:B1012,-1+SUMPRODUCT(MAX(ROW(E$2:E1012)*(E1013=E$2:E1012)))))</f>
        <v/>
      </c>
      <c r="J1013" s="24" t="str">
        <f aca="true">IF(OR(E1013="",E1013="!!!",F1013="NEW"),"",COUNTBLANK(OFFSET(A$1,,,SUMPRODUCT(MAX(ROW(E$2:E1013)*(E1013=E$2:E1013)))))-COUNTBLANK(OFFSET(A$1,,,SUMPRODUCT(MAX(ROW(E$1:E1012)*(E2=E$1:E1012))))))</f>
        <v/>
      </c>
      <c r="K1013" s="24" t="str">
        <f aca="false">IF(OR(E1013="",E1013="!!!",F1013="NEW"),"",INDEX(J$1:J1012,SUMPRODUCT(MAX(ROW(E$1:E1012)*(E1013=E$1:E1012)))))</f>
        <v/>
      </c>
      <c r="L1013" s="25"/>
    </row>
    <row r="1014" customFormat="false" ht="14.25" hidden="false" customHeight="false" outlineLevel="0" collapsed="false">
      <c r="A1014" s="0" t="s">
        <v>455</v>
      </c>
      <c r="E1014" s="20" t="str">
        <f aca="false">IF(D1014="?OLD","!!!","")</f>
        <v/>
      </c>
      <c r="F1014" s="21" t="str">
        <f aca="false">IF(OR(E1014="",E1014="!!!"),"",IF(NOT(ISNA(VLOOKUP(E1014,E$1:E1013,1,FALSE()))),"OLD",IF(AND(E1014&lt;&gt;"",E1014&lt;&gt;"!!!"),"NEW","")))</f>
        <v/>
      </c>
      <c r="G1014" s="22" t="str">
        <f aca="false"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aca="false">IF(J1014&lt;&gt;1,"",IF(I1014="SBJ","CB","?"))</f>
        <v/>
      </c>
      <c r="I1014" s="24" t="str">
        <f aca="false">IF(OR(E1014="",E1014="!!!",F1014="NEW"),"",INDEX(B$2:B1013,-1+SUMPRODUCT(MAX(ROW(E$2:E1013)*(E1014=E$2:E1013)))))</f>
        <v/>
      </c>
      <c r="J1014" s="24" t="str">
        <f aca="true">IF(OR(E1014="",E1014="!!!",F1014="NEW"),"",COUNTBLANK(OFFSET(A$1,,,SUMPRODUCT(MAX(ROW(E$2:E1014)*(E1014=E$2:E1014)))))-COUNTBLANK(OFFSET(A$1,,,SUMPRODUCT(MAX(ROW(E$1:E1013)*(E2=E$1:E1013))))))</f>
        <v/>
      </c>
      <c r="K1014" s="24" t="str">
        <f aca="false">IF(OR(E1014="",E1014="!!!",F1014="NEW"),"",INDEX(J$1:J1013,SUMPRODUCT(MAX(ROW(E$1:E1013)*(E1014=E$1:E1013)))))</f>
        <v/>
      </c>
      <c r="L1014" s="25"/>
    </row>
    <row r="1015" customFormat="false" ht="14.25" hidden="false" customHeight="false" outlineLevel="0" collapsed="false">
      <c r="A1015" s="0" t="s">
        <v>721</v>
      </c>
      <c r="B1015" s="26" t="s">
        <v>131</v>
      </c>
      <c r="C1015" s="26" t="s">
        <v>105</v>
      </c>
      <c r="E1015" s="20" t="str">
        <f aca="false">IF(D1015="?OLD","!!!","")</f>
        <v/>
      </c>
      <c r="F1015" s="21" t="str">
        <f aca="false">IF(OR(E1015="",E1015="!!!"),"",IF(NOT(ISNA(VLOOKUP(E1015,E$1:E1014,1,FALSE()))),"OLD",IF(AND(E1015&lt;&gt;"",E1015&lt;&gt;"!!!"),"NEW","")))</f>
        <v/>
      </c>
      <c r="G1015" s="22" t="str">
        <f aca="false"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aca="false">IF(J1015&lt;&gt;1,"",IF(I1015="SBJ","CB","?"))</f>
        <v/>
      </c>
      <c r="I1015" s="24" t="str">
        <f aca="false">IF(OR(E1015="",E1015="!!!",F1015="NEW"),"",INDEX(B$2:B1014,-1+SUMPRODUCT(MAX(ROW(E$2:E1014)*(E1015=E$2:E1014)))))</f>
        <v/>
      </c>
      <c r="J1015" s="24" t="str">
        <f aca="true">IF(OR(E1015="",E1015="!!!",F1015="NEW"),"",COUNTBLANK(OFFSET(A$1,,,SUMPRODUCT(MAX(ROW(E$2:E1015)*(E1015=E$2:E1015)))))-COUNTBLANK(OFFSET(A$1,,,SUMPRODUCT(MAX(ROW(E$1:E1014)*(E2=E$1:E1014))))))</f>
        <v/>
      </c>
      <c r="K1015" s="24" t="str">
        <f aca="false">IF(OR(E1015="",E1015="!!!",F1015="NEW"),"",INDEX(J$1:J1014,SUMPRODUCT(MAX(ROW(E$1:E1014)*(E1015=E$1:E1014)))))</f>
        <v/>
      </c>
      <c r="L1015" s="25"/>
    </row>
    <row r="1016" customFormat="false" ht="14.25" hidden="false" customHeight="false" outlineLevel="0" collapsed="false">
      <c r="A1016" s="0" t="s">
        <v>90</v>
      </c>
      <c r="B1016" s="26" t="s">
        <v>154</v>
      </c>
      <c r="E1016" s="20" t="str">
        <f aca="false">IF(D1016="?OLD","!!!","")</f>
        <v/>
      </c>
      <c r="F1016" s="21" t="str">
        <f aca="false">IF(OR(E1016="",E1016="!!!"),"",IF(NOT(ISNA(VLOOKUP(E1016,E$1:E1015,1,FALSE()))),"OLD",IF(AND(E1016&lt;&gt;"",E1016&lt;&gt;"!!!"),"NEW","")))</f>
        <v/>
      </c>
      <c r="G1016" s="22" t="str">
        <f aca="false"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aca="false">IF(J1016&lt;&gt;1,"",IF(I1016="SBJ","CB","?"))</f>
        <v/>
      </c>
      <c r="I1016" s="24" t="str">
        <f aca="false">IF(OR(E1016="",E1016="!!!",F1016="NEW"),"",INDEX(B$2:B1015,-1+SUMPRODUCT(MAX(ROW(E$2:E1015)*(E1016=E$2:E1015)))))</f>
        <v/>
      </c>
      <c r="J1016" s="24" t="str">
        <f aca="true">IF(OR(E1016="",E1016="!!!",F1016="NEW"),"",COUNTBLANK(OFFSET(A$1,,,SUMPRODUCT(MAX(ROW(E$2:E1016)*(E1016=E$2:E1016)))))-COUNTBLANK(OFFSET(A$1,,,SUMPRODUCT(MAX(ROW(E$1:E1015)*(E2=E$1:E1015))))))</f>
        <v/>
      </c>
      <c r="K1016" s="24" t="str">
        <f aca="false">IF(OR(E1016="",E1016="!!!",F1016="NEW"),"",INDEX(J$1:J1015,SUMPRODUCT(MAX(ROW(E$1:E1015)*(E1016=E$1:E1015)))))</f>
        <v/>
      </c>
      <c r="L1016" s="25"/>
    </row>
    <row r="1017" customFormat="false" ht="14.25" hidden="false" customHeight="false" outlineLevel="0" collapsed="false">
      <c r="A1017" s="0" t="s">
        <v>103</v>
      </c>
      <c r="B1017" s="26" t="s">
        <v>147</v>
      </c>
      <c r="C1017" s="26" t="s">
        <v>105</v>
      </c>
      <c r="E1017" s="20"/>
      <c r="F1017" s="21" t="str">
        <f aca="false">IF(OR(E1017="",E1017="!!!"),"",IF(NOT(ISNA(VLOOKUP(E1017,E$1:E1016,1,FALSE()))),"OLD",IF(AND(E1017&lt;&gt;"",E1017&lt;&gt;"!!!"),"NEW","")))</f>
        <v/>
      </c>
      <c r="G1017" s="22" t="str">
        <f aca="false"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3" t="str">
        <f aca="false">IF(J1017&lt;&gt;1,"",IF(I1017="SBJ","CB","?"))</f>
        <v/>
      </c>
      <c r="I1017" s="24" t="str">
        <f aca="false">IF(OR(E1017="",E1017="!!!",F1017="NEW"),"",INDEX(B$2:B1016,-1+SUMPRODUCT(MAX(ROW(E$2:E1016)*(E1017=E$2:E1016)))))</f>
        <v/>
      </c>
      <c r="J1017" s="24" t="str">
        <f aca="true">IF(OR(E1017="",E1017="!!!",F1017="NEW"),"",COUNTBLANK(OFFSET(A$1,,,SUMPRODUCT(MAX(ROW(E$2:E1017)*(E1017=E$2:E1017)))))-COUNTBLANK(OFFSET(A$1,,,SUMPRODUCT(MAX(ROW(E$1:E1016)*(E2=E$1:E1016))))))</f>
        <v/>
      </c>
      <c r="K1017" s="24" t="str">
        <f aca="false">IF(OR(E1017="",E1017="!!!",F1017="NEW"),"",INDEX(J$1:J1016,SUMPRODUCT(MAX(ROW(E$1:E1016)*(E1017=E$1:E1016)))))</f>
        <v/>
      </c>
      <c r="L1017" s="25"/>
    </row>
    <row r="1018" customFormat="false" ht="14.25" hidden="false" customHeight="false" outlineLevel="0" collapsed="false">
      <c r="A1018" s="0" t="s">
        <v>101</v>
      </c>
      <c r="E1018" s="20" t="str">
        <f aca="false">IF(D1018="?OLD","!!!","")</f>
        <v/>
      </c>
      <c r="F1018" s="21" t="str">
        <f aca="false">IF(OR(E1018="",E1018="!!!"),"",IF(NOT(ISNA(VLOOKUP(E1018,E$1:E1017,1,FALSE()))),"OLD",IF(AND(E1018&lt;&gt;"",E1018&lt;&gt;"!!!"),"NEW","")))</f>
        <v/>
      </c>
      <c r="G1018" s="22" t="str">
        <f aca="false"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3" t="str">
        <f aca="false">IF(J1018&lt;&gt;1,"",IF(I1018="SBJ","CB","?"))</f>
        <v/>
      </c>
      <c r="I1018" s="24" t="str">
        <f aca="false">IF(OR(E1018="",E1018="!!!",F1018="NEW"),"",INDEX(B$2:B1017,-1+SUMPRODUCT(MAX(ROW(E$2:E1017)*(E1018=E$2:E1017)))))</f>
        <v/>
      </c>
      <c r="J1018" s="24" t="str">
        <f aca="true">IF(OR(E1018="",E1018="!!!",F1018="NEW"),"",COUNTBLANK(OFFSET(A$1,,,SUMPRODUCT(MAX(ROW(E$2:E1018)*(E1018=E$2:E1018)))))-COUNTBLANK(OFFSET(A$1,,,SUMPRODUCT(MAX(ROW(E$1:E1017)*(E2=E$1:E1017))))))</f>
        <v/>
      </c>
      <c r="K1018" s="24" t="str">
        <f aca="false">IF(OR(E1018="",E1018="!!!",F1018="NEW"),"",INDEX(J$1:J1017,SUMPRODUCT(MAX(ROW(E$1:E1017)*(E1018=E$1:E1017)))))</f>
        <v/>
      </c>
      <c r="L1018" s="25"/>
    </row>
    <row r="1019" customFormat="false" ht="14.25" hidden="false" customHeight="false" outlineLevel="0" collapsed="false">
      <c r="A1019" s="0" t="s">
        <v>722</v>
      </c>
      <c r="E1019" s="20" t="str">
        <f aca="false">IF(D1019="?OLD","!!!","")</f>
        <v/>
      </c>
      <c r="F1019" s="21" t="str">
        <f aca="false">IF(OR(E1019="",E1019="!!!"),"",IF(NOT(ISNA(VLOOKUP(E1019,E$1:E1018,1,FALSE()))),"OLD",IF(AND(E1019&lt;&gt;"",E1019&lt;&gt;"!!!"),"NEW","")))</f>
        <v/>
      </c>
      <c r="G1019" s="22" t="str">
        <f aca="false"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3" t="str">
        <f aca="false">IF(J1019&lt;&gt;1,"",IF(I1019="SBJ","CB","?"))</f>
        <v/>
      </c>
      <c r="I1019" s="24" t="str">
        <f aca="false">IF(OR(E1019="",E1019="!!!",F1019="NEW"),"",INDEX(B$2:B1018,-1+SUMPRODUCT(MAX(ROW(E$2:E1018)*(E1019=E$2:E1018)))))</f>
        <v/>
      </c>
      <c r="J1019" s="24" t="str">
        <f aca="true">IF(OR(E1019="",E1019="!!!",F1019="NEW"),"",COUNTBLANK(OFFSET(A$1,,,SUMPRODUCT(MAX(ROW(E$2:E1019)*(E1019=E$2:E1019)))))-COUNTBLANK(OFFSET(A$1,,,SUMPRODUCT(MAX(ROW(E$1:E1018)*(E2=E$1:E1018))))))</f>
        <v/>
      </c>
      <c r="K1019" s="24" t="str">
        <f aca="false">IF(OR(E1019="",E1019="!!!",F1019="NEW"),"",INDEX(J$1:J1018,SUMPRODUCT(MAX(ROW(E$1:E1018)*(E1019=E$1:E1018)))))</f>
        <v/>
      </c>
      <c r="L1019" s="25"/>
    </row>
    <row r="1020" customFormat="false" ht="14.25" hidden="false" customHeight="false" outlineLevel="0" collapsed="false">
      <c r="A1020" s="0" t="s">
        <v>723</v>
      </c>
      <c r="E1020" s="20" t="str">
        <f aca="false">IF(D1020="?OLD","!!!","")</f>
        <v/>
      </c>
      <c r="F1020" s="21" t="str">
        <f aca="false">IF(OR(E1020="",E1020="!!!"),"",IF(NOT(ISNA(VLOOKUP(E1020,E$1:E1019,1,FALSE()))),"OLD",IF(AND(E1020&lt;&gt;"",E1020&lt;&gt;"!!!"),"NEW","")))</f>
        <v/>
      </c>
      <c r="G1020" s="22" t="str">
        <f aca="false"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3" t="str">
        <f aca="false">IF(J1020&lt;&gt;1,"",IF(I1020="SBJ","CB","?"))</f>
        <v/>
      </c>
      <c r="I1020" s="24" t="str">
        <f aca="false">IF(OR(E1020="",E1020="!!!",F1020="NEW"),"",INDEX(B$2:B1019,-1+SUMPRODUCT(MAX(ROW(E$2:E1019)*(E1020=E$2:E1019)))))</f>
        <v/>
      </c>
      <c r="J1020" s="24" t="str">
        <f aca="true">IF(OR(E1020="",E1020="!!!",F1020="NEW"),"",COUNTBLANK(OFFSET(A$1,,,SUMPRODUCT(MAX(ROW(E$2:E1020)*(E1020=E$2:E1020)))))-COUNTBLANK(OFFSET(A$1,,,SUMPRODUCT(MAX(ROW(E$1:E1019)*(E2=E$1:E1019))))))</f>
        <v/>
      </c>
      <c r="K1020" s="24" t="str">
        <f aca="false">IF(OR(E1020="",E1020="!!!",F1020="NEW"),"",INDEX(J$1:J1019,SUMPRODUCT(MAX(ROW(E$1:E1019)*(E1020=E$1:E1019)))))</f>
        <v/>
      </c>
      <c r="L1020" s="25"/>
    </row>
    <row r="1021" customFormat="false" ht="14.25" hidden="false" customHeight="false" outlineLevel="0" collapsed="false">
      <c r="A1021" s="0" t="s">
        <v>103</v>
      </c>
      <c r="B1021" s="26" t="s">
        <v>115</v>
      </c>
      <c r="C1021" s="26" t="s">
        <v>105</v>
      </c>
      <c r="E1021" s="20" t="s">
        <v>185</v>
      </c>
      <c r="F1021" s="21" t="str">
        <f aca="false">IF(OR(E1021="",E1021="!!!"),"",IF(NOT(ISNA(VLOOKUP(E1021,E$1:E1020,1,FALSE()))),"OLD",IF(AND(E1021&lt;&gt;"",E1021&lt;&gt;"!!!"),"NEW","")))</f>
        <v>OLD</v>
      </c>
      <c r="G1021" s="22" t="str">
        <f aca="false"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?IN_FOCUS</v>
      </c>
      <c r="H1021" s="23" t="str">
        <f aca="false">IF(J1021&lt;&gt;1,"",IF(I1021="SBJ","CB","?"))</f>
        <v/>
      </c>
      <c r="I1021" s="24" t="str">
        <f aca="false">IF(OR(E1021="",E1021="!!!",F1021="NEW"),"",INDEX(B$2:B1020,-1+SUMPRODUCT(MAX(ROW(E$2:E1020)*(E1021=E$2:E1020)))))</f>
        <v>other_2</v>
      </c>
      <c r="J1021" s="24" t="n">
        <f aca="true">IF(OR(E1021="",E1021="!!!",F1021="NEW"),"",COUNTBLANK(OFFSET(A$1,,,SUMPRODUCT(MAX(ROW(E$2:E1021)*(E1021=E$2:E1021)))))-COUNTBLANK(OFFSET(A$1,,,SUMPRODUCT(MAX(ROW(E$1:E1020)*(E2=E$1:E1020))))))</f>
        <v>0</v>
      </c>
      <c r="K1021" s="24" t="str">
        <f aca="false">IF(OR(E1021="",E1021="!!!",F1021="NEW"),"",INDEX(J$1:J1020,SUMPRODUCT(MAX(ROW(E$1:E1020)*(E1021=E$1:E1020)))))</f>
        <v/>
      </c>
      <c r="L1021" s="27" t="s">
        <v>338</v>
      </c>
    </row>
    <row r="1022" customFormat="false" ht="14.25" hidden="false" customHeight="false" outlineLevel="0" collapsed="false">
      <c r="A1022" s="0" t="s">
        <v>455</v>
      </c>
      <c r="E1022" s="20" t="str">
        <f aca="false">IF(D1022="?OLD","!!!","")</f>
        <v/>
      </c>
      <c r="F1022" s="21" t="str">
        <f aca="false">IF(OR(E1022="",E1022="!!!"),"",IF(NOT(ISNA(VLOOKUP(E1022,E$1:E1021,1,FALSE()))),"OLD",IF(AND(E1022&lt;&gt;"",E1022&lt;&gt;"!!!"),"NEW","")))</f>
        <v/>
      </c>
      <c r="G1022" s="22" t="str">
        <f aca="false"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aca="false">IF(J1022&lt;&gt;1,"",IF(I1022="SBJ","CB","?"))</f>
        <v/>
      </c>
      <c r="I1022" s="24" t="str">
        <f aca="false">IF(OR(E1022="",E1022="!!!",F1022="NEW"),"",INDEX(B$2:B1021,-1+SUMPRODUCT(MAX(ROW(E$2:E1021)*(E1022=E$2:E1021)))))</f>
        <v/>
      </c>
      <c r="J1022" s="24" t="str">
        <f aca="true">IF(OR(E1022="",E1022="!!!",F1022="NEW"),"",COUNTBLANK(OFFSET(A$1,,,SUMPRODUCT(MAX(ROW(E$2:E1022)*(E1022=E$2:E1022)))))-COUNTBLANK(OFFSET(A$1,,,SUMPRODUCT(MAX(ROW(E$1:E1021)*(E2=E$1:E1021))))))</f>
        <v/>
      </c>
      <c r="K1022" s="24" t="str">
        <f aca="false">IF(OR(E1022="",E1022="!!!",F1022="NEW"),"",INDEX(J$1:J1021,SUMPRODUCT(MAX(ROW(E$1:E1021)*(E1022=E$1:E1021)))))</f>
        <v/>
      </c>
      <c r="L1022" s="25"/>
    </row>
    <row r="1023" customFormat="false" ht="14.25" hidden="false" customHeight="false" outlineLevel="0" collapsed="false">
      <c r="A1023" s="0" t="s">
        <v>724</v>
      </c>
      <c r="B1023" s="26" t="s">
        <v>82</v>
      </c>
      <c r="C1023" s="26" t="s">
        <v>105</v>
      </c>
      <c r="E1023" s="20" t="str">
        <f aca="false">IF(D1023="?OLD","!!!","")</f>
        <v/>
      </c>
      <c r="F1023" s="21" t="str">
        <f aca="false">IF(OR(E1023="",E1023="!!!"),"",IF(NOT(ISNA(VLOOKUP(E1023,E$1:E1022,1,FALSE()))),"OLD",IF(AND(E1023&lt;&gt;"",E1023&lt;&gt;"!!!"),"NEW","")))</f>
        <v/>
      </c>
      <c r="G1023" s="22" t="str">
        <f aca="false"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aca="false">IF(J1023&lt;&gt;1,"",IF(I1023="SBJ","CB","?"))</f>
        <v/>
      </c>
      <c r="I1023" s="24" t="str">
        <f aca="false">IF(OR(E1023="",E1023="!!!",F1023="NEW"),"",INDEX(B$2:B1022,-1+SUMPRODUCT(MAX(ROW(E$2:E1022)*(E1023=E$2:E1022)))))</f>
        <v/>
      </c>
      <c r="J1023" s="24" t="str">
        <f aca="true">IF(OR(E1023="",E1023="!!!",F1023="NEW"),"",COUNTBLANK(OFFSET(A$1,,,SUMPRODUCT(MAX(ROW(E$2:E1023)*(E1023=E$2:E1023)))))-COUNTBLANK(OFFSET(A$1,,,SUMPRODUCT(MAX(ROW(E$1:E1022)*(E2=E$1:E1022))))))</f>
        <v/>
      </c>
      <c r="K1023" s="24" t="str">
        <f aca="false">IF(OR(E1023="",E1023="!!!",F1023="NEW"),"",INDEX(J$1:J1022,SUMPRODUCT(MAX(ROW(E$1:E1022)*(E1023=E$1:E1022)))))</f>
        <v/>
      </c>
      <c r="L1023" s="25"/>
    </row>
    <row r="1024" customFormat="false" ht="14.25" hidden="false" customHeight="false" outlineLevel="0" collapsed="false">
      <c r="A1024" s="0" t="s">
        <v>101</v>
      </c>
      <c r="E1024" s="20" t="str">
        <f aca="false">IF(D1024="?OLD","!!!","")</f>
        <v/>
      </c>
      <c r="F1024" s="21" t="str">
        <f aca="false">IF(OR(E1024="",E1024="!!!"),"",IF(NOT(ISNA(VLOOKUP(E1024,E$1:E1023,1,FALSE()))),"OLD",IF(AND(E1024&lt;&gt;"",E1024&lt;&gt;"!!!"),"NEW","")))</f>
        <v/>
      </c>
      <c r="G1024" s="22" t="str">
        <f aca="false"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aca="false">IF(J1024&lt;&gt;1,"",IF(I1024="SBJ","CB","?"))</f>
        <v/>
      </c>
      <c r="I1024" s="24" t="str">
        <f aca="false">IF(OR(E1024="",E1024="!!!",F1024="NEW"),"",INDEX(B$2:B1023,-1+SUMPRODUCT(MAX(ROW(E$2:E1023)*(E1024=E$2:E1023)))))</f>
        <v/>
      </c>
      <c r="J1024" s="24" t="str">
        <f aca="true">IF(OR(E1024="",E1024="!!!",F1024="NEW"),"",COUNTBLANK(OFFSET(A$1,,,SUMPRODUCT(MAX(ROW(E$2:E1024)*(E1024=E$2:E1024)))))-COUNTBLANK(OFFSET(A$1,,,SUMPRODUCT(MAX(ROW(E$1:E1023)*(E2=E$1:E1023))))))</f>
        <v/>
      </c>
      <c r="K1024" s="24" t="str">
        <f aca="false">IF(OR(E1024="",E1024="!!!",F1024="NEW"),"",INDEX(J$1:J1023,SUMPRODUCT(MAX(ROW(E$1:E1023)*(E1024=E$1:E1023)))))</f>
        <v/>
      </c>
      <c r="L1024" s="25"/>
    </row>
    <row r="1025" customFormat="false" ht="14.25" hidden="false" customHeight="false" outlineLevel="0" collapsed="false">
      <c r="A1025" s="0" t="s">
        <v>219</v>
      </c>
      <c r="B1025" s="26" t="s">
        <v>104</v>
      </c>
      <c r="C1025" s="26" t="s">
        <v>111</v>
      </c>
      <c r="E1025" s="20" t="s">
        <v>185</v>
      </c>
      <c r="F1025" s="21" t="str">
        <f aca="false">IF(OR(E1025="",E1025="!!!"),"",IF(NOT(ISNA(VLOOKUP(E1025,E$1:E1024,1,FALSE()))),"OLD",IF(AND(E1025&lt;&gt;"",E1025&lt;&gt;"!!!"),"NEW","")))</f>
        <v>OLD</v>
      </c>
      <c r="G1025" s="22" t="str">
        <f aca="false"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?IN_FOCUS</v>
      </c>
      <c r="H1025" s="23" t="str">
        <f aca="false">IF(J1025&lt;&gt;1,"",IF(I1025="SBJ","CB","?"))</f>
        <v/>
      </c>
      <c r="I1025" s="24" t="str">
        <f aca="false">IF(OR(E1025="",E1025="!!!",F1025="NEW"),"",INDEX(B$2:B1024,-1+SUMPRODUCT(MAX(ROW(E$2:E1024)*(E1025=E$2:E1024)))))</f>
        <v>other_4</v>
      </c>
      <c r="J1025" s="24" t="n">
        <f aca="true">IF(OR(E1025="",E1025="!!!",F1025="NEW"),"",COUNTBLANK(OFFSET(A$1,,,SUMPRODUCT(MAX(ROW(E$2:E1025)*(E1025=E$2:E1025)))))-COUNTBLANK(OFFSET(A$1,,,SUMPRODUCT(MAX(ROW(E$1:E1024)*(E2=E$1:E1024))))))</f>
        <v>0</v>
      </c>
      <c r="K1025" s="24" t="n">
        <f aca="false">IF(OR(E1025="",E1025="!!!",F1025="NEW"),"",INDEX(J$1:J1024,SUMPRODUCT(MAX(ROW(E$1:E1024)*(E1025=E$1:E1024)))))</f>
        <v>0</v>
      </c>
      <c r="L1025" s="25"/>
    </row>
    <row r="1026" customFormat="false" ht="14.25" hidden="false" customHeight="false" outlineLevel="0" collapsed="false">
      <c r="A1026" s="0" t="s">
        <v>302</v>
      </c>
      <c r="E1026" s="20" t="str">
        <f aca="false">IF(D1026="?OLD","!!!","")</f>
        <v/>
      </c>
      <c r="F1026" s="21" t="str">
        <f aca="false">IF(OR(E1026="",E1026="!!!"),"",IF(NOT(ISNA(VLOOKUP(E1026,E$1:E1025,1,FALSE()))),"OLD",IF(AND(E1026&lt;&gt;"",E1026&lt;&gt;"!!!"),"NEW","")))</f>
        <v/>
      </c>
      <c r="G1026" s="22" t="str">
        <f aca="false"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3" t="str">
        <f aca="false">IF(J1026&lt;&gt;1,"",IF(I1026="SBJ","CB","?"))</f>
        <v/>
      </c>
      <c r="I1026" s="24" t="str">
        <f aca="false">IF(OR(E1026="",E1026="!!!",F1026="NEW"),"",INDEX(B$2:B1025,-1+SUMPRODUCT(MAX(ROW(E$2:E1025)*(E1026=E$2:E1025)))))</f>
        <v/>
      </c>
      <c r="J1026" s="24" t="str">
        <f aca="true">IF(OR(E1026="",E1026="!!!",F1026="NEW"),"",COUNTBLANK(OFFSET(A$1,,,SUMPRODUCT(MAX(ROW(E$2:E1026)*(E1026=E$2:E1026)))))-COUNTBLANK(OFFSET(A$1,,,SUMPRODUCT(MAX(ROW(E$1:E1025)*(E2=E$1:E1025))))))</f>
        <v/>
      </c>
      <c r="K1026" s="24" t="str">
        <f aca="false">IF(OR(E1026="",E1026="!!!",F1026="NEW"),"",INDEX(J$1:J1025,SUMPRODUCT(MAX(ROW(E$1:E1025)*(E1026=E$1:E1025)))))</f>
        <v/>
      </c>
      <c r="L1026" s="25"/>
    </row>
    <row r="1027" customFormat="false" ht="14.25" hidden="false" customHeight="false" outlineLevel="0" collapsed="false">
      <c r="A1027" s="0" t="s">
        <v>123</v>
      </c>
      <c r="B1027" s="26" t="s">
        <v>110</v>
      </c>
      <c r="C1027" s="26" t="s">
        <v>88</v>
      </c>
      <c r="D1027" s="26" t="s">
        <v>75</v>
      </c>
      <c r="E1027" s="20" t="s">
        <v>713</v>
      </c>
      <c r="F1027" s="21" t="str">
        <f aca="false">IF(OR(E1027="",E1027="!!!"),"",IF(NOT(ISNA(VLOOKUP(E1027,E$1:E1026,1,FALSE()))),"OLD",IF(AND(E1027&lt;&gt;"",E1027&lt;&gt;"!!!"),"NEW","")))</f>
        <v>OLD</v>
      </c>
      <c r="G1027" s="22" t="str">
        <f aca="false"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?IN_FOCUS</v>
      </c>
      <c r="H1027" s="23" t="str">
        <f aca="false">IF(J1027&lt;&gt;1,"",IF(I1027="SBJ","CB","?"))</f>
        <v/>
      </c>
      <c r="I1027" s="24" t="str">
        <f aca="false">IF(OR(E1027="",E1027="!!!",F1027="NEW"),"",INDEX(B$2:B1026,-1+SUMPRODUCT(MAX(ROW(E$2:E1026)*(E1027=E$2:E1026)))))</f>
        <v>SBJ_2</v>
      </c>
      <c r="J1027" s="24" t="n">
        <f aca="true">IF(OR(E1027="",E1027="!!!",F1027="NEW"),"",COUNTBLANK(OFFSET(A$1,,,SUMPRODUCT(MAX(ROW(E$2:E1027)*(E1027=E$2:E1027)))))-COUNTBLANK(OFFSET(A$1,,,SUMPRODUCT(MAX(ROW(E$1:E1026)*(E2=E$1:E1026))))))</f>
        <v>0</v>
      </c>
      <c r="K1027" s="24" t="n">
        <f aca="false">IF(OR(E1027="",E1027="!!!",F1027="NEW"),"",INDEX(J$1:J1026,SUMPRODUCT(MAX(ROW(E$1:E1026)*(E1027=E$1:E1026)))))</f>
        <v>0</v>
      </c>
      <c r="L1027" s="25"/>
    </row>
    <row r="1028" customFormat="false" ht="14.25" hidden="false" customHeight="false" outlineLevel="0" collapsed="false">
      <c r="A1028" s="0" t="s">
        <v>101</v>
      </c>
      <c r="E1028" s="20" t="str">
        <f aca="false">IF(D1028="?OLD","!!!","")</f>
        <v/>
      </c>
      <c r="F1028" s="21" t="str">
        <f aca="false">IF(OR(E1028="",E1028="!!!"),"",IF(NOT(ISNA(VLOOKUP(E1028,E$1:E1027,1,FALSE()))),"OLD",IF(AND(E1028&lt;&gt;"",E1028&lt;&gt;"!!!"),"NEW","")))</f>
        <v/>
      </c>
      <c r="G1028" s="22" t="str">
        <f aca="false"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aca="false">IF(J1028&lt;&gt;1,"",IF(I1028="SBJ","CB","?"))</f>
        <v/>
      </c>
      <c r="I1028" s="24" t="str">
        <f aca="false">IF(OR(E1028="",E1028="!!!",F1028="NEW"),"",INDEX(B$2:B1027,-1+SUMPRODUCT(MAX(ROW(E$2:E1027)*(E1028=E$2:E1027)))))</f>
        <v/>
      </c>
      <c r="J1028" s="24" t="str">
        <f aca="true">IF(OR(E1028="",E1028="!!!",F1028="NEW"),"",COUNTBLANK(OFFSET(A$1,,,SUMPRODUCT(MAX(ROW(E$2:E1028)*(E1028=E$2:E1028)))))-COUNTBLANK(OFFSET(A$1,,,SUMPRODUCT(MAX(ROW(E$1:E1027)*(E2=E$1:E1027))))))</f>
        <v/>
      </c>
      <c r="K1028" s="24" t="str">
        <f aca="false">IF(OR(E1028="",E1028="!!!",F1028="NEW"),"",INDEX(J$1:J1027,SUMPRODUCT(MAX(ROW(E$1:E1027)*(E1028=E$1:E1027)))))</f>
        <v/>
      </c>
      <c r="L1028" s="25"/>
    </row>
    <row r="1029" customFormat="false" ht="14.25" hidden="false" customHeight="false" outlineLevel="0" collapsed="false">
      <c r="A1029" s="0" t="s">
        <v>142</v>
      </c>
      <c r="E1029" s="20" t="str">
        <f aca="false">IF(D1029="?OLD","!!!","")</f>
        <v/>
      </c>
      <c r="F1029" s="21" t="str">
        <f aca="false">IF(OR(E1029="",E1029="!!!"),"",IF(NOT(ISNA(VLOOKUP(E1029,E$1:E1028,1,FALSE()))),"OLD",IF(AND(E1029&lt;&gt;"",E1029&lt;&gt;"!!!"),"NEW","")))</f>
        <v/>
      </c>
      <c r="G1029" s="22" t="str">
        <f aca="false"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aca="false">IF(J1029&lt;&gt;1,"",IF(I1029="SBJ","CB","?"))</f>
        <v/>
      </c>
      <c r="I1029" s="24" t="str">
        <f aca="false">IF(OR(E1029="",E1029="!!!",F1029="NEW"),"",INDEX(B$2:B1028,-1+SUMPRODUCT(MAX(ROW(E$2:E1028)*(E1029=E$2:E1028)))))</f>
        <v/>
      </c>
      <c r="J1029" s="24" t="str">
        <f aca="true">IF(OR(E1029="",E1029="!!!",F1029="NEW"),"",COUNTBLANK(OFFSET(A$1,,,SUMPRODUCT(MAX(ROW(E$2:E1029)*(E1029=E$2:E1029)))))-COUNTBLANK(OFFSET(A$1,,,SUMPRODUCT(MAX(ROW(E$1:E1028)*(E2=E$1:E1028))))))</f>
        <v/>
      </c>
      <c r="K1029" s="24" t="str">
        <f aca="false">IF(OR(E1029="",E1029="!!!",F1029="NEW"),"",INDEX(J$1:J1028,SUMPRODUCT(MAX(ROW(E$1:E1028)*(E1029=E$1:E1028)))))</f>
        <v/>
      </c>
      <c r="L1029" s="25"/>
    </row>
    <row r="1030" customFormat="false" ht="14.25" hidden="false" customHeight="false" outlineLevel="0" collapsed="false">
      <c r="A1030" s="0" t="s">
        <v>339</v>
      </c>
      <c r="E1030" s="20" t="str">
        <f aca="false">IF(D1030="?OLD","!!!","")</f>
        <v/>
      </c>
      <c r="F1030" s="21" t="str">
        <f aca="false">IF(OR(E1030="",E1030="!!!"),"",IF(NOT(ISNA(VLOOKUP(E1030,E$1:E1029,1,FALSE()))),"OLD",IF(AND(E1030&lt;&gt;"",E1030&lt;&gt;"!!!"),"NEW","")))</f>
        <v/>
      </c>
      <c r="G1030" s="22" t="str">
        <f aca="false"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3" t="str">
        <f aca="false">IF(J1030&lt;&gt;1,"",IF(I1030="SBJ","CB","?"))</f>
        <v/>
      </c>
      <c r="I1030" s="24" t="str">
        <f aca="false">IF(OR(E1030="",E1030="!!!",F1030="NEW"),"",INDEX(B$2:B1029,-1+SUMPRODUCT(MAX(ROW(E$2:E1029)*(E1030=E$2:E1029)))))</f>
        <v/>
      </c>
      <c r="J1030" s="24" t="str">
        <f aca="true">IF(OR(E1030="",E1030="!!!",F1030="NEW"),"",COUNTBLANK(OFFSET(A$1,,,SUMPRODUCT(MAX(ROW(E$2:E1030)*(E1030=E$2:E1030)))))-COUNTBLANK(OFFSET(A$1,,,SUMPRODUCT(MAX(ROW(E$1:E1029)*(E2=E$1:E1029))))))</f>
        <v/>
      </c>
      <c r="K1030" s="24" t="str">
        <f aca="false">IF(OR(E1030="",E1030="!!!",F1030="NEW"),"",INDEX(J$1:J1029,SUMPRODUCT(MAX(ROW(E$1:E1029)*(E1030=E$1:E1029)))))</f>
        <v/>
      </c>
      <c r="L1030" s="25"/>
    </row>
    <row r="1031" customFormat="false" ht="14.25" hidden="false" customHeight="false" outlineLevel="0" collapsed="false">
      <c r="A1031" s="0" t="s">
        <v>725</v>
      </c>
      <c r="B1031" s="26" t="s">
        <v>258</v>
      </c>
      <c r="C1031" s="26" t="s">
        <v>111</v>
      </c>
      <c r="E1031" s="20" t="str">
        <f aca="false">IF(D1031="?OLD","!!!","")</f>
        <v/>
      </c>
      <c r="F1031" s="21" t="str">
        <f aca="false">IF(OR(E1031="",E1031="!!!"),"",IF(NOT(ISNA(VLOOKUP(E1031,E$1:E1030,1,FALSE()))),"OLD",IF(AND(E1031&lt;&gt;"",E1031&lt;&gt;"!!!"),"NEW","")))</f>
        <v/>
      </c>
      <c r="G1031" s="22" t="str">
        <f aca="false"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3" t="str">
        <f aca="false">IF(J1031&lt;&gt;1,"",IF(I1031="SBJ","CB","?"))</f>
        <v/>
      </c>
      <c r="I1031" s="24" t="str">
        <f aca="false">IF(OR(E1031="",E1031="!!!",F1031="NEW"),"",INDEX(B$2:B1030,-1+SUMPRODUCT(MAX(ROW(E$2:E1030)*(E1031=E$2:E1030)))))</f>
        <v/>
      </c>
      <c r="J1031" s="24" t="str">
        <f aca="true">IF(OR(E1031="",E1031="!!!",F1031="NEW"),"",COUNTBLANK(OFFSET(A$1,,,SUMPRODUCT(MAX(ROW(E$2:E1031)*(E1031=E$2:E1031)))))-COUNTBLANK(OFFSET(A$1,,,SUMPRODUCT(MAX(ROW(E$1:E1030)*(E2=E$1:E1030))))))</f>
        <v/>
      </c>
      <c r="K1031" s="24" t="str">
        <f aca="false">IF(OR(E1031="",E1031="!!!",F1031="NEW"),"",INDEX(J$1:J1030,SUMPRODUCT(MAX(ROW(E$1:E1030)*(E1031=E$1:E1030)))))</f>
        <v/>
      </c>
      <c r="L1031" s="25"/>
    </row>
    <row r="1032" customFormat="false" ht="14.25" hidden="false" customHeight="false" outlineLevel="0" collapsed="false">
      <c r="A1032" s="0" t="s">
        <v>167</v>
      </c>
      <c r="E1032" s="20" t="str">
        <f aca="false">IF(D1032="?OLD","!!!","")</f>
        <v/>
      </c>
      <c r="F1032" s="21" t="str">
        <f aca="false">IF(OR(E1032="",E1032="!!!"),"",IF(NOT(ISNA(VLOOKUP(E1032,E$1:E1031,1,FALSE()))),"OLD",IF(AND(E1032&lt;&gt;"",E1032&lt;&gt;"!!!"),"NEW","")))</f>
        <v/>
      </c>
      <c r="G1032" s="22" t="str">
        <f aca="false"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3" t="str">
        <f aca="false">IF(J1032&lt;&gt;1,"",IF(I1032="SBJ","CB","?"))</f>
        <v/>
      </c>
      <c r="I1032" s="24" t="str">
        <f aca="false">IF(OR(E1032="",E1032="!!!",F1032="NEW"),"",INDEX(B$2:B1031,-1+SUMPRODUCT(MAX(ROW(E$2:E1031)*(E1032=E$2:E1031)))))</f>
        <v/>
      </c>
      <c r="J1032" s="24" t="str">
        <f aca="true">IF(OR(E1032="",E1032="!!!",F1032="NEW"),"",COUNTBLANK(OFFSET(A$1,,,SUMPRODUCT(MAX(ROW(E$2:E1032)*(E1032=E$2:E1032)))))-COUNTBLANK(OFFSET(A$1,,,SUMPRODUCT(MAX(ROW(E$1:E1031)*(E2=E$1:E1031))))))</f>
        <v/>
      </c>
      <c r="K1032" s="24" t="str">
        <f aca="false">IF(OR(E1032="",E1032="!!!",F1032="NEW"),"",INDEX(J$1:J1031,SUMPRODUCT(MAX(ROW(E$1:E1031)*(E1032=E$1:E1031)))))</f>
        <v/>
      </c>
      <c r="L1032" s="25"/>
    </row>
    <row r="1033" customFormat="false" ht="14.25" hidden="false" customHeight="false" outlineLevel="0" collapsed="false">
      <c r="A1033" s="0" t="s">
        <v>726</v>
      </c>
      <c r="E1033" s="20" t="str">
        <f aca="false">IF(D1033="?OLD","!!!","")</f>
        <v/>
      </c>
      <c r="F1033" s="21" t="str">
        <f aca="false">IF(OR(E1033="",E1033="!!!"),"",IF(NOT(ISNA(VLOOKUP(E1033,E$1:E1032,1,FALSE()))),"OLD",IF(AND(E1033&lt;&gt;"",E1033&lt;&gt;"!!!"),"NEW","")))</f>
        <v/>
      </c>
      <c r="G1033" s="22" t="str">
        <f aca="false"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aca="false">IF(J1033&lt;&gt;1,"",IF(I1033="SBJ","CB","?"))</f>
        <v/>
      </c>
      <c r="I1033" s="24" t="str">
        <f aca="false">IF(OR(E1033="",E1033="!!!",F1033="NEW"),"",INDEX(B$2:B1032,-1+SUMPRODUCT(MAX(ROW(E$2:E1032)*(E1033=E$2:E1032)))))</f>
        <v/>
      </c>
      <c r="J1033" s="24" t="str">
        <f aca="true">IF(OR(E1033="",E1033="!!!",F1033="NEW"),"",COUNTBLANK(OFFSET(A$1,,,SUMPRODUCT(MAX(ROW(E$2:E1033)*(E1033=E$2:E1033)))))-COUNTBLANK(OFFSET(A$1,,,SUMPRODUCT(MAX(ROW(E$1:E1032)*(E2=E$1:E1032))))))</f>
        <v/>
      </c>
      <c r="K1033" s="24" t="str">
        <f aca="false">IF(OR(E1033="",E1033="!!!",F1033="NEW"),"",INDEX(J$1:J1032,SUMPRODUCT(MAX(ROW(E$1:E1032)*(E1033=E$1:E1032)))))</f>
        <v/>
      </c>
      <c r="L1033" s="25"/>
    </row>
    <row r="1034" customFormat="false" ht="14.25" hidden="false" customHeight="false" outlineLevel="0" collapsed="false">
      <c r="A1034" s="0" t="s">
        <v>727</v>
      </c>
      <c r="B1034" s="26" t="s">
        <v>147</v>
      </c>
      <c r="C1034" s="26" t="s">
        <v>119</v>
      </c>
      <c r="E1034" s="20" t="str">
        <f aca="false">IF(D1034="?OLD","!!!","")</f>
        <v/>
      </c>
      <c r="F1034" s="21" t="str">
        <f aca="false">IF(OR(E1034="",E1034="!!!"),"",IF(NOT(ISNA(VLOOKUP(E1034,E$1:E1033,1,FALSE()))),"OLD",IF(AND(E1034&lt;&gt;"",E1034&lt;&gt;"!!!"),"NEW","")))</f>
        <v/>
      </c>
      <c r="G1034" s="22" t="str">
        <f aca="false"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aca="false">IF(J1034&lt;&gt;1,"",IF(I1034="SBJ","CB","?"))</f>
        <v/>
      </c>
      <c r="I1034" s="24" t="str">
        <f aca="false">IF(OR(E1034="",E1034="!!!",F1034="NEW"),"",INDEX(B$2:B1033,-1+SUMPRODUCT(MAX(ROW(E$2:E1033)*(E1034=E$2:E1033)))))</f>
        <v/>
      </c>
      <c r="J1034" s="24" t="str">
        <f aca="true">IF(OR(E1034="",E1034="!!!",F1034="NEW"),"",COUNTBLANK(OFFSET(A$1,,,SUMPRODUCT(MAX(ROW(E$2:E1034)*(E1034=E$2:E1034)))))-COUNTBLANK(OFFSET(A$1,,,SUMPRODUCT(MAX(ROW(E$1:E1033)*(E2=E$1:E1033))))))</f>
        <v/>
      </c>
      <c r="K1034" s="24" t="str">
        <f aca="false">IF(OR(E1034="",E1034="!!!",F1034="NEW"),"",INDEX(J$1:J1033,SUMPRODUCT(MAX(ROW(E$1:E1033)*(E1034=E$1:E1033)))))</f>
        <v/>
      </c>
      <c r="L1034" s="25"/>
    </row>
    <row r="1035" customFormat="false" ht="14.25" hidden="false" customHeight="false" outlineLevel="0" collapsed="false">
      <c r="A1035" s="0" t="s">
        <v>86</v>
      </c>
      <c r="E1035" s="20" t="str">
        <f aca="false">IF(D1035="?OLD","!!!","")</f>
        <v/>
      </c>
      <c r="F1035" s="21" t="str">
        <f aca="false">IF(OR(E1035="",E1035="!!!"),"",IF(NOT(ISNA(VLOOKUP(E1035,E$1:E1034,1,FALSE()))),"OLD",IF(AND(E1035&lt;&gt;"",E1035&lt;&gt;"!!!"),"NEW","")))</f>
        <v/>
      </c>
      <c r="G1035" s="22" t="str">
        <f aca="false"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aca="false">IF(J1035&lt;&gt;1,"",IF(I1035="SBJ","CB","?"))</f>
        <v/>
      </c>
      <c r="I1035" s="24" t="str">
        <f aca="false">IF(OR(E1035="",E1035="!!!",F1035="NEW"),"",INDEX(B$2:B1034,-1+SUMPRODUCT(MAX(ROW(E$2:E1034)*(E1035=E$2:E1034)))))</f>
        <v/>
      </c>
      <c r="J1035" s="24" t="str">
        <f aca="true">IF(OR(E1035="",E1035="!!!",F1035="NEW"),"",COUNTBLANK(OFFSET(A$1,,,SUMPRODUCT(MAX(ROW(E$2:E1035)*(E1035=E$2:E1035)))))-COUNTBLANK(OFFSET(A$1,,,SUMPRODUCT(MAX(ROW(E$1:E1034)*(E2=E$1:E1034))))))</f>
        <v/>
      </c>
      <c r="K1035" s="24" t="str">
        <f aca="false">IF(OR(E1035="",E1035="!!!",F1035="NEW"),"",INDEX(J$1:J1034,SUMPRODUCT(MAX(ROW(E$1:E1034)*(E1035=E$1:E1034)))))</f>
        <v/>
      </c>
      <c r="L1035" s="25"/>
    </row>
    <row r="1036" customFormat="false" ht="14.25" hidden="false" customHeight="false" outlineLevel="0" collapsed="false">
      <c r="A1036" s="0" t="s">
        <v>728</v>
      </c>
      <c r="B1036" s="26" t="s">
        <v>96</v>
      </c>
      <c r="C1036" s="26" t="s">
        <v>283</v>
      </c>
      <c r="D1036" s="26" t="s">
        <v>75</v>
      </c>
      <c r="E1036" s="20" t="s">
        <v>729</v>
      </c>
      <c r="F1036" s="21" t="str">
        <f aca="false">IF(OR(E1036="",E1036="!!!"),"",IF(NOT(ISNA(VLOOKUP(E1036,E$1:E1035,1,FALSE()))),"OLD",IF(AND(E1036&lt;&gt;"",E1036&lt;&gt;"!!!"),"NEW","")))</f>
        <v>NEW</v>
      </c>
      <c r="G1036" s="22" t="str">
        <f aca="false"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?REFERENTIAL</v>
      </c>
      <c r="H1036" s="23" t="str">
        <f aca="false">IF(J1036&lt;&gt;1,"",IF(I1036="SBJ","CB","?"))</f>
        <v/>
      </c>
      <c r="I1036" s="24" t="str">
        <f aca="false">IF(OR(E1036="",E1036="!!!",F1036="NEW"),"",INDEX(B$2:B1035,-1+SUMPRODUCT(MAX(ROW(E$2:E1035)*(E1036=E$2:E1035)))))</f>
        <v/>
      </c>
      <c r="J1036" s="24" t="str">
        <f aca="true">IF(OR(E1036="",E1036="!!!",F1036="NEW"),"",COUNTBLANK(OFFSET(A$1,,,SUMPRODUCT(MAX(ROW(E$2:E1036)*(E1036=E$2:E1036)))))-COUNTBLANK(OFFSET(A$1,,,SUMPRODUCT(MAX(ROW(E$1:E1035)*(E2=E$1:E1035))))))</f>
        <v/>
      </c>
      <c r="K1036" s="24" t="str">
        <f aca="false">IF(OR(E1036="",E1036="!!!",F1036="NEW"),"",INDEX(J$1:J1035,SUMPRODUCT(MAX(ROW(E$1:E1035)*(E1036=E$1:E1035)))))</f>
        <v/>
      </c>
      <c r="L1036" s="25"/>
    </row>
    <row r="1037" customFormat="false" ht="14.25" hidden="false" customHeight="false" outlineLevel="0" collapsed="false">
      <c r="A1037" s="0" t="s">
        <v>86</v>
      </c>
      <c r="E1037" s="20" t="str">
        <f aca="false">IF(D1037="?OLD","!!!","")</f>
        <v/>
      </c>
      <c r="F1037" s="21" t="str">
        <f aca="false">IF(OR(E1037="",E1037="!!!"),"",IF(NOT(ISNA(VLOOKUP(E1037,E$1:E1036,1,FALSE()))),"OLD",IF(AND(E1037&lt;&gt;"",E1037&lt;&gt;"!!!"),"NEW","")))</f>
        <v/>
      </c>
      <c r="G1037" s="22" t="str">
        <f aca="false"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aca="false">IF(J1037&lt;&gt;1,"",IF(I1037="SBJ","CB","?"))</f>
        <v/>
      </c>
      <c r="I1037" s="24" t="str">
        <f aca="false">IF(OR(E1037="",E1037="!!!",F1037="NEW"),"",INDEX(B$2:B1036,-1+SUMPRODUCT(MAX(ROW(E$2:E1036)*(E1037=E$2:E1036)))))</f>
        <v/>
      </c>
      <c r="J1037" s="24" t="str">
        <f aca="true">IF(OR(E1037="",E1037="!!!",F1037="NEW"),"",COUNTBLANK(OFFSET(A$1,,,SUMPRODUCT(MAX(ROW(E$2:E1037)*(E1037=E$2:E1037)))))-COUNTBLANK(OFFSET(A$1,,,SUMPRODUCT(MAX(ROW(E$1:E1036)*(E2=E$1:E1036))))))</f>
        <v/>
      </c>
      <c r="K1037" s="24" t="str">
        <f aca="false">IF(OR(E1037="",E1037="!!!",F1037="NEW"),"",INDEX(J$1:J1036,SUMPRODUCT(MAX(ROW(E$1:E1036)*(E1037=E$1:E1036)))))</f>
        <v/>
      </c>
      <c r="L1037" s="25"/>
    </row>
    <row r="1038" customFormat="false" ht="14.25" hidden="false" customHeight="false" outlineLevel="0" collapsed="false">
      <c r="A1038" s="0" t="s">
        <v>728</v>
      </c>
      <c r="B1038" s="26" t="s">
        <v>96</v>
      </c>
      <c r="C1038" s="26" t="s">
        <v>283</v>
      </c>
      <c r="D1038" s="26" t="s">
        <v>75</v>
      </c>
      <c r="E1038" s="20" t="s">
        <v>729</v>
      </c>
      <c r="F1038" s="21" t="str">
        <f aca="false">IF(OR(E1038="",E1038="!!!"),"",IF(NOT(ISNA(VLOOKUP(E1038,E$1:E1037,1,FALSE()))),"OLD",IF(AND(E1038&lt;&gt;"",E1038&lt;&gt;"!!!"),"NEW","")))</f>
        <v>OLD</v>
      </c>
      <c r="G1038" s="22" t="str">
        <f aca="false"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?IN_FOCUS</v>
      </c>
      <c r="H1038" s="23" t="str">
        <f aca="false">IF(J1038&lt;&gt;1,"",IF(I1038="SBJ","CB","?"))</f>
        <v/>
      </c>
      <c r="I1038" s="24" t="str">
        <f aca="false">IF(OR(E1038="",E1038="!!!",F1038="NEW"),"",INDEX(B$2:B1037,-1+SUMPRODUCT(MAX(ROW(E$2:E1037)*(E1038=E$2:E1037)))))</f>
        <v>SBJ_2</v>
      </c>
      <c r="J1038" s="24" t="n">
        <f aca="true">IF(OR(E1038="",E1038="!!!",F1038="NEW"),"",COUNTBLANK(OFFSET(A$1,,,SUMPRODUCT(MAX(ROW(E$2:E1038)*(E1038=E$2:E1038)))))-COUNTBLANK(OFFSET(A$1,,,SUMPRODUCT(MAX(ROW(E$1:E1037)*(E2=E$1:E1037))))))</f>
        <v>0</v>
      </c>
      <c r="K1038" s="24" t="str">
        <f aca="false">IF(OR(E1038="",E1038="!!!",F1038="NEW"),"",INDEX(J$1:J1037,SUMPRODUCT(MAX(ROW(E$1:E1037)*(E1038=E$1:E1037)))))</f>
        <v/>
      </c>
      <c r="L1038" s="25"/>
    </row>
    <row r="1039" customFormat="false" ht="14.25" hidden="false" customHeight="false" outlineLevel="0" collapsed="false">
      <c r="A1039" s="0" t="s">
        <v>78</v>
      </c>
      <c r="E1039" s="20" t="str">
        <f aca="false">IF(D1039="?OLD","!!!","")</f>
        <v/>
      </c>
      <c r="F1039" s="21" t="str">
        <f aca="false">IF(OR(E1039="",E1039="!!!"),"",IF(NOT(ISNA(VLOOKUP(E1039,E$1:E1038,1,FALSE()))),"OLD",IF(AND(E1039&lt;&gt;"",E1039&lt;&gt;"!!!"),"NEW","")))</f>
        <v/>
      </c>
      <c r="G1039" s="22" t="str">
        <f aca="false"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aca="false">IF(J1039&lt;&gt;1,"",IF(I1039="SBJ","CB","?"))</f>
        <v/>
      </c>
      <c r="I1039" s="24" t="str">
        <f aca="false">IF(OR(E1039="",E1039="!!!",F1039="NEW"),"",INDEX(B$2:B1038,-1+SUMPRODUCT(MAX(ROW(E$2:E1038)*(E1039=E$2:E1038)))))</f>
        <v/>
      </c>
      <c r="J1039" s="24" t="str">
        <f aca="true">IF(OR(E1039="",E1039="!!!",F1039="NEW"),"",COUNTBLANK(OFFSET(A$1,,,SUMPRODUCT(MAX(ROW(E$2:E1039)*(E1039=E$2:E1039)))))-COUNTBLANK(OFFSET(A$1,,,SUMPRODUCT(MAX(ROW(E$1:E1038)*(E2=E$1:E1038))))))</f>
        <v/>
      </c>
      <c r="K1039" s="24" t="str">
        <f aca="false">IF(OR(E1039="",E1039="!!!",F1039="NEW"),"",INDEX(J$1:J1038,SUMPRODUCT(MAX(ROW(E$1:E1038)*(E1039=E$1:E1038)))))</f>
        <v/>
      </c>
      <c r="L1039" s="25"/>
    </row>
    <row r="1040" customFormat="false" ht="14.25" hidden="false" customHeight="false" outlineLevel="0" collapsed="false">
      <c r="A1040" s="0" t="s">
        <v>339</v>
      </c>
      <c r="E1040" s="20" t="str">
        <f aca="false">IF(D1040="?OLD","!!!","")</f>
        <v/>
      </c>
      <c r="F1040" s="21" t="str">
        <f aca="false">IF(OR(E1040="",E1040="!!!"),"",IF(NOT(ISNA(VLOOKUP(E1040,E$1:E1039,1,FALSE()))),"OLD",IF(AND(E1040&lt;&gt;"",E1040&lt;&gt;"!!!"),"NEW","")))</f>
        <v/>
      </c>
      <c r="G1040" s="22" t="str">
        <f aca="false"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aca="false">IF(J1040&lt;&gt;1,"",IF(I1040="SBJ","CB","?"))</f>
        <v/>
      </c>
      <c r="I1040" s="24" t="str">
        <f aca="false">IF(OR(E1040="",E1040="!!!",F1040="NEW"),"",INDEX(B$2:B1039,-1+SUMPRODUCT(MAX(ROW(E$2:E1039)*(E1040=E$2:E1039)))))</f>
        <v/>
      </c>
      <c r="J1040" s="24" t="str">
        <f aca="true">IF(OR(E1040="",E1040="!!!",F1040="NEW"),"",COUNTBLANK(OFFSET(A$1,,,SUMPRODUCT(MAX(ROW(E$2:E1040)*(E1040=E$2:E1040)))))-COUNTBLANK(OFFSET(A$1,,,SUMPRODUCT(MAX(ROW(E$1:E1039)*(E2=E$1:E1039))))))</f>
        <v/>
      </c>
      <c r="K1040" s="24" t="str">
        <f aca="false">IF(OR(E1040="",E1040="!!!",F1040="NEW"),"",INDEX(J$1:J1039,SUMPRODUCT(MAX(ROW(E$1:E1039)*(E1040=E$1:E1039)))))</f>
        <v/>
      </c>
      <c r="L1040" s="25"/>
    </row>
    <row r="1041" customFormat="false" ht="14.25" hidden="false" customHeight="false" outlineLevel="0" collapsed="false">
      <c r="A1041" s="0" t="s">
        <v>191</v>
      </c>
      <c r="B1041" s="26" t="s">
        <v>131</v>
      </c>
      <c r="C1041" s="26" t="s">
        <v>341</v>
      </c>
      <c r="E1041" s="20" t="str">
        <f aca="false">IF(D1041="?OLD","!!!","")</f>
        <v/>
      </c>
      <c r="F1041" s="21" t="str">
        <f aca="false">IF(OR(E1041="",E1041="!!!"),"",IF(NOT(ISNA(VLOOKUP(E1041,E$1:E1040,1,FALSE()))),"OLD",IF(AND(E1041&lt;&gt;"",E1041&lt;&gt;"!!!"),"NEW","")))</f>
        <v/>
      </c>
      <c r="G1041" s="22" t="str">
        <f aca="false"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aca="false">IF(J1041&lt;&gt;1,"",IF(I1041="SBJ","CB","?"))</f>
        <v/>
      </c>
      <c r="I1041" s="24" t="str">
        <f aca="false">IF(OR(E1041="",E1041="!!!",F1041="NEW"),"",INDEX(B$2:B1040,-1+SUMPRODUCT(MAX(ROW(E$2:E1040)*(E1041=E$2:E1040)))))</f>
        <v/>
      </c>
      <c r="J1041" s="24" t="str">
        <f aca="true">IF(OR(E1041="",E1041="!!!",F1041="NEW"),"",COUNTBLANK(OFFSET(A$1,,,SUMPRODUCT(MAX(ROW(E$2:E1041)*(E1041=E$2:E1041)))))-COUNTBLANK(OFFSET(A$1,,,SUMPRODUCT(MAX(ROW(E$1:E1040)*(E2=E$1:E1040))))))</f>
        <v/>
      </c>
      <c r="K1041" s="24" t="str">
        <f aca="false">IF(OR(E1041="",E1041="!!!",F1041="NEW"),"",INDEX(J$1:J1040,SUMPRODUCT(MAX(ROW(E$1:E1040)*(E1041=E$1:E1040)))))</f>
        <v/>
      </c>
      <c r="L1041" s="25"/>
    </row>
    <row r="1042" customFormat="false" ht="14.25" hidden="false" customHeight="false" outlineLevel="0" collapsed="false">
      <c r="A1042" s="0" t="s">
        <v>259</v>
      </c>
      <c r="E1042" s="20" t="str">
        <f aca="false">IF(D1042="?OLD","!!!","")</f>
        <v/>
      </c>
      <c r="F1042" s="21" t="str">
        <f aca="false">IF(OR(E1042="",E1042="!!!"),"",IF(NOT(ISNA(VLOOKUP(E1042,E$1:E1041,1,FALSE()))),"OLD",IF(AND(E1042&lt;&gt;"",E1042&lt;&gt;"!!!"),"NEW","")))</f>
        <v/>
      </c>
      <c r="G1042" s="22" t="str">
        <f aca="false"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aca="false">IF(J1042&lt;&gt;1,"",IF(I1042="SBJ","CB","?"))</f>
        <v/>
      </c>
      <c r="I1042" s="24" t="str">
        <f aca="false">IF(OR(E1042="",E1042="!!!",F1042="NEW"),"",INDEX(B$2:B1041,-1+SUMPRODUCT(MAX(ROW(E$2:E1041)*(E1042=E$2:E1041)))))</f>
        <v/>
      </c>
      <c r="J1042" s="24" t="str">
        <f aca="true">IF(OR(E1042="",E1042="!!!",F1042="NEW"),"",COUNTBLANK(OFFSET(A$1,,,SUMPRODUCT(MAX(ROW(E$2:E1042)*(E1042=E$2:E1042)))))-COUNTBLANK(OFFSET(A$1,,,SUMPRODUCT(MAX(ROW(E$1:E1041)*(E2=E$1:E1041))))))</f>
        <v/>
      </c>
      <c r="K1042" s="24" t="str">
        <f aca="false">IF(OR(E1042="",E1042="!!!",F1042="NEW"),"",INDEX(J$1:J1041,SUMPRODUCT(MAX(ROW(E$1:E1041)*(E1042=E$1:E1041)))))</f>
        <v/>
      </c>
      <c r="L1042" s="25"/>
    </row>
    <row r="1043" customFormat="false" ht="14.25" hidden="false" customHeight="false" outlineLevel="0" collapsed="false">
      <c r="A1043" s="0" t="s">
        <v>391</v>
      </c>
      <c r="B1043" s="26" t="s">
        <v>82</v>
      </c>
      <c r="C1043" s="26" t="s">
        <v>105</v>
      </c>
      <c r="E1043" s="20" t="str">
        <f aca="false">IF(D1043="?OLD","!!!","")</f>
        <v/>
      </c>
      <c r="F1043" s="21" t="str">
        <f aca="false">IF(OR(E1043="",E1043="!!!"),"",IF(NOT(ISNA(VLOOKUP(E1043,E$1:E1042,1,FALSE()))),"OLD",IF(AND(E1043&lt;&gt;"",E1043&lt;&gt;"!!!"),"NEW","")))</f>
        <v/>
      </c>
      <c r="G1043" s="22" t="str">
        <f aca="false"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aca="false">IF(J1043&lt;&gt;1,"",IF(I1043="SBJ","CB","?"))</f>
        <v/>
      </c>
      <c r="I1043" s="24" t="str">
        <f aca="false">IF(OR(E1043="",E1043="!!!",F1043="NEW"),"",INDEX(B$2:B1042,-1+SUMPRODUCT(MAX(ROW(E$2:E1042)*(E1043=E$2:E1042)))))</f>
        <v/>
      </c>
      <c r="J1043" s="24" t="str">
        <f aca="true">IF(OR(E1043="",E1043="!!!",F1043="NEW"),"",COUNTBLANK(OFFSET(A$1,,,SUMPRODUCT(MAX(ROW(E$2:E1043)*(E1043=E$2:E1043)))))-COUNTBLANK(OFFSET(A$1,,,SUMPRODUCT(MAX(ROW(E$1:E1042)*(E2=E$1:E1042))))))</f>
        <v/>
      </c>
      <c r="K1043" s="24" t="str">
        <f aca="false">IF(OR(E1043="",E1043="!!!",F1043="NEW"),"",INDEX(J$1:J1042,SUMPRODUCT(MAX(ROW(E$1:E1042)*(E1043=E$1:E1042)))))</f>
        <v/>
      </c>
      <c r="L1043" s="25"/>
    </row>
    <row r="1044" customFormat="false" ht="14.25" hidden="false" customHeight="false" outlineLevel="0" collapsed="false">
      <c r="A1044" s="0" t="s">
        <v>79</v>
      </c>
      <c r="E1044" s="20" t="str">
        <f aca="false">IF(D1044="?OLD","!!!","")</f>
        <v/>
      </c>
      <c r="F1044" s="21" t="str">
        <f aca="false">IF(OR(E1044="",E1044="!!!"),"",IF(NOT(ISNA(VLOOKUP(E1044,E$1:E1043,1,FALSE()))),"OLD",IF(AND(E1044&lt;&gt;"",E1044&lt;&gt;"!!!"),"NEW","")))</f>
        <v/>
      </c>
      <c r="G1044" s="22" t="str">
        <f aca="false"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3" t="str">
        <f aca="false">IF(J1044&lt;&gt;1,"",IF(I1044="SBJ","CB","?"))</f>
        <v/>
      </c>
      <c r="I1044" s="24" t="str">
        <f aca="false">IF(OR(E1044="",E1044="!!!",F1044="NEW"),"",INDEX(B$2:B1043,-1+SUMPRODUCT(MAX(ROW(E$2:E1043)*(E1044=E$2:E1043)))))</f>
        <v/>
      </c>
      <c r="J1044" s="24" t="str">
        <f aca="true">IF(OR(E1044="",E1044="!!!",F1044="NEW"),"",COUNTBLANK(OFFSET(A$1,,,SUMPRODUCT(MAX(ROW(E$2:E1044)*(E1044=E$2:E1044)))))-COUNTBLANK(OFFSET(A$1,,,SUMPRODUCT(MAX(ROW(E$1:E1043)*(E2=E$1:E1043))))))</f>
        <v/>
      </c>
      <c r="K1044" s="24" t="str">
        <f aca="false">IF(OR(E1044="",E1044="!!!",F1044="NEW"),"",INDEX(J$1:J1043,SUMPRODUCT(MAX(ROW(E$1:E1043)*(E1044=E$1:E1043)))))</f>
        <v/>
      </c>
      <c r="L1044" s="25"/>
    </row>
    <row r="1045" customFormat="false" ht="14.25" hidden="false" customHeight="false" outlineLevel="0" collapsed="false">
      <c r="A1045" s="0" t="s">
        <v>80</v>
      </c>
      <c r="E1045" s="20" t="str">
        <f aca="false">IF(D1045="?OLD","!!!","")</f>
        <v/>
      </c>
      <c r="F1045" s="21" t="str">
        <f aca="false">IF(OR(E1045="",E1045="!!!"),"",IF(NOT(ISNA(VLOOKUP(E1045,E$1:E1044,1,FALSE()))),"OLD",IF(AND(E1045&lt;&gt;"",E1045&lt;&gt;"!!!"),"NEW","")))</f>
        <v/>
      </c>
      <c r="G1045" s="22" t="str">
        <f aca="false"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3" t="str">
        <f aca="false">IF(J1045&lt;&gt;1,"",IF(I1045="SBJ","CB","?"))</f>
        <v/>
      </c>
      <c r="I1045" s="24" t="str">
        <f aca="false">IF(OR(E1045="",E1045="!!!",F1045="NEW"),"",INDEX(B$2:B1044,-1+SUMPRODUCT(MAX(ROW(E$2:E1044)*(E1045=E$2:E1044)))))</f>
        <v/>
      </c>
      <c r="J1045" s="24" t="str">
        <f aca="true">IF(OR(E1045="",E1045="!!!",F1045="NEW"),"",COUNTBLANK(OFFSET(A$1,,,SUMPRODUCT(MAX(ROW(E$2:E1045)*(E1045=E$2:E1045)))))-COUNTBLANK(OFFSET(A$1,,,SUMPRODUCT(MAX(ROW(E$1:E1044)*(E2=E$1:E1044))))))</f>
        <v/>
      </c>
      <c r="K1045" s="24" t="str">
        <f aca="false">IF(OR(E1045="",E1045="!!!",F1045="NEW"),"",INDEX(J$1:J1044,SUMPRODUCT(MAX(ROW(E$1:E1044)*(E1045=E$1:E1044)))))</f>
        <v/>
      </c>
      <c r="L1045" s="25"/>
    </row>
    <row r="1046" customFormat="false" ht="14.25" hidden="false" customHeight="false" outlineLevel="0" collapsed="false">
      <c r="A1046" s="0" t="s">
        <v>730</v>
      </c>
      <c r="B1046" s="26" t="s">
        <v>147</v>
      </c>
      <c r="C1046" s="26" t="s">
        <v>74</v>
      </c>
      <c r="D1046" s="26" t="s">
        <v>75</v>
      </c>
      <c r="E1046" s="20" t="s">
        <v>731</v>
      </c>
      <c r="F1046" s="21" t="str">
        <f aca="false">IF(OR(E1046="",E1046="!!!"),"",IF(NOT(ISNA(VLOOKUP(E1046,E$1:E1045,1,FALSE()))),"OLD",IF(AND(E1046&lt;&gt;"",E1046&lt;&gt;"!!!"),"NEW","")))</f>
        <v>NEW</v>
      </c>
      <c r="G1046" s="22" t="str">
        <f aca="false"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?REFERENTIAL</v>
      </c>
      <c r="H1046" s="23" t="str">
        <f aca="false">IF(J1046&lt;&gt;1,"",IF(I1046="SBJ","CB","?"))</f>
        <v/>
      </c>
      <c r="I1046" s="24" t="str">
        <f aca="false">IF(OR(E1046="",E1046="!!!",F1046="NEW"),"",INDEX(B$2:B1045,-1+SUMPRODUCT(MAX(ROW(E$2:E1045)*(E1046=E$2:E1045)))))</f>
        <v/>
      </c>
      <c r="J1046" s="24" t="str">
        <f aca="true">IF(OR(E1046="",E1046="!!!",F1046="NEW"),"",COUNTBLANK(OFFSET(A$1,,,SUMPRODUCT(MAX(ROW(E$2:E1046)*(E1046=E$2:E1046)))))-COUNTBLANK(OFFSET(A$1,,,SUMPRODUCT(MAX(ROW(E$1:E1045)*(E2=E$1:E1045))))))</f>
        <v/>
      </c>
      <c r="K1046" s="24" t="str">
        <f aca="false">IF(OR(E1046="",E1046="!!!",F1046="NEW"),"",INDEX(J$1:J1045,SUMPRODUCT(MAX(ROW(E$1:E1045)*(E1046=E$1:E1045)))))</f>
        <v/>
      </c>
      <c r="L1046" s="25"/>
    </row>
    <row r="1047" customFormat="false" ht="14.25" hidden="false" customHeight="false" outlineLevel="0" collapsed="false">
      <c r="A1047" s="0" t="s">
        <v>142</v>
      </c>
      <c r="E1047" s="20" t="str">
        <f aca="false">IF(D1047="?OLD","!!!","")</f>
        <v/>
      </c>
      <c r="F1047" s="21" t="str">
        <f aca="false">IF(OR(E1047="",E1047="!!!"),"",IF(NOT(ISNA(VLOOKUP(E1047,E$1:E1046,1,FALSE()))),"OLD",IF(AND(E1047&lt;&gt;"",E1047&lt;&gt;"!!!"),"NEW","")))</f>
        <v/>
      </c>
      <c r="G1047" s="22" t="str">
        <f aca="false"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aca="false">IF(J1047&lt;&gt;1,"",IF(I1047="SBJ","CB","?"))</f>
        <v/>
      </c>
      <c r="I1047" s="24" t="str">
        <f aca="false">IF(OR(E1047="",E1047="!!!",F1047="NEW"),"",INDEX(B$2:B1046,-1+SUMPRODUCT(MAX(ROW(E$2:E1046)*(E1047=E$2:E1046)))))</f>
        <v/>
      </c>
      <c r="J1047" s="24" t="str">
        <f aca="true">IF(OR(E1047="",E1047="!!!",F1047="NEW"),"",COUNTBLANK(OFFSET(A$1,,,SUMPRODUCT(MAX(ROW(E$2:E1047)*(E1047=E$2:E1047)))))-COUNTBLANK(OFFSET(A$1,,,SUMPRODUCT(MAX(ROW(E$1:E1046)*(E2=E$1:E1046))))))</f>
        <v/>
      </c>
      <c r="K1047" s="24" t="str">
        <f aca="false">IF(OR(E1047="",E1047="!!!",F1047="NEW"),"",INDEX(J$1:J1046,SUMPRODUCT(MAX(ROW(E$1:E1046)*(E1047=E$1:E1046)))))</f>
        <v/>
      </c>
      <c r="L1047" s="25"/>
    </row>
    <row r="1048" customFormat="false" ht="14.25" hidden="false" customHeight="false" outlineLevel="0" collapsed="false">
      <c r="A1048" s="0" t="s">
        <v>79</v>
      </c>
      <c r="E1048" s="20" t="str">
        <f aca="false">IF(D1048="?OLD","!!!","")</f>
        <v/>
      </c>
      <c r="F1048" s="21" t="str">
        <f aca="false">IF(OR(E1048="",E1048="!!!"),"",IF(NOT(ISNA(VLOOKUP(E1048,E$1:E1047,1,FALSE()))),"OLD",IF(AND(E1048&lt;&gt;"",E1048&lt;&gt;"!!!"),"NEW","")))</f>
        <v/>
      </c>
      <c r="G1048" s="22" t="str">
        <f aca="false"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aca="false">IF(J1048&lt;&gt;1,"",IF(I1048="SBJ","CB","?"))</f>
        <v/>
      </c>
      <c r="I1048" s="24" t="str">
        <f aca="false">IF(OR(E1048="",E1048="!!!",F1048="NEW"),"",INDEX(B$2:B1047,-1+SUMPRODUCT(MAX(ROW(E$2:E1047)*(E1048=E$2:E1047)))))</f>
        <v/>
      </c>
      <c r="J1048" s="24" t="str">
        <f aca="true">IF(OR(E1048="",E1048="!!!",F1048="NEW"),"",COUNTBLANK(OFFSET(A$1,,,SUMPRODUCT(MAX(ROW(E$2:E1048)*(E1048=E$2:E1048)))))-COUNTBLANK(OFFSET(A$1,,,SUMPRODUCT(MAX(ROW(E$1:E1047)*(E2=E$1:E1047))))))</f>
        <v/>
      </c>
      <c r="K1048" s="24" t="str">
        <f aca="false">IF(OR(E1048="",E1048="!!!",F1048="NEW"),"",INDEX(J$1:J1047,SUMPRODUCT(MAX(ROW(E$1:E1047)*(E1048=E$1:E1047)))))</f>
        <v/>
      </c>
      <c r="L1048" s="25"/>
    </row>
    <row r="1049" customFormat="false" ht="14.25" hidden="false" customHeight="false" outlineLevel="0" collapsed="false">
      <c r="A1049" s="0" t="s">
        <v>80</v>
      </c>
      <c r="E1049" s="20" t="str">
        <f aca="false">IF(D1049="?OLD","!!!","")</f>
        <v/>
      </c>
      <c r="F1049" s="21" t="str">
        <f aca="false">IF(OR(E1049="",E1049="!!!"),"",IF(NOT(ISNA(VLOOKUP(E1049,E$1:E1048,1,FALSE()))),"OLD",IF(AND(E1049&lt;&gt;"",E1049&lt;&gt;"!!!"),"NEW","")))</f>
        <v/>
      </c>
      <c r="G1049" s="22" t="str">
        <f aca="false"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aca="false">IF(J1049&lt;&gt;1,"",IF(I1049="SBJ","CB","?"))</f>
        <v/>
      </c>
      <c r="I1049" s="24" t="str">
        <f aca="false">IF(OR(E1049="",E1049="!!!",F1049="NEW"),"",INDEX(B$2:B1048,-1+SUMPRODUCT(MAX(ROW(E$2:E1048)*(E1049=E$2:E1048)))))</f>
        <v/>
      </c>
      <c r="J1049" s="24" t="str">
        <f aca="true">IF(OR(E1049="",E1049="!!!",F1049="NEW"),"",COUNTBLANK(OFFSET(A$1,,,SUMPRODUCT(MAX(ROW(E$2:E1049)*(E1049=E$2:E1049)))))-COUNTBLANK(OFFSET(A$1,,,SUMPRODUCT(MAX(ROW(E$1:E1048)*(E2=E$1:E1048))))))</f>
        <v/>
      </c>
      <c r="K1049" s="24" t="str">
        <f aca="false">IF(OR(E1049="",E1049="!!!",F1049="NEW"),"",INDEX(J$1:J1048,SUMPRODUCT(MAX(ROW(E$1:E1048)*(E1049=E$1:E1048)))))</f>
        <v/>
      </c>
      <c r="L1049" s="25"/>
    </row>
    <row r="1050" customFormat="false" ht="14.25" hidden="false" customHeight="false" outlineLevel="0" collapsed="false">
      <c r="A1050" s="0" t="s">
        <v>732</v>
      </c>
      <c r="E1050" s="20" t="str">
        <f aca="false">IF(D1050="?OLD","!!!","")</f>
        <v/>
      </c>
      <c r="F1050" s="21" t="str">
        <f aca="false">IF(OR(E1050="",E1050="!!!"),"",IF(NOT(ISNA(VLOOKUP(E1050,E$1:E1049,1,FALSE()))),"OLD",IF(AND(E1050&lt;&gt;"",E1050&lt;&gt;"!!!"),"NEW","")))</f>
        <v/>
      </c>
      <c r="G1050" s="22" t="str">
        <f aca="false"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aca="false">IF(J1050&lt;&gt;1,"",IF(I1050="SBJ","CB","?"))</f>
        <v/>
      </c>
      <c r="I1050" s="24" t="str">
        <f aca="false">IF(OR(E1050="",E1050="!!!",F1050="NEW"),"",INDEX(B$2:B1049,-1+SUMPRODUCT(MAX(ROW(E$2:E1049)*(E1050=E$2:E1049)))))</f>
        <v/>
      </c>
      <c r="J1050" s="24" t="str">
        <f aca="true">IF(OR(E1050="",E1050="!!!",F1050="NEW"),"",COUNTBLANK(OFFSET(A$1,,,SUMPRODUCT(MAX(ROW(E$2:E1050)*(E1050=E$2:E1050)))))-COUNTBLANK(OFFSET(A$1,,,SUMPRODUCT(MAX(ROW(E$1:E1049)*(E2=E$1:E1049))))))</f>
        <v/>
      </c>
      <c r="K1050" s="24" t="str">
        <f aca="false">IF(OR(E1050="",E1050="!!!",F1050="NEW"),"",INDEX(J$1:J1049,SUMPRODUCT(MAX(ROW(E$1:E1049)*(E1050=E$1:E1049)))))</f>
        <v/>
      </c>
      <c r="L1050" s="25"/>
    </row>
    <row r="1051" customFormat="false" ht="14.25" hidden="false" customHeight="false" outlineLevel="0" collapsed="false">
      <c r="A1051" s="0" t="s">
        <v>733</v>
      </c>
      <c r="B1051" s="26" t="s">
        <v>131</v>
      </c>
      <c r="C1051" s="26" t="s">
        <v>74</v>
      </c>
      <c r="D1051" s="26" t="s">
        <v>75</v>
      </c>
      <c r="E1051" s="20" t="s">
        <v>734</v>
      </c>
      <c r="F1051" s="21" t="str">
        <f aca="false">IF(OR(E1051="",E1051="!!!"),"",IF(NOT(ISNA(VLOOKUP(E1051,E$1:E1050,1,FALSE()))),"OLD",IF(AND(E1051&lt;&gt;"",E1051&lt;&gt;"!!!"),"NEW","")))</f>
        <v>NEW</v>
      </c>
      <c r="G1051" s="22" t="str">
        <f aca="false"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?REFERENTIAL</v>
      </c>
      <c r="H1051" s="23" t="str">
        <f aca="false">IF(J1051&lt;&gt;1,"",IF(I1051="SBJ","CB","?"))</f>
        <v/>
      </c>
      <c r="I1051" s="24" t="str">
        <f aca="false">IF(OR(E1051="",E1051="!!!",F1051="NEW"),"",INDEX(B$2:B1050,-1+SUMPRODUCT(MAX(ROW(E$2:E1050)*(E1051=E$2:E1050)))))</f>
        <v/>
      </c>
      <c r="J1051" s="24" t="str">
        <f aca="true">IF(OR(E1051="",E1051="!!!",F1051="NEW"),"",COUNTBLANK(OFFSET(A$1,,,SUMPRODUCT(MAX(ROW(E$2:E1051)*(E1051=E$2:E1051)))))-COUNTBLANK(OFFSET(A$1,,,SUMPRODUCT(MAX(ROW(E$1:E1050)*(E2=E$1:E1050))))))</f>
        <v/>
      </c>
      <c r="K1051" s="24" t="str">
        <f aca="false">IF(OR(E1051="",E1051="!!!",F1051="NEW"),"",INDEX(J$1:J1050,SUMPRODUCT(MAX(ROW(E$1:E1050)*(E1051=E$1:E1050)))))</f>
        <v/>
      </c>
      <c r="L1051" s="25"/>
    </row>
    <row r="1052" customFormat="false" ht="14.25" hidden="false" customHeight="false" outlineLevel="0" collapsed="false">
      <c r="A1052" s="0" t="s">
        <v>79</v>
      </c>
      <c r="E1052" s="20" t="str">
        <f aca="false">IF(D1052="?OLD","!!!","")</f>
        <v/>
      </c>
      <c r="F1052" s="21" t="str">
        <f aca="false">IF(OR(E1052="",E1052="!!!"),"",IF(NOT(ISNA(VLOOKUP(E1052,E$1:E1051,1,FALSE()))),"OLD",IF(AND(E1052&lt;&gt;"",E1052&lt;&gt;"!!!"),"NEW","")))</f>
        <v/>
      </c>
      <c r="G1052" s="22" t="str">
        <f aca="false"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aca="false">IF(J1052&lt;&gt;1,"",IF(I1052="SBJ","CB","?"))</f>
        <v/>
      </c>
      <c r="I1052" s="24" t="str">
        <f aca="false">IF(OR(E1052="",E1052="!!!",F1052="NEW"),"",INDEX(B$2:B1051,-1+SUMPRODUCT(MAX(ROW(E$2:E1051)*(E1052=E$2:E1051)))))</f>
        <v/>
      </c>
      <c r="J1052" s="24" t="str">
        <f aca="true">IF(OR(E1052="",E1052="!!!",F1052="NEW"),"",COUNTBLANK(OFFSET(A$1,,,SUMPRODUCT(MAX(ROW(E$2:E1052)*(E1052=E$2:E1052)))))-COUNTBLANK(OFFSET(A$1,,,SUMPRODUCT(MAX(ROW(E$1:E1051)*(E2=E$1:E1051))))))</f>
        <v/>
      </c>
      <c r="K1052" s="24" t="str">
        <f aca="false">IF(OR(E1052="",E1052="!!!",F1052="NEW"),"",INDEX(J$1:J1051,SUMPRODUCT(MAX(ROW(E$1:E1051)*(E1052=E$1:E1051)))))</f>
        <v/>
      </c>
      <c r="L1052" s="25"/>
    </row>
    <row r="1053" customFormat="false" ht="14.25" hidden="false" customHeight="false" outlineLevel="0" collapsed="false">
      <c r="A1053" s="0" t="s">
        <v>735</v>
      </c>
      <c r="B1053" s="26" t="s">
        <v>82</v>
      </c>
      <c r="C1053" s="26" t="s">
        <v>283</v>
      </c>
      <c r="D1053" s="26" t="s">
        <v>75</v>
      </c>
      <c r="E1053" s="20" t="s">
        <v>736</v>
      </c>
      <c r="F1053" s="21" t="str">
        <f aca="false">IF(OR(E1053="",E1053="!!!"),"",IF(NOT(ISNA(VLOOKUP(E1053,E$1:E1052,1,FALSE()))),"OLD",IF(AND(E1053&lt;&gt;"",E1053&lt;&gt;"!!!"),"NEW","")))</f>
        <v>NEW</v>
      </c>
      <c r="G1053" s="22" t="str">
        <f aca="false"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?REFERENTIAL</v>
      </c>
      <c r="H1053" s="23" t="str">
        <f aca="false">IF(J1053&lt;&gt;1,"",IF(I1053="SBJ","CB","?"))</f>
        <v/>
      </c>
      <c r="I1053" s="24" t="str">
        <f aca="false">IF(OR(E1053="",E1053="!!!",F1053="NEW"),"",INDEX(B$2:B1052,-1+SUMPRODUCT(MAX(ROW(E$2:E1052)*(E1053=E$2:E1052)))))</f>
        <v/>
      </c>
      <c r="J1053" s="24" t="str">
        <f aca="true">IF(OR(E1053="",E1053="!!!",F1053="NEW"),"",COUNTBLANK(OFFSET(A$1,,,SUMPRODUCT(MAX(ROW(E$2:E1053)*(E1053=E$2:E1053)))))-COUNTBLANK(OFFSET(A$1,,,SUMPRODUCT(MAX(ROW(E$1:E1052)*(E2=E$1:E1052))))))</f>
        <v/>
      </c>
      <c r="K1053" s="24" t="str">
        <f aca="false">IF(OR(E1053="",E1053="!!!",F1053="NEW"),"",INDEX(J$1:J1052,SUMPRODUCT(MAX(ROW(E$1:E1052)*(E1053=E$1:E1052)))))</f>
        <v/>
      </c>
      <c r="L1053" s="25"/>
    </row>
    <row r="1054" customFormat="false" ht="14.25" hidden="false" customHeight="false" outlineLevel="0" collapsed="false">
      <c r="A1054" s="0" t="s">
        <v>101</v>
      </c>
      <c r="E1054" s="20" t="str">
        <f aca="false">IF(D1054="?OLD","!!!","")</f>
        <v/>
      </c>
      <c r="F1054" s="21" t="str">
        <f aca="false">IF(OR(E1054="",E1054="!!!"),"",IF(NOT(ISNA(VLOOKUP(E1054,E$1:E1053,1,FALSE()))),"OLD",IF(AND(E1054&lt;&gt;"",E1054&lt;&gt;"!!!"),"NEW","")))</f>
        <v/>
      </c>
      <c r="G1054" s="22" t="str">
        <f aca="false"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aca="false">IF(J1054&lt;&gt;1,"",IF(I1054="SBJ","CB","?"))</f>
        <v/>
      </c>
      <c r="I1054" s="24" t="str">
        <f aca="false">IF(OR(E1054="",E1054="!!!",F1054="NEW"),"",INDEX(B$2:B1053,-1+SUMPRODUCT(MAX(ROW(E$2:E1053)*(E1054=E$2:E1053)))))</f>
        <v/>
      </c>
      <c r="J1054" s="24" t="str">
        <f aca="true">IF(OR(E1054="",E1054="!!!",F1054="NEW"),"",COUNTBLANK(OFFSET(A$1,,,SUMPRODUCT(MAX(ROW(E$2:E1054)*(E1054=E$2:E1054)))))-COUNTBLANK(OFFSET(A$1,,,SUMPRODUCT(MAX(ROW(E$1:E1053)*(E2=E$1:E1053))))))</f>
        <v/>
      </c>
      <c r="K1054" s="24" t="str">
        <f aca="false">IF(OR(E1054="",E1054="!!!",F1054="NEW"),"",INDEX(J$1:J1053,SUMPRODUCT(MAX(ROW(E$1:E1053)*(E1054=E$1:E1053)))))</f>
        <v/>
      </c>
      <c r="L1054" s="25"/>
    </row>
    <row r="1055" customFormat="false" ht="14.25" hidden="false" customHeight="false" outlineLevel="0" collapsed="false">
      <c r="A1055" s="0" t="s">
        <v>650</v>
      </c>
      <c r="E1055" s="20" t="str">
        <f aca="false">IF(D1055="?OLD","!!!","")</f>
        <v/>
      </c>
      <c r="F1055" s="21" t="str">
        <f aca="false">IF(OR(E1055="",E1055="!!!"),"",IF(NOT(ISNA(VLOOKUP(E1055,E$1:E1054,1,FALSE()))),"OLD",IF(AND(E1055&lt;&gt;"",E1055&lt;&gt;"!!!"),"NEW","")))</f>
        <v/>
      </c>
      <c r="G1055" s="22" t="str">
        <f aca="false"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aca="false">IF(J1055&lt;&gt;1,"",IF(I1055="SBJ","CB","?"))</f>
        <v/>
      </c>
      <c r="I1055" s="24" t="str">
        <f aca="false">IF(OR(E1055="",E1055="!!!",F1055="NEW"),"",INDEX(B$2:B1054,-1+SUMPRODUCT(MAX(ROW(E$2:E1054)*(E1055=E$2:E1054)))))</f>
        <v/>
      </c>
      <c r="J1055" s="24" t="str">
        <f aca="true">IF(OR(E1055="",E1055="!!!",F1055="NEW"),"",COUNTBLANK(OFFSET(A$1,,,SUMPRODUCT(MAX(ROW(E$2:E1055)*(E1055=E$2:E1055)))))-COUNTBLANK(OFFSET(A$1,,,SUMPRODUCT(MAX(ROW(E$1:E1054)*(E2=E$1:E1054))))))</f>
        <v/>
      </c>
      <c r="K1055" s="24" t="str">
        <f aca="false">IF(OR(E1055="",E1055="!!!",F1055="NEW"),"",INDEX(J$1:J1054,SUMPRODUCT(MAX(ROW(E$1:E1054)*(E1055=E$1:E1054)))))</f>
        <v/>
      </c>
      <c r="L1055" s="25"/>
    </row>
    <row r="1056" customFormat="false" ht="14.25" hidden="false" customHeight="false" outlineLevel="0" collapsed="false">
      <c r="A1056" s="0" t="s">
        <v>483</v>
      </c>
      <c r="E1056" s="20" t="str">
        <f aca="false">IF(D1056="?OLD","!!!","")</f>
        <v/>
      </c>
      <c r="F1056" s="21" t="str">
        <f aca="false">IF(OR(E1056="",E1056="!!!"),"",IF(NOT(ISNA(VLOOKUP(E1056,E$1:E1055,1,FALSE()))),"OLD",IF(AND(E1056&lt;&gt;"",E1056&lt;&gt;"!!!"),"NEW","")))</f>
        <v/>
      </c>
      <c r="G1056" s="22" t="str">
        <f aca="false"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aca="false">IF(J1056&lt;&gt;1,"",IF(I1056="SBJ","CB","?"))</f>
        <v/>
      </c>
      <c r="I1056" s="24" t="str">
        <f aca="false">IF(OR(E1056="",E1056="!!!",F1056="NEW"),"",INDEX(B$2:B1055,-1+SUMPRODUCT(MAX(ROW(E$2:E1055)*(E1056=E$2:E1055)))))</f>
        <v/>
      </c>
      <c r="J1056" s="24" t="str">
        <f aca="true">IF(OR(E1056="",E1056="!!!",F1056="NEW"),"",COUNTBLANK(OFFSET(A$1,,,SUMPRODUCT(MAX(ROW(E$2:E1056)*(E1056=E$2:E1056)))))-COUNTBLANK(OFFSET(A$1,,,SUMPRODUCT(MAX(ROW(E$1:E1055)*(E2=E$1:E1055))))))</f>
        <v/>
      </c>
      <c r="K1056" s="24" t="str">
        <f aca="false">IF(OR(E1056="",E1056="!!!",F1056="NEW"),"",INDEX(J$1:J1055,SUMPRODUCT(MAX(ROW(E$1:E1055)*(E1056=E$1:E1055)))))</f>
        <v/>
      </c>
      <c r="L1056" s="25"/>
    </row>
    <row r="1057" customFormat="false" ht="14.25" hidden="false" customHeight="false" outlineLevel="0" collapsed="false">
      <c r="A1057" s="0" t="s">
        <v>737</v>
      </c>
      <c r="B1057" s="26" t="s">
        <v>82</v>
      </c>
      <c r="C1057" s="26" t="s">
        <v>341</v>
      </c>
      <c r="E1057" s="20"/>
      <c r="F1057" s="21" t="str">
        <f aca="false">IF(OR(E1057="",E1057="!!!"),"",IF(NOT(ISNA(VLOOKUP(E1057,E$1:E1056,1,FALSE()))),"OLD",IF(AND(E1057&lt;&gt;"",E1057&lt;&gt;"!!!"),"NEW","")))</f>
        <v/>
      </c>
      <c r="G1057" s="22" t="str">
        <f aca="false"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aca="false">IF(J1057&lt;&gt;1,"",IF(I1057="SBJ","CB","?"))</f>
        <v/>
      </c>
      <c r="I1057" s="24" t="str">
        <f aca="false">IF(OR(E1057="",E1057="!!!",F1057="NEW"),"",INDEX(B$2:B1056,-1+SUMPRODUCT(MAX(ROW(E$2:E1056)*(E1057=E$2:E1056)))))</f>
        <v/>
      </c>
      <c r="J1057" s="24" t="str">
        <f aca="true">IF(OR(E1057="",E1057="!!!",F1057="NEW"),"",COUNTBLANK(OFFSET(A$1,,,SUMPRODUCT(MAX(ROW(E$2:E1057)*(E1057=E$2:E1057)))))-COUNTBLANK(OFFSET(A$1,,,SUMPRODUCT(MAX(ROW(E$1:E1056)*(E2=E$1:E1056))))))</f>
        <v/>
      </c>
      <c r="K1057" s="24" t="str">
        <f aca="false">IF(OR(E1057="",E1057="!!!",F1057="NEW"),"",INDEX(J$1:J1056,SUMPRODUCT(MAX(ROW(E$1:E1056)*(E1057=E$1:E1056)))))</f>
        <v/>
      </c>
      <c r="L1057" s="25"/>
    </row>
    <row r="1058" customFormat="false" ht="14.25" hidden="false" customHeight="false" outlineLevel="0" collapsed="false">
      <c r="A1058" s="0" t="s">
        <v>328</v>
      </c>
      <c r="E1058" s="20" t="str">
        <f aca="false">IF(D1058="?OLD","!!!","")</f>
        <v/>
      </c>
      <c r="F1058" s="21" t="str">
        <f aca="false">IF(OR(E1058="",E1058="!!!"),"",IF(NOT(ISNA(VLOOKUP(E1058,E$1:E1057,1,FALSE()))),"OLD",IF(AND(E1058&lt;&gt;"",E1058&lt;&gt;"!!!"),"NEW","")))</f>
        <v/>
      </c>
      <c r="G1058" s="22" t="str">
        <f aca="false"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3" t="str">
        <f aca="false">IF(J1058&lt;&gt;1,"",IF(I1058="SBJ","CB","?"))</f>
        <v/>
      </c>
      <c r="I1058" s="24" t="str">
        <f aca="false">IF(OR(E1058="",E1058="!!!",F1058="NEW"),"",INDEX(B$2:B1057,-1+SUMPRODUCT(MAX(ROW(E$2:E1057)*(E1058=E$2:E1057)))))</f>
        <v/>
      </c>
      <c r="J1058" s="24" t="str">
        <f aca="true">IF(OR(E1058="",E1058="!!!",F1058="NEW"),"",COUNTBLANK(OFFSET(A$1,,,SUMPRODUCT(MAX(ROW(E$2:E1058)*(E1058=E$2:E1058)))))-COUNTBLANK(OFFSET(A$1,,,SUMPRODUCT(MAX(ROW(E$1:E1057)*(E2=E$1:E1057))))))</f>
        <v/>
      </c>
      <c r="K1058" s="24" t="str">
        <f aca="false">IF(OR(E1058="",E1058="!!!",F1058="NEW"),"",INDEX(J$1:J1057,SUMPRODUCT(MAX(ROW(E$1:E1057)*(E1058=E$1:E1057)))))</f>
        <v/>
      </c>
      <c r="L1058" s="25"/>
    </row>
    <row r="1059" customFormat="false" ht="14.25" hidden="false" customHeight="false" outlineLevel="0" collapsed="false">
      <c r="A1059" s="0" t="s">
        <v>738</v>
      </c>
      <c r="E1059" s="20" t="str">
        <f aca="false">IF(D1059="?OLD","!!!","")</f>
        <v/>
      </c>
      <c r="F1059" s="21" t="str">
        <f aca="false">IF(OR(E1059="",E1059="!!!"),"",IF(NOT(ISNA(VLOOKUP(E1059,E$1:E1058,1,FALSE()))),"OLD",IF(AND(E1059&lt;&gt;"",E1059&lt;&gt;"!!!"),"NEW","")))</f>
        <v/>
      </c>
      <c r="G1059" s="22" t="str">
        <f aca="false"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3" t="str">
        <f aca="false">IF(J1059&lt;&gt;1,"",IF(I1059="SBJ","CB","?"))</f>
        <v/>
      </c>
      <c r="I1059" s="24" t="str">
        <f aca="false">IF(OR(E1059="",E1059="!!!",F1059="NEW"),"",INDEX(B$2:B1058,-1+SUMPRODUCT(MAX(ROW(E$2:E1058)*(E1059=E$2:E1058)))))</f>
        <v/>
      </c>
      <c r="J1059" s="24" t="str">
        <f aca="true">IF(OR(E1059="",E1059="!!!",F1059="NEW"),"",COUNTBLANK(OFFSET(A$1,,,SUMPRODUCT(MAX(ROW(E$2:E1059)*(E1059=E$2:E1059)))))-COUNTBLANK(OFFSET(A$1,,,SUMPRODUCT(MAX(ROW(E$1:E1058)*(E2=E$1:E1058))))))</f>
        <v/>
      </c>
      <c r="K1059" s="24" t="str">
        <f aca="false">IF(OR(E1059="",E1059="!!!",F1059="NEW"),"",INDEX(J$1:J1058,SUMPRODUCT(MAX(ROW(E$1:E1058)*(E1059=E$1:E1058)))))</f>
        <v/>
      </c>
      <c r="L1059" s="25"/>
    </row>
    <row r="1060" customFormat="false" ht="14.25" hidden="false" customHeight="false" outlineLevel="0" collapsed="false">
      <c r="A1060" s="0" t="s">
        <v>739</v>
      </c>
      <c r="B1060" s="26" t="s">
        <v>147</v>
      </c>
      <c r="C1060" s="26" t="s">
        <v>88</v>
      </c>
      <c r="D1060" s="26" t="s">
        <v>75</v>
      </c>
      <c r="E1060" s="20"/>
      <c r="F1060" s="21" t="str">
        <f aca="false">IF(OR(E1060="",E1060="!!!"),"",IF(NOT(ISNA(VLOOKUP(E1060,E$1:E1059,1,FALSE()))),"OLD",IF(AND(E1060&lt;&gt;"",E1060&lt;&gt;"!!!"),"NEW","")))</f>
        <v/>
      </c>
      <c r="G1060" s="22" t="str">
        <f aca="false"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aca="false">IF(J1060&lt;&gt;1,"",IF(I1060="SBJ","CB","?"))</f>
        <v/>
      </c>
      <c r="I1060" s="24" t="str">
        <f aca="false">IF(OR(E1060="",E1060="!!!",F1060="NEW"),"",INDEX(B$2:B1059,-1+SUMPRODUCT(MAX(ROW(E$2:E1059)*(E1060=E$2:E1059)))))</f>
        <v/>
      </c>
      <c r="J1060" s="24" t="str">
        <f aca="true">IF(OR(E1060="",E1060="!!!",F1060="NEW"),"",COUNTBLANK(OFFSET(A$1,,,SUMPRODUCT(MAX(ROW(E$2:E1060)*(E1060=E$2:E1060)))))-COUNTBLANK(OFFSET(A$1,,,SUMPRODUCT(MAX(ROW(E$1:E1059)*(E2=E$1:E1059))))))</f>
        <v/>
      </c>
      <c r="K1060" s="24" t="str">
        <f aca="false">IF(OR(E1060="",E1060="!!!",F1060="NEW"),"",INDEX(J$1:J1059,SUMPRODUCT(MAX(ROW(E$1:E1059)*(E1060=E$1:E1059)))))</f>
        <v/>
      </c>
      <c r="L1060" s="27" t="s">
        <v>541</v>
      </c>
    </row>
    <row r="1061" customFormat="false" ht="14.25" hidden="false" customHeight="false" outlineLevel="0" collapsed="false">
      <c r="A1061" s="0" t="s">
        <v>86</v>
      </c>
      <c r="E1061" s="20" t="str">
        <f aca="false">IF(D1061="?OLD","!!!","")</f>
        <v/>
      </c>
      <c r="F1061" s="21" t="str">
        <f aca="false">IF(OR(E1061="",E1061="!!!"),"",IF(NOT(ISNA(VLOOKUP(E1061,E$1:E1060,1,FALSE()))),"OLD",IF(AND(E1061&lt;&gt;"",E1061&lt;&gt;"!!!"),"NEW","")))</f>
        <v/>
      </c>
      <c r="G1061" s="22" t="str">
        <f aca="false"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aca="false">IF(J1061&lt;&gt;1,"",IF(I1061="SBJ","CB","?"))</f>
        <v/>
      </c>
      <c r="I1061" s="24" t="str">
        <f aca="false">IF(OR(E1061="",E1061="!!!",F1061="NEW"),"",INDEX(B$2:B1060,-1+SUMPRODUCT(MAX(ROW(E$2:E1060)*(E1061=E$2:E1060)))))</f>
        <v/>
      </c>
      <c r="J1061" s="24" t="str">
        <f aca="true">IF(OR(E1061="",E1061="!!!",F1061="NEW"),"",COUNTBLANK(OFFSET(A$1,,,SUMPRODUCT(MAX(ROW(E$2:E1061)*(E1061=E$2:E1061)))))-COUNTBLANK(OFFSET(A$1,,,SUMPRODUCT(MAX(ROW(E$1:E1060)*(E2=E$1:E1060))))))</f>
        <v/>
      </c>
      <c r="K1061" s="24" t="str">
        <f aca="false">IF(OR(E1061="",E1061="!!!",F1061="NEW"),"",INDEX(J$1:J1060,SUMPRODUCT(MAX(ROW(E$1:E1060)*(E1061=E$1:E1060)))))</f>
        <v/>
      </c>
      <c r="L1061" s="25"/>
    </row>
    <row r="1063" customFormat="false" ht="14.25" hidden="false" customHeight="false" outlineLevel="0" collapsed="false">
      <c r="A1063" s="0" t="s">
        <v>740</v>
      </c>
    </row>
    <row r="1064" customFormat="false" ht="14.25" hidden="false" customHeight="false" outlineLevel="0" collapsed="false">
      <c r="A1064" s="0" t="s">
        <v>741</v>
      </c>
      <c r="E1064" s="20" t="str">
        <f aca="false">IF(D1064="?OLD","!!!","")</f>
        <v/>
      </c>
      <c r="F1064" s="21" t="str">
        <f aca="false">IF(OR(E1064="",E1064="!!!"),"",IF(NOT(ISNA(VLOOKUP(E1064,E$1:E1063,1,FALSE()))),"OLD",IF(AND(E1064&lt;&gt;"",E1064&lt;&gt;"!!!"),"NEW","")))</f>
        <v/>
      </c>
      <c r="G1064" s="22" t="str">
        <f aca="false"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aca="false">IF(J1064&lt;&gt;1,"",IF(I1064="SBJ","CB","?"))</f>
        <v/>
      </c>
      <c r="I1064" s="24" t="str">
        <f aca="false">IF(OR(E1064="",E1064="!!!",F1064="NEW"),"",INDEX(B$2:B1063,-1+SUMPRODUCT(MAX(ROW(E$2:E1063)*(E1064=E$2:E1063)))))</f>
        <v/>
      </c>
      <c r="J1064" s="24" t="str">
        <f aca="true">IF(OR(E1064="",E1064="!!!",F1064="NEW"),"",COUNTBLANK(OFFSET(A$1,,,SUMPRODUCT(MAX(ROW(E$2:E1064)*(E1064=E$2:E1064)))))-COUNTBLANK(OFFSET(A$1,,,SUMPRODUCT(MAX(ROW(E$1:E1063)*(E2=E$1:E1063))))))</f>
        <v/>
      </c>
      <c r="K1064" s="24" t="str">
        <f aca="false">IF(OR(E1064="",E1064="!!!",F1064="NEW"),"",INDEX(J$1:J1063,SUMPRODUCT(MAX(ROW(E$1:E1063)*(E1064=E$1:E1063)))))</f>
        <v/>
      </c>
      <c r="L1064" s="25"/>
    </row>
    <row r="1065" customFormat="false" ht="14.25" hidden="false" customHeight="false" outlineLevel="0" collapsed="false">
      <c r="A1065" s="0" t="s">
        <v>559</v>
      </c>
      <c r="B1065" s="26" t="s">
        <v>96</v>
      </c>
      <c r="C1065" s="26" t="s">
        <v>283</v>
      </c>
      <c r="D1065" s="26" t="s">
        <v>75</v>
      </c>
      <c r="E1065" s="20" t="s">
        <v>742</v>
      </c>
      <c r="F1065" s="21" t="str">
        <f aca="false">IF(OR(E1065="",E1065="!!!"),"",IF(NOT(ISNA(VLOOKUP(E1065,E$1:E1064,1,FALSE()))),"OLD",IF(AND(E1065&lt;&gt;"",E1065&lt;&gt;"!!!"),"NEW","")))</f>
        <v>NEW</v>
      </c>
      <c r="G1065" s="22" t="str">
        <f aca="false"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?REFERENTIAL</v>
      </c>
      <c r="H1065" s="23" t="str">
        <f aca="false">IF(J1065&lt;&gt;1,"",IF(I1065="SBJ","CB","?"))</f>
        <v/>
      </c>
      <c r="I1065" s="24" t="str">
        <f aca="false">IF(OR(E1065="",E1065="!!!",F1065="NEW"),"",INDEX(B$2:B1064,-1+SUMPRODUCT(MAX(ROW(E$2:E1064)*(E1065=E$2:E1064)))))</f>
        <v/>
      </c>
      <c r="J1065" s="24" t="str">
        <f aca="true">IF(OR(E1065="",E1065="!!!",F1065="NEW"),"",COUNTBLANK(OFFSET(A$1,,,SUMPRODUCT(MAX(ROW(E$2:E1065)*(E1065=E$2:E1065)))))-COUNTBLANK(OFFSET(A$1,,,SUMPRODUCT(MAX(ROW(E$1:E1064)*(E2=E$1:E1064))))))</f>
        <v/>
      </c>
      <c r="K1065" s="24" t="str">
        <f aca="false">IF(OR(E1065="",E1065="!!!",F1065="NEW"),"",INDEX(J$1:J1064,SUMPRODUCT(MAX(ROW(E$1:E1064)*(E1065=E$1:E1064)))))</f>
        <v/>
      </c>
      <c r="L1065" s="25"/>
    </row>
    <row r="1066" customFormat="false" ht="14.25" hidden="false" customHeight="false" outlineLevel="0" collapsed="false">
      <c r="A1066" s="0" t="s">
        <v>743</v>
      </c>
      <c r="E1066" s="20" t="str">
        <f aca="false">IF(D1066="?OLD","!!!","")</f>
        <v/>
      </c>
      <c r="F1066" s="21" t="str">
        <f aca="false">IF(OR(E1066="",E1066="!!!"),"",IF(NOT(ISNA(VLOOKUP(E1066,E$1:E1065,1,FALSE()))),"OLD",IF(AND(E1066&lt;&gt;"",E1066&lt;&gt;"!!!"),"NEW","")))</f>
        <v/>
      </c>
      <c r="G1066" s="22" t="str">
        <f aca="false"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aca="false">IF(J1066&lt;&gt;1,"",IF(I1066="SBJ","CB","?"))</f>
        <v/>
      </c>
      <c r="I1066" s="24" t="str">
        <f aca="false">IF(OR(E1066="",E1066="!!!",F1066="NEW"),"",INDEX(B$2:B1065,-1+SUMPRODUCT(MAX(ROW(E$2:E1065)*(E1066=E$2:E1065)))))</f>
        <v/>
      </c>
      <c r="J1066" s="24" t="str">
        <f aca="true">IF(OR(E1066="",E1066="!!!",F1066="NEW"),"",COUNTBLANK(OFFSET(A$1,,,SUMPRODUCT(MAX(ROW(E$2:E1066)*(E1066=E$2:E1066)))))-COUNTBLANK(OFFSET(A$1,,,SUMPRODUCT(MAX(ROW(E$1:E1065)*(E2=E$1:E1065))))))</f>
        <v/>
      </c>
      <c r="K1066" s="24" t="str">
        <f aca="false">IF(OR(E1066="",E1066="!!!",F1066="NEW"),"",INDEX(J$1:J1065,SUMPRODUCT(MAX(ROW(E$1:E1065)*(E1066=E$1:E1065)))))</f>
        <v/>
      </c>
      <c r="L1066" s="25"/>
    </row>
    <row r="1067" customFormat="false" ht="14.25" hidden="false" customHeight="false" outlineLevel="0" collapsed="false">
      <c r="A1067" s="0" t="s">
        <v>86</v>
      </c>
      <c r="E1067" s="20" t="str">
        <f aca="false">IF(D1067="?OLD","!!!","")</f>
        <v/>
      </c>
      <c r="F1067" s="21" t="str">
        <f aca="false">IF(OR(E1067="",E1067="!!!"),"",IF(NOT(ISNA(VLOOKUP(E1067,E$1:E1066,1,FALSE()))),"OLD",IF(AND(E1067&lt;&gt;"",E1067&lt;&gt;"!!!"),"NEW","")))</f>
        <v/>
      </c>
      <c r="G1067" s="22" t="str">
        <f aca="false"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aca="false">IF(J1067&lt;&gt;1,"",IF(I1067="SBJ","CB","?"))</f>
        <v/>
      </c>
      <c r="I1067" s="24" t="str">
        <f aca="false">IF(OR(E1067="",E1067="!!!",F1067="NEW"),"",INDEX(B$2:B1066,-1+SUMPRODUCT(MAX(ROW(E$2:E1066)*(E1067=E$2:E1066)))))</f>
        <v/>
      </c>
      <c r="J1067" s="24" t="str">
        <f aca="true">IF(OR(E1067="",E1067="!!!",F1067="NEW"),"",COUNTBLANK(OFFSET(A$1,,,SUMPRODUCT(MAX(ROW(E$2:E1067)*(E1067=E$2:E1067)))))-COUNTBLANK(OFFSET(A$1,,,SUMPRODUCT(MAX(ROW(E$1:E1066)*(E2=E$1:E1066))))))</f>
        <v/>
      </c>
      <c r="K1067" s="24" t="str">
        <f aca="false">IF(OR(E1067="",E1067="!!!",F1067="NEW"),"",INDEX(J$1:J1066,SUMPRODUCT(MAX(ROW(E$1:E1066)*(E1067=E$1:E1066)))))</f>
        <v/>
      </c>
      <c r="L1067" s="25"/>
    </row>
    <row r="1068" customFormat="false" ht="14.25" hidden="false" customHeight="false" outlineLevel="0" collapsed="false">
      <c r="A1068" s="0" t="s">
        <v>87</v>
      </c>
      <c r="B1068" s="26" t="s">
        <v>73</v>
      </c>
      <c r="C1068" s="26" t="s">
        <v>88</v>
      </c>
      <c r="D1068" s="26" t="s">
        <v>75</v>
      </c>
      <c r="E1068" s="20" t="s">
        <v>729</v>
      </c>
      <c r="F1068" s="21" t="str">
        <f aca="false">IF(OR(E1068="",E1068="!!!"),"",IF(NOT(ISNA(VLOOKUP(E1068,E$1:E1067,1,FALSE()))),"OLD",IF(AND(E1068&lt;&gt;"",E1068&lt;&gt;"!!!"),"NEW","")))</f>
        <v>OLD</v>
      </c>
      <c r="G1068" s="22" t="str">
        <f aca="false"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?IN_FOCUS</v>
      </c>
      <c r="H1068" s="23" t="str">
        <f aca="false">IF(J1068&lt;&gt;1,"",IF(I1068="SBJ","CB","?"))</f>
        <v/>
      </c>
      <c r="I1068" s="24" t="str">
        <f aca="false">IF(OR(E1068="",E1068="!!!",F1068="NEW"),"",INDEX(B$2:B1067,-1+SUMPRODUCT(MAX(ROW(E$2:E1067)*(E1068=E$2:E1067)))))</f>
        <v>SBJ_2</v>
      </c>
      <c r="J1068" s="24" t="n">
        <f aca="true">IF(OR(E1068="",E1068="!!!",F1068="NEW"),"",COUNTBLANK(OFFSET(A$1,,,SUMPRODUCT(MAX(ROW(E$2:E1068)*(E1068=E$2:E1068)))))-COUNTBLANK(OFFSET(A$1,,,SUMPRODUCT(MAX(ROW(E$1:E1067)*(E2=E$1:E1067))))))</f>
        <v>0</v>
      </c>
      <c r="K1068" s="24" t="n">
        <f aca="false">IF(OR(E1068="",E1068="!!!",F1068="NEW"),"",INDEX(J$1:J1067,SUMPRODUCT(MAX(ROW(E$1:E1067)*(E1068=E$1:E1067)))))</f>
        <v>0</v>
      </c>
      <c r="L1068" s="25"/>
    </row>
    <row r="1069" customFormat="false" ht="14.25" hidden="false" customHeight="false" outlineLevel="0" collapsed="false">
      <c r="A1069" s="0" t="s">
        <v>205</v>
      </c>
      <c r="E1069" s="20" t="str">
        <f aca="false">IF(D1069="?OLD","!!!","")</f>
        <v/>
      </c>
      <c r="F1069" s="21" t="str">
        <f aca="false">IF(OR(E1069="",E1069="!!!"),"",IF(NOT(ISNA(VLOOKUP(E1069,E$1:E1068,1,FALSE()))),"OLD",IF(AND(E1069&lt;&gt;"",E1069&lt;&gt;"!!!"),"NEW","")))</f>
        <v/>
      </c>
      <c r="G1069" s="22" t="str">
        <f aca="false"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aca="false">IF(J1069&lt;&gt;1,"",IF(I1069="SBJ","CB","?"))</f>
        <v/>
      </c>
      <c r="I1069" s="24" t="str">
        <f aca="false">IF(OR(E1069="",E1069="!!!",F1069="NEW"),"",INDEX(B$2:B1068,-1+SUMPRODUCT(MAX(ROW(E$2:E1068)*(E1069=E$2:E1068)))))</f>
        <v/>
      </c>
      <c r="J1069" s="24" t="str">
        <f aca="true">IF(OR(E1069="",E1069="!!!",F1069="NEW"),"",COUNTBLANK(OFFSET(A$1,,,SUMPRODUCT(MAX(ROW(E$2:E1069)*(E1069=E$2:E1069)))))-COUNTBLANK(OFFSET(A$1,,,SUMPRODUCT(MAX(ROW(E$1:E1068)*(E2=E$1:E1068))))))</f>
        <v/>
      </c>
      <c r="K1069" s="24" t="str">
        <f aca="false">IF(OR(E1069="",E1069="!!!",F1069="NEW"),"",INDEX(J$1:J1068,SUMPRODUCT(MAX(ROW(E$1:E1068)*(E1069=E$1:E1068)))))</f>
        <v/>
      </c>
      <c r="L1069" s="25"/>
    </row>
    <row r="1070" customFormat="false" ht="14.25" hidden="false" customHeight="false" outlineLevel="0" collapsed="false">
      <c r="A1070" s="0" t="s">
        <v>101</v>
      </c>
      <c r="E1070" s="20" t="str">
        <f aca="false">IF(D1070="?OLD","!!!","")</f>
        <v/>
      </c>
      <c r="F1070" s="21" t="str">
        <f aca="false">IF(OR(E1070="",E1070="!!!"),"",IF(NOT(ISNA(VLOOKUP(E1070,E$1:E1069,1,FALSE()))),"OLD",IF(AND(E1070&lt;&gt;"",E1070&lt;&gt;"!!!"),"NEW","")))</f>
        <v/>
      </c>
      <c r="G1070" s="22" t="str">
        <f aca="false"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aca="false">IF(J1070&lt;&gt;1,"",IF(I1070="SBJ","CB","?"))</f>
        <v/>
      </c>
      <c r="I1070" s="24" t="str">
        <f aca="false">IF(OR(E1070="",E1070="!!!",F1070="NEW"),"",INDEX(B$2:B1069,-1+SUMPRODUCT(MAX(ROW(E$2:E1069)*(E1070=E$2:E1069)))))</f>
        <v/>
      </c>
      <c r="J1070" s="24" t="str">
        <f aca="true">IF(OR(E1070="",E1070="!!!",F1070="NEW"),"",COUNTBLANK(OFFSET(A$1,,,SUMPRODUCT(MAX(ROW(E$2:E1070)*(E1070=E$2:E1070)))))-COUNTBLANK(OFFSET(A$1,,,SUMPRODUCT(MAX(ROW(E$1:E1069)*(E2=E$1:E1069))))))</f>
        <v/>
      </c>
      <c r="K1070" s="24" t="str">
        <f aca="false">IF(OR(E1070="",E1070="!!!",F1070="NEW"),"",INDEX(J$1:J1069,SUMPRODUCT(MAX(ROW(E$1:E1069)*(E1070=E$1:E1069)))))</f>
        <v/>
      </c>
      <c r="L1070" s="25"/>
    </row>
    <row r="1071" customFormat="false" ht="14.25" hidden="false" customHeight="false" outlineLevel="0" collapsed="false">
      <c r="A1071" s="0" t="s">
        <v>102</v>
      </c>
      <c r="E1071" s="20" t="str">
        <f aca="false">IF(D1071="?OLD","!!!","")</f>
        <v/>
      </c>
      <c r="F1071" s="21" t="str">
        <f aca="false">IF(OR(E1071="",E1071="!!!"),"",IF(NOT(ISNA(VLOOKUP(E1071,E$1:E1070,1,FALSE()))),"OLD",IF(AND(E1071&lt;&gt;"",E1071&lt;&gt;"!!!"),"NEW","")))</f>
        <v/>
      </c>
      <c r="G1071" s="22" t="str">
        <f aca="false"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aca="false">IF(J1071&lt;&gt;1,"",IF(I1071="SBJ","CB","?"))</f>
        <v/>
      </c>
      <c r="I1071" s="24" t="str">
        <f aca="false">IF(OR(E1071="",E1071="!!!",F1071="NEW"),"",INDEX(B$2:B1070,-1+SUMPRODUCT(MAX(ROW(E$2:E1070)*(E1071=E$2:E1070)))))</f>
        <v/>
      </c>
      <c r="J1071" s="24" t="str">
        <f aca="true">IF(OR(E1071="",E1071="!!!",F1071="NEW"),"",COUNTBLANK(OFFSET(A$1,,,SUMPRODUCT(MAX(ROW(E$2:E1071)*(E1071=E$2:E1071)))))-COUNTBLANK(OFFSET(A$1,,,SUMPRODUCT(MAX(ROW(E$1:E1070)*(E2=E$1:E1070))))))</f>
        <v/>
      </c>
      <c r="K1071" s="24" t="str">
        <f aca="false">IF(OR(E1071="",E1071="!!!",F1071="NEW"),"",INDEX(J$1:J1070,SUMPRODUCT(MAX(ROW(E$1:E1070)*(E1071=E$1:E1070)))))</f>
        <v/>
      </c>
      <c r="L1071" s="25"/>
    </row>
    <row r="1072" customFormat="false" ht="14.25" hidden="false" customHeight="false" outlineLevel="0" collapsed="false">
      <c r="A1072" s="0" t="s">
        <v>365</v>
      </c>
      <c r="B1072" s="26" t="s">
        <v>96</v>
      </c>
      <c r="C1072" s="26" t="s">
        <v>283</v>
      </c>
      <c r="D1072" s="26" t="s">
        <v>75</v>
      </c>
      <c r="E1072" s="20" t="s">
        <v>366</v>
      </c>
      <c r="F1072" s="21" t="str">
        <f aca="false">IF(OR(E1072="",E1072="!!!"),"",IF(NOT(ISNA(VLOOKUP(E1072,E$1:E1071,1,FALSE()))),"OLD",IF(AND(E1072&lt;&gt;"",E1072&lt;&gt;"!!!"),"NEW","")))</f>
        <v>OLD</v>
      </c>
      <c r="G1072" s="22" t="str">
        <f aca="false"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?IN_FOCUS</v>
      </c>
      <c r="H1072" s="23" t="str">
        <f aca="false">IF(J1072&lt;&gt;1,"",IF(I1072="SBJ","CB","?"))</f>
        <v/>
      </c>
      <c r="I1072" s="24" t="str">
        <f aca="false">IF(OR(E1072="",E1072="!!!",F1072="NEW"),"",INDEX(B$2:B1071,-1+SUMPRODUCT(MAX(ROW(E$2:E1071)*(E1072=E$2:E1071)))))</f>
        <v>SBJ</v>
      </c>
      <c r="J1072" s="24" t="n">
        <f aca="true">IF(OR(E1072="",E1072="!!!",F1072="NEW"),"",COUNTBLANK(OFFSET(A$1,,,SUMPRODUCT(MAX(ROW(E$2:E1072)*(E1072=E$2:E1072)))))-COUNTBLANK(OFFSET(A$1,,,SUMPRODUCT(MAX(ROW(E$1:E1071)*(E2=E$1:E1071))))))</f>
        <v>0</v>
      </c>
      <c r="K1072" s="24" t="n">
        <f aca="false">IF(OR(E1072="",E1072="!!!",F1072="NEW"),"",INDEX(J$1:J1071,SUMPRODUCT(MAX(ROW(E$1:E1071)*(E1072=E$1:E1071)))))</f>
        <v>0</v>
      </c>
      <c r="L1072" s="25"/>
    </row>
    <row r="1073" customFormat="false" ht="14.25" hidden="false" customHeight="false" outlineLevel="0" collapsed="false">
      <c r="A1073" s="0" t="s">
        <v>160</v>
      </c>
      <c r="E1073" s="20" t="str">
        <f aca="false">IF(D1073="?OLD","!!!","")</f>
        <v/>
      </c>
      <c r="F1073" s="21" t="str">
        <f aca="false">IF(OR(E1073="",E1073="!!!"),"",IF(NOT(ISNA(VLOOKUP(E1073,E$1:E1072,1,FALSE()))),"OLD",IF(AND(E1073&lt;&gt;"",E1073&lt;&gt;"!!!"),"NEW","")))</f>
        <v/>
      </c>
      <c r="G1073" s="22" t="str">
        <f aca="false"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3" t="str">
        <f aca="false">IF(J1073&lt;&gt;1,"",IF(I1073="SBJ","CB","?"))</f>
        <v/>
      </c>
      <c r="I1073" s="24" t="str">
        <f aca="false">IF(OR(E1073="",E1073="!!!",F1073="NEW"),"",INDEX(B$2:B1072,-1+SUMPRODUCT(MAX(ROW(E$2:E1072)*(E1073=E$2:E1072)))))</f>
        <v/>
      </c>
      <c r="J1073" s="24" t="str">
        <f aca="true">IF(OR(E1073="",E1073="!!!",F1073="NEW"),"",COUNTBLANK(OFFSET(A$1,,,SUMPRODUCT(MAX(ROW(E$2:E1073)*(E1073=E$2:E1073)))))-COUNTBLANK(OFFSET(A$1,,,SUMPRODUCT(MAX(ROW(E$1:E1072)*(E2=E$1:E1072))))))</f>
        <v/>
      </c>
      <c r="K1073" s="24" t="str">
        <f aca="false">IF(OR(E1073="",E1073="!!!",F1073="NEW"),"",INDEX(J$1:J1072,SUMPRODUCT(MAX(ROW(E$1:E1072)*(E1073=E$1:E1072)))))</f>
        <v/>
      </c>
      <c r="L1073" s="25"/>
    </row>
    <row r="1074" customFormat="false" ht="14.25" hidden="false" customHeight="false" outlineLevel="0" collapsed="false">
      <c r="A1074" s="0" t="s">
        <v>744</v>
      </c>
      <c r="B1074" s="26" t="s">
        <v>154</v>
      </c>
      <c r="C1074" s="26" t="s">
        <v>74</v>
      </c>
      <c r="D1074" s="26" t="s">
        <v>75</v>
      </c>
      <c r="E1074" s="20" t="s">
        <v>745</v>
      </c>
      <c r="F1074" s="21" t="str">
        <f aca="false">IF(OR(E1074="",E1074="!!!"),"",IF(NOT(ISNA(VLOOKUP(E1074,E$1:E1073,1,FALSE()))),"OLD",IF(AND(E1074&lt;&gt;"",E1074&lt;&gt;"!!!"),"NEW","")))</f>
        <v>NEW</v>
      </c>
      <c r="G1074" s="22" t="str">
        <f aca="false"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?REFERENTIAL</v>
      </c>
      <c r="H1074" s="23" t="str">
        <f aca="false">IF(J1074&lt;&gt;1,"",IF(I1074="SBJ","CB","?"))</f>
        <v/>
      </c>
      <c r="I1074" s="24" t="str">
        <f aca="false">IF(OR(E1074="",E1074="!!!",F1074="NEW"),"",INDEX(B$2:B1073,-1+SUMPRODUCT(MAX(ROW(E$2:E1073)*(E1074=E$2:E1073)))))</f>
        <v/>
      </c>
      <c r="J1074" s="24" t="str">
        <f aca="true">IF(OR(E1074="",E1074="!!!",F1074="NEW"),"",COUNTBLANK(OFFSET(A$1,,,SUMPRODUCT(MAX(ROW(E$2:E1074)*(E1074=E$2:E1074)))))-COUNTBLANK(OFFSET(A$1,,,SUMPRODUCT(MAX(ROW(E$1:E1073)*(E2=E$1:E1073))))))</f>
        <v/>
      </c>
      <c r="K1074" s="24" t="str">
        <f aca="false">IF(OR(E1074="",E1074="!!!",F1074="NEW"),"",INDEX(J$1:J1073,SUMPRODUCT(MAX(ROW(E$1:E1073)*(E1074=E$1:E1073)))))</f>
        <v/>
      </c>
      <c r="L1074" s="25"/>
    </row>
    <row r="1075" customFormat="false" ht="14.25" hidden="false" customHeight="false" outlineLevel="0" collapsed="false">
      <c r="A1075" s="0" t="s">
        <v>181</v>
      </c>
      <c r="E1075" s="20" t="str">
        <f aca="false">IF(D1075="?OLD","!!!","")</f>
        <v/>
      </c>
      <c r="F1075" s="21" t="str">
        <f aca="false">IF(OR(E1075="",E1075="!!!"),"",IF(NOT(ISNA(VLOOKUP(E1075,E$1:E1074,1,FALSE()))),"OLD",IF(AND(E1075&lt;&gt;"",E1075&lt;&gt;"!!!"),"NEW","")))</f>
        <v/>
      </c>
      <c r="G1075" s="22" t="str">
        <f aca="false"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aca="false">IF(J1075&lt;&gt;1,"",IF(I1075="SBJ","CB","?"))</f>
        <v/>
      </c>
      <c r="I1075" s="24" t="str">
        <f aca="false">IF(OR(E1075="",E1075="!!!",F1075="NEW"),"",INDEX(B$2:B1074,-1+SUMPRODUCT(MAX(ROW(E$2:E1074)*(E1075=E$2:E1074)))))</f>
        <v/>
      </c>
      <c r="J1075" s="24" t="str">
        <f aca="true">IF(OR(E1075="",E1075="!!!",F1075="NEW"),"",COUNTBLANK(OFFSET(A$1,,,SUMPRODUCT(MAX(ROW(E$2:E1075)*(E1075=E$2:E1075)))))-COUNTBLANK(OFFSET(A$1,,,SUMPRODUCT(MAX(ROW(E$1:E1074)*(E2=E$1:E1074))))))</f>
        <v/>
      </c>
      <c r="K1075" s="24" t="str">
        <f aca="false">IF(OR(E1075="",E1075="!!!",F1075="NEW"),"",INDEX(J$1:J1074,SUMPRODUCT(MAX(ROW(E$1:E1074)*(E1075=E$1:E1074)))))</f>
        <v/>
      </c>
      <c r="L1075" s="25"/>
    </row>
    <row r="1076" customFormat="false" ht="14.25" hidden="false" customHeight="false" outlineLevel="0" collapsed="false">
      <c r="A1076" s="0" t="s">
        <v>101</v>
      </c>
      <c r="E1076" s="20" t="str">
        <f aca="false">IF(D1076="?OLD","!!!","")</f>
        <v/>
      </c>
      <c r="F1076" s="21" t="str">
        <f aca="false">IF(OR(E1076="",E1076="!!!"),"",IF(NOT(ISNA(VLOOKUP(E1076,E$1:E1075,1,FALSE()))),"OLD",IF(AND(E1076&lt;&gt;"",E1076&lt;&gt;"!!!"),"NEW","")))</f>
        <v/>
      </c>
      <c r="G1076" s="22" t="str">
        <f aca="false"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aca="false">IF(J1076&lt;&gt;1,"",IF(I1076="SBJ","CB","?"))</f>
        <v/>
      </c>
      <c r="I1076" s="24" t="str">
        <f aca="false">IF(OR(E1076="",E1076="!!!",F1076="NEW"),"",INDEX(B$2:B1075,-1+SUMPRODUCT(MAX(ROW(E$2:E1075)*(E1076=E$2:E1075)))))</f>
        <v/>
      </c>
      <c r="J1076" s="24" t="str">
        <f aca="true">IF(OR(E1076="",E1076="!!!",F1076="NEW"),"",COUNTBLANK(OFFSET(A$1,,,SUMPRODUCT(MAX(ROW(E$2:E1076)*(E1076=E$2:E1076)))))-COUNTBLANK(OFFSET(A$1,,,SUMPRODUCT(MAX(ROW(E$1:E1075)*(E2=E$1:E1075))))))</f>
        <v/>
      </c>
      <c r="K1076" s="24" t="str">
        <f aca="false">IF(OR(E1076="",E1076="!!!",F1076="NEW"),"",INDEX(J$1:J1075,SUMPRODUCT(MAX(ROW(E$1:E1075)*(E1076=E$1:E1075)))))</f>
        <v/>
      </c>
      <c r="L1076" s="25"/>
    </row>
    <row r="1077" customFormat="false" ht="14.25" hidden="false" customHeight="false" outlineLevel="0" collapsed="false">
      <c r="A1077" s="0" t="s">
        <v>427</v>
      </c>
      <c r="B1077" s="26" t="s">
        <v>110</v>
      </c>
      <c r="C1077" s="26" t="s">
        <v>105</v>
      </c>
      <c r="E1077" s="20" t="str">
        <f aca="false">IF(D1077="?OLD","!!!","")</f>
        <v/>
      </c>
      <c r="F1077" s="21" t="str">
        <f aca="false">IF(OR(E1077="",E1077="!!!"),"",IF(NOT(ISNA(VLOOKUP(E1077,E$1:E1076,1,FALSE()))),"OLD",IF(AND(E1077&lt;&gt;"",E1077&lt;&gt;"!!!"),"NEW","")))</f>
        <v/>
      </c>
      <c r="G1077" s="22" t="str">
        <f aca="false"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aca="false">IF(J1077&lt;&gt;1,"",IF(I1077="SBJ","CB","?"))</f>
        <v/>
      </c>
      <c r="I1077" s="24" t="str">
        <f aca="false">IF(OR(E1077="",E1077="!!!",F1077="NEW"),"",INDEX(B$2:B1076,-1+SUMPRODUCT(MAX(ROW(E$2:E1076)*(E1077=E$2:E1076)))))</f>
        <v/>
      </c>
      <c r="J1077" s="24" t="str">
        <f aca="true">IF(OR(E1077="",E1077="!!!",F1077="NEW"),"",COUNTBLANK(OFFSET(A$1,,,SUMPRODUCT(MAX(ROW(E$2:E1077)*(E1077=E$2:E1077)))))-COUNTBLANK(OFFSET(A$1,,,SUMPRODUCT(MAX(ROW(E$1:E1076)*(E2=E$1:E1076))))))</f>
        <v/>
      </c>
      <c r="K1077" s="24" t="str">
        <f aca="false">IF(OR(E1077="",E1077="!!!",F1077="NEW"),"",INDEX(J$1:J1076,SUMPRODUCT(MAX(ROW(E$1:E1076)*(E1077=E$1:E1076)))))</f>
        <v/>
      </c>
      <c r="L1077" s="25"/>
    </row>
    <row r="1078" customFormat="false" ht="14.25" hidden="false" customHeight="false" outlineLevel="0" collapsed="false">
      <c r="A1078" s="0" t="s">
        <v>142</v>
      </c>
      <c r="E1078" s="20" t="str">
        <f aca="false">IF(D1078="?OLD","!!!","")</f>
        <v/>
      </c>
      <c r="F1078" s="21" t="str">
        <f aca="false">IF(OR(E1078="",E1078="!!!"),"",IF(NOT(ISNA(VLOOKUP(E1078,E$1:E1077,1,FALSE()))),"OLD",IF(AND(E1078&lt;&gt;"",E1078&lt;&gt;"!!!"),"NEW","")))</f>
        <v/>
      </c>
      <c r="G1078" s="22" t="str">
        <f aca="false"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aca="false">IF(J1078&lt;&gt;1,"",IF(I1078="SBJ","CB","?"))</f>
        <v/>
      </c>
      <c r="I1078" s="24" t="str">
        <f aca="false">IF(OR(E1078="",E1078="!!!",F1078="NEW"),"",INDEX(B$2:B1077,-1+SUMPRODUCT(MAX(ROW(E$2:E1077)*(E1078=E$2:E1077)))))</f>
        <v/>
      </c>
      <c r="J1078" s="24" t="str">
        <f aca="true">IF(OR(E1078="",E1078="!!!",F1078="NEW"),"",COUNTBLANK(OFFSET(A$1,,,SUMPRODUCT(MAX(ROW(E$2:E1078)*(E1078=E$2:E1078)))))-COUNTBLANK(OFFSET(A$1,,,SUMPRODUCT(MAX(ROW(E$1:E1077)*(E2=E$1:E1077))))))</f>
        <v/>
      </c>
      <c r="K1078" s="24" t="str">
        <f aca="false">IF(OR(E1078="",E1078="!!!",F1078="NEW"),"",INDEX(J$1:J1077,SUMPRODUCT(MAX(ROW(E$1:E1077)*(E1078=E$1:E1077)))))</f>
        <v/>
      </c>
      <c r="L1078" s="25"/>
    </row>
    <row r="1079" customFormat="false" ht="14.25" hidden="false" customHeight="false" outlineLevel="0" collapsed="false">
      <c r="A1079" s="0" t="s">
        <v>716</v>
      </c>
      <c r="B1079" s="26" t="s">
        <v>115</v>
      </c>
      <c r="C1079" s="26" t="s">
        <v>105</v>
      </c>
      <c r="E1079" s="20" t="str">
        <f aca="false">IF(D1079="?OLD","!!!","")</f>
        <v/>
      </c>
      <c r="F1079" s="21" t="str">
        <f aca="false">IF(OR(E1079="",E1079="!!!"),"",IF(NOT(ISNA(VLOOKUP(E1079,E$1:E1078,1,FALSE()))),"OLD",IF(AND(E1079&lt;&gt;"",E1079&lt;&gt;"!!!"),"NEW","")))</f>
        <v/>
      </c>
      <c r="G1079" s="22" t="str">
        <f aca="false"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aca="false">IF(J1079&lt;&gt;1,"",IF(I1079="SBJ","CB","?"))</f>
        <v/>
      </c>
      <c r="I1079" s="24" t="str">
        <f aca="false">IF(OR(E1079="",E1079="!!!",F1079="NEW"),"",INDEX(B$2:B1078,-1+SUMPRODUCT(MAX(ROW(E$2:E1078)*(E1079=E$2:E1078)))))</f>
        <v/>
      </c>
      <c r="J1079" s="24" t="str">
        <f aca="true">IF(OR(E1079="",E1079="!!!",F1079="NEW"),"",COUNTBLANK(OFFSET(A$1,,,SUMPRODUCT(MAX(ROW(E$2:E1079)*(E1079=E$2:E1079)))))-COUNTBLANK(OFFSET(A$1,,,SUMPRODUCT(MAX(ROW(E$1:E1078)*(E2=E$1:E1078))))))</f>
        <v/>
      </c>
      <c r="K1079" s="24" t="str">
        <f aca="false">IF(OR(E1079="",E1079="!!!",F1079="NEW"),"",INDEX(J$1:J1078,SUMPRODUCT(MAX(ROW(E$1:E1078)*(E1079=E$1:E1078)))))</f>
        <v/>
      </c>
      <c r="L1079" s="25"/>
    </row>
    <row r="1080" customFormat="false" ht="14.25" hidden="false" customHeight="false" outlineLevel="0" collapsed="false">
      <c r="A1080" s="0" t="s">
        <v>155</v>
      </c>
      <c r="E1080" s="20" t="str">
        <f aca="false">IF(D1080="?OLD","!!!","")</f>
        <v/>
      </c>
      <c r="F1080" s="21" t="str">
        <f aca="false">IF(OR(E1080="",E1080="!!!"),"",IF(NOT(ISNA(VLOOKUP(E1080,E$1:E1079,1,FALSE()))),"OLD",IF(AND(E1080&lt;&gt;"",E1080&lt;&gt;"!!!"),"NEW","")))</f>
        <v/>
      </c>
      <c r="G1080" s="22" t="str">
        <f aca="false"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aca="false">IF(J1080&lt;&gt;1,"",IF(I1080="SBJ","CB","?"))</f>
        <v/>
      </c>
      <c r="I1080" s="24" t="str">
        <f aca="false">IF(OR(E1080="",E1080="!!!",F1080="NEW"),"",INDEX(B$2:B1079,-1+SUMPRODUCT(MAX(ROW(E$2:E1079)*(E1080=E$2:E1079)))))</f>
        <v/>
      </c>
      <c r="J1080" s="24" t="str">
        <f aca="true">IF(OR(E1080="",E1080="!!!",F1080="NEW"),"",COUNTBLANK(OFFSET(A$1,,,SUMPRODUCT(MAX(ROW(E$2:E1080)*(E1080=E$2:E1080)))))-COUNTBLANK(OFFSET(A$1,,,SUMPRODUCT(MAX(ROW(E$1:E1079)*(E2=E$1:E1079))))))</f>
        <v/>
      </c>
      <c r="K1080" s="24" t="str">
        <f aca="false">IF(OR(E1080="",E1080="!!!",F1080="NEW"),"",INDEX(J$1:J1079,SUMPRODUCT(MAX(ROW(E$1:E1079)*(E1080=E$1:E1079)))))</f>
        <v/>
      </c>
      <c r="L1080" s="25"/>
    </row>
    <row r="1081" customFormat="false" ht="14.25" hidden="false" customHeight="false" outlineLevel="0" collapsed="false">
      <c r="A1081" s="0" t="s">
        <v>746</v>
      </c>
      <c r="E1081" s="20" t="str">
        <f aca="false">IF(D1081="?OLD","!!!","")</f>
        <v/>
      </c>
      <c r="F1081" s="21" t="str">
        <f aca="false">IF(OR(E1081="",E1081="!!!"),"",IF(NOT(ISNA(VLOOKUP(E1081,E$1:E1080,1,FALSE()))),"OLD",IF(AND(E1081&lt;&gt;"",E1081&lt;&gt;"!!!"),"NEW","")))</f>
        <v/>
      </c>
      <c r="G1081" s="22" t="str">
        <f aca="false"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aca="false">IF(J1081&lt;&gt;1,"",IF(I1081="SBJ","CB","?"))</f>
        <v/>
      </c>
      <c r="I1081" s="24" t="str">
        <f aca="false">IF(OR(E1081="",E1081="!!!",F1081="NEW"),"",INDEX(B$2:B1080,-1+SUMPRODUCT(MAX(ROW(E$2:E1080)*(E1081=E$2:E1080)))))</f>
        <v/>
      </c>
      <c r="J1081" s="24" t="str">
        <f aca="true">IF(OR(E1081="",E1081="!!!",F1081="NEW"),"",COUNTBLANK(OFFSET(A$1,,,SUMPRODUCT(MAX(ROW(E$2:E1081)*(E1081=E$2:E1081)))))-COUNTBLANK(OFFSET(A$1,,,SUMPRODUCT(MAX(ROW(E$1:E1080)*(E2=E$1:E1080))))))</f>
        <v/>
      </c>
      <c r="K1081" s="24" t="str">
        <f aca="false">IF(OR(E1081="",E1081="!!!",F1081="NEW"),"",INDEX(J$1:J1080,SUMPRODUCT(MAX(ROW(E$1:E1080)*(E1081=E$1:E1080)))))</f>
        <v/>
      </c>
      <c r="L1081" s="25"/>
    </row>
    <row r="1082" customFormat="false" ht="14.25" hidden="false" customHeight="false" outlineLevel="0" collapsed="false">
      <c r="A1082" s="0" t="s">
        <v>86</v>
      </c>
      <c r="E1082" s="20" t="str">
        <f aca="false">IF(D1082="?OLD","!!!","")</f>
        <v/>
      </c>
      <c r="F1082" s="21" t="str">
        <f aca="false">IF(OR(E1082="",E1082="!!!"),"",IF(NOT(ISNA(VLOOKUP(E1082,E$1:E1081,1,FALSE()))),"OLD",IF(AND(E1082&lt;&gt;"",E1082&lt;&gt;"!!!"),"NEW","")))</f>
        <v/>
      </c>
      <c r="G1082" s="22" t="str">
        <f aca="false"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aca="false">IF(J1082&lt;&gt;1,"",IF(I1082="SBJ","CB","?"))</f>
        <v/>
      </c>
      <c r="I1082" s="24" t="str">
        <f aca="false">IF(OR(E1082="",E1082="!!!",F1082="NEW"),"",INDEX(B$2:B1081,-1+SUMPRODUCT(MAX(ROW(E$2:E1081)*(E1082=E$2:E1081)))))</f>
        <v/>
      </c>
      <c r="J1082" s="24" t="str">
        <f aca="true">IF(OR(E1082="",E1082="!!!",F1082="NEW"),"",COUNTBLANK(OFFSET(A$1,,,SUMPRODUCT(MAX(ROW(E$2:E1082)*(E1082=E$2:E1082)))))-COUNTBLANK(OFFSET(A$1,,,SUMPRODUCT(MAX(ROW(E$1:E1081)*(E2=E$1:E1081))))))</f>
        <v/>
      </c>
      <c r="K1082" s="24" t="str">
        <f aca="false">IF(OR(E1082="",E1082="!!!",F1082="NEW"),"",INDEX(J$1:J1081,SUMPRODUCT(MAX(ROW(E$1:E1081)*(E1082=E$1:E1081)))))</f>
        <v/>
      </c>
      <c r="L1082" s="25"/>
    </row>
    <row r="1083" customFormat="false" ht="14.25" hidden="false" customHeight="false" outlineLevel="0" collapsed="false">
      <c r="A1083" s="0" t="s">
        <v>747</v>
      </c>
      <c r="E1083" s="20" t="str">
        <f aca="false">IF(D1083="?OLD","!!!","")</f>
        <v/>
      </c>
      <c r="F1083" s="21" t="str">
        <f aca="false">IF(OR(E1083="",E1083="!!!"),"",IF(NOT(ISNA(VLOOKUP(E1083,E$1:E1082,1,FALSE()))),"OLD",IF(AND(E1083&lt;&gt;"",E1083&lt;&gt;"!!!"),"NEW","")))</f>
        <v/>
      </c>
      <c r="G1083" s="22" t="str">
        <f aca="false"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aca="false">IF(J1083&lt;&gt;1,"",IF(I1083="SBJ","CB","?"))</f>
        <v/>
      </c>
      <c r="I1083" s="24" t="str">
        <f aca="false">IF(OR(E1083="",E1083="!!!",F1083="NEW"),"",INDEX(B$2:B1082,-1+SUMPRODUCT(MAX(ROW(E$2:E1082)*(E1083=E$2:E1082)))))</f>
        <v/>
      </c>
      <c r="J1083" s="24" t="str">
        <f aca="true">IF(OR(E1083="",E1083="!!!",F1083="NEW"),"",COUNTBLANK(OFFSET(A$1,,,SUMPRODUCT(MAX(ROW(E$2:E1083)*(E1083=E$2:E1083)))))-COUNTBLANK(OFFSET(A$1,,,SUMPRODUCT(MAX(ROW(E$1:E1082)*(E2=E$1:E1082))))))</f>
        <v/>
      </c>
      <c r="K1083" s="24" t="str">
        <f aca="false">IF(OR(E1083="",E1083="!!!",F1083="NEW"),"",INDEX(J$1:J1082,SUMPRODUCT(MAX(ROW(E$1:E1082)*(E1083=E$1:E1082)))))</f>
        <v/>
      </c>
      <c r="L1083" s="25"/>
    </row>
    <row r="1084" customFormat="false" ht="14.25" hidden="false" customHeight="false" outlineLevel="0" collapsed="false">
      <c r="A1084" s="0" t="s">
        <v>467</v>
      </c>
      <c r="E1084" s="20" t="str">
        <f aca="false">IF(D1084="?OLD","!!!","")</f>
        <v/>
      </c>
      <c r="F1084" s="21" t="str">
        <f aca="false">IF(OR(E1084="",E1084="!!!"),"",IF(NOT(ISNA(VLOOKUP(E1084,E$1:E1083,1,FALSE()))),"OLD",IF(AND(E1084&lt;&gt;"",E1084&lt;&gt;"!!!"),"NEW","")))</f>
        <v/>
      </c>
      <c r="G1084" s="22" t="str">
        <f aca="false"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aca="false">IF(J1084&lt;&gt;1,"",IF(I1084="SBJ","CB","?"))</f>
        <v/>
      </c>
      <c r="I1084" s="24" t="str">
        <f aca="false">IF(OR(E1084="",E1084="!!!",F1084="NEW"),"",INDEX(B$2:B1083,-1+SUMPRODUCT(MAX(ROW(E$2:E1083)*(E1084=E$2:E1083)))))</f>
        <v/>
      </c>
      <c r="J1084" s="24" t="str">
        <f aca="true">IF(OR(E1084="",E1084="!!!",F1084="NEW"),"",COUNTBLANK(OFFSET(A$1,,,SUMPRODUCT(MAX(ROW(E$2:E1084)*(E1084=E$2:E1084)))))-COUNTBLANK(OFFSET(A$1,,,SUMPRODUCT(MAX(ROW(E$1:E1083)*(E2=E$1:E1083))))))</f>
        <v/>
      </c>
      <c r="K1084" s="24" t="str">
        <f aca="false">IF(OR(E1084="",E1084="!!!",F1084="NEW"),"",INDEX(J$1:J1083,SUMPRODUCT(MAX(ROW(E$1:E1083)*(E1084=E$1:E1083)))))</f>
        <v/>
      </c>
      <c r="L1084" s="25"/>
    </row>
    <row r="1085" customFormat="false" ht="14.25" hidden="false" customHeight="false" outlineLevel="0" collapsed="false">
      <c r="A1085" s="0" t="s">
        <v>254</v>
      </c>
      <c r="B1085" s="26" t="s">
        <v>96</v>
      </c>
      <c r="C1085" s="26" t="s">
        <v>209</v>
      </c>
      <c r="D1085" s="26" t="s">
        <v>75</v>
      </c>
      <c r="E1085" s="20" t="s">
        <v>729</v>
      </c>
      <c r="F1085" s="21" t="str">
        <f aca="false">IF(OR(E1085="",E1085="!!!"),"",IF(NOT(ISNA(VLOOKUP(E1085,E$1:E1084,1,FALSE()))),"OLD",IF(AND(E1085&lt;&gt;"",E1085&lt;&gt;"!!!"),"NEW","")))</f>
        <v>OLD</v>
      </c>
      <c r="G1085" s="22" t="str">
        <f aca="false"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?IN_FOCUS</v>
      </c>
      <c r="H1085" s="23" t="str">
        <f aca="false">IF(J1085&lt;&gt;1,"",IF(I1085="SBJ","CB","?"))</f>
        <v/>
      </c>
      <c r="I1085" s="24" t="str">
        <f aca="false">IF(OR(E1085="",E1085="!!!",F1085="NEW"),"",INDEX(B$2:B1084,-1+SUMPRODUCT(MAX(ROW(E$2:E1084)*(E1085=E$2:E1084)))))</f>
        <v>SBJ</v>
      </c>
      <c r="J1085" s="24" t="n">
        <f aca="true">IF(OR(E1085="",E1085="!!!",F1085="NEW"),"",COUNTBLANK(OFFSET(A$1,,,SUMPRODUCT(MAX(ROW(E$2:E1085)*(E1085=E$2:E1085)))))-COUNTBLANK(OFFSET(A$1,,,SUMPRODUCT(MAX(ROW(E$1:E1084)*(E2=E$1:E1084))))))</f>
        <v>0</v>
      </c>
      <c r="K1085" s="24" t="n">
        <f aca="false">IF(OR(E1085="",E1085="!!!",F1085="NEW"),"",INDEX(J$1:J1084,SUMPRODUCT(MAX(ROW(E$1:E1084)*(E1085=E$1:E1084)))))</f>
        <v>0</v>
      </c>
      <c r="L1085" s="25"/>
    </row>
    <row r="1086" customFormat="false" ht="14.25" hidden="false" customHeight="false" outlineLevel="0" collapsed="false">
      <c r="A1086" s="0" t="s">
        <v>123</v>
      </c>
      <c r="B1086" s="26" t="s">
        <v>96</v>
      </c>
      <c r="C1086" s="26" t="s">
        <v>88</v>
      </c>
      <c r="D1086" s="26" t="s">
        <v>75</v>
      </c>
      <c r="E1086" s="20"/>
      <c r="F1086" s="21" t="s">
        <v>124</v>
      </c>
      <c r="G1086" s="22" t="str">
        <f aca="false"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3" t="str">
        <f aca="false">IF(J1086&lt;&gt;1,"",IF(I1086="SBJ","CB","?"))</f>
        <v/>
      </c>
      <c r="I1086" s="24" t="str">
        <f aca="false">IF(OR(E1086="",E1086="!!!",F1086="NEW"),"",INDEX(B$2:B1085,-1+SUMPRODUCT(MAX(ROW(E$2:E1085)*(E1086=E$2:E1085)))))</f>
        <v/>
      </c>
      <c r="J1086" s="24" t="str">
        <f aca="true">IF(OR(E1086="",E1086="!!!",F1086="NEW"),"",COUNTBLANK(OFFSET(A$1,,,SUMPRODUCT(MAX(ROW(E$2:E1086)*(E1086=E$2:E1086)))))-COUNTBLANK(OFFSET(A$1,,,SUMPRODUCT(MAX(ROW(E$1:E1085)*(E2=E$1:E1085))))))</f>
        <v/>
      </c>
      <c r="K1086" s="24" t="str">
        <f aca="false">IF(OR(E1086="",E1086="!!!",F1086="NEW"),"",INDEX(J$1:J1085,SUMPRODUCT(MAX(ROW(E$1:E1085)*(E1086=E$1:E1085)))))</f>
        <v/>
      </c>
      <c r="L1086" s="27" t="s">
        <v>748</v>
      </c>
    </row>
    <row r="1087" customFormat="false" ht="14.25" hidden="false" customHeight="false" outlineLevel="0" collapsed="false">
      <c r="A1087" s="0" t="s">
        <v>200</v>
      </c>
      <c r="E1087" s="20" t="str">
        <f aca="false">IF(D1087="?OLD","!!!","")</f>
        <v/>
      </c>
      <c r="F1087" s="21" t="str">
        <f aca="false">IF(OR(E1087="",E1087="!!!"),"",IF(NOT(ISNA(VLOOKUP(E1087,E$1:E1086,1,FALSE()))),"OLD",IF(AND(E1087&lt;&gt;"",E1087&lt;&gt;"!!!"),"NEW","")))</f>
        <v/>
      </c>
      <c r="G1087" s="22" t="str">
        <f aca="false"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3" t="str">
        <f aca="false">IF(J1087&lt;&gt;1,"",IF(I1087="SBJ","CB","?"))</f>
        <v/>
      </c>
      <c r="I1087" s="24" t="str">
        <f aca="false">IF(OR(E1087="",E1087="!!!",F1087="NEW"),"",INDEX(B$2:B1086,-1+SUMPRODUCT(MAX(ROW(E$2:E1086)*(E1087=E$2:E1086)))))</f>
        <v/>
      </c>
      <c r="J1087" s="24" t="str">
        <f aca="true">IF(OR(E1087="",E1087="!!!",F1087="NEW"),"",COUNTBLANK(OFFSET(A$1,,,SUMPRODUCT(MAX(ROW(E$2:E1087)*(E1087=E$2:E1087)))))-COUNTBLANK(OFFSET(A$1,,,SUMPRODUCT(MAX(ROW(E$1:E1086)*(E2=E$1:E1086))))))</f>
        <v/>
      </c>
      <c r="K1087" s="24" t="str">
        <f aca="false">IF(OR(E1087="",E1087="!!!",F1087="NEW"),"",INDEX(J$1:J1086,SUMPRODUCT(MAX(ROW(E$1:E1086)*(E1087=E$1:E1086)))))</f>
        <v/>
      </c>
      <c r="L1087" s="25"/>
    </row>
    <row r="1088" customFormat="false" ht="14.25" hidden="false" customHeight="false" outlineLevel="0" collapsed="false">
      <c r="A1088" s="0" t="s">
        <v>749</v>
      </c>
      <c r="E1088" s="20" t="s">
        <v>729</v>
      </c>
      <c r="F1088" s="21" t="str">
        <f aca="false">IF(OR(E1088="",E1088="!!!"),"",IF(NOT(ISNA(VLOOKUP(E1088,E$1:E1087,1,FALSE()))),"OLD",IF(AND(E1088&lt;&gt;"",E1088&lt;&gt;"!!!"),"NEW","")))</f>
        <v>OLD</v>
      </c>
      <c r="G1088" s="22" t="str">
        <f aca="false"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?IN_FOCUS</v>
      </c>
      <c r="H1088" s="23" t="str">
        <f aca="false">IF(J1088&lt;&gt;1,"",IF(I1088="SBJ","CB","?"))</f>
        <v/>
      </c>
      <c r="I1088" s="24" t="str">
        <f aca="false">IF(OR(E1088="",E1088="!!!",F1088="NEW"),"",INDEX(B$2:B1087,-1+SUMPRODUCT(MAX(ROW(E$2:E1087)*(E1088=E$2:E1087)))))</f>
        <v>SBJ_2</v>
      </c>
      <c r="J1088" s="24" t="n">
        <f aca="true">IF(OR(E1088="",E1088="!!!",F1088="NEW"),"",COUNTBLANK(OFFSET(A$1,,,SUMPRODUCT(MAX(ROW(E$2:E1088)*(E1088=E$2:E1088)))))-COUNTBLANK(OFFSET(A$1,,,SUMPRODUCT(MAX(ROW(E$1:E1087)*(E2=E$1:E1087))))))</f>
        <v>0</v>
      </c>
      <c r="K1088" s="24" t="n">
        <f aca="false">IF(OR(E1088="",E1088="!!!",F1088="NEW"),"",INDEX(J$1:J1087,SUMPRODUCT(MAX(ROW(E$1:E1087)*(E1088=E$1:E1087)))))</f>
        <v>0</v>
      </c>
      <c r="L1088" s="25"/>
    </row>
    <row r="1089" customFormat="false" ht="14.25" hidden="false" customHeight="false" outlineLevel="0" collapsed="false">
      <c r="A1089" s="0" t="s">
        <v>750</v>
      </c>
      <c r="B1089" s="26" t="s">
        <v>82</v>
      </c>
      <c r="C1089" s="26" t="s">
        <v>488</v>
      </c>
      <c r="E1089" s="20" t="s">
        <v>751</v>
      </c>
      <c r="F1089" s="21" t="str">
        <f aca="false">IF(OR(E1089="",E1089="!!!"),"",IF(NOT(ISNA(VLOOKUP(E1089,E$1:E1088,1,FALSE()))),"OLD",IF(AND(E1089&lt;&gt;"",E1089&lt;&gt;"!!!"),"NEW","")))</f>
        <v>NEW</v>
      </c>
      <c r="G1089" s="22" t="str">
        <f aca="false"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?REFERENTIAL</v>
      </c>
      <c r="H1089" s="23" t="str">
        <f aca="false">IF(J1089&lt;&gt;1,"",IF(I1089="SBJ","CB","?"))</f>
        <v/>
      </c>
      <c r="I1089" s="24" t="str">
        <f aca="false">IF(OR(E1089="",E1089="!!!",F1089="NEW"),"",INDEX(B$2:B1088,-1+SUMPRODUCT(MAX(ROW(E$2:E1088)*(E1089=E$2:E1088)))))</f>
        <v/>
      </c>
      <c r="J1089" s="24" t="str">
        <f aca="true">IF(OR(E1089="",E1089="!!!",F1089="NEW"),"",COUNTBLANK(OFFSET(A$1,,,SUMPRODUCT(MAX(ROW(E$2:E1089)*(E1089=E$2:E1089)))))-COUNTBLANK(OFFSET(A$1,,,SUMPRODUCT(MAX(ROW(E$1:E1088)*(E2=E$1:E1088))))))</f>
        <v/>
      </c>
      <c r="K1089" s="24" t="str">
        <f aca="false">IF(OR(E1089="",E1089="!!!",F1089="NEW"),"",INDEX(J$1:J1088,SUMPRODUCT(MAX(ROW(E$1:E1088)*(E1089=E$1:E1088)))))</f>
        <v/>
      </c>
      <c r="L1089" s="25"/>
    </row>
    <row r="1090" customFormat="false" ht="14.25" hidden="false" customHeight="false" outlineLevel="0" collapsed="false">
      <c r="A1090" s="0" t="s">
        <v>237</v>
      </c>
      <c r="E1090" s="20" t="str">
        <f aca="false">IF(D1090="?OLD","!!!","")</f>
        <v/>
      </c>
      <c r="F1090" s="21" t="str">
        <f aca="false">IF(OR(E1090="",E1090="!!!"),"",IF(NOT(ISNA(VLOOKUP(E1090,E$1:E1089,1,FALSE()))),"OLD",IF(AND(E1090&lt;&gt;"",E1090&lt;&gt;"!!!"),"NEW","")))</f>
        <v/>
      </c>
      <c r="G1090" s="22" t="str">
        <f aca="false"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aca="false">IF(J1090&lt;&gt;1,"",IF(I1090="SBJ","CB","?"))</f>
        <v/>
      </c>
      <c r="I1090" s="24" t="str">
        <f aca="false">IF(OR(E1090="",E1090="!!!",F1090="NEW"),"",INDEX(B$2:B1089,-1+SUMPRODUCT(MAX(ROW(E$2:E1089)*(E1090=E$2:E1089)))))</f>
        <v/>
      </c>
      <c r="J1090" s="24" t="str">
        <f aca="true">IF(OR(E1090="",E1090="!!!",F1090="NEW"),"",COUNTBLANK(OFFSET(A$1,,,SUMPRODUCT(MAX(ROW(E$2:E1090)*(E1090=E$2:E1090)))))-COUNTBLANK(OFFSET(A$1,,,SUMPRODUCT(MAX(ROW(E$1:E1089)*(E2=E$1:E1089))))))</f>
        <v/>
      </c>
      <c r="K1090" s="24" t="str">
        <f aca="false">IF(OR(E1090="",E1090="!!!",F1090="NEW"),"",INDEX(J$1:J1089,SUMPRODUCT(MAX(ROW(E$1:E1089)*(E1090=E$1:E1089)))))</f>
        <v/>
      </c>
      <c r="L1090" s="25"/>
    </row>
    <row r="1091" customFormat="false" ht="14.25" hidden="false" customHeight="false" outlineLevel="0" collapsed="false">
      <c r="A1091" s="0" t="s">
        <v>101</v>
      </c>
      <c r="E1091" s="20" t="str">
        <f aca="false">IF(D1091="?OLD","!!!","")</f>
        <v/>
      </c>
      <c r="F1091" s="21" t="str">
        <f aca="false">IF(OR(E1091="",E1091="!!!"),"",IF(NOT(ISNA(VLOOKUP(E1091,E$1:E1090,1,FALSE()))),"OLD",IF(AND(E1091&lt;&gt;"",E1091&lt;&gt;"!!!"),"NEW","")))</f>
        <v/>
      </c>
      <c r="G1091" s="22" t="str">
        <f aca="false"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aca="false">IF(J1091&lt;&gt;1,"",IF(I1091="SBJ","CB","?"))</f>
        <v/>
      </c>
      <c r="I1091" s="24" t="str">
        <f aca="false">IF(OR(E1091="",E1091="!!!",F1091="NEW"),"",INDEX(B$2:B1090,-1+SUMPRODUCT(MAX(ROW(E$2:E1090)*(E1091=E$2:E1090)))))</f>
        <v/>
      </c>
      <c r="J1091" s="24" t="str">
        <f aca="true">IF(OR(E1091="",E1091="!!!",F1091="NEW"),"",COUNTBLANK(OFFSET(A$1,,,SUMPRODUCT(MAX(ROW(E$2:E1091)*(E1091=E$2:E1091)))))-COUNTBLANK(OFFSET(A$1,,,SUMPRODUCT(MAX(ROW(E$1:E1090)*(E2=E$1:E1090))))))</f>
        <v/>
      </c>
      <c r="K1091" s="24" t="str">
        <f aca="false">IF(OR(E1091="",E1091="!!!",F1091="NEW"),"",INDEX(J$1:J1090,SUMPRODUCT(MAX(ROW(E$1:E1090)*(E1091=E$1:E1090)))))</f>
        <v/>
      </c>
      <c r="L1091" s="25"/>
    </row>
    <row r="1092" customFormat="false" ht="14.25" hidden="false" customHeight="false" outlineLevel="0" collapsed="false">
      <c r="A1092" s="0" t="s">
        <v>160</v>
      </c>
      <c r="B1092" s="26" t="s">
        <v>104</v>
      </c>
      <c r="E1092" s="20" t="s">
        <v>366</v>
      </c>
      <c r="F1092" s="21" t="str">
        <f aca="false">IF(OR(E1092="",E1092="!!!"),"",IF(NOT(ISNA(VLOOKUP(E1092,E$1:E1091,1,FALSE()))),"OLD",IF(AND(E1092&lt;&gt;"",E1092&lt;&gt;"!!!"),"NEW","")))</f>
        <v>OLD</v>
      </c>
      <c r="G1092" s="22" t="str">
        <f aca="false"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?IN_FOCUS</v>
      </c>
      <c r="H1092" s="23" t="str">
        <f aca="false">IF(J1092&lt;&gt;1,"",IF(I1092="SBJ","CB","?"))</f>
        <v/>
      </c>
      <c r="I1092" s="24" t="str">
        <f aca="false">IF(OR(E1092="",E1092="!!!",F1092="NEW"),"",INDEX(B$2:B1091,-1+SUMPRODUCT(MAX(ROW(E$2:E1091)*(E1092=E$2:E1091)))))</f>
        <v>SBJ_2</v>
      </c>
      <c r="J1092" s="24" t="n">
        <f aca="true">IF(OR(E1092="",E1092="!!!",F1092="NEW"),"",COUNTBLANK(OFFSET(A$1,,,SUMPRODUCT(MAX(ROW(E$2:E1092)*(E1092=E$2:E1092)))))-COUNTBLANK(OFFSET(A$1,,,SUMPRODUCT(MAX(ROW(E$1:E1091)*(E2=E$1:E1091))))))</f>
        <v>0</v>
      </c>
      <c r="K1092" s="24" t="n">
        <f aca="false">IF(OR(E1092="",E1092="!!!",F1092="NEW"),"",INDEX(J$1:J1091,SUMPRODUCT(MAX(ROW(E$1:E1091)*(E1092=E$1:E1091)))))</f>
        <v>0</v>
      </c>
      <c r="L1092" s="25"/>
    </row>
    <row r="1093" customFormat="false" ht="14.25" hidden="false" customHeight="false" outlineLevel="0" collapsed="false">
      <c r="A1093" s="0" t="s">
        <v>183</v>
      </c>
      <c r="E1093" s="20" t="str">
        <f aca="false">IF(D1093="?OLD","!!!","")</f>
        <v/>
      </c>
      <c r="F1093" s="21" t="str">
        <f aca="false">IF(OR(E1093="",E1093="!!!"),"",IF(NOT(ISNA(VLOOKUP(E1093,E$1:E1092,1,FALSE()))),"OLD",IF(AND(E1093&lt;&gt;"",E1093&lt;&gt;"!!!"),"NEW","")))</f>
        <v/>
      </c>
      <c r="G1093" s="22" t="str">
        <f aca="false"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aca="false">IF(J1093&lt;&gt;1,"",IF(I1093="SBJ","CB","?"))</f>
        <v/>
      </c>
      <c r="I1093" s="24" t="str">
        <f aca="false">IF(OR(E1093="",E1093="!!!",F1093="NEW"),"",INDEX(B$2:B1092,-1+SUMPRODUCT(MAX(ROW(E$2:E1092)*(E1093=E$2:E1092)))))</f>
        <v/>
      </c>
      <c r="J1093" s="24" t="str">
        <f aca="true">IF(OR(E1093="",E1093="!!!",F1093="NEW"),"",COUNTBLANK(OFFSET(A$1,,,SUMPRODUCT(MAX(ROW(E$2:E1093)*(E1093=E$2:E1093)))))-COUNTBLANK(OFFSET(A$1,,,SUMPRODUCT(MAX(ROW(E$1:E1092)*(E2=E$1:E1092))))))</f>
        <v/>
      </c>
      <c r="K1093" s="24" t="str">
        <f aca="false">IF(OR(E1093="",E1093="!!!",F1093="NEW"),"",INDEX(J$1:J1092,SUMPRODUCT(MAX(ROW(E$1:E1092)*(E1093=E$1:E1092)))))</f>
        <v/>
      </c>
      <c r="L1093" s="25"/>
    </row>
    <row r="1094" customFormat="false" ht="14.25" hidden="false" customHeight="false" outlineLevel="0" collapsed="false">
      <c r="A1094" s="0" t="s">
        <v>80</v>
      </c>
      <c r="E1094" s="20" t="str">
        <f aca="false">IF(D1094="?OLD","!!!","")</f>
        <v/>
      </c>
      <c r="F1094" s="21" t="str">
        <f aca="false">IF(OR(E1094="",E1094="!!!"),"",IF(NOT(ISNA(VLOOKUP(E1094,E$1:E1093,1,FALSE()))),"OLD",IF(AND(E1094&lt;&gt;"",E1094&lt;&gt;"!!!"),"NEW","")))</f>
        <v/>
      </c>
      <c r="G1094" s="22" t="str">
        <f aca="false"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aca="false">IF(J1094&lt;&gt;1,"",IF(I1094="SBJ","CB","?"))</f>
        <v/>
      </c>
      <c r="I1094" s="24" t="str">
        <f aca="false">IF(OR(E1094="",E1094="!!!",F1094="NEW"),"",INDEX(B$2:B1093,-1+SUMPRODUCT(MAX(ROW(E$2:E1093)*(E1094=E$2:E1093)))))</f>
        <v/>
      </c>
      <c r="J1094" s="24" t="str">
        <f aca="true">IF(OR(E1094="",E1094="!!!",F1094="NEW"),"",COUNTBLANK(OFFSET(A$1,,,SUMPRODUCT(MAX(ROW(E$2:E1094)*(E1094=E$2:E1094)))))-COUNTBLANK(OFFSET(A$1,,,SUMPRODUCT(MAX(ROW(E$1:E1093)*(E2=E$1:E1093))))))</f>
        <v/>
      </c>
      <c r="K1094" s="24" t="str">
        <f aca="false">IF(OR(E1094="",E1094="!!!",F1094="NEW"),"",INDEX(J$1:J1093,SUMPRODUCT(MAX(ROW(E$1:E1093)*(E1094=E$1:E1093)))))</f>
        <v/>
      </c>
      <c r="L1094" s="25"/>
    </row>
    <row r="1095" customFormat="false" ht="14.25" hidden="false" customHeight="false" outlineLevel="0" collapsed="false">
      <c r="A1095" s="0" t="s">
        <v>752</v>
      </c>
      <c r="B1095" s="26" t="s">
        <v>147</v>
      </c>
      <c r="C1095" s="26" t="s">
        <v>74</v>
      </c>
      <c r="D1095" s="26" t="s">
        <v>75</v>
      </c>
      <c r="E1095" s="20" t="s">
        <v>753</v>
      </c>
      <c r="F1095" s="21" t="str">
        <f aca="false">IF(OR(E1095="",E1095="!!!"),"",IF(NOT(ISNA(VLOOKUP(E1095,E$1:E1094,1,FALSE()))),"OLD",IF(AND(E1095&lt;&gt;"",E1095&lt;&gt;"!!!"),"NEW","")))</f>
        <v>NEW</v>
      </c>
      <c r="G1095" s="22" t="str">
        <f aca="false"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?REFERENTIAL</v>
      </c>
      <c r="H1095" s="23" t="str">
        <f aca="false">IF(J1095&lt;&gt;1,"",IF(I1095="SBJ","CB","?"))</f>
        <v/>
      </c>
      <c r="I1095" s="24" t="str">
        <f aca="false">IF(OR(E1095="",E1095="!!!",F1095="NEW"),"",INDEX(B$2:B1094,-1+SUMPRODUCT(MAX(ROW(E$2:E1094)*(E1095=E$2:E1094)))))</f>
        <v/>
      </c>
      <c r="J1095" s="24" t="str">
        <f aca="true">IF(OR(E1095="",E1095="!!!",F1095="NEW"),"",COUNTBLANK(OFFSET(A$1,,,SUMPRODUCT(MAX(ROW(E$2:E1095)*(E1095=E$2:E1095)))))-COUNTBLANK(OFFSET(A$1,,,SUMPRODUCT(MAX(ROW(E$1:E1094)*(E2=E$1:E1094))))))</f>
        <v/>
      </c>
      <c r="K1095" s="24" t="str">
        <f aca="false">IF(OR(E1095="",E1095="!!!",F1095="NEW"),"",INDEX(J$1:J1094,SUMPRODUCT(MAX(ROW(E$1:E1094)*(E1095=E$1:E1094)))))</f>
        <v/>
      </c>
      <c r="L1095" s="25"/>
    </row>
    <row r="1096" customFormat="false" ht="14.25" hidden="false" customHeight="false" outlineLevel="0" collapsed="false">
      <c r="A1096" s="0" t="s">
        <v>650</v>
      </c>
      <c r="E1096" s="20" t="str">
        <f aca="false">IF(D1096="?OLD","!!!","")</f>
        <v/>
      </c>
      <c r="F1096" s="21" t="str">
        <f aca="false">IF(OR(E1096="",E1096="!!!"),"",IF(NOT(ISNA(VLOOKUP(E1096,E$1:E1095,1,FALSE()))),"OLD",IF(AND(E1096&lt;&gt;"",E1096&lt;&gt;"!!!"),"NEW","")))</f>
        <v/>
      </c>
      <c r="G1096" s="22" t="str">
        <f aca="false"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3" t="str">
        <f aca="false">IF(J1096&lt;&gt;1,"",IF(I1096="SBJ","CB","?"))</f>
        <v/>
      </c>
      <c r="I1096" s="24" t="str">
        <f aca="false">IF(OR(E1096="",E1096="!!!",F1096="NEW"),"",INDEX(B$2:B1095,-1+SUMPRODUCT(MAX(ROW(E$2:E1095)*(E1096=E$2:E1095)))))</f>
        <v/>
      </c>
      <c r="J1096" s="24" t="str">
        <f aca="true">IF(OR(E1096="",E1096="!!!",F1096="NEW"),"",COUNTBLANK(OFFSET(A$1,,,SUMPRODUCT(MAX(ROW(E$2:E1096)*(E1096=E$2:E1096)))))-COUNTBLANK(OFFSET(A$1,,,SUMPRODUCT(MAX(ROW(E$1:E1095)*(E2=E$1:E1095))))))</f>
        <v/>
      </c>
      <c r="K1096" s="24" t="str">
        <f aca="false">IF(OR(E1096="",E1096="!!!",F1096="NEW"),"",INDEX(J$1:J1095,SUMPRODUCT(MAX(ROW(E$1:E1095)*(E1096=E$1:E1095)))))</f>
        <v/>
      </c>
      <c r="L1096" s="25"/>
    </row>
    <row r="1097" customFormat="false" ht="14.25" hidden="false" customHeight="false" outlineLevel="0" collapsed="false">
      <c r="A1097" s="0" t="s">
        <v>754</v>
      </c>
      <c r="E1097" s="20" t="str">
        <f aca="false">IF(D1097="?OLD","!!!","")</f>
        <v/>
      </c>
      <c r="F1097" s="21" t="str">
        <f aca="false">IF(OR(E1097="",E1097="!!!"),"",IF(NOT(ISNA(VLOOKUP(E1097,E$1:E1096,1,FALSE()))),"OLD",IF(AND(E1097&lt;&gt;"",E1097&lt;&gt;"!!!"),"NEW","")))</f>
        <v/>
      </c>
      <c r="G1097" s="22" t="str">
        <f aca="false"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aca="false">IF(J1097&lt;&gt;1,"",IF(I1097="SBJ","CB","?"))</f>
        <v/>
      </c>
      <c r="I1097" s="24" t="str">
        <f aca="false">IF(OR(E1097="",E1097="!!!",F1097="NEW"),"",INDEX(B$2:B1096,-1+SUMPRODUCT(MAX(ROW(E$2:E1096)*(E1097=E$2:E1096)))))</f>
        <v/>
      </c>
      <c r="J1097" s="24" t="str">
        <f aca="true">IF(OR(E1097="",E1097="!!!",F1097="NEW"),"",COUNTBLANK(OFFSET(A$1,,,SUMPRODUCT(MAX(ROW(E$2:E1097)*(E1097=E$2:E1097)))))-COUNTBLANK(OFFSET(A$1,,,SUMPRODUCT(MAX(ROW(E$1:E1096)*(E2=E$1:E1096))))))</f>
        <v/>
      </c>
      <c r="K1097" s="24" t="str">
        <f aca="false">IF(OR(E1097="",E1097="!!!",F1097="NEW"),"",INDEX(J$1:J1096,SUMPRODUCT(MAX(ROW(E$1:E1096)*(E1097=E$1:E1096)))))</f>
        <v/>
      </c>
      <c r="L1097" s="25"/>
    </row>
    <row r="1098" customFormat="false" ht="14.25" hidden="false" customHeight="false" outlineLevel="0" collapsed="false">
      <c r="A1098" s="0" t="s">
        <v>86</v>
      </c>
      <c r="E1098" s="20" t="str">
        <f aca="false">IF(D1098="?OLD","!!!","")</f>
        <v/>
      </c>
      <c r="F1098" s="21" t="str">
        <f aca="false">IF(OR(E1098="",E1098="!!!"),"",IF(NOT(ISNA(VLOOKUP(E1098,E$1:E1097,1,FALSE()))),"OLD",IF(AND(E1098&lt;&gt;"",E1098&lt;&gt;"!!!"),"NEW","")))</f>
        <v/>
      </c>
      <c r="G1098" s="22" t="str">
        <f aca="false"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aca="false">IF(J1098&lt;&gt;1,"",IF(I1098="SBJ","CB","?"))</f>
        <v/>
      </c>
      <c r="I1098" s="24" t="str">
        <f aca="false">IF(OR(E1098="",E1098="!!!",F1098="NEW"),"",INDEX(B$2:B1097,-1+SUMPRODUCT(MAX(ROW(E$2:E1097)*(E1098=E$2:E1097)))))</f>
        <v/>
      </c>
      <c r="J1098" s="24" t="str">
        <f aca="true">IF(OR(E1098="",E1098="!!!",F1098="NEW"),"",COUNTBLANK(OFFSET(A$1,,,SUMPRODUCT(MAX(ROW(E$2:E1098)*(E1098=E$2:E1098)))))-COUNTBLANK(OFFSET(A$1,,,SUMPRODUCT(MAX(ROW(E$1:E1097)*(E2=E$1:E1097))))))</f>
        <v/>
      </c>
      <c r="K1098" s="24" t="str">
        <f aca="false">IF(OR(E1098="",E1098="!!!",F1098="NEW"),"",INDEX(J$1:J1097,SUMPRODUCT(MAX(ROW(E$1:E1097)*(E1098=E$1:E1097)))))</f>
        <v/>
      </c>
      <c r="L1098" s="25"/>
    </row>
    <row r="1099" customFormat="false" ht="14.25" hidden="false" customHeight="false" outlineLevel="0" collapsed="false">
      <c r="A1099" s="0" t="s">
        <v>515</v>
      </c>
      <c r="E1099" s="20" t="str">
        <f aca="false">IF(D1099="?OLD","!!!","")</f>
        <v/>
      </c>
      <c r="F1099" s="21" t="str">
        <f aca="false">IF(OR(E1099="",E1099="!!!"),"",IF(NOT(ISNA(VLOOKUP(E1099,E$1:E1098,1,FALSE()))),"OLD",IF(AND(E1099&lt;&gt;"",E1099&lt;&gt;"!!!"),"NEW","")))</f>
        <v/>
      </c>
      <c r="G1099" s="22" t="str">
        <f aca="false"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3" t="str">
        <f aca="false">IF(J1099&lt;&gt;1,"",IF(I1099="SBJ","CB","?"))</f>
        <v/>
      </c>
      <c r="I1099" s="24" t="str">
        <f aca="false">IF(OR(E1099="",E1099="!!!",F1099="NEW"),"",INDEX(B$2:B1098,-1+SUMPRODUCT(MAX(ROW(E$2:E1098)*(E1099=E$2:E1098)))))</f>
        <v/>
      </c>
      <c r="J1099" s="24" t="str">
        <f aca="true">IF(OR(E1099="",E1099="!!!",F1099="NEW"),"",COUNTBLANK(OFFSET(A$1,,,SUMPRODUCT(MAX(ROW(E$2:E1099)*(E1099=E$2:E1099)))))-COUNTBLANK(OFFSET(A$1,,,SUMPRODUCT(MAX(ROW(E$1:E1098)*(E2=E$1:E1098))))))</f>
        <v/>
      </c>
      <c r="K1099" s="24" t="str">
        <f aca="false">IF(OR(E1099="",E1099="!!!",F1099="NEW"),"",INDEX(J$1:J1098,SUMPRODUCT(MAX(ROW(E$1:E1098)*(E1099=E$1:E1098)))))</f>
        <v/>
      </c>
      <c r="L1099" s="25"/>
    </row>
    <row r="1100" customFormat="false" ht="14.25" hidden="false" customHeight="false" outlineLevel="0" collapsed="false">
      <c r="A1100" s="0" t="s">
        <v>80</v>
      </c>
      <c r="E1100" s="20" t="str">
        <f aca="false">IF(D1100="?OLD","!!!","")</f>
        <v/>
      </c>
      <c r="F1100" s="21" t="str">
        <f aca="false">IF(OR(E1100="",E1100="!!!"),"",IF(NOT(ISNA(VLOOKUP(E1100,E$1:E1099,1,FALSE()))),"OLD",IF(AND(E1100&lt;&gt;"",E1100&lt;&gt;"!!!"),"NEW","")))</f>
        <v/>
      </c>
      <c r="G1100" s="22" t="str">
        <f aca="false"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3" t="str">
        <f aca="false">IF(J1100&lt;&gt;1,"",IF(I1100="SBJ","CB","?"))</f>
        <v/>
      </c>
      <c r="I1100" s="24" t="str">
        <f aca="false">IF(OR(E1100="",E1100="!!!",F1100="NEW"),"",INDEX(B$2:B1099,-1+SUMPRODUCT(MAX(ROW(E$2:E1099)*(E1100=E$2:E1099)))))</f>
        <v/>
      </c>
      <c r="J1100" s="24" t="str">
        <f aca="true">IF(OR(E1100="",E1100="!!!",F1100="NEW"),"",COUNTBLANK(OFFSET(A$1,,,SUMPRODUCT(MAX(ROW(E$2:E1100)*(E1100=E$2:E1100)))))-COUNTBLANK(OFFSET(A$1,,,SUMPRODUCT(MAX(ROW(E$1:E1099)*(E2=E$1:E1099))))))</f>
        <v/>
      </c>
      <c r="K1100" s="24" t="str">
        <f aca="false">IF(OR(E1100="",E1100="!!!",F1100="NEW"),"",INDEX(J$1:J1099,SUMPRODUCT(MAX(ROW(E$1:E1099)*(E1100=E$1:E1099)))))</f>
        <v/>
      </c>
      <c r="L1100" s="25"/>
    </row>
    <row r="1101" customFormat="false" ht="14.25" hidden="false" customHeight="false" outlineLevel="0" collapsed="false">
      <c r="A1101" s="0" t="s">
        <v>671</v>
      </c>
      <c r="E1101" s="20" t="str">
        <f aca="false">IF(D1101="?OLD","!!!","")</f>
        <v/>
      </c>
      <c r="F1101" s="21" t="str">
        <f aca="false">IF(OR(E1101="",E1101="!!!"),"",IF(NOT(ISNA(VLOOKUP(E1101,E$1:E1100,1,FALSE()))),"OLD",IF(AND(E1101&lt;&gt;"",E1101&lt;&gt;"!!!"),"NEW","")))</f>
        <v/>
      </c>
      <c r="G1101" s="22" t="str">
        <f aca="false"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aca="false">IF(J1101&lt;&gt;1,"",IF(I1101="SBJ","CB","?"))</f>
        <v/>
      </c>
      <c r="I1101" s="24" t="str">
        <f aca="false">IF(OR(E1101="",E1101="!!!",F1101="NEW"),"",INDEX(B$2:B1100,-1+SUMPRODUCT(MAX(ROW(E$2:E1100)*(E1101=E$2:E1100)))))</f>
        <v/>
      </c>
      <c r="J1101" s="24" t="str">
        <f aca="true">IF(OR(E1101="",E1101="!!!",F1101="NEW"),"",COUNTBLANK(OFFSET(A$1,,,SUMPRODUCT(MAX(ROW(E$2:E1101)*(E1101=E$2:E1101)))))-COUNTBLANK(OFFSET(A$1,,,SUMPRODUCT(MAX(ROW(E$1:E1100)*(E2=E$1:E1100))))))</f>
        <v/>
      </c>
      <c r="K1101" s="24" t="str">
        <f aca="false">IF(OR(E1101="",E1101="!!!",F1101="NEW"),"",INDEX(J$1:J1100,SUMPRODUCT(MAX(ROW(E$1:E1100)*(E1101=E$1:E1100)))))</f>
        <v/>
      </c>
      <c r="L1101" s="25"/>
    </row>
    <row r="1102" customFormat="false" ht="14.25" hidden="false" customHeight="false" outlineLevel="0" collapsed="false">
      <c r="A1102" s="0" t="s">
        <v>755</v>
      </c>
      <c r="B1102" s="26" t="s">
        <v>82</v>
      </c>
      <c r="C1102" s="26" t="s">
        <v>74</v>
      </c>
      <c r="D1102" s="26" t="s">
        <v>75</v>
      </c>
      <c r="E1102" s="20" t="s">
        <v>756</v>
      </c>
      <c r="F1102" s="21" t="str">
        <f aca="false">IF(OR(E1102="",E1102="!!!"),"",IF(NOT(ISNA(VLOOKUP(E1102,E$1:E1101,1,FALSE()))),"OLD",IF(AND(E1102&lt;&gt;"",E1102&lt;&gt;"!!!"),"NEW","")))</f>
        <v>NEW</v>
      </c>
      <c r="G1102" s="22" t="str">
        <f aca="false"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?REFERENTIAL</v>
      </c>
      <c r="H1102" s="23" t="str">
        <f aca="false">IF(J1102&lt;&gt;1,"",IF(I1102="SBJ","CB","?"))</f>
        <v/>
      </c>
      <c r="I1102" s="24" t="str">
        <f aca="false">IF(OR(E1102="",E1102="!!!",F1102="NEW"),"",INDEX(B$2:B1101,-1+SUMPRODUCT(MAX(ROW(E$2:E1101)*(E1102=E$2:E1101)))))</f>
        <v/>
      </c>
      <c r="J1102" s="24" t="str">
        <f aca="true">IF(OR(E1102="",E1102="!!!",F1102="NEW"),"",COUNTBLANK(OFFSET(A$1,,,SUMPRODUCT(MAX(ROW(E$2:E1102)*(E1102=E$2:E1102)))))-COUNTBLANK(OFFSET(A$1,,,SUMPRODUCT(MAX(ROW(E$1:E1101)*(E2=E$1:E1101))))))</f>
        <v/>
      </c>
      <c r="K1102" s="24" t="str">
        <f aca="false">IF(OR(E1102="",E1102="!!!",F1102="NEW"),"",INDEX(J$1:J1101,SUMPRODUCT(MAX(ROW(E$1:E1101)*(E1102=E$1:E1101)))))</f>
        <v/>
      </c>
      <c r="L1102" s="25"/>
    </row>
    <row r="1103" customFormat="false" ht="14.25" hidden="false" customHeight="false" outlineLevel="0" collapsed="false">
      <c r="A1103" s="0" t="s">
        <v>112</v>
      </c>
      <c r="E1103" s="20" t="str">
        <f aca="false">IF(D1103="?OLD","!!!","")</f>
        <v/>
      </c>
      <c r="F1103" s="21" t="str">
        <f aca="false">IF(OR(E1103="",E1103="!!!"),"",IF(NOT(ISNA(VLOOKUP(E1103,E$1:E1102,1,FALSE()))),"OLD",IF(AND(E1103&lt;&gt;"",E1103&lt;&gt;"!!!"),"NEW","")))</f>
        <v/>
      </c>
      <c r="G1103" s="22" t="str">
        <f aca="false"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aca="false">IF(J1103&lt;&gt;1,"",IF(I1103="SBJ","CB","?"))</f>
        <v/>
      </c>
      <c r="I1103" s="24" t="str">
        <f aca="false">IF(OR(E1103="",E1103="!!!",F1103="NEW"),"",INDEX(B$2:B1102,-1+SUMPRODUCT(MAX(ROW(E$2:E1102)*(E1103=E$2:E1102)))))</f>
        <v/>
      </c>
      <c r="J1103" s="24" t="str">
        <f aca="true">IF(OR(E1103="",E1103="!!!",F1103="NEW"),"",COUNTBLANK(OFFSET(A$1,,,SUMPRODUCT(MAX(ROW(E$2:E1103)*(E1103=E$2:E1103)))))-COUNTBLANK(OFFSET(A$1,,,SUMPRODUCT(MAX(ROW(E$1:E1102)*(E2=E$1:E1102))))))</f>
        <v/>
      </c>
      <c r="K1103" s="24" t="str">
        <f aca="false">IF(OR(E1103="",E1103="!!!",F1103="NEW"),"",INDEX(J$1:J1102,SUMPRODUCT(MAX(ROW(E$1:E1102)*(E1103=E$1:E1102)))))</f>
        <v/>
      </c>
      <c r="L1103" s="25"/>
    </row>
    <row r="1104" customFormat="false" ht="14.25" hidden="false" customHeight="false" outlineLevel="0" collapsed="false">
      <c r="A1104" s="0" t="s">
        <v>757</v>
      </c>
      <c r="B1104" s="26" t="s">
        <v>147</v>
      </c>
      <c r="C1104" s="26" t="s">
        <v>74</v>
      </c>
      <c r="D1104" s="26" t="s">
        <v>75</v>
      </c>
      <c r="E1104" s="20" t="s">
        <v>758</v>
      </c>
      <c r="F1104" s="21" t="str">
        <f aca="false">IF(OR(E1104="",E1104="!!!"),"",IF(NOT(ISNA(VLOOKUP(E1104,E$1:E1103,1,FALSE()))),"OLD",IF(AND(E1104&lt;&gt;"",E1104&lt;&gt;"!!!"),"NEW","")))</f>
        <v>NEW</v>
      </c>
      <c r="G1104" s="22" t="str">
        <f aca="false"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?REFERENTIAL</v>
      </c>
      <c r="H1104" s="23" t="str">
        <f aca="false">IF(J1104&lt;&gt;1,"",IF(I1104="SBJ","CB","?"))</f>
        <v/>
      </c>
      <c r="I1104" s="24" t="str">
        <f aca="false">IF(OR(E1104="",E1104="!!!",F1104="NEW"),"",INDEX(B$2:B1103,-1+SUMPRODUCT(MAX(ROW(E$2:E1103)*(E1104=E$2:E1103)))))</f>
        <v/>
      </c>
      <c r="J1104" s="24" t="str">
        <f aca="true">IF(OR(E1104="",E1104="!!!",F1104="NEW"),"",COUNTBLANK(OFFSET(A$1,,,SUMPRODUCT(MAX(ROW(E$2:E1104)*(E1104=E$2:E1104)))))-COUNTBLANK(OFFSET(A$1,,,SUMPRODUCT(MAX(ROW(E$1:E1103)*(E2=E$1:E1103))))))</f>
        <v/>
      </c>
      <c r="K1104" s="24" t="str">
        <f aca="false">IF(OR(E1104="",E1104="!!!",F1104="NEW"),"",INDEX(J$1:J1103,SUMPRODUCT(MAX(ROW(E$1:E1103)*(E1104=E$1:E1103)))))</f>
        <v/>
      </c>
      <c r="L1104" s="27" t="s">
        <v>541</v>
      </c>
    </row>
    <row r="1105" customFormat="false" ht="14.25" hidden="false" customHeight="false" outlineLevel="0" collapsed="false">
      <c r="A1105" s="0" t="s">
        <v>759</v>
      </c>
      <c r="E1105" s="20" t="s">
        <v>760</v>
      </c>
      <c r="F1105" s="21" t="str">
        <f aca="false">IF(OR(E1105="",E1105="!!!"),"",IF(NOT(ISNA(VLOOKUP(E1105,E$1:E1104,1,FALSE()))),"OLD",IF(AND(E1105&lt;&gt;"",E1105&lt;&gt;"!!!"),"NEW","")))</f>
        <v>NEW</v>
      </c>
      <c r="G1105" s="22" t="str">
        <f aca="false"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?REFERENTIAL</v>
      </c>
      <c r="H1105" s="23" t="str">
        <f aca="false">IF(J1105&lt;&gt;1,"",IF(I1105="SBJ","CB","?"))</f>
        <v/>
      </c>
      <c r="I1105" s="24" t="str">
        <f aca="false">IF(OR(E1105="",E1105="!!!",F1105="NEW"),"",INDEX(B$2:B1104,-1+SUMPRODUCT(MAX(ROW(E$2:E1104)*(E1105=E$2:E1104)))))</f>
        <v/>
      </c>
      <c r="J1105" s="24" t="str">
        <f aca="true">IF(OR(E1105="",E1105="!!!",F1105="NEW"),"",COUNTBLANK(OFFSET(A$1,,,SUMPRODUCT(MAX(ROW(E$2:E1105)*(E1105=E$2:E1105)))))-COUNTBLANK(OFFSET(A$1,,,SUMPRODUCT(MAX(ROW(E$1:E1104)*(E2=E$1:E1104))))))</f>
        <v/>
      </c>
      <c r="K1105" s="24" t="str">
        <f aca="false">IF(OR(E1105="",E1105="!!!",F1105="NEW"),"",INDEX(J$1:J1104,SUMPRODUCT(MAX(ROW(E$1:E1104)*(E1105=E$1:E1104)))))</f>
        <v/>
      </c>
      <c r="L1105" s="27" t="s">
        <v>158</v>
      </c>
    </row>
    <row r="1106" customFormat="false" ht="14.25" hidden="false" customHeight="false" outlineLevel="0" collapsed="false">
      <c r="A1106" s="0" t="s">
        <v>101</v>
      </c>
      <c r="E1106" s="20" t="str">
        <f aca="false">IF(D1106="?OLD","!!!","")</f>
        <v/>
      </c>
      <c r="F1106" s="21" t="str">
        <f aca="false">IF(OR(E1106="",E1106="!!!"),"",IF(NOT(ISNA(VLOOKUP(E1106,E$1:E1105,1,FALSE()))),"OLD",IF(AND(E1106&lt;&gt;"",E1106&lt;&gt;"!!!"),"NEW","")))</f>
        <v/>
      </c>
      <c r="G1106" s="22" t="str">
        <f aca="false"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aca="false">IF(J1106&lt;&gt;1,"",IF(I1106="SBJ","CB","?"))</f>
        <v/>
      </c>
      <c r="I1106" s="24" t="str">
        <f aca="false">IF(OR(E1106="",E1106="!!!",F1106="NEW"),"",INDEX(B$2:B1105,-1+SUMPRODUCT(MAX(ROW(E$2:E1105)*(E1106=E$2:E1105)))))</f>
        <v/>
      </c>
      <c r="J1106" s="24" t="str">
        <f aca="true">IF(OR(E1106="",E1106="!!!",F1106="NEW"),"",COUNTBLANK(OFFSET(A$1,,,SUMPRODUCT(MAX(ROW(E$2:E1106)*(E1106=E$2:E1106)))))-COUNTBLANK(OFFSET(A$1,,,SUMPRODUCT(MAX(ROW(E$1:E1105)*(E2=E$1:E1105))))))</f>
        <v/>
      </c>
      <c r="K1106" s="24" t="str">
        <f aca="false">IF(OR(E1106="",E1106="!!!",F1106="NEW"),"",INDEX(J$1:J1105,SUMPRODUCT(MAX(ROW(E$1:E1105)*(E1106=E$1:E1105)))))</f>
        <v/>
      </c>
      <c r="L1106" s="25"/>
    </row>
    <row r="1107" customFormat="false" ht="14.25" hidden="false" customHeight="false" outlineLevel="0" collapsed="false">
      <c r="A1107" s="0" t="s">
        <v>160</v>
      </c>
      <c r="B1107" s="26" t="s">
        <v>96</v>
      </c>
      <c r="C1107" s="26" t="s">
        <v>151</v>
      </c>
      <c r="D1107" s="26" t="s">
        <v>75</v>
      </c>
      <c r="E1107" s="20" t="s">
        <v>760</v>
      </c>
      <c r="F1107" s="21" t="str">
        <f aca="false">IF(OR(E1107="",E1107="!!!"),"",IF(NOT(ISNA(VLOOKUP(E1107,E$1:E1106,1,FALSE()))),"OLD",IF(AND(E1107&lt;&gt;"",E1107&lt;&gt;"!!!"),"NEW","")))</f>
        <v>OLD</v>
      </c>
      <c r="G1107" s="22" t="str">
        <f aca="false"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?IN_FOCUS</v>
      </c>
      <c r="H1107" s="23" t="str">
        <f aca="false">IF(J1107&lt;&gt;1,"",IF(I1107="SBJ","CB","?"))</f>
        <v/>
      </c>
      <c r="I1107" s="24" t="n">
        <f aca="false">IF(OR(E1107="",E1107="!!!",F1107="NEW"),"",INDEX(B$2:B1106,-1+SUMPRODUCT(MAX(ROW(E$2:E1106)*(E1107=E$2:E1106)))))</f>
        <v>0</v>
      </c>
      <c r="J1107" s="24" t="n">
        <f aca="true">IF(OR(E1107="",E1107="!!!",F1107="NEW"),"",COUNTBLANK(OFFSET(A$1,,,SUMPRODUCT(MAX(ROW(E$2:E1107)*(E1107=E$2:E1107)))))-COUNTBLANK(OFFSET(A$1,,,SUMPRODUCT(MAX(ROW(E$1:E1106)*(E2=E$1:E1106))))))</f>
        <v>0</v>
      </c>
      <c r="K1107" s="24" t="str">
        <f aca="false">IF(OR(E1107="",E1107="!!!",F1107="NEW"),"",INDEX(J$1:J1106,SUMPRODUCT(MAX(ROW(E$1:E1106)*(E1107=E$1:E1106)))))</f>
        <v/>
      </c>
      <c r="L1107" s="25"/>
    </row>
    <row r="1108" customFormat="false" ht="14.25" hidden="false" customHeight="false" outlineLevel="0" collapsed="false">
      <c r="A1108" s="0" t="s">
        <v>78</v>
      </c>
      <c r="E1108" s="20" t="str">
        <f aca="false">IF(D1108="?OLD","!!!","")</f>
        <v/>
      </c>
      <c r="F1108" s="21" t="str">
        <f aca="false">IF(OR(E1108="",E1108="!!!"),"",IF(NOT(ISNA(VLOOKUP(E1108,E$1:E1107,1,FALSE()))),"OLD",IF(AND(E1108&lt;&gt;"",E1108&lt;&gt;"!!!"),"NEW","")))</f>
        <v/>
      </c>
      <c r="G1108" s="22" t="str">
        <f aca="false"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aca="false">IF(J1108&lt;&gt;1,"",IF(I1108="SBJ","CB","?"))</f>
        <v/>
      </c>
      <c r="I1108" s="24" t="str">
        <f aca="false">IF(OR(E1108="",E1108="!!!",F1108="NEW"),"",INDEX(B$2:B1107,-1+SUMPRODUCT(MAX(ROW(E$2:E1107)*(E1108=E$2:E1107)))))</f>
        <v/>
      </c>
      <c r="J1108" s="24" t="str">
        <f aca="true">IF(OR(E1108="",E1108="!!!",F1108="NEW"),"",COUNTBLANK(OFFSET(A$1,,,SUMPRODUCT(MAX(ROW(E$2:E1108)*(E1108=E$2:E1108)))))-COUNTBLANK(OFFSET(A$1,,,SUMPRODUCT(MAX(ROW(E$1:E1107)*(E2=E$1:E1107))))))</f>
        <v/>
      </c>
      <c r="K1108" s="24" t="str">
        <f aca="false">IF(OR(E1108="",E1108="!!!",F1108="NEW"),"",INDEX(J$1:J1107,SUMPRODUCT(MAX(ROW(E$1:E1107)*(E1108=E$1:E1107)))))</f>
        <v/>
      </c>
      <c r="L1108" s="25"/>
    </row>
    <row r="1109" customFormat="false" ht="14.25" hidden="false" customHeight="false" outlineLevel="0" collapsed="false">
      <c r="A1109" s="0" t="s">
        <v>749</v>
      </c>
      <c r="E1109" s="20" t="s">
        <v>729</v>
      </c>
      <c r="F1109" s="21" t="str">
        <f aca="false">IF(OR(E1109="",E1109="!!!"),"",IF(NOT(ISNA(VLOOKUP(E1109,E$1:E1108,1,FALSE()))),"OLD",IF(AND(E1109&lt;&gt;"",E1109&lt;&gt;"!!!"),"NEW","")))</f>
        <v>OLD</v>
      </c>
      <c r="G1109" s="22" t="str">
        <f aca="false"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?IN_FOCUS</v>
      </c>
      <c r="H1109" s="23" t="str">
        <f aca="false">IF(J1109&lt;&gt;1,"",IF(I1109="SBJ","CB","?"))</f>
        <v/>
      </c>
      <c r="I1109" s="24" t="n">
        <f aca="false">IF(OR(E1109="",E1109="!!!",F1109="NEW"),"",INDEX(B$2:B1108,-1+SUMPRODUCT(MAX(ROW(E$2:E1108)*(E1109=E$2:E1108)))))</f>
        <v>0</v>
      </c>
      <c r="J1109" s="24" t="n">
        <f aca="true">IF(OR(E1109="",E1109="!!!",F1109="NEW"),"",COUNTBLANK(OFFSET(A$1,,,SUMPRODUCT(MAX(ROW(E$2:E1109)*(E1109=E$2:E1109)))))-COUNTBLANK(OFFSET(A$1,,,SUMPRODUCT(MAX(ROW(E$1:E1108)*(E2=E$1:E1108))))))</f>
        <v>0</v>
      </c>
      <c r="K1109" s="24" t="n">
        <f aca="false">IF(OR(E1109="",E1109="!!!",F1109="NEW"),"",INDEX(J$1:J1108,SUMPRODUCT(MAX(ROW(E$1:E1108)*(E1109=E$1:E1108)))))</f>
        <v>0</v>
      </c>
      <c r="L1109" s="25"/>
    </row>
    <row r="1110" customFormat="false" ht="14.25" hidden="false" customHeight="false" outlineLevel="0" collapsed="false">
      <c r="A1110" s="0" t="s">
        <v>761</v>
      </c>
      <c r="B1110" s="26" t="s">
        <v>131</v>
      </c>
      <c r="C1110" s="26" t="s">
        <v>488</v>
      </c>
      <c r="E1110" s="20"/>
      <c r="F1110" s="21" t="s">
        <v>139</v>
      </c>
      <c r="G1110" s="22" t="str">
        <f aca="false"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3" t="str">
        <f aca="false">IF(J1110&lt;&gt;1,"",IF(I1110="SBJ","CB","?"))</f>
        <v/>
      </c>
      <c r="I1110" s="24" t="str">
        <f aca="false">IF(OR(E1110="",E1110="!!!",F1110="NEW"),"",INDEX(B$2:B1109,-1+SUMPRODUCT(MAX(ROW(E$2:E1109)*(E1110=E$2:E1109)))))</f>
        <v/>
      </c>
      <c r="J1110" s="24" t="str">
        <f aca="true">IF(OR(E1110="",E1110="!!!",F1110="NEW"),"",COUNTBLANK(OFFSET(A$1,,,SUMPRODUCT(MAX(ROW(E$2:E1110)*(E1110=E$2:E1110)))))-COUNTBLANK(OFFSET(A$1,,,SUMPRODUCT(MAX(ROW(E$1:E1109)*(E2=E$1:E1109))))))</f>
        <v/>
      </c>
      <c r="K1110" s="24" t="str">
        <f aca="false">IF(OR(E1110="",E1110="!!!",F1110="NEW"),"",INDEX(J$1:J1109,SUMPRODUCT(MAX(ROW(E$1:E1109)*(E1110=E$1:E1109)))))</f>
        <v/>
      </c>
      <c r="L1110" s="25"/>
    </row>
    <row r="1111" customFormat="false" ht="14.25" hidden="false" customHeight="false" outlineLevel="0" collapsed="false">
      <c r="A1111" s="0" t="s">
        <v>86</v>
      </c>
      <c r="E1111" s="20" t="str">
        <f aca="false">IF(D1111="?OLD","!!!","")</f>
        <v/>
      </c>
      <c r="F1111" s="21" t="str">
        <f aca="false">IF(OR(E1111="",E1111="!!!"),"",IF(NOT(ISNA(VLOOKUP(E1111,E$1:E1110,1,FALSE()))),"OLD",IF(AND(E1111&lt;&gt;"",E1111&lt;&gt;"!!!"),"NEW","")))</f>
        <v/>
      </c>
      <c r="G1111" s="22" t="str">
        <f aca="false"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aca="false">IF(J1111&lt;&gt;1,"",IF(I1111="SBJ","CB","?"))</f>
        <v/>
      </c>
      <c r="I1111" s="24" t="str">
        <f aca="false">IF(OR(E1111="",E1111="!!!",F1111="NEW"),"",INDEX(B$2:B1110,-1+SUMPRODUCT(MAX(ROW(E$2:E1110)*(E1111=E$2:E1110)))))</f>
        <v/>
      </c>
      <c r="J1111" s="24" t="str">
        <f aca="true">IF(OR(E1111="",E1111="!!!",F1111="NEW"),"",COUNTBLANK(OFFSET(A$1,,,SUMPRODUCT(MAX(ROW(E$2:E1111)*(E1111=E$2:E1111)))))-COUNTBLANK(OFFSET(A$1,,,SUMPRODUCT(MAX(ROW(E$1:E1110)*(E2=E$1:E1110))))))</f>
        <v/>
      </c>
      <c r="K1111" s="24" t="str">
        <f aca="false">IF(OR(E1111="",E1111="!!!",F1111="NEW"),"",INDEX(J$1:J1110,SUMPRODUCT(MAX(ROW(E$1:E1110)*(E1111=E$1:E1110)))))</f>
        <v/>
      </c>
      <c r="L1111" s="25"/>
    </row>
    <row r="1112" customFormat="false" ht="14.25" hidden="false" customHeight="false" outlineLevel="0" collapsed="false">
      <c r="A1112" s="0" t="s">
        <v>762</v>
      </c>
      <c r="B1112" s="26" t="s">
        <v>104</v>
      </c>
      <c r="C1112" s="26" t="s">
        <v>111</v>
      </c>
      <c r="E1112" s="20"/>
      <c r="F1112" s="21" t="s">
        <v>107</v>
      </c>
      <c r="G1112" s="22" t="str">
        <f aca="false"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3" t="str">
        <f aca="false">IF(J1112&lt;&gt;1,"",IF(I1112="SBJ","CB","?"))</f>
        <v/>
      </c>
      <c r="I1112" s="24" t="str">
        <f aca="false">IF(OR(E1112="",E1112="!!!",F1112="NEW"),"",INDEX(B$2:B1111,-1+SUMPRODUCT(MAX(ROW(E$2:E1111)*(E1112=E$2:E1111)))))</f>
        <v/>
      </c>
      <c r="J1112" s="24" t="str">
        <f aca="true">IF(OR(E1112="",E1112="!!!",F1112="NEW"),"",COUNTBLANK(OFFSET(A$1,,,SUMPRODUCT(MAX(ROW(E$2:E1112)*(E1112=E$2:E1112)))))-COUNTBLANK(OFFSET(A$1,,,SUMPRODUCT(MAX(ROW(E$1:E1111)*(E2=E$1:E1111))))))</f>
        <v/>
      </c>
      <c r="K1112" s="24" t="str">
        <f aca="false">IF(OR(E1112="",E1112="!!!",F1112="NEW"),"",INDEX(J$1:J1111,SUMPRODUCT(MAX(ROW(E$1:E1111)*(E1112=E$1:E1111)))))</f>
        <v/>
      </c>
      <c r="L1112" s="25"/>
    </row>
    <row r="1113" customFormat="false" ht="14.25" hidden="false" customHeight="false" outlineLevel="0" collapsed="false">
      <c r="A1113" s="0" t="s">
        <v>763</v>
      </c>
      <c r="E1113" s="20" t="str">
        <f aca="false">IF(D1113="?OLD","!!!","")</f>
        <v/>
      </c>
      <c r="F1113" s="21" t="str">
        <f aca="false">IF(OR(E1113="",E1113="!!!"),"",IF(NOT(ISNA(VLOOKUP(E1113,E$1:E1112,1,FALSE()))),"OLD",IF(AND(E1113&lt;&gt;"",E1113&lt;&gt;"!!!"),"NEW","")))</f>
        <v/>
      </c>
      <c r="G1113" s="22" t="str">
        <f aca="false"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aca="false">IF(J1113&lt;&gt;1,"",IF(I1113="SBJ","CB","?"))</f>
        <v/>
      </c>
      <c r="I1113" s="24" t="str">
        <f aca="false">IF(OR(E1113="",E1113="!!!",F1113="NEW"),"",INDEX(B$2:B1112,-1+SUMPRODUCT(MAX(ROW(E$2:E1112)*(E1113=E$2:E1112)))))</f>
        <v/>
      </c>
      <c r="J1113" s="24" t="str">
        <f aca="true">IF(OR(E1113="",E1113="!!!",F1113="NEW"),"",COUNTBLANK(OFFSET(A$1,,,SUMPRODUCT(MAX(ROW(E$2:E1113)*(E1113=E$2:E1113)))))-COUNTBLANK(OFFSET(A$1,,,SUMPRODUCT(MAX(ROW(E$1:E1112)*(E2=E$1:E1112))))))</f>
        <v/>
      </c>
      <c r="K1113" s="24" t="str">
        <f aca="false">IF(OR(E1113="",E1113="!!!",F1113="NEW"),"",INDEX(J$1:J1112,SUMPRODUCT(MAX(ROW(E$1:E1112)*(E1113=E$1:E1112)))))</f>
        <v/>
      </c>
      <c r="L1113" s="25"/>
    </row>
    <row r="1114" customFormat="false" ht="14.25" hidden="false" customHeight="false" outlineLevel="0" collapsed="false">
      <c r="A1114" s="0" t="s">
        <v>254</v>
      </c>
      <c r="B1114" s="26" t="s">
        <v>104</v>
      </c>
      <c r="C1114" s="26" t="s">
        <v>209</v>
      </c>
      <c r="D1114" s="26" t="s">
        <v>75</v>
      </c>
      <c r="E1114" s="20" t="s">
        <v>764</v>
      </c>
      <c r="F1114" s="21" t="s">
        <v>765</v>
      </c>
      <c r="G1114" s="22" t="e">
        <f aca="false"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#VALUE!</v>
      </c>
      <c r="H1114" s="23" t="str">
        <f aca="false">IF(J1114&lt;&gt;1,"",IF(I1114="SBJ","CB","?"))</f>
        <v/>
      </c>
      <c r="I1114" s="24" t="e">
        <f aca="false">IF(OR(E1114="",E1114="!!!",F1114="NEW"),"",INDEX(B$2:B1113,-1+SUMPRODUCT(MAX(ROW(E$2:E1113)*(E1114=E$2:E1113)))))</f>
        <v>#VALUE!</v>
      </c>
      <c r="J1114" s="24" t="n">
        <f aca="true">IF(OR(E1114="",E1114="!!!",F1114="NEW"),"",COUNTBLANK(OFFSET(A$1,,,SUMPRODUCT(MAX(ROW(E$2:E1114)*(E1114=E$2:E1114)))))-COUNTBLANK(OFFSET(A$1,,,SUMPRODUCT(MAX(ROW(E$1:E1113)*(E2=E$1:E1113))))))</f>
        <v>0</v>
      </c>
      <c r="K1114" s="24" t="e">
        <f aca="false">IF(OR(E1114="",E1114="!!!",F1114="NEW"),"",INDEX(J$1:J1113,SUMPRODUCT(MAX(ROW(E$1:E1113)*(E1114=E$1:E1113)))))</f>
        <v>#VALUE!</v>
      </c>
      <c r="L1114" s="25"/>
    </row>
    <row r="1115" customFormat="false" ht="14.25" hidden="false" customHeight="false" outlineLevel="0" collapsed="false">
      <c r="A1115" s="0" t="s">
        <v>766</v>
      </c>
      <c r="E1115" s="20" t="str">
        <f aca="false">IF(D1115="?OLD","!!!","")</f>
        <v/>
      </c>
      <c r="F1115" s="21" t="str">
        <f aca="false">IF(OR(E1115="",E1115="!!!"),"",IF(NOT(ISNA(VLOOKUP(E1115,E$1:E1114,1,FALSE()))),"OLD",IF(AND(E1115&lt;&gt;"",E1115&lt;&gt;"!!!"),"NEW","")))</f>
        <v/>
      </c>
      <c r="G1115" s="22" t="str">
        <f aca="false"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3" t="str">
        <f aca="false">IF(J1115&lt;&gt;1,"",IF(I1115="SBJ","CB","?"))</f>
        <v/>
      </c>
      <c r="I1115" s="24" t="str">
        <f aca="false">IF(OR(E1115="",E1115="!!!",F1115="NEW"),"",INDEX(B$2:B1114,-1+SUMPRODUCT(MAX(ROW(E$2:E1114)*(E1115=E$2:E1114)))))</f>
        <v/>
      </c>
      <c r="J1115" s="24" t="str">
        <f aca="true">IF(OR(E1115="",E1115="!!!",F1115="NEW"),"",COUNTBLANK(OFFSET(A$1,,,SUMPRODUCT(MAX(ROW(E$2:E1115)*(E1115=E$2:E1115)))))-COUNTBLANK(OFFSET(A$1,,,SUMPRODUCT(MAX(ROW(E$1:E1114)*(E2=E$1:E1114))))))</f>
        <v/>
      </c>
      <c r="K1115" s="24" t="str">
        <f aca="false">IF(OR(E1115="",E1115="!!!",F1115="NEW"),"",INDEX(J$1:J1114,SUMPRODUCT(MAX(ROW(E$1:E1114)*(E1115=E$1:E1114)))))</f>
        <v/>
      </c>
      <c r="L1115" s="25"/>
    </row>
    <row r="1116" customFormat="false" ht="14.25" hidden="false" customHeight="false" outlineLevel="0" collapsed="false">
      <c r="A1116" s="0" t="s">
        <v>767</v>
      </c>
      <c r="E1116" s="20" t="str">
        <f aca="false">IF(D1116="?OLD","!!!","")</f>
        <v/>
      </c>
      <c r="F1116" s="21" t="str">
        <f aca="false">IF(OR(E1116="",E1116="!!!"),"",IF(NOT(ISNA(VLOOKUP(E1116,E$1:E1115,1,FALSE()))),"OLD",IF(AND(E1116&lt;&gt;"",E1116&lt;&gt;"!!!"),"NEW","")))</f>
        <v/>
      </c>
      <c r="G1116" s="22" t="str">
        <f aca="false"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3" t="str">
        <f aca="false">IF(J1116&lt;&gt;1,"",IF(I1116="SBJ","CB","?"))</f>
        <v/>
      </c>
      <c r="I1116" s="24" t="str">
        <f aca="false">IF(OR(E1116="",E1116="!!!",F1116="NEW"),"",INDEX(B$2:B1115,-1+SUMPRODUCT(MAX(ROW(E$2:E1115)*(E1116=E$2:E1115)))))</f>
        <v/>
      </c>
      <c r="J1116" s="24" t="str">
        <f aca="true">IF(OR(E1116="",E1116="!!!",F1116="NEW"),"",COUNTBLANK(OFFSET(A$1,,,SUMPRODUCT(MAX(ROW(E$2:E1116)*(E1116=E$2:E1116)))))-COUNTBLANK(OFFSET(A$1,,,SUMPRODUCT(MAX(ROW(E$1:E1115)*(E2=E$1:E1115))))))</f>
        <v/>
      </c>
      <c r="K1116" s="24" t="str">
        <f aca="false">IF(OR(E1116="",E1116="!!!",F1116="NEW"),"",INDEX(J$1:J1115,SUMPRODUCT(MAX(ROW(E$1:E1115)*(E1116=E$1:E1115)))))</f>
        <v/>
      </c>
      <c r="L1116" s="25"/>
    </row>
    <row r="1117" customFormat="false" ht="14.25" hidden="false" customHeight="false" outlineLevel="0" collapsed="false">
      <c r="A1117" s="0" t="s">
        <v>101</v>
      </c>
      <c r="E1117" s="20" t="str">
        <f aca="false">IF(D1117="?OLD","!!!","")</f>
        <v/>
      </c>
      <c r="F1117" s="21" t="str">
        <f aca="false">IF(OR(E1117="",E1117="!!!"),"",IF(NOT(ISNA(VLOOKUP(E1117,E$1:E1116,1,FALSE()))),"OLD",IF(AND(E1117&lt;&gt;"",E1117&lt;&gt;"!!!"),"NEW","")))</f>
        <v/>
      </c>
      <c r="G1117" s="22" t="str">
        <f aca="false"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aca="false">IF(J1117&lt;&gt;1,"",IF(I1117="SBJ","CB","?"))</f>
        <v/>
      </c>
      <c r="I1117" s="24" t="str">
        <f aca="false">IF(OR(E1117="",E1117="!!!",F1117="NEW"),"",INDEX(B$2:B1116,-1+SUMPRODUCT(MAX(ROW(E$2:E1116)*(E1117=E$2:E1116)))))</f>
        <v/>
      </c>
      <c r="J1117" s="24" t="str">
        <f aca="true">IF(OR(E1117="",E1117="!!!",F1117="NEW"),"",COUNTBLANK(OFFSET(A$1,,,SUMPRODUCT(MAX(ROW(E$2:E1117)*(E1117=E$2:E1117)))))-COUNTBLANK(OFFSET(A$1,,,SUMPRODUCT(MAX(ROW(E$1:E1116)*(E2=E$1:E1116))))))</f>
        <v/>
      </c>
      <c r="K1117" s="24" t="str">
        <f aca="false">IF(OR(E1117="",E1117="!!!",F1117="NEW"),"",INDEX(J$1:J1116,SUMPRODUCT(MAX(ROW(E$1:E1116)*(E1117=E$1:E1116)))))</f>
        <v/>
      </c>
      <c r="L1117" s="25"/>
    </row>
    <row r="1118" customFormat="false" ht="14.25" hidden="false" customHeight="false" outlineLevel="0" collapsed="false">
      <c r="A1118" s="0" t="s">
        <v>136</v>
      </c>
      <c r="E1118" s="20" t="str">
        <f aca="false">IF(D1118="?OLD","!!!","")</f>
        <v/>
      </c>
      <c r="F1118" s="21" t="str">
        <f aca="false">IF(OR(E1118="",E1118="!!!"),"",IF(NOT(ISNA(VLOOKUP(E1118,E$1:E1117,1,FALSE()))),"OLD",IF(AND(E1118&lt;&gt;"",E1118&lt;&gt;"!!!"),"NEW","")))</f>
        <v/>
      </c>
      <c r="G1118" s="22" t="str">
        <f aca="false"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aca="false">IF(J1118&lt;&gt;1,"",IF(I1118="SBJ","CB","?"))</f>
        <v/>
      </c>
      <c r="I1118" s="24" t="str">
        <f aca="false">IF(OR(E1118="",E1118="!!!",F1118="NEW"),"",INDEX(B$2:B1117,-1+SUMPRODUCT(MAX(ROW(E$2:E1117)*(E1118=E$2:E1117)))))</f>
        <v/>
      </c>
      <c r="J1118" s="24" t="str">
        <f aca="true">IF(OR(E1118="",E1118="!!!",F1118="NEW"),"",COUNTBLANK(OFFSET(A$1,,,SUMPRODUCT(MAX(ROW(E$2:E1118)*(E1118=E$2:E1118)))))-COUNTBLANK(OFFSET(A$1,,,SUMPRODUCT(MAX(ROW(E$1:E1117)*(E2=E$1:E1117))))))</f>
        <v/>
      </c>
      <c r="K1118" s="24" t="str">
        <f aca="false">IF(OR(E1118="",E1118="!!!",F1118="NEW"),"",INDEX(J$1:J1117,SUMPRODUCT(MAX(ROW(E$1:E1117)*(E1118=E$1:E1117)))))</f>
        <v/>
      </c>
      <c r="L1118" s="25"/>
    </row>
    <row r="1119" customFormat="false" ht="14.25" hidden="false" customHeight="false" outlineLevel="0" collapsed="false">
      <c r="A1119" s="0" t="s">
        <v>768</v>
      </c>
      <c r="B1119" s="26" t="s">
        <v>131</v>
      </c>
      <c r="C1119" s="26" t="s">
        <v>74</v>
      </c>
      <c r="D1119" s="26" t="s">
        <v>75</v>
      </c>
      <c r="E1119" s="20" t="s">
        <v>764</v>
      </c>
      <c r="F1119" s="21" t="str">
        <f aca="false">IF(OR(E1119="",E1119="!!!"),"",IF(NOT(ISNA(VLOOKUP(E1119,E$1:E1118,1,FALSE()))),"OLD",IF(AND(E1119&lt;&gt;"",E1119&lt;&gt;"!!!"),"NEW","")))</f>
        <v>OLD</v>
      </c>
      <c r="G1119" s="22" t="str">
        <f aca="false"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?IN_FOCUS</v>
      </c>
      <c r="H1119" s="23" t="str">
        <f aca="false">IF(J1119&lt;&gt;1,"",IF(I1119="SBJ","CB","?"))</f>
        <v/>
      </c>
      <c r="I1119" s="24" t="str">
        <f aca="false">IF(OR(E1119="",E1119="!!!",F1119="NEW"),"",INDEX(B$2:B1118,-1+SUMPRODUCT(MAX(ROW(E$2:E1118)*(E1119=E$2:E1118)))))</f>
        <v>SBJ_3</v>
      </c>
      <c r="J1119" s="24" t="n">
        <f aca="true">IF(OR(E1119="",E1119="!!!",F1119="NEW"),"",COUNTBLANK(OFFSET(A$1,,,SUMPRODUCT(MAX(ROW(E$2:E1119)*(E1119=E$2:E1119)))))-COUNTBLANK(OFFSET(A$1,,,SUMPRODUCT(MAX(ROW(E$1:E1118)*(E2=E$1:E1118))))))</f>
        <v>0</v>
      </c>
      <c r="K1119" s="24" t="n">
        <f aca="false">IF(OR(E1119="",E1119="!!!",F1119="NEW"),"",INDEX(J$1:J1118,SUMPRODUCT(MAX(ROW(E$1:E1118)*(E1119=E$1:E1118)))))</f>
        <v>0</v>
      </c>
      <c r="L1119" s="25"/>
    </row>
    <row r="1120" customFormat="false" ht="14.25" hidden="false" customHeight="false" outlineLevel="0" collapsed="false">
      <c r="A1120" s="0" t="s">
        <v>101</v>
      </c>
      <c r="E1120" s="20" t="str">
        <f aca="false">IF(D1120="?OLD","!!!","")</f>
        <v/>
      </c>
      <c r="F1120" s="21" t="str">
        <f aca="false">IF(OR(E1120="",E1120="!!!"),"",IF(NOT(ISNA(VLOOKUP(E1120,E$1:E1119,1,FALSE()))),"OLD",IF(AND(E1120&lt;&gt;"",E1120&lt;&gt;"!!!"),"NEW","")))</f>
        <v/>
      </c>
      <c r="G1120" s="22" t="str">
        <f aca="false"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aca="false">IF(J1120&lt;&gt;1,"",IF(I1120="SBJ","CB","?"))</f>
        <v/>
      </c>
      <c r="I1120" s="24" t="str">
        <f aca="false">IF(OR(E1120="",E1120="!!!",F1120="NEW"),"",INDEX(B$2:B1119,-1+SUMPRODUCT(MAX(ROW(E$2:E1119)*(E1120=E$2:E1119)))))</f>
        <v/>
      </c>
      <c r="J1120" s="24" t="str">
        <f aca="true">IF(OR(E1120="",E1120="!!!",F1120="NEW"),"",COUNTBLANK(OFFSET(A$1,,,SUMPRODUCT(MAX(ROW(E$2:E1120)*(E1120=E$2:E1120)))))-COUNTBLANK(OFFSET(A$1,,,SUMPRODUCT(MAX(ROW(E$1:E1119)*(E2=E$1:E1119))))))</f>
        <v/>
      </c>
      <c r="K1120" s="24" t="str">
        <f aca="false">IF(OR(E1120="",E1120="!!!",F1120="NEW"),"",INDEX(J$1:J1119,SUMPRODUCT(MAX(ROW(E$1:E1119)*(E1120=E$1:E1119)))))</f>
        <v/>
      </c>
      <c r="L1120" s="25"/>
    </row>
    <row r="1121" customFormat="false" ht="14.25" hidden="false" customHeight="false" outlineLevel="0" collapsed="false">
      <c r="A1121" s="0" t="s">
        <v>497</v>
      </c>
      <c r="E1121" s="20" t="str">
        <f aca="false">IF(D1121="?OLD","!!!","")</f>
        <v/>
      </c>
      <c r="F1121" s="21" t="str">
        <f aca="false">IF(OR(E1121="",E1121="!!!"),"",IF(NOT(ISNA(VLOOKUP(E1121,E$1:E1120,1,FALSE()))),"OLD",IF(AND(E1121&lt;&gt;"",E1121&lt;&gt;"!!!"),"NEW","")))</f>
        <v/>
      </c>
      <c r="G1121" s="22" t="str">
        <f aca="false"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aca="false">IF(J1121&lt;&gt;1,"",IF(I1121="SBJ","CB","?"))</f>
        <v/>
      </c>
      <c r="I1121" s="24" t="str">
        <f aca="false">IF(OR(E1121="",E1121="!!!",F1121="NEW"),"",INDEX(B$2:B1120,-1+SUMPRODUCT(MAX(ROW(E$2:E1120)*(E1121=E$2:E1120)))))</f>
        <v/>
      </c>
      <c r="J1121" s="24" t="str">
        <f aca="true">IF(OR(E1121="",E1121="!!!",F1121="NEW"),"",COUNTBLANK(OFFSET(A$1,,,SUMPRODUCT(MAX(ROW(E$2:E1121)*(E1121=E$2:E1121)))))-COUNTBLANK(OFFSET(A$1,,,SUMPRODUCT(MAX(ROW(E$1:E1120)*(E2=E$1:E1120))))))</f>
        <v/>
      </c>
      <c r="K1121" s="24" t="str">
        <f aca="false">IF(OR(E1121="",E1121="!!!",F1121="NEW"),"",INDEX(J$1:J1120,SUMPRODUCT(MAX(ROW(E$1:E1120)*(E1121=E$1:E1120)))))</f>
        <v/>
      </c>
      <c r="L1121" s="25"/>
    </row>
    <row r="1122" customFormat="false" ht="14.25" hidden="false" customHeight="false" outlineLevel="0" collapsed="false">
      <c r="A1122" s="0" t="s">
        <v>455</v>
      </c>
      <c r="E1122" s="20" t="str">
        <f aca="false">IF(D1122="?OLD","!!!","")</f>
        <v/>
      </c>
      <c r="F1122" s="21" t="str">
        <f aca="false">IF(OR(E1122="",E1122="!!!"),"",IF(NOT(ISNA(VLOOKUP(E1122,E$1:E1121,1,FALSE()))),"OLD",IF(AND(E1122&lt;&gt;"",E1122&lt;&gt;"!!!"),"NEW","")))</f>
        <v/>
      </c>
      <c r="G1122" s="22" t="str">
        <f aca="false"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3" t="str">
        <f aca="false">IF(J1122&lt;&gt;1,"",IF(I1122="SBJ","CB","?"))</f>
        <v/>
      </c>
      <c r="I1122" s="24" t="str">
        <f aca="false">IF(OR(E1122="",E1122="!!!",F1122="NEW"),"",INDEX(B$2:B1121,-1+SUMPRODUCT(MAX(ROW(E$2:E1121)*(E1122=E$2:E1121)))))</f>
        <v/>
      </c>
      <c r="J1122" s="24" t="str">
        <f aca="true">IF(OR(E1122="",E1122="!!!",F1122="NEW"),"",COUNTBLANK(OFFSET(A$1,,,SUMPRODUCT(MAX(ROW(E$2:E1122)*(E1122=E$2:E1122)))))-COUNTBLANK(OFFSET(A$1,,,SUMPRODUCT(MAX(ROW(E$1:E1121)*(E2=E$1:E1121))))))</f>
        <v/>
      </c>
      <c r="K1122" s="24" t="str">
        <f aca="false">IF(OR(E1122="",E1122="!!!",F1122="NEW"),"",INDEX(J$1:J1121,SUMPRODUCT(MAX(ROW(E$1:E1121)*(E1122=E$1:E1121)))))</f>
        <v/>
      </c>
      <c r="L1122" s="25"/>
    </row>
    <row r="1123" customFormat="false" ht="14.25" hidden="false" customHeight="false" outlineLevel="0" collapsed="false">
      <c r="A1123" s="0" t="s">
        <v>769</v>
      </c>
      <c r="B1123" s="26" t="s">
        <v>96</v>
      </c>
      <c r="C1123" s="26" t="s">
        <v>283</v>
      </c>
      <c r="D1123" s="26" t="s">
        <v>75</v>
      </c>
      <c r="E1123" s="20" t="s">
        <v>770</v>
      </c>
      <c r="F1123" s="21" t="str">
        <f aca="false">IF(OR(E1123="",E1123="!!!"),"",IF(NOT(ISNA(VLOOKUP(E1123,E$1:E1122,1,FALSE()))),"OLD",IF(AND(E1123&lt;&gt;"",E1123&lt;&gt;"!!!"),"NEW","")))</f>
        <v>NEW</v>
      </c>
      <c r="G1123" s="22" t="str">
        <f aca="false"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?REFERENTIAL</v>
      </c>
      <c r="H1123" s="23" t="str">
        <f aca="false">IF(J1123&lt;&gt;1,"",IF(I1123="SBJ","CB","?"))</f>
        <v/>
      </c>
      <c r="I1123" s="24" t="str">
        <f aca="false">IF(OR(E1123="",E1123="!!!",F1123="NEW"),"",INDEX(B$2:B1122,-1+SUMPRODUCT(MAX(ROW(E$2:E1122)*(E1123=E$2:E1122)))))</f>
        <v/>
      </c>
      <c r="J1123" s="24" t="str">
        <f aca="true">IF(OR(E1123="",E1123="!!!",F1123="NEW"),"",COUNTBLANK(OFFSET(A$1,,,SUMPRODUCT(MAX(ROW(E$2:E1123)*(E1123=E$2:E1123)))))-COUNTBLANK(OFFSET(A$1,,,SUMPRODUCT(MAX(ROW(E$1:E1122)*(E2=E$1:E1122))))))</f>
        <v/>
      </c>
      <c r="K1123" s="24" t="str">
        <f aca="false">IF(OR(E1123="",E1123="!!!",F1123="NEW"),"",INDEX(J$1:J1122,SUMPRODUCT(MAX(ROW(E$1:E1122)*(E1123=E$1:E1122)))))</f>
        <v/>
      </c>
      <c r="L1123" s="25"/>
    </row>
    <row r="1124" customFormat="false" ht="14.25" hidden="false" customHeight="false" outlineLevel="0" collapsed="false">
      <c r="A1124" s="0" t="s">
        <v>78</v>
      </c>
      <c r="E1124" s="20" t="str">
        <f aca="false">IF(D1124="?OLD","!!!","")</f>
        <v/>
      </c>
      <c r="F1124" s="21" t="str">
        <f aca="false">IF(OR(E1124="",E1124="!!!"),"",IF(NOT(ISNA(VLOOKUP(E1124,E$1:E1123,1,FALSE()))),"OLD",IF(AND(E1124&lt;&gt;"",E1124&lt;&gt;"!!!"),"NEW","")))</f>
        <v/>
      </c>
      <c r="G1124" s="22" t="str">
        <f aca="false"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aca="false">IF(J1124&lt;&gt;1,"",IF(I1124="SBJ","CB","?"))</f>
        <v/>
      </c>
      <c r="I1124" s="24" t="str">
        <f aca="false">IF(OR(E1124="",E1124="!!!",F1124="NEW"),"",INDEX(B$2:B1123,-1+SUMPRODUCT(MAX(ROW(E$2:E1123)*(E1124=E$2:E1123)))))</f>
        <v/>
      </c>
      <c r="J1124" s="24" t="str">
        <f aca="true">IF(OR(E1124="",E1124="!!!",F1124="NEW"),"",COUNTBLANK(OFFSET(A$1,,,SUMPRODUCT(MAX(ROW(E$2:E1124)*(E1124=E$2:E1124)))))-COUNTBLANK(OFFSET(A$1,,,SUMPRODUCT(MAX(ROW(E$1:E1123)*(E2=E$1:E1123))))))</f>
        <v/>
      </c>
      <c r="K1124" s="24" t="str">
        <f aca="false">IF(OR(E1124="",E1124="!!!",F1124="NEW"),"",INDEX(J$1:J1123,SUMPRODUCT(MAX(ROW(E$1:E1123)*(E1124=E$1:E1123)))))</f>
        <v/>
      </c>
      <c r="L1124" s="25"/>
    </row>
    <row r="1125" customFormat="false" ht="14.25" hidden="false" customHeight="false" outlineLevel="0" collapsed="false">
      <c r="A1125" s="0" t="s">
        <v>339</v>
      </c>
      <c r="E1125" s="20" t="str">
        <f aca="false">IF(D1125="?OLD","!!!","")</f>
        <v/>
      </c>
      <c r="F1125" s="21" t="str">
        <f aca="false">IF(OR(E1125="",E1125="!!!"),"",IF(NOT(ISNA(VLOOKUP(E1125,E$1:E1124,1,FALSE()))),"OLD",IF(AND(E1125&lt;&gt;"",E1125&lt;&gt;"!!!"),"NEW","")))</f>
        <v/>
      </c>
      <c r="G1125" s="22" t="str">
        <f aca="false"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aca="false">IF(J1125&lt;&gt;1,"",IF(I1125="SBJ","CB","?"))</f>
        <v/>
      </c>
      <c r="I1125" s="24" t="str">
        <f aca="false">IF(OR(E1125="",E1125="!!!",F1125="NEW"),"",INDEX(B$2:B1124,-1+SUMPRODUCT(MAX(ROW(E$2:E1124)*(E1125=E$2:E1124)))))</f>
        <v/>
      </c>
      <c r="J1125" s="24" t="str">
        <f aca="true">IF(OR(E1125="",E1125="!!!",F1125="NEW"),"",COUNTBLANK(OFFSET(A$1,,,SUMPRODUCT(MAX(ROW(E$2:E1125)*(E1125=E$2:E1125)))))-COUNTBLANK(OFFSET(A$1,,,SUMPRODUCT(MAX(ROW(E$1:E1124)*(E2=E$1:E1124))))))</f>
        <v/>
      </c>
      <c r="K1125" s="24" t="str">
        <f aca="false">IF(OR(E1125="",E1125="!!!",F1125="NEW"),"",INDEX(J$1:J1124,SUMPRODUCT(MAX(ROW(E$1:E1124)*(E1125=E$1:E1124)))))</f>
        <v/>
      </c>
      <c r="L1125" s="25"/>
    </row>
    <row r="1126" customFormat="false" ht="14.25" hidden="false" customHeight="false" outlineLevel="0" collapsed="false">
      <c r="A1126" s="0" t="s">
        <v>578</v>
      </c>
      <c r="E1126" s="20" t="str">
        <f aca="false">IF(D1126="?OLD","!!!","")</f>
        <v/>
      </c>
      <c r="F1126" s="21" t="str">
        <f aca="false">IF(OR(E1126="",E1126="!!!"),"",IF(NOT(ISNA(VLOOKUP(E1126,E$1:E1125,1,FALSE()))),"OLD",IF(AND(E1126&lt;&gt;"",E1126&lt;&gt;"!!!"),"NEW","")))</f>
        <v/>
      </c>
      <c r="G1126" s="22" t="str">
        <f aca="false"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aca="false">IF(J1126&lt;&gt;1,"",IF(I1126="SBJ","CB","?"))</f>
        <v/>
      </c>
      <c r="I1126" s="24" t="str">
        <f aca="false">IF(OR(E1126="",E1126="!!!",F1126="NEW"),"",INDEX(B$2:B1125,-1+SUMPRODUCT(MAX(ROW(E$2:E1125)*(E1126=E$2:E1125)))))</f>
        <v/>
      </c>
      <c r="J1126" s="24" t="str">
        <f aca="true">IF(OR(E1126="",E1126="!!!",F1126="NEW"),"",COUNTBLANK(OFFSET(A$1,,,SUMPRODUCT(MAX(ROW(E$2:E1126)*(E1126=E$2:E1126)))))-COUNTBLANK(OFFSET(A$1,,,SUMPRODUCT(MAX(ROW(E$1:E1125)*(E2=E$1:E1125))))))</f>
        <v/>
      </c>
      <c r="K1126" s="24" t="str">
        <f aca="false">IF(OR(E1126="",E1126="!!!",F1126="NEW"),"",INDEX(J$1:J1125,SUMPRODUCT(MAX(ROW(E$1:E1125)*(E1126=E$1:E1125)))))</f>
        <v/>
      </c>
      <c r="L1126" s="25"/>
    </row>
    <row r="1127" customFormat="false" ht="14.25" hidden="false" customHeight="false" outlineLevel="0" collapsed="false">
      <c r="A1127" s="0" t="s">
        <v>511</v>
      </c>
      <c r="B1127" s="26" t="s">
        <v>131</v>
      </c>
      <c r="C1127" s="26" t="s">
        <v>341</v>
      </c>
      <c r="E1127" s="20" t="str">
        <f aca="false">IF(D1127="?OLD","!!!","")</f>
        <v/>
      </c>
      <c r="F1127" s="21" t="str">
        <f aca="false">IF(OR(E1127="",E1127="!!!"),"",IF(NOT(ISNA(VLOOKUP(E1127,E$1:E1126,1,FALSE()))),"OLD",IF(AND(E1127&lt;&gt;"",E1127&lt;&gt;"!!!"),"NEW","")))</f>
        <v/>
      </c>
      <c r="G1127" s="22" t="str">
        <f aca="false"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aca="false">IF(J1127&lt;&gt;1,"",IF(I1127="SBJ","CB","?"))</f>
        <v/>
      </c>
      <c r="I1127" s="24" t="str">
        <f aca="false">IF(OR(E1127="",E1127="!!!",F1127="NEW"),"",INDEX(B$2:B1126,-1+SUMPRODUCT(MAX(ROW(E$2:E1126)*(E1127=E$2:E1126)))))</f>
        <v/>
      </c>
      <c r="J1127" s="24" t="str">
        <f aca="true">IF(OR(E1127="",E1127="!!!",F1127="NEW"),"",COUNTBLANK(OFFSET(A$1,,,SUMPRODUCT(MAX(ROW(E$2:E1127)*(E1127=E$2:E1127)))))-COUNTBLANK(OFFSET(A$1,,,SUMPRODUCT(MAX(ROW(E$1:E1126)*(E2=E$1:E1126))))))</f>
        <v/>
      </c>
      <c r="K1127" s="24" t="str">
        <f aca="false">IF(OR(E1127="",E1127="!!!",F1127="NEW"),"",INDEX(J$1:J1126,SUMPRODUCT(MAX(ROW(E$1:E1126)*(E1127=E$1:E1126)))))</f>
        <v/>
      </c>
      <c r="L1127" s="25"/>
    </row>
    <row r="1128" customFormat="false" ht="14.25" hidden="false" customHeight="false" outlineLevel="0" collapsed="false">
      <c r="A1128" s="0" t="s">
        <v>86</v>
      </c>
      <c r="E1128" s="20" t="str">
        <f aca="false">IF(D1128="?OLD","!!!","")</f>
        <v/>
      </c>
      <c r="F1128" s="21" t="str">
        <f aca="false">IF(OR(E1128="",E1128="!!!"),"",IF(NOT(ISNA(VLOOKUP(E1128,E$1:E1127,1,FALSE()))),"OLD",IF(AND(E1128&lt;&gt;"",E1128&lt;&gt;"!!!"),"NEW","")))</f>
        <v/>
      </c>
      <c r="G1128" s="22" t="str">
        <f aca="false"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aca="false">IF(J1128&lt;&gt;1,"",IF(I1128="SBJ","CB","?"))</f>
        <v/>
      </c>
      <c r="I1128" s="24" t="str">
        <f aca="false">IF(OR(E1128="",E1128="!!!",F1128="NEW"),"",INDEX(B$2:B1127,-1+SUMPRODUCT(MAX(ROW(E$2:E1127)*(E1128=E$2:E1127)))))</f>
        <v/>
      </c>
      <c r="J1128" s="24" t="str">
        <f aca="true">IF(OR(E1128="",E1128="!!!",F1128="NEW"),"",COUNTBLANK(OFFSET(A$1,,,SUMPRODUCT(MAX(ROW(E$2:E1128)*(E1128=E$2:E1128)))))-COUNTBLANK(OFFSET(A$1,,,SUMPRODUCT(MAX(ROW(E$1:E1127)*(E2=E$1:E1127))))))</f>
        <v/>
      </c>
      <c r="K1128" s="24" t="str">
        <f aca="false">IF(OR(E1128="",E1128="!!!",F1128="NEW"),"",INDEX(J$1:J1127,SUMPRODUCT(MAX(ROW(E$1:E1127)*(E1128=E$1:E1127)))))</f>
        <v/>
      </c>
      <c r="L1128" s="25"/>
    </row>
    <row r="1129" customFormat="false" ht="14.25" hidden="false" customHeight="false" outlineLevel="0" collapsed="false">
      <c r="A1129" s="0" t="s">
        <v>769</v>
      </c>
      <c r="B1129" s="26" t="s">
        <v>96</v>
      </c>
      <c r="C1129" s="26" t="s">
        <v>283</v>
      </c>
      <c r="D1129" s="26" t="s">
        <v>75</v>
      </c>
      <c r="E1129" s="20" t="s">
        <v>770</v>
      </c>
      <c r="F1129" s="21" t="str">
        <f aca="false">IF(OR(E1129="",E1129="!!!"),"",IF(NOT(ISNA(VLOOKUP(E1129,E$1:E1128,1,FALSE()))),"OLD",IF(AND(E1129&lt;&gt;"",E1129&lt;&gt;"!!!"),"NEW","")))</f>
        <v>OLD</v>
      </c>
      <c r="G1129" s="22" t="str">
        <f aca="false"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?IN_FOCUS</v>
      </c>
      <c r="H1129" s="23" t="str">
        <f aca="false">IF(J1129&lt;&gt;1,"",IF(I1129="SBJ","CB","?"))</f>
        <v/>
      </c>
      <c r="I1129" s="24" t="str">
        <f aca="false">IF(OR(E1129="",E1129="!!!",F1129="NEW"),"",INDEX(B$2:B1128,-1+SUMPRODUCT(MAX(ROW(E$2:E1128)*(E1129=E$2:E1128)))))</f>
        <v>SBJ_2</v>
      </c>
      <c r="J1129" s="24" t="n">
        <f aca="true">IF(OR(E1129="",E1129="!!!",F1129="NEW"),"",COUNTBLANK(OFFSET(A$1,,,SUMPRODUCT(MAX(ROW(E$2:E1129)*(E1129=E$2:E1129)))))-COUNTBLANK(OFFSET(A$1,,,SUMPRODUCT(MAX(ROW(E$1:E1128)*(E2=E$1:E1128))))))</f>
        <v>0</v>
      </c>
      <c r="K1129" s="24" t="str">
        <f aca="false">IF(OR(E1129="",E1129="!!!",F1129="NEW"),"",INDEX(J$1:J1128,SUMPRODUCT(MAX(ROW(E$1:E1128)*(E1129=E$1:E1128)))))</f>
        <v/>
      </c>
      <c r="L1129" s="25"/>
    </row>
    <row r="1130" customFormat="false" ht="14.25" hidden="false" customHeight="false" outlineLevel="0" collapsed="false">
      <c r="A1130" s="0" t="s">
        <v>78</v>
      </c>
      <c r="E1130" s="20" t="str">
        <f aca="false">IF(D1130="?OLD","!!!","")</f>
        <v/>
      </c>
      <c r="F1130" s="21" t="str">
        <f aca="false">IF(OR(E1130="",E1130="!!!"),"",IF(NOT(ISNA(VLOOKUP(E1130,E$1:E1129,1,FALSE()))),"OLD",IF(AND(E1130&lt;&gt;"",E1130&lt;&gt;"!!!"),"NEW","")))</f>
        <v/>
      </c>
      <c r="G1130" s="22" t="str">
        <f aca="false"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aca="false">IF(J1130&lt;&gt;1,"",IF(I1130="SBJ","CB","?"))</f>
        <v/>
      </c>
      <c r="I1130" s="24" t="str">
        <f aca="false">IF(OR(E1130="",E1130="!!!",F1130="NEW"),"",INDEX(B$2:B1129,-1+SUMPRODUCT(MAX(ROW(E$2:E1129)*(E1130=E$2:E1129)))))</f>
        <v/>
      </c>
      <c r="J1130" s="24" t="str">
        <f aca="true">IF(OR(E1130="",E1130="!!!",F1130="NEW"),"",COUNTBLANK(OFFSET(A$1,,,SUMPRODUCT(MAX(ROW(E$2:E1130)*(E1130=E$2:E1130)))))-COUNTBLANK(OFFSET(A$1,,,SUMPRODUCT(MAX(ROW(E$1:E1129)*(E2=E$1:E1129))))))</f>
        <v/>
      </c>
      <c r="K1130" s="24" t="str">
        <f aca="false">IF(OR(E1130="",E1130="!!!",F1130="NEW"),"",INDEX(J$1:J1129,SUMPRODUCT(MAX(ROW(E$1:E1129)*(E1130=E$1:E1129)))))</f>
        <v/>
      </c>
      <c r="L1130" s="25"/>
    </row>
    <row r="1131" customFormat="false" ht="14.25" hidden="false" customHeight="false" outlineLevel="0" collapsed="false">
      <c r="A1131" s="0" t="s">
        <v>112</v>
      </c>
      <c r="E1131" s="20" t="str">
        <f aca="false">IF(D1131="?OLD","!!!","")</f>
        <v/>
      </c>
      <c r="F1131" s="21" t="str">
        <f aca="false">IF(OR(E1131="",E1131="!!!"),"",IF(NOT(ISNA(VLOOKUP(E1131,E$1:E1130,1,FALSE()))),"OLD",IF(AND(E1131&lt;&gt;"",E1131&lt;&gt;"!!!"),"NEW","")))</f>
        <v/>
      </c>
      <c r="G1131" s="22" t="str">
        <f aca="false"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aca="false">IF(J1131&lt;&gt;1,"",IF(I1131="SBJ","CB","?"))</f>
        <v/>
      </c>
      <c r="I1131" s="24" t="str">
        <f aca="false">IF(OR(E1131="",E1131="!!!",F1131="NEW"),"",INDEX(B$2:B1130,-1+SUMPRODUCT(MAX(ROW(E$2:E1130)*(E1131=E$2:E1130)))))</f>
        <v/>
      </c>
      <c r="J1131" s="24" t="str">
        <f aca="true">IF(OR(E1131="",E1131="!!!",F1131="NEW"),"",COUNTBLANK(OFFSET(A$1,,,SUMPRODUCT(MAX(ROW(E$2:E1131)*(E1131=E$2:E1131)))))-COUNTBLANK(OFFSET(A$1,,,SUMPRODUCT(MAX(ROW(E$1:E1130)*(E2=E$1:E1130))))))</f>
        <v/>
      </c>
      <c r="K1131" s="24" t="str">
        <f aca="false">IF(OR(E1131="",E1131="!!!",F1131="NEW"),"",INDEX(J$1:J1130,SUMPRODUCT(MAX(ROW(E$1:E1130)*(E1131=E$1:E1130)))))</f>
        <v/>
      </c>
      <c r="L1131" s="25"/>
    </row>
    <row r="1132" customFormat="false" ht="14.25" hidden="false" customHeight="false" outlineLevel="0" collapsed="false">
      <c r="A1132" s="0" t="s">
        <v>191</v>
      </c>
      <c r="B1132" s="26" t="s">
        <v>131</v>
      </c>
      <c r="C1132" s="26" t="s">
        <v>74</v>
      </c>
      <c r="D1132" s="26" t="s">
        <v>75</v>
      </c>
      <c r="E1132" s="20"/>
      <c r="F1132" s="21" t="s">
        <v>139</v>
      </c>
      <c r="G1132" s="22" t="str">
        <f aca="false"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3" t="str">
        <f aca="false">IF(J1132&lt;&gt;1,"",IF(I1132="SBJ","CB","?"))</f>
        <v/>
      </c>
      <c r="I1132" s="24" t="str">
        <f aca="false">IF(OR(E1132="",E1132="!!!",F1132="NEW"),"",INDEX(B$2:B1131,-1+SUMPRODUCT(MAX(ROW(E$2:E1131)*(E1132=E$2:E1131)))))</f>
        <v/>
      </c>
      <c r="J1132" s="24" t="str">
        <f aca="true">IF(OR(E1132="",E1132="!!!",F1132="NEW"),"",COUNTBLANK(OFFSET(A$1,,,SUMPRODUCT(MAX(ROW(E$2:E1132)*(E1132=E$2:E1132)))))-COUNTBLANK(OFFSET(A$1,,,SUMPRODUCT(MAX(ROW(E$1:E1131)*(E2=E$1:E1131))))))</f>
        <v/>
      </c>
      <c r="K1132" s="24" t="str">
        <f aca="false">IF(OR(E1132="",E1132="!!!",F1132="NEW"),"",INDEX(J$1:J1131,SUMPRODUCT(MAX(ROW(E$1:E1131)*(E1132=E$1:E1131)))))</f>
        <v/>
      </c>
      <c r="L1132" s="25"/>
    </row>
    <row r="1133" customFormat="false" ht="14.25" hidden="false" customHeight="false" outlineLevel="0" collapsed="false">
      <c r="A1133" s="0" t="s">
        <v>259</v>
      </c>
      <c r="E1133" s="20" t="str">
        <f aca="false">IF(D1133="?OLD","!!!","")</f>
        <v/>
      </c>
      <c r="F1133" s="21" t="str">
        <f aca="false">IF(OR(E1133="",E1133="!!!"),"",IF(NOT(ISNA(VLOOKUP(E1133,E$1:E1132,1,FALSE()))),"OLD",IF(AND(E1133&lt;&gt;"",E1133&lt;&gt;"!!!"),"NEW","")))</f>
        <v/>
      </c>
      <c r="G1133" s="22" t="str">
        <f aca="false"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aca="false">IF(J1133&lt;&gt;1,"",IF(I1133="SBJ","CB","?"))</f>
        <v/>
      </c>
      <c r="I1133" s="24" t="str">
        <f aca="false">IF(OR(E1133="",E1133="!!!",F1133="NEW"),"",INDEX(B$2:B1132,-1+SUMPRODUCT(MAX(ROW(E$2:E1132)*(E1133=E$2:E1132)))))</f>
        <v/>
      </c>
      <c r="J1133" s="24" t="str">
        <f aca="true">IF(OR(E1133="",E1133="!!!",F1133="NEW"),"",COUNTBLANK(OFFSET(A$1,,,SUMPRODUCT(MAX(ROW(E$2:E1133)*(E1133=E$2:E1133)))))-COUNTBLANK(OFFSET(A$1,,,SUMPRODUCT(MAX(ROW(E$1:E1132)*(E2=E$1:E1132))))))</f>
        <v/>
      </c>
      <c r="K1133" s="24" t="str">
        <f aca="false">IF(OR(E1133="",E1133="!!!",F1133="NEW"),"",INDEX(J$1:J1132,SUMPRODUCT(MAX(ROW(E$1:E1132)*(E1133=E$1:E1132)))))</f>
        <v/>
      </c>
      <c r="L1133" s="25"/>
    </row>
    <row r="1134" customFormat="false" ht="14.25" hidden="false" customHeight="false" outlineLevel="0" collapsed="false">
      <c r="A1134" s="0" t="s">
        <v>771</v>
      </c>
      <c r="B1134" s="26" t="s">
        <v>82</v>
      </c>
      <c r="C1134" s="26" t="s">
        <v>105</v>
      </c>
      <c r="E1134" s="20" t="str">
        <f aca="false">IF(D1134="?OLD","!!!","")</f>
        <v/>
      </c>
      <c r="F1134" s="21" t="str">
        <f aca="false">IF(OR(E1134="",E1134="!!!"),"",IF(NOT(ISNA(VLOOKUP(E1134,E$1:E1133,1,FALSE()))),"OLD",IF(AND(E1134&lt;&gt;"",E1134&lt;&gt;"!!!"),"NEW","")))</f>
        <v/>
      </c>
      <c r="G1134" s="22" t="str">
        <f aca="false"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aca="false">IF(J1134&lt;&gt;1,"",IF(I1134="SBJ","CB","?"))</f>
        <v/>
      </c>
      <c r="I1134" s="24" t="str">
        <f aca="false">IF(OR(E1134="",E1134="!!!",F1134="NEW"),"",INDEX(B$2:B1133,-1+SUMPRODUCT(MAX(ROW(E$2:E1133)*(E1134=E$2:E1133)))))</f>
        <v/>
      </c>
      <c r="J1134" s="24" t="str">
        <f aca="true">IF(OR(E1134="",E1134="!!!",F1134="NEW"),"",COUNTBLANK(OFFSET(A$1,,,SUMPRODUCT(MAX(ROW(E$2:E1134)*(E1134=E$2:E1134)))))-COUNTBLANK(OFFSET(A$1,,,SUMPRODUCT(MAX(ROW(E$1:E1133)*(E2=E$1:E1133))))))</f>
        <v/>
      </c>
      <c r="K1134" s="24" t="str">
        <f aca="false">IF(OR(E1134="",E1134="!!!",F1134="NEW"),"",INDEX(J$1:J1133,SUMPRODUCT(MAX(ROW(E$1:E1133)*(E1134=E$1:E1133)))))</f>
        <v/>
      </c>
      <c r="L1134" s="25"/>
    </row>
    <row r="1135" customFormat="false" ht="14.25" hidden="false" customHeight="false" outlineLevel="0" collapsed="false">
      <c r="A1135" s="0" t="s">
        <v>79</v>
      </c>
      <c r="E1135" s="20" t="str">
        <f aca="false">IF(D1135="?OLD","!!!","")</f>
        <v/>
      </c>
      <c r="F1135" s="21" t="str">
        <f aca="false">IF(OR(E1135="",E1135="!!!"),"",IF(NOT(ISNA(VLOOKUP(E1135,E$1:E1134,1,FALSE()))),"OLD",IF(AND(E1135&lt;&gt;"",E1135&lt;&gt;"!!!"),"NEW","")))</f>
        <v/>
      </c>
      <c r="G1135" s="22" t="str">
        <f aca="false"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aca="false">IF(J1135&lt;&gt;1,"",IF(I1135="SBJ","CB","?"))</f>
        <v/>
      </c>
      <c r="I1135" s="24" t="str">
        <f aca="false">IF(OR(E1135="",E1135="!!!",F1135="NEW"),"",INDEX(B$2:B1134,-1+SUMPRODUCT(MAX(ROW(E$2:E1134)*(E1135=E$2:E1134)))))</f>
        <v/>
      </c>
      <c r="J1135" s="24" t="str">
        <f aca="true">IF(OR(E1135="",E1135="!!!",F1135="NEW"),"",COUNTBLANK(OFFSET(A$1,,,SUMPRODUCT(MAX(ROW(E$2:E1135)*(E1135=E$2:E1135)))))-COUNTBLANK(OFFSET(A$1,,,SUMPRODUCT(MAX(ROW(E$1:E1134)*(E2=E$1:E1134))))))</f>
        <v/>
      </c>
      <c r="K1135" s="24" t="str">
        <f aca="false">IF(OR(E1135="",E1135="!!!",F1135="NEW"),"",INDEX(J$1:J1134,SUMPRODUCT(MAX(ROW(E$1:E1134)*(E1135=E$1:E1134)))))</f>
        <v/>
      </c>
      <c r="L1135" s="25"/>
    </row>
    <row r="1136" customFormat="false" ht="14.25" hidden="false" customHeight="false" outlineLevel="0" collapsed="false">
      <c r="A1136" s="0" t="s">
        <v>80</v>
      </c>
      <c r="E1136" s="20" t="str">
        <f aca="false">IF(D1136="?OLD","!!!","")</f>
        <v/>
      </c>
      <c r="F1136" s="21" t="str">
        <f aca="false">IF(OR(E1136="",E1136="!!!"),"",IF(NOT(ISNA(VLOOKUP(E1136,E$1:E1135,1,FALSE()))),"OLD",IF(AND(E1136&lt;&gt;"",E1136&lt;&gt;"!!!"),"NEW","")))</f>
        <v/>
      </c>
      <c r="G1136" s="22" t="str">
        <f aca="false"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aca="false">IF(J1136&lt;&gt;1,"",IF(I1136="SBJ","CB","?"))</f>
        <v/>
      </c>
      <c r="I1136" s="24" t="str">
        <f aca="false">IF(OR(E1136="",E1136="!!!",F1136="NEW"),"",INDEX(B$2:B1135,-1+SUMPRODUCT(MAX(ROW(E$2:E1135)*(E1136=E$2:E1135)))))</f>
        <v/>
      </c>
      <c r="J1136" s="24" t="str">
        <f aca="true">IF(OR(E1136="",E1136="!!!",F1136="NEW"),"",COUNTBLANK(OFFSET(A$1,,,SUMPRODUCT(MAX(ROW(E$2:E1136)*(E1136=E$2:E1136)))))-COUNTBLANK(OFFSET(A$1,,,SUMPRODUCT(MAX(ROW(E$1:E1135)*(E2=E$1:E1135))))))</f>
        <v/>
      </c>
      <c r="K1136" s="24" t="str">
        <f aca="false">IF(OR(E1136="",E1136="!!!",F1136="NEW"),"",INDEX(J$1:J1135,SUMPRODUCT(MAX(ROW(E$1:E1135)*(E1136=E$1:E1135)))))</f>
        <v/>
      </c>
      <c r="L1136" s="25"/>
    </row>
    <row r="1137" customFormat="false" ht="14.25" hidden="false" customHeight="false" outlineLevel="0" collapsed="false">
      <c r="A1137" s="0" t="s">
        <v>732</v>
      </c>
      <c r="E1137" s="20" t="str">
        <f aca="false">IF(D1137="?OLD","!!!","")</f>
        <v/>
      </c>
      <c r="F1137" s="21" t="str">
        <f aca="false">IF(OR(E1137="",E1137="!!!"),"",IF(NOT(ISNA(VLOOKUP(E1137,E$1:E1136,1,FALSE()))),"OLD",IF(AND(E1137&lt;&gt;"",E1137&lt;&gt;"!!!"),"NEW","")))</f>
        <v/>
      </c>
      <c r="G1137" s="22" t="str">
        <f aca="false"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aca="false">IF(J1137&lt;&gt;1,"",IF(I1137="SBJ","CB","?"))</f>
        <v/>
      </c>
      <c r="I1137" s="24" t="str">
        <f aca="false">IF(OR(E1137="",E1137="!!!",F1137="NEW"),"",INDEX(B$2:B1136,-1+SUMPRODUCT(MAX(ROW(E$2:E1136)*(E1137=E$2:E1136)))))</f>
        <v/>
      </c>
      <c r="J1137" s="24" t="str">
        <f aca="true">IF(OR(E1137="",E1137="!!!",F1137="NEW"),"",COUNTBLANK(OFFSET(A$1,,,SUMPRODUCT(MAX(ROW(E$2:E1137)*(E1137=E$2:E1137)))))-COUNTBLANK(OFFSET(A$1,,,SUMPRODUCT(MAX(ROW(E$1:E1136)*(E2=E$1:E1136))))))</f>
        <v/>
      </c>
      <c r="K1137" s="24" t="str">
        <f aca="false">IF(OR(E1137="",E1137="!!!",F1137="NEW"),"",INDEX(J$1:J1136,SUMPRODUCT(MAX(ROW(E$1:E1136)*(E1137=E$1:E1136)))))</f>
        <v/>
      </c>
      <c r="L1137" s="25"/>
    </row>
    <row r="1138" customFormat="false" ht="14.25" hidden="false" customHeight="false" outlineLevel="0" collapsed="false">
      <c r="A1138" s="0" t="s">
        <v>733</v>
      </c>
      <c r="B1138" s="26" t="s">
        <v>147</v>
      </c>
      <c r="C1138" s="26" t="s">
        <v>74</v>
      </c>
      <c r="D1138" s="26" t="s">
        <v>75</v>
      </c>
      <c r="E1138" s="20" t="s">
        <v>734</v>
      </c>
      <c r="F1138" s="21" t="str">
        <f aca="false">IF(OR(E1138="",E1138="!!!"),"",IF(NOT(ISNA(VLOOKUP(E1138,E$1:E1137,1,FALSE()))),"OLD",IF(AND(E1138&lt;&gt;"",E1138&lt;&gt;"!!!"),"NEW","")))</f>
        <v>OLD</v>
      </c>
      <c r="G1138" s="22" t="str">
        <f aca="false"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?IN_FOCUS</v>
      </c>
      <c r="H1138" s="23" t="str">
        <f aca="false">IF(J1138&lt;&gt;1,"",IF(I1138="SBJ","CB","?"))</f>
        <v/>
      </c>
      <c r="I1138" s="24" t="str">
        <f aca="false">IF(OR(E1138="",E1138="!!!",F1138="NEW"),"",INDEX(B$2:B1137,-1+SUMPRODUCT(MAX(ROW(E$2:E1137)*(E1138=E$2:E1137)))))</f>
        <v>other</v>
      </c>
      <c r="J1138" s="24" t="n">
        <f aca="true">IF(OR(E1138="",E1138="!!!",F1138="NEW"),"",COUNTBLANK(OFFSET(A$1,,,SUMPRODUCT(MAX(ROW(E$2:E1138)*(E1138=E$2:E1138)))))-COUNTBLANK(OFFSET(A$1,,,SUMPRODUCT(MAX(ROW(E$1:E1137)*(E2=E$1:E1137))))))</f>
        <v>0</v>
      </c>
      <c r="K1138" s="24" t="str">
        <f aca="false">IF(OR(E1138="",E1138="!!!",F1138="NEW"),"",INDEX(J$1:J1137,SUMPRODUCT(MAX(ROW(E$1:E1137)*(E1138=E$1:E1137)))))</f>
        <v/>
      </c>
      <c r="L1138" s="25"/>
    </row>
    <row r="1139" customFormat="false" ht="14.25" hidden="false" customHeight="false" outlineLevel="0" collapsed="false">
      <c r="A1139" s="0" t="s">
        <v>79</v>
      </c>
      <c r="E1139" s="20" t="str">
        <f aca="false">IF(D1139="?OLD","!!!","")</f>
        <v/>
      </c>
      <c r="F1139" s="21" t="str">
        <f aca="false">IF(OR(E1139="",E1139="!!!"),"",IF(NOT(ISNA(VLOOKUP(E1139,E$1:E1138,1,FALSE()))),"OLD",IF(AND(E1139&lt;&gt;"",E1139&lt;&gt;"!!!"),"NEW","")))</f>
        <v/>
      </c>
      <c r="G1139" s="22" t="str">
        <f aca="false"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3" t="str">
        <f aca="false">IF(J1139&lt;&gt;1,"",IF(I1139="SBJ","CB","?"))</f>
        <v/>
      </c>
      <c r="I1139" s="24" t="str">
        <f aca="false">IF(OR(E1139="",E1139="!!!",F1139="NEW"),"",INDEX(B$2:B1138,-1+SUMPRODUCT(MAX(ROW(E$2:E1138)*(E1139=E$2:E1138)))))</f>
        <v/>
      </c>
      <c r="J1139" s="24" t="str">
        <f aca="true">IF(OR(E1139="",E1139="!!!",F1139="NEW"),"",COUNTBLANK(OFFSET(A$1,,,SUMPRODUCT(MAX(ROW(E$2:E1139)*(E1139=E$2:E1139)))))-COUNTBLANK(OFFSET(A$1,,,SUMPRODUCT(MAX(ROW(E$1:E1138)*(E2=E$1:E1138))))))</f>
        <v/>
      </c>
      <c r="K1139" s="24" t="str">
        <f aca="false">IF(OR(E1139="",E1139="!!!",F1139="NEW"),"",INDEX(J$1:J1138,SUMPRODUCT(MAX(ROW(E$1:E1138)*(E1139=E$1:E1138)))))</f>
        <v/>
      </c>
      <c r="L1139" s="25"/>
    </row>
    <row r="1140" customFormat="false" ht="14.25" hidden="false" customHeight="false" outlineLevel="0" collapsed="false">
      <c r="A1140" s="0" t="s">
        <v>772</v>
      </c>
      <c r="B1140" s="26" t="s">
        <v>115</v>
      </c>
      <c r="C1140" s="26" t="s">
        <v>283</v>
      </c>
      <c r="D1140" s="26" t="s">
        <v>75</v>
      </c>
      <c r="E1140" s="20" t="s">
        <v>773</v>
      </c>
      <c r="F1140" s="21" t="str">
        <f aca="false">IF(OR(E1140="",E1140="!!!"),"",IF(NOT(ISNA(VLOOKUP(E1140,E$1:E1139,1,FALSE()))),"OLD",IF(AND(E1140&lt;&gt;"",E1140&lt;&gt;"!!!"),"NEW","")))</f>
        <v>NEW</v>
      </c>
      <c r="G1140" s="22" t="str">
        <f aca="false"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?REFERENTIAL</v>
      </c>
      <c r="H1140" s="23" t="str">
        <f aca="false">IF(J1140&lt;&gt;1,"",IF(I1140="SBJ","CB","?"))</f>
        <v/>
      </c>
      <c r="I1140" s="24" t="str">
        <f aca="false">IF(OR(E1140="",E1140="!!!",F1140="NEW"),"",INDEX(B$2:B1139,-1+SUMPRODUCT(MAX(ROW(E$2:E1139)*(E1140=E$2:E1139)))))</f>
        <v/>
      </c>
      <c r="J1140" s="24" t="str">
        <f aca="true">IF(OR(E1140="",E1140="!!!",F1140="NEW"),"",COUNTBLANK(OFFSET(A$1,,,SUMPRODUCT(MAX(ROW(E$2:E1140)*(E1140=E$2:E1140)))))-COUNTBLANK(OFFSET(A$1,,,SUMPRODUCT(MAX(ROW(E$1:E1139)*(E2=E$1:E1139))))))</f>
        <v/>
      </c>
      <c r="K1140" s="24" t="str">
        <f aca="false">IF(OR(E1140="",E1140="!!!",F1140="NEW"),"",INDEX(J$1:J1139,SUMPRODUCT(MAX(ROW(E$1:E1139)*(E1140=E$1:E1139)))))</f>
        <v/>
      </c>
      <c r="L1140" s="27" t="s">
        <v>774</v>
      </c>
    </row>
    <row r="1141" customFormat="false" ht="14.25" hidden="false" customHeight="false" outlineLevel="0" collapsed="false">
      <c r="A1141" s="0" t="s">
        <v>86</v>
      </c>
      <c r="E1141" s="20" t="str">
        <f aca="false">IF(D1141="?OLD","!!!","")</f>
        <v/>
      </c>
      <c r="F1141" s="21" t="str">
        <f aca="false">IF(OR(E1141="",E1141="!!!"),"",IF(NOT(ISNA(VLOOKUP(E1141,E$1:E1140,1,FALSE()))),"OLD",IF(AND(E1141&lt;&gt;"",E1141&lt;&gt;"!!!"),"NEW","")))</f>
        <v/>
      </c>
      <c r="G1141" s="22" t="str">
        <f aca="false"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aca="false">IF(J1141&lt;&gt;1,"",IF(I1141="SBJ","CB","?"))</f>
        <v/>
      </c>
      <c r="I1141" s="24" t="str">
        <f aca="false">IF(OR(E1141="",E1141="!!!",F1141="NEW"),"",INDEX(B$2:B1140,-1+SUMPRODUCT(MAX(ROW(E$2:E1140)*(E1141=E$2:E1140)))))</f>
        <v/>
      </c>
      <c r="J1141" s="24" t="str">
        <f aca="true">IF(OR(E1141="",E1141="!!!",F1141="NEW"),"",COUNTBLANK(OFFSET(A$1,,,SUMPRODUCT(MAX(ROW(E$2:E1141)*(E1141=E$2:E1141)))))-COUNTBLANK(OFFSET(A$1,,,SUMPRODUCT(MAX(ROW(E$1:E1140)*(E2=E$1:E1140))))))</f>
        <v/>
      </c>
      <c r="K1141" s="24" t="str">
        <f aca="false">IF(OR(E1141="",E1141="!!!",F1141="NEW"),"",INDEX(J$1:J1140,SUMPRODUCT(MAX(ROW(E$1:E1140)*(E1141=E$1:E1140)))))</f>
        <v/>
      </c>
      <c r="L1141" s="25"/>
    </row>
    <row r="1142" customFormat="false" ht="14.25" hidden="false" customHeight="false" outlineLevel="0" collapsed="false">
      <c r="A1142" s="0" t="s">
        <v>130</v>
      </c>
      <c r="E1142" s="20" t="str">
        <f aca="false">IF(D1142="?OLD","!!!","")</f>
        <v/>
      </c>
      <c r="F1142" s="21" t="str">
        <f aca="false">IF(OR(E1142="",E1142="!!!"),"",IF(NOT(ISNA(VLOOKUP(E1142,E$1:E1141,1,FALSE()))),"OLD",IF(AND(E1142&lt;&gt;"",E1142&lt;&gt;"!!!"),"NEW","")))</f>
        <v/>
      </c>
      <c r="G1142" s="22" t="str">
        <f aca="false"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aca="false">IF(J1142&lt;&gt;1,"",IF(I1142="SBJ","CB","?"))</f>
        <v/>
      </c>
      <c r="I1142" s="24" t="str">
        <f aca="false">IF(OR(E1142="",E1142="!!!",F1142="NEW"),"",INDEX(B$2:B1141,-1+SUMPRODUCT(MAX(ROW(E$2:E1141)*(E1142=E$2:E1141)))))</f>
        <v/>
      </c>
      <c r="J1142" s="24" t="str">
        <f aca="true">IF(OR(E1142="",E1142="!!!",F1142="NEW"),"",COUNTBLANK(OFFSET(A$1,,,SUMPRODUCT(MAX(ROW(E$2:E1142)*(E1142=E$2:E1142)))))-COUNTBLANK(OFFSET(A$1,,,SUMPRODUCT(MAX(ROW(E$1:E1141)*(E2=E$1:E1141))))))</f>
        <v/>
      </c>
      <c r="K1142" s="24" t="str">
        <f aca="false">IF(OR(E1142="",E1142="!!!",F1142="NEW"),"",INDEX(J$1:J1141,SUMPRODUCT(MAX(ROW(E$1:E1141)*(E1142=E$1:E1141)))))</f>
        <v/>
      </c>
      <c r="L1142" s="25"/>
    </row>
    <row r="1143" customFormat="false" ht="14.25" hidden="false" customHeight="false" outlineLevel="0" collapsed="false">
      <c r="A1143" s="0" t="s">
        <v>483</v>
      </c>
      <c r="E1143" s="20" t="str">
        <f aca="false">IF(D1143="?OLD","!!!","")</f>
        <v/>
      </c>
      <c r="F1143" s="21" t="str">
        <f aca="false">IF(OR(E1143="",E1143="!!!"),"",IF(NOT(ISNA(VLOOKUP(E1143,E$1:E1142,1,FALSE()))),"OLD",IF(AND(E1143&lt;&gt;"",E1143&lt;&gt;"!!!"),"NEW","")))</f>
        <v/>
      </c>
      <c r="G1143" s="22" t="str">
        <f aca="false"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aca="false">IF(J1143&lt;&gt;1,"",IF(I1143="SBJ","CB","?"))</f>
        <v/>
      </c>
      <c r="I1143" s="24" t="str">
        <f aca="false">IF(OR(E1143="",E1143="!!!",F1143="NEW"),"",INDEX(B$2:B1142,-1+SUMPRODUCT(MAX(ROW(E$2:E1142)*(E1143=E$2:E1142)))))</f>
        <v/>
      </c>
      <c r="J1143" s="24" t="str">
        <f aca="true">IF(OR(E1143="",E1143="!!!",F1143="NEW"),"",COUNTBLANK(OFFSET(A$1,,,SUMPRODUCT(MAX(ROW(E$2:E1143)*(E1143=E$2:E1143)))))-COUNTBLANK(OFFSET(A$1,,,SUMPRODUCT(MAX(ROW(E$1:E1142)*(E2=E$1:E1142))))))</f>
        <v/>
      </c>
      <c r="K1143" s="24" t="str">
        <f aca="false">IF(OR(E1143="",E1143="!!!",F1143="NEW"),"",INDEX(J$1:J1142,SUMPRODUCT(MAX(ROW(E$1:E1142)*(E1143=E$1:E1142)))))</f>
        <v/>
      </c>
      <c r="L1143" s="25"/>
    </row>
    <row r="1144" customFormat="false" ht="14.25" hidden="false" customHeight="false" outlineLevel="0" collapsed="false">
      <c r="A1144" s="0" t="s">
        <v>737</v>
      </c>
      <c r="B1144" s="26" t="s">
        <v>82</v>
      </c>
      <c r="C1144" s="26" t="s">
        <v>341</v>
      </c>
      <c r="E1144" s="20"/>
      <c r="F1144" s="21" t="str">
        <f aca="false">IF(OR(E1144="",E1144="!!!"),"",IF(NOT(ISNA(VLOOKUP(E1144,E$1:E1143,1,FALSE()))),"OLD",IF(AND(E1144&lt;&gt;"",E1144&lt;&gt;"!!!"),"NEW","")))</f>
        <v/>
      </c>
      <c r="G1144" s="22" t="str">
        <f aca="false"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aca="false">IF(J1144&lt;&gt;1,"",IF(I1144="SBJ","CB","?"))</f>
        <v/>
      </c>
      <c r="I1144" s="24" t="str">
        <f aca="false">IF(OR(E1144="",E1144="!!!",F1144="NEW"),"",INDEX(B$2:B1143,-1+SUMPRODUCT(MAX(ROW(E$2:E1143)*(E1144=E$2:E1143)))))</f>
        <v/>
      </c>
      <c r="J1144" s="24" t="str">
        <f aca="true">IF(OR(E1144="",E1144="!!!",F1144="NEW"),"",COUNTBLANK(OFFSET(A$1,,,SUMPRODUCT(MAX(ROW(E$2:E1144)*(E1144=E$2:E1144)))))-COUNTBLANK(OFFSET(A$1,,,SUMPRODUCT(MAX(ROW(E$1:E1143)*(E2=E$1:E1143))))))</f>
        <v/>
      </c>
      <c r="K1144" s="24" t="str">
        <f aca="false">IF(OR(E1144="",E1144="!!!",F1144="NEW"),"",INDEX(J$1:J1143,SUMPRODUCT(MAX(ROW(E$1:E1143)*(E1144=E$1:E1143)))))</f>
        <v/>
      </c>
      <c r="L1144" s="25"/>
    </row>
    <row r="1145" customFormat="false" ht="14.25" hidden="false" customHeight="false" outlineLevel="0" collapsed="false">
      <c r="A1145" s="0" t="s">
        <v>328</v>
      </c>
      <c r="E1145" s="20" t="str">
        <f aca="false">IF(D1145="?OLD","!!!","")</f>
        <v/>
      </c>
      <c r="F1145" s="21" t="str">
        <f aca="false">IF(OR(E1145="",E1145="!!!"),"",IF(NOT(ISNA(VLOOKUP(E1145,E$1:E1144,1,FALSE()))),"OLD",IF(AND(E1145&lt;&gt;"",E1145&lt;&gt;"!!!"),"NEW","")))</f>
        <v/>
      </c>
      <c r="G1145" s="22" t="str">
        <f aca="false"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aca="false">IF(J1145&lt;&gt;1,"",IF(I1145="SBJ","CB","?"))</f>
        <v/>
      </c>
      <c r="I1145" s="24" t="str">
        <f aca="false">IF(OR(E1145="",E1145="!!!",F1145="NEW"),"",INDEX(B$2:B1144,-1+SUMPRODUCT(MAX(ROW(E$2:E1144)*(E1145=E$2:E1144)))))</f>
        <v/>
      </c>
      <c r="J1145" s="24" t="str">
        <f aca="true">IF(OR(E1145="",E1145="!!!",F1145="NEW"),"",COUNTBLANK(OFFSET(A$1,,,SUMPRODUCT(MAX(ROW(E$2:E1145)*(E1145=E$2:E1145)))))-COUNTBLANK(OFFSET(A$1,,,SUMPRODUCT(MAX(ROW(E$1:E1144)*(E2=E$1:E1144))))))</f>
        <v/>
      </c>
      <c r="K1145" s="24" t="str">
        <f aca="false">IF(OR(E1145="",E1145="!!!",F1145="NEW"),"",INDEX(J$1:J1144,SUMPRODUCT(MAX(ROW(E$1:E1144)*(E1145=E$1:E1144)))))</f>
        <v/>
      </c>
      <c r="L1145" s="25"/>
    </row>
    <row r="1146" customFormat="false" ht="14.25" hidden="false" customHeight="false" outlineLevel="0" collapsed="false">
      <c r="A1146" s="0" t="s">
        <v>775</v>
      </c>
      <c r="E1146" s="20" t="str">
        <f aca="false">IF(D1146="?OLD","!!!","")</f>
        <v/>
      </c>
      <c r="F1146" s="21" t="str">
        <f aca="false">IF(OR(E1146="",E1146="!!!"),"",IF(NOT(ISNA(VLOOKUP(E1146,E$1:E1145,1,FALSE()))),"OLD",IF(AND(E1146&lt;&gt;"",E1146&lt;&gt;"!!!"),"NEW","")))</f>
        <v/>
      </c>
      <c r="G1146" s="22" t="str">
        <f aca="false"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aca="false">IF(J1146&lt;&gt;1,"",IF(I1146="SBJ","CB","?"))</f>
        <v/>
      </c>
      <c r="I1146" s="24" t="str">
        <f aca="false">IF(OR(E1146="",E1146="!!!",F1146="NEW"),"",INDEX(B$2:B1145,-1+SUMPRODUCT(MAX(ROW(E$2:E1145)*(E1146=E$2:E1145)))))</f>
        <v/>
      </c>
      <c r="J1146" s="24" t="str">
        <f aca="true">IF(OR(E1146="",E1146="!!!",F1146="NEW"),"",COUNTBLANK(OFFSET(A$1,,,SUMPRODUCT(MAX(ROW(E$2:E1146)*(E1146=E$2:E1146)))))-COUNTBLANK(OFFSET(A$1,,,SUMPRODUCT(MAX(ROW(E$1:E1145)*(E2=E$1:E1145))))))</f>
        <v/>
      </c>
      <c r="K1146" s="24" t="str">
        <f aca="false">IF(OR(E1146="",E1146="!!!",F1146="NEW"),"",INDEX(J$1:J1145,SUMPRODUCT(MAX(ROW(E$1:E1145)*(E1146=E$1:E1145)))))</f>
        <v/>
      </c>
      <c r="L1146" s="25"/>
    </row>
    <row r="1147" customFormat="false" ht="14.25" hidden="false" customHeight="false" outlineLevel="0" collapsed="false">
      <c r="A1147" s="0" t="s">
        <v>739</v>
      </c>
      <c r="B1147" s="26" t="s">
        <v>147</v>
      </c>
      <c r="C1147" s="26" t="s">
        <v>88</v>
      </c>
      <c r="D1147" s="26" t="s">
        <v>75</v>
      </c>
      <c r="E1147" s="20"/>
      <c r="F1147" s="21" t="str">
        <f aca="false">IF(OR(E1147="",E1147="!!!"),"",IF(NOT(ISNA(VLOOKUP(E1147,E$1:E1146,1,FALSE()))),"OLD",IF(AND(E1147&lt;&gt;"",E1147&lt;&gt;"!!!"),"NEW","")))</f>
        <v/>
      </c>
      <c r="G1147" s="22" t="str">
        <f aca="false"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aca="false">IF(J1147&lt;&gt;1,"",IF(I1147="SBJ","CB","?"))</f>
        <v/>
      </c>
      <c r="I1147" s="24" t="str">
        <f aca="false">IF(OR(E1147="",E1147="!!!",F1147="NEW"),"",INDEX(B$2:B1146,-1+SUMPRODUCT(MAX(ROW(E$2:E1146)*(E1147=E$2:E1146)))))</f>
        <v/>
      </c>
      <c r="J1147" s="24" t="str">
        <f aca="true">IF(OR(E1147="",E1147="!!!",F1147="NEW"),"",COUNTBLANK(OFFSET(A$1,,,SUMPRODUCT(MAX(ROW(E$2:E1147)*(E1147=E$2:E1147)))))-COUNTBLANK(OFFSET(A$1,,,SUMPRODUCT(MAX(ROW(E$1:E1146)*(E2=E$1:E1146))))))</f>
        <v/>
      </c>
      <c r="K1147" s="24" t="str">
        <f aca="false">IF(OR(E1147="",E1147="!!!",F1147="NEW"),"",INDEX(J$1:J1146,SUMPRODUCT(MAX(ROW(E$1:E1146)*(E1147=E$1:E1146)))))</f>
        <v/>
      </c>
      <c r="L1147" s="27" t="s">
        <v>541</v>
      </c>
    </row>
    <row r="1148" customFormat="false" ht="14.25" hidden="false" customHeight="false" outlineLevel="0" collapsed="false">
      <c r="A1148" s="0" t="s">
        <v>86</v>
      </c>
      <c r="E1148" s="20" t="str">
        <f aca="false">IF(D1148="?OLD","!!!","")</f>
        <v/>
      </c>
      <c r="F1148" s="21" t="str">
        <f aca="false">IF(OR(E1148="",E1148="!!!"),"",IF(NOT(ISNA(VLOOKUP(E1148,E$1:E1147,1,FALSE()))),"OLD",IF(AND(E1148&lt;&gt;"",E1148&lt;&gt;"!!!"),"NEW","")))</f>
        <v/>
      </c>
      <c r="G1148" s="22" t="str">
        <f aca="false"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aca="false">IF(J1148&lt;&gt;1,"",IF(I1148="SBJ","CB","?"))</f>
        <v/>
      </c>
      <c r="I1148" s="24" t="str">
        <f aca="false">IF(OR(E1148="",E1148="!!!",F1148="NEW"),"",INDEX(B$2:B1147,-1+SUMPRODUCT(MAX(ROW(E$2:E1147)*(E1148=E$2:E1147)))))</f>
        <v/>
      </c>
      <c r="J1148" s="24" t="str">
        <f aca="true">IF(OR(E1148="",E1148="!!!",F1148="NEW"),"",COUNTBLANK(OFFSET(A$1,,,SUMPRODUCT(MAX(ROW(E$2:E1148)*(E1148=E$2:E1148)))))-COUNTBLANK(OFFSET(A$1,,,SUMPRODUCT(MAX(ROW(E$1:E1147)*(E2=E$1:E1147))))))</f>
        <v/>
      </c>
      <c r="K1148" s="24" t="str">
        <f aca="false">IF(OR(E1148="",E1148="!!!",F1148="NEW"),"",INDEX(J$1:J1147,SUMPRODUCT(MAX(ROW(E$1:E1147)*(E1148=E$1:E1147)))))</f>
        <v/>
      </c>
      <c r="L1148" s="25"/>
    </row>
    <row r="1150" customFormat="false" ht="14.25" hidden="false" customHeight="false" outlineLevel="0" collapsed="false">
      <c r="A1150" s="0" t="s">
        <v>401</v>
      </c>
      <c r="E1150" s="20" t="str">
        <f aca="false">IF(D1150="?OLD","!!!","")</f>
        <v/>
      </c>
      <c r="F1150" s="21" t="str">
        <f aca="false">IF(OR(E1150="",E1150="!!!"),"",IF(NOT(ISNA(VLOOKUP(E1150,E$1:E1149,1,FALSE()))),"OLD",IF(AND(E1150&lt;&gt;"",E1150&lt;&gt;"!!!"),"NEW","")))</f>
        <v/>
      </c>
      <c r="G1150" s="22" t="str">
        <f aca="false"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3" t="str">
        <f aca="false">IF(J1150&lt;&gt;1,"",IF(I1150="SBJ","CB","?"))</f>
        <v/>
      </c>
      <c r="I1150" s="24" t="str">
        <f aca="false">IF(OR(E1150="",E1150="!!!",F1150="NEW"),"",INDEX(B$2:B1149,-1+SUMPRODUCT(MAX(ROW(E$2:E1149)*(E1150=E$2:E1149)))))</f>
        <v/>
      </c>
      <c r="J1150" s="24" t="str">
        <f aca="true">IF(OR(E1150="",E1150="!!!",F1150="NEW"),"",COUNTBLANK(OFFSET(A$1,,,SUMPRODUCT(MAX(ROW(E$2:E1150)*(E1150=E$2:E1150)))))-COUNTBLANK(OFFSET(A$1,,,SUMPRODUCT(MAX(ROW(E$1:E1149)*(E2=E$1:E1149))))))</f>
        <v/>
      </c>
      <c r="K1150" s="24" t="str">
        <f aca="false">IF(OR(E1150="",E1150="!!!",F1150="NEW"),"",INDEX(J$1:J1149,SUMPRODUCT(MAX(ROW(E$1:E1149)*(E1150=E$1:E1149)))))</f>
        <v/>
      </c>
      <c r="L1150" s="25"/>
    </row>
    <row r="1151" customFormat="false" ht="14.25" hidden="false" customHeight="false" outlineLevel="0" collapsed="false">
      <c r="A1151" s="0" t="s">
        <v>776</v>
      </c>
    </row>
    <row r="1152" customFormat="false" ht="14.25" hidden="false" customHeight="false" outlineLevel="0" collapsed="false">
      <c r="A1152" s="0" t="s">
        <v>741</v>
      </c>
      <c r="E1152" s="20" t="str">
        <f aca="false">IF(D1152="?OLD","!!!","")</f>
        <v/>
      </c>
      <c r="F1152" s="21" t="str">
        <f aca="false">IF(OR(E1152="",E1152="!!!"),"",IF(NOT(ISNA(VLOOKUP(E1152,E$1:E1151,1,FALSE()))),"OLD",IF(AND(E1152&lt;&gt;"",E1152&lt;&gt;"!!!"),"NEW","")))</f>
        <v/>
      </c>
      <c r="G1152" s="22" t="str">
        <f aca="false"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aca="false">IF(J1152&lt;&gt;1,"",IF(I1152="SBJ","CB","?"))</f>
        <v/>
      </c>
      <c r="I1152" s="24" t="str">
        <f aca="false">IF(OR(E1152="",E1152="!!!",F1152="NEW"),"",INDEX(B$2:B1151,-1+SUMPRODUCT(MAX(ROW(E$2:E1151)*(E1152=E$2:E1151)))))</f>
        <v/>
      </c>
      <c r="J1152" s="24" t="str">
        <f aca="true">IF(OR(E1152="",E1152="!!!",F1152="NEW"),"",COUNTBLANK(OFFSET(A$1,,,SUMPRODUCT(MAX(ROW(E$2:E1152)*(E1152=E$2:E1152)))))-COUNTBLANK(OFFSET(A$1,,,SUMPRODUCT(MAX(ROW(E$1:E1151)*(E2=E$1:E1151))))))</f>
        <v/>
      </c>
      <c r="K1152" s="24" t="str">
        <f aca="false">IF(OR(E1152="",E1152="!!!",F1152="NEW"),"",INDEX(J$1:J1151,SUMPRODUCT(MAX(ROW(E$1:E1151)*(E1152=E$1:E1151)))))</f>
        <v/>
      </c>
      <c r="L1152" s="25"/>
    </row>
    <row r="1153" customFormat="false" ht="14.25" hidden="false" customHeight="false" outlineLevel="0" collapsed="false">
      <c r="A1153" s="0" t="s">
        <v>559</v>
      </c>
      <c r="B1153" s="26" t="s">
        <v>73</v>
      </c>
      <c r="C1153" s="26" t="s">
        <v>283</v>
      </c>
      <c r="D1153" s="26" t="s">
        <v>75</v>
      </c>
      <c r="E1153" s="20" t="s">
        <v>777</v>
      </c>
      <c r="F1153" s="21" t="str">
        <f aca="false">IF(OR(E1153="",E1153="!!!"),"",IF(NOT(ISNA(VLOOKUP(E1153,E$1:E1152,1,FALSE()))),"OLD",IF(AND(E1153&lt;&gt;"",E1153&lt;&gt;"!!!"),"NEW","")))</f>
        <v>NEW</v>
      </c>
      <c r="G1153" s="22" t="str">
        <f aca="false"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?REFERENTIAL</v>
      </c>
      <c r="H1153" s="23" t="str">
        <f aca="false">IF(J1153&lt;&gt;1,"",IF(I1153="SBJ","CB","?"))</f>
        <v/>
      </c>
      <c r="I1153" s="24" t="str">
        <f aca="false">IF(OR(E1153="",E1153="!!!",F1153="NEW"),"",INDEX(B$2:B1152,-1+SUMPRODUCT(MAX(ROW(E$2:E1152)*(E1153=E$2:E1152)))))</f>
        <v/>
      </c>
      <c r="J1153" s="24" t="str">
        <f aca="true">IF(OR(E1153="",E1153="!!!",F1153="NEW"),"",COUNTBLANK(OFFSET(A$1,,,SUMPRODUCT(MAX(ROW(E$2:E1153)*(E1153=E$2:E1153)))))-COUNTBLANK(OFFSET(A$1,,,SUMPRODUCT(MAX(ROW(E$1:E1152)*(E2=E$1:E1152))))))</f>
        <v/>
      </c>
      <c r="K1153" s="24" t="str">
        <f aca="false">IF(OR(E1153="",E1153="!!!",F1153="NEW"),"",INDEX(J$1:J1152,SUMPRODUCT(MAX(ROW(E$1:E1152)*(E1153=E$1:E1152)))))</f>
        <v/>
      </c>
      <c r="L1153" s="25"/>
    </row>
    <row r="1154" customFormat="false" ht="14.25" hidden="false" customHeight="false" outlineLevel="0" collapsed="false">
      <c r="A1154" s="0" t="s">
        <v>743</v>
      </c>
      <c r="E1154" s="20" t="str">
        <f aca="false">IF(D1154="?OLD","!!!","")</f>
        <v/>
      </c>
      <c r="F1154" s="21" t="str">
        <f aca="false">IF(OR(E1154="",E1154="!!!"),"",IF(NOT(ISNA(VLOOKUP(E1154,E$1:E1153,1,FALSE()))),"OLD",IF(AND(E1154&lt;&gt;"",E1154&lt;&gt;"!!!"),"NEW","")))</f>
        <v/>
      </c>
      <c r="G1154" s="22" t="str">
        <f aca="false"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aca="false">IF(J1154&lt;&gt;1,"",IF(I1154="SBJ","CB","?"))</f>
        <v/>
      </c>
      <c r="I1154" s="24" t="str">
        <f aca="false">IF(OR(E1154="",E1154="!!!",F1154="NEW"),"",INDEX(B$2:B1153,-1+SUMPRODUCT(MAX(ROW(E$2:E1153)*(E1154=E$2:E1153)))))</f>
        <v/>
      </c>
      <c r="J1154" s="24" t="str">
        <f aca="true">IF(OR(E1154="",E1154="!!!",F1154="NEW"),"",COUNTBLANK(OFFSET(A$1,,,SUMPRODUCT(MAX(ROW(E$2:E1154)*(E1154=E$2:E1154)))))-COUNTBLANK(OFFSET(A$1,,,SUMPRODUCT(MAX(ROW(E$1:E1153)*(E2=E$1:E1153))))))</f>
        <v/>
      </c>
      <c r="K1154" s="24" t="str">
        <f aca="false">IF(OR(E1154="",E1154="!!!",F1154="NEW"),"",INDEX(J$1:J1153,SUMPRODUCT(MAX(ROW(E$1:E1153)*(E1154=E$1:E1153)))))</f>
        <v/>
      </c>
      <c r="L1154" s="25"/>
    </row>
    <row r="1155" customFormat="false" ht="14.25" hidden="false" customHeight="false" outlineLevel="0" collapsed="false">
      <c r="A1155" s="0" t="s">
        <v>78</v>
      </c>
      <c r="E1155" s="20" t="str">
        <f aca="false">IF(D1155="?OLD","!!!","")</f>
        <v/>
      </c>
      <c r="F1155" s="21" t="str">
        <f aca="false">IF(OR(E1155="",E1155="!!!"),"",IF(NOT(ISNA(VLOOKUP(E1155,E$1:E1154,1,FALSE()))),"OLD",IF(AND(E1155&lt;&gt;"",E1155&lt;&gt;"!!!"),"NEW","")))</f>
        <v/>
      </c>
      <c r="G1155" s="22" t="str">
        <f aca="false"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aca="false">IF(J1155&lt;&gt;1,"",IF(I1155="SBJ","CB","?"))</f>
        <v/>
      </c>
      <c r="I1155" s="24" t="str">
        <f aca="false">IF(OR(E1155="",E1155="!!!",F1155="NEW"),"",INDEX(B$2:B1154,-1+SUMPRODUCT(MAX(ROW(E$2:E1154)*(E1155=E$2:E1154)))))</f>
        <v/>
      </c>
      <c r="J1155" s="24" t="str">
        <f aca="true">IF(OR(E1155="",E1155="!!!",F1155="NEW"),"",COUNTBLANK(OFFSET(A$1,,,SUMPRODUCT(MAX(ROW(E$2:E1155)*(E1155=E$2:E1155)))))-COUNTBLANK(OFFSET(A$1,,,SUMPRODUCT(MAX(ROW(E$1:E1154)*(E2=E$1:E1154))))))</f>
        <v/>
      </c>
      <c r="K1155" s="24" t="str">
        <f aca="false">IF(OR(E1155="",E1155="!!!",F1155="NEW"),"",INDEX(J$1:J1154,SUMPRODUCT(MAX(ROW(E$1:E1154)*(E1155=E$1:E1154)))))</f>
        <v/>
      </c>
      <c r="L1155" s="25"/>
    </row>
    <row r="1156" customFormat="false" ht="14.25" hidden="false" customHeight="false" outlineLevel="0" collapsed="false">
      <c r="A1156" s="0" t="s">
        <v>778</v>
      </c>
      <c r="B1156" s="26" t="s">
        <v>73</v>
      </c>
      <c r="C1156" s="26" t="s">
        <v>88</v>
      </c>
      <c r="D1156" s="26" t="s">
        <v>75</v>
      </c>
      <c r="E1156" s="20" t="s">
        <v>770</v>
      </c>
      <c r="F1156" s="21" t="str">
        <f aca="false">IF(OR(E1156="",E1156="!!!"),"",IF(NOT(ISNA(VLOOKUP(E1156,E$1:E1155,1,FALSE()))),"OLD",IF(AND(E1156&lt;&gt;"",E1156&lt;&gt;"!!!"),"NEW","")))</f>
        <v>OLD</v>
      </c>
      <c r="G1156" s="22" t="str">
        <f aca="false"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?IN_FOCUS</v>
      </c>
      <c r="H1156" s="23" t="str">
        <f aca="false">IF(J1156&lt;&gt;1,"",IF(I1156="SBJ","CB","?"))</f>
        <v/>
      </c>
      <c r="I1156" s="24" t="str">
        <f aca="false">IF(OR(E1156="",E1156="!!!",F1156="NEW"),"",INDEX(B$2:B1155,-1+SUMPRODUCT(MAX(ROW(E$2:E1155)*(E1156=E$2:E1155)))))</f>
        <v>SBJ_2</v>
      </c>
      <c r="J1156" s="24" t="n">
        <f aca="true">IF(OR(E1156="",E1156="!!!",F1156="NEW"),"",COUNTBLANK(OFFSET(A$1,,,SUMPRODUCT(MAX(ROW(E$2:E1156)*(E1156=E$2:E1156)))))-COUNTBLANK(OFFSET(A$1,,,SUMPRODUCT(MAX(ROW(E$1:E1155)*(E2=E$1:E1155))))))</f>
        <v>0</v>
      </c>
      <c r="K1156" s="24" t="n">
        <f aca="false">IF(OR(E1156="",E1156="!!!",F1156="NEW"),"",INDEX(J$1:J1155,SUMPRODUCT(MAX(ROW(E$1:E1155)*(E1156=E$1:E1155)))))</f>
        <v>0</v>
      </c>
      <c r="L1156" s="25"/>
    </row>
    <row r="1157" customFormat="false" ht="14.25" hidden="false" customHeight="false" outlineLevel="0" collapsed="false">
      <c r="A1157" s="0" t="s">
        <v>112</v>
      </c>
      <c r="E1157" s="20" t="str">
        <f aca="false">IF(D1157="?OLD","!!!","")</f>
        <v/>
      </c>
      <c r="F1157" s="21" t="str">
        <f aca="false">IF(OR(E1157="",E1157="!!!"),"",IF(NOT(ISNA(VLOOKUP(E1157,E$1:E1156,1,FALSE()))),"OLD",IF(AND(E1157&lt;&gt;"",E1157&lt;&gt;"!!!"),"NEW","")))</f>
        <v/>
      </c>
      <c r="G1157" s="22" t="str">
        <f aca="false"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aca="false">IF(J1157&lt;&gt;1,"",IF(I1157="SBJ","CB","?"))</f>
        <v/>
      </c>
      <c r="I1157" s="24" t="str">
        <f aca="false">IF(OR(E1157="",E1157="!!!",F1157="NEW"),"",INDEX(B$2:B1156,-1+SUMPRODUCT(MAX(ROW(E$2:E1156)*(E1157=E$2:E1156)))))</f>
        <v/>
      </c>
      <c r="J1157" s="24" t="str">
        <f aca="true">IF(OR(E1157="",E1157="!!!",F1157="NEW"),"",COUNTBLANK(OFFSET(A$1,,,SUMPRODUCT(MAX(ROW(E$2:E1157)*(E1157=E$2:E1157)))))-COUNTBLANK(OFFSET(A$1,,,SUMPRODUCT(MAX(ROW(E$1:E1156)*(E2=E$1:E1156))))))</f>
        <v/>
      </c>
      <c r="K1157" s="24" t="str">
        <f aca="false">IF(OR(E1157="",E1157="!!!",F1157="NEW"),"",INDEX(J$1:J1156,SUMPRODUCT(MAX(ROW(E$1:E1156)*(E1157=E$1:E1156)))))</f>
        <v/>
      </c>
      <c r="L1157" s="25"/>
    </row>
    <row r="1158" customFormat="false" ht="14.25" hidden="false" customHeight="false" outlineLevel="0" collapsed="false">
      <c r="A1158" s="0" t="s">
        <v>779</v>
      </c>
      <c r="E1158" s="20" t="s">
        <v>780</v>
      </c>
      <c r="F1158" s="21" t="s">
        <v>273</v>
      </c>
      <c r="G1158" s="22" t="e">
        <f aca="false"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#VALUE!</v>
      </c>
      <c r="H1158" s="23" t="str">
        <f aca="false">IF(J1158&lt;&gt;1,"",IF(I1158="SBJ","CB","?"))</f>
        <v/>
      </c>
      <c r="I1158" s="24" t="e">
        <f aca="false">IF(OR(E1158="",E1158="!!!",F1158="NEW"),"",INDEX(B$2:B1157,-1+SUMPRODUCT(MAX(ROW(E$2:E1157)*(E1158=E$2:E1157)))))</f>
        <v>#VALUE!</v>
      </c>
      <c r="J1158" s="24" t="n">
        <f aca="true">IF(OR(E1158="",E1158="!!!",F1158="NEW"),"",COUNTBLANK(OFFSET(A$1,,,SUMPRODUCT(MAX(ROW(E$2:E1158)*(E1158=E$2:E1158)))))-COUNTBLANK(OFFSET(A$1,,,SUMPRODUCT(MAX(ROW(E$1:E1157)*(E2=E$1:E1157))))))</f>
        <v>0</v>
      </c>
      <c r="K1158" s="24" t="e">
        <f aca="false">IF(OR(E1158="",E1158="!!!",F1158="NEW"),"",INDEX(J$1:J1157,SUMPRODUCT(MAX(ROW(E$1:E1157)*(E1158=E$1:E1157)))))</f>
        <v>#VALUE!</v>
      </c>
      <c r="L1158" s="25"/>
    </row>
    <row r="1159" customFormat="false" ht="14.25" hidden="false" customHeight="false" outlineLevel="0" collapsed="false">
      <c r="A1159" s="0" t="s">
        <v>79</v>
      </c>
      <c r="E1159" s="20"/>
      <c r="F1159" s="21" t="str">
        <f aca="false">IF(OR(E1159="",E1159="!!!"),"",IF(NOT(ISNA(VLOOKUP(E1159,E$1:E1158,1,FALSE()))),"OLD",IF(AND(E1159&lt;&gt;"",E1159&lt;&gt;"!!!"),"NEW","")))</f>
        <v/>
      </c>
      <c r="G1159" s="22" t="str">
        <f aca="false"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3" t="str">
        <f aca="false">IF(J1159&lt;&gt;1,"",IF(I1159="SBJ","CB","?"))</f>
        <v/>
      </c>
      <c r="I1159" s="24" t="str">
        <f aca="false">IF(OR(E1159="",E1159="!!!",F1159="NEW"),"",INDEX(B$2:B1158,-1+SUMPRODUCT(MAX(ROW(E$2:E1158)*(E1159=E$2:E1158)))))</f>
        <v/>
      </c>
      <c r="J1159" s="24" t="str">
        <f aca="true">IF(OR(E1159="",E1159="!!!",F1159="NEW"),"",COUNTBLANK(OFFSET(A$1,,,SUMPRODUCT(MAX(ROW(E$2:E1159)*(E1159=E$2:E1159)))))-COUNTBLANK(OFFSET(A$1,,,SUMPRODUCT(MAX(ROW(E$1:E1158)*(E2=E$1:E1158))))))</f>
        <v/>
      </c>
      <c r="K1159" s="24" t="str">
        <f aca="false">IF(OR(E1159="",E1159="!!!",F1159="NEW"),"",INDEX(J$1:J1158,SUMPRODUCT(MAX(ROW(E$1:E1158)*(E1159=E$1:E1158)))))</f>
        <v/>
      </c>
      <c r="L1159" s="25"/>
    </row>
    <row r="1160" customFormat="false" ht="14.25" hidden="false" customHeight="false" outlineLevel="0" collapsed="false">
      <c r="A1160" s="0" t="s">
        <v>188</v>
      </c>
      <c r="E1160" s="20" t="str">
        <f aca="false">IF(D1160="?OLD","!!!","")</f>
        <v/>
      </c>
      <c r="F1160" s="21" t="str">
        <f aca="false">IF(OR(E1160="",E1160="!!!"),"",IF(NOT(ISNA(VLOOKUP(E1160,E$1:E1159,1,FALSE()))),"OLD",IF(AND(E1160&lt;&gt;"",E1160&lt;&gt;"!!!"),"NEW","")))</f>
        <v/>
      </c>
      <c r="G1160" s="22" t="str">
        <f aca="false"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aca="false">IF(J1160&lt;&gt;1,"",IF(I1160="SBJ","CB","?"))</f>
        <v/>
      </c>
      <c r="I1160" s="24" t="str">
        <f aca="false">IF(OR(E1160="",E1160="!!!",F1160="NEW"),"",INDEX(B$2:B1159,-1+SUMPRODUCT(MAX(ROW(E$2:E1159)*(E1160=E$2:E1159)))))</f>
        <v/>
      </c>
      <c r="J1160" s="24" t="str">
        <f aca="true">IF(OR(E1160="",E1160="!!!",F1160="NEW"),"",COUNTBLANK(OFFSET(A$1,,,SUMPRODUCT(MAX(ROW(E$2:E1160)*(E1160=E$2:E1160)))))-COUNTBLANK(OFFSET(A$1,,,SUMPRODUCT(MAX(ROW(E$1:E1159)*(E2=E$1:E1159))))))</f>
        <v/>
      </c>
      <c r="K1160" s="24" t="str">
        <f aca="false">IF(OR(E1160="",E1160="!!!",F1160="NEW"),"",INDEX(J$1:J1159,SUMPRODUCT(MAX(ROW(E$1:E1159)*(E1160=E$1:E1159)))))</f>
        <v/>
      </c>
      <c r="L1160" s="25"/>
    </row>
    <row r="1161" customFormat="false" ht="14.25" hidden="false" customHeight="false" outlineLevel="0" collapsed="false">
      <c r="A1161" s="0" t="s">
        <v>781</v>
      </c>
      <c r="B1161" s="26" t="s">
        <v>115</v>
      </c>
      <c r="C1161" s="26" t="s">
        <v>283</v>
      </c>
      <c r="D1161" s="26" t="s">
        <v>75</v>
      </c>
      <c r="E1161" s="20" t="s">
        <v>582</v>
      </c>
      <c r="F1161" s="21" t="str">
        <f aca="false">IF(OR(E1161="",E1161="!!!"),"",IF(NOT(ISNA(VLOOKUP(E1161,E$1:E1160,1,FALSE()))),"OLD",IF(AND(E1161&lt;&gt;"",E1161&lt;&gt;"!!!"),"NEW","")))</f>
        <v>OLD</v>
      </c>
      <c r="G1161" s="22" t="str">
        <f aca="false"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?IN_FOCUS</v>
      </c>
      <c r="H1161" s="23" t="str">
        <f aca="false">IF(J1161&lt;&gt;1,"",IF(I1161="SBJ","CB","?"))</f>
        <v/>
      </c>
      <c r="I1161" s="24" t="str">
        <f aca="false">IF(OR(E1161="",E1161="!!!",F1161="NEW"),"",INDEX(B$2:B1160,-1+SUMPRODUCT(MAX(ROW(E$2:E1160)*(E1161=E$2:E1160)))))</f>
        <v>other_4</v>
      </c>
      <c r="J1161" s="24" t="n">
        <f aca="true">IF(OR(E1161="",E1161="!!!",F1161="NEW"),"",COUNTBLANK(OFFSET(A$1,,,SUMPRODUCT(MAX(ROW(E$2:E1161)*(E1161=E$2:E1161)))))-COUNTBLANK(OFFSET(A$1,,,SUMPRODUCT(MAX(ROW(E$1:E1160)*(E2=E$1:E1160))))))</f>
        <v>0</v>
      </c>
      <c r="K1161" s="24" t="str">
        <f aca="false">IF(OR(E1161="",E1161="!!!",F1161="NEW"),"",INDEX(J$1:J1160,SUMPRODUCT(MAX(ROW(E$1:E1160)*(E1161=E$1:E1160)))))</f>
        <v/>
      </c>
      <c r="L1161" s="25"/>
    </row>
    <row r="1162" customFormat="false" ht="14.25" hidden="false" customHeight="false" outlineLevel="0" collapsed="false">
      <c r="A1162" s="0" t="s">
        <v>142</v>
      </c>
      <c r="E1162" s="20" t="str">
        <f aca="false">IF(D1162="?OLD","!!!","")</f>
        <v/>
      </c>
      <c r="F1162" s="21" t="str">
        <f aca="false">IF(OR(E1162="",E1162="!!!"),"",IF(NOT(ISNA(VLOOKUP(E1162,E$1:E1161,1,FALSE()))),"OLD",IF(AND(E1162&lt;&gt;"",E1162&lt;&gt;"!!!"),"NEW","")))</f>
        <v/>
      </c>
      <c r="G1162" s="22" t="str">
        <f aca="false"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aca="false">IF(J1162&lt;&gt;1,"",IF(I1162="SBJ","CB","?"))</f>
        <v/>
      </c>
      <c r="I1162" s="24" t="str">
        <f aca="false">IF(OR(E1162="",E1162="!!!",F1162="NEW"),"",INDEX(B$2:B1161,-1+SUMPRODUCT(MAX(ROW(E$2:E1161)*(E1162=E$2:E1161)))))</f>
        <v/>
      </c>
      <c r="J1162" s="24" t="str">
        <f aca="true">IF(OR(E1162="",E1162="!!!",F1162="NEW"),"",COUNTBLANK(OFFSET(A$1,,,SUMPRODUCT(MAX(ROW(E$2:E1162)*(E1162=E$2:E1162)))))-COUNTBLANK(OFFSET(A$1,,,SUMPRODUCT(MAX(ROW(E$1:E1161)*(E2=E$1:E1161))))))</f>
        <v/>
      </c>
      <c r="K1162" s="24" t="str">
        <f aca="false">IF(OR(E1162="",E1162="!!!",F1162="NEW"),"",INDEX(J$1:J1161,SUMPRODUCT(MAX(ROW(E$1:E1161)*(E1162=E$1:E1161)))))</f>
        <v/>
      </c>
      <c r="L1162" s="25"/>
    </row>
    <row r="1163" customFormat="false" ht="14.25" hidden="false" customHeight="false" outlineLevel="0" collapsed="false">
      <c r="A1163" s="0" t="s">
        <v>112</v>
      </c>
      <c r="B1163" s="26" t="s">
        <v>258</v>
      </c>
      <c r="C1163" s="26" t="s">
        <v>209</v>
      </c>
      <c r="D1163" s="26" t="s">
        <v>75</v>
      </c>
      <c r="E1163" s="20"/>
      <c r="F1163" s="21" t="str">
        <f aca="false">IF(OR(E1163="",E1163="!!!"),"",IF(NOT(ISNA(VLOOKUP(E1163,E$1:E1162,1,FALSE()))),"OLD",IF(AND(E1163&lt;&gt;"",E1163&lt;&gt;"!!!"),"NEW","")))</f>
        <v/>
      </c>
      <c r="G1163" s="22" t="str">
        <f aca="false"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aca="false">IF(J1163&lt;&gt;1,"",IF(I1163="SBJ","CB","?"))</f>
        <v/>
      </c>
      <c r="I1163" s="24" t="str">
        <f aca="false">IF(OR(E1163="",E1163="!!!",F1163="NEW"),"",INDEX(B$2:B1162,-1+SUMPRODUCT(MAX(ROW(E$2:E1162)*(E1163=E$2:E1162)))))</f>
        <v/>
      </c>
      <c r="J1163" s="24" t="str">
        <f aca="true">IF(OR(E1163="",E1163="!!!",F1163="NEW"),"",COUNTBLANK(OFFSET(A$1,,,SUMPRODUCT(MAX(ROW(E$2:E1163)*(E1163=E$2:E1163)))))-COUNTBLANK(OFFSET(A$1,,,SUMPRODUCT(MAX(ROW(E$1:E1162)*(E2=E$1:E1162))))))</f>
        <v/>
      </c>
      <c r="K1163" s="24" t="str">
        <f aca="false">IF(OR(E1163="",E1163="!!!",F1163="NEW"),"",INDEX(J$1:J1162,SUMPRODUCT(MAX(ROW(E$1:E1162)*(E1163=E$1:E1162)))))</f>
        <v/>
      </c>
      <c r="L1163" s="27" t="s">
        <v>541</v>
      </c>
    </row>
    <row r="1164" customFormat="false" ht="14.25" hidden="false" customHeight="false" outlineLevel="0" collapsed="false">
      <c r="A1164" s="0" t="s">
        <v>782</v>
      </c>
      <c r="E1164" s="20" t="s">
        <v>780</v>
      </c>
      <c r="F1164" s="21" t="str">
        <f aca="false">IF(OR(E1164="",E1164="!!!"),"",IF(NOT(ISNA(VLOOKUP(E1164,E$1:E1163,1,FALSE()))),"OLD",IF(AND(E1164&lt;&gt;"",E1164&lt;&gt;"!!!"),"NEW","")))</f>
        <v>OLD</v>
      </c>
      <c r="G1164" s="22" t="str">
        <f aca="false"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?IN_FOCUS</v>
      </c>
      <c r="H1164" s="23" t="str">
        <f aca="false">IF(J1164&lt;&gt;1,"",IF(I1164="SBJ","CB","?"))</f>
        <v/>
      </c>
      <c r="I1164" s="24" t="n">
        <f aca="false">IF(OR(E1164="",E1164="!!!",F1164="NEW"),"",INDEX(B$2:B1163,-1+SUMPRODUCT(MAX(ROW(E$2:E1163)*(E1164=E$2:E1163)))))</f>
        <v>0</v>
      </c>
      <c r="J1164" s="24" t="n">
        <f aca="true">IF(OR(E1164="",E1164="!!!",F1164="NEW"),"",COUNTBLANK(OFFSET(A$1,,,SUMPRODUCT(MAX(ROW(E$2:E1164)*(E1164=E$2:E1164)))))-COUNTBLANK(OFFSET(A$1,,,SUMPRODUCT(MAX(ROW(E$1:E1163)*(E2=E$1:E1163))))))</f>
        <v>0</v>
      </c>
      <c r="K1164" s="24" t="n">
        <f aca="false">IF(OR(E1164="",E1164="!!!",F1164="NEW"),"",INDEX(J$1:J1163,SUMPRODUCT(MAX(ROW(E$1:E1163)*(E1164=E$1:E1163)))))</f>
        <v>0</v>
      </c>
      <c r="L1164" s="25"/>
    </row>
    <row r="1165" customFormat="false" ht="14.25" hidden="false" customHeight="false" outlineLevel="0" collapsed="false">
      <c r="A1165" s="0" t="s">
        <v>79</v>
      </c>
      <c r="E1165" s="20" t="str">
        <f aca="false">IF(D1165="?OLD","!!!","")</f>
        <v/>
      </c>
      <c r="F1165" s="21" t="str">
        <f aca="false">IF(OR(E1165="",E1165="!!!"),"",IF(NOT(ISNA(VLOOKUP(E1165,E$1:E1164,1,FALSE()))),"OLD",IF(AND(E1165&lt;&gt;"",E1165&lt;&gt;"!!!"),"NEW","")))</f>
        <v/>
      </c>
      <c r="G1165" s="22" t="str">
        <f aca="false"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3" t="str">
        <f aca="false">IF(J1165&lt;&gt;1,"",IF(I1165="SBJ","CB","?"))</f>
        <v/>
      </c>
      <c r="I1165" s="24" t="str">
        <f aca="false">IF(OR(E1165="",E1165="!!!",F1165="NEW"),"",INDEX(B$2:B1164,-1+SUMPRODUCT(MAX(ROW(E$2:E1164)*(E1165=E$2:E1164)))))</f>
        <v/>
      </c>
      <c r="J1165" s="24" t="str">
        <f aca="true">IF(OR(E1165="",E1165="!!!",F1165="NEW"),"",COUNTBLANK(OFFSET(A$1,,,SUMPRODUCT(MAX(ROW(E$2:E1165)*(E1165=E$2:E1165)))))-COUNTBLANK(OFFSET(A$1,,,SUMPRODUCT(MAX(ROW(E$1:E1164)*(E2=E$1:E1164))))))</f>
        <v/>
      </c>
      <c r="K1165" s="24" t="str">
        <f aca="false">IF(OR(E1165="",E1165="!!!",F1165="NEW"),"",INDEX(J$1:J1164,SUMPRODUCT(MAX(ROW(E$1:E1164)*(E1165=E$1:E1164)))))</f>
        <v/>
      </c>
      <c r="L1165" s="25"/>
    </row>
    <row r="1166" customFormat="false" ht="14.25" hidden="false" customHeight="false" outlineLevel="0" collapsed="false">
      <c r="A1166" s="0" t="s">
        <v>112</v>
      </c>
      <c r="E1166" s="20" t="str">
        <f aca="false">IF(D1166="?OLD","!!!","")</f>
        <v/>
      </c>
      <c r="F1166" s="21" t="str">
        <f aca="false">IF(OR(E1166="",E1166="!!!"),"",IF(NOT(ISNA(VLOOKUP(E1166,E$1:E1165,1,FALSE()))),"OLD",IF(AND(E1166&lt;&gt;"",E1166&lt;&gt;"!!!"),"NEW","")))</f>
        <v/>
      </c>
      <c r="G1166" s="22" t="str">
        <f aca="false"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aca="false">IF(J1166&lt;&gt;1,"",IF(I1166="SBJ","CB","?"))</f>
        <v/>
      </c>
      <c r="I1166" s="24" t="str">
        <f aca="false">IF(OR(E1166="",E1166="!!!",F1166="NEW"),"",INDEX(B$2:B1165,-1+SUMPRODUCT(MAX(ROW(E$2:E1165)*(E1166=E$2:E1165)))))</f>
        <v/>
      </c>
      <c r="J1166" s="24" t="str">
        <f aca="true">IF(OR(E1166="",E1166="!!!",F1166="NEW"),"",COUNTBLANK(OFFSET(A$1,,,SUMPRODUCT(MAX(ROW(E$2:E1166)*(E1166=E$2:E1166)))))-COUNTBLANK(OFFSET(A$1,,,SUMPRODUCT(MAX(ROW(E$1:E1165)*(E2=E$1:E1165))))))</f>
        <v/>
      </c>
      <c r="K1166" s="24" t="str">
        <f aca="false">IF(OR(E1166="",E1166="!!!",F1166="NEW"),"",INDEX(J$1:J1165,SUMPRODUCT(MAX(ROW(E$1:E1165)*(E1166=E$1:E1165)))))</f>
        <v/>
      </c>
      <c r="L1166" s="25"/>
    </row>
    <row r="1167" customFormat="false" ht="14.25" hidden="false" customHeight="false" outlineLevel="0" collapsed="false">
      <c r="A1167" s="0" t="s">
        <v>72</v>
      </c>
      <c r="B1167" s="26" t="s">
        <v>115</v>
      </c>
      <c r="C1167" s="26" t="s">
        <v>74</v>
      </c>
      <c r="D1167" s="26" t="s">
        <v>75</v>
      </c>
      <c r="E1167" s="20" t="s">
        <v>76</v>
      </c>
      <c r="F1167" s="21" t="str">
        <f aca="false">IF(OR(E1167="",E1167="!!!"),"",IF(NOT(ISNA(VLOOKUP(E1167,E$1:E1166,1,FALSE()))),"OLD",IF(AND(E1167&lt;&gt;"",E1167&lt;&gt;"!!!"),"NEW","")))</f>
        <v>OLD</v>
      </c>
      <c r="G1167" s="22" t="str">
        <f aca="false"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?IN_FOCUS</v>
      </c>
      <c r="H1167" s="23" t="str">
        <f aca="false">IF(J1167&lt;&gt;1,"",IF(I1167="SBJ","CB","?"))</f>
        <v/>
      </c>
      <c r="I1167" s="24" t="str">
        <f aca="false">IF(OR(E1167="",E1167="!!!",F1167="NEW"),"",INDEX(B$2:B1166,-1+SUMPRODUCT(MAX(ROW(E$2:E1166)*(E1167=E$2:E1166)))))</f>
        <v>other_9</v>
      </c>
      <c r="J1167" s="24" t="n">
        <f aca="true">IF(OR(E1167="",E1167="!!!",F1167="NEW"),"",COUNTBLANK(OFFSET(A$1,,,SUMPRODUCT(MAX(ROW(E$2:E1167)*(E1167=E$2:E1167)))))-COUNTBLANK(OFFSET(A$1,,,SUMPRODUCT(MAX(ROW(E$1:E1166)*(E2=E$1:E1166))))))</f>
        <v>0</v>
      </c>
      <c r="K1167" s="24" t="n">
        <f aca="false">IF(OR(E1167="",E1167="!!!",F1167="NEW"),"",INDEX(J$1:J1166,SUMPRODUCT(MAX(ROW(E$1:E1166)*(E1167=E$1:E1166)))))</f>
        <v>0</v>
      </c>
      <c r="L1167" s="25"/>
    </row>
    <row r="1168" customFormat="false" ht="14.25" hidden="false" customHeight="false" outlineLevel="0" collapsed="false">
      <c r="A1168" s="0" t="s">
        <v>86</v>
      </c>
      <c r="E1168" s="20" t="str">
        <f aca="false">IF(D1168="?OLD","!!!","")</f>
        <v/>
      </c>
      <c r="F1168" s="21" t="str">
        <f aca="false">IF(OR(E1168="",E1168="!!!"),"",IF(NOT(ISNA(VLOOKUP(E1168,E$1:E1167,1,FALSE()))),"OLD",IF(AND(E1168&lt;&gt;"",E1168&lt;&gt;"!!!"),"NEW","")))</f>
        <v/>
      </c>
      <c r="G1168" s="22" t="str">
        <f aca="false"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3" t="str">
        <f aca="false">IF(J1168&lt;&gt;1,"",IF(I1168="SBJ","CB","?"))</f>
        <v/>
      </c>
      <c r="I1168" s="24" t="str">
        <f aca="false">IF(OR(E1168="",E1168="!!!",F1168="NEW"),"",INDEX(B$2:B1167,-1+SUMPRODUCT(MAX(ROW(E$2:E1167)*(E1168=E$2:E1167)))))</f>
        <v/>
      </c>
      <c r="J1168" s="24" t="str">
        <f aca="true">IF(OR(E1168="",E1168="!!!",F1168="NEW"),"",COUNTBLANK(OFFSET(A$1,,,SUMPRODUCT(MAX(ROW(E$2:E1168)*(E1168=E$2:E1168)))))-COUNTBLANK(OFFSET(A$1,,,SUMPRODUCT(MAX(ROW(E$1:E1167)*(E2=E$1:E1167))))))</f>
        <v/>
      </c>
      <c r="K1168" s="24" t="str">
        <f aca="false">IF(OR(E1168="",E1168="!!!",F1168="NEW"),"",INDEX(J$1:J1167,SUMPRODUCT(MAX(ROW(E$1:E1167)*(E1168=E$1:E1167)))))</f>
        <v/>
      </c>
      <c r="L1168" s="25"/>
    </row>
    <row r="1169" customFormat="false" ht="14.25" hidden="false" customHeight="false" outlineLevel="0" collapsed="false">
      <c r="A1169" s="0" t="s">
        <v>783</v>
      </c>
      <c r="B1169" s="26" t="s">
        <v>82</v>
      </c>
      <c r="C1169" s="26" t="s">
        <v>133</v>
      </c>
      <c r="D1169" s="26" t="s">
        <v>75</v>
      </c>
      <c r="E1169" s="20" t="s">
        <v>770</v>
      </c>
      <c r="F1169" s="21" t="str">
        <f aca="false">IF(OR(E1169="",E1169="!!!"),"",IF(NOT(ISNA(VLOOKUP(E1169,E$1:E1168,1,FALSE()))),"OLD",IF(AND(E1169&lt;&gt;"",E1169&lt;&gt;"!!!"),"NEW","")))</f>
        <v>OLD</v>
      </c>
      <c r="G1169" s="22" t="str">
        <f aca="false"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?IN_FOCUS</v>
      </c>
      <c r="H1169" s="23" t="str">
        <f aca="false">IF(J1169&lt;&gt;1,"",IF(I1169="SBJ","CB","?"))</f>
        <v/>
      </c>
      <c r="I1169" s="24" t="str">
        <f aca="false">IF(OR(E1169="",E1169="!!!",F1169="NEW"),"",INDEX(B$2:B1168,-1+SUMPRODUCT(MAX(ROW(E$2:E1168)*(E1169=E$2:E1168)))))</f>
        <v>SBJ</v>
      </c>
      <c r="J1169" s="24" t="n">
        <f aca="true">IF(OR(E1169="",E1169="!!!",F1169="NEW"),"",COUNTBLANK(OFFSET(A$1,,,SUMPRODUCT(MAX(ROW(E$2:E1169)*(E1169=E$2:E1169)))))-COUNTBLANK(OFFSET(A$1,,,SUMPRODUCT(MAX(ROW(E$1:E1168)*(E2=E$1:E1168))))))</f>
        <v>0</v>
      </c>
      <c r="K1169" s="24" t="n">
        <f aca="false">IF(OR(E1169="",E1169="!!!",F1169="NEW"),"",INDEX(J$1:J1168,SUMPRODUCT(MAX(ROW(E$1:E1168)*(E1169=E$1:E1168)))))</f>
        <v>0</v>
      </c>
      <c r="L1169" s="25"/>
    </row>
    <row r="1170" customFormat="false" ht="14.25" hidden="false" customHeight="false" outlineLevel="0" collapsed="false">
      <c r="A1170" s="0" t="s">
        <v>784</v>
      </c>
      <c r="B1170" s="26" t="s">
        <v>73</v>
      </c>
      <c r="C1170" s="26" t="s">
        <v>74</v>
      </c>
      <c r="D1170" s="26" t="s">
        <v>75</v>
      </c>
      <c r="E1170" s="20" t="s">
        <v>785</v>
      </c>
      <c r="F1170" s="21" t="str">
        <f aca="false">IF(OR(E1170="",E1170="!!!"),"",IF(NOT(ISNA(VLOOKUP(E1170,E$1:E1169,1,FALSE()))),"OLD",IF(AND(E1170&lt;&gt;"",E1170&lt;&gt;"!!!"),"NEW","")))</f>
        <v>NEW</v>
      </c>
      <c r="G1170" s="22" t="str">
        <f aca="false"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?REFERENTIAL</v>
      </c>
      <c r="H1170" s="23" t="str">
        <f aca="false">IF(J1170&lt;&gt;1,"",IF(I1170="SBJ","CB","?"))</f>
        <v/>
      </c>
      <c r="I1170" s="24" t="str">
        <f aca="false">IF(OR(E1170="",E1170="!!!",F1170="NEW"),"",INDEX(B$2:B1169,-1+SUMPRODUCT(MAX(ROW(E$2:E1169)*(E1170=E$2:E1169)))))</f>
        <v/>
      </c>
      <c r="J1170" s="24" t="str">
        <f aca="true">IF(OR(E1170="",E1170="!!!",F1170="NEW"),"",COUNTBLANK(OFFSET(A$1,,,SUMPRODUCT(MAX(ROW(E$2:E1170)*(E1170=E$2:E1170)))))-COUNTBLANK(OFFSET(A$1,,,SUMPRODUCT(MAX(ROW(E$1:E1169)*(E2=E$1:E1169))))))</f>
        <v/>
      </c>
      <c r="K1170" s="24" t="str">
        <f aca="false">IF(OR(E1170="",E1170="!!!",F1170="NEW"),"",INDEX(J$1:J1169,SUMPRODUCT(MAX(ROW(E$1:E1169)*(E1170=E$1:E1169)))))</f>
        <v/>
      </c>
      <c r="L1170" s="25"/>
    </row>
    <row r="1171" customFormat="false" ht="14.25" hidden="false" customHeight="false" outlineLevel="0" collapsed="false">
      <c r="A1171" s="0" t="s">
        <v>79</v>
      </c>
      <c r="E1171" s="20" t="str">
        <f aca="false">IF(D1171="?OLD","!!!","")</f>
        <v/>
      </c>
      <c r="F1171" s="21" t="str">
        <f aca="false">IF(OR(E1171="",E1171="!!!"),"",IF(NOT(ISNA(VLOOKUP(E1171,E$1:E1170,1,FALSE()))),"OLD",IF(AND(E1171&lt;&gt;"",E1171&lt;&gt;"!!!"),"NEW","")))</f>
        <v/>
      </c>
      <c r="G1171" s="22" t="str">
        <f aca="false"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23" t="str">
        <f aca="false">IF(J1171&lt;&gt;1,"",IF(I1171="SBJ","CB","?"))</f>
        <v/>
      </c>
      <c r="I1171" s="24" t="str">
        <f aca="false">IF(OR(E1171="",E1171="!!!",F1171="NEW"),"",INDEX(B$2:B1170,-1+SUMPRODUCT(MAX(ROW(E$2:E1170)*(E1171=E$2:E1170)))))</f>
        <v/>
      </c>
      <c r="J1171" s="24" t="str">
        <f aca="true">IF(OR(E1171="",E1171="!!!",F1171="NEW"),"",COUNTBLANK(OFFSET(A$1,,,SUMPRODUCT(MAX(ROW(E$2:E1171)*(E1171=E$2:E1171)))))-COUNTBLANK(OFFSET(A$1,,,SUMPRODUCT(MAX(ROW(E$1:E1170)*(E2=E$1:E1170))))))</f>
        <v/>
      </c>
      <c r="K1171" s="24" t="str">
        <f aca="false">IF(OR(E1171="",E1171="!!!",F1171="NEW"),"",INDEX(J$1:J1170,SUMPRODUCT(MAX(ROW(E$1:E1170)*(E1171=E$1:E1170)))))</f>
        <v/>
      </c>
      <c r="L1171" s="25"/>
    </row>
    <row r="1172" customFormat="false" ht="14.25" hidden="false" customHeight="false" outlineLevel="0" collapsed="false">
      <c r="A1172" s="0" t="s">
        <v>126</v>
      </c>
      <c r="B1172" s="26" t="s">
        <v>82</v>
      </c>
      <c r="C1172" s="26" t="s">
        <v>105</v>
      </c>
      <c r="E1172" s="20" t="s">
        <v>179</v>
      </c>
      <c r="F1172" s="21" t="str">
        <f aca="false">IF(OR(E1172="",E1172="!!!"),"",IF(NOT(ISNA(VLOOKUP(E1172,E$1:E1171,1,FALSE()))),"OLD",IF(AND(E1172&lt;&gt;"",E1172&lt;&gt;"!!!"),"NEW","")))</f>
        <v>OLD</v>
      </c>
      <c r="G1172" s="22" t="str">
        <f aca="false"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?IN_FOCUS</v>
      </c>
      <c r="H1172" s="23" t="str">
        <f aca="false">IF(J1172&lt;&gt;1,"",IF(I1172="SBJ","CB","?"))</f>
        <v/>
      </c>
      <c r="I1172" s="24" t="str">
        <f aca="false">IF(OR(E1172="",E1172="!!!",F1172="NEW"),"",INDEX(B$2:B1171,-1+SUMPRODUCT(MAX(ROW(E$2:E1171)*(E1172=E$2:E1171)))))</f>
        <v>OBJ_5</v>
      </c>
      <c r="J1172" s="24" t="n">
        <f aca="true">IF(OR(E1172="",E1172="!!!",F1172="NEW"),"",COUNTBLANK(OFFSET(A$1,,,SUMPRODUCT(MAX(ROW(E$2:E1172)*(E1172=E$2:E1172)))))-COUNTBLANK(OFFSET(A$1,,,SUMPRODUCT(MAX(ROW(E$1:E1171)*(E2=E$1:E1171))))))</f>
        <v>0</v>
      </c>
      <c r="K1172" s="24" t="n">
        <f aca="false">IF(OR(E1172="",E1172="!!!",F1172="NEW"),"",INDEX(J$1:J1171,SUMPRODUCT(MAX(ROW(E$1:E1171)*(E1172=E$1:E1171)))))</f>
        <v>0</v>
      </c>
      <c r="L1172" s="25"/>
    </row>
    <row r="1173" customFormat="false" ht="14.25" hidden="false" customHeight="false" outlineLevel="0" collapsed="false">
      <c r="A1173" s="0" t="s">
        <v>786</v>
      </c>
      <c r="E1173" s="20" t="str">
        <f aca="false">IF(D1173="?OLD","!!!","")</f>
        <v/>
      </c>
      <c r="F1173" s="21" t="str">
        <f aca="false">IF(OR(E1173="",E1173="!!!"),"",IF(NOT(ISNA(VLOOKUP(E1173,E$1:E1172,1,FALSE()))),"OLD",IF(AND(E1173&lt;&gt;"",E1173&lt;&gt;"!!!"),"NEW","")))</f>
        <v/>
      </c>
      <c r="G1173" s="22" t="str">
        <f aca="false"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aca="false">IF(J1173&lt;&gt;1,"",IF(I1173="SBJ","CB","?"))</f>
        <v/>
      </c>
      <c r="I1173" s="24" t="str">
        <f aca="false">IF(OR(E1173="",E1173="!!!",F1173="NEW"),"",INDEX(B$2:B1172,-1+SUMPRODUCT(MAX(ROW(E$2:E1172)*(E1173=E$2:E1172)))))</f>
        <v/>
      </c>
      <c r="J1173" s="24" t="str">
        <f aca="true">IF(OR(E1173="",E1173="!!!",F1173="NEW"),"",COUNTBLANK(OFFSET(A$1,,,SUMPRODUCT(MAX(ROW(E$2:E1173)*(E1173=E$2:E1173)))))-COUNTBLANK(OFFSET(A$1,,,SUMPRODUCT(MAX(ROW(E$1:E1172)*(E2=E$1:E1172))))))</f>
        <v/>
      </c>
      <c r="K1173" s="24" t="str">
        <f aca="false">IF(OR(E1173="",E1173="!!!",F1173="NEW"),"",INDEX(J$1:J1172,SUMPRODUCT(MAX(ROW(E$1:E1172)*(E1173=E$1:E1172)))))</f>
        <v/>
      </c>
      <c r="L1173" s="25"/>
    </row>
    <row r="1174" customFormat="false" ht="14.25" hidden="false" customHeight="false" outlineLevel="0" collapsed="false">
      <c r="A1174" s="0" t="s">
        <v>183</v>
      </c>
      <c r="E1174" s="20" t="str">
        <f aca="false">IF(D1174="?OLD","!!!","")</f>
        <v/>
      </c>
      <c r="F1174" s="21" t="str">
        <f aca="false">IF(OR(E1174="",E1174="!!!"),"",IF(NOT(ISNA(VLOOKUP(E1174,E$1:E1173,1,FALSE()))),"OLD",IF(AND(E1174&lt;&gt;"",E1174&lt;&gt;"!!!"),"NEW","")))</f>
        <v/>
      </c>
      <c r="G1174" s="22" t="str">
        <f aca="false"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aca="false">IF(J1174&lt;&gt;1,"",IF(I1174="SBJ","CB","?"))</f>
        <v/>
      </c>
      <c r="I1174" s="24" t="str">
        <f aca="false">IF(OR(E1174="",E1174="!!!",F1174="NEW"),"",INDEX(B$2:B1173,-1+SUMPRODUCT(MAX(ROW(E$2:E1173)*(E1174=E$2:E1173)))))</f>
        <v/>
      </c>
      <c r="J1174" s="24" t="str">
        <f aca="true">IF(OR(E1174="",E1174="!!!",F1174="NEW"),"",COUNTBLANK(OFFSET(A$1,,,SUMPRODUCT(MAX(ROW(E$2:E1174)*(E1174=E$2:E1174)))))-COUNTBLANK(OFFSET(A$1,,,SUMPRODUCT(MAX(ROW(E$1:E1173)*(E2=E$1:E1173))))))</f>
        <v/>
      </c>
      <c r="K1174" s="24" t="str">
        <f aca="false">IF(OR(E1174="",E1174="!!!",F1174="NEW"),"",INDEX(J$1:J1173,SUMPRODUCT(MAX(ROW(E$1:E1173)*(E1174=E$1:E1173)))))</f>
        <v/>
      </c>
      <c r="L1174" s="25"/>
    </row>
    <row r="1175" customFormat="false" ht="14.25" hidden="false" customHeight="false" outlineLevel="0" collapsed="false">
      <c r="A1175" s="0" t="s">
        <v>700</v>
      </c>
      <c r="E1175" s="20" t="str">
        <f aca="false">IF(D1175="?OLD","!!!","")</f>
        <v/>
      </c>
      <c r="F1175" s="21" t="str">
        <f aca="false">IF(OR(E1175="",E1175="!!!"),"",IF(NOT(ISNA(VLOOKUP(E1175,E$1:E1174,1,FALSE()))),"OLD",IF(AND(E1175&lt;&gt;"",E1175&lt;&gt;"!!!"),"NEW","")))</f>
        <v/>
      </c>
      <c r="G1175" s="22" t="str">
        <f aca="false"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aca="false">IF(J1175&lt;&gt;1,"",IF(I1175="SBJ","CB","?"))</f>
        <v/>
      </c>
      <c r="I1175" s="24" t="str">
        <f aca="false">IF(OR(E1175="",E1175="!!!",F1175="NEW"),"",INDEX(B$2:B1174,-1+SUMPRODUCT(MAX(ROW(E$2:E1174)*(E1175=E$2:E1174)))))</f>
        <v/>
      </c>
      <c r="J1175" s="24" t="str">
        <f aca="true">IF(OR(E1175="",E1175="!!!",F1175="NEW"),"",COUNTBLANK(OFFSET(A$1,,,SUMPRODUCT(MAX(ROW(E$2:E1175)*(E1175=E$2:E1175)))))-COUNTBLANK(OFFSET(A$1,,,SUMPRODUCT(MAX(ROW(E$1:E1174)*(E2=E$1:E1174))))))</f>
        <v/>
      </c>
      <c r="K1175" s="24" t="str">
        <f aca="false">IF(OR(E1175="",E1175="!!!",F1175="NEW"),"",INDEX(J$1:J1174,SUMPRODUCT(MAX(ROW(E$1:E1174)*(E1175=E$1:E1174)))))</f>
        <v/>
      </c>
      <c r="L1175" s="25"/>
    </row>
    <row r="1176" customFormat="false" ht="14.25" hidden="false" customHeight="false" outlineLevel="0" collapsed="false">
      <c r="A1176" s="0" t="s">
        <v>567</v>
      </c>
      <c r="E1176" s="20" t="str">
        <f aca="false">IF(D1176="?OLD","!!!","")</f>
        <v/>
      </c>
      <c r="F1176" s="21" t="str">
        <f aca="false">IF(OR(E1176="",E1176="!!!"),"",IF(NOT(ISNA(VLOOKUP(E1176,E$1:E1175,1,FALSE()))),"OLD",IF(AND(E1176&lt;&gt;"",E1176&lt;&gt;"!!!"),"NEW","")))</f>
        <v/>
      </c>
      <c r="G1176" s="22" t="str">
        <f aca="false"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aca="false">IF(J1176&lt;&gt;1,"",IF(I1176="SBJ","CB","?"))</f>
        <v/>
      </c>
      <c r="I1176" s="24" t="str">
        <f aca="false">IF(OR(E1176="",E1176="!!!",F1176="NEW"),"",INDEX(B$2:B1175,-1+SUMPRODUCT(MAX(ROW(E$2:E1175)*(E1176=E$2:E1175)))))</f>
        <v/>
      </c>
      <c r="J1176" s="24" t="str">
        <f aca="true">IF(OR(E1176="",E1176="!!!",F1176="NEW"),"",COUNTBLANK(OFFSET(A$1,,,SUMPRODUCT(MAX(ROW(E$2:E1176)*(E1176=E$2:E1176)))))-COUNTBLANK(OFFSET(A$1,,,SUMPRODUCT(MAX(ROW(E$1:E1175)*(E2=E$1:E1175))))))</f>
        <v/>
      </c>
      <c r="K1176" s="24" t="str">
        <f aca="false">IF(OR(E1176="",E1176="!!!",F1176="NEW"),"",INDEX(J$1:J1175,SUMPRODUCT(MAX(ROW(E$1:E1175)*(E1176=E$1:E1175)))))</f>
        <v/>
      </c>
      <c r="L1176" s="25"/>
    </row>
    <row r="1177" customFormat="false" ht="14.25" hidden="false" customHeight="false" outlineLevel="0" collapsed="false">
      <c r="A1177" s="0" t="s">
        <v>470</v>
      </c>
      <c r="E1177" s="20" t="str">
        <f aca="false">IF(D1177="?OLD","!!!","")</f>
        <v/>
      </c>
      <c r="F1177" s="21" t="str">
        <f aca="false">IF(OR(E1177="",E1177="!!!"),"",IF(NOT(ISNA(VLOOKUP(E1177,E$1:E1176,1,FALSE()))),"OLD",IF(AND(E1177&lt;&gt;"",E1177&lt;&gt;"!!!"),"NEW","")))</f>
        <v/>
      </c>
      <c r="G1177" s="22" t="str">
        <f aca="false"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aca="false">IF(J1177&lt;&gt;1,"",IF(I1177="SBJ","CB","?"))</f>
        <v/>
      </c>
      <c r="I1177" s="24" t="str">
        <f aca="false">IF(OR(E1177="",E1177="!!!",F1177="NEW"),"",INDEX(B$2:B1176,-1+SUMPRODUCT(MAX(ROW(E$2:E1176)*(E1177=E$2:E1176)))))</f>
        <v/>
      </c>
      <c r="J1177" s="24" t="str">
        <f aca="true">IF(OR(E1177="",E1177="!!!",F1177="NEW"),"",COUNTBLANK(OFFSET(A$1,,,SUMPRODUCT(MAX(ROW(E$2:E1177)*(E1177=E$2:E1177)))))-COUNTBLANK(OFFSET(A$1,,,SUMPRODUCT(MAX(ROW(E$1:E1176)*(E2=E$1:E1176))))))</f>
        <v/>
      </c>
      <c r="K1177" s="24" t="str">
        <f aca="false">IF(OR(E1177="",E1177="!!!",F1177="NEW"),"",INDEX(J$1:J1176,SUMPRODUCT(MAX(ROW(E$1:E1176)*(E1177=E$1:E1176)))))</f>
        <v/>
      </c>
      <c r="L1177" s="25"/>
    </row>
    <row r="1178" customFormat="false" ht="14.25" hidden="false" customHeight="false" outlineLevel="0" collapsed="false">
      <c r="A1178" s="0" t="s">
        <v>86</v>
      </c>
      <c r="E1178" s="20" t="str">
        <f aca="false">IF(D1178="?OLD","!!!","")</f>
        <v/>
      </c>
      <c r="F1178" s="21" t="str">
        <f aca="false">IF(OR(E1178="",E1178="!!!"),"",IF(NOT(ISNA(VLOOKUP(E1178,E$1:E1177,1,FALSE()))),"OLD",IF(AND(E1178&lt;&gt;"",E1178&lt;&gt;"!!!"),"NEW","")))</f>
        <v/>
      </c>
      <c r="G1178" s="22" t="str">
        <f aca="false"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3" t="str">
        <f aca="false">IF(J1178&lt;&gt;1,"",IF(I1178="SBJ","CB","?"))</f>
        <v/>
      </c>
      <c r="I1178" s="24" t="str">
        <f aca="false">IF(OR(E1178="",E1178="!!!",F1178="NEW"),"",INDEX(B$2:B1177,-1+SUMPRODUCT(MAX(ROW(E$2:E1177)*(E1178=E$2:E1177)))))</f>
        <v/>
      </c>
      <c r="J1178" s="24" t="str">
        <f aca="true">IF(OR(E1178="",E1178="!!!",F1178="NEW"),"",COUNTBLANK(OFFSET(A$1,,,SUMPRODUCT(MAX(ROW(E$2:E1178)*(E1178=E$2:E1178)))))-COUNTBLANK(OFFSET(A$1,,,SUMPRODUCT(MAX(ROW(E$1:E1177)*(E2=E$1:E1177))))))</f>
        <v/>
      </c>
      <c r="K1178" s="24" t="str">
        <f aca="false">IF(OR(E1178="",E1178="!!!",F1178="NEW"),"",INDEX(J$1:J1177,SUMPRODUCT(MAX(ROW(E$1:E1177)*(E1178=E$1:E1177)))))</f>
        <v/>
      </c>
      <c r="L1178" s="25"/>
    </row>
    <row r="1179" customFormat="false" ht="14.25" hidden="false" customHeight="false" outlineLevel="0" collapsed="false">
      <c r="A1179" s="0" t="s">
        <v>87</v>
      </c>
      <c r="B1179" s="26" t="s">
        <v>131</v>
      </c>
      <c r="C1179" s="26" t="s">
        <v>88</v>
      </c>
      <c r="D1179" s="26" t="s">
        <v>75</v>
      </c>
      <c r="E1179" s="20" t="s">
        <v>770</v>
      </c>
      <c r="F1179" s="21" t="str">
        <f aca="false">IF(OR(E1179="",E1179="!!!"),"",IF(NOT(ISNA(VLOOKUP(E1179,E$1:E1178,1,FALSE()))),"OLD",IF(AND(E1179&lt;&gt;"",E1179&lt;&gt;"!!!"),"NEW","")))</f>
        <v>OLD</v>
      </c>
      <c r="G1179" s="22" t="str">
        <f aca="false"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?IN_FOCUS</v>
      </c>
      <c r="H1179" s="23" t="str">
        <f aca="false">IF(J1179&lt;&gt;1,"",IF(I1179="SBJ","CB","?"))</f>
        <v/>
      </c>
      <c r="I1179" s="24" t="str">
        <f aca="false">IF(OR(E1179="",E1179="!!!",F1179="NEW"),"",INDEX(B$2:B1178,-1+SUMPRODUCT(MAX(ROW(E$2:E1178)*(E1179=E$2:E1178)))))</f>
        <v>other_2</v>
      </c>
      <c r="J1179" s="24" t="n">
        <f aca="true">IF(OR(E1179="",E1179="!!!",F1179="NEW"),"",COUNTBLANK(OFFSET(A$1,,,SUMPRODUCT(MAX(ROW(E$2:E1179)*(E1179=E$2:E1179)))))-COUNTBLANK(OFFSET(A$1,,,SUMPRODUCT(MAX(ROW(E$1:E1178)*(E2=E$1:E1178))))))</f>
        <v>0</v>
      </c>
      <c r="K1179" s="24" t="n">
        <f aca="false">IF(OR(E1179="",E1179="!!!",F1179="NEW"),"",INDEX(J$1:J1178,SUMPRODUCT(MAX(ROW(E$1:E1178)*(E1179=E$1:E1178)))))</f>
        <v>0</v>
      </c>
      <c r="L1179" s="25"/>
    </row>
    <row r="1180" customFormat="false" ht="14.25" hidden="false" customHeight="false" outlineLevel="0" collapsed="false">
      <c r="A1180" s="0" t="s">
        <v>787</v>
      </c>
      <c r="E1180" s="20"/>
      <c r="F1180" s="21" t="str">
        <f aca="false">IF(OR(E1180="",E1180="!!!"),"",IF(NOT(ISNA(VLOOKUP(E1180,E$1:E1179,1,FALSE()))),"OLD",IF(AND(E1180&lt;&gt;"",E1180&lt;&gt;"!!!"),"NEW","")))</f>
        <v/>
      </c>
      <c r="G1180" s="22" t="str">
        <f aca="false"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aca="false">IF(J1180&lt;&gt;1,"",IF(I1180="SBJ","CB","?"))</f>
        <v/>
      </c>
      <c r="I1180" s="24" t="str">
        <f aca="false">IF(OR(E1180="",E1180="!!!",F1180="NEW"),"",INDEX(B$2:B1179,-1+SUMPRODUCT(MAX(ROW(E$2:E1179)*(E1180=E$2:E1179)))))</f>
        <v/>
      </c>
      <c r="J1180" s="24" t="str">
        <f aca="true">IF(OR(E1180="",E1180="!!!",F1180="NEW"),"",COUNTBLANK(OFFSET(A$1,,,SUMPRODUCT(MAX(ROW(E$2:E1180)*(E1180=E$2:E1180)))))-COUNTBLANK(OFFSET(A$1,,,SUMPRODUCT(MAX(ROW(E$1:E1179)*(E2=E$1:E1179))))))</f>
        <v/>
      </c>
      <c r="K1180" s="24" t="str">
        <f aca="false">IF(OR(E1180="",E1180="!!!",F1180="NEW"),"",INDEX(J$1:J1179,SUMPRODUCT(MAX(ROW(E$1:E1179)*(E1180=E$1:E1179)))))</f>
        <v/>
      </c>
      <c r="L1180" s="25"/>
    </row>
    <row r="1181" customFormat="false" ht="14.25" hidden="false" customHeight="false" outlineLevel="0" collapsed="false">
      <c r="A1181" s="0" t="s">
        <v>136</v>
      </c>
      <c r="E1181" s="20" t="str">
        <f aca="false">IF(D1181="?OLD","!!!","")</f>
        <v/>
      </c>
      <c r="F1181" s="21" t="str">
        <f aca="false">IF(OR(E1181="",E1181="!!!"),"",IF(NOT(ISNA(VLOOKUP(E1181,E$1:E1180,1,FALSE()))),"OLD",IF(AND(E1181&lt;&gt;"",E1181&lt;&gt;"!!!"),"NEW","")))</f>
        <v/>
      </c>
      <c r="G1181" s="22" t="str">
        <f aca="false"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aca="false">IF(J1181&lt;&gt;1,"",IF(I1181="SBJ","CB","?"))</f>
        <v/>
      </c>
      <c r="I1181" s="24" t="str">
        <f aca="false">IF(OR(E1181="",E1181="!!!",F1181="NEW"),"",INDEX(B$2:B1180,-1+SUMPRODUCT(MAX(ROW(E$2:E1180)*(E1181=E$2:E1180)))))</f>
        <v/>
      </c>
      <c r="J1181" s="24" t="str">
        <f aca="true">IF(OR(E1181="",E1181="!!!",F1181="NEW"),"",COUNTBLANK(OFFSET(A$1,,,SUMPRODUCT(MAX(ROW(E$2:E1181)*(E1181=E$2:E1181)))))-COUNTBLANK(OFFSET(A$1,,,SUMPRODUCT(MAX(ROW(E$1:E1180)*(E2=E$1:E1180))))))</f>
        <v/>
      </c>
      <c r="K1181" s="24" t="str">
        <f aca="false">IF(OR(E1181="",E1181="!!!",F1181="NEW"),"",INDEX(J$1:J1180,SUMPRODUCT(MAX(ROW(E$1:E1180)*(E1181=E$1:E1180)))))</f>
        <v/>
      </c>
      <c r="L1181" s="25"/>
    </row>
    <row r="1182" customFormat="false" ht="14.25" hidden="false" customHeight="false" outlineLevel="0" collapsed="false">
      <c r="A1182" s="0" t="s">
        <v>365</v>
      </c>
      <c r="B1182" s="26" t="s">
        <v>96</v>
      </c>
      <c r="C1182" s="26" t="s">
        <v>283</v>
      </c>
      <c r="D1182" s="26" t="s">
        <v>75</v>
      </c>
      <c r="E1182" s="20" t="s">
        <v>366</v>
      </c>
      <c r="F1182" s="21" t="str">
        <f aca="false">IF(OR(E1182="",E1182="!!!"),"",IF(NOT(ISNA(VLOOKUP(E1182,E$1:E1181,1,FALSE()))),"OLD",IF(AND(E1182&lt;&gt;"",E1182&lt;&gt;"!!!"),"NEW","")))</f>
        <v>OLD</v>
      </c>
      <c r="G1182" s="22" t="str">
        <f aca="false"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?IN_FOCUS</v>
      </c>
      <c r="H1182" s="23" t="str">
        <f aca="false">IF(J1182&lt;&gt;1,"",IF(I1182="SBJ","CB","?"))</f>
        <v/>
      </c>
      <c r="I1182" s="24" t="str">
        <f aca="false">IF(OR(E1182="",E1182="!!!",F1182="NEW"),"",INDEX(B$2:B1181,-1+SUMPRODUCT(MAX(ROW(E$2:E1181)*(E1182=E$2:E1181)))))</f>
        <v>SBJ_3</v>
      </c>
      <c r="J1182" s="24" t="n">
        <f aca="true">IF(OR(E1182="",E1182="!!!",F1182="NEW"),"",COUNTBLANK(OFFSET(A$1,,,SUMPRODUCT(MAX(ROW(E$2:E1182)*(E1182=E$2:E1182)))))-COUNTBLANK(OFFSET(A$1,,,SUMPRODUCT(MAX(ROW(E$1:E1181)*(E2=E$1:E1181))))))</f>
        <v>0</v>
      </c>
      <c r="K1182" s="24" t="n">
        <f aca="false">IF(OR(E1182="",E1182="!!!",F1182="NEW"),"",INDEX(J$1:J1181,SUMPRODUCT(MAX(ROW(E$1:E1181)*(E1182=E$1:E1181)))))</f>
        <v>0</v>
      </c>
      <c r="L1182" s="25"/>
    </row>
    <row r="1183" customFormat="false" ht="14.25" hidden="false" customHeight="false" outlineLevel="0" collapsed="false">
      <c r="A1183" s="0" t="s">
        <v>788</v>
      </c>
      <c r="E1183" s="20" t="str">
        <f aca="false">IF(D1183="?OLD","!!!","")</f>
        <v/>
      </c>
      <c r="F1183" s="21" t="str">
        <f aca="false">IF(OR(E1183="",E1183="!!!"),"",IF(NOT(ISNA(VLOOKUP(E1183,E$1:E1182,1,FALSE()))),"OLD",IF(AND(E1183&lt;&gt;"",E1183&lt;&gt;"!!!"),"NEW","")))</f>
        <v/>
      </c>
      <c r="G1183" s="22" t="str">
        <f aca="false"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aca="false">IF(J1183&lt;&gt;1,"",IF(I1183="SBJ","CB","?"))</f>
        <v/>
      </c>
      <c r="I1183" s="24" t="str">
        <f aca="false">IF(OR(E1183="",E1183="!!!",F1183="NEW"),"",INDEX(B$2:B1182,-1+SUMPRODUCT(MAX(ROW(E$2:E1182)*(E1183=E$2:E1182)))))</f>
        <v/>
      </c>
      <c r="J1183" s="24" t="str">
        <f aca="true">IF(OR(E1183="",E1183="!!!",F1183="NEW"),"",COUNTBLANK(OFFSET(A$1,,,SUMPRODUCT(MAX(ROW(E$2:E1183)*(E1183=E$2:E1183)))))-COUNTBLANK(OFFSET(A$1,,,SUMPRODUCT(MAX(ROW(E$1:E1182)*(E2=E$1:E1182))))))</f>
        <v/>
      </c>
      <c r="K1183" s="24" t="str">
        <f aca="false">IF(OR(E1183="",E1183="!!!",F1183="NEW"),"",INDEX(J$1:J1182,SUMPRODUCT(MAX(ROW(E$1:E1182)*(E1183=E$1:E1182)))))</f>
        <v/>
      </c>
      <c r="L1183" s="25"/>
    </row>
    <row r="1184" customFormat="false" ht="14.25" hidden="false" customHeight="false" outlineLevel="0" collapsed="false">
      <c r="A1184" s="0" t="s">
        <v>79</v>
      </c>
      <c r="E1184" s="20" t="str">
        <f aca="false">IF(D1184="?OLD","!!!","")</f>
        <v/>
      </c>
      <c r="F1184" s="21" t="str">
        <f aca="false">IF(OR(E1184="",E1184="!!!"),"",IF(NOT(ISNA(VLOOKUP(E1184,E$1:E1183,1,FALSE()))),"OLD",IF(AND(E1184&lt;&gt;"",E1184&lt;&gt;"!!!"),"NEW","")))</f>
        <v/>
      </c>
      <c r="G1184" s="22" t="str">
        <f aca="false"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aca="false">IF(J1184&lt;&gt;1,"",IF(I1184="SBJ","CB","?"))</f>
        <v/>
      </c>
      <c r="I1184" s="24" t="str">
        <f aca="false">IF(OR(E1184="",E1184="!!!",F1184="NEW"),"",INDEX(B$2:B1183,-1+SUMPRODUCT(MAX(ROW(E$2:E1183)*(E1184=E$2:E1183)))))</f>
        <v/>
      </c>
      <c r="J1184" s="24" t="str">
        <f aca="true">IF(OR(E1184="",E1184="!!!",F1184="NEW"),"",COUNTBLANK(OFFSET(A$1,,,SUMPRODUCT(MAX(ROW(E$2:E1184)*(E1184=E$2:E1184)))))-COUNTBLANK(OFFSET(A$1,,,SUMPRODUCT(MAX(ROW(E$1:E1183)*(E2=E$1:E1183))))))</f>
        <v/>
      </c>
      <c r="K1184" s="24" t="str">
        <f aca="false">IF(OR(E1184="",E1184="!!!",F1184="NEW"),"",INDEX(J$1:J1183,SUMPRODUCT(MAX(ROW(E$1:E1183)*(E1184=E$1:E1183)))))</f>
        <v/>
      </c>
      <c r="L1184" s="25"/>
    </row>
    <row r="1185" customFormat="false" ht="14.25" hidden="false" customHeight="false" outlineLevel="0" collapsed="false">
      <c r="A1185" s="0" t="s">
        <v>188</v>
      </c>
      <c r="E1185" s="20" t="str">
        <f aca="false">IF(D1185="?OLD","!!!","")</f>
        <v/>
      </c>
      <c r="F1185" s="21" t="str">
        <f aca="false">IF(OR(E1185="",E1185="!!!"),"",IF(NOT(ISNA(VLOOKUP(E1185,E$1:E1184,1,FALSE()))),"OLD",IF(AND(E1185&lt;&gt;"",E1185&lt;&gt;"!!!"),"NEW","")))</f>
        <v/>
      </c>
      <c r="G1185" s="22" t="str">
        <f aca="false"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aca="false">IF(J1185&lt;&gt;1,"",IF(I1185="SBJ","CB","?"))</f>
        <v/>
      </c>
      <c r="I1185" s="24" t="str">
        <f aca="false">IF(OR(E1185="",E1185="!!!",F1185="NEW"),"",INDEX(B$2:B1184,-1+SUMPRODUCT(MAX(ROW(E$2:E1184)*(E1185=E$2:E1184)))))</f>
        <v/>
      </c>
      <c r="J1185" s="24" t="str">
        <f aca="true">IF(OR(E1185="",E1185="!!!",F1185="NEW"),"",COUNTBLANK(OFFSET(A$1,,,SUMPRODUCT(MAX(ROW(E$2:E1185)*(E1185=E$2:E1185)))))-COUNTBLANK(OFFSET(A$1,,,SUMPRODUCT(MAX(ROW(E$1:E1184)*(E2=E$1:E1184))))))</f>
        <v/>
      </c>
      <c r="K1185" s="24" t="str">
        <f aca="false">IF(OR(E1185="",E1185="!!!",F1185="NEW"),"",INDEX(J$1:J1184,SUMPRODUCT(MAX(ROW(E$1:E1184)*(E1185=E$1:E1184)))))</f>
        <v/>
      </c>
      <c r="L1185" s="25"/>
    </row>
    <row r="1186" customFormat="false" ht="14.25" hidden="false" customHeight="false" outlineLevel="0" collapsed="false">
      <c r="A1186" s="0" t="s">
        <v>789</v>
      </c>
      <c r="E1186" s="20" t="str">
        <f aca="false">IF(D1186="?OLD","!!!","")</f>
        <v/>
      </c>
      <c r="F1186" s="21" t="str">
        <f aca="false">IF(OR(E1186="",E1186="!!!"),"",IF(NOT(ISNA(VLOOKUP(E1186,E$1:E1185,1,FALSE()))),"OLD",IF(AND(E1186&lt;&gt;"",E1186&lt;&gt;"!!!"),"NEW","")))</f>
        <v/>
      </c>
      <c r="G1186" s="22" t="str">
        <f aca="false"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aca="false">IF(J1186&lt;&gt;1,"",IF(I1186="SBJ","CB","?"))</f>
        <v/>
      </c>
      <c r="I1186" s="24" t="str">
        <f aca="false">IF(OR(E1186="",E1186="!!!",F1186="NEW"),"",INDEX(B$2:B1185,-1+SUMPRODUCT(MAX(ROW(E$2:E1185)*(E1186=E$2:E1185)))))</f>
        <v/>
      </c>
      <c r="J1186" s="24" t="str">
        <f aca="true">IF(OR(E1186="",E1186="!!!",F1186="NEW"),"",COUNTBLANK(OFFSET(A$1,,,SUMPRODUCT(MAX(ROW(E$2:E1186)*(E1186=E$2:E1186)))))-COUNTBLANK(OFFSET(A$1,,,SUMPRODUCT(MAX(ROW(E$1:E1185)*(E2=E$1:E1185))))))</f>
        <v/>
      </c>
      <c r="K1186" s="24" t="str">
        <f aca="false">IF(OR(E1186="",E1186="!!!",F1186="NEW"),"",INDEX(J$1:J1185,SUMPRODUCT(MAX(ROW(E$1:E1185)*(E1186=E$1:E1185)))))</f>
        <v/>
      </c>
      <c r="L1186" s="25"/>
    </row>
    <row r="1187" customFormat="false" ht="14.25" hidden="false" customHeight="false" outlineLevel="0" collapsed="false">
      <c r="A1187" s="0" t="s">
        <v>790</v>
      </c>
      <c r="B1187" s="26" t="s">
        <v>82</v>
      </c>
      <c r="C1187" s="26" t="s">
        <v>74</v>
      </c>
      <c r="D1187" s="26" t="s">
        <v>75</v>
      </c>
      <c r="E1187" s="20" t="s">
        <v>780</v>
      </c>
      <c r="F1187" s="21" t="str">
        <f aca="false">IF(OR(E1187="",E1187="!!!"),"",IF(NOT(ISNA(VLOOKUP(E1187,E$1:E1186,1,FALSE()))),"OLD",IF(AND(E1187&lt;&gt;"",E1187&lt;&gt;"!!!"),"NEW","")))</f>
        <v>OLD</v>
      </c>
      <c r="G1187" s="22" t="str">
        <f aca="false"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?IN_FOCUS</v>
      </c>
      <c r="H1187" s="23" t="str">
        <f aca="false">IF(J1187&lt;&gt;1,"",IF(I1187="SBJ","CB","?"))</f>
        <v/>
      </c>
      <c r="I1187" s="24" t="n">
        <f aca="false">IF(OR(E1187="",E1187="!!!",F1187="NEW"),"",INDEX(B$2:B1186,-1+SUMPRODUCT(MAX(ROW(E$2:E1186)*(E1187=E$2:E1186)))))</f>
        <v>0</v>
      </c>
      <c r="J1187" s="24" t="n">
        <f aca="true">IF(OR(E1187="",E1187="!!!",F1187="NEW"),"",COUNTBLANK(OFFSET(A$1,,,SUMPRODUCT(MAX(ROW(E$2:E1187)*(E1187=E$2:E1187)))))-COUNTBLANK(OFFSET(A$1,,,SUMPRODUCT(MAX(ROW(E$1:E1186)*(E2=E$1:E1186))))))</f>
        <v>0</v>
      </c>
      <c r="K1187" s="24" t="n">
        <f aca="false">IF(OR(E1187="",E1187="!!!",F1187="NEW"),"",INDEX(J$1:J1186,SUMPRODUCT(MAX(ROW(E$1:E1186)*(E1187=E$1:E1186)))))</f>
        <v>0</v>
      </c>
      <c r="L1187" s="25"/>
    </row>
    <row r="1188" customFormat="false" ht="14.25" hidden="false" customHeight="false" outlineLevel="0" collapsed="false">
      <c r="A1188" s="0" t="s">
        <v>86</v>
      </c>
      <c r="E1188" s="20" t="str">
        <f aca="false">IF(D1188="?OLD","!!!","")</f>
        <v/>
      </c>
      <c r="F1188" s="21" t="str">
        <f aca="false">IF(OR(E1188="",E1188="!!!"),"",IF(NOT(ISNA(VLOOKUP(E1188,E$1:E1187,1,FALSE()))),"OLD",IF(AND(E1188&lt;&gt;"",E1188&lt;&gt;"!!!"),"NEW","")))</f>
        <v/>
      </c>
      <c r="G1188" s="22" t="str">
        <f aca="false"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3" t="str">
        <f aca="false">IF(J1188&lt;&gt;1,"",IF(I1188="SBJ","CB","?"))</f>
        <v/>
      </c>
      <c r="I1188" s="24" t="str">
        <f aca="false">IF(OR(E1188="",E1188="!!!",F1188="NEW"),"",INDEX(B$2:B1187,-1+SUMPRODUCT(MAX(ROW(E$2:E1187)*(E1188=E$2:E1187)))))</f>
        <v/>
      </c>
      <c r="J1188" s="24" t="str">
        <f aca="true">IF(OR(E1188="",E1188="!!!",F1188="NEW"),"",COUNTBLANK(OFFSET(A$1,,,SUMPRODUCT(MAX(ROW(E$2:E1188)*(E1188=E$2:E1188)))))-COUNTBLANK(OFFSET(A$1,,,SUMPRODUCT(MAX(ROW(E$1:E1187)*(E2=E$1:E1187))))))</f>
        <v/>
      </c>
      <c r="K1188" s="24" t="str">
        <f aca="false">IF(OR(E1188="",E1188="!!!",F1188="NEW"),"",INDEX(J$1:J1187,SUMPRODUCT(MAX(ROW(E$1:E1187)*(E1188=E$1:E1187)))))</f>
        <v/>
      </c>
      <c r="L1188" s="25"/>
    </row>
    <row r="1189" customFormat="false" ht="14.25" hidden="false" customHeight="false" outlineLevel="0" collapsed="false">
      <c r="A1189" s="0" t="s">
        <v>602</v>
      </c>
      <c r="B1189" s="26" t="s">
        <v>154</v>
      </c>
      <c r="C1189" s="26" t="s">
        <v>603</v>
      </c>
      <c r="E1189" s="20" t="str">
        <f aca="false">IF(D1189="?OLD","!!!","")</f>
        <v/>
      </c>
      <c r="F1189" s="21" t="str">
        <f aca="false">IF(OR(E1189="",E1189="!!!"),"",IF(NOT(ISNA(VLOOKUP(E1189,E$1:E1188,1,FALSE()))),"OLD",IF(AND(E1189&lt;&gt;"",E1189&lt;&gt;"!!!"),"NEW","")))</f>
        <v/>
      </c>
      <c r="G1189" s="22" t="str">
        <f aca="false"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aca="false">IF(J1189&lt;&gt;1,"",IF(I1189="SBJ","CB","?"))</f>
        <v/>
      </c>
      <c r="I1189" s="24" t="str">
        <f aca="false">IF(OR(E1189="",E1189="!!!",F1189="NEW"),"",INDEX(B$2:B1188,-1+SUMPRODUCT(MAX(ROW(E$2:E1188)*(E1189=E$2:E1188)))))</f>
        <v/>
      </c>
      <c r="J1189" s="24" t="str">
        <f aca="true">IF(OR(E1189="",E1189="!!!",F1189="NEW"),"",COUNTBLANK(OFFSET(A$1,,,SUMPRODUCT(MAX(ROW(E$2:E1189)*(E1189=E$2:E1189)))))-COUNTBLANK(OFFSET(A$1,,,SUMPRODUCT(MAX(ROW(E$1:E1188)*(E2=E$1:E1188))))))</f>
        <v/>
      </c>
      <c r="K1189" s="24" t="str">
        <f aca="false">IF(OR(E1189="",E1189="!!!",F1189="NEW"),"",INDEX(J$1:J1188,SUMPRODUCT(MAX(ROW(E$1:E1188)*(E1189=E$1:E1188)))))</f>
        <v/>
      </c>
      <c r="L1189" s="25"/>
    </row>
    <row r="1190" customFormat="false" ht="14.25" hidden="false" customHeight="false" outlineLevel="0" collapsed="false">
      <c r="A1190" s="0" t="s">
        <v>455</v>
      </c>
      <c r="E1190" s="20" t="str">
        <f aca="false">IF(D1190="?OLD","!!!","")</f>
        <v/>
      </c>
      <c r="F1190" s="21" t="str">
        <f aca="false">IF(OR(E1190="",E1190="!!!"),"",IF(NOT(ISNA(VLOOKUP(E1190,E$1:E1189,1,FALSE()))),"OLD",IF(AND(E1190&lt;&gt;"",E1190&lt;&gt;"!!!"),"NEW","")))</f>
        <v/>
      </c>
      <c r="G1190" s="22" t="str">
        <f aca="false"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aca="false">IF(J1190&lt;&gt;1,"",IF(I1190="SBJ","CB","?"))</f>
        <v/>
      </c>
      <c r="I1190" s="24" t="str">
        <f aca="false">IF(OR(E1190="",E1190="!!!",F1190="NEW"),"",INDEX(B$2:B1189,-1+SUMPRODUCT(MAX(ROW(E$2:E1189)*(E1190=E$2:E1189)))))</f>
        <v/>
      </c>
      <c r="J1190" s="24" t="str">
        <f aca="true">IF(OR(E1190="",E1190="!!!",F1190="NEW"),"",COUNTBLANK(OFFSET(A$1,,,SUMPRODUCT(MAX(ROW(E$2:E1190)*(E1190=E$2:E1190)))))-COUNTBLANK(OFFSET(A$1,,,SUMPRODUCT(MAX(ROW(E$1:E1189)*(E2=E$1:E1189))))))</f>
        <v/>
      </c>
      <c r="K1190" s="24" t="str">
        <f aca="false">IF(OR(E1190="",E1190="!!!",F1190="NEW"),"",INDEX(J$1:J1189,SUMPRODUCT(MAX(ROW(E$1:E1189)*(E1190=E$1:E1189)))))</f>
        <v/>
      </c>
      <c r="L1190" s="25"/>
    </row>
    <row r="1191" customFormat="false" ht="14.25" hidden="false" customHeight="false" outlineLevel="0" collapsed="false">
      <c r="A1191" s="0" t="s">
        <v>87</v>
      </c>
      <c r="B1191" s="26" t="s">
        <v>96</v>
      </c>
      <c r="C1191" s="26" t="s">
        <v>88</v>
      </c>
      <c r="D1191" s="26" t="s">
        <v>75</v>
      </c>
      <c r="E1191" s="20" t="s">
        <v>770</v>
      </c>
      <c r="F1191" s="21" t="str">
        <f aca="false">IF(OR(E1191="",E1191="!!!"),"",IF(NOT(ISNA(VLOOKUP(E1191,E$1:E1190,1,FALSE()))),"OLD",IF(AND(E1191&lt;&gt;"",E1191&lt;&gt;"!!!"),"NEW","")))</f>
        <v>OLD</v>
      </c>
      <c r="G1191" s="22" t="str">
        <f aca="false"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?IN_FOCUS</v>
      </c>
      <c r="H1191" s="23" t="str">
        <f aca="false">IF(J1191&lt;&gt;1,"",IF(I1191="SBJ","CB","?"))</f>
        <v/>
      </c>
      <c r="I1191" s="24" t="str">
        <f aca="false">IF(OR(E1191="",E1191="!!!",F1191="NEW"),"",INDEX(B$2:B1190,-1+SUMPRODUCT(MAX(ROW(E$2:E1190)*(E1191=E$2:E1190)))))</f>
        <v>other</v>
      </c>
      <c r="J1191" s="24" t="n">
        <f aca="true">IF(OR(E1191="",E1191="!!!",F1191="NEW"),"",COUNTBLANK(OFFSET(A$1,,,SUMPRODUCT(MAX(ROW(E$2:E1191)*(E1191=E$2:E1191)))))-COUNTBLANK(OFFSET(A$1,,,SUMPRODUCT(MAX(ROW(E$1:E1190)*(E2=E$1:E1190))))))</f>
        <v>0</v>
      </c>
      <c r="K1191" s="24" t="n">
        <f aca="false">IF(OR(E1191="",E1191="!!!",F1191="NEW"),"",INDEX(J$1:J1190,SUMPRODUCT(MAX(ROW(E$1:E1190)*(E1191=E$1:E1190)))))</f>
        <v>0</v>
      </c>
      <c r="L1191" s="25"/>
    </row>
    <row r="1192" customFormat="false" ht="14.25" hidden="false" customHeight="false" outlineLevel="0" collapsed="false">
      <c r="A1192" s="0" t="s">
        <v>205</v>
      </c>
      <c r="E1192" s="20" t="str">
        <f aca="false">IF(D1192="?OLD","!!!","")</f>
        <v/>
      </c>
      <c r="F1192" s="21" t="str">
        <f aca="false">IF(OR(E1192="",E1192="!!!"),"",IF(NOT(ISNA(VLOOKUP(E1192,E$1:E1191,1,FALSE()))),"OLD",IF(AND(E1192&lt;&gt;"",E1192&lt;&gt;"!!!"),"NEW","")))</f>
        <v/>
      </c>
      <c r="G1192" s="22" t="str">
        <f aca="false"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aca="false">IF(J1192&lt;&gt;1,"",IF(I1192="SBJ","CB","?"))</f>
        <v/>
      </c>
      <c r="I1192" s="24" t="str">
        <f aca="false">IF(OR(E1192="",E1192="!!!",F1192="NEW"),"",INDEX(B$2:B1191,-1+SUMPRODUCT(MAX(ROW(E$2:E1191)*(E1192=E$2:E1191)))))</f>
        <v/>
      </c>
      <c r="J1192" s="24" t="str">
        <f aca="true">IF(OR(E1192="",E1192="!!!",F1192="NEW"),"",COUNTBLANK(OFFSET(A$1,,,SUMPRODUCT(MAX(ROW(E$2:E1192)*(E1192=E$2:E1192)))))-COUNTBLANK(OFFSET(A$1,,,SUMPRODUCT(MAX(ROW(E$1:E1191)*(E2=E$1:E1191))))))</f>
        <v/>
      </c>
      <c r="K1192" s="24" t="str">
        <f aca="false">IF(OR(E1192="",E1192="!!!",F1192="NEW"),"",INDEX(J$1:J1191,SUMPRODUCT(MAX(ROW(E$1:E1191)*(E1192=E$1:E1191)))))</f>
        <v/>
      </c>
      <c r="L1192" s="25"/>
    </row>
    <row r="1193" customFormat="false" ht="14.25" hidden="false" customHeight="false" outlineLevel="0" collapsed="false">
      <c r="A1193" s="0" t="s">
        <v>101</v>
      </c>
      <c r="E1193" s="20" t="str">
        <f aca="false">IF(D1193="?OLD","!!!","")</f>
        <v/>
      </c>
      <c r="F1193" s="21" t="str">
        <f aca="false">IF(OR(E1193="",E1193="!!!"),"",IF(NOT(ISNA(VLOOKUP(E1193,E$1:E1192,1,FALSE()))),"OLD",IF(AND(E1193&lt;&gt;"",E1193&lt;&gt;"!!!"),"NEW","")))</f>
        <v/>
      </c>
      <c r="G1193" s="22" t="str">
        <f aca="false"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aca="false">IF(J1193&lt;&gt;1,"",IF(I1193="SBJ","CB","?"))</f>
        <v/>
      </c>
      <c r="I1193" s="24" t="str">
        <f aca="false">IF(OR(E1193="",E1193="!!!",F1193="NEW"),"",INDEX(B$2:B1192,-1+SUMPRODUCT(MAX(ROW(E$2:E1192)*(E1193=E$2:E1192)))))</f>
        <v/>
      </c>
      <c r="J1193" s="24" t="str">
        <f aca="true">IF(OR(E1193="",E1193="!!!",F1193="NEW"),"",COUNTBLANK(OFFSET(A$1,,,SUMPRODUCT(MAX(ROW(E$2:E1193)*(E1193=E$2:E1193)))))-COUNTBLANK(OFFSET(A$1,,,SUMPRODUCT(MAX(ROW(E$1:E1192)*(E2=E$1:E1192))))))</f>
        <v/>
      </c>
      <c r="K1193" s="24" t="str">
        <f aca="false">IF(OR(E1193="",E1193="!!!",F1193="NEW"),"",INDEX(J$1:J1192,SUMPRODUCT(MAX(ROW(E$1:E1192)*(E1193=E$1:E1192)))))</f>
        <v/>
      </c>
      <c r="L1193" s="25"/>
    </row>
    <row r="1194" customFormat="false" ht="14.25" hidden="false" customHeight="false" outlineLevel="0" collapsed="false">
      <c r="A1194" s="0" t="s">
        <v>123</v>
      </c>
      <c r="B1194" s="26" t="s">
        <v>96</v>
      </c>
      <c r="C1194" s="26" t="s">
        <v>88</v>
      </c>
      <c r="D1194" s="26" t="s">
        <v>75</v>
      </c>
      <c r="E1194" s="20" t="s">
        <v>785</v>
      </c>
      <c r="F1194" s="21" t="str">
        <f aca="false">IF(OR(E1194="",E1194="!!!"),"",IF(NOT(ISNA(VLOOKUP(E1194,E$1:E1193,1,FALSE()))),"OLD",IF(AND(E1194&lt;&gt;"",E1194&lt;&gt;"!!!"),"NEW","")))</f>
        <v>OLD</v>
      </c>
      <c r="G1194" s="22" t="str">
        <f aca="false"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?IN_FOCUS</v>
      </c>
      <c r="H1194" s="23" t="str">
        <f aca="false">IF(J1194&lt;&gt;1,"",IF(I1194="SBJ","CB","?"))</f>
        <v/>
      </c>
      <c r="I1194" s="24" t="str">
        <f aca="false">IF(OR(E1194="",E1194="!!!",F1194="NEW"),"",INDEX(B$2:B1193,-1+SUMPRODUCT(MAX(ROW(E$2:E1193)*(E1194=E$2:E1193)))))</f>
        <v>SBJ</v>
      </c>
      <c r="J1194" s="24" t="n">
        <f aca="true">IF(OR(E1194="",E1194="!!!",F1194="NEW"),"",COUNTBLANK(OFFSET(A$1,,,SUMPRODUCT(MAX(ROW(E$2:E1194)*(E1194=E$2:E1194)))))-COUNTBLANK(OFFSET(A$1,,,SUMPRODUCT(MAX(ROW(E$1:E1193)*(E2=E$1:E1193))))))</f>
        <v>0</v>
      </c>
      <c r="K1194" s="24" t="str">
        <f aca="false">IF(OR(E1194="",E1194="!!!",F1194="NEW"),"",INDEX(J$1:J1193,SUMPRODUCT(MAX(ROW(E$1:E1193)*(E1194=E$1:E1193)))))</f>
        <v/>
      </c>
      <c r="L1194" s="25"/>
    </row>
    <row r="1195" customFormat="false" ht="14.25" hidden="false" customHeight="false" outlineLevel="0" collapsed="false">
      <c r="A1195" s="0" t="s">
        <v>78</v>
      </c>
      <c r="E1195" s="20" t="str">
        <f aca="false">IF(D1195="?OLD","!!!","")</f>
        <v/>
      </c>
      <c r="F1195" s="21" t="str">
        <f aca="false">IF(OR(E1195="",E1195="!!!"),"",IF(NOT(ISNA(VLOOKUP(E1195,E$1:E1194,1,FALSE()))),"OLD",IF(AND(E1195&lt;&gt;"",E1195&lt;&gt;"!!!"),"NEW","")))</f>
        <v/>
      </c>
      <c r="G1195" s="22" t="str">
        <f aca="false"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3" t="str">
        <f aca="false">IF(J1195&lt;&gt;1,"",IF(I1195="SBJ","CB","?"))</f>
        <v/>
      </c>
      <c r="I1195" s="24" t="str">
        <f aca="false">IF(OR(E1195="",E1195="!!!",F1195="NEW"),"",INDEX(B$2:B1194,-1+SUMPRODUCT(MAX(ROW(E$2:E1194)*(E1195=E$2:E1194)))))</f>
        <v/>
      </c>
      <c r="J1195" s="24" t="str">
        <f aca="true">IF(OR(E1195="",E1195="!!!",F1195="NEW"),"",COUNTBLANK(OFFSET(A$1,,,SUMPRODUCT(MAX(ROW(E$2:E1195)*(E1195=E$2:E1195)))))-COUNTBLANK(OFFSET(A$1,,,SUMPRODUCT(MAX(ROW(E$1:E1194)*(E2=E$1:E1194))))))</f>
        <v/>
      </c>
      <c r="K1195" s="24" t="str">
        <f aca="false">IF(OR(E1195="",E1195="!!!",F1195="NEW"),"",INDEX(J$1:J1194,SUMPRODUCT(MAX(ROW(E$1:E1194)*(E1195=E$1:E1194)))))</f>
        <v/>
      </c>
      <c r="L1195" s="25"/>
    </row>
    <row r="1196" customFormat="false" ht="14.25" hidden="false" customHeight="false" outlineLevel="0" collapsed="false">
      <c r="A1196" s="0" t="s">
        <v>288</v>
      </c>
      <c r="E1196" s="20" t="str">
        <f aca="false">IF(D1196="?OLD","!!!","")</f>
        <v/>
      </c>
      <c r="F1196" s="21" t="str">
        <f aca="false">IF(OR(E1196="",E1196="!!!"),"",IF(NOT(ISNA(VLOOKUP(E1196,E$1:E1195,1,FALSE()))),"OLD",IF(AND(E1196&lt;&gt;"",E1196&lt;&gt;"!!!"),"NEW","")))</f>
        <v/>
      </c>
      <c r="G1196" s="22" t="str">
        <f aca="false"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aca="false">IF(J1196&lt;&gt;1,"",IF(I1196="SBJ","CB","?"))</f>
        <v/>
      </c>
      <c r="I1196" s="24" t="str">
        <f aca="false">IF(OR(E1196="",E1196="!!!",F1196="NEW"),"",INDEX(B$2:B1195,-1+SUMPRODUCT(MAX(ROW(E$2:E1195)*(E1196=E$2:E1195)))))</f>
        <v/>
      </c>
      <c r="J1196" s="24" t="str">
        <f aca="true">IF(OR(E1196="",E1196="!!!",F1196="NEW"),"",COUNTBLANK(OFFSET(A$1,,,SUMPRODUCT(MAX(ROW(E$2:E1196)*(E1196=E$2:E1196)))))-COUNTBLANK(OFFSET(A$1,,,SUMPRODUCT(MAX(ROW(E$1:E1195)*(E2=E$1:E1195))))))</f>
        <v/>
      </c>
      <c r="K1196" s="24" t="str">
        <f aca="false">IF(OR(E1196="",E1196="!!!",F1196="NEW"),"",INDEX(J$1:J1195,SUMPRODUCT(MAX(ROW(E$1:E1195)*(E1196=E$1:E1195)))))</f>
        <v/>
      </c>
      <c r="L1196" s="25"/>
    </row>
    <row r="1197" customFormat="false" ht="14.25" hidden="false" customHeight="false" outlineLevel="0" collapsed="false">
      <c r="A1197" s="0" t="s">
        <v>259</v>
      </c>
      <c r="E1197" s="20" t="str">
        <f aca="false">IF(D1197="?OLD","!!!","")</f>
        <v/>
      </c>
      <c r="F1197" s="21" t="str">
        <f aca="false">IF(OR(E1197="",E1197="!!!"),"",IF(NOT(ISNA(VLOOKUP(E1197,E$1:E1196,1,FALSE()))),"OLD",IF(AND(E1197&lt;&gt;"",E1197&lt;&gt;"!!!"),"NEW","")))</f>
        <v/>
      </c>
      <c r="G1197" s="22" t="str">
        <f aca="false"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aca="false">IF(J1197&lt;&gt;1,"",IF(I1197="SBJ","CB","?"))</f>
        <v/>
      </c>
      <c r="I1197" s="24" t="str">
        <f aca="false">IF(OR(E1197="",E1197="!!!",F1197="NEW"),"",INDEX(B$2:B1196,-1+SUMPRODUCT(MAX(ROW(E$2:E1196)*(E1197=E$2:E1196)))))</f>
        <v/>
      </c>
      <c r="J1197" s="24" t="str">
        <f aca="true">IF(OR(E1197="",E1197="!!!",F1197="NEW"),"",COUNTBLANK(OFFSET(A$1,,,SUMPRODUCT(MAX(ROW(E$2:E1197)*(E1197=E$2:E1197)))))-COUNTBLANK(OFFSET(A$1,,,SUMPRODUCT(MAX(ROW(E$1:E1196)*(E2=E$1:E1196))))))</f>
        <v/>
      </c>
      <c r="K1197" s="24" t="str">
        <f aca="false">IF(OR(E1197="",E1197="!!!",F1197="NEW"),"",INDEX(J$1:J1196,SUMPRODUCT(MAX(ROW(E$1:E1196)*(E1197=E$1:E1196)))))</f>
        <v/>
      </c>
      <c r="L1197" s="25"/>
    </row>
    <row r="1198" customFormat="false" ht="14.25" hidden="false" customHeight="false" outlineLevel="0" collapsed="false">
      <c r="A1198" s="0" t="s">
        <v>791</v>
      </c>
      <c r="E1198" s="20" t="str">
        <f aca="false">IF(D1198="?OLD","!!!","")</f>
        <v/>
      </c>
      <c r="F1198" s="21" t="str">
        <f aca="false">IF(OR(E1198="",E1198="!!!"),"",IF(NOT(ISNA(VLOOKUP(E1198,E$1:E1197,1,FALSE()))),"OLD",IF(AND(E1198&lt;&gt;"",E1198&lt;&gt;"!!!"),"NEW","")))</f>
        <v/>
      </c>
      <c r="G1198" s="22" t="str">
        <f aca="false"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3" t="str">
        <f aca="false">IF(J1198&lt;&gt;1,"",IF(I1198="SBJ","CB","?"))</f>
        <v/>
      </c>
      <c r="I1198" s="24" t="str">
        <f aca="false">IF(OR(E1198="",E1198="!!!",F1198="NEW"),"",INDEX(B$2:B1197,-1+SUMPRODUCT(MAX(ROW(E$2:E1197)*(E1198=E$2:E1197)))))</f>
        <v/>
      </c>
      <c r="J1198" s="24" t="str">
        <f aca="true">IF(OR(E1198="",E1198="!!!",F1198="NEW"),"",COUNTBLANK(OFFSET(A$1,,,SUMPRODUCT(MAX(ROW(E$2:E1198)*(E1198=E$2:E1198)))))-COUNTBLANK(OFFSET(A$1,,,SUMPRODUCT(MAX(ROW(E$1:E1197)*(E2=E$1:E1197))))))</f>
        <v/>
      </c>
      <c r="K1198" s="24" t="str">
        <f aca="false">IF(OR(E1198="",E1198="!!!",F1198="NEW"),"",INDEX(J$1:J1197,SUMPRODUCT(MAX(ROW(E$1:E1197)*(E1198=E$1:E1197)))))</f>
        <v/>
      </c>
      <c r="L1198" s="25"/>
    </row>
    <row r="1199" customFormat="false" ht="14.25" hidden="false" customHeight="false" outlineLevel="0" collapsed="false">
      <c r="A1199" s="0" t="s">
        <v>163</v>
      </c>
      <c r="E1199" s="20" t="str">
        <f aca="false">IF(D1199="?OLD","!!!","")</f>
        <v/>
      </c>
      <c r="F1199" s="21" t="str">
        <f aca="false">IF(OR(E1199="",E1199="!!!"),"",IF(NOT(ISNA(VLOOKUP(E1199,E$1:E1198,1,FALSE()))),"OLD",IF(AND(E1199&lt;&gt;"",E1199&lt;&gt;"!!!"),"NEW","")))</f>
        <v/>
      </c>
      <c r="G1199" s="22" t="str">
        <f aca="false"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3" t="str">
        <f aca="false">IF(J1199&lt;&gt;1,"",IF(I1199="SBJ","CB","?"))</f>
        <v/>
      </c>
      <c r="I1199" s="24" t="str">
        <f aca="false">IF(OR(E1199="",E1199="!!!",F1199="NEW"),"",INDEX(B$2:B1198,-1+SUMPRODUCT(MAX(ROW(E$2:E1198)*(E1199=E$2:E1198)))))</f>
        <v/>
      </c>
      <c r="J1199" s="24" t="str">
        <f aca="true">IF(OR(E1199="",E1199="!!!",F1199="NEW"),"",COUNTBLANK(OFFSET(A$1,,,SUMPRODUCT(MAX(ROW(E$2:E1199)*(E1199=E$2:E1199)))))-COUNTBLANK(OFFSET(A$1,,,SUMPRODUCT(MAX(ROW(E$1:E1198)*(E2=E$1:E1198))))))</f>
        <v/>
      </c>
      <c r="K1199" s="24" t="str">
        <f aca="false">IF(OR(E1199="",E1199="!!!",F1199="NEW"),"",INDEX(J$1:J1198,SUMPRODUCT(MAX(ROW(E$1:E1198)*(E1199=E$1:E1198)))))</f>
        <v/>
      </c>
      <c r="L1199" s="25"/>
    </row>
    <row r="1200" customFormat="false" ht="14.25" hidden="false" customHeight="false" outlineLevel="0" collapsed="false">
      <c r="A1200" s="0" t="s">
        <v>164</v>
      </c>
      <c r="B1200" s="26" t="s">
        <v>82</v>
      </c>
      <c r="C1200" s="26" t="s">
        <v>105</v>
      </c>
      <c r="E1200" s="20" t="str">
        <f aca="false">IF(D1200="?OLD","!!!","")</f>
        <v/>
      </c>
      <c r="F1200" s="21" t="str">
        <f aca="false">IF(OR(E1200="",E1200="!!!"),"",IF(NOT(ISNA(VLOOKUP(E1200,E$1:E1199,1,FALSE()))),"OLD",IF(AND(E1200&lt;&gt;"",E1200&lt;&gt;"!!!"),"NEW","")))</f>
        <v/>
      </c>
      <c r="G1200" s="22" t="str">
        <f aca="false"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3" t="str">
        <f aca="false">IF(J1200&lt;&gt;1,"",IF(I1200="SBJ","CB","?"))</f>
        <v/>
      </c>
      <c r="I1200" s="24" t="str">
        <f aca="false">IF(OR(E1200="",E1200="!!!",F1200="NEW"),"",INDEX(B$2:B1199,-1+SUMPRODUCT(MAX(ROW(E$2:E1199)*(E1200=E$2:E1199)))))</f>
        <v/>
      </c>
      <c r="J1200" s="24" t="str">
        <f aca="true">IF(OR(E1200="",E1200="!!!",F1200="NEW"),"",COUNTBLANK(OFFSET(A$1,,,SUMPRODUCT(MAX(ROW(E$2:E1200)*(E1200=E$2:E1200)))))-COUNTBLANK(OFFSET(A$1,,,SUMPRODUCT(MAX(ROW(E$1:E1199)*(E2=E$1:E1199))))))</f>
        <v/>
      </c>
      <c r="K1200" s="24" t="str">
        <f aca="false">IF(OR(E1200="",E1200="!!!",F1200="NEW"),"",INDEX(J$1:J1199,SUMPRODUCT(MAX(ROW(E$1:E1199)*(E1200=E$1:E1199)))))</f>
        <v/>
      </c>
      <c r="L1200" s="25"/>
    </row>
    <row r="1201" customFormat="false" ht="14.25" hidden="false" customHeight="false" outlineLevel="0" collapsed="false">
      <c r="A1201" s="0" t="s">
        <v>101</v>
      </c>
      <c r="E1201" s="20" t="str">
        <f aca="false">IF(D1201="?OLD","!!!","")</f>
        <v/>
      </c>
      <c r="F1201" s="21" t="str">
        <f aca="false">IF(OR(E1201="",E1201="!!!"),"",IF(NOT(ISNA(VLOOKUP(E1201,E$1:E1200,1,FALSE()))),"OLD",IF(AND(E1201&lt;&gt;"",E1201&lt;&gt;"!!!"),"NEW","")))</f>
        <v/>
      </c>
      <c r="G1201" s="22" t="str">
        <f aca="false"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3" t="str">
        <f aca="false">IF(J1201&lt;&gt;1,"",IF(I1201="SBJ","CB","?"))</f>
        <v/>
      </c>
      <c r="I1201" s="24" t="str">
        <f aca="false">IF(OR(E1201="",E1201="!!!",F1201="NEW"),"",INDEX(B$2:B1200,-1+SUMPRODUCT(MAX(ROW(E$2:E1200)*(E1201=E$2:E1200)))))</f>
        <v/>
      </c>
      <c r="J1201" s="24" t="str">
        <f aca="true">IF(OR(E1201="",E1201="!!!",F1201="NEW"),"",COUNTBLANK(OFFSET(A$1,,,SUMPRODUCT(MAX(ROW(E$2:E1201)*(E1201=E$2:E1201)))))-COUNTBLANK(OFFSET(A$1,,,SUMPRODUCT(MAX(ROW(E$1:E1200)*(E2=E$1:E1200))))))</f>
        <v/>
      </c>
      <c r="K1201" s="24" t="str">
        <f aca="false">IF(OR(E1201="",E1201="!!!",F1201="NEW"),"",INDEX(J$1:J1200,SUMPRODUCT(MAX(ROW(E$1:E1200)*(E1201=E$1:E1200)))))</f>
        <v/>
      </c>
      <c r="L1201" s="25"/>
    </row>
    <row r="1202" customFormat="false" ht="14.25" hidden="false" customHeight="false" outlineLevel="0" collapsed="false">
      <c r="A1202" s="0" t="s">
        <v>792</v>
      </c>
      <c r="B1202" s="26" t="s">
        <v>147</v>
      </c>
      <c r="C1202" s="26" t="s">
        <v>105</v>
      </c>
      <c r="E1202" s="20" t="str">
        <f aca="false">IF(D1202="?OLD","!!!","")</f>
        <v/>
      </c>
      <c r="F1202" s="21" t="str">
        <f aca="false">IF(OR(E1202="",E1202="!!!"),"",IF(NOT(ISNA(VLOOKUP(E1202,E$1:E1201,1,FALSE()))),"OLD",IF(AND(E1202&lt;&gt;"",E1202&lt;&gt;"!!!"),"NEW","")))</f>
        <v/>
      </c>
      <c r="G1202" s="22" t="str">
        <f aca="false"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aca="false">IF(J1202&lt;&gt;1,"",IF(I1202="SBJ","CB","?"))</f>
        <v/>
      </c>
      <c r="I1202" s="24" t="str">
        <f aca="false">IF(OR(E1202="",E1202="!!!",F1202="NEW"),"",INDEX(B$2:B1201,-1+SUMPRODUCT(MAX(ROW(E$2:E1201)*(E1202=E$2:E1201)))))</f>
        <v/>
      </c>
      <c r="J1202" s="24" t="str">
        <f aca="true">IF(OR(E1202="",E1202="!!!",F1202="NEW"),"",COUNTBLANK(OFFSET(A$1,,,SUMPRODUCT(MAX(ROW(E$2:E1202)*(E1202=E$2:E1202)))))-COUNTBLANK(OFFSET(A$1,,,SUMPRODUCT(MAX(ROW(E$1:E1201)*(E2=E$1:E1201))))))</f>
        <v/>
      </c>
      <c r="K1202" s="24" t="str">
        <f aca="false">IF(OR(E1202="",E1202="!!!",F1202="NEW"),"",INDEX(J$1:J1201,SUMPRODUCT(MAX(ROW(E$1:E1201)*(E1202=E$1:E1201)))))</f>
        <v/>
      </c>
      <c r="L1202" s="25"/>
    </row>
    <row r="1203" customFormat="false" ht="14.25" hidden="false" customHeight="false" outlineLevel="0" collapsed="false">
      <c r="A1203" s="0" t="s">
        <v>86</v>
      </c>
      <c r="E1203" s="20" t="str">
        <f aca="false">IF(D1203="?OLD","!!!","")</f>
        <v/>
      </c>
      <c r="F1203" s="21" t="str">
        <f aca="false">IF(OR(E1203="",E1203="!!!"),"",IF(NOT(ISNA(VLOOKUP(E1203,E$1:E1202,1,FALSE()))),"OLD",IF(AND(E1203&lt;&gt;"",E1203&lt;&gt;"!!!"),"NEW","")))</f>
        <v/>
      </c>
      <c r="G1203" s="22" t="str">
        <f aca="false"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aca="false">IF(J1203&lt;&gt;1,"",IF(I1203="SBJ","CB","?"))</f>
        <v/>
      </c>
      <c r="I1203" s="24" t="str">
        <f aca="false">IF(OR(E1203="",E1203="!!!",F1203="NEW"),"",INDEX(B$2:B1202,-1+SUMPRODUCT(MAX(ROW(E$2:E1202)*(E1203=E$2:E1202)))))</f>
        <v/>
      </c>
      <c r="J1203" s="24" t="str">
        <f aca="true">IF(OR(E1203="",E1203="!!!",F1203="NEW"),"",COUNTBLANK(OFFSET(A$1,,,SUMPRODUCT(MAX(ROW(E$2:E1203)*(E1203=E$2:E1203)))))-COUNTBLANK(OFFSET(A$1,,,SUMPRODUCT(MAX(ROW(E$1:E1202)*(E2=E$1:E1202))))))</f>
        <v/>
      </c>
      <c r="K1203" s="24" t="str">
        <f aca="false">IF(OR(E1203="",E1203="!!!",F1203="NEW"),"",INDEX(J$1:J1202,SUMPRODUCT(MAX(ROW(E$1:E1202)*(E1203=E$1:E1202)))))</f>
        <v/>
      </c>
      <c r="L1203" s="25"/>
    </row>
    <row r="1204" customFormat="false" ht="14.25" hidden="false" customHeight="false" outlineLevel="0" collapsed="false">
      <c r="A1204" s="0" t="s">
        <v>87</v>
      </c>
      <c r="B1204" s="26" t="s">
        <v>73</v>
      </c>
      <c r="C1204" s="26" t="s">
        <v>88</v>
      </c>
      <c r="D1204" s="26" t="s">
        <v>75</v>
      </c>
      <c r="E1204" s="20" t="s">
        <v>770</v>
      </c>
      <c r="F1204" s="21" t="str">
        <f aca="false">IF(OR(E1204="",E1204="!!!"),"",IF(NOT(ISNA(VLOOKUP(E1204,E$1:E1203,1,FALSE()))),"OLD",IF(AND(E1204&lt;&gt;"",E1204&lt;&gt;"!!!"),"NEW","")))</f>
        <v>OLD</v>
      </c>
      <c r="G1204" s="22" t="str">
        <f aca="false"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?IN_FOCUS</v>
      </c>
      <c r="H1204" s="23" t="str">
        <f aca="false">IF(J1204&lt;&gt;1,"",IF(I1204="SBJ","CB","?"))</f>
        <v/>
      </c>
      <c r="I1204" s="24" t="str">
        <f aca="false">IF(OR(E1204="",E1204="!!!",F1204="NEW"),"",INDEX(B$2:B1203,-1+SUMPRODUCT(MAX(ROW(E$2:E1203)*(E1204=E$2:E1203)))))</f>
        <v>SBJ_2</v>
      </c>
      <c r="J1204" s="24" t="n">
        <f aca="true">IF(OR(E1204="",E1204="!!!",F1204="NEW"),"",COUNTBLANK(OFFSET(A$1,,,SUMPRODUCT(MAX(ROW(E$2:E1204)*(E1204=E$2:E1204)))))-COUNTBLANK(OFFSET(A$1,,,SUMPRODUCT(MAX(ROW(E$1:E1203)*(E2=E$1:E1203))))))</f>
        <v>0</v>
      </c>
      <c r="K1204" s="24" t="n">
        <f aca="false">IF(OR(E1204="",E1204="!!!",F1204="NEW"),"",INDEX(J$1:J1203,SUMPRODUCT(MAX(ROW(E$1:E1203)*(E1204=E$1:E1203)))))</f>
        <v>0</v>
      </c>
      <c r="L1204" s="25"/>
    </row>
    <row r="1205" customFormat="false" ht="14.25" hidden="false" customHeight="false" outlineLevel="0" collapsed="false">
      <c r="A1205" s="0" t="s">
        <v>793</v>
      </c>
      <c r="E1205" s="20" t="str">
        <f aca="false">IF(D1205="?OLD","!!!","")</f>
        <v/>
      </c>
      <c r="F1205" s="21" t="str">
        <f aca="false">IF(OR(E1205="",E1205="!!!"),"",IF(NOT(ISNA(VLOOKUP(E1205,E$1:E1204,1,FALSE()))),"OLD",IF(AND(E1205&lt;&gt;"",E1205&lt;&gt;"!!!"),"NEW","")))</f>
        <v/>
      </c>
      <c r="G1205" s="22" t="str">
        <f aca="false"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aca="false">IF(J1205&lt;&gt;1,"",IF(I1205="SBJ","CB","?"))</f>
        <v/>
      </c>
      <c r="I1205" s="24" t="str">
        <f aca="false">IF(OR(E1205="",E1205="!!!",F1205="NEW"),"",INDEX(B$2:B1204,-1+SUMPRODUCT(MAX(ROW(E$2:E1204)*(E1205=E$2:E1204)))))</f>
        <v/>
      </c>
      <c r="J1205" s="24" t="str">
        <f aca="true">IF(OR(E1205="",E1205="!!!",F1205="NEW"),"",COUNTBLANK(OFFSET(A$1,,,SUMPRODUCT(MAX(ROW(E$2:E1205)*(E1205=E$2:E1205)))))-COUNTBLANK(OFFSET(A$1,,,SUMPRODUCT(MAX(ROW(E$1:E1204)*(E2=E$1:E1204))))))</f>
        <v/>
      </c>
      <c r="K1205" s="24" t="str">
        <f aca="false">IF(OR(E1205="",E1205="!!!",F1205="NEW"),"",INDEX(J$1:J1204,SUMPRODUCT(MAX(ROW(E$1:E1204)*(E1205=E$1:E1204)))))</f>
        <v/>
      </c>
      <c r="L1205" s="25"/>
    </row>
    <row r="1206" customFormat="false" ht="14.25" hidden="false" customHeight="false" outlineLevel="0" collapsed="false">
      <c r="A1206" s="0" t="s">
        <v>172</v>
      </c>
      <c r="E1206" s="20" t="str">
        <f aca="false">IF(D1206="?OLD","!!!","")</f>
        <v/>
      </c>
      <c r="F1206" s="21" t="str">
        <f aca="false">IF(OR(E1206="",E1206="!!!"),"",IF(NOT(ISNA(VLOOKUP(E1206,E$1:E1205,1,FALSE()))),"OLD",IF(AND(E1206&lt;&gt;"",E1206&lt;&gt;"!!!"),"NEW","")))</f>
        <v/>
      </c>
      <c r="G1206" s="22" t="str">
        <f aca="false"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aca="false">IF(J1206&lt;&gt;1,"",IF(I1206="SBJ","CB","?"))</f>
        <v/>
      </c>
      <c r="I1206" s="24" t="str">
        <f aca="false">IF(OR(E1206="",E1206="!!!",F1206="NEW"),"",INDEX(B$2:B1205,-1+SUMPRODUCT(MAX(ROW(E$2:E1205)*(E1206=E$2:E1205)))))</f>
        <v/>
      </c>
      <c r="J1206" s="24" t="str">
        <f aca="true">IF(OR(E1206="",E1206="!!!",F1206="NEW"),"",COUNTBLANK(OFFSET(A$1,,,SUMPRODUCT(MAX(ROW(E$2:E1206)*(E1206=E$2:E1206)))))-COUNTBLANK(OFFSET(A$1,,,SUMPRODUCT(MAX(ROW(E$1:E1205)*(E2=E$1:E1205))))))</f>
        <v/>
      </c>
      <c r="K1206" s="24" t="str">
        <f aca="false">IF(OR(E1206="",E1206="!!!",F1206="NEW"),"",INDEX(J$1:J1205,SUMPRODUCT(MAX(ROW(E$1:E1205)*(E1206=E$1:E1205)))))</f>
        <v/>
      </c>
      <c r="L1206" s="25"/>
    </row>
    <row r="1207" customFormat="false" ht="14.25" hidden="false" customHeight="false" outlineLevel="0" collapsed="false">
      <c r="A1207" s="0" t="s">
        <v>376</v>
      </c>
      <c r="E1207" s="20" t="str">
        <f aca="false">IF(D1207="?OLD","!!!","")</f>
        <v/>
      </c>
      <c r="F1207" s="21" t="str">
        <f aca="false">IF(OR(E1207="",E1207="!!!"),"",IF(NOT(ISNA(VLOOKUP(E1207,E$1:E1206,1,FALSE()))),"OLD",IF(AND(E1207&lt;&gt;"",E1207&lt;&gt;"!!!"),"NEW","")))</f>
        <v/>
      </c>
      <c r="G1207" s="22" t="str">
        <f aca="false"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aca="false">IF(J1207&lt;&gt;1,"",IF(I1207="SBJ","CB","?"))</f>
        <v/>
      </c>
      <c r="I1207" s="24" t="str">
        <f aca="false">IF(OR(E1207="",E1207="!!!",F1207="NEW"),"",INDEX(B$2:B1206,-1+SUMPRODUCT(MAX(ROW(E$2:E1206)*(E1207=E$2:E1206)))))</f>
        <v/>
      </c>
      <c r="J1207" s="24" t="str">
        <f aca="true">IF(OR(E1207="",E1207="!!!",F1207="NEW"),"",COUNTBLANK(OFFSET(A$1,,,SUMPRODUCT(MAX(ROW(E$2:E1207)*(E1207=E$2:E1207)))))-COUNTBLANK(OFFSET(A$1,,,SUMPRODUCT(MAX(ROW(E$1:E1206)*(E2=E$1:E1206))))))</f>
        <v/>
      </c>
      <c r="K1207" s="24" t="str">
        <f aca="false">IF(OR(E1207="",E1207="!!!",F1207="NEW"),"",INDEX(J$1:J1206,SUMPRODUCT(MAX(ROW(E$1:E1206)*(E1207=E$1:E1206)))))</f>
        <v/>
      </c>
      <c r="L1207" s="25"/>
    </row>
    <row r="1208" customFormat="false" ht="14.25" hidden="false" customHeight="false" outlineLevel="0" collapsed="false">
      <c r="A1208" s="0" t="s">
        <v>794</v>
      </c>
      <c r="E1208" s="20" t="str">
        <f aca="false">IF(D1208="?OLD","!!!","")</f>
        <v/>
      </c>
      <c r="F1208" s="21" t="str">
        <f aca="false">IF(OR(E1208="",E1208="!!!"),"",IF(NOT(ISNA(VLOOKUP(E1208,E$1:E1207,1,FALSE()))),"OLD",IF(AND(E1208&lt;&gt;"",E1208&lt;&gt;"!!!"),"NEW","")))</f>
        <v/>
      </c>
      <c r="G1208" s="22" t="str">
        <f aca="false"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aca="false">IF(J1208&lt;&gt;1,"",IF(I1208="SBJ","CB","?"))</f>
        <v/>
      </c>
      <c r="I1208" s="24" t="str">
        <f aca="false">IF(OR(E1208="",E1208="!!!",F1208="NEW"),"",INDEX(B$2:B1207,-1+SUMPRODUCT(MAX(ROW(E$2:E1207)*(E1208=E$2:E1207)))))</f>
        <v/>
      </c>
      <c r="J1208" s="24" t="str">
        <f aca="true">IF(OR(E1208="",E1208="!!!",F1208="NEW"),"",COUNTBLANK(OFFSET(A$1,,,SUMPRODUCT(MAX(ROW(E$2:E1208)*(E1208=E$2:E1208)))))-COUNTBLANK(OFFSET(A$1,,,SUMPRODUCT(MAX(ROW(E$1:E1207)*(E2=E$1:E1207))))))</f>
        <v/>
      </c>
      <c r="K1208" s="24" t="str">
        <f aca="false">IF(OR(E1208="",E1208="!!!",F1208="NEW"),"",INDEX(J$1:J1207,SUMPRODUCT(MAX(ROW(E$1:E1207)*(E1208=E$1:E1207)))))</f>
        <v/>
      </c>
      <c r="L1208" s="25"/>
    </row>
    <row r="1209" customFormat="false" ht="14.25" hidden="false" customHeight="false" outlineLevel="0" collapsed="false">
      <c r="A1209" s="0" t="s">
        <v>795</v>
      </c>
      <c r="B1209" s="26" t="s">
        <v>258</v>
      </c>
      <c r="C1209" s="26" t="s">
        <v>105</v>
      </c>
      <c r="E1209" s="20" t="str">
        <f aca="false">IF(D1209="?OLD","!!!","")</f>
        <v/>
      </c>
      <c r="F1209" s="21" t="str">
        <f aca="false">IF(OR(E1209="",E1209="!!!"),"",IF(NOT(ISNA(VLOOKUP(E1209,E$1:E1208,1,FALSE()))),"OLD",IF(AND(E1209&lt;&gt;"",E1209&lt;&gt;"!!!"),"NEW","")))</f>
        <v/>
      </c>
      <c r="G1209" s="22" t="str">
        <f aca="false"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aca="false">IF(J1209&lt;&gt;1,"",IF(I1209="SBJ","CB","?"))</f>
        <v/>
      </c>
      <c r="I1209" s="24" t="str">
        <f aca="false">IF(OR(E1209="",E1209="!!!",F1209="NEW"),"",INDEX(B$2:B1208,-1+SUMPRODUCT(MAX(ROW(E$2:E1208)*(E1209=E$2:E1208)))))</f>
        <v/>
      </c>
      <c r="J1209" s="24" t="str">
        <f aca="true">IF(OR(E1209="",E1209="!!!",F1209="NEW"),"",COUNTBLANK(OFFSET(A$1,,,SUMPRODUCT(MAX(ROW(E$2:E1209)*(E1209=E$2:E1209)))))-COUNTBLANK(OFFSET(A$1,,,SUMPRODUCT(MAX(ROW(E$1:E1208)*(E2=E$1:E1208))))))</f>
        <v/>
      </c>
      <c r="K1209" s="24" t="str">
        <f aca="false">IF(OR(E1209="",E1209="!!!",F1209="NEW"),"",INDEX(J$1:J1208,SUMPRODUCT(MAX(ROW(E$1:E1208)*(E1209=E$1:E1208)))))</f>
        <v/>
      </c>
      <c r="L1209" s="25"/>
    </row>
    <row r="1210" customFormat="false" ht="14.25" hidden="false" customHeight="false" outlineLevel="0" collapsed="false">
      <c r="A1210" s="0" t="s">
        <v>796</v>
      </c>
      <c r="E1210" s="20" t="str">
        <f aca="false">IF(D1210="?OLD","!!!","")</f>
        <v/>
      </c>
      <c r="F1210" s="21" t="str">
        <f aca="false">IF(OR(E1210="",E1210="!!!"),"",IF(NOT(ISNA(VLOOKUP(E1210,E$1:E1209,1,FALSE()))),"OLD",IF(AND(E1210&lt;&gt;"",E1210&lt;&gt;"!!!"),"NEW","")))</f>
        <v/>
      </c>
      <c r="G1210" s="22" t="str">
        <f aca="false"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aca="false">IF(J1210&lt;&gt;1,"",IF(I1210="SBJ","CB","?"))</f>
        <v/>
      </c>
      <c r="I1210" s="24" t="str">
        <f aca="false">IF(OR(E1210="",E1210="!!!",F1210="NEW"),"",INDEX(B$2:B1209,-1+SUMPRODUCT(MAX(ROW(E$2:E1209)*(E1210=E$2:E1209)))))</f>
        <v/>
      </c>
      <c r="J1210" s="24" t="str">
        <f aca="true">IF(OR(E1210="",E1210="!!!",F1210="NEW"),"",COUNTBLANK(OFFSET(A$1,,,SUMPRODUCT(MAX(ROW(E$2:E1210)*(E1210=E$2:E1210)))))-COUNTBLANK(OFFSET(A$1,,,SUMPRODUCT(MAX(ROW(E$1:E1209)*(E2=E$1:E1209))))))</f>
        <v/>
      </c>
      <c r="K1210" s="24" t="str">
        <f aca="false">IF(OR(E1210="",E1210="!!!",F1210="NEW"),"",INDEX(J$1:J1209,SUMPRODUCT(MAX(ROW(E$1:E1209)*(E1210=E$1:E1209)))))</f>
        <v/>
      </c>
      <c r="L1210" s="25"/>
    </row>
    <row r="1211" customFormat="false" ht="14.25" hidden="false" customHeight="false" outlineLevel="0" collapsed="false">
      <c r="A1211" s="0" t="s">
        <v>136</v>
      </c>
      <c r="E1211" s="20" t="str">
        <f aca="false">IF(D1211="?OLD","!!!","")</f>
        <v/>
      </c>
      <c r="F1211" s="21" t="str">
        <f aca="false">IF(OR(E1211="",E1211="!!!"),"",IF(NOT(ISNA(VLOOKUP(E1211,E$1:E1210,1,FALSE()))),"OLD",IF(AND(E1211&lt;&gt;"",E1211&lt;&gt;"!!!"),"NEW","")))</f>
        <v/>
      </c>
      <c r="G1211" s="22" t="str">
        <f aca="false"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aca="false">IF(J1211&lt;&gt;1,"",IF(I1211="SBJ","CB","?"))</f>
        <v/>
      </c>
      <c r="I1211" s="24" t="str">
        <f aca="false">IF(OR(E1211="",E1211="!!!",F1211="NEW"),"",INDEX(B$2:B1210,-1+SUMPRODUCT(MAX(ROW(E$2:E1210)*(E1211=E$2:E1210)))))</f>
        <v/>
      </c>
      <c r="J1211" s="24" t="str">
        <f aca="true">IF(OR(E1211="",E1211="!!!",F1211="NEW"),"",COUNTBLANK(OFFSET(A$1,,,SUMPRODUCT(MAX(ROW(E$2:E1211)*(E1211=E$2:E1211)))))-COUNTBLANK(OFFSET(A$1,,,SUMPRODUCT(MAX(ROW(E$1:E1210)*(E2=E$1:E1210))))))</f>
        <v/>
      </c>
      <c r="K1211" s="24" t="str">
        <f aca="false">IF(OR(E1211="",E1211="!!!",F1211="NEW"),"",INDEX(J$1:J1210,SUMPRODUCT(MAX(ROW(E$1:E1210)*(E1211=E$1:E1210)))))</f>
        <v/>
      </c>
      <c r="L1211" s="25"/>
    </row>
    <row r="1212" customFormat="false" ht="14.25" hidden="false" customHeight="false" outlineLevel="0" collapsed="false">
      <c r="A1212" s="0" t="s">
        <v>384</v>
      </c>
      <c r="E1212" s="20" t="str">
        <f aca="false">IF(D1212="?OLD","!!!","")</f>
        <v/>
      </c>
      <c r="F1212" s="21" t="str">
        <f aca="false">IF(OR(E1212="",E1212="!!!"),"",IF(NOT(ISNA(VLOOKUP(E1212,E$1:E1211,1,FALSE()))),"OLD",IF(AND(E1212&lt;&gt;"",E1212&lt;&gt;"!!!"),"NEW","")))</f>
        <v/>
      </c>
      <c r="G1212" s="22" t="str">
        <f aca="false"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aca="false">IF(J1212&lt;&gt;1,"",IF(I1212="SBJ","CB","?"))</f>
        <v/>
      </c>
      <c r="I1212" s="24" t="str">
        <f aca="false">IF(OR(E1212="",E1212="!!!",F1212="NEW"),"",INDEX(B$2:B1211,-1+SUMPRODUCT(MAX(ROW(E$2:E1211)*(E1212=E$2:E1211)))))</f>
        <v/>
      </c>
      <c r="J1212" s="24" t="str">
        <f aca="true">IF(OR(E1212="",E1212="!!!",F1212="NEW"),"",COUNTBLANK(OFFSET(A$1,,,SUMPRODUCT(MAX(ROW(E$2:E1212)*(E1212=E$2:E1212)))))-COUNTBLANK(OFFSET(A$1,,,SUMPRODUCT(MAX(ROW(E$1:E1211)*(E2=E$1:E1211))))))</f>
        <v/>
      </c>
      <c r="K1212" s="24" t="str">
        <f aca="false">IF(OR(E1212="",E1212="!!!",F1212="NEW"),"",INDEX(J$1:J1211,SUMPRODUCT(MAX(ROW(E$1:E1211)*(E1212=E$1:E1211)))))</f>
        <v/>
      </c>
      <c r="L1212" s="25"/>
    </row>
    <row r="1213" customFormat="false" ht="14.25" hidden="false" customHeight="false" outlineLevel="0" collapsed="false">
      <c r="A1213" s="0" t="s">
        <v>797</v>
      </c>
      <c r="B1213" s="26" t="s">
        <v>298</v>
      </c>
      <c r="C1213" s="26" t="s">
        <v>74</v>
      </c>
      <c r="D1213" s="26" t="s">
        <v>75</v>
      </c>
      <c r="E1213" s="20" t="s">
        <v>798</v>
      </c>
      <c r="F1213" s="21" t="str">
        <f aca="false">IF(OR(E1213="",E1213="!!!"),"",IF(NOT(ISNA(VLOOKUP(E1213,E$1:E1212,1,FALSE()))),"OLD",IF(AND(E1213&lt;&gt;"",E1213&lt;&gt;"!!!"),"NEW","")))</f>
        <v>NEW</v>
      </c>
      <c r="G1213" s="22" t="str">
        <f aca="false"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?REFERENTIAL</v>
      </c>
      <c r="H1213" s="23" t="str">
        <f aca="false">IF(J1213&lt;&gt;1,"",IF(I1213="SBJ","CB","?"))</f>
        <v/>
      </c>
      <c r="I1213" s="24" t="str">
        <f aca="false">IF(OR(E1213="",E1213="!!!",F1213="NEW"),"",INDEX(B$2:B1212,-1+SUMPRODUCT(MAX(ROW(E$2:E1212)*(E1213=E$2:E1212)))))</f>
        <v/>
      </c>
      <c r="J1213" s="24" t="str">
        <f aca="true">IF(OR(E1213="",E1213="!!!",F1213="NEW"),"",COUNTBLANK(OFFSET(A$1,,,SUMPRODUCT(MAX(ROW(E$2:E1213)*(E1213=E$2:E1213)))))-COUNTBLANK(OFFSET(A$1,,,SUMPRODUCT(MAX(ROW(E$1:E1212)*(E2=E$1:E1212))))))</f>
        <v/>
      </c>
      <c r="K1213" s="24" t="str">
        <f aca="false">IF(OR(E1213="",E1213="!!!",F1213="NEW"),"",INDEX(J$1:J1212,SUMPRODUCT(MAX(ROW(E$1:E1212)*(E1213=E$1:E1212)))))</f>
        <v/>
      </c>
      <c r="L1213" s="25"/>
    </row>
    <row r="1214" customFormat="false" ht="14.25" hidden="false" customHeight="false" outlineLevel="0" collapsed="false">
      <c r="A1214" s="0" t="s">
        <v>799</v>
      </c>
      <c r="E1214" s="20" t="str">
        <f aca="false">IF(D1214="?OLD","!!!","")</f>
        <v/>
      </c>
      <c r="F1214" s="21" t="str">
        <f aca="false">IF(OR(E1214="",E1214="!!!"),"",IF(NOT(ISNA(VLOOKUP(E1214,E$1:E1213,1,FALSE()))),"OLD",IF(AND(E1214&lt;&gt;"",E1214&lt;&gt;"!!!"),"NEW","")))</f>
        <v/>
      </c>
      <c r="G1214" s="22" t="str">
        <f aca="false"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aca="false">IF(J1214&lt;&gt;1,"",IF(I1214="SBJ","CB","?"))</f>
        <v/>
      </c>
      <c r="I1214" s="24" t="str">
        <f aca="false">IF(OR(E1214="",E1214="!!!",F1214="NEW"),"",INDEX(B$2:B1213,-1+SUMPRODUCT(MAX(ROW(E$2:E1213)*(E1214=E$2:E1213)))))</f>
        <v/>
      </c>
      <c r="J1214" s="24" t="str">
        <f aca="true">IF(OR(E1214="",E1214="!!!",F1214="NEW"),"",COUNTBLANK(OFFSET(A$1,,,SUMPRODUCT(MAX(ROW(E$2:E1214)*(E1214=E$2:E1214)))))-COUNTBLANK(OFFSET(A$1,,,SUMPRODUCT(MAX(ROW(E$1:E1213)*(E2=E$1:E1213))))))</f>
        <v/>
      </c>
      <c r="K1214" s="24" t="str">
        <f aca="false">IF(OR(E1214="",E1214="!!!",F1214="NEW"),"",INDEX(J$1:J1213,SUMPRODUCT(MAX(ROW(E$1:E1213)*(E1214=E$1:E1213)))))</f>
        <v/>
      </c>
      <c r="L1214" s="25"/>
    </row>
    <row r="1215" customFormat="false" ht="14.25" hidden="false" customHeight="false" outlineLevel="0" collapsed="false">
      <c r="A1215" s="0" t="s">
        <v>800</v>
      </c>
      <c r="B1215" s="26" t="s">
        <v>298</v>
      </c>
      <c r="C1215" s="26" t="s">
        <v>119</v>
      </c>
      <c r="E1215" s="20" t="str">
        <f aca="false">IF(D1215="?OLD","!!!","")</f>
        <v/>
      </c>
      <c r="F1215" s="21" t="str">
        <f aca="false">IF(OR(E1215="",E1215="!!!"),"",IF(NOT(ISNA(VLOOKUP(E1215,E$1:E1214,1,FALSE()))),"OLD",IF(AND(E1215&lt;&gt;"",E1215&lt;&gt;"!!!"),"NEW","")))</f>
        <v/>
      </c>
      <c r="G1215" s="22" t="str">
        <f aca="false"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3" t="str">
        <f aca="false">IF(J1215&lt;&gt;1,"",IF(I1215="SBJ","CB","?"))</f>
        <v/>
      </c>
      <c r="I1215" s="24" t="str">
        <f aca="false">IF(OR(E1215="",E1215="!!!",F1215="NEW"),"",INDEX(B$2:B1214,-1+SUMPRODUCT(MAX(ROW(E$2:E1214)*(E1215=E$2:E1214)))))</f>
        <v/>
      </c>
      <c r="J1215" s="24" t="str">
        <f aca="true">IF(OR(E1215="",E1215="!!!",F1215="NEW"),"",COUNTBLANK(OFFSET(A$1,,,SUMPRODUCT(MAX(ROW(E$2:E1215)*(E1215=E$2:E1215)))))-COUNTBLANK(OFFSET(A$1,,,SUMPRODUCT(MAX(ROW(E$1:E1214)*(E2=E$1:E1214))))))</f>
        <v/>
      </c>
      <c r="K1215" s="24" t="str">
        <f aca="false">IF(OR(E1215="",E1215="!!!",F1215="NEW"),"",INDEX(J$1:J1214,SUMPRODUCT(MAX(ROW(E$1:E1214)*(E1215=E$1:E1214)))))</f>
        <v/>
      </c>
      <c r="L1215" s="25"/>
    </row>
    <row r="1216" customFormat="false" ht="14.25" hidden="false" customHeight="false" outlineLevel="0" collapsed="false">
      <c r="A1216" s="0" t="s">
        <v>241</v>
      </c>
      <c r="E1216" s="20" t="str">
        <f aca="false">IF(D1216="?OLD","!!!","")</f>
        <v/>
      </c>
      <c r="F1216" s="21" t="str">
        <f aca="false">IF(OR(E1216="",E1216="!!!"),"",IF(NOT(ISNA(VLOOKUP(E1216,E$1:E1215,1,FALSE()))),"OLD",IF(AND(E1216&lt;&gt;"",E1216&lt;&gt;"!!!"),"NEW","")))</f>
        <v/>
      </c>
      <c r="G1216" s="22" t="str">
        <f aca="false"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3" t="str">
        <f aca="false">IF(J1216&lt;&gt;1,"",IF(I1216="SBJ","CB","?"))</f>
        <v/>
      </c>
      <c r="I1216" s="24" t="str">
        <f aca="false">IF(OR(E1216="",E1216="!!!",F1216="NEW"),"",INDEX(B$2:B1215,-1+SUMPRODUCT(MAX(ROW(E$2:E1215)*(E1216=E$2:E1215)))))</f>
        <v/>
      </c>
      <c r="J1216" s="24" t="str">
        <f aca="true">IF(OR(E1216="",E1216="!!!",F1216="NEW"),"",COUNTBLANK(OFFSET(A$1,,,SUMPRODUCT(MAX(ROW(E$2:E1216)*(E1216=E$2:E1216)))))-COUNTBLANK(OFFSET(A$1,,,SUMPRODUCT(MAX(ROW(E$1:E1215)*(E2=E$1:E1215))))))</f>
        <v/>
      </c>
      <c r="K1216" s="24" t="str">
        <f aca="false">IF(OR(E1216="",E1216="!!!",F1216="NEW"),"",INDEX(J$1:J1215,SUMPRODUCT(MAX(ROW(E$1:E1215)*(E1216=E$1:E1215)))))</f>
        <v/>
      </c>
      <c r="L1216" s="25"/>
    </row>
    <row r="1217" customFormat="false" ht="14.25" hidden="false" customHeight="false" outlineLevel="0" collapsed="false">
      <c r="A1217" s="0" t="s">
        <v>801</v>
      </c>
      <c r="B1217" s="26" t="s">
        <v>307</v>
      </c>
      <c r="C1217" s="26" t="s">
        <v>74</v>
      </c>
      <c r="D1217" s="26" t="s">
        <v>75</v>
      </c>
      <c r="E1217" s="20" t="s">
        <v>435</v>
      </c>
      <c r="F1217" s="21" t="s">
        <v>273</v>
      </c>
      <c r="G1217" s="22" t="str">
        <f aca="false"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?IN_FOCUS</v>
      </c>
      <c r="H1217" s="23" t="str">
        <f aca="false">IF(J1217&lt;&gt;1,"",IF(I1217="SBJ","CB","?"))</f>
        <v/>
      </c>
      <c r="I1217" s="24" t="str">
        <f aca="false">IF(OR(E1217="",E1217="!!!",F1217="NEW"),"",INDEX(B$2:B1216,-1+SUMPRODUCT(MAX(ROW(E$2:E1216)*(E1217=E$2:E1216)))))</f>
        <v>OBJ_6</v>
      </c>
      <c r="J1217" s="24" t="n">
        <f aca="true">IF(OR(E1217="",E1217="!!!",F1217="NEW"),"",COUNTBLANK(OFFSET(A$1,,,SUMPRODUCT(MAX(ROW(E$2:E1217)*(E1217=E$2:E1217)))))-COUNTBLANK(OFFSET(A$1,,,SUMPRODUCT(MAX(ROW(E$1:E1216)*(E2=E$1:E1216))))))</f>
        <v>0</v>
      </c>
      <c r="K1217" s="24" t="n">
        <f aca="false">IF(OR(E1217="",E1217="!!!",F1217="NEW"),"",INDEX(J$1:J1216,SUMPRODUCT(MAX(ROW(E$1:E1216)*(E1217=E$1:E1216)))))</f>
        <v>0</v>
      </c>
      <c r="L1217" s="25"/>
    </row>
    <row r="1218" customFormat="false" ht="14.25" hidden="false" customHeight="false" outlineLevel="0" collapsed="false">
      <c r="A1218" s="0" t="s">
        <v>172</v>
      </c>
      <c r="E1218" s="20" t="str">
        <f aca="false">IF(D1218="?OLD","!!!","")</f>
        <v/>
      </c>
      <c r="F1218" s="21" t="str">
        <f aca="false">IF(OR(E1218="",E1218="!!!"),"",IF(NOT(ISNA(VLOOKUP(E1218,E$1:E1217,1,FALSE()))),"OLD",IF(AND(E1218&lt;&gt;"",E1218&lt;&gt;"!!!"),"NEW","")))</f>
        <v/>
      </c>
      <c r="G1218" s="22" t="str">
        <f aca="false"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3" t="str">
        <f aca="false">IF(J1218&lt;&gt;1,"",IF(I1218="SBJ","CB","?"))</f>
        <v/>
      </c>
      <c r="I1218" s="24" t="str">
        <f aca="false">IF(OR(E1218="",E1218="!!!",F1218="NEW"),"",INDEX(B$2:B1217,-1+SUMPRODUCT(MAX(ROW(E$2:E1217)*(E1218=E$2:E1217)))))</f>
        <v/>
      </c>
      <c r="J1218" s="24" t="str">
        <f aca="true">IF(OR(E1218="",E1218="!!!",F1218="NEW"),"",COUNTBLANK(OFFSET(A$1,,,SUMPRODUCT(MAX(ROW(E$2:E1218)*(E1218=E$2:E1218)))))-COUNTBLANK(OFFSET(A$1,,,SUMPRODUCT(MAX(ROW(E$1:E1217)*(E2=E$1:E1217))))))</f>
        <v/>
      </c>
      <c r="K1218" s="24" t="str">
        <f aca="false">IF(OR(E1218="",E1218="!!!",F1218="NEW"),"",INDEX(J$1:J1217,SUMPRODUCT(MAX(ROW(E$1:E1217)*(E1218=E$1:E1217)))))</f>
        <v/>
      </c>
      <c r="L1218" s="25"/>
    </row>
    <row r="1219" customFormat="false" ht="14.25" hidden="false" customHeight="false" outlineLevel="0" collapsed="false">
      <c r="A1219" s="0" t="s">
        <v>802</v>
      </c>
      <c r="B1219" s="26" t="s">
        <v>307</v>
      </c>
      <c r="C1219" s="26" t="s">
        <v>111</v>
      </c>
      <c r="E1219" s="20" t="str">
        <f aca="false">IF(D1219="?OLD","!!!","")</f>
        <v/>
      </c>
      <c r="F1219" s="21" t="str">
        <f aca="false">IF(OR(E1219="",E1219="!!!"),"",IF(NOT(ISNA(VLOOKUP(E1219,E$1:E1218,1,FALSE()))),"OLD",IF(AND(E1219&lt;&gt;"",E1219&lt;&gt;"!!!"),"NEW","")))</f>
        <v/>
      </c>
      <c r="G1219" s="22" t="str">
        <f aca="false"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aca="false">IF(J1219&lt;&gt;1,"",IF(I1219="SBJ","CB","?"))</f>
        <v/>
      </c>
      <c r="I1219" s="24" t="str">
        <f aca="false">IF(OR(E1219="",E1219="!!!",F1219="NEW"),"",INDEX(B$2:B1218,-1+SUMPRODUCT(MAX(ROW(E$2:E1218)*(E1219=E$2:E1218)))))</f>
        <v/>
      </c>
      <c r="J1219" s="24" t="str">
        <f aca="true">IF(OR(E1219="",E1219="!!!",F1219="NEW"),"",COUNTBLANK(OFFSET(A$1,,,SUMPRODUCT(MAX(ROW(E$2:E1219)*(E1219=E$2:E1219)))))-COUNTBLANK(OFFSET(A$1,,,SUMPRODUCT(MAX(ROW(E$1:E1218)*(E2=E$1:E1218))))))</f>
        <v/>
      </c>
      <c r="K1219" s="24" t="str">
        <f aca="false">IF(OR(E1219="",E1219="!!!",F1219="NEW"),"",INDEX(J$1:J1218,SUMPRODUCT(MAX(ROW(E$1:E1218)*(E1219=E$1:E1218)))))</f>
        <v/>
      </c>
      <c r="L1219" s="25"/>
    </row>
    <row r="1220" customFormat="false" ht="14.25" hidden="false" customHeight="false" outlineLevel="0" collapsed="false">
      <c r="A1220" s="0" t="s">
        <v>101</v>
      </c>
      <c r="E1220" s="20" t="str">
        <f aca="false">IF(D1220="?OLD","!!!","")</f>
        <v/>
      </c>
      <c r="F1220" s="21" t="str">
        <f aca="false">IF(OR(E1220="",E1220="!!!"),"",IF(NOT(ISNA(VLOOKUP(E1220,E$1:E1219,1,FALSE()))),"OLD",IF(AND(E1220&lt;&gt;"",E1220&lt;&gt;"!!!"),"NEW","")))</f>
        <v/>
      </c>
      <c r="G1220" s="22" t="str">
        <f aca="false"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aca="false">IF(J1220&lt;&gt;1,"",IF(I1220="SBJ","CB","?"))</f>
        <v/>
      </c>
      <c r="I1220" s="24" t="str">
        <f aca="false">IF(OR(E1220="",E1220="!!!",F1220="NEW"),"",INDEX(B$2:B1219,-1+SUMPRODUCT(MAX(ROW(E$2:E1219)*(E1220=E$2:E1219)))))</f>
        <v/>
      </c>
      <c r="J1220" s="24" t="str">
        <f aca="true">IF(OR(E1220="",E1220="!!!",F1220="NEW"),"",COUNTBLANK(OFFSET(A$1,,,SUMPRODUCT(MAX(ROW(E$2:E1220)*(E1220=E$2:E1220)))))-COUNTBLANK(OFFSET(A$1,,,SUMPRODUCT(MAX(ROW(E$1:E1219)*(E2=E$1:E1219))))))</f>
        <v/>
      </c>
      <c r="K1220" s="24" t="str">
        <f aca="false">IF(OR(E1220="",E1220="!!!",F1220="NEW"),"",INDEX(J$1:J1219,SUMPRODUCT(MAX(ROW(E$1:E1219)*(E1220=E$1:E1219)))))</f>
        <v/>
      </c>
      <c r="L1220" s="25"/>
    </row>
    <row r="1221" customFormat="false" ht="14.25" hidden="false" customHeight="false" outlineLevel="0" collapsed="false">
      <c r="A1221" s="0" t="s">
        <v>803</v>
      </c>
      <c r="B1221" s="26" t="s">
        <v>410</v>
      </c>
      <c r="C1221" s="26" t="s">
        <v>111</v>
      </c>
      <c r="E1221" s="20" t="str">
        <f aca="false">IF(D1221="?OLD","!!!","")</f>
        <v/>
      </c>
      <c r="F1221" s="21" t="str">
        <f aca="false">IF(OR(E1221="",E1221="!!!"),"",IF(NOT(ISNA(VLOOKUP(E1221,E$1:E1220,1,FALSE()))),"OLD",IF(AND(E1221&lt;&gt;"",E1221&lt;&gt;"!!!"),"NEW","")))</f>
        <v/>
      </c>
      <c r="G1221" s="22" t="str">
        <f aca="false"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aca="false">IF(J1221&lt;&gt;1,"",IF(I1221="SBJ","CB","?"))</f>
        <v/>
      </c>
      <c r="I1221" s="24" t="str">
        <f aca="false">IF(OR(E1221="",E1221="!!!",F1221="NEW"),"",INDEX(B$2:B1220,-1+SUMPRODUCT(MAX(ROW(E$2:E1220)*(E1221=E$2:E1220)))))</f>
        <v/>
      </c>
      <c r="J1221" s="24" t="str">
        <f aca="true">IF(OR(E1221="",E1221="!!!",F1221="NEW"),"",COUNTBLANK(OFFSET(A$1,,,SUMPRODUCT(MAX(ROW(E$2:E1221)*(E1221=E$2:E1221)))))-COUNTBLANK(OFFSET(A$1,,,SUMPRODUCT(MAX(ROW(E$1:E1220)*(E2=E$1:E1220))))))</f>
        <v/>
      </c>
      <c r="K1221" s="24" t="str">
        <f aca="false">IF(OR(E1221="",E1221="!!!",F1221="NEW"),"",INDEX(J$1:J1220,SUMPRODUCT(MAX(ROW(E$1:E1220)*(E1221=E$1:E1220)))))</f>
        <v/>
      </c>
      <c r="L1221" s="25"/>
    </row>
    <row r="1222" customFormat="false" ht="14.25" hidden="false" customHeight="false" outlineLevel="0" collapsed="false">
      <c r="A1222" s="0" t="s">
        <v>142</v>
      </c>
      <c r="E1222" s="20" t="str">
        <f aca="false">IF(D1222="?OLD","!!!","")</f>
        <v/>
      </c>
      <c r="F1222" s="21" t="str">
        <f aca="false">IF(OR(E1222="",E1222="!!!"),"",IF(NOT(ISNA(VLOOKUP(E1222,E$1:E1221,1,FALSE()))),"OLD",IF(AND(E1222&lt;&gt;"",E1222&lt;&gt;"!!!"),"NEW","")))</f>
        <v/>
      </c>
      <c r="G1222" s="22" t="str">
        <f aca="false"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aca="false">IF(J1222&lt;&gt;1,"",IF(I1222="SBJ","CB","?"))</f>
        <v/>
      </c>
      <c r="I1222" s="24" t="str">
        <f aca="false">IF(OR(E1222="",E1222="!!!",F1222="NEW"),"",INDEX(B$2:B1221,-1+SUMPRODUCT(MAX(ROW(E$2:E1221)*(E1222=E$2:E1221)))))</f>
        <v/>
      </c>
      <c r="J1222" s="24" t="str">
        <f aca="true">IF(OR(E1222="",E1222="!!!",F1222="NEW"),"",COUNTBLANK(OFFSET(A$1,,,SUMPRODUCT(MAX(ROW(E$2:E1222)*(E1222=E$2:E1222)))))-COUNTBLANK(OFFSET(A$1,,,SUMPRODUCT(MAX(ROW(E$1:E1221)*(E2=E$1:E1221))))))</f>
        <v/>
      </c>
      <c r="K1222" s="24" t="str">
        <f aca="false">IF(OR(E1222="",E1222="!!!",F1222="NEW"),"",INDEX(J$1:J1221,SUMPRODUCT(MAX(ROW(E$1:E1221)*(E1222=E$1:E1221)))))</f>
        <v/>
      </c>
      <c r="L1222" s="25"/>
    </row>
    <row r="1223" customFormat="false" ht="14.25" hidden="false" customHeight="false" outlineLevel="0" collapsed="false">
      <c r="A1223" s="0" t="s">
        <v>804</v>
      </c>
      <c r="E1223" s="20" t="str">
        <f aca="false">IF(D1223="?OLD","!!!","")</f>
        <v/>
      </c>
      <c r="F1223" s="21" t="str">
        <f aca="false">IF(OR(E1223="",E1223="!!!"),"",IF(NOT(ISNA(VLOOKUP(E1223,E$1:E1222,1,FALSE()))),"OLD",IF(AND(E1223&lt;&gt;"",E1223&lt;&gt;"!!!"),"NEW","")))</f>
        <v/>
      </c>
      <c r="G1223" s="22" t="str">
        <f aca="false"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aca="false">IF(J1223&lt;&gt;1,"",IF(I1223="SBJ","CB","?"))</f>
        <v/>
      </c>
      <c r="I1223" s="24" t="str">
        <f aca="false">IF(OR(E1223="",E1223="!!!",F1223="NEW"),"",INDEX(B$2:B1222,-1+SUMPRODUCT(MAX(ROW(E$2:E1222)*(E1223=E$2:E1222)))))</f>
        <v/>
      </c>
      <c r="J1223" s="24" t="str">
        <f aca="true">IF(OR(E1223="",E1223="!!!",F1223="NEW"),"",COUNTBLANK(OFFSET(A$1,,,SUMPRODUCT(MAX(ROW(E$2:E1223)*(E1223=E$2:E1223)))))-COUNTBLANK(OFFSET(A$1,,,SUMPRODUCT(MAX(ROW(E$1:E1222)*(E2=E$1:E1222))))))</f>
        <v/>
      </c>
      <c r="K1223" s="24" t="str">
        <f aca="false">IF(OR(E1223="",E1223="!!!",F1223="NEW"),"",INDEX(J$1:J1222,SUMPRODUCT(MAX(ROW(E$1:E1222)*(E1223=E$1:E1222)))))</f>
        <v/>
      </c>
      <c r="L1223" s="25"/>
    </row>
    <row r="1224" customFormat="false" ht="14.25" hidden="false" customHeight="false" outlineLevel="0" collapsed="false">
      <c r="A1224" s="0" t="s">
        <v>434</v>
      </c>
      <c r="B1224" s="26" t="s">
        <v>410</v>
      </c>
      <c r="C1224" s="26" t="s">
        <v>105</v>
      </c>
      <c r="E1224" s="20" t="str">
        <f aca="false">IF(D1224="?OLD","!!!","")</f>
        <v/>
      </c>
      <c r="F1224" s="21" t="str">
        <f aca="false">IF(OR(E1224="",E1224="!!!"),"",IF(NOT(ISNA(VLOOKUP(E1224,E$1:E1223,1,FALSE()))),"OLD",IF(AND(E1224&lt;&gt;"",E1224&lt;&gt;"!!!"),"NEW","")))</f>
        <v/>
      </c>
      <c r="G1224" s="22" t="str">
        <f aca="false"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aca="false">IF(J1224&lt;&gt;1,"",IF(I1224="SBJ","CB","?"))</f>
        <v/>
      </c>
      <c r="I1224" s="24" t="str">
        <f aca="false">IF(OR(E1224="",E1224="!!!",F1224="NEW"),"",INDEX(B$2:B1223,-1+SUMPRODUCT(MAX(ROW(E$2:E1223)*(E1224=E$2:E1223)))))</f>
        <v/>
      </c>
      <c r="J1224" s="24" t="str">
        <f aca="true">IF(OR(E1224="",E1224="!!!",F1224="NEW"),"",COUNTBLANK(OFFSET(A$1,,,SUMPRODUCT(MAX(ROW(E$2:E1224)*(E1224=E$2:E1224)))))-COUNTBLANK(OFFSET(A$1,,,SUMPRODUCT(MAX(ROW(E$1:E1223)*(E2=E$1:E1223))))))</f>
        <v/>
      </c>
      <c r="K1224" s="24" t="str">
        <f aca="false">IF(OR(E1224="",E1224="!!!",F1224="NEW"),"",INDEX(J$1:J1223,SUMPRODUCT(MAX(ROW(E$1:E1223)*(E1224=E$1:E1223)))))</f>
        <v/>
      </c>
      <c r="L1224" s="25"/>
    </row>
    <row r="1225" customFormat="false" ht="14.25" hidden="false" customHeight="false" outlineLevel="0" collapsed="false">
      <c r="A1225" s="0" t="s">
        <v>86</v>
      </c>
      <c r="E1225" s="20" t="str">
        <f aca="false">IF(D1225="?OLD","!!!","")</f>
        <v/>
      </c>
      <c r="F1225" s="21" t="str">
        <f aca="false">IF(OR(E1225="",E1225="!!!"),"",IF(NOT(ISNA(VLOOKUP(E1225,E$1:E1224,1,FALSE()))),"OLD",IF(AND(E1225&lt;&gt;"",E1225&lt;&gt;"!!!"),"NEW","")))</f>
        <v/>
      </c>
      <c r="G1225" s="22" t="str">
        <f aca="false"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aca="false">IF(J1225&lt;&gt;1,"",IF(I1225="SBJ","CB","?"))</f>
        <v/>
      </c>
      <c r="I1225" s="24" t="str">
        <f aca="false">IF(OR(E1225="",E1225="!!!",F1225="NEW"),"",INDEX(B$2:B1224,-1+SUMPRODUCT(MAX(ROW(E$2:E1224)*(E1225=E$2:E1224)))))</f>
        <v/>
      </c>
      <c r="J1225" s="24" t="str">
        <f aca="true">IF(OR(E1225="",E1225="!!!",F1225="NEW"),"",COUNTBLANK(OFFSET(A$1,,,SUMPRODUCT(MAX(ROW(E$2:E1225)*(E1225=E$2:E1225)))))-COUNTBLANK(OFFSET(A$1,,,SUMPRODUCT(MAX(ROW(E$1:E1224)*(E2=E$1:E1224))))))</f>
        <v/>
      </c>
      <c r="K1225" s="24" t="str">
        <f aca="false">IF(OR(E1225="",E1225="!!!",F1225="NEW"),"",INDEX(J$1:J1224,SUMPRODUCT(MAX(ROW(E$1:E1224)*(E1225=E$1:E1224)))))</f>
        <v/>
      </c>
      <c r="L1225" s="25"/>
    </row>
    <row r="1226" customFormat="false" ht="14.25" hidden="false" customHeight="false" outlineLevel="0" collapsed="false">
      <c r="A1226" s="0" t="s">
        <v>747</v>
      </c>
      <c r="E1226" s="20" t="str">
        <f aca="false">IF(D1226="?OLD","!!!","")</f>
        <v/>
      </c>
      <c r="F1226" s="21" t="str">
        <f aca="false">IF(OR(E1226="",E1226="!!!"),"",IF(NOT(ISNA(VLOOKUP(E1226,E$1:E1225,1,FALSE()))),"OLD",IF(AND(E1226&lt;&gt;"",E1226&lt;&gt;"!!!"),"NEW","")))</f>
        <v/>
      </c>
      <c r="G1226" s="22" t="str">
        <f aca="false"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aca="false">IF(J1226&lt;&gt;1,"",IF(I1226="SBJ","CB","?"))</f>
        <v/>
      </c>
      <c r="I1226" s="24" t="str">
        <f aca="false">IF(OR(E1226="",E1226="!!!",F1226="NEW"),"",INDEX(B$2:B1225,-1+SUMPRODUCT(MAX(ROW(E$2:E1225)*(E1226=E$2:E1225)))))</f>
        <v/>
      </c>
      <c r="J1226" s="24" t="str">
        <f aca="true">IF(OR(E1226="",E1226="!!!",F1226="NEW"),"",COUNTBLANK(OFFSET(A$1,,,SUMPRODUCT(MAX(ROW(E$2:E1226)*(E1226=E$2:E1226)))))-COUNTBLANK(OFFSET(A$1,,,SUMPRODUCT(MAX(ROW(E$1:E1225)*(E2=E$1:E1225))))))</f>
        <v/>
      </c>
      <c r="K1226" s="24" t="str">
        <f aca="false">IF(OR(E1226="",E1226="!!!",F1226="NEW"),"",INDEX(J$1:J1225,SUMPRODUCT(MAX(ROW(E$1:E1225)*(E1226=E$1:E1225)))))</f>
        <v/>
      </c>
      <c r="L1226" s="25"/>
    </row>
    <row r="1227" customFormat="false" ht="14.25" hidden="false" customHeight="false" outlineLevel="0" collapsed="false">
      <c r="A1227" s="0" t="s">
        <v>78</v>
      </c>
      <c r="E1227" s="20" t="str">
        <f aca="false">IF(D1227="?OLD","!!!","")</f>
        <v/>
      </c>
      <c r="F1227" s="21" t="str">
        <f aca="false">IF(OR(E1227="",E1227="!!!"),"",IF(NOT(ISNA(VLOOKUP(E1227,E$1:E1226,1,FALSE()))),"OLD",IF(AND(E1227&lt;&gt;"",E1227&lt;&gt;"!!!"),"NEW","")))</f>
        <v/>
      </c>
      <c r="G1227" s="22" t="str">
        <f aca="false"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aca="false">IF(J1227&lt;&gt;1,"",IF(I1227="SBJ","CB","?"))</f>
        <v/>
      </c>
      <c r="I1227" s="24" t="str">
        <f aca="false">IF(OR(E1227="",E1227="!!!",F1227="NEW"),"",INDEX(B$2:B1226,-1+SUMPRODUCT(MAX(ROW(E$2:E1226)*(E1227=E$2:E1226)))))</f>
        <v/>
      </c>
      <c r="J1227" s="24" t="str">
        <f aca="true">IF(OR(E1227="",E1227="!!!",F1227="NEW"),"",COUNTBLANK(OFFSET(A$1,,,SUMPRODUCT(MAX(ROW(E$2:E1227)*(E1227=E$2:E1227)))))-COUNTBLANK(OFFSET(A$1,,,SUMPRODUCT(MAX(ROW(E$1:E1226)*(E2=E$1:E1226))))))</f>
        <v/>
      </c>
      <c r="K1227" s="24" t="str">
        <f aca="false">IF(OR(E1227="",E1227="!!!",F1227="NEW"),"",INDEX(J$1:J1226,SUMPRODUCT(MAX(ROW(E$1:E1226)*(E1227=E$1:E1226)))))</f>
        <v/>
      </c>
      <c r="L1227" s="25"/>
    </row>
    <row r="1228" customFormat="false" ht="14.25" hidden="false" customHeight="false" outlineLevel="0" collapsed="false">
      <c r="A1228" s="0" t="s">
        <v>213</v>
      </c>
      <c r="B1228" s="26" t="s">
        <v>304</v>
      </c>
      <c r="C1228" s="26" t="s">
        <v>209</v>
      </c>
      <c r="D1228" s="26" t="s">
        <v>75</v>
      </c>
      <c r="E1228" s="20"/>
      <c r="F1228" s="21" t="s">
        <v>107</v>
      </c>
      <c r="G1228" s="22" t="str">
        <f aca="false"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3" t="str">
        <f aca="false">IF(J1228&lt;&gt;1,"",IF(I1228="SBJ","CB","?"))</f>
        <v/>
      </c>
      <c r="I1228" s="24" t="str">
        <f aca="false">IF(OR(E1228="",E1228="!!!",F1228="NEW"),"",INDEX(B$2:B1227,-1+SUMPRODUCT(MAX(ROW(E$2:E1227)*(E1228=E$2:E1227)))))</f>
        <v/>
      </c>
      <c r="J1228" s="24" t="str">
        <f aca="true">IF(OR(E1228="",E1228="!!!",F1228="NEW"),"",COUNTBLANK(OFFSET(A$1,,,SUMPRODUCT(MAX(ROW(E$2:E1228)*(E1228=E$2:E1228)))))-COUNTBLANK(OFFSET(A$1,,,SUMPRODUCT(MAX(ROW(E$1:E1227)*(E2=E$1:E1227))))))</f>
        <v/>
      </c>
      <c r="K1228" s="24" t="str">
        <f aca="false">IF(OR(E1228="",E1228="!!!",F1228="NEW"),"",INDEX(J$1:J1227,SUMPRODUCT(MAX(ROW(E$1:E1227)*(E1228=E$1:E1227)))))</f>
        <v/>
      </c>
      <c r="L1228" s="25"/>
    </row>
    <row r="1229" customFormat="false" ht="14.25" hidden="false" customHeight="false" outlineLevel="0" collapsed="false">
      <c r="A1229" s="0" t="s">
        <v>365</v>
      </c>
      <c r="B1229" s="26" t="s">
        <v>307</v>
      </c>
      <c r="C1229" s="26" t="s">
        <v>283</v>
      </c>
      <c r="D1229" s="26" t="s">
        <v>75</v>
      </c>
      <c r="E1229" s="20" t="s">
        <v>366</v>
      </c>
      <c r="F1229" s="21" t="str">
        <f aca="false">IF(OR(E1229="",E1229="!!!"),"",IF(NOT(ISNA(VLOOKUP(E1229,E$1:E1228,1,FALSE()))),"OLD",IF(AND(E1229&lt;&gt;"",E1229&lt;&gt;"!!!"),"NEW","")))</f>
        <v>OLD</v>
      </c>
      <c r="G1229" s="22" t="str">
        <f aca="false"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?IN_FOCUS</v>
      </c>
      <c r="H1229" s="23" t="str">
        <f aca="false">IF(J1229&lt;&gt;1,"",IF(I1229="SBJ","CB","?"))</f>
        <v/>
      </c>
      <c r="I1229" s="24" t="str">
        <f aca="false">IF(OR(E1229="",E1229="!!!",F1229="NEW"),"",INDEX(B$2:B1228,-1+SUMPRODUCT(MAX(ROW(E$2:E1228)*(E1229=E$2:E1228)))))</f>
        <v>SBJ_2</v>
      </c>
      <c r="J1229" s="24" t="n">
        <f aca="true">IF(OR(E1229="",E1229="!!!",F1229="NEW"),"",COUNTBLANK(OFFSET(A$1,,,SUMPRODUCT(MAX(ROW(E$2:E1229)*(E1229=E$2:E1229)))))-COUNTBLANK(OFFSET(A$1,,,SUMPRODUCT(MAX(ROW(E$1:E1228)*(E2=E$1:E1228))))))</f>
        <v>0</v>
      </c>
      <c r="K1229" s="24" t="n">
        <f aca="false">IF(OR(E1229="",E1229="!!!",F1229="NEW"),"",INDEX(J$1:J1228,SUMPRODUCT(MAX(ROW(E$1:E1228)*(E1229=E$1:E1228)))))</f>
        <v>0</v>
      </c>
      <c r="L1229" s="25"/>
    </row>
    <row r="1230" customFormat="false" ht="14.25" hidden="false" customHeight="false" outlineLevel="0" collapsed="false">
      <c r="A1230" s="0" t="s">
        <v>288</v>
      </c>
      <c r="B1230" s="26" t="s">
        <v>115</v>
      </c>
      <c r="C1230" s="26" t="s">
        <v>805</v>
      </c>
      <c r="D1230" s="26" t="s">
        <v>75</v>
      </c>
      <c r="E1230" s="20" t="s">
        <v>806</v>
      </c>
      <c r="F1230" s="21" t="str">
        <f aca="false">IF(OR(E1230="",E1230="!!!"),"",IF(NOT(ISNA(VLOOKUP(E1230,E$1:E1229,1,FALSE()))),"OLD",IF(AND(E1230&lt;&gt;"",E1230&lt;&gt;"!!!"),"NEW","")))</f>
        <v>NEW</v>
      </c>
      <c r="G1230" s="22" t="str">
        <f aca="false"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?REFERENTIAL</v>
      </c>
      <c r="H1230" s="23" t="str">
        <f aca="false">IF(J1230&lt;&gt;1,"",IF(I1230="SBJ","CB","?"))</f>
        <v/>
      </c>
      <c r="I1230" s="24" t="str">
        <f aca="false">IF(OR(E1230="",E1230="!!!",F1230="NEW"),"",INDEX(B$2:B1229,-1+SUMPRODUCT(MAX(ROW(E$2:E1229)*(E1230=E$2:E1229)))))</f>
        <v/>
      </c>
      <c r="J1230" s="24" t="str">
        <f aca="true">IF(OR(E1230="",E1230="!!!",F1230="NEW"),"",COUNTBLANK(OFFSET(A$1,,,SUMPRODUCT(MAX(ROW(E$2:E1230)*(E1230=E$2:E1230)))))-COUNTBLANK(OFFSET(A$1,,,SUMPRODUCT(MAX(ROW(E$1:E1229)*(E2=E$1:E1229))))))</f>
        <v/>
      </c>
      <c r="K1230" s="24" t="str">
        <f aca="false">IF(OR(E1230="",E1230="!!!",F1230="NEW"),"",INDEX(J$1:J1229,SUMPRODUCT(MAX(ROW(E$1:E1229)*(E1230=E$1:E1229)))))</f>
        <v/>
      </c>
      <c r="L1230" s="27" t="s">
        <v>807</v>
      </c>
    </row>
    <row r="1231" customFormat="false" ht="14.25" hidden="false" customHeight="false" outlineLevel="0" collapsed="false">
      <c r="A1231" s="0" t="s">
        <v>86</v>
      </c>
      <c r="E1231" s="20" t="str">
        <f aca="false">IF(D1231="?OLD","!!!","")</f>
        <v/>
      </c>
      <c r="F1231" s="21" t="str">
        <f aca="false">IF(OR(E1231="",E1231="!!!"),"",IF(NOT(ISNA(VLOOKUP(E1231,E$1:E1230,1,FALSE()))),"OLD",IF(AND(E1231&lt;&gt;"",E1231&lt;&gt;"!!!"),"NEW","")))</f>
        <v/>
      </c>
      <c r="G1231" s="22" t="str">
        <f aca="false"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aca="false">IF(J1231&lt;&gt;1,"",IF(I1231="SBJ","CB","?"))</f>
        <v/>
      </c>
      <c r="I1231" s="24" t="str">
        <f aca="false">IF(OR(E1231="",E1231="!!!",F1231="NEW"),"",INDEX(B$2:B1230,-1+SUMPRODUCT(MAX(ROW(E$2:E1230)*(E1231=E$2:E1230)))))</f>
        <v/>
      </c>
      <c r="J1231" s="24" t="str">
        <f aca="true">IF(OR(E1231="",E1231="!!!",F1231="NEW"),"",COUNTBLANK(OFFSET(A$1,,,SUMPRODUCT(MAX(ROW(E$2:E1231)*(E1231=E$2:E1231)))))-COUNTBLANK(OFFSET(A$1,,,SUMPRODUCT(MAX(ROW(E$1:E1230)*(E2=E$1:E1230))))))</f>
        <v/>
      </c>
      <c r="K1231" s="24" t="str">
        <f aca="false">IF(OR(E1231="",E1231="!!!",F1231="NEW"),"",INDEX(J$1:J1230,SUMPRODUCT(MAX(ROW(E$1:E1230)*(E1231=E$1:E1230)))))</f>
        <v/>
      </c>
      <c r="L1231" s="25"/>
    </row>
    <row r="1232" customFormat="false" ht="14.25" hidden="false" customHeight="false" outlineLevel="0" collapsed="false">
      <c r="A1232" s="0" t="s">
        <v>376</v>
      </c>
      <c r="E1232" s="20" t="str">
        <f aca="false">IF(D1232="?OLD","!!!","")</f>
        <v/>
      </c>
      <c r="F1232" s="21" t="str">
        <f aca="false">IF(OR(E1232="",E1232="!!!"),"",IF(NOT(ISNA(VLOOKUP(E1232,E$1:E1231,1,FALSE()))),"OLD",IF(AND(E1232&lt;&gt;"",E1232&lt;&gt;"!!!"),"NEW","")))</f>
        <v/>
      </c>
      <c r="G1232" s="22" t="str">
        <f aca="false"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aca="false">IF(J1232&lt;&gt;1,"",IF(I1232="SBJ","CB","?"))</f>
        <v/>
      </c>
      <c r="I1232" s="24" t="str">
        <f aca="false">IF(OR(E1232="",E1232="!!!",F1232="NEW"),"",INDEX(B$2:B1231,-1+SUMPRODUCT(MAX(ROW(E$2:E1231)*(E1232=E$2:E1231)))))</f>
        <v/>
      </c>
      <c r="J1232" s="24" t="str">
        <f aca="true">IF(OR(E1232="",E1232="!!!",F1232="NEW"),"",COUNTBLANK(OFFSET(A$1,,,SUMPRODUCT(MAX(ROW(E$2:E1232)*(E1232=E$2:E1232)))))-COUNTBLANK(OFFSET(A$1,,,SUMPRODUCT(MAX(ROW(E$1:E1231)*(E2=E$1:E1231))))))</f>
        <v/>
      </c>
      <c r="K1232" s="24" t="str">
        <f aca="false">IF(OR(E1232="",E1232="!!!",F1232="NEW"),"",INDEX(J$1:J1231,SUMPRODUCT(MAX(ROW(E$1:E1231)*(E1232=E$1:E1231)))))</f>
        <v/>
      </c>
      <c r="L1232" s="25"/>
    </row>
    <row r="1233" customFormat="false" ht="14.25" hidden="false" customHeight="false" outlineLevel="0" collapsed="false">
      <c r="A1233" s="0" t="s">
        <v>808</v>
      </c>
      <c r="B1233" s="26" t="s">
        <v>258</v>
      </c>
      <c r="C1233" s="26" t="s">
        <v>105</v>
      </c>
      <c r="E1233" s="20" t="str">
        <f aca="false">IF(D1233="?OLD","!!!","")</f>
        <v/>
      </c>
      <c r="F1233" s="21" t="str">
        <f aca="false">IF(OR(E1233="",E1233="!!!"),"",IF(NOT(ISNA(VLOOKUP(E1233,E$1:E1232,1,FALSE()))),"OLD",IF(AND(E1233&lt;&gt;"",E1233&lt;&gt;"!!!"),"NEW","")))</f>
        <v/>
      </c>
      <c r="G1233" s="22" t="str">
        <f aca="false"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aca="false">IF(J1233&lt;&gt;1,"",IF(I1233="SBJ","CB","?"))</f>
        <v/>
      </c>
      <c r="I1233" s="24" t="str">
        <f aca="false">IF(OR(E1233="",E1233="!!!",F1233="NEW"),"",INDEX(B$2:B1232,-1+SUMPRODUCT(MAX(ROW(E$2:E1232)*(E1233=E$2:E1232)))))</f>
        <v/>
      </c>
      <c r="J1233" s="24" t="str">
        <f aca="true">IF(OR(E1233="",E1233="!!!",F1233="NEW"),"",COUNTBLANK(OFFSET(A$1,,,SUMPRODUCT(MAX(ROW(E$2:E1233)*(E1233=E$2:E1233)))))-COUNTBLANK(OFFSET(A$1,,,SUMPRODUCT(MAX(ROW(E$1:E1232)*(E2=E$1:E1232))))))</f>
        <v/>
      </c>
      <c r="K1233" s="24" t="str">
        <f aca="false">IF(OR(E1233="",E1233="!!!",F1233="NEW"),"",INDEX(J$1:J1232,SUMPRODUCT(MAX(ROW(E$1:E1232)*(E1233=E$1:E1232)))))</f>
        <v/>
      </c>
      <c r="L1233" s="25"/>
    </row>
    <row r="1234" customFormat="false" ht="14.25" hidden="false" customHeight="false" outlineLevel="0" collapsed="false">
      <c r="A1234" s="0" t="s">
        <v>809</v>
      </c>
      <c r="E1234" s="20" t="s">
        <v>97</v>
      </c>
      <c r="F1234" s="21" t="str">
        <f aca="false">IF(OR(E1234="",E1234="!!!"),"",IF(NOT(ISNA(VLOOKUP(E1234,E$1:E1233,1,FALSE()))),"OLD",IF(AND(E1234&lt;&gt;"",E1234&lt;&gt;"!!!"),"NEW","")))</f>
        <v>OLD</v>
      </c>
      <c r="G1234" s="22" t="str">
        <f aca="false"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?IN_FOCUS</v>
      </c>
      <c r="H1234" s="23" t="str">
        <f aca="false">IF(J1234&lt;&gt;1,"",IF(I1234="SBJ","CB","?"))</f>
        <v/>
      </c>
      <c r="I1234" s="24" t="str">
        <f aca="false">IF(OR(E1234="",E1234="!!!",F1234="NEW"),"",INDEX(B$2:B1233,-1+SUMPRODUCT(MAX(ROW(E$2:E1233)*(E1234=E$2:E1233)))))</f>
        <v>SBJ_2</v>
      </c>
      <c r="J1234" s="24" t="n">
        <f aca="true">IF(OR(E1234="",E1234="!!!",F1234="NEW"),"",COUNTBLANK(OFFSET(A$1,,,SUMPRODUCT(MAX(ROW(E$2:E1234)*(E1234=E$2:E1234)))))-COUNTBLANK(OFFSET(A$1,,,SUMPRODUCT(MAX(ROW(E$1:E1233)*(E2=E$1:E1233))))))</f>
        <v>0</v>
      </c>
      <c r="K1234" s="24" t="n">
        <f aca="false">IF(OR(E1234="",E1234="!!!",F1234="NEW"),"",INDEX(J$1:J1233,SUMPRODUCT(MAX(ROW(E$1:E1233)*(E1234=E$1:E1233)))))</f>
        <v>0</v>
      </c>
      <c r="L1234" s="25"/>
    </row>
    <row r="1235" customFormat="false" ht="14.25" hidden="false" customHeight="false" outlineLevel="0" collapsed="false">
      <c r="A1235" s="0" t="s">
        <v>810</v>
      </c>
      <c r="B1235" s="26" t="s">
        <v>307</v>
      </c>
      <c r="C1235" s="26" t="s">
        <v>488</v>
      </c>
      <c r="E1235" s="20" t="s">
        <v>811</v>
      </c>
      <c r="F1235" s="21" t="str">
        <f aca="false">IF(OR(E1235="",E1235="!!!"),"",IF(NOT(ISNA(VLOOKUP(E1235,E$1:E1234,1,FALSE()))),"OLD",IF(AND(E1235&lt;&gt;"",E1235&lt;&gt;"!!!"),"NEW","")))</f>
        <v>NEW</v>
      </c>
      <c r="G1235" s="22" t="str">
        <f aca="false"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?REFERENTIAL</v>
      </c>
      <c r="H1235" s="23" t="str">
        <f aca="false">IF(J1235&lt;&gt;1,"",IF(I1235="SBJ","CB","?"))</f>
        <v/>
      </c>
      <c r="I1235" s="24" t="str">
        <f aca="false">IF(OR(E1235="",E1235="!!!",F1235="NEW"),"",INDEX(B$2:B1234,-1+SUMPRODUCT(MAX(ROW(E$2:E1234)*(E1235=E$2:E1234)))))</f>
        <v/>
      </c>
      <c r="J1235" s="24" t="str">
        <f aca="true">IF(OR(E1235="",E1235="!!!",F1235="NEW"),"",COUNTBLANK(OFFSET(A$1,,,SUMPRODUCT(MAX(ROW(E$2:E1235)*(E1235=E$2:E1235)))))-COUNTBLANK(OFFSET(A$1,,,SUMPRODUCT(MAX(ROW(E$1:E1234)*(E2=E$1:E1234))))))</f>
        <v/>
      </c>
      <c r="K1235" s="24" t="str">
        <f aca="false">IF(OR(E1235="",E1235="!!!",F1235="NEW"),"",INDEX(J$1:J1234,SUMPRODUCT(MAX(ROW(E$1:E1234)*(E1235=E$1:E1234)))))</f>
        <v/>
      </c>
      <c r="L1235" s="25"/>
    </row>
    <row r="1236" customFormat="false" ht="14.25" hidden="false" customHeight="false" outlineLevel="0" collapsed="false">
      <c r="A1236" s="0" t="s">
        <v>78</v>
      </c>
      <c r="E1236" s="20" t="str">
        <f aca="false">IF(D1236="?OLD","!!!","")</f>
        <v/>
      </c>
      <c r="F1236" s="21" t="str">
        <f aca="false">IF(OR(E1236="",E1236="!!!"),"",IF(NOT(ISNA(VLOOKUP(E1236,E$1:E1235,1,FALSE()))),"OLD",IF(AND(E1236&lt;&gt;"",E1236&lt;&gt;"!!!"),"NEW","")))</f>
        <v/>
      </c>
      <c r="G1236" s="22" t="str">
        <f aca="false"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3" t="str">
        <f aca="false">IF(J1236&lt;&gt;1,"",IF(I1236="SBJ","CB","?"))</f>
        <v/>
      </c>
      <c r="I1236" s="24" t="str">
        <f aca="false">IF(OR(E1236="",E1236="!!!",F1236="NEW"),"",INDEX(B$2:B1235,-1+SUMPRODUCT(MAX(ROW(E$2:E1235)*(E1236=E$2:E1235)))))</f>
        <v/>
      </c>
      <c r="J1236" s="24" t="str">
        <f aca="true">IF(OR(E1236="",E1236="!!!",F1236="NEW"),"",COUNTBLANK(OFFSET(A$1,,,SUMPRODUCT(MAX(ROW(E$2:E1236)*(E1236=E$2:E1236)))))-COUNTBLANK(OFFSET(A$1,,,SUMPRODUCT(MAX(ROW(E$1:E1235)*(E2=E$1:E1235))))))</f>
        <v/>
      </c>
      <c r="K1236" s="24" t="str">
        <f aca="false">IF(OR(E1236="",E1236="!!!",F1236="NEW"),"",INDEX(J$1:J1235,SUMPRODUCT(MAX(ROW(E$1:E1235)*(E1236=E$1:E1235)))))</f>
        <v/>
      </c>
      <c r="L1236" s="25"/>
    </row>
    <row r="1237" customFormat="false" ht="14.25" hidden="false" customHeight="false" outlineLevel="0" collapsed="false">
      <c r="A1237" s="0" t="s">
        <v>101</v>
      </c>
      <c r="E1237" s="20" t="str">
        <f aca="false">IF(D1237="?OLD","!!!","")</f>
        <v/>
      </c>
      <c r="F1237" s="21" t="str">
        <f aca="false">IF(OR(E1237="",E1237="!!!"),"",IF(NOT(ISNA(VLOOKUP(E1237,E$1:E1236,1,FALSE()))),"OLD",IF(AND(E1237&lt;&gt;"",E1237&lt;&gt;"!!!"),"NEW","")))</f>
        <v/>
      </c>
      <c r="G1237" s="22" t="str">
        <f aca="false"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aca="false">IF(J1237&lt;&gt;1,"",IF(I1237="SBJ","CB","?"))</f>
        <v/>
      </c>
      <c r="I1237" s="24" t="str">
        <f aca="false">IF(OR(E1237="",E1237="!!!",F1237="NEW"),"",INDEX(B$2:B1236,-1+SUMPRODUCT(MAX(ROW(E$2:E1236)*(E1237=E$2:E1236)))))</f>
        <v/>
      </c>
      <c r="J1237" s="24" t="str">
        <f aca="true">IF(OR(E1237="",E1237="!!!",F1237="NEW"),"",COUNTBLANK(OFFSET(A$1,,,SUMPRODUCT(MAX(ROW(E$2:E1237)*(E1237=E$2:E1237)))))-COUNTBLANK(OFFSET(A$1,,,SUMPRODUCT(MAX(ROW(E$1:E1236)*(E2=E$1:E1236))))))</f>
        <v/>
      </c>
      <c r="K1237" s="24" t="str">
        <f aca="false">IF(OR(E1237="",E1237="!!!",F1237="NEW"),"",INDEX(J$1:J1236,SUMPRODUCT(MAX(ROW(E$1:E1236)*(E1237=E$1:E1236)))))</f>
        <v/>
      </c>
      <c r="L1237" s="25"/>
    </row>
    <row r="1238" customFormat="false" ht="14.25" hidden="false" customHeight="false" outlineLevel="0" collapsed="false">
      <c r="A1238" s="0" t="s">
        <v>650</v>
      </c>
      <c r="E1238" s="20" t="str">
        <f aca="false">IF(D1238="?OLD","!!!","")</f>
        <v/>
      </c>
      <c r="F1238" s="21" t="str">
        <f aca="false">IF(OR(E1238="",E1238="!!!"),"",IF(NOT(ISNA(VLOOKUP(E1238,E$1:E1237,1,FALSE()))),"OLD",IF(AND(E1238&lt;&gt;"",E1238&lt;&gt;"!!!"),"NEW","")))</f>
        <v/>
      </c>
      <c r="G1238" s="22" t="str">
        <f aca="false"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aca="false">IF(J1238&lt;&gt;1,"",IF(I1238="SBJ","CB","?"))</f>
        <v/>
      </c>
      <c r="I1238" s="24" t="str">
        <f aca="false">IF(OR(E1238="",E1238="!!!",F1238="NEW"),"",INDEX(B$2:B1237,-1+SUMPRODUCT(MAX(ROW(E$2:E1237)*(E1238=E$2:E1237)))))</f>
        <v/>
      </c>
      <c r="J1238" s="24" t="str">
        <f aca="true">IF(OR(E1238="",E1238="!!!",F1238="NEW"),"",COUNTBLANK(OFFSET(A$1,,,SUMPRODUCT(MAX(ROW(E$2:E1238)*(E1238=E$2:E1238)))))-COUNTBLANK(OFFSET(A$1,,,SUMPRODUCT(MAX(ROW(E$1:E1237)*(E2=E$1:E1237))))))</f>
        <v/>
      </c>
      <c r="K1238" s="24" t="str">
        <f aca="false">IF(OR(E1238="",E1238="!!!",F1238="NEW"),"",INDEX(J$1:J1237,SUMPRODUCT(MAX(ROW(E$1:E1237)*(E1238=E$1:E1237)))))</f>
        <v/>
      </c>
      <c r="L1238" s="25"/>
    </row>
    <row r="1239" customFormat="false" ht="14.25" hidden="false" customHeight="false" outlineLevel="0" collapsed="false">
      <c r="A1239" s="0" t="s">
        <v>812</v>
      </c>
      <c r="E1239" s="20" t="str">
        <f aca="false">IF(D1239="?OLD","!!!","")</f>
        <v/>
      </c>
      <c r="F1239" s="21" t="str">
        <f aca="false">IF(OR(E1239="",E1239="!!!"),"",IF(NOT(ISNA(VLOOKUP(E1239,E$1:E1238,1,FALSE()))),"OLD",IF(AND(E1239&lt;&gt;"",E1239&lt;&gt;"!!!"),"NEW","")))</f>
        <v/>
      </c>
      <c r="G1239" s="22" t="str">
        <f aca="false"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aca="false">IF(J1239&lt;&gt;1,"",IF(I1239="SBJ","CB","?"))</f>
        <v/>
      </c>
      <c r="I1239" s="24" t="str">
        <f aca="false">IF(OR(E1239="",E1239="!!!",F1239="NEW"),"",INDEX(B$2:B1238,-1+SUMPRODUCT(MAX(ROW(E$2:E1238)*(E1239=E$2:E1238)))))</f>
        <v/>
      </c>
      <c r="J1239" s="24" t="str">
        <f aca="true">IF(OR(E1239="",E1239="!!!",F1239="NEW"),"",COUNTBLANK(OFFSET(A$1,,,SUMPRODUCT(MAX(ROW(E$2:E1239)*(E1239=E$2:E1239)))))-COUNTBLANK(OFFSET(A$1,,,SUMPRODUCT(MAX(ROW(E$1:E1238)*(E2=E$1:E1238))))))</f>
        <v/>
      </c>
      <c r="K1239" s="24" t="str">
        <f aca="false">IF(OR(E1239="",E1239="!!!",F1239="NEW"),"",INDEX(J$1:J1238,SUMPRODUCT(MAX(ROW(E$1:E1238)*(E1239=E$1:E1238)))))</f>
        <v/>
      </c>
      <c r="L1239" s="25"/>
    </row>
    <row r="1240" customFormat="false" ht="14.25" hidden="false" customHeight="false" outlineLevel="0" collapsed="false">
      <c r="A1240" s="0" t="s">
        <v>103</v>
      </c>
      <c r="B1240" s="26" t="s">
        <v>307</v>
      </c>
      <c r="C1240" s="26" t="s">
        <v>119</v>
      </c>
      <c r="E1240" s="20"/>
      <c r="F1240" s="21"/>
      <c r="G1240" s="22" t="str">
        <f aca="false"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3" t="str">
        <f aca="false">IF(J1240&lt;&gt;1,"",IF(I1240="SBJ","CB","?"))</f>
        <v/>
      </c>
      <c r="I1240" s="24" t="str">
        <f aca="false">IF(OR(E1240="",E1240="!!!",F1240="NEW"),"",INDEX(B$2:B1239,-1+SUMPRODUCT(MAX(ROW(E$2:E1239)*(E1240=E$2:E1239)))))</f>
        <v/>
      </c>
      <c r="J1240" s="24" t="str">
        <f aca="true">IF(OR(E1240="",E1240="!!!",F1240="NEW"),"",COUNTBLANK(OFFSET(A$1,,,SUMPRODUCT(MAX(ROW(E$2:E1240)*(E1240=E$2:E1240)))))-COUNTBLANK(OFFSET(A$1,,,SUMPRODUCT(MAX(ROW(E$1:E1239)*(E2=E$1:E1239))))))</f>
        <v/>
      </c>
      <c r="K1240" s="24" t="str">
        <f aca="false">IF(OR(E1240="",E1240="!!!",F1240="NEW"),"",INDEX(J$1:J1239,SUMPRODUCT(MAX(ROW(E$1:E1239)*(E1240=E$1:E1239)))))</f>
        <v/>
      </c>
      <c r="L1240" s="25"/>
    </row>
    <row r="1241" customFormat="false" ht="14.25" hidden="false" customHeight="false" outlineLevel="0" collapsed="false">
      <c r="A1241" s="0" t="s">
        <v>155</v>
      </c>
      <c r="E1241" s="20" t="str">
        <f aca="false">IF(D1241="?OLD","!!!","")</f>
        <v/>
      </c>
      <c r="F1241" s="21" t="str">
        <f aca="false">IF(OR(E1241="",E1241="!!!"),"",IF(NOT(ISNA(VLOOKUP(E1241,E$1:E1240,1,FALSE()))),"OLD",IF(AND(E1241&lt;&gt;"",E1241&lt;&gt;"!!!"),"NEW","")))</f>
        <v/>
      </c>
      <c r="G1241" s="22" t="str">
        <f aca="false"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aca="false">IF(J1241&lt;&gt;1,"",IF(I1241="SBJ","CB","?"))</f>
        <v/>
      </c>
      <c r="I1241" s="24" t="str">
        <f aca="false">IF(OR(E1241="",E1241="!!!",F1241="NEW"),"",INDEX(B$2:B1240,-1+SUMPRODUCT(MAX(ROW(E$2:E1240)*(E1241=E$2:E1240)))))</f>
        <v/>
      </c>
      <c r="J1241" s="24" t="str">
        <f aca="true">IF(OR(E1241="",E1241="!!!",F1241="NEW"),"",COUNTBLANK(OFFSET(A$1,,,SUMPRODUCT(MAX(ROW(E$2:E1241)*(E1241=E$2:E1241)))))-COUNTBLANK(OFFSET(A$1,,,SUMPRODUCT(MAX(ROW(E$1:E1240)*(E2=E$1:E1240))))))</f>
        <v/>
      </c>
      <c r="K1241" s="24" t="str">
        <f aca="false">IF(OR(E1241="",E1241="!!!",F1241="NEW"),"",INDEX(J$1:J1240,SUMPRODUCT(MAX(ROW(E$1:E1240)*(E1241=E$1:E1240)))))</f>
        <v/>
      </c>
      <c r="L1241" s="25"/>
    </row>
    <row r="1242" customFormat="false" ht="14.25" hidden="false" customHeight="false" outlineLevel="0" collapsed="false">
      <c r="A1242" s="0" t="s">
        <v>813</v>
      </c>
      <c r="E1242" s="20" t="str">
        <f aca="false">IF(D1242="?OLD","!!!","")</f>
        <v/>
      </c>
      <c r="F1242" s="21" t="str">
        <f aca="false">IF(OR(E1242="",E1242="!!!"),"",IF(NOT(ISNA(VLOOKUP(E1242,E$1:E1241,1,FALSE()))),"OLD",IF(AND(E1242&lt;&gt;"",E1242&lt;&gt;"!!!"),"NEW","")))</f>
        <v/>
      </c>
      <c r="G1242" s="22" t="str">
        <f aca="false"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aca="false">IF(J1242&lt;&gt;1,"",IF(I1242="SBJ","CB","?"))</f>
        <v/>
      </c>
      <c r="I1242" s="24" t="str">
        <f aca="false">IF(OR(E1242="",E1242="!!!",F1242="NEW"),"",INDEX(B$2:B1241,-1+SUMPRODUCT(MAX(ROW(E$2:E1241)*(E1242=E$2:E1241)))))</f>
        <v/>
      </c>
      <c r="J1242" s="24" t="str">
        <f aca="true">IF(OR(E1242="",E1242="!!!",F1242="NEW"),"",COUNTBLANK(OFFSET(A$1,,,SUMPRODUCT(MAX(ROW(E$2:E1242)*(E1242=E$2:E1242)))))-COUNTBLANK(OFFSET(A$1,,,SUMPRODUCT(MAX(ROW(E$1:E1241)*(E2=E$1:E1241))))))</f>
        <v/>
      </c>
      <c r="K1242" s="24" t="str">
        <f aca="false">IF(OR(E1242="",E1242="!!!",F1242="NEW"),"",INDEX(J$1:J1241,SUMPRODUCT(MAX(ROW(E$1:E1241)*(E1242=E$1:E1241)))))</f>
        <v/>
      </c>
      <c r="L1242" s="25"/>
    </row>
    <row r="1243" customFormat="false" ht="14.25" hidden="false" customHeight="false" outlineLevel="0" collapsed="false">
      <c r="A1243" s="0" t="s">
        <v>86</v>
      </c>
      <c r="E1243" s="20" t="str">
        <f aca="false">IF(D1243="?OLD","!!!","")</f>
        <v/>
      </c>
      <c r="F1243" s="21" t="str">
        <f aca="false">IF(OR(E1243="",E1243="!!!"),"",IF(NOT(ISNA(VLOOKUP(E1243,E$1:E1242,1,FALSE()))),"OLD",IF(AND(E1243&lt;&gt;"",E1243&lt;&gt;"!!!"),"NEW","")))</f>
        <v/>
      </c>
      <c r="G1243" s="22" t="str">
        <f aca="false"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aca="false">IF(J1243&lt;&gt;1,"",IF(I1243="SBJ","CB","?"))</f>
        <v/>
      </c>
      <c r="I1243" s="24" t="str">
        <f aca="false">IF(OR(E1243="",E1243="!!!",F1243="NEW"),"",INDEX(B$2:B1242,-1+SUMPRODUCT(MAX(ROW(E$2:E1242)*(E1243=E$2:E1242)))))</f>
        <v/>
      </c>
      <c r="J1243" s="24" t="str">
        <f aca="true">IF(OR(E1243="",E1243="!!!",F1243="NEW"),"",COUNTBLANK(OFFSET(A$1,,,SUMPRODUCT(MAX(ROW(E$2:E1243)*(E1243=E$2:E1243)))))-COUNTBLANK(OFFSET(A$1,,,SUMPRODUCT(MAX(ROW(E$1:E1242)*(E2=E$1:E1242))))))</f>
        <v/>
      </c>
      <c r="K1243" s="24" t="str">
        <f aca="false">IF(OR(E1243="",E1243="!!!",F1243="NEW"),"",INDEX(J$1:J1242,SUMPRODUCT(MAX(ROW(E$1:E1242)*(E1243=E$1:E1242)))))</f>
        <v/>
      </c>
      <c r="L1243" s="25"/>
    </row>
    <row r="1244" customFormat="false" ht="14.25" hidden="false" customHeight="false" outlineLevel="0" collapsed="false">
      <c r="A1244" s="0" t="s">
        <v>814</v>
      </c>
      <c r="E1244" s="20" t="str">
        <f aca="false">IF(D1244="?OLD","!!!","")</f>
        <v/>
      </c>
      <c r="F1244" s="21" t="str">
        <f aca="false">IF(OR(E1244="",E1244="!!!"),"",IF(NOT(ISNA(VLOOKUP(E1244,E$1:E1243,1,FALSE()))),"OLD",IF(AND(E1244&lt;&gt;"",E1244&lt;&gt;"!!!"),"NEW","")))</f>
        <v/>
      </c>
      <c r="G1244" s="22" t="str">
        <f aca="false"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aca="false">IF(J1244&lt;&gt;1,"",IF(I1244="SBJ","CB","?"))</f>
        <v/>
      </c>
      <c r="I1244" s="24" t="str">
        <f aca="false">IF(OR(E1244="",E1244="!!!",F1244="NEW"),"",INDEX(B$2:B1243,-1+SUMPRODUCT(MAX(ROW(E$2:E1243)*(E1244=E$2:E1243)))))</f>
        <v/>
      </c>
      <c r="J1244" s="24" t="str">
        <f aca="true">IF(OR(E1244="",E1244="!!!",F1244="NEW"),"",COUNTBLANK(OFFSET(A$1,,,SUMPRODUCT(MAX(ROW(E$2:E1244)*(E1244=E$2:E1244)))))-COUNTBLANK(OFFSET(A$1,,,SUMPRODUCT(MAX(ROW(E$1:E1243)*(E2=E$1:E1243))))))</f>
        <v/>
      </c>
      <c r="K1244" s="24" t="str">
        <f aca="false">IF(OR(E1244="",E1244="!!!",F1244="NEW"),"",INDEX(J$1:J1243,SUMPRODUCT(MAX(ROW(E$1:E1243)*(E1244=E$1:E1243)))))</f>
        <v/>
      </c>
      <c r="L1244" s="25"/>
    </row>
    <row r="1245" customFormat="false" ht="14.25" hidden="false" customHeight="false" outlineLevel="0" collapsed="false">
      <c r="A1245" s="0" t="s">
        <v>815</v>
      </c>
      <c r="B1245" s="26" t="s">
        <v>204</v>
      </c>
      <c r="C1245" s="26" t="s">
        <v>111</v>
      </c>
      <c r="E1245" s="20"/>
      <c r="F1245" s="21" t="str">
        <f aca="false">IF(OR(E1245="",E1245="!!!"),"",IF(NOT(ISNA(VLOOKUP(E1245,E$1:E1244,1,FALSE()))),"OLD",IF(AND(E1245&lt;&gt;"",E1245&lt;&gt;"!!!"),"NEW","")))</f>
        <v/>
      </c>
      <c r="G1245" s="22" t="str">
        <f aca="false"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23" t="str">
        <f aca="false">IF(J1245&lt;&gt;1,"",IF(I1245="SBJ","CB","?"))</f>
        <v/>
      </c>
      <c r="I1245" s="24" t="str">
        <f aca="false">IF(OR(E1245="",E1245="!!!",F1245="NEW"),"",INDEX(B$2:B1244,-1+SUMPRODUCT(MAX(ROW(E$2:E1244)*(E1245=E$2:E1244)))))</f>
        <v/>
      </c>
      <c r="J1245" s="24" t="str">
        <f aca="true">IF(OR(E1245="",E1245="!!!",F1245="NEW"),"",COUNTBLANK(OFFSET(A$1,,,SUMPRODUCT(MAX(ROW(E$2:E1245)*(E1245=E$2:E1245)))))-COUNTBLANK(OFFSET(A$1,,,SUMPRODUCT(MAX(ROW(E$1:E1244)*(E2=E$1:E1244))))))</f>
        <v/>
      </c>
      <c r="K1245" s="24" t="str">
        <f aca="false">IF(OR(E1245="",E1245="!!!",F1245="NEW"),"",INDEX(J$1:J1244,SUMPRODUCT(MAX(ROW(E$1:E1244)*(E1245=E$1:E1244)))))</f>
        <v/>
      </c>
      <c r="L1245" s="25"/>
    </row>
    <row r="1246" customFormat="false" ht="14.25" hidden="false" customHeight="false" outlineLevel="0" collapsed="false">
      <c r="A1246" s="0" t="s">
        <v>467</v>
      </c>
      <c r="E1246" s="20" t="str">
        <f aca="false">IF(D1246="?OLD","!!!","")</f>
        <v/>
      </c>
      <c r="F1246" s="21" t="str">
        <f aca="false">IF(OR(E1246="",E1246="!!!"),"",IF(NOT(ISNA(VLOOKUP(E1246,E$1:E1245,1,FALSE()))),"OLD",IF(AND(E1246&lt;&gt;"",E1246&lt;&gt;"!!!"),"NEW","")))</f>
        <v/>
      </c>
      <c r="G1246" s="22" t="str">
        <f aca="false"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3" t="str">
        <f aca="false">IF(J1246&lt;&gt;1,"",IF(I1246="SBJ","CB","?"))</f>
        <v/>
      </c>
      <c r="I1246" s="24" t="str">
        <f aca="false">IF(OR(E1246="",E1246="!!!",F1246="NEW"),"",INDEX(B$2:B1245,-1+SUMPRODUCT(MAX(ROW(E$2:E1245)*(E1246=E$2:E1245)))))</f>
        <v/>
      </c>
      <c r="J1246" s="24" t="str">
        <f aca="true">IF(OR(E1246="",E1246="!!!",F1246="NEW"),"",COUNTBLANK(OFFSET(A$1,,,SUMPRODUCT(MAX(ROW(E$2:E1246)*(E1246=E$2:E1246)))))-COUNTBLANK(OFFSET(A$1,,,SUMPRODUCT(MAX(ROW(E$1:E1245)*(E2=E$1:E1245))))))</f>
        <v/>
      </c>
      <c r="K1246" s="24" t="str">
        <f aca="false">IF(OR(E1246="",E1246="!!!",F1246="NEW"),"",INDEX(J$1:J1245,SUMPRODUCT(MAX(ROW(E$1:E1245)*(E1246=E$1:E1245)))))</f>
        <v/>
      </c>
      <c r="L1246" s="25"/>
    </row>
    <row r="1247" customFormat="false" ht="14.25" hidden="false" customHeight="false" outlineLevel="0" collapsed="false">
      <c r="A1247" s="0" t="s">
        <v>160</v>
      </c>
      <c r="E1247" s="20" t="s">
        <v>806</v>
      </c>
      <c r="F1247" s="21" t="str">
        <f aca="false">IF(OR(E1247="",E1247="!!!"),"",IF(NOT(ISNA(VLOOKUP(E1247,E$1:E1246,1,FALSE()))),"OLD",IF(AND(E1247&lt;&gt;"",E1247&lt;&gt;"!!!"),"NEW","")))</f>
        <v>OLD</v>
      </c>
      <c r="G1247" s="22" t="str">
        <f aca="false"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?IN_FOCUS</v>
      </c>
      <c r="H1247" s="23" t="str">
        <f aca="false">IF(J1247&lt;&gt;1,"",IF(I1247="SBJ","CB","?"))</f>
        <v/>
      </c>
      <c r="I1247" s="24" t="str">
        <f aca="false">IF(OR(E1247="",E1247="!!!",F1247="NEW"),"",INDEX(B$2:B1246,-1+SUMPRODUCT(MAX(ROW(E$2:E1246)*(E1247=E$2:E1246)))))</f>
        <v>other_4</v>
      </c>
      <c r="J1247" s="24" t="n">
        <f aca="true">IF(OR(E1247="",E1247="!!!",F1247="NEW"),"",COUNTBLANK(OFFSET(A$1,,,SUMPRODUCT(MAX(ROW(E$2:E1247)*(E1247=E$2:E1247)))))-COUNTBLANK(OFFSET(A$1,,,SUMPRODUCT(MAX(ROW(E$1:E1246)*(E2=E$1:E1246))))))</f>
        <v>0</v>
      </c>
      <c r="K1247" s="24" t="str">
        <f aca="false">IF(OR(E1247="",E1247="!!!",F1247="NEW"),"",INDEX(J$1:J1246,SUMPRODUCT(MAX(ROW(E$1:E1246)*(E1247=E$1:E1246)))))</f>
        <v/>
      </c>
      <c r="L1247" s="25"/>
    </row>
    <row r="1248" customFormat="false" ht="14.25" hidden="false" customHeight="false" outlineLevel="0" collapsed="false">
      <c r="A1248" s="0" t="s">
        <v>654</v>
      </c>
      <c r="E1248" s="20" t="str">
        <f aca="false">IF(D1248="?OLD","!!!","")</f>
        <v/>
      </c>
      <c r="F1248" s="21" t="str">
        <f aca="false">IF(OR(E1248="",E1248="!!!"),"",IF(NOT(ISNA(VLOOKUP(E1248,E$1:E1247,1,FALSE()))),"OLD",IF(AND(E1248&lt;&gt;"",E1248&lt;&gt;"!!!"),"NEW","")))</f>
        <v/>
      </c>
      <c r="G1248" s="22" t="str">
        <f aca="false"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aca="false">IF(J1248&lt;&gt;1,"",IF(I1248="SBJ","CB","?"))</f>
        <v/>
      </c>
      <c r="I1248" s="24" t="str">
        <f aca="false">IF(OR(E1248="",E1248="!!!",F1248="NEW"),"",INDEX(B$2:B1247,-1+SUMPRODUCT(MAX(ROW(E$2:E1247)*(E1248=E$2:E1247)))))</f>
        <v/>
      </c>
      <c r="J1248" s="24" t="str">
        <f aca="true">IF(OR(E1248="",E1248="!!!",F1248="NEW"),"",COUNTBLANK(OFFSET(A$1,,,SUMPRODUCT(MAX(ROW(E$2:E1248)*(E1248=E$2:E1248)))))-COUNTBLANK(OFFSET(A$1,,,SUMPRODUCT(MAX(ROW(E$1:E1247)*(E2=E$1:E1247))))))</f>
        <v/>
      </c>
      <c r="K1248" s="24" t="str">
        <f aca="false">IF(OR(E1248="",E1248="!!!",F1248="NEW"),"",INDEX(J$1:J1247,SUMPRODUCT(MAX(ROW(E$1:E1247)*(E1248=E$1:E1247)))))</f>
        <v/>
      </c>
      <c r="L1248" s="25"/>
    </row>
    <row r="1249" customFormat="false" ht="14.25" hidden="false" customHeight="false" outlineLevel="0" collapsed="false">
      <c r="A1249" s="0" t="s">
        <v>86</v>
      </c>
      <c r="E1249" s="20" t="str">
        <f aca="false">IF(D1249="?OLD","!!!","")</f>
        <v/>
      </c>
      <c r="F1249" s="21" t="str">
        <f aca="false">IF(OR(E1249="",E1249="!!!"),"",IF(NOT(ISNA(VLOOKUP(E1249,E$1:E1248,1,FALSE()))),"OLD",IF(AND(E1249&lt;&gt;"",E1249&lt;&gt;"!!!"),"NEW","")))</f>
        <v/>
      </c>
      <c r="G1249" s="22" t="str">
        <f aca="false"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aca="false">IF(J1249&lt;&gt;1,"",IF(I1249="SBJ","CB","?"))</f>
        <v/>
      </c>
      <c r="I1249" s="24" t="str">
        <f aca="false">IF(OR(E1249="",E1249="!!!",F1249="NEW"),"",INDEX(B$2:B1248,-1+SUMPRODUCT(MAX(ROW(E$2:E1248)*(E1249=E$2:E1248)))))</f>
        <v/>
      </c>
      <c r="J1249" s="24" t="str">
        <f aca="true">IF(OR(E1249="",E1249="!!!",F1249="NEW"),"",COUNTBLANK(OFFSET(A$1,,,SUMPRODUCT(MAX(ROW(E$2:E1249)*(E1249=E$2:E1249)))))-COUNTBLANK(OFFSET(A$1,,,SUMPRODUCT(MAX(ROW(E$1:E1248)*(E2=E$1:E1248))))))</f>
        <v/>
      </c>
      <c r="K1249" s="24" t="str">
        <f aca="false">IF(OR(E1249="",E1249="!!!",F1249="NEW"),"",INDEX(J$1:J1248,SUMPRODUCT(MAX(ROW(E$1:E1248)*(E1249=E$1:E1248)))))</f>
        <v/>
      </c>
      <c r="L1249" s="25"/>
    </row>
    <row r="1250" customFormat="false" ht="14.25" hidden="false" customHeight="false" outlineLevel="0" collapsed="false">
      <c r="A1250" s="0" t="s">
        <v>816</v>
      </c>
      <c r="E1250" s="20" t="str">
        <f aca="false">IF(D1250="?OLD","!!!","")</f>
        <v/>
      </c>
      <c r="F1250" s="21" t="str">
        <f aca="false">IF(OR(E1250="",E1250="!!!"),"",IF(NOT(ISNA(VLOOKUP(E1250,E$1:E1249,1,FALSE()))),"OLD",IF(AND(E1250&lt;&gt;"",E1250&lt;&gt;"!!!"),"NEW","")))</f>
        <v/>
      </c>
      <c r="G1250" s="22" t="str">
        <f aca="false"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3" t="str">
        <f aca="false">IF(J1250&lt;&gt;1,"",IF(I1250="SBJ","CB","?"))</f>
        <v/>
      </c>
      <c r="I1250" s="24" t="str">
        <f aca="false">IF(OR(E1250="",E1250="!!!",F1250="NEW"),"",INDEX(B$2:B1249,-1+SUMPRODUCT(MAX(ROW(E$2:E1249)*(E1250=E$2:E1249)))))</f>
        <v/>
      </c>
      <c r="J1250" s="24" t="str">
        <f aca="true">IF(OR(E1250="",E1250="!!!",F1250="NEW"),"",COUNTBLANK(OFFSET(A$1,,,SUMPRODUCT(MAX(ROW(E$2:E1250)*(E1250=E$2:E1250)))))-COUNTBLANK(OFFSET(A$1,,,SUMPRODUCT(MAX(ROW(E$1:E1249)*(E2=E$1:E1249))))))</f>
        <v/>
      </c>
      <c r="K1250" s="24" t="str">
        <f aca="false">IF(OR(E1250="",E1250="!!!",F1250="NEW"),"",INDEX(J$1:J1249,SUMPRODUCT(MAX(ROW(E$1:E1249)*(E1250=E$1:E1249)))))</f>
        <v/>
      </c>
      <c r="L1250" s="25"/>
    </row>
    <row r="1251" customFormat="false" ht="14.25" hidden="false" customHeight="false" outlineLevel="0" collapsed="false">
      <c r="A1251" s="0" t="s">
        <v>817</v>
      </c>
      <c r="E1251" s="20" t="str">
        <f aca="false">IF(D1251="?OLD","!!!","")</f>
        <v/>
      </c>
      <c r="F1251" s="21" t="str">
        <f aca="false">IF(OR(E1251="",E1251="!!!"),"",IF(NOT(ISNA(VLOOKUP(E1251,E$1:E1250,1,FALSE()))),"OLD",IF(AND(E1251&lt;&gt;"",E1251&lt;&gt;"!!!"),"NEW","")))</f>
        <v/>
      </c>
      <c r="G1251" s="22" t="str">
        <f aca="false"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3" t="str">
        <f aca="false">IF(J1251&lt;&gt;1,"",IF(I1251="SBJ","CB","?"))</f>
        <v/>
      </c>
      <c r="I1251" s="24" t="str">
        <f aca="false">IF(OR(E1251="",E1251="!!!",F1251="NEW"),"",INDEX(B$2:B1250,-1+SUMPRODUCT(MAX(ROW(E$2:E1250)*(E1251=E$2:E1250)))))</f>
        <v/>
      </c>
      <c r="J1251" s="24" t="str">
        <f aca="true">IF(OR(E1251="",E1251="!!!",F1251="NEW"),"",COUNTBLANK(OFFSET(A$1,,,SUMPRODUCT(MAX(ROW(E$2:E1251)*(E1251=E$2:E1251)))))-COUNTBLANK(OFFSET(A$1,,,SUMPRODUCT(MAX(ROW(E$1:E1250)*(E2=E$1:E1250))))))</f>
        <v/>
      </c>
      <c r="K1251" s="24" t="str">
        <f aca="false">IF(OR(E1251="",E1251="!!!",F1251="NEW"),"",INDEX(J$1:J1250,SUMPRODUCT(MAX(ROW(E$1:E1250)*(E1251=E$1:E1250)))))</f>
        <v/>
      </c>
      <c r="L1251" s="25"/>
    </row>
    <row r="1252" customFormat="false" ht="14.25" hidden="false" customHeight="false" outlineLevel="0" collapsed="false">
      <c r="A1252" s="0" t="s">
        <v>95</v>
      </c>
      <c r="B1252" s="26" t="s">
        <v>419</v>
      </c>
      <c r="C1252" s="26" t="s">
        <v>88</v>
      </c>
      <c r="D1252" s="26" t="s">
        <v>75</v>
      </c>
      <c r="E1252" s="20" t="s">
        <v>97</v>
      </c>
      <c r="F1252" s="21" t="str">
        <f aca="false">IF(OR(E1252="",E1252="!!!"),"",IF(NOT(ISNA(VLOOKUP(E1252,E$1:E1251,1,FALSE()))),"OLD",IF(AND(E1252&lt;&gt;"",E1252&lt;&gt;"!!!"),"NEW","")))</f>
        <v>OLD</v>
      </c>
      <c r="G1252" s="22" t="str">
        <f aca="false"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?IN_FOCUS</v>
      </c>
      <c r="H1252" s="23" t="str">
        <f aca="false">IF(J1252&lt;&gt;1,"",IF(I1252="SBJ","CB","?"))</f>
        <v/>
      </c>
      <c r="I1252" s="24" t="n">
        <f aca="false">IF(OR(E1252="",E1252="!!!",F1252="NEW"),"",INDEX(B$2:B1251,-1+SUMPRODUCT(MAX(ROW(E$2:E1251)*(E1252=E$2:E1251)))))</f>
        <v>0</v>
      </c>
      <c r="J1252" s="24" t="n">
        <f aca="true">IF(OR(E1252="",E1252="!!!",F1252="NEW"),"",COUNTBLANK(OFFSET(A$1,,,SUMPRODUCT(MAX(ROW(E$2:E1252)*(E1252=E$2:E1252)))))-COUNTBLANK(OFFSET(A$1,,,SUMPRODUCT(MAX(ROW(E$1:E1251)*(E2=E$1:E1251))))))</f>
        <v>0</v>
      </c>
      <c r="K1252" s="24" t="n">
        <f aca="false">IF(OR(E1252="",E1252="!!!",F1252="NEW"),"",INDEX(J$1:J1251,SUMPRODUCT(MAX(ROW(E$1:E1251)*(E1252=E$1:E1251)))))</f>
        <v>0</v>
      </c>
      <c r="L1252" s="25"/>
    </row>
    <row r="1253" customFormat="false" ht="14.25" hidden="false" customHeight="false" outlineLevel="0" collapsed="false">
      <c r="A1253" s="0" t="s">
        <v>172</v>
      </c>
      <c r="E1253" s="20" t="str">
        <f aca="false">IF(D1253="?OLD","!!!","")</f>
        <v/>
      </c>
      <c r="F1253" s="21" t="str">
        <f aca="false">IF(OR(E1253="",E1253="!!!"),"",IF(NOT(ISNA(VLOOKUP(E1253,E$1:E1252,1,FALSE()))),"OLD",IF(AND(E1253&lt;&gt;"",E1253&lt;&gt;"!!!"),"NEW","")))</f>
        <v/>
      </c>
      <c r="G1253" s="22" t="str">
        <f aca="false"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3" t="str">
        <f aca="false">IF(J1253&lt;&gt;1,"",IF(I1253="SBJ","CB","?"))</f>
        <v/>
      </c>
      <c r="I1253" s="24" t="str">
        <f aca="false">IF(OR(E1253="",E1253="!!!",F1253="NEW"),"",INDEX(B$2:B1252,-1+SUMPRODUCT(MAX(ROW(E$2:E1252)*(E1253=E$2:E1252)))))</f>
        <v/>
      </c>
      <c r="J1253" s="24" t="str">
        <f aca="true">IF(OR(E1253="",E1253="!!!",F1253="NEW"),"",COUNTBLANK(OFFSET(A$1,,,SUMPRODUCT(MAX(ROW(E$2:E1253)*(E1253=E$2:E1253)))))-COUNTBLANK(OFFSET(A$1,,,SUMPRODUCT(MAX(ROW(E$1:E1252)*(E2=E$1:E1252))))))</f>
        <v/>
      </c>
      <c r="K1253" s="24" t="str">
        <f aca="false">IF(OR(E1253="",E1253="!!!",F1253="NEW"),"",INDEX(J$1:J1252,SUMPRODUCT(MAX(ROW(E$1:E1252)*(E1253=E$1:E1252)))))</f>
        <v/>
      </c>
      <c r="L1253" s="25"/>
    </row>
    <row r="1254" customFormat="false" ht="14.25" hidden="false" customHeight="false" outlineLevel="0" collapsed="false">
      <c r="A1254" s="0" t="s">
        <v>376</v>
      </c>
      <c r="E1254" s="20" t="str">
        <f aca="false">IF(D1254="?OLD","!!!","")</f>
        <v/>
      </c>
      <c r="F1254" s="21" t="str">
        <f aca="false">IF(OR(E1254="",E1254="!!!"),"",IF(NOT(ISNA(VLOOKUP(E1254,E$1:E1253,1,FALSE()))),"OLD",IF(AND(E1254&lt;&gt;"",E1254&lt;&gt;"!!!"),"NEW","")))</f>
        <v/>
      </c>
      <c r="G1254" s="22" t="str">
        <f aca="false"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3" t="str">
        <f aca="false">IF(J1254&lt;&gt;1,"",IF(I1254="SBJ","CB","?"))</f>
        <v/>
      </c>
      <c r="I1254" s="24" t="str">
        <f aca="false">IF(OR(E1254="",E1254="!!!",F1254="NEW"),"",INDEX(B$2:B1253,-1+SUMPRODUCT(MAX(ROW(E$2:E1253)*(E1254=E$2:E1253)))))</f>
        <v/>
      </c>
      <c r="J1254" s="24" t="str">
        <f aca="true">IF(OR(E1254="",E1254="!!!",F1254="NEW"),"",COUNTBLANK(OFFSET(A$1,,,SUMPRODUCT(MAX(ROW(E$2:E1254)*(E1254=E$2:E1254)))))-COUNTBLANK(OFFSET(A$1,,,SUMPRODUCT(MAX(ROW(E$1:E1253)*(E2=E$1:E1253))))))</f>
        <v/>
      </c>
      <c r="K1254" s="24" t="str">
        <f aca="false">IF(OR(E1254="",E1254="!!!",F1254="NEW"),"",INDEX(J$1:J1253,SUMPRODUCT(MAX(ROW(E$1:E1253)*(E1254=E$1:E1253)))))</f>
        <v/>
      </c>
      <c r="L1254" s="25"/>
    </row>
    <row r="1255" customFormat="false" ht="14.25" hidden="false" customHeight="false" outlineLevel="0" collapsed="false">
      <c r="A1255" s="0" t="s">
        <v>247</v>
      </c>
      <c r="B1255" s="26" t="s">
        <v>419</v>
      </c>
      <c r="C1255" s="26" t="s">
        <v>209</v>
      </c>
      <c r="D1255" s="26" t="s">
        <v>75</v>
      </c>
      <c r="E1255" s="20" t="s">
        <v>106</v>
      </c>
      <c r="F1255" s="21" t="str">
        <f aca="false">IF(OR(E1255="",E1255="!!!"),"",IF(NOT(ISNA(VLOOKUP(E1255,E$1:E1254,1,FALSE()))),"OLD",IF(AND(E1255&lt;&gt;"",E1255&lt;&gt;"!!!"),"NEW","")))</f>
        <v>OLD</v>
      </c>
      <c r="G1255" s="22" t="str">
        <f aca="false"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?IN_FOCUS</v>
      </c>
      <c r="H1255" s="23" t="str">
        <f aca="false">IF(J1255&lt;&gt;1,"",IF(I1255="SBJ","CB","?"))</f>
        <v/>
      </c>
      <c r="I1255" s="24" t="str">
        <f aca="false">IF(OR(E1255="",E1255="!!!",F1255="NEW"),"",INDEX(B$2:B1254,-1+SUMPRODUCT(MAX(ROW(E$2:E1254)*(E1255=E$2:E1254)))))</f>
        <v>SBJ_2</v>
      </c>
      <c r="J1255" s="24" t="n">
        <f aca="true">IF(OR(E1255="",E1255="!!!",F1255="NEW"),"",COUNTBLANK(OFFSET(A$1,,,SUMPRODUCT(MAX(ROW(E$2:E1255)*(E1255=E$2:E1255)))))-COUNTBLANK(OFFSET(A$1,,,SUMPRODUCT(MAX(ROW(E$1:E1254)*(E2=E$1:E1254))))))</f>
        <v>0</v>
      </c>
      <c r="K1255" s="24" t="n">
        <f aca="false">IF(OR(E1255="",E1255="!!!",F1255="NEW"),"",INDEX(J$1:J1254,SUMPRODUCT(MAX(ROW(E$1:E1254)*(E1255=E$1:E1254)))))</f>
        <v>0</v>
      </c>
      <c r="L1255" s="25"/>
    </row>
    <row r="1256" customFormat="false" ht="14.25" hidden="false" customHeight="false" outlineLevel="0" collapsed="false">
      <c r="A1256" s="0" t="s">
        <v>167</v>
      </c>
      <c r="E1256" s="20" t="str">
        <f aca="false">IF(D1256="?OLD","!!!","")</f>
        <v/>
      </c>
      <c r="F1256" s="21" t="str">
        <f aca="false">IF(OR(E1256="",E1256="!!!"),"",IF(NOT(ISNA(VLOOKUP(E1256,E$1:E1255,1,FALSE()))),"OLD",IF(AND(E1256&lt;&gt;"",E1256&lt;&gt;"!!!"),"NEW","")))</f>
        <v/>
      </c>
      <c r="G1256" s="22" t="str">
        <f aca="false"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aca="false">IF(J1256&lt;&gt;1,"",IF(I1256="SBJ","CB","?"))</f>
        <v/>
      </c>
      <c r="I1256" s="24" t="str">
        <f aca="false">IF(OR(E1256="",E1256="!!!",F1256="NEW"),"",INDEX(B$2:B1255,-1+SUMPRODUCT(MAX(ROW(E$2:E1255)*(E1256=E$2:E1255)))))</f>
        <v/>
      </c>
      <c r="J1256" s="24" t="str">
        <f aca="true">IF(OR(E1256="",E1256="!!!",F1256="NEW"),"",COUNTBLANK(OFFSET(A$1,,,SUMPRODUCT(MAX(ROW(E$2:E1256)*(E1256=E$2:E1256)))))-COUNTBLANK(OFFSET(A$1,,,SUMPRODUCT(MAX(ROW(E$1:E1255)*(E2=E$1:E1255))))))</f>
        <v/>
      </c>
      <c r="K1256" s="24" t="str">
        <f aca="false">IF(OR(E1256="",E1256="!!!",F1256="NEW"),"",INDEX(J$1:J1255,SUMPRODUCT(MAX(ROW(E$1:E1255)*(E1256=E$1:E1255)))))</f>
        <v/>
      </c>
      <c r="L1256" s="25"/>
    </row>
    <row r="1257" customFormat="false" ht="14.25" hidden="false" customHeight="false" outlineLevel="0" collapsed="false">
      <c r="A1257" s="0" t="s">
        <v>818</v>
      </c>
      <c r="E1257" s="20" t="str">
        <f aca="false">IF(D1257="?OLD","!!!","")</f>
        <v/>
      </c>
      <c r="F1257" s="21" t="str">
        <f aca="false">IF(OR(E1257="",E1257="!!!"),"",IF(NOT(ISNA(VLOOKUP(E1257,E$1:E1256,1,FALSE()))),"OLD",IF(AND(E1257&lt;&gt;"",E1257&lt;&gt;"!!!"),"NEW","")))</f>
        <v/>
      </c>
      <c r="G1257" s="22" t="str">
        <f aca="false"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aca="false">IF(J1257&lt;&gt;1,"",IF(I1257="SBJ","CB","?"))</f>
        <v/>
      </c>
      <c r="I1257" s="24" t="str">
        <f aca="false">IF(OR(E1257="",E1257="!!!",F1257="NEW"),"",INDEX(B$2:B1256,-1+SUMPRODUCT(MAX(ROW(E$2:E1256)*(E1257=E$2:E1256)))))</f>
        <v/>
      </c>
      <c r="J1257" s="24" t="str">
        <f aca="true">IF(OR(E1257="",E1257="!!!",F1257="NEW"),"",COUNTBLANK(OFFSET(A$1,,,SUMPRODUCT(MAX(ROW(E$2:E1257)*(E1257=E$2:E1257)))))-COUNTBLANK(OFFSET(A$1,,,SUMPRODUCT(MAX(ROW(E$1:E1256)*(E2=E$1:E1256))))))</f>
        <v/>
      </c>
      <c r="K1257" s="24" t="str">
        <f aca="false">IF(OR(E1257="",E1257="!!!",F1257="NEW"),"",INDEX(J$1:J1256,SUMPRODUCT(MAX(ROW(E$1:E1256)*(E1257=E$1:E1256)))))</f>
        <v/>
      </c>
      <c r="L1257" s="25"/>
    </row>
    <row r="1258" customFormat="false" ht="14.25" hidden="false" customHeight="false" outlineLevel="0" collapsed="false">
      <c r="A1258" s="0" t="s">
        <v>101</v>
      </c>
      <c r="E1258" s="20" t="str">
        <f aca="false">IF(D1258="?OLD","!!!","")</f>
        <v/>
      </c>
      <c r="F1258" s="21" t="str">
        <f aca="false">IF(OR(E1258="",E1258="!!!"),"",IF(NOT(ISNA(VLOOKUP(E1258,E$1:E1257,1,FALSE()))),"OLD",IF(AND(E1258&lt;&gt;"",E1258&lt;&gt;"!!!"),"NEW","")))</f>
        <v/>
      </c>
      <c r="G1258" s="22" t="str">
        <f aca="false"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aca="false">IF(J1258&lt;&gt;1,"",IF(I1258="SBJ","CB","?"))</f>
        <v/>
      </c>
      <c r="I1258" s="24" t="str">
        <f aca="false">IF(OR(E1258="",E1258="!!!",F1258="NEW"),"",INDEX(B$2:B1257,-1+SUMPRODUCT(MAX(ROW(E$2:E1257)*(E1258=E$2:E1257)))))</f>
        <v/>
      </c>
      <c r="J1258" s="24" t="str">
        <f aca="true">IF(OR(E1258="",E1258="!!!",F1258="NEW"),"",COUNTBLANK(OFFSET(A$1,,,SUMPRODUCT(MAX(ROW(E$2:E1258)*(E1258=E$2:E1258)))))-COUNTBLANK(OFFSET(A$1,,,SUMPRODUCT(MAX(ROW(E$1:E1257)*(E2=E$1:E1257))))))</f>
        <v/>
      </c>
      <c r="K1258" s="24" t="str">
        <f aca="false">IF(OR(E1258="",E1258="!!!",F1258="NEW"),"",INDEX(J$1:J1257,SUMPRODUCT(MAX(ROW(E$1:E1257)*(E1258=E$1:E1257)))))</f>
        <v/>
      </c>
      <c r="L1258" s="25"/>
    </row>
    <row r="1259" customFormat="false" ht="14.25" hidden="false" customHeight="false" outlineLevel="0" collapsed="false">
      <c r="A1259" s="0" t="s">
        <v>819</v>
      </c>
      <c r="B1259" s="26" t="s">
        <v>820</v>
      </c>
      <c r="C1259" s="26" t="s">
        <v>105</v>
      </c>
      <c r="E1259" s="20" t="str">
        <f aca="false">IF(D1259="?OLD","!!!","")</f>
        <v/>
      </c>
      <c r="F1259" s="21" t="str">
        <f aca="false">IF(OR(E1259="",E1259="!!!"),"",IF(NOT(ISNA(VLOOKUP(E1259,E$1:E1258,1,FALSE()))),"OLD",IF(AND(E1259&lt;&gt;"",E1259&lt;&gt;"!!!"),"NEW","")))</f>
        <v/>
      </c>
      <c r="G1259" s="22" t="str">
        <f aca="false"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aca="false">IF(J1259&lt;&gt;1,"",IF(I1259="SBJ","CB","?"))</f>
        <v/>
      </c>
      <c r="I1259" s="24" t="str">
        <f aca="false">IF(OR(E1259="",E1259="!!!",F1259="NEW"),"",INDEX(B$2:B1258,-1+SUMPRODUCT(MAX(ROW(E$2:E1258)*(E1259=E$2:E1258)))))</f>
        <v/>
      </c>
      <c r="J1259" s="24" t="str">
        <f aca="true">IF(OR(E1259="",E1259="!!!",F1259="NEW"),"",COUNTBLANK(OFFSET(A$1,,,SUMPRODUCT(MAX(ROW(E$2:E1259)*(E1259=E$2:E1259)))))-COUNTBLANK(OFFSET(A$1,,,SUMPRODUCT(MAX(ROW(E$1:E1258)*(E2=E$1:E1258))))))</f>
        <v/>
      </c>
      <c r="K1259" s="24" t="str">
        <f aca="false">IF(OR(E1259="",E1259="!!!",F1259="NEW"),"",INDEX(J$1:J1258,SUMPRODUCT(MAX(ROW(E$1:E1258)*(E1259=E$1:E1258)))))</f>
        <v/>
      </c>
      <c r="L1259" s="25"/>
    </row>
    <row r="1260" customFormat="false" ht="14.25" hidden="false" customHeight="false" outlineLevel="0" collapsed="false">
      <c r="A1260" s="0" t="s">
        <v>155</v>
      </c>
      <c r="E1260" s="20" t="str">
        <f aca="false">IF(D1260="?OLD","!!!","")</f>
        <v/>
      </c>
      <c r="F1260" s="21" t="str">
        <f aca="false">IF(OR(E1260="",E1260="!!!"),"",IF(NOT(ISNA(VLOOKUP(E1260,E$1:E1259,1,FALSE()))),"OLD",IF(AND(E1260&lt;&gt;"",E1260&lt;&gt;"!!!"),"NEW","")))</f>
        <v/>
      </c>
      <c r="G1260" s="22" t="str">
        <f aca="false"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aca="false">IF(J1260&lt;&gt;1,"",IF(I1260="SBJ","CB","?"))</f>
        <v/>
      </c>
      <c r="I1260" s="24" t="str">
        <f aca="false">IF(OR(E1260="",E1260="!!!",F1260="NEW"),"",INDEX(B$2:B1259,-1+SUMPRODUCT(MAX(ROW(E$2:E1259)*(E1260=E$2:E1259)))))</f>
        <v/>
      </c>
      <c r="J1260" s="24" t="str">
        <f aca="true">IF(OR(E1260="",E1260="!!!",F1260="NEW"),"",COUNTBLANK(OFFSET(A$1,,,SUMPRODUCT(MAX(ROW(E$2:E1260)*(E1260=E$2:E1260)))))-COUNTBLANK(OFFSET(A$1,,,SUMPRODUCT(MAX(ROW(E$1:E1259)*(E2=E$1:E1259))))))</f>
        <v/>
      </c>
      <c r="K1260" s="24" t="str">
        <f aca="false">IF(OR(E1260="",E1260="!!!",F1260="NEW"),"",INDEX(J$1:J1259,SUMPRODUCT(MAX(ROW(E$1:E1259)*(E1260=E$1:E1259)))))</f>
        <v/>
      </c>
      <c r="L1260" s="25"/>
    </row>
    <row r="1261" customFormat="false" ht="14.25" hidden="false" customHeight="false" outlineLevel="0" collapsed="false">
      <c r="A1261" s="0" t="s">
        <v>821</v>
      </c>
      <c r="E1261" s="20" t="str">
        <f aca="false">IF(D1261="?OLD","!!!","")</f>
        <v/>
      </c>
      <c r="F1261" s="21" t="str">
        <f aca="false">IF(OR(E1261="",E1261="!!!"),"",IF(NOT(ISNA(VLOOKUP(E1261,E$1:E1260,1,FALSE()))),"OLD",IF(AND(E1261&lt;&gt;"",E1261&lt;&gt;"!!!"),"NEW","")))</f>
        <v/>
      </c>
      <c r="G1261" s="22" t="str">
        <f aca="false"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aca="false">IF(J1261&lt;&gt;1,"",IF(I1261="SBJ","CB","?"))</f>
        <v/>
      </c>
      <c r="I1261" s="24" t="str">
        <f aca="false">IF(OR(E1261="",E1261="!!!",F1261="NEW"),"",INDEX(B$2:B1260,-1+SUMPRODUCT(MAX(ROW(E$2:E1260)*(E1261=E$2:E1260)))))</f>
        <v/>
      </c>
      <c r="J1261" s="24" t="str">
        <f aca="true">IF(OR(E1261="",E1261="!!!",F1261="NEW"),"",COUNTBLANK(OFFSET(A$1,,,SUMPRODUCT(MAX(ROW(E$2:E1261)*(E1261=E$2:E1261)))))-COUNTBLANK(OFFSET(A$1,,,SUMPRODUCT(MAX(ROW(E$1:E1260)*(E2=E$1:E1260))))))</f>
        <v/>
      </c>
      <c r="K1261" s="24" t="str">
        <f aca="false">IF(OR(E1261="",E1261="!!!",F1261="NEW"),"",INDEX(J$1:J1260,SUMPRODUCT(MAX(ROW(E$1:E1260)*(E1261=E$1:E1260)))))</f>
        <v/>
      </c>
      <c r="L1261" s="25"/>
    </row>
    <row r="1262" customFormat="false" ht="14.25" hidden="false" customHeight="false" outlineLevel="0" collapsed="false">
      <c r="A1262" s="0" t="s">
        <v>101</v>
      </c>
      <c r="E1262" s="20" t="str">
        <f aca="false">IF(D1262="?OLD","!!!","")</f>
        <v/>
      </c>
      <c r="F1262" s="21" t="str">
        <f aca="false">IF(OR(E1262="",E1262="!!!"),"",IF(NOT(ISNA(VLOOKUP(E1262,E$1:E1261,1,FALSE()))),"OLD",IF(AND(E1262&lt;&gt;"",E1262&lt;&gt;"!!!"),"NEW","")))</f>
        <v/>
      </c>
      <c r="G1262" s="22" t="str">
        <f aca="false"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aca="false">IF(J1262&lt;&gt;1,"",IF(I1262="SBJ","CB","?"))</f>
        <v/>
      </c>
      <c r="I1262" s="24" t="str">
        <f aca="false">IF(OR(E1262="",E1262="!!!",F1262="NEW"),"",INDEX(B$2:B1261,-1+SUMPRODUCT(MAX(ROW(E$2:E1261)*(E1262=E$2:E1261)))))</f>
        <v/>
      </c>
      <c r="J1262" s="24" t="str">
        <f aca="true">IF(OR(E1262="",E1262="!!!",F1262="NEW"),"",COUNTBLANK(OFFSET(A$1,,,SUMPRODUCT(MAX(ROW(E$2:E1262)*(E1262=E$2:E1262)))))-COUNTBLANK(OFFSET(A$1,,,SUMPRODUCT(MAX(ROW(E$1:E1261)*(E2=E$1:E1261))))))</f>
        <v/>
      </c>
      <c r="K1262" s="24" t="str">
        <f aca="false">IF(OR(E1262="",E1262="!!!",F1262="NEW"),"",INDEX(J$1:J1261,SUMPRODUCT(MAX(ROW(E$1:E1261)*(E1262=E$1:E1261)))))</f>
        <v/>
      </c>
      <c r="L1262" s="25"/>
    </row>
    <row r="1263" customFormat="false" ht="14.25" hidden="false" customHeight="false" outlineLevel="0" collapsed="false">
      <c r="A1263" s="0" t="s">
        <v>280</v>
      </c>
      <c r="E1263" s="20" t="str">
        <f aca="false">IF(D1263="?OLD","!!!","")</f>
        <v/>
      </c>
      <c r="F1263" s="21" t="str">
        <f aca="false">IF(OR(E1263="",E1263="!!!"),"",IF(NOT(ISNA(VLOOKUP(E1263,E$1:E1262,1,FALSE()))),"OLD",IF(AND(E1263&lt;&gt;"",E1263&lt;&gt;"!!!"),"NEW","")))</f>
        <v/>
      </c>
      <c r="G1263" s="22" t="str">
        <f aca="false"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3" t="str">
        <f aca="false">IF(J1263&lt;&gt;1,"",IF(I1263="SBJ","CB","?"))</f>
        <v/>
      </c>
      <c r="I1263" s="24" t="str">
        <f aca="false">IF(OR(E1263="",E1263="!!!",F1263="NEW"),"",INDEX(B$2:B1262,-1+SUMPRODUCT(MAX(ROW(E$2:E1262)*(E1263=E$2:E1262)))))</f>
        <v/>
      </c>
      <c r="J1263" s="24" t="str">
        <f aca="true">IF(OR(E1263="",E1263="!!!",F1263="NEW"),"",COUNTBLANK(OFFSET(A$1,,,SUMPRODUCT(MAX(ROW(E$2:E1263)*(E1263=E$2:E1263)))))-COUNTBLANK(OFFSET(A$1,,,SUMPRODUCT(MAX(ROW(E$1:E1262)*(E2=E$1:E1262))))))</f>
        <v/>
      </c>
      <c r="K1263" s="24" t="str">
        <f aca="false">IF(OR(E1263="",E1263="!!!",F1263="NEW"),"",INDEX(J$1:J1262,SUMPRODUCT(MAX(ROW(E$1:E1262)*(E1263=E$1:E1262)))))</f>
        <v/>
      </c>
      <c r="L1263" s="25"/>
    </row>
    <row r="1264" customFormat="false" ht="14.25" hidden="false" customHeight="false" outlineLevel="0" collapsed="false">
      <c r="A1264" s="0" t="s">
        <v>822</v>
      </c>
      <c r="E1264" s="20" t="str">
        <f aca="false">IF(D1264="?OLD","!!!","")</f>
        <v/>
      </c>
      <c r="F1264" s="21" t="str">
        <f aca="false">IF(OR(E1264="",E1264="!!!"),"",IF(NOT(ISNA(VLOOKUP(E1264,E$1:E1263,1,FALSE()))),"OLD",IF(AND(E1264&lt;&gt;"",E1264&lt;&gt;"!!!"),"NEW","")))</f>
        <v/>
      </c>
      <c r="G1264" s="22" t="str">
        <f aca="false"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3" t="str">
        <f aca="false">IF(J1264&lt;&gt;1,"",IF(I1264="SBJ","CB","?"))</f>
        <v/>
      </c>
      <c r="I1264" s="24" t="str">
        <f aca="false">IF(OR(E1264="",E1264="!!!",F1264="NEW"),"",INDEX(B$2:B1263,-1+SUMPRODUCT(MAX(ROW(E$2:E1263)*(E1264=E$2:E1263)))))</f>
        <v/>
      </c>
      <c r="J1264" s="24" t="str">
        <f aca="true">IF(OR(E1264="",E1264="!!!",F1264="NEW"),"",COUNTBLANK(OFFSET(A$1,,,SUMPRODUCT(MAX(ROW(E$2:E1264)*(E1264=E$2:E1264)))))-COUNTBLANK(OFFSET(A$1,,,SUMPRODUCT(MAX(ROW(E$1:E1263)*(E2=E$1:E1263))))))</f>
        <v/>
      </c>
      <c r="K1264" s="24" t="str">
        <f aca="false">IF(OR(E1264="",E1264="!!!",F1264="NEW"),"",INDEX(J$1:J1263,SUMPRODUCT(MAX(ROW(E$1:E1263)*(E1264=E$1:E1263)))))</f>
        <v/>
      </c>
      <c r="L1264" s="25"/>
    </row>
    <row r="1265" customFormat="false" ht="14.25" hidden="false" customHeight="false" outlineLevel="0" collapsed="false">
      <c r="A1265" s="0" t="s">
        <v>207</v>
      </c>
      <c r="B1265" s="26" t="s">
        <v>419</v>
      </c>
      <c r="C1265" s="26" t="s">
        <v>209</v>
      </c>
      <c r="D1265" s="26" t="s">
        <v>75</v>
      </c>
      <c r="E1265" s="20" t="s">
        <v>106</v>
      </c>
      <c r="F1265" s="21" t="str">
        <f aca="false">IF(OR(E1265="",E1265="!!!"),"",IF(NOT(ISNA(VLOOKUP(E1265,E$1:E1264,1,FALSE()))),"OLD",IF(AND(E1265&lt;&gt;"",E1265&lt;&gt;"!!!"),"NEW","")))</f>
        <v>OLD</v>
      </c>
      <c r="G1265" s="22" t="str">
        <f aca="false"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?IN_FOCUS</v>
      </c>
      <c r="H1265" s="23" t="str">
        <f aca="false">IF(J1265&lt;&gt;1,"",IF(I1265="SBJ","CB","?"))</f>
        <v/>
      </c>
      <c r="I1265" s="24" t="str">
        <f aca="false">IF(OR(E1265="",E1265="!!!",F1265="NEW"),"",INDEX(B$2:B1264,-1+SUMPRODUCT(MAX(ROW(E$2:E1264)*(E1265=E$2:E1264)))))</f>
        <v>SBJ_7</v>
      </c>
      <c r="J1265" s="24" t="n">
        <f aca="true">IF(OR(E1265="",E1265="!!!",F1265="NEW"),"",COUNTBLANK(OFFSET(A$1,,,SUMPRODUCT(MAX(ROW(E$2:E1265)*(E1265=E$2:E1265)))))-COUNTBLANK(OFFSET(A$1,,,SUMPRODUCT(MAX(ROW(E$1:E1264)*(E2=E$1:E1264))))))</f>
        <v>0</v>
      </c>
      <c r="K1265" s="24" t="n">
        <f aca="false">IF(OR(E1265="",E1265="!!!",F1265="NEW"),"",INDEX(J$1:J1264,SUMPRODUCT(MAX(ROW(E$1:E1264)*(E1265=E$1:E1264)))))</f>
        <v>0</v>
      </c>
      <c r="L1265" s="25"/>
    </row>
    <row r="1266" customFormat="false" ht="14.25" hidden="false" customHeight="false" outlineLevel="0" collapsed="false">
      <c r="A1266" s="0" t="s">
        <v>160</v>
      </c>
      <c r="B1266" s="26" t="s">
        <v>208</v>
      </c>
      <c r="C1266" s="26" t="s">
        <v>209</v>
      </c>
      <c r="D1266" s="26" t="s">
        <v>75</v>
      </c>
      <c r="E1266" s="20" t="s">
        <v>823</v>
      </c>
      <c r="F1266" s="21" t="str">
        <f aca="false">IF(OR(E1266="",E1266="!!!"),"",IF(NOT(ISNA(VLOOKUP(E1266,E$1:E1265,1,FALSE()))),"OLD",IF(AND(E1266&lt;&gt;"",E1266&lt;&gt;"!!!"),"NEW","")))</f>
        <v>NEW</v>
      </c>
      <c r="G1266" s="22" t="str">
        <f aca="false"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?REFERENTIAL</v>
      </c>
      <c r="H1266" s="23" t="str">
        <f aca="false">IF(J1266&lt;&gt;1,"",IF(I1266="SBJ","CB","?"))</f>
        <v/>
      </c>
      <c r="I1266" s="24" t="str">
        <f aca="false">IF(OR(E1266="",E1266="!!!",F1266="NEW"),"",INDEX(B$2:B1265,-1+SUMPRODUCT(MAX(ROW(E$2:E1265)*(E1266=E$2:E1265)))))</f>
        <v/>
      </c>
      <c r="J1266" s="24" t="str">
        <f aca="true">IF(OR(E1266="",E1266="!!!",F1266="NEW"),"",COUNTBLANK(OFFSET(A$1,,,SUMPRODUCT(MAX(ROW(E$2:E1266)*(E1266=E$2:E1266)))))-COUNTBLANK(OFFSET(A$1,,,SUMPRODUCT(MAX(ROW(E$1:E1265)*(E2=E$1:E1265))))))</f>
        <v/>
      </c>
      <c r="K1266" s="24" t="str">
        <f aca="false">IF(OR(E1266="",E1266="!!!",F1266="NEW"),"",INDEX(J$1:J1265,SUMPRODUCT(MAX(ROW(E$1:E1265)*(E1266=E$1:E1265)))))</f>
        <v/>
      </c>
      <c r="L1266" s="27" t="s">
        <v>824</v>
      </c>
    </row>
    <row r="1267" customFormat="false" ht="14.25" hidden="false" customHeight="false" outlineLevel="0" collapsed="false">
      <c r="A1267" s="0" t="s">
        <v>301</v>
      </c>
      <c r="E1267" s="20" t="str">
        <f aca="false">IF(D1267="?OLD","!!!","")</f>
        <v/>
      </c>
      <c r="F1267" s="21" t="str">
        <f aca="false">IF(OR(E1267="",E1267="!!!"),"",IF(NOT(ISNA(VLOOKUP(E1267,E$1:E1266,1,FALSE()))),"OLD",IF(AND(E1267&lt;&gt;"",E1267&lt;&gt;"!!!"),"NEW","")))</f>
        <v/>
      </c>
      <c r="G1267" s="22" t="str">
        <f aca="false"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aca="false">IF(J1267&lt;&gt;1,"",IF(I1267="SBJ","CB","?"))</f>
        <v/>
      </c>
      <c r="I1267" s="24" t="str">
        <f aca="false">IF(OR(E1267="",E1267="!!!",F1267="NEW"),"",INDEX(B$2:B1266,-1+SUMPRODUCT(MAX(ROW(E$2:E1266)*(E1267=E$2:E1266)))))</f>
        <v/>
      </c>
      <c r="J1267" s="24" t="str">
        <f aca="true">IF(OR(E1267="",E1267="!!!",F1267="NEW"),"",COUNTBLANK(OFFSET(A$1,,,SUMPRODUCT(MAX(ROW(E$2:E1267)*(E1267=E$2:E1267)))))-COUNTBLANK(OFFSET(A$1,,,SUMPRODUCT(MAX(ROW(E$1:E1266)*(E2=E$1:E1266))))))</f>
        <v/>
      </c>
      <c r="K1267" s="24" t="str">
        <f aca="false">IF(OR(E1267="",E1267="!!!",F1267="NEW"),"",INDEX(J$1:J1266,SUMPRODUCT(MAX(ROW(E$1:E1266)*(E1267=E$1:E1266)))))</f>
        <v/>
      </c>
      <c r="L1267" s="25"/>
    </row>
    <row r="1268" customFormat="false" ht="14.25" hidden="false" customHeight="false" outlineLevel="0" collapsed="false">
      <c r="A1268" s="0" t="s">
        <v>116</v>
      </c>
      <c r="E1268" s="20" t="str">
        <f aca="false">IF(D1268="?OLD","!!!","")</f>
        <v/>
      </c>
      <c r="F1268" s="21" t="str">
        <f aca="false">IF(OR(E1268="",E1268="!!!"),"",IF(NOT(ISNA(VLOOKUP(E1268,E$1:E1267,1,FALSE()))),"OLD",IF(AND(E1268&lt;&gt;"",E1268&lt;&gt;"!!!"),"NEW","")))</f>
        <v/>
      </c>
      <c r="G1268" s="22" t="str">
        <f aca="false"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3" t="str">
        <f aca="false">IF(J1268&lt;&gt;1,"",IF(I1268="SBJ","CB","?"))</f>
        <v/>
      </c>
      <c r="I1268" s="24" t="str">
        <f aca="false">IF(OR(E1268="",E1268="!!!",F1268="NEW"),"",INDEX(B$2:B1267,-1+SUMPRODUCT(MAX(ROW(E$2:E1267)*(E1268=E$2:E1267)))))</f>
        <v/>
      </c>
      <c r="J1268" s="24" t="str">
        <f aca="true">IF(OR(E1268="",E1268="!!!",F1268="NEW"),"",COUNTBLANK(OFFSET(A$1,,,SUMPRODUCT(MAX(ROW(E$2:E1268)*(E1268=E$2:E1268)))))-COUNTBLANK(OFFSET(A$1,,,SUMPRODUCT(MAX(ROW(E$1:E1267)*(E2=E$1:E1267))))))</f>
        <v/>
      </c>
      <c r="K1268" s="24" t="str">
        <f aca="false">IF(OR(E1268="",E1268="!!!",F1268="NEW"),"",INDEX(J$1:J1267,SUMPRODUCT(MAX(ROW(E$1:E1267)*(E1268=E$1:E1267)))))</f>
        <v/>
      </c>
      <c r="L1268" s="25"/>
    </row>
    <row r="1269" customFormat="false" ht="14.25" hidden="false" customHeight="false" outlineLevel="0" collapsed="false">
      <c r="A1269" s="0" t="s">
        <v>86</v>
      </c>
      <c r="E1269" s="20" t="str">
        <f aca="false">IF(D1269="?OLD","!!!","")</f>
        <v/>
      </c>
      <c r="F1269" s="21" t="str">
        <f aca="false">IF(OR(E1269="",E1269="!!!"),"",IF(NOT(ISNA(VLOOKUP(E1269,E$1:E1268,1,FALSE()))),"OLD",IF(AND(E1269&lt;&gt;"",E1269&lt;&gt;"!!!"),"NEW","")))</f>
        <v/>
      </c>
      <c r="G1269" s="22" t="str">
        <f aca="false"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3" t="str">
        <f aca="false">IF(J1269&lt;&gt;1,"",IF(I1269="SBJ","CB","?"))</f>
        <v/>
      </c>
      <c r="I1269" s="24" t="str">
        <f aca="false">IF(OR(E1269="",E1269="!!!",F1269="NEW"),"",INDEX(B$2:B1268,-1+SUMPRODUCT(MAX(ROW(E$2:E1268)*(E1269=E$2:E1268)))))</f>
        <v/>
      </c>
      <c r="J1269" s="24" t="str">
        <f aca="true">IF(OR(E1269="",E1269="!!!",F1269="NEW"),"",COUNTBLANK(OFFSET(A$1,,,SUMPRODUCT(MAX(ROW(E$2:E1269)*(E1269=E$2:E1269)))))-COUNTBLANK(OFFSET(A$1,,,SUMPRODUCT(MAX(ROW(E$1:E1268)*(E2=E$1:E1268))))))</f>
        <v/>
      </c>
      <c r="K1269" s="24" t="str">
        <f aca="false">IF(OR(E1269="",E1269="!!!",F1269="NEW"),"",INDEX(J$1:J1268,SUMPRODUCT(MAX(ROW(E$1:E1268)*(E1269=E$1:E1268)))))</f>
        <v/>
      </c>
      <c r="L1269" s="25"/>
    </row>
    <row r="1270" customFormat="false" ht="14.25" hidden="false" customHeight="false" outlineLevel="0" collapsed="false">
      <c r="A1270" s="0" t="s">
        <v>376</v>
      </c>
      <c r="E1270" s="20" t="str">
        <f aca="false">IF(D1270="?OLD","!!!","")</f>
        <v/>
      </c>
      <c r="F1270" s="21" t="str">
        <f aca="false">IF(OR(E1270="",E1270="!!!"),"",IF(NOT(ISNA(VLOOKUP(E1270,E$1:E1269,1,FALSE()))),"OLD",IF(AND(E1270&lt;&gt;"",E1270&lt;&gt;"!!!"),"NEW","")))</f>
        <v/>
      </c>
      <c r="G1270" s="22" t="str">
        <f aca="false"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aca="false">IF(J1270&lt;&gt;1,"",IF(I1270="SBJ","CB","?"))</f>
        <v/>
      </c>
      <c r="I1270" s="24" t="str">
        <f aca="false">IF(OR(E1270="",E1270="!!!",F1270="NEW"),"",INDEX(B$2:B1269,-1+SUMPRODUCT(MAX(ROW(E$2:E1269)*(E1270=E$2:E1269)))))</f>
        <v/>
      </c>
      <c r="J1270" s="24" t="str">
        <f aca="true">IF(OR(E1270="",E1270="!!!",F1270="NEW"),"",COUNTBLANK(OFFSET(A$1,,,SUMPRODUCT(MAX(ROW(E$2:E1270)*(E1270=E$2:E1270)))))-COUNTBLANK(OFFSET(A$1,,,SUMPRODUCT(MAX(ROW(E$1:E1269)*(E2=E$1:E1269))))))</f>
        <v/>
      </c>
      <c r="K1270" s="24" t="str">
        <f aca="false">IF(OR(E1270="",E1270="!!!",F1270="NEW"),"",INDEX(J$1:J1269,SUMPRODUCT(MAX(ROW(E$1:E1269)*(E1270=E$1:E1269)))))</f>
        <v/>
      </c>
      <c r="L1270" s="25"/>
    </row>
    <row r="1271" customFormat="false" ht="14.25" hidden="false" customHeight="false" outlineLevel="0" collapsed="false">
      <c r="A1271" s="0" t="s">
        <v>825</v>
      </c>
      <c r="B1271" s="26" t="s">
        <v>424</v>
      </c>
      <c r="C1271" s="26" t="s">
        <v>283</v>
      </c>
      <c r="D1271" s="26" t="s">
        <v>75</v>
      </c>
      <c r="E1271" s="20"/>
      <c r="F1271" s="21" t="str">
        <f aca="false">IF(OR(E1271="",E1271="!!!"),"",IF(NOT(ISNA(VLOOKUP(E1271,E$1:E1270,1,FALSE()))),"OLD",IF(AND(E1271&lt;&gt;"",E1271&lt;&gt;"!!!"),"NEW","")))</f>
        <v/>
      </c>
      <c r="G1271" s="22" t="str">
        <f aca="false"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3" t="str">
        <f aca="false">IF(J1271&lt;&gt;1,"",IF(I1271="SBJ","CB","?"))</f>
        <v/>
      </c>
      <c r="I1271" s="24" t="str">
        <f aca="false">IF(OR(E1271="",E1271="!!!",F1271="NEW"),"",INDEX(B$2:B1270,-1+SUMPRODUCT(MAX(ROW(E$2:E1270)*(E1271=E$2:E1270)))))</f>
        <v/>
      </c>
      <c r="J1271" s="24" t="str">
        <f aca="true">IF(OR(E1271="",E1271="!!!",F1271="NEW"),"",COUNTBLANK(OFFSET(A$1,,,SUMPRODUCT(MAX(ROW(E$2:E1271)*(E1271=E$2:E1271)))))-COUNTBLANK(OFFSET(A$1,,,SUMPRODUCT(MAX(ROW(E$1:E1270)*(E2=E$1:E1270))))))</f>
        <v/>
      </c>
      <c r="K1271" s="24" t="str">
        <f aca="false">IF(OR(E1271="",E1271="!!!",F1271="NEW"),"",INDEX(J$1:J1270,SUMPRODUCT(MAX(ROW(E$1:E1270)*(E1271=E$1:E1270)))))</f>
        <v/>
      </c>
      <c r="L1271" s="27" t="s">
        <v>134</v>
      </c>
    </row>
    <row r="1272" customFormat="false" ht="14.25" hidden="false" customHeight="false" outlineLevel="0" collapsed="false">
      <c r="A1272" s="0" t="s">
        <v>172</v>
      </c>
      <c r="E1272" s="20" t="str">
        <f aca="false">IF(D1272="?OLD","!!!","")</f>
        <v/>
      </c>
      <c r="F1272" s="21" t="str">
        <f aca="false">IF(OR(E1272="",E1272="!!!"),"",IF(NOT(ISNA(VLOOKUP(E1272,E$1:E1271,1,FALSE()))),"OLD",IF(AND(E1272&lt;&gt;"",E1272&lt;&gt;"!!!"),"NEW","")))</f>
        <v/>
      </c>
      <c r="G1272" s="22" t="str">
        <f aca="false"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3" t="str">
        <f aca="false">IF(J1272&lt;&gt;1,"",IF(I1272="SBJ","CB","?"))</f>
        <v/>
      </c>
      <c r="I1272" s="24" t="str">
        <f aca="false">IF(OR(E1272="",E1272="!!!",F1272="NEW"),"",INDEX(B$2:B1271,-1+SUMPRODUCT(MAX(ROW(E$2:E1271)*(E1272=E$2:E1271)))))</f>
        <v/>
      </c>
      <c r="J1272" s="24" t="str">
        <f aca="true">IF(OR(E1272="",E1272="!!!",F1272="NEW"),"",COUNTBLANK(OFFSET(A$1,,,SUMPRODUCT(MAX(ROW(E$2:E1272)*(E1272=E$2:E1272)))))-COUNTBLANK(OFFSET(A$1,,,SUMPRODUCT(MAX(ROW(E$1:E1271)*(E2=E$1:E1271))))))</f>
        <v/>
      </c>
      <c r="K1272" s="24" t="str">
        <f aca="false">IF(OR(E1272="",E1272="!!!",F1272="NEW"),"",INDEX(J$1:J1271,SUMPRODUCT(MAX(ROW(E$1:E1271)*(E1272=E$1:E1271)))))</f>
        <v/>
      </c>
      <c r="L1272" s="25"/>
    </row>
    <row r="1273" customFormat="false" ht="14.25" hidden="false" customHeight="false" outlineLevel="0" collapsed="false">
      <c r="A1273" s="0" t="s">
        <v>376</v>
      </c>
      <c r="E1273" s="20" t="str">
        <f aca="false">IF(D1273="?OLD","!!!","")</f>
        <v/>
      </c>
      <c r="F1273" s="21" t="str">
        <f aca="false">IF(OR(E1273="",E1273="!!!"),"",IF(NOT(ISNA(VLOOKUP(E1273,E$1:E1272,1,FALSE()))),"OLD",IF(AND(E1273&lt;&gt;"",E1273&lt;&gt;"!!!"),"NEW","")))</f>
        <v/>
      </c>
      <c r="G1273" s="22" t="str">
        <f aca="false"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aca="false">IF(J1273&lt;&gt;1,"",IF(I1273="SBJ","CB","?"))</f>
        <v/>
      </c>
      <c r="I1273" s="24" t="str">
        <f aca="false">IF(OR(E1273="",E1273="!!!",F1273="NEW"),"",INDEX(B$2:B1272,-1+SUMPRODUCT(MAX(ROW(E$2:E1272)*(E1273=E$2:E1272)))))</f>
        <v/>
      </c>
      <c r="J1273" s="24" t="str">
        <f aca="true">IF(OR(E1273="",E1273="!!!",F1273="NEW"),"",COUNTBLANK(OFFSET(A$1,,,SUMPRODUCT(MAX(ROW(E$2:E1273)*(E1273=E$2:E1273)))))-COUNTBLANK(OFFSET(A$1,,,SUMPRODUCT(MAX(ROW(E$1:E1272)*(E2=E$1:E1272))))))</f>
        <v/>
      </c>
      <c r="K1273" s="24" t="str">
        <f aca="false">IF(OR(E1273="",E1273="!!!",F1273="NEW"),"",INDEX(J$1:J1272,SUMPRODUCT(MAX(ROW(E$1:E1272)*(E1273=E$1:E1272)))))</f>
        <v/>
      </c>
      <c r="L1273" s="25"/>
    </row>
    <row r="1274" customFormat="false" ht="14.25" hidden="false" customHeight="false" outlineLevel="0" collapsed="false">
      <c r="A1274" s="0" t="s">
        <v>247</v>
      </c>
      <c r="E1274" s="20" t="s">
        <v>106</v>
      </c>
      <c r="F1274" s="21" t="str">
        <f aca="false">IF(OR(E1274="",E1274="!!!"),"",IF(NOT(ISNA(VLOOKUP(E1274,E$1:E1273,1,FALSE()))),"OLD",IF(AND(E1274&lt;&gt;"",E1274&lt;&gt;"!!!"),"NEW","")))</f>
        <v>OLD</v>
      </c>
      <c r="G1274" s="22" t="str">
        <f aca="false"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?IN_FOCUS</v>
      </c>
      <c r="H1274" s="23" t="str">
        <f aca="false">IF(J1274&lt;&gt;1,"",IF(I1274="SBJ","CB","?"))</f>
        <v/>
      </c>
      <c r="I1274" s="24" t="str">
        <f aca="false">IF(OR(E1274="",E1274="!!!",F1274="NEW"),"",INDEX(B$2:B1273,-1+SUMPRODUCT(MAX(ROW(E$2:E1273)*(E1274=E$2:E1273)))))</f>
        <v>SBJ_7</v>
      </c>
      <c r="J1274" s="24" t="n">
        <f aca="true">IF(OR(E1274="",E1274="!!!",F1274="NEW"),"",COUNTBLANK(OFFSET(A$1,,,SUMPRODUCT(MAX(ROW(E$2:E1274)*(E1274=E$2:E1274)))))-COUNTBLANK(OFFSET(A$1,,,SUMPRODUCT(MAX(ROW(E$1:E1273)*(E2=E$1:E1273))))))</f>
        <v>0</v>
      </c>
      <c r="K1274" s="24" t="n">
        <f aca="false">IF(OR(E1274="",E1274="!!!",F1274="NEW"),"",INDEX(J$1:J1273,SUMPRODUCT(MAX(ROW(E$1:E1273)*(E1274=E$1:E1273)))))</f>
        <v>0</v>
      </c>
      <c r="L1274" s="25"/>
    </row>
    <row r="1275" customFormat="false" ht="14.25" hidden="false" customHeight="false" outlineLevel="0" collapsed="false">
      <c r="A1275" s="0" t="s">
        <v>681</v>
      </c>
      <c r="E1275" s="20" t="str">
        <f aca="false">IF(D1275="?OLD","!!!","")</f>
        <v/>
      </c>
      <c r="F1275" s="21" t="str">
        <f aca="false">IF(OR(E1275="",E1275="!!!"),"",IF(NOT(ISNA(VLOOKUP(E1275,E$1:E1274,1,FALSE()))),"OLD",IF(AND(E1275&lt;&gt;"",E1275&lt;&gt;"!!!"),"NEW","")))</f>
        <v/>
      </c>
      <c r="G1275" s="22" t="str">
        <f aca="false"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aca="false">IF(J1275&lt;&gt;1,"",IF(I1275="SBJ","CB","?"))</f>
        <v/>
      </c>
      <c r="I1275" s="24" t="str">
        <f aca="false">IF(OR(E1275="",E1275="!!!",F1275="NEW"),"",INDEX(B$2:B1274,-1+SUMPRODUCT(MAX(ROW(E$2:E1274)*(E1275=E$2:E1274)))))</f>
        <v/>
      </c>
      <c r="J1275" s="24" t="str">
        <f aca="true">IF(OR(E1275="",E1275="!!!",F1275="NEW"),"",COUNTBLANK(OFFSET(A$1,,,SUMPRODUCT(MAX(ROW(E$2:E1275)*(E1275=E$2:E1275)))))-COUNTBLANK(OFFSET(A$1,,,SUMPRODUCT(MAX(ROW(E$1:E1274)*(E2=E$1:E1274))))))</f>
        <v/>
      </c>
      <c r="K1275" s="24" t="str">
        <f aca="false">IF(OR(E1275="",E1275="!!!",F1275="NEW"),"",INDEX(J$1:J1274,SUMPRODUCT(MAX(ROW(E$1:E1274)*(E1275=E$1:E1274)))))</f>
        <v/>
      </c>
      <c r="L1275" s="25"/>
    </row>
    <row r="1276" customFormat="false" ht="14.25" hidden="false" customHeight="false" outlineLevel="0" collapsed="false">
      <c r="A1276" s="0" t="s">
        <v>650</v>
      </c>
      <c r="E1276" s="20" t="str">
        <f aca="false">IF(D1276="?OLD","!!!","")</f>
        <v/>
      </c>
      <c r="F1276" s="21" t="str">
        <f aca="false">IF(OR(E1276="",E1276="!!!"),"",IF(NOT(ISNA(VLOOKUP(E1276,E$1:E1275,1,FALSE()))),"OLD",IF(AND(E1276&lt;&gt;"",E1276&lt;&gt;"!!!"),"NEW","")))</f>
        <v/>
      </c>
      <c r="G1276" s="22" t="str">
        <f aca="false"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aca="false">IF(J1276&lt;&gt;1,"",IF(I1276="SBJ","CB","?"))</f>
        <v/>
      </c>
      <c r="I1276" s="24" t="str">
        <f aca="false">IF(OR(E1276="",E1276="!!!",F1276="NEW"),"",INDEX(B$2:B1275,-1+SUMPRODUCT(MAX(ROW(E$2:E1275)*(E1276=E$2:E1275)))))</f>
        <v/>
      </c>
      <c r="J1276" s="24" t="str">
        <f aca="true">IF(OR(E1276="",E1276="!!!",F1276="NEW"),"",COUNTBLANK(OFFSET(A$1,,,SUMPRODUCT(MAX(ROW(E$2:E1276)*(E1276=E$2:E1276)))))-COUNTBLANK(OFFSET(A$1,,,SUMPRODUCT(MAX(ROW(E$1:E1275)*(E2=E$1:E1275))))))</f>
        <v/>
      </c>
      <c r="K1276" s="24" t="str">
        <f aca="false">IF(OR(E1276="",E1276="!!!",F1276="NEW"),"",INDEX(J$1:J1275,SUMPRODUCT(MAX(ROW(E$1:E1275)*(E1276=E$1:E1275)))))</f>
        <v/>
      </c>
      <c r="L1276" s="25"/>
    </row>
    <row r="1277" customFormat="false" ht="14.25" hidden="false" customHeight="false" outlineLevel="0" collapsed="false">
      <c r="A1277" s="0" t="s">
        <v>80</v>
      </c>
      <c r="E1277" s="20" t="str">
        <f aca="false">IF(D1277="?OLD","!!!","")</f>
        <v/>
      </c>
      <c r="F1277" s="21" t="str">
        <f aca="false">IF(OR(E1277="",E1277="!!!"),"",IF(NOT(ISNA(VLOOKUP(E1277,E$1:E1276,1,FALSE()))),"OLD",IF(AND(E1277&lt;&gt;"",E1277&lt;&gt;"!!!"),"NEW","")))</f>
        <v/>
      </c>
      <c r="G1277" s="22" t="str">
        <f aca="false"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3" t="str">
        <f aca="false">IF(J1277&lt;&gt;1,"",IF(I1277="SBJ","CB","?"))</f>
        <v/>
      </c>
      <c r="I1277" s="24" t="str">
        <f aca="false">IF(OR(E1277="",E1277="!!!",F1277="NEW"),"",INDEX(B$2:B1276,-1+SUMPRODUCT(MAX(ROW(E$2:E1276)*(E1277=E$2:E1276)))))</f>
        <v/>
      </c>
      <c r="J1277" s="24" t="str">
        <f aca="true">IF(OR(E1277="",E1277="!!!",F1277="NEW"),"",COUNTBLANK(OFFSET(A$1,,,SUMPRODUCT(MAX(ROW(E$2:E1277)*(E1277=E$2:E1277)))))-COUNTBLANK(OFFSET(A$1,,,SUMPRODUCT(MAX(ROW(E$1:E1276)*(E2=E$1:E1276))))))</f>
        <v/>
      </c>
      <c r="K1277" s="24" t="str">
        <f aca="false">IF(OR(E1277="",E1277="!!!",F1277="NEW"),"",INDEX(J$1:J1276,SUMPRODUCT(MAX(ROW(E$1:E1276)*(E1277=E$1:E1276)))))</f>
        <v/>
      </c>
      <c r="L1277" s="25"/>
    </row>
    <row r="1278" customFormat="false" ht="14.25" hidden="false" customHeight="false" outlineLevel="0" collapsed="false">
      <c r="A1278" s="0" t="s">
        <v>826</v>
      </c>
      <c r="B1278" s="26" t="s">
        <v>410</v>
      </c>
      <c r="C1278" s="26" t="s">
        <v>74</v>
      </c>
      <c r="D1278" s="26" t="s">
        <v>75</v>
      </c>
      <c r="E1278" s="20" t="s">
        <v>827</v>
      </c>
      <c r="F1278" s="21" t="str">
        <f aca="false">IF(OR(E1278="",E1278="!!!"),"",IF(NOT(ISNA(VLOOKUP(E1278,E$1:E1277,1,FALSE()))),"OLD",IF(AND(E1278&lt;&gt;"",E1278&lt;&gt;"!!!"),"NEW","")))</f>
        <v>NEW</v>
      </c>
      <c r="G1278" s="22" t="str">
        <f aca="false"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?REFERENTIAL</v>
      </c>
      <c r="H1278" s="23" t="str">
        <f aca="false">IF(J1278&lt;&gt;1,"",IF(I1278="SBJ","CB","?"))</f>
        <v/>
      </c>
      <c r="I1278" s="24" t="str">
        <f aca="false">IF(OR(E1278="",E1278="!!!",F1278="NEW"),"",INDEX(B$2:B1277,-1+SUMPRODUCT(MAX(ROW(E$2:E1277)*(E1278=E$2:E1277)))))</f>
        <v/>
      </c>
      <c r="J1278" s="24" t="str">
        <f aca="true">IF(OR(E1278="",E1278="!!!",F1278="NEW"),"",COUNTBLANK(OFFSET(A$1,,,SUMPRODUCT(MAX(ROW(E$2:E1278)*(E1278=E$2:E1278)))))-COUNTBLANK(OFFSET(A$1,,,SUMPRODUCT(MAX(ROW(E$1:E1277)*(E2=E$1:E1277))))))</f>
        <v/>
      </c>
      <c r="K1278" s="24" t="str">
        <f aca="false">IF(OR(E1278="",E1278="!!!",F1278="NEW"),"",INDEX(J$1:J1277,SUMPRODUCT(MAX(ROW(E$1:E1277)*(E1278=E$1:E1277)))))</f>
        <v/>
      </c>
      <c r="L1278" s="25"/>
    </row>
    <row r="1279" customFormat="false" ht="14.25" hidden="false" customHeight="false" outlineLevel="0" collapsed="false">
      <c r="A1279" s="0" t="s">
        <v>828</v>
      </c>
      <c r="B1279" s="26" t="s">
        <v>424</v>
      </c>
      <c r="C1279" s="26" t="s">
        <v>209</v>
      </c>
      <c r="D1279" s="26" t="s">
        <v>75</v>
      </c>
      <c r="E1279" s="20"/>
      <c r="F1279" s="21" t="str">
        <f aca="false">IF(OR(E1279="",E1279="!!!"),"",IF(NOT(ISNA(VLOOKUP(E1279,E$1:E1278,1,FALSE()))),"OLD",IF(AND(E1279&lt;&gt;"",E1279&lt;&gt;"!!!"),"NEW","")))</f>
        <v/>
      </c>
      <c r="G1279" s="22" t="str">
        <f aca="false"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aca="false">IF(J1279&lt;&gt;1,"",IF(I1279="SBJ","CB","?"))</f>
        <v/>
      </c>
      <c r="I1279" s="24" t="str">
        <f aca="false">IF(OR(E1279="",E1279="!!!",F1279="NEW"),"",INDEX(B$2:B1278,-1+SUMPRODUCT(MAX(ROW(E$2:E1278)*(E1279=E$2:E1278)))))</f>
        <v/>
      </c>
      <c r="J1279" s="24" t="str">
        <f aca="true">IF(OR(E1279="",E1279="!!!",F1279="NEW"),"",COUNTBLANK(OFFSET(A$1,,,SUMPRODUCT(MAX(ROW(E$2:E1279)*(E1279=E$2:E1279)))))-COUNTBLANK(OFFSET(A$1,,,SUMPRODUCT(MAX(ROW(E$1:E1278)*(E2=E$1:E1278))))))</f>
        <v/>
      </c>
      <c r="K1279" s="24" t="str">
        <f aca="false">IF(OR(E1279="",E1279="!!!",F1279="NEW"),"",INDEX(J$1:J1278,SUMPRODUCT(MAX(ROW(E$1:E1278)*(E1279=E$1:E1278)))))</f>
        <v/>
      </c>
      <c r="L1279" s="27" t="s">
        <v>134</v>
      </c>
    </row>
    <row r="1280" customFormat="false" ht="14.25" hidden="false" customHeight="false" outlineLevel="0" collapsed="false">
      <c r="A1280" s="0" t="s">
        <v>829</v>
      </c>
      <c r="B1280" s="26" t="s">
        <v>214</v>
      </c>
      <c r="C1280" s="26" t="s">
        <v>119</v>
      </c>
      <c r="E1280" s="20" t="s">
        <v>830</v>
      </c>
      <c r="F1280" s="21" t="str">
        <f aca="false">IF(OR(E1280="",E1280="!!!"),"",IF(NOT(ISNA(VLOOKUP(E1280,E$1:E1279,1,FALSE()))),"OLD",IF(AND(E1280&lt;&gt;"",E1280&lt;&gt;"!!!"),"NEW","")))</f>
        <v>NEW</v>
      </c>
      <c r="G1280" s="22" t="str">
        <f aca="false"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?REFERENTIAL</v>
      </c>
      <c r="H1280" s="23" t="str">
        <f aca="false">IF(J1280&lt;&gt;1,"",IF(I1280="SBJ","CB","?"))</f>
        <v/>
      </c>
      <c r="I1280" s="24" t="str">
        <f aca="false">IF(OR(E1280="",E1280="!!!",F1280="NEW"),"",INDEX(B$2:B1279,-1+SUMPRODUCT(MAX(ROW(E$2:E1279)*(E1280=E$2:E1279)))))</f>
        <v/>
      </c>
      <c r="J1280" s="24" t="str">
        <f aca="true">IF(OR(E1280="",E1280="!!!",F1280="NEW"),"",COUNTBLANK(OFFSET(A$1,,,SUMPRODUCT(MAX(ROW(E$2:E1280)*(E1280=E$2:E1280)))))-COUNTBLANK(OFFSET(A$1,,,SUMPRODUCT(MAX(ROW(E$1:E1279)*(E2=E$1:E1279))))))</f>
        <v/>
      </c>
      <c r="K1280" s="24" t="str">
        <f aca="false">IF(OR(E1280="",E1280="!!!",F1280="NEW"),"",INDEX(J$1:J1279,SUMPRODUCT(MAX(ROW(E$1:E1279)*(E1280=E$1:E1279)))))</f>
        <v/>
      </c>
      <c r="L1280" s="25"/>
    </row>
    <row r="1281" customFormat="false" ht="14.25" hidden="false" customHeight="false" outlineLevel="0" collapsed="false">
      <c r="A1281" s="0" t="s">
        <v>831</v>
      </c>
      <c r="E1281" s="20" t="str">
        <f aca="false">IF(D1281="?OLD","!!!","")</f>
        <v/>
      </c>
      <c r="F1281" s="21" t="str">
        <f aca="false">IF(OR(E1281="",E1281="!!!"),"",IF(NOT(ISNA(VLOOKUP(E1281,E$1:E1280,1,FALSE()))),"OLD",IF(AND(E1281&lt;&gt;"",E1281&lt;&gt;"!!!"),"NEW","")))</f>
        <v/>
      </c>
      <c r="G1281" s="22" t="str">
        <f aca="false"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aca="false">IF(J1281&lt;&gt;1,"",IF(I1281="SBJ","CB","?"))</f>
        <v/>
      </c>
      <c r="I1281" s="24" t="str">
        <f aca="false">IF(OR(E1281="",E1281="!!!",F1281="NEW"),"",INDEX(B$2:B1280,-1+SUMPRODUCT(MAX(ROW(E$2:E1280)*(E1281=E$2:E1280)))))</f>
        <v/>
      </c>
      <c r="J1281" s="24" t="str">
        <f aca="true">IF(OR(E1281="",E1281="!!!",F1281="NEW"),"",COUNTBLANK(OFFSET(A$1,,,SUMPRODUCT(MAX(ROW(E$2:E1281)*(E1281=E$2:E1281)))))-COUNTBLANK(OFFSET(A$1,,,SUMPRODUCT(MAX(ROW(E$1:E1280)*(E2=E$1:E1280))))))</f>
        <v/>
      </c>
      <c r="K1281" s="24" t="str">
        <f aca="false">IF(OR(E1281="",E1281="!!!",F1281="NEW"),"",INDEX(J$1:J1280,SUMPRODUCT(MAX(ROW(E$1:E1280)*(E1281=E$1:E1280)))))</f>
        <v/>
      </c>
      <c r="L1281" s="25"/>
    </row>
    <row r="1282" customFormat="false" ht="14.25" hidden="false" customHeight="false" outlineLevel="0" collapsed="false">
      <c r="A1282" s="0" t="s">
        <v>86</v>
      </c>
      <c r="E1282" s="20" t="str">
        <f aca="false">IF(D1282="?OLD","!!!","")</f>
        <v/>
      </c>
      <c r="F1282" s="21" t="str">
        <f aca="false">IF(OR(E1282="",E1282="!!!"),"",IF(NOT(ISNA(VLOOKUP(E1282,E$1:E1281,1,FALSE()))),"OLD",IF(AND(E1282&lt;&gt;"",E1282&lt;&gt;"!!!"),"NEW","")))</f>
        <v/>
      </c>
      <c r="G1282" s="22" t="str">
        <f aca="false"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aca="false">IF(J1282&lt;&gt;1,"",IF(I1282="SBJ","CB","?"))</f>
        <v/>
      </c>
      <c r="I1282" s="24" t="str">
        <f aca="false">IF(OR(E1282="",E1282="!!!",F1282="NEW"),"",INDEX(B$2:B1281,-1+SUMPRODUCT(MAX(ROW(E$2:E1281)*(E1282=E$2:E1281)))))</f>
        <v/>
      </c>
      <c r="J1282" s="24" t="str">
        <f aca="true">IF(OR(E1282="",E1282="!!!",F1282="NEW"),"",COUNTBLANK(OFFSET(A$1,,,SUMPRODUCT(MAX(ROW(E$2:E1282)*(E1282=E$2:E1282)))))-COUNTBLANK(OFFSET(A$1,,,SUMPRODUCT(MAX(ROW(E$1:E1281)*(E2=E$1:E1281))))))</f>
        <v/>
      </c>
      <c r="K1282" s="24" t="str">
        <f aca="false">IF(OR(E1282="",E1282="!!!",F1282="NEW"),"",INDEX(J$1:J1281,SUMPRODUCT(MAX(ROW(E$1:E1281)*(E1282=E$1:E1281)))))</f>
        <v/>
      </c>
      <c r="L1282" s="25"/>
    </row>
    <row r="1283" customFormat="false" ht="14.25" hidden="false" customHeight="false" outlineLevel="0" collapsed="false">
      <c r="A1283" s="0" t="s">
        <v>376</v>
      </c>
      <c r="E1283" s="20" t="str">
        <f aca="false">IF(D1283="?OLD","!!!","")</f>
        <v/>
      </c>
      <c r="F1283" s="21" t="str">
        <f aca="false">IF(OR(E1283="",E1283="!!!"),"",IF(NOT(ISNA(VLOOKUP(E1283,E$1:E1282,1,FALSE()))),"OLD",IF(AND(E1283&lt;&gt;"",E1283&lt;&gt;"!!!"),"NEW","")))</f>
        <v/>
      </c>
      <c r="G1283" s="22" t="str">
        <f aca="false"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aca="false">IF(J1283&lt;&gt;1,"",IF(I1283="SBJ","CB","?"))</f>
        <v/>
      </c>
      <c r="I1283" s="24" t="str">
        <f aca="false">IF(OR(E1283="",E1283="!!!",F1283="NEW"),"",INDEX(B$2:B1282,-1+SUMPRODUCT(MAX(ROW(E$2:E1282)*(E1283=E$2:E1282)))))</f>
        <v/>
      </c>
      <c r="J1283" s="24" t="str">
        <f aca="true">IF(OR(E1283="",E1283="!!!",F1283="NEW"),"",COUNTBLANK(OFFSET(A$1,,,SUMPRODUCT(MAX(ROW(E$2:E1283)*(E1283=E$2:E1283)))))-COUNTBLANK(OFFSET(A$1,,,SUMPRODUCT(MAX(ROW(E$1:E1282)*(E2=E$1:E1282))))))</f>
        <v/>
      </c>
      <c r="K1283" s="24" t="str">
        <f aca="false">IF(OR(E1283="",E1283="!!!",F1283="NEW"),"",INDEX(J$1:J1282,SUMPRODUCT(MAX(ROW(E$1:E1282)*(E1283=E$1:E1282)))))</f>
        <v/>
      </c>
      <c r="L1283" s="25"/>
    </row>
    <row r="1284" customFormat="false" ht="14.25" hidden="false" customHeight="false" outlineLevel="0" collapsed="false">
      <c r="A1284" s="0" t="s">
        <v>71</v>
      </c>
      <c r="B1284" s="26" t="s">
        <v>115</v>
      </c>
      <c r="C1284" s="26" t="s">
        <v>209</v>
      </c>
      <c r="D1284" s="26" t="s">
        <v>75</v>
      </c>
      <c r="E1284" s="20"/>
      <c r="F1284" s="21" t="str">
        <f aca="false">IF(OR(E1284="",E1284="!!!"),"",IF(NOT(ISNA(VLOOKUP(E1284,E$1:E1283,1,FALSE()))),"OLD",IF(AND(E1284&lt;&gt;"",E1284&lt;&gt;"!!!"),"NEW","")))</f>
        <v/>
      </c>
      <c r="G1284" s="22" t="str">
        <f aca="false"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aca="false">IF(J1284&lt;&gt;1,"",IF(I1284="SBJ","CB","?"))</f>
        <v/>
      </c>
      <c r="I1284" s="24" t="str">
        <f aca="false">IF(OR(E1284="",E1284="!!!",F1284="NEW"),"",INDEX(B$2:B1283,-1+SUMPRODUCT(MAX(ROW(E$2:E1283)*(E1284=E$2:E1283)))))</f>
        <v/>
      </c>
      <c r="J1284" s="24" t="str">
        <f aca="true">IF(OR(E1284="",E1284="!!!",F1284="NEW"),"",COUNTBLANK(OFFSET(A$1,,,SUMPRODUCT(MAX(ROW(E$2:E1284)*(E1284=E$2:E1284)))))-COUNTBLANK(OFFSET(A$1,,,SUMPRODUCT(MAX(ROW(E$1:E1283)*(E2=E$1:E1283))))))</f>
        <v/>
      </c>
      <c r="K1284" s="24" t="str">
        <f aca="false">IF(OR(E1284="",E1284="!!!",F1284="NEW"),"",INDEX(J$1:J1283,SUMPRODUCT(MAX(ROW(E$1:E1283)*(E1284=E$1:E1283)))))</f>
        <v/>
      </c>
      <c r="L1284" s="27" t="s">
        <v>134</v>
      </c>
    </row>
    <row r="1285" customFormat="false" ht="14.25" hidden="false" customHeight="false" outlineLevel="0" collapsed="false">
      <c r="A1285" s="0" t="s">
        <v>832</v>
      </c>
      <c r="E1285" s="20" t="str">
        <f aca="false">IF(D1285="?OLD","!!!","")</f>
        <v/>
      </c>
      <c r="F1285" s="21" t="str">
        <f aca="false">IF(OR(E1285="",E1285="!!!"),"",IF(NOT(ISNA(VLOOKUP(E1285,E$1:E1284,1,FALSE()))),"OLD",IF(AND(E1285&lt;&gt;"",E1285&lt;&gt;"!!!"),"NEW","")))</f>
        <v/>
      </c>
      <c r="G1285" s="22" t="str">
        <f aca="false"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aca="false">IF(J1285&lt;&gt;1,"",IF(I1285="SBJ","CB","?"))</f>
        <v/>
      </c>
      <c r="I1285" s="24" t="str">
        <f aca="false">IF(OR(E1285="",E1285="!!!",F1285="NEW"),"",INDEX(B$2:B1284,-1+SUMPRODUCT(MAX(ROW(E$2:E1284)*(E1285=E$2:E1284)))))</f>
        <v/>
      </c>
      <c r="J1285" s="24" t="str">
        <f aca="true">IF(OR(E1285="",E1285="!!!",F1285="NEW"),"",COUNTBLANK(OFFSET(A$1,,,SUMPRODUCT(MAX(ROW(E$2:E1285)*(E1285=E$2:E1285)))))-COUNTBLANK(OFFSET(A$1,,,SUMPRODUCT(MAX(ROW(E$1:E1284)*(E2=E$1:E1284))))))</f>
        <v/>
      </c>
      <c r="K1285" s="24" t="str">
        <f aca="false">IF(OR(E1285="",E1285="!!!",F1285="NEW"),"",INDEX(J$1:J1284,SUMPRODUCT(MAX(ROW(E$1:E1284)*(E1285=E$1:E1284)))))</f>
        <v/>
      </c>
      <c r="L1285" s="25"/>
    </row>
    <row r="1286" customFormat="false" ht="14.25" hidden="false" customHeight="false" outlineLevel="0" collapsed="false">
      <c r="A1286" s="0" t="s">
        <v>833</v>
      </c>
      <c r="B1286" s="26" t="s">
        <v>104</v>
      </c>
      <c r="C1286" s="26" t="s">
        <v>74</v>
      </c>
      <c r="D1286" s="26" t="s">
        <v>75</v>
      </c>
      <c r="E1286" s="20" t="s">
        <v>834</v>
      </c>
      <c r="F1286" s="21" t="str">
        <f aca="false">IF(OR(E1286="",E1286="!!!"),"",IF(NOT(ISNA(VLOOKUP(E1286,E$1:E1285,1,FALSE()))),"OLD",IF(AND(E1286&lt;&gt;"",E1286&lt;&gt;"!!!"),"NEW","")))</f>
        <v>NEW</v>
      </c>
      <c r="G1286" s="22" t="str">
        <f aca="false"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?REFERENTIAL</v>
      </c>
      <c r="H1286" s="23" t="str">
        <f aca="false">IF(J1286&lt;&gt;1,"",IF(I1286="SBJ","CB","?"))</f>
        <v/>
      </c>
      <c r="I1286" s="24" t="str">
        <f aca="false">IF(OR(E1286="",E1286="!!!",F1286="NEW"),"",INDEX(B$2:B1285,-1+SUMPRODUCT(MAX(ROW(E$2:E1285)*(E1286=E$2:E1285)))))</f>
        <v/>
      </c>
      <c r="J1286" s="24" t="str">
        <f aca="true">IF(OR(E1286="",E1286="!!!",F1286="NEW"),"",COUNTBLANK(OFFSET(A$1,,,SUMPRODUCT(MAX(ROW(E$2:E1286)*(E1286=E$2:E1286)))))-COUNTBLANK(OFFSET(A$1,,,SUMPRODUCT(MAX(ROW(E$1:E1285)*(E2=E$1:E1285))))))</f>
        <v/>
      </c>
      <c r="K1286" s="24" t="str">
        <f aca="false">IF(OR(E1286="",E1286="!!!",F1286="NEW"),"",INDEX(J$1:J1285,SUMPRODUCT(MAX(ROW(E$1:E1285)*(E1286=E$1:E1285)))))</f>
        <v/>
      </c>
      <c r="L1286" s="25"/>
    </row>
    <row r="1287" customFormat="false" ht="14.25" hidden="false" customHeight="false" outlineLevel="0" collapsed="false">
      <c r="A1287" s="0" t="s">
        <v>129</v>
      </c>
      <c r="E1287" s="20" t="str">
        <f aca="false">IF(D1287="?OLD","!!!","")</f>
        <v/>
      </c>
      <c r="F1287" s="21" t="str">
        <f aca="false">IF(OR(E1287="",E1287="!!!"),"",IF(NOT(ISNA(VLOOKUP(E1287,E$1:E1286,1,FALSE()))),"OLD",IF(AND(E1287&lt;&gt;"",E1287&lt;&gt;"!!!"),"NEW","")))</f>
        <v/>
      </c>
      <c r="G1287" s="22" t="str">
        <f aca="false"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3" t="str">
        <f aca="false">IF(J1287&lt;&gt;1,"",IF(I1287="SBJ","CB","?"))</f>
        <v/>
      </c>
      <c r="I1287" s="24" t="str">
        <f aca="false">IF(OR(E1287="",E1287="!!!",F1287="NEW"),"",INDEX(B$2:B1286,-1+SUMPRODUCT(MAX(ROW(E$2:E1286)*(E1287=E$2:E1286)))))</f>
        <v/>
      </c>
      <c r="J1287" s="24" t="str">
        <f aca="true">IF(OR(E1287="",E1287="!!!",F1287="NEW"),"",COUNTBLANK(OFFSET(A$1,,,SUMPRODUCT(MAX(ROW(E$2:E1287)*(E1287=E$2:E1287)))))-COUNTBLANK(OFFSET(A$1,,,SUMPRODUCT(MAX(ROW(E$1:E1286)*(E2=E$1:E1286))))))</f>
        <v/>
      </c>
      <c r="K1287" s="24" t="str">
        <f aca="false">IF(OR(E1287="",E1287="!!!",F1287="NEW"),"",INDEX(J$1:J1286,SUMPRODUCT(MAX(ROW(E$1:E1286)*(E1287=E$1:E1286)))))</f>
        <v/>
      </c>
      <c r="L1287" s="25"/>
    </row>
    <row r="1288" customFormat="false" ht="14.25" hidden="false" customHeight="false" outlineLevel="0" collapsed="false">
      <c r="A1288" s="0" t="s">
        <v>835</v>
      </c>
      <c r="B1288" s="26" t="s">
        <v>110</v>
      </c>
      <c r="C1288" s="26" t="s">
        <v>88</v>
      </c>
      <c r="D1288" s="26" t="s">
        <v>75</v>
      </c>
      <c r="E1288" s="20" t="s">
        <v>97</v>
      </c>
      <c r="F1288" s="21" t="str">
        <f aca="false">IF(OR(E1288="",E1288="!!!"),"",IF(NOT(ISNA(VLOOKUP(E1288,E$1:E1287,1,FALSE()))),"OLD",IF(AND(E1288&lt;&gt;"",E1288&lt;&gt;"!!!"),"NEW","")))</f>
        <v>OLD</v>
      </c>
      <c r="G1288" s="22" t="str">
        <f aca="false"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?IN_FOCUS</v>
      </c>
      <c r="H1288" s="23" t="str">
        <f aca="false">IF(J1288&lt;&gt;1,"",IF(I1288="SBJ","CB","?"))</f>
        <v/>
      </c>
      <c r="I1288" s="24" t="str">
        <f aca="false">IF(OR(E1288="",E1288="!!!",F1288="NEW"),"",INDEX(B$2:B1287,-1+SUMPRODUCT(MAX(ROW(E$2:E1287)*(E1288=E$2:E1287)))))</f>
        <v>SBJ_7</v>
      </c>
      <c r="J1288" s="24" t="n">
        <f aca="true">IF(OR(E1288="",E1288="!!!",F1288="NEW"),"",COUNTBLANK(OFFSET(A$1,,,SUMPRODUCT(MAX(ROW(E$2:E1288)*(E1288=E$2:E1288)))))-COUNTBLANK(OFFSET(A$1,,,SUMPRODUCT(MAX(ROW(E$1:E1287)*(E2=E$1:E1287))))))</f>
        <v>0</v>
      </c>
      <c r="K1288" s="24" t="n">
        <f aca="false">IF(OR(E1288="",E1288="!!!",F1288="NEW"),"",INDEX(J$1:J1287,SUMPRODUCT(MAX(ROW(E$1:E1287)*(E1288=E$1:E1287)))))</f>
        <v>0</v>
      </c>
      <c r="L1288" s="25"/>
    </row>
    <row r="1289" customFormat="false" ht="14.25" hidden="false" customHeight="false" outlineLevel="0" collapsed="false">
      <c r="A1289" s="0" t="s">
        <v>92</v>
      </c>
      <c r="E1289" s="20" t="str">
        <f aca="false">IF(D1289="?OLD","!!!","")</f>
        <v/>
      </c>
      <c r="F1289" s="21" t="str">
        <f aca="false">IF(OR(E1289="",E1289="!!!"),"",IF(NOT(ISNA(VLOOKUP(E1289,E$1:E1288,1,FALSE()))),"OLD",IF(AND(E1289&lt;&gt;"",E1289&lt;&gt;"!!!"),"NEW","")))</f>
        <v/>
      </c>
      <c r="G1289" s="22" t="str">
        <f aca="false"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aca="false">IF(J1289&lt;&gt;1,"",IF(I1289="SBJ","CB","?"))</f>
        <v/>
      </c>
      <c r="I1289" s="24" t="str">
        <f aca="false">IF(OR(E1289="",E1289="!!!",F1289="NEW"),"",INDEX(B$2:B1288,-1+SUMPRODUCT(MAX(ROW(E$2:E1288)*(E1289=E$2:E1288)))))</f>
        <v/>
      </c>
      <c r="J1289" s="24" t="str">
        <f aca="true">IF(OR(E1289="",E1289="!!!",F1289="NEW"),"",COUNTBLANK(OFFSET(A$1,,,SUMPRODUCT(MAX(ROW(E$2:E1289)*(E1289=E$2:E1289)))))-COUNTBLANK(OFFSET(A$1,,,SUMPRODUCT(MAX(ROW(E$1:E1288)*(E2=E$1:E1288))))))</f>
        <v/>
      </c>
      <c r="K1289" s="24" t="str">
        <f aca="false">IF(OR(E1289="",E1289="!!!",F1289="NEW"),"",INDEX(J$1:J1288,SUMPRODUCT(MAX(ROW(E$1:E1288)*(E1289=E$1:E1288)))))</f>
        <v/>
      </c>
      <c r="L1289" s="25"/>
    </row>
    <row r="1290" customFormat="false" ht="14.25" hidden="false" customHeight="false" outlineLevel="0" collapsed="false">
      <c r="A1290" s="0" t="s">
        <v>836</v>
      </c>
      <c r="E1290" s="20" t="str">
        <f aca="false">IF(D1290="?OLD","!!!","")</f>
        <v/>
      </c>
      <c r="F1290" s="21" t="str">
        <f aca="false">IF(OR(E1290="",E1290="!!!"),"",IF(NOT(ISNA(VLOOKUP(E1290,E$1:E1289,1,FALSE()))),"OLD",IF(AND(E1290&lt;&gt;"",E1290&lt;&gt;"!!!"),"NEW","")))</f>
        <v/>
      </c>
      <c r="G1290" s="22" t="str">
        <f aca="false"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aca="false">IF(J1290&lt;&gt;1,"",IF(I1290="SBJ","CB","?"))</f>
        <v/>
      </c>
      <c r="I1290" s="24" t="str">
        <f aca="false">IF(OR(E1290="",E1290="!!!",F1290="NEW"),"",INDEX(B$2:B1289,-1+SUMPRODUCT(MAX(ROW(E$2:E1289)*(E1290=E$2:E1289)))))</f>
        <v/>
      </c>
      <c r="J1290" s="24" t="str">
        <f aca="true">IF(OR(E1290="",E1290="!!!",F1290="NEW"),"",COUNTBLANK(OFFSET(A$1,,,SUMPRODUCT(MAX(ROW(E$2:E1290)*(E1290=E$2:E1290)))))-COUNTBLANK(OFFSET(A$1,,,SUMPRODUCT(MAX(ROW(E$1:E1289)*(E2=E$1:E1289))))))</f>
        <v/>
      </c>
      <c r="K1290" s="24" t="str">
        <f aca="false">IF(OR(E1290="",E1290="!!!",F1290="NEW"),"",INDEX(J$1:J1289,SUMPRODUCT(MAX(ROW(E$1:E1289)*(E1290=E$1:E1289)))))</f>
        <v/>
      </c>
      <c r="L1290" s="25"/>
    </row>
    <row r="1291" customFormat="false" ht="14.25" hidden="false" customHeight="false" outlineLevel="0" collapsed="false">
      <c r="A1291" s="0" t="s">
        <v>136</v>
      </c>
      <c r="E1291" s="20" t="str">
        <f aca="false">IF(D1291="?OLD","!!!","")</f>
        <v/>
      </c>
      <c r="F1291" s="21" t="str">
        <f aca="false">IF(OR(E1291="",E1291="!!!"),"",IF(NOT(ISNA(VLOOKUP(E1291,E$1:E1290,1,FALSE()))),"OLD",IF(AND(E1291&lt;&gt;"",E1291&lt;&gt;"!!!"),"NEW","")))</f>
        <v/>
      </c>
      <c r="G1291" s="22" t="str">
        <f aca="false"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aca="false">IF(J1291&lt;&gt;1,"",IF(I1291="SBJ","CB","?"))</f>
        <v/>
      </c>
      <c r="I1291" s="24" t="str">
        <f aca="false">IF(OR(E1291="",E1291="!!!",F1291="NEW"),"",INDEX(B$2:B1290,-1+SUMPRODUCT(MAX(ROW(E$2:E1290)*(E1291=E$2:E1290)))))</f>
        <v/>
      </c>
      <c r="J1291" s="24" t="str">
        <f aca="true">IF(OR(E1291="",E1291="!!!",F1291="NEW"),"",COUNTBLANK(OFFSET(A$1,,,SUMPRODUCT(MAX(ROW(E$2:E1291)*(E1291=E$2:E1291)))))-COUNTBLANK(OFFSET(A$1,,,SUMPRODUCT(MAX(ROW(E$1:E1290)*(E2=E$1:E1290))))))</f>
        <v/>
      </c>
      <c r="K1291" s="24" t="str">
        <f aca="false">IF(OR(E1291="",E1291="!!!",F1291="NEW"),"",INDEX(J$1:J1290,SUMPRODUCT(MAX(ROW(E$1:E1290)*(E1291=E$1:E1290)))))</f>
        <v/>
      </c>
      <c r="L1291" s="25"/>
    </row>
    <row r="1292" customFormat="false" ht="14.25" hidden="false" customHeight="false" outlineLevel="0" collapsed="false">
      <c r="A1292" s="0" t="s">
        <v>837</v>
      </c>
      <c r="B1292" s="26" t="s">
        <v>147</v>
      </c>
      <c r="C1292" s="26" t="s">
        <v>74</v>
      </c>
      <c r="D1292" s="26" t="s">
        <v>75</v>
      </c>
      <c r="E1292" s="20" t="s">
        <v>838</v>
      </c>
      <c r="F1292" s="21" t="s">
        <v>84</v>
      </c>
      <c r="G1292" s="22" t="e">
        <f aca="false"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#VALUE!</v>
      </c>
      <c r="H1292" s="23" t="str">
        <f aca="false">IF(J1292&lt;&gt;1,"",IF(I1292="SBJ","CB","?"))</f>
        <v/>
      </c>
      <c r="I1292" s="24" t="e">
        <f aca="false">IF(OR(E1292="",E1292="!!!",F1292="NEW"),"",INDEX(B$2:B1291,-1+SUMPRODUCT(MAX(ROW(E$2:E1291)*(E1292=E$2:E1291)))))</f>
        <v>#VALUE!</v>
      </c>
      <c r="J1292" s="24" t="n">
        <f aca="true">IF(OR(E1292="",E1292="!!!",F1292="NEW"),"",COUNTBLANK(OFFSET(A$1,,,SUMPRODUCT(MAX(ROW(E$2:E1292)*(E1292=E$2:E1292)))))-COUNTBLANK(OFFSET(A$1,,,SUMPRODUCT(MAX(ROW(E$1:E1291)*(E2=E$1:E1291))))))</f>
        <v>0</v>
      </c>
      <c r="K1292" s="24" t="e">
        <f aca="false">IF(OR(E1292="",E1292="!!!",F1292="NEW"),"",INDEX(J$1:J1291,SUMPRODUCT(MAX(ROW(E$1:E1291)*(E1292=E$1:E1291)))))</f>
        <v>#VALUE!</v>
      </c>
      <c r="L1292" s="25"/>
    </row>
    <row r="1293" customFormat="false" ht="14.25" hidden="false" customHeight="false" outlineLevel="0" collapsed="false">
      <c r="A1293" s="0" t="s">
        <v>172</v>
      </c>
      <c r="E1293" s="20" t="str">
        <f aca="false">IF(D1293="?OLD","!!!","")</f>
        <v/>
      </c>
      <c r="F1293" s="21" t="str">
        <f aca="false">IF(OR(E1293="",E1293="!!!"),"",IF(NOT(ISNA(VLOOKUP(E1293,E$1:E1292,1,FALSE()))),"OLD",IF(AND(E1293&lt;&gt;"",E1293&lt;&gt;"!!!"),"NEW","")))</f>
        <v/>
      </c>
      <c r="G1293" s="22" t="str">
        <f aca="false"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aca="false">IF(J1293&lt;&gt;1,"",IF(I1293="SBJ","CB","?"))</f>
        <v/>
      </c>
      <c r="I1293" s="24" t="str">
        <f aca="false">IF(OR(E1293="",E1293="!!!",F1293="NEW"),"",INDEX(B$2:B1292,-1+SUMPRODUCT(MAX(ROW(E$2:E1292)*(E1293=E$2:E1292)))))</f>
        <v/>
      </c>
      <c r="J1293" s="24" t="str">
        <f aca="true">IF(OR(E1293="",E1293="!!!",F1293="NEW"),"",COUNTBLANK(OFFSET(A$1,,,SUMPRODUCT(MAX(ROW(E$2:E1293)*(E1293=E$2:E1293)))))-COUNTBLANK(OFFSET(A$1,,,SUMPRODUCT(MAX(ROW(E$1:E1292)*(E2=E$1:E1292))))))</f>
        <v/>
      </c>
      <c r="K1293" s="24" t="str">
        <f aca="false">IF(OR(E1293="",E1293="!!!",F1293="NEW"),"",INDEX(J$1:J1292,SUMPRODUCT(MAX(ROW(E$1:E1292)*(E1293=E$1:E1292)))))</f>
        <v/>
      </c>
      <c r="L1293" s="25"/>
    </row>
    <row r="1294" customFormat="false" ht="14.25" hidden="false" customHeight="false" outlineLevel="0" collapsed="false">
      <c r="A1294" s="0" t="s">
        <v>376</v>
      </c>
      <c r="E1294" s="20" t="str">
        <f aca="false">IF(D1294="?OLD","!!!","")</f>
        <v/>
      </c>
      <c r="F1294" s="21" t="str">
        <f aca="false">IF(OR(E1294="",E1294="!!!"),"",IF(NOT(ISNA(VLOOKUP(E1294,E$1:E1293,1,FALSE()))),"OLD",IF(AND(E1294&lt;&gt;"",E1294&lt;&gt;"!!!"),"NEW","")))</f>
        <v/>
      </c>
      <c r="G1294" s="22" t="str">
        <f aca="false"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aca="false">IF(J1294&lt;&gt;1,"",IF(I1294="SBJ","CB","?"))</f>
        <v/>
      </c>
      <c r="I1294" s="24" t="str">
        <f aca="false">IF(OR(E1294="",E1294="!!!",F1294="NEW"),"",INDEX(B$2:B1293,-1+SUMPRODUCT(MAX(ROW(E$2:E1293)*(E1294=E$2:E1293)))))</f>
        <v/>
      </c>
      <c r="J1294" s="24" t="str">
        <f aca="true">IF(OR(E1294="",E1294="!!!",F1294="NEW"),"",COUNTBLANK(OFFSET(A$1,,,SUMPRODUCT(MAX(ROW(E$2:E1294)*(E1294=E$2:E1294)))))-COUNTBLANK(OFFSET(A$1,,,SUMPRODUCT(MAX(ROW(E$1:E1293)*(E2=E$1:E1293))))))</f>
        <v/>
      </c>
      <c r="K1294" s="24" t="str">
        <f aca="false">IF(OR(E1294="",E1294="!!!",F1294="NEW"),"",INDEX(J$1:J1293,SUMPRODUCT(MAX(ROW(E$1:E1293)*(E1294=E$1:E1293)))))</f>
        <v/>
      </c>
      <c r="L1294" s="25"/>
    </row>
    <row r="1295" customFormat="false" ht="14.25" hidden="false" customHeight="false" outlineLevel="0" collapsed="false">
      <c r="A1295" s="0" t="s">
        <v>444</v>
      </c>
      <c r="E1295" s="20" t="str">
        <f aca="false">IF(D1295="?OLD","!!!","")</f>
        <v/>
      </c>
      <c r="F1295" s="21" t="str">
        <f aca="false">IF(OR(E1295="",E1295="!!!"),"",IF(NOT(ISNA(VLOOKUP(E1295,E$1:E1294,1,FALSE()))),"OLD",IF(AND(E1295&lt;&gt;"",E1295&lt;&gt;"!!!"),"NEW","")))</f>
        <v/>
      </c>
      <c r="G1295" s="22" t="str">
        <f aca="false"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23" t="str">
        <f aca="false">IF(J1295&lt;&gt;1,"",IF(I1295="SBJ","CB","?"))</f>
        <v/>
      </c>
      <c r="I1295" s="24" t="str">
        <f aca="false">IF(OR(E1295="",E1295="!!!",F1295="NEW"),"",INDEX(B$2:B1294,-1+SUMPRODUCT(MAX(ROW(E$2:E1294)*(E1295=E$2:E1294)))))</f>
        <v/>
      </c>
      <c r="J1295" s="24" t="str">
        <f aca="true">IF(OR(E1295="",E1295="!!!",F1295="NEW"),"",COUNTBLANK(OFFSET(A$1,,,SUMPRODUCT(MAX(ROW(E$2:E1295)*(E1295=E$2:E1295)))))-COUNTBLANK(OFFSET(A$1,,,SUMPRODUCT(MAX(ROW(E$1:E1294)*(E2=E$1:E1294))))))</f>
        <v/>
      </c>
      <c r="K1295" s="24" t="str">
        <f aca="false">IF(OR(E1295="",E1295="!!!",F1295="NEW"),"",INDEX(J$1:J1294,SUMPRODUCT(MAX(ROW(E$1:E1294)*(E1295=E$1:E1294)))))</f>
        <v/>
      </c>
      <c r="L1295" s="25"/>
    </row>
    <row r="1297" customFormat="false" ht="14.25" hidden="false" customHeight="false" outlineLevel="0" collapsed="false">
      <c r="A1297" s="0" t="s">
        <v>401</v>
      </c>
      <c r="E1297" s="20" t="str">
        <f aca="false">IF(D1297="?OLD","!!!","")</f>
        <v/>
      </c>
      <c r="F1297" s="21" t="str">
        <f aca="false">IF(OR(E1297="",E1297="!!!"),"",IF(NOT(ISNA(VLOOKUP(E1297,E$1:E1296,1,FALSE()))),"OLD",IF(AND(E1297&lt;&gt;"",E1297&lt;&gt;"!!!"),"NEW","")))</f>
        <v/>
      </c>
      <c r="G1297" s="22" t="str">
        <f aca="false"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aca="false">IF(J1297&lt;&gt;1,"",IF(I1297="SBJ","CB","?"))</f>
        <v/>
      </c>
      <c r="I1297" s="24" t="str">
        <f aca="false">IF(OR(E1297="",E1297="!!!",F1297="NEW"),"",INDEX(B$2:B1296,-1+SUMPRODUCT(MAX(ROW(E$2:E1296)*(E1297=E$2:E1296)))))</f>
        <v/>
      </c>
      <c r="J1297" s="24" t="str">
        <f aca="true">IF(OR(E1297="",E1297="!!!",F1297="NEW"),"",COUNTBLANK(OFFSET(A$1,,,SUMPRODUCT(MAX(ROW(E$2:E1297)*(E1297=E$2:E1297)))))-COUNTBLANK(OFFSET(A$1,,,SUMPRODUCT(MAX(ROW(E$1:E1296)*(E2=E$1:E1296))))))</f>
        <v/>
      </c>
      <c r="K1297" s="24" t="str">
        <f aca="false">IF(OR(E1297="",E1297="!!!",F1297="NEW"),"",INDEX(J$1:J1296,SUMPRODUCT(MAX(ROW(E$1:E1296)*(E1297=E$1:E1296)))))</f>
        <v/>
      </c>
      <c r="L1297" s="25"/>
    </row>
    <row r="1298" customFormat="false" ht="14.25" hidden="false" customHeight="false" outlineLevel="0" collapsed="false">
      <c r="A1298" s="0" t="s">
        <v>839</v>
      </c>
    </row>
    <row r="1299" customFormat="false" ht="14.25" hidden="false" customHeight="false" outlineLevel="0" collapsed="false">
      <c r="A1299" s="0" t="s">
        <v>87</v>
      </c>
      <c r="B1299" s="26" t="s">
        <v>73</v>
      </c>
      <c r="C1299" s="26" t="s">
        <v>88</v>
      </c>
      <c r="D1299" s="26" t="s">
        <v>75</v>
      </c>
      <c r="E1299" s="20" t="s">
        <v>840</v>
      </c>
      <c r="F1299" s="21" t="s">
        <v>273</v>
      </c>
      <c r="G1299" s="22" t="e">
        <f aca="false"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#VALUE!</v>
      </c>
      <c r="H1299" s="23" t="str">
        <f aca="false">IF(J1299&lt;&gt;1,"",IF(I1299="SBJ","CB","?"))</f>
        <v/>
      </c>
      <c r="I1299" s="24" t="e">
        <f aca="false">IF(OR(E1299="",E1299="!!!",F1299="NEW"),"",INDEX(B$2:B1298,-1+SUMPRODUCT(MAX(ROW(E$2:E1298)*(E1299=E$2:E1298)))))</f>
        <v>#VALUE!</v>
      </c>
      <c r="J1299" s="24" t="n">
        <f aca="true">IF(OR(E1299="",E1299="!!!",F1299="NEW"),"",COUNTBLANK(OFFSET(A$1,,,SUMPRODUCT(MAX(ROW(E$2:E1299)*(E1299=E$2:E1299)))))-COUNTBLANK(OFFSET(A$1,,,SUMPRODUCT(MAX(ROW(E$1:E1298)*(E2=E$1:E1298))))))</f>
        <v>0</v>
      </c>
      <c r="K1299" s="24" t="e">
        <f aca="false">IF(OR(E1299="",E1299="!!!",F1299="NEW"),"",INDEX(J$1:J1298,SUMPRODUCT(MAX(ROW(E$1:E1298)*(E1299=E$1:E1298)))))</f>
        <v>#VALUE!</v>
      </c>
      <c r="L1299" s="25"/>
    </row>
    <row r="1300" customFormat="false" ht="14.25" hidden="false" customHeight="false" outlineLevel="0" collapsed="false">
      <c r="A1300" s="0" t="s">
        <v>160</v>
      </c>
      <c r="B1300" s="26" t="s">
        <v>91</v>
      </c>
      <c r="C1300" s="26" t="s">
        <v>151</v>
      </c>
      <c r="D1300" s="26" t="s">
        <v>75</v>
      </c>
      <c r="E1300" s="20" t="s">
        <v>179</v>
      </c>
      <c r="F1300" s="21" t="str">
        <f aca="false">IF(OR(E1300="",E1300="!!!"),"",IF(NOT(ISNA(VLOOKUP(E1300,E$1:E1299,1,FALSE()))),"OLD",IF(AND(E1300&lt;&gt;"",E1300&lt;&gt;"!!!"),"NEW","")))</f>
        <v>OLD</v>
      </c>
      <c r="G1300" s="22" t="str">
        <f aca="false"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?IN_FOCUS</v>
      </c>
      <c r="H1300" s="23" t="str">
        <f aca="false">IF(J1300&lt;&gt;1,"",IF(I1300="SBJ","CB","?"))</f>
        <v/>
      </c>
      <c r="I1300" s="24" t="str">
        <f aca="false">IF(OR(E1300="",E1300="!!!",F1300="NEW"),"",INDEX(B$2:B1299,-1+SUMPRODUCT(MAX(ROW(E$2:E1299)*(E1300=E$2:E1299)))))</f>
        <v>other_2</v>
      </c>
      <c r="J1300" s="24" t="n">
        <f aca="true">IF(OR(E1300="",E1300="!!!",F1300="NEW"),"",COUNTBLANK(OFFSET(A$1,,,SUMPRODUCT(MAX(ROW(E$2:E1300)*(E1300=E$2:E1300)))))-COUNTBLANK(OFFSET(A$1,,,SUMPRODUCT(MAX(ROW(E$1:E1299)*(E2=E$1:E1299))))))</f>
        <v>0</v>
      </c>
      <c r="K1300" s="24" t="n">
        <f aca="false">IF(OR(E1300="",E1300="!!!",F1300="NEW"),"",INDEX(J$1:J1299,SUMPRODUCT(MAX(ROW(E$1:E1299)*(E1300=E$1:E1299)))))</f>
        <v>0</v>
      </c>
      <c r="L1300" s="25"/>
    </row>
    <row r="1301" customFormat="false" ht="14.25" hidden="false" customHeight="false" outlineLevel="0" collapsed="false">
      <c r="A1301" s="0" t="s">
        <v>48</v>
      </c>
      <c r="E1301" s="20" t="str">
        <f aca="false">IF(D1301="?OLD","!!!","")</f>
        <v/>
      </c>
      <c r="F1301" s="21" t="str">
        <f aca="false">IF(OR(E1301="",E1301="!!!"),"",IF(NOT(ISNA(VLOOKUP(E1301,E$1:E1300,1,FALSE()))),"OLD",IF(AND(E1301&lt;&gt;"",E1301&lt;&gt;"!!!"),"NEW","")))</f>
        <v/>
      </c>
      <c r="G1301" s="22" t="str">
        <f aca="false"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aca="false">IF(J1301&lt;&gt;1,"",IF(I1301="SBJ","CB","?"))</f>
        <v/>
      </c>
      <c r="I1301" s="24" t="str">
        <f aca="false">IF(OR(E1301="",E1301="!!!",F1301="NEW"),"",INDEX(B$2:B1300,-1+SUMPRODUCT(MAX(ROW(E$2:E1300)*(E1301=E$2:E1300)))))</f>
        <v/>
      </c>
      <c r="J1301" s="24" t="str">
        <f aca="true">IF(OR(E1301="",E1301="!!!",F1301="NEW"),"",COUNTBLANK(OFFSET(A$1,,,SUMPRODUCT(MAX(ROW(E$2:E1301)*(E1301=E$2:E1301)))))-COUNTBLANK(OFFSET(A$1,,,SUMPRODUCT(MAX(ROW(E$1:E1300)*(E2=E$1:E1300))))))</f>
        <v/>
      </c>
      <c r="K1301" s="24" t="str">
        <f aca="false">IF(OR(E1301="",E1301="!!!",F1301="NEW"),"",INDEX(J$1:J1300,SUMPRODUCT(MAX(ROW(E$1:E1300)*(E1301=E$1:E1300)))))</f>
        <v/>
      </c>
      <c r="L1301" s="25"/>
    </row>
    <row r="1302" customFormat="false" ht="14.25" hidden="false" customHeight="false" outlineLevel="0" collapsed="false">
      <c r="A1302" s="0" t="s">
        <v>681</v>
      </c>
      <c r="E1302" s="20" t="str">
        <f aca="false">IF(D1302="?OLD","!!!","")</f>
        <v/>
      </c>
      <c r="F1302" s="21" t="str">
        <f aca="false">IF(OR(E1302="",E1302="!!!"),"",IF(NOT(ISNA(VLOOKUP(E1302,E$1:E1301,1,FALSE()))),"OLD",IF(AND(E1302&lt;&gt;"",E1302&lt;&gt;"!!!"),"NEW","")))</f>
        <v/>
      </c>
      <c r="G1302" s="22" t="str">
        <f aca="false"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aca="false">IF(J1302&lt;&gt;1,"",IF(I1302="SBJ","CB","?"))</f>
        <v/>
      </c>
      <c r="I1302" s="24" t="str">
        <f aca="false">IF(OR(E1302="",E1302="!!!",F1302="NEW"),"",INDEX(B$2:B1301,-1+SUMPRODUCT(MAX(ROW(E$2:E1301)*(E1302=E$2:E1301)))))</f>
        <v/>
      </c>
      <c r="J1302" s="24" t="str">
        <f aca="true">IF(OR(E1302="",E1302="!!!",F1302="NEW"),"",COUNTBLANK(OFFSET(A$1,,,SUMPRODUCT(MAX(ROW(E$2:E1302)*(E1302=E$2:E1302)))))-COUNTBLANK(OFFSET(A$1,,,SUMPRODUCT(MAX(ROW(E$1:E1301)*(E2=E$1:E1301))))))</f>
        <v/>
      </c>
      <c r="K1302" s="24" t="str">
        <f aca="false">IF(OR(E1302="",E1302="!!!",F1302="NEW"),"",INDEX(J$1:J1301,SUMPRODUCT(MAX(ROW(E$1:E1301)*(E1302=E$1:E1301)))))</f>
        <v/>
      </c>
      <c r="L1302" s="25"/>
    </row>
    <row r="1303" customFormat="false" ht="14.25" hidden="false" customHeight="false" outlineLevel="0" collapsed="false">
      <c r="A1303" s="0" t="s">
        <v>101</v>
      </c>
      <c r="E1303" s="20" t="str">
        <f aca="false">IF(D1303="?OLD","!!!","")</f>
        <v/>
      </c>
      <c r="F1303" s="21" t="str">
        <f aca="false">IF(OR(E1303="",E1303="!!!"),"",IF(NOT(ISNA(VLOOKUP(E1303,E$1:E1302,1,FALSE()))),"OLD",IF(AND(E1303&lt;&gt;"",E1303&lt;&gt;"!!!"),"NEW","")))</f>
        <v/>
      </c>
      <c r="G1303" s="22" t="str">
        <f aca="false"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aca="false">IF(J1303&lt;&gt;1,"",IF(I1303="SBJ","CB","?"))</f>
        <v/>
      </c>
      <c r="I1303" s="24" t="str">
        <f aca="false">IF(OR(E1303="",E1303="!!!",F1303="NEW"),"",INDEX(B$2:B1302,-1+SUMPRODUCT(MAX(ROW(E$2:E1302)*(E1303=E$2:E1302)))))</f>
        <v/>
      </c>
      <c r="J1303" s="24" t="str">
        <f aca="true">IF(OR(E1303="",E1303="!!!",F1303="NEW"),"",COUNTBLANK(OFFSET(A$1,,,SUMPRODUCT(MAX(ROW(E$2:E1303)*(E1303=E$2:E1303)))))-COUNTBLANK(OFFSET(A$1,,,SUMPRODUCT(MAX(ROW(E$1:E1302)*(E2=E$1:E1302))))))</f>
        <v/>
      </c>
      <c r="K1303" s="24" t="str">
        <f aca="false">IF(OR(E1303="",E1303="!!!",F1303="NEW"),"",INDEX(J$1:J1302,SUMPRODUCT(MAX(ROW(E$1:E1302)*(E1303=E$1:E1302)))))</f>
        <v/>
      </c>
      <c r="L1303" s="25"/>
    </row>
    <row r="1304" customFormat="false" ht="14.25" hidden="false" customHeight="false" outlineLevel="0" collapsed="false">
      <c r="A1304" s="0" t="s">
        <v>841</v>
      </c>
      <c r="E1304" s="20" t="str">
        <f aca="false">IF(D1304="?OLD","!!!","")</f>
        <v/>
      </c>
      <c r="F1304" s="21" t="str">
        <f aca="false">IF(OR(E1304="",E1304="!!!"),"",IF(NOT(ISNA(VLOOKUP(E1304,E$1:E1303,1,FALSE()))),"OLD",IF(AND(E1304&lt;&gt;"",E1304&lt;&gt;"!!!"),"NEW","")))</f>
        <v/>
      </c>
      <c r="G1304" s="22" t="str">
        <f aca="false"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aca="false">IF(J1304&lt;&gt;1,"",IF(I1304="SBJ","CB","?"))</f>
        <v/>
      </c>
      <c r="I1304" s="24" t="str">
        <f aca="false">IF(OR(E1304="",E1304="!!!",F1304="NEW"),"",INDEX(B$2:B1303,-1+SUMPRODUCT(MAX(ROW(E$2:E1303)*(E1304=E$2:E1303)))))</f>
        <v/>
      </c>
      <c r="J1304" s="24" t="str">
        <f aca="true">IF(OR(E1304="",E1304="!!!",F1304="NEW"),"",COUNTBLANK(OFFSET(A$1,,,SUMPRODUCT(MAX(ROW(E$2:E1304)*(E1304=E$2:E1304)))))-COUNTBLANK(OFFSET(A$1,,,SUMPRODUCT(MAX(ROW(E$1:E1303)*(E2=E$1:E1303))))))</f>
        <v/>
      </c>
      <c r="K1304" s="24" t="str">
        <f aca="false">IF(OR(E1304="",E1304="!!!",F1304="NEW"),"",INDEX(J$1:J1303,SUMPRODUCT(MAX(ROW(E$1:E1303)*(E1304=E$1:E1303)))))</f>
        <v/>
      </c>
      <c r="L1304" s="25"/>
    </row>
    <row r="1305" customFormat="false" ht="14.25" hidden="false" customHeight="false" outlineLevel="0" collapsed="false">
      <c r="A1305" s="0" t="s">
        <v>87</v>
      </c>
      <c r="B1305" s="26" t="s">
        <v>96</v>
      </c>
      <c r="C1305" s="26" t="s">
        <v>88</v>
      </c>
      <c r="D1305" s="26" t="s">
        <v>75</v>
      </c>
      <c r="E1305" s="20" t="s">
        <v>840</v>
      </c>
      <c r="F1305" s="21" t="s">
        <v>273</v>
      </c>
      <c r="G1305" s="22" t="str">
        <f aca="false"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?IN_FOCUS</v>
      </c>
      <c r="H1305" s="23" t="str">
        <f aca="false">IF(J1305&lt;&gt;1,"",IF(I1305="SBJ","CB","?"))</f>
        <v/>
      </c>
      <c r="I1305" s="24" t="str">
        <f aca="false">IF(OR(E1305="",E1305="!!!",F1305="NEW"),"",INDEX(B$2:B1304,-1+SUMPRODUCT(MAX(ROW(E$2:E1304)*(E1305=E$2:E1304)))))</f>
        <v>SBJ</v>
      </c>
      <c r="J1305" s="24" t="n">
        <f aca="true">IF(OR(E1305="",E1305="!!!",F1305="NEW"),"",COUNTBLANK(OFFSET(A$1,,,SUMPRODUCT(MAX(ROW(E$2:E1305)*(E1305=E$2:E1305)))))-COUNTBLANK(OFFSET(A$1,,,SUMPRODUCT(MAX(ROW(E$1:E1304)*(E2=E$1:E1304))))))</f>
        <v>0</v>
      </c>
      <c r="K1305" s="24" t="n">
        <f aca="false">IF(OR(E1305="",E1305="!!!",F1305="NEW"),"",INDEX(J$1:J1304,SUMPRODUCT(MAX(ROW(E$1:E1304)*(E1305=E$1:E1304)))))</f>
        <v>0</v>
      </c>
      <c r="L1305" s="25"/>
    </row>
    <row r="1306" customFormat="false" ht="14.25" hidden="false" customHeight="false" outlineLevel="0" collapsed="false">
      <c r="A1306" s="0" t="s">
        <v>842</v>
      </c>
      <c r="B1306" s="26" t="s">
        <v>154</v>
      </c>
      <c r="C1306" s="26" t="s">
        <v>105</v>
      </c>
      <c r="E1306" s="20" t="str">
        <f aca="false">IF(D1306="?OLD","!!!","")</f>
        <v/>
      </c>
      <c r="F1306" s="21" t="str">
        <f aca="false">IF(OR(E1306="",E1306="!!!"),"",IF(NOT(ISNA(VLOOKUP(E1306,E$1:E1305,1,FALSE()))),"OLD",IF(AND(E1306&lt;&gt;"",E1306&lt;&gt;"!!!"),"NEW","")))</f>
        <v/>
      </c>
      <c r="G1306" s="22" t="str">
        <f aca="false"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aca="false">IF(J1306&lt;&gt;1,"",IF(I1306="SBJ","CB","?"))</f>
        <v/>
      </c>
      <c r="I1306" s="24" t="str">
        <f aca="false">IF(OR(E1306="",E1306="!!!",F1306="NEW"),"",INDEX(B$2:B1305,-1+SUMPRODUCT(MAX(ROW(E$2:E1305)*(E1306=E$2:E1305)))))</f>
        <v/>
      </c>
      <c r="J1306" s="24" t="str">
        <f aca="true">IF(OR(E1306="",E1306="!!!",F1306="NEW"),"",COUNTBLANK(OFFSET(A$1,,,SUMPRODUCT(MAX(ROW(E$2:E1306)*(E1306=E$2:E1306)))))-COUNTBLANK(OFFSET(A$1,,,SUMPRODUCT(MAX(ROW(E$1:E1305)*(E2=E$1:E1305))))))</f>
        <v/>
      </c>
      <c r="K1306" s="24" t="str">
        <f aca="false">IF(OR(E1306="",E1306="!!!",F1306="NEW"),"",INDEX(J$1:J1305,SUMPRODUCT(MAX(ROW(E$1:E1305)*(E1306=E$1:E1305)))))</f>
        <v/>
      </c>
      <c r="L1306" s="25"/>
    </row>
    <row r="1307" customFormat="false" ht="14.25" hidden="false" customHeight="false" outlineLevel="0" collapsed="false">
      <c r="A1307" s="0" t="s">
        <v>142</v>
      </c>
      <c r="E1307" s="20" t="str">
        <f aca="false">IF(D1307="?OLD","!!!","")</f>
        <v/>
      </c>
      <c r="F1307" s="21" t="str">
        <f aca="false">IF(OR(E1307="",E1307="!!!"),"",IF(NOT(ISNA(VLOOKUP(E1307,E$1:E1306,1,FALSE()))),"OLD",IF(AND(E1307&lt;&gt;"",E1307&lt;&gt;"!!!"),"NEW","")))</f>
        <v/>
      </c>
      <c r="G1307" s="22" t="str">
        <f aca="false"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aca="false">IF(J1307&lt;&gt;1,"",IF(I1307="SBJ","CB","?"))</f>
        <v/>
      </c>
      <c r="I1307" s="24" t="str">
        <f aca="false">IF(OR(E1307="",E1307="!!!",F1307="NEW"),"",INDEX(B$2:B1306,-1+SUMPRODUCT(MAX(ROW(E$2:E1306)*(E1307=E$2:E1306)))))</f>
        <v/>
      </c>
      <c r="J1307" s="24" t="str">
        <f aca="true">IF(OR(E1307="",E1307="!!!",F1307="NEW"),"",COUNTBLANK(OFFSET(A$1,,,SUMPRODUCT(MAX(ROW(E$2:E1307)*(E1307=E$2:E1307)))))-COUNTBLANK(OFFSET(A$1,,,SUMPRODUCT(MAX(ROW(E$1:E1306)*(E2=E$1:E1306))))))</f>
        <v/>
      </c>
      <c r="K1307" s="24" t="str">
        <f aca="false">IF(OR(E1307="",E1307="!!!",F1307="NEW"),"",INDEX(J$1:J1306,SUMPRODUCT(MAX(ROW(E$1:E1306)*(E1307=E$1:E1306)))))</f>
        <v/>
      </c>
      <c r="L1307" s="25"/>
    </row>
    <row r="1308" customFormat="false" ht="14.25" hidden="false" customHeight="false" outlineLevel="0" collapsed="false">
      <c r="A1308" s="0" t="s">
        <v>843</v>
      </c>
      <c r="E1308" s="20" t="str">
        <f aca="false">IF(D1308="?OLD","!!!","")</f>
        <v/>
      </c>
      <c r="F1308" s="21" t="str">
        <f aca="false">IF(OR(E1308="",E1308="!!!"),"",IF(NOT(ISNA(VLOOKUP(E1308,E$1:E1307,1,FALSE()))),"OLD",IF(AND(E1308&lt;&gt;"",E1308&lt;&gt;"!!!"),"NEW","")))</f>
        <v/>
      </c>
      <c r="G1308" s="22" t="str">
        <f aca="false"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3" t="str">
        <f aca="false">IF(J1308&lt;&gt;1,"",IF(I1308="SBJ","CB","?"))</f>
        <v/>
      </c>
      <c r="I1308" s="24" t="str">
        <f aca="false">IF(OR(E1308="",E1308="!!!",F1308="NEW"),"",INDEX(B$2:B1307,-1+SUMPRODUCT(MAX(ROW(E$2:E1307)*(E1308=E$2:E1307)))))</f>
        <v/>
      </c>
      <c r="J1308" s="24" t="str">
        <f aca="true">IF(OR(E1308="",E1308="!!!",F1308="NEW"),"",COUNTBLANK(OFFSET(A$1,,,SUMPRODUCT(MAX(ROW(E$2:E1308)*(E1308=E$2:E1308)))))-COUNTBLANK(OFFSET(A$1,,,SUMPRODUCT(MAX(ROW(E$1:E1307)*(E2=E$1:E1307))))))</f>
        <v/>
      </c>
      <c r="K1308" s="24" t="str">
        <f aca="false">IF(OR(E1308="",E1308="!!!",F1308="NEW"),"",INDEX(J$1:J1307,SUMPRODUCT(MAX(ROW(E$1:E1307)*(E1308=E$1:E1307)))))</f>
        <v/>
      </c>
      <c r="L1308" s="25"/>
    </row>
    <row r="1309" customFormat="false" ht="14.25" hidden="false" customHeight="false" outlineLevel="0" collapsed="false">
      <c r="A1309" s="0" t="s">
        <v>87</v>
      </c>
      <c r="B1309" s="26" t="s">
        <v>110</v>
      </c>
      <c r="C1309" s="26" t="s">
        <v>88</v>
      </c>
      <c r="D1309" s="26" t="s">
        <v>75</v>
      </c>
      <c r="E1309" s="20" t="s">
        <v>840</v>
      </c>
      <c r="F1309" s="21" t="str">
        <f aca="false">IF(OR(E1309="",E1309="!!!"),"",IF(NOT(ISNA(VLOOKUP(E1309,E$1:E1308,1,FALSE()))),"OLD",IF(AND(E1309&lt;&gt;"",E1309&lt;&gt;"!!!"),"NEW","")))</f>
        <v>OLD</v>
      </c>
      <c r="G1309" s="22" t="str">
        <f aca="false"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?IN_FOCUS</v>
      </c>
      <c r="H1309" s="23" t="str">
        <f aca="false">IF(J1309&lt;&gt;1,"",IF(I1309="SBJ","CB","?"))</f>
        <v/>
      </c>
      <c r="I1309" s="24" t="str">
        <f aca="false">IF(OR(E1309="",E1309="!!!",F1309="NEW"),"",INDEX(B$2:B1308,-1+SUMPRODUCT(MAX(ROW(E$2:E1308)*(E1309=E$2:E1308)))))</f>
        <v>SBJ_2</v>
      </c>
      <c r="J1309" s="24" t="n">
        <f aca="true">IF(OR(E1309="",E1309="!!!",F1309="NEW"),"",COUNTBLANK(OFFSET(A$1,,,SUMPRODUCT(MAX(ROW(E$2:E1309)*(E1309=E$2:E1309)))))-COUNTBLANK(OFFSET(A$1,,,SUMPRODUCT(MAX(ROW(E$1:E1308)*(E2=E$1:E1308))))))</f>
        <v>0</v>
      </c>
      <c r="K1309" s="24" t="n">
        <f aca="false">IF(OR(E1309="",E1309="!!!",F1309="NEW"),"",INDEX(J$1:J1308,SUMPRODUCT(MAX(ROW(E$1:E1308)*(E1309=E$1:E1308)))))</f>
        <v>0</v>
      </c>
      <c r="L1309" s="25"/>
    </row>
    <row r="1310" customFormat="false" ht="14.25" hidden="false" customHeight="false" outlineLevel="0" collapsed="false">
      <c r="A1310" s="0" t="s">
        <v>136</v>
      </c>
      <c r="E1310" s="20" t="str">
        <f aca="false">IF(D1310="?OLD","!!!","")</f>
        <v/>
      </c>
      <c r="F1310" s="21" t="str">
        <f aca="false">IF(OR(E1310="",E1310="!!!"),"",IF(NOT(ISNA(VLOOKUP(E1310,E$1:E1309,1,FALSE()))),"OLD",IF(AND(E1310&lt;&gt;"",E1310&lt;&gt;"!!!"),"NEW","")))</f>
        <v/>
      </c>
      <c r="G1310" s="22" t="str">
        <f aca="false"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aca="false">IF(J1310&lt;&gt;1,"",IF(I1310="SBJ","CB","?"))</f>
        <v/>
      </c>
      <c r="I1310" s="24" t="str">
        <f aca="false">IF(OR(E1310="",E1310="!!!",F1310="NEW"),"",INDEX(B$2:B1309,-1+SUMPRODUCT(MAX(ROW(E$2:E1309)*(E1310=E$2:E1309)))))</f>
        <v/>
      </c>
      <c r="J1310" s="24" t="str">
        <f aca="true">IF(OR(E1310="",E1310="!!!",F1310="NEW"),"",COUNTBLANK(OFFSET(A$1,,,SUMPRODUCT(MAX(ROW(E$2:E1310)*(E1310=E$2:E1310)))))-COUNTBLANK(OFFSET(A$1,,,SUMPRODUCT(MAX(ROW(E$1:E1309)*(E2=E$1:E1309))))))</f>
        <v/>
      </c>
      <c r="K1310" s="24" t="str">
        <f aca="false">IF(OR(E1310="",E1310="!!!",F1310="NEW"),"",INDEX(J$1:J1309,SUMPRODUCT(MAX(ROW(E$1:E1309)*(E1310=E$1:E1309)))))</f>
        <v/>
      </c>
      <c r="L1310" s="25"/>
    </row>
    <row r="1311" customFormat="false" ht="14.25" hidden="false" customHeight="false" outlineLevel="0" collapsed="false">
      <c r="A1311" s="0" t="s">
        <v>819</v>
      </c>
      <c r="B1311" s="26" t="s">
        <v>110</v>
      </c>
      <c r="C1311" s="26" t="s">
        <v>74</v>
      </c>
      <c r="D1311" s="26" t="s">
        <v>75</v>
      </c>
      <c r="E1311" s="20" t="s">
        <v>844</v>
      </c>
      <c r="F1311" s="21" t="str">
        <f aca="false">IF(OR(E1311="",E1311="!!!"),"",IF(NOT(ISNA(VLOOKUP(E1311,E$1:E1310,1,FALSE()))),"OLD",IF(AND(E1311&lt;&gt;"",E1311&lt;&gt;"!!!"),"NEW","")))</f>
        <v>NEW</v>
      </c>
      <c r="G1311" s="22" t="str">
        <f aca="false"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?REFERENTIAL</v>
      </c>
      <c r="H1311" s="23" t="str">
        <f aca="false">IF(J1311&lt;&gt;1,"",IF(I1311="SBJ","CB","?"))</f>
        <v/>
      </c>
      <c r="I1311" s="24" t="str">
        <f aca="false">IF(OR(E1311="",E1311="!!!",F1311="NEW"),"",INDEX(B$2:B1310,-1+SUMPRODUCT(MAX(ROW(E$2:E1310)*(E1311=E$2:E1310)))))</f>
        <v/>
      </c>
      <c r="J1311" s="24" t="str">
        <f aca="true">IF(OR(E1311="",E1311="!!!",F1311="NEW"),"",COUNTBLANK(OFFSET(A$1,,,SUMPRODUCT(MAX(ROW(E$2:E1311)*(E1311=E$2:E1311)))))-COUNTBLANK(OFFSET(A$1,,,SUMPRODUCT(MAX(ROW(E$1:E1310)*(E2=E$1:E1310))))))</f>
        <v/>
      </c>
      <c r="K1311" s="24" t="str">
        <f aca="false">IF(OR(E1311="",E1311="!!!",F1311="NEW"),"",INDEX(J$1:J1310,SUMPRODUCT(MAX(ROW(E$1:E1310)*(E1311=E$1:E1310)))))</f>
        <v/>
      </c>
      <c r="L1311" s="25"/>
    </row>
    <row r="1312" customFormat="false" ht="14.25" hidden="false" customHeight="false" outlineLevel="0" collapsed="false">
      <c r="A1312" s="0" t="s">
        <v>237</v>
      </c>
      <c r="E1312" s="20" t="str">
        <f aca="false">IF(D1312="?OLD","!!!","")</f>
        <v/>
      </c>
      <c r="F1312" s="21" t="str">
        <f aca="false">IF(OR(E1312="",E1312="!!!"),"",IF(NOT(ISNA(VLOOKUP(E1312,E$1:E1311,1,FALSE()))),"OLD",IF(AND(E1312&lt;&gt;"",E1312&lt;&gt;"!!!"),"NEW","")))</f>
        <v/>
      </c>
      <c r="G1312" s="22" t="str">
        <f aca="false"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aca="false">IF(J1312&lt;&gt;1,"",IF(I1312="SBJ","CB","?"))</f>
        <v/>
      </c>
      <c r="I1312" s="24" t="str">
        <f aca="false">IF(OR(E1312="",E1312="!!!",F1312="NEW"),"",INDEX(B$2:B1311,-1+SUMPRODUCT(MAX(ROW(E$2:E1311)*(E1312=E$2:E1311)))))</f>
        <v/>
      </c>
      <c r="J1312" s="24" t="str">
        <f aca="true">IF(OR(E1312="",E1312="!!!",F1312="NEW"),"",COUNTBLANK(OFFSET(A$1,,,SUMPRODUCT(MAX(ROW(E$2:E1312)*(E1312=E$2:E1312)))))-COUNTBLANK(OFFSET(A$1,,,SUMPRODUCT(MAX(ROW(E$1:E1311)*(E2=E$1:E1311))))))</f>
        <v/>
      </c>
      <c r="K1312" s="24" t="str">
        <f aca="false">IF(OR(E1312="",E1312="!!!",F1312="NEW"),"",INDEX(J$1:J1311,SUMPRODUCT(MAX(ROW(E$1:E1311)*(E1312=E$1:E1311)))))</f>
        <v/>
      </c>
      <c r="L1312" s="25"/>
    </row>
    <row r="1313" customFormat="false" ht="14.25" hidden="false" customHeight="false" outlineLevel="0" collapsed="false">
      <c r="A1313" s="0" t="s">
        <v>845</v>
      </c>
      <c r="B1313" s="26" t="s">
        <v>115</v>
      </c>
      <c r="C1313" s="26" t="s">
        <v>105</v>
      </c>
      <c r="E1313" s="20" t="str">
        <f aca="false">IF(D1313="?OLD","!!!","")</f>
        <v/>
      </c>
      <c r="F1313" s="21" t="str">
        <f aca="false">IF(OR(E1313="",E1313="!!!"),"",IF(NOT(ISNA(VLOOKUP(E1313,E$1:E1312,1,FALSE()))),"OLD",IF(AND(E1313&lt;&gt;"",E1313&lt;&gt;"!!!"),"NEW","")))</f>
        <v/>
      </c>
      <c r="G1313" s="22" t="str">
        <f aca="false"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aca="false">IF(J1313&lt;&gt;1,"",IF(I1313="SBJ","CB","?"))</f>
        <v/>
      </c>
      <c r="I1313" s="24" t="str">
        <f aca="false">IF(OR(E1313="",E1313="!!!",F1313="NEW"),"",INDEX(B$2:B1312,-1+SUMPRODUCT(MAX(ROW(E$2:E1312)*(E1313=E$2:E1312)))))</f>
        <v/>
      </c>
      <c r="J1313" s="24" t="str">
        <f aca="true">IF(OR(E1313="",E1313="!!!",F1313="NEW"),"",COUNTBLANK(OFFSET(A$1,,,SUMPRODUCT(MAX(ROW(E$2:E1313)*(E1313=E$2:E1313)))))-COUNTBLANK(OFFSET(A$1,,,SUMPRODUCT(MAX(ROW(E$1:E1312)*(E2=E$1:E1312))))))</f>
        <v/>
      </c>
      <c r="K1313" s="24" t="str">
        <f aca="false">IF(OR(E1313="",E1313="!!!",F1313="NEW"),"",INDEX(J$1:J1312,SUMPRODUCT(MAX(ROW(E$1:E1312)*(E1313=E$1:E1312)))))</f>
        <v/>
      </c>
      <c r="L1313" s="25"/>
    </row>
    <row r="1314" customFormat="false" ht="14.25" hidden="false" customHeight="false" outlineLevel="0" collapsed="false">
      <c r="A1314" s="0" t="s">
        <v>86</v>
      </c>
      <c r="E1314" s="20" t="str">
        <f aca="false">IF(D1314="?OLD","!!!","")</f>
        <v/>
      </c>
      <c r="F1314" s="21" t="str">
        <f aca="false">IF(OR(E1314="",E1314="!!!"),"",IF(NOT(ISNA(VLOOKUP(E1314,E$1:E1313,1,FALSE()))),"OLD",IF(AND(E1314&lt;&gt;"",E1314&lt;&gt;"!!!"),"NEW","")))</f>
        <v/>
      </c>
      <c r="G1314" s="22" t="str">
        <f aca="false"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3" t="str">
        <f aca="false">IF(J1314&lt;&gt;1,"",IF(I1314="SBJ","CB","?"))</f>
        <v/>
      </c>
      <c r="I1314" s="24" t="str">
        <f aca="false">IF(OR(E1314="",E1314="!!!",F1314="NEW"),"",INDEX(B$2:B1313,-1+SUMPRODUCT(MAX(ROW(E$2:E1313)*(E1314=E$2:E1313)))))</f>
        <v/>
      </c>
      <c r="J1314" s="24" t="str">
        <f aca="true">IF(OR(E1314="",E1314="!!!",F1314="NEW"),"",COUNTBLANK(OFFSET(A$1,,,SUMPRODUCT(MAX(ROW(E$2:E1314)*(E1314=E$2:E1314)))))-COUNTBLANK(OFFSET(A$1,,,SUMPRODUCT(MAX(ROW(E$1:E1313)*(E2=E$1:E1313))))))</f>
        <v/>
      </c>
      <c r="K1314" s="24" t="str">
        <f aca="false">IF(OR(E1314="",E1314="!!!",F1314="NEW"),"",INDEX(J$1:J1313,SUMPRODUCT(MAX(ROW(E$1:E1313)*(E1314=E$1:E1313)))))</f>
        <v/>
      </c>
      <c r="L1314" s="25"/>
    </row>
    <row r="1315" customFormat="false" ht="14.25" hidden="false" customHeight="false" outlineLevel="0" collapsed="false">
      <c r="A1315" s="0" t="s">
        <v>376</v>
      </c>
      <c r="E1315" s="20" t="str">
        <f aca="false">IF(D1315="?OLD","!!!","")</f>
        <v/>
      </c>
      <c r="F1315" s="21" t="str">
        <f aca="false">IF(OR(E1315="",E1315="!!!"),"",IF(NOT(ISNA(VLOOKUP(E1315,E$1:E1314,1,FALSE()))),"OLD",IF(AND(E1315&lt;&gt;"",E1315&lt;&gt;"!!!"),"NEW","")))</f>
        <v/>
      </c>
      <c r="G1315" s="22" t="str">
        <f aca="false"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3" t="str">
        <f aca="false">IF(J1315&lt;&gt;1,"",IF(I1315="SBJ","CB","?"))</f>
        <v/>
      </c>
      <c r="I1315" s="24" t="str">
        <f aca="false">IF(OR(E1315="",E1315="!!!",F1315="NEW"),"",INDEX(B$2:B1314,-1+SUMPRODUCT(MAX(ROW(E$2:E1314)*(E1315=E$2:E1314)))))</f>
        <v/>
      </c>
      <c r="J1315" s="24" t="str">
        <f aca="true">IF(OR(E1315="",E1315="!!!",F1315="NEW"),"",COUNTBLANK(OFFSET(A$1,,,SUMPRODUCT(MAX(ROW(E$2:E1315)*(E1315=E$2:E1315)))))-COUNTBLANK(OFFSET(A$1,,,SUMPRODUCT(MAX(ROW(E$1:E1314)*(E2=E$1:E1314))))))</f>
        <v/>
      </c>
      <c r="K1315" s="24" t="str">
        <f aca="false">IF(OR(E1315="",E1315="!!!",F1315="NEW"),"",INDEX(J$1:J1314,SUMPRODUCT(MAX(ROW(E$1:E1314)*(E1315=E$1:E1314)))))</f>
        <v/>
      </c>
      <c r="L1315" s="25"/>
    </row>
    <row r="1316" customFormat="false" ht="14.25" hidden="false" customHeight="false" outlineLevel="0" collapsed="false">
      <c r="A1316" s="0" t="s">
        <v>846</v>
      </c>
      <c r="E1316" s="20" t="s">
        <v>834</v>
      </c>
      <c r="F1316" s="21" t="str">
        <f aca="false">IF(OR(E1316="",E1316="!!!"),"",IF(NOT(ISNA(VLOOKUP(E1316,E$1:E1315,1,FALSE()))),"OLD",IF(AND(E1316&lt;&gt;"",E1316&lt;&gt;"!!!"),"NEW","")))</f>
        <v>OLD</v>
      </c>
      <c r="G1316" s="22" t="str">
        <f aca="false"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?IN_FOCUS</v>
      </c>
      <c r="H1316" s="23" t="str">
        <f aca="false">IF(J1316&lt;&gt;1,"",IF(I1316="SBJ","CB","?"))</f>
        <v/>
      </c>
      <c r="I1316" s="24" t="str">
        <f aca="false">IF(OR(E1316="",E1316="!!!",F1316="NEW"),"",INDEX(B$2:B1315,-1+SUMPRODUCT(MAX(ROW(E$2:E1315)*(E1316=E$2:E1315)))))</f>
        <v>SBJ_3</v>
      </c>
      <c r="J1316" s="24" t="n">
        <f aca="true">IF(OR(E1316="",E1316="!!!",F1316="NEW"),"",COUNTBLANK(OFFSET(A$1,,,SUMPRODUCT(MAX(ROW(E$2:E1316)*(E1316=E$2:E1316)))))-COUNTBLANK(OFFSET(A$1,,,SUMPRODUCT(MAX(ROW(E$1:E1315)*(E2=E$1:E1315))))))</f>
        <v>0</v>
      </c>
      <c r="K1316" s="24" t="str">
        <f aca="false">IF(OR(E1316="",E1316="!!!",F1316="NEW"),"",INDEX(J$1:J1315,SUMPRODUCT(MAX(ROW(E$1:E1315)*(E1316=E$1:E1315)))))</f>
        <v/>
      </c>
      <c r="L1316" s="25"/>
    </row>
    <row r="1317" customFormat="false" ht="14.25" hidden="false" customHeight="false" outlineLevel="0" collapsed="false">
      <c r="A1317" s="0" t="s">
        <v>847</v>
      </c>
      <c r="E1317" s="20" t="str">
        <f aca="false">IF(D1317="?OLD","!!!","")</f>
        <v/>
      </c>
      <c r="F1317" s="21" t="str">
        <f aca="false">IF(OR(E1317="",E1317="!!!"),"",IF(NOT(ISNA(VLOOKUP(E1317,E$1:E1316,1,FALSE()))),"OLD",IF(AND(E1317&lt;&gt;"",E1317&lt;&gt;"!!!"),"NEW","")))</f>
        <v/>
      </c>
      <c r="G1317" s="22" t="str">
        <f aca="false"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aca="false">IF(J1317&lt;&gt;1,"",IF(I1317="SBJ","CB","?"))</f>
        <v/>
      </c>
      <c r="I1317" s="24" t="str">
        <f aca="false">IF(OR(E1317="",E1317="!!!",F1317="NEW"),"",INDEX(B$2:B1316,-1+SUMPRODUCT(MAX(ROW(E$2:E1316)*(E1317=E$2:E1316)))))</f>
        <v/>
      </c>
      <c r="J1317" s="24" t="str">
        <f aca="true">IF(OR(E1317="",E1317="!!!",F1317="NEW"),"",COUNTBLANK(OFFSET(A$1,,,SUMPRODUCT(MAX(ROW(E$2:E1317)*(E1317=E$2:E1317)))))-COUNTBLANK(OFFSET(A$1,,,SUMPRODUCT(MAX(ROW(E$1:E1316)*(E2=E$1:E1316))))))</f>
        <v/>
      </c>
      <c r="K1317" s="24" t="str">
        <f aca="false">IF(OR(E1317="",E1317="!!!",F1317="NEW"),"",INDEX(J$1:J1316,SUMPRODUCT(MAX(ROW(E$1:E1316)*(E1317=E$1:E1316)))))</f>
        <v/>
      </c>
      <c r="L1317" s="25"/>
    </row>
    <row r="1318" customFormat="false" ht="14.25" hidden="false" customHeight="false" outlineLevel="0" collapsed="false">
      <c r="A1318" s="0" t="s">
        <v>95</v>
      </c>
      <c r="B1318" s="26" t="s">
        <v>419</v>
      </c>
      <c r="C1318" s="26" t="s">
        <v>88</v>
      </c>
      <c r="D1318" s="26" t="s">
        <v>75</v>
      </c>
      <c r="E1318" s="20" t="s">
        <v>97</v>
      </c>
      <c r="F1318" s="21" t="str">
        <f aca="false">IF(OR(E1318="",E1318="!!!"),"",IF(NOT(ISNA(VLOOKUP(E1318,E$1:E1317,1,FALSE()))),"OLD",IF(AND(E1318&lt;&gt;"",E1318&lt;&gt;"!!!"),"NEW","")))</f>
        <v>OLD</v>
      </c>
      <c r="G1318" s="22" t="str">
        <f aca="false"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?IN_FOCUS</v>
      </c>
      <c r="H1318" s="23" t="str">
        <f aca="false">IF(J1318&lt;&gt;1,"",IF(I1318="SBJ","CB","?"))</f>
        <v/>
      </c>
      <c r="I1318" s="24" t="str">
        <f aca="false">IF(OR(E1318="",E1318="!!!",F1318="NEW"),"",INDEX(B$2:B1317,-1+SUMPRODUCT(MAX(ROW(E$2:E1317)*(E1318=E$2:E1317)))))</f>
        <v>OBJ_3</v>
      </c>
      <c r="J1318" s="24" t="n">
        <f aca="true">IF(OR(E1318="",E1318="!!!",F1318="NEW"),"",COUNTBLANK(OFFSET(A$1,,,SUMPRODUCT(MAX(ROW(E$2:E1318)*(E1318=E$2:E1318)))))-COUNTBLANK(OFFSET(A$1,,,SUMPRODUCT(MAX(ROW(E$1:E1317)*(E2=E$1:E1317))))))</f>
        <v>0</v>
      </c>
      <c r="K1318" s="24" t="n">
        <f aca="false">IF(OR(E1318="",E1318="!!!",F1318="NEW"),"",INDEX(J$1:J1317,SUMPRODUCT(MAX(ROW(E$1:E1317)*(E1318=E$1:E1317)))))</f>
        <v>0</v>
      </c>
      <c r="L1318" s="25"/>
    </row>
    <row r="1319" customFormat="false" ht="14.25" hidden="false" customHeight="false" outlineLevel="0" collapsed="false">
      <c r="A1319" s="0" t="s">
        <v>136</v>
      </c>
      <c r="E1319" s="20" t="str">
        <f aca="false">IF(D1319="?OLD","!!!","")</f>
        <v/>
      </c>
      <c r="F1319" s="21" t="str">
        <f aca="false">IF(OR(E1319="",E1319="!!!"),"",IF(NOT(ISNA(VLOOKUP(E1319,E$1:E1318,1,FALSE()))),"OLD",IF(AND(E1319&lt;&gt;"",E1319&lt;&gt;"!!!"),"NEW","")))</f>
        <v/>
      </c>
      <c r="G1319" s="22" t="str">
        <f aca="false"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aca="false">IF(J1319&lt;&gt;1,"",IF(I1319="SBJ","CB","?"))</f>
        <v/>
      </c>
      <c r="I1319" s="24" t="str">
        <f aca="false">IF(OR(E1319="",E1319="!!!",F1319="NEW"),"",INDEX(B$2:B1318,-1+SUMPRODUCT(MAX(ROW(E$2:E1318)*(E1319=E$2:E1318)))))</f>
        <v/>
      </c>
      <c r="J1319" s="24" t="str">
        <f aca="true">IF(OR(E1319="",E1319="!!!",F1319="NEW"),"",COUNTBLANK(OFFSET(A$1,,,SUMPRODUCT(MAX(ROW(E$2:E1319)*(E1319=E$2:E1319)))))-COUNTBLANK(OFFSET(A$1,,,SUMPRODUCT(MAX(ROW(E$1:E1318)*(E2=E$1:E1318))))))</f>
        <v/>
      </c>
      <c r="K1319" s="24" t="str">
        <f aca="false">IF(OR(E1319="",E1319="!!!",F1319="NEW"),"",INDEX(J$1:J1318,SUMPRODUCT(MAX(ROW(E$1:E1318)*(E1319=E$1:E1318)))))</f>
        <v/>
      </c>
      <c r="L1319" s="25"/>
    </row>
    <row r="1320" customFormat="false" ht="14.25" hidden="false" customHeight="false" outlineLevel="0" collapsed="false">
      <c r="A1320" s="0" t="s">
        <v>223</v>
      </c>
      <c r="B1320" s="26" t="s">
        <v>422</v>
      </c>
      <c r="C1320" s="26" t="s">
        <v>74</v>
      </c>
      <c r="D1320" s="26" t="s">
        <v>75</v>
      </c>
      <c r="E1320" s="20" t="s">
        <v>848</v>
      </c>
      <c r="F1320" s="21" t="s">
        <v>84</v>
      </c>
      <c r="G1320" s="22" t="e">
        <f aca="false"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#VALUE!</v>
      </c>
      <c r="H1320" s="23" t="str">
        <f aca="false">IF(J1320&lt;&gt;1,"",IF(I1320="SBJ","CB","?"))</f>
        <v/>
      </c>
      <c r="I1320" s="24" t="e">
        <f aca="false">IF(OR(E1320="",E1320="!!!",F1320="NEW"),"",INDEX(B$2:B1319,-1+SUMPRODUCT(MAX(ROW(E$2:E1319)*(E1320=E$2:E1319)))))</f>
        <v>#VALUE!</v>
      </c>
      <c r="J1320" s="24" t="n">
        <f aca="true">IF(OR(E1320="",E1320="!!!",F1320="NEW"),"",COUNTBLANK(OFFSET(A$1,,,SUMPRODUCT(MAX(ROW(E$2:E1320)*(E1320=E$2:E1320)))))-COUNTBLANK(OFFSET(A$1,,,SUMPRODUCT(MAX(ROW(E$1:E1319)*(E2=E$1:E1319))))))</f>
        <v>0</v>
      </c>
      <c r="K1320" s="24" t="e">
        <f aca="false">IF(OR(E1320="",E1320="!!!",F1320="NEW"),"",INDEX(J$1:J1319,SUMPRODUCT(MAX(ROW(E$1:E1319)*(E1320=E$1:E1319)))))</f>
        <v>#VALUE!</v>
      </c>
      <c r="L1320" s="25"/>
    </row>
    <row r="1321" customFormat="false" ht="14.25" hidden="false" customHeight="false" outlineLevel="0" collapsed="false">
      <c r="A1321" s="0" t="s">
        <v>86</v>
      </c>
      <c r="E1321" s="20" t="str">
        <f aca="false">IF(D1321="?OLD","!!!","")</f>
        <v/>
      </c>
      <c r="F1321" s="21" t="str">
        <f aca="false">IF(OR(E1321="",E1321="!!!"),"",IF(NOT(ISNA(VLOOKUP(E1321,E$1:E1320,1,FALSE()))),"OLD",IF(AND(E1321&lt;&gt;"",E1321&lt;&gt;"!!!"),"NEW","")))</f>
        <v/>
      </c>
      <c r="G1321" s="22" t="str">
        <f aca="false"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aca="false">IF(J1321&lt;&gt;1,"",IF(I1321="SBJ","CB","?"))</f>
        <v/>
      </c>
      <c r="I1321" s="24" t="str">
        <f aca="false">IF(OR(E1321="",E1321="!!!",F1321="NEW"),"",INDEX(B$2:B1320,-1+SUMPRODUCT(MAX(ROW(E$2:E1320)*(E1321=E$2:E1320)))))</f>
        <v/>
      </c>
      <c r="J1321" s="24" t="str">
        <f aca="true">IF(OR(E1321="",E1321="!!!",F1321="NEW"),"",COUNTBLANK(OFFSET(A$1,,,SUMPRODUCT(MAX(ROW(E$2:E1321)*(E1321=E$2:E1321)))))-COUNTBLANK(OFFSET(A$1,,,SUMPRODUCT(MAX(ROW(E$1:E1320)*(E2=E$1:E1320))))))</f>
        <v/>
      </c>
      <c r="K1321" s="24" t="str">
        <f aca="false">IF(OR(E1321="",E1321="!!!",F1321="NEW"),"",INDEX(J$1:J1320,SUMPRODUCT(MAX(ROW(E$1:E1320)*(E1321=E$1:E1320)))))</f>
        <v/>
      </c>
      <c r="L1321" s="25"/>
    </row>
    <row r="1322" customFormat="false" ht="14.25" hidden="false" customHeight="false" outlineLevel="0" collapsed="false">
      <c r="A1322" s="0" t="s">
        <v>849</v>
      </c>
      <c r="B1322" s="26" t="s">
        <v>416</v>
      </c>
      <c r="C1322" s="26" t="s">
        <v>105</v>
      </c>
      <c r="E1322" s="20" t="str">
        <f aca="false">IF(D1322="?OLD","!!!","")</f>
        <v/>
      </c>
      <c r="F1322" s="21" t="str">
        <f aca="false">IF(OR(E1322="",E1322="!!!"),"",IF(NOT(ISNA(VLOOKUP(E1322,E$1:E1321,1,FALSE()))),"OLD",IF(AND(E1322&lt;&gt;"",E1322&lt;&gt;"!!!"),"NEW","")))</f>
        <v/>
      </c>
      <c r="G1322" s="22" t="str">
        <f aca="false"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aca="false">IF(J1322&lt;&gt;1,"",IF(I1322="SBJ","CB","?"))</f>
        <v/>
      </c>
      <c r="I1322" s="24" t="str">
        <f aca="false">IF(OR(E1322="",E1322="!!!",F1322="NEW"),"",INDEX(B$2:B1321,-1+SUMPRODUCT(MAX(ROW(E$2:E1321)*(E1322=E$2:E1321)))))</f>
        <v/>
      </c>
      <c r="J1322" s="24" t="str">
        <f aca="true">IF(OR(E1322="",E1322="!!!",F1322="NEW"),"",COUNTBLANK(OFFSET(A$1,,,SUMPRODUCT(MAX(ROW(E$2:E1322)*(E1322=E$2:E1322)))))-COUNTBLANK(OFFSET(A$1,,,SUMPRODUCT(MAX(ROW(E$1:E1321)*(E2=E$1:E1321))))))</f>
        <v/>
      </c>
      <c r="K1322" s="24" t="str">
        <f aca="false">IF(OR(E1322="",E1322="!!!",F1322="NEW"),"",INDEX(J$1:J1321,SUMPRODUCT(MAX(ROW(E$1:E1321)*(E1322=E$1:E1321)))))</f>
        <v/>
      </c>
      <c r="L1322" s="25"/>
    </row>
    <row r="1323" customFormat="false" ht="14.25" hidden="false" customHeight="false" outlineLevel="0" collapsed="false">
      <c r="A1323" s="0" t="s">
        <v>87</v>
      </c>
      <c r="B1323" s="26" t="s">
        <v>560</v>
      </c>
      <c r="C1323" s="26" t="s">
        <v>88</v>
      </c>
      <c r="D1323" s="26" t="s">
        <v>75</v>
      </c>
      <c r="E1323" s="20" t="s">
        <v>168</v>
      </c>
      <c r="F1323" s="21" t="str">
        <f aca="false">IF(OR(E1323="",E1323="!!!"),"",IF(NOT(ISNA(VLOOKUP(E1323,E$1:E1322,1,FALSE()))),"OLD",IF(AND(E1323&lt;&gt;"",E1323&lt;&gt;"!!!"),"NEW","")))</f>
        <v>OLD</v>
      </c>
      <c r="G1323" s="22" t="str">
        <f aca="false"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?IN_FOCUS</v>
      </c>
      <c r="H1323" s="23" t="str">
        <f aca="false">IF(J1323&lt;&gt;1,"",IF(I1323="SBJ","CB","?"))</f>
        <v/>
      </c>
      <c r="I1323" s="24" t="str">
        <f aca="false">IF(OR(E1323="",E1323="!!!",F1323="NEW"),"",INDEX(B$2:B1322,-1+SUMPRODUCT(MAX(ROW(E$2:E1322)*(E1323=E$2:E1322)))))</f>
        <v>SBJ_3</v>
      </c>
      <c r="J1323" s="24" t="n">
        <f aca="true">IF(OR(E1323="",E1323="!!!",F1323="NEW"),"",COUNTBLANK(OFFSET(A$1,,,SUMPRODUCT(MAX(ROW(E$2:E1323)*(E1323=E$2:E1323)))))-COUNTBLANK(OFFSET(A$1,,,SUMPRODUCT(MAX(ROW(E$1:E1322)*(E2=E$1:E1322))))))</f>
        <v>0</v>
      </c>
      <c r="K1323" s="24" t="n">
        <f aca="false">IF(OR(E1323="",E1323="!!!",F1323="NEW"),"",INDEX(J$1:J1322,SUMPRODUCT(MAX(ROW(E$1:E1322)*(E1323=E$1:E1322)))))</f>
        <v>0</v>
      </c>
      <c r="L1323" s="25"/>
    </row>
    <row r="1324" customFormat="false" ht="14.25" hidden="false" customHeight="false" outlineLevel="0" collapsed="false">
      <c r="A1324" s="0" t="s">
        <v>324</v>
      </c>
      <c r="B1324" s="26" t="s">
        <v>820</v>
      </c>
      <c r="E1324" s="20" t="s">
        <v>97</v>
      </c>
      <c r="F1324" s="21" t="str">
        <f aca="false">IF(OR(E1324="",E1324="!!!"),"",IF(NOT(ISNA(VLOOKUP(E1324,E$1:E1323,1,FALSE()))),"OLD",IF(AND(E1324&lt;&gt;"",E1324&lt;&gt;"!!!"),"NEW","")))</f>
        <v>OLD</v>
      </c>
      <c r="G1324" s="22" t="str">
        <f aca="false"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?IN_FOCUS</v>
      </c>
      <c r="H1324" s="23" t="str">
        <f aca="false">IF(J1324&lt;&gt;1,"",IF(I1324="SBJ","CB","?"))</f>
        <v/>
      </c>
      <c r="I1324" s="24" t="str">
        <f aca="false">IF(OR(E1324="",E1324="!!!",F1324="NEW"),"",INDEX(B$2:B1323,-1+SUMPRODUCT(MAX(ROW(E$2:E1323)*(E1324=E$2:E1323)))))</f>
        <v>SBJ_7</v>
      </c>
      <c r="J1324" s="24" t="n">
        <f aca="true">IF(OR(E1324="",E1324="!!!",F1324="NEW"),"",COUNTBLANK(OFFSET(A$1,,,SUMPRODUCT(MAX(ROW(E$2:E1324)*(E1324=E$2:E1324)))))-COUNTBLANK(OFFSET(A$1,,,SUMPRODUCT(MAX(ROW(E$1:E1323)*(E2=E$1:E1323))))))</f>
        <v>0</v>
      </c>
      <c r="K1324" s="24" t="n">
        <f aca="false">IF(OR(E1324="",E1324="!!!",F1324="NEW"),"",INDEX(J$1:J1323,SUMPRODUCT(MAX(ROW(E$1:E1323)*(E1324=E$1:E1323)))))</f>
        <v>0</v>
      </c>
      <c r="L1324" s="25"/>
    </row>
    <row r="1325" customFormat="false" ht="14.25" hidden="false" customHeight="false" outlineLevel="0" collapsed="false">
      <c r="A1325" s="0" t="s">
        <v>850</v>
      </c>
      <c r="B1325" s="26" t="s">
        <v>208</v>
      </c>
      <c r="E1325" s="20" t="str">
        <f aca="false">IF(D1325="?OLD","!!!","")</f>
        <v/>
      </c>
      <c r="F1325" s="21" t="str">
        <f aca="false">IF(OR(E1325="",E1325="!!!"),"",IF(NOT(ISNA(VLOOKUP(E1325,E$1:E1324,1,FALSE()))),"OLD",IF(AND(E1325&lt;&gt;"",E1325&lt;&gt;"!!!"),"NEW","")))</f>
        <v/>
      </c>
      <c r="G1325" s="22" t="str">
        <f aca="false"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aca="false">IF(J1325&lt;&gt;1,"",IF(I1325="SBJ","CB","?"))</f>
        <v/>
      </c>
      <c r="I1325" s="24" t="str">
        <f aca="false">IF(OR(E1325="",E1325="!!!",F1325="NEW"),"",INDEX(B$2:B1324,-1+SUMPRODUCT(MAX(ROW(E$2:E1324)*(E1325=E$2:E1324)))))</f>
        <v/>
      </c>
      <c r="J1325" s="24" t="str">
        <f aca="true">IF(OR(E1325="",E1325="!!!",F1325="NEW"),"",COUNTBLANK(OFFSET(A$1,,,SUMPRODUCT(MAX(ROW(E$2:E1325)*(E1325=E$2:E1325)))))-COUNTBLANK(OFFSET(A$1,,,SUMPRODUCT(MAX(ROW(E$1:E1324)*(E2=E$1:E1324))))))</f>
        <v/>
      </c>
      <c r="K1325" s="24" t="str">
        <f aca="false">IF(OR(E1325="",E1325="!!!",F1325="NEW"),"",INDEX(J$1:J1324,SUMPRODUCT(MAX(ROW(E$1:E1324)*(E1325=E$1:E1324)))))</f>
        <v/>
      </c>
      <c r="L1325" s="25"/>
    </row>
    <row r="1326" customFormat="false" ht="14.25" hidden="false" customHeight="false" outlineLevel="0" collapsed="false">
      <c r="A1326" s="0" t="s">
        <v>339</v>
      </c>
      <c r="E1326" s="20" t="str">
        <f aca="false">IF(D1326="?OLD","!!!","")</f>
        <v/>
      </c>
      <c r="F1326" s="21" t="str">
        <f aca="false">IF(OR(E1326="",E1326="!!!"),"",IF(NOT(ISNA(VLOOKUP(E1326,E$1:E1325,1,FALSE()))),"OLD",IF(AND(E1326&lt;&gt;"",E1326&lt;&gt;"!!!"),"NEW","")))</f>
        <v/>
      </c>
      <c r="G1326" s="22" t="str">
        <f aca="false"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3" t="str">
        <f aca="false">IF(J1326&lt;&gt;1,"",IF(I1326="SBJ","CB","?"))</f>
        <v/>
      </c>
      <c r="I1326" s="24" t="str">
        <f aca="false">IF(OR(E1326="",E1326="!!!",F1326="NEW"),"",INDEX(B$2:B1325,-1+SUMPRODUCT(MAX(ROW(E$2:E1325)*(E1326=E$2:E1325)))))</f>
        <v/>
      </c>
      <c r="J1326" s="24" t="str">
        <f aca="true">IF(OR(E1326="",E1326="!!!",F1326="NEW"),"",COUNTBLANK(OFFSET(A$1,,,SUMPRODUCT(MAX(ROW(E$2:E1326)*(E1326=E$2:E1326)))))-COUNTBLANK(OFFSET(A$1,,,SUMPRODUCT(MAX(ROW(E$1:E1325)*(E2=E$1:E1325))))))</f>
        <v/>
      </c>
      <c r="K1326" s="24" t="str">
        <f aca="false">IF(OR(E1326="",E1326="!!!",F1326="NEW"),"",INDEX(J$1:J1325,SUMPRODUCT(MAX(ROW(E$1:E1325)*(E1326=E$1:E1325)))))</f>
        <v/>
      </c>
      <c r="L1326" s="25"/>
    </row>
    <row r="1327" customFormat="false" ht="14.25" hidden="false" customHeight="false" outlineLevel="0" collapsed="false">
      <c r="A1327" s="0" t="s">
        <v>259</v>
      </c>
      <c r="E1327" s="20" t="str">
        <f aca="false">IF(D1327="?OLD","!!!","")</f>
        <v/>
      </c>
      <c r="F1327" s="21" t="str">
        <f aca="false">IF(OR(E1327="",E1327="!!!"),"",IF(NOT(ISNA(VLOOKUP(E1327,E$1:E1326,1,FALSE()))),"OLD",IF(AND(E1327&lt;&gt;"",E1327&lt;&gt;"!!!"),"NEW","")))</f>
        <v/>
      </c>
      <c r="G1327" s="22" t="str">
        <f aca="false"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3" t="str">
        <f aca="false">IF(J1327&lt;&gt;1,"",IF(I1327="SBJ","CB","?"))</f>
        <v/>
      </c>
      <c r="I1327" s="24" t="str">
        <f aca="false">IF(OR(E1327="",E1327="!!!",F1327="NEW"),"",INDEX(B$2:B1326,-1+SUMPRODUCT(MAX(ROW(E$2:E1326)*(E1327=E$2:E1326)))))</f>
        <v/>
      </c>
      <c r="J1327" s="24" t="str">
        <f aca="true">IF(OR(E1327="",E1327="!!!",F1327="NEW"),"",COUNTBLANK(OFFSET(A$1,,,SUMPRODUCT(MAX(ROW(E$2:E1327)*(E1327=E$2:E1327)))))-COUNTBLANK(OFFSET(A$1,,,SUMPRODUCT(MAX(ROW(E$1:E1326)*(E2=E$1:E1326))))))</f>
        <v/>
      </c>
      <c r="K1327" s="24" t="str">
        <f aca="false">IF(OR(E1327="",E1327="!!!",F1327="NEW"),"",INDEX(J$1:J1326,SUMPRODUCT(MAX(ROW(E$1:E1326)*(E1327=E$1:E1326)))))</f>
        <v/>
      </c>
      <c r="L1327" s="25"/>
    </row>
    <row r="1328" customFormat="false" ht="14.25" hidden="false" customHeight="false" outlineLevel="0" collapsed="false">
      <c r="A1328" s="0" t="s">
        <v>815</v>
      </c>
      <c r="B1328" s="26" t="s">
        <v>424</v>
      </c>
      <c r="C1328" s="26" t="s">
        <v>111</v>
      </c>
      <c r="E1328" s="20" t="str">
        <f aca="false">IF(D1328="?OLD","!!!","")</f>
        <v/>
      </c>
      <c r="F1328" s="21" t="str">
        <f aca="false">IF(OR(E1328="",E1328="!!!"),"",IF(NOT(ISNA(VLOOKUP(E1328,E$1:E1327,1,FALSE()))),"OLD",IF(AND(E1328&lt;&gt;"",E1328&lt;&gt;"!!!"),"NEW","")))</f>
        <v/>
      </c>
      <c r="G1328" s="22" t="str">
        <f aca="false"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aca="false">IF(J1328&lt;&gt;1,"",IF(I1328="SBJ","CB","?"))</f>
        <v/>
      </c>
      <c r="I1328" s="24" t="str">
        <f aca="false">IF(OR(E1328="",E1328="!!!",F1328="NEW"),"",INDEX(B$2:B1327,-1+SUMPRODUCT(MAX(ROW(E$2:E1327)*(E1328=E$2:E1327)))))</f>
        <v/>
      </c>
      <c r="J1328" s="24" t="str">
        <f aca="true">IF(OR(E1328="",E1328="!!!",F1328="NEW"),"",COUNTBLANK(OFFSET(A$1,,,SUMPRODUCT(MAX(ROW(E$2:E1328)*(E1328=E$2:E1328)))))-COUNTBLANK(OFFSET(A$1,,,SUMPRODUCT(MAX(ROW(E$1:E1327)*(E2=E$1:E1327))))))</f>
        <v/>
      </c>
      <c r="K1328" s="24" t="str">
        <f aca="false">IF(OR(E1328="",E1328="!!!",F1328="NEW"),"",INDEX(J$1:J1327,SUMPRODUCT(MAX(ROW(E$1:E1327)*(E1328=E$1:E1327)))))</f>
        <v/>
      </c>
      <c r="L1328" s="25"/>
    </row>
    <row r="1329" customFormat="false" ht="14.25" hidden="false" customHeight="false" outlineLevel="0" collapsed="false">
      <c r="A1329" s="0" t="s">
        <v>851</v>
      </c>
      <c r="B1329" s="26" t="s">
        <v>410</v>
      </c>
      <c r="C1329" s="26" t="s">
        <v>119</v>
      </c>
      <c r="E1329" s="20" t="str">
        <f aca="false">IF(D1329="?OLD","!!!","")</f>
        <v/>
      </c>
      <c r="F1329" s="21" t="str">
        <f aca="false">IF(OR(E1329="",E1329="!!!"),"",IF(NOT(ISNA(VLOOKUP(E1329,E$1:E1328,1,FALSE()))),"OLD",IF(AND(E1329&lt;&gt;"",E1329&lt;&gt;"!!!"),"NEW","")))</f>
        <v/>
      </c>
      <c r="G1329" s="22" t="str">
        <f aca="false"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aca="false">IF(J1329&lt;&gt;1,"",IF(I1329="SBJ","CB","?"))</f>
        <v/>
      </c>
      <c r="I1329" s="24" t="str">
        <f aca="false">IF(OR(E1329="",E1329="!!!",F1329="NEW"),"",INDEX(B$2:B1328,-1+SUMPRODUCT(MAX(ROW(E$2:E1328)*(E1329=E$2:E1328)))))</f>
        <v/>
      </c>
      <c r="J1329" s="24" t="str">
        <f aca="true">IF(OR(E1329="",E1329="!!!",F1329="NEW"),"",COUNTBLANK(OFFSET(A$1,,,SUMPRODUCT(MAX(ROW(E$2:E1329)*(E1329=E$2:E1329)))))-COUNTBLANK(OFFSET(A$1,,,SUMPRODUCT(MAX(ROW(E$1:E1328)*(E2=E$1:E1328))))))</f>
        <v/>
      </c>
      <c r="K1329" s="24" t="str">
        <f aca="false">IF(OR(E1329="",E1329="!!!",F1329="NEW"),"",INDEX(J$1:J1328,SUMPRODUCT(MAX(ROW(E$1:E1328)*(E1329=E$1:E1328)))))</f>
        <v/>
      </c>
      <c r="L1329" s="25"/>
    </row>
    <row r="1330" customFormat="false" ht="14.25" hidden="false" customHeight="false" outlineLevel="0" collapsed="false">
      <c r="A1330" s="0" t="s">
        <v>852</v>
      </c>
      <c r="E1330" s="20" t="str">
        <f aca="false">IF(D1330="?OLD","!!!","")</f>
        <v/>
      </c>
      <c r="F1330" s="21" t="str">
        <f aca="false">IF(OR(E1330="",E1330="!!!"),"",IF(NOT(ISNA(VLOOKUP(E1330,E$1:E1329,1,FALSE()))),"OLD",IF(AND(E1330&lt;&gt;"",E1330&lt;&gt;"!!!"),"NEW","")))</f>
        <v/>
      </c>
      <c r="G1330" s="22" t="str">
        <f aca="false"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aca="false">IF(J1330&lt;&gt;1,"",IF(I1330="SBJ","CB","?"))</f>
        <v/>
      </c>
      <c r="I1330" s="24" t="str">
        <f aca="false">IF(OR(E1330="",E1330="!!!",F1330="NEW"),"",INDEX(B$2:B1329,-1+SUMPRODUCT(MAX(ROW(E$2:E1329)*(E1330=E$2:E1329)))))</f>
        <v/>
      </c>
      <c r="J1330" s="24" t="str">
        <f aca="true">IF(OR(E1330="",E1330="!!!",F1330="NEW"),"",COUNTBLANK(OFFSET(A$1,,,SUMPRODUCT(MAX(ROW(E$2:E1330)*(E1330=E$2:E1330)))))-COUNTBLANK(OFFSET(A$1,,,SUMPRODUCT(MAX(ROW(E$1:E1329)*(E2=E$1:E1329))))))</f>
        <v/>
      </c>
      <c r="K1330" s="24" t="str">
        <f aca="false">IF(OR(E1330="",E1330="!!!",F1330="NEW"),"",INDEX(J$1:J1329,SUMPRODUCT(MAX(ROW(E$1:E1329)*(E1330=E$1:E1329)))))</f>
        <v/>
      </c>
      <c r="L1330" s="25"/>
    </row>
    <row r="1331" customFormat="false" ht="14.25" hidden="false" customHeight="false" outlineLevel="0" collapsed="false">
      <c r="A1331" s="0" t="s">
        <v>172</v>
      </c>
      <c r="E1331" s="20" t="str">
        <f aca="false">IF(D1331="?OLD","!!!","")</f>
        <v/>
      </c>
      <c r="F1331" s="21" t="str">
        <f aca="false">IF(OR(E1331="",E1331="!!!"),"",IF(NOT(ISNA(VLOOKUP(E1331,E$1:E1330,1,FALSE()))),"OLD",IF(AND(E1331&lt;&gt;"",E1331&lt;&gt;"!!!"),"NEW","")))</f>
        <v/>
      </c>
      <c r="G1331" s="22" t="str">
        <f aca="false"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aca="false">IF(J1331&lt;&gt;1,"",IF(I1331="SBJ","CB","?"))</f>
        <v/>
      </c>
      <c r="I1331" s="24" t="str">
        <f aca="false">IF(OR(E1331="",E1331="!!!",F1331="NEW"),"",INDEX(B$2:B1330,-1+SUMPRODUCT(MAX(ROW(E$2:E1330)*(E1331=E$2:E1330)))))</f>
        <v/>
      </c>
      <c r="J1331" s="24" t="str">
        <f aca="true">IF(OR(E1331="",E1331="!!!",F1331="NEW"),"",COUNTBLANK(OFFSET(A$1,,,SUMPRODUCT(MAX(ROW(E$2:E1331)*(E1331=E$2:E1331)))))-COUNTBLANK(OFFSET(A$1,,,SUMPRODUCT(MAX(ROW(E$1:E1330)*(E2=E$1:E1330))))))</f>
        <v/>
      </c>
      <c r="K1331" s="24" t="str">
        <f aca="false">IF(OR(E1331="",E1331="!!!",F1331="NEW"),"",INDEX(J$1:J1330,SUMPRODUCT(MAX(ROW(E$1:E1330)*(E1331=E$1:E1330)))))</f>
        <v/>
      </c>
      <c r="L1331" s="25"/>
    </row>
    <row r="1332" customFormat="false" ht="14.25" hidden="false" customHeight="false" outlineLevel="0" collapsed="false">
      <c r="A1332" s="0" t="s">
        <v>340</v>
      </c>
      <c r="B1332" s="26" t="s">
        <v>208</v>
      </c>
      <c r="C1332" s="26" t="s">
        <v>105</v>
      </c>
      <c r="E1332" s="20" t="s">
        <v>406</v>
      </c>
      <c r="F1332" s="21" t="str">
        <f aca="false">IF(OR(E1332="",E1332="!!!"),"",IF(NOT(ISNA(VLOOKUP(E1332,E$1:E1331,1,FALSE()))),"OLD",IF(AND(E1332&lt;&gt;"",E1332&lt;&gt;"!!!"),"NEW","")))</f>
        <v>OLD</v>
      </c>
      <c r="G1332" s="22" t="str">
        <f aca="false"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?IN_FOCUS</v>
      </c>
      <c r="H1332" s="23" t="str">
        <f aca="false">IF(J1332&lt;&gt;1,"",IF(I1332="SBJ","CB","?"))</f>
        <v/>
      </c>
      <c r="I1332" s="24" t="str">
        <f aca="false">IF(OR(E1332="",E1332="!!!",F1332="NEW"),"",INDEX(B$2:B1331,-1+SUMPRODUCT(MAX(ROW(E$2:E1331)*(E1332=E$2:E1331)))))</f>
        <v>SBJ_3</v>
      </c>
      <c r="J1332" s="24" t="n">
        <f aca="true">IF(OR(E1332="",E1332="!!!",F1332="NEW"),"",COUNTBLANK(OFFSET(A$1,,,SUMPRODUCT(MAX(ROW(E$2:E1332)*(E1332=E$2:E1332)))))-COUNTBLANK(OFFSET(A$1,,,SUMPRODUCT(MAX(ROW(E$1:E1331)*(E2=E$1:E1331))))))</f>
        <v>0</v>
      </c>
      <c r="K1332" s="24" t="n">
        <f aca="false">IF(OR(E1332="",E1332="!!!",F1332="NEW"),"",INDEX(J$1:J1331,SUMPRODUCT(MAX(ROW(E$1:E1331)*(E1332=E$1:E1331)))))</f>
        <v>0</v>
      </c>
      <c r="L1332" s="27" t="s">
        <v>338</v>
      </c>
    </row>
    <row r="1333" customFormat="false" ht="14.25" hidden="false" customHeight="false" outlineLevel="0" collapsed="false">
      <c r="A1333" s="0" t="s">
        <v>142</v>
      </c>
      <c r="E1333" s="20" t="str">
        <f aca="false">IF(D1333="?OLD","!!!","")</f>
        <v/>
      </c>
      <c r="F1333" s="21" t="str">
        <f aca="false">IF(OR(E1333="",E1333="!!!"),"",IF(NOT(ISNA(VLOOKUP(E1333,E$1:E1332,1,FALSE()))),"OLD",IF(AND(E1333&lt;&gt;"",E1333&lt;&gt;"!!!"),"NEW","")))</f>
        <v/>
      </c>
      <c r="G1333" s="22" t="str">
        <f aca="false"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3" t="str">
        <f aca="false">IF(J1333&lt;&gt;1,"",IF(I1333="SBJ","CB","?"))</f>
        <v/>
      </c>
      <c r="I1333" s="24" t="str">
        <f aca="false">IF(OR(E1333="",E1333="!!!",F1333="NEW"),"",INDEX(B$2:B1332,-1+SUMPRODUCT(MAX(ROW(E$2:E1332)*(E1333=E$2:E1332)))))</f>
        <v/>
      </c>
      <c r="J1333" s="24" t="str">
        <f aca="true">IF(OR(E1333="",E1333="!!!",F1333="NEW"),"",COUNTBLANK(OFFSET(A$1,,,SUMPRODUCT(MAX(ROW(E$2:E1333)*(E1333=E$2:E1333)))))-COUNTBLANK(OFFSET(A$1,,,SUMPRODUCT(MAX(ROW(E$1:E1332)*(E2=E$1:E1332))))))</f>
        <v/>
      </c>
      <c r="K1333" s="24" t="str">
        <f aca="false">IF(OR(E1333="",E1333="!!!",F1333="NEW"),"",INDEX(J$1:J1332,SUMPRODUCT(MAX(ROW(E$1:E1332)*(E1333=E$1:E1332)))))</f>
        <v/>
      </c>
      <c r="L1333" s="25"/>
    </row>
    <row r="1334" customFormat="false" ht="14.25" hidden="false" customHeight="false" outlineLevel="0" collapsed="false">
      <c r="A1334" s="0" t="s">
        <v>103</v>
      </c>
      <c r="B1334" s="26" t="s">
        <v>424</v>
      </c>
      <c r="C1334" s="26" t="s">
        <v>105</v>
      </c>
      <c r="E1334" s="20" t="s">
        <v>106</v>
      </c>
      <c r="F1334" s="21" t="str">
        <f aca="false">IF(OR(E1334="",E1334="!!!"),"",IF(NOT(ISNA(VLOOKUP(E1334,E$1:E1333,1,FALSE()))),"OLD",IF(AND(E1334&lt;&gt;"",E1334&lt;&gt;"!!!"),"NEW","")))</f>
        <v>OLD</v>
      </c>
      <c r="G1334" s="22" t="str">
        <f aca="false"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?IN_FOCUS</v>
      </c>
      <c r="H1334" s="23" t="str">
        <f aca="false">IF(J1334&lt;&gt;1,"",IF(I1334="SBJ","CB","?"))</f>
        <v/>
      </c>
      <c r="I1334" s="24" t="n">
        <f aca="false">IF(OR(E1334="",E1334="!!!",F1334="NEW"),"",INDEX(B$2:B1333,-1+SUMPRODUCT(MAX(ROW(E$2:E1333)*(E1334=E$2:E1333)))))</f>
        <v>0</v>
      </c>
      <c r="J1334" s="24" t="n">
        <f aca="true">IF(OR(E1334="",E1334="!!!",F1334="NEW"),"",COUNTBLANK(OFFSET(A$1,,,SUMPRODUCT(MAX(ROW(E$2:E1334)*(E1334=E$2:E1334)))))-COUNTBLANK(OFFSET(A$1,,,SUMPRODUCT(MAX(ROW(E$1:E1333)*(E2=E$1:E1333))))))</f>
        <v>0</v>
      </c>
      <c r="K1334" s="24" t="n">
        <f aca="false">IF(OR(E1334="",E1334="!!!",F1334="NEW"),"",INDEX(J$1:J1333,SUMPRODUCT(MAX(ROW(E$1:E1333)*(E1334=E$1:E1333)))))</f>
        <v>0</v>
      </c>
      <c r="L1334" s="27" t="s">
        <v>338</v>
      </c>
    </row>
    <row r="1335" customFormat="false" ht="14.25" hidden="false" customHeight="false" outlineLevel="0" collapsed="false">
      <c r="A1335" s="0" t="s">
        <v>167</v>
      </c>
      <c r="E1335" s="20" t="str">
        <f aca="false">IF(D1335="?OLD","!!!","")</f>
        <v/>
      </c>
      <c r="F1335" s="21" t="str">
        <f aca="false">IF(OR(E1335="",E1335="!!!"),"",IF(NOT(ISNA(VLOOKUP(E1335,E$1:E1334,1,FALSE()))),"OLD",IF(AND(E1335&lt;&gt;"",E1335&lt;&gt;"!!!"),"NEW","")))</f>
        <v/>
      </c>
      <c r="G1335" s="22" t="str">
        <f aca="false"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aca="false">IF(J1335&lt;&gt;1,"",IF(I1335="SBJ","CB","?"))</f>
        <v/>
      </c>
      <c r="I1335" s="24" t="str">
        <f aca="false">IF(OR(E1335="",E1335="!!!",F1335="NEW"),"",INDEX(B$2:B1334,-1+SUMPRODUCT(MAX(ROW(E$2:E1334)*(E1335=E$2:E1334)))))</f>
        <v/>
      </c>
      <c r="J1335" s="24" t="str">
        <f aca="true">IF(OR(E1335="",E1335="!!!",F1335="NEW"),"",COUNTBLANK(OFFSET(A$1,,,SUMPRODUCT(MAX(ROW(E$2:E1335)*(E1335=E$2:E1335)))))-COUNTBLANK(OFFSET(A$1,,,SUMPRODUCT(MAX(ROW(E$1:E1334)*(E2=E$1:E1334))))))</f>
        <v/>
      </c>
      <c r="K1335" s="24" t="str">
        <f aca="false">IF(OR(E1335="",E1335="!!!",F1335="NEW"),"",INDEX(J$1:J1334,SUMPRODUCT(MAX(ROW(E$1:E1334)*(E1335=E$1:E1334)))))</f>
        <v/>
      </c>
      <c r="L1335" s="25"/>
    </row>
    <row r="1336" customFormat="false" ht="14.25" hidden="false" customHeight="false" outlineLevel="0" collapsed="false">
      <c r="A1336" s="0" t="s">
        <v>116</v>
      </c>
      <c r="E1336" s="20" t="str">
        <f aca="false">IF(D1336="?OLD","!!!","")</f>
        <v/>
      </c>
      <c r="F1336" s="21" t="str">
        <f aca="false">IF(OR(E1336="",E1336="!!!"),"",IF(NOT(ISNA(VLOOKUP(E1336,E$1:E1335,1,FALSE()))),"OLD",IF(AND(E1336&lt;&gt;"",E1336&lt;&gt;"!!!"),"NEW","")))</f>
        <v/>
      </c>
      <c r="G1336" s="22" t="str">
        <f aca="false"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aca="false">IF(J1336&lt;&gt;1,"",IF(I1336="SBJ","CB","?"))</f>
        <v/>
      </c>
      <c r="I1336" s="24" t="str">
        <f aca="false">IF(OR(E1336="",E1336="!!!",F1336="NEW"),"",INDEX(B$2:B1335,-1+SUMPRODUCT(MAX(ROW(E$2:E1335)*(E1336=E$2:E1335)))))</f>
        <v/>
      </c>
      <c r="J1336" s="24" t="str">
        <f aca="true">IF(OR(E1336="",E1336="!!!",F1336="NEW"),"",COUNTBLANK(OFFSET(A$1,,,SUMPRODUCT(MAX(ROW(E$2:E1336)*(E1336=E$2:E1336)))))-COUNTBLANK(OFFSET(A$1,,,SUMPRODUCT(MAX(ROW(E$1:E1335)*(E2=E$1:E1335))))))</f>
        <v/>
      </c>
      <c r="K1336" s="24" t="str">
        <f aca="false">IF(OR(E1336="",E1336="!!!",F1336="NEW"),"",INDEX(J$1:J1335,SUMPRODUCT(MAX(ROW(E$1:E1335)*(E1336=E$1:E1335)))))</f>
        <v/>
      </c>
      <c r="L1336" s="25"/>
    </row>
    <row r="1337" customFormat="false" ht="14.25" hidden="false" customHeight="false" outlineLevel="0" collapsed="false">
      <c r="A1337" s="0" t="s">
        <v>853</v>
      </c>
      <c r="E1337" s="20" t="str">
        <f aca="false">IF(D1337="?OLD","!!!","")</f>
        <v/>
      </c>
      <c r="F1337" s="21" t="str">
        <f aca="false">IF(OR(E1337="",E1337="!!!"),"",IF(NOT(ISNA(VLOOKUP(E1337,E$1:E1336,1,FALSE()))),"OLD",IF(AND(E1337&lt;&gt;"",E1337&lt;&gt;"!!!"),"NEW","")))</f>
        <v/>
      </c>
      <c r="G1337" s="22" t="str">
        <f aca="false"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aca="false">IF(J1337&lt;&gt;1,"",IF(I1337="SBJ","CB","?"))</f>
        <v/>
      </c>
      <c r="I1337" s="24" t="str">
        <f aca="false">IF(OR(E1337="",E1337="!!!",F1337="NEW"),"",INDEX(B$2:B1336,-1+SUMPRODUCT(MAX(ROW(E$2:E1336)*(E1337=E$2:E1336)))))</f>
        <v/>
      </c>
      <c r="J1337" s="24" t="str">
        <f aca="true">IF(OR(E1337="",E1337="!!!",F1337="NEW"),"",COUNTBLANK(OFFSET(A$1,,,SUMPRODUCT(MAX(ROW(E$2:E1337)*(E1337=E$2:E1337)))))-COUNTBLANK(OFFSET(A$1,,,SUMPRODUCT(MAX(ROW(E$1:E1336)*(E2=E$1:E1336))))))</f>
        <v/>
      </c>
      <c r="K1337" s="24" t="str">
        <f aca="false">IF(OR(E1337="",E1337="!!!",F1337="NEW"),"",INDEX(J$1:J1336,SUMPRODUCT(MAX(ROW(E$1:E1336)*(E1337=E$1:E1336)))))</f>
        <v/>
      </c>
      <c r="L1337" s="25"/>
    </row>
    <row r="1338" customFormat="false" ht="14.25" hidden="false" customHeight="false" outlineLevel="0" collapsed="false">
      <c r="A1338" s="0" t="s">
        <v>259</v>
      </c>
      <c r="E1338" s="20" t="str">
        <f aca="false">IF(D1338="?OLD","!!!","")</f>
        <v/>
      </c>
      <c r="F1338" s="21" t="str">
        <f aca="false">IF(OR(E1338="",E1338="!!!"),"",IF(NOT(ISNA(VLOOKUP(E1338,E$1:E1337,1,FALSE()))),"OLD",IF(AND(E1338&lt;&gt;"",E1338&lt;&gt;"!!!"),"NEW","")))</f>
        <v/>
      </c>
      <c r="G1338" s="22" t="str">
        <f aca="false"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3" t="str">
        <f aca="false">IF(J1338&lt;&gt;1,"",IF(I1338="SBJ","CB","?"))</f>
        <v/>
      </c>
      <c r="I1338" s="24" t="str">
        <f aca="false">IF(OR(E1338="",E1338="!!!",F1338="NEW"),"",INDEX(B$2:B1337,-1+SUMPRODUCT(MAX(ROW(E$2:E1337)*(E1338=E$2:E1337)))))</f>
        <v/>
      </c>
      <c r="J1338" s="24" t="str">
        <f aca="true">IF(OR(E1338="",E1338="!!!",F1338="NEW"),"",COUNTBLANK(OFFSET(A$1,,,SUMPRODUCT(MAX(ROW(E$2:E1338)*(E1338=E$2:E1338)))))-COUNTBLANK(OFFSET(A$1,,,SUMPRODUCT(MAX(ROW(E$1:E1337)*(E2=E$1:E1337))))))</f>
        <v/>
      </c>
      <c r="K1338" s="24" t="str">
        <f aca="false">IF(OR(E1338="",E1338="!!!",F1338="NEW"),"",INDEX(J$1:J1337,SUMPRODUCT(MAX(ROW(E$1:E1337)*(E1338=E$1:E1337)))))</f>
        <v/>
      </c>
      <c r="L1338" s="25"/>
    </row>
    <row r="1339" customFormat="false" ht="14.25" hidden="false" customHeight="false" outlineLevel="0" collapsed="false">
      <c r="A1339" s="0" t="s">
        <v>160</v>
      </c>
      <c r="E1339" s="20" t="str">
        <f aca="false">IF(D1339="?OLD","!!!","")</f>
        <v/>
      </c>
      <c r="F1339" s="21" t="str">
        <f aca="false">IF(OR(E1339="",E1339="!!!"),"",IF(NOT(ISNA(VLOOKUP(E1339,E$1:E1338,1,FALSE()))),"OLD",IF(AND(E1339&lt;&gt;"",E1339&lt;&gt;"!!!"),"NEW","")))</f>
        <v/>
      </c>
      <c r="G1339" s="22" t="str">
        <f aca="false"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3" t="str">
        <f aca="false">IF(J1339&lt;&gt;1,"",IF(I1339="SBJ","CB","?"))</f>
        <v/>
      </c>
      <c r="I1339" s="24" t="str">
        <f aca="false">IF(OR(E1339="",E1339="!!!",F1339="NEW"),"",INDEX(B$2:B1338,-1+SUMPRODUCT(MAX(ROW(E$2:E1338)*(E1339=E$2:E1338)))))</f>
        <v/>
      </c>
      <c r="J1339" s="24" t="str">
        <f aca="true">IF(OR(E1339="",E1339="!!!",F1339="NEW"),"",COUNTBLANK(OFFSET(A$1,,,SUMPRODUCT(MAX(ROW(E$2:E1339)*(E1339=E$2:E1339)))))-COUNTBLANK(OFFSET(A$1,,,SUMPRODUCT(MAX(ROW(E$1:E1338)*(E2=E$1:E1338))))))</f>
        <v/>
      </c>
      <c r="K1339" s="24" t="str">
        <f aca="false">IF(OR(E1339="",E1339="!!!",F1339="NEW"),"",INDEX(J$1:J1338,SUMPRODUCT(MAX(ROW(E$1:E1338)*(E1339=E$1:E1338)))))</f>
        <v/>
      </c>
      <c r="L1339" s="25"/>
    </row>
    <row r="1340" customFormat="false" ht="14.25" hidden="false" customHeight="false" outlineLevel="0" collapsed="false">
      <c r="A1340" s="0" t="s">
        <v>854</v>
      </c>
      <c r="B1340" s="26" t="s">
        <v>115</v>
      </c>
      <c r="C1340" s="26" t="s">
        <v>74</v>
      </c>
      <c r="D1340" s="26" t="s">
        <v>75</v>
      </c>
      <c r="E1340" s="20" t="s">
        <v>495</v>
      </c>
      <c r="F1340" s="21" t="str">
        <f aca="false">IF(OR(E1340="",E1340="!!!"),"",IF(NOT(ISNA(VLOOKUP(E1340,E$1:E1339,1,FALSE()))),"OLD",IF(AND(E1340&lt;&gt;"",E1340&lt;&gt;"!!!"),"NEW","")))</f>
        <v>OLD</v>
      </c>
      <c r="G1340" s="22" t="str">
        <f aca="false"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?IN_FOCUS</v>
      </c>
      <c r="H1340" s="23" t="str">
        <f aca="false">IF(J1340&lt;&gt;1,"",IF(I1340="SBJ","CB","?"))</f>
        <v/>
      </c>
      <c r="I1340" s="24" t="n">
        <f aca="false">IF(OR(E1340="",E1340="!!!",F1340="NEW"),"",INDEX(B$2:B1339,-1+SUMPRODUCT(MAX(ROW(E$2:E1339)*(E1340=E$2:E1339)))))</f>
        <v>0</v>
      </c>
      <c r="J1340" s="24" t="n">
        <f aca="true">IF(OR(E1340="",E1340="!!!",F1340="NEW"),"",COUNTBLANK(OFFSET(A$1,,,SUMPRODUCT(MAX(ROW(E$2:E1340)*(E1340=E$2:E1340)))))-COUNTBLANK(OFFSET(A$1,,,SUMPRODUCT(MAX(ROW(E$1:E1339)*(E2=E$1:E1339))))))</f>
        <v>0</v>
      </c>
      <c r="K1340" s="24" t="n">
        <f aca="false">IF(OR(E1340="",E1340="!!!",F1340="NEW"),"",INDEX(J$1:J1339,SUMPRODUCT(MAX(ROW(E$1:E1339)*(E1340=E$1:E1339)))))</f>
        <v>0</v>
      </c>
      <c r="L1340" s="25"/>
    </row>
    <row r="1341" customFormat="false" ht="14.25" hidden="false" customHeight="false" outlineLevel="0" collapsed="false">
      <c r="A1341" s="0" t="s">
        <v>241</v>
      </c>
      <c r="E1341" s="20" t="str">
        <f aca="false">IF(D1341="?OLD","!!!","")</f>
        <v/>
      </c>
      <c r="F1341" s="21" t="str">
        <f aca="false">IF(OR(E1341="",E1341="!!!"),"",IF(NOT(ISNA(VLOOKUP(E1341,E$1:E1340,1,FALSE()))),"OLD",IF(AND(E1341&lt;&gt;"",E1341&lt;&gt;"!!!"),"NEW","")))</f>
        <v/>
      </c>
      <c r="G1341" s="22" t="str">
        <f aca="false"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aca="false">IF(J1341&lt;&gt;1,"",IF(I1341="SBJ","CB","?"))</f>
        <v/>
      </c>
      <c r="I1341" s="24" t="str">
        <f aca="false">IF(OR(E1341="",E1341="!!!",F1341="NEW"),"",INDEX(B$2:B1340,-1+SUMPRODUCT(MAX(ROW(E$2:E1340)*(E1341=E$2:E1340)))))</f>
        <v/>
      </c>
      <c r="J1341" s="24" t="str">
        <f aca="true">IF(OR(E1341="",E1341="!!!",F1341="NEW"),"",COUNTBLANK(OFFSET(A$1,,,SUMPRODUCT(MAX(ROW(E$2:E1341)*(E1341=E$2:E1341)))))-COUNTBLANK(OFFSET(A$1,,,SUMPRODUCT(MAX(ROW(E$1:E1340)*(E2=E$1:E1340))))))</f>
        <v/>
      </c>
      <c r="K1341" s="24" t="str">
        <f aca="false">IF(OR(E1341="",E1341="!!!",F1341="NEW"),"",INDEX(J$1:J1340,SUMPRODUCT(MAX(ROW(E$1:E1340)*(E1341=E$1:E1340)))))</f>
        <v/>
      </c>
      <c r="L1341" s="25"/>
    </row>
    <row r="1342" customFormat="false" ht="14.25" hidden="false" customHeight="false" outlineLevel="0" collapsed="false">
      <c r="A1342" s="0" t="s">
        <v>431</v>
      </c>
      <c r="B1342" s="26" t="s">
        <v>115</v>
      </c>
      <c r="C1342" s="26" t="s">
        <v>74</v>
      </c>
      <c r="D1342" s="26" t="s">
        <v>75</v>
      </c>
      <c r="E1342" s="20" t="s">
        <v>235</v>
      </c>
      <c r="F1342" s="21" t="str">
        <f aca="false">IF(OR(E1342="",E1342="!!!"),"",IF(NOT(ISNA(VLOOKUP(E1342,E$1:E1341,1,FALSE()))),"OLD",IF(AND(E1342&lt;&gt;"",E1342&lt;&gt;"!!!"),"NEW","")))</f>
        <v>OLD</v>
      </c>
      <c r="G1342" s="22" t="str">
        <f aca="false"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?IN_FOCUS</v>
      </c>
      <c r="H1342" s="23" t="str">
        <f aca="false">IF(J1342&lt;&gt;1,"",IF(I1342="SBJ","CB","?"))</f>
        <v/>
      </c>
      <c r="I1342" s="24" t="str">
        <f aca="false">IF(OR(E1342="",E1342="!!!",F1342="NEW"),"",INDEX(B$2:B1341,-1+SUMPRODUCT(MAX(ROW(E$2:E1341)*(E1342=E$2:E1341)))))</f>
        <v>other_5</v>
      </c>
      <c r="J1342" s="24" t="n">
        <f aca="true">IF(OR(E1342="",E1342="!!!",F1342="NEW"),"",COUNTBLANK(OFFSET(A$1,,,SUMPRODUCT(MAX(ROW(E$2:E1342)*(E1342=E$2:E1342)))))-COUNTBLANK(OFFSET(A$1,,,SUMPRODUCT(MAX(ROW(E$1:E1341)*(E2=E$1:E1341))))))</f>
        <v>0</v>
      </c>
      <c r="K1342" s="24" t="n">
        <f aca="false">IF(OR(E1342="",E1342="!!!",F1342="NEW"),"",INDEX(J$1:J1341,SUMPRODUCT(MAX(ROW(E$1:E1341)*(E1342=E$1:E1341)))))</f>
        <v>0</v>
      </c>
      <c r="L1342" s="25"/>
    </row>
    <row r="1343" customFormat="false" ht="14.25" hidden="false" customHeight="false" outlineLevel="0" collapsed="false">
      <c r="A1343" s="0" t="s">
        <v>855</v>
      </c>
      <c r="E1343" s="20" t="str">
        <f aca="false">IF(D1343="?OLD","!!!","")</f>
        <v/>
      </c>
      <c r="F1343" s="21" t="str">
        <f aca="false">IF(OR(E1343="",E1343="!!!"),"",IF(NOT(ISNA(VLOOKUP(E1343,E$1:E1342,1,FALSE()))),"OLD",IF(AND(E1343&lt;&gt;"",E1343&lt;&gt;"!!!"),"NEW","")))</f>
        <v/>
      </c>
      <c r="G1343" s="22" t="str">
        <f aca="false"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3" t="str">
        <f aca="false">IF(J1343&lt;&gt;1,"",IF(I1343="SBJ","CB","?"))</f>
        <v/>
      </c>
      <c r="I1343" s="24" t="str">
        <f aca="false">IF(OR(E1343="",E1343="!!!",F1343="NEW"),"",INDEX(B$2:B1342,-1+SUMPRODUCT(MAX(ROW(E$2:E1342)*(E1343=E$2:E1342)))))</f>
        <v/>
      </c>
      <c r="J1343" s="24" t="str">
        <f aca="true">IF(OR(E1343="",E1343="!!!",F1343="NEW"),"",COUNTBLANK(OFFSET(A$1,,,SUMPRODUCT(MAX(ROW(E$2:E1343)*(E1343=E$2:E1343)))))-COUNTBLANK(OFFSET(A$1,,,SUMPRODUCT(MAX(ROW(E$1:E1342)*(E2=E$1:E1342))))))</f>
        <v/>
      </c>
      <c r="K1343" s="24" t="str">
        <f aca="false">IF(OR(E1343="",E1343="!!!",F1343="NEW"),"",INDEX(J$1:J1342,SUMPRODUCT(MAX(ROW(E$1:E1342)*(E1343=E$1:E1342)))))</f>
        <v/>
      </c>
      <c r="L1343" s="25"/>
    </row>
    <row r="1344" customFormat="false" ht="14.25" hidden="false" customHeight="false" outlineLevel="0" collapsed="false">
      <c r="A1344" s="0" t="s">
        <v>86</v>
      </c>
      <c r="E1344" s="20" t="str">
        <f aca="false">IF(D1344="?OLD","!!!","")</f>
        <v/>
      </c>
      <c r="F1344" s="21" t="str">
        <f aca="false">IF(OR(E1344="",E1344="!!!"),"",IF(NOT(ISNA(VLOOKUP(E1344,E$1:E1343,1,FALSE()))),"OLD",IF(AND(E1344&lt;&gt;"",E1344&lt;&gt;"!!!"),"NEW","")))</f>
        <v/>
      </c>
      <c r="G1344" s="22" t="str">
        <f aca="false"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aca="false">IF(J1344&lt;&gt;1,"",IF(I1344="SBJ","CB","?"))</f>
        <v/>
      </c>
      <c r="I1344" s="24" t="str">
        <f aca="false">IF(OR(E1344="",E1344="!!!",F1344="NEW"),"",INDEX(B$2:B1343,-1+SUMPRODUCT(MAX(ROW(E$2:E1343)*(E1344=E$2:E1343)))))</f>
        <v/>
      </c>
      <c r="J1344" s="24" t="str">
        <f aca="true">IF(OR(E1344="",E1344="!!!",F1344="NEW"),"",COUNTBLANK(OFFSET(A$1,,,SUMPRODUCT(MAX(ROW(E$2:E1344)*(E1344=E$2:E1344)))))-COUNTBLANK(OFFSET(A$1,,,SUMPRODUCT(MAX(ROW(E$1:E1343)*(E2=E$1:E1343))))))</f>
        <v/>
      </c>
      <c r="K1344" s="24" t="str">
        <f aca="false">IF(OR(E1344="",E1344="!!!",F1344="NEW"),"",INDEX(J$1:J1343,SUMPRODUCT(MAX(ROW(E$1:E1343)*(E1344=E$1:E1343)))))</f>
        <v/>
      </c>
      <c r="L1344" s="25"/>
    </row>
    <row r="1345" customFormat="false" ht="14.25" hidden="false" customHeight="false" outlineLevel="0" collapsed="false">
      <c r="A1345" s="0" t="s">
        <v>87</v>
      </c>
      <c r="B1345" s="26" t="s">
        <v>96</v>
      </c>
      <c r="C1345" s="26" t="s">
        <v>88</v>
      </c>
      <c r="D1345" s="26" t="s">
        <v>75</v>
      </c>
      <c r="E1345" s="20" t="s">
        <v>856</v>
      </c>
      <c r="F1345" s="21" t="s">
        <v>211</v>
      </c>
      <c r="G1345" s="22" t="e">
        <f aca="false"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#VALUE!</v>
      </c>
      <c r="H1345" s="23" t="str">
        <f aca="false">IF(J1345&lt;&gt;1,"",IF(I1345="SBJ","CB","?"))</f>
        <v/>
      </c>
      <c r="I1345" s="24" t="e">
        <f aca="false">IF(OR(E1345="",E1345="!!!",F1345="NEW"),"",INDEX(B$2:B1344,-1+SUMPRODUCT(MAX(ROW(E$2:E1344)*(E1345=E$2:E1344)))))</f>
        <v>#VALUE!</v>
      </c>
      <c r="J1345" s="24" t="n">
        <f aca="true">IF(OR(E1345="",E1345="!!!",F1345="NEW"),"",COUNTBLANK(OFFSET(A$1,,,SUMPRODUCT(MAX(ROW(E$2:E1345)*(E1345=E$2:E1345)))))-COUNTBLANK(OFFSET(A$1,,,SUMPRODUCT(MAX(ROW(E$1:E1344)*(E2=E$1:E1344))))))</f>
        <v>0</v>
      </c>
      <c r="K1345" s="24" t="e">
        <f aca="false">IF(OR(E1345="",E1345="!!!",F1345="NEW"),"",INDEX(J$1:J1344,SUMPRODUCT(MAX(ROW(E$1:E1344)*(E1345=E$1:E1344)))))</f>
        <v>#VALUE!</v>
      </c>
      <c r="L1345" s="25"/>
    </row>
    <row r="1346" customFormat="false" ht="14.25" hidden="false" customHeight="false" outlineLevel="0" collapsed="false">
      <c r="A1346" s="0" t="s">
        <v>604</v>
      </c>
      <c r="E1346" s="20" t="str">
        <f aca="false">IF(D1346="?OLD","!!!","")</f>
        <v/>
      </c>
      <c r="F1346" s="21" t="str">
        <f aca="false">IF(OR(E1346="",E1346="!!!"),"",IF(NOT(ISNA(VLOOKUP(E1346,E$1:E1345,1,FALSE()))),"OLD",IF(AND(E1346&lt;&gt;"",E1346&lt;&gt;"!!!"),"NEW","")))</f>
        <v/>
      </c>
      <c r="G1346" s="22" t="str">
        <f aca="false"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aca="false">IF(J1346&lt;&gt;1,"",IF(I1346="SBJ","CB","?"))</f>
        <v/>
      </c>
      <c r="I1346" s="24" t="str">
        <f aca="false">IF(OR(E1346="",E1346="!!!",F1346="NEW"),"",INDEX(B$2:B1345,-1+SUMPRODUCT(MAX(ROW(E$2:E1345)*(E1346=E$2:E1345)))))</f>
        <v/>
      </c>
      <c r="J1346" s="24" t="str">
        <f aca="true">IF(OR(E1346="",E1346="!!!",F1346="NEW"),"",COUNTBLANK(OFFSET(A$1,,,SUMPRODUCT(MAX(ROW(E$2:E1346)*(E1346=E$2:E1346)))))-COUNTBLANK(OFFSET(A$1,,,SUMPRODUCT(MAX(ROW(E$1:E1345)*(E2=E$1:E1345))))))</f>
        <v/>
      </c>
      <c r="K1346" s="24" t="str">
        <f aca="false">IF(OR(E1346="",E1346="!!!",F1346="NEW"),"",INDEX(J$1:J1345,SUMPRODUCT(MAX(ROW(E$1:E1345)*(E1346=E$1:E1345)))))</f>
        <v/>
      </c>
      <c r="L1346" s="25"/>
    </row>
    <row r="1347" customFormat="false" ht="14.25" hidden="false" customHeight="false" outlineLevel="0" collapsed="false">
      <c r="A1347" s="0" t="s">
        <v>116</v>
      </c>
      <c r="E1347" s="20" t="str">
        <f aca="false">IF(D1347="?OLD","!!!","")</f>
        <v/>
      </c>
      <c r="F1347" s="21" t="str">
        <f aca="false">IF(OR(E1347="",E1347="!!!"),"",IF(NOT(ISNA(VLOOKUP(E1347,E$1:E1346,1,FALSE()))),"OLD",IF(AND(E1347&lt;&gt;"",E1347&lt;&gt;"!!!"),"NEW","")))</f>
        <v/>
      </c>
      <c r="G1347" s="22" t="str">
        <f aca="false"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aca="false">IF(J1347&lt;&gt;1,"",IF(I1347="SBJ","CB","?"))</f>
        <v/>
      </c>
      <c r="I1347" s="24" t="str">
        <f aca="false">IF(OR(E1347="",E1347="!!!",F1347="NEW"),"",INDEX(B$2:B1346,-1+SUMPRODUCT(MAX(ROW(E$2:E1346)*(E1347=E$2:E1346)))))</f>
        <v/>
      </c>
      <c r="J1347" s="24" t="str">
        <f aca="true">IF(OR(E1347="",E1347="!!!",F1347="NEW"),"",COUNTBLANK(OFFSET(A$1,,,SUMPRODUCT(MAX(ROW(E$2:E1347)*(E1347=E$2:E1347)))))-COUNTBLANK(OFFSET(A$1,,,SUMPRODUCT(MAX(ROW(E$1:E1346)*(E2=E$1:E1346))))))</f>
        <v/>
      </c>
      <c r="K1347" s="24" t="str">
        <f aca="false">IF(OR(E1347="",E1347="!!!",F1347="NEW"),"",INDEX(J$1:J1346,SUMPRODUCT(MAX(ROW(E$1:E1346)*(E1347=E$1:E1346)))))</f>
        <v/>
      </c>
      <c r="L1347" s="25"/>
    </row>
    <row r="1348" customFormat="false" ht="14.25" hidden="false" customHeight="false" outlineLevel="0" collapsed="false">
      <c r="A1348" s="0" t="s">
        <v>857</v>
      </c>
      <c r="E1348" s="20" t="str">
        <f aca="false">IF(D1348="?OLD","!!!","")</f>
        <v/>
      </c>
      <c r="F1348" s="21" t="str">
        <f aca="false">IF(OR(E1348="",E1348="!!!"),"",IF(NOT(ISNA(VLOOKUP(E1348,E$1:E1347,1,FALSE()))),"OLD",IF(AND(E1348&lt;&gt;"",E1348&lt;&gt;"!!!"),"NEW","")))</f>
        <v/>
      </c>
      <c r="G1348" s="22" t="str">
        <f aca="false"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aca="false">IF(J1348&lt;&gt;1,"",IF(I1348="SBJ","CB","?"))</f>
        <v/>
      </c>
      <c r="I1348" s="24" t="str">
        <f aca="false">IF(OR(E1348="",E1348="!!!",F1348="NEW"),"",INDEX(B$2:B1347,-1+SUMPRODUCT(MAX(ROW(E$2:E1347)*(E1348=E$2:E1347)))))</f>
        <v/>
      </c>
      <c r="J1348" s="24" t="str">
        <f aca="true">IF(OR(E1348="",E1348="!!!",F1348="NEW"),"",COUNTBLANK(OFFSET(A$1,,,SUMPRODUCT(MAX(ROW(E$2:E1348)*(E1348=E$2:E1348)))))-COUNTBLANK(OFFSET(A$1,,,SUMPRODUCT(MAX(ROW(E$1:E1347)*(E2=E$1:E1347))))))</f>
        <v/>
      </c>
      <c r="K1348" s="24" t="str">
        <f aca="false">IF(OR(E1348="",E1348="!!!",F1348="NEW"),"",INDEX(J$1:J1347,SUMPRODUCT(MAX(ROW(E$1:E1347)*(E1348=E$1:E1347)))))</f>
        <v/>
      </c>
      <c r="L1348" s="25"/>
    </row>
    <row r="1349" customFormat="false" ht="14.25" hidden="false" customHeight="false" outlineLevel="0" collapsed="false">
      <c r="A1349" s="0" t="s">
        <v>143</v>
      </c>
      <c r="E1349" s="20" t="str">
        <f aca="false">IF(D1349="?OLD","!!!","")</f>
        <v/>
      </c>
      <c r="F1349" s="21" t="str">
        <f aca="false">IF(OR(E1349="",E1349="!!!"),"",IF(NOT(ISNA(VLOOKUP(E1349,E$1:E1348,1,FALSE()))),"OLD",IF(AND(E1349&lt;&gt;"",E1349&lt;&gt;"!!!"),"NEW","")))</f>
        <v/>
      </c>
      <c r="G1349" s="22" t="str">
        <f aca="false"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aca="false">IF(J1349&lt;&gt;1,"",IF(I1349="SBJ","CB","?"))</f>
        <v/>
      </c>
      <c r="I1349" s="24" t="str">
        <f aca="false">IF(OR(E1349="",E1349="!!!",F1349="NEW"),"",INDEX(B$2:B1348,-1+SUMPRODUCT(MAX(ROW(E$2:E1348)*(E1349=E$2:E1348)))))</f>
        <v/>
      </c>
      <c r="J1349" s="24" t="str">
        <f aca="true">IF(OR(E1349="",E1349="!!!",F1349="NEW"),"",COUNTBLANK(OFFSET(A$1,,,SUMPRODUCT(MAX(ROW(E$2:E1349)*(E1349=E$2:E1349)))))-COUNTBLANK(OFFSET(A$1,,,SUMPRODUCT(MAX(ROW(E$1:E1348)*(E2=E$1:E1348))))))</f>
        <v/>
      </c>
      <c r="K1349" s="24" t="str">
        <f aca="false">IF(OR(E1349="",E1349="!!!",F1349="NEW"),"",INDEX(J$1:J1348,SUMPRODUCT(MAX(ROW(E$1:E1348)*(E1349=E$1:E1348)))))</f>
        <v/>
      </c>
      <c r="L1349" s="25"/>
    </row>
    <row r="1350" customFormat="false" ht="14.25" hidden="false" customHeight="false" outlineLevel="0" collapsed="false">
      <c r="A1350" s="0" t="s">
        <v>858</v>
      </c>
      <c r="B1350" s="26" t="s">
        <v>96</v>
      </c>
      <c r="C1350" s="26" t="s">
        <v>105</v>
      </c>
      <c r="E1350" s="20" t="str">
        <f aca="false">IF(D1350="?OLD","!!!","")</f>
        <v/>
      </c>
      <c r="F1350" s="21" t="str">
        <f aca="false">IF(OR(E1350="",E1350="!!!"),"",IF(NOT(ISNA(VLOOKUP(E1350,E$1:E1349,1,FALSE()))),"OLD",IF(AND(E1350&lt;&gt;"",E1350&lt;&gt;"!!!"),"NEW","")))</f>
        <v/>
      </c>
      <c r="G1350" s="22" t="str">
        <f aca="false"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aca="false">IF(J1350&lt;&gt;1,"",IF(I1350="SBJ","CB","?"))</f>
        <v/>
      </c>
      <c r="I1350" s="24" t="str">
        <f aca="false">IF(OR(E1350="",E1350="!!!",F1350="NEW"),"",INDEX(B$2:B1349,-1+SUMPRODUCT(MAX(ROW(E$2:E1349)*(E1350=E$2:E1349)))))</f>
        <v/>
      </c>
      <c r="J1350" s="24" t="str">
        <f aca="true">IF(OR(E1350="",E1350="!!!",F1350="NEW"),"",COUNTBLANK(OFFSET(A$1,,,SUMPRODUCT(MAX(ROW(E$2:E1350)*(E1350=E$2:E1350)))))-COUNTBLANK(OFFSET(A$1,,,SUMPRODUCT(MAX(ROW(E$1:E1349)*(E2=E$1:E1349))))))</f>
        <v/>
      </c>
      <c r="K1350" s="24" t="str">
        <f aca="false">IF(OR(E1350="",E1350="!!!",F1350="NEW"),"",INDEX(J$1:J1349,SUMPRODUCT(MAX(ROW(E$1:E1349)*(E1350=E$1:E1349)))))</f>
        <v/>
      </c>
      <c r="L1350" s="25"/>
    </row>
    <row r="1351" customFormat="false" ht="14.25" hidden="false" customHeight="false" outlineLevel="0" collapsed="false">
      <c r="A1351" s="0" t="s">
        <v>101</v>
      </c>
      <c r="E1351" s="20" t="str">
        <f aca="false">IF(D1351="?OLD","!!!","")</f>
        <v/>
      </c>
      <c r="F1351" s="21" t="str">
        <f aca="false">IF(OR(E1351="",E1351="!!!"),"",IF(NOT(ISNA(VLOOKUP(E1351,E$1:E1350,1,FALSE()))),"OLD",IF(AND(E1351&lt;&gt;"",E1351&lt;&gt;"!!!"),"NEW","")))</f>
        <v/>
      </c>
      <c r="G1351" s="22" t="str">
        <f aca="false"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aca="false">IF(J1351&lt;&gt;1,"",IF(I1351="SBJ","CB","?"))</f>
        <v/>
      </c>
      <c r="I1351" s="24" t="str">
        <f aca="false">IF(OR(E1351="",E1351="!!!",F1351="NEW"),"",INDEX(B$2:B1350,-1+SUMPRODUCT(MAX(ROW(E$2:E1350)*(E1351=E$2:E1350)))))</f>
        <v/>
      </c>
      <c r="J1351" s="24" t="str">
        <f aca="true">IF(OR(E1351="",E1351="!!!",F1351="NEW"),"",COUNTBLANK(OFFSET(A$1,,,SUMPRODUCT(MAX(ROW(E$2:E1351)*(E1351=E$2:E1351)))))-COUNTBLANK(OFFSET(A$1,,,SUMPRODUCT(MAX(ROW(E$1:E1350)*(E2=E$1:E1350))))))</f>
        <v/>
      </c>
      <c r="K1351" s="24" t="str">
        <f aca="false">IF(OR(E1351="",E1351="!!!",F1351="NEW"),"",INDEX(J$1:J1350,SUMPRODUCT(MAX(ROW(E$1:E1350)*(E1351=E$1:E1350)))))</f>
        <v/>
      </c>
      <c r="L1351" s="25"/>
    </row>
    <row r="1352" customFormat="false" ht="14.25" hidden="false" customHeight="false" outlineLevel="0" collapsed="false">
      <c r="A1352" s="0" t="s">
        <v>142</v>
      </c>
      <c r="E1352" s="20" t="str">
        <f aca="false">IF(D1352="?OLD","!!!","")</f>
        <v/>
      </c>
      <c r="F1352" s="21" t="str">
        <f aca="false">IF(OR(E1352="",E1352="!!!"),"",IF(NOT(ISNA(VLOOKUP(E1352,E$1:E1351,1,FALSE()))),"OLD",IF(AND(E1352&lt;&gt;"",E1352&lt;&gt;"!!!"),"NEW","")))</f>
        <v/>
      </c>
      <c r="G1352" s="22" t="str">
        <f aca="false"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aca="false">IF(J1352&lt;&gt;1,"",IF(I1352="SBJ","CB","?"))</f>
        <v/>
      </c>
      <c r="I1352" s="24" t="str">
        <f aca="false">IF(OR(E1352="",E1352="!!!",F1352="NEW"),"",INDEX(B$2:B1351,-1+SUMPRODUCT(MAX(ROW(E$2:E1351)*(E1352=E$2:E1351)))))</f>
        <v/>
      </c>
      <c r="J1352" s="24" t="str">
        <f aca="true">IF(OR(E1352="",E1352="!!!",F1352="NEW"),"",COUNTBLANK(OFFSET(A$1,,,SUMPRODUCT(MAX(ROW(E$2:E1352)*(E1352=E$2:E1352)))))-COUNTBLANK(OFFSET(A$1,,,SUMPRODUCT(MAX(ROW(E$1:E1351)*(E2=E$1:E1351))))))</f>
        <v/>
      </c>
      <c r="K1352" s="24" t="str">
        <f aca="false">IF(OR(E1352="",E1352="!!!",F1352="NEW"),"",INDEX(J$1:J1351,SUMPRODUCT(MAX(ROW(E$1:E1351)*(E1352=E$1:E1351)))))</f>
        <v/>
      </c>
      <c r="L1352" s="25"/>
    </row>
    <row r="1353" customFormat="false" ht="14.25" hidden="false" customHeight="false" outlineLevel="0" collapsed="false">
      <c r="A1353" s="0" t="s">
        <v>859</v>
      </c>
      <c r="E1353" s="20" t="str">
        <f aca="false">IF(D1353="?OLD","!!!","")</f>
        <v/>
      </c>
      <c r="F1353" s="21" t="str">
        <f aca="false">IF(OR(E1353="",E1353="!!!"),"",IF(NOT(ISNA(VLOOKUP(E1353,E$1:E1352,1,FALSE()))),"OLD",IF(AND(E1353&lt;&gt;"",E1353&lt;&gt;"!!!"),"NEW","")))</f>
        <v/>
      </c>
      <c r="G1353" s="22" t="str">
        <f aca="false"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aca="false">IF(J1353&lt;&gt;1,"",IF(I1353="SBJ","CB","?"))</f>
        <v/>
      </c>
      <c r="I1353" s="24" t="str">
        <f aca="false">IF(OR(E1353="",E1353="!!!",F1353="NEW"),"",INDEX(B$2:B1352,-1+SUMPRODUCT(MAX(ROW(E$2:E1352)*(E1353=E$2:E1352)))))</f>
        <v/>
      </c>
      <c r="J1353" s="24" t="str">
        <f aca="true">IF(OR(E1353="",E1353="!!!",F1353="NEW"),"",COUNTBLANK(OFFSET(A$1,,,SUMPRODUCT(MAX(ROW(E$2:E1353)*(E1353=E$2:E1353)))))-COUNTBLANK(OFFSET(A$1,,,SUMPRODUCT(MAX(ROW(E$1:E1352)*(E2=E$1:E1352))))))</f>
        <v/>
      </c>
      <c r="K1353" s="24" t="str">
        <f aca="false">IF(OR(E1353="",E1353="!!!",F1353="NEW"),"",INDEX(J$1:J1352,SUMPRODUCT(MAX(ROW(E$1:E1352)*(E1353=E$1:E1352)))))</f>
        <v/>
      </c>
      <c r="L1353" s="25"/>
    </row>
    <row r="1354" customFormat="false" ht="14.25" hidden="false" customHeight="false" outlineLevel="0" collapsed="false">
      <c r="A1354" s="0" t="s">
        <v>860</v>
      </c>
      <c r="B1354" s="26" t="s">
        <v>147</v>
      </c>
      <c r="C1354" s="26" t="s">
        <v>105</v>
      </c>
      <c r="E1354" s="20" t="str">
        <f aca="false">IF(D1354="?OLD","!!!","")</f>
        <v/>
      </c>
      <c r="F1354" s="21" t="str">
        <f aca="false">IF(OR(E1354="",E1354="!!!"),"",IF(NOT(ISNA(VLOOKUP(E1354,E$1:E1353,1,FALSE()))),"OLD",IF(AND(E1354&lt;&gt;"",E1354&lt;&gt;"!!!"),"NEW","")))</f>
        <v/>
      </c>
      <c r="G1354" s="22" t="str">
        <f aca="false"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aca="false">IF(J1354&lt;&gt;1,"",IF(I1354="SBJ","CB","?"))</f>
        <v/>
      </c>
      <c r="I1354" s="24" t="str">
        <f aca="false">IF(OR(E1354="",E1354="!!!",F1354="NEW"),"",INDEX(B$2:B1353,-1+SUMPRODUCT(MAX(ROW(E$2:E1353)*(E1354=E$2:E1353)))))</f>
        <v/>
      </c>
      <c r="J1354" s="24" t="str">
        <f aca="true">IF(OR(E1354="",E1354="!!!",F1354="NEW"),"",COUNTBLANK(OFFSET(A$1,,,SUMPRODUCT(MAX(ROW(E$2:E1354)*(E1354=E$2:E1354)))))-COUNTBLANK(OFFSET(A$1,,,SUMPRODUCT(MAX(ROW(E$1:E1353)*(E2=E$1:E1353))))))</f>
        <v/>
      </c>
      <c r="K1354" s="24" t="str">
        <f aca="false">IF(OR(E1354="",E1354="!!!",F1354="NEW"),"",INDEX(J$1:J1353,SUMPRODUCT(MAX(ROW(E$1:E1353)*(E1354=E$1:E1353)))))</f>
        <v/>
      </c>
      <c r="L1354" s="25"/>
    </row>
    <row r="1355" customFormat="false" ht="14.25" hidden="false" customHeight="false" outlineLevel="0" collapsed="false">
      <c r="A1355" s="0" t="s">
        <v>16</v>
      </c>
      <c r="E1355" s="20" t="str">
        <f aca="false">IF(D1355="?OLD","!!!","")</f>
        <v/>
      </c>
      <c r="F1355" s="21" t="str">
        <f aca="false">IF(OR(E1355="",E1355="!!!"),"",IF(NOT(ISNA(VLOOKUP(E1355,E$1:E1354,1,FALSE()))),"OLD",IF(AND(E1355&lt;&gt;"",E1355&lt;&gt;"!!!"),"NEW","")))</f>
        <v/>
      </c>
      <c r="G1355" s="22" t="str">
        <f aca="false"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aca="false">IF(J1355&lt;&gt;1,"",IF(I1355="SBJ","CB","?"))</f>
        <v/>
      </c>
      <c r="I1355" s="24" t="str">
        <f aca="false">IF(OR(E1355="",E1355="!!!",F1355="NEW"),"",INDEX(B$2:B1354,-1+SUMPRODUCT(MAX(ROW(E$2:E1354)*(E1355=E$2:E1354)))))</f>
        <v/>
      </c>
      <c r="J1355" s="24" t="str">
        <f aca="true">IF(OR(E1355="",E1355="!!!",F1355="NEW"),"",COUNTBLANK(OFFSET(A$1,,,SUMPRODUCT(MAX(ROW(E$2:E1355)*(E1355=E$2:E1355)))))-COUNTBLANK(OFFSET(A$1,,,SUMPRODUCT(MAX(ROW(E$1:E1354)*(E2=E$1:E1354))))))</f>
        <v/>
      </c>
      <c r="K1355" s="24" t="str">
        <f aca="false">IF(OR(E1355="",E1355="!!!",F1355="NEW"),"",INDEX(J$1:J1354,SUMPRODUCT(MAX(ROW(E$1:E1354)*(E1355=E$1:E1354)))))</f>
        <v/>
      </c>
      <c r="L1355" s="25"/>
    </row>
    <row r="1356" customFormat="false" ht="14.25" hidden="false" customHeight="false" outlineLevel="0" collapsed="false">
      <c r="A1356" s="0" t="s">
        <v>142</v>
      </c>
      <c r="E1356" s="20" t="str">
        <f aca="false">IF(D1356="?OLD","!!!","")</f>
        <v/>
      </c>
      <c r="F1356" s="21" t="str">
        <f aca="false">IF(OR(E1356="",E1356="!!!"),"",IF(NOT(ISNA(VLOOKUP(E1356,E$1:E1355,1,FALSE()))),"OLD",IF(AND(E1356&lt;&gt;"",E1356&lt;&gt;"!!!"),"NEW","")))</f>
        <v/>
      </c>
      <c r="G1356" s="22" t="str">
        <f aca="false"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aca="false">IF(J1356&lt;&gt;1,"",IF(I1356="SBJ","CB","?"))</f>
        <v/>
      </c>
      <c r="I1356" s="24" t="str">
        <f aca="false">IF(OR(E1356="",E1356="!!!",F1356="NEW"),"",INDEX(B$2:B1355,-1+SUMPRODUCT(MAX(ROW(E$2:E1355)*(E1356=E$2:E1355)))))</f>
        <v/>
      </c>
      <c r="J1356" s="24" t="str">
        <f aca="true">IF(OR(E1356="",E1356="!!!",F1356="NEW"),"",COUNTBLANK(OFFSET(A$1,,,SUMPRODUCT(MAX(ROW(E$2:E1356)*(E1356=E$2:E1356)))))-COUNTBLANK(OFFSET(A$1,,,SUMPRODUCT(MAX(ROW(E$1:E1355)*(E2=E$1:E1355))))))</f>
        <v/>
      </c>
      <c r="K1356" s="24" t="str">
        <f aca="false">IF(OR(E1356="",E1356="!!!",F1356="NEW"),"",INDEX(J$1:J1355,SUMPRODUCT(MAX(ROW(E$1:E1355)*(E1356=E$1:E1355)))))</f>
        <v/>
      </c>
      <c r="L1356" s="25"/>
    </row>
    <row r="1357" customFormat="false" ht="14.25" hidden="false" customHeight="false" outlineLevel="0" collapsed="false">
      <c r="A1357" s="0" t="s">
        <v>861</v>
      </c>
      <c r="B1357" s="26" t="s">
        <v>115</v>
      </c>
      <c r="C1357" s="26" t="s">
        <v>105</v>
      </c>
      <c r="E1357" s="20" t="s">
        <v>862</v>
      </c>
      <c r="F1357" s="21" t="str">
        <f aca="false">IF(OR(E1357="",E1357="!!!"),"",IF(NOT(ISNA(VLOOKUP(E1357,E$1:E1356,1,FALSE()))),"OLD",IF(AND(E1357&lt;&gt;"",E1357&lt;&gt;"!!!"),"NEW","")))</f>
        <v>NEW</v>
      </c>
      <c r="G1357" s="22" t="str">
        <f aca="false"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?REFERENTIAL</v>
      </c>
      <c r="H1357" s="23" t="str">
        <f aca="false">IF(J1357&lt;&gt;1,"",IF(I1357="SBJ","CB","?"))</f>
        <v/>
      </c>
      <c r="I1357" s="24" t="str">
        <f aca="false">IF(OR(E1357="",E1357="!!!",F1357="NEW"),"",INDEX(B$2:B1356,-1+SUMPRODUCT(MAX(ROW(E$2:E1356)*(E1357=E$2:E1356)))))</f>
        <v/>
      </c>
      <c r="J1357" s="24" t="str">
        <f aca="true">IF(OR(E1357="",E1357="!!!",F1357="NEW"),"",COUNTBLANK(OFFSET(A$1,,,SUMPRODUCT(MAX(ROW(E$2:E1357)*(E1357=E$2:E1357)))))-COUNTBLANK(OFFSET(A$1,,,SUMPRODUCT(MAX(ROW(E$1:E1356)*(E2=E$1:E1356))))))</f>
        <v/>
      </c>
      <c r="K1357" s="24" t="str">
        <f aca="false">IF(OR(E1357="",E1357="!!!",F1357="NEW"),"",INDEX(J$1:J1356,SUMPRODUCT(MAX(ROW(E$1:E1356)*(E1357=E$1:E1356)))))</f>
        <v/>
      </c>
      <c r="L1357" s="27" t="s">
        <v>338</v>
      </c>
    </row>
    <row r="1358" customFormat="false" ht="14.25" hidden="false" customHeight="false" outlineLevel="0" collapsed="false">
      <c r="A1358" s="0" t="s">
        <v>167</v>
      </c>
      <c r="E1358" s="20" t="str">
        <f aca="false">IF(D1358="?OLD","!!!","")</f>
        <v/>
      </c>
      <c r="F1358" s="21" t="str">
        <f aca="false">IF(OR(E1358="",E1358="!!!"),"",IF(NOT(ISNA(VLOOKUP(E1358,E$1:E1357,1,FALSE()))),"OLD",IF(AND(E1358&lt;&gt;"",E1358&lt;&gt;"!!!"),"NEW","")))</f>
        <v/>
      </c>
      <c r="G1358" s="22" t="str">
        <f aca="false"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aca="false">IF(J1358&lt;&gt;1,"",IF(I1358="SBJ","CB","?"))</f>
        <v/>
      </c>
      <c r="I1358" s="24" t="str">
        <f aca="false">IF(OR(E1358="",E1358="!!!",F1358="NEW"),"",INDEX(B$2:B1357,-1+SUMPRODUCT(MAX(ROW(E$2:E1357)*(E1358=E$2:E1357)))))</f>
        <v/>
      </c>
      <c r="J1358" s="24" t="str">
        <f aca="true">IF(OR(E1358="",E1358="!!!",F1358="NEW"),"",COUNTBLANK(OFFSET(A$1,,,SUMPRODUCT(MAX(ROW(E$2:E1358)*(E1358=E$2:E1358)))))-COUNTBLANK(OFFSET(A$1,,,SUMPRODUCT(MAX(ROW(E$1:E1357)*(E2=E$1:E1357))))))</f>
        <v/>
      </c>
      <c r="K1358" s="24" t="str">
        <f aca="false">IF(OR(E1358="",E1358="!!!",F1358="NEW"),"",INDEX(J$1:J1357,SUMPRODUCT(MAX(ROW(E$1:E1357)*(E1358=E$1:E1357)))))</f>
        <v/>
      </c>
      <c r="L1358" s="25"/>
    </row>
    <row r="1359" customFormat="false" ht="14.25" hidden="false" customHeight="false" outlineLevel="0" collapsed="false">
      <c r="A1359" s="0" t="s">
        <v>116</v>
      </c>
      <c r="E1359" s="20" t="str">
        <f aca="false">IF(D1359="?OLD","!!!","")</f>
        <v/>
      </c>
      <c r="F1359" s="21" t="str">
        <f aca="false">IF(OR(E1359="",E1359="!!!"),"",IF(NOT(ISNA(VLOOKUP(E1359,E$1:E1358,1,FALSE()))),"OLD",IF(AND(E1359&lt;&gt;"",E1359&lt;&gt;"!!!"),"NEW","")))</f>
        <v/>
      </c>
      <c r="G1359" s="22" t="str">
        <f aca="false"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3" t="str">
        <f aca="false">IF(J1359&lt;&gt;1,"",IF(I1359="SBJ","CB","?"))</f>
        <v/>
      </c>
      <c r="I1359" s="24" t="str">
        <f aca="false">IF(OR(E1359="",E1359="!!!",F1359="NEW"),"",INDEX(B$2:B1358,-1+SUMPRODUCT(MAX(ROW(E$2:E1358)*(E1359=E$2:E1358)))))</f>
        <v/>
      </c>
      <c r="J1359" s="24" t="str">
        <f aca="true">IF(OR(E1359="",E1359="!!!",F1359="NEW"),"",COUNTBLANK(OFFSET(A$1,,,SUMPRODUCT(MAX(ROW(E$2:E1359)*(E1359=E$2:E1359)))))-COUNTBLANK(OFFSET(A$1,,,SUMPRODUCT(MAX(ROW(E$1:E1358)*(E2=E$1:E1358))))))</f>
        <v/>
      </c>
      <c r="K1359" s="24" t="str">
        <f aca="false">IF(OR(E1359="",E1359="!!!",F1359="NEW"),"",INDEX(J$1:J1358,SUMPRODUCT(MAX(ROW(E$1:E1358)*(E1359=E$1:E1358)))))</f>
        <v/>
      </c>
      <c r="L1359" s="25"/>
    </row>
    <row r="1360" customFormat="false" ht="14.25" hidden="false" customHeight="false" outlineLevel="0" collapsed="false">
      <c r="A1360" s="0" t="s">
        <v>112</v>
      </c>
      <c r="E1360" s="20" t="str">
        <f aca="false">IF(D1360="?OLD","!!!","")</f>
        <v/>
      </c>
      <c r="F1360" s="21" t="str">
        <f aca="false">IF(OR(E1360="",E1360="!!!"),"",IF(NOT(ISNA(VLOOKUP(E1360,E$1:E1359,1,FALSE()))),"OLD",IF(AND(E1360&lt;&gt;"",E1360&lt;&gt;"!!!"),"NEW","")))</f>
        <v/>
      </c>
      <c r="G1360" s="22" t="str">
        <f aca="false"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aca="false">IF(J1360&lt;&gt;1,"",IF(I1360="SBJ","CB","?"))</f>
        <v/>
      </c>
      <c r="I1360" s="24" t="str">
        <f aca="false">IF(OR(E1360="",E1360="!!!",F1360="NEW"),"",INDEX(B$2:B1359,-1+SUMPRODUCT(MAX(ROW(E$2:E1359)*(E1360=E$2:E1359)))))</f>
        <v/>
      </c>
      <c r="J1360" s="24" t="str">
        <f aca="true">IF(OR(E1360="",E1360="!!!",F1360="NEW"),"",COUNTBLANK(OFFSET(A$1,,,SUMPRODUCT(MAX(ROW(E$2:E1360)*(E1360=E$2:E1360)))))-COUNTBLANK(OFFSET(A$1,,,SUMPRODUCT(MAX(ROW(E$1:E1359)*(E2=E$1:E1359))))))</f>
        <v/>
      </c>
      <c r="K1360" s="24" t="str">
        <f aca="false">IF(OR(E1360="",E1360="!!!",F1360="NEW"),"",INDEX(J$1:J1359,SUMPRODUCT(MAX(ROW(E$1:E1359)*(E1360=E$1:E1359)))))</f>
        <v/>
      </c>
      <c r="L1360" s="25"/>
    </row>
    <row r="1361" customFormat="false" ht="14.25" hidden="false" customHeight="false" outlineLevel="0" collapsed="false">
      <c r="A1361" s="0" t="s">
        <v>126</v>
      </c>
      <c r="B1361" s="26" t="s">
        <v>82</v>
      </c>
      <c r="C1361" s="26" t="s">
        <v>74</v>
      </c>
      <c r="D1361" s="26" t="s">
        <v>75</v>
      </c>
      <c r="E1361" s="20" t="s">
        <v>179</v>
      </c>
      <c r="F1361" s="21" t="str">
        <f aca="false">IF(OR(E1361="",E1361="!!!"),"",IF(NOT(ISNA(VLOOKUP(E1361,E$1:E1360,1,FALSE()))),"OLD",IF(AND(E1361&lt;&gt;"",E1361&lt;&gt;"!!!"),"NEW","")))</f>
        <v>OLD</v>
      </c>
      <c r="G1361" s="22" t="str">
        <f aca="false"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?IN_FOCUS</v>
      </c>
      <c r="H1361" s="23" t="str">
        <f aca="false">IF(J1361&lt;&gt;1,"",IF(I1361="SBJ","CB","?"))</f>
        <v/>
      </c>
      <c r="I1361" s="24" t="str">
        <f aca="false">IF(OR(E1361="",E1361="!!!",F1361="NEW"),"",INDEX(B$2:B1360,-1+SUMPRODUCT(MAX(ROW(E$2:E1360)*(E1361=E$2:E1360)))))</f>
        <v>OBJ</v>
      </c>
      <c r="J1361" s="24" t="n">
        <f aca="true">IF(OR(E1361="",E1361="!!!",F1361="NEW"),"",COUNTBLANK(OFFSET(A$1,,,SUMPRODUCT(MAX(ROW(E$2:E1361)*(E1361=E$2:E1361)))))-COUNTBLANK(OFFSET(A$1,,,SUMPRODUCT(MAX(ROW(E$1:E1360)*(E2=E$1:E1360))))))</f>
        <v>0</v>
      </c>
      <c r="K1361" s="24" t="n">
        <f aca="false">IF(OR(E1361="",E1361="!!!",F1361="NEW"),"",INDEX(J$1:J1360,SUMPRODUCT(MAX(ROW(E$1:E1360)*(E1361=E$1:E1360)))))</f>
        <v>0</v>
      </c>
      <c r="L1361" s="25"/>
    </row>
    <row r="1362" customFormat="false" ht="14.25" hidden="false" customHeight="false" outlineLevel="0" collapsed="false">
      <c r="A1362" s="0" t="s">
        <v>863</v>
      </c>
      <c r="E1362" s="20" t="str">
        <f aca="false">IF(D1362="?OLD","!!!","")</f>
        <v/>
      </c>
      <c r="F1362" s="21" t="str">
        <f aca="false">IF(OR(E1362="",E1362="!!!"),"",IF(NOT(ISNA(VLOOKUP(E1362,E$1:E1361,1,FALSE()))),"OLD",IF(AND(E1362&lt;&gt;"",E1362&lt;&gt;"!!!"),"NEW","")))</f>
        <v/>
      </c>
      <c r="G1362" s="22" t="str">
        <f aca="false"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aca="false">IF(J1362&lt;&gt;1,"",IF(I1362="SBJ","CB","?"))</f>
        <v/>
      </c>
      <c r="I1362" s="24" t="str">
        <f aca="false">IF(OR(E1362="",E1362="!!!",F1362="NEW"),"",INDEX(B$2:B1361,-1+SUMPRODUCT(MAX(ROW(E$2:E1361)*(E1362=E$2:E1361)))))</f>
        <v/>
      </c>
      <c r="J1362" s="24" t="str">
        <f aca="true">IF(OR(E1362="",E1362="!!!",F1362="NEW"),"",COUNTBLANK(OFFSET(A$1,,,SUMPRODUCT(MAX(ROW(E$2:E1362)*(E1362=E$2:E1362)))))-COUNTBLANK(OFFSET(A$1,,,SUMPRODUCT(MAX(ROW(E$1:E1361)*(E2=E$1:E1361))))))</f>
        <v/>
      </c>
      <c r="K1362" s="24" t="str">
        <f aca="false">IF(OR(E1362="",E1362="!!!",F1362="NEW"),"",INDEX(J$1:J1361,SUMPRODUCT(MAX(ROW(E$1:E1361)*(E1362=E$1:E1361)))))</f>
        <v/>
      </c>
      <c r="L1362" s="25"/>
    </row>
    <row r="1363" customFormat="false" ht="14.25" hidden="false" customHeight="false" outlineLevel="0" collapsed="false">
      <c r="A1363" s="0" t="s">
        <v>86</v>
      </c>
      <c r="E1363" s="20" t="str">
        <f aca="false">IF(D1363="?OLD","!!!","")</f>
        <v/>
      </c>
      <c r="F1363" s="21" t="str">
        <f aca="false">IF(OR(E1363="",E1363="!!!"),"",IF(NOT(ISNA(VLOOKUP(E1363,E$1:E1362,1,FALSE()))),"OLD",IF(AND(E1363&lt;&gt;"",E1363&lt;&gt;"!!!"),"NEW","")))</f>
        <v/>
      </c>
      <c r="G1363" s="22" t="str">
        <f aca="false"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aca="false">IF(J1363&lt;&gt;1,"",IF(I1363="SBJ","CB","?"))</f>
        <v/>
      </c>
      <c r="I1363" s="24" t="str">
        <f aca="false">IF(OR(E1363="",E1363="!!!",F1363="NEW"),"",INDEX(B$2:B1362,-1+SUMPRODUCT(MAX(ROW(E$2:E1362)*(E1363=E$2:E1362)))))</f>
        <v/>
      </c>
      <c r="J1363" s="24" t="str">
        <f aca="true">IF(OR(E1363="",E1363="!!!",F1363="NEW"),"",COUNTBLANK(OFFSET(A$1,,,SUMPRODUCT(MAX(ROW(E$2:E1363)*(E1363=E$2:E1363)))))-COUNTBLANK(OFFSET(A$1,,,SUMPRODUCT(MAX(ROW(E$1:E1362)*(E2=E$1:E1362))))))</f>
        <v/>
      </c>
      <c r="K1363" s="24" t="str">
        <f aca="false">IF(OR(E1363="",E1363="!!!",F1363="NEW"),"",INDEX(J$1:J1362,SUMPRODUCT(MAX(ROW(E$1:E1362)*(E1363=E$1:E1362)))))</f>
        <v/>
      </c>
      <c r="L1363" s="25"/>
    </row>
    <row r="1364" customFormat="false" ht="14.25" hidden="false" customHeight="false" outlineLevel="0" collapsed="false">
      <c r="A1364" s="0" t="s">
        <v>322</v>
      </c>
      <c r="E1364" s="20" t="str">
        <f aca="false">IF(D1364="?OLD","!!!","")</f>
        <v/>
      </c>
      <c r="F1364" s="21" t="str">
        <f aca="false">IF(OR(E1364="",E1364="!!!"),"",IF(NOT(ISNA(VLOOKUP(E1364,E$1:E1363,1,FALSE()))),"OLD",IF(AND(E1364&lt;&gt;"",E1364&lt;&gt;"!!!"),"NEW","")))</f>
        <v/>
      </c>
      <c r="G1364" s="22" t="str">
        <f aca="false"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aca="false">IF(J1364&lt;&gt;1,"",IF(I1364="SBJ","CB","?"))</f>
        <v/>
      </c>
      <c r="I1364" s="24" t="str">
        <f aca="false">IF(OR(E1364="",E1364="!!!",F1364="NEW"),"",INDEX(B$2:B1363,-1+SUMPRODUCT(MAX(ROW(E$2:E1363)*(E1364=E$2:E1363)))))</f>
        <v/>
      </c>
      <c r="J1364" s="24" t="str">
        <f aca="true">IF(OR(E1364="",E1364="!!!",F1364="NEW"),"",COUNTBLANK(OFFSET(A$1,,,SUMPRODUCT(MAX(ROW(E$2:E1364)*(E1364=E$2:E1364)))))-COUNTBLANK(OFFSET(A$1,,,SUMPRODUCT(MAX(ROW(E$1:E1363)*(E2=E$1:E1363))))))</f>
        <v/>
      </c>
      <c r="K1364" s="24" t="str">
        <f aca="false">IF(OR(E1364="",E1364="!!!",F1364="NEW"),"",INDEX(J$1:J1363,SUMPRODUCT(MAX(ROW(E$1:E1363)*(E1364=E$1:E1363)))))</f>
        <v/>
      </c>
      <c r="L1364" s="25"/>
    </row>
    <row r="1365" customFormat="false" ht="14.25" hidden="false" customHeight="false" outlineLevel="0" collapsed="false">
      <c r="A1365" s="0" t="s">
        <v>254</v>
      </c>
      <c r="B1365" s="26" t="s">
        <v>96</v>
      </c>
      <c r="C1365" s="26" t="s">
        <v>209</v>
      </c>
      <c r="D1365" s="26" t="s">
        <v>75</v>
      </c>
      <c r="E1365" s="20" t="s">
        <v>864</v>
      </c>
      <c r="F1365" s="21" t="s">
        <v>211</v>
      </c>
      <c r="G1365" s="22" t="e">
        <f aca="false"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#VALUE!</v>
      </c>
      <c r="H1365" s="23" t="str">
        <f aca="false">IF(J1365&lt;&gt;1,"",IF(I1365="SBJ","CB","?"))</f>
        <v/>
      </c>
      <c r="I1365" s="24" t="e">
        <f aca="false">IF(OR(E1365="",E1365="!!!",F1365="NEW"),"",INDEX(B$2:B1364,-1+SUMPRODUCT(MAX(ROW(E$2:E1364)*(E1365=E$2:E1364)))))</f>
        <v>#VALUE!</v>
      </c>
      <c r="J1365" s="24" t="n">
        <f aca="true">IF(OR(E1365="",E1365="!!!",F1365="NEW"),"",COUNTBLANK(OFFSET(A$1,,,SUMPRODUCT(MAX(ROW(E$2:E1365)*(E1365=E$2:E1365)))))-COUNTBLANK(OFFSET(A$1,,,SUMPRODUCT(MAX(ROW(E$1:E1364)*(E2=E$1:E1364))))))</f>
        <v>0</v>
      </c>
      <c r="K1365" s="24" t="e">
        <f aca="false">IF(OR(E1365="",E1365="!!!",F1365="NEW"),"",INDEX(J$1:J1364,SUMPRODUCT(MAX(ROW(E$1:E1364)*(E1365=E$1:E1364)))))</f>
        <v>#VALUE!</v>
      </c>
      <c r="L1365" s="25"/>
    </row>
    <row r="1366" customFormat="false" ht="14.25" hidden="false" customHeight="false" outlineLevel="0" collapsed="false">
      <c r="A1366" s="0" t="s">
        <v>167</v>
      </c>
      <c r="E1366" s="20" t="str">
        <f aca="false">IF(D1366="?OLD","!!!","")</f>
        <v/>
      </c>
      <c r="F1366" s="21" t="str">
        <f aca="false">IF(OR(E1366="",E1366="!!!"),"",IF(NOT(ISNA(VLOOKUP(E1366,E$1:E1365,1,FALSE()))),"OLD",IF(AND(E1366&lt;&gt;"",E1366&lt;&gt;"!!!"),"NEW","")))</f>
        <v/>
      </c>
      <c r="G1366" s="22" t="str">
        <f aca="false"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aca="false">IF(J1366&lt;&gt;1,"",IF(I1366="SBJ","CB","?"))</f>
        <v/>
      </c>
      <c r="I1366" s="24" t="str">
        <f aca="false">IF(OR(E1366="",E1366="!!!",F1366="NEW"),"",INDEX(B$2:B1365,-1+SUMPRODUCT(MAX(ROW(E$2:E1365)*(E1366=E$2:E1365)))))</f>
        <v/>
      </c>
      <c r="J1366" s="24" t="str">
        <f aca="true">IF(OR(E1366="",E1366="!!!",F1366="NEW"),"",COUNTBLANK(OFFSET(A$1,,,SUMPRODUCT(MAX(ROW(E$2:E1366)*(E1366=E$2:E1366)))))-COUNTBLANK(OFFSET(A$1,,,SUMPRODUCT(MAX(ROW(E$1:E1365)*(E2=E$1:E1365))))))</f>
        <v/>
      </c>
      <c r="K1366" s="24" t="str">
        <f aca="false">IF(OR(E1366="",E1366="!!!",F1366="NEW"),"",INDEX(J$1:J1365,SUMPRODUCT(MAX(ROW(E$1:E1365)*(E1366=E$1:E1365)))))</f>
        <v/>
      </c>
      <c r="L1366" s="25"/>
    </row>
    <row r="1367" customFormat="false" ht="14.25" hidden="false" customHeight="false" outlineLevel="0" collapsed="false">
      <c r="A1367" s="0" t="s">
        <v>715</v>
      </c>
      <c r="E1367" s="20" t="str">
        <f aca="false">IF(D1367="?OLD","!!!","")</f>
        <v/>
      </c>
      <c r="F1367" s="21" t="str">
        <f aca="false">IF(OR(E1367="",E1367="!!!"),"",IF(NOT(ISNA(VLOOKUP(E1367,E$1:E1366,1,FALSE()))),"OLD",IF(AND(E1367&lt;&gt;"",E1367&lt;&gt;"!!!"),"NEW","")))</f>
        <v/>
      </c>
      <c r="G1367" s="22" t="str">
        <f aca="false"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aca="false">IF(J1367&lt;&gt;1,"",IF(I1367="SBJ","CB","?"))</f>
        <v/>
      </c>
      <c r="I1367" s="24" t="str">
        <f aca="false">IF(OR(E1367="",E1367="!!!",F1367="NEW"),"",INDEX(B$2:B1366,-1+SUMPRODUCT(MAX(ROW(E$2:E1366)*(E1367=E$2:E1366)))))</f>
        <v/>
      </c>
      <c r="J1367" s="24" t="str">
        <f aca="true">IF(OR(E1367="",E1367="!!!",F1367="NEW"),"",COUNTBLANK(OFFSET(A$1,,,SUMPRODUCT(MAX(ROW(E$2:E1367)*(E1367=E$2:E1367)))))-COUNTBLANK(OFFSET(A$1,,,SUMPRODUCT(MAX(ROW(E$1:E1366)*(E2=E$1:E1366))))))</f>
        <v/>
      </c>
      <c r="K1367" s="24" t="str">
        <f aca="false">IF(OR(E1367="",E1367="!!!",F1367="NEW"),"",INDEX(J$1:J1366,SUMPRODUCT(MAX(ROW(E$1:E1366)*(E1367=E$1:E1366)))))</f>
        <v/>
      </c>
      <c r="L1367" s="25"/>
    </row>
    <row r="1368" customFormat="false" ht="14.25" hidden="false" customHeight="false" outlineLevel="0" collapsed="false">
      <c r="A1368" s="0" t="s">
        <v>86</v>
      </c>
      <c r="E1368" s="20" t="str">
        <f aca="false">IF(D1368="?OLD","!!!","")</f>
        <v/>
      </c>
      <c r="F1368" s="21" t="str">
        <f aca="false">IF(OR(E1368="",E1368="!!!"),"",IF(NOT(ISNA(VLOOKUP(E1368,E$1:E1367,1,FALSE()))),"OLD",IF(AND(E1368&lt;&gt;"",E1368&lt;&gt;"!!!"),"NEW","")))</f>
        <v/>
      </c>
      <c r="G1368" s="22" t="str">
        <f aca="false"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aca="false">IF(J1368&lt;&gt;1,"",IF(I1368="SBJ","CB","?"))</f>
        <v/>
      </c>
      <c r="I1368" s="24" t="str">
        <f aca="false">IF(OR(E1368="",E1368="!!!",F1368="NEW"),"",INDEX(B$2:B1367,-1+SUMPRODUCT(MAX(ROW(E$2:E1367)*(E1368=E$2:E1367)))))</f>
        <v/>
      </c>
      <c r="J1368" s="24" t="str">
        <f aca="true">IF(OR(E1368="",E1368="!!!",F1368="NEW"),"",COUNTBLANK(OFFSET(A$1,,,SUMPRODUCT(MAX(ROW(E$2:E1368)*(E1368=E$2:E1368)))))-COUNTBLANK(OFFSET(A$1,,,SUMPRODUCT(MAX(ROW(E$1:E1367)*(E2=E$1:E1367))))))</f>
        <v/>
      </c>
      <c r="K1368" s="24" t="str">
        <f aca="false">IF(OR(E1368="",E1368="!!!",F1368="NEW"),"",INDEX(J$1:J1367,SUMPRODUCT(MAX(ROW(E$1:E1367)*(E1368=E$1:E1367)))))</f>
        <v/>
      </c>
      <c r="L1368" s="25"/>
    </row>
    <row r="1369" customFormat="false" ht="14.25" hidden="false" customHeight="false" outlineLevel="0" collapsed="false">
      <c r="A1369" s="0" t="s">
        <v>193</v>
      </c>
      <c r="B1369" s="26" t="s">
        <v>96</v>
      </c>
      <c r="C1369" s="26" t="s">
        <v>88</v>
      </c>
      <c r="D1369" s="26" t="s">
        <v>75</v>
      </c>
      <c r="E1369" s="20" t="s">
        <v>97</v>
      </c>
      <c r="F1369" s="21" t="str">
        <f aca="false">IF(OR(E1369="",E1369="!!!"),"",IF(NOT(ISNA(VLOOKUP(E1369,E$1:E1368,1,FALSE()))),"OLD",IF(AND(E1369&lt;&gt;"",E1369&lt;&gt;"!!!"),"NEW","")))</f>
        <v>OLD</v>
      </c>
      <c r="G1369" s="22" t="str">
        <f aca="false"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?IN_FOCUS</v>
      </c>
      <c r="H1369" s="23" t="str">
        <f aca="false">IF(J1369&lt;&gt;1,"",IF(I1369="SBJ","CB","?"))</f>
        <v/>
      </c>
      <c r="I1369" s="24" t="str">
        <f aca="false">IF(OR(E1369="",E1369="!!!",F1369="NEW"),"",INDEX(B$2:B1368,-1+SUMPRODUCT(MAX(ROW(E$2:E1368)*(E1369=E$2:E1368)))))</f>
        <v>OBJ_8</v>
      </c>
      <c r="J1369" s="24" t="n">
        <f aca="true">IF(OR(E1369="",E1369="!!!",F1369="NEW"),"",COUNTBLANK(OFFSET(A$1,,,SUMPRODUCT(MAX(ROW(E$2:E1369)*(E1369=E$2:E1369)))))-COUNTBLANK(OFFSET(A$1,,,SUMPRODUCT(MAX(ROW(E$1:E1368)*(E2=E$1:E1368))))))</f>
        <v>0</v>
      </c>
      <c r="K1369" s="24" t="n">
        <f aca="false">IF(OR(E1369="",E1369="!!!",F1369="NEW"),"",INDEX(J$1:J1368,SUMPRODUCT(MAX(ROW(E$1:E1368)*(E1369=E$1:E1368)))))</f>
        <v>0</v>
      </c>
      <c r="L1369" s="25"/>
    </row>
    <row r="1370" customFormat="false" ht="14.25" hidden="false" customHeight="false" outlineLevel="0" collapsed="false">
      <c r="A1370" s="0" t="s">
        <v>865</v>
      </c>
      <c r="E1370" s="20" t="str">
        <f aca="false">IF(D1370="?OLD","!!!","")</f>
        <v/>
      </c>
      <c r="F1370" s="21" t="str">
        <f aca="false">IF(OR(E1370="",E1370="!!!"),"",IF(NOT(ISNA(VLOOKUP(E1370,E$1:E1369,1,FALSE()))),"OLD",IF(AND(E1370&lt;&gt;"",E1370&lt;&gt;"!!!"),"NEW","")))</f>
        <v/>
      </c>
      <c r="G1370" s="22" t="str">
        <f aca="false"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aca="false">IF(J1370&lt;&gt;1,"",IF(I1370="SBJ","CB","?"))</f>
        <v/>
      </c>
      <c r="I1370" s="24" t="str">
        <f aca="false">IF(OR(E1370="",E1370="!!!",F1370="NEW"),"",INDEX(B$2:B1369,-1+SUMPRODUCT(MAX(ROW(E$2:E1369)*(E1370=E$2:E1369)))))</f>
        <v/>
      </c>
      <c r="J1370" s="24" t="str">
        <f aca="true">IF(OR(E1370="",E1370="!!!",F1370="NEW"),"",COUNTBLANK(OFFSET(A$1,,,SUMPRODUCT(MAX(ROW(E$2:E1370)*(E1370=E$2:E1370)))))-COUNTBLANK(OFFSET(A$1,,,SUMPRODUCT(MAX(ROW(E$1:E1369)*(E2=E$1:E1369))))))</f>
        <v/>
      </c>
      <c r="K1370" s="24" t="str">
        <f aca="false">IF(OR(E1370="",E1370="!!!",F1370="NEW"),"",INDEX(J$1:J1369,SUMPRODUCT(MAX(ROW(E$1:E1369)*(E1370=E$1:E1369)))))</f>
        <v/>
      </c>
      <c r="L1370" s="25"/>
    </row>
    <row r="1371" customFormat="false" ht="14.25" hidden="false" customHeight="false" outlineLevel="0" collapsed="false">
      <c r="A1371" s="0" t="s">
        <v>301</v>
      </c>
      <c r="E1371" s="20" t="s">
        <v>301</v>
      </c>
      <c r="F1371" s="21" t="s">
        <v>98</v>
      </c>
      <c r="G1371" s="22" t="e">
        <f aca="false"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#VALUE!</v>
      </c>
      <c r="H1371" s="23" t="str">
        <f aca="false">IF(J1371&lt;&gt;1,"",IF(I1371="SBJ","CB","?"))</f>
        <v/>
      </c>
      <c r="I1371" s="24" t="e">
        <f aca="false">IF(OR(E1371="",E1371="!!!",F1371="NEW"),"",INDEX(B$2:B1370,-1+SUMPRODUCT(MAX(ROW(E$2:E1370)*(E1371=E$2:E1370)))))</f>
        <v>#VALUE!</v>
      </c>
      <c r="J1371" s="24" t="n">
        <f aca="true">IF(OR(E1371="",E1371="!!!",F1371="NEW"),"",COUNTBLANK(OFFSET(A$1,,,SUMPRODUCT(MAX(ROW(E$2:E1371)*(E1371=E$2:E1371)))))-COUNTBLANK(OFFSET(A$1,,,SUMPRODUCT(MAX(ROW(E$1:E1370)*(E2=E$1:E1370))))))</f>
        <v>0</v>
      </c>
      <c r="K1371" s="24" t="e">
        <f aca="false">IF(OR(E1371="",E1371="!!!",F1371="NEW"),"",INDEX(J$1:J1370,SUMPRODUCT(MAX(ROW(E$1:E1370)*(E1371=E$1:E1370)))))</f>
        <v>#VALUE!</v>
      </c>
      <c r="L1371" s="27" t="s">
        <v>866</v>
      </c>
    </row>
    <row r="1372" customFormat="false" ht="14.25" hidden="false" customHeight="false" outlineLevel="0" collapsed="false">
      <c r="A1372" s="0" t="s">
        <v>445</v>
      </c>
      <c r="E1372" s="20" t="str">
        <f aca="false">IF(D1372="?OLD","!!!","")</f>
        <v/>
      </c>
      <c r="F1372" s="21" t="str">
        <f aca="false">IF(OR(E1372="",E1372="!!!"),"",IF(NOT(ISNA(VLOOKUP(E1372,E$1:E1371,1,FALSE()))),"OLD",IF(AND(E1372&lt;&gt;"",E1372&lt;&gt;"!!!"),"NEW","")))</f>
        <v/>
      </c>
      <c r="G1372" s="22" t="str">
        <f aca="false"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aca="false">IF(J1372&lt;&gt;1,"",IF(I1372="SBJ","CB","?"))</f>
        <v/>
      </c>
      <c r="I1372" s="24" t="str">
        <f aca="false">IF(OR(E1372="",E1372="!!!",F1372="NEW"),"",INDEX(B$2:B1371,-1+SUMPRODUCT(MAX(ROW(E$2:E1371)*(E1372=E$2:E1371)))))</f>
        <v/>
      </c>
      <c r="J1372" s="24" t="str">
        <f aca="true">IF(OR(E1372="",E1372="!!!",F1372="NEW"),"",COUNTBLANK(OFFSET(A$1,,,SUMPRODUCT(MAX(ROW(E$2:E1372)*(E1372=E$2:E1372)))))-COUNTBLANK(OFFSET(A$1,,,SUMPRODUCT(MAX(ROW(E$1:E1371)*(E2=E$1:E1371))))))</f>
        <v/>
      </c>
      <c r="K1372" s="24" t="str">
        <f aca="false">IF(OR(E1372="",E1372="!!!",F1372="NEW"),"",INDEX(J$1:J1371,SUMPRODUCT(MAX(ROW(E$1:E1371)*(E1372=E$1:E1371)))))</f>
        <v/>
      </c>
      <c r="L1372" s="25"/>
    </row>
    <row r="1373" customFormat="false" ht="14.25" hidden="false" customHeight="false" outlineLevel="0" collapsed="false">
      <c r="A1373" s="0" t="s">
        <v>116</v>
      </c>
      <c r="E1373" s="20" t="str">
        <f aca="false">IF(D1373="?OLD","!!!","")</f>
        <v/>
      </c>
      <c r="F1373" s="21" t="str">
        <f aca="false">IF(OR(E1373="",E1373="!!!"),"",IF(NOT(ISNA(VLOOKUP(E1373,E$1:E1372,1,FALSE()))),"OLD",IF(AND(E1373&lt;&gt;"",E1373&lt;&gt;"!!!"),"NEW","")))</f>
        <v/>
      </c>
      <c r="G1373" s="22" t="str">
        <f aca="false"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aca="false">IF(J1373&lt;&gt;1,"",IF(I1373="SBJ","CB","?"))</f>
        <v/>
      </c>
      <c r="I1373" s="24" t="str">
        <f aca="false">IF(OR(E1373="",E1373="!!!",F1373="NEW"),"",INDEX(B$2:B1372,-1+SUMPRODUCT(MAX(ROW(E$2:E1372)*(E1373=E$2:E1372)))))</f>
        <v/>
      </c>
      <c r="J1373" s="24" t="str">
        <f aca="true">IF(OR(E1373="",E1373="!!!",F1373="NEW"),"",COUNTBLANK(OFFSET(A$1,,,SUMPRODUCT(MAX(ROW(E$2:E1373)*(E1373=E$2:E1373)))))-COUNTBLANK(OFFSET(A$1,,,SUMPRODUCT(MAX(ROW(E$1:E1372)*(E2=E$1:E1372))))))</f>
        <v/>
      </c>
      <c r="K1373" s="24" t="str">
        <f aca="false">IF(OR(E1373="",E1373="!!!",F1373="NEW"),"",INDEX(J$1:J1372,SUMPRODUCT(MAX(ROW(E$1:E1372)*(E1373=E$1:E1372)))))</f>
        <v/>
      </c>
      <c r="L1373" s="25"/>
    </row>
    <row r="1374" customFormat="false" ht="14.25" hidden="false" customHeight="false" outlineLevel="0" collapsed="false">
      <c r="A1374" s="0" t="s">
        <v>405</v>
      </c>
      <c r="E1374" s="20" t="str">
        <f aca="false">IF(D1374="?OLD","!!!","")</f>
        <v/>
      </c>
      <c r="F1374" s="21" t="str">
        <f aca="false">IF(OR(E1374="",E1374="!!!"),"",IF(NOT(ISNA(VLOOKUP(E1374,E$1:E1373,1,FALSE()))),"OLD",IF(AND(E1374&lt;&gt;"",E1374&lt;&gt;"!!!"),"NEW","")))</f>
        <v/>
      </c>
      <c r="G1374" s="22" t="str">
        <f aca="false"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aca="false">IF(J1374&lt;&gt;1,"",IF(I1374="SBJ","CB","?"))</f>
        <v/>
      </c>
      <c r="I1374" s="24" t="str">
        <f aca="false">IF(OR(E1374="",E1374="!!!",F1374="NEW"),"",INDEX(B$2:B1373,-1+SUMPRODUCT(MAX(ROW(E$2:E1373)*(E1374=E$2:E1373)))))</f>
        <v/>
      </c>
      <c r="J1374" s="24" t="str">
        <f aca="true">IF(OR(E1374="",E1374="!!!",F1374="NEW"),"",COUNTBLANK(OFFSET(A$1,,,SUMPRODUCT(MAX(ROW(E$2:E1374)*(E1374=E$2:E1374)))))-COUNTBLANK(OFFSET(A$1,,,SUMPRODUCT(MAX(ROW(E$1:E1373)*(E2=E$1:E1373))))))</f>
        <v/>
      </c>
      <c r="K1374" s="24" t="str">
        <f aca="false">IF(OR(E1374="",E1374="!!!",F1374="NEW"),"",INDEX(J$1:J1373,SUMPRODUCT(MAX(ROW(E$1:E1373)*(E1374=E$1:E1373)))))</f>
        <v/>
      </c>
      <c r="L1374" s="25"/>
    </row>
    <row r="1375" customFormat="false" ht="14.25" hidden="false" customHeight="false" outlineLevel="0" collapsed="false">
      <c r="A1375" s="0" t="s">
        <v>867</v>
      </c>
      <c r="B1375" s="26" t="s">
        <v>82</v>
      </c>
      <c r="C1375" s="26" t="s">
        <v>105</v>
      </c>
      <c r="E1375" s="20" t="str">
        <f aca="false">IF(D1375="?OLD","!!!","")</f>
        <v/>
      </c>
      <c r="F1375" s="21" t="str">
        <f aca="false">IF(OR(E1375="",E1375="!!!"),"",IF(NOT(ISNA(VLOOKUP(E1375,E$1:E1374,1,FALSE()))),"OLD",IF(AND(E1375&lt;&gt;"",E1375&lt;&gt;"!!!"),"NEW","")))</f>
        <v/>
      </c>
      <c r="G1375" s="22" t="str">
        <f aca="false"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aca="false">IF(J1375&lt;&gt;1,"",IF(I1375="SBJ","CB","?"))</f>
        <v/>
      </c>
      <c r="I1375" s="24" t="str">
        <f aca="false">IF(OR(E1375="",E1375="!!!",F1375="NEW"),"",INDEX(B$2:B1374,-1+SUMPRODUCT(MAX(ROW(E$2:E1374)*(E1375=E$2:E1374)))))</f>
        <v/>
      </c>
      <c r="J1375" s="24" t="str">
        <f aca="true">IF(OR(E1375="",E1375="!!!",F1375="NEW"),"",COUNTBLANK(OFFSET(A$1,,,SUMPRODUCT(MAX(ROW(E$2:E1375)*(E1375=E$2:E1375)))))-COUNTBLANK(OFFSET(A$1,,,SUMPRODUCT(MAX(ROW(E$1:E1374)*(E2=E$1:E1374))))))</f>
        <v/>
      </c>
      <c r="K1375" s="24" t="str">
        <f aca="false">IF(OR(E1375="",E1375="!!!",F1375="NEW"),"",INDEX(J$1:J1374,SUMPRODUCT(MAX(ROW(E$1:E1374)*(E1375=E$1:E1374)))))</f>
        <v/>
      </c>
      <c r="L1375" s="25"/>
    </row>
    <row r="1376" customFormat="false" ht="14.25" hidden="false" customHeight="false" outlineLevel="0" collapsed="false">
      <c r="A1376" s="0" t="s">
        <v>86</v>
      </c>
      <c r="E1376" s="20" t="str">
        <f aca="false">IF(D1376="?OLD","!!!","")</f>
        <v/>
      </c>
      <c r="F1376" s="21" t="str">
        <f aca="false">IF(OR(E1376="",E1376="!!!"),"",IF(NOT(ISNA(VLOOKUP(E1376,E$1:E1375,1,FALSE()))),"OLD",IF(AND(E1376&lt;&gt;"",E1376&lt;&gt;"!!!"),"NEW","")))</f>
        <v/>
      </c>
      <c r="G1376" s="22" t="str">
        <f aca="false"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aca="false">IF(J1376&lt;&gt;1,"",IF(I1376="SBJ","CB","?"))</f>
        <v/>
      </c>
      <c r="I1376" s="24" t="str">
        <f aca="false">IF(OR(E1376="",E1376="!!!",F1376="NEW"),"",INDEX(B$2:B1375,-1+SUMPRODUCT(MAX(ROW(E$2:E1375)*(E1376=E$2:E1375)))))</f>
        <v/>
      </c>
      <c r="J1376" s="24" t="str">
        <f aca="true">IF(OR(E1376="",E1376="!!!",F1376="NEW"),"",COUNTBLANK(OFFSET(A$1,,,SUMPRODUCT(MAX(ROW(E$2:E1376)*(E1376=E$2:E1376)))))-COUNTBLANK(OFFSET(A$1,,,SUMPRODUCT(MAX(ROW(E$1:E1375)*(E2=E$1:E1375))))))</f>
        <v/>
      </c>
      <c r="K1376" s="24" t="str">
        <f aca="false">IF(OR(E1376="",E1376="!!!",F1376="NEW"),"",INDEX(J$1:J1375,SUMPRODUCT(MAX(ROW(E$1:E1375)*(E1376=E$1:E1375)))))</f>
        <v/>
      </c>
      <c r="L1376" s="25"/>
    </row>
    <row r="1377" customFormat="false" ht="14.25" hidden="false" customHeight="false" outlineLevel="0" collapsed="false">
      <c r="A1377" s="0" t="s">
        <v>322</v>
      </c>
      <c r="E1377" s="20" t="str">
        <f aca="false">IF(D1377="?OLD","!!!","")</f>
        <v/>
      </c>
      <c r="F1377" s="21" t="str">
        <f aca="false">IF(OR(E1377="",E1377="!!!"),"",IF(NOT(ISNA(VLOOKUP(E1377,E$1:E1376,1,FALSE()))),"OLD",IF(AND(E1377&lt;&gt;"",E1377&lt;&gt;"!!!"),"NEW","")))</f>
        <v/>
      </c>
      <c r="G1377" s="22" t="str">
        <f aca="false"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aca="false">IF(J1377&lt;&gt;1,"",IF(I1377="SBJ","CB","?"))</f>
        <v/>
      </c>
      <c r="I1377" s="24" t="str">
        <f aca="false">IF(OR(E1377="",E1377="!!!",F1377="NEW"),"",INDEX(B$2:B1376,-1+SUMPRODUCT(MAX(ROW(E$2:E1376)*(E1377=E$2:E1376)))))</f>
        <v/>
      </c>
      <c r="J1377" s="24" t="str">
        <f aca="true">IF(OR(E1377="",E1377="!!!",F1377="NEW"),"",COUNTBLANK(OFFSET(A$1,,,SUMPRODUCT(MAX(ROW(E$2:E1377)*(E1377=E$2:E1377)))))-COUNTBLANK(OFFSET(A$1,,,SUMPRODUCT(MAX(ROW(E$1:E1376)*(E2=E$1:E1376))))))</f>
        <v/>
      </c>
      <c r="K1377" s="24" t="str">
        <f aca="false">IF(OR(E1377="",E1377="!!!",F1377="NEW"),"",INDEX(J$1:J1376,SUMPRODUCT(MAX(ROW(E$1:E1376)*(E1377=E$1:E1376)))))</f>
        <v/>
      </c>
      <c r="L1377" s="25"/>
    </row>
    <row r="1378" customFormat="false" ht="14.25" hidden="false" customHeight="false" outlineLevel="0" collapsed="false">
      <c r="A1378" s="0" t="s">
        <v>723</v>
      </c>
      <c r="E1378" s="20" t="str">
        <f aca="false">IF(D1378="?OLD","!!!","")</f>
        <v/>
      </c>
      <c r="F1378" s="21" t="str">
        <f aca="false">IF(OR(E1378="",E1378="!!!"),"",IF(NOT(ISNA(VLOOKUP(E1378,E$1:E1377,1,FALSE()))),"OLD",IF(AND(E1378&lt;&gt;"",E1378&lt;&gt;"!!!"),"NEW","")))</f>
        <v/>
      </c>
      <c r="G1378" s="22" t="str">
        <f aca="false"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3" t="str">
        <f aca="false">IF(J1378&lt;&gt;1,"",IF(I1378="SBJ","CB","?"))</f>
        <v/>
      </c>
      <c r="I1378" s="24" t="str">
        <f aca="false">IF(OR(E1378="",E1378="!!!",F1378="NEW"),"",INDEX(B$2:B1377,-1+SUMPRODUCT(MAX(ROW(E$2:E1377)*(E1378=E$2:E1377)))))</f>
        <v/>
      </c>
      <c r="J1378" s="24" t="str">
        <f aca="true">IF(OR(E1378="",E1378="!!!",F1378="NEW"),"",COUNTBLANK(OFFSET(A$1,,,SUMPRODUCT(MAX(ROW(E$2:E1378)*(E1378=E$2:E1378)))))-COUNTBLANK(OFFSET(A$1,,,SUMPRODUCT(MAX(ROW(E$1:E1377)*(E2=E$1:E1377))))))</f>
        <v/>
      </c>
      <c r="K1378" s="24" t="str">
        <f aca="false">IF(OR(E1378="",E1378="!!!",F1378="NEW"),"",INDEX(J$1:J1377,SUMPRODUCT(MAX(ROW(E$1:E1377)*(E1378=E$1:E1377)))))</f>
        <v/>
      </c>
      <c r="L1378" s="25"/>
    </row>
    <row r="1379" customFormat="false" ht="14.25" hidden="false" customHeight="false" outlineLevel="0" collapsed="false">
      <c r="A1379" s="0" t="s">
        <v>103</v>
      </c>
      <c r="B1379" s="26" t="s">
        <v>96</v>
      </c>
      <c r="C1379" s="26" t="s">
        <v>105</v>
      </c>
      <c r="E1379" s="20" t="s">
        <v>185</v>
      </c>
      <c r="F1379" s="21" t="str">
        <f aca="false">IF(OR(E1379="",E1379="!!!"),"",IF(NOT(ISNA(VLOOKUP(E1379,E$1:E1378,1,FALSE()))),"OLD",IF(AND(E1379&lt;&gt;"",E1379&lt;&gt;"!!!"),"NEW","")))</f>
        <v>OLD</v>
      </c>
      <c r="G1379" s="22" t="str">
        <f aca="false"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?IN_FOCUS</v>
      </c>
      <c r="H1379" s="23" t="str">
        <f aca="false">IF(J1379&lt;&gt;1,"",IF(I1379="SBJ","CB","?"))</f>
        <v/>
      </c>
      <c r="I1379" s="24" t="str">
        <f aca="false">IF(OR(E1379="",E1379="!!!",F1379="NEW"),"",INDEX(B$2:B1378,-1+SUMPRODUCT(MAX(ROW(E$2:E1378)*(E1379=E$2:E1378)))))</f>
        <v>SBJ_3</v>
      </c>
      <c r="J1379" s="24" t="n">
        <f aca="true">IF(OR(E1379="",E1379="!!!",F1379="NEW"),"",COUNTBLANK(OFFSET(A$1,,,SUMPRODUCT(MAX(ROW(E$2:E1379)*(E1379=E$2:E1379)))))-COUNTBLANK(OFFSET(A$1,,,SUMPRODUCT(MAX(ROW(E$1:E1378)*(E2=E$1:E1378))))))</f>
        <v>0</v>
      </c>
      <c r="K1379" s="24" t="n">
        <f aca="false">IF(OR(E1379="",E1379="!!!",F1379="NEW"),"",INDEX(J$1:J1378,SUMPRODUCT(MAX(ROW(E$1:E1378)*(E1379=E$1:E1378)))))</f>
        <v>0</v>
      </c>
      <c r="L1379" s="25"/>
    </row>
    <row r="1380" customFormat="false" ht="14.25" hidden="false" customHeight="false" outlineLevel="0" collapsed="false">
      <c r="A1380" s="0" t="s">
        <v>167</v>
      </c>
      <c r="E1380" s="20" t="str">
        <f aca="false">IF(D1380="?OLD","!!!","")</f>
        <v/>
      </c>
      <c r="F1380" s="21" t="str">
        <f aca="false">IF(OR(E1380="",E1380="!!!"),"",IF(NOT(ISNA(VLOOKUP(E1380,E$1:E1379,1,FALSE()))),"OLD",IF(AND(E1380&lt;&gt;"",E1380&lt;&gt;"!!!"),"NEW","")))</f>
        <v/>
      </c>
      <c r="G1380" s="22" t="str">
        <f aca="false"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aca="false">IF(J1380&lt;&gt;1,"",IF(I1380="SBJ","CB","?"))</f>
        <v/>
      </c>
      <c r="I1380" s="24" t="str">
        <f aca="false">IF(OR(E1380="",E1380="!!!",F1380="NEW"),"",INDEX(B$2:B1379,-1+SUMPRODUCT(MAX(ROW(E$2:E1379)*(E1380=E$2:E1379)))))</f>
        <v/>
      </c>
      <c r="J1380" s="24" t="str">
        <f aca="true">IF(OR(E1380="",E1380="!!!",F1380="NEW"),"",COUNTBLANK(OFFSET(A$1,,,SUMPRODUCT(MAX(ROW(E$2:E1380)*(E1380=E$2:E1380)))))-COUNTBLANK(OFFSET(A$1,,,SUMPRODUCT(MAX(ROW(E$1:E1379)*(E2=E$1:E1379))))))</f>
        <v/>
      </c>
      <c r="K1380" s="24" t="str">
        <f aca="false">IF(OR(E1380="",E1380="!!!",F1380="NEW"),"",INDEX(J$1:J1379,SUMPRODUCT(MAX(ROW(E$1:E1379)*(E1380=E$1:E1379)))))</f>
        <v/>
      </c>
      <c r="L1380" s="25"/>
    </row>
    <row r="1381" customFormat="false" ht="14.25" hidden="false" customHeight="false" outlineLevel="0" collapsed="false">
      <c r="A1381" s="0" t="s">
        <v>112</v>
      </c>
      <c r="E1381" s="20" t="str">
        <f aca="false">IF(D1381="?OLD","!!!","")</f>
        <v/>
      </c>
      <c r="F1381" s="21" t="str">
        <f aca="false">IF(OR(E1381="",E1381="!!!"),"",IF(NOT(ISNA(VLOOKUP(E1381,E$1:E1380,1,FALSE()))),"OLD",IF(AND(E1381&lt;&gt;"",E1381&lt;&gt;"!!!"),"NEW","")))</f>
        <v/>
      </c>
      <c r="G1381" s="22" t="str">
        <f aca="false"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aca="false">IF(J1381&lt;&gt;1,"",IF(I1381="SBJ","CB","?"))</f>
        <v/>
      </c>
      <c r="I1381" s="24" t="str">
        <f aca="false">IF(OR(E1381="",E1381="!!!",F1381="NEW"),"",INDEX(B$2:B1380,-1+SUMPRODUCT(MAX(ROW(E$2:E1380)*(E1381=E$2:E1380)))))</f>
        <v/>
      </c>
      <c r="J1381" s="24" t="str">
        <f aca="true">IF(OR(E1381="",E1381="!!!",F1381="NEW"),"",COUNTBLANK(OFFSET(A$1,,,SUMPRODUCT(MAX(ROW(E$2:E1381)*(E1381=E$2:E1381)))))-COUNTBLANK(OFFSET(A$1,,,SUMPRODUCT(MAX(ROW(E$1:E1380)*(E2=E$1:E1380))))))</f>
        <v/>
      </c>
      <c r="K1381" s="24" t="str">
        <f aca="false">IF(OR(E1381="",E1381="!!!",F1381="NEW"),"",INDEX(J$1:J1380,SUMPRODUCT(MAX(ROW(E$1:E1380)*(E1381=E$1:E1380)))))</f>
        <v/>
      </c>
      <c r="L1381" s="25"/>
    </row>
    <row r="1382" customFormat="false" ht="14.25" hidden="false" customHeight="false" outlineLevel="0" collapsed="false">
      <c r="A1382" s="0" t="s">
        <v>868</v>
      </c>
      <c r="B1382" s="26" t="s">
        <v>131</v>
      </c>
      <c r="C1382" s="26" t="s">
        <v>74</v>
      </c>
      <c r="D1382" s="26" t="s">
        <v>75</v>
      </c>
      <c r="E1382" s="20"/>
      <c r="F1382" s="21" t="s">
        <v>139</v>
      </c>
      <c r="G1382" s="22" t="str">
        <f aca="false"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3" t="str">
        <f aca="false">IF(J1382&lt;&gt;1,"",IF(I1382="SBJ","CB","?"))</f>
        <v/>
      </c>
      <c r="I1382" s="24" t="str">
        <f aca="false">IF(OR(E1382="",E1382="!!!",F1382="NEW"),"",INDEX(B$2:B1381,-1+SUMPRODUCT(MAX(ROW(E$2:E1381)*(E1382=E$2:E1381)))))</f>
        <v/>
      </c>
      <c r="J1382" s="24" t="str">
        <f aca="true">IF(OR(E1382="",E1382="!!!",F1382="NEW"),"",COUNTBLANK(OFFSET(A$1,,,SUMPRODUCT(MAX(ROW(E$2:E1382)*(E1382=E$2:E1382)))))-COUNTBLANK(OFFSET(A$1,,,SUMPRODUCT(MAX(ROW(E$1:E1381)*(E2=E$1:E1381))))))</f>
        <v/>
      </c>
      <c r="K1382" s="24" t="str">
        <f aca="false">IF(OR(E1382="",E1382="!!!",F1382="NEW"),"",INDEX(J$1:J1381,SUMPRODUCT(MAX(ROW(E$1:E1381)*(E1382=E$1:E1381)))))</f>
        <v/>
      </c>
      <c r="L1382" s="25"/>
    </row>
    <row r="1383" customFormat="false" ht="14.25" hidden="false" customHeight="false" outlineLevel="0" collapsed="false">
      <c r="A1383" s="0" t="s">
        <v>259</v>
      </c>
      <c r="E1383" s="20" t="str">
        <f aca="false">IF(D1383="?OLD","!!!","")</f>
        <v/>
      </c>
      <c r="F1383" s="21" t="str">
        <f aca="false">IF(OR(E1383="",E1383="!!!"),"",IF(NOT(ISNA(VLOOKUP(E1383,E$1:E1382,1,FALSE()))),"OLD",IF(AND(E1383&lt;&gt;"",E1383&lt;&gt;"!!!"),"NEW","")))</f>
        <v/>
      </c>
      <c r="G1383" s="22" t="str">
        <f aca="false"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aca="false">IF(J1383&lt;&gt;1,"",IF(I1383="SBJ","CB","?"))</f>
        <v/>
      </c>
      <c r="I1383" s="24" t="str">
        <f aca="false">IF(OR(E1383="",E1383="!!!",F1383="NEW"),"",INDEX(B$2:B1382,-1+SUMPRODUCT(MAX(ROW(E$2:E1382)*(E1383=E$2:E1382)))))</f>
        <v/>
      </c>
      <c r="J1383" s="24" t="str">
        <f aca="true">IF(OR(E1383="",E1383="!!!",F1383="NEW"),"",COUNTBLANK(OFFSET(A$1,,,SUMPRODUCT(MAX(ROW(E$2:E1383)*(E1383=E$2:E1383)))))-COUNTBLANK(OFFSET(A$1,,,SUMPRODUCT(MAX(ROW(E$1:E1382)*(E2=E$1:E1382))))))</f>
        <v/>
      </c>
      <c r="K1383" s="24" t="str">
        <f aca="false">IF(OR(E1383="",E1383="!!!",F1383="NEW"),"",INDEX(J$1:J1382,SUMPRODUCT(MAX(ROW(E$1:E1382)*(E1383=E$1:E1382)))))</f>
        <v/>
      </c>
      <c r="L1383" s="25"/>
    </row>
    <row r="1384" customFormat="false" ht="14.25" hidden="false" customHeight="false" outlineLevel="0" collapsed="false">
      <c r="A1384" s="0" t="s">
        <v>126</v>
      </c>
      <c r="B1384" s="26" t="s">
        <v>82</v>
      </c>
      <c r="C1384" s="26" t="s">
        <v>105</v>
      </c>
      <c r="E1384" s="20"/>
      <c r="F1384" s="21" t="str">
        <f aca="false">IF(OR(E1384="",E1384="!!!"),"",IF(NOT(ISNA(VLOOKUP(E1384,E$1:E1383,1,FALSE()))),"OLD",IF(AND(E1384&lt;&gt;"",E1384&lt;&gt;"!!!"),"NEW","")))</f>
        <v/>
      </c>
      <c r="G1384" s="22" t="str">
        <f aca="false"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3" t="str">
        <f aca="false">IF(J1384&lt;&gt;1,"",IF(I1384="SBJ","CB","?"))</f>
        <v/>
      </c>
      <c r="I1384" s="24" t="str">
        <f aca="false">IF(OR(E1384="",E1384="!!!",F1384="NEW"),"",INDEX(B$2:B1383,-1+SUMPRODUCT(MAX(ROW(E$2:E1383)*(E1384=E$2:E1383)))))</f>
        <v/>
      </c>
      <c r="J1384" s="24" t="str">
        <f aca="true">IF(OR(E1384="",E1384="!!!",F1384="NEW"),"",COUNTBLANK(OFFSET(A$1,,,SUMPRODUCT(MAX(ROW(E$2:E1384)*(E1384=E$2:E1384)))))-COUNTBLANK(OFFSET(A$1,,,SUMPRODUCT(MAX(ROW(E$1:E1383)*(E2=E$1:E1383))))))</f>
        <v/>
      </c>
      <c r="K1384" s="24" t="str">
        <f aca="false">IF(OR(E1384="",E1384="!!!",F1384="NEW"),"",INDEX(J$1:J1383,SUMPRODUCT(MAX(ROW(E$1:E1383)*(E1384=E$1:E1383)))))</f>
        <v/>
      </c>
      <c r="L1384" s="25"/>
    </row>
    <row r="1385" customFormat="false" ht="14.25" hidden="false" customHeight="false" outlineLevel="0" collapsed="false">
      <c r="A1385" s="0" t="s">
        <v>86</v>
      </c>
      <c r="E1385" s="20" t="str">
        <f aca="false">IF(D1385="?OLD","!!!","")</f>
        <v/>
      </c>
      <c r="F1385" s="21" t="str">
        <f aca="false">IF(OR(E1385="",E1385="!!!"),"",IF(NOT(ISNA(VLOOKUP(E1385,E$1:E1384,1,FALSE()))),"OLD",IF(AND(E1385&lt;&gt;"",E1385&lt;&gt;"!!!"),"NEW","")))</f>
        <v/>
      </c>
      <c r="G1385" s="22" t="str">
        <f aca="false"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aca="false">IF(J1385&lt;&gt;1,"",IF(I1385="SBJ","CB","?"))</f>
        <v/>
      </c>
      <c r="I1385" s="24" t="str">
        <f aca="false">IF(OR(E1385="",E1385="!!!",F1385="NEW"),"",INDEX(B$2:B1384,-1+SUMPRODUCT(MAX(ROW(E$2:E1384)*(E1385=E$2:E1384)))))</f>
        <v/>
      </c>
      <c r="J1385" s="24" t="str">
        <f aca="true">IF(OR(E1385="",E1385="!!!",F1385="NEW"),"",COUNTBLANK(OFFSET(A$1,,,SUMPRODUCT(MAX(ROW(E$2:E1385)*(E1385=E$2:E1385)))))-COUNTBLANK(OFFSET(A$1,,,SUMPRODUCT(MAX(ROW(E$1:E1384)*(E2=E$1:E1384))))))</f>
        <v/>
      </c>
      <c r="K1385" s="24" t="str">
        <f aca="false">IF(OR(E1385="",E1385="!!!",F1385="NEW"),"",INDEX(J$1:J1384,SUMPRODUCT(MAX(ROW(E$1:E1384)*(E1385=E$1:E1384)))))</f>
        <v/>
      </c>
      <c r="L1385" s="25"/>
    </row>
    <row r="1386" customFormat="false" ht="14.25" hidden="false" customHeight="false" outlineLevel="0" collapsed="false">
      <c r="A1386" s="0" t="s">
        <v>602</v>
      </c>
      <c r="B1386" s="26" t="s">
        <v>96</v>
      </c>
      <c r="C1386" s="26" t="s">
        <v>603</v>
      </c>
      <c r="E1386" s="20" t="str">
        <f aca="false">IF(D1386="?OLD","!!!","")</f>
        <v/>
      </c>
      <c r="F1386" s="21" t="str">
        <f aca="false">IF(OR(E1386="",E1386="!!!"),"",IF(NOT(ISNA(VLOOKUP(E1386,E$1:E1385,1,FALSE()))),"OLD",IF(AND(E1386&lt;&gt;"",E1386&lt;&gt;"!!!"),"NEW","")))</f>
        <v/>
      </c>
      <c r="G1386" s="22" t="str">
        <f aca="false"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aca="false">IF(J1386&lt;&gt;1,"",IF(I1386="SBJ","CB","?"))</f>
        <v/>
      </c>
      <c r="I1386" s="24" t="str">
        <f aca="false">IF(OR(E1386="",E1386="!!!",F1386="NEW"),"",INDEX(B$2:B1385,-1+SUMPRODUCT(MAX(ROW(E$2:E1385)*(E1386=E$2:E1385)))))</f>
        <v/>
      </c>
      <c r="J1386" s="24" t="str">
        <f aca="true">IF(OR(E1386="",E1386="!!!",F1386="NEW"),"",COUNTBLANK(OFFSET(A$1,,,SUMPRODUCT(MAX(ROW(E$2:E1386)*(E1386=E$2:E1386)))))-COUNTBLANK(OFFSET(A$1,,,SUMPRODUCT(MAX(ROW(E$1:E1385)*(E2=E$1:E1385))))))</f>
        <v/>
      </c>
      <c r="K1386" s="24" t="str">
        <f aca="false">IF(OR(E1386="",E1386="!!!",F1386="NEW"),"",INDEX(J$1:J1385,SUMPRODUCT(MAX(ROW(E$1:E1385)*(E1386=E$1:E1385)))))</f>
        <v/>
      </c>
      <c r="L1386" s="25"/>
    </row>
    <row r="1387" customFormat="false" ht="14.25" hidden="false" customHeight="false" outlineLevel="0" collapsed="false">
      <c r="A1387" s="0" t="s">
        <v>167</v>
      </c>
      <c r="E1387" s="20" t="str">
        <f aca="false">IF(D1387="?OLD","!!!","")</f>
        <v/>
      </c>
      <c r="F1387" s="21" t="str">
        <f aca="false">IF(OR(E1387="",E1387="!!!"),"",IF(NOT(ISNA(VLOOKUP(E1387,E$1:E1386,1,FALSE()))),"OLD",IF(AND(E1387&lt;&gt;"",E1387&lt;&gt;"!!!"),"NEW","")))</f>
        <v/>
      </c>
      <c r="G1387" s="22" t="str">
        <f aca="false"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aca="false">IF(J1387&lt;&gt;1,"",IF(I1387="SBJ","CB","?"))</f>
        <v/>
      </c>
      <c r="I1387" s="24" t="str">
        <f aca="false">IF(OR(E1387="",E1387="!!!",F1387="NEW"),"",INDEX(B$2:B1386,-1+SUMPRODUCT(MAX(ROW(E$2:E1386)*(E1387=E$2:E1386)))))</f>
        <v/>
      </c>
      <c r="J1387" s="24" t="str">
        <f aca="true">IF(OR(E1387="",E1387="!!!",F1387="NEW"),"",COUNTBLANK(OFFSET(A$1,,,SUMPRODUCT(MAX(ROW(E$2:E1387)*(E1387=E$2:E1387)))))-COUNTBLANK(OFFSET(A$1,,,SUMPRODUCT(MAX(ROW(E$1:E1386)*(E2=E$1:E1386))))))</f>
        <v/>
      </c>
      <c r="K1387" s="24" t="str">
        <f aca="false">IF(OR(E1387="",E1387="!!!",F1387="NEW"),"",INDEX(J$1:J1386,SUMPRODUCT(MAX(ROW(E$1:E1386)*(E1387=E$1:E1386)))))</f>
        <v/>
      </c>
      <c r="L1387" s="25"/>
    </row>
    <row r="1388" customFormat="false" ht="14.25" hidden="false" customHeight="false" outlineLevel="0" collapsed="false">
      <c r="A1388" s="0" t="s">
        <v>254</v>
      </c>
      <c r="B1388" s="26" t="s">
        <v>96</v>
      </c>
      <c r="C1388" s="26" t="s">
        <v>209</v>
      </c>
      <c r="D1388" s="26" t="s">
        <v>75</v>
      </c>
      <c r="E1388" s="20" t="s">
        <v>185</v>
      </c>
      <c r="F1388" s="21" t="str">
        <f aca="false">IF(OR(E1388="",E1388="!!!"),"",IF(NOT(ISNA(VLOOKUP(E1388,E$1:E1387,1,FALSE()))),"OLD",IF(AND(E1388&lt;&gt;"",E1388&lt;&gt;"!!!"),"NEW","")))</f>
        <v>OLD</v>
      </c>
      <c r="G1388" s="22" t="str">
        <f aca="false"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?IN_FOCUS</v>
      </c>
      <c r="H1388" s="23" t="str">
        <f aca="false">IF(J1388&lt;&gt;1,"",IF(I1388="SBJ","CB","?"))</f>
        <v/>
      </c>
      <c r="I1388" s="24" t="str">
        <f aca="false">IF(OR(E1388="",E1388="!!!",F1388="NEW"),"",INDEX(B$2:B1387,-1+SUMPRODUCT(MAX(ROW(E$2:E1387)*(E1388=E$2:E1387)))))</f>
        <v>SBJ_2</v>
      </c>
      <c r="J1388" s="24" t="n">
        <f aca="true">IF(OR(E1388="",E1388="!!!",F1388="NEW"),"",COUNTBLANK(OFFSET(A$1,,,SUMPRODUCT(MAX(ROW(E$2:E1388)*(E1388=E$2:E1388)))))-COUNTBLANK(OFFSET(A$1,,,SUMPRODUCT(MAX(ROW(E$1:E1387)*(E2=E$1:E1387))))))</f>
        <v>0</v>
      </c>
      <c r="K1388" s="24" t="n">
        <f aca="false">IF(OR(E1388="",E1388="!!!",F1388="NEW"),"",INDEX(J$1:J1387,SUMPRODUCT(MAX(ROW(E$1:E1387)*(E1388=E$1:E1387)))))</f>
        <v>0</v>
      </c>
      <c r="L1388" s="25"/>
    </row>
    <row r="1389" customFormat="false" ht="14.25" hidden="false" customHeight="false" outlineLevel="0" collapsed="false">
      <c r="A1389" s="0" t="s">
        <v>112</v>
      </c>
      <c r="E1389" s="20" t="str">
        <f aca="false">IF(D1389="?OLD","!!!","")</f>
        <v/>
      </c>
      <c r="F1389" s="21" t="str">
        <f aca="false">IF(OR(E1389="",E1389="!!!"),"",IF(NOT(ISNA(VLOOKUP(E1389,E$1:E1388,1,FALSE()))),"OLD",IF(AND(E1389&lt;&gt;"",E1389&lt;&gt;"!!!"),"NEW","")))</f>
        <v/>
      </c>
      <c r="G1389" s="22" t="str">
        <f aca="false"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aca="false">IF(J1389&lt;&gt;1,"",IF(I1389="SBJ","CB","?"))</f>
        <v/>
      </c>
      <c r="I1389" s="24" t="str">
        <f aca="false">IF(OR(E1389="",E1389="!!!",F1389="NEW"),"",INDEX(B$2:B1388,-1+SUMPRODUCT(MAX(ROW(E$2:E1388)*(E1389=E$2:E1388)))))</f>
        <v/>
      </c>
      <c r="J1389" s="24" t="str">
        <f aca="true">IF(OR(E1389="",E1389="!!!",F1389="NEW"),"",COUNTBLANK(OFFSET(A$1,,,SUMPRODUCT(MAX(ROW(E$2:E1389)*(E1389=E$2:E1389)))))-COUNTBLANK(OFFSET(A$1,,,SUMPRODUCT(MAX(ROW(E$1:E1388)*(E2=E$1:E1388))))))</f>
        <v/>
      </c>
      <c r="K1389" s="24" t="str">
        <f aca="false">IF(OR(E1389="",E1389="!!!",F1389="NEW"),"",INDEX(J$1:J1388,SUMPRODUCT(MAX(ROW(E$1:E1388)*(E1389=E$1:E1388)))))</f>
        <v/>
      </c>
      <c r="L1389" s="25"/>
    </row>
    <row r="1390" customFormat="false" ht="14.25" hidden="false" customHeight="false" outlineLevel="0" collapsed="false">
      <c r="A1390" s="0" t="s">
        <v>869</v>
      </c>
      <c r="B1390" s="26" t="s">
        <v>131</v>
      </c>
      <c r="C1390" s="26" t="s">
        <v>74</v>
      </c>
      <c r="D1390" s="26" t="s">
        <v>75</v>
      </c>
      <c r="E1390" s="20"/>
      <c r="F1390" s="21" t="s">
        <v>139</v>
      </c>
      <c r="G1390" s="22" t="str">
        <f aca="false"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3" t="str">
        <f aca="false">IF(J1390&lt;&gt;1,"",IF(I1390="SBJ","CB","?"))</f>
        <v/>
      </c>
      <c r="I1390" s="24" t="str">
        <f aca="false">IF(OR(E1390="",E1390="!!!",F1390="NEW"),"",INDEX(B$2:B1389,-1+SUMPRODUCT(MAX(ROW(E$2:E1389)*(E1390=E$2:E1389)))))</f>
        <v/>
      </c>
      <c r="J1390" s="24" t="str">
        <f aca="true">IF(OR(E1390="",E1390="!!!",F1390="NEW"),"",COUNTBLANK(OFFSET(A$1,,,SUMPRODUCT(MAX(ROW(E$2:E1390)*(E1390=E$2:E1390)))))-COUNTBLANK(OFFSET(A$1,,,SUMPRODUCT(MAX(ROW(E$1:E1389)*(E2=E$1:E1389))))))</f>
        <v/>
      </c>
      <c r="K1390" s="24" t="str">
        <f aca="false">IF(OR(E1390="",E1390="!!!",F1390="NEW"),"",INDEX(J$1:J1389,SUMPRODUCT(MAX(ROW(E$1:E1389)*(E1390=E$1:E1389)))))</f>
        <v/>
      </c>
      <c r="L1390" s="25"/>
    </row>
    <row r="1391" customFormat="false" ht="14.25" hidden="false" customHeight="false" outlineLevel="0" collapsed="false">
      <c r="A1391" s="0" t="s">
        <v>455</v>
      </c>
      <c r="E1391" s="20" t="str">
        <f aca="false">IF(D1391="?OLD","!!!","")</f>
        <v/>
      </c>
      <c r="F1391" s="21" t="str">
        <f aca="false">IF(OR(E1391="",E1391="!!!"),"",IF(NOT(ISNA(VLOOKUP(E1391,E$1:E1390,1,FALSE()))),"OLD",IF(AND(E1391&lt;&gt;"",E1391&lt;&gt;"!!!"),"NEW","")))</f>
        <v/>
      </c>
      <c r="G1391" s="22" t="str">
        <f aca="false"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aca="false">IF(J1391&lt;&gt;1,"",IF(I1391="SBJ","CB","?"))</f>
        <v/>
      </c>
      <c r="I1391" s="24" t="str">
        <f aca="false">IF(OR(E1391="",E1391="!!!",F1391="NEW"),"",INDEX(B$2:B1390,-1+SUMPRODUCT(MAX(ROW(E$2:E1390)*(E1391=E$2:E1390)))))</f>
        <v/>
      </c>
      <c r="J1391" s="24" t="str">
        <f aca="true">IF(OR(E1391="",E1391="!!!",F1391="NEW"),"",COUNTBLANK(OFFSET(A$1,,,SUMPRODUCT(MAX(ROW(E$2:E1391)*(E1391=E$2:E1391)))))-COUNTBLANK(OFFSET(A$1,,,SUMPRODUCT(MAX(ROW(E$1:E1390)*(E2=E$1:E1390))))))</f>
        <v/>
      </c>
      <c r="K1391" s="24" t="str">
        <f aca="false">IF(OR(E1391="",E1391="!!!",F1391="NEW"),"",INDEX(J$1:J1390,SUMPRODUCT(MAX(ROW(E$1:E1390)*(E1391=E$1:E1390)))))</f>
        <v/>
      </c>
      <c r="L1391" s="25"/>
    </row>
    <row r="1392" customFormat="false" ht="14.25" hidden="false" customHeight="false" outlineLevel="0" collapsed="false">
      <c r="A1392" s="0" t="s">
        <v>71</v>
      </c>
      <c r="B1392" s="26" t="s">
        <v>147</v>
      </c>
      <c r="C1392" s="26" t="s">
        <v>209</v>
      </c>
      <c r="D1392" s="26" t="s">
        <v>75</v>
      </c>
      <c r="E1392" s="20"/>
      <c r="F1392" s="21" t="str">
        <f aca="false">IF(OR(E1392="",E1392="!!!"),"",IF(NOT(ISNA(VLOOKUP(E1392,E$1:E1391,1,FALSE()))),"OLD",IF(AND(E1392&lt;&gt;"",E1392&lt;&gt;"!!!"),"NEW","")))</f>
        <v/>
      </c>
      <c r="G1392" s="22" t="str">
        <f aca="false"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3" t="str">
        <f aca="false">IF(J1392&lt;&gt;1,"",IF(I1392="SBJ","CB","?"))</f>
        <v/>
      </c>
      <c r="I1392" s="24" t="str">
        <f aca="false">IF(OR(E1392="",E1392="!!!",F1392="NEW"),"",INDEX(B$2:B1391,-1+SUMPRODUCT(MAX(ROW(E$2:E1391)*(E1392=E$2:E1391)))))</f>
        <v/>
      </c>
      <c r="J1392" s="24" t="str">
        <f aca="true">IF(OR(E1392="",E1392="!!!",F1392="NEW"),"",COUNTBLANK(OFFSET(A$1,,,SUMPRODUCT(MAX(ROW(E$2:E1392)*(E1392=E$2:E1392)))))-COUNTBLANK(OFFSET(A$1,,,SUMPRODUCT(MAX(ROW(E$1:E1391)*(E2=E$1:E1391))))))</f>
        <v/>
      </c>
      <c r="K1392" s="24" t="str">
        <f aca="false">IF(OR(E1392="",E1392="!!!",F1392="NEW"),"",INDEX(J$1:J1391,SUMPRODUCT(MAX(ROW(E$1:E1391)*(E1392=E$1:E1391)))))</f>
        <v/>
      </c>
      <c r="L1392" s="27" t="s">
        <v>134</v>
      </c>
    </row>
    <row r="1393" customFormat="false" ht="14.25" hidden="false" customHeight="false" outlineLevel="0" collapsed="false">
      <c r="A1393" s="0" t="s">
        <v>643</v>
      </c>
      <c r="B1393" s="26" t="s">
        <v>96</v>
      </c>
      <c r="C1393" s="26" t="s">
        <v>283</v>
      </c>
      <c r="D1393" s="26" t="s">
        <v>75</v>
      </c>
      <c r="E1393" s="20" t="s">
        <v>644</v>
      </c>
      <c r="F1393" s="21" t="str">
        <f aca="false">IF(OR(E1393="",E1393="!!!"),"",IF(NOT(ISNA(VLOOKUP(E1393,E$1:E1392,1,FALSE()))),"OLD",IF(AND(E1393&lt;&gt;"",E1393&lt;&gt;"!!!"),"NEW","")))</f>
        <v>OLD</v>
      </c>
      <c r="G1393" s="22" t="str">
        <f aca="false"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?IN_FOCUS</v>
      </c>
      <c r="H1393" s="23" t="str">
        <f aca="false">IF(J1393&lt;&gt;1,"",IF(I1393="SBJ","CB","?"))</f>
        <v/>
      </c>
      <c r="I1393" s="24" t="str">
        <f aca="false">IF(OR(E1393="",E1393="!!!",F1393="NEW"),"",INDEX(B$2:B1392,-1+SUMPRODUCT(MAX(ROW(E$2:E1392)*(E1393=E$2:E1392)))))</f>
        <v>SBJ_4</v>
      </c>
      <c r="J1393" s="24" t="n">
        <f aca="true">IF(OR(E1393="",E1393="!!!",F1393="NEW"),"",COUNTBLANK(OFFSET(A$1,,,SUMPRODUCT(MAX(ROW(E$2:E1393)*(E1393=E$2:E1393)))))-COUNTBLANK(OFFSET(A$1,,,SUMPRODUCT(MAX(ROW(E$1:E1392)*(E2=E$1:E1392))))))</f>
        <v>0</v>
      </c>
      <c r="K1393" s="24" t="str">
        <f aca="false">IF(OR(E1393="",E1393="!!!",F1393="NEW"),"",INDEX(J$1:J1392,SUMPRODUCT(MAX(ROW(E$1:E1392)*(E1393=E$1:E1392)))))</f>
        <v/>
      </c>
      <c r="L1393" s="25"/>
    </row>
    <row r="1394" customFormat="false" ht="14.25" hidden="false" customHeight="false" outlineLevel="0" collapsed="false">
      <c r="A1394" s="0" t="s">
        <v>78</v>
      </c>
      <c r="E1394" s="20" t="str">
        <f aca="false">IF(D1394="?OLD","!!!","")</f>
        <v/>
      </c>
      <c r="F1394" s="21" t="str">
        <f aca="false">IF(OR(E1394="",E1394="!!!"),"",IF(NOT(ISNA(VLOOKUP(E1394,E$1:E1393,1,FALSE()))),"OLD",IF(AND(E1394&lt;&gt;"",E1394&lt;&gt;"!!!"),"NEW","")))</f>
        <v/>
      </c>
      <c r="G1394" s="22" t="str">
        <f aca="false"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aca="false">IF(J1394&lt;&gt;1,"",IF(I1394="SBJ","CB","?"))</f>
        <v/>
      </c>
      <c r="I1394" s="24" t="str">
        <f aca="false">IF(OR(E1394="",E1394="!!!",F1394="NEW"),"",INDEX(B$2:B1393,-1+SUMPRODUCT(MAX(ROW(E$2:E1393)*(E1394=E$2:E1393)))))</f>
        <v/>
      </c>
      <c r="J1394" s="24" t="str">
        <f aca="true">IF(OR(E1394="",E1394="!!!",F1394="NEW"),"",COUNTBLANK(OFFSET(A$1,,,SUMPRODUCT(MAX(ROW(E$2:E1394)*(E1394=E$2:E1394)))))-COUNTBLANK(OFFSET(A$1,,,SUMPRODUCT(MAX(ROW(E$1:E1393)*(E2=E$1:E1393))))))</f>
        <v/>
      </c>
      <c r="K1394" s="24" t="str">
        <f aca="false">IF(OR(E1394="",E1394="!!!",F1394="NEW"),"",INDEX(J$1:J1393,SUMPRODUCT(MAX(ROW(E$1:E1393)*(E1394=E$1:E1393)))))</f>
        <v/>
      </c>
      <c r="L1394" s="25"/>
    </row>
    <row r="1395" customFormat="false" ht="14.25" hidden="false" customHeight="false" outlineLevel="0" collapsed="false">
      <c r="A1395" s="0" t="s">
        <v>268</v>
      </c>
      <c r="E1395" s="20" t="str">
        <f aca="false">IF(D1395="?OLD","!!!","")</f>
        <v/>
      </c>
      <c r="F1395" s="21" t="str">
        <f aca="false">IF(OR(E1395="",E1395="!!!"),"",IF(NOT(ISNA(VLOOKUP(E1395,E$1:E1394,1,FALSE()))),"OLD",IF(AND(E1395&lt;&gt;"",E1395&lt;&gt;"!!!"),"NEW","")))</f>
        <v/>
      </c>
      <c r="G1395" s="22" t="str">
        <f aca="false"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aca="false">IF(J1395&lt;&gt;1,"",IF(I1395="SBJ","CB","?"))</f>
        <v/>
      </c>
      <c r="I1395" s="24" t="str">
        <f aca="false">IF(OR(E1395="",E1395="!!!",F1395="NEW"),"",INDEX(B$2:B1394,-1+SUMPRODUCT(MAX(ROW(E$2:E1394)*(E1395=E$2:E1394)))))</f>
        <v/>
      </c>
      <c r="J1395" s="24" t="str">
        <f aca="true">IF(OR(E1395="",E1395="!!!",F1395="NEW"),"",COUNTBLANK(OFFSET(A$1,,,SUMPRODUCT(MAX(ROW(E$2:E1395)*(E1395=E$2:E1395)))))-COUNTBLANK(OFFSET(A$1,,,SUMPRODUCT(MAX(ROW(E$1:E1394)*(E2=E$1:E1394))))))</f>
        <v/>
      </c>
      <c r="K1395" s="24" t="str">
        <f aca="false">IF(OR(E1395="",E1395="!!!",F1395="NEW"),"",INDEX(J$1:J1394,SUMPRODUCT(MAX(ROW(E$1:E1394)*(E1395=E$1:E1394)))))</f>
        <v/>
      </c>
      <c r="L1395" s="25"/>
    </row>
    <row r="1396" customFormat="false" ht="14.25" hidden="false" customHeight="false" outlineLevel="0" collapsed="false">
      <c r="A1396" s="0" t="s">
        <v>766</v>
      </c>
      <c r="E1396" s="20" t="str">
        <f aca="false">IF(D1396="?OLD","!!!","")</f>
        <v/>
      </c>
      <c r="F1396" s="21" t="str">
        <f aca="false">IF(OR(E1396="",E1396="!!!"),"",IF(NOT(ISNA(VLOOKUP(E1396,E$1:E1395,1,FALSE()))),"OLD",IF(AND(E1396&lt;&gt;"",E1396&lt;&gt;"!!!"),"NEW","")))</f>
        <v/>
      </c>
      <c r="G1396" s="22" t="str">
        <f aca="false"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aca="false">IF(J1396&lt;&gt;1,"",IF(I1396="SBJ","CB","?"))</f>
        <v/>
      </c>
      <c r="I1396" s="24" t="str">
        <f aca="false">IF(OR(E1396="",E1396="!!!",F1396="NEW"),"",INDEX(B$2:B1395,-1+SUMPRODUCT(MAX(ROW(E$2:E1395)*(E1396=E$2:E1395)))))</f>
        <v/>
      </c>
      <c r="J1396" s="24" t="str">
        <f aca="true">IF(OR(E1396="",E1396="!!!",F1396="NEW"),"",COUNTBLANK(OFFSET(A$1,,,SUMPRODUCT(MAX(ROW(E$2:E1396)*(E1396=E$2:E1396)))))-COUNTBLANK(OFFSET(A$1,,,SUMPRODUCT(MAX(ROW(E$1:E1395)*(E2=E$1:E1395))))))</f>
        <v/>
      </c>
      <c r="K1396" s="24" t="str">
        <f aca="false">IF(OR(E1396="",E1396="!!!",F1396="NEW"),"",INDEX(J$1:J1395,SUMPRODUCT(MAX(ROW(E$1:E1395)*(E1396=E$1:E1395)))))</f>
        <v/>
      </c>
      <c r="L1396" s="25"/>
    </row>
    <row r="1397" customFormat="false" ht="14.25" hidden="false" customHeight="false" outlineLevel="0" collapsed="false">
      <c r="A1397" s="0" t="s">
        <v>172</v>
      </c>
      <c r="E1397" s="20" t="str">
        <f aca="false">IF(D1397="?OLD","!!!","")</f>
        <v/>
      </c>
      <c r="F1397" s="21" t="str">
        <f aca="false">IF(OR(E1397="",E1397="!!!"),"",IF(NOT(ISNA(VLOOKUP(E1397,E$1:E1396,1,FALSE()))),"OLD",IF(AND(E1397&lt;&gt;"",E1397&lt;&gt;"!!!"),"NEW","")))</f>
        <v/>
      </c>
      <c r="G1397" s="22" t="str">
        <f aca="false"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aca="false">IF(J1397&lt;&gt;1,"",IF(I1397="SBJ","CB","?"))</f>
        <v/>
      </c>
      <c r="I1397" s="24" t="str">
        <f aca="false">IF(OR(E1397="",E1397="!!!",F1397="NEW"),"",INDEX(B$2:B1396,-1+SUMPRODUCT(MAX(ROW(E$2:E1396)*(E1397=E$2:E1396)))))</f>
        <v/>
      </c>
      <c r="J1397" s="24" t="str">
        <f aca="true">IF(OR(E1397="",E1397="!!!",F1397="NEW"),"",COUNTBLANK(OFFSET(A$1,,,SUMPRODUCT(MAX(ROW(E$2:E1397)*(E1397=E$2:E1397)))))-COUNTBLANK(OFFSET(A$1,,,SUMPRODUCT(MAX(ROW(E$1:E1396)*(E2=E$1:E1396))))))</f>
        <v/>
      </c>
      <c r="K1397" s="24" t="str">
        <f aca="false">IF(OR(E1397="",E1397="!!!",F1397="NEW"),"",INDEX(J$1:J1396,SUMPRODUCT(MAX(ROW(E$1:E1396)*(E1397=E$1:E1396)))))</f>
        <v/>
      </c>
      <c r="L1397" s="25"/>
    </row>
    <row r="1398" customFormat="false" ht="14.25" hidden="false" customHeight="false" outlineLevel="0" collapsed="false">
      <c r="A1398" s="0" t="s">
        <v>87</v>
      </c>
      <c r="B1398" s="26" t="s">
        <v>96</v>
      </c>
      <c r="C1398" s="26" t="s">
        <v>88</v>
      </c>
      <c r="D1398" s="26" t="s">
        <v>75</v>
      </c>
      <c r="E1398" s="20" t="s">
        <v>185</v>
      </c>
      <c r="F1398" s="21" t="str">
        <f aca="false">IF(OR(E1398="",E1398="!!!"),"",IF(NOT(ISNA(VLOOKUP(E1398,E$1:E1397,1,FALSE()))),"OLD",IF(AND(E1398&lt;&gt;"",E1398&lt;&gt;"!!!"),"NEW","")))</f>
        <v>OLD</v>
      </c>
      <c r="G1398" s="22" t="str">
        <f aca="false"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?IN_FOCUS</v>
      </c>
      <c r="H1398" s="23" t="str">
        <f aca="false">IF(J1398&lt;&gt;1,"",IF(I1398="SBJ","CB","?"))</f>
        <v/>
      </c>
      <c r="I1398" s="24" t="str">
        <f aca="false">IF(OR(E1398="",E1398="!!!",F1398="NEW"),"",INDEX(B$2:B1397,-1+SUMPRODUCT(MAX(ROW(E$2:E1397)*(E1398=E$2:E1397)))))</f>
        <v>SBJ_2</v>
      </c>
      <c r="J1398" s="24" t="n">
        <f aca="true">IF(OR(E1398="",E1398="!!!",F1398="NEW"),"",COUNTBLANK(OFFSET(A$1,,,SUMPRODUCT(MAX(ROW(E$2:E1398)*(E1398=E$2:E1398)))))-COUNTBLANK(OFFSET(A$1,,,SUMPRODUCT(MAX(ROW(E$1:E1397)*(E2=E$1:E1397))))))</f>
        <v>0</v>
      </c>
      <c r="K1398" s="24" t="n">
        <f aca="false">IF(OR(E1398="",E1398="!!!",F1398="NEW"),"",INDEX(J$1:J1397,SUMPRODUCT(MAX(ROW(E$1:E1397)*(E1398=E$1:E1397)))))</f>
        <v>0</v>
      </c>
      <c r="L1398" s="25"/>
    </row>
    <row r="1399" customFormat="false" ht="14.25" hidden="false" customHeight="false" outlineLevel="0" collapsed="false">
      <c r="A1399" s="0" t="s">
        <v>604</v>
      </c>
      <c r="E1399" s="20" t="str">
        <f aca="false">IF(D1399="?OLD","!!!","")</f>
        <v/>
      </c>
      <c r="F1399" s="21" t="str">
        <f aca="false">IF(OR(E1399="",E1399="!!!"),"",IF(NOT(ISNA(VLOOKUP(E1399,E$1:E1398,1,FALSE()))),"OLD",IF(AND(E1399&lt;&gt;"",E1399&lt;&gt;"!!!"),"NEW","")))</f>
        <v/>
      </c>
      <c r="G1399" s="22" t="str">
        <f aca="false"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aca="false">IF(J1399&lt;&gt;1,"",IF(I1399="SBJ","CB","?"))</f>
        <v/>
      </c>
      <c r="I1399" s="24" t="str">
        <f aca="false">IF(OR(E1399="",E1399="!!!",F1399="NEW"),"",INDEX(B$2:B1398,-1+SUMPRODUCT(MAX(ROW(E$2:E1398)*(E1399=E$2:E1398)))))</f>
        <v/>
      </c>
      <c r="J1399" s="24" t="str">
        <f aca="true">IF(OR(E1399="",E1399="!!!",F1399="NEW"),"",COUNTBLANK(OFFSET(A$1,,,SUMPRODUCT(MAX(ROW(E$2:E1399)*(E1399=E$2:E1399)))))-COUNTBLANK(OFFSET(A$1,,,SUMPRODUCT(MAX(ROW(E$1:E1398)*(E2=E$1:E1398))))))</f>
        <v/>
      </c>
      <c r="K1399" s="24" t="str">
        <f aca="false">IF(OR(E1399="",E1399="!!!",F1399="NEW"),"",INDEX(J$1:J1398,SUMPRODUCT(MAX(ROW(E$1:E1398)*(E1399=E$1:E1398)))))</f>
        <v/>
      </c>
      <c r="L1399" s="25"/>
    </row>
    <row r="1400" customFormat="false" ht="14.25" hidden="false" customHeight="false" outlineLevel="0" collapsed="false">
      <c r="A1400" s="0" t="s">
        <v>160</v>
      </c>
      <c r="E1400" s="20" t="str">
        <f aca="false">IF(D1400="?OLD","!!!","")</f>
        <v/>
      </c>
      <c r="F1400" s="21" t="str">
        <f aca="false">IF(OR(E1400="",E1400="!!!"),"",IF(NOT(ISNA(VLOOKUP(E1400,E$1:E1399,1,FALSE()))),"OLD",IF(AND(E1400&lt;&gt;"",E1400&lt;&gt;"!!!"),"NEW","")))</f>
        <v/>
      </c>
      <c r="G1400" s="22" t="str">
        <f aca="false"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aca="false">IF(J1400&lt;&gt;1,"",IF(I1400="SBJ","CB","?"))</f>
        <v/>
      </c>
      <c r="I1400" s="24" t="str">
        <f aca="false">IF(OR(E1400="",E1400="!!!",F1400="NEW"),"",INDEX(B$2:B1399,-1+SUMPRODUCT(MAX(ROW(E$2:E1399)*(E1400=E$2:E1399)))))</f>
        <v/>
      </c>
      <c r="J1400" s="24" t="str">
        <f aca="true">IF(OR(E1400="",E1400="!!!",F1400="NEW"),"",COUNTBLANK(OFFSET(A$1,,,SUMPRODUCT(MAX(ROW(E$2:E1400)*(E1400=E$2:E1400)))))-COUNTBLANK(OFFSET(A$1,,,SUMPRODUCT(MAX(ROW(E$1:E1399)*(E2=E$1:E1399))))))</f>
        <v/>
      </c>
      <c r="K1400" s="24" t="str">
        <f aca="false">IF(OR(E1400="",E1400="!!!",F1400="NEW"),"",INDEX(J$1:J1399,SUMPRODUCT(MAX(ROW(E$1:E1399)*(E1400=E$1:E1399)))))</f>
        <v/>
      </c>
      <c r="L1400" s="25"/>
    </row>
    <row r="1401" customFormat="false" ht="14.25" hidden="false" customHeight="false" outlineLevel="0" collapsed="false">
      <c r="A1401" s="0" t="s">
        <v>842</v>
      </c>
      <c r="B1401" s="26" t="s">
        <v>154</v>
      </c>
      <c r="C1401" s="26" t="s">
        <v>74</v>
      </c>
      <c r="D1401" s="26" t="s">
        <v>75</v>
      </c>
      <c r="E1401" s="20" t="s">
        <v>435</v>
      </c>
      <c r="F1401" s="21" t="str">
        <f aca="false">IF(OR(E1401="",E1401="!!!"),"",IF(NOT(ISNA(VLOOKUP(E1401,E$1:E1400,1,FALSE()))),"OLD",IF(AND(E1401&lt;&gt;"",E1401&lt;&gt;"!!!"),"NEW","")))</f>
        <v>OLD</v>
      </c>
      <c r="G1401" s="22" t="str">
        <f aca="false"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?IN_FOCUS</v>
      </c>
      <c r="H1401" s="23" t="str">
        <f aca="false">IF(J1401&lt;&gt;1,"",IF(I1401="SBJ","CB","?"))</f>
        <v/>
      </c>
      <c r="I1401" s="24" t="str">
        <f aca="false">IF(OR(E1401="",E1401="!!!",F1401="NEW"),"",INDEX(B$2:B1400,-1+SUMPRODUCT(MAX(ROW(E$2:E1400)*(E1401=E$2:E1400)))))</f>
        <v>other_5</v>
      </c>
      <c r="J1401" s="24" t="n">
        <f aca="true">IF(OR(E1401="",E1401="!!!",F1401="NEW"),"",COUNTBLANK(OFFSET(A$1,,,SUMPRODUCT(MAX(ROW(E$2:E1401)*(E1401=E$2:E1401)))))-COUNTBLANK(OFFSET(A$1,,,SUMPRODUCT(MAX(ROW(E$1:E1400)*(E2=E$1:E1400))))))</f>
        <v>0</v>
      </c>
      <c r="K1401" s="24" t="n">
        <f aca="false">IF(OR(E1401="",E1401="!!!",F1401="NEW"),"",INDEX(J$1:J1400,SUMPRODUCT(MAX(ROW(E$1:E1400)*(E1401=E$1:E1400)))))</f>
        <v>0</v>
      </c>
      <c r="L1401" s="25"/>
    </row>
    <row r="1402" customFormat="false" ht="14.25" hidden="false" customHeight="false" outlineLevel="0" collapsed="false">
      <c r="A1402" s="0" t="s">
        <v>86</v>
      </c>
      <c r="E1402" s="20" t="str">
        <f aca="false">IF(D1402="?OLD","!!!","")</f>
        <v/>
      </c>
      <c r="F1402" s="21" t="str">
        <f aca="false">IF(OR(E1402="",E1402="!!!"),"",IF(NOT(ISNA(VLOOKUP(E1402,E$1:E1401,1,FALSE()))),"OLD",IF(AND(E1402&lt;&gt;"",E1402&lt;&gt;"!!!"),"NEW","")))</f>
        <v/>
      </c>
      <c r="G1402" s="22" t="str">
        <f aca="false"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aca="false">IF(J1402&lt;&gt;1,"",IF(I1402="SBJ","CB","?"))</f>
        <v/>
      </c>
      <c r="I1402" s="24" t="str">
        <f aca="false">IF(OR(E1402="",E1402="!!!",F1402="NEW"),"",INDEX(B$2:B1401,-1+SUMPRODUCT(MAX(ROW(E$2:E1401)*(E1402=E$2:E1401)))))</f>
        <v/>
      </c>
      <c r="J1402" s="24" t="str">
        <f aca="true">IF(OR(E1402="",E1402="!!!",F1402="NEW"),"",COUNTBLANK(OFFSET(A$1,,,SUMPRODUCT(MAX(ROW(E$2:E1402)*(E1402=E$2:E1402)))))-COUNTBLANK(OFFSET(A$1,,,SUMPRODUCT(MAX(ROW(E$1:E1401)*(E2=E$1:E1401))))))</f>
        <v/>
      </c>
      <c r="K1402" s="24" t="str">
        <f aca="false">IF(OR(E1402="",E1402="!!!",F1402="NEW"),"",INDEX(J$1:J1401,SUMPRODUCT(MAX(ROW(E$1:E1401)*(E1402=E$1:E1401)))))</f>
        <v/>
      </c>
      <c r="L1402" s="25"/>
    </row>
    <row r="1403" customFormat="false" ht="14.25" hidden="false" customHeight="false" outlineLevel="0" collapsed="false">
      <c r="A1403" s="0" t="s">
        <v>319</v>
      </c>
      <c r="E1403" s="20" t="str">
        <f aca="false">IF(D1403="?OLD","!!!","")</f>
        <v/>
      </c>
      <c r="F1403" s="21" t="str">
        <f aca="false">IF(OR(E1403="",E1403="!!!"),"",IF(NOT(ISNA(VLOOKUP(E1403,E$1:E1402,1,FALSE()))),"OLD",IF(AND(E1403&lt;&gt;"",E1403&lt;&gt;"!!!"),"NEW","")))</f>
        <v/>
      </c>
      <c r="G1403" s="22" t="str">
        <f aca="false"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aca="false">IF(J1403&lt;&gt;1,"",IF(I1403="SBJ","CB","?"))</f>
        <v/>
      </c>
      <c r="I1403" s="24" t="str">
        <f aca="false">IF(OR(E1403="",E1403="!!!",F1403="NEW"),"",INDEX(B$2:B1402,-1+SUMPRODUCT(MAX(ROW(E$2:E1402)*(E1403=E$2:E1402)))))</f>
        <v/>
      </c>
      <c r="J1403" s="24" t="str">
        <f aca="true">IF(OR(E1403="",E1403="!!!",F1403="NEW"),"",COUNTBLANK(OFFSET(A$1,,,SUMPRODUCT(MAX(ROW(E$2:E1403)*(E1403=E$2:E1403)))))-COUNTBLANK(OFFSET(A$1,,,SUMPRODUCT(MAX(ROW(E$1:E1402)*(E2=E$1:E1402))))))</f>
        <v/>
      </c>
      <c r="K1403" s="24" t="str">
        <f aca="false">IF(OR(E1403="",E1403="!!!",F1403="NEW"),"",INDEX(J$1:J1402,SUMPRODUCT(MAX(ROW(E$1:E1402)*(E1403=E$1:E1402)))))</f>
        <v/>
      </c>
      <c r="L1403" s="25"/>
    </row>
    <row r="1404" customFormat="false" ht="14.25" hidden="false" customHeight="false" outlineLevel="0" collapsed="false">
      <c r="A1404" s="0" t="s">
        <v>320</v>
      </c>
      <c r="B1404" s="26" t="s">
        <v>131</v>
      </c>
      <c r="C1404" s="26" t="s">
        <v>105</v>
      </c>
      <c r="E1404" s="20" t="str">
        <f aca="false">IF(D1404="?OLD","!!!","")</f>
        <v/>
      </c>
      <c r="F1404" s="21" t="str">
        <f aca="false">IF(OR(E1404="",E1404="!!!"),"",IF(NOT(ISNA(VLOOKUP(E1404,E$1:E1403,1,FALSE()))),"OLD",IF(AND(E1404&lt;&gt;"",E1404&lt;&gt;"!!!"),"NEW","")))</f>
        <v/>
      </c>
      <c r="G1404" s="22" t="str">
        <f aca="false"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aca="false">IF(J1404&lt;&gt;1,"",IF(I1404="SBJ","CB","?"))</f>
        <v/>
      </c>
      <c r="I1404" s="24" t="str">
        <f aca="false">IF(OR(E1404="",E1404="!!!",F1404="NEW"),"",INDEX(B$2:B1403,-1+SUMPRODUCT(MAX(ROW(E$2:E1403)*(E1404=E$2:E1403)))))</f>
        <v/>
      </c>
      <c r="J1404" s="24" t="str">
        <f aca="true">IF(OR(E1404="",E1404="!!!",F1404="NEW"),"",COUNTBLANK(OFFSET(A$1,,,SUMPRODUCT(MAX(ROW(E$2:E1404)*(E1404=E$2:E1404)))))-COUNTBLANK(OFFSET(A$1,,,SUMPRODUCT(MAX(ROW(E$1:E1403)*(E2=E$1:E1403))))))</f>
        <v/>
      </c>
      <c r="K1404" s="24" t="str">
        <f aca="false">IF(OR(E1404="",E1404="!!!",F1404="NEW"),"",INDEX(J$1:J1403,SUMPRODUCT(MAX(ROW(E$1:E1403)*(E1404=E$1:E1403)))))</f>
        <v/>
      </c>
      <c r="L1404" s="25"/>
    </row>
    <row r="1405" customFormat="false" ht="14.25" hidden="false" customHeight="false" outlineLevel="0" collapsed="false">
      <c r="A1405" s="0" t="s">
        <v>321</v>
      </c>
      <c r="E1405" s="20" t="str">
        <f aca="false">IF(D1405="?OLD","!!!","")</f>
        <v/>
      </c>
      <c r="F1405" s="21" t="str">
        <f aca="false">IF(OR(E1405="",E1405="!!!"),"",IF(NOT(ISNA(VLOOKUP(E1405,E$1:E1404,1,FALSE()))),"OLD",IF(AND(E1405&lt;&gt;"",E1405&lt;&gt;"!!!"),"NEW","")))</f>
        <v/>
      </c>
      <c r="G1405" s="22" t="str">
        <f aca="false"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/>
      </c>
      <c r="H1405" s="23" t="str">
        <f aca="false">IF(J1405&lt;&gt;1,"",IF(I1405="SBJ","CB","?"))</f>
        <v/>
      </c>
      <c r="I1405" s="24" t="str">
        <f aca="false">IF(OR(E1405="",E1405="!!!",F1405="NEW"),"",INDEX(B$2:B1404,-1+SUMPRODUCT(MAX(ROW(E$2:E1404)*(E1405=E$2:E1404)))))</f>
        <v/>
      </c>
      <c r="J1405" s="24" t="str">
        <f aca="true">IF(OR(E1405="",E1405="!!!",F1405="NEW"),"",COUNTBLANK(OFFSET(A$1,,,SUMPRODUCT(MAX(ROW(E$2:E1405)*(E1405=E$2:E1405)))))-COUNTBLANK(OFFSET(A$1,,,SUMPRODUCT(MAX(ROW(E$1:E1404)*(E2=E$1:E1404))))))</f>
        <v/>
      </c>
      <c r="K1405" s="24" t="str">
        <f aca="false">IF(OR(E1405="",E1405="!!!",F1405="NEW"),"",INDEX(J$1:J1404,SUMPRODUCT(MAX(ROW(E$1:E1404)*(E1405=E$1:E1404)))))</f>
        <v/>
      </c>
      <c r="L1405" s="25"/>
    </row>
    <row r="1406" customFormat="false" ht="14.25" hidden="false" customHeight="false" outlineLevel="0" collapsed="false">
      <c r="A1406" s="0" t="s">
        <v>870</v>
      </c>
      <c r="E1406" s="20" t="str">
        <f aca="false">IF(D1406="?OLD","!!!","")</f>
        <v/>
      </c>
      <c r="F1406" s="21" t="str">
        <f aca="false">IF(OR(E1406="",E1406="!!!"),"",IF(NOT(ISNA(VLOOKUP(E1406,E$1:E1405,1,FALSE()))),"OLD",IF(AND(E1406&lt;&gt;"",E1406&lt;&gt;"!!!"),"NEW","")))</f>
        <v/>
      </c>
      <c r="G1406" s="22" t="str">
        <f aca="false"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/>
      </c>
      <c r="H1406" s="23" t="str">
        <f aca="false">IF(J1406&lt;&gt;1,"",IF(I1406="SBJ","CB","?"))</f>
        <v/>
      </c>
      <c r="I1406" s="24" t="str">
        <f aca="false">IF(OR(E1406="",E1406="!!!",F1406="NEW"),"",INDEX(B$2:B1405,-1+SUMPRODUCT(MAX(ROW(E$2:E1405)*(E1406=E$2:E1405)))))</f>
        <v/>
      </c>
      <c r="J1406" s="24" t="str">
        <f aca="true">IF(OR(E1406="",E1406="!!!",F1406="NEW"),"",COUNTBLANK(OFFSET(A$1,,,SUMPRODUCT(MAX(ROW(E$2:E1406)*(E1406=E$2:E1406)))))-COUNTBLANK(OFFSET(A$1,,,SUMPRODUCT(MAX(ROW(E$1:E1405)*(E2=E$1:E1405))))))</f>
        <v/>
      </c>
      <c r="K1406" s="24" t="str">
        <f aca="false">IF(OR(E1406="",E1406="!!!",F1406="NEW"),"",INDEX(J$1:J1405,SUMPRODUCT(MAX(ROW(E$1:E1405)*(E1406=E$1:E1405)))))</f>
        <v/>
      </c>
      <c r="L1406" s="25"/>
    </row>
    <row r="1407" customFormat="false" ht="14.25" hidden="false" customHeight="false" outlineLevel="0" collapsed="false">
      <c r="A1407" s="0" t="s">
        <v>871</v>
      </c>
      <c r="E1407" s="20" t="str">
        <f aca="false">IF(D1407="?OLD","!!!","")</f>
        <v/>
      </c>
      <c r="F1407" s="21" t="str">
        <f aca="false">IF(OR(E1407="",E1407="!!!"),"",IF(NOT(ISNA(VLOOKUP(E1407,E$1:E1406,1,FALSE()))),"OLD",IF(AND(E1407&lt;&gt;"",E1407&lt;&gt;"!!!"),"NEW","")))</f>
        <v/>
      </c>
      <c r="G1407" s="22" t="str">
        <f aca="false"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aca="false">IF(J1407&lt;&gt;1,"",IF(I1407="SBJ","CB","?"))</f>
        <v/>
      </c>
      <c r="I1407" s="24" t="str">
        <f aca="false">IF(OR(E1407="",E1407="!!!",F1407="NEW"),"",INDEX(B$2:B1406,-1+SUMPRODUCT(MAX(ROW(E$2:E1406)*(E1407=E$2:E1406)))))</f>
        <v/>
      </c>
      <c r="J1407" s="24" t="str">
        <f aca="true">IF(OR(E1407="",E1407="!!!",F1407="NEW"),"",COUNTBLANK(OFFSET(A$1,,,SUMPRODUCT(MAX(ROW(E$2:E1407)*(E1407=E$2:E1407)))))-COUNTBLANK(OFFSET(A$1,,,SUMPRODUCT(MAX(ROW(E$1:E1406)*(E2=E$1:E1406))))))</f>
        <v/>
      </c>
      <c r="K1407" s="24" t="str">
        <f aca="false">IF(OR(E1407="",E1407="!!!",F1407="NEW"),"",INDEX(J$1:J1406,SUMPRODUCT(MAX(ROW(E$1:E1406)*(E1407=E$1:E1406)))))</f>
        <v/>
      </c>
      <c r="L1407" s="25"/>
    </row>
    <row r="1408" customFormat="false" ht="14.25" hidden="false" customHeight="false" outlineLevel="0" collapsed="false">
      <c r="A1408" s="0" t="s">
        <v>872</v>
      </c>
      <c r="E1408" s="20" t="str">
        <f aca="false">IF(D1408="?OLD","!!!","")</f>
        <v/>
      </c>
      <c r="F1408" s="21" t="str">
        <f aca="false">IF(OR(E1408="",E1408="!!!"),"",IF(NOT(ISNA(VLOOKUP(E1408,E$1:E1407,1,FALSE()))),"OLD",IF(AND(E1408&lt;&gt;"",E1408&lt;&gt;"!!!"),"NEW","")))</f>
        <v/>
      </c>
      <c r="G1408" s="22" t="str">
        <f aca="false"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aca="false">IF(J1408&lt;&gt;1,"",IF(I1408="SBJ","CB","?"))</f>
        <v/>
      </c>
      <c r="I1408" s="24" t="str">
        <f aca="false">IF(OR(E1408="",E1408="!!!",F1408="NEW"),"",INDEX(B$2:B1407,-1+SUMPRODUCT(MAX(ROW(E$2:E1407)*(E1408=E$2:E1407)))))</f>
        <v/>
      </c>
      <c r="J1408" s="24" t="str">
        <f aca="true">IF(OR(E1408="",E1408="!!!",F1408="NEW"),"",COUNTBLANK(OFFSET(A$1,,,SUMPRODUCT(MAX(ROW(E$2:E1408)*(E1408=E$2:E1408)))))-COUNTBLANK(OFFSET(A$1,,,SUMPRODUCT(MAX(ROW(E$1:E1407)*(E2=E$1:E1407))))))</f>
        <v/>
      </c>
      <c r="K1408" s="24" t="str">
        <f aca="false">IF(OR(E1408="",E1408="!!!",F1408="NEW"),"",INDEX(J$1:J1407,SUMPRODUCT(MAX(ROW(E$1:E1407)*(E1408=E$1:E1407)))))</f>
        <v/>
      </c>
      <c r="L1408" s="25"/>
    </row>
    <row r="1409" customFormat="false" ht="14.25" hidden="false" customHeight="false" outlineLevel="0" collapsed="false">
      <c r="A1409" s="0" t="s">
        <v>842</v>
      </c>
      <c r="B1409" s="26" t="s">
        <v>131</v>
      </c>
      <c r="C1409" s="26" t="s">
        <v>105</v>
      </c>
      <c r="E1409" s="20"/>
      <c r="F1409" s="21" t="str">
        <f aca="false">IF(OR(E1409="",E1409="!!!"),"",IF(NOT(ISNA(VLOOKUP(E1409,E$1:E1408,1,FALSE()))),"OLD",IF(AND(E1409&lt;&gt;"",E1409&lt;&gt;"!!!"),"NEW","")))</f>
        <v/>
      </c>
      <c r="G1409" s="22" t="str">
        <f aca="false"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3" t="str">
        <f aca="false">IF(J1409&lt;&gt;1,"",IF(I1409="SBJ","CB","?"))</f>
        <v/>
      </c>
      <c r="I1409" s="24" t="str">
        <f aca="false">IF(OR(E1409="",E1409="!!!",F1409="NEW"),"",INDEX(B$2:B1408,-1+SUMPRODUCT(MAX(ROW(E$2:E1408)*(E1409=E$2:E1408)))))</f>
        <v/>
      </c>
      <c r="J1409" s="24" t="str">
        <f aca="true">IF(OR(E1409="",E1409="!!!",F1409="NEW"),"",COUNTBLANK(OFFSET(A$1,,,SUMPRODUCT(MAX(ROW(E$2:E1409)*(E1409=E$2:E1409)))))-COUNTBLANK(OFFSET(A$1,,,SUMPRODUCT(MAX(ROW(E$1:E1408)*(E2=E$1:E1408))))))</f>
        <v/>
      </c>
      <c r="K1409" s="24" t="str">
        <f aca="false">IF(OR(E1409="",E1409="!!!",F1409="NEW"),"",INDEX(J$1:J1408,SUMPRODUCT(MAX(ROW(E$1:E1408)*(E1409=E$1:E1408)))))</f>
        <v/>
      </c>
      <c r="L1409" s="25"/>
    </row>
    <row r="1410" customFormat="false" ht="14.25" hidden="false" customHeight="false" outlineLevel="0" collapsed="false">
      <c r="A1410" s="0" t="s">
        <v>86</v>
      </c>
      <c r="E1410" s="20" t="str">
        <f aca="false">IF(D1410="?OLD","!!!","")</f>
        <v/>
      </c>
      <c r="F1410" s="21" t="str">
        <f aca="false">IF(OR(E1410="",E1410="!!!"),"",IF(NOT(ISNA(VLOOKUP(E1410,E$1:E1409,1,FALSE()))),"OLD",IF(AND(E1410&lt;&gt;"",E1410&lt;&gt;"!!!"),"NEW","")))</f>
        <v/>
      </c>
      <c r="G1410" s="22" t="str">
        <f aca="false"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aca="false">IF(J1410&lt;&gt;1,"",IF(I1410="SBJ","CB","?"))</f>
        <v/>
      </c>
      <c r="I1410" s="24" t="str">
        <f aca="false">IF(OR(E1410="",E1410="!!!",F1410="NEW"),"",INDEX(B$2:B1409,-1+SUMPRODUCT(MAX(ROW(E$2:E1409)*(E1410=E$2:E1409)))))</f>
        <v/>
      </c>
      <c r="J1410" s="24" t="str">
        <f aca="true">IF(OR(E1410="",E1410="!!!",F1410="NEW"),"",COUNTBLANK(OFFSET(A$1,,,SUMPRODUCT(MAX(ROW(E$2:E1410)*(E1410=E$2:E1410)))))-COUNTBLANK(OFFSET(A$1,,,SUMPRODUCT(MAX(ROW(E$1:E1409)*(E2=E$1:E1409))))))</f>
        <v/>
      </c>
      <c r="K1410" s="24" t="str">
        <f aca="false">IF(OR(E1410="",E1410="!!!",F1410="NEW"),"",INDEX(J$1:J1409,SUMPRODUCT(MAX(ROW(E$1:E1409)*(E1410=E$1:E1409)))))</f>
        <v/>
      </c>
      <c r="L1410" s="25"/>
    </row>
    <row r="1411" customFormat="false" ht="14.25" hidden="false" customHeight="false" outlineLevel="0" collapsed="false">
      <c r="A1411" s="0" t="s">
        <v>193</v>
      </c>
      <c r="B1411" s="26" t="s">
        <v>73</v>
      </c>
      <c r="C1411" s="26" t="s">
        <v>209</v>
      </c>
      <c r="D1411" s="26" t="s">
        <v>75</v>
      </c>
      <c r="E1411" s="20" t="s">
        <v>97</v>
      </c>
      <c r="F1411" s="21" t="str">
        <f aca="false">IF(OR(E1411="",E1411="!!!"),"",IF(NOT(ISNA(VLOOKUP(E1411,E$1:E1410,1,FALSE()))),"OLD",IF(AND(E1411&lt;&gt;"",E1411&lt;&gt;"!!!"),"NEW","")))</f>
        <v>OLD</v>
      </c>
      <c r="G1411" s="22" t="str">
        <f aca="false"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?IN_FOCUS</v>
      </c>
      <c r="H1411" s="23" t="str">
        <f aca="false">IF(J1411&lt;&gt;1,"",IF(I1411="SBJ","CB","?"))</f>
        <v/>
      </c>
      <c r="I1411" s="24" t="str">
        <f aca="false">IF(OR(E1411="",E1411="!!!",F1411="NEW"),"",INDEX(B$2:B1410,-1+SUMPRODUCT(MAX(ROW(E$2:E1410)*(E1411=E$2:E1410)))))</f>
        <v>SBJ_2</v>
      </c>
      <c r="J1411" s="24" t="n">
        <f aca="true">IF(OR(E1411="",E1411="!!!",F1411="NEW"),"",COUNTBLANK(OFFSET(A$1,,,SUMPRODUCT(MAX(ROW(E$2:E1411)*(E1411=E$2:E1411)))))-COUNTBLANK(OFFSET(A$1,,,SUMPRODUCT(MAX(ROW(E$1:E1410)*(E2=E$1:E1410))))))</f>
        <v>0</v>
      </c>
      <c r="K1411" s="24" t="n">
        <f aca="false">IF(OR(E1411="",E1411="!!!",F1411="NEW"),"",INDEX(J$1:J1410,SUMPRODUCT(MAX(ROW(E$1:E1410)*(E1411=E$1:E1410)))))</f>
        <v>0</v>
      </c>
      <c r="L1411" s="25"/>
    </row>
    <row r="1412" customFormat="false" ht="14.25" hidden="false" customHeight="false" outlineLevel="0" collapsed="false">
      <c r="A1412" s="0" t="s">
        <v>132</v>
      </c>
      <c r="B1412" s="26" t="s">
        <v>147</v>
      </c>
      <c r="C1412" s="26" t="s">
        <v>133</v>
      </c>
      <c r="D1412" s="26" t="s">
        <v>75</v>
      </c>
      <c r="E1412" s="20"/>
      <c r="F1412" s="21" t="str">
        <f aca="false">IF(OR(E1412="",E1412="!!!"),"",IF(NOT(ISNA(VLOOKUP(E1412,E$1:E1411,1,FALSE()))),"OLD",IF(AND(E1412&lt;&gt;"",E1412&lt;&gt;"!!!"),"NEW","")))</f>
        <v/>
      </c>
      <c r="G1412" s="22" t="str">
        <f aca="false"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aca="false">IF(J1412&lt;&gt;1,"",IF(I1412="SBJ","CB","?"))</f>
        <v/>
      </c>
      <c r="I1412" s="24" t="str">
        <f aca="false">IF(OR(E1412="",E1412="!!!",F1412="NEW"),"",INDEX(B$2:B1411,-1+SUMPRODUCT(MAX(ROW(E$2:E1411)*(E1412=E$2:E1411)))))</f>
        <v/>
      </c>
      <c r="J1412" s="24" t="str">
        <f aca="true">IF(OR(E1412="",E1412="!!!",F1412="NEW"),"",COUNTBLANK(OFFSET(A$1,,,SUMPRODUCT(MAX(ROW(E$2:E1412)*(E1412=E$2:E1412)))))-COUNTBLANK(OFFSET(A$1,,,SUMPRODUCT(MAX(ROW(E$1:E1411)*(E2=E$1:E1411))))))</f>
        <v/>
      </c>
      <c r="K1412" s="24" t="str">
        <f aca="false">IF(OR(E1412="",E1412="!!!",F1412="NEW"),"",INDEX(J$1:J1411,SUMPRODUCT(MAX(ROW(E$1:E1411)*(E1412=E$1:E1411)))))</f>
        <v/>
      </c>
      <c r="L1412" s="27" t="s">
        <v>134</v>
      </c>
    </row>
    <row r="1413" customFormat="false" ht="14.25" hidden="false" customHeight="false" outlineLevel="0" collapsed="false">
      <c r="A1413" s="0" t="s">
        <v>101</v>
      </c>
      <c r="E1413" s="20" t="str">
        <f aca="false">IF(D1413="?OLD","!!!","")</f>
        <v/>
      </c>
      <c r="F1413" s="21" t="str">
        <f aca="false">IF(OR(E1413="",E1413="!!!"),"",IF(NOT(ISNA(VLOOKUP(E1413,E$1:E1412,1,FALSE()))),"OLD",IF(AND(E1413&lt;&gt;"",E1413&lt;&gt;"!!!"),"NEW","")))</f>
        <v/>
      </c>
      <c r="G1413" s="22" t="str">
        <f aca="false"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3" t="str">
        <f aca="false">IF(J1413&lt;&gt;1,"",IF(I1413="SBJ","CB","?"))</f>
        <v/>
      </c>
      <c r="I1413" s="24" t="str">
        <f aca="false">IF(OR(E1413="",E1413="!!!",F1413="NEW"),"",INDEX(B$2:B1412,-1+SUMPRODUCT(MAX(ROW(E$2:E1412)*(E1413=E$2:E1412)))))</f>
        <v/>
      </c>
      <c r="J1413" s="24" t="str">
        <f aca="true">IF(OR(E1413="",E1413="!!!",F1413="NEW"),"",COUNTBLANK(OFFSET(A$1,,,SUMPRODUCT(MAX(ROW(E$2:E1413)*(E1413=E$2:E1413)))))-COUNTBLANK(OFFSET(A$1,,,SUMPRODUCT(MAX(ROW(E$1:E1412)*(E2=E$1:E1412))))))</f>
        <v/>
      </c>
      <c r="K1413" s="24" t="str">
        <f aca="false">IF(OR(E1413="",E1413="!!!",F1413="NEW"),"",INDEX(J$1:J1412,SUMPRODUCT(MAX(ROW(E$1:E1412)*(E1413=E$1:E1412)))))</f>
        <v/>
      </c>
      <c r="L1413" s="25"/>
    </row>
    <row r="1414" customFormat="false" ht="14.25" hidden="false" customHeight="false" outlineLevel="0" collapsed="false">
      <c r="A1414" s="0" t="s">
        <v>92</v>
      </c>
      <c r="E1414" s="20" t="str">
        <f aca="false">IF(D1414="?OLD","!!!","")</f>
        <v/>
      </c>
      <c r="F1414" s="21" t="str">
        <f aca="false">IF(OR(E1414="",E1414="!!!"),"",IF(NOT(ISNA(VLOOKUP(E1414,E$1:E1413,1,FALSE()))),"OLD",IF(AND(E1414&lt;&gt;"",E1414&lt;&gt;"!!!"),"NEW","")))</f>
        <v/>
      </c>
      <c r="G1414" s="22" t="str">
        <f aca="false"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aca="false">IF(J1414&lt;&gt;1,"",IF(I1414="SBJ","CB","?"))</f>
        <v/>
      </c>
      <c r="I1414" s="24" t="str">
        <f aca="false">IF(OR(E1414="",E1414="!!!",F1414="NEW"),"",INDEX(B$2:B1413,-1+SUMPRODUCT(MAX(ROW(E$2:E1413)*(E1414=E$2:E1413)))))</f>
        <v/>
      </c>
      <c r="J1414" s="24" t="str">
        <f aca="true">IF(OR(E1414="",E1414="!!!",F1414="NEW"),"",COUNTBLANK(OFFSET(A$1,,,SUMPRODUCT(MAX(ROW(E$2:E1414)*(E1414=E$2:E1414)))))-COUNTBLANK(OFFSET(A$1,,,SUMPRODUCT(MAX(ROW(E$1:E1413)*(E2=E$1:E1413))))))</f>
        <v/>
      </c>
      <c r="K1414" s="24" t="str">
        <f aca="false">IF(OR(E1414="",E1414="!!!",F1414="NEW"),"",INDEX(J$1:J1413,SUMPRODUCT(MAX(ROW(E$1:E1413)*(E1414=E$1:E1413)))))</f>
        <v/>
      </c>
      <c r="L1414" s="25"/>
    </row>
    <row r="1415" customFormat="false" ht="14.25" hidden="false" customHeight="false" outlineLevel="0" collapsed="false">
      <c r="A1415" s="0" t="s">
        <v>873</v>
      </c>
      <c r="B1415" s="26" t="s">
        <v>115</v>
      </c>
      <c r="C1415" s="26" t="s">
        <v>209</v>
      </c>
      <c r="D1415" s="26" t="s">
        <v>75</v>
      </c>
      <c r="E1415" s="20"/>
      <c r="F1415" s="21" t="str">
        <f aca="false">IF(OR(E1415="",E1415="!!!"),"",IF(NOT(ISNA(VLOOKUP(E1415,E$1:E1414,1,FALSE()))),"OLD",IF(AND(E1415&lt;&gt;"",E1415&lt;&gt;"!!!"),"NEW","")))</f>
        <v/>
      </c>
      <c r="G1415" s="22" t="str">
        <f aca="false"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3" t="str">
        <f aca="false">IF(J1415&lt;&gt;1,"",IF(I1415="SBJ","CB","?"))</f>
        <v/>
      </c>
      <c r="I1415" s="24" t="str">
        <f aca="false">IF(OR(E1415="",E1415="!!!",F1415="NEW"),"",INDEX(B$2:B1414,-1+SUMPRODUCT(MAX(ROW(E$2:E1414)*(E1415=E$2:E1414)))))</f>
        <v/>
      </c>
      <c r="J1415" s="24" t="str">
        <f aca="true">IF(OR(E1415="",E1415="!!!",F1415="NEW"),"",COUNTBLANK(OFFSET(A$1,,,SUMPRODUCT(MAX(ROW(E$2:E1415)*(E1415=E$2:E1415)))))-COUNTBLANK(OFFSET(A$1,,,SUMPRODUCT(MAX(ROW(E$1:E1414)*(E2=E$1:E1414))))))</f>
        <v/>
      </c>
      <c r="K1415" s="24" t="str">
        <f aca="false">IF(OR(E1415="",E1415="!!!",F1415="NEW"),"",INDEX(J$1:J1414,SUMPRODUCT(MAX(ROW(E$1:E1414)*(E1415=E$1:E1414)))))</f>
        <v/>
      </c>
      <c r="L1415" s="27" t="s">
        <v>134</v>
      </c>
    </row>
    <row r="1416" customFormat="false" ht="14.25" hidden="false" customHeight="false" outlineLevel="0" collapsed="false">
      <c r="A1416" s="0" t="s">
        <v>842</v>
      </c>
      <c r="B1416" s="26" t="s">
        <v>154</v>
      </c>
      <c r="C1416" s="26" t="s">
        <v>105</v>
      </c>
      <c r="E1416" s="20" t="s">
        <v>435</v>
      </c>
      <c r="F1416" s="21" t="str">
        <f aca="false">IF(OR(E1416="",E1416="!!!"),"",IF(NOT(ISNA(VLOOKUP(E1416,E$1:E1415,1,FALSE()))),"OLD",IF(AND(E1416&lt;&gt;"",E1416&lt;&gt;"!!!"),"NEW","")))</f>
        <v>OLD</v>
      </c>
      <c r="G1416" s="22" t="str">
        <f aca="false"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?IN_FOCUS</v>
      </c>
      <c r="H1416" s="23" t="str">
        <f aca="false">IF(J1416&lt;&gt;1,"",IF(I1416="SBJ","CB","?"))</f>
        <v/>
      </c>
      <c r="I1416" s="24" t="str">
        <f aca="false">IF(OR(E1416="",E1416="!!!",F1416="NEW"),"",INDEX(B$2:B1415,-1+SUMPRODUCT(MAX(ROW(E$2:E1415)*(E1416=E$2:E1415)))))</f>
        <v>OBJ_2</v>
      </c>
      <c r="J1416" s="24" t="n">
        <f aca="true">IF(OR(E1416="",E1416="!!!",F1416="NEW"),"",COUNTBLANK(OFFSET(A$1,,,SUMPRODUCT(MAX(ROW(E$2:E1416)*(E1416=E$2:E1416)))))-COUNTBLANK(OFFSET(A$1,,,SUMPRODUCT(MAX(ROW(E$1:E1415)*(E2=E$1:E1415))))))</f>
        <v>0</v>
      </c>
      <c r="K1416" s="24" t="n">
        <f aca="false">IF(OR(E1416="",E1416="!!!",F1416="NEW"),"",INDEX(J$1:J1415,SUMPRODUCT(MAX(ROW(E$1:E1415)*(E1416=E$1:E1415)))))</f>
        <v>0</v>
      </c>
      <c r="L1416" s="25"/>
    </row>
    <row r="1417" customFormat="false" ht="14.25" hidden="false" customHeight="false" outlineLevel="0" collapsed="false">
      <c r="A1417" s="0" t="s">
        <v>86</v>
      </c>
      <c r="E1417" s="20" t="str">
        <f aca="false">IF(D1417="?OLD","!!!","")</f>
        <v/>
      </c>
      <c r="F1417" s="21" t="str">
        <f aca="false">IF(OR(E1417="",E1417="!!!"),"",IF(NOT(ISNA(VLOOKUP(E1417,E$1:E1416,1,FALSE()))),"OLD",IF(AND(E1417&lt;&gt;"",E1417&lt;&gt;"!!!"),"NEW","")))</f>
        <v/>
      </c>
      <c r="G1417" s="22" t="str">
        <f aca="false"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aca="false">IF(J1417&lt;&gt;1,"",IF(I1417="SBJ","CB","?"))</f>
        <v/>
      </c>
      <c r="I1417" s="24" t="str">
        <f aca="false">IF(OR(E1417="",E1417="!!!",F1417="NEW"),"",INDEX(B$2:B1416,-1+SUMPRODUCT(MAX(ROW(E$2:E1416)*(E1417=E$2:E1416)))))</f>
        <v/>
      </c>
      <c r="J1417" s="24" t="str">
        <f aca="true">IF(OR(E1417="",E1417="!!!",F1417="NEW"),"",COUNTBLANK(OFFSET(A$1,,,SUMPRODUCT(MAX(ROW(E$2:E1417)*(E1417=E$2:E1417)))))-COUNTBLANK(OFFSET(A$1,,,SUMPRODUCT(MAX(ROW(E$1:E1416)*(E2=E$1:E1416))))))</f>
        <v/>
      </c>
      <c r="K1417" s="24" t="str">
        <f aca="false">IF(OR(E1417="",E1417="!!!",F1417="NEW"),"",INDEX(J$1:J1416,SUMPRODUCT(MAX(ROW(E$1:E1416)*(E1417=E$1:E1416)))))</f>
        <v/>
      </c>
      <c r="L1417" s="25"/>
    </row>
    <row r="1419" customFormat="false" ht="14.25" hidden="false" customHeight="false" outlineLevel="0" collapsed="false">
      <c r="A1419" s="0" t="s">
        <v>401</v>
      </c>
      <c r="E1419" s="20" t="str">
        <f aca="false">IF(D1419="?OLD","!!!","")</f>
        <v/>
      </c>
      <c r="F1419" s="21" t="str">
        <f aca="false">IF(OR(E1419="",E1419="!!!"),"",IF(NOT(ISNA(VLOOKUP(E1419,E$1:E1418,1,FALSE()))),"OLD",IF(AND(E1419&lt;&gt;"",E1419&lt;&gt;"!!!"),"NEW","")))</f>
        <v/>
      </c>
      <c r="G1419" s="22" t="str">
        <f aca="false"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aca="false">IF(J1419&lt;&gt;1,"",IF(I1419="SBJ","CB","?"))</f>
        <v/>
      </c>
      <c r="I1419" s="24" t="str">
        <f aca="false">IF(OR(E1419="",E1419="!!!",F1419="NEW"),"",INDEX(B$2:B1418,-1+SUMPRODUCT(MAX(ROW(E$2:E1418)*(E1419=E$2:E1418)))))</f>
        <v/>
      </c>
      <c r="J1419" s="24" t="str">
        <f aca="true">IF(OR(E1419="",E1419="!!!",F1419="NEW"),"",COUNTBLANK(OFFSET(A$1,,,SUMPRODUCT(MAX(ROW(E$2:E1419)*(E1419=E$2:E1419)))))-COUNTBLANK(OFFSET(A$1,,,SUMPRODUCT(MAX(ROW(E$1:E1418)*(E2=E$1:E1418))))))</f>
        <v/>
      </c>
      <c r="K1419" s="24" t="str">
        <f aca="false">IF(OR(E1419="",E1419="!!!",F1419="NEW"),"",INDEX(J$1:J1418,SUMPRODUCT(MAX(ROW(E$1:E1418)*(E1419=E$1:E1418)))))</f>
        <v/>
      </c>
      <c r="L1419" s="25"/>
    </row>
    <row r="1420" customFormat="false" ht="14.25" hidden="false" customHeight="false" outlineLevel="0" collapsed="false">
      <c r="A1420" s="0" t="s">
        <v>874</v>
      </c>
    </row>
    <row r="1421" customFormat="false" ht="14.25" hidden="false" customHeight="false" outlineLevel="0" collapsed="false">
      <c r="A1421" s="0" t="s">
        <v>875</v>
      </c>
      <c r="E1421" s="20" t="str">
        <f aca="false">IF(D1421="?OLD","!!!","")</f>
        <v/>
      </c>
      <c r="F1421" s="21" t="str">
        <f aca="false">IF(OR(E1421="",E1421="!!!"),"",IF(NOT(ISNA(VLOOKUP(E1421,E$1:E1420,1,FALSE()))),"OLD",IF(AND(E1421&lt;&gt;"",E1421&lt;&gt;"!!!"),"NEW","")))</f>
        <v/>
      </c>
      <c r="G1421" s="22" t="str">
        <f aca="false"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aca="false">IF(J1421&lt;&gt;1,"",IF(I1421="SBJ","CB","?"))</f>
        <v/>
      </c>
      <c r="I1421" s="24" t="str">
        <f aca="false">IF(OR(E1421="",E1421="!!!",F1421="NEW"),"",INDEX(B$2:B1420,-1+SUMPRODUCT(MAX(ROW(E$2:E1420)*(E1421=E$2:E1420)))))</f>
        <v/>
      </c>
      <c r="J1421" s="24" t="str">
        <f aca="true">IF(OR(E1421="",E1421="!!!",F1421="NEW"),"",COUNTBLANK(OFFSET(A$1,,,SUMPRODUCT(MAX(ROW(E$2:E1421)*(E1421=E$2:E1421)))))-COUNTBLANK(OFFSET(A$1,,,SUMPRODUCT(MAX(ROW(E$1:E1420)*(E2=E$1:E1420))))))</f>
        <v/>
      </c>
      <c r="K1421" s="24" t="str">
        <f aca="false">IF(OR(E1421="",E1421="!!!",F1421="NEW"),"",INDEX(J$1:J1420,SUMPRODUCT(MAX(ROW(E$1:E1420)*(E1421=E$1:E1420)))))</f>
        <v/>
      </c>
      <c r="L1421" s="25"/>
    </row>
    <row r="1422" customFormat="false" ht="14.25" hidden="false" customHeight="false" outlineLevel="0" collapsed="false">
      <c r="A1422" s="0" t="s">
        <v>876</v>
      </c>
      <c r="E1422" s="20" t="str">
        <f aca="false">IF(D1422="?OLD","!!!","")</f>
        <v/>
      </c>
      <c r="F1422" s="21" t="str">
        <f aca="false">IF(OR(E1422="",E1422="!!!"),"",IF(NOT(ISNA(VLOOKUP(E1422,E$1:E1421,1,FALSE()))),"OLD",IF(AND(E1422&lt;&gt;"",E1422&lt;&gt;"!!!"),"NEW","")))</f>
        <v/>
      </c>
      <c r="G1422" s="22" t="str">
        <f aca="false"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aca="false">IF(J1422&lt;&gt;1,"",IF(I1422="SBJ","CB","?"))</f>
        <v/>
      </c>
      <c r="I1422" s="24" t="str">
        <f aca="false">IF(OR(E1422="",E1422="!!!",F1422="NEW"),"",INDEX(B$2:B1421,-1+SUMPRODUCT(MAX(ROW(E$2:E1421)*(E1422=E$2:E1421)))))</f>
        <v/>
      </c>
      <c r="J1422" s="24" t="str">
        <f aca="true">IF(OR(E1422="",E1422="!!!",F1422="NEW"),"",COUNTBLANK(OFFSET(A$1,,,SUMPRODUCT(MAX(ROW(E$2:E1422)*(E1422=E$2:E1422)))))-COUNTBLANK(OFFSET(A$1,,,SUMPRODUCT(MAX(ROW(E$1:E1421)*(E2=E$1:E1421))))))</f>
        <v/>
      </c>
      <c r="K1422" s="24" t="str">
        <f aca="false">IF(OR(E1422="",E1422="!!!",F1422="NEW"),"",INDEX(J$1:J1421,SUMPRODUCT(MAX(ROW(E$1:E1421)*(E1422=E$1:E1421)))))</f>
        <v/>
      </c>
      <c r="L1422" s="25"/>
    </row>
    <row r="1423" customFormat="false" ht="14.25" hidden="false" customHeight="false" outlineLevel="0" collapsed="false">
      <c r="A1423" s="0" t="s">
        <v>877</v>
      </c>
      <c r="B1423" s="26" t="s">
        <v>73</v>
      </c>
      <c r="C1423" s="26" t="s">
        <v>74</v>
      </c>
      <c r="D1423" s="26" t="s">
        <v>75</v>
      </c>
      <c r="E1423" s="20" t="s">
        <v>878</v>
      </c>
      <c r="F1423" s="21" t="str">
        <f aca="false">IF(OR(E1423="",E1423="!!!"),"",IF(NOT(ISNA(VLOOKUP(E1423,E$1:E1422,1,FALSE()))),"OLD",IF(AND(E1423&lt;&gt;"",E1423&lt;&gt;"!!!"),"NEW","")))</f>
        <v>NEW</v>
      </c>
      <c r="G1423" s="22" t="str">
        <f aca="false"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?REFERENTIAL</v>
      </c>
      <c r="H1423" s="23" t="str">
        <f aca="false">IF(J1423&lt;&gt;1,"",IF(I1423="SBJ","CB","?"))</f>
        <v/>
      </c>
      <c r="I1423" s="24" t="str">
        <f aca="false">IF(OR(E1423="",E1423="!!!",F1423="NEW"),"",INDEX(B$2:B1422,-1+SUMPRODUCT(MAX(ROW(E$2:E1422)*(E1423=E$2:E1422)))))</f>
        <v/>
      </c>
      <c r="J1423" s="24" t="str">
        <f aca="true">IF(OR(E1423="",E1423="!!!",F1423="NEW"),"",COUNTBLANK(OFFSET(A$1,,,SUMPRODUCT(MAX(ROW(E$2:E1423)*(E1423=E$2:E1423)))))-COUNTBLANK(OFFSET(A$1,,,SUMPRODUCT(MAX(ROW(E$1:E1422)*(E2=E$1:E1422))))))</f>
        <v/>
      </c>
      <c r="K1423" s="24" t="str">
        <f aca="false">IF(OR(E1423="",E1423="!!!",F1423="NEW"),"",INDEX(J$1:J1422,SUMPRODUCT(MAX(ROW(E$1:E1422)*(E1423=E$1:E1422)))))</f>
        <v/>
      </c>
      <c r="L1423" s="25"/>
    </row>
    <row r="1424" customFormat="false" ht="14.25" hidden="false" customHeight="false" outlineLevel="0" collapsed="false">
      <c r="A1424" s="0" t="s">
        <v>378</v>
      </c>
      <c r="E1424" s="20" t="str">
        <f aca="false">IF(D1424="?OLD","!!!","")</f>
        <v/>
      </c>
      <c r="F1424" s="21" t="str">
        <f aca="false">IF(OR(E1424="",E1424="!!!"),"",IF(NOT(ISNA(VLOOKUP(E1424,E$1:E1423,1,FALSE()))),"OLD",IF(AND(E1424&lt;&gt;"",E1424&lt;&gt;"!!!"),"NEW","")))</f>
        <v/>
      </c>
      <c r="G1424" s="22" t="str">
        <f aca="false"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aca="false">IF(J1424&lt;&gt;1,"",IF(I1424="SBJ","CB","?"))</f>
        <v/>
      </c>
      <c r="I1424" s="24" t="str">
        <f aca="false">IF(OR(E1424="",E1424="!!!",F1424="NEW"),"",INDEX(B$2:B1423,-1+SUMPRODUCT(MAX(ROW(E$2:E1423)*(E1424=E$2:E1423)))))</f>
        <v/>
      </c>
      <c r="J1424" s="24" t="str">
        <f aca="true">IF(OR(E1424="",E1424="!!!",F1424="NEW"),"",COUNTBLANK(OFFSET(A$1,,,SUMPRODUCT(MAX(ROW(E$2:E1424)*(E1424=E$2:E1424)))))-COUNTBLANK(OFFSET(A$1,,,SUMPRODUCT(MAX(ROW(E$1:E1423)*(E2=E$1:E1423))))))</f>
        <v/>
      </c>
      <c r="K1424" s="24" t="str">
        <f aca="false">IF(OR(E1424="",E1424="!!!",F1424="NEW"),"",INDEX(J$1:J1423,SUMPRODUCT(MAX(ROW(E$1:E1423)*(E1424=E$1:E1423)))))</f>
        <v/>
      </c>
      <c r="L1424" s="25"/>
    </row>
    <row r="1425" customFormat="false" ht="14.25" hidden="false" customHeight="false" outlineLevel="0" collapsed="false">
      <c r="A1425" s="0" t="s">
        <v>879</v>
      </c>
      <c r="E1425" s="20" t="str">
        <f aca="false">IF(D1425="?OLD","!!!","")</f>
        <v/>
      </c>
      <c r="F1425" s="21" t="str">
        <f aca="false">IF(OR(E1425="",E1425="!!!"),"",IF(NOT(ISNA(VLOOKUP(E1425,E$1:E1424,1,FALSE()))),"OLD",IF(AND(E1425&lt;&gt;"",E1425&lt;&gt;"!!!"),"NEW","")))</f>
        <v/>
      </c>
      <c r="G1425" s="22" t="str">
        <f aca="false"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aca="false">IF(J1425&lt;&gt;1,"",IF(I1425="SBJ","CB","?"))</f>
        <v/>
      </c>
      <c r="I1425" s="24" t="str">
        <f aca="false">IF(OR(E1425="",E1425="!!!",F1425="NEW"),"",INDEX(B$2:B1424,-1+SUMPRODUCT(MAX(ROW(E$2:E1424)*(E1425=E$2:E1424)))))</f>
        <v/>
      </c>
      <c r="J1425" s="24" t="str">
        <f aca="true">IF(OR(E1425="",E1425="!!!",F1425="NEW"),"",COUNTBLANK(OFFSET(A$1,,,SUMPRODUCT(MAX(ROW(E$2:E1425)*(E1425=E$2:E1425)))))-COUNTBLANK(OFFSET(A$1,,,SUMPRODUCT(MAX(ROW(E$1:E1424)*(E2=E$1:E1424))))))</f>
        <v/>
      </c>
      <c r="K1425" s="24" t="str">
        <f aca="false">IF(OR(E1425="",E1425="!!!",F1425="NEW"),"",INDEX(J$1:J1424,SUMPRODUCT(MAX(ROW(E$1:E1424)*(E1425=E$1:E1424)))))</f>
        <v/>
      </c>
      <c r="L1425" s="25"/>
    </row>
    <row r="1426" customFormat="false" ht="14.25" hidden="false" customHeight="false" outlineLevel="0" collapsed="false">
      <c r="A1426" s="0" t="s">
        <v>880</v>
      </c>
      <c r="B1426" s="26" t="s">
        <v>91</v>
      </c>
      <c r="C1426" s="26" t="s">
        <v>119</v>
      </c>
      <c r="E1426" s="20" t="str">
        <f aca="false">IF(D1426="?OLD","!!!","")</f>
        <v/>
      </c>
      <c r="F1426" s="21" t="str">
        <f aca="false">IF(OR(E1426="",E1426="!!!"),"",IF(NOT(ISNA(VLOOKUP(E1426,E$1:E1425,1,FALSE()))),"OLD",IF(AND(E1426&lt;&gt;"",E1426&lt;&gt;"!!!"),"NEW","")))</f>
        <v/>
      </c>
      <c r="G1426" s="22" t="str">
        <f aca="false"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aca="false">IF(J1426&lt;&gt;1,"",IF(I1426="SBJ","CB","?"))</f>
        <v/>
      </c>
      <c r="I1426" s="24" t="str">
        <f aca="false">IF(OR(E1426="",E1426="!!!",F1426="NEW"),"",INDEX(B$2:B1425,-1+SUMPRODUCT(MAX(ROW(E$2:E1425)*(E1426=E$2:E1425)))))</f>
        <v/>
      </c>
      <c r="J1426" s="24" t="str">
        <f aca="true">IF(OR(E1426="",E1426="!!!",F1426="NEW"),"",COUNTBLANK(OFFSET(A$1,,,SUMPRODUCT(MAX(ROW(E$2:E1426)*(E1426=E$2:E1426)))))-COUNTBLANK(OFFSET(A$1,,,SUMPRODUCT(MAX(ROW(E$1:E1425)*(E2=E$1:E1425))))))</f>
        <v/>
      </c>
      <c r="K1426" s="24" t="str">
        <f aca="false">IF(OR(E1426="",E1426="!!!",F1426="NEW"),"",INDEX(J$1:J1425,SUMPRODUCT(MAX(ROW(E$1:E1425)*(E1426=E$1:E1425)))))</f>
        <v/>
      </c>
      <c r="L1426" s="25"/>
    </row>
    <row r="1427" customFormat="false" ht="14.25" hidden="false" customHeight="false" outlineLevel="0" collapsed="false">
      <c r="A1427" s="0" t="s">
        <v>559</v>
      </c>
      <c r="B1427" s="26" t="s">
        <v>82</v>
      </c>
      <c r="C1427" s="26" t="s">
        <v>283</v>
      </c>
      <c r="D1427" s="26" t="s">
        <v>75</v>
      </c>
      <c r="E1427" s="20" t="s">
        <v>881</v>
      </c>
      <c r="F1427" s="21" t="str">
        <f aca="false">IF(OR(E1427="",E1427="!!!"),"",IF(NOT(ISNA(VLOOKUP(E1427,E$1:E1426,1,FALSE()))),"OLD",IF(AND(E1427&lt;&gt;"",E1427&lt;&gt;"!!!"),"NEW","")))</f>
        <v>NEW</v>
      </c>
      <c r="G1427" s="22" t="str">
        <f aca="false"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?REFERENTIAL</v>
      </c>
      <c r="H1427" s="23" t="str">
        <f aca="false">IF(J1427&lt;&gt;1,"",IF(I1427="SBJ","CB","?"))</f>
        <v/>
      </c>
      <c r="I1427" s="24" t="str">
        <f aca="false">IF(OR(E1427="",E1427="!!!",F1427="NEW"),"",INDEX(B$2:B1426,-1+SUMPRODUCT(MAX(ROW(E$2:E1426)*(E1427=E$2:E1426)))))</f>
        <v/>
      </c>
      <c r="J1427" s="24" t="str">
        <f aca="true">IF(OR(E1427="",E1427="!!!",F1427="NEW"),"",COUNTBLANK(OFFSET(A$1,,,SUMPRODUCT(MAX(ROW(E$2:E1427)*(E1427=E$2:E1427)))))-COUNTBLANK(OFFSET(A$1,,,SUMPRODUCT(MAX(ROW(E$1:E1426)*(E2=E$1:E1426))))))</f>
        <v/>
      </c>
      <c r="K1427" s="24" t="str">
        <f aca="false">IF(OR(E1427="",E1427="!!!",F1427="NEW"),"",INDEX(J$1:J1426,SUMPRODUCT(MAX(ROW(E$1:E1426)*(E1427=E$1:E1426)))))</f>
        <v/>
      </c>
      <c r="L1427" s="25"/>
    </row>
    <row r="1428" customFormat="false" ht="14.25" hidden="false" customHeight="false" outlineLevel="0" collapsed="false">
      <c r="A1428" s="0" t="s">
        <v>86</v>
      </c>
      <c r="E1428" s="20" t="str">
        <f aca="false">IF(D1428="?OLD","!!!","")</f>
        <v/>
      </c>
      <c r="F1428" s="21" t="str">
        <f aca="false">IF(OR(E1428="",E1428="!!!"),"",IF(NOT(ISNA(VLOOKUP(E1428,E$1:E1427,1,FALSE()))),"OLD",IF(AND(E1428&lt;&gt;"",E1428&lt;&gt;"!!!"),"NEW","")))</f>
        <v/>
      </c>
      <c r="G1428" s="22" t="str">
        <f aca="false"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aca="false">IF(J1428&lt;&gt;1,"",IF(I1428="SBJ","CB","?"))</f>
        <v/>
      </c>
      <c r="I1428" s="24" t="str">
        <f aca="false">IF(OR(E1428="",E1428="!!!",F1428="NEW"),"",INDEX(B$2:B1427,-1+SUMPRODUCT(MAX(ROW(E$2:E1427)*(E1428=E$2:E1427)))))</f>
        <v/>
      </c>
      <c r="J1428" s="24" t="str">
        <f aca="true">IF(OR(E1428="",E1428="!!!",F1428="NEW"),"",COUNTBLANK(OFFSET(A$1,,,SUMPRODUCT(MAX(ROW(E$2:E1428)*(E1428=E$2:E1428)))))-COUNTBLANK(OFFSET(A$1,,,SUMPRODUCT(MAX(ROW(E$1:E1427)*(E2=E$1:E1427))))))</f>
        <v/>
      </c>
      <c r="K1428" s="24" t="str">
        <f aca="false">IF(OR(E1428="",E1428="!!!",F1428="NEW"),"",INDEX(J$1:J1427,SUMPRODUCT(MAX(ROW(E$1:E1427)*(E1428=E$1:E1427)))))</f>
        <v/>
      </c>
      <c r="L1428" s="25"/>
    </row>
    <row r="1429" customFormat="false" ht="14.25" hidden="false" customHeight="false" outlineLevel="0" collapsed="false">
      <c r="A1429" s="0" t="s">
        <v>875</v>
      </c>
      <c r="E1429" s="20" t="str">
        <f aca="false">IF(D1429="?OLD","!!!","")</f>
        <v/>
      </c>
      <c r="F1429" s="21" t="str">
        <f aca="false">IF(OR(E1429="",E1429="!!!"),"",IF(NOT(ISNA(VLOOKUP(E1429,E$1:E1428,1,FALSE()))),"OLD",IF(AND(E1429&lt;&gt;"",E1429&lt;&gt;"!!!"),"NEW","")))</f>
        <v/>
      </c>
      <c r="G1429" s="22" t="str">
        <f aca="false"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aca="false">IF(J1429&lt;&gt;1,"",IF(I1429="SBJ","CB","?"))</f>
        <v/>
      </c>
      <c r="I1429" s="24" t="str">
        <f aca="false">IF(OR(E1429="",E1429="!!!",F1429="NEW"),"",INDEX(B$2:B1428,-1+SUMPRODUCT(MAX(ROW(E$2:E1428)*(E1429=E$2:E1428)))))</f>
        <v/>
      </c>
      <c r="J1429" s="24" t="str">
        <f aca="true">IF(OR(E1429="",E1429="!!!",F1429="NEW"),"",COUNTBLANK(OFFSET(A$1,,,SUMPRODUCT(MAX(ROW(E$2:E1429)*(E1429=E$2:E1429)))))-COUNTBLANK(OFFSET(A$1,,,SUMPRODUCT(MAX(ROW(E$1:E1428)*(E2=E$1:E1428))))))</f>
        <v/>
      </c>
      <c r="K1429" s="24" t="str">
        <f aca="false">IF(OR(E1429="",E1429="!!!",F1429="NEW"),"",INDEX(J$1:J1428,SUMPRODUCT(MAX(ROW(E$1:E1428)*(E1429=E$1:E1428)))))</f>
        <v/>
      </c>
      <c r="L1429" s="25"/>
    </row>
    <row r="1430" customFormat="false" ht="14.25" hidden="false" customHeight="false" outlineLevel="0" collapsed="false">
      <c r="A1430" s="0" t="s">
        <v>876</v>
      </c>
      <c r="E1430" s="20" t="str">
        <f aca="false">IF(D1430="?OLD","!!!","")</f>
        <v/>
      </c>
      <c r="F1430" s="21" t="str">
        <f aca="false">IF(OR(E1430="",E1430="!!!"),"",IF(NOT(ISNA(VLOOKUP(E1430,E$1:E1429,1,FALSE()))),"OLD",IF(AND(E1430&lt;&gt;"",E1430&lt;&gt;"!!!"),"NEW","")))</f>
        <v/>
      </c>
      <c r="G1430" s="22" t="str">
        <f aca="false"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aca="false">IF(J1430&lt;&gt;1,"",IF(I1430="SBJ","CB","?"))</f>
        <v/>
      </c>
      <c r="I1430" s="24" t="str">
        <f aca="false">IF(OR(E1430="",E1430="!!!",F1430="NEW"),"",INDEX(B$2:B1429,-1+SUMPRODUCT(MAX(ROW(E$2:E1429)*(E1430=E$2:E1429)))))</f>
        <v/>
      </c>
      <c r="J1430" s="24" t="str">
        <f aca="true">IF(OR(E1430="",E1430="!!!",F1430="NEW"),"",COUNTBLANK(OFFSET(A$1,,,SUMPRODUCT(MAX(ROW(E$2:E1430)*(E1430=E$2:E1430)))))-COUNTBLANK(OFFSET(A$1,,,SUMPRODUCT(MAX(ROW(E$1:E1429)*(E2=E$1:E1429))))))</f>
        <v/>
      </c>
      <c r="K1430" s="24" t="str">
        <f aca="false">IF(OR(E1430="",E1430="!!!",F1430="NEW"),"",INDEX(J$1:J1429,SUMPRODUCT(MAX(ROW(E$1:E1429)*(E1430=E$1:E1429)))))</f>
        <v/>
      </c>
      <c r="L1430" s="25"/>
    </row>
    <row r="1431" customFormat="false" ht="14.25" hidden="false" customHeight="false" outlineLevel="0" collapsed="false">
      <c r="A1431" s="0" t="s">
        <v>882</v>
      </c>
      <c r="B1431" s="26" t="s">
        <v>96</v>
      </c>
      <c r="C1431" s="26" t="s">
        <v>74</v>
      </c>
      <c r="D1431" s="26" t="s">
        <v>75</v>
      </c>
      <c r="E1431" s="20" t="s">
        <v>883</v>
      </c>
      <c r="F1431" s="21" t="str">
        <f aca="false">IF(OR(E1431="",E1431="!!!"),"",IF(NOT(ISNA(VLOOKUP(E1431,E$1:E1430,1,FALSE()))),"OLD",IF(AND(E1431&lt;&gt;"",E1431&lt;&gt;"!!!"),"NEW","")))</f>
        <v>NEW</v>
      </c>
      <c r="G1431" s="22" t="str">
        <f aca="false"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?REFERENTIAL</v>
      </c>
      <c r="H1431" s="23" t="str">
        <f aca="false">IF(J1431&lt;&gt;1,"",IF(I1431="SBJ","CB","?"))</f>
        <v/>
      </c>
      <c r="I1431" s="24" t="str">
        <f aca="false">IF(OR(E1431="",E1431="!!!",F1431="NEW"),"",INDEX(B$2:B1430,-1+SUMPRODUCT(MAX(ROW(E$2:E1430)*(E1431=E$2:E1430)))))</f>
        <v/>
      </c>
      <c r="J1431" s="24" t="str">
        <f aca="true">IF(OR(E1431="",E1431="!!!",F1431="NEW"),"",COUNTBLANK(OFFSET(A$1,,,SUMPRODUCT(MAX(ROW(E$2:E1431)*(E1431=E$2:E1431)))))-COUNTBLANK(OFFSET(A$1,,,SUMPRODUCT(MAX(ROW(E$1:E1430)*(E2=E$1:E1430))))))</f>
        <v/>
      </c>
      <c r="K1431" s="24" t="str">
        <f aca="false">IF(OR(E1431="",E1431="!!!",F1431="NEW"),"",INDEX(J$1:J1430,SUMPRODUCT(MAX(ROW(E$1:E1430)*(E1431=E$1:E1430)))))</f>
        <v/>
      </c>
      <c r="L1431" s="25"/>
    </row>
    <row r="1432" customFormat="false" ht="14.25" hidden="false" customHeight="false" outlineLevel="0" collapsed="false">
      <c r="A1432" s="0" t="s">
        <v>884</v>
      </c>
      <c r="E1432" s="20" t="str">
        <f aca="false">IF(D1432="?OLD","!!!","")</f>
        <v/>
      </c>
      <c r="F1432" s="21" t="str">
        <f aca="false">IF(OR(E1432="",E1432="!!!"),"",IF(NOT(ISNA(VLOOKUP(E1432,E$1:E1431,1,FALSE()))),"OLD",IF(AND(E1432&lt;&gt;"",E1432&lt;&gt;"!!!"),"NEW","")))</f>
        <v/>
      </c>
      <c r="G1432" s="22" t="str">
        <f aca="false"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aca="false">IF(J1432&lt;&gt;1,"",IF(I1432="SBJ","CB","?"))</f>
        <v/>
      </c>
      <c r="I1432" s="24" t="str">
        <f aca="false">IF(OR(E1432="",E1432="!!!",F1432="NEW"),"",INDEX(B$2:B1431,-1+SUMPRODUCT(MAX(ROW(E$2:E1431)*(E1432=E$2:E1431)))))</f>
        <v/>
      </c>
      <c r="J1432" s="24" t="str">
        <f aca="true">IF(OR(E1432="",E1432="!!!",F1432="NEW"),"",COUNTBLANK(OFFSET(A$1,,,SUMPRODUCT(MAX(ROW(E$2:E1432)*(E1432=E$2:E1432)))))-COUNTBLANK(OFFSET(A$1,,,SUMPRODUCT(MAX(ROW(E$1:E1431)*(E2=E$1:E1431))))))</f>
        <v/>
      </c>
      <c r="K1432" s="24" t="str">
        <f aca="false">IF(OR(E1432="",E1432="!!!",F1432="NEW"),"",INDEX(J$1:J1431,SUMPRODUCT(MAX(ROW(E$1:E1431)*(E1432=E$1:E1431)))))</f>
        <v/>
      </c>
      <c r="L1432" s="25"/>
    </row>
    <row r="1433" customFormat="false" ht="14.25" hidden="false" customHeight="false" outlineLevel="0" collapsed="false">
      <c r="A1433" s="0" t="s">
        <v>880</v>
      </c>
      <c r="B1433" s="26" t="s">
        <v>110</v>
      </c>
      <c r="C1433" s="26" t="s">
        <v>119</v>
      </c>
      <c r="E1433" s="20" t="str">
        <f aca="false">IF(D1433="?OLD","!!!","")</f>
        <v/>
      </c>
      <c r="F1433" s="21" t="str">
        <f aca="false">IF(OR(E1433="",E1433="!!!"),"",IF(NOT(ISNA(VLOOKUP(E1433,E$1:E1432,1,FALSE()))),"OLD",IF(AND(E1433&lt;&gt;"",E1433&lt;&gt;"!!!"),"NEW","")))</f>
        <v/>
      </c>
      <c r="G1433" s="22" t="str">
        <f aca="false"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aca="false">IF(J1433&lt;&gt;1,"",IF(I1433="SBJ","CB","?"))</f>
        <v/>
      </c>
      <c r="I1433" s="24" t="str">
        <f aca="false">IF(OR(E1433="",E1433="!!!",F1433="NEW"),"",INDEX(B$2:B1432,-1+SUMPRODUCT(MAX(ROW(E$2:E1432)*(E1433=E$2:E1432)))))</f>
        <v/>
      </c>
      <c r="J1433" s="24" t="str">
        <f aca="true">IF(OR(E1433="",E1433="!!!",F1433="NEW"),"",COUNTBLANK(OFFSET(A$1,,,SUMPRODUCT(MAX(ROW(E$2:E1433)*(E1433=E$2:E1433)))))-COUNTBLANK(OFFSET(A$1,,,SUMPRODUCT(MAX(ROW(E$1:E1432)*(E2=E$1:E1432))))))</f>
        <v/>
      </c>
      <c r="K1433" s="24" t="str">
        <f aca="false">IF(OR(E1433="",E1433="!!!",F1433="NEW"),"",INDEX(J$1:J1432,SUMPRODUCT(MAX(ROW(E$1:E1432)*(E1433=E$1:E1432)))))</f>
        <v/>
      </c>
      <c r="L1433" s="25"/>
    </row>
    <row r="1434" customFormat="false" ht="14.25" hidden="false" customHeight="false" outlineLevel="0" collapsed="false">
      <c r="A1434" s="0" t="s">
        <v>559</v>
      </c>
      <c r="B1434" s="26" t="s">
        <v>115</v>
      </c>
      <c r="C1434" s="26" t="s">
        <v>283</v>
      </c>
      <c r="D1434" s="26" t="s">
        <v>75</v>
      </c>
      <c r="E1434" s="20" t="s">
        <v>885</v>
      </c>
      <c r="F1434" s="21" t="str">
        <f aca="false">IF(OR(E1434="",E1434="!!!"),"",IF(NOT(ISNA(VLOOKUP(E1434,E$1:E1433,1,FALSE()))),"OLD",IF(AND(E1434&lt;&gt;"",E1434&lt;&gt;"!!!"),"NEW","")))</f>
        <v>NEW</v>
      </c>
      <c r="G1434" s="22" t="str">
        <f aca="false"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?REFERENTIAL</v>
      </c>
      <c r="H1434" s="23" t="str">
        <f aca="false">IF(J1434&lt;&gt;1,"",IF(I1434="SBJ","CB","?"))</f>
        <v/>
      </c>
      <c r="I1434" s="24" t="str">
        <f aca="false">IF(OR(E1434="",E1434="!!!",F1434="NEW"),"",INDEX(B$2:B1433,-1+SUMPRODUCT(MAX(ROW(E$2:E1433)*(E1434=E$2:E1433)))))</f>
        <v/>
      </c>
      <c r="J1434" s="24" t="str">
        <f aca="true">IF(OR(E1434="",E1434="!!!",F1434="NEW"),"",COUNTBLANK(OFFSET(A$1,,,SUMPRODUCT(MAX(ROW(E$2:E1434)*(E1434=E$2:E1434)))))-COUNTBLANK(OFFSET(A$1,,,SUMPRODUCT(MAX(ROW(E$1:E1433)*(E2=E$1:E1433))))))</f>
        <v/>
      </c>
      <c r="K1434" s="24" t="str">
        <f aca="false">IF(OR(E1434="",E1434="!!!",F1434="NEW"),"",INDEX(J$1:J1433,SUMPRODUCT(MAX(ROW(E$1:E1433)*(E1434=E$1:E1433)))))</f>
        <v/>
      </c>
      <c r="L1434" s="25"/>
    </row>
    <row r="1435" customFormat="false" ht="14.25" hidden="false" customHeight="false" outlineLevel="0" collapsed="false">
      <c r="A1435" s="0" t="s">
        <v>86</v>
      </c>
      <c r="E1435" s="20" t="str">
        <f aca="false">IF(D1435="?OLD","!!!","")</f>
        <v/>
      </c>
      <c r="F1435" s="21" t="str">
        <f aca="false">IF(OR(E1435="",E1435="!!!"),"",IF(NOT(ISNA(VLOOKUP(E1435,E$1:E1434,1,FALSE()))),"OLD",IF(AND(E1435&lt;&gt;"",E1435&lt;&gt;"!!!"),"NEW","")))</f>
        <v/>
      </c>
      <c r="G1435" s="22" t="str">
        <f aca="false"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aca="false">IF(J1435&lt;&gt;1,"",IF(I1435="SBJ","CB","?"))</f>
        <v/>
      </c>
      <c r="I1435" s="24" t="str">
        <f aca="false">IF(OR(E1435="",E1435="!!!",F1435="NEW"),"",INDEX(B$2:B1434,-1+SUMPRODUCT(MAX(ROW(E$2:E1434)*(E1435=E$2:E1434)))))</f>
        <v/>
      </c>
      <c r="J1435" s="24" t="str">
        <f aca="true">IF(OR(E1435="",E1435="!!!",F1435="NEW"),"",COUNTBLANK(OFFSET(A$1,,,SUMPRODUCT(MAX(ROW(E$2:E1435)*(E1435=E$2:E1435)))))-COUNTBLANK(OFFSET(A$1,,,SUMPRODUCT(MAX(ROW(E$1:E1434)*(E2=E$1:E1434))))))</f>
        <v/>
      </c>
      <c r="K1435" s="24" t="str">
        <f aca="false">IF(OR(E1435="",E1435="!!!",F1435="NEW"),"",INDEX(J$1:J1434,SUMPRODUCT(MAX(ROW(E$1:E1434)*(E1435=E$1:E1434)))))</f>
        <v/>
      </c>
      <c r="L1435" s="25"/>
    </row>
    <row r="1436" customFormat="false" ht="14.25" hidden="false" customHeight="false" outlineLevel="0" collapsed="false">
      <c r="A1436" s="0" t="s">
        <v>265</v>
      </c>
      <c r="B1436" s="26" t="s">
        <v>147</v>
      </c>
      <c r="C1436" s="26" t="s">
        <v>151</v>
      </c>
      <c r="D1436" s="26" t="s">
        <v>75</v>
      </c>
      <c r="E1436" s="20" t="s">
        <v>886</v>
      </c>
      <c r="F1436" s="21" t="s">
        <v>211</v>
      </c>
      <c r="G1436" s="22" t="e">
        <f aca="false"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#VALUE!</v>
      </c>
      <c r="H1436" s="23" t="str">
        <f aca="false">IF(J1436&lt;&gt;1,"",IF(I1436="SBJ","CB","?"))</f>
        <v/>
      </c>
      <c r="I1436" s="24" t="e">
        <f aca="false">IF(OR(E1436="",E1436="!!!",F1436="NEW"),"",INDEX(B$2:B1435,-1+SUMPRODUCT(MAX(ROW(E$2:E1435)*(E1436=E$2:E1435)))))</f>
        <v>#VALUE!</v>
      </c>
      <c r="J1436" s="24" t="n">
        <f aca="true">IF(OR(E1436="",E1436="!!!",F1436="NEW"),"",COUNTBLANK(OFFSET(A$1,,,SUMPRODUCT(MAX(ROW(E$2:E1436)*(E1436=E$2:E1436)))))-COUNTBLANK(OFFSET(A$1,,,SUMPRODUCT(MAX(ROW(E$1:E1435)*(E2=E$1:E1435))))))</f>
        <v>0</v>
      </c>
      <c r="K1436" s="24" t="e">
        <f aca="false">IF(OR(E1436="",E1436="!!!",F1436="NEW"),"",INDEX(J$1:J1435,SUMPRODUCT(MAX(ROW(E$1:E1435)*(E1436=E$1:E1435)))))</f>
        <v>#VALUE!</v>
      </c>
      <c r="L1436" s="25"/>
    </row>
    <row r="1437" customFormat="false" ht="14.25" hidden="false" customHeight="false" outlineLevel="0" collapsed="false">
      <c r="A1437" s="0" t="s">
        <v>167</v>
      </c>
      <c r="E1437" s="20" t="str">
        <f aca="false">IF(D1437="?OLD","!!!","")</f>
        <v/>
      </c>
      <c r="F1437" s="21" t="str">
        <f aca="false">IF(OR(E1437="",E1437="!!!"),"",IF(NOT(ISNA(VLOOKUP(E1437,E$1:E1436,1,FALSE()))),"OLD",IF(AND(E1437&lt;&gt;"",E1437&lt;&gt;"!!!"),"NEW","")))</f>
        <v/>
      </c>
      <c r="G1437" s="22" t="str">
        <f aca="false"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/>
      </c>
      <c r="H1437" s="23" t="str">
        <f aca="false">IF(J1437&lt;&gt;1,"",IF(I1437="SBJ","CB","?"))</f>
        <v/>
      </c>
      <c r="I1437" s="24" t="str">
        <f aca="false">IF(OR(E1437="",E1437="!!!",F1437="NEW"),"",INDEX(B$2:B1436,-1+SUMPRODUCT(MAX(ROW(E$2:E1436)*(E1437=E$2:E1436)))))</f>
        <v/>
      </c>
      <c r="J1437" s="24" t="str">
        <f aca="true">IF(OR(E1437="",E1437="!!!",F1437="NEW"),"",COUNTBLANK(OFFSET(A$1,,,SUMPRODUCT(MAX(ROW(E$2:E1437)*(E1437=E$2:E1437)))))-COUNTBLANK(OFFSET(A$1,,,SUMPRODUCT(MAX(ROW(E$1:E1436)*(E2=E$1:E1436))))))</f>
        <v/>
      </c>
      <c r="K1437" s="24" t="str">
        <f aca="false">IF(OR(E1437="",E1437="!!!",F1437="NEW"),"",INDEX(J$1:J1436,SUMPRODUCT(MAX(ROW(E$1:E1436)*(E1437=E$1:E1436)))))</f>
        <v/>
      </c>
      <c r="L1437" s="25"/>
    </row>
    <row r="1438" customFormat="false" ht="14.25" hidden="false" customHeight="false" outlineLevel="0" collapsed="false">
      <c r="A1438" s="0" t="s">
        <v>887</v>
      </c>
      <c r="E1438" s="20" t="str">
        <f aca="false">IF(D1438="?OLD","!!!","")</f>
        <v/>
      </c>
      <c r="F1438" s="21" t="str">
        <f aca="false">IF(OR(E1438="",E1438="!!!"),"",IF(NOT(ISNA(VLOOKUP(E1438,E$1:E1437,1,FALSE()))),"OLD",IF(AND(E1438&lt;&gt;"",E1438&lt;&gt;"!!!"),"NEW","")))</f>
        <v/>
      </c>
      <c r="G1438" s="22" t="str">
        <f aca="false"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aca="false">IF(J1438&lt;&gt;1,"",IF(I1438="SBJ","CB","?"))</f>
        <v/>
      </c>
      <c r="I1438" s="24" t="str">
        <f aca="false">IF(OR(E1438="",E1438="!!!",F1438="NEW"),"",INDEX(B$2:B1437,-1+SUMPRODUCT(MAX(ROW(E$2:E1437)*(E1438=E$2:E1437)))))</f>
        <v/>
      </c>
      <c r="J1438" s="24" t="str">
        <f aca="true">IF(OR(E1438="",E1438="!!!",F1438="NEW"),"",COUNTBLANK(OFFSET(A$1,,,SUMPRODUCT(MAX(ROW(E$2:E1438)*(E1438=E$2:E1438)))))-COUNTBLANK(OFFSET(A$1,,,SUMPRODUCT(MAX(ROW(E$1:E1437)*(E2=E$1:E1437))))))</f>
        <v/>
      </c>
      <c r="K1438" s="24" t="str">
        <f aca="false">IF(OR(E1438="",E1438="!!!",F1438="NEW"),"",INDEX(J$1:J1437,SUMPRODUCT(MAX(ROW(E$1:E1437)*(E1438=E$1:E1437)))))</f>
        <v/>
      </c>
      <c r="L1438" s="25"/>
    </row>
    <row r="1439" customFormat="false" ht="14.25" hidden="false" customHeight="false" outlineLevel="0" collapsed="false">
      <c r="A1439" s="0" t="s">
        <v>888</v>
      </c>
      <c r="E1439" s="20" t="str">
        <f aca="false">IF(D1439="?OLD","!!!","")</f>
        <v/>
      </c>
      <c r="F1439" s="21" t="str">
        <f aca="false">IF(OR(E1439="",E1439="!!!"),"",IF(NOT(ISNA(VLOOKUP(E1439,E$1:E1438,1,FALSE()))),"OLD",IF(AND(E1439&lt;&gt;"",E1439&lt;&gt;"!!!"),"NEW","")))</f>
        <v/>
      </c>
      <c r="G1439" s="22" t="str">
        <f aca="false"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3" t="str">
        <f aca="false">IF(J1439&lt;&gt;1,"",IF(I1439="SBJ","CB","?"))</f>
        <v/>
      </c>
      <c r="I1439" s="24" t="str">
        <f aca="false">IF(OR(E1439="",E1439="!!!",F1439="NEW"),"",INDEX(B$2:B1438,-1+SUMPRODUCT(MAX(ROW(E$2:E1438)*(E1439=E$2:E1438)))))</f>
        <v/>
      </c>
      <c r="J1439" s="24" t="str">
        <f aca="true">IF(OR(E1439="",E1439="!!!",F1439="NEW"),"",COUNTBLANK(OFFSET(A$1,,,SUMPRODUCT(MAX(ROW(E$2:E1439)*(E1439=E$2:E1439)))))-COUNTBLANK(OFFSET(A$1,,,SUMPRODUCT(MAX(ROW(E$1:E1438)*(E2=E$1:E1438))))))</f>
        <v/>
      </c>
      <c r="K1439" s="24" t="str">
        <f aca="false">IF(OR(E1439="",E1439="!!!",F1439="NEW"),"",INDEX(J$1:J1438,SUMPRODUCT(MAX(ROW(E$1:E1438)*(E1439=E$1:E1438)))))</f>
        <v/>
      </c>
      <c r="L1439" s="25"/>
    </row>
    <row r="1440" customFormat="false" ht="14.25" hidden="false" customHeight="false" outlineLevel="0" collapsed="false">
      <c r="A1440" s="0" t="s">
        <v>880</v>
      </c>
      <c r="B1440" s="26" t="s">
        <v>131</v>
      </c>
      <c r="C1440" s="26" t="s">
        <v>119</v>
      </c>
      <c r="E1440" s="20"/>
      <c r="F1440" s="21"/>
      <c r="G1440" s="22" t="str">
        <f aca="false"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3" t="str">
        <f aca="false">IF(J1440&lt;&gt;1,"",IF(I1440="SBJ","CB","?"))</f>
        <v/>
      </c>
      <c r="I1440" s="24" t="str">
        <f aca="false">IF(OR(E1440="",E1440="!!!",F1440="NEW"),"",INDEX(B$2:B1439,-1+SUMPRODUCT(MAX(ROW(E$2:E1439)*(E1440=E$2:E1439)))))</f>
        <v/>
      </c>
      <c r="J1440" s="24" t="str">
        <f aca="true">IF(OR(E1440="",E1440="!!!",F1440="NEW"),"",COUNTBLANK(OFFSET(A$1,,,SUMPRODUCT(MAX(ROW(E$2:E1440)*(E1440=E$2:E1440)))))-COUNTBLANK(OFFSET(A$1,,,SUMPRODUCT(MAX(ROW(E$1:E1439)*(E2=E$1:E1439))))))</f>
        <v/>
      </c>
      <c r="K1440" s="24" t="str">
        <f aca="false">IF(OR(E1440="",E1440="!!!",F1440="NEW"),"",INDEX(J$1:J1439,SUMPRODUCT(MAX(ROW(E$1:E1439)*(E1440=E$1:E1439)))))</f>
        <v/>
      </c>
      <c r="L1440" s="25"/>
    </row>
    <row r="1441" customFormat="false" ht="14.25" hidden="false" customHeight="false" outlineLevel="0" collapsed="false">
      <c r="A1441" s="0" t="s">
        <v>86</v>
      </c>
      <c r="E1441" s="20" t="str">
        <f aca="false">IF(D1441="?OLD","!!!","")</f>
        <v/>
      </c>
      <c r="F1441" s="21" t="str">
        <f aca="false">IF(OR(E1441="",E1441="!!!"),"",IF(NOT(ISNA(VLOOKUP(E1441,E$1:E1440,1,FALSE()))),"OLD",IF(AND(E1441&lt;&gt;"",E1441&lt;&gt;"!!!"),"NEW","")))</f>
        <v/>
      </c>
      <c r="G1441" s="22" t="str">
        <f aca="false"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aca="false">IF(J1441&lt;&gt;1,"",IF(I1441="SBJ","CB","?"))</f>
        <v/>
      </c>
      <c r="I1441" s="24" t="str">
        <f aca="false">IF(OR(E1441="",E1441="!!!",F1441="NEW"),"",INDEX(B$2:B1440,-1+SUMPRODUCT(MAX(ROW(E$2:E1440)*(E1441=E$2:E1440)))))</f>
        <v/>
      </c>
      <c r="J1441" s="24" t="str">
        <f aca="true">IF(OR(E1441="",E1441="!!!",F1441="NEW"),"",COUNTBLANK(OFFSET(A$1,,,SUMPRODUCT(MAX(ROW(E$2:E1441)*(E1441=E$2:E1441)))))-COUNTBLANK(OFFSET(A$1,,,SUMPRODUCT(MAX(ROW(E$1:E1440)*(E2=E$1:E1440))))))</f>
        <v/>
      </c>
      <c r="K1441" s="24" t="str">
        <f aca="false">IF(OR(E1441="",E1441="!!!",F1441="NEW"),"",INDEX(J$1:J1440,SUMPRODUCT(MAX(ROW(E$1:E1440)*(E1441=E$1:E1440)))))</f>
        <v/>
      </c>
      <c r="L1441" s="25"/>
    </row>
    <row r="1442" customFormat="false" ht="14.25" hidden="false" customHeight="false" outlineLevel="0" collapsed="false">
      <c r="A1442" s="0" t="s">
        <v>265</v>
      </c>
      <c r="B1442" s="26" t="s">
        <v>96</v>
      </c>
      <c r="C1442" s="26" t="s">
        <v>151</v>
      </c>
      <c r="D1442" s="26" t="s">
        <v>75</v>
      </c>
      <c r="E1442" s="20" t="s">
        <v>889</v>
      </c>
      <c r="F1442" s="21" t="s">
        <v>273</v>
      </c>
      <c r="G1442" s="22" t="e">
        <f aca="false"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#VALUE!</v>
      </c>
      <c r="H1442" s="23" t="str">
        <f aca="false">IF(J1442&lt;&gt;1,"",IF(I1442="SBJ","CB","?"))</f>
        <v/>
      </c>
      <c r="I1442" s="24" t="e">
        <f aca="false">IF(OR(E1442="",E1442="!!!",F1442="NEW"),"",INDEX(B$2:B1441,-1+SUMPRODUCT(MAX(ROW(E$2:E1441)*(E1442=E$2:E1441)))))</f>
        <v>#VALUE!</v>
      </c>
      <c r="J1442" s="24" t="n">
        <f aca="true">IF(OR(E1442="",E1442="!!!",F1442="NEW"),"",COUNTBLANK(OFFSET(A$1,,,SUMPRODUCT(MAX(ROW(E$2:E1442)*(E1442=E$2:E1442)))))-COUNTBLANK(OFFSET(A$1,,,SUMPRODUCT(MAX(ROW(E$1:E1441)*(E2=E$1:E1441))))))</f>
        <v>0</v>
      </c>
      <c r="K1442" s="24" t="e">
        <f aca="false">IF(OR(E1442="",E1442="!!!",F1442="NEW"),"",INDEX(J$1:J1441,SUMPRODUCT(MAX(ROW(E$1:E1441)*(E1442=E$1:E1441)))))</f>
        <v>#VALUE!</v>
      </c>
      <c r="L1442" s="25"/>
    </row>
    <row r="1443" customFormat="false" ht="14.25" hidden="false" customHeight="false" outlineLevel="0" collapsed="false">
      <c r="A1443" s="0" t="s">
        <v>78</v>
      </c>
      <c r="E1443" s="20" t="str">
        <f aca="false">IF(D1443="?OLD","!!!","")</f>
        <v/>
      </c>
      <c r="F1443" s="21" t="str">
        <f aca="false">IF(OR(E1443="",E1443="!!!"),"",IF(NOT(ISNA(VLOOKUP(E1443,E$1:E1442,1,FALSE()))),"OLD",IF(AND(E1443&lt;&gt;"",E1443&lt;&gt;"!!!"),"NEW","")))</f>
        <v/>
      </c>
      <c r="G1443" s="22" t="str">
        <f aca="false"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aca="false">IF(J1443&lt;&gt;1,"",IF(I1443="SBJ","CB","?"))</f>
        <v/>
      </c>
      <c r="I1443" s="24" t="str">
        <f aca="false">IF(OR(E1443="",E1443="!!!",F1443="NEW"),"",INDEX(B$2:B1442,-1+SUMPRODUCT(MAX(ROW(E$2:E1442)*(E1443=E$2:E1442)))))</f>
        <v/>
      </c>
      <c r="J1443" s="24" t="str">
        <f aca="true">IF(OR(E1443="",E1443="!!!",F1443="NEW"),"",COUNTBLANK(OFFSET(A$1,,,SUMPRODUCT(MAX(ROW(E$2:E1443)*(E1443=E$2:E1443)))))-COUNTBLANK(OFFSET(A$1,,,SUMPRODUCT(MAX(ROW(E$1:E1442)*(E2=E$1:E1442))))))</f>
        <v/>
      </c>
      <c r="K1443" s="24" t="str">
        <f aca="false">IF(OR(E1443="",E1443="!!!",F1443="NEW"),"",INDEX(J$1:J1442,SUMPRODUCT(MAX(ROW(E$1:E1442)*(E1443=E$1:E1442)))))</f>
        <v/>
      </c>
      <c r="L1443" s="25"/>
    </row>
    <row r="1444" customFormat="false" ht="14.25" hidden="false" customHeight="false" outlineLevel="0" collapsed="false">
      <c r="A1444" s="0" t="s">
        <v>890</v>
      </c>
      <c r="E1444" s="20" t="str">
        <f aca="false">IF(D1444="?OLD","!!!","")</f>
        <v/>
      </c>
      <c r="F1444" s="21" t="str">
        <f aca="false">IF(OR(E1444="",E1444="!!!"),"",IF(NOT(ISNA(VLOOKUP(E1444,E$1:E1443,1,FALSE()))),"OLD",IF(AND(E1444&lt;&gt;"",E1444&lt;&gt;"!!!"),"NEW","")))</f>
        <v/>
      </c>
      <c r="G1444" s="22" t="str">
        <f aca="false"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aca="false">IF(J1444&lt;&gt;1,"",IF(I1444="SBJ","CB","?"))</f>
        <v/>
      </c>
      <c r="I1444" s="24" t="str">
        <f aca="false">IF(OR(E1444="",E1444="!!!",F1444="NEW"),"",INDEX(B$2:B1443,-1+SUMPRODUCT(MAX(ROW(E$2:E1443)*(E1444=E$2:E1443)))))</f>
        <v/>
      </c>
      <c r="J1444" s="24" t="str">
        <f aca="true">IF(OR(E1444="",E1444="!!!",F1444="NEW"),"",COUNTBLANK(OFFSET(A$1,,,SUMPRODUCT(MAX(ROW(E$2:E1444)*(E1444=E$2:E1444)))))-COUNTBLANK(OFFSET(A$1,,,SUMPRODUCT(MAX(ROW(E$1:E1443)*(E2=E$1:E1443))))))</f>
        <v/>
      </c>
      <c r="K1444" s="24" t="str">
        <f aca="false">IF(OR(E1444="",E1444="!!!",F1444="NEW"),"",INDEX(J$1:J1443,SUMPRODUCT(MAX(ROW(E$1:E1443)*(E1444=E$1:E1443)))))</f>
        <v/>
      </c>
      <c r="L1444" s="25"/>
    </row>
    <row r="1445" customFormat="false" ht="14.25" hidden="false" customHeight="false" outlineLevel="0" collapsed="false">
      <c r="A1445" s="0" t="s">
        <v>851</v>
      </c>
      <c r="B1445" s="26" t="s">
        <v>82</v>
      </c>
      <c r="C1445" s="26" t="s">
        <v>105</v>
      </c>
      <c r="E1445" s="20" t="str">
        <f aca="false">IF(D1445="?OLD","!!!","")</f>
        <v/>
      </c>
      <c r="F1445" s="21" t="str">
        <f aca="false">IF(OR(E1445="",E1445="!!!"),"",IF(NOT(ISNA(VLOOKUP(E1445,E$1:E1444,1,FALSE()))),"OLD",IF(AND(E1445&lt;&gt;"",E1445&lt;&gt;"!!!"),"NEW","")))</f>
        <v/>
      </c>
      <c r="G1445" s="22" t="str">
        <f aca="false"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aca="false">IF(J1445&lt;&gt;1,"",IF(I1445="SBJ","CB","?"))</f>
        <v/>
      </c>
      <c r="I1445" s="24" t="str">
        <f aca="false">IF(OR(E1445="",E1445="!!!",F1445="NEW"),"",INDEX(B$2:B1444,-1+SUMPRODUCT(MAX(ROW(E$2:E1444)*(E1445=E$2:E1444)))))</f>
        <v/>
      </c>
      <c r="J1445" s="24" t="str">
        <f aca="true">IF(OR(E1445="",E1445="!!!",F1445="NEW"),"",COUNTBLANK(OFFSET(A$1,,,SUMPRODUCT(MAX(ROW(E$2:E1445)*(E1445=E$2:E1445)))))-COUNTBLANK(OFFSET(A$1,,,SUMPRODUCT(MAX(ROW(E$1:E1444)*(E2=E$1:E1444))))))</f>
        <v/>
      </c>
      <c r="K1445" s="24" t="str">
        <f aca="false">IF(OR(E1445="",E1445="!!!",F1445="NEW"),"",INDEX(J$1:J1444,SUMPRODUCT(MAX(ROW(E$1:E1444)*(E1445=E$1:E1444)))))</f>
        <v/>
      </c>
      <c r="L1445" s="25"/>
    </row>
    <row r="1446" customFormat="false" ht="14.25" hidden="false" customHeight="false" outlineLevel="0" collapsed="false">
      <c r="A1446" s="0" t="s">
        <v>160</v>
      </c>
      <c r="E1446" s="20" t="str">
        <f aca="false">IF(D1446="?OLD","!!!","")</f>
        <v/>
      </c>
      <c r="F1446" s="21" t="str">
        <f aca="false">IF(OR(E1446="",E1446="!!!"),"",IF(NOT(ISNA(VLOOKUP(E1446,E$1:E1445,1,FALSE()))),"OLD",IF(AND(E1446&lt;&gt;"",E1446&lt;&gt;"!!!"),"NEW","")))</f>
        <v/>
      </c>
      <c r="G1446" s="22" t="str">
        <f aca="false"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aca="false">IF(J1446&lt;&gt;1,"",IF(I1446="SBJ","CB","?"))</f>
        <v/>
      </c>
      <c r="I1446" s="24" t="str">
        <f aca="false">IF(OR(E1446="",E1446="!!!",F1446="NEW"),"",INDEX(B$2:B1445,-1+SUMPRODUCT(MAX(ROW(E$2:E1445)*(E1446=E$2:E1445)))))</f>
        <v/>
      </c>
      <c r="J1446" s="24" t="str">
        <f aca="true">IF(OR(E1446="",E1446="!!!",F1446="NEW"),"",COUNTBLANK(OFFSET(A$1,,,SUMPRODUCT(MAX(ROW(E$2:E1446)*(E1446=E$2:E1446)))))-COUNTBLANK(OFFSET(A$1,,,SUMPRODUCT(MAX(ROW(E$1:E1445)*(E2=E$1:E1445))))))</f>
        <v/>
      </c>
      <c r="K1446" s="24" t="str">
        <f aca="false">IF(OR(E1446="",E1446="!!!",F1446="NEW"),"",INDEX(J$1:J1445,SUMPRODUCT(MAX(ROW(E$1:E1445)*(E1446=E$1:E1445)))))</f>
        <v/>
      </c>
      <c r="L1446" s="25"/>
    </row>
    <row r="1447" customFormat="false" ht="14.25" hidden="false" customHeight="false" outlineLevel="0" collapsed="false">
      <c r="A1447" s="0" t="s">
        <v>891</v>
      </c>
      <c r="B1447" s="26" t="s">
        <v>131</v>
      </c>
      <c r="C1447" s="26" t="s">
        <v>283</v>
      </c>
      <c r="D1447" s="26" t="s">
        <v>75</v>
      </c>
      <c r="E1447" s="20" t="s">
        <v>892</v>
      </c>
      <c r="F1447" s="21" t="str">
        <f aca="false">IF(OR(E1447="",E1447="!!!"),"",IF(NOT(ISNA(VLOOKUP(E1447,E$1:E1446,1,FALSE()))),"OLD",IF(AND(E1447&lt;&gt;"",E1447&lt;&gt;"!!!"),"NEW","")))</f>
        <v>NEW</v>
      </c>
      <c r="G1447" s="22" t="str">
        <f aca="false"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?REFERENTIAL</v>
      </c>
      <c r="H1447" s="23" t="str">
        <f aca="false">IF(J1447&lt;&gt;1,"",IF(I1447="SBJ","CB","?"))</f>
        <v/>
      </c>
      <c r="I1447" s="24" t="str">
        <f aca="false">IF(OR(E1447="",E1447="!!!",F1447="NEW"),"",INDEX(B$2:B1446,-1+SUMPRODUCT(MAX(ROW(E$2:E1446)*(E1447=E$2:E1446)))))</f>
        <v/>
      </c>
      <c r="J1447" s="24" t="str">
        <f aca="true">IF(OR(E1447="",E1447="!!!",F1447="NEW"),"",COUNTBLANK(OFFSET(A$1,,,SUMPRODUCT(MAX(ROW(E$2:E1447)*(E1447=E$2:E1447)))))-COUNTBLANK(OFFSET(A$1,,,SUMPRODUCT(MAX(ROW(E$1:E1446)*(E2=E$1:E1446))))))</f>
        <v/>
      </c>
      <c r="K1447" s="24" t="str">
        <f aca="false">IF(OR(E1447="",E1447="!!!",F1447="NEW"),"",INDEX(J$1:J1446,SUMPRODUCT(MAX(ROW(E$1:E1446)*(E1447=E$1:E1446)))))</f>
        <v/>
      </c>
      <c r="L1447" s="25"/>
    </row>
    <row r="1448" customFormat="false" ht="14.25" hidden="false" customHeight="false" outlineLevel="0" collapsed="false">
      <c r="A1448" s="0" t="s">
        <v>112</v>
      </c>
      <c r="E1448" s="20" t="str">
        <f aca="false">IF(D1448="?OLD","!!!","")</f>
        <v/>
      </c>
      <c r="F1448" s="21" t="str">
        <f aca="false">IF(OR(E1448="",E1448="!!!"),"",IF(NOT(ISNA(VLOOKUP(E1448,E$1:E1447,1,FALSE()))),"OLD",IF(AND(E1448&lt;&gt;"",E1448&lt;&gt;"!!!"),"NEW","")))</f>
        <v/>
      </c>
      <c r="G1448" s="22" t="str">
        <f aca="false"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aca="false">IF(J1448&lt;&gt;1,"",IF(I1448="SBJ","CB","?"))</f>
        <v/>
      </c>
      <c r="I1448" s="24" t="str">
        <f aca="false">IF(OR(E1448="",E1448="!!!",F1448="NEW"),"",INDEX(B$2:B1447,-1+SUMPRODUCT(MAX(ROW(E$2:E1447)*(E1448=E$2:E1447)))))</f>
        <v/>
      </c>
      <c r="J1448" s="24" t="str">
        <f aca="true">IF(OR(E1448="",E1448="!!!",F1448="NEW"),"",COUNTBLANK(OFFSET(A$1,,,SUMPRODUCT(MAX(ROW(E$2:E1448)*(E1448=E$2:E1448)))))-COUNTBLANK(OFFSET(A$1,,,SUMPRODUCT(MAX(ROW(E$1:E1447)*(E2=E$1:E1447))))))</f>
        <v/>
      </c>
      <c r="K1448" s="24" t="str">
        <f aca="false">IF(OR(E1448="",E1448="!!!",F1448="NEW"),"",INDEX(J$1:J1447,SUMPRODUCT(MAX(ROW(E$1:E1447)*(E1448=E$1:E1447)))))</f>
        <v/>
      </c>
      <c r="L1448" s="25"/>
    </row>
    <row r="1449" customFormat="false" ht="14.25" hidden="false" customHeight="false" outlineLevel="0" collapsed="false">
      <c r="A1449" s="0" t="s">
        <v>781</v>
      </c>
      <c r="B1449" s="26" t="s">
        <v>82</v>
      </c>
      <c r="C1449" s="26" t="s">
        <v>283</v>
      </c>
      <c r="D1449" s="26" t="s">
        <v>75</v>
      </c>
      <c r="E1449" s="20" t="s">
        <v>582</v>
      </c>
      <c r="F1449" s="21" t="str">
        <f aca="false">IF(OR(E1449="",E1449="!!!"),"",IF(NOT(ISNA(VLOOKUP(E1449,E$1:E1448,1,FALSE()))),"OLD",IF(AND(E1449&lt;&gt;"",E1449&lt;&gt;"!!!"),"NEW","")))</f>
        <v>OLD</v>
      </c>
      <c r="G1449" s="22" t="str">
        <f aca="false"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?IN_FOCUS</v>
      </c>
      <c r="H1449" s="23" t="str">
        <f aca="false">IF(J1449&lt;&gt;1,"",IF(I1449="SBJ","CB","?"))</f>
        <v/>
      </c>
      <c r="I1449" s="24" t="str">
        <f aca="false">IF(OR(E1449="",E1449="!!!",F1449="NEW"),"",INDEX(B$2:B1448,-1+SUMPRODUCT(MAX(ROW(E$2:E1448)*(E1449=E$2:E1448)))))</f>
        <v>other_4</v>
      </c>
      <c r="J1449" s="24" t="n">
        <f aca="true">IF(OR(E1449="",E1449="!!!",F1449="NEW"),"",COUNTBLANK(OFFSET(A$1,,,SUMPRODUCT(MAX(ROW(E$2:E1449)*(E1449=E$2:E1449)))))-COUNTBLANK(OFFSET(A$1,,,SUMPRODUCT(MAX(ROW(E$1:E1448)*(E2=E$1:E1448))))))</f>
        <v>0</v>
      </c>
      <c r="K1449" s="24" t="n">
        <f aca="false">IF(OR(E1449="",E1449="!!!",F1449="NEW"),"",INDEX(J$1:J1448,SUMPRODUCT(MAX(ROW(E$1:E1448)*(E1449=E$1:E1448)))))</f>
        <v>0</v>
      </c>
      <c r="L1449" s="25"/>
    </row>
    <row r="1450" customFormat="false" ht="14.25" hidden="false" customHeight="false" outlineLevel="0" collapsed="false">
      <c r="A1450" s="0" t="s">
        <v>86</v>
      </c>
      <c r="E1450" s="20" t="str">
        <f aca="false">IF(D1450="?OLD","!!!","")</f>
        <v/>
      </c>
      <c r="F1450" s="21" t="str">
        <f aca="false">IF(OR(E1450="",E1450="!!!"),"",IF(NOT(ISNA(VLOOKUP(E1450,E$1:E1449,1,FALSE()))),"OLD",IF(AND(E1450&lt;&gt;"",E1450&lt;&gt;"!!!"),"NEW","")))</f>
        <v/>
      </c>
      <c r="G1450" s="22" t="str">
        <f aca="false"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aca="false">IF(J1450&lt;&gt;1,"",IF(I1450="SBJ","CB","?"))</f>
        <v/>
      </c>
      <c r="I1450" s="24" t="str">
        <f aca="false">IF(OR(E1450="",E1450="!!!",F1450="NEW"),"",INDEX(B$2:B1449,-1+SUMPRODUCT(MAX(ROW(E$2:E1449)*(E1450=E$2:E1449)))))</f>
        <v/>
      </c>
      <c r="J1450" s="24" t="str">
        <f aca="true">IF(OR(E1450="",E1450="!!!",F1450="NEW"),"",COUNTBLANK(OFFSET(A$1,,,SUMPRODUCT(MAX(ROW(E$2:E1450)*(E1450=E$2:E1450)))))-COUNTBLANK(OFFSET(A$1,,,SUMPRODUCT(MAX(ROW(E$1:E1449)*(E2=E$1:E1449))))))</f>
        <v/>
      </c>
      <c r="K1450" s="24" t="str">
        <f aca="false">IF(OR(E1450="",E1450="!!!",F1450="NEW"),"",INDEX(J$1:J1449,SUMPRODUCT(MAX(ROW(E$1:E1449)*(E1450=E$1:E1449)))))</f>
        <v/>
      </c>
      <c r="L1450" s="25"/>
    </row>
    <row r="1451" customFormat="false" ht="14.25" hidden="false" customHeight="false" outlineLevel="0" collapsed="false">
      <c r="A1451" s="0" t="s">
        <v>265</v>
      </c>
      <c r="B1451" s="26" t="s">
        <v>131</v>
      </c>
      <c r="C1451" s="26" t="s">
        <v>151</v>
      </c>
      <c r="D1451" s="26" t="s">
        <v>75</v>
      </c>
      <c r="E1451" s="20" t="s">
        <v>582</v>
      </c>
      <c r="F1451" s="21" t="str">
        <f aca="false">IF(OR(E1451="",E1451="!!!"),"",IF(NOT(ISNA(VLOOKUP(E1451,E$1:E1450,1,FALSE()))),"OLD",IF(AND(E1451&lt;&gt;"",E1451&lt;&gt;"!!!"),"NEW","")))</f>
        <v>OLD</v>
      </c>
      <c r="G1451" s="22" t="str">
        <f aca="false"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?IN_FOCUS</v>
      </c>
      <c r="H1451" s="23" t="str">
        <f aca="false">IF(J1451&lt;&gt;1,"",IF(I1451="SBJ","CB","?"))</f>
        <v/>
      </c>
      <c r="I1451" s="24" t="str">
        <f aca="false">IF(OR(E1451="",E1451="!!!",F1451="NEW"),"",INDEX(B$2:B1450,-1+SUMPRODUCT(MAX(ROW(E$2:E1450)*(E1451=E$2:E1450)))))</f>
        <v>other_2</v>
      </c>
      <c r="J1451" s="24" t="n">
        <f aca="true">IF(OR(E1451="",E1451="!!!",F1451="NEW"),"",COUNTBLANK(OFFSET(A$1,,,SUMPRODUCT(MAX(ROW(E$2:E1451)*(E1451=E$2:E1451)))))-COUNTBLANK(OFFSET(A$1,,,SUMPRODUCT(MAX(ROW(E$1:E1450)*(E2=E$1:E1450))))))</f>
        <v>0</v>
      </c>
      <c r="K1451" s="24" t="n">
        <f aca="false">IF(OR(E1451="",E1451="!!!",F1451="NEW"),"",INDEX(J$1:J1450,SUMPRODUCT(MAX(ROW(E$1:E1450)*(E1451=E$1:E1450)))))</f>
        <v>0</v>
      </c>
      <c r="L1451" s="25"/>
    </row>
    <row r="1452" customFormat="false" ht="14.25" hidden="false" customHeight="false" outlineLevel="0" collapsed="false">
      <c r="A1452" s="0" t="s">
        <v>78</v>
      </c>
      <c r="E1452" s="20" t="str">
        <f aca="false">IF(D1452="?OLD","!!!","")</f>
        <v/>
      </c>
      <c r="F1452" s="21" t="str">
        <f aca="false">IF(OR(E1452="",E1452="!!!"),"",IF(NOT(ISNA(VLOOKUP(E1452,E$1:E1451,1,FALSE()))),"OLD",IF(AND(E1452&lt;&gt;"",E1452&lt;&gt;"!!!"),"NEW","")))</f>
        <v/>
      </c>
      <c r="G1452" s="22" t="str">
        <f aca="false"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aca="false">IF(J1452&lt;&gt;1,"",IF(I1452="SBJ","CB","?"))</f>
        <v/>
      </c>
      <c r="I1452" s="24" t="str">
        <f aca="false">IF(OR(E1452="",E1452="!!!",F1452="NEW"),"",INDEX(B$2:B1451,-1+SUMPRODUCT(MAX(ROW(E$2:E1451)*(E1452=E$2:E1451)))))</f>
        <v/>
      </c>
      <c r="J1452" s="24" t="str">
        <f aca="true">IF(OR(E1452="",E1452="!!!",F1452="NEW"),"",COUNTBLANK(OFFSET(A$1,,,SUMPRODUCT(MAX(ROW(E$2:E1452)*(E1452=E$2:E1452)))))-COUNTBLANK(OFFSET(A$1,,,SUMPRODUCT(MAX(ROW(E$1:E1451)*(E2=E$1:E1451))))))</f>
        <v/>
      </c>
      <c r="K1452" s="24" t="str">
        <f aca="false">IF(OR(E1452="",E1452="!!!",F1452="NEW"),"",INDEX(J$1:J1451,SUMPRODUCT(MAX(ROW(E$1:E1451)*(E1452=E$1:E1451)))))</f>
        <v/>
      </c>
      <c r="L1452" s="25"/>
    </row>
    <row r="1453" customFormat="false" ht="14.25" hidden="false" customHeight="false" outlineLevel="0" collapsed="false">
      <c r="A1453" s="0" t="s">
        <v>136</v>
      </c>
      <c r="E1453" s="20" t="str">
        <f aca="false">IF(D1453="?OLD","!!!","")</f>
        <v/>
      </c>
      <c r="F1453" s="21" t="str">
        <f aca="false">IF(OR(E1453="",E1453="!!!"),"",IF(NOT(ISNA(VLOOKUP(E1453,E$1:E1452,1,FALSE()))),"OLD",IF(AND(E1453&lt;&gt;"",E1453&lt;&gt;"!!!"),"NEW","")))</f>
        <v/>
      </c>
      <c r="G1453" s="22" t="str">
        <f aca="false"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3" t="str">
        <f aca="false">IF(J1453&lt;&gt;1,"",IF(I1453="SBJ","CB","?"))</f>
        <v/>
      </c>
      <c r="I1453" s="24" t="str">
        <f aca="false">IF(OR(E1453="",E1453="!!!",F1453="NEW"),"",INDEX(B$2:B1452,-1+SUMPRODUCT(MAX(ROW(E$2:E1452)*(E1453=E$2:E1452)))))</f>
        <v/>
      </c>
      <c r="J1453" s="24" t="str">
        <f aca="true">IF(OR(E1453="",E1453="!!!",F1453="NEW"),"",COUNTBLANK(OFFSET(A$1,,,SUMPRODUCT(MAX(ROW(E$2:E1453)*(E1453=E$2:E1453)))))-COUNTBLANK(OFFSET(A$1,,,SUMPRODUCT(MAX(ROW(E$1:E1452)*(E2=E$1:E1452))))))</f>
        <v/>
      </c>
      <c r="K1453" s="24" t="str">
        <f aca="false">IF(OR(E1453="",E1453="!!!",F1453="NEW"),"",INDEX(J$1:J1452,SUMPRODUCT(MAX(ROW(E$1:E1452)*(E1453=E$1:E1452)))))</f>
        <v/>
      </c>
      <c r="L1453" s="25"/>
    </row>
    <row r="1454" customFormat="false" ht="14.25" hidden="false" customHeight="false" outlineLevel="0" collapsed="false">
      <c r="A1454" s="0" t="s">
        <v>893</v>
      </c>
      <c r="E1454" s="20" t="str">
        <f aca="false">IF(D1454="?OLD","!!!","")</f>
        <v/>
      </c>
      <c r="F1454" s="21" t="str">
        <f aca="false">IF(OR(E1454="",E1454="!!!"),"",IF(NOT(ISNA(VLOOKUP(E1454,E$1:E1453,1,FALSE()))),"OLD",IF(AND(E1454&lt;&gt;"",E1454&lt;&gt;"!!!"),"NEW","")))</f>
        <v/>
      </c>
      <c r="G1454" s="22" t="str">
        <f aca="false"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aca="false">IF(J1454&lt;&gt;1,"",IF(I1454="SBJ","CB","?"))</f>
        <v/>
      </c>
      <c r="I1454" s="24" t="str">
        <f aca="false">IF(OR(E1454="",E1454="!!!",F1454="NEW"),"",INDEX(B$2:B1453,-1+SUMPRODUCT(MAX(ROW(E$2:E1453)*(E1454=E$2:E1453)))))</f>
        <v/>
      </c>
      <c r="J1454" s="24" t="str">
        <f aca="true">IF(OR(E1454="",E1454="!!!",F1454="NEW"),"",COUNTBLANK(OFFSET(A$1,,,SUMPRODUCT(MAX(ROW(E$2:E1454)*(E1454=E$2:E1454)))))-COUNTBLANK(OFFSET(A$1,,,SUMPRODUCT(MAX(ROW(E$1:E1453)*(E2=E$1:E1453))))))</f>
        <v/>
      </c>
      <c r="K1454" s="24" t="str">
        <f aca="false">IF(OR(E1454="",E1454="!!!",F1454="NEW"),"",INDEX(J$1:J1453,SUMPRODUCT(MAX(ROW(E$1:E1453)*(E1454=E$1:E1453)))))</f>
        <v/>
      </c>
      <c r="L1454" s="25"/>
    </row>
    <row r="1455" customFormat="false" ht="14.25" hidden="false" customHeight="false" outlineLevel="0" collapsed="false">
      <c r="A1455" s="0" t="s">
        <v>894</v>
      </c>
      <c r="B1455" s="26" t="s">
        <v>73</v>
      </c>
      <c r="C1455" s="26" t="s">
        <v>74</v>
      </c>
      <c r="D1455" s="26" t="s">
        <v>75</v>
      </c>
      <c r="E1455" s="20" t="s">
        <v>895</v>
      </c>
      <c r="F1455" s="21" t="str">
        <f aca="false">IF(OR(E1455="",E1455="!!!"),"",IF(NOT(ISNA(VLOOKUP(E1455,E$1:E1454,1,FALSE()))),"OLD",IF(AND(E1455&lt;&gt;"",E1455&lt;&gt;"!!!"),"NEW","")))</f>
        <v>NEW</v>
      </c>
      <c r="G1455" s="22" t="str">
        <f aca="false"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?REFERENTIAL</v>
      </c>
      <c r="H1455" s="23" t="str">
        <f aca="false">IF(J1455&lt;&gt;1,"",IF(I1455="SBJ","CB","?"))</f>
        <v/>
      </c>
      <c r="I1455" s="24" t="str">
        <f aca="false">IF(OR(E1455="",E1455="!!!",F1455="NEW"),"",INDEX(B$2:B1454,-1+SUMPRODUCT(MAX(ROW(E$2:E1454)*(E1455=E$2:E1454)))))</f>
        <v/>
      </c>
      <c r="J1455" s="24" t="str">
        <f aca="true">IF(OR(E1455="",E1455="!!!",F1455="NEW"),"",COUNTBLANK(OFFSET(A$1,,,SUMPRODUCT(MAX(ROW(E$2:E1455)*(E1455=E$2:E1455)))))-COUNTBLANK(OFFSET(A$1,,,SUMPRODUCT(MAX(ROW(E$1:E1454)*(E2=E$1:E1454))))))</f>
        <v/>
      </c>
      <c r="K1455" s="24" t="str">
        <f aca="false">IF(OR(E1455="",E1455="!!!",F1455="NEW"),"",INDEX(J$1:J1454,SUMPRODUCT(MAX(ROW(E$1:E1454)*(E1455=E$1:E1454)))))</f>
        <v/>
      </c>
      <c r="L1455" s="25"/>
    </row>
    <row r="1456" customFormat="false" ht="14.25" hidden="false" customHeight="false" outlineLevel="0" collapsed="false">
      <c r="A1456" s="0" t="s">
        <v>112</v>
      </c>
      <c r="E1456" s="20" t="str">
        <f aca="false">IF(D1456="?OLD","!!!","")</f>
        <v/>
      </c>
      <c r="F1456" s="21" t="str">
        <f aca="false">IF(OR(E1456="",E1456="!!!"),"",IF(NOT(ISNA(VLOOKUP(E1456,E$1:E1455,1,FALSE()))),"OLD",IF(AND(E1456&lt;&gt;"",E1456&lt;&gt;"!!!"),"NEW","")))</f>
        <v/>
      </c>
      <c r="G1456" s="22" t="str">
        <f aca="false"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aca="false">IF(J1456&lt;&gt;1,"",IF(I1456="SBJ","CB","?"))</f>
        <v/>
      </c>
      <c r="I1456" s="24" t="str">
        <f aca="false">IF(OR(E1456="",E1456="!!!",F1456="NEW"),"",INDEX(B$2:B1455,-1+SUMPRODUCT(MAX(ROW(E$2:E1455)*(E1456=E$2:E1455)))))</f>
        <v/>
      </c>
      <c r="J1456" s="24" t="str">
        <f aca="true">IF(OR(E1456="",E1456="!!!",F1456="NEW"),"",COUNTBLANK(OFFSET(A$1,,,SUMPRODUCT(MAX(ROW(E$2:E1456)*(E1456=E$2:E1456)))))-COUNTBLANK(OFFSET(A$1,,,SUMPRODUCT(MAX(ROW(E$1:E1455)*(E2=E$1:E1455))))))</f>
        <v/>
      </c>
      <c r="K1456" s="24" t="str">
        <f aca="false">IF(OR(E1456="",E1456="!!!",F1456="NEW"),"",INDEX(J$1:J1455,SUMPRODUCT(MAX(ROW(E$1:E1455)*(E1456=E$1:E1455)))))</f>
        <v/>
      </c>
      <c r="L1456" s="25"/>
    </row>
    <row r="1457" customFormat="false" ht="14.25" hidden="false" customHeight="false" outlineLevel="0" collapsed="false">
      <c r="A1457" s="0" t="s">
        <v>72</v>
      </c>
      <c r="B1457" s="26" t="s">
        <v>82</v>
      </c>
      <c r="C1457" s="26" t="s">
        <v>74</v>
      </c>
      <c r="D1457" s="26" t="s">
        <v>75</v>
      </c>
      <c r="E1457" s="20" t="s">
        <v>76</v>
      </c>
      <c r="F1457" s="21" t="str">
        <f aca="false">IF(OR(E1457="",E1457="!!!"),"",IF(NOT(ISNA(VLOOKUP(E1457,E$1:E1456,1,FALSE()))),"OLD",IF(AND(E1457&lt;&gt;"",E1457&lt;&gt;"!!!"),"NEW","")))</f>
        <v>OLD</v>
      </c>
      <c r="G1457" s="22" t="str">
        <f aca="false"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?IN_FOCUS</v>
      </c>
      <c r="H1457" s="23" t="str">
        <f aca="false">IF(J1457&lt;&gt;1,"",IF(I1457="SBJ","CB","?"))</f>
        <v/>
      </c>
      <c r="I1457" s="24" t="str">
        <f aca="false">IF(OR(E1457="",E1457="!!!",F1457="NEW"),"",INDEX(B$2:B1456,-1+SUMPRODUCT(MAX(ROW(E$2:E1456)*(E1457=E$2:E1456)))))</f>
        <v>other_4</v>
      </c>
      <c r="J1457" s="24" t="n">
        <f aca="true">IF(OR(E1457="",E1457="!!!",F1457="NEW"),"",COUNTBLANK(OFFSET(A$1,,,SUMPRODUCT(MAX(ROW(E$2:E1457)*(E1457=E$2:E1457)))))-COUNTBLANK(OFFSET(A$1,,,SUMPRODUCT(MAX(ROW(E$1:E1456)*(E2=E$1:E1456))))))</f>
        <v>0</v>
      </c>
      <c r="K1457" s="24" t="n">
        <f aca="false">IF(OR(E1457="",E1457="!!!",F1457="NEW"),"",INDEX(J$1:J1456,SUMPRODUCT(MAX(ROW(E$1:E1456)*(E1457=E$1:E1456)))))</f>
        <v>0</v>
      </c>
      <c r="L1457" s="25"/>
    </row>
    <row r="1458" customFormat="false" ht="14.25" hidden="false" customHeight="false" outlineLevel="0" collapsed="false">
      <c r="A1458" s="0" t="s">
        <v>86</v>
      </c>
      <c r="E1458" s="20" t="str">
        <f aca="false">IF(D1458="?OLD","!!!","")</f>
        <v/>
      </c>
      <c r="F1458" s="21" t="str">
        <f aca="false">IF(OR(E1458="",E1458="!!!"),"",IF(NOT(ISNA(VLOOKUP(E1458,E$1:E1457,1,FALSE()))),"OLD",IF(AND(E1458&lt;&gt;"",E1458&lt;&gt;"!!!"),"NEW","")))</f>
        <v/>
      </c>
      <c r="G1458" s="22" t="str">
        <f aca="false"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aca="false">IF(J1458&lt;&gt;1,"",IF(I1458="SBJ","CB","?"))</f>
        <v/>
      </c>
      <c r="I1458" s="24" t="str">
        <f aca="false">IF(OR(E1458="",E1458="!!!",F1458="NEW"),"",INDEX(B$2:B1457,-1+SUMPRODUCT(MAX(ROW(E$2:E1457)*(E1458=E$2:E1457)))))</f>
        <v/>
      </c>
      <c r="J1458" s="24" t="str">
        <f aca="true">IF(OR(E1458="",E1458="!!!",F1458="NEW"),"",COUNTBLANK(OFFSET(A$1,,,SUMPRODUCT(MAX(ROW(E$2:E1458)*(E1458=E$2:E1458)))))-COUNTBLANK(OFFSET(A$1,,,SUMPRODUCT(MAX(ROW(E$1:E1457)*(E2=E$1:E1457))))))</f>
        <v/>
      </c>
      <c r="K1458" s="24" t="str">
        <f aca="false">IF(OR(E1458="",E1458="!!!",F1458="NEW"),"",INDEX(J$1:J1457,SUMPRODUCT(MAX(ROW(E$1:E1457)*(E1458=E$1:E1457)))))</f>
        <v/>
      </c>
      <c r="L1458" s="25"/>
    </row>
    <row r="1459" customFormat="false" ht="14.25" hidden="false" customHeight="false" outlineLevel="0" collapsed="false">
      <c r="A1459" s="0" t="s">
        <v>265</v>
      </c>
      <c r="B1459" s="26" t="s">
        <v>96</v>
      </c>
      <c r="C1459" s="26" t="s">
        <v>151</v>
      </c>
      <c r="D1459" s="26" t="s">
        <v>75</v>
      </c>
      <c r="E1459" s="20" t="s">
        <v>889</v>
      </c>
      <c r="F1459" s="21" t="str">
        <f aca="false">IF(OR(E1459="",E1459="!!!"),"",IF(NOT(ISNA(VLOOKUP(E1459,E$1:E1458,1,FALSE()))),"OLD",IF(AND(E1459&lt;&gt;"",E1459&lt;&gt;"!!!"),"NEW","")))</f>
        <v>OLD</v>
      </c>
      <c r="G1459" s="22" t="str">
        <f aca="false"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?IN_FOCUS</v>
      </c>
      <c r="H1459" s="23" t="str">
        <f aca="false">IF(J1459&lt;&gt;1,"",IF(I1459="SBJ","CB","?"))</f>
        <v/>
      </c>
      <c r="I1459" s="24" t="str">
        <f aca="false">IF(OR(E1459="",E1459="!!!",F1459="NEW"),"",INDEX(B$2:B1458,-1+SUMPRODUCT(MAX(ROW(E$2:E1458)*(E1459=E$2:E1458)))))</f>
        <v>SBJ_2</v>
      </c>
      <c r="J1459" s="24" t="n">
        <f aca="true">IF(OR(E1459="",E1459="!!!",F1459="NEW"),"",COUNTBLANK(OFFSET(A$1,,,SUMPRODUCT(MAX(ROW(E$2:E1459)*(E1459=E$2:E1459)))))-COUNTBLANK(OFFSET(A$1,,,SUMPRODUCT(MAX(ROW(E$1:E1458)*(E2=E$1:E1458))))))</f>
        <v>0</v>
      </c>
      <c r="K1459" s="24" t="n">
        <f aca="false">IF(OR(E1459="",E1459="!!!",F1459="NEW"),"",INDEX(J$1:J1458,SUMPRODUCT(MAX(ROW(E$1:E1458)*(E1459=E$1:E1458)))))</f>
        <v>0</v>
      </c>
      <c r="L1459" s="25"/>
    </row>
    <row r="1460" customFormat="false" ht="14.25" hidden="false" customHeight="false" outlineLevel="0" collapsed="false">
      <c r="A1460" s="0" t="s">
        <v>78</v>
      </c>
      <c r="E1460" s="20" t="str">
        <f aca="false">IF(D1460="?OLD","!!!","")</f>
        <v/>
      </c>
      <c r="F1460" s="21" t="str">
        <f aca="false">IF(OR(E1460="",E1460="!!!"),"",IF(NOT(ISNA(VLOOKUP(E1460,E$1:E1459,1,FALSE()))),"OLD",IF(AND(E1460&lt;&gt;"",E1460&lt;&gt;"!!!"),"NEW","")))</f>
        <v/>
      </c>
      <c r="G1460" s="22" t="str">
        <f aca="false"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aca="false">IF(J1460&lt;&gt;1,"",IF(I1460="SBJ","CB","?"))</f>
        <v/>
      </c>
      <c r="I1460" s="24" t="str">
        <f aca="false">IF(OR(E1460="",E1460="!!!",F1460="NEW"),"",INDEX(B$2:B1459,-1+SUMPRODUCT(MAX(ROW(E$2:E1459)*(E1460=E$2:E1459)))))</f>
        <v/>
      </c>
      <c r="J1460" s="24" t="str">
        <f aca="true">IF(OR(E1460="",E1460="!!!",F1460="NEW"),"",COUNTBLANK(OFFSET(A$1,,,SUMPRODUCT(MAX(ROW(E$2:E1460)*(E1460=E$2:E1460)))))-COUNTBLANK(OFFSET(A$1,,,SUMPRODUCT(MAX(ROW(E$1:E1459)*(E2=E$1:E1459))))))</f>
        <v/>
      </c>
      <c r="K1460" s="24" t="str">
        <f aca="false">IF(OR(E1460="",E1460="!!!",F1460="NEW"),"",INDEX(J$1:J1459,SUMPRODUCT(MAX(ROW(E$1:E1459)*(E1460=E$1:E1459)))))</f>
        <v/>
      </c>
      <c r="L1460" s="25"/>
    </row>
    <row r="1461" customFormat="false" ht="14.25" hidden="false" customHeight="false" outlineLevel="0" collapsed="false">
      <c r="A1461" s="0" t="s">
        <v>354</v>
      </c>
      <c r="E1461" s="20" t="str">
        <f aca="false">IF(D1461="?OLD","!!!","")</f>
        <v/>
      </c>
      <c r="F1461" s="21" t="str">
        <f aca="false">IF(OR(E1461="",E1461="!!!"),"",IF(NOT(ISNA(VLOOKUP(E1461,E$1:E1460,1,FALSE()))),"OLD",IF(AND(E1461&lt;&gt;"",E1461&lt;&gt;"!!!"),"NEW","")))</f>
        <v/>
      </c>
      <c r="G1461" s="22" t="str">
        <f aca="false"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aca="false">IF(J1461&lt;&gt;1,"",IF(I1461="SBJ","CB","?"))</f>
        <v/>
      </c>
      <c r="I1461" s="24" t="str">
        <f aca="false">IF(OR(E1461="",E1461="!!!",F1461="NEW"),"",INDEX(B$2:B1460,-1+SUMPRODUCT(MAX(ROW(E$2:E1460)*(E1461=E$2:E1460)))))</f>
        <v/>
      </c>
      <c r="J1461" s="24" t="str">
        <f aca="true">IF(OR(E1461="",E1461="!!!",F1461="NEW"),"",COUNTBLANK(OFFSET(A$1,,,SUMPRODUCT(MAX(ROW(E$2:E1461)*(E1461=E$2:E1461)))))-COUNTBLANK(OFFSET(A$1,,,SUMPRODUCT(MAX(ROW(E$1:E1460)*(E2=E$1:E1460))))))</f>
        <v/>
      </c>
      <c r="K1461" s="24" t="str">
        <f aca="false">IF(OR(E1461="",E1461="!!!",F1461="NEW"),"",INDEX(J$1:J1460,SUMPRODUCT(MAX(ROW(E$1:E1460)*(E1461=E$1:E1460)))))</f>
        <v/>
      </c>
      <c r="L1461" s="25"/>
    </row>
    <row r="1462" customFormat="false" ht="14.25" hidden="false" customHeight="false" outlineLevel="0" collapsed="false">
      <c r="A1462" s="0" t="s">
        <v>896</v>
      </c>
      <c r="E1462" s="20" t="str">
        <f aca="false">IF(D1462="?OLD","!!!","")</f>
        <v/>
      </c>
      <c r="F1462" s="21" t="str">
        <f aca="false">IF(OR(E1462="",E1462="!!!"),"",IF(NOT(ISNA(VLOOKUP(E1462,E$1:E1461,1,FALSE()))),"OLD",IF(AND(E1462&lt;&gt;"",E1462&lt;&gt;"!!!"),"NEW","")))</f>
        <v/>
      </c>
      <c r="G1462" s="22" t="str">
        <f aca="false"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aca="false">IF(J1462&lt;&gt;1,"",IF(I1462="SBJ","CB","?"))</f>
        <v/>
      </c>
      <c r="I1462" s="24" t="str">
        <f aca="false">IF(OR(E1462="",E1462="!!!",F1462="NEW"),"",INDEX(B$2:B1461,-1+SUMPRODUCT(MAX(ROW(E$2:E1461)*(E1462=E$2:E1461)))))</f>
        <v/>
      </c>
      <c r="J1462" s="24" t="str">
        <f aca="true">IF(OR(E1462="",E1462="!!!",F1462="NEW"),"",COUNTBLANK(OFFSET(A$1,,,SUMPRODUCT(MAX(ROW(E$2:E1462)*(E1462=E$2:E1462)))))-COUNTBLANK(OFFSET(A$1,,,SUMPRODUCT(MAX(ROW(E$1:E1461)*(E2=E$1:E1461))))))</f>
        <v/>
      </c>
      <c r="K1462" s="24" t="str">
        <f aca="false">IF(OR(E1462="",E1462="!!!",F1462="NEW"),"",INDEX(J$1:J1461,SUMPRODUCT(MAX(ROW(E$1:E1461)*(E1462=E$1:E1461)))))</f>
        <v/>
      </c>
      <c r="L1462" s="25"/>
    </row>
    <row r="1463" customFormat="false" ht="14.25" hidden="false" customHeight="false" outlineLevel="0" collapsed="false">
      <c r="A1463" s="0" t="s">
        <v>873</v>
      </c>
      <c r="E1463" s="20" t="str">
        <f aca="false">IF(D1463="?OLD","!!!","")</f>
        <v/>
      </c>
      <c r="F1463" s="21" t="str">
        <f aca="false">IF(OR(E1463="",E1463="!!!"),"",IF(NOT(ISNA(VLOOKUP(E1463,E$1:E1462,1,FALSE()))),"OLD",IF(AND(E1463&lt;&gt;"",E1463&lt;&gt;"!!!"),"NEW","")))</f>
        <v/>
      </c>
      <c r="G1463" s="22" t="str">
        <f aca="false"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aca="false">IF(J1463&lt;&gt;1,"",IF(I1463="SBJ","CB","?"))</f>
        <v/>
      </c>
      <c r="I1463" s="24" t="str">
        <f aca="false">IF(OR(E1463="",E1463="!!!",F1463="NEW"),"",INDEX(B$2:B1462,-1+SUMPRODUCT(MAX(ROW(E$2:E1462)*(E1463=E$2:E1462)))))</f>
        <v/>
      </c>
      <c r="J1463" s="24" t="str">
        <f aca="true">IF(OR(E1463="",E1463="!!!",F1463="NEW"),"",COUNTBLANK(OFFSET(A$1,,,SUMPRODUCT(MAX(ROW(E$2:E1463)*(E1463=E$2:E1463)))))-COUNTBLANK(OFFSET(A$1,,,SUMPRODUCT(MAX(ROW(E$1:E1462)*(E2=E$1:E1462))))))</f>
        <v/>
      </c>
      <c r="K1463" s="24" t="str">
        <f aca="false">IF(OR(E1463="",E1463="!!!",F1463="NEW"),"",INDEX(J$1:J1462,SUMPRODUCT(MAX(ROW(E$1:E1462)*(E1463=E$1:E1462)))))</f>
        <v/>
      </c>
      <c r="L1463" s="25"/>
    </row>
    <row r="1464" customFormat="false" ht="14.25" hidden="false" customHeight="false" outlineLevel="0" collapsed="false">
      <c r="A1464" s="0" t="s">
        <v>897</v>
      </c>
      <c r="B1464" s="26" t="s">
        <v>91</v>
      </c>
      <c r="C1464" s="26" t="s">
        <v>119</v>
      </c>
      <c r="E1464" s="20"/>
      <c r="F1464" s="21" t="str">
        <f aca="false">IF(OR(E1464="",E1464="!!!"),"",IF(NOT(ISNA(VLOOKUP(E1464,E$1:E1463,1,FALSE()))),"OLD",IF(AND(E1464&lt;&gt;"",E1464&lt;&gt;"!!!"),"NEW","")))</f>
        <v/>
      </c>
      <c r="G1464" s="22" t="str">
        <f aca="false"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3" t="str">
        <f aca="false">IF(J1464&lt;&gt;1,"",IF(I1464="SBJ","CB","?"))</f>
        <v/>
      </c>
      <c r="I1464" s="24" t="str">
        <f aca="false">IF(OR(E1464="",E1464="!!!",F1464="NEW"),"",INDEX(B$2:B1463,-1+SUMPRODUCT(MAX(ROW(E$2:E1463)*(E1464=E$2:E1463)))))</f>
        <v/>
      </c>
      <c r="J1464" s="24" t="str">
        <f aca="true">IF(OR(E1464="",E1464="!!!",F1464="NEW"),"",COUNTBLANK(OFFSET(A$1,,,SUMPRODUCT(MAX(ROW(E$2:E1464)*(E1464=E$2:E1464)))))-COUNTBLANK(OFFSET(A$1,,,SUMPRODUCT(MAX(ROW(E$1:E1463)*(E2=E$1:E1463))))))</f>
        <v/>
      </c>
      <c r="K1464" s="24" t="str">
        <f aca="false">IF(OR(E1464="",E1464="!!!",F1464="NEW"),"",INDEX(J$1:J1463,SUMPRODUCT(MAX(ROW(E$1:E1463)*(E1464=E$1:E1463)))))</f>
        <v/>
      </c>
      <c r="L1464" s="25"/>
    </row>
    <row r="1465" customFormat="false" ht="14.25" hidden="false" customHeight="false" outlineLevel="0" collapsed="false">
      <c r="A1465" s="0" t="s">
        <v>86</v>
      </c>
      <c r="E1465" s="20" t="str">
        <f aca="false">IF(D1465="?OLD","!!!","")</f>
        <v/>
      </c>
      <c r="F1465" s="21" t="str">
        <f aca="false">IF(OR(E1465="",E1465="!!!"),"",IF(NOT(ISNA(VLOOKUP(E1465,E$1:E1464,1,FALSE()))),"OLD",IF(AND(E1465&lt;&gt;"",E1465&lt;&gt;"!!!"),"NEW","")))</f>
        <v/>
      </c>
      <c r="G1465" s="22" t="str">
        <f aca="false"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aca="false">IF(J1465&lt;&gt;1,"",IF(I1465="SBJ","CB","?"))</f>
        <v/>
      </c>
      <c r="I1465" s="24" t="str">
        <f aca="false">IF(OR(E1465="",E1465="!!!",F1465="NEW"),"",INDEX(B$2:B1464,-1+SUMPRODUCT(MAX(ROW(E$2:E1464)*(E1465=E$2:E1464)))))</f>
        <v/>
      </c>
      <c r="J1465" s="24" t="str">
        <f aca="true">IF(OR(E1465="",E1465="!!!",F1465="NEW"),"",COUNTBLANK(OFFSET(A$1,,,SUMPRODUCT(MAX(ROW(E$2:E1465)*(E1465=E$2:E1465)))))-COUNTBLANK(OFFSET(A$1,,,SUMPRODUCT(MAX(ROW(E$1:E1464)*(E2=E$1:E1464))))))</f>
        <v/>
      </c>
      <c r="K1465" s="24" t="str">
        <f aca="false">IF(OR(E1465="",E1465="!!!",F1465="NEW"),"",INDEX(J$1:J1464,SUMPRODUCT(MAX(ROW(E$1:E1464)*(E1465=E$1:E1464)))))</f>
        <v/>
      </c>
      <c r="L1465" s="25"/>
    </row>
    <row r="1466" customFormat="false" ht="14.25" hidden="false" customHeight="false" outlineLevel="0" collapsed="false">
      <c r="A1466" s="0" t="s">
        <v>426</v>
      </c>
      <c r="E1466" s="20" t="s">
        <v>889</v>
      </c>
      <c r="F1466" s="21" t="str">
        <f aca="false">IF(OR(E1466="",E1466="!!!"),"",IF(NOT(ISNA(VLOOKUP(E1466,E$1:E1465,1,FALSE()))),"OLD",IF(AND(E1466&lt;&gt;"",E1466&lt;&gt;"!!!"),"NEW","")))</f>
        <v>OLD</v>
      </c>
      <c r="G1466" s="22" t="str">
        <f aca="false"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?IN_FOCUS</v>
      </c>
      <c r="H1466" s="23" t="str">
        <f aca="false">IF(J1466&lt;&gt;1,"",IF(I1466="SBJ","CB","?"))</f>
        <v/>
      </c>
      <c r="I1466" s="24" t="str">
        <f aca="false">IF(OR(E1466="",E1466="!!!",F1466="NEW"),"",INDEX(B$2:B1465,-1+SUMPRODUCT(MAX(ROW(E$2:E1465)*(E1466=E$2:E1465)))))</f>
        <v>SBJ_2</v>
      </c>
      <c r="J1466" s="24" t="n">
        <f aca="true">IF(OR(E1466="",E1466="!!!",F1466="NEW"),"",COUNTBLANK(OFFSET(A$1,,,SUMPRODUCT(MAX(ROW(E$2:E1466)*(E1466=E$2:E1466)))))-COUNTBLANK(OFFSET(A$1,,,SUMPRODUCT(MAX(ROW(E$1:E1465)*(E2=E$1:E1465))))))</f>
        <v>0</v>
      </c>
      <c r="K1466" s="24" t="n">
        <f aca="false">IF(OR(E1466="",E1466="!!!",F1466="NEW"),"",INDEX(J$1:J1465,SUMPRODUCT(MAX(ROW(E$1:E1465)*(E1466=E$1:E1465)))))</f>
        <v>0</v>
      </c>
      <c r="L1466" s="25"/>
    </row>
    <row r="1467" customFormat="false" ht="14.25" hidden="false" customHeight="false" outlineLevel="0" collapsed="false">
      <c r="A1467" s="0" t="s">
        <v>217</v>
      </c>
      <c r="E1467" s="20" t="str">
        <f aca="false">IF(D1467="?OLD","!!!","")</f>
        <v/>
      </c>
      <c r="F1467" s="21" t="str">
        <f aca="false">IF(OR(E1467="",E1467="!!!"),"",IF(NOT(ISNA(VLOOKUP(E1467,E$1:E1466,1,FALSE()))),"OLD",IF(AND(E1467&lt;&gt;"",E1467&lt;&gt;"!!!"),"NEW","")))</f>
        <v/>
      </c>
      <c r="G1467" s="22" t="str">
        <f aca="false"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3" t="str">
        <f aca="false">IF(J1467&lt;&gt;1,"",IF(I1467="SBJ","CB","?"))</f>
        <v/>
      </c>
      <c r="I1467" s="24" t="str">
        <f aca="false">IF(OR(E1467="",E1467="!!!",F1467="NEW"),"",INDEX(B$2:B1466,-1+SUMPRODUCT(MAX(ROW(E$2:E1466)*(E1467=E$2:E1466)))))</f>
        <v/>
      </c>
      <c r="J1467" s="24" t="str">
        <f aca="true">IF(OR(E1467="",E1467="!!!",F1467="NEW"),"",COUNTBLANK(OFFSET(A$1,,,SUMPRODUCT(MAX(ROW(E$2:E1467)*(E1467=E$2:E1467)))))-COUNTBLANK(OFFSET(A$1,,,SUMPRODUCT(MAX(ROW(E$1:E1466)*(E2=E$1:E1466))))))</f>
        <v/>
      </c>
      <c r="K1467" s="24" t="str">
        <f aca="false">IF(OR(E1467="",E1467="!!!",F1467="NEW"),"",INDEX(J$1:J1466,SUMPRODUCT(MAX(ROW(E$1:E1466)*(E1467=E$1:E1466)))))</f>
        <v/>
      </c>
      <c r="L1467" s="25"/>
    </row>
    <row r="1468" customFormat="false" ht="14.25" hidden="false" customHeight="false" outlineLevel="0" collapsed="false">
      <c r="A1468" s="0" t="s">
        <v>207</v>
      </c>
      <c r="B1468" s="26" t="s">
        <v>96</v>
      </c>
      <c r="C1468" s="26" t="s">
        <v>209</v>
      </c>
      <c r="D1468" s="26" t="s">
        <v>75</v>
      </c>
      <c r="E1468" s="20" t="s">
        <v>840</v>
      </c>
      <c r="F1468" s="21" t="str">
        <f aca="false">IF(OR(E1468="",E1468="!!!"),"",IF(NOT(ISNA(VLOOKUP(E1468,E$1:E1467,1,FALSE()))),"OLD",IF(AND(E1468&lt;&gt;"",E1468&lt;&gt;"!!!"),"NEW","")))</f>
        <v>OLD</v>
      </c>
      <c r="G1468" s="22" t="str">
        <f aca="false"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?IN_FOCUS</v>
      </c>
      <c r="H1468" s="23" t="str">
        <f aca="false">IF(J1468&lt;&gt;1,"",IF(I1468="SBJ","CB","?"))</f>
        <v/>
      </c>
      <c r="I1468" s="24" t="str">
        <f aca="false">IF(OR(E1468="",E1468="!!!",F1468="NEW"),"",INDEX(B$2:B1467,-1+SUMPRODUCT(MAX(ROW(E$2:E1467)*(E1468=E$2:E1467)))))</f>
        <v>OBJ_3</v>
      </c>
      <c r="J1468" s="24" t="n">
        <f aca="true">IF(OR(E1468="",E1468="!!!",F1468="NEW"),"",COUNTBLANK(OFFSET(A$1,,,SUMPRODUCT(MAX(ROW(E$2:E1468)*(E1468=E$2:E1468)))))-COUNTBLANK(OFFSET(A$1,,,SUMPRODUCT(MAX(ROW(E$1:E1467)*(E2=E$1:E1467))))))</f>
        <v>0</v>
      </c>
      <c r="K1468" s="24" t="n">
        <f aca="false">IF(OR(E1468="",E1468="!!!",F1468="NEW"),"",INDEX(J$1:J1467,SUMPRODUCT(MAX(ROW(E$1:E1467)*(E1468=E$1:E1467)))))</f>
        <v>0</v>
      </c>
      <c r="L1468" s="25"/>
    </row>
    <row r="1469" customFormat="false" ht="14.25" hidden="false" customHeight="false" outlineLevel="0" collapsed="false">
      <c r="A1469" s="0" t="s">
        <v>268</v>
      </c>
      <c r="E1469" s="20" t="str">
        <f aca="false">IF(D1469="?OLD","!!!","")</f>
        <v/>
      </c>
      <c r="F1469" s="21" t="str">
        <f aca="false">IF(OR(E1469="",E1469="!!!"),"",IF(NOT(ISNA(VLOOKUP(E1469,E$1:E1468,1,FALSE()))),"OLD",IF(AND(E1469&lt;&gt;"",E1469&lt;&gt;"!!!"),"NEW","")))</f>
        <v/>
      </c>
      <c r="G1469" s="22" t="str">
        <f aca="false"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aca="false">IF(J1469&lt;&gt;1,"",IF(I1469="SBJ","CB","?"))</f>
        <v/>
      </c>
      <c r="I1469" s="24" t="str">
        <f aca="false">IF(OR(E1469="",E1469="!!!",F1469="NEW"),"",INDEX(B$2:B1468,-1+SUMPRODUCT(MAX(ROW(E$2:E1468)*(E1469=E$2:E1468)))))</f>
        <v/>
      </c>
      <c r="J1469" s="24" t="str">
        <f aca="true">IF(OR(E1469="",E1469="!!!",F1469="NEW"),"",COUNTBLANK(OFFSET(A$1,,,SUMPRODUCT(MAX(ROW(E$2:E1469)*(E1469=E$2:E1469)))))-COUNTBLANK(OFFSET(A$1,,,SUMPRODUCT(MAX(ROW(E$1:E1468)*(E2=E$1:E1468))))))</f>
        <v/>
      </c>
      <c r="K1469" s="24" t="str">
        <f aca="false">IF(OR(E1469="",E1469="!!!",F1469="NEW"),"",INDEX(J$1:J1468,SUMPRODUCT(MAX(ROW(E$1:E1468)*(E1469=E$1:E1468)))))</f>
        <v/>
      </c>
      <c r="L1469" s="25"/>
    </row>
    <row r="1470" customFormat="false" ht="14.25" hidden="false" customHeight="false" outlineLevel="0" collapsed="false">
      <c r="A1470" s="0" t="s">
        <v>898</v>
      </c>
      <c r="E1470" s="20" t="str">
        <f aca="false">IF(D1470="?OLD","!!!","")</f>
        <v/>
      </c>
      <c r="F1470" s="21" t="str">
        <f aca="false">IF(OR(E1470="",E1470="!!!"),"",IF(NOT(ISNA(VLOOKUP(E1470,E$1:E1469,1,FALSE()))),"OLD",IF(AND(E1470&lt;&gt;"",E1470&lt;&gt;"!!!"),"NEW","")))</f>
        <v/>
      </c>
      <c r="G1470" s="22" t="str">
        <f aca="false"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3" t="str">
        <f aca="false">IF(J1470&lt;&gt;1,"",IF(I1470="SBJ","CB","?"))</f>
        <v/>
      </c>
      <c r="I1470" s="24" t="str">
        <f aca="false">IF(OR(E1470="",E1470="!!!",F1470="NEW"),"",INDEX(B$2:B1469,-1+SUMPRODUCT(MAX(ROW(E$2:E1469)*(E1470=E$2:E1469)))))</f>
        <v/>
      </c>
      <c r="J1470" s="24" t="str">
        <f aca="true">IF(OR(E1470="",E1470="!!!",F1470="NEW"),"",COUNTBLANK(OFFSET(A$1,,,SUMPRODUCT(MAX(ROW(E$2:E1470)*(E1470=E$2:E1470)))))-COUNTBLANK(OFFSET(A$1,,,SUMPRODUCT(MAX(ROW(E$1:E1469)*(E2=E$1:E1469))))))</f>
        <v/>
      </c>
      <c r="K1470" s="24" t="str">
        <f aca="false">IF(OR(E1470="",E1470="!!!",F1470="NEW"),"",INDEX(J$1:J1469,SUMPRODUCT(MAX(ROW(E$1:E1469)*(E1470=E$1:E1469)))))</f>
        <v/>
      </c>
      <c r="L1470" s="25"/>
    </row>
    <row r="1471" customFormat="false" ht="14.25" hidden="false" customHeight="false" outlineLevel="0" collapsed="false">
      <c r="A1471" s="0" t="s">
        <v>237</v>
      </c>
      <c r="E1471" s="20" t="str">
        <f aca="false">IF(D1471="?OLD","!!!","")</f>
        <v/>
      </c>
      <c r="F1471" s="21" t="str">
        <f aca="false">IF(OR(E1471="",E1471="!!!"),"",IF(NOT(ISNA(VLOOKUP(E1471,E$1:E1470,1,FALSE()))),"OLD",IF(AND(E1471&lt;&gt;"",E1471&lt;&gt;"!!!"),"NEW","")))</f>
        <v/>
      </c>
      <c r="G1471" s="22" t="str">
        <f aca="false"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aca="false">IF(J1471&lt;&gt;1,"",IF(I1471="SBJ","CB","?"))</f>
        <v/>
      </c>
      <c r="I1471" s="24" t="str">
        <f aca="false">IF(OR(E1471="",E1471="!!!",F1471="NEW"),"",INDEX(B$2:B1470,-1+SUMPRODUCT(MAX(ROW(E$2:E1470)*(E1471=E$2:E1470)))))</f>
        <v/>
      </c>
      <c r="J1471" s="24" t="str">
        <f aca="true">IF(OR(E1471="",E1471="!!!",F1471="NEW"),"",COUNTBLANK(OFFSET(A$1,,,SUMPRODUCT(MAX(ROW(E$2:E1471)*(E1471=E$2:E1471)))))-COUNTBLANK(OFFSET(A$1,,,SUMPRODUCT(MAX(ROW(E$1:E1470)*(E2=E$1:E1470))))))</f>
        <v/>
      </c>
      <c r="K1471" s="24" t="str">
        <f aca="false">IF(OR(E1471="",E1471="!!!",F1471="NEW"),"",INDEX(J$1:J1470,SUMPRODUCT(MAX(ROW(E$1:E1470)*(E1471=E$1:E1470)))))</f>
        <v/>
      </c>
      <c r="L1471" s="25"/>
    </row>
    <row r="1472" customFormat="false" ht="14.25" hidden="false" customHeight="false" outlineLevel="0" collapsed="false">
      <c r="A1472" s="0" t="s">
        <v>219</v>
      </c>
      <c r="B1472" s="26" t="s">
        <v>147</v>
      </c>
      <c r="C1472" s="26" t="s">
        <v>111</v>
      </c>
      <c r="E1472" s="20" t="str">
        <f aca="false">IF(D1472="?OLD","!!!","")</f>
        <v/>
      </c>
      <c r="F1472" s="21" t="str">
        <f aca="false">IF(OR(E1472="",E1472="!!!"),"",IF(NOT(ISNA(VLOOKUP(E1472,E$1:E1471,1,FALSE()))),"OLD",IF(AND(E1472&lt;&gt;"",E1472&lt;&gt;"!!!"),"NEW","")))</f>
        <v/>
      </c>
      <c r="G1472" s="22" t="str">
        <f aca="false"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aca="false">IF(J1472&lt;&gt;1,"",IF(I1472="SBJ","CB","?"))</f>
        <v/>
      </c>
      <c r="I1472" s="24" t="str">
        <f aca="false">IF(OR(E1472="",E1472="!!!",F1472="NEW"),"",INDEX(B$2:B1471,-1+SUMPRODUCT(MAX(ROW(E$2:E1471)*(E1472=E$2:E1471)))))</f>
        <v/>
      </c>
      <c r="J1472" s="24" t="str">
        <f aca="true">IF(OR(E1472="",E1472="!!!",F1472="NEW"),"",COUNTBLANK(OFFSET(A$1,,,SUMPRODUCT(MAX(ROW(E$2:E1472)*(E1472=E$2:E1472)))))-COUNTBLANK(OFFSET(A$1,,,SUMPRODUCT(MAX(ROW(E$1:E1471)*(E2=E$1:E1471))))))</f>
        <v/>
      </c>
      <c r="K1472" s="24" t="str">
        <f aca="false">IF(OR(E1472="",E1472="!!!",F1472="NEW"),"",INDEX(J$1:J1471,SUMPRODUCT(MAX(ROW(E$1:E1471)*(E1472=E$1:E1471)))))</f>
        <v/>
      </c>
      <c r="L1472" s="25"/>
    </row>
    <row r="1473" customFormat="false" ht="14.25" hidden="false" customHeight="false" outlineLevel="0" collapsed="false">
      <c r="A1473" s="0" t="s">
        <v>899</v>
      </c>
      <c r="E1473" s="20" t="str">
        <f aca="false">IF(D1473="?OLD","!!!","")</f>
        <v/>
      </c>
      <c r="F1473" s="21" t="str">
        <f aca="false">IF(OR(E1473="",E1473="!!!"),"",IF(NOT(ISNA(VLOOKUP(E1473,E$1:E1472,1,FALSE()))),"OLD",IF(AND(E1473&lt;&gt;"",E1473&lt;&gt;"!!!"),"NEW","")))</f>
        <v/>
      </c>
      <c r="G1473" s="22" t="str">
        <f aca="false"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aca="false">IF(J1473&lt;&gt;1,"",IF(I1473="SBJ","CB","?"))</f>
        <v/>
      </c>
      <c r="I1473" s="24" t="str">
        <f aca="false">IF(OR(E1473="",E1473="!!!",F1473="NEW"),"",INDEX(B$2:B1472,-1+SUMPRODUCT(MAX(ROW(E$2:E1472)*(E1473=E$2:E1472)))))</f>
        <v/>
      </c>
      <c r="J1473" s="24" t="str">
        <f aca="true">IF(OR(E1473="",E1473="!!!",F1473="NEW"),"",COUNTBLANK(OFFSET(A$1,,,SUMPRODUCT(MAX(ROW(E$2:E1473)*(E1473=E$2:E1473)))))-COUNTBLANK(OFFSET(A$1,,,SUMPRODUCT(MAX(ROW(E$1:E1472)*(E2=E$1:E1472))))))</f>
        <v/>
      </c>
      <c r="K1473" s="24" t="str">
        <f aca="false">IF(OR(E1473="",E1473="!!!",F1473="NEW"),"",INDEX(J$1:J1472,SUMPRODUCT(MAX(ROW(E$1:E1472)*(E1473=E$1:E1472)))))</f>
        <v/>
      </c>
      <c r="L1473" s="25"/>
    </row>
    <row r="1474" customFormat="false" ht="14.25" hidden="false" customHeight="false" outlineLevel="0" collapsed="false">
      <c r="A1474" s="0" t="s">
        <v>900</v>
      </c>
      <c r="B1474" s="26" t="s">
        <v>82</v>
      </c>
      <c r="C1474" s="26" t="s">
        <v>119</v>
      </c>
      <c r="E1474" s="20" t="str">
        <f aca="false">IF(D1474="?OLD","!!!","")</f>
        <v/>
      </c>
      <c r="F1474" s="21" t="str">
        <f aca="false">IF(OR(E1474="",E1474="!!!"),"",IF(NOT(ISNA(VLOOKUP(E1474,E$1:E1473,1,FALSE()))),"OLD",IF(AND(E1474&lt;&gt;"",E1474&lt;&gt;"!!!"),"NEW","")))</f>
        <v/>
      </c>
      <c r="G1474" s="22" t="str">
        <f aca="false"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3" t="str">
        <f aca="false">IF(J1474&lt;&gt;1,"",IF(I1474="SBJ","CB","?"))</f>
        <v/>
      </c>
      <c r="I1474" s="24" t="str">
        <f aca="false">IF(OR(E1474="",E1474="!!!",F1474="NEW"),"",INDEX(B$2:B1473,-1+SUMPRODUCT(MAX(ROW(E$2:E1473)*(E1474=E$2:E1473)))))</f>
        <v/>
      </c>
      <c r="J1474" s="24" t="str">
        <f aca="true">IF(OR(E1474="",E1474="!!!",F1474="NEW"),"",COUNTBLANK(OFFSET(A$1,,,SUMPRODUCT(MAX(ROW(E$2:E1474)*(E1474=E$2:E1474)))))-COUNTBLANK(OFFSET(A$1,,,SUMPRODUCT(MAX(ROW(E$1:E1473)*(E2=E$1:E1473))))))</f>
        <v/>
      </c>
      <c r="K1474" s="24" t="str">
        <f aca="false">IF(OR(E1474="",E1474="!!!",F1474="NEW"),"",INDEX(J$1:J1473,SUMPRODUCT(MAX(ROW(E$1:E1473)*(E1474=E$1:E1473)))))</f>
        <v/>
      </c>
      <c r="L1474" s="25"/>
    </row>
    <row r="1475" customFormat="false" ht="14.25" hidden="false" customHeight="false" outlineLevel="0" collapsed="false">
      <c r="A1475" s="0" t="s">
        <v>901</v>
      </c>
      <c r="E1475" s="20" t="str">
        <f aca="false">IF(D1475="?OLD","!!!","")</f>
        <v/>
      </c>
      <c r="F1475" s="21" t="str">
        <f aca="false">IF(OR(E1475="",E1475="!!!"),"",IF(NOT(ISNA(VLOOKUP(E1475,E$1:E1474,1,FALSE()))),"OLD",IF(AND(E1475&lt;&gt;"",E1475&lt;&gt;"!!!"),"NEW","")))</f>
        <v/>
      </c>
      <c r="G1475" s="22" t="str">
        <f aca="false"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3" t="str">
        <f aca="false">IF(J1475&lt;&gt;1,"",IF(I1475="SBJ","CB","?"))</f>
        <v/>
      </c>
      <c r="I1475" s="24" t="str">
        <f aca="false">IF(OR(E1475="",E1475="!!!",F1475="NEW"),"",INDEX(B$2:B1474,-1+SUMPRODUCT(MAX(ROW(E$2:E1474)*(E1475=E$2:E1474)))))</f>
        <v/>
      </c>
      <c r="J1475" s="24" t="str">
        <f aca="true">IF(OR(E1475="",E1475="!!!",F1475="NEW"),"",COUNTBLANK(OFFSET(A$1,,,SUMPRODUCT(MAX(ROW(E$2:E1475)*(E1475=E$2:E1475)))))-COUNTBLANK(OFFSET(A$1,,,SUMPRODUCT(MAX(ROW(E$1:E1474)*(E2=E$1:E1474))))))</f>
        <v/>
      </c>
      <c r="K1475" s="24" t="str">
        <f aca="false">IF(OR(E1475="",E1475="!!!",F1475="NEW"),"",INDEX(J$1:J1474,SUMPRODUCT(MAX(ROW(E$1:E1474)*(E1475=E$1:E1474)))))</f>
        <v/>
      </c>
      <c r="L1475" s="25"/>
    </row>
    <row r="1476" customFormat="false" ht="14.25" hidden="false" customHeight="false" outlineLevel="0" collapsed="false">
      <c r="A1476" s="0" t="s">
        <v>101</v>
      </c>
      <c r="E1476" s="20" t="str">
        <f aca="false">IF(D1476="?OLD","!!!","")</f>
        <v/>
      </c>
      <c r="F1476" s="21" t="str">
        <f aca="false">IF(OR(E1476="",E1476="!!!"),"",IF(NOT(ISNA(VLOOKUP(E1476,E$1:E1475,1,FALSE()))),"OLD",IF(AND(E1476&lt;&gt;"",E1476&lt;&gt;"!!!"),"NEW","")))</f>
        <v/>
      </c>
      <c r="G1476" s="22" t="str">
        <f aca="false"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aca="false">IF(J1476&lt;&gt;1,"",IF(I1476="SBJ","CB","?"))</f>
        <v/>
      </c>
      <c r="I1476" s="24" t="str">
        <f aca="false">IF(OR(E1476="",E1476="!!!",F1476="NEW"),"",INDEX(B$2:B1475,-1+SUMPRODUCT(MAX(ROW(E$2:E1475)*(E1476=E$2:E1475)))))</f>
        <v/>
      </c>
      <c r="J1476" s="24" t="str">
        <f aca="true">IF(OR(E1476="",E1476="!!!",F1476="NEW"),"",COUNTBLANK(OFFSET(A$1,,,SUMPRODUCT(MAX(ROW(E$2:E1476)*(E1476=E$2:E1476)))))-COUNTBLANK(OFFSET(A$1,,,SUMPRODUCT(MAX(ROW(E$1:E1475)*(E2=E$1:E1475))))))</f>
        <v/>
      </c>
      <c r="K1476" s="24" t="str">
        <f aca="false">IF(OR(E1476="",E1476="!!!",F1476="NEW"),"",INDEX(J$1:J1475,SUMPRODUCT(MAX(ROW(E$1:E1475)*(E1476=E$1:E1475)))))</f>
        <v/>
      </c>
      <c r="L1476" s="25"/>
    </row>
    <row r="1477" customFormat="false" ht="14.25" hidden="false" customHeight="false" outlineLevel="0" collapsed="false">
      <c r="A1477" s="0" t="s">
        <v>140</v>
      </c>
      <c r="E1477" s="20" t="str">
        <f aca="false">IF(D1477="?OLD","!!!","")</f>
        <v/>
      </c>
      <c r="F1477" s="21" t="str">
        <f aca="false">IF(OR(E1477="",E1477="!!!"),"",IF(NOT(ISNA(VLOOKUP(E1477,E$1:E1476,1,FALSE()))),"OLD",IF(AND(E1477&lt;&gt;"",E1477&lt;&gt;"!!!"),"NEW","")))</f>
        <v/>
      </c>
      <c r="G1477" s="22" t="str">
        <f aca="false"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aca="false">IF(J1477&lt;&gt;1,"",IF(I1477="SBJ","CB","?"))</f>
        <v/>
      </c>
      <c r="I1477" s="24" t="str">
        <f aca="false">IF(OR(E1477="",E1477="!!!",F1477="NEW"),"",INDEX(B$2:B1476,-1+SUMPRODUCT(MAX(ROW(E$2:E1476)*(E1477=E$2:E1476)))))</f>
        <v/>
      </c>
      <c r="J1477" s="24" t="str">
        <f aca="true">IF(OR(E1477="",E1477="!!!",F1477="NEW"),"",COUNTBLANK(OFFSET(A$1,,,SUMPRODUCT(MAX(ROW(E$2:E1477)*(E1477=E$2:E1477)))))-COUNTBLANK(OFFSET(A$1,,,SUMPRODUCT(MAX(ROW(E$1:E1476)*(E2=E$1:E1476))))))</f>
        <v/>
      </c>
      <c r="K1477" s="24" t="str">
        <f aca="false">IF(OR(E1477="",E1477="!!!",F1477="NEW"),"",INDEX(J$1:J1476,SUMPRODUCT(MAX(ROW(E$1:E1476)*(E1477=E$1:E1476)))))</f>
        <v/>
      </c>
      <c r="L1477" s="25"/>
    </row>
    <row r="1478" customFormat="false" ht="14.25" hidden="false" customHeight="false" outlineLevel="0" collapsed="false">
      <c r="A1478" s="0" t="s">
        <v>902</v>
      </c>
      <c r="E1478" s="20" t="str">
        <f aca="false">IF(D1478="?OLD","!!!","")</f>
        <v/>
      </c>
      <c r="F1478" s="21" t="str">
        <f aca="false">IF(OR(E1478="",E1478="!!!"),"",IF(NOT(ISNA(VLOOKUP(E1478,E$1:E1477,1,FALSE()))),"OLD",IF(AND(E1478&lt;&gt;"",E1478&lt;&gt;"!!!"),"NEW","")))</f>
        <v/>
      </c>
      <c r="G1478" s="22" t="str">
        <f aca="false"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aca="false">IF(J1478&lt;&gt;1,"",IF(I1478="SBJ","CB","?"))</f>
        <v/>
      </c>
      <c r="I1478" s="24" t="str">
        <f aca="false">IF(OR(E1478="",E1478="!!!",F1478="NEW"),"",INDEX(B$2:B1477,-1+SUMPRODUCT(MAX(ROW(E$2:E1477)*(E1478=E$2:E1477)))))</f>
        <v/>
      </c>
      <c r="J1478" s="24" t="str">
        <f aca="true">IF(OR(E1478="",E1478="!!!",F1478="NEW"),"",COUNTBLANK(OFFSET(A$1,,,SUMPRODUCT(MAX(ROW(E$2:E1478)*(E1478=E$2:E1478)))))-COUNTBLANK(OFFSET(A$1,,,SUMPRODUCT(MAX(ROW(E$1:E1477)*(E2=E$1:E1477))))))</f>
        <v/>
      </c>
      <c r="K1478" s="24" t="str">
        <f aca="false">IF(OR(E1478="",E1478="!!!",F1478="NEW"),"",INDEX(J$1:J1477,SUMPRODUCT(MAX(ROW(E$1:E1477)*(E1478=E$1:E1477)))))</f>
        <v/>
      </c>
      <c r="L1478" s="25"/>
    </row>
    <row r="1479" customFormat="false" ht="14.25" hidden="false" customHeight="false" outlineLevel="0" collapsed="false">
      <c r="A1479" s="0" t="s">
        <v>612</v>
      </c>
      <c r="B1479" s="26" t="s">
        <v>82</v>
      </c>
      <c r="C1479" s="26" t="s">
        <v>105</v>
      </c>
      <c r="E1479" s="20" t="str">
        <f aca="false">IF(D1479="?OLD","!!!","")</f>
        <v/>
      </c>
      <c r="F1479" s="21" t="str">
        <f aca="false">IF(OR(E1479="",E1479="!!!"),"",IF(NOT(ISNA(VLOOKUP(E1479,E$1:E1478,1,FALSE()))),"OLD",IF(AND(E1479&lt;&gt;"",E1479&lt;&gt;"!!!"),"NEW","")))</f>
        <v/>
      </c>
      <c r="G1479" s="22" t="str">
        <f aca="false"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aca="false">IF(J1479&lt;&gt;1,"",IF(I1479="SBJ","CB","?"))</f>
        <v/>
      </c>
      <c r="I1479" s="24" t="str">
        <f aca="false">IF(OR(E1479="",E1479="!!!",F1479="NEW"),"",INDEX(B$2:B1478,-1+SUMPRODUCT(MAX(ROW(E$2:E1478)*(E1479=E$2:E1478)))))</f>
        <v/>
      </c>
      <c r="J1479" s="24" t="str">
        <f aca="true">IF(OR(E1479="",E1479="!!!",F1479="NEW"),"",COUNTBLANK(OFFSET(A$1,,,SUMPRODUCT(MAX(ROW(E$2:E1479)*(E1479=E$2:E1479)))))-COUNTBLANK(OFFSET(A$1,,,SUMPRODUCT(MAX(ROW(E$1:E1478)*(E2=E$1:E1478))))))</f>
        <v/>
      </c>
      <c r="K1479" s="24" t="str">
        <f aca="false">IF(OR(E1479="",E1479="!!!",F1479="NEW"),"",INDEX(J$1:J1478,SUMPRODUCT(MAX(ROW(E$1:E1478)*(E1479=E$1:E1478)))))</f>
        <v/>
      </c>
      <c r="L1479" s="25"/>
    </row>
    <row r="1480" customFormat="false" ht="14.25" hidden="false" customHeight="false" outlineLevel="0" collapsed="false">
      <c r="A1480" s="0" t="s">
        <v>101</v>
      </c>
      <c r="E1480" s="20" t="str">
        <f aca="false">IF(D1480="?OLD","!!!","")</f>
        <v/>
      </c>
      <c r="F1480" s="21" t="str">
        <f aca="false">IF(OR(E1480="",E1480="!!!"),"",IF(NOT(ISNA(VLOOKUP(E1480,E$1:E1479,1,FALSE()))),"OLD",IF(AND(E1480&lt;&gt;"",E1480&lt;&gt;"!!!"),"NEW","")))</f>
        <v/>
      </c>
      <c r="G1480" s="22" t="str">
        <f aca="false"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aca="false">IF(J1480&lt;&gt;1,"",IF(I1480="SBJ","CB","?"))</f>
        <v/>
      </c>
      <c r="I1480" s="24" t="str">
        <f aca="false">IF(OR(E1480="",E1480="!!!",F1480="NEW"),"",INDEX(B$2:B1479,-1+SUMPRODUCT(MAX(ROW(E$2:E1479)*(E1480=E$2:E1479)))))</f>
        <v/>
      </c>
      <c r="J1480" s="24" t="str">
        <f aca="true">IF(OR(E1480="",E1480="!!!",F1480="NEW"),"",COUNTBLANK(OFFSET(A$1,,,SUMPRODUCT(MAX(ROW(E$2:E1480)*(E1480=E$2:E1480)))))-COUNTBLANK(OFFSET(A$1,,,SUMPRODUCT(MAX(ROW(E$1:E1479)*(E2=E$1:E1479))))))</f>
        <v/>
      </c>
      <c r="K1480" s="24" t="str">
        <f aca="false">IF(OR(E1480="",E1480="!!!",F1480="NEW"),"",INDEX(J$1:J1479,SUMPRODUCT(MAX(ROW(E$1:E1479)*(E1480=E$1:E1479)))))</f>
        <v/>
      </c>
      <c r="L1480" s="25"/>
    </row>
    <row r="1481" customFormat="false" ht="14.25" hidden="false" customHeight="false" outlineLevel="0" collapsed="false">
      <c r="A1481" s="0" t="s">
        <v>903</v>
      </c>
      <c r="E1481" s="20" t="str">
        <f aca="false">IF(D1481="?OLD","!!!","")</f>
        <v/>
      </c>
      <c r="F1481" s="21" t="str">
        <f aca="false">IF(OR(E1481="",E1481="!!!"),"",IF(NOT(ISNA(VLOOKUP(E1481,E$1:E1480,1,FALSE()))),"OLD",IF(AND(E1481&lt;&gt;"",E1481&lt;&gt;"!!!"),"NEW","")))</f>
        <v/>
      </c>
      <c r="G1481" s="22" t="str">
        <f aca="false"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aca="false">IF(J1481&lt;&gt;1,"",IF(I1481="SBJ","CB","?"))</f>
        <v/>
      </c>
      <c r="I1481" s="24" t="str">
        <f aca="false">IF(OR(E1481="",E1481="!!!",F1481="NEW"),"",INDEX(B$2:B1480,-1+SUMPRODUCT(MAX(ROW(E$2:E1480)*(E1481=E$2:E1480)))))</f>
        <v/>
      </c>
      <c r="J1481" s="24" t="str">
        <f aca="true">IF(OR(E1481="",E1481="!!!",F1481="NEW"),"",COUNTBLANK(OFFSET(A$1,,,SUMPRODUCT(MAX(ROW(E$2:E1481)*(E1481=E$2:E1481)))))-COUNTBLANK(OFFSET(A$1,,,SUMPRODUCT(MAX(ROW(E$1:E1480)*(E2=E$1:E1480))))))</f>
        <v/>
      </c>
      <c r="K1481" s="24" t="str">
        <f aca="false">IF(OR(E1481="",E1481="!!!",F1481="NEW"),"",INDEX(J$1:J1480,SUMPRODUCT(MAX(ROW(E$1:E1480)*(E1481=E$1:E1480)))))</f>
        <v/>
      </c>
      <c r="L1481" s="25"/>
    </row>
    <row r="1482" customFormat="false" ht="14.25" hidden="false" customHeight="false" outlineLevel="0" collapsed="false">
      <c r="A1482" s="0" t="s">
        <v>904</v>
      </c>
      <c r="B1482" s="26" t="s">
        <v>147</v>
      </c>
      <c r="C1482" s="26" t="s">
        <v>105</v>
      </c>
      <c r="E1482" s="20" t="str">
        <f aca="false">IF(D1482="?OLD","!!!","")</f>
        <v/>
      </c>
      <c r="F1482" s="21" t="str">
        <f aca="false">IF(OR(E1482="",E1482="!!!"),"",IF(NOT(ISNA(VLOOKUP(E1482,E$1:E1481,1,FALSE()))),"OLD",IF(AND(E1482&lt;&gt;"",E1482&lt;&gt;"!!!"),"NEW","")))</f>
        <v/>
      </c>
      <c r="G1482" s="22" t="str">
        <f aca="false"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aca="false">IF(J1482&lt;&gt;1,"",IF(I1482="SBJ","CB","?"))</f>
        <v/>
      </c>
      <c r="I1482" s="24" t="str">
        <f aca="false">IF(OR(E1482="",E1482="!!!",F1482="NEW"),"",INDEX(B$2:B1481,-1+SUMPRODUCT(MAX(ROW(E$2:E1481)*(E1482=E$2:E1481)))))</f>
        <v/>
      </c>
      <c r="J1482" s="24" t="str">
        <f aca="true">IF(OR(E1482="",E1482="!!!",F1482="NEW"),"",COUNTBLANK(OFFSET(A$1,,,SUMPRODUCT(MAX(ROW(E$2:E1482)*(E1482=E$2:E1482)))))-COUNTBLANK(OFFSET(A$1,,,SUMPRODUCT(MAX(ROW(E$1:E1481)*(E2=E$1:E1481))))))</f>
        <v/>
      </c>
      <c r="K1482" s="24" t="str">
        <f aca="false">IF(OR(E1482="",E1482="!!!",F1482="NEW"),"",INDEX(J$1:J1481,SUMPRODUCT(MAX(ROW(E$1:E1481)*(E1482=E$1:E1481)))))</f>
        <v/>
      </c>
      <c r="L1482" s="25"/>
    </row>
    <row r="1483" customFormat="false" ht="14.25" hidden="false" customHeight="false" outlineLevel="0" collapsed="false">
      <c r="A1483" s="0" t="s">
        <v>101</v>
      </c>
      <c r="E1483" s="20" t="str">
        <f aca="false">IF(D1483="?OLD","!!!","")</f>
        <v/>
      </c>
      <c r="F1483" s="21" t="str">
        <f aca="false">IF(OR(E1483="",E1483="!!!"),"",IF(NOT(ISNA(VLOOKUP(E1483,E$1:E1482,1,FALSE()))),"OLD",IF(AND(E1483&lt;&gt;"",E1483&lt;&gt;"!!!"),"NEW","")))</f>
        <v/>
      </c>
      <c r="G1483" s="22" t="str">
        <f aca="false"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aca="false">IF(J1483&lt;&gt;1,"",IF(I1483="SBJ","CB","?"))</f>
        <v/>
      </c>
      <c r="I1483" s="24" t="str">
        <f aca="false">IF(OR(E1483="",E1483="!!!",F1483="NEW"),"",INDEX(B$2:B1482,-1+SUMPRODUCT(MAX(ROW(E$2:E1482)*(E1483=E$2:E1482)))))</f>
        <v/>
      </c>
      <c r="J1483" s="24" t="str">
        <f aca="true">IF(OR(E1483="",E1483="!!!",F1483="NEW"),"",COUNTBLANK(OFFSET(A$1,,,SUMPRODUCT(MAX(ROW(E$2:E1483)*(E1483=E$2:E1483)))))-COUNTBLANK(OFFSET(A$1,,,SUMPRODUCT(MAX(ROW(E$1:E1482)*(E2=E$1:E1482))))))</f>
        <v/>
      </c>
      <c r="K1483" s="24" t="str">
        <f aca="false">IF(OR(E1483="",E1483="!!!",F1483="NEW"),"",INDEX(J$1:J1482,SUMPRODUCT(MAX(ROW(E$1:E1482)*(E1483=E$1:E1482)))))</f>
        <v/>
      </c>
      <c r="L1483" s="25"/>
    </row>
    <row r="1484" customFormat="false" ht="14.25" hidden="false" customHeight="false" outlineLevel="0" collapsed="false">
      <c r="A1484" s="0" t="s">
        <v>627</v>
      </c>
      <c r="B1484" s="26" t="s">
        <v>147</v>
      </c>
      <c r="C1484" s="26" t="s">
        <v>105</v>
      </c>
      <c r="E1484" s="20" t="str">
        <f aca="false">IF(D1484="?OLD","!!!","")</f>
        <v/>
      </c>
      <c r="F1484" s="21" t="str">
        <f aca="false">IF(OR(E1484="",E1484="!!!"),"",IF(NOT(ISNA(VLOOKUP(E1484,E$1:E1483,1,FALSE()))),"OLD",IF(AND(E1484&lt;&gt;"",E1484&lt;&gt;"!!!"),"NEW","")))</f>
        <v/>
      </c>
      <c r="G1484" s="22" t="str">
        <f aca="false"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aca="false">IF(J1484&lt;&gt;1,"",IF(I1484="SBJ","CB","?"))</f>
        <v/>
      </c>
      <c r="I1484" s="24" t="str">
        <f aca="false">IF(OR(E1484="",E1484="!!!",F1484="NEW"),"",INDEX(B$2:B1483,-1+SUMPRODUCT(MAX(ROW(E$2:E1483)*(E1484=E$2:E1483)))))</f>
        <v/>
      </c>
      <c r="J1484" s="24" t="str">
        <f aca="true">IF(OR(E1484="",E1484="!!!",F1484="NEW"),"",COUNTBLANK(OFFSET(A$1,,,SUMPRODUCT(MAX(ROW(E$2:E1484)*(E1484=E$2:E1484)))))-COUNTBLANK(OFFSET(A$1,,,SUMPRODUCT(MAX(ROW(E$1:E1483)*(E2=E$1:E1483))))))</f>
        <v/>
      </c>
      <c r="K1484" s="24" t="str">
        <f aca="false">IF(OR(E1484="",E1484="!!!",F1484="NEW"),"",INDEX(J$1:J1483,SUMPRODUCT(MAX(ROW(E$1:E1483)*(E1484=E$1:E1483)))))</f>
        <v/>
      </c>
      <c r="L1484" s="25"/>
    </row>
    <row r="1485" customFormat="false" ht="14.25" hidden="false" customHeight="false" outlineLevel="0" collapsed="false">
      <c r="A1485" s="0" t="s">
        <v>259</v>
      </c>
      <c r="E1485" s="20" t="str">
        <f aca="false">IF(D1485="?OLD","!!!","")</f>
        <v/>
      </c>
      <c r="F1485" s="21" t="str">
        <f aca="false">IF(OR(E1485="",E1485="!!!"),"",IF(NOT(ISNA(VLOOKUP(E1485,E$1:E1484,1,FALSE()))),"OLD",IF(AND(E1485&lt;&gt;"",E1485&lt;&gt;"!!!"),"NEW","")))</f>
        <v/>
      </c>
      <c r="G1485" s="22" t="str">
        <f aca="false"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aca="false">IF(J1485&lt;&gt;1,"",IF(I1485="SBJ","CB","?"))</f>
        <v/>
      </c>
      <c r="I1485" s="24" t="str">
        <f aca="false">IF(OR(E1485="",E1485="!!!",F1485="NEW"),"",INDEX(B$2:B1484,-1+SUMPRODUCT(MAX(ROW(E$2:E1484)*(E1485=E$2:E1484)))))</f>
        <v/>
      </c>
      <c r="J1485" s="24" t="str">
        <f aca="true">IF(OR(E1485="",E1485="!!!",F1485="NEW"),"",COUNTBLANK(OFFSET(A$1,,,SUMPRODUCT(MAX(ROW(E$2:E1485)*(E1485=E$2:E1485)))))-COUNTBLANK(OFFSET(A$1,,,SUMPRODUCT(MAX(ROW(E$1:E1484)*(E2=E$1:E1484))))))</f>
        <v/>
      </c>
      <c r="K1485" s="24" t="str">
        <f aca="false">IF(OR(E1485="",E1485="!!!",F1485="NEW"),"",INDEX(J$1:J1484,SUMPRODUCT(MAX(ROW(E$1:E1484)*(E1485=E$1:E1484)))))</f>
        <v/>
      </c>
      <c r="L1485" s="25"/>
    </row>
    <row r="1486" customFormat="false" ht="14.25" hidden="false" customHeight="false" outlineLevel="0" collapsed="false">
      <c r="A1486" s="0" t="s">
        <v>55</v>
      </c>
      <c r="E1486" s="20" t="str">
        <f aca="false">IF(D1486="?OLD","!!!","")</f>
        <v/>
      </c>
      <c r="F1486" s="21" t="str">
        <f aca="false">IF(OR(E1486="",E1486="!!!"),"",IF(NOT(ISNA(VLOOKUP(E1486,E$1:E1485,1,FALSE()))),"OLD",IF(AND(E1486&lt;&gt;"",E1486&lt;&gt;"!!!"),"NEW","")))</f>
        <v/>
      </c>
      <c r="G1486" s="22" t="str">
        <f aca="false"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aca="false">IF(J1486&lt;&gt;1,"",IF(I1486="SBJ","CB","?"))</f>
        <v/>
      </c>
      <c r="I1486" s="24" t="str">
        <f aca="false">IF(OR(E1486="",E1486="!!!",F1486="NEW"),"",INDEX(B$2:B1485,-1+SUMPRODUCT(MAX(ROW(E$2:E1485)*(E1486=E$2:E1485)))))</f>
        <v/>
      </c>
      <c r="J1486" s="24" t="str">
        <f aca="true">IF(OR(E1486="",E1486="!!!",F1486="NEW"),"",COUNTBLANK(OFFSET(A$1,,,SUMPRODUCT(MAX(ROW(E$2:E1486)*(E1486=E$2:E1486)))))-COUNTBLANK(OFFSET(A$1,,,SUMPRODUCT(MAX(ROW(E$1:E1485)*(E2=E$1:E1485))))))</f>
        <v/>
      </c>
      <c r="K1486" s="24" t="str">
        <f aca="false">IF(OR(E1486="",E1486="!!!",F1486="NEW"),"",INDEX(J$1:J1485,SUMPRODUCT(MAX(ROW(E$1:E1485)*(E1486=E$1:E1485)))))</f>
        <v/>
      </c>
      <c r="L1486" s="25"/>
    </row>
    <row r="1487" customFormat="false" ht="14.25" hidden="false" customHeight="false" outlineLevel="0" collapsed="false">
      <c r="A1487" s="0" t="s">
        <v>231</v>
      </c>
      <c r="B1487" s="26" t="s">
        <v>307</v>
      </c>
      <c r="C1487" s="26" t="s">
        <v>119</v>
      </c>
      <c r="E1487" s="20" t="str">
        <f aca="false">IF(D1487="?OLD","!!!","")</f>
        <v/>
      </c>
      <c r="F1487" s="21" t="str">
        <f aca="false">IF(OR(E1487="",E1487="!!!"),"",IF(NOT(ISNA(VLOOKUP(E1487,E$1:E1486,1,FALSE()))),"OLD",IF(AND(E1487&lt;&gt;"",E1487&lt;&gt;"!!!"),"NEW","")))</f>
        <v/>
      </c>
      <c r="G1487" s="22" t="str">
        <f aca="false"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aca="false">IF(J1487&lt;&gt;1,"",IF(I1487="SBJ","CB","?"))</f>
        <v/>
      </c>
      <c r="I1487" s="24" t="str">
        <f aca="false">IF(OR(E1487="",E1487="!!!",F1487="NEW"),"",INDEX(B$2:B1486,-1+SUMPRODUCT(MAX(ROW(E$2:E1486)*(E1487=E$2:E1486)))))</f>
        <v/>
      </c>
      <c r="J1487" s="24" t="str">
        <f aca="true">IF(OR(E1487="",E1487="!!!",F1487="NEW"),"",COUNTBLANK(OFFSET(A$1,,,SUMPRODUCT(MAX(ROW(E$2:E1487)*(E1487=E$2:E1487)))))-COUNTBLANK(OFFSET(A$1,,,SUMPRODUCT(MAX(ROW(E$1:E1486)*(E2=E$1:E1486))))))</f>
        <v/>
      </c>
      <c r="K1487" s="24" t="str">
        <f aca="false">IF(OR(E1487="",E1487="!!!",F1487="NEW"),"",INDEX(J$1:J1486,SUMPRODUCT(MAX(ROW(E$1:E1486)*(E1487=E$1:E1486)))))</f>
        <v/>
      </c>
      <c r="L1487" s="25"/>
    </row>
    <row r="1488" customFormat="false" ht="14.25" hidden="false" customHeight="false" outlineLevel="0" collapsed="false">
      <c r="A1488" s="0" t="s">
        <v>905</v>
      </c>
      <c r="B1488" s="26" t="s">
        <v>115</v>
      </c>
      <c r="C1488" s="26" t="s">
        <v>283</v>
      </c>
      <c r="D1488" s="26" t="s">
        <v>75</v>
      </c>
      <c r="E1488" s="20" t="s">
        <v>225</v>
      </c>
      <c r="F1488" s="21" t="str">
        <f aca="false">IF(OR(E1488="",E1488="!!!"),"",IF(NOT(ISNA(VLOOKUP(E1488,E$1:E1487,1,FALSE()))),"OLD",IF(AND(E1488&lt;&gt;"",E1488&lt;&gt;"!!!"),"NEW","")))</f>
        <v>OLD</v>
      </c>
      <c r="G1488" s="22" t="str">
        <f aca="false"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?IN_FOCUS</v>
      </c>
      <c r="H1488" s="23" t="str">
        <f aca="false">IF(J1488&lt;&gt;1,"",IF(I1488="SBJ","CB","?"))</f>
        <v/>
      </c>
      <c r="I1488" s="24" t="str">
        <f aca="false">IF(OR(E1488="",E1488="!!!",F1488="NEW"),"",INDEX(B$2:B1487,-1+SUMPRODUCT(MAX(ROW(E$2:E1487)*(E1488=E$2:E1487)))))</f>
        <v>SBJ_5</v>
      </c>
      <c r="J1488" s="24" t="n">
        <f aca="true">IF(OR(E1488="",E1488="!!!",F1488="NEW"),"",COUNTBLANK(OFFSET(A$1,,,SUMPRODUCT(MAX(ROW(E$2:E1488)*(E1488=E$2:E1488)))))-COUNTBLANK(OFFSET(A$1,,,SUMPRODUCT(MAX(ROW(E$1:E1487)*(E2=E$1:E1487))))))</f>
        <v>0</v>
      </c>
      <c r="K1488" s="24" t="n">
        <f aca="false">IF(OR(E1488="",E1488="!!!",F1488="NEW"),"",INDEX(J$1:J1487,SUMPRODUCT(MAX(ROW(E$1:E1487)*(E1488=E$1:E1487)))))</f>
        <v>0</v>
      </c>
      <c r="L1488" s="27" t="s">
        <v>906</v>
      </c>
    </row>
    <row r="1489" customFormat="false" ht="14.25" hidden="false" customHeight="false" outlineLevel="0" collapsed="false">
      <c r="A1489" s="0" t="s">
        <v>86</v>
      </c>
      <c r="E1489" s="20" t="str">
        <f aca="false">IF(D1489="?OLD","!!!","")</f>
        <v/>
      </c>
      <c r="F1489" s="21" t="str">
        <f aca="false">IF(OR(E1489="",E1489="!!!"),"",IF(NOT(ISNA(VLOOKUP(E1489,E$1:E1488,1,FALSE()))),"OLD",IF(AND(E1489&lt;&gt;"",E1489&lt;&gt;"!!!"),"NEW","")))</f>
        <v/>
      </c>
      <c r="G1489" s="22" t="str">
        <f aca="false"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3" t="str">
        <f aca="false">IF(J1489&lt;&gt;1,"",IF(I1489="SBJ","CB","?"))</f>
        <v/>
      </c>
      <c r="I1489" s="24" t="str">
        <f aca="false">IF(OR(E1489="",E1489="!!!",F1489="NEW"),"",INDEX(B$2:B1488,-1+SUMPRODUCT(MAX(ROW(E$2:E1488)*(E1489=E$2:E1488)))))</f>
        <v/>
      </c>
      <c r="J1489" s="24" t="str">
        <f aca="true">IF(OR(E1489="",E1489="!!!",F1489="NEW"),"",COUNTBLANK(OFFSET(A$1,,,SUMPRODUCT(MAX(ROW(E$2:E1489)*(E1489=E$2:E1489)))))-COUNTBLANK(OFFSET(A$1,,,SUMPRODUCT(MAX(ROW(E$1:E1488)*(E2=E$1:E1488))))))</f>
        <v/>
      </c>
      <c r="K1489" s="24" t="str">
        <f aca="false">IF(OR(E1489="",E1489="!!!",F1489="NEW"),"",INDEX(J$1:J1488,SUMPRODUCT(MAX(ROW(E$1:E1488)*(E1489=E$1:E1488)))))</f>
        <v/>
      </c>
      <c r="L1489" s="25"/>
    </row>
    <row r="1490" customFormat="false" ht="14.25" hidden="false" customHeight="false" outlineLevel="0" collapsed="false">
      <c r="A1490" s="0" t="s">
        <v>444</v>
      </c>
      <c r="E1490" s="20" t="str">
        <f aca="false">IF(D1490="?OLD","!!!","")</f>
        <v/>
      </c>
      <c r="F1490" s="21" t="str">
        <f aca="false">IF(OR(E1490="",E1490="!!!"),"",IF(NOT(ISNA(VLOOKUP(E1490,E$1:E1489,1,FALSE()))),"OLD",IF(AND(E1490&lt;&gt;"",E1490&lt;&gt;"!!!"),"NEW","")))</f>
        <v/>
      </c>
      <c r="G1490" s="22" t="str">
        <f aca="false"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aca="false">IF(J1490&lt;&gt;1,"",IF(I1490="SBJ","CB","?"))</f>
        <v/>
      </c>
      <c r="I1490" s="24" t="str">
        <f aca="false">IF(OR(E1490="",E1490="!!!",F1490="NEW"),"",INDEX(B$2:B1489,-1+SUMPRODUCT(MAX(ROW(E$2:E1489)*(E1490=E$2:E1489)))))</f>
        <v/>
      </c>
      <c r="J1490" s="24" t="str">
        <f aca="true">IF(OR(E1490="",E1490="!!!",F1490="NEW"),"",COUNTBLANK(OFFSET(A$1,,,SUMPRODUCT(MAX(ROW(E$2:E1490)*(E1490=E$2:E1490)))))-COUNTBLANK(OFFSET(A$1,,,SUMPRODUCT(MAX(ROW(E$1:E1489)*(E2=E$1:E1489))))))</f>
        <v/>
      </c>
      <c r="K1490" s="24" t="str">
        <f aca="false">IF(OR(E1490="",E1490="!!!",F1490="NEW"),"",INDEX(J$1:J1489,SUMPRODUCT(MAX(ROW(E$1:E1489)*(E1490=E$1:E1489)))))</f>
        <v/>
      </c>
      <c r="L1490" s="25"/>
    </row>
    <row r="1491" customFormat="false" ht="14.25" hidden="false" customHeight="false" outlineLevel="0" collapsed="false">
      <c r="A1491" s="0" t="s">
        <v>462</v>
      </c>
      <c r="E1491" s="20" t="str">
        <f aca="false">IF(D1491="?OLD","!!!","")</f>
        <v/>
      </c>
      <c r="F1491" s="21" t="str">
        <f aca="false">IF(OR(E1491="",E1491="!!!"),"",IF(NOT(ISNA(VLOOKUP(E1491,E$1:E1490,1,FALSE()))),"OLD",IF(AND(E1491&lt;&gt;"",E1491&lt;&gt;"!!!"),"NEW","")))</f>
        <v/>
      </c>
      <c r="G1491" s="22" t="str">
        <f aca="false"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aca="false">IF(J1491&lt;&gt;1,"",IF(I1491="SBJ","CB","?"))</f>
        <v/>
      </c>
      <c r="I1491" s="24" t="str">
        <f aca="false">IF(OR(E1491="",E1491="!!!",F1491="NEW"),"",INDEX(B$2:B1490,-1+SUMPRODUCT(MAX(ROW(E$2:E1490)*(E1491=E$2:E1490)))))</f>
        <v/>
      </c>
      <c r="J1491" s="24" t="str">
        <f aca="true">IF(OR(E1491="",E1491="!!!",F1491="NEW"),"",COUNTBLANK(OFFSET(A$1,,,SUMPRODUCT(MAX(ROW(E$2:E1491)*(E1491=E$2:E1491)))))-COUNTBLANK(OFFSET(A$1,,,SUMPRODUCT(MAX(ROW(E$1:E1490)*(E2=E$1:E1490))))))</f>
        <v/>
      </c>
      <c r="K1491" s="24" t="str">
        <f aca="false">IF(OR(E1491="",E1491="!!!",F1491="NEW"),"",INDEX(J$1:J1490,SUMPRODUCT(MAX(ROW(E$1:E1490)*(E1491=E$1:E1490)))))</f>
        <v/>
      </c>
      <c r="L1491" s="25"/>
    </row>
    <row r="1492" customFormat="false" ht="14.25" hidden="false" customHeight="false" outlineLevel="0" collapsed="false">
      <c r="A1492" s="0" t="s">
        <v>723</v>
      </c>
      <c r="E1492" s="20"/>
      <c r="F1492" s="21" t="str">
        <f aca="false">IF(OR(E1492="",E1492="!!!"),"",IF(NOT(ISNA(VLOOKUP(E1492,E$1:E1491,1,FALSE()))),"OLD",IF(AND(E1492&lt;&gt;"",E1492&lt;&gt;"!!!"),"NEW","")))</f>
        <v/>
      </c>
      <c r="G1492" s="22" t="str">
        <f aca="false"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aca="false">IF(J1492&lt;&gt;1,"",IF(I1492="SBJ","CB","?"))</f>
        <v/>
      </c>
      <c r="I1492" s="24" t="str">
        <f aca="false">IF(OR(E1492="",E1492="!!!",F1492="NEW"),"",INDEX(B$2:B1491,-1+SUMPRODUCT(MAX(ROW(E$2:E1491)*(E1492=E$2:E1491)))))</f>
        <v/>
      </c>
      <c r="J1492" s="24" t="str">
        <f aca="true">IF(OR(E1492="",E1492="!!!",F1492="NEW"),"",COUNTBLANK(OFFSET(A$1,,,SUMPRODUCT(MAX(ROW(E$2:E1492)*(E1492=E$2:E1492)))))-COUNTBLANK(OFFSET(A$1,,,SUMPRODUCT(MAX(ROW(E$1:E1491)*(E2=E$1:E1491))))))</f>
        <v/>
      </c>
      <c r="K1492" s="24" t="str">
        <f aca="false">IF(OR(E1492="",E1492="!!!",F1492="NEW"),"",INDEX(J$1:J1491,SUMPRODUCT(MAX(ROW(E$1:E1491)*(E1492=E$1:E1491)))))</f>
        <v/>
      </c>
      <c r="L1492" s="25"/>
    </row>
    <row r="1493" customFormat="false" ht="14.25" hidden="false" customHeight="false" outlineLevel="0" collapsed="false">
      <c r="A1493" s="0" t="s">
        <v>362</v>
      </c>
      <c r="B1493" s="26" t="s">
        <v>104</v>
      </c>
      <c r="C1493" s="26" t="s">
        <v>105</v>
      </c>
      <c r="E1493" s="20" t="s">
        <v>185</v>
      </c>
      <c r="F1493" s="21" t="str">
        <f aca="false">IF(OR(E1493="",E1493="!!!"),"",IF(NOT(ISNA(VLOOKUP(E1493,E$1:E1492,1,FALSE()))),"OLD",IF(AND(E1493&lt;&gt;"",E1493&lt;&gt;"!!!"),"NEW","")))</f>
        <v>OLD</v>
      </c>
      <c r="G1493" s="22" t="str">
        <f aca="false"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?IN_FOCUS</v>
      </c>
      <c r="H1493" s="23" t="str">
        <f aca="false">IF(J1493&lt;&gt;1,"",IF(I1493="SBJ","CB","?"))</f>
        <v/>
      </c>
      <c r="I1493" s="24" t="str">
        <f aca="false">IF(OR(E1493="",E1493="!!!",F1493="NEW"),"",INDEX(B$2:B1492,-1+SUMPRODUCT(MAX(ROW(E$2:E1492)*(E1493=E$2:E1492)))))</f>
        <v>SBJ_2</v>
      </c>
      <c r="J1493" s="24" t="n">
        <f aca="true">IF(OR(E1493="",E1493="!!!",F1493="NEW"),"",COUNTBLANK(OFFSET(A$1,,,SUMPRODUCT(MAX(ROW(E$2:E1493)*(E1493=E$2:E1493)))))-COUNTBLANK(OFFSET(A$1,,,SUMPRODUCT(MAX(ROW(E$1:E1492)*(E2=E$1:E1492))))))</f>
        <v>0</v>
      </c>
      <c r="K1493" s="24" t="n">
        <f aca="false">IF(OR(E1493="",E1493="!!!",F1493="NEW"),"",INDEX(J$1:J1492,SUMPRODUCT(MAX(ROW(E$1:E1492)*(E1493=E$1:E1492)))))</f>
        <v>0</v>
      </c>
      <c r="L1493" s="27" t="s">
        <v>338</v>
      </c>
    </row>
    <row r="1494" customFormat="false" ht="14.25" hidden="false" customHeight="false" outlineLevel="0" collapsed="false">
      <c r="A1494" s="0" t="s">
        <v>136</v>
      </c>
      <c r="E1494" s="20" t="str">
        <f aca="false">IF(D1494="?OLD","!!!","")</f>
        <v/>
      </c>
      <c r="F1494" s="21" t="str">
        <f aca="false">IF(OR(E1494="",E1494="!!!"),"",IF(NOT(ISNA(VLOOKUP(E1494,E$1:E1493,1,FALSE()))),"OLD",IF(AND(E1494&lt;&gt;"",E1494&lt;&gt;"!!!"),"NEW","")))</f>
        <v/>
      </c>
      <c r="G1494" s="22" t="str">
        <f aca="false"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aca="false">IF(J1494&lt;&gt;1,"",IF(I1494="SBJ","CB","?"))</f>
        <v/>
      </c>
      <c r="I1494" s="24" t="str">
        <f aca="false">IF(OR(E1494="",E1494="!!!",F1494="NEW"),"",INDEX(B$2:B1493,-1+SUMPRODUCT(MAX(ROW(E$2:E1493)*(E1494=E$2:E1493)))))</f>
        <v/>
      </c>
      <c r="J1494" s="24" t="str">
        <f aca="true">IF(OR(E1494="",E1494="!!!",F1494="NEW"),"",COUNTBLANK(OFFSET(A$1,,,SUMPRODUCT(MAX(ROW(E$2:E1494)*(E1494=E$2:E1494)))))-COUNTBLANK(OFFSET(A$1,,,SUMPRODUCT(MAX(ROW(E$1:E1493)*(E2=E$1:E1493))))))</f>
        <v/>
      </c>
      <c r="K1494" s="24" t="str">
        <f aca="false">IF(OR(E1494="",E1494="!!!",F1494="NEW"),"",INDEX(J$1:J1493,SUMPRODUCT(MAX(ROW(E$1:E1493)*(E1494=E$1:E1493)))))</f>
        <v/>
      </c>
      <c r="L1494" s="25"/>
    </row>
    <row r="1495" customFormat="false" ht="14.25" hidden="false" customHeight="false" outlineLevel="0" collapsed="false">
      <c r="A1495" s="0" t="s">
        <v>365</v>
      </c>
      <c r="B1495" s="26" t="s">
        <v>110</v>
      </c>
      <c r="C1495" s="26" t="s">
        <v>283</v>
      </c>
      <c r="D1495" s="26" t="s">
        <v>75</v>
      </c>
      <c r="E1495" s="20" t="s">
        <v>366</v>
      </c>
      <c r="F1495" s="21" t="str">
        <f aca="false">IF(OR(E1495="",E1495="!!!"),"",IF(NOT(ISNA(VLOOKUP(E1495,E$1:E1494,1,FALSE()))),"OLD",IF(AND(E1495&lt;&gt;"",E1495&lt;&gt;"!!!"),"NEW","")))</f>
        <v>OLD</v>
      </c>
      <c r="G1495" s="22" t="str">
        <f aca="false"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?IN_FOCUS</v>
      </c>
      <c r="H1495" s="23" t="str">
        <f aca="false">IF(J1495&lt;&gt;1,"",IF(I1495="SBJ","CB","?"))</f>
        <v/>
      </c>
      <c r="I1495" s="24" t="str">
        <f aca="false">IF(OR(E1495="",E1495="!!!",F1495="NEW"),"",INDEX(B$2:B1494,-1+SUMPRODUCT(MAX(ROW(E$2:E1494)*(E1495=E$2:E1494)))))</f>
        <v>other_5</v>
      </c>
      <c r="J1495" s="24" t="n">
        <f aca="true">IF(OR(E1495="",E1495="!!!",F1495="NEW"),"",COUNTBLANK(OFFSET(A$1,,,SUMPRODUCT(MAX(ROW(E$2:E1495)*(E1495=E$2:E1495)))))-COUNTBLANK(OFFSET(A$1,,,SUMPRODUCT(MAX(ROW(E$1:E1494)*(E2=E$1:E1494))))))</f>
        <v>0</v>
      </c>
      <c r="K1495" s="24" t="n">
        <f aca="false">IF(OR(E1495="",E1495="!!!",F1495="NEW"),"",INDEX(J$1:J1494,SUMPRODUCT(MAX(ROW(E$1:E1494)*(E1495=E$1:E1494)))))</f>
        <v>0</v>
      </c>
      <c r="L1495" s="25"/>
    </row>
    <row r="1496" customFormat="false" ht="14.25" hidden="false" customHeight="false" outlineLevel="0" collapsed="false">
      <c r="A1496" s="0" t="s">
        <v>79</v>
      </c>
      <c r="E1496" s="20" t="str">
        <f aca="false">IF(D1496="?OLD","!!!","")</f>
        <v/>
      </c>
      <c r="F1496" s="21" t="str">
        <f aca="false">IF(OR(E1496="",E1496="!!!"),"",IF(NOT(ISNA(VLOOKUP(E1496,E$1:E1495,1,FALSE()))),"OLD",IF(AND(E1496&lt;&gt;"",E1496&lt;&gt;"!!!"),"NEW","")))</f>
        <v/>
      </c>
      <c r="G1496" s="22" t="str">
        <f aca="false"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3" t="str">
        <f aca="false">IF(J1496&lt;&gt;1,"",IF(I1496="SBJ","CB","?"))</f>
        <v/>
      </c>
      <c r="I1496" s="24" t="str">
        <f aca="false">IF(OR(E1496="",E1496="!!!",F1496="NEW"),"",INDEX(B$2:B1495,-1+SUMPRODUCT(MAX(ROW(E$2:E1495)*(E1496=E$2:E1495)))))</f>
        <v/>
      </c>
      <c r="J1496" s="24" t="str">
        <f aca="true">IF(OR(E1496="",E1496="!!!",F1496="NEW"),"",COUNTBLANK(OFFSET(A$1,,,SUMPRODUCT(MAX(ROW(E$2:E1496)*(E1496=E$2:E1496)))))-COUNTBLANK(OFFSET(A$1,,,SUMPRODUCT(MAX(ROW(E$1:E1495)*(E2=E$1:E1495))))))</f>
        <v/>
      </c>
      <c r="K1496" s="24" t="str">
        <f aca="false">IF(OR(E1496="",E1496="!!!",F1496="NEW"),"",INDEX(J$1:J1495,SUMPRODUCT(MAX(ROW(E$1:E1495)*(E1496=E$1:E1495)))))</f>
        <v/>
      </c>
      <c r="L1496" s="25"/>
    </row>
    <row r="1497" customFormat="false" ht="14.25" hidden="false" customHeight="false" outlineLevel="0" collapsed="false">
      <c r="A1497" s="0" t="s">
        <v>749</v>
      </c>
      <c r="E1497" s="20" t="s">
        <v>185</v>
      </c>
      <c r="F1497" s="21" t="str">
        <f aca="false">IF(OR(E1497="",E1497="!!!"),"",IF(NOT(ISNA(VLOOKUP(E1497,E$1:E1496,1,FALSE()))),"OLD",IF(AND(E1497&lt;&gt;"",E1497&lt;&gt;"!!!"),"NEW","")))</f>
        <v>OLD</v>
      </c>
      <c r="G1497" s="22" t="str">
        <f aca="false"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?IN_FOCUS</v>
      </c>
      <c r="H1497" s="23" t="str">
        <f aca="false">IF(J1497&lt;&gt;1,"",IF(I1497="SBJ","CB","?"))</f>
        <v/>
      </c>
      <c r="I1497" s="24" t="str">
        <f aca="false">IF(OR(E1497="",E1497="!!!",F1497="NEW"),"",INDEX(B$2:B1496,-1+SUMPRODUCT(MAX(ROW(E$2:E1496)*(E1497=E$2:E1496)))))</f>
        <v>SBJ_3</v>
      </c>
      <c r="J1497" s="24" t="n">
        <f aca="true">IF(OR(E1497="",E1497="!!!",F1497="NEW"),"",COUNTBLANK(OFFSET(A$1,,,SUMPRODUCT(MAX(ROW(E$2:E1497)*(E1497=E$2:E1497)))))-COUNTBLANK(OFFSET(A$1,,,SUMPRODUCT(MAX(ROW(E$1:E1496)*(E2=E$1:E1496))))))</f>
        <v>0</v>
      </c>
      <c r="K1497" s="24" t="n">
        <f aca="false">IF(OR(E1497="",E1497="!!!",F1497="NEW"),"",INDEX(J$1:J1496,SUMPRODUCT(MAX(ROW(E$1:E1496)*(E1497=E$1:E1496)))))</f>
        <v>0</v>
      </c>
      <c r="L1497" s="25"/>
    </row>
    <row r="1498" customFormat="false" ht="14.25" hidden="false" customHeight="false" outlineLevel="0" collapsed="false">
      <c r="A1498" s="0" t="s">
        <v>784</v>
      </c>
      <c r="B1498" s="26" t="s">
        <v>147</v>
      </c>
      <c r="C1498" s="26" t="s">
        <v>488</v>
      </c>
      <c r="E1498" s="20" t="s">
        <v>907</v>
      </c>
      <c r="F1498" s="21" t="str">
        <f aca="false">IF(OR(E1498="",E1498="!!!"),"",IF(NOT(ISNA(VLOOKUP(E1498,E$1:E1497,1,FALSE()))),"OLD",IF(AND(E1498&lt;&gt;"",E1498&lt;&gt;"!!!"),"NEW","")))</f>
        <v>NEW</v>
      </c>
      <c r="G1498" s="22" t="str">
        <f aca="false"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?REFERENTIAL</v>
      </c>
      <c r="H1498" s="23" t="str">
        <f aca="false">IF(J1498&lt;&gt;1,"",IF(I1498="SBJ","CB","?"))</f>
        <v/>
      </c>
      <c r="I1498" s="24" t="str">
        <f aca="false">IF(OR(E1498="",E1498="!!!",F1498="NEW"),"",INDEX(B$2:B1497,-1+SUMPRODUCT(MAX(ROW(E$2:E1497)*(E1498=E$2:E1497)))))</f>
        <v/>
      </c>
      <c r="J1498" s="24" t="str">
        <f aca="true">IF(OR(E1498="",E1498="!!!",F1498="NEW"),"",COUNTBLANK(OFFSET(A$1,,,SUMPRODUCT(MAX(ROW(E$2:E1498)*(E1498=E$2:E1498)))))-COUNTBLANK(OFFSET(A$1,,,SUMPRODUCT(MAX(ROW(E$1:E1497)*(E2=E$1:E1497))))))</f>
        <v/>
      </c>
      <c r="K1498" s="24" t="str">
        <f aca="false">IF(OR(E1498="",E1498="!!!",F1498="NEW"),"",INDEX(J$1:J1497,SUMPRODUCT(MAX(ROW(E$1:E1497)*(E1498=E$1:E1497)))))</f>
        <v/>
      </c>
      <c r="L1498" s="25"/>
    </row>
    <row r="1499" customFormat="false" ht="14.25" hidden="false" customHeight="false" outlineLevel="0" collapsed="false">
      <c r="A1499" s="0" t="s">
        <v>787</v>
      </c>
      <c r="E1499" s="20" t="str">
        <f aca="false">IF(D1499="?OLD","!!!","")</f>
        <v/>
      </c>
      <c r="F1499" s="21" t="str">
        <f aca="false">IF(OR(E1499="",E1499="!!!"),"",IF(NOT(ISNA(VLOOKUP(E1499,E$1:E1498,1,FALSE()))),"OLD",IF(AND(E1499&lt;&gt;"",E1499&lt;&gt;"!!!"),"NEW","")))</f>
        <v/>
      </c>
      <c r="G1499" s="22" t="str">
        <f aca="false"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aca="false">IF(J1499&lt;&gt;1,"",IF(I1499="SBJ","CB","?"))</f>
        <v/>
      </c>
      <c r="I1499" s="24" t="str">
        <f aca="false">IF(OR(E1499="",E1499="!!!",F1499="NEW"),"",INDEX(B$2:B1498,-1+SUMPRODUCT(MAX(ROW(E$2:E1498)*(E1499=E$2:E1498)))))</f>
        <v/>
      </c>
      <c r="J1499" s="24" t="str">
        <f aca="true">IF(OR(E1499="",E1499="!!!",F1499="NEW"),"",COUNTBLANK(OFFSET(A$1,,,SUMPRODUCT(MAX(ROW(E$2:E1499)*(E1499=E$2:E1499)))))-COUNTBLANK(OFFSET(A$1,,,SUMPRODUCT(MAX(ROW(E$1:E1498)*(E2=E$1:E1498))))))</f>
        <v/>
      </c>
      <c r="K1499" s="24" t="str">
        <f aca="false">IF(OR(E1499="",E1499="!!!",F1499="NEW"),"",INDEX(J$1:J1498,SUMPRODUCT(MAX(ROW(E$1:E1498)*(E1499=E$1:E1498)))))</f>
        <v/>
      </c>
      <c r="L1499" s="25"/>
    </row>
    <row r="1500" customFormat="false" ht="14.25" hidden="false" customHeight="false" outlineLevel="0" collapsed="false">
      <c r="A1500" s="0" t="s">
        <v>86</v>
      </c>
      <c r="E1500" s="20" t="str">
        <f aca="false">IF(D1500="?OLD","!!!","")</f>
        <v/>
      </c>
      <c r="F1500" s="21" t="str">
        <f aca="false">IF(OR(E1500="",E1500="!!!"),"",IF(NOT(ISNA(VLOOKUP(E1500,E$1:E1499,1,FALSE()))),"OLD",IF(AND(E1500&lt;&gt;"",E1500&lt;&gt;"!!!"),"NEW","")))</f>
        <v/>
      </c>
      <c r="G1500" s="22" t="str">
        <f aca="false"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aca="false">IF(J1500&lt;&gt;1,"",IF(I1500="SBJ","CB","?"))</f>
        <v/>
      </c>
      <c r="I1500" s="24" t="str">
        <f aca="false">IF(OR(E1500="",E1500="!!!",F1500="NEW"),"",INDEX(B$2:B1499,-1+SUMPRODUCT(MAX(ROW(E$2:E1499)*(E1500=E$2:E1499)))))</f>
        <v/>
      </c>
      <c r="J1500" s="24" t="str">
        <f aca="true">IF(OR(E1500="",E1500="!!!",F1500="NEW"),"",COUNTBLANK(OFFSET(A$1,,,SUMPRODUCT(MAX(ROW(E$2:E1500)*(E1500=E$2:E1500)))))-COUNTBLANK(OFFSET(A$1,,,SUMPRODUCT(MAX(ROW(E$1:E1499)*(E2=E$1:E1499))))))</f>
        <v/>
      </c>
      <c r="K1500" s="24" t="str">
        <f aca="false">IF(OR(E1500="",E1500="!!!",F1500="NEW"),"",INDEX(J$1:J1499,SUMPRODUCT(MAX(ROW(E$1:E1499)*(E1500=E$1:E1499)))))</f>
        <v/>
      </c>
      <c r="L1500" s="25"/>
    </row>
    <row r="1501" customFormat="false" ht="14.25" hidden="false" customHeight="false" outlineLevel="0" collapsed="false">
      <c r="A1501" s="0" t="s">
        <v>908</v>
      </c>
      <c r="B1501" s="26" t="s">
        <v>147</v>
      </c>
      <c r="C1501" s="26" t="s">
        <v>209</v>
      </c>
      <c r="D1501" s="26" t="s">
        <v>75</v>
      </c>
      <c r="E1501" s="20" t="s">
        <v>909</v>
      </c>
      <c r="F1501" s="21" t="s">
        <v>765</v>
      </c>
      <c r="G1501" s="22" t="e">
        <f aca="false"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#VALUE!</v>
      </c>
      <c r="H1501" s="23" t="str">
        <f aca="false">IF(J1501&lt;&gt;1,"",IF(I1501="SBJ","CB","?"))</f>
        <v/>
      </c>
      <c r="I1501" s="24" t="e">
        <f aca="false">IF(OR(E1501="",E1501="!!!",F1501="NEW"),"",INDEX(B$2:B1500,-1+SUMPRODUCT(MAX(ROW(E$2:E1500)*(E1501=E$2:E1500)))))</f>
        <v>#VALUE!</v>
      </c>
      <c r="J1501" s="24" t="n">
        <f aca="true">IF(OR(E1501="",E1501="!!!",F1501="NEW"),"",COUNTBLANK(OFFSET(A$1,,,SUMPRODUCT(MAX(ROW(E$2:E1501)*(E1501=E$2:E1501)))))-COUNTBLANK(OFFSET(A$1,,,SUMPRODUCT(MAX(ROW(E$1:E1500)*(E2=E$1:E1500))))))</f>
        <v>0</v>
      </c>
      <c r="K1501" s="24" t="e">
        <f aca="false">IF(OR(E1501="",E1501="!!!",F1501="NEW"),"",INDEX(J$1:J1500,SUMPRODUCT(MAX(ROW(E$1:E1500)*(E1501=E$1:E1500)))))</f>
        <v>#VALUE!</v>
      </c>
      <c r="L1501" s="27" t="s">
        <v>910</v>
      </c>
    </row>
    <row r="1502" customFormat="false" ht="14.25" hidden="false" customHeight="false" outlineLevel="0" collapsed="false">
      <c r="A1502" s="0" t="s">
        <v>911</v>
      </c>
      <c r="E1502" s="20" t="str">
        <f aca="false">IF(D1502="?OLD","!!!","")</f>
        <v/>
      </c>
      <c r="F1502" s="21" t="str">
        <f aca="false">IF(OR(E1502="",E1502="!!!"),"",IF(NOT(ISNA(VLOOKUP(E1502,E$1:E1501,1,FALSE()))),"OLD",IF(AND(E1502&lt;&gt;"",E1502&lt;&gt;"!!!"),"NEW","")))</f>
        <v/>
      </c>
      <c r="G1502" s="22" t="str">
        <f aca="false"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aca="false">IF(J1502&lt;&gt;1,"",IF(I1502="SBJ","CB","?"))</f>
        <v/>
      </c>
      <c r="I1502" s="24" t="str">
        <f aca="false">IF(OR(E1502="",E1502="!!!",F1502="NEW"),"",INDEX(B$2:B1501,-1+SUMPRODUCT(MAX(ROW(E$2:E1501)*(E1502=E$2:E1501)))))</f>
        <v/>
      </c>
      <c r="J1502" s="24" t="str">
        <f aca="true">IF(OR(E1502="",E1502="!!!",F1502="NEW"),"",COUNTBLANK(OFFSET(A$1,,,SUMPRODUCT(MAX(ROW(E$2:E1502)*(E1502=E$2:E1502)))))-COUNTBLANK(OFFSET(A$1,,,SUMPRODUCT(MAX(ROW(E$1:E1501)*(E2=E$1:E1501))))))</f>
        <v/>
      </c>
      <c r="K1502" s="24" t="str">
        <f aca="false">IF(OR(E1502="",E1502="!!!",F1502="NEW"),"",INDEX(J$1:J1501,SUMPRODUCT(MAX(ROW(E$1:E1501)*(E1502=E$1:E1501)))))</f>
        <v/>
      </c>
      <c r="L1502" s="25"/>
    </row>
    <row r="1503" customFormat="false" ht="14.25" hidden="false" customHeight="false" outlineLevel="0" collapsed="false">
      <c r="A1503" s="0" t="s">
        <v>101</v>
      </c>
      <c r="E1503" s="20" t="str">
        <f aca="false">IF(D1503="?OLD","!!!","")</f>
        <v/>
      </c>
      <c r="F1503" s="21" t="str">
        <f aca="false">IF(OR(E1503="",E1503="!!!"),"",IF(NOT(ISNA(VLOOKUP(E1503,E$1:E1502,1,FALSE()))),"OLD",IF(AND(E1503&lt;&gt;"",E1503&lt;&gt;"!!!"),"NEW","")))</f>
        <v/>
      </c>
      <c r="G1503" s="22" t="str">
        <f aca="false"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aca="false">IF(J1503&lt;&gt;1,"",IF(I1503="SBJ","CB","?"))</f>
        <v/>
      </c>
      <c r="I1503" s="24" t="str">
        <f aca="false">IF(OR(E1503="",E1503="!!!",F1503="NEW"),"",INDEX(B$2:B1502,-1+SUMPRODUCT(MAX(ROW(E$2:E1502)*(E1503=E$2:E1502)))))</f>
        <v/>
      </c>
      <c r="J1503" s="24" t="str">
        <f aca="true">IF(OR(E1503="",E1503="!!!",F1503="NEW"),"",COUNTBLANK(OFFSET(A$1,,,SUMPRODUCT(MAX(ROW(E$2:E1503)*(E1503=E$2:E1503)))))-COUNTBLANK(OFFSET(A$1,,,SUMPRODUCT(MAX(ROW(E$1:E1502)*(E2=E$1:E1502))))))</f>
        <v/>
      </c>
      <c r="K1503" s="24" t="str">
        <f aca="false">IF(OR(E1503="",E1503="!!!",F1503="NEW"),"",INDEX(J$1:J1502,SUMPRODUCT(MAX(ROW(E$1:E1502)*(E1503=E$1:E1502)))))</f>
        <v/>
      </c>
      <c r="L1503" s="25"/>
    </row>
    <row r="1504" customFormat="false" ht="14.25" hidden="false" customHeight="false" outlineLevel="0" collapsed="false">
      <c r="A1504" s="0" t="s">
        <v>122</v>
      </c>
      <c r="E1504" s="20" t="str">
        <f aca="false">IF(D1504="?OLD","!!!","")</f>
        <v/>
      </c>
      <c r="F1504" s="21" t="str">
        <f aca="false">IF(OR(E1504="",E1504="!!!"),"",IF(NOT(ISNA(VLOOKUP(E1504,E$1:E1503,1,FALSE()))),"OLD",IF(AND(E1504&lt;&gt;"",E1504&lt;&gt;"!!!"),"NEW","")))</f>
        <v/>
      </c>
      <c r="G1504" s="22" t="str">
        <f aca="false"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aca="false">IF(J1504&lt;&gt;1,"",IF(I1504="SBJ","CB","?"))</f>
        <v/>
      </c>
      <c r="I1504" s="24" t="str">
        <f aca="false">IF(OR(E1504="",E1504="!!!",F1504="NEW"),"",INDEX(B$2:B1503,-1+SUMPRODUCT(MAX(ROW(E$2:E1503)*(E1504=E$2:E1503)))))</f>
        <v/>
      </c>
      <c r="J1504" s="24" t="str">
        <f aca="true">IF(OR(E1504="",E1504="!!!",F1504="NEW"),"",COUNTBLANK(OFFSET(A$1,,,SUMPRODUCT(MAX(ROW(E$2:E1504)*(E1504=E$2:E1504)))))-COUNTBLANK(OFFSET(A$1,,,SUMPRODUCT(MAX(ROW(E$1:E1503)*(E2=E$1:E1503))))))</f>
        <v/>
      </c>
      <c r="K1504" s="24" t="str">
        <f aca="false">IF(OR(E1504="",E1504="!!!",F1504="NEW"),"",INDEX(J$1:J1503,SUMPRODUCT(MAX(ROW(E$1:E1503)*(E1504=E$1:E1503)))))</f>
        <v/>
      </c>
      <c r="L1504" s="25"/>
    </row>
    <row r="1505" customFormat="false" ht="14.25" hidden="false" customHeight="false" outlineLevel="0" collapsed="false">
      <c r="A1505" s="0" t="s">
        <v>254</v>
      </c>
      <c r="B1505" s="26" t="s">
        <v>204</v>
      </c>
      <c r="C1505" s="26" t="s">
        <v>209</v>
      </c>
      <c r="D1505" s="26" t="s">
        <v>75</v>
      </c>
      <c r="E1505" s="20" t="s">
        <v>185</v>
      </c>
      <c r="F1505" s="21" t="str">
        <f aca="false">IF(OR(E1505="",E1505="!!!"),"",IF(NOT(ISNA(VLOOKUP(E1505,E$1:E1504,1,FALSE()))),"OLD",IF(AND(E1505&lt;&gt;"",E1505&lt;&gt;"!!!"),"NEW","")))</f>
        <v>OLD</v>
      </c>
      <c r="G1505" s="22" t="str">
        <f aca="false"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?IN_FOCUS</v>
      </c>
      <c r="H1505" s="23" t="str">
        <f aca="false">IF(J1505&lt;&gt;1,"",IF(I1505="SBJ","CB","?"))</f>
        <v/>
      </c>
      <c r="I1505" s="24" t="n">
        <f aca="false">IF(OR(E1505="",E1505="!!!",F1505="NEW"),"",INDEX(B$2:B1504,-1+SUMPRODUCT(MAX(ROW(E$2:E1504)*(E1505=E$2:E1504)))))</f>
        <v>0</v>
      </c>
      <c r="J1505" s="24" t="n">
        <f aca="true">IF(OR(E1505="",E1505="!!!",F1505="NEW"),"",COUNTBLANK(OFFSET(A$1,,,SUMPRODUCT(MAX(ROW(E$2:E1505)*(E1505=E$2:E1505)))))-COUNTBLANK(OFFSET(A$1,,,SUMPRODUCT(MAX(ROW(E$1:E1504)*(E2=E$1:E1504))))))</f>
        <v>0</v>
      </c>
      <c r="K1505" s="24" t="n">
        <f aca="false">IF(OR(E1505="",E1505="!!!",F1505="NEW"),"",INDEX(J$1:J1504,SUMPRODUCT(MAX(ROW(E$1:E1504)*(E1505=E$1:E1504)))))</f>
        <v>0</v>
      </c>
      <c r="L1505" s="25"/>
    </row>
    <row r="1506" customFormat="false" ht="14.25" hidden="false" customHeight="false" outlineLevel="0" collapsed="false">
      <c r="A1506" s="0" t="s">
        <v>150</v>
      </c>
      <c r="B1506" s="26" t="s">
        <v>410</v>
      </c>
      <c r="C1506" s="26" t="s">
        <v>151</v>
      </c>
      <c r="D1506" s="26" t="s">
        <v>75</v>
      </c>
      <c r="E1506" s="20"/>
      <c r="F1506" s="21" t="str">
        <f aca="false">IF(OR(E1506="",E1506="!!!"),"",IF(NOT(ISNA(VLOOKUP(E1506,E$1:E1505,1,FALSE()))),"OLD",IF(AND(E1506&lt;&gt;"",E1506&lt;&gt;"!!!"),"NEW","")))</f>
        <v/>
      </c>
      <c r="G1506" s="22" t="str">
        <f aca="false"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3" t="str">
        <f aca="false">IF(J1506&lt;&gt;1,"",IF(I1506="SBJ","CB","?"))</f>
        <v/>
      </c>
      <c r="I1506" s="24" t="str">
        <f aca="false">IF(OR(E1506="",E1506="!!!",F1506="NEW"),"",INDEX(B$2:B1505,-1+SUMPRODUCT(MAX(ROW(E$2:E1505)*(E1506=E$2:E1505)))))</f>
        <v/>
      </c>
      <c r="J1506" s="24" t="str">
        <f aca="true">IF(OR(E1506="",E1506="!!!",F1506="NEW"),"",COUNTBLANK(OFFSET(A$1,,,SUMPRODUCT(MAX(ROW(E$2:E1506)*(E1506=E$2:E1506)))))-COUNTBLANK(OFFSET(A$1,,,SUMPRODUCT(MAX(ROW(E$1:E1505)*(E2=E$1:E1505))))))</f>
        <v/>
      </c>
      <c r="K1506" s="24" t="str">
        <f aca="false">IF(OR(E1506="",E1506="!!!",F1506="NEW"),"",INDEX(J$1:J1505,SUMPRODUCT(MAX(ROW(E$1:E1505)*(E1506=E$1:E1505)))))</f>
        <v/>
      </c>
      <c r="L1506" s="27" t="s">
        <v>351</v>
      </c>
    </row>
    <row r="1507" customFormat="false" ht="14.25" hidden="false" customHeight="false" outlineLevel="0" collapsed="false">
      <c r="A1507" s="0" t="s">
        <v>897</v>
      </c>
      <c r="B1507" s="26" t="s">
        <v>304</v>
      </c>
      <c r="C1507" s="26" t="s">
        <v>359</v>
      </c>
      <c r="D1507" s="26" t="s">
        <v>75</v>
      </c>
      <c r="E1507" s="20" t="s">
        <v>907</v>
      </c>
      <c r="F1507" s="21" t="str">
        <f aca="false">IF(OR(E1507="",E1507="!!!"),"",IF(NOT(ISNA(VLOOKUP(E1507,E$1:E1506,1,FALSE()))),"OLD",IF(AND(E1507&lt;&gt;"",E1507&lt;&gt;"!!!"),"NEW","")))</f>
        <v>OLD</v>
      </c>
      <c r="G1507" s="22" t="str">
        <f aca="false"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?IN_FOCUS</v>
      </c>
      <c r="H1507" s="23" t="str">
        <f aca="false">IF(J1507&lt;&gt;1,"",IF(I1507="SBJ","CB","?"))</f>
        <v/>
      </c>
      <c r="I1507" s="24" t="str">
        <f aca="false">IF(OR(E1507="",E1507="!!!",F1507="NEW"),"",INDEX(B$2:B1506,-1+SUMPRODUCT(MAX(ROW(E$2:E1506)*(E1507=E$2:E1506)))))</f>
        <v>other_3</v>
      </c>
      <c r="J1507" s="24" t="n">
        <f aca="true">IF(OR(E1507="",E1507="!!!",F1507="NEW"),"",COUNTBLANK(OFFSET(A$1,,,SUMPRODUCT(MAX(ROW(E$2:E1507)*(E1507=E$2:E1507)))))-COUNTBLANK(OFFSET(A$1,,,SUMPRODUCT(MAX(ROW(E$1:E1506)*(E2=E$1:E1506))))))</f>
        <v>0</v>
      </c>
      <c r="K1507" s="24" t="str">
        <f aca="false">IF(OR(E1507="",E1507="!!!",F1507="NEW"),"",INDEX(J$1:J1506,SUMPRODUCT(MAX(ROW(E$1:E1506)*(E1507=E$1:E1506)))))</f>
        <v/>
      </c>
      <c r="L1507" s="25"/>
    </row>
    <row r="1508" customFormat="false" ht="14.25" hidden="false" customHeight="false" outlineLevel="0" collapsed="false">
      <c r="A1508" s="0" t="s">
        <v>912</v>
      </c>
      <c r="E1508" s="20" t="str">
        <f aca="false">IF(D1508="?OLD","!!!","")</f>
        <v/>
      </c>
      <c r="F1508" s="21" t="str">
        <f aca="false">IF(OR(E1508="",E1508="!!!"),"",IF(NOT(ISNA(VLOOKUP(E1508,E$1:E1507,1,FALSE()))),"OLD",IF(AND(E1508&lt;&gt;"",E1508&lt;&gt;"!!!"),"NEW","")))</f>
        <v/>
      </c>
      <c r="G1508" s="22" t="str">
        <f aca="false"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aca="false">IF(J1508&lt;&gt;1,"",IF(I1508="SBJ","CB","?"))</f>
        <v/>
      </c>
      <c r="I1508" s="24" t="str">
        <f aca="false">IF(OR(E1508="",E1508="!!!",F1508="NEW"),"",INDEX(B$2:B1507,-1+SUMPRODUCT(MAX(ROW(E$2:E1507)*(E1508=E$2:E1507)))))</f>
        <v/>
      </c>
      <c r="J1508" s="24" t="str">
        <f aca="true">IF(OR(E1508="",E1508="!!!",F1508="NEW"),"",COUNTBLANK(OFFSET(A$1,,,SUMPRODUCT(MAX(ROW(E$2:E1508)*(E1508=E$2:E1508)))))-COUNTBLANK(OFFSET(A$1,,,SUMPRODUCT(MAX(ROW(E$1:E1507)*(E2=E$1:E1507))))))</f>
        <v/>
      </c>
      <c r="K1508" s="24" t="str">
        <f aca="false">IF(OR(E1508="",E1508="!!!",F1508="NEW"),"",INDEX(J$1:J1507,SUMPRODUCT(MAX(ROW(E$1:E1507)*(E1508=E$1:E1507)))))</f>
        <v/>
      </c>
      <c r="L1508" s="25"/>
    </row>
    <row r="1509" customFormat="false" ht="14.25" hidden="false" customHeight="false" outlineLevel="0" collapsed="false">
      <c r="A1509" s="0" t="s">
        <v>142</v>
      </c>
      <c r="E1509" s="20" t="str">
        <f aca="false">IF(D1509="?OLD","!!!","")</f>
        <v/>
      </c>
      <c r="F1509" s="21" t="str">
        <f aca="false">IF(OR(E1509="",E1509="!!!"),"",IF(NOT(ISNA(VLOOKUP(E1509,E$1:E1508,1,FALSE()))),"OLD",IF(AND(E1509&lt;&gt;"",E1509&lt;&gt;"!!!"),"NEW","")))</f>
        <v/>
      </c>
      <c r="G1509" s="22" t="str">
        <f aca="false"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aca="false">IF(J1509&lt;&gt;1,"",IF(I1509="SBJ","CB","?"))</f>
        <v/>
      </c>
      <c r="I1509" s="24" t="str">
        <f aca="false">IF(OR(E1509="",E1509="!!!",F1509="NEW"),"",INDEX(B$2:B1508,-1+SUMPRODUCT(MAX(ROW(E$2:E1508)*(E1509=E$2:E1508)))))</f>
        <v/>
      </c>
      <c r="J1509" s="24" t="str">
        <f aca="true">IF(OR(E1509="",E1509="!!!",F1509="NEW"),"",COUNTBLANK(OFFSET(A$1,,,SUMPRODUCT(MAX(ROW(E$2:E1509)*(E1509=E$2:E1509)))))-COUNTBLANK(OFFSET(A$1,,,SUMPRODUCT(MAX(ROW(E$1:E1508)*(E2=E$1:E1508))))))</f>
        <v/>
      </c>
      <c r="K1509" s="24" t="str">
        <f aca="false">IF(OR(E1509="",E1509="!!!",F1509="NEW"),"",INDEX(J$1:J1508,SUMPRODUCT(MAX(ROW(E$1:E1508)*(E1509=E$1:E1508)))))</f>
        <v/>
      </c>
      <c r="L1509" s="25"/>
    </row>
    <row r="1510" customFormat="false" ht="14.25" hidden="false" customHeight="false" outlineLevel="0" collapsed="false">
      <c r="A1510" s="0" t="s">
        <v>611</v>
      </c>
      <c r="E1510" s="20" t="str">
        <f aca="false">IF(D1510="?OLD","!!!","")</f>
        <v/>
      </c>
      <c r="F1510" s="21" t="str">
        <f aca="false">IF(OR(E1510="",E1510="!!!"),"",IF(NOT(ISNA(VLOOKUP(E1510,E$1:E1509,1,FALSE()))),"OLD",IF(AND(E1510&lt;&gt;"",E1510&lt;&gt;"!!!"),"NEW","")))</f>
        <v/>
      </c>
      <c r="G1510" s="22" t="str">
        <f aca="false"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aca="false">IF(J1510&lt;&gt;1,"",IF(I1510="SBJ","CB","?"))</f>
        <v/>
      </c>
      <c r="I1510" s="24" t="str">
        <f aca="false">IF(OR(E1510="",E1510="!!!",F1510="NEW"),"",INDEX(B$2:B1509,-1+SUMPRODUCT(MAX(ROW(E$2:E1509)*(E1510=E$2:E1509)))))</f>
        <v/>
      </c>
      <c r="J1510" s="24" t="str">
        <f aca="true">IF(OR(E1510="",E1510="!!!",F1510="NEW"),"",COUNTBLANK(OFFSET(A$1,,,SUMPRODUCT(MAX(ROW(E$2:E1510)*(E1510=E$2:E1510)))))-COUNTBLANK(OFFSET(A$1,,,SUMPRODUCT(MAX(ROW(E$1:E1509)*(E2=E$1:E1509))))))</f>
        <v/>
      </c>
      <c r="K1510" s="24" t="str">
        <f aca="false">IF(OR(E1510="",E1510="!!!",F1510="NEW"),"",INDEX(J$1:J1509,SUMPRODUCT(MAX(ROW(E$1:E1509)*(E1510=E$1:E1509)))))</f>
        <v/>
      </c>
      <c r="L1510" s="25"/>
    </row>
    <row r="1511" customFormat="false" ht="14.25" hidden="false" customHeight="false" outlineLevel="0" collapsed="false">
      <c r="A1511" s="0" t="s">
        <v>328</v>
      </c>
      <c r="E1511" s="20" t="str">
        <f aca="false">IF(D1511="?OLD","!!!","")</f>
        <v/>
      </c>
      <c r="F1511" s="21" t="str">
        <f aca="false">IF(OR(E1511="",E1511="!!!"),"",IF(NOT(ISNA(VLOOKUP(E1511,E$1:E1510,1,FALSE()))),"OLD",IF(AND(E1511&lt;&gt;"",E1511&lt;&gt;"!!!"),"NEW","")))</f>
        <v/>
      </c>
      <c r="G1511" s="22" t="str">
        <f aca="false"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aca="false">IF(J1511&lt;&gt;1,"",IF(I1511="SBJ","CB","?"))</f>
        <v/>
      </c>
      <c r="I1511" s="24" t="str">
        <f aca="false">IF(OR(E1511="",E1511="!!!",F1511="NEW"),"",INDEX(B$2:B1510,-1+SUMPRODUCT(MAX(ROW(E$2:E1510)*(E1511=E$2:E1510)))))</f>
        <v/>
      </c>
      <c r="J1511" s="24" t="str">
        <f aca="true">IF(OR(E1511="",E1511="!!!",F1511="NEW"),"",COUNTBLANK(OFFSET(A$1,,,SUMPRODUCT(MAX(ROW(E$2:E1511)*(E1511=E$2:E1511)))))-COUNTBLANK(OFFSET(A$1,,,SUMPRODUCT(MAX(ROW(E$1:E1510)*(E2=E$1:E1510))))))</f>
        <v/>
      </c>
      <c r="K1511" s="24" t="str">
        <f aca="false">IF(OR(E1511="",E1511="!!!",F1511="NEW"),"",INDEX(J$1:J1510,SUMPRODUCT(MAX(ROW(E$1:E1510)*(E1511=E$1:E1510)))))</f>
        <v/>
      </c>
      <c r="L1511" s="25"/>
    </row>
    <row r="1512" customFormat="false" ht="14.25" hidden="false" customHeight="false" outlineLevel="0" collapsed="false">
      <c r="A1512" s="0" t="s">
        <v>913</v>
      </c>
      <c r="E1512" s="20" t="s">
        <v>185</v>
      </c>
      <c r="F1512" s="21" t="str">
        <f aca="false">IF(OR(E1512="",E1512="!!!"),"",IF(NOT(ISNA(VLOOKUP(E1512,E$1:E1511,1,FALSE()))),"OLD",IF(AND(E1512&lt;&gt;"",E1512&lt;&gt;"!!!"),"NEW","")))</f>
        <v>OLD</v>
      </c>
      <c r="G1512" s="22" t="str">
        <f aca="false"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?IN_FOCUS</v>
      </c>
      <c r="H1512" s="23" t="str">
        <f aca="false">IF(J1512&lt;&gt;1,"",IF(I1512="SBJ","CB","?"))</f>
        <v/>
      </c>
      <c r="I1512" s="24" t="str">
        <f aca="false">IF(OR(E1512="",E1512="!!!",F1512="NEW"),"",INDEX(B$2:B1511,-1+SUMPRODUCT(MAX(ROW(E$2:E1511)*(E1512=E$2:E1511)))))</f>
        <v>SBJ_5</v>
      </c>
      <c r="J1512" s="24" t="n">
        <f aca="true">IF(OR(E1512="",E1512="!!!",F1512="NEW"),"",COUNTBLANK(OFFSET(A$1,,,SUMPRODUCT(MAX(ROW(E$2:E1512)*(E1512=E$2:E1512)))))-COUNTBLANK(OFFSET(A$1,,,SUMPRODUCT(MAX(ROW(E$1:E1511)*(E2=E$1:E1511))))))</f>
        <v>0</v>
      </c>
      <c r="K1512" s="24" t="n">
        <f aca="false">IF(OR(E1512="",E1512="!!!",F1512="NEW"),"",INDEX(J$1:J1511,SUMPRODUCT(MAX(ROW(E$1:E1511)*(E1512=E$1:E1511)))))</f>
        <v>0</v>
      </c>
      <c r="L1512" s="25"/>
    </row>
    <row r="1513" customFormat="false" ht="14.25" hidden="false" customHeight="false" outlineLevel="0" collapsed="false">
      <c r="A1513" s="0" t="s">
        <v>434</v>
      </c>
      <c r="B1513" s="26" t="s">
        <v>410</v>
      </c>
      <c r="C1513" s="26" t="s">
        <v>488</v>
      </c>
      <c r="E1513" s="20" t="s">
        <v>914</v>
      </c>
      <c r="F1513" s="21" t="str">
        <f aca="false">IF(OR(E1513="",E1513="!!!"),"",IF(NOT(ISNA(VLOOKUP(E1513,E$1:E1512,1,FALSE()))),"OLD",IF(AND(E1513&lt;&gt;"",E1513&lt;&gt;"!!!"),"NEW","")))</f>
        <v>NEW</v>
      </c>
      <c r="G1513" s="22" t="str">
        <f aca="false"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?REFERENTIAL</v>
      </c>
      <c r="H1513" s="23" t="str">
        <f aca="false">IF(J1513&lt;&gt;1,"",IF(I1513="SBJ","CB","?"))</f>
        <v/>
      </c>
      <c r="I1513" s="24" t="str">
        <f aca="false">IF(OR(E1513="",E1513="!!!",F1513="NEW"),"",INDEX(B$2:B1512,-1+SUMPRODUCT(MAX(ROW(E$2:E1512)*(E1513=E$2:E1512)))))</f>
        <v/>
      </c>
      <c r="J1513" s="24" t="str">
        <f aca="true">IF(OR(E1513="",E1513="!!!",F1513="NEW"),"",COUNTBLANK(OFFSET(A$1,,,SUMPRODUCT(MAX(ROW(E$2:E1513)*(E1513=E$2:E1513)))))-COUNTBLANK(OFFSET(A$1,,,SUMPRODUCT(MAX(ROW(E$1:E1512)*(E2=E$1:E1512))))))</f>
        <v/>
      </c>
      <c r="K1513" s="24" t="str">
        <f aca="false">IF(OR(E1513="",E1513="!!!",F1513="NEW"),"",INDEX(J$1:J1512,SUMPRODUCT(MAX(ROW(E$1:E1512)*(E1513=E$1:E1512)))))</f>
        <v/>
      </c>
      <c r="L1513" s="25"/>
    </row>
    <row r="1514" customFormat="false" ht="14.25" hidden="false" customHeight="false" outlineLevel="0" collapsed="false">
      <c r="A1514" s="0" t="s">
        <v>79</v>
      </c>
      <c r="E1514" s="20" t="str">
        <f aca="false">IF(D1514="?OLD","!!!","")</f>
        <v/>
      </c>
      <c r="F1514" s="21" t="str">
        <f aca="false">IF(OR(E1514="",E1514="!!!"),"",IF(NOT(ISNA(VLOOKUP(E1514,E$1:E1513,1,FALSE()))),"OLD",IF(AND(E1514&lt;&gt;"",E1514&lt;&gt;"!!!"),"NEW","")))</f>
        <v/>
      </c>
      <c r="G1514" s="22" t="str">
        <f aca="false"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aca="false">IF(J1514&lt;&gt;1,"",IF(I1514="SBJ","CB","?"))</f>
        <v/>
      </c>
      <c r="I1514" s="24" t="str">
        <f aca="false">IF(OR(E1514="",E1514="!!!",F1514="NEW"),"",INDEX(B$2:B1513,-1+SUMPRODUCT(MAX(ROW(E$2:E1513)*(E1514=E$2:E1513)))))</f>
        <v/>
      </c>
      <c r="J1514" s="24" t="str">
        <f aca="true">IF(OR(E1514="",E1514="!!!",F1514="NEW"),"",COUNTBLANK(OFFSET(A$1,,,SUMPRODUCT(MAX(ROW(E$2:E1514)*(E1514=E$2:E1514)))))-COUNTBLANK(OFFSET(A$1,,,SUMPRODUCT(MAX(ROW(E$1:E1513)*(E2=E$1:E1513))))))</f>
        <v/>
      </c>
      <c r="K1514" s="24" t="str">
        <f aca="false">IF(OR(E1514="",E1514="!!!",F1514="NEW"),"",INDEX(J$1:J1513,SUMPRODUCT(MAX(ROW(E$1:E1513)*(E1514=E$1:E1513)))))</f>
        <v/>
      </c>
      <c r="L1514" s="25"/>
    </row>
    <row r="1515" customFormat="false" ht="14.25" hidden="false" customHeight="false" outlineLevel="0" collapsed="false">
      <c r="A1515" s="0" t="s">
        <v>340</v>
      </c>
      <c r="B1515" s="26" t="s">
        <v>424</v>
      </c>
      <c r="C1515" s="26" t="s">
        <v>105</v>
      </c>
      <c r="E1515" s="20"/>
      <c r="F1515" s="21" t="str">
        <f aca="false">IF(OR(E1515="",E1515="!!!"),"",IF(NOT(ISNA(VLOOKUP(E1515,E$1:E1514,1,FALSE()))),"OLD",IF(AND(E1515&lt;&gt;"",E1515&lt;&gt;"!!!"),"NEW","")))</f>
        <v/>
      </c>
      <c r="G1515" s="22" t="str">
        <f aca="false"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3" t="str">
        <f aca="false">IF(J1515&lt;&gt;1,"",IF(I1515="SBJ","CB","?"))</f>
        <v/>
      </c>
      <c r="I1515" s="24" t="str">
        <f aca="false">IF(OR(E1515="",E1515="!!!",F1515="NEW"),"",INDEX(B$2:B1514,-1+SUMPRODUCT(MAX(ROW(E$2:E1514)*(E1515=E$2:E1514)))))</f>
        <v/>
      </c>
      <c r="J1515" s="24" t="str">
        <f aca="true">IF(OR(E1515="",E1515="!!!",F1515="NEW"),"",COUNTBLANK(OFFSET(A$1,,,SUMPRODUCT(MAX(ROW(E$2:E1515)*(E1515=E$2:E1515)))))-COUNTBLANK(OFFSET(A$1,,,SUMPRODUCT(MAX(ROW(E$1:E1514)*(E2=E$1:E1514))))))</f>
        <v/>
      </c>
      <c r="K1515" s="24" t="str">
        <f aca="false">IF(OR(E1515="",E1515="!!!",F1515="NEW"),"",INDEX(J$1:J1514,SUMPRODUCT(MAX(ROW(E$1:E1514)*(E1515=E$1:E1514)))))</f>
        <v/>
      </c>
      <c r="L1515" s="25"/>
    </row>
    <row r="1516" customFormat="false" ht="14.25" hidden="false" customHeight="false" outlineLevel="0" collapsed="false">
      <c r="A1516" s="0" t="s">
        <v>594</v>
      </c>
      <c r="E1516" s="20" t="str">
        <f aca="false">IF(D1516="?OLD","!!!","")</f>
        <v/>
      </c>
      <c r="F1516" s="21" t="str">
        <f aca="false">IF(OR(E1516="",E1516="!!!"),"",IF(NOT(ISNA(VLOOKUP(E1516,E$1:E1515,1,FALSE()))),"OLD",IF(AND(E1516&lt;&gt;"",E1516&lt;&gt;"!!!"),"NEW","")))</f>
        <v/>
      </c>
      <c r="G1516" s="22" t="str">
        <f aca="false"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3" t="str">
        <f aca="false">IF(J1516&lt;&gt;1,"",IF(I1516="SBJ","CB","?"))</f>
        <v/>
      </c>
      <c r="I1516" s="24" t="str">
        <f aca="false">IF(OR(E1516="",E1516="!!!",F1516="NEW"),"",INDEX(B$2:B1515,-1+SUMPRODUCT(MAX(ROW(E$2:E1515)*(E1516=E$2:E1515)))))</f>
        <v/>
      </c>
      <c r="J1516" s="24" t="str">
        <f aca="true">IF(OR(E1516="",E1516="!!!",F1516="NEW"),"",COUNTBLANK(OFFSET(A$1,,,SUMPRODUCT(MAX(ROW(E$2:E1516)*(E1516=E$2:E1516)))))-COUNTBLANK(OFFSET(A$1,,,SUMPRODUCT(MAX(ROW(E$1:E1515)*(E2=E$1:E1515))))))</f>
        <v/>
      </c>
      <c r="K1516" s="24" t="str">
        <f aca="false">IF(OR(E1516="",E1516="!!!",F1516="NEW"),"",INDEX(J$1:J1515,SUMPRODUCT(MAX(ROW(E$1:E1515)*(E1516=E$1:E1515)))))</f>
        <v/>
      </c>
      <c r="L1516" s="25"/>
    </row>
    <row r="1517" customFormat="false" ht="14.25" hidden="false" customHeight="false" outlineLevel="0" collapsed="false">
      <c r="A1517" s="0" t="s">
        <v>101</v>
      </c>
      <c r="E1517" s="20" t="str">
        <f aca="false">IF(D1517="?OLD","!!!","")</f>
        <v/>
      </c>
      <c r="F1517" s="21" t="str">
        <f aca="false">IF(OR(E1517="",E1517="!!!"),"",IF(NOT(ISNA(VLOOKUP(E1517,E$1:E1516,1,FALSE()))),"OLD",IF(AND(E1517&lt;&gt;"",E1517&lt;&gt;"!!!"),"NEW","")))</f>
        <v/>
      </c>
      <c r="G1517" s="22" t="str">
        <f aca="false"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aca="false">IF(J1517&lt;&gt;1,"",IF(I1517="SBJ","CB","?"))</f>
        <v/>
      </c>
      <c r="I1517" s="24" t="str">
        <f aca="false">IF(OR(E1517="",E1517="!!!",F1517="NEW"),"",INDEX(B$2:B1516,-1+SUMPRODUCT(MAX(ROW(E$2:E1516)*(E1517=E$2:E1516)))))</f>
        <v/>
      </c>
      <c r="J1517" s="24" t="str">
        <f aca="true">IF(OR(E1517="",E1517="!!!",F1517="NEW"),"",COUNTBLANK(OFFSET(A$1,,,SUMPRODUCT(MAX(ROW(E$2:E1517)*(E1517=E$2:E1517)))))-COUNTBLANK(OFFSET(A$1,,,SUMPRODUCT(MAX(ROW(E$1:E1516)*(E2=E$1:E1516))))))</f>
        <v/>
      </c>
      <c r="K1517" s="24" t="str">
        <f aca="false">IF(OR(E1517="",E1517="!!!",F1517="NEW"),"",INDEX(J$1:J1516,SUMPRODUCT(MAX(ROW(E$1:E1516)*(E1517=E$1:E1516)))))</f>
        <v/>
      </c>
      <c r="L1517" s="25"/>
    </row>
    <row r="1518" customFormat="false" ht="14.25" hidden="false" customHeight="false" outlineLevel="0" collapsed="false">
      <c r="A1518" s="0" t="s">
        <v>136</v>
      </c>
      <c r="B1518" s="26" t="s">
        <v>258</v>
      </c>
      <c r="E1518" s="20"/>
      <c r="F1518" s="21" t="str">
        <f aca="false">IF(OR(E1518="",E1518="!!!"),"",IF(NOT(ISNA(VLOOKUP(E1518,E$1:E1517,1,FALSE()))),"OLD",IF(AND(E1518&lt;&gt;"",E1518&lt;&gt;"!!!"),"NEW","")))</f>
        <v/>
      </c>
      <c r="G1518" s="22" t="str">
        <f aca="false"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3" t="str">
        <f aca="false">IF(J1518&lt;&gt;1,"",IF(I1518="SBJ","CB","?"))</f>
        <v/>
      </c>
      <c r="I1518" s="24" t="str">
        <f aca="false">IF(OR(E1518="",E1518="!!!",F1518="NEW"),"",INDEX(B$2:B1517,-1+SUMPRODUCT(MAX(ROW(E$2:E1517)*(E1518=E$2:E1517)))))</f>
        <v/>
      </c>
      <c r="J1518" s="24" t="str">
        <f aca="true">IF(OR(E1518="",E1518="!!!",F1518="NEW"),"",COUNTBLANK(OFFSET(A$1,,,SUMPRODUCT(MAX(ROW(E$2:E1518)*(E1518=E$2:E1518)))))-COUNTBLANK(OFFSET(A$1,,,SUMPRODUCT(MAX(ROW(E$1:E1517)*(E2=E$1:E1517))))))</f>
        <v/>
      </c>
      <c r="K1518" s="24" t="str">
        <f aca="false">IF(OR(E1518="",E1518="!!!",F1518="NEW"),"",INDEX(J$1:J1517,SUMPRODUCT(MAX(ROW(E$1:E1517)*(E1518=E$1:E1517)))))</f>
        <v/>
      </c>
      <c r="L1518" s="25"/>
    </row>
    <row r="1519" customFormat="false" ht="14.25" hidden="false" customHeight="false" outlineLevel="0" collapsed="false">
      <c r="A1519" s="0" t="s">
        <v>237</v>
      </c>
      <c r="E1519" s="20" t="str">
        <f aca="false">IF(D1519="?OLD","!!!","")</f>
        <v/>
      </c>
      <c r="F1519" s="21" t="str">
        <f aca="false">IF(OR(E1519="",E1519="!!!"),"",IF(NOT(ISNA(VLOOKUP(E1519,E$1:E1518,1,FALSE()))),"OLD",IF(AND(E1519&lt;&gt;"",E1519&lt;&gt;"!!!"),"NEW","")))</f>
        <v/>
      </c>
      <c r="G1519" s="22" t="str">
        <f aca="false"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aca="false">IF(J1519&lt;&gt;1,"",IF(I1519="SBJ","CB","?"))</f>
        <v/>
      </c>
      <c r="I1519" s="24" t="str">
        <f aca="false">IF(OR(E1519="",E1519="!!!",F1519="NEW"),"",INDEX(B$2:B1518,-1+SUMPRODUCT(MAX(ROW(E$2:E1518)*(E1519=E$2:E1518)))))</f>
        <v/>
      </c>
      <c r="J1519" s="24" t="str">
        <f aca="true">IF(OR(E1519="",E1519="!!!",F1519="NEW"),"",COUNTBLANK(OFFSET(A$1,,,SUMPRODUCT(MAX(ROW(E$2:E1519)*(E1519=E$2:E1519)))))-COUNTBLANK(OFFSET(A$1,,,SUMPRODUCT(MAX(ROW(E$1:E1518)*(E2=E$1:E1518))))))</f>
        <v/>
      </c>
      <c r="K1519" s="24" t="str">
        <f aca="false">IF(OR(E1519="",E1519="!!!",F1519="NEW"),"",INDEX(J$1:J1518,SUMPRODUCT(MAX(ROW(E$1:E1518)*(E1519=E$1:E1518)))))</f>
        <v/>
      </c>
      <c r="L1519" s="25"/>
    </row>
    <row r="1520" customFormat="false" ht="14.25" hidden="false" customHeight="false" outlineLevel="0" collapsed="false">
      <c r="A1520" s="0" t="s">
        <v>80</v>
      </c>
      <c r="E1520" s="20" t="str">
        <f aca="false">IF(D1520="?OLD","!!!","")</f>
        <v/>
      </c>
      <c r="F1520" s="21" t="str">
        <f aca="false">IF(OR(E1520="",E1520="!!!"),"",IF(NOT(ISNA(VLOOKUP(E1520,E$1:E1519,1,FALSE()))),"OLD",IF(AND(E1520&lt;&gt;"",E1520&lt;&gt;"!!!"),"NEW","")))</f>
        <v/>
      </c>
      <c r="G1520" s="22" t="str">
        <f aca="false"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aca="false">IF(J1520&lt;&gt;1,"",IF(I1520="SBJ","CB","?"))</f>
        <v/>
      </c>
      <c r="I1520" s="24" t="str">
        <f aca="false">IF(OR(E1520="",E1520="!!!",F1520="NEW"),"",INDEX(B$2:B1519,-1+SUMPRODUCT(MAX(ROW(E$2:E1519)*(E1520=E$2:E1519)))))</f>
        <v/>
      </c>
      <c r="J1520" s="24" t="str">
        <f aca="true">IF(OR(E1520="",E1520="!!!",F1520="NEW"),"",COUNTBLANK(OFFSET(A$1,,,SUMPRODUCT(MAX(ROW(E$2:E1520)*(E1520=E$2:E1520)))))-COUNTBLANK(OFFSET(A$1,,,SUMPRODUCT(MAX(ROW(E$1:E1519)*(E2=E$1:E1519))))))</f>
        <v/>
      </c>
      <c r="K1520" s="24" t="str">
        <f aca="false">IF(OR(E1520="",E1520="!!!",F1520="NEW"),"",INDEX(J$1:J1519,SUMPRODUCT(MAX(ROW(E$1:E1519)*(E1520=E$1:E1519)))))</f>
        <v/>
      </c>
      <c r="L1520" s="25"/>
    </row>
    <row r="1521" customFormat="false" ht="14.25" hidden="false" customHeight="false" outlineLevel="0" collapsed="false">
      <c r="A1521" s="0" t="s">
        <v>915</v>
      </c>
      <c r="E1521" s="20" t="str">
        <f aca="false">IF(D1521="?OLD","!!!","")</f>
        <v/>
      </c>
      <c r="F1521" s="21" t="str">
        <f aca="false">IF(OR(E1521="",E1521="!!!"),"",IF(NOT(ISNA(VLOOKUP(E1521,E$1:E1520,1,FALSE()))),"OLD",IF(AND(E1521&lt;&gt;"",E1521&lt;&gt;"!!!"),"NEW","")))</f>
        <v/>
      </c>
      <c r="G1521" s="22" t="str">
        <f aca="false"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3" t="str">
        <f aca="false">IF(J1521&lt;&gt;1,"",IF(I1521="SBJ","CB","?"))</f>
        <v/>
      </c>
      <c r="I1521" s="24" t="str">
        <f aca="false">IF(OR(E1521="",E1521="!!!",F1521="NEW"),"",INDEX(B$2:B1520,-1+SUMPRODUCT(MAX(ROW(E$2:E1520)*(E1521=E$2:E1520)))))</f>
        <v/>
      </c>
      <c r="J1521" s="24" t="str">
        <f aca="true">IF(OR(E1521="",E1521="!!!",F1521="NEW"),"",COUNTBLANK(OFFSET(A$1,,,SUMPRODUCT(MAX(ROW(E$2:E1521)*(E1521=E$2:E1521)))))-COUNTBLANK(OFFSET(A$1,,,SUMPRODUCT(MAX(ROW(E$1:E1520)*(E2=E$1:E1520))))))</f>
        <v/>
      </c>
      <c r="K1521" s="24" t="str">
        <f aca="false">IF(OR(E1521="",E1521="!!!",F1521="NEW"),"",INDEX(J$1:J1520,SUMPRODUCT(MAX(ROW(E$1:E1520)*(E1521=E$1:E1520)))))</f>
        <v/>
      </c>
      <c r="L1521" s="25"/>
    </row>
    <row r="1522" customFormat="false" ht="14.25" hidden="false" customHeight="false" outlineLevel="0" collapsed="false">
      <c r="A1522" s="0" t="s">
        <v>237</v>
      </c>
      <c r="E1522" s="20" t="str">
        <f aca="false">IF(D1522="?OLD","!!!","")</f>
        <v/>
      </c>
      <c r="F1522" s="21" t="str">
        <f aca="false">IF(OR(E1522="",E1522="!!!"),"",IF(NOT(ISNA(VLOOKUP(E1522,E$1:E1521,1,FALSE()))),"OLD",IF(AND(E1522&lt;&gt;"",E1522&lt;&gt;"!!!"),"NEW","")))</f>
        <v/>
      </c>
      <c r="G1522" s="22" t="str">
        <f aca="false"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3" t="str">
        <f aca="false">IF(J1522&lt;&gt;1,"",IF(I1522="SBJ","CB","?"))</f>
        <v/>
      </c>
      <c r="I1522" s="24" t="str">
        <f aca="false">IF(OR(E1522="",E1522="!!!",F1522="NEW"),"",INDEX(B$2:B1521,-1+SUMPRODUCT(MAX(ROW(E$2:E1521)*(E1522=E$2:E1521)))))</f>
        <v/>
      </c>
      <c r="J1522" s="24" t="str">
        <f aca="true">IF(OR(E1522="",E1522="!!!",F1522="NEW"),"",COUNTBLANK(OFFSET(A$1,,,SUMPRODUCT(MAX(ROW(E$2:E1522)*(E1522=E$2:E1522)))))-COUNTBLANK(OFFSET(A$1,,,SUMPRODUCT(MAX(ROW(E$1:E1521)*(E2=E$1:E1521))))))</f>
        <v/>
      </c>
      <c r="K1522" s="24" t="str">
        <f aca="false">IF(OR(E1522="",E1522="!!!",F1522="NEW"),"",INDEX(J$1:J1521,SUMPRODUCT(MAX(ROW(E$1:E1521)*(E1522=E$1:E1521)))))</f>
        <v/>
      </c>
      <c r="L1522" s="25"/>
    </row>
    <row r="1523" customFormat="false" ht="14.25" hidden="false" customHeight="false" outlineLevel="0" collapsed="false">
      <c r="A1523" s="0" t="s">
        <v>112</v>
      </c>
      <c r="E1523" s="20" t="str">
        <f aca="false">IF(D1523="?OLD","!!!","")</f>
        <v/>
      </c>
      <c r="F1523" s="21" t="str">
        <f aca="false">IF(OR(E1523="",E1523="!!!"),"",IF(NOT(ISNA(VLOOKUP(E1523,E$1:E1522,1,FALSE()))),"OLD",IF(AND(E1523&lt;&gt;"",E1523&lt;&gt;"!!!"),"NEW","")))</f>
        <v/>
      </c>
      <c r="G1523" s="22" t="str">
        <f aca="false"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aca="false">IF(J1523&lt;&gt;1,"",IF(I1523="SBJ","CB","?"))</f>
        <v/>
      </c>
      <c r="I1523" s="24" t="str">
        <f aca="false">IF(OR(E1523="",E1523="!!!",F1523="NEW"),"",INDEX(B$2:B1522,-1+SUMPRODUCT(MAX(ROW(E$2:E1522)*(E1523=E$2:E1522)))))</f>
        <v/>
      </c>
      <c r="J1523" s="24" t="str">
        <f aca="true">IF(OR(E1523="",E1523="!!!",F1523="NEW"),"",COUNTBLANK(OFFSET(A$1,,,SUMPRODUCT(MAX(ROW(E$2:E1523)*(E1523=E$2:E1523)))))-COUNTBLANK(OFFSET(A$1,,,SUMPRODUCT(MAX(ROW(E$1:E1522)*(E2=E$1:E1522))))))</f>
        <v/>
      </c>
      <c r="K1523" s="24" t="str">
        <f aca="false">IF(OR(E1523="",E1523="!!!",F1523="NEW"),"",INDEX(J$1:J1522,SUMPRODUCT(MAX(ROW(E$1:E1522)*(E1523=E$1:E1522)))))</f>
        <v/>
      </c>
      <c r="L1523" s="25"/>
    </row>
    <row r="1524" customFormat="false" ht="14.25" hidden="false" customHeight="false" outlineLevel="0" collapsed="false">
      <c r="A1524" s="0" t="s">
        <v>916</v>
      </c>
      <c r="B1524" s="26" t="s">
        <v>115</v>
      </c>
      <c r="C1524" s="26" t="s">
        <v>805</v>
      </c>
      <c r="D1524" s="26" t="s">
        <v>75</v>
      </c>
      <c r="E1524" s="20" t="s">
        <v>917</v>
      </c>
      <c r="F1524" s="21" t="str">
        <f aca="false">IF(OR(E1524="",E1524="!!!"),"",IF(NOT(ISNA(VLOOKUP(E1524,E$1:E1523,1,FALSE()))),"OLD",IF(AND(E1524&lt;&gt;"",E1524&lt;&gt;"!!!"),"NEW","")))</f>
        <v>NEW</v>
      </c>
      <c r="G1524" s="22" t="str">
        <f aca="false"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?REFERENTIAL</v>
      </c>
      <c r="H1524" s="23" t="str">
        <f aca="false">IF(J1524&lt;&gt;1,"",IF(I1524="SBJ","CB","?"))</f>
        <v/>
      </c>
      <c r="I1524" s="24" t="str">
        <f aca="false">IF(OR(E1524="",E1524="!!!",F1524="NEW"),"",INDEX(B$2:B1523,-1+SUMPRODUCT(MAX(ROW(E$2:E1523)*(E1524=E$2:E1523)))))</f>
        <v/>
      </c>
      <c r="J1524" s="24" t="str">
        <f aca="true">IF(OR(E1524="",E1524="!!!",F1524="NEW"),"",COUNTBLANK(OFFSET(A$1,,,SUMPRODUCT(MAX(ROW(E$2:E1524)*(E1524=E$2:E1524)))))-COUNTBLANK(OFFSET(A$1,,,SUMPRODUCT(MAX(ROW(E$1:E1523)*(E2=E$1:E1523))))))</f>
        <v/>
      </c>
      <c r="K1524" s="24" t="str">
        <f aca="false">IF(OR(E1524="",E1524="!!!",F1524="NEW"),"",INDEX(J$1:J1523,SUMPRODUCT(MAX(ROW(E$1:E1523)*(E1524=E$1:E1523)))))</f>
        <v/>
      </c>
      <c r="L1524" s="25"/>
    </row>
    <row r="1525" customFormat="false" ht="14.25" hidden="false" customHeight="false" outlineLevel="0" collapsed="false">
      <c r="A1525" s="0" t="s">
        <v>918</v>
      </c>
      <c r="B1525" s="26" t="s">
        <v>410</v>
      </c>
      <c r="C1525" s="26" t="s">
        <v>151</v>
      </c>
      <c r="D1525" s="26" t="s">
        <v>75</v>
      </c>
      <c r="E1525" s="20"/>
      <c r="F1525" s="21" t="str">
        <f aca="false">IF(OR(E1525="",E1525="!!!"),"",IF(NOT(ISNA(VLOOKUP(E1525,E$1:E1524,1,FALSE()))),"OLD",IF(AND(E1525&lt;&gt;"",E1525&lt;&gt;"!!!"),"NEW","")))</f>
        <v/>
      </c>
      <c r="G1525" s="22" t="str">
        <f aca="false"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aca="false">IF(J1525&lt;&gt;1,"",IF(I1525="SBJ","CB","?"))</f>
        <v/>
      </c>
      <c r="I1525" s="24" t="str">
        <f aca="false">IF(OR(E1525="",E1525="!!!",F1525="NEW"),"",INDEX(B$2:B1524,-1+SUMPRODUCT(MAX(ROW(E$2:E1524)*(E1525=E$2:E1524)))))</f>
        <v/>
      </c>
      <c r="J1525" s="24" t="str">
        <f aca="true">IF(OR(E1525="",E1525="!!!",F1525="NEW"),"",COUNTBLANK(OFFSET(A$1,,,SUMPRODUCT(MAX(ROW(E$2:E1525)*(E1525=E$2:E1525)))))-COUNTBLANK(OFFSET(A$1,,,SUMPRODUCT(MAX(ROW(E$1:E1524)*(E2=E$1:E1524))))))</f>
        <v/>
      </c>
      <c r="K1525" s="24" t="str">
        <f aca="false">IF(OR(E1525="",E1525="!!!",F1525="NEW"),"",INDEX(J$1:J1524,SUMPRODUCT(MAX(ROW(E$1:E1524)*(E1525=E$1:E1524)))))</f>
        <v/>
      </c>
      <c r="L1525" s="27" t="s">
        <v>351</v>
      </c>
    </row>
    <row r="1526" customFormat="false" ht="14.25" hidden="false" customHeight="false" outlineLevel="0" collapsed="false">
      <c r="A1526" s="0" t="s">
        <v>919</v>
      </c>
      <c r="B1526" s="26" t="s">
        <v>307</v>
      </c>
      <c r="C1526" s="26" t="s">
        <v>359</v>
      </c>
      <c r="D1526" s="26" t="s">
        <v>75</v>
      </c>
      <c r="E1526" s="20" t="s">
        <v>920</v>
      </c>
      <c r="F1526" s="21" t="str">
        <f aca="false">IF(OR(E1526="",E1526="!!!"),"",IF(NOT(ISNA(VLOOKUP(E1526,E$1:E1525,1,FALSE()))),"OLD",IF(AND(E1526&lt;&gt;"",E1526&lt;&gt;"!!!"),"NEW","")))</f>
        <v>NEW</v>
      </c>
      <c r="G1526" s="22" t="str">
        <f aca="false"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?REFERENTIAL</v>
      </c>
      <c r="H1526" s="23" t="str">
        <f aca="false">IF(J1526&lt;&gt;1,"",IF(I1526="SBJ","CB","?"))</f>
        <v/>
      </c>
      <c r="I1526" s="24" t="str">
        <f aca="false">IF(OR(E1526="",E1526="!!!",F1526="NEW"),"",INDEX(B$2:B1525,-1+SUMPRODUCT(MAX(ROW(E$2:E1525)*(E1526=E$2:E1525)))))</f>
        <v/>
      </c>
      <c r="J1526" s="24" t="str">
        <f aca="true">IF(OR(E1526="",E1526="!!!",F1526="NEW"),"",COUNTBLANK(OFFSET(A$1,,,SUMPRODUCT(MAX(ROW(E$2:E1526)*(E1526=E$2:E1526)))))-COUNTBLANK(OFFSET(A$1,,,SUMPRODUCT(MAX(ROW(E$1:E1525)*(E2=E$1:E1525))))))</f>
        <v/>
      </c>
      <c r="K1526" s="24" t="str">
        <f aca="false">IF(OR(E1526="",E1526="!!!",F1526="NEW"),"",INDEX(J$1:J1525,SUMPRODUCT(MAX(ROW(E$1:E1525)*(E1526=E$1:E1525)))))</f>
        <v/>
      </c>
      <c r="L1526" s="25"/>
    </row>
    <row r="1527" customFormat="false" ht="14.25" hidden="false" customHeight="false" outlineLevel="0" collapsed="false">
      <c r="A1527" s="0" t="s">
        <v>921</v>
      </c>
      <c r="E1527" s="20" t="str">
        <f aca="false">IF(D1527="?OLD","!!!","")</f>
        <v/>
      </c>
      <c r="F1527" s="21" t="str">
        <f aca="false">IF(OR(E1527="",E1527="!!!"),"",IF(NOT(ISNA(VLOOKUP(E1527,E$1:E1526,1,FALSE()))),"OLD",IF(AND(E1527&lt;&gt;"",E1527&lt;&gt;"!!!"),"NEW","")))</f>
        <v/>
      </c>
      <c r="G1527" s="22" t="str">
        <f aca="false"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aca="false">IF(J1527&lt;&gt;1,"",IF(I1527="SBJ","CB","?"))</f>
        <v/>
      </c>
      <c r="I1527" s="24" t="str">
        <f aca="false">IF(OR(E1527="",E1527="!!!",F1527="NEW"),"",INDEX(B$2:B1526,-1+SUMPRODUCT(MAX(ROW(E$2:E1526)*(E1527=E$2:E1526)))))</f>
        <v/>
      </c>
      <c r="J1527" s="24" t="str">
        <f aca="true">IF(OR(E1527="",E1527="!!!",F1527="NEW"),"",COUNTBLANK(OFFSET(A$1,,,SUMPRODUCT(MAX(ROW(E$2:E1527)*(E1527=E$2:E1527)))))-COUNTBLANK(OFFSET(A$1,,,SUMPRODUCT(MAX(ROW(E$1:E1526)*(E2=E$1:E1526))))))</f>
        <v/>
      </c>
      <c r="K1527" s="24" t="str">
        <f aca="false">IF(OR(E1527="",E1527="!!!",F1527="NEW"),"",INDEX(J$1:J1526,SUMPRODUCT(MAX(ROW(E$1:E1526)*(E1527=E$1:E1526)))))</f>
        <v/>
      </c>
      <c r="L1527" s="25"/>
    </row>
    <row r="1528" customFormat="false" ht="14.25" hidden="false" customHeight="false" outlineLevel="0" collapsed="false">
      <c r="A1528" s="0" t="s">
        <v>101</v>
      </c>
      <c r="E1528" s="20" t="str">
        <f aca="false">IF(D1528="?OLD","!!!","")</f>
        <v/>
      </c>
      <c r="F1528" s="21" t="str">
        <f aca="false">IF(OR(E1528="",E1528="!!!"),"",IF(NOT(ISNA(VLOOKUP(E1528,E$1:E1527,1,FALSE()))),"OLD",IF(AND(E1528&lt;&gt;"",E1528&lt;&gt;"!!!"),"NEW","")))</f>
        <v/>
      </c>
      <c r="G1528" s="22" t="str">
        <f aca="false"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aca="false">IF(J1528&lt;&gt;1,"",IF(I1528="SBJ","CB","?"))</f>
        <v/>
      </c>
      <c r="I1528" s="24" t="str">
        <f aca="false">IF(OR(E1528="",E1528="!!!",F1528="NEW"),"",INDEX(B$2:B1527,-1+SUMPRODUCT(MAX(ROW(E$2:E1527)*(E1528=E$2:E1527)))))</f>
        <v/>
      </c>
      <c r="J1528" s="24" t="str">
        <f aca="true">IF(OR(E1528="",E1528="!!!",F1528="NEW"),"",COUNTBLANK(OFFSET(A$1,,,SUMPRODUCT(MAX(ROW(E$2:E1528)*(E1528=E$2:E1528)))))-COUNTBLANK(OFFSET(A$1,,,SUMPRODUCT(MAX(ROW(E$1:E1527)*(E2=E$1:E1527))))))</f>
        <v/>
      </c>
      <c r="K1528" s="24" t="str">
        <f aca="false">IF(OR(E1528="",E1528="!!!",F1528="NEW"),"",INDEX(J$1:J1527,SUMPRODUCT(MAX(ROW(E$1:E1527)*(E1528=E$1:E1527)))))</f>
        <v/>
      </c>
      <c r="L1528" s="25"/>
    </row>
    <row r="1529" customFormat="false" ht="14.25" hidden="false" customHeight="false" outlineLevel="0" collapsed="false">
      <c r="A1529" s="0" t="s">
        <v>497</v>
      </c>
      <c r="E1529" s="20" t="str">
        <f aca="false">IF(D1529="?OLD","!!!","")</f>
        <v/>
      </c>
      <c r="F1529" s="21" t="str">
        <f aca="false">IF(OR(E1529="",E1529="!!!"),"",IF(NOT(ISNA(VLOOKUP(E1529,E$1:E1528,1,FALSE()))),"OLD",IF(AND(E1529&lt;&gt;"",E1529&lt;&gt;"!!!"),"NEW","")))</f>
        <v/>
      </c>
      <c r="G1529" s="22" t="str">
        <f aca="false"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aca="false">IF(J1529&lt;&gt;1,"",IF(I1529="SBJ","CB","?"))</f>
        <v/>
      </c>
      <c r="I1529" s="24" t="str">
        <f aca="false">IF(OR(E1529="",E1529="!!!",F1529="NEW"),"",INDEX(B$2:B1528,-1+SUMPRODUCT(MAX(ROW(E$2:E1528)*(E1529=E$2:E1528)))))</f>
        <v/>
      </c>
      <c r="J1529" s="24" t="str">
        <f aca="true">IF(OR(E1529="",E1529="!!!",F1529="NEW"),"",COUNTBLANK(OFFSET(A$1,,,SUMPRODUCT(MAX(ROW(E$2:E1529)*(E1529=E$2:E1529)))))-COUNTBLANK(OFFSET(A$1,,,SUMPRODUCT(MAX(ROW(E$1:E1528)*(E2=E$1:E1528))))))</f>
        <v/>
      </c>
      <c r="K1529" s="24" t="str">
        <f aca="false">IF(OR(E1529="",E1529="!!!",F1529="NEW"),"",INDEX(J$1:J1528,SUMPRODUCT(MAX(ROW(E$1:E1528)*(E1529=E$1:E1528)))))</f>
        <v/>
      </c>
      <c r="L1529" s="25"/>
    </row>
    <row r="1530" customFormat="false" ht="14.25" hidden="false" customHeight="false" outlineLevel="0" collapsed="false">
      <c r="A1530" s="0" t="s">
        <v>254</v>
      </c>
      <c r="B1530" s="26" t="s">
        <v>204</v>
      </c>
      <c r="C1530" s="26" t="s">
        <v>209</v>
      </c>
      <c r="D1530" s="26" t="s">
        <v>75</v>
      </c>
      <c r="E1530" s="20" t="s">
        <v>920</v>
      </c>
      <c r="F1530" s="21" t="str">
        <f aca="false">IF(OR(E1530="",E1530="!!!"),"",IF(NOT(ISNA(VLOOKUP(E1530,E$1:E1529,1,FALSE()))),"OLD",IF(AND(E1530&lt;&gt;"",E1530&lt;&gt;"!!!"),"NEW","")))</f>
        <v>OLD</v>
      </c>
      <c r="G1530" s="22" t="str">
        <f aca="false"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?IN_FOCUS</v>
      </c>
      <c r="H1530" s="23" t="str">
        <f aca="false">IF(J1530&lt;&gt;1,"",IF(I1530="SBJ","CB","?"))</f>
        <v/>
      </c>
      <c r="I1530" s="24" t="str">
        <f aca="false">IF(OR(E1530="",E1530="!!!",F1530="NEW"),"",INDEX(B$2:B1529,-1+SUMPRODUCT(MAX(ROW(E$2:E1529)*(E1530=E$2:E1529)))))</f>
        <v>other_5</v>
      </c>
      <c r="J1530" s="24" t="n">
        <f aca="true">IF(OR(E1530="",E1530="!!!",F1530="NEW"),"",COUNTBLANK(OFFSET(A$1,,,SUMPRODUCT(MAX(ROW(E$2:E1530)*(E1530=E$2:E1530)))))-COUNTBLANK(OFFSET(A$1,,,SUMPRODUCT(MAX(ROW(E$1:E1529)*(E2=E$1:E1529))))))</f>
        <v>0</v>
      </c>
      <c r="K1530" s="24" t="str">
        <f aca="false">IF(OR(E1530="",E1530="!!!",F1530="NEW"),"",INDEX(J$1:J1529,SUMPRODUCT(MAX(ROW(E$1:E1529)*(E1530=E$1:E1529)))))</f>
        <v/>
      </c>
      <c r="L1530" s="25"/>
    </row>
    <row r="1531" customFormat="false" ht="14.25" hidden="false" customHeight="false" outlineLevel="0" collapsed="false">
      <c r="A1531" s="0" t="s">
        <v>922</v>
      </c>
      <c r="E1531" s="20" t="str">
        <f aca="false">IF(D1531="?OLD","!!!","")</f>
        <v/>
      </c>
      <c r="F1531" s="21" t="str">
        <f aca="false">IF(OR(E1531="",E1531="!!!"),"",IF(NOT(ISNA(VLOOKUP(E1531,E$1:E1530,1,FALSE()))),"OLD",IF(AND(E1531&lt;&gt;"",E1531&lt;&gt;"!!!"),"NEW","")))</f>
        <v/>
      </c>
      <c r="G1531" s="22" t="str">
        <f aca="false"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aca="false">IF(J1531&lt;&gt;1,"",IF(I1531="SBJ","CB","?"))</f>
        <v/>
      </c>
      <c r="I1531" s="24" t="str">
        <f aca="false">IF(OR(E1531="",E1531="!!!",F1531="NEW"),"",INDEX(B$2:B1530,-1+SUMPRODUCT(MAX(ROW(E$2:E1530)*(E1531=E$2:E1530)))))</f>
        <v/>
      </c>
      <c r="J1531" s="24" t="str">
        <f aca="true">IF(OR(E1531="",E1531="!!!",F1531="NEW"),"",COUNTBLANK(OFFSET(A$1,,,SUMPRODUCT(MAX(ROW(E$2:E1531)*(E1531=E$2:E1531)))))-COUNTBLANK(OFFSET(A$1,,,SUMPRODUCT(MAX(ROW(E$1:E1530)*(E2=E$1:E1530))))))</f>
        <v/>
      </c>
      <c r="K1531" s="24" t="str">
        <f aca="false">IF(OR(E1531="",E1531="!!!",F1531="NEW"),"",INDEX(J$1:J1530,SUMPRODUCT(MAX(ROW(E$1:E1530)*(E1531=E$1:E1530)))))</f>
        <v/>
      </c>
      <c r="L1531" s="25"/>
    </row>
    <row r="1532" customFormat="false" ht="14.25" hidden="false" customHeight="false" outlineLevel="0" collapsed="false">
      <c r="A1532" s="0" t="s">
        <v>116</v>
      </c>
      <c r="E1532" s="20" t="str">
        <f aca="false">IF(D1532="?OLD","!!!","")</f>
        <v/>
      </c>
      <c r="F1532" s="21" t="str">
        <f aca="false">IF(OR(E1532="",E1532="!!!"),"",IF(NOT(ISNA(VLOOKUP(E1532,E$1:E1531,1,FALSE()))),"OLD",IF(AND(E1532&lt;&gt;"",E1532&lt;&gt;"!!!"),"NEW","")))</f>
        <v/>
      </c>
      <c r="G1532" s="22" t="str">
        <f aca="false"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aca="false">IF(J1532&lt;&gt;1,"",IF(I1532="SBJ","CB","?"))</f>
        <v/>
      </c>
      <c r="I1532" s="24" t="str">
        <f aca="false">IF(OR(E1532="",E1532="!!!",F1532="NEW"),"",INDEX(B$2:B1531,-1+SUMPRODUCT(MAX(ROW(E$2:E1531)*(E1532=E$2:E1531)))))</f>
        <v/>
      </c>
      <c r="J1532" s="24" t="str">
        <f aca="true">IF(OR(E1532="",E1532="!!!",F1532="NEW"),"",COUNTBLANK(OFFSET(A$1,,,SUMPRODUCT(MAX(ROW(E$2:E1532)*(E1532=E$2:E1532)))))-COUNTBLANK(OFFSET(A$1,,,SUMPRODUCT(MAX(ROW(E$1:E1531)*(E2=E$1:E1531))))))</f>
        <v/>
      </c>
      <c r="K1532" s="24" t="str">
        <f aca="false">IF(OR(E1532="",E1532="!!!",F1532="NEW"),"",INDEX(J$1:J1531,SUMPRODUCT(MAX(ROW(E$1:E1531)*(E1532=E$1:E1531)))))</f>
        <v/>
      </c>
      <c r="L1532" s="25"/>
    </row>
    <row r="1533" customFormat="false" ht="14.25" hidden="false" customHeight="false" outlineLevel="0" collapsed="false">
      <c r="A1533" s="0" t="s">
        <v>923</v>
      </c>
      <c r="E1533" s="20" t="str">
        <f aca="false">IF(D1533="?OLD","!!!","")</f>
        <v/>
      </c>
      <c r="F1533" s="21" t="str">
        <f aca="false">IF(OR(E1533="",E1533="!!!"),"",IF(NOT(ISNA(VLOOKUP(E1533,E$1:E1532,1,FALSE()))),"OLD",IF(AND(E1533&lt;&gt;"",E1533&lt;&gt;"!!!"),"NEW","")))</f>
        <v/>
      </c>
      <c r="G1533" s="22" t="str">
        <f aca="false"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aca="false">IF(J1533&lt;&gt;1,"",IF(I1533="SBJ","CB","?"))</f>
        <v/>
      </c>
      <c r="I1533" s="24" t="str">
        <f aca="false">IF(OR(E1533="",E1533="!!!",F1533="NEW"),"",INDEX(B$2:B1532,-1+SUMPRODUCT(MAX(ROW(E$2:E1532)*(E1533=E$2:E1532)))))</f>
        <v/>
      </c>
      <c r="J1533" s="24" t="str">
        <f aca="true">IF(OR(E1533="",E1533="!!!",F1533="NEW"),"",COUNTBLANK(OFFSET(A$1,,,SUMPRODUCT(MAX(ROW(E$2:E1533)*(E1533=E$2:E1533)))))-COUNTBLANK(OFFSET(A$1,,,SUMPRODUCT(MAX(ROW(E$1:E1532)*(E2=E$1:E1532))))))</f>
        <v/>
      </c>
      <c r="K1533" s="24" t="str">
        <f aca="false">IF(OR(E1533="",E1533="!!!",F1533="NEW"),"",INDEX(J$1:J1532,SUMPRODUCT(MAX(ROW(E$1:E1532)*(E1533=E$1:E1532)))))</f>
        <v/>
      </c>
      <c r="L1533" s="25"/>
    </row>
    <row r="1534" customFormat="false" ht="14.25" hidden="false" customHeight="false" outlineLevel="0" collapsed="false">
      <c r="A1534" s="0" t="s">
        <v>455</v>
      </c>
      <c r="E1534" s="20" t="str">
        <f aca="false">IF(D1534="?OLD","!!!","")</f>
        <v/>
      </c>
      <c r="F1534" s="21" t="str">
        <f aca="false">IF(OR(E1534="",E1534="!!!"),"",IF(NOT(ISNA(VLOOKUP(E1534,E$1:E1533,1,FALSE()))),"OLD",IF(AND(E1534&lt;&gt;"",E1534&lt;&gt;"!!!"),"NEW","")))</f>
        <v/>
      </c>
      <c r="G1534" s="22" t="str">
        <f aca="false"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3" t="str">
        <f aca="false">IF(J1534&lt;&gt;1,"",IF(I1534="SBJ","CB","?"))</f>
        <v/>
      </c>
      <c r="I1534" s="24" t="str">
        <f aca="false">IF(OR(E1534="",E1534="!!!",F1534="NEW"),"",INDEX(B$2:B1533,-1+SUMPRODUCT(MAX(ROW(E$2:E1533)*(E1534=E$2:E1533)))))</f>
        <v/>
      </c>
      <c r="J1534" s="24" t="str">
        <f aca="true">IF(OR(E1534="",E1534="!!!",F1534="NEW"),"",COUNTBLANK(OFFSET(A$1,,,SUMPRODUCT(MAX(ROW(E$2:E1534)*(E1534=E$2:E1534)))))-COUNTBLANK(OFFSET(A$1,,,SUMPRODUCT(MAX(ROW(E$1:E1533)*(E2=E$1:E1533))))))</f>
        <v/>
      </c>
      <c r="K1534" s="24" t="str">
        <f aca="false">IF(OR(E1534="",E1534="!!!",F1534="NEW"),"",INDEX(J$1:J1533,SUMPRODUCT(MAX(ROW(E$1:E1533)*(E1534=E$1:E1533)))))</f>
        <v/>
      </c>
      <c r="L1534" s="25"/>
    </row>
    <row r="1535" customFormat="false" ht="14.25" hidden="false" customHeight="false" outlineLevel="0" collapsed="false">
      <c r="A1535" s="0" t="s">
        <v>908</v>
      </c>
      <c r="B1535" s="26" t="s">
        <v>110</v>
      </c>
      <c r="C1535" s="26" t="s">
        <v>209</v>
      </c>
      <c r="D1535" s="26" t="s">
        <v>75</v>
      </c>
      <c r="E1535" s="20" t="s">
        <v>924</v>
      </c>
      <c r="F1535" s="21" t="s">
        <v>765</v>
      </c>
      <c r="G1535" s="22" t="e">
        <f aca="false"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#VALUE!</v>
      </c>
      <c r="H1535" s="23" t="str">
        <f aca="false">IF(J1535&lt;&gt;1,"",IF(I1535="SBJ","CB","?"))</f>
        <v/>
      </c>
      <c r="I1535" s="24" t="e">
        <f aca="false">IF(OR(E1535="",E1535="!!!",F1535="NEW"),"",INDEX(B$2:B1534,-1+SUMPRODUCT(MAX(ROW(E$2:E1534)*(E1535=E$2:E1534)))))</f>
        <v>#VALUE!</v>
      </c>
      <c r="J1535" s="24" t="n">
        <f aca="true">IF(OR(E1535="",E1535="!!!",F1535="NEW"),"",COUNTBLANK(OFFSET(A$1,,,SUMPRODUCT(MAX(ROW(E$2:E1535)*(E1535=E$2:E1535)))))-COUNTBLANK(OFFSET(A$1,,,SUMPRODUCT(MAX(ROW(E$1:E1534)*(E2=E$1:E1534))))))</f>
        <v>0</v>
      </c>
      <c r="K1535" s="24" t="e">
        <f aca="false">IF(OR(E1535="",E1535="!!!",F1535="NEW"),"",INDEX(J$1:J1534,SUMPRODUCT(MAX(ROW(E$1:E1534)*(E1535=E$1:E1534)))))</f>
        <v>#VALUE!</v>
      </c>
      <c r="L1535" s="27" t="s">
        <v>910</v>
      </c>
    </row>
    <row r="1536" customFormat="false" ht="14.25" hidden="false" customHeight="false" outlineLevel="0" collapsed="false">
      <c r="A1536" s="0" t="s">
        <v>604</v>
      </c>
      <c r="E1536" s="20" t="str">
        <f aca="false">IF(D1536="?OLD","!!!","")</f>
        <v/>
      </c>
      <c r="F1536" s="21" t="str">
        <f aca="false">IF(OR(E1536="",E1536="!!!"),"",IF(NOT(ISNA(VLOOKUP(E1536,E$1:E1535,1,FALSE()))),"OLD",IF(AND(E1536&lt;&gt;"",E1536&lt;&gt;"!!!"),"NEW","")))</f>
        <v/>
      </c>
      <c r="G1536" s="22" t="str">
        <f aca="false"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aca="false">IF(J1536&lt;&gt;1,"",IF(I1536="SBJ","CB","?"))</f>
        <v/>
      </c>
      <c r="I1536" s="24" t="str">
        <f aca="false">IF(OR(E1536="",E1536="!!!",F1536="NEW"),"",INDEX(B$2:B1535,-1+SUMPRODUCT(MAX(ROW(E$2:E1535)*(E1536=E$2:E1535)))))</f>
        <v/>
      </c>
      <c r="J1536" s="24" t="str">
        <f aca="true">IF(OR(E1536="",E1536="!!!",F1536="NEW"),"",COUNTBLANK(OFFSET(A$1,,,SUMPRODUCT(MAX(ROW(E$2:E1536)*(E1536=E$2:E1536)))))-COUNTBLANK(OFFSET(A$1,,,SUMPRODUCT(MAX(ROW(E$1:E1535)*(E2=E$1:E1535))))))</f>
        <v/>
      </c>
      <c r="K1536" s="24" t="str">
        <f aca="false">IF(OR(E1536="",E1536="!!!",F1536="NEW"),"",INDEX(J$1:J1535,SUMPRODUCT(MAX(ROW(E$1:E1535)*(E1536=E$1:E1535)))))</f>
        <v/>
      </c>
      <c r="L1536" s="25"/>
    </row>
    <row r="1537" customFormat="false" ht="14.25" hidden="false" customHeight="false" outlineLevel="0" collapsed="false">
      <c r="A1537" s="0" t="s">
        <v>207</v>
      </c>
      <c r="B1537" s="26" t="s">
        <v>104</v>
      </c>
      <c r="C1537" s="26" t="s">
        <v>209</v>
      </c>
      <c r="D1537" s="26" t="s">
        <v>75</v>
      </c>
      <c r="E1537" s="20" t="s">
        <v>840</v>
      </c>
      <c r="F1537" s="21" t="str">
        <f aca="false">IF(OR(E1537="",E1537="!!!"),"",IF(NOT(ISNA(VLOOKUP(E1537,E$1:E1536,1,FALSE()))),"OLD",IF(AND(E1537&lt;&gt;"",E1537&lt;&gt;"!!!"),"NEW","")))</f>
        <v>OLD</v>
      </c>
      <c r="G1537" s="22" t="str">
        <f aca="false"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?IN_FOCUS</v>
      </c>
      <c r="H1537" s="23" t="str">
        <f aca="false">IF(J1537&lt;&gt;1,"",IF(I1537="SBJ","CB","?"))</f>
        <v/>
      </c>
      <c r="I1537" s="24" t="str">
        <f aca="false">IF(OR(E1537="",E1537="!!!",F1537="NEW"),"",INDEX(B$2:B1536,-1+SUMPRODUCT(MAX(ROW(E$2:E1536)*(E1537=E$2:E1536)))))</f>
        <v>SBJ_2</v>
      </c>
      <c r="J1537" s="24" t="n">
        <f aca="true">IF(OR(E1537="",E1537="!!!",F1537="NEW"),"",COUNTBLANK(OFFSET(A$1,,,SUMPRODUCT(MAX(ROW(E$2:E1537)*(E1537=E$2:E1537)))))-COUNTBLANK(OFFSET(A$1,,,SUMPRODUCT(MAX(ROW(E$1:E1536)*(E2=E$1:E1536))))))</f>
        <v>0</v>
      </c>
      <c r="K1537" s="24" t="n">
        <f aca="false">IF(OR(E1537="",E1537="!!!",F1537="NEW"),"",INDEX(J$1:J1536,SUMPRODUCT(MAX(ROW(E$1:E1536)*(E1537=E$1:E1536)))))</f>
        <v>0</v>
      </c>
      <c r="L1537" s="25"/>
    </row>
    <row r="1538" customFormat="false" ht="14.25" hidden="false" customHeight="false" outlineLevel="0" collapsed="false">
      <c r="A1538" s="0" t="s">
        <v>925</v>
      </c>
      <c r="E1538" s="20" t="str">
        <f aca="false">IF(D1538="?OLD","!!!","")</f>
        <v/>
      </c>
      <c r="F1538" s="21" t="str">
        <f aca="false">IF(OR(E1538="",E1538="!!!"),"",IF(NOT(ISNA(VLOOKUP(E1538,E$1:E1537,1,FALSE()))),"OLD",IF(AND(E1538&lt;&gt;"",E1538&lt;&gt;"!!!"),"NEW","")))</f>
        <v/>
      </c>
      <c r="G1538" s="22" t="str">
        <f aca="false"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aca="false">IF(J1538&lt;&gt;1,"",IF(I1538="SBJ","CB","?"))</f>
        <v/>
      </c>
      <c r="I1538" s="24" t="str">
        <f aca="false">IF(OR(E1538="",E1538="!!!",F1538="NEW"),"",INDEX(B$2:B1537,-1+SUMPRODUCT(MAX(ROW(E$2:E1537)*(E1538=E$2:E1537)))))</f>
        <v/>
      </c>
      <c r="J1538" s="24" t="str">
        <f aca="true">IF(OR(E1538="",E1538="!!!",F1538="NEW"),"",COUNTBLANK(OFFSET(A$1,,,SUMPRODUCT(MAX(ROW(E$2:E1538)*(E1538=E$2:E1538)))))-COUNTBLANK(OFFSET(A$1,,,SUMPRODUCT(MAX(ROW(E$1:E1537)*(E2=E$1:E1537))))))</f>
        <v/>
      </c>
      <c r="K1538" s="24" t="str">
        <f aca="false">IF(OR(E1538="",E1538="!!!",F1538="NEW"),"",INDEX(J$1:J1537,SUMPRODUCT(MAX(ROW(E$1:E1537)*(E1538=E$1:E1537)))))</f>
        <v/>
      </c>
      <c r="L1538" s="25"/>
    </row>
    <row r="1539" customFormat="false" ht="14.25" hidden="false" customHeight="false" outlineLevel="0" collapsed="false">
      <c r="A1539" s="0" t="s">
        <v>101</v>
      </c>
      <c r="E1539" s="20" t="str">
        <f aca="false">IF(D1539="?OLD","!!!","")</f>
        <v/>
      </c>
      <c r="F1539" s="21" t="str">
        <f aca="false">IF(OR(E1539="",E1539="!!!"),"",IF(NOT(ISNA(VLOOKUP(E1539,E$1:E1538,1,FALSE()))),"OLD",IF(AND(E1539&lt;&gt;"",E1539&lt;&gt;"!!!"),"NEW","")))</f>
        <v/>
      </c>
      <c r="G1539" s="22" t="str">
        <f aca="false"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aca="false">IF(J1539&lt;&gt;1,"",IF(I1539="SBJ","CB","?"))</f>
        <v/>
      </c>
      <c r="I1539" s="24" t="str">
        <f aca="false">IF(OR(E1539="",E1539="!!!",F1539="NEW"),"",INDEX(B$2:B1538,-1+SUMPRODUCT(MAX(ROW(E$2:E1538)*(E1539=E$2:E1538)))))</f>
        <v/>
      </c>
      <c r="J1539" s="24" t="str">
        <f aca="true">IF(OR(E1539="",E1539="!!!",F1539="NEW"),"",COUNTBLANK(OFFSET(A$1,,,SUMPRODUCT(MAX(ROW(E$2:E1539)*(E1539=E$2:E1539)))))-COUNTBLANK(OFFSET(A$1,,,SUMPRODUCT(MAX(ROW(E$1:E1538)*(E2=E$1:E1538))))))</f>
        <v/>
      </c>
      <c r="K1539" s="24" t="str">
        <f aca="false">IF(OR(E1539="",E1539="!!!",F1539="NEW"),"",INDEX(J$1:J1538,SUMPRODUCT(MAX(ROW(E$1:E1538)*(E1539=E$1:E1538)))))</f>
        <v/>
      </c>
      <c r="L1539" s="25"/>
    </row>
    <row r="1540" customFormat="false" ht="14.25" hidden="false" customHeight="false" outlineLevel="0" collapsed="false">
      <c r="A1540" s="0" t="s">
        <v>122</v>
      </c>
      <c r="E1540" s="20" t="str">
        <f aca="false">IF(D1540="?OLD","!!!","")</f>
        <v/>
      </c>
      <c r="F1540" s="21" t="str">
        <f aca="false">IF(OR(E1540="",E1540="!!!"),"",IF(NOT(ISNA(VLOOKUP(E1540,E$1:E1539,1,FALSE()))),"OLD",IF(AND(E1540&lt;&gt;"",E1540&lt;&gt;"!!!"),"NEW","")))</f>
        <v/>
      </c>
      <c r="G1540" s="22" t="str">
        <f aca="false"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aca="false">IF(J1540&lt;&gt;1,"",IF(I1540="SBJ","CB","?"))</f>
        <v/>
      </c>
      <c r="I1540" s="24" t="str">
        <f aca="false">IF(OR(E1540="",E1540="!!!",F1540="NEW"),"",INDEX(B$2:B1539,-1+SUMPRODUCT(MAX(ROW(E$2:E1539)*(E1540=E$2:E1539)))))</f>
        <v/>
      </c>
      <c r="J1540" s="24" t="str">
        <f aca="true">IF(OR(E1540="",E1540="!!!",F1540="NEW"),"",COUNTBLANK(OFFSET(A$1,,,SUMPRODUCT(MAX(ROW(E$2:E1540)*(E1540=E$2:E1540)))))-COUNTBLANK(OFFSET(A$1,,,SUMPRODUCT(MAX(ROW(E$1:E1539)*(E2=E$1:E1539))))))</f>
        <v/>
      </c>
      <c r="K1540" s="24" t="str">
        <f aca="false">IF(OR(E1540="",E1540="!!!",F1540="NEW"),"",INDEX(J$1:J1539,SUMPRODUCT(MAX(ROW(E$1:E1539)*(E1540=E$1:E1539)))))</f>
        <v/>
      </c>
      <c r="L1540" s="25"/>
    </row>
    <row r="1541" customFormat="false" ht="14.25" hidden="false" customHeight="false" outlineLevel="0" collapsed="false">
      <c r="A1541" s="0" t="s">
        <v>207</v>
      </c>
      <c r="B1541" s="26" t="s">
        <v>204</v>
      </c>
      <c r="C1541" s="26" t="s">
        <v>209</v>
      </c>
      <c r="D1541" s="26" t="s">
        <v>75</v>
      </c>
      <c r="E1541" s="20" t="s">
        <v>840</v>
      </c>
      <c r="F1541" s="21" t="str">
        <f aca="false">IF(OR(E1541="",E1541="!!!"),"",IF(NOT(ISNA(VLOOKUP(E1541,E$1:E1540,1,FALSE()))),"OLD",IF(AND(E1541&lt;&gt;"",E1541&lt;&gt;"!!!"),"NEW","")))</f>
        <v>OLD</v>
      </c>
      <c r="G1541" s="22" t="str">
        <f aca="false"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?IN_FOCUS</v>
      </c>
      <c r="H1541" s="23" t="str">
        <f aca="false">IF(J1541&lt;&gt;1,"",IF(I1541="SBJ","CB","?"))</f>
        <v/>
      </c>
      <c r="I1541" s="24" t="str">
        <f aca="false">IF(OR(E1541="",E1541="!!!",F1541="NEW"),"",INDEX(B$2:B1540,-1+SUMPRODUCT(MAX(ROW(E$2:E1540)*(E1541=E$2:E1540)))))</f>
        <v>SBJ_3</v>
      </c>
      <c r="J1541" s="24" t="n">
        <f aca="true">IF(OR(E1541="",E1541="!!!",F1541="NEW"),"",COUNTBLANK(OFFSET(A$1,,,SUMPRODUCT(MAX(ROW(E$2:E1541)*(E1541=E$2:E1541)))))-COUNTBLANK(OFFSET(A$1,,,SUMPRODUCT(MAX(ROW(E$1:E1540)*(E2=E$1:E1540))))))</f>
        <v>0</v>
      </c>
      <c r="K1541" s="24" t="n">
        <f aca="false">IF(OR(E1541="",E1541="!!!",F1541="NEW"),"",INDEX(J$1:J1540,SUMPRODUCT(MAX(ROW(E$1:E1540)*(E1541=E$1:E1540)))))</f>
        <v>0</v>
      </c>
      <c r="L1541" s="25"/>
    </row>
    <row r="1542" customFormat="false" ht="14.25" hidden="false" customHeight="false" outlineLevel="0" collapsed="false">
      <c r="A1542" s="0" t="s">
        <v>921</v>
      </c>
      <c r="E1542" s="20" t="str">
        <f aca="false">IF(D1542="?OLD","!!!","")</f>
        <v/>
      </c>
      <c r="F1542" s="21" t="str">
        <f aca="false">IF(OR(E1542="",E1542="!!!"),"",IF(NOT(ISNA(VLOOKUP(E1542,E$1:E1541,1,FALSE()))),"OLD",IF(AND(E1542&lt;&gt;"",E1542&lt;&gt;"!!!"),"NEW","")))</f>
        <v/>
      </c>
      <c r="G1542" s="22" t="str">
        <f aca="false"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3" t="str">
        <f aca="false">IF(J1542&lt;&gt;1,"",IF(I1542="SBJ","CB","?"))</f>
        <v/>
      </c>
      <c r="I1542" s="24" t="str">
        <f aca="false">IF(OR(E1542="",E1542="!!!",F1542="NEW"),"",INDEX(B$2:B1541,-1+SUMPRODUCT(MAX(ROW(E$2:E1541)*(E1542=E$2:E1541)))))</f>
        <v/>
      </c>
      <c r="J1542" s="24" t="str">
        <f aca="true">IF(OR(E1542="",E1542="!!!",F1542="NEW"),"",COUNTBLANK(OFFSET(A$1,,,SUMPRODUCT(MAX(ROW(E$2:E1542)*(E1542=E$2:E1542)))))-COUNTBLANK(OFFSET(A$1,,,SUMPRODUCT(MAX(ROW(E$1:E1541)*(E2=E$1:E1541))))))</f>
        <v/>
      </c>
      <c r="K1542" s="24" t="str">
        <f aca="false">IF(OR(E1542="",E1542="!!!",F1542="NEW"),"",INDEX(J$1:J1541,SUMPRODUCT(MAX(ROW(E$1:E1541)*(E1542=E$1:E1541)))))</f>
        <v/>
      </c>
      <c r="L1542" s="25"/>
    </row>
    <row r="1543" customFormat="false" ht="14.25" hidden="false" customHeight="false" outlineLevel="0" collapsed="false">
      <c r="A1543" s="0" t="s">
        <v>101</v>
      </c>
      <c r="E1543" s="20" t="str">
        <f aca="false">IF(D1543="?OLD","!!!","")</f>
        <v/>
      </c>
      <c r="F1543" s="21" t="str">
        <f aca="false">IF(OR(E1543="",E1543="!!!"),"",IF(NOT(ISNA(VLOOKUP(E1543,E$1:E1542,1,FALSE()))),"OLD",IF(AND(E1543&lt;&gt;"",E1543&lt;&gt;"!!!"),"NEW","")))</f>
        <v/>
      </c>
      <c r="G1543" s="22" t="str">
        <f aca="false"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3" t="str">
        <f aca="false">IF(J1543&lt;&gt;1,"",IF(I1543="SBJ","CB","?"))</f>
        <v/>
      </c>
      <c r="I1543" s="24" t="str">
        <f aca="false">IF(OR(E1543="",E1543="!!!",F1543="NEW"),"",INDEX(B$2:B1542,-1+SUMPRODUCT(MAX(ROW(E$2:E1542)*(E1543=E$2:E1542)))))</f>
        <v/>
      </c>
      <c r="J1543" s="24" t="str">
        <f aca="true">IF(OR(E1543="",E1543="!!!",F1543="NEW"),"",COUNTBLANK(OFFSET(A$1,,,SUMPRODUCT(MAX(ROW(E$2:E1543)*(E1543=E$2:E1543)))))-COUNTBLANK(OFFSET(A$1,,,SUMPRODUCT(MAX(ROW(E$1:E1542)*(E2=E$1:E1542))))))</f>
        <v/>
      </c>
      <c r="K1543" s="24" t="str">
        <f aca="false">IF(OR(E1543="",E1543="!!!",F1543="NEW"),"",INDEX(J$1:J1542,SUMPRODUCT(MAX(ROW(E$1:E1542)*(E1543=E$1:E1542)))))</f>
        <v/>
      </c>
      <c r="L1543" s="25"/>
    </row>
    <row r="1544" customFormat="false" ht="14.25" hidden="false" customHeight="false" outlineLevel="0" collapsed="false">
      <c r="A1544" s="0" t="s">
        <v>926</v>
      </c>
      <c r="E1544" s="20" t="str">
        <f aca="false">IF(D1544="?OLD","!!!","")</f>
        <v/>
      </c>
      <c r="F1544" s="21" t="str">
        <f aca="false">IF(OR(E1544="",E1544="!!!"),"",IF(NOT(ISNA(VLOOKUP(E1544,E$1:E1543,1,FALSE()))),"OLD",IF(AND(E1544&lt;&gt;"",E1544&lt;&gt;"!!!"),"NEW","")))</f>
        <v/>
      </c>
      <c r="G1544" s="22" t="str">
        <f aca="false"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aca="false">IF(J1544&lt;&gt;1,"",IF(I1544="SBJ","CB","?"))</f>
        <v/>
      </c>
      <c r="I1544" s="24" t="str">
        <f aca="false">IF(OR(E1544="",E1544="!!!",F1544="NEW"),"",INDEX(B$2:B1543,-1+SUMPRODUCT(MAX(ROW(E$2:E1543)*(E1544=E$2:E1543)))))</f>
        <v/>
      </c>
      <c r="J1544" s="24" t="str">
        <f aca="true">IF(OR(E1544="",E1544="!!!",F1544="NEW"),"",COUNTBLANK(OFFSET(A$1,,,SUMPRODUCT(MAX(ROW(E$2:E1544)*(E1544=E$2:E1544)))))-COUNTBLANK(OFFSET(A$1,,,SUMPRODUCT(MAX(ROW(E$1:E1543)*(E2=E$1:E1543))))))</f>
        <v/>
      </c>
      <c r="K1544" s="24" t="str">
        <f aca="false">IF(OR(E1544="",E1544="!!!",F1544="NEW"),"",INDEX(J$1:J1543,SUMPRODUCT(MAX(ROW(E$1:E1543)*(E1544=E$1:E1543)))))</f>
        <v/>
      </c>
      <c r="L1544" s="25"/>
    </row>
    <row r="1545" customFormat="false" ht="14.25" hidden="false" customHeight="false" outlineLevel="0" collapsed="false">
      <c r="A1545" s="0" t="s">
        <v>142</v>
      </c>
      <c r="E1545" s="20" t="str">
        <f aca="false">IF(D1545="?OLD","!!!","")</f>
        <v/>
      </c>
      <c r="F1545" s="21" t="str">
        <f aca="false">IF(OR(E1545="",E1545="!!!"),"",IF(NOT(ISNA(VLOOKUP(E1545,E$1:E1544,1,FALSE()))),"OLD",IF(AND(E1545&lt;&gt;"",E1545&lt;&gt;"!!!"),"NEW","")))</f>
        <v/>
      </c>
      <c r="G1545" s="22" t="str">
        <f aca="false"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aca="false">IF(J1545&lt;&gt;1,"",IF(I1545="SBJ","CB","?"))</f>
        <v/>
      </c>
      <c r="I1545" s="24" t="str">
        <f aca="false">IF(OR(E1545="",E1545="!!!",F1545="NEW"),"",INDEX(B$2:B1544,-1+SUMPRODUCT(MAX(ROW(E$2:E1544)*(E1545=E$2:E1544)))))</f>
        <v/>
      </c>
      <c r="J1545" s="24" t="str">
        <f aca="true">IF(OR(E1545="",E1545="!!!",F1545="NEW"),"",COUNTBLANK(OFFSET(A$1,,,SUMPRODUCT(MAX(ROW(E$2:E1545)*(E1545=E$2:E1545)))))-COUNTBLANK(OFFSET(A$1,,,SUMPRODUCT(MAX(ROW(E$1:E1544)*(E2=E$1:E1544))))))</f>
        <v/>
      </c>
      <c r="K1545" s="24" t="str">
        <f aca="false">IF(OR(E1545="",E1545="!!!",F1545="NEW"),"",INDEX(J$1:J1544,SUMPRODUCT(MAX(ROW(E$1:E1544)*(E1545=E$1:E1544)))))</f>
        <v/>
      </c>
      <c r="L1545" s="25"/>
    </row>
    <row r="1546" customFormat="false" ht="14.25" hidden="false" customHeight="false" outlineLevel="0" collapsed="false">
      <c r="A1546" s="0" t="s">
        <v>344</v>
      </c>
      <c r="E1546" s="20" t="str">
        <f aca="false">IF(D1546="?OLD","!!!","")</f>
        <v/>
      </c>
      <c r="F1546" s="21" t="str">
        <f aca="false">IF(OR(E1546="",E1546="!!!"),"",IF(NOT(ISNA(VLOOKUP(E1546,E$1:E1545,1,FALSE()))),"OLD",IF(AND(E1546&lt;&gt;"",E1546&lt;&gt;"!!!"),"NEW","")))</f>
        <v/>
      </c>
      <c r="G1546" s="22" t="str">
        <f aca="false"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3" t="str">
        <f aca="false">IF(J1546&lt;&gt;1,"",IF(I1546="SBJ","CB","?"))</f>
        <v/>
      </c>
      <c r="I1546" s="24" t="str">
        <f aca="false">IF(OR(E1546="",E1546="!!!",F1546="NEW"),"",INDEX(B$2:B1545,-1+SUMPRODUCT(MAX(ROW(E$2:E1545)*(E1546=E$2:E1545)))))</f>
        <v/>
      </c>
      <c r="J1546" s="24" t="str">
        <f aca="true">IF(OR(E1546="",E1546="!!!",F1546="NEW"),"",COUNTBLANK(OFFSET(A$1,,,SUMPRODUCT(MAX(ROW(E$2:E1546)*(E1546=E$2:E1546)))))-COUNTBLANK(OFFSET(A$1,,,SUMPRODUCT(MAX(ROW(E$1:E1545)*(E2=E$1:E1545))))))</f>
        <v/>
      </c>
      <c r="K1546" s="24" t="str">
        <f aca="false">IF(OR(E1546="",E1546="!!!",F1546="NEW"),"",INDEX(J$1:J1545,SUMPRODUCT(MAX(ROW(E$1:E1545)*(E1546=E$1:E1545)))))</f>
        <v/>
      </c>
      <c r="L1546" s="25"/>
    </row>
    <row r="1547" customFormat="false" ht="14.25" hidden="false" customHeight="false" outlineLevel="0" collapsed="false">
      <c r="A1547" s="0" t="s">
        <v>101</v>
      </c>
      <c r="E1547" s="20" t="str">
        <f aca="false">IF(D1547="?OLD","!!!","")</f>
        <v/>
      </c>
      <c r="F1547" s="21" t="str">
        <f aca="false">IF(OR(E1547="",E1547="!!!"),"",IF(NOT(ISNA(VLOOKUP(E1547,E$1:E1546,1,FALSE()))),"OLD",IF(AND(E1547&lt;&gt;"",E1547&lt;&gt;"!!!"),"NEW","")))</f>
        <v/>
      </c>
      <c r="G1547" s="22" t="str">
        <f aca="false"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3" t="str">
        <f aca="false">IF(J1547&lt;&gt;1,"",IF(I1547="SBJ","CB","?"))</f>
        <v/>
      </c>
      <c r="I1547" s="24" t="str">
        <f aca="false">IF(OR(E1547="",E1547="!!!",F1547="NEW"),"",INDEX(B$2:B1546,-1+SUMPRODUCT(MAX(ROW(E$2:E1546)*(E1547=E$2:E1546)))))</f>
        <v/>
      </c>
      <c r="J1547" s="24" t="str">
        <f aca="true">IF(OR(E1547="",E1547="!!!",F1547="NEW"),"",COUNTBLANK(OFFSET(A$1,,,SUMPRODUCT(MAX(ROW(E$2:E1547)*(E1547=E$2:E1547)))))-COUNTBLANK(OFFSET(A$1,,,SUMPRODUCT(MAX(ROW(E$1:E1546)*(E2=E$1:E1546))))))</f>
        <v/>
      </c>
      <c r="K1547" s="24" t="str">
        <f aca="false">IF(OR(E1547="",E1547="!!!",F1547="NEW"),"",INDEX(J$1:J1546,SUMPRODUCT(MAX(ROW(E$1:E1546)*(E1547=E$1:E1546)))))</f>
        <v/>
      </c>
      <c r="L1547" s="25"/>
    </row>
    <row r="1548" customFormat="false" ht="14.25" hidden="false" customHeight="false" outlineLevel="0" collapsed="false">
      <c r="A1548" s="0" t="s">
        <v>462</v>
      </c>
      <c r="E1548" s="20" t="str">
        <f aca="false">IF(D1548="?OLD","!!!","")</f>
        <v/>
      </c>
      <c r="F1548" s="21" t="str">
        <f aca="false">IF(OR(E1548="",E1548="!!!"),"",IF(NOT(ISNA(VLOOKUP(E1548,E$1:E1547,1,FALSE()))),"OLD",IF(AND(E1548&lt;&gt;"",E1548&lt;&gt;"!!!"),"NEW","")))</f>
        <v/>
      </c>
      <c r="G1548" s="22" t="str">
        <f aca="false"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aca="false">IF(J1548&lt;&gt;1,"",IF(I1548="SBJ","CB","?"))</f>
        <v/>
      </c>
      <c r="I1548" s="24" t="str">
        <f aca="false">IF(OR(E1548="",E1548="!!!",F1548="NEW"),"",INDEX(B$2:B1547,-1+SUMPRODUCT(MAX(ROW(E$2:E1547)*(E1548=E$2:E1547)))))</f>
        <v/>
      </c>
      <c r="J1548" s="24" t="str">
        <f aca="true">IF(OR(E1548="",E1548="!!!",F1548="NEW"),"",COUNTBLANK(OFFSET(A$1,,,SUMPRODUCT(MAX(ROW(E$2:E1548)*(E1548=E$2:E1548)))))-COUNTBLANK(OFFSET(A$1,,,SUMPRODUCT(MAX(ROW(E$1:E1547)*(E2=E$1:E1547))))))</f>
        <v/>
      </c>
      <c r="K1548" s="24" t="str">
        <f aca="false">IF(OR(E1548="",E1548="!!!",F1548="NEW"),"",INDEX(J$1:J1547,SUMPRODUCT(MAX(ROW(E$1:E1547)*(E1548=E$1:E1547)))))</f>
        <v/>
      </c>
      <c r="L1548" s="25"/>
    </row>
    <row r="1549" customFormat="false" ht="14.25" hidden="false" customHeight="false" outlineLevel="0" collapsed="false">
      <c r="A1549" s="0" t="s">
        <v>125</v>
      </c>
      <c r="E1549" s="20" t="str">
        <f aca="false">IF(D1549="?OLD","!!!","")</f>
        <v/>
      </c>
      <c r="F1549" s="21" t="str">
        <f aca="false">IF(OR(E1549="",E1549="!!!"),"",IF(NOT(ISNA(VLOOKUP(E1549,E$1:E1548,1,FALSE()))),"OLD",IF(AND(E1549&lt;&gt;"",E1549&lt;&gt;"!!!"),"NEW","")))</f>
        <v/>
      </c>
      <c r="G1549" s="22" t="str">
        <f aca="false"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3" t="str">
        <f aca="false">IF(J1549&lt;&gt;1,"",IF(I1549="SBJ","CB","?"))</f>
        <v/>
      </c>
      <c r="I1549" s="24" t="str">
        <f aca="false">IF(OR(E1549="",E1549="!!!",F1549="NEW"),"",INDEX(B$2:B1548,-1+SUMPRODUCT(MAX(ROW(E$2:E1548)*(E1549=E$2:E1548)))))</f>
        <v/>
      </c>
      <c r="J1549" s="24" t="str">
        <f aca="true">IF(OR(E1549="",E1549="!!!",F1549="NEW"),"",COUNTBLANK(OFFSET(A$1,,,SUMPRODUCT(MAX(ROW(E$2:E1549)*(E1549=E$2:E1549)))))-COUNTBLANK(OFFSET(A$1,,,SUMPRODUCT(MAX(ROW(E$1:E1548)*(E2=E$1:E1548))))))</f>
        <v/>
      </c>
      <c r="K1549" s="24" t="str">
        <f aca="false">IF(OR(E1549="",E1549="!!!",F1549="NEW"),"",INDEX(J$1:J1548,SUMPRODUCT(MAX(ROW(E$1:E1548)*(E1549=E$1:E1548)))))</f>
        <v/>
      </c>
      <c r="L1549" s="25"/>
    </row>
    <row r="1550" customFormat="false" ht="14.25" hidden="false" customHeight="false" outlineLevel="0" collapsed="false">
      <c r="A1550" s="0" t="s">
        <v>79</v>
      </c>
      <c r="E1550" s="20" t="str">
        <f aca="false">IF(D1550="?OLD","!!!","")</f>
        <v/>
      </c>
      <c r="F1550" s="21" t="str">
        <f aca="false">IF(OR(E1550="",E1550="!!!"),"",IF(NOT(ISNA(VLOOKUP(E1550,E$1:E1549,1,FALSE()))),"OLD",IF(AND(E1550&lt;&gt;"",E1550&lt;&gt;"!!!"),"NEW","")))</f>
        <v/>
      </c>
      <c r="G1550" s="22" t="str">
        <f aca="false"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3" t="str">
        <f aca="false">IF(J1550&lt;&gt;1,"",IF(I1550="SBJ","CB","?"))</f>
        <v/>
      </c>
      <c r="I1550" s="24" t="str">
        <f aca="false">IF(OR(E1550="",E1550="!!!",F1550="NEW"),"",INDEX(B$2:B1549,-1+SUMPRODUCT(MAX(ROW(E$2:E1549)*(E1550=E$2:E1549)))))</f>
        <v/>
      </c>
      <c r="J1550" s="24" t="str">
        <f aca="true">IF(OR(E1550="",E1550="!!!",F1550="NEW"),"",COUNTBLANK(OFFSET(A$1,,,SUMPRODUCT(MAX(ROW(E$2:E1550)*(E1550=E$2:E1550)))))-COUNTBLANK(OFFSET(A$1,,,SUMPRODUCT(MAX(ROW(E$1:E1549)*(E2=E$1:E1549))))))</f>
        <v/>
      </c>
      <c r="K1550" s="24" t="str">
        <f aca="false">IF(OR(E1550="",E1550="!!!",F1550="NEW"),"",INDEX(J$1:J1549,SUMPRODUCT(MAX(ROW(E$1:E1549)*(E1550=E$1:E1549)))))</f>
        <v/>
      </c>
      <c r="L1550" s="25"/>
    </row>
    <row r="1551" customFormat="false" ht="14.25" hidden="false" customHeight="false" outlineLevel="0" collapsed="false">
      <c r="A1551" s="0" t="s">
        <v>80</v>
      </c>
      <c r="E1551" s="20" t="str">
        <f aca="false">IF(D1551="?OLD","!!!","")</f>
        <v/>
      </c>
      <c r="F1551" s="21" t="str">
        <f aca="false">IF(OR(E1551="",E1551="!!!"),"",IF(NOT(ISNA(VLOOKUP(E1551,E$1:E1550,1,FALSE()))),"OLD",IF(AND(E1551&lt;&gt;"",E1551&lt;&gt;"!!!"),"NEW","")))</f>
        <v/>
      </c>
      <c r="G1551" s="22" t="str">
        <f aca="false"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3" t="str">
        <f aca="false">IF(J1551&lt;&gt;1,"",IF(I1551="SBJ","CB","?"))</f>
        <v/>
      </c>
      <c r="I1551" s="24" t="str">
        <f aca="false">IF(OR(E1551="",E1551="!!!",F1551="NEW"),"",INDEX(B$2:B1550,-1+SUMPRODUCT(MAX(ROW(E$2:E1550)*(E1551=E$2:E1550)))))</f>
        <v/>
      </c>
      <c r="J1551" s="24" t="str">
        <f aca="true">IF(OR(E1551="",E1551="!!!",F1551="NEW"),"",COUNTBLANK(OFFSET(A$1,,,SUMPRODUCT(MAX(ROW(E$2:E1551)*(E1551=E$2:E1551)))))-COUNTBLANK(OFFSET(A$1,,,SUMPRODUCT(MAX(ROW(E$1:E1550)*(E2=E$1:E1550))))))</f>
        <v/>
      </c>
      <c r="K1551" s="24" t="str">
        <f aca="false">IF(OR(E1551="",E1551="!!!",F1551="NEW"),"",INDEX(J$1:J1550,SUMPRODUCT(MAX(ROW(E$1:E1550)*(E1551=E$1:E1550)))))</f>
        <v/>
      </c>
      <c r="L1551" s="25"/>
    </row>
    <row r="1552" customFormat="false" ht="14.25" hidden="false" customHeight="false" outlineLevel="0" collapsed="false">
      <c r="A1552" s="0" t="s">
        <v>927</v>
      </c>
      <c r="B1552" s="26" t="s">
        <v>307</v>
      </c>
      <c r="C1552" s="26" t="s">
        <v>74</v>
      </c>
      <c r="D1552" s="26" t="s">
        <v>75</v>
      </c>
      <c r="E1552" s="20" t="s">
        <v>928</v>
      </c>
      <c r="F1552" s="21" t="str">
        <f aca="false">IF(OR(E1552="",E1552="!!!"),"",IF(NOT(ISNA(VLOOKUP(E1552,E$1:E1551,1,FALSE()))),"OLD",IF(AND(E1552&lt;&gt;"",E1552&lt;&gt;"!!!"),"NEW","")))</f>
        <v>NEW</v>
      </c>
      <c r="G1552" s="22" t="str">
        <f aca="false"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?REFERENTIAL</v>
      </c>
      <c r="H1552" s="23" t="str">
        <f aca="false">IF(J1552&lt;&gt;1,"",IF(I1552="SBJ","CB","?"))</f>
        <v/>
      </c>
      <c r="I1552" s="24" t="str">
        <f aca="false">IF(OR(E1552="",E1552="!!!",F1552="NEW"),"",INDEX(B$2:B1551,-1+SUMPRODUCT(MAX(ROW(E$2:E1551)*(E1552=E$2:E1551)))))</f>
        <v/>
      </c>
      <c r="J1552" s="24" t="str">
        <f aca="true">IF(OR(E1552="",E1552="!!!",F1552="NEW"),"",COUNTBLANK(OFFSET(A$1,,,SUMPRODUCT(MAX(ROW(E$2:E1552)*(E1552=E$2:E1552)))))-COUNTBLANK(OFFSET(A$1,,,SUMPRODUCT(MAX(ROW(E$1:E1551)*(E2=E$1:E1551))))))</f>
        <v/>
      </c>
      <c r="K1552" s="24" t="str">
        <f aca="false">IF(OR(E1552="",E1552="!!!",F1552="NEW"),"",INDEX(J$1:J1551,SUMPRODUCT(MAX(ROW(E$1:E1551)*(E1552=E$1:E1551)))))</f>
        <v/>
      </c>
      <c r="L1552" s="27" t="s">
        <v>929</v>
      </c>
    </row>
    <row r="1553" customFormat="false" ht="14.25" hidden="false" customHeight="false" outlineLevel="0" collapsed="false">
      <c r="A1553" s="0" t="s">
        <v>694</v>
      </c>
      <c r="E1553" s="20" t="str">
        <f aca="false">IF(D1553="?OLD","!!!","")</f>
        <v/>
      </c>
      <c r="F1553" s="21" t="str">
        <f aca="false">IF(OR(E1553="",E1553="!!!"),"",IF(NOT(ISNA(VLOOKUP(E1553,E$1:E1552,1,FALSE()))),"OLD",IF(AND(E1553&lt;&gt;"",E1553&lt;&gt;"!!!"),"NEW","")))</f>
        <v/>
      </c>
      <c r="G1553" s="22" t="str">
        <f aca="false"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3" t="str">
        <f aca="false">IF(J1553&lt;&gt;1,"",IF(I1553="SBJ","CB","?"))</f>
        <v/>
      </c>
      <c r="I1553" s="24" t="str">
        <f aca="false">IF(OR(E1553="",E1553="!!!",F1553="NEW"),"",INDEX(B$2:B1552,-1+SUMPRODUCT(MAX(ROW(E$2:E1552)*(E1553=E$2:E1552)))))</f>
        <v/>
      </c>
      <c r="J1553" s="24" t="str">
        <f aca="true">IF(OR(E1553="",E1553="!!!",F1553="NEW"),"",COUNTBLANK(OFFSET(A$1,,,SUMPRODUCT(MAX(ROW(E$2:E1553)*(E1553=E$2:E1553)))))-COUNTBLANK(OFFSET(A$1,,,SUMPRODUCT(MAX(ROW(E$1:E1552)*(E2=E$1:E1552))))))</f>
        <v/>
      </c>
      <c r="K1553" s="24" t="str">
        <f aca="false">IF(OR(E1553="",E1553="!!!",F1553="NEW"),"",INDEX(J$1:J1552,SUMPRODUCT(MAX(ROW(E$1:E1552)*(E1553=E$1:E1552)))))</f>
        <v/>
      </c>
      <c r="L1553" s="25"/>
    </row>
    <row r="1554" customFormat="false" ht="14.25" hidden="false" customHeight="false" outlineLevel="0" collapsed="false">
      <c r="A1554" s="0" t="s">
        <v>72</v>
      </c>
      <c r="B1554" s="26" t="s">
        <v>204</v>
      </c>
      <c r="C1554" s="26" t="s">
        <v>341</v>
      </c>
      <c r="E1554" s="20"/>
      <c r="F1554" s="21" t="str">
        <f aca="false">IF(OR(E1554="",E1554="!!!"),"",IF(NOT(ISNA(VLOOKUP(E1554,E$1:E1553,1,FALSE()))),"OLD",IF(AND(E1554&lt;&gt;"",E1554&lt;&gt;"!!!"),"NEW","")))</f>
        <v/>
      </c>
      <c r="G1554" s="22" t="str">
        <f aca="false"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3" t="str">
        <f aca="false">IF(J1554&lt;&gt;1,"",IF(I1554="SBJ","CB","?"))</f>
        <v/>
      </c>
      <c r="I1554" s="24" t="str">
        <f aca="false">IF(OR(E1554="",E1554="!!!",F1554="NEW"),"",INDEX(B$2:B1553,-1+SUMPRODUCT(MAX(ROW(E$2:E1553)*(E1554=E$2:E1553)))))</f>
        <v/>
      </c>
      <c r="J1554" s="24" t="str">
        <f aca="true">IF(OR(E1554="",E1554="!!!",F1554="NEW"),"",COUNTBLANK(OFFSET(A$1,,,SUMPRODUCT(MAX(ROW(E$2:E1554)*(E1554=E$2:E1554)))))-COUNTBLANK(OFFSET(A$1,,,SUMPRODUCT(MAX(ROW(E$1:E1553)*(E2=E$1:E1553))))))</f>
        <v/>
      </c>
      <c r="K1554" s="24" t="str">
        <f aca="false">IF(OR(E1554="",E1554="!!!",F1554="NEW"),"",INDEX(J$1:J1553,SUMPRODUCT(MAX(ROW(E$1:E1553)*(E1554=E$1:E1553)))))</f>
        <v/>
      </c>
      <c r="L1554" s="25"/>
    </row>
    <row r="1555" customFormat="false" ht="14.25" hidden="false" customHeight="false" outlineLevel="0" collapsed="false">
      <c r="A1555" s="0" t="s">
        <v>930</v>
      </c>
      <c r="E1555" s="20" t="str">
        <f aca="false">IF(D1555="?OLD","!!!","")</f>
        <v/>
      </c>
      <c r="F1555" s="21" t="str">
        <f aca="false">IF(OR(E1555="",E1555="!!!"),"",IF(NOT(ISNA(VLOOKUP(E1555,E$1:E1554,1,FALSE()))),"OLD",IF(AND(E1555&lt;&gt;"",E1555&lt;&gt;"!!!"),"NEW","")))</f>
        <v/>
      </c>
      <c r="G1555" s="22" t="str">
        <f aca="false"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3" t="str">
        <f aca="false">IF(J1555&lt;&gt;1,"",IF(I1555="SBJ","CB","?"))</f>
        <v/>
      </c>
      <c r="I1555" s="24" t="str">
        <f aca="false">IF(OR(E1555="",E1555="!!!",F1555="NEW"),"",INDEX(B$2:B1554,-1+SUMPRODUCT(MAX(ROW(E$2:E1554)*(E1555=E$2:E1554)))))</f>
        <v/>
      </c>
      <c r="J1555" s="24" t="str">
        <f aca="true">IF(OR(E1555="",E1555="!!!",F1555="NEW"),"",COUNTBLANK(OFFSET(A$1,,,SUMPRODUCT(MAX(ROW(E$2:E1555)*(E1555=E$2:E1555)))))-COUNTBLANK(OFFSET(A$1,,,SUMPRODUCT(MAX(ROW(E$1:E1554)*(E2=E$1:E1554))))))</f>
        <v/>
      </c>
      <c r="K1555" s="24" t="str">
        <f aca="false">IF(OR(E1555="",E1555="!!!",F1555="NEW"),"",INDEX(J$1:J1554,SUMPRODUCT(MAX(ROW(E$1:E1554)*(E1555=E$1:E1554)))))</f>
        <v/>
      </c>
      <c r="L1555" s="25"/>
    </row>
    <row r="1556" customFormat="false" ht="14.25" hidden="false" customHeight="false" outlineLevel="0" collapsed="false">
      <c r="A1556" s="0" t="s">
        <v>101</v>
      </c>
      <c r="E1556" s="20" t="str">
        <f aca="false">IF(D1556="?OLD","!!!","")</f>
        <v/>
      </c>
      <c r="F1556" s="21" t="str">
        <f aca="false">IF(OR(E1556="",E1556="!!!"),"",IF(NOT(ISNA(VLOOKUP(E1556,E$1:E1555,1,FALSE()))),"OLD",IF(AND(E1556&lt;&gt;"",E1556&lt;&gt;"!!!"),"NEW","")))</f>
        <v/>
      </c>
      <c r="G1556" s="22" t="str">
        <f aca="false"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3" t="str">
        <f aca="false">IF(J1556&lt;&gt;1,"",IF(I1556="SBJ","CB","?"))</f>
        <v/>
      </c>
      <c r="I1556" s="24" t="str">
        <f aca="false">IF(OR(E1556="",E1556="!!!",F1556="NEW"),"",INDEX(B$2:B1555,-1+SUMPRODUCT(MAX(ROW(E$2:E1555)*(E1556=E$2:E1555)))))</f>
        <v/>
      </c>
      <c r="J1556" s="24" t="str">
        <f aca="true">IF(OR(E1556="",E1556="!!!",F1556="NEW"),"",COUNTBLANK(OFFSET(A$1,,,SUMPRODUCT(MAX(ROW(E$2:E1556)*(E1556=E$2:E1556)))))-COUNTBLANK(OFFSET(A$1,,,SUMPRODUCT(MAX(ROW(E$1:E1555)*(E2=E$1:E1555))))))</f>
        <v/>
      </c>
      <c r="K1556" s="24" t="str">
        <f aca="false">IF(OR(E1556="",E1556="!!!",F1556="NEW"),"",INDEX(J$1:J1555,SUMPRODUCT(MAX(ROW(E$1:E1555)*(E1556=E$1:E1555)))))</f>
        <v/>
      </c>
      <c r="L1556" s="25"/>
    </row>
    <row r="1557" customFormat="false" ht="14.25" hidden="false" customHeight="false" outlineLevel="0" collapsed="false">
      <c r="A1557" s="0" t="s">
        <v>136</v>
      </c>
      <c r="E1557" s="20"/>
      <c r="F1557" s="21" t="str">
        <f aca="false">IF(OR(E1557="",E1557="!!!"),"",IF(NOT(ISNA(VLOOKUP(E1557,E$1:E1556,1,FALSE()))),"OLD",IF(AND(E1557&lt;&gt;"",E1557&lt;&gt;"!!!"),"NEW","")))</f>
        <v/>
      </c>
      <c r="G1557" s="22" t="str">
        <f aca="false"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3" t="str">
        <f aca="false">IF(J1557&lt;&gt;1,"",IF(I1557="SBJ","CB","?"))</f>
        <v/>
      </c>
      <c r="I1557" s="24" t="str">
        <f aca="false">IF(OR(E1557="",E1557="!!!",F1557="NEW"),"",INDEX(B$2:B1556,-1+SUMPRODUCT(MAX(ROW(E$2:E1556)*(E1557=E$2:E1556)))))</f>
        <v/>
      </c>
      <c r="J1557" s="24" t="str">
        <f aca="true">IF(OR(E1557="",E1557="!!!",F1557="NEW"),"",COUNTBLANK(OFFSET(A$1,,,SUMPRODUCT(MAX(ROW(E$2:E1557)*(E1557=E$2:E1557)))))-COUNTBLANK(OFFSET(A$1,,,SUMPRODUCT(MAX(ROW(E$1:E1556)*(E2=E$1:E1556))))))</f>
        <v/>
      </c>
      <c r="K1557" s="24" t="str">
        <f aca="false">IF(OR(E1557="",E1557="!!!",F1557="NEW"),"",INDEX(J$1:J1556,SUMPRODUCT(MAX(ROW(E$1:E1556)*(E1557=E$1:E1556)))))</f>
        <v/>
      </c>
      <c r="L1557" s="25"/>
    </row>
    <row r="1558" customFormat="false" ht="14.25" hidden="false" customHeight="false" outlineLevel="0" collapsed="false">
      <c r="A1558" s="0" t="s">
        <v>931</v>
      </c>
      <c r="E1558" s="20" t="str">
        <f aca="false">IF(D1558="?OLD","!!!","")</f>
        <v/>
      </c>
      <c r="F1558" s="21" t="str">
        <f aca="false">IF(OR(E1558="",E1558="!!!"),"",IF(NOT(ISNA(VLOOKUP(E1558,E$1:E1557,1,FALSE()))),"OLD",IF(AND(E1558&lt;&gt;"",E1558&lt;&gt;"!!!"),"NEW","")))</f>
        <v/>
      </c>
      <c r="G1558" s="22" t="str">
        <f aca="false"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3" t="str">
        <f aca="false">IF(J1558&lt;&gt;1,"",IF(I1558="SBJ","CB","?"))</f>
        <v/>
      </c>
      <c r="I1558" s="24" t="str">
        <f aca="false">IF(OR(E1558="",E1558="!!!",F1558="NEW"),"",INDEX(B$2:B1557,-1+SUMPRODUCT(MAX(ROW(E$2:E1557)*(E1558=E$2:E1557)))))</f>
        <v/>
      </c>
      <c r="J1558" s="24" t="str">
        <f aca="true">IF(OR(E1558="",E1558="!!!",F1558="NEW"),"",COUNTBLANK(OFFSET(A$1,,,SUMPRODUCT(MAX(ROW(E$2:E1558)*(E1558=E$2:E1558)))))-COUNTBLANK(OFFSET(A$1,,,SUMPRODUCT(MAX(ROW(E$1:E1557)*(E2=E$1:E1557))))))</f>
        <v/>
      </c>
      <c r="K1558" s="24" t="str">
        <f aca="false">IF(OR(E1558="",E1558="!!!",F1558="NEW"),"",INDEX(J$1:J1557,SUMPRODUCT(MAX(ROW(E$1:E1557)*(E1558=E$1:E1557)))))</f>
        <v/>
      </c>
      <c r="L1558" s="25"/>
    </row>
    <row r="1559" customFormat="false" ht="14.25" hidden="false" customHeight="false" outlineLevel="0" collapsed="false">
      <c r="A1559" s="0" t="s">
        <v>142</v>
      </c>
      <c r="E1559" s="20" t="str">
        <f aca="false">IF(D1559="?OLD","!!!","")</f>
        <v/>
      </c>
      <c r="F1559" s="21" t="str">
        <f aca="false">IF(OR(E1559="",E1559="!!!"),"",IF(NOT(ISNA(VLOOKUP(E1559,E$1:E1558,1,FALSE()))),"OLD",IF(AND(E1559&lt;&gt;"",E1559&lt;&gt;"!!!"),"NEW","")))</f>
        <v/>
      </c>
      <c r="G1559" s="22" t="str">
        <f aca="false"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3" t="str">
        <f aca="false">IF(J1559&lt;&gt;1,"",IF(I1559="SBJ","CB","?"))</f>
        <v/>
      </c>
      <c r="I1559" s="24" t="str">
        <f aca="false">IF(OR(E1559="",E1559="!!!",F1559="NEW"),"",INDEX(B$2:B1558,-1+SUMPRODUCT(MAX(ROW(E$2:E1558)*(E1559=E$2:E1558)))))</f>
        <v/>
      </c>
      <c r="J1559" s="24" t="str">
        <f aca="true">IF(OR(E1559="",E1559="!!!",F1559="NEW"),"",COUNTBLANK(OFFSET(A$1,,,SUMPRODUCT(MAX(ROW(E$2:E1559)*(E1559=E$2:E1559)))))-COUNTBLANK(OFFSET(A$1,,,SUMPRODUCT(MAX(ROW(E$1:E1558)*(E2=E$1:E1558))))))</f>
        <v/>
      </c>
      <c r="K1559" s="24" t="str">
        <f aca="false">IF(OR(E1559="",E1559="!!!",F1559="NEW"),"",INDEX(J$1:J1558,SUMPRODUCT(MAX(ROW(E$1:E1558)*(E1559=E$1:E1558)))))</f>
        <v/>
      </c>
      <c r="L1559" s="25"/>
    </row>
    <row r="1560" customFormat="false" ht="14.25" hidden="false" customHeight="false" outlineLevel="0" collapsed="false">
      <c r="A1560" s="0" t="s">
        <v>932</v>
      </c>
      <c r="E1560" s="20" t="str">
        <f aca="false">IF(D1560="?OLD","!!!","")</f>
        <v/>
      </c>
      <c r="F1560" s="21" t="str">
        <f aca="false">IF(OR(E1560="",E1560="!!!"),"",IF(NOT(ISNA(VLOOKUP(E1560,E$1:E1559,1,FALSE()))),"OLD",IF(AND(E1560&lt;&gt;"",E1560&lt;&gt;"!!!"),"NEW","")))</f>
        <v/>
      </c>
      <c r="G1560" s="22" t="str">
        <f aca="false"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3" t="str">
        <f aca="false">IF(J1560&lt;&gt;1,"",IF(I1560="SBJ","CB","?"))</f>
        <v/>
      </c>
      <c r="I1560" s="24" t="str">
        <f aca="false">IF(OR(E1560="",E1560="!!!",F1560="NEW"),"",INDEX(B$2:B1559,-1+SUMPRODUCT(MAX(ROW(E$2:E1559)*(E1560=E$2:E1559)))))</f>
        <v/>
      </c>
      <c r="J1560" s="24" t="str">
        <f aca="true">IF(OR(E1560="",E1560="!!!",F1560="NEW"),"",COUNTBLANK(OFFSET(A$1,,,SUMPRODUCT(MAX(ROW(E$2:E1560)*(E1560=E$2:E1560)))))-COUNTBLANK(OFFSET(A$1,,,SUMPRODUCT(MAX(ROW(E$1:E1559)*(E2=E$1:E1559))))))</f>
        <v/>
      </c>
      <c r="K1560" s="24" t="str">
        <f aca="false">IF(OR(E1560="",E1560="!!!",F1560="NEW"),"",INDEX(J$1:J1559,SUMPRODUCT(MAX(ROW(E$1:E1559)*(E1560=E$1:E1559)))))</f>
        <v/>
      </c>
      <c r="L1560" s="25"/>
    </row>
    <row r="1561" customFormat="false" ht="14.25" hidden="false" customHeight="false" outlineLevel="0" collapsed="false">
      <c r="A1561" s="0" t="s">
        <v>78</v>
      </c>
      <c r="E1561" s="20" t="str">
        <f aca="false">IF(D1561="?OLD","!!!","")</f>
        <v/>
      </c>
      <c r="F1561" s="21" t="str">
        <f aca="false">IF(OR(E1561="",E1561="!!!"),"",IF(NOT(ISNA(VLOOKUP(E1561,E$1:E1560,1,FALSE()))),"OLD",IF(AND(E1561&lt;&gt;"",E1561&lt;&gt;"!!!"),"NEW","")))</f>
        <v/>
      </c>
      <c r="G1561" s="22" t="str">
        <f aca="false"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3" t="str">
        <f aca="false">IF(J1561&lt;&gt;1,"",IF(I1561="SBJ","CB","?"))</f>
        <v/>
      </c>
      <c r="I1561" s="24" t="str">
        <f aca="false">IF(OR(E1561="",E1561="!!!",F1561="NEW"),"",INDEX(B$2:B1560,-1+SUMPRODUCT(MAX(ROW(E$2:E1560)*(E1561=E$2:E1560)))))</f>
        <v/>
      </c>
      <c r="J1561" s="24" t="str">
        <f aca="true">IF(OR(E1561="",E1561="!!!",F1561="NEW"),"",COUNTBLANK(OFFSET(A$1,,,SUMPRODUCT(MAX(ROW(E$2:E1561)*(E1561=E$2:E1561)))))-COUNTBLANK(OFFSET(A$1,,,SUMPRODUCT(MAX(ROW(E$1:E1560)*(E2=E$1:E1560))))))</f>
        <v/>
      </c>
      <c r="K1561" s="24" t="str">
        <f aca="false">IF(OR(E1561="",E1561="!!!",F1561="NEW"),"",INDEX(J$1:J1560,SUMPRODUCT(MAX(ROW(E$1:E1560)*(E1561=E$1:E1560)))))</f>
        <v/>
      </c>
      <c r="L1561" s="25"/>
    </row>
    <row r="1562" customFormat="false" ht="14.25" hidden="false" customHeight="false" outlineLevel="0" collapsed="false">
      <c r="A1562" s="0" t="s">
        <v>200</v>
      </c>
      <c r="E1562" s="20" t="str">
        <f aca="false">IF(D1562="?OLD","!!!","")</f>
        <v/>
      </c>
      <c r="F1562" s="21" t="str">
        <f aca="false">IF(OR(E1562="",E1562="!!!"),"",IF(NOT(ISNA(VLOOKUP(E1562,E$1:E1561,1,FALSE()))),"OLD",IF(AND(E1562&lt;&gt;"",E1562&lt;&gt;"!!!"),"NEW","")))</f>
        <v/>
      </c>
      <c r="G1562" s="22" t="str">
        <f aca="false"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3" t="str">
        <f aca="false">IF(J1562&lt;&gt;1,"",IF(I1562="SBJ","CB","?"))</f>
        <v/>
      </c>
      <c r="I1562" s="24" t="str">
        <f aca="false">IF(OR(E1562="",E1562="!!!",F1562="NEW"),"",INDEX(B$2:B1561,-1+SUMPRODUCT(MAX(ROW(E$2:E1561)*(E1562=E$2:E1561)))))</f>
        <v/>
      </c>
      <c r="J1562" s="24" t="str">
        <f aca="true">IF(OR(E1562="",E1562="!!!",F1562="NEW"),"",COUNTBLANK(OFFSET(A$1,,,SUMPRODUCT(MAX(ROW(E$2:E1562)*(E1562=E$2:E1562)))))-COUNTBLANK(OFFSET(A$1,,,SUMPRODUCT(MAX(ROW(E$1:E1561)*(E2=E$1:E1561))))))</f>
        <v/>
      </c>
      <c r="K1562" s="24" t="str">
        <f aca="false">IF(OR(E1562="",E1562="!!!",F1562="NEW"),"",INDEX(J$1:J1561,SUMPRODUCT(MAX(ROW(E$1:E1561)*(E1562=E$1:E1561)))))</f>
        <v/>
      </c>
      <c r="L1562" s="25"/>
    </row>
    <row r="1563" customFormat="false" ht="14.25" hidden="false" customHeight="false" outlineLevel="0" collapsed="false">
      <c r="A1563" s="0" t="s">
        <v>170</v>
      </c>
      <c r="E1563" s="20" t="s">
        <v>330</v>
      </c>
      <c r="F1563" s="21" t="str">
        <f aca="false">IF(OR(E1563="",E1563="!!!"),"",IF(NOT(ISNA(VLOOKUP(E1563,E$1:E1562,1,FALSE()))),"OLD",IF(AND(E1563&lt;&gt;"",E1563&lt;&gt;"!!!"),"NEW","")))</f>
        <v>OLD</v>
      </c>
      <c r="G1563" s="22" t="str">
        <f aca="false"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?IN_FOCUS</v>
      </c>
      <c r="H1563" s="23" t="str">
        <f aca="false">IF(J1563&lt;&gt;1,"",IF(I1563="SBJ","CB","?"))</f>
        <v/>
      </c>
      <c r="I1563" s="24" t="n">
        <f aca="false">IF(OR(E1563="",E1563="!!!",F1563="NEW"),"",INDEX(B$2:B1562,-1+SUMPRODUCT(MAX(ROW(E$2:E1562)*(E1563=E$2:E1562)))))</f>
        <v>0</v>
      </c>
      <c r="J1563" s="24" t="n">
        <f aca="true">IF(OR(E1563="",E1563="!!!",F1563="NEW"),"",COUNTBLANK(OFFSET(A$1,,,SUMPRODUCT(MAX(ROW(E$2:E1563)*(E1563=E$2:E1563)))))-COUNTBLANK(OFFSET(A$1,,,SUMPRODUCT(MAX(ROW(E$1:E1562)*(E2=E$1:E1562))))))</f>
        <v>0</v>
      </c>
      <c r="K1563" s="24" t="n">
        <f aca="false">IF(OR(E1563="",E1563="!!!",F1563="NEW"),"",INDEX(J$1:J1562,SUMPRODUCT(MAX(ROW(E$1:E1562)*(E1563=E$1:E1562)))))</f>
        <v>0</v>
      </c>
      <c r="L1563" s="27" t="s">
        <v>331</v>
      </c>
    </row>
    <row r="1564" customFormat="false" ht="14.25" hidden="false" customHeight="false" outlineLevel="0" collapsed="false">
      <c r="A1564" s="0" t="s">
        <v>455</v>
      </c>
      <c r="E1564" s="20" t="str">
        <f aca="false">IF(D1564="?OLD","!!!","")</f>
        <v/>
      </c>
      <c r="F1564" s="21" t="str">
        <f aca="false">IF(OR(E1564="",E1564="!!!"),"",IF(NOT(ISNA(VLOOKUP(E1564,E$1:E1563,1,FALSE()))),"OLD",IF(AND(E1564&lt;&gt;"",E1564&lt;&gt;"!!!"),"NEW","")))</f>
        <v/>
      </c>
      <c r="G1564" s="22" t="str">
        <f aca="false"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3" t="str">
        <f aca="false">IF(J1564&lt;&gt;1,"",IF(I1564="SBJ","CB","?"))</f>
        <v/>
      </c>
      <c r="I1564" s="24" t="str">
        <f aca="false">IF(OR(E1564="",E1564="!!!",F1564="NEW"),"",INDEX(B$2:B1563,-1+SUMPRODUCT(MAX(ROW(E$2:E1563)*(E1564=E$2:E1563)))))</f>
        <v/>
      </c>
      <c r="J1564" s="24" t="str">
        <f aca="true">IF(OR(E1564="",E1564="!!!",F1564="NEW"),"",COUNTBLANK(OFFSET(A$1,,,SUMPRODUCT(MAX(ROW(E$2:E1564)*(E1564=E$2:E1564)))))-COUNTBLANK(OFFSET(A$1,,,SUMPRODUCT(MAX(ROW(E$1:E1563)*(E2=E$1:E1563))))))</f>
        <v/>
      </c>
      <c r="K1564" s="24" t="str">
        <f aca="false">IF(OR(E1564="",E1564="!!!",F1564="NEW"),"",INDEX(J$1:J1563,SUMPRODUCT(MAX(ROW(E$1:E1563)*(E1564=E$1:E1563)))))</f>
        <v/>
      </c>
      <c r="L1564" s="25"/>
    </row>
    <row r="1565" customFormat="false" ht="14.25" hidden="false" customHeight="false" outlineLevel="0" collapsed="false">
      <c r="A1565" s="0" t="s">
        <v>444</v>
      </c>
      <c r="E1565" s="20" t="str">
        <f aca="false">IF(D1565="?OLD","!!!","")</f>
        <v/>
      </c>
      <c r="F1565" s="21" t="str">
        <f aca="false">IF(OR(E1565="",E1565="!!!"),"",IF(NOT(ISNA(VLOOKUP(E1565,E$1:E1564,1,FALSE()))),"OLD",IF(AND(E1565&lt;&gt;"",E1565&lt;&gt;"!!!"),"NEW","")))</f>
        <v/>
      </c>
      <c r="G1565" s="22" t="str">
        <f aca="false"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3" t="str">
        <f aca="false">IF(J1565&lt;&gt;1,"",IF(I1565="SBJ","CB","?"))</f>
        <v/>
      </c>
      <c r="I1565" s="24" t="str">
        <f aca="false">IF(OR(E1565="",E1565="!!!",F1565="NEW"),"",INDEX(B$2:B1564,-1+SUMPRODUCT(MAX(ROW(E$2:E1564)*(E1565=E$2:E1564)))))</f>
        <v/>
      </c>
      <c r="J1565" s="24" t="str">
        <f aca="true">IF(OR(E1565="",E1565="!!!",F1565="NEW"),"",COUNTBLANK(OFFSET(A$1,,,SUMPRODUCT(MAX(ROW(E$2:E1565)*(E1565=E$2:E1565)))))-COUNTBLANK(OFFSET(A$1,,,SUMPRODUCT(MAX(ROW(E$1:E1564)*(E2=E$1:E1564))))))</f>
        <v/>
      </c>
      <c r="K1565" s="24" t="str">
        <f aca="false">IF(OR(E1565="",E1565="!!!",F1565="NEW"),"",INDEX(J$1:J1564,SUMPRODUCT(MAX(ROW(E$1:E1564)*(E1565=E$1:E1564)))))</f>
        <v/>
      </c>
      <c r="L1565" s="25"/>
    </row>
    <row r="1566" customFormat="false" ht="14.25" hidden="false" customHeight="false" outlineLevel="0" collapsed="false">
      <c r="A1566" s="0" t="s">
        <v>903</v>
      </c>
      <c r="E1566" s="20" t="str">
        <f aca="false">IF(D1566="?OLD","!!!","")</f>
        <v/>
      </c>
      <c r="F1566" s="21" t="str">
        <f aca="false">IF(OR(E1566="",E1566="!!!"),"",IF(NOT(ISNA(VLOOKUP(E1566,E$1:E1565,1,FALSE()))),"OLD",IF(AND(E1566&lt;&gt;"",E1566&lt;&gt;"!!!"),"NEW","")))</f>
        <v/>
      </c>
      <c r="G1566" s="22" t="str">
        <f aca="false"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3" t="str">
        <f aca="false">IF(J1566&lt;&gt;1,"",IF(I1566="SBJ","CB","?"))</f>
        <v/>
      </c>
      <c r="I1566" s="24" t="str">
        <f aca="false">IF(OR(E1566="",E1566="!!!",F1566="NEW"),"",INDEX(B$2:B1565,-1+SUMPRODUCT(MAX(ROW(E$2:E1565)*(E1566=E$2:E1565)))))</f>
        <v/>
      </c>
      <c r="J1566" s="24" t="str">
        <f aca="true">IF(OR(E1566="",E1566="!!!",F1566="NEW"),"",COUNTBLANK(OFFSET(A$1,,,SUMPRODUCT(MAX(ROW(E$2:E1566)*(E1566=E$2:E1566)))))-COUNTBLANK(OFFSET(A$1,,,SUMPRODUCT(MAX(ROW(E$1:E1565)*(E2=E$1:E1565))))))</f>
        <v/>
      </c>
      <c r="K1566" s="24" t="str">
        <f aca="false">IF(OR(E1566="",E1566="!!!",F1566="NEW"),"",INDEX(J$1:J1565,SUMPRODUCT(MAX(ROW(E$1:E1565)*(E1566=E$1:E1565)))))</f>
        <v/>
      </c>
      <c r="L1566" s="25"/>
    </row>
    <row r="1567" customFormat="false" ht="14.25" hidden="false" customHeight="false" outlineLevel="0" collapsed="false">
      <c r="A1567" s="0" t="s">
        <v>904</v>
      </c>
      <c r="B1567" s="26" t="s">
        <v>204</v>
      </c>
      <c r="C1567" s="26" t="s">
        <v>105</v>
      </c>
      <c r="E1567" s="20" t="str">
        <f aca="false">IF(D1567="?OLD","!!!","")</f>
        <v/>
      </c>
      <c r="F1567" s="21" t="str">
        <f aca="false">IF(OR(E1567="",E1567="!!!"),"",IF(NOT(ISNA(VLOOKUP(E1567,E$1:E1566,1,FALSE()))),"OLD",IF(AND(E1567&lt;&gt;"",E1567&lt;&gt;"!!!"),"NEW","")))</f>
        <v/>
      </c>
      <c r="G1567" s="22" t="str">
        <f aca="false"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3" t="str">
        <f aca="false">IF(J1567&lt;&gt;1,"",IF(I1567="SBJ","CB","?"))</f>
        <v/>
      </c>
      <c r="I1567" s="24" t="str">
        <f aca="false">IF(OR(E1567="",E1567="!!!",F1567="NEW"),"",INDEX(B$2:B1566,-1+SUMPRODUCT(MAX(ROW(E$2:E1566)*(E1567=E$2:E1566)))))</f>
        <v/>
      </c>
      <c r="J1567" s="24" t="str">
        <f aca="true">IF(OR(E1567="",E1567="!!!",F1567="NEW"),"",COUNTBLANK(OFFSET(A$1,,,SUMPRODUCT(MAX(ROW(E$2:E1567)*(E1567=E$2:E1567)))))-COUNTBLANK(OFFSET(A$1,,,SUMPRODUCT(MAX(ROW(E$1:E1566)*(E2=E$1:E1566))))))</f>
        <v/>
      </c>
      <c r="K1567" s="24" t="str">
        <f aca="false">IF(OR(E1567="",E1567="!!!",F1567="NEW"),"",INDEX(J$1:J1566,SUMPRODUCT(MAX(ROW(E$1:E1566)*(E1567=E$1:E1566)))))</f>
        <v/>
      </c>
      <c r="L1567" s="25"/>
    </row>
    <row r="1568" customFormat="false" ht="14.25" hidden="false" customHeight="false" outlineLevel="0" collapsed="false">
      <c r="A1568" s="0" t="s">
        <v>142</v>
      </c>
      <c r="E1568" s="20" t="str">
        <f aca="false">IF(D1568="?OLD","!!!","")</f>
        <v/>
      </c>
      <c r="F1568" s="21" t="str">
        <f aca="false">IF(OR(E1568="",E1568="!!!"),"",IF(NOT(ISNA(VLOOKUP(E1568,E$1:E1567,1,FALSE()))),"OLD",IF(AND(E1568&lt;&gt;"",E1568&lt;&gt;"!!!"),"NEW","")))</f>
        <v/>
      </c>
      <c r="G1568" s="22" t="str">
        <f aca="false"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3" t="str">
        <f aca="false">IF(J1568&lt;&gt;1,"",IF(I1568="SBJ","CB","?"))</f>
        <v/>
      </c>
      <c r="I1568" s="24" t="str">
        <f aca="false">IF(OR(E1568="",E1568="!!!",F1568="NEW"),"",INDEX(B$2:B1567,-1+SUMPRODUCT(MAX(ROW(E$2:E1567)*(E1568=E$2:E1567)))))</f>
        <v/>
      </c>
      <c r="J1568" s="24" t="str">
        <f aca="true">IF(OR(E1568="",E1568="!!!",F1568="NEW"),"",COUNTBLANK(OFFSET(A$1,,,SUMPRODUCT(MAX(ROW(E$2:E1568)*(E1568=E$2:E1568)))))-COUNTBLANK(OFFSET(A$1,,,SUMPRODUCT(MAX(ROW(E$1:E1567)*(E2=E$1:E1567))))))</f>
        <v/>
      </c>
      <c r="K1568" s="24" t="str">
        <f aca="false">IF(OR(E1568="",E1568="!!!",F1568="NEW"),"",INDEX(J$1:J1567,SUMPRODUCT(MAX(ROW(E$1:E1567)*(E1568=E$1:E1567)))))</f>
        <v/>
      </c>
      <c r="L1568" s="25"/>
    </row>
    <row r="1569" customFormat="false" ht="14.25" hidden="false" customHeight="false" outlineLevel="0" collapsed="false">
      <c r="A1569" s="0" t="s">
        <v>902</v>
      </c>
      <c r="E1569" s="20" t="str">
        <f aca="false">IF(D1569="?OLD","!!!","")</f>
        <v/>
      </c>
      <c r="F1569" s="21" t="str">
        <f aca="false">IF(OR(E1569="",E1569="!!!"),"",IF(NOT(ISNA(VLOOKUP(E1569,E$1:E1568,1,FALSE()))),"OLD",IF(AND(E1569&lt;&gt;"",E1569&lt;&gt;"!!!"),"NEW","")))</f>
        <v/>
      </c>
      <c r="G1569" s="22" t="str">
        <f aca="false"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3" t="str">
        <f aca="false">IF(J1569&lt;&gt;1,"",IF(I1569="SBJ","CB","?"))</f>
        <v/>
      </c>
      <c r="I1569" s="24" t="str">
        <f aca="false">IF(OR(E1569="",E1569="!!!",F1569="NEW"),"",INDEX(B$2:B1568,-1+SUMPRODUCT(MAX(ROW(E$2:E1568)*(E1569=E$2:E1568)))))</f>
        <v/>
      </c>
      <c r="J1569" s="24" t="str">
        <f aca="true">IF(OR(E1569="",E1569="!!!",F1569="NEW"),"",COUNTBLANK(OFFSET(A$1,,,SUMPRODUCT(MAX(ROW(E$2:E1569)*(E1569=E$2:E1569)))))-COUNTBLANK(OFFSET(A$1,,,SUMPRODUCT(MAX(ROW(E$1:E1568)*(E2=E$1:E1568))))))</f>
        <v/>
      </c>
      <c r="K1569" s="24" t="str">
        <f aca="false">IF(OR(E1569="",E1569="!!!",F1569="NEW"),"",INDEX(J$1:J1568,SUMPRODUCT(MAX(ROW(E$1:E1568)*(E1569=E$1:E1568)))))</f>
        <v/>
      </c>
      <c r="L1569" s="25"/>
    </row>
    <row r="1570" customFormat="false" ht="14.25" hidden="false" customHeight="false" outlineLevel="0" collapsed="false">
      <c r="A1570" s="0" t="s">
        <v>612</v>
      </c>
      <c r="B1570" s="26" t="s">
        <v>410</v>
      </c>
      <c r="C1570" s="26" t="s">
        <v>105</v>
      </c>
      <c r="E1570" s="20" t="str">
        <f aca="false">IF(D1570="?OLD","!!!","")</f>
        <v/>
      </c>
      <c r="F1570" s="21" t="str">
        <f aca="false">IF(OR(E1570="",E1570="!!!"),"",IF(NOT(ISNA(VLOOKUP(E1570,E$1:E1569,1,FALSE()))),"OLD",IF(AND(E1570&lt;&gt;"",E1570&lt;&gt;"!!!"),"NEW","")))</f>
        <v/>
      </c>
      <c r="G1570" s="22" t="str">
        <f aca="false"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3" t="str">
        <f aca="false">IF(J1570&lt;&gt;1,"",IF(I1570="SBJ","CB","?"))</f>
        <v/>
      </c>
      <c r="I1570" s="24" t="str">
        <f aca="false">IF(OR(E1570="",E1570="!!!",F1570="NEW"),"",INDEX(B$2:B1569,-1+SUMPRODUCT(MAX(ROW(E$2:E1569)*(E1570=E$2:E1569)))))</f>
        <v/>
      </c>
      <c r="J1570" s="24" t="str">
        <f aca="true">IF(OR(E1570="",E1570="!!!",F1570="NEW"),"",COUNTBLANK(OFFSET(A$1,,,SUMPRODUCT(MAX(ROW(E$2:E1570)*(E1570=E$2:E1570)))))-COUNTBLANK(OFFSET(A$1,,,SUMPRODUCT(MAX(ROW(E$1:E1569)*(E2=E$1:E1569))))))</f>
        <v/>
      </c>
      <c r="K1570" s="24" t="str">
        <f aca="false">IF(OR(E1570="",E1570="!!!",F1570="NEW"),"",INDEX(J$1:J1569,SUMPRODUCT(MAX(ROW(E$1:E1569)*(E1570=E$1:E1569)))))</f>
        <v/>
      </c>
      <c r="L1570" s="25"/>
    </row>
    <row r="1571" customFormat="false" ht="14.25" hidden="false" customHeight="false" outlineLevel="0" collapsed="false">
      <c r="A1571" s="0" t="s">
        <v>933</v>
      </c>
      <c r="E1571" s="20" t="str">
        <f aca="false">IF(D1571="?OLD","!!!","")</f>
        <v/>
      </c>
      <c r="F1571" s="21" t="str">
        <f aca="false">IF(OR(E1571="",E1571="!!!"),"",IF(NOT(ISNA(VLOOKUP(E1571,E$1:E1570,1,FALSE()))),"OLD",IF(AND(E1571&lt;&gt;"",E1571&lt;&gt;"!!!"),"NEW","")))</f>
        <v/>
      </c>
      <c r="G1571" s="22" t="str">
        <f aca="false"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3" t="str">
        <f aca="false">IF(J1571&lt;&gt;1,"",IF(I1571="SBJ","CB","?"))</f>
        <v/>
      </c>
      <c r="I1571" s="24" t="str">
        <f aca="false">IF(OR(E1571="",E1571="!!!",F1571="NEW"),"",INDEX(B$2:B1570,-1+SUMPRODUCT(MAX(ROW(E$2:E1570)*(E1571=E$2:E1570)))))</f>
        <v/>
      </c>
      <c r="J1571" s="24" t="str">
        <f aca="true">IF(OR(E1571="",E1571="!!!",F1571="NEW"),"",COUNTBLANK(OFFSET(A$1,,,SUMPRODUCT(MAX(ROW(E$2:E1571)*(E1571=E$2:E1571)))))-COUNTBLANK(OFFSET(A$1,,,SUMPRODUCT(MAX(ROW(E$1:E1570)*(E2=E$1:E1570))))))</f>
        <v/>
      </c>
      <c r="K1571" s="24" t="str">
        <f aca="false">IF(OR(E1571="",E1571="!!!",F1571="NEW"),"",INDEX(J$1:J1570,SUMPRODUCT(MAX(ROW(E$1:E1570)*(E1571=E$1:E1570)))))</f>
        <v/>
      </c>
      <c r="L1571" s="25"/>
    </row>
    <row r="1572" customFormat="false" ht="14.25" hidden="false" customHeight="false" outlineLevel="0" collapsed="false">
      <c r="A1572" s="0" t="s">
        <v>455</v>
      </c>
      <c r="E1572" s="20" t="str">
        <f aca="false">IF(D1572="?OLD","!!!","")</f>
        <v/>
      </c>
      <c r="F1572" s="21" t="str">
        <f aca="false">IF(OR(E1572="",E1572="!!!"),"",IF(NOT(ISNA(VLOOKUP(E1572,E$1:E1571,1,FALSE()))),"OLD",IF(AND(E1572&lt;&gt;"",E1572&lt;&gt;"!!!"),"NEW","")))</f>
        <v/>
      </c>
      <c r="G1572" s="22" t="str">
        <f aca="false"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3" t="str">
        <f aca="false">IF(J1572&lt;&gt;1,"",IF(I1572="SBJ","CB","?"))</f>
        <v/>
      </c>
      <c r="I1572" s="24" t="str">
        <f aca="false">IF(OR(E1572="",E1572="!!!",F1572="NEW"),"",INDEX(B$2:B1571,-1+SUMPRODUCT(MAX(ROW(E$2:E1571)*(E1572=E$2:E1571)))))</f>
        <v/>
      </c>
      <c r="J1572" s="24" t="str">
        <f aca="true">IF(OR(E1572="",E1572="!!!",F1572="NEW"),"",COUNTBLANK(OFFSET(A$1,,,SUMPRODUCT(MAX(ROW(E$2:E1572)*(E1572=E$2:E1572)))))-COUNTBLANK(OFFSET(A$1,,,SUMPRODUCT(MAX(ROW(E$1:E1571)*(E2=E$1:E1571))))))</f>
        <v/>
      </c>
      <c r="K1572" s="24" t="str">
        <f aca="false">IF(OR(E1572="",E1572="!!!",F1572="NEW"),"",INDEX(J$1:J1571,SUMPRODUCT(MAX(ROW(E$1:E1571)*(E1572=E$1:E1571)))))</f>
        <v/>
      </c>
      <c r="L1572" s="25"/>
    </row>
    <row r="1573" customFormat="false" ht="14.25" hidden="false" customHeight="false" outlineLevel="0" collapsed="false">
      <c r="A1573" s="0" t="s">
        <v>870</v>
      </c>
      <c r="E1573" s="20" t="str">
        <f aca="false">IF(D1573="?OLD","!!!","")</f>
        <v/>
      </c>
      <c r="F1573" s="21" t="str">
        <f aca="false">IF(OR(E1573="",E1573="!!!"),"",IF(NOT(ISNA(VLOOKUP(E1573,E$1:E1572,1,FALSE()))),"OLD",IF(AND(E1573&lt;&gt;"",E1573&lt;&gt;"!!!"),"NEW","")))</f>
        <v/>
      </c>
      <c r="G1573" s="22" t="str">
        <f aca="false"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3" t="str">
        <f aca="false">IF(J1573&lt;&gt;1,"",IF(I1573="SBJ","CB","?"))</f>
        <v/>
      </c>
      <c r="I1573" s="24" t="str">
        <f aca="false">IF(OR(E1573="",E1573="!!!",F1573="NEW"),"",INDEX(B$2:B1572,-1+SUMPRODUCT(MAX(ROW(E$2:E1572)*(E1573=E$2:E1572)))))</f>
        <v/>
      </c>
      <c r="J1573" s="24" t="str">
        <f aca="true">IF(OR(E1573="",E1573="!!!",F1573="NEW"),"",COUNTBLANK(OFFSET(A$1,,,SUMPRODUCT(MAX(ROW(E$2:E1573)*(E1573=E$2:E1573)))))-COUNTBLANK(OFFSET(A$1,,,SUMPRODUCT(MAX(ROW(E$1:E1572)*(E2=E$1:E1572))))))</f>
        <v/>
      </c>
      <c r="K1573" s="24" t="str">
        <f aca="false">IF(OR(E1573="",E1573="!!!",F1573="NEW"),"",INDEX(J$1:J1572,SUMPRODUCT(MAX(ROW(E$1:E1572)*(E1573=E$1:E1572)))))</f>
        <v/>
      </c>
      <c r="L1573" s="25"/>
    </row>
    <row r="1574" customFormat="false" ht="14.25" hidden="false" customHeight="false" outlineLevel="0" collapsed="false">
      <c r="A1574" s="0" t="s">
        <v>934</v>
      </c>
      <c r="E1574" s="20" t="str">
        <f aca="false">IF(D1574="?OLD","!!!","")</f>
        <v/>
      </c>
      <c r="F1574" s="21" t="str">
        <f aca="false">IF(OR(E1574="",E1574="!!!"),"",IF(NOT(ISNA(VLOOKUP(E1574,E$1:E1573,1,FALSE()))),"OLD",IF(AND(E1574&lt;&gt;"",E1574&lt;&gt;"!!!"),"NEW","")))</f>
        <v/>
      </c>
      <c r="G1574" s="22" t="str">
        <f aca="false"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3" t="str">
        <f aca="false">IF(J1574&lt;&gt;1,"",IF(I1574="SBJ","CB","?"))</f>
        <v/>
      </c>
      <c r="I1574" s="24" t="str">
        <f aca="false">IF(OR(E1574="",E1574="!!!",F1574="NEW"),"",INDEX(B$2:B1573,-1+SUMPRODUCT(MAX(ROW(E$2:E1573)*(E1574=E$2:E1573)))))</f>
        <v/>
      </c>
      <c r="J1574" s="24" t="str">
        <f aca="true">IF(OR(E1574="",E1574="!!!",F1574="NEW"),"",COUNTBLANK(OFFSET(A$1,,,SUMPRODUCT(MAX(ROW(E$2:E1574)*(E1574=E$2:E1574)))))-COUNTBLANK(OFFSET(A$1,,,SUMPRODUCT(MAX(ROW(E$1:E1573)*(E2=E$1:E1573))))))</f>
        <v/>
      </c>
      <c r="K1574" s="24" t="str">
        <f aca="false">IF(OR(E1574="",E1574="!!!",F1574="NEW"),"",INDEX(J$1:J1573,SUMPRODUCT(MAX(ROW(E$1:E1573)*(E1574=E$1:E1573)))))</f>
        <v/>
      </c>
      <c r="L1574" s="25"/>
    </row>
    <row r="1575" customFormat="false" ht="14.25" hidden="false" customHeight="false" outlineLevel="0" collapsed="false">
      <c r="A1575" s="0" t="s">
        <v>935</v>
      </c>
      <c r="B1575" s="26" t="s">
        <v>258</v>
      </c>
      <c r="C1575" s="26" t="s">
        <v>341</v>
      </c>
      <c r="E1575" s="20" t="str">
        <f aca="false">IF(D1575="?OLD","!!!","")</f>
        <v/>
      </c>
      <c r="F1575" s="21" t="str">
        <f aca="false">IF(OR(E1575="",E1575="!!!"),"",IF(NOT(ISNA(VLOOKUP(E1575,E$1:E1574,1,FALSE()))),"OLD",IF(AND(E1575&lt;&gt;"",E1575&lt;&gt;"!!!"),"NEW","")))</f>
        <v/>
      </c>
      <c r="G1575" s="22" t="str">
        <f aca="false"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3" t="str">
        <f aca="false">IF(J1575&lt;&gt;1,"",IF(I1575="SBJ","CB","?"))</f>
        <v/>
      </c>
      <c r="I1575" s="24" t="str">
        <f aca="false">IF(OR(E1575="",E1575="!!!",F1575="NEW"),"",INDEX(B$2:B1574,-1+SUMPRODUCT(MAX(ROW(E$2:E1574)*(E1575=E$2:E1574)))))</f>
        <v/>
      </c>
      <c r="J1575" s="24" t="str">
        <f aca="true">IF(OR(E1575="",E1575="!!!",F1575="NEW"),"",COUNTBLANK(OFFSET(A$1,,,SUMPRODUCT(MAX(ROW(E$2:E1575)*(E1575=E$2:E1575)))))-COUNTBLANK(OFFSET(A$1,,,SUMPRODUCT(MAX(ROW(E$1:E1574)*(E2=E$1:E1574))))))</f>
        <v/>
      </c>
      <c r="K1575" s="24" t="str">
        <f aca="false">IF(OR(E1575="",E1575="!!!",F1575="NEW"),"",INDEX(J$1:J1574,SUMPRODUCT(MAX(ROW(E$1:E1574)*(E1575=E$1:E1574)))))</f>
        <v/>
      </c>
      <c r="L1575" s="25"/>
    </row>
    <row r="1576" customFormat="false" ht="14.25" hidden="false" customHeight="false" outlineLevel="0" collapsed="false">
      <c r="A1576" s="0" t="s">
        <v>936</v>
      </c>
      <c r="E1576" s="20" t="str">
        <f aca="false">IF(D1576="?OLD","!!!","")</f>
        <v/>
      </c>
      <c r="F1576" s="21" t="str">
        <f aca="false">IF(OR(E1576="",E1576="!!!"),"",IF(NOT(ISNA(VLOOKUP(E1576,E$1:E1575,1,FALSE()))),"OLD",IF(AND(E1576&lt;&gt;"",E1576&lt;&gt;"!!!"),"NEW","")))</f>
        <v/>
      </c>
      <c r="G1576" s="22" t="str">
        <f aca="false"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3" t="str">
        <f aca="false">IF(J1576&lt;&gt;1,"",IF(I1576="SBJ","CB","?"))</f>
        <v/>
      </c>
      <c r="I1576" s="24" t="str">
        <f aca="false">IF(OR(E1576="",E1576="!!!",F1576="NEW"),"",INDEX(B$2:B1575,-1+SUMPRODUCT(MAX(ROW(E$2:E1575)*(E1576=E$2:E1575)))))</f>
        <v/>
      </c>
      <c r="J1576" s="24" t="str">
        <f aca="true">IF(OR(E1576="",E1576="!!!",F1576="NEW"),"",COUNTBLANK(OFFSET(A$1,,,SUMPRODUCT(MAX(ROW(E$2:E1576)*(E1576=E$2:E1576)))))-COUNTBLANK(OFFSET(A$1,,,SUMPRODUCT(MAX(ROW(E$1:E1575)*(E2=E$1:E1575))))))</f>
        <v/>
      </c>
      <c r="K1576" s="24" t="str">
        <f aca="false">IF(OR(E1576="",E1576="!!!",F1576="NEW"),"",INDEX(J$1:J1575,SUMPRODUCT(MAX(ROW(E$1:E1575)*(E1576=E$1:E1575)))))</f>
        <v/>
      </c>
      <c r="L1576" s="25"/>
    </row>
    <row r="1577" customFormat="false" ht="14.25" hidden="false" customHeight="false" outlineLevel="0" collapsed="false">
      <c r="A1577" s="0" t="s">
        <v>246</v>
      </c>
      <c r="E1577" s="20" t="str">
        <f aca="false">IF(D1577="?OLD","!!!","")</f>
        <v/>
      </c>
      <c r="F1577" s="21" t="str">
        <f aca="false">IF(OR(E1577="",E1577="!!!"),"",IF(NOT(ISNA(VLOOKUP(E1577,E$1:E1576,1,FALSE()))),"OLD",IF(AND(E1577&lt;&gt;"",E1577&lt;&gt;"!!!"),"NEW","")))</f>
        <v/>
      </c>
      <c r="G1577" s="22" t="str">
        <f aca="false"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3" t="str">
        <f aca="false">IF(J1577&lt;&gt;1,"",IF(I1577="SBJ","CB","?"))</f>
        <v/>
      </c>
      <c r="I1577" s="24" t="str">
        <f aca="false">IF(OR(E1577="",E1577="!!!",F1577="NEW"),"",INDEX(B$2:B1576,-1+SUMPRODUCT(MAX(ROW(E$2:E1576)*(E1577=E$2:E1576)))))</f>
        <v/>
      </c>
      <c r="J1577" s="24" t="str">
        <f aca="true">IF(OR(E1577="",E1577="!!!",F1577="NEW"),"",COUNTBLANK(OFFSET(A$1,,,SUMPRODUCT(MAX(ROW(E$2:E1577)*(E1577=E$2:E1577)))))-COUNTBLANK(OFFSET(A$1,,,SUMPRODUCT(MAX(ROW(E$1:E1576)*(E2=E$1:E1576))))))</f>
        <v/>
      </c>
      <c r="K1577" s="24" t="str">
        <f aca="false">IF(OR(E1577="",E1577="!!!",F1577="NEW"),"",INDEX(J$1:J1576,SUMPRODUCT(MAX(ROW(E$1:E1576)*(E1577=E$1:E1576)))))</f>
        <v/>
      </c>
      <c r="L1577" s="25"/>
    </row>
    <row r="1578" customFormat="false" ht="14.25" hidden="false" customHeight="false" outlineLevel="0" collapsed="false">
      <c r="A1578" s="0" t="s">
        <v>172</v>
      </c>
      <c r="E1578" s="20" t="str">
        <f aca="false">IF(D1578="?OLD","!!!","")</f>
        <v/>
      </c>
      <c r="F1578" s="21" t="str">
        <f aca="false">IF(OR(E1578="",E1578="!!!"),"",IF(NOT(ISNA(VLOOKUP(E1578,E$1:E1577,1,FALSE()))),"OLD",IF(AND(E1578&lt;&gt;"",E1578&lt;&gt;"!!!"),"NEW","")))</f>
        <v/>
      </c>
      <c r="G1578" s="22" t="str">
        <f aca="false"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3" t="str">
        <f aca="false">IF(J1578&lt;&gt;1,"",IF(I1578="SBJ","CB","?"))</f>
        <v/>
      </c>
      <c r="I1578" s="24" t="str">
        <f aca="false">IF(OR(E1578="",E1578="!!!",F1578="NEW"),"",INDEX(B$2:B1577,-1+SUMPRODUCT(MAX(ROW(E$2:E1577)*(E1578=E$2:E1577)))))</f>
        <v/>
      </c>
      <c r="J1578" s="24" t="str">
        <f aca="true">IF(OR(E1578="",E1578="!!!",F1578="NEW"),"",COUNTBLANK(OFFSET(A$1,,,SUMPRODUCT(MAX(ROW(E$2:E1578)*(E1578=E$2:E1578)))))-COUNTBLANK(OFFSET(A$1,,,SUMPRODUCT(MAX(ROW(E$1:E1577)*(E2=E$1:E1577))))))</f>
        <v/>
      </c>
      <c r="K1578" s="24" t="str">
        <f aca="false">IF(OR(E1578="",E1578="!!!",F1578="NEW"),"",INDEX(J$1:J1577,SUMPRODUCT(MAX(ROW(E$1:E1577)*(E1578=E$1:E1577)))))</f>
        <v/>
      </c>
      <c r="L1578" s="25"/>
    </row>
    <row r="1579" customFormat="false" ht="14.25" hidden="false" customHeight="false" outlineLevel="0" collapsed="false">
      <c r="A1579" s="0" t="s">
        <v>94</v>
      </c>
      <c r="E1579" s="20" t="str">
        <f aca="false">IF(D1579="?OLD","!!!","")</f>
        <v/>
      </c>
      <c r="F1579" s="21" t="str">
        <f aca="false">IF(OR(E1579="",E1579="!!!"),"",IF(NOT(ISNA(VLOOKUP(E1579,E$1:E1578,1,FALSE()))),"OLD",IF(AND(E1579&lt;&gt;"",E1579&lt;&gt;"!!!"),"NEW","")))</f>
        <v/>
      </c>
      <c r="G1579" s="22" t="str">
        <f aca="false"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/>
      </c>
      <c r="H1579" s="23" t="str">
        <f aca="false">IF(J1579&lt;&gt;1,"",IF(I1579="SBJ","CB","?"))</f>
        <v/>
      </c>
      <c r="I1579" s="24" t="str">
        <f aca="false">IF(OR(E1579="",E1579="!!!",F1579="NEW"),"",INDEX(B$2:B1578,-1+SUMPRODUCT(MAX(ROW(E$2:E1578)*(E1579=E$2:E1578)))))</f>
        <v/>
      </c>
      <c r="J1579" s="24" t="str">
        <f aca="true">IF(OR(E1579="",E1579="!!!",F1579="NEW"),"",COUNTBLANK(OFFSET(A$1,,,SUMPRODUCT(MAX(ROW(E$2:E1579)*(E1579=E$2:E1579)))))-COUNTBLANK(OFFSET(A$1,,,SUMPRODUCT(MAX(ROW(E$1:E1578)*(E2=E$1:E1578))))))</f>
        <v/>
      </c>
      <c r="K1579" s="24" t="str">
        <f aca="false">IF(OR(E1579="",E1579="!!!",F1579="NEW"),"",INDEX(J$1:J1578,SUMPRODUCT(MAX(ROW(E$1:E1578)*(E1579=E$1:E1578)))))</f>
        <v/>
      </c>
      <c r="L1579" s="25"/>
    </row>
    <row r="1580" customFormat="false" ht="14.25" hidden="false" customHeight="false" outlineLevel="0" collapsed="false">
      <c r="A1580" s="0" t="s">
        <v>122</v>
      </c>
      <c r="E1580" s="20" t="str">
        <f aca="false">IF(D1580="?OLD","!!!","")</f>
        <v/>
      </c>
      <c r="F1580" s="21" t="str">
        <f aca="false">IF(OR(E1580="",E1580="!!!"),"",IF(NOT(ISNA(VLOOKUP(E1580,E$1:E1579,1,FALSE()))),"OLD",IF(AND(E1580&lt;&gt;"",E1580&lt;&gt;"!!!"),"NEW","")))</f>
        <v/>
      </c>
      <c r="G1580" s="22" t="str">
        <f aca="false"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3" t="str">
        <f aca="false">IF(J1580&lt;&gt;1,"",IF(I1580="SBJ","CB","?"))</f>
        <v/>
      </c>
      <c r="I1580" s="24" t="str">
        <f aca="false">IF(OR(E1580="",E1580="!!!",F1580="NEW"),"",INDEX(B$2:B1579,-1+SUMPRODUCT(MAX(ROW(E$2:E1579)*(E1580=E$2:E1579)))))</f>
        <v/>
      </c>
      <c r="J1580" s="24" t="str">
        <f aca="true">IF(OR(E1580="",E1580="!!!",F1580="NEW"),"",COUNTBLANK(OFFSET(A$1,,,SUMPRODUCT(MAX(ROW(E$2:E1580)*(E1580=E$2:E1580)))))-COUNTBLANK(OFFSET(A$1,,,SUMPRODUCT(MAX(ROW(E$1:E1579)*(E2=E$1:E1579))))))</f>
        <v/>
      </c>
      <c r="K1580" s="24" t="str">
        <f aca="false">IF(OR(E1580="",E1580="!!!",F1580="NEW"),"",INDEX(J$1:J1579,SUMPRODUCT(MAX(ROW(E$1:E1579)*(E1580=E$1:E1579)))))</f>
        <v/>
      </c>
      <c r="L1580" s="25"/>
    </row>
    <row r="1581" customFormat="false" ht="14.25" hidden="false" customHeight="false" outlineLevel="0" collapsed="false">
      <c r="A1581" s="0" t="s">
        <v>160</v>
      </c>
      <c r="E1581" s="20" t="str">
        <f aca="false">IF(D1581="?OLD","!!!","")</f>
        <v/>
      </c>
      <c r="F1581" s="21" t="str">
        <f aca="false">IF(OR(E1581="",E1581="!!!"),"",IF(NOT(ISNA(VLOOKUP(E1581,E$1:E1580,1,FALSE()))),"OLD",IF(AND(E1581&lt;&gt;"",E1581&lt;&gt;"!!!"),"NEW","")))</f>
        <v/>
      </c>
      <c r="G1581" s="22" t="str">
        <f aca="false"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3" t="str">
        <f aca="false">IF(J1581&lt;&gt;1,"",IF(I1581="SBJ","CB","?"))</f>
        <v/>
      </c>
      <c r="I1581" s="24" t="str">
        <f aca="false">IF(OR(E1581="",E1581="!!!",F1581="NEW"),"",INDEX(B$2:B1580,-1+SUMPRODUCT(MAX(ROW(E$2:E1580)*(E1581=E$2:E1580)))))</f>
        <v/>
      </c>
      <c r="J1581" s="24" t="str">
        <f aca="true">IF(OR(E1581="",E1581="!!!",F1581="NEW"),"",COUNTBLANK(OFFSET(A$1,,,SUMPRODUCT(MAX(ROW(E$2:E1581)*(E1581=E$2:E1581)))))-COUNTBLANK(OFFSET(A$1,,,SUMPRODUCT(MAX(ROW(E$1:E1580)*(E2=E$1:E1580))))))</f>
        <v/>
      </c>
      <c r="K1581" s="24" t="str">
        <f aca="false">IF(OR(E1581="",E1581="!!!",F1581="NEW"),"",INDEX(J$1:J1580,SUMPRODUCT(MAX(ROW(E$1:E1580)*(E1581=E$1:E1580)))))</f>
        <v/>
      </c>
      <c r="L1581" s="25"/>
    </row>
    <row r="1582" customFormat="false" ht="14.25" hidden="false" customHeight="false" outlineLevel="0" collapsed="false">
      <c r="A1582" s="0" t="s">
        <v>871</v>
      </c>
      <c r="E1582" s="20" t="str">
        <f aca="false">IF(D1582="?OLD","!!!","")</f>
        <v/>
      </c>
      <c r="F1582" s="21" t="str">
        <f aca="false">IF(OR(E1582="",E1582="!!!"),"",IF(NOT(ISNA(VLOOKUP(E1582,E$1:E1581,1,FALSE()))),"OLD",IF(AND(E1582&lt;&gt;"",E1582&lt;&gt;"!!!"),"NEW","")))</f>
        <v/>
      </c>
      <c r="G1582" s="22" t="str">
        <f aca="false"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3" t="str">
        <f aca="false">IF(J1582&lt;&gt;1,"",IF(I1582="SBJ","CB","?"))</f>
        <v/>
      </c>
      <c r="I1582" s="24" t="str">
        <f aca="false">IF(OR(E1582="",E1582="!!!",F1582="NEW"),"",INDEX(B$2:B1581,-1+SUMPRODUCT(MAX(ROW(E$2:E1581)*(E1582=E$2:E1581)))))</f>
        <v/>
      </c>
      <c r="J1582" s="24" t="str">
        <f aca="true">IF(OR(E1582="",E1582="!!!",F1582="NEW"),"",COUNTBLANK(OFFSET(A$1,,,SUMPRODUCT(MAX(ROW(E$2:E1582)*(E1582=E$2:E1582)))))-COUNTBLANK(OFFSET(A$1,,,SUMPRODUCT(MAX(ROW(E$1:E1581)*(E2=E$1:E1581))))))</f>
        <v/>
      </c>
      <c r="K1582" s="24" t="str">
        <f aca="false">IF(OR(E1582="",E1582="!!!",F1582="NEW"),"",INDEX(J$1:J1581,SUMPRODUCT(MAX(ROW(E$1:E1581)*(E1582=E$1:E1581)))))</f>
        <v/>
      </c>
      <c r="L1582" s="25"/>
    </row>
    <row r="1583" customFormat="false" ht="14.25" hidden="false" customHeight="false" outlineLevel="0" collapsed="false">
      <c r="A1583" s="0" t="s">
        <v>937</v>
      </c>
      <c r="E1583" s="20" t="str">
        <f aca="false">IF(D1583="?OLD","!!!","")</f>
        <v/>
      </c>
      <c r="F1583" s="21" t="str">
        <f aca="false">IF(OR(E1583="",E1583="!!!"),"",IF(NOT(ISNA(VLOOKUP(E1583,E$1:E1582,1,FALSE()))),"OLD",IF(AND(E1583&lt;&gt;"",E1583&lt;&gt;"!!!"),"NEW","")))</f>
        <v/>
      </c>
      <c r="G1583" s="22" t="str">
        <f aca="false"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3" t="str">
        <f aca="false">IF(J1583&lt;&gt;1,"",IF(I1583="SBJ","CB","?"))</f>
        <v/>
      </c>
      <c r="I1583" s="24" t="str">
        <f aca="false">IF(OR(E1583="",E1583="!!!",F1583="NEW"),"",INDEX(B$2:B1582,-1+SUMPRODUCT(MAX(ROW(E$2:E1582)*(E1583=E$2:E1582)))))</f>
        <v/>
      </c>
      <c r="J1583" s="24" t="str">
        <f aca="true">IF(OR(E1583="",E1583="!!!",F1583="NEW"),"",COUNTBLANK(OFFSET(A$1,,,SUMPRODUCT(MAX(ROW(E$2:E1583)*(E1583=E$2:E1583)))))-COUNTBLANK(OFFSET(A$1,,,SUMPRODUCT(MAX(ROW(E$1:E1582)*(E2=E$1:E1582))))))</f>
        <v/>
      </c>
      <c r="K1583" s="24" t="str">
        <f aca="false">IF(OR(E1583="",E1583="!!!",F1583="NEW"),"",INDEX(J$1:J1582,SUMPRODUCT(MAX(ROW(E$1:E1582)*(E1583=E$1:E1582)))))</f>
        <v/>
      </c>
      <c r="L1583" s="25"/>
    </row>
    <row r="1584" customFormat="false" ht="14.25" hidden="false" customHeight="false" outlineLevel="0" collapsed="false">
      <c r="A1584" s="0" t="s">
        <v>16</v>
      </c>
      <c r="E1584" s="20" t="str">
        <f aca="false">IF(D1584="?OLD","!!!","")</f>
        <v/>
      </c>
      <c r="F1584" s="21" t="str">
        <f aca="false">IF(OR(E1584="",E1584="!!!"),"",IF(NOT(ISNA(VLOOKUP(E1584,E$1:E1583,1,FALSE()))),"OLD",IF(AND(E1584&lt;&gt;"",E1584&lt;&gt;"!!!"),"NEW","")))</f>
        <v/>
      </c>
      <c r="G1584" s="22" t="str">
        <f aca="false"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3" t="str">
        <f aca="false">IF(J1584&lt;&gt;1,"",IF(I1584="SBJ","CB","?"))</f>
        <v/>
      </c>
      <c r="I1584" s="24" t="str">
        <f aca="false">IF(OR(E1584="",E1584="!!!",F1584="NEW"),"",INDEX(B$2:B1583,-1+SUMPRODUCT(MAX(ROW(E$2:E1583)*(E1584=E$2:E1583)))))</f>
        <v/>
      </c>
      <c r="J1584" s="24" t="str">
        <f aca="true">IF(OR(E1584="",E1584="!!!",F1584="NEW"),"",COUNTBLANK(OFFSET(A$1,,,SUMPRODUCT(MAX(ROW(E$2:E1584)*(E1584=E$2:E1584)))))-COUNTBLANK(OFFSET(A$1,,,SUMPRODUCT(MAX(ROW(E$1:E1583)*(E2=E$1:E1583))))))</f>
        <v/>
      </c>
      <c r="K1584" s="24" t="str">
        <f aca="false">IF(OR(E1584="",E1584="!!!",F1584="NEW"),"",INDEX(J$1:J1583,SUMPRODUCT(MAX(ROW(E$1:E1583)*(E1584=E$1:E1583)))))</f>
        <v/>
      </c>
      <c r="L1584" s="25"/>
    </row>
    <row r="1585" customFormat="false" ht="14.25" hidden="false" customHeight="false" outlineLevel="0" collapsed="false">
      <c r="A1585" s="0" t="s">
        <v>282</v>
      </c>
      <c r="B1585" s="26" t="s">
        <v>560</v>
      </c>
      <c r="C1585" s="26" t="s">
        <v>283</v>
      </c>
      <c r="D1585" s="26" t="s">
        <v>75</v>
      </c>
      <c r="E1585" s="20"/>
      <c r="F1585" s="21" t="str">
        <f aca="false">IF(OR(E1585="",E1585="!!!"),"",IF(NOT(ISNA(VLOOKUP(E1585,E$1:E1584,1,FALSE()))),"OLD",IF(AND(E1585&lt;&gt;"",E1585&lt;&gt;"!!!"),"NEW","")))</f>
        <v/>
      </c>
      <c r="G1585" s="22" t="str">
        <f aca="false"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3" t="str">
        <f aca="false">IF(J1585&lt;&gt;1,"",IF(I1585="SBJ","CB","?"))</f>
        <v/>
      </c>
      <c r="I1585" s="24" t="str">
        <f aca="false">IF(OR(E1585="",E1585="!!!",F1585="NEW"),"",INDEX(B$2:B1584,-1+SUMPRODUCT(MAX(ROW(E$2:E1584)*(E1585=E$2:E1584)))))</f>
        <v/>
      </c>
      <c r="J1585" s="24" t="str">
        <f aca="true">IF(OR(E1585="",E1585="!!!",F1585="NEW"),"",COUNTBLANK(OFFSET(A$1,,,SUMPRODUCT(MAX(ROW(E$2:E1585)*(E1585=E$2:E1585)))))-COUNTBLANK(OFFSET(A$1,,,SUMPRODUCT(MAX(ROW(E$1:E1584)*(E2=E$1:E1584))))))</f>
        <v/>
      </c>
      <c r="K1585" s="24" t="str">
        <f aca="false">IF(OR(E1585="",E1585="!!!",F1585="NEW"),"",INDEX(J$1:J1584,SUMPRODUCT(MAX(ROW(E$1:E1584)*(E1585=E$1:E1584)))))</f>
        <v/>
      </c>
      <c r="L1585" s="27" t="s">
        <v>541</v>
      </c>
    </row>
    <row r="1586" customFormat="false" ht="14.25" hidden="false" customHeight="false" outlineLevel="0" collapsed="false">
      <c r="A1586" s="0" t="s">
        <v>16</v>
      </c>
      <c r="E1586" s="20" t="str">
        <f aca="false">IF(D1586="?OLD","!!!","")</f>
        <v/>
      </c>
      <c r="F1586" s="21" t="str">
        <f aca="false">IF(OR(E1586="",E1586="!!!"),"",IF(NOT(ISNA(VLOOKUP(E1586,E$1:E1585,1,FALSE()))),"OLD",IF(AND(E1586&lt;&gt;"",E1586&lt;&gt;"!!!"),"NEW","")))</f>
        <v/>
      </c>
      <c r="G1586" s="22" t="str">
        <f aca="false"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3" t="str">
        <f aca="false">IF(J1586&lt;&gt;1,"",IF(I1586="SBJ","CB","?"))</f>
        <v/>
      </c>
      <c r="I1586" s="24" t="str">
        <f aca="false">IF(OR(E1586="",E1586="!!!",F1586="NEW"),"",INDEX(B$2:B1585,-1+SUMPRODUCT(MAX(ROW(E$2:E1585)*(E1586=E$2:E1585)))))</f>
        <v/>
      </c>
      <c r="J1586" s="24" t="str">
        <f aca="true">IF(OR(E1586="",E1586="!!!",F1586="NEW"),"",COUNTBLANK(OFFSET(A$1,,,SUMPRODUCT(MAX(ROW(E$2:E1586)*(E1586=E$2:E1586)))))-COUNTBLANK(OFFSET(A$1,,,SUMPRODUCT(MAX(ROW(E$1:E1585)*(E2=E$1:E1585))))))</f>
        <v/>
      </c>
      <c r="K1586" s="24" t="str">
        <f aca="false">IF(OR(E1586="",E1586="!!!",F1586="NEW"),"",INDEX(J$1:J1585,SUMPRODUCT(MAX(ROW(E$1:E1585)*(E1586=E$1:E1585)))))</f>
        <v/>
      </c>
      <c r="L1586" s="25"/>
    </row>
    <row r="1587" customFormat="false" ht="14.25" hidden="false" customHeight="false" outlineLevel="0" collapsed="false">
      <c r="A1587" s="0" t="s">
        <v>938</v>
      </c>
      <c r="E1587" s="20" t="s">
        <v>939</v>
      </c>
      <c r="F1587" s="21" t="str">
        <f aca="false">IF(OR(E1587="",E1587="!!!"),"",IF(NOT(ISNA(VLOOKUP(E1587,E$1:E1586,1,FALSE()))),"OLD",IF(AND(E1587&lt;&gt;"",E1587&lt;&gt;"!!!"),"NEW","")))</f>
        <v>NEW</v>
      </c>
      <c r="G1587" s="22" t="str">
        <f aca="false"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?REFERENTIAL</v>
      </c>
      <c r="H1587" s="23" t="str">
        <f aca="false">IF(J1587&lt;&gt;1,"",IF(I1587="SBJ","CB","?"))</f>
        <v/>
      </c>
      <c r="I1587" s="24" t="str">
        <f aca="false">IF(OR(E1587="",E1587="!!!",F1587="NEW"),"",INDEX(B$2:B1586,-1+SUMPRODUCT(MAX(ROW(E$2:E1586)*(E1587=E$2:E1586)))))</f>
        <v/>
      </c>
      <c r="J1587" s="24" t="str">
        <f aca="true">IF(OR(E1587="",E1587="!!!",F1587="NEW"),"",COUNTBLANK(OFFSET(A$1,,,SUMPRODUCT(MAX(ROW(E$2:E1587)*(E1587=E$2:E1587)))))-COUNTBLANK(OFFSET(A$1,,,SUMPRODUCT(MAX(ROW(E$1:E1586)*(E2=E$1:E1586))))))</f>
        <v/>
      </c>
      <c r="K1587" s="24" t="str">
        <f aca="false">IF(OR(E1587="",E1587="!!!",F1587="NEW"),"",INDEX(J$1:J1586,SUMPRODUCT(MAX(ROW(E$1:E1586)*(E1587=E$1:E1586)))))</f>
        <v/>
      </c>
      <c r="L1587" s="25"/>
    </row>
    <row r="1588" customFormat="false" ht="14.25" hidden="false" customHeight="false" outlineLevel="0" collapsed="false">
      <c r="A1588" s="0" t="s">
        <v>940</v>
      </c>
      <c r="E1588" s="20" t="str">
        <f aca="false">IF(D1588="?OLD","!!!","")</f>
        <v/>
      </c>
      <c r="F1588" s="21" t="str">
        <f aca="false">IF(OR(E1588="",E1588="!!!"),"",IF(NOT(ISNA(VLOOKUP(E1588,E$1:E1587,1,FALSE()))),"OLD",IF(AND(E1588&lt;&gt;"",E1588&lt;&gt;"!!!"),"NEW","")))</f>
        <v/>
      </c>
      <c r="G1588" s="22" t="str">
        <f aca="false"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3" t="str">
        <f aca="false">IF(J1588&lt;&gt;1,"",IF(I1588="SBJ","CB","?"))</f>
        <v/>
      </c>
      <c r="I1588" s="24" t="str">
        <f aca="false">IF(OR(E1588="",E1588="!!!",F1588="NEW"),"",INDEX(B$2:B1587,-1+SUMPRODUCT(MAX(ROW(E$2:E1587)*(E1588=E$2:E1587)))))</f>
        <v/>
      </c>
      <c r="J1588" s="24" t="str">
        <f aca="true">IF(OR(E1588="",E1588="!!!",F1588="NEW"),"",COUNTBLANK(OFFSET(A$1,,,SUMPRODUCT(MAX(ROW(E$2:E1588)*(E1588=E$2:E1588)))))-COUNTBLANK(OFFSET(A$1,,,SUMPRODUCT(MAX(ROW(E$1:E1587)*(E2=E$1:E1587))))))</f>
        <v/>
      </c>
      <c r="K1588" s="24" t="str">
        <f aca="false">IF(OR(E1588="",E1588="!!!",F1588="NEW"),"",INDEX(J$1:J1587,SUMPRODUCT(MAX(ROW(E$1:E1587)*(E1588=E$1:E1587)))))</f>
        <v/>
      </c>
      <c r="L1588" s="25"/>
    </row>
    <row r="1589" customFormat="false" ht="14.25" hidden="false" customHeight="false" outlineLevel="0" collapsed="false">
      <c r="A1589" s="0" t="s">
        <v>142</v>
      </c>
      <c r="E1589" s="20" t="str">
        <f aca="false">IF(D1589="?OLD","!!!","")</f>
        <v/>
      </c>
      <c r="F1589" s="21" t="str">
        <f aca="false">IF(OR(E1589="",E1589="!!!"),"",IF(NOT(ISNA(VLOOKUP(E1589,E$1:E1588,1,FALSE()))),"OLD",IF(AND(E1589&lt;&gt;"",E1589&lt;&gt;"!!!"),"NEW","")))</f>
        <v/>
      </c>
      <c r="G1589" s="22" t="str">
        <f aca="false"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3" t="str">
        <f aca="false">IF(J1589&lt;&gt;1,"",IF(I1589="SBJ","CB","?"))</f>
        <v/>
      </c>
      <c r="I1589" s="24" t="str">
        <f aca="false">IF(OR(E1589="",E1589="!!!",F1589="NEW"),"",INDEX(B$2:B1588,-1+SUMPRODUCT(MAX(ROW(E$2:E1588)*(E1589=E$2:E1588)))))</f>
        <v/>
      </c>
      <c r="J1589" s="24" t="str">
        <f aca="true">IF(OR(E1589="",E1589="!!!",F1589="NEW"),"",COUNTBLANK(OFFSET(A$1,,,SUMPRODUCT(MAX(ROW(E$2:E1589)*(E1589=E$2:E1589)))))-COUNTBLANK(OFFSET(A$1,,,SUMPRODUCT(MAX(ROW(E$1:E1588)*(E2=E$1:E1588))))))</f>
        <v/>
      </c>
      <c r="K1589" s="24" t="str">
        <f aca="false">IF(OR(E1589="",E1589="!!!",F1589="NEW"),"",INDEX(J$1:J1588,SUMPRODUCT(MAX(ROW(E$1:E1588)*(E1589=E$1:E1588)))))</f>
        <v/>
      </c>
      <c r="L1589" s="25"/>
    </row>
    <row r="1590" customFormat="false" ht="14.25" hidden="false" customHeight="false" outlineLevel="0" collapsed="false">
      <c r="A1590" s="0" t="s">
        <v>116</v>
      </c>
      <c r="E1590" s="20" t="str">
        <f aca="false">IF(D1590="?OLD","!!!","")</f>
        <v/>
      </c>
      <c r="F1590" s="21" t="str">
        <f aca="false">IF(OR(E1590="",E1590="!!!"),"",IF(NOT(ISNA(VLOOKUP(E1590,E$1:E1589,1,FALSE()))),"OLD",IF(AND(E1590&lt;&gt;"",E1590&lt;&gt;"!!!"),"NEW","")))</f>
        <v/>
      </c>
      <c r="G1590" s="22" t="str">
        <f aca="false"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3" t="str">
        <f aca="false">IF(J1590&lt;&gt;1,"",IF(I1590="SBJ","CB","?"))</f>
        <v/>
      </c>
      <c r="I1590" s="24" t="str">
        <f aca="false">IF(OR(E1590="",E1590="!!!",F1590="NEW"),"",INDEX(B$2:B1589,-1+SUMPRODUCT(MAX(ROW(E$2:E1589)*(E1590=E$2:E1589)))))</f>
        <v/>
      </c>
      <c r="J1590" s="24" t="str">
        <f aca="true">IF(OR(E1590="",E1590="!!!",F1590="NEW"),"",COUNTBLANK(OFFSET(A$1,,,SUMPRODUCT(MAX(ROW(E$2:E1590)*(E1590=E$2:E1590)))))-COUNTBLANK(OFFSET(A$1,,,SUMPRODUCT(MAX(ROW(E$1:E1589)*(E2=E$1:E1589))))))</f>
        <v/>
      </c>
      <c r="K1590" s="24" t="str">
        <f aca="false">IF(OR(E1590="",E1590="!!!",F1590="NEW"),"",INDEX(J$1:J1589,SUMPRODUCT(MAX(ROW(E$1:E1589)*(E1590=E$1:E1589)))))</f>
        <v/>
      </c>
      <c r="L1590" s="25"/>
    </row>
    <row r="1591" customFormat="false" ht="14.25" hidden="false" customHeight="false" outlineLevel="0" collapsed="false">
      <c r="A1591" s="0" t="s">
        <v>941</v>
      </c>
      <c r="E1591" s="20" t="str">
        <f aca="false">IF(D1591="?OLD","!!!","")</f>
        <v/>
      </c>
      <c r="F1591" s="21" t="str">
        <f aca="false">IF(OR(E1591="",E1591="!!!"),"",IF(NOT(ISNA(VLOOKUP(E1591,E$1:E1590,1,FALSE()))),"OLD",IF(AND(E1591&lt;&gt;"",E1591&lt;&gt;"!!!"),"NEW","")))</f>
        <v/>
      </c>
      <c r="G1591" s="22" t="str">
        <f aca="false"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3" t="str">
        <f aca="false">IF(J1591&lt;&gt;1,"",IF(I1591="SBJ","CB","?"))</f>
        <v/>
      </c>
      <c r="I1591" s="24" t="str">
        <f aca="false">IF(OR(E1591="",E1591="!!!",F1591="NEW"),"",INDEX(B$2:B1590,-1+SUMPRODUCT(MAX(ROW(E$2:E1590)*(E1591=E$2:E1590)))))</f>
        <v/>
      </c>
      <c r="J1591" s="24" t="str">
        <f aca="true">IF(OR(E1591="",E1591="!!!",F1591="NEW"),"",COUNTBLANK(OFFSET(A$1,,,SUMPRODUCT(MAX(ROW(E$2:E1591)*(E1591=E$2:E1591)))))-COUNTBLANK(OFFSET(A$1,,,SUMPRODUCT(MAX(ROW(E$1:E1590)*(E2=E$1:E1590))))))</f>
        <v/>
      </c>
      <c r="K1591" s="24" t="str">
        <f aca="false">IF(OR(E1591="",E1591="!!!",F1591="NEW"),"",INDEX(J$1:J1590,SUMPRODUCT(MAX(ROW(E$1:E1590)*(E1591=E$1:E1590)))))</f>
        <v/>
      </c>
      <c r="L1591" s="25"/>
    </row>
    <row r="1592" customFormat="false" ht="14.25" hidden="false" customHeight="false" outlineLevel="0" collapsed="false">
      <c r="A1592" s="0" t="s">
        <v>78</v>
      </c>
      <c r="E1592" s="20" t="str">
        <f aca="false">IF(D1592="?OLD","!!!","")</f>
        <v/>
      </c>
      <c r="F1592" s="21" t="str">
        <f aca="false">IF(OR(E1592="",E1592="!!!"),"",IF(NOT(ISNA(VLOOKUP(E1592,E$1:E1591,1,FALSE()))),"OLD",IF(AND(E1592&lt;&gt;"",E1592&lt;&gt;"!!!"),"NEW","")))</f>
        <v/>
      </c>
      <c r="G1592" s="22" t="str">
        <f aca="false"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3" t="str">
        <f aca="false">IF(J1592&lt;&gt;1,"",IF(I1592="SBJ","CB","?"))</f>
        <v/>
      </c>
      <c r="I1592" s="24" t="str">
        <f aca="false">IF(OR(E1592="",E1592="!!!",F1592="NEW"),"",INDEX(B$2:B1591,-1+SUMPRODUCT(MAX(ROW(E$2:E1591)*(E1592=E$2:E1591)))))</f>
        <v/>
      </c>
      <c r="J1592" s="24" t="str">
        <f aca="true">IF(OR(E1592="",E1592="!!!",F1592="NEW"),"",COUNTBLANK(OFFSET(A$1,,,SUMPRODUCT(MAX(ROW(E$2:E1592)*(E1592=E$2:E1592)))))-COUNTBLANK(OFFSET(A$1,,,SUMPRODUCT(MAX(ROW(E$1:E1591)*(E2=E$1:E1591))))))</f>
        <v/>
      </c>
      <c r="K1592" s="24" t="str">
        <f aca="false">IF(OR(E1592="",E1592="!!!",F1592="NEW"),"",INDEX(J$1:J1591,SUMPRODUCT(MAX(ROW(E$1:E1591)*(E1592=E$1:E1591)))))</f>
        <v/>
      </c>
      <c r="L1592" s="25"/>
    </row>
    <row r="1593" customFormat="false" ht="14.25" hidden="false" customHeight="false" outlineLevel="0" collapsed="false">
      <c r="A1593" s="0" t="s">
        <v>455</v>
      </c>
      <c r="E1593" s="20" t="str">
        <f aca="false">IF(D1593="?OLD","!!!","")</f>
        <v/>
      </c>
      <c r="F1593" s="21" t="str">
        <f aca="false">IF(OR(E1593="",E1593="!!!"),"",IF(NOT(ISNA(VLOOKUP(E1593,E$1:E1592,1,FALSE()))),"OLD",IF(AND(E1593&lt;&gt;"",E1593&lt;&gt;"!!!"),"NEW","")))</f>
        <v/>
      </c>
      <c r="G1593" s="22" t="str">
        <f aca="false"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3" t="str">
        <f aca="false">IF(J1593&lt;&gt;1,"",IF(I1593="SBJ","CB","?"))</f>
        <v/>
      </c>
      <c r="I1593" s="24" t="str">
        <f aca="false">IF(OR(E1593="",E1593="!!!",F1593="NEW"),"",INDEX(B$2:B1592,-1+SUMPRODUCT(MAX(ROW(E$2:E1592)*(E1593=E$2:E1592)))))</f>
        <v/>
      </c>
      <c r="J1593" s="24" t="str">
        <f aca="true">IF(OR(E1593="",E1593="!!!",F1593="NEW"),"",COUNTBLANK(OFFSET(A$1,,,SUMPRODUCT(MAX(ROW(E$2:E1593)*(E1593=E$2:E1593)))))-COUNTBLANK(OFFSET(A$1,,,SUMPRODUCT(MAX(ROW(E$1:E1592)*(E2=E$1:E1592))))))</f>
        <v/>
      </c>
      <c r="K1593" s="24" t="str">
        <f aca="false">IF(OR(E1593="",E1593="!!!",F1593="NEW"),"",INDEX(J$1:J1592,SUMPRODUCT(MAX(ROW(E$1:E1592)*(E1593=E$1:E1592)))))</f>
        <v/>
      </c>
      <c r="L1593" s="25"/>
    </row>
    <row r="1594" customFormat="false" ht="14.25" hidden="false" customHeight="false" outlineLevel="0" collapsed="false">
      <c r="A1594" s="0" t="s">
        <v>444</v>
      </c>
      <c r="E1594" s="20" t="str">
        <f aca="false">IF(D1594="?OLD","!!!","")</f>
        <v/>
      </c>
      <c r="F1594" s="21" t="str">
        <f aca="false">IF(OR(E1594="",E1594="!!!"),"",IF(NOT(ISNA(VLOOKUP(E1594,E$1:E1593,1,FALSE()))),"OLD",IF(AND(E1594&lt;&gt;"",E1594&lt;&gt;"!!!"),"NEW","")))</f>
        <v/>
      </c>
      <c r="G1594" s="22" t="str">
        <f aca="false"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3" t="str">
        <f aca="false">IF(J1594&lt;&gt;1,"",IF(I1594="SBJ","CB","?"))</f>
        <v/>
      </c>
      <c r="I1594" s="24" t="str">
        <f aca="false">IF(OR(E1594="",E1594="!!!",F1594="NEW"),"",INDEX(B$2:B1593,-1+SUMPRODUCT(MAX(ROW(E$2:E1593)*(E1594=E$2:E1593)))))</f>
        <v/>
      </c>
      <c r="J1594" s="24" t="str">
        <f aca="true">IF(OR(E1594="",E1594="!!!",F1594="NEW"),"",COUNTBLANK(OFFSET(A$1,,,SUMPRODUCT(MAX(ROW(E$2:E1594)*(E1594=E$2:E1594)))))-COUNTBLANK(OFFSET(A$1,,,SUMPRODUCT(MAX(ROW(E$1:E1593)*(E2=E$1:E1593))))))</f>
        <v/>
      </c>
      <c r="K1594" s="24" t="str">
        <f aca="false">IF(OR(E1594="",E1594="!!!",F1594="NEW"),"",INDEX(J$1:J1593,SUMPRODUCT(MAX(ROW(E$1:E1593)*(E1594=E$1:E1593)))))</f>
        <v/>
      </c>
      <c r="L1594" s="25"/>
    </row>
    <row r="1595" customFormat="false" ht="14.25" hidden="false" customHeight="false" outlineLevel="0" collapsed="false">
      <c r="A1595" s="0" t="s">
        <v>123</v>
      </c>
      <c r="B1595" s="26" t="s">
        <v>560</v>
      </c>
      <c r="C1595" s="26" t="s">
        <v>88</v>
      </c>
      <c r="D1595" s="26" t="s">
        <v>75</v>
      </c>
      <c r="E1595" s="20" t="s">
        <v>939</v>
      </c>
      <c r="F1595" s="21" t="str">
        <f aca="false">IF(OR(E1595="",E1595="!!!"),"",IF(NOT(ISNA(VLOOKUP(E1595,E$1:E1594,1,FALSE()))),"OLD",IF(AND(E1595&lt;&gt;"",E1595&lt;&gt;"!!!"),"NEW","")))</f>
        <v>OLD</v>
      </c>
      <c r="G1595" s="22" t="str">
        <f aca="false"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?IN_FOCUS</v>
      </c>
      <c r="H1595" s="23" t="str">
        <f aca="false">IF(J1595&lt;&gt;1,"",IF(I1595="SBJ","CB","?"))</f>
        <v/>
      </c>
      <c r="I1595" s="24" t="n">
        <f aca="false">IF(OR(E1595="",E1595="!!!",F1595="NEW"),"",INDEX(B$2:B1594,-1+SUMPRODUCT(MAX(ROW(E$2:E1594)*(E1595=E$2:E1594)))))</f>
        <v>0</v>
      </c>
      <c r="J1595" s="24" t="n">
        <f aca="true">IF(OR(E1595="",E1595="!!!",F1595="NEW"),"",COUNTBLANK(OFFSET(A$1,,,SUMPRODUCT(MAX(ROW(E$2:E1595)*(E1595=E$2:E1595)))))-COUNTBLANK(OFFSET(A$1,,,SUMPRODUCT(MAX(ROW(E$1:E1594)*(E2=E$1:E1594))))))</f>
        <v>0</v>
      </c>
      <c r="K1595" s="24" t="str">
        <f aca="false">IF(OR(E1595="",E1595="!!!",F1595="NEW"),"",INDEX(J$1:J1594,SUMPRODUCT(MAX(ROW(E$1:E1594)*(E1595=E$1:E1594)))))</f>
        <v/>
      </c>
      <c r="L1595" s="25"/>
    </row>
    <row r="1596" customFormat="false" ht="14.25" hidden="false" customHeight="false" outlineLevel="0" collapsed="false">
      <c r="A1596" s="0" t="s">
        <v>462</v>
      </c>
      <c r="E1596" s="20" t="str">
        <f aca="false">IF(D1596="?OLD","!!!","")</f>
        <v/>
      </c>
      <c r="F1596" s="21" t="str">
        <f aca="false">IF(OR(E1596="",E1596="!!!"),"",IF(NOT(ISNA(VLOOKUP(E1596,E$1:E1595,1,FALSE()))),"OLD",IF(AND(E1596&lt;&gt;"",E1596&lt;&gt;"!!!"),"NEW","")))</f>
        <v/>
      </c>
      <c r="G1596" s="22" t="str">
        <f aca="false"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3" t="str">
        <f aca="false">IF(J1596&lt;&gt;1,"",IF(I1596="SBJ","CB","?"))</f>
        <v/>
      </c>
      <c r="I1596" s="24" t="str">
        <f aca="false">IF(OR(E1596="",E1596="!!!",F1596="NEW"),"",INDEX(B$2:B1595,-1+SUMPRODUCT(MAX(ROW(E$2:E1595)*(E1596=E$2:E1595)))))</f>
        <v/>
      </c>
      <c r="J1596" s="24" t="str">
        <f aca="true">IF(OR(E1596="",E1596="!!!",F1596="NEW"),"",COUNTBLANK(OFFSET(A$1,,,SUMPRODUCT(MAX(ROW(E$2:E1596)*(E1596=E$2:E1596)))))-COUNTBLANK(OFFSET(A$1,,,SUMPRODUCT(MAX(ROW(E$1:E1595)*(E2=E$1:E1595))))))</f>
        <v/>
      </c>
      <c r="K1596" s="24" t="str">
        <f aca="false">IF(OR(E1596="",E1596="!!!",F1596="NEW"),"",INDEX(J$1:J1595,SUMPRODUCT(MAX(ROW(E$1:E1595)*(E1596=E$1:E1595)))))</f>
        <v/>
      </c>
      <c r="L1596" s="25"/>
    </row>
    <row r="1597" customFormat="false" ht="14.25" hidden="false" customHeight="false" outlineLevel="0" collapsed="false">
      <c r="A1597" s="0" t="s">
        <v>942</v>
      </c>
      <c r="E1597" s="20" t="str">
        <f aca="false">IF(D1597="?OLD","!!!","")</f>
        <v/>
      </c>
      <c r="F1597" s="21" t="str">
        <f aca="false">IF(OR(E1597="",E1597="!!!"),"",IF(NOT(ISNA(VLOOKUP(E1597,E$1:E1596,1,FALSE()))),"OLD",IF(AND(E1597&lt;&gt;"",E1597&lt;&gt;"!!!"),"NEW","")))</f>
        <v/>
      </c>
      <c r="G1597" s="22" t="str">
        <f aca="false"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/>
      </c>
      <c r="H1597" s="23" t="str">
        <f aca="false">IF(J1597&lt;&gt;1,"",IF(I1597="SBJ","CB","?"))</f>
        <v/>
      </c>
      <c r="I1597" s="24" t="str">
        <f aca="false">IF(OR(E1597="",E1597="!!!",F1597="NEW"),"",INDEX(B$2:B1596,-1+SUMPRODUCT(MAX(ROW(E$2:E1596)*(E1597=E$2:E1596)))))</f>
        <v/>
      </c>
      <c r="J1597" s="24" t="str">
        <f aca="true">IF(OR(E1597="",E1597="!!!",F1597="NEW"),"",COUNTBLANK(OFFSET(A$1,,,SUMPRODUCT(MAX(ROW(E$2:E1597)*(E1597=E$2:E1597)))))-COUNTBLANK(OFFSET(A$1,,,SUMPRODUCT(MAX(ROW(E$1:E1596)*(E2=E$1:E1596))))))</f>
        <v/>
      </c>
      <c r="K1597" s="24" t="str">
        <f aca="false">IF(OR(E1597="",E1597="!!!",F1597="NEW"),"",INDEX(J$1:J1596,SUMPRODUCT(MAX(ROW(E$1:E1596)*(E1597=E$1:E1596)))))</f>
        <v/>
      </c>
      <c r="L1597" s="25"/>
    </row>
    <row r="1598" customFormat="false" ht="14.25" hidden="false" customHeight="false" outlineLevel="0" collapsed="false">
      <c r="A1598" s="0" t="s">
        <v>259</v>
      </c>
      <c r="E1598" s="20" t="str">
        <f aca="false">IF(D1598="?OLD","!!!","")</f>
        <v/>
      </c>
      <c r="F1598" s="21" t="str">
        <f aca="false">IF(OR(E1598="",E1598="!!!"),"",IF(NOT(ISNA(VLOOKUP(E1598,E$1:E1597,1,FALSE()))),"OLD",IF(AND(E1598&lt;&gt;"",E1598&lt;&gt;"!!!"),"NEW","")))</f>
        <v/>
      </c>
      <c r="G1598" s="22" t="str">
        <f aca="false"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3" t="str">
        <f aca="false">IF(J1598&lt;&gt;1,"",IF(I1598="SBJ","CB","?"))</f>
        <v/>
      </c>
      <c r="I1598" s="24" t="str">
        <f aca="false">IF(OR(E1598="",E1598="!!!",F1598="NEW"),"",INDEX(B$2:B1597,-1+SUMPRODUCT(MAX(ROW(E$2:E1597)*(E1598=E$2:E1597)))))</f>
        <v/>
      </c>
      <c r="J1598" s="24" t="str">
        <f aca="true">IF(OR(E1598="",E1598="!!!",F1598="NEW"),"",COUNTBLANK(OFFSET(A$1,,,SUMPRODUCT(MAX(ROW(E$2:E1598)*(E1598=E$2:E1598)))))-COUNTBLANK(OFFSET(A$1,,,SUMPRODUCT(MAX(ROW(E$1:E1597)*(E2=E$1:E1597))))))</f>
        <v/>
      </c>
      <c r="K1598" s="24" t="str">
        <f aca="false">IF(OR(E1598="",E1598="!!!",F1598="NEW"),"",INDEX(J$1:J1597,SUMPRODUCT(MAX(ROW(E$1:E1597)*(E1598=E$1:E1597)))))</f>
        <v/>
      </c>
      <c r="L1598" s="25"/>
    </row>
    <row r="1599" customFormat="false" ht="14.25" hidden="false" customHeight="false" outlineLevel="0" collapsed="false">
      <c r="A1599" s="0" t="s">
        <v>943</v>
      </c>
      <c r="E1599" s="20" t="str">
        <f aca="false">IF(D1599="?OLD","!!!","")</f>
        <v/>
      </c>
      <c r="F1599" s="21" t="str">
        <f aca="false">IF(OR(E1599="",E1599="!!!"),"",IF(NOT(ISNA(VLOOKUP(E1599,E$1:E1598,1,FALSE()))),"OLD",IF(AND(E1599&lt;&gt;"",E1599&lt;&gt;"!!!"),"NEW","")))</f>
        <v/>
      </c>
      <c r="G1599" s="22" t="str">
        <f aca="false"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3" t="str">
        <f aca="false">IF(J1599&lt;&gt;1,"",IF(I1599="SBJ","CB","?"))</f>
        <v/>
      </c>
      <c r="I1599" s="24" t="str">
        <f aca="false">IF(OR(E1599="",E1599="!!!",F1599="NEW"),"",INDEX(B$2:B1598,-1+SUMPRODUCT(MAX(ROW(E$2:E1598)*(E1599=E$2:E1598)))))</f>
        <v/>
      </c>
      <c r="J1599" s="24" t="str">
        <f aca="true">IF(OR(E1599="",E1599="!!!",F1599="NEW"),"",COUNTBLANK(OFFSET(A$1,,,SUMPRODUCT(MAX(ROW(E$2:E1599)*(E1599=E$2:E1599)))))-COUNTBLANK(OFFSET(A$1,,,SUMPRODUCT(MAX(ROW(E$1:E1598)*(E2=E$1:E1598))))))</f>
        <v/>
      </c>
      <c r="K1599" s="24" t="str">
        <f aca="false">IF(OR(E1599="",E1599="!!!",F1599="NEW"),"",INDEX(J$1:J1598,SUMPRODUCT(MAX(ROW(E$1:E1598)*(E1599=E$1:E1598)))))</f>
        <v/>
      </c>
      <c r="L1599" s="25"/>
    </row>
    <row r="1600" customFormat="false" ht="14.25" hidden="false" customHeight="false" outlineLevel="0" collapsed="false">
      <c r="A1600" s="0" t="s">
        <v>944</v>
      </c>
      <c r="B1600" s="26" t="s">
        <v>424</v>
      </c>
      <c r="C1600" s="26" t="s">
        <v>105</v>
      </c>
      <c r="E1600" s="20" t="str">
        <f aca="false">IF(D1600="?OLD","!!!","")</f>
        <v/>
      </c>
      <c r="F1600" s="21" t="str">
        <f aca="false">IF(OR(E1600="",E1600="!!!"),"",IF(NOT(ISNA(VLOOKUP(E1600,E$1:E1599,1,FALSE()))),"OLD",IF(AND(E1600&lt;&gt;"",E1600&lt;&gt;"!!!"),"NEW","")))</f>
        <v/>
      </c>
      <c r="G1600" s="22" t="str">
        <f aca="false"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3" t="str">
        <f aca="false">IF(J1600&lt;&gt;1,"",IF(I1600="SBJ","CB","?"))</f>
        <v/>
      </c>
      <c r="I1600" s="24" t="str">
        <f aca="false">IF(OR(E1600="",E1600="!!!",F1600="NEW"),"",INDEX(B$2:B1599,-1+SUMPRODUCT(MAX(ROW(E$2:E1599)*(E1600=E$2:E1599)))))</f>
        <v/>
      </c>
      <c r="J1600" s="24" t="str">
        <f aca="true">IF(OR(E1600="",E1600="!!!",F1600="NEW"),"",COUNTBLANK(OFFSET(A$1,,,SUMPRODUCT(MAX(ROW(E$2:E1600)*(E1600=E$2:E1600)))))-COUNTBLANK(OFFSET(A$1,,,SUMPRODUCT(MAX(ROW(E$1:E1599)*(E2=E$1:E1599))))))</f>
        <v/>
      </c>
      <c r="K1600" s="24" t="str">
        <f aca="false">IF(OR(E1600="",E1600="!!!",F1600="NEW"),"",INDEX(J$1:J1599,SUMPRODUCT(MAX(ROW(E$1:E1599)*(E1600=E$1:E1599)))))</f>
        <v/>
      </c>
      <c r="L1600" s="25"/>
    </row>
    <row r="1601" customFormat="false" ht="14.25" hidden="false" customHeight="false" outlineLevel="0" collapsed="false">
      <c r="A1601" s="0" t="s">
        <v>497</v>
      </c>
      <c r="E1601" s="20" t="str">
        <f aca="false">IF(D1601="?OLD","!!!","")</f>
        <v/>
      </c>
      <c r="F1601" s="21" t="str">
        <f aca="false">IF(OR(E1601="",E1601="!!!"),"",IF(NOT(ISNA(VLOOKUP(E1601,E$1:E1600,1,FALSE()))),"OLD",IF(AND(E1601&lt;&gt;"",E1601&lt;&gt;"!!!"),"NEW","")))</f>
        <v/>
      </c>
      <c r="G1601" s="22" t="str">
        <f aca="false"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3" t="str">
        <f aca="false">IF(J1601&lt;&gt;1,"",IF(I1601="SBJ","CB","?"))</f>
        <v/>
      </c>
      <c r="I1601" s="24" t="str">
        <f aca="false">IF(OR(E1601="",E1601="!!!",F1601="NEW"),"",INDEX(B$2:B1600,-1+SUMPRODUCT(MAX(ROW(E$2:E1600)*(E1601=E$2:E1600)))))</f>
        <v/>
      </c>
      <c r="J1601" s="24" t="str">
        <f aca="true">IF(OR(E1601="",E1601="!!!",F1601="NEW"),"",COUNTBLANK(OFFSET(A$1,,,SUMPRODUCT(MAX(ROW(E$2:E1601)*(E1601=E$2:E1601)))))-COUNTBLANK(OFFSET(A$1,,,SUMPRODUCT(MAX(ROW(E$1:E1600)*(E2=E$1:E1600))))))</f>
        <v/>
      </c>
      <c r="K1601" s="24" t="str">
        <f aca="false">IF(OR(E1601="",E1601="!!!",F1601="NEW"),"",INDEX(J$1:J1600,SUMPRODUCT(MAX(ROW(E$1:E1600)*(E1601=E$1:E1600)))))</f>
        <v/>
      </c>
      <c r="L1601" s="25"/>
    </row>
    <row r="1602" customFormat="false" ht="14.25" hidden="false" customHeight="false" outlineLevel="0" collapsed="false">
      <c r="A1602" s="0" t="s">
        <v>694</v>
      </c>
      <c r="E1602" s="20" t="str">
        <f aca="false">IF(D1602="?OLD","!!!","")</f>
        <v/>
      </c>
      <c r="F1602" s="21" t="str">
        <f aca="false">IF(OR(E1602="",E1602="!!!"),"",IF(NOT(ISNA(VLOOKUP(E1602,E$1:E1601,1,FALSE()))),"OLD",IF(AND(E1602&lt;&gt;"",E1602&lt;&gt;"!!!"),"NEW","")))</f>
        <v/>
      </c>
      <c r="G1602" s="22" t="str">
        <f aca="false"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/>
      </c>
      <c r="H1602" s="23" t="str">
        <f aca="false">IF(J1602&lt;&gt;1,"",IF(I1602="SBJ","CB","?"))</f>
        <v/>
      </c>
      <c r="I1602" s="24" t="str">
        <f aca="false">IF(OR(E1602="",E1602="!!!",F1602="NEW"),"",INDEX(B$2:B1601,-1+SUMPRODUCT(MAX(ROW(E$2:E1601)*(E1602=E$2:E1601)))))</f>
        <v/>
      </c>
      <c r="J1602" s="24" t="str">
        <f aca="true">IF(OR(E1602="",E1602="!!!",F1602="NEW"),"",COUNTBLANK(OFFSET(A$1,,,SUMPRODUCT(MAX(ROW(E$2:E1602)*(E1602=E$2:E1602)))))-COUNTBLANK(OFFSET(A$1,,,SUMPRODUCT(MAX(ROW(E$1:E1601)*(E2=E$1:E1601))))))</f>
        <v/>
      </c>
      <c r="K1602" s="24" t="str">
        <f aca="false">IF(OR(E1602="",E1602="!!!",F1602="NEW"),"",INDEX(J$1:J1601,SUMPRODUCT(MAX(ROW(E$1:E1601)*(E1602=E$1:E1601)))))</f>
        <v/>
      </c>
      <c r="L1602" s="25"/>
    </row>
    <row r="1603" customFormat="false" ht="14.25" hidden="false" customHeight="false" outlineLevel="0" collapsed="false">
      <c r="A1603" s="0" t="s">
        <v>945</v>
      </c>
      <c r="E1603" s="20" t="str">
        <f aca="false">IF(D1603="?OLD","!!!","")</f>
        <v/>
      </c>
      <c r="F1603" s="21" t="str">
        <f aca="false">IF(OR(E1603="",E1603="!!!"),"",IF(NOT(ISNA(VLOOKUP(E1603,E$1:E1602,1,FALSE()))),"OLD",IF(AND(E1603&lt;&gt;"",E1603&lt;&gt;"!!!"),"NEW","")))</f>
        <v/>
      </c>
      <c r="G1603" s="22" t="str">
        <f aca="false"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3" t="str">
        <f aca="false">IF(J1603&lt;&gt;1,"",IF(I1603="SBJ","CB","?"))</f>
        <v/>
      </c>
      <c r="I1603" s="24" t="str">
        <f aca="false">IF(OR(E1603="",E1603="!!!",F1603="NEW"),"",INDEX(B$2:B1602,-1+SUMPRODUCT(MAX(ROW(E$2:E1602)*(E1603=E$2:E1602)))))</f>
        <v/>
      </c>
      <c r="J1603" s="24" t="str">
        <f aca="true">IF(OR(E1603="",E1603="!!!",F1603="NEW"),"",COUNTBLANK(OFFSET(A$1,,,SUMPRODUCT(MAX(ROW(E$2:E1603)*(E1603=E$2:E1603)))))-COUNTBLANK(OFFSET(A$1,,,SUMPRODUCT(MAX(ROW(E$1:E1602)*(E2=E$1:E1602))))))</f>
        <v/>
      </c>
      <c r="K1603" s="24" t="str">
        <f aca="false">IF(OR(E1603="",E1603="!!!",F1603="NEW"),"",INDEX(J$1:J1602,SUMPRODUCT(MAX(ROW(E$1:E1602)*(E1603=E$1:E1602)))))</f>
        <v/>
      </c>
      <c r="L1603" s="25"/>
    </row>
    <row r="1604" customFormat="false" ht="14.25" hidden="false" customHeight="false" outlineLevel="0" collapsed="false">
      <c r="A1604" s="0" t="s">
        <v>935</v>
      </c>
      <c r="B1604" s="26" t="s">
        <v>422</v>
      </c>
      <c r="C1604" s="26" t="s">
        <v>341</v>
      </c>
      <c r="E1604" s="20" t="str">
        <f aca="false">IF(D1604="?OLD","!!!","")</f>
        <v/>
      </c>
      <c r="F1604" s="21" t="str">
        <f aca="false">IF(OR(E1604="",E1604="!!!"),"",IF(NOT(ISNA(VLOOKUP(E1604,E$1:E1603,1,FALSE()))),"OLD",IF(AND(E1604&lt;&gt;"",E1604&lt;&gt;"!!!"),"NEW","")))</f>
        <v/>
      </c>
      <c r="G1604" s="22" t="str">
        <f aca="false"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3" t="str">
        <f aca="false">IF(J1604&lt;&gt;1,"",IF(I1604="SBJ","CB","?"))</f>
        <v/>
      </c>
      <c r="I1604" s="24" t="str">
        <f aca="false">IF(OR(E1604="",E1604="!!!",F1604="NEW"),"",INDEX(B$2:B1603,-1+SUMPRODUCT(MAX(ROW(E$2:E1603)*(E1604=E$2:E1603)))))</f>
        <v/>
      </c>
      <c r="J1604" s="24" t="str">
        <f aca="true">IF(OR(E1604="",E1604="!!!",F1604="NEW"),"",COUNTBLANK(OFFSET(A$1,,,SUMPRODUCT(MAX(ROW(E$2:E1604)*(E1604=E$2:E1604)))))-COUNTBLANK(OFFSET(A$1,,,SUMPRODUCT(MAX(ROW(E$1:E1603)*(E2=E$1:E1603))))))</f>
        <v/>
      </c>
      <c r="K1604" s="24" t="str">
        <f aca="false">IF(OR(E1604="",E1604="!!!",F1604="NEW"),"",INDEX(J$1:J1603,SUMPRODUCT(MAX(ROW(E$1:E1603)*(E1604=E$1:E1603)))))</f>
        <v/>
      </c>
      <c r="L1604" s="25"/>
    </row>
    <row r="1605" customFormat="false" ht="14.25" hidden="false" customHeight="false" outlineLevel="0" collapsed="false">
      <c r="A1605" s="0" t="s">
        <v>241</v>
      </c>
      <c r="E1605" s="20" t="str">
        <f aca="false">IF(D1605="?OLD","!!!","")</f>
        <v/>
      </c>
      <c r="F1605" s="21" t="str">
        <f aca="false">IF(OR(E1605="",E1605="!!!"),"",IF(NOT(ISNA(VLOOKUP(E1605,E$1:E1604,1,FALSE()))),"OLD",IF(AND(E1605&lt;&gt;"",E1605&lt;&gt;"!!!"),"NEW","")))</f>
        <v/>
      </c>
      <c r="G1605" s="22" t="str">
        <f aca="false"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3" t="str">
        <f aca="false">IF(J1605&lt;&gt;1,"",IF(I1605="SBJ","CB","?"))</f>
        <v/>
      </c>
      <c r="I1605" s="24" t="str">
        <f aca="false">IF(OR(E1605="",E1605="!!!",F1605="NEW"),"",INDEX(B$2:B1604,-1+SUMPRODUCT(MAX(ROW(E$2:E1604)*(E1605=E$2:E1604)))))</f>
        <v/>
      </c>
      <c r="J1605" s="24" t="str">
        <f aca="true">IF(OR(E1605="",E1605="!!!",F1605="NEW"),"",COUNTBLANK(OFFSET(A$1,,,SUMPRODUCT(MAX(ROW(E$2:E1605)*(E1605=E$2:E1605)))))-COUNTBLANK(OFFSET(A$1,,,SUMPRODUCT(MAX(ROW(E$1:E1604)*(E2=E$1:E1604))))))</f>
        <v/>
      </c>
      <c r="K1605" s="24" t="str">
        <f aca="false">IF(OR(E1605="",E1605="!!!",F1605="NEW"),"",INDEX(J$1:J1604,SUMPRODUCT(MAX(ROW(E$1:E1604)*(E1605=E$1:E1604)))))</f>
        <v/>
      </c>
      <c r="L1605" s="25"/>
    </row>
    <row r="1606" customFormat="false" ht="14.25" hidden="false" customHeight="false" outlineLevel="0" collapsed="false">
      <c r="A1606" s="0" t="s">
        <v>946</v>
      </c>
      <c r="B1606" s="26" t="s">
        <v>571</v>
      </c>
      <c r="C1606" s="26" t="s">
        <v>74</v>
      </c>
      <c r="D1606" s="26" t="s">
        <v>75</v>
      </c>
      <c r="E1606" s="20" t="s">
        <v>947</v>
      </c>
      <c r="F1606" s="21" t="str">
        <f aca="false">IF(OR(E1606="",E1606="!!!"),"",IF(NOT(ISNA(VLOOKUP(E1606,E$1:E1605,1,FALSE()))),"OLD",IF(AND(E1606&lt;&gt;"",E1606&lt;&gt;"!!!"),"NEW","")))</f>
        <v>NEW</v>
      </c>
      <c r="G1606" s="22" t="str">
        <f aca="false"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?REFERENTIAL</v>
      </c>
      <c r="H1606" s="23" t="str">
        <f aca="false">IF(J1606&lt;&gt;1,"",IF(I1606="SBJ","CB","?"))</f>
        <v/>
      </c>
      <c r="I1606" s="24" t="str">
        <f aca="false">IF(OR(E1606="",E1606="!!!",F1606="NEW"),"",INDEX(B$2:B1605,-1+SUMPRODUCT(MAX(ROW(E$2:E1605)*(E1606=E$2:E1605)))))</f>
        <v/>
      </c>
      <c r="J1606" s="24" t="str">
        <f aca="true">IF(OR(E1606="",E1606="!!!",F1606="NEW"),"",COUNTBLANK(OFFSET(A$1,,,SUMPRODUCT(MAX(ROW(E$2:E1606)*(E1606=E$2:E1606)))))-COUNTBLANK(OFFSET(A$1,,,SUMPRODUCT(MAX(ROW(E$1:E1605)*(E2=E$1:E1605))))))</f>
        <v/>
      </c>
      <c r="K1606" s="24" t="str">
        <f aca="false">IF(OR(E1606="",E1606="!!!",F1606="NEW"),"",INDEX(J$1:J1605,SUMPRODUCT(MAX(ROW(E$1:E1605)*(E1606=E$1:E1605)))))</f>
        <v/>
      </c>
      <c r="L1606" s="25"/>
    </row>
    <row r="1607" customFormat="false" ht="14.25" hidden="false" customHeight="false" outlineLevel="0" collapsed="false">
      <c r="A1607" s="0" t="s">
        <v>78</v>
      </c>
      <c r="E1607" s="20" t="str">
        <f aca="false">IF(D1607="?OLD","!!!","")</f>
        <v/>
      </c>
      <c r="F1607" s="21" t="str">
        <f aca="false">IF(OR(E1607="",E1607="!!!"),"",IF(NOT(ISNA(VLOOKUP(E1607,E$1:E1606,1,FALSE()))),"OLD",IF(AND(E1607&lt;&gt;"",E1607&lt;&gt;"!!!"),"NEW","")))</f>
        <v/>
      </c>
      <c r="G1607" s="22" t="str">
        <f aca="false"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3" t="str">
        <f aca="false">IF(J1607&lt;&gt;1,"",IF(I1607="SBJ","CB","?"))</f>
        <v/>
      </c>
      <c r="I1607" s="24" t="str">
        <f aca="false">IF(OR(E1607="",E1607="!!!",F1607="NEW"),"",INDEX(B$2:B1606,-1+SUMPRODUCT(MAX(ROW(E$2:E1606)*(E1607=E$2:E1606)))))</f>
        <v/>
      </c>
      <c r="J1607" s="24" t="str">
        <f aca="true">IF(OR(E1607="",E1607="!!!",F1607="NEW"),"",COUNTBLANK(OFFSET(A$1,,,SUMPRODUCT(MAX(ROW(E$2:E1607)*(E1607=E$2:E1607)))))-COUNTBLANK(OFFSET(A$1,,,SUMPRODUCT(MAX(ROW(E$1:E1606)*(E2=E$1:E1606))))))</f>
        <v/>
      </c>
      <c r="K1607" s="24" t="str">
        <f aca="false">IF(OR(E1607="",E1607="!!!",F1607="NEW"),"",INDEX(J$1:J1606,SUMPRODUCT(MAX(ROW(E$1:E1606)*(E1607=E$1:E1606)))))</f>
        <v/>
      </c>
      <c r="L1607" s="25"/>
    </row>
    <row r="1608" customFormat="false" ht="14.25" hidden="false" customHeight="false" outlineLevel="0" collapsed="false">
      <c r="A1608" s="0" t="s">
        <v>455</v>
      </c>
      <c r="E1608" s="20" t="str">
        <f aca="false">IF(D1608="?OLD","!!!","")</f>
        <v/>
      </c>
      <c r="F1608" s="21" t="str">
        <f aca="false">IF(OR(E1608="",E1608="!!!"),"",IF(NOT(ISNA(VLOOKUP(E1608,E$1:E1607,1,FALSE()))),"OLD",IF(AND(E1608&lt;&gt;"",E1608&lt;&gt;"!!!"),"NEW","")))</f>
        <v/>
      </c>
      <c r="G1608" s="22" t="str">
        <f aca="false"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3" t="str">
        <f aca="false">IF(J1608&lt;&gt;1,"",IF(I1608="SBJ","CB","?"))</f>
        <v/>
      </c>
      <c r="I1608" s="24" t="str">
        <f aca="false">IF(OR(E1608="",E1608="!!!",F1608="NEW"),"",INDEX(B$2:B1607,-1+SUMPRODUCT(MAX(ROW(E$2:E1607)*(E1608=E$2:E1607)))))</f>
        <v/>
      </c>
      <c r="J1608" s="24" t="str">
        <f aca="true">IF(OR(E1608="",E1608="!!!",F1608="NEW"),"",COUNTBLANK(OFFSET(A$1,,,SUMPRODUCT(MAX(ROW(E$2:E1608)*(E1608=E$2:E1608)))))-COUNTBLANK(OFFSET(A$1,,,SUMPRODUCT(MAX(ROW(E$1:E1607)*(E2=E$1:E1607))))))</f>
        <v/>
      </c>
      <c r="K1608" s="24" t="str">
        <f aca="false">IF(OR(E1608="",E1608="!!!",F1608="NEW"),"",INDEX(J$1:J1607,SUMPRODUCT(MAX(ROW(E$1:E1607)*(E1608=E$1:E1607)))))</f>
        <v/>
      </c>
      <c r="L1608" s="25"/>
    </row>
    <row r="1609" customFormat="false" ht="14.25" hidden="false" customHeight="false" outlineLevel="0" collapsed="false">
      <c r="A1609" s="0" t="s">
        <v>948</v>
      </c>
      <c r="B1609" s="26" t="s">
        <v>204</v>
      </c>
      <c r="C1609" s="26" t="s">
        <v>105</v>
      </c>
      <c r="E1609" s="20" t="str">
        <f aca="false">IF(D1609="?OLD","!!!","")</f>
        <v/>
      </c>
      <c r="F1609" s="21" t="str">
        <f aca="false">IF(OR(E1609="",E1609="!!!"),"",IF(NOT(ISNA(VLOOKUP(E1609,E$1:E1608,1,FALSE()))),"OLD",IF(AND(E1609&lt;&gt;"",E1609&lt;&gt;"!!!"),"NEW","")))</f>
        <v/>
      </c>
      <c r="G1609" s="22" t="str">
        <f aca="false"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3" t="str">
        <f aca="false">IF(J1609&lt;&gt;1,"",IF(I1609="SBJ","CB","?"))</f>
        <v/>
      </c>
      <c r="I1609" s="24" t="str">
        <f aca="false">IF(OR(E1609="",E1609="!!!",F1609="NEW"),"",INDEX(B$2:B1608,-1+SUMPRODUCT(MAX(ROW(E$2:E1608)*(E1609=E$2:E1608)))))</f>
        <v/>
      </c>
      <c r="J1609" s="24" t="str">
        <f aca="true">IF(OR(E1609="",E1609="!!!",F1609="NEW"),"",COUNTBLANK(OFFSET(A$1,,,SUMPRODUCT(MAX(ROW(E$2:E1609)*(E1609=E$2:E1609)))))-COUNTBLANK(OFFSET(A$1,,,SUMPRODUCT(MAX(ROW(E$1:E1608)*(E2=E$1:E1608))))))</f>
        <v/>
      </c>
      <c r="K1609" s="24" t="str">
        <f aca="false">IF(OR(E1609="",E1609="!!!",F1609="NEW"),"",INDEX(J$1:J1608,SUMPRODUCT(MAX(ROW(E$1:E1608)*(E1609=E$1:E1608)))))</f>
        <v/>
      </c>
      <c r="L1609" s="25"/>
    </row>
    <row r="1610" customFormat="false" ht="14.25" hidden="false" customHeight="false" outlineLevel="0" collapsed="false">
      <c r="A1610" s="0" t="s">
        <v>949</v>
      </c>
      <c r="B1610" s="26" t="s">
        <v>410</v>
      </c>
      <c r="C1610" s="26" t="s">
        <v>283</v>
      </c>
      <c r="D1610" s="26" t="s">
        <v>75</v>
      </c>
      <c r="E1610" s="20" t="s">
        <v>950</v>
      </c>
      <c r="F1610" s="21" t="str">
        <f aca="false">IF(OR(E1610="",E1610="!!!"),"",IF(NOT(ISNA(VLOOKUP(E1610,E$1:E1609,1,FALSE()))),"OLD",IF(AND(E1610&lt;&gt;"",E1610&lt;&gt;"!!!"),"NEW","")))</f>
        <v>NEW</v>
      </c>
      <c r="G1610" s="22" t="str">
        <f aca="false"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?REFERENTIAL</v>
      </c>
      <c r="H1610" s="23" t="str">
        <f aca="false">IF(J1610&lt;&gt;1,"",IF(I1610="SBJ","CB","?"))</f>
        <v/>
      </c>
      <c r="I1610" s="24" t="str">
        <f aca="false">IF(OR(E1610="",E1610="!!!",F1610="NEW"),"",INDEX(B$2:B1609,-1+SUMPRODUCT(MAX(ROW(E$2:E1609)*(E1610=E$2:E1609)))))</f>
        <v/>
      </c>
      <c r="J1610" s="24" t="str">
        <f aca="true">IF(OR(E1610="",E1610="!!!",F1610="NEW"),"",COUNTBLANK(OFFSET(A$1,,,SUMPRODUCT(MAX(ROW(E$2:E1610)*(E1610=E$2:E1610)))))-COUNTBLANK(OFFSET(A$1,,,SUMPRODUCT(MAX(ROW(E$1:E1609)*(E2=E$1:E1609))))))</f>
        <v/>
      </c>
      <c r="K1610" s="24" t="str">
        <f aca="false">IF(OR(E1610="",E1610="!!!",F1610="NEW"),"",INDEX(J$1:J1609,SUMPRODUCT(MAX(ROW(E$1:E1609)*(E1610=E$1:E1609)))))</f>
        <v/>
      </c>
      <c r="L1610" s="25"/>
    </row>
    <row r="1611" customFormat="false" ht="14.25" hidden="false" customHeight="false" outlineLevel="0" collapsed="false">
      <c r="A1611" s="0" t="s">
        <v>951</v>
      </c>
      <c r="E1611" s="20" t="str">
        <f aca="false">IF(D1611="?OLD","!!!","")</f>
        <v/>
      </c>
      <c r="F1611" s="21" t="str">
        <f aca="false">IF(OR(E1611="",E1611="!!!"),"",IF(NOT(ISNA(VLOOKUP(E1611,E$1:E1610,1,FALSE()))),"OLD",IF(AND(E1611&lt;&gt;"",E1611&lt;&gt;"!!!"),"NEW","")))</f>
        <v/>
      </c>
      <c r="G1611" s="22" t="str">
        <f aca="false"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3" t="str">
        <f aca="false">IF(J1611&lt;&gt;1,"",IF(I1611="SBJ","CB","?"))</f>
        <v/>
      </c>
      <c r="I1611" s="24" t="str">
        <f aca="false">IF(OR(E1611="",E1611="!!!",F1611="NEW"),"",INDEX(B$2:B1610,-1+SUMPRODUCT(MAX(ROW(E$2:E1610)*(E1611=E$2:E1610)))))</f>
        <v/>
      </c>
      <c r="J1611" s="24" t="str">
        <f aca="true">IF(OR(E1611="",E1611="!!!",F1611="NEW"),"",COUNTBLANK(OFFSET(A$1,,,SUMPRODUCT(MAX(ROW(E$2:E1611)*(E1611=E$2:E1611)))))-COUNTBLANK(OFFSET(A$1,,,SUMPRODUCT(MAX(ROW(E$1:E1610)*(E2=E$1:E1610))))))</f>
        <v/>
      </c>
      <c r="K1611" s="24" t="str">
        <f aca="false">IF(OR(E1611="",E1611="!!!",F1611="NEW"),"",INDEX(J$1:J1610,SUMPRODUCT(MAX(ROW(E$1:E1610)*(E1611=E$1:E1610)))))</f>
        <v/>
      </c>
      <c r="L1611" s="25"/>
    </row>
    <row r="1612" customFormat="false" ht="14.25" hidden="false" customHeight="false" outlineLevel="0" collapsed="false">
      <c r="A1612" s="0" t="s">
        <v>952</v>
      </c>
      <c r="E1612" s="20" t="str">
        <f aca="false">IF(D1612="?OLD","!!!","")</f>
        <v/>
      </c>
      <c r="F1612" s="21" t="str">
        <f aca="false">IF(OR(E1612="",E1612="!!!"),"",IF(NOT(ISNA(VLOOKUP(E1612,E$1:E1611,1,FALSE()))),"OLD",IF(AND(E1612&lt;&gt;"",E1612&lt;&gt;"!!!"),"NEW","")))</f>
        <v/>
      </c>
      <c r="G1612" s="22" t="str">
        <f aca="false"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3" t="str">
        <f aca="false">IF(J1612&lt;&gt;1,"",IF(I1612="SBJ","CB","?"))</f>
        <v/>
      </c>
      <c r="I1612" s="24" t="str">
        <f aca="false">IF(OR(E1612="",E1612="!!!",F1612="NEW"),"",INDEX(B$2:B1611,-1+SUMPRODUCT(MAX(ROW(E$2:E1611)*(E1612=E$2:E1611)))))</f>
        <v/>
      </c>
      <c r="J1612" s="24" t="str">
        <f aca="true">IF(OR(E1612="",E1612="!!!",F1612="NEW"),"",COUNTBLANK(OFFSET(A$1,,,SUMPRODUCT(MAX(ROW(E$2:E1612)*(E1612=E$2:E1612)))))-COUNTBLANK(OFFSET(A$1,,,SUMPRODUCT(MAX(ROW(E$1:E1611)*(E2=E$1:E1611))))))</f>
        <v/>
      </c>
      <c r="K1612" s="24" t="str">
        <f aca="false">IF(OR(E1612="",E1612="!!!",F1612="NEW"),"",INDEX(J$1:J1611,SUMPRODUCT(MAX(ROW(E$1:E1611)*(E1612=E$1:E1611)))))</f>
        <v/>
      </c>
      <c r="L1612" s="25"/>
    </row>
    <row r="1613" customFormat="false" ht="14.25" hidden="false" customHeight="false" outlineLevel="0" collapsed="false">
      <c r="A1613" s="0" t="s">
        <v>953</v>
      </c>
      <c r="E1613" s="20" t="str">
        <f aca="false">IF(D1613="?OLD","!!!","")</f>
        <v/>
      </c>
      <c r="F1613" s="21" t="str">
        <f aca="false">IF(OR(E1613="",E1613="!!!"),"",IF(NOT(ISNA(VLOOKUP(E1613,E$1:E1612,1,FALSE()))),"OLD",IF(AND(E1613&lt;&gt;"",E1613&lt;&gt;"!!!"),"NEW","")))</f>
        <v/>
      </c>
      <c r="G1613" s="22" t="str">
        <f aca="false"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3" t="str">
        <f aca="false">IF(J1613&lt;&gt;1,"",IF(I1613="SBJ","CB","?"))</f>
        <v/>
      </c>
      <c r="I1613" s="24" t="str">
        <f aca="false">IF(OR(E1613="",E1613="!!!",F1613="NEW"),"",INDEX(B$2:B1612,-1+SUMPRODUCT(MAX(ROW(E$2:E1612)*(E1613=E$2:E1612)))))</f>
        <v/>
      </c>
      <c r="J1613" s="24" t="str">
        <f aca="true">IF(OR(E1613="",E1613="!!!",F1613="NEW"),"",COUNTBLANK(OFFSET(A$1,,,SUMPRODUCT(MAX(ROW(E$2:E1613)*(E1613=E$2:E1613)))))-COUNTBLANK(OFFSET(A$1,,,SUMPRODUCT(MAX(ROW(E$1:E1612)*(E2=E$1:E1612))))))</f>
        <v/>
      </c>
      <c r="K1613" s="24" t="str">
        <f aca="false">IF(OR(E1613="",E1613="!!!",F1613="NEW"),"",INDEX(J$1:J1612,SUMPRODUCT(MAX(ROW(E$1:E1612)*(E1613=E$1:E1612)))))</f>
        <v/>
      </c>
      <c r="L1613" s="25"/>
    </row>
    <row r="1614" customFormat="false" ht="14.25" hidden="false" customHeight="false" outlineLevel="0" collapsed="false">
      <c r="A1614" s="0" t="s">
        <v>954</v>
      </c>
      <c r="E1614" s="20" t="s">
        <v>939</v>
      </c>
      <c r="F1614" s="21" t="str">
        <f aca="false">IF(OR(E1614="",E1614="!!!"),"",IF(NOT(ISNA(VLOOKUP(E1614,E$1:E1613,1,FALSE()))),"OLD",IF(AND(E1614&lt;&gt;"",E1614&lt;&gt;"!!!"),"NEW","")))</f>
        <v>OLD</v>
      </c>
      <c r="G1614" s="22" t="str">
        <f aca="false"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?IN_FOCUS</v>
      </c>
      <c r="H1614" s="23" t="str">
        <f aca="false">IF(J1614&lt;&gt;1,"",IF(I1614="SBJ","CB","?"))</f>
        <v/>
      </c>
      <c r="I1614" s="24" t="str">
        <f aca="false">IF(OR(E1614="",E1614="!!!",F1614="NEW"),"",INDEX(B$2:B1613,-1+SUMPRODUCT(MAX(ROW(E$2:E1613)*(E1614=E$2:E1613)))))</f>
        <v>SBJ_8</v>
      </c>
      <c r="J1614" s="24" t="n">
        <f aca="true">IF(OR(E1614="",E1614="!!!",F1614="NEW"),"",COUNTBLANK(OFFSET(A$1,,,SUMPRODUCT(MAX(ROW(E$2:E1614)*(E1614=E$2:E1614)))))-COUNTBLANK(OFFSET(A$1,,,SUMPRODUCT(MAX(ROW(E$1:E1613)*(E2=E$1:E1613))))))</f>
        <v>0</v>
      </c>
      <c r="K1614" s="24" t="n">
        <f aca="false">IF(OR(E1614="",E1614="!!!",F1614="NEW"),"",INDEX(J$1:J1613,SUMPRODUCT(MAX(ROW(E$1:E1613)*(E1614=E$1:E1613)))))</f>
        <v>0</v>
      </c>
      <c r="L1614" s="25"/>
    </row>
    <row r="1615" customFormat="false" ht="14.25" hidden="false" customHeight="false" outlineLevel="0" collapsed="false">
      <c r="A1615" s="0" t="s">
        <v>160</v>
      </c>
      <c r="E1615" s="20" t="str">
        <f aca="false">IF(D1615="?OLD","!!!","")</f>
        <v/>
      </c>
      <c r="F1615" s="21" t="str">
        <f aca="false">IF(OR(E1615="",E1615="!!!"),"",IF(NOT(ISNA(VLOOKUP(E1615,E$1:E1614,1,FALSE()))),"OLD",IF(AND(E1615&lt;&gt;"",E1615&lt;&gt;"!!!"),"NEW","")))</f>
        <v/>
      </c>
      <c r="G1615" s="22" t="str">
        <f aca="false"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3" t="str">
        <f aca="false">IF(J1615&lt;&gt;1,"",IF(I1615="SBJ","CB","?"))</f>
        <v/>
      </c>
      <c r="I1615" s="24" t="str">
        <f aca="false">IF(OR(E1615="",E1615="!!!",F1615="NEW"),"",INDEX(B$2:B1614,-1+SUMPRODUCT(MAX(ROW(E$2:E1614)*(E1615=E$2:E1614)))))</f>
        <v/>
      </c>
      <c r="J1615" s="24" t="str">
        <f aca="true">IF(OR(E1615="",E1615="!!!",F1615="NEW"),"",COUNTBLANK(OFFSET(A$1,,,SUMPRODUCT(MAX(ROW(E$2:E1615)*(E1615=E$2:E1615)))))-COUNTBLANK(OFFSET(A$1,,,SUMPRODUCT(MAX(ROW(E$1:E1614)*(E2=E$1:E1614))))))</f>
        <v/>
      </c>
      <c r="K1615" s="24" t="str">
        <f aca="false">IF(OR(E1615="",E1615="!!!",F1615="NEW"),"",INDEX(J$1:J1614,SUMPRODUCT(MAX(ROW(E$1:E1614)*(E1615=E$1:E1614)))))</f>
        <v/>
      </c>
      <c r="L1615" s="25"/>
    </row>
    <row r="1616" customFormat="false" ht="14.25" hidden="false" customHeight="false" outlineLevel="0" collapsed="false">
      <c r="A1616" s="0" t="s">
        <v>955</v>
      </c>
      <c r="E1616" s="20" t="str">
        <f aca="false">IF(D1616="?OLD","!!!","")</f>
        <v/>
      </c>
      <c r="F1616" s="21" t="str">
        <f aca="false">IF(OR(E1616="",E1616="!!!"),"",IF(NOT(ISNA(VLOOKUP(E1616,E$1:E1615,1,FALSE()))),"OLD",IF(AND(E1616&lt;&gt;"",E1616&lt;&gt;"!!!"),"NEW","")))</f>
        <v/>
      </c>
      <c r="G1616" s="22" t="str">
        <f aca="false"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3" t="str">
        <f aca="false">IF(J1616&lt;&gt;1,"",IF(I1616="SBJ","CB","?"))</f>
        <v/>
      </c>
      <c r="I1616" s="24" t="str">
        <f aca="false">IF(OR(E1616="",E1616="!!!",F1616="NEW"),"",INDEX(B$2:B1615,-1+SUMPRODUCT(MAX(ROW(E$2:E1615)*(E1616=E$2:E1615)))))</f>
        <v/>
      </c>
      <c r="J1616" s="24" t="str">
        <f aca="true">IF(OR(E1616="",E1616="!!!",F1616="NEW"),"",COUNTBLANK(OFFSET(A$1,,,SUMPRODUCT(MAX(ROW(E$2:E1616)*(E1616=E$2:E1616)))))-COUNTBLANK(OFFSET(A$1,,,SUMPRODUCT(MAX(ROW(E$1:E1615)*(E2=E$1:E1615))))))</f>
        <v/>
      </c>
      <c r="K1616" s="24" t="str">
        <f aca="false">IF(OR(E1616="",E1616="!!!",F1616="NEW"),"",INDEX(J$1:J1615,SUMPRODUCT(MAX(ROW(E$1:E1615)*(E1616=E$1:E1615)))))</f>
        <v/>
      </c>
      <c r="L1616" s="25"/>
    </row>
    <row r="1617" customFormat="false" ht="14.25" hidden="false" customHeight="false" outlineLevel="0" collapsed="false">
      <c r="A1617" s="0" t="s">
        <v>956</v>
      </c>
      <c r="B1617" s="26" t="s">
        <v>208</v>
      </c>
      <c r="C1617" s="26" t="s">
        <v>74</v>
      </c>
      <c r="D1617" s="26" t="s">
        <v>75</v>
      </c>
      <c r="E1617" s="20" t="s">
        <v>957</v>
      </c>
      <c r="F1617" s="21" t="str">
        <f aca="false">IF(OR(E1617="",E1617="!!!"),"",IF(NOT(ISNA(VLOOKUP(E1617,E$1:E1616,1,FALSE()))),"OLD",IF(AND(E1617&lt;&gt;"",E1617&lt;&gt;"!!!"),"NEW","")))</f>
        <v>NEW</v>
      </c>
      <c r="G1617" s="22" t="str">
        <f aca="false"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?REFERENTIAL</v>
      </c>
      <c r="H1617" s="23" t="str">
        <f aca="false">IF(J1617&lt;&gt;1,"",IF(I1617="SBJ","CB","?"))</f>
        <v/>
      </c>
      <c r="I1617" s="24" t="str">
        <f aca="false">IF(OR(E1617="",E1617="!!!",F1617="NEW"),"",INDEX(B$2:B1616,-1+SUMPRODUCT(MAX(ROW(E$2:E1616)*(E1617=E$2:E1616)))))</f>
        <v/>
      </c>
      <c r="J1617" s="24" t="str">
        <f aca="true">IF(OR(E1617="",E1617="!!!",F1617="NEW"),"",COUNTBLANK(OFFSET(A$1,,,SUMPRODUCT(MAX(ROW(E$2:E1617)*(E1617=E$2:E1617)))))-COUNTBLANK(OFFSET(A$1,,,SUMPRODUCT(MAX(ROW(E$1:E1616)*(E2=E$1:E1616))))))</f>
        <v/>
      </c>
      <c r="K1617" s="24" t="str">
        <f aca="false">IF(OR(E1617="",E1617="!!!",F1617="NEW"),"",INDEX(J$1:J1616,SUMPRODUCT(MAX(ROW(E$1:E1616)*(E1617=E$1:E1616)))))</f>
        <v/>
      </c>
      <c r="L1617" s="25"/>
    </row>
    <row r="1618" customFormat="false" ht="14.25" hidden="false" customHeight="false" outlineLevel="0" collapsed="false">
      <c r="A1618" s="0" t="s">
        <v>172</v>
      </c>
      <c r="E1618" s="20" t="str">
        <f aca="false">IF(D1618="?OLD","!!!","")</f>
        <v/>
      </c>
      <c r="F1618" s="21" t="str">
        <f aca="false">IF(OR(E1618="",E1618="!!!"),"",IF(NOT(ISNA(VLOOKUP(E1618,E$1:E1617,1,FALSE()))),"OLD",IF(AND(E1618&lt;&gt;"",E1618&lt;&gt;"!!!"),"NEW","")))</f>
        <v/>
      </c>
      <c r="G1618" s="22" t="str">
        <f aca="false"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3" t="str">
        <f aca="false">IF(J1618&lt;&gt;1,"",IF(I1618="SBJ","CB","?"))</f>
        <v/>
      </c>
      <c r="I1618" s="24" t="str">
        <f aca="false">IF(OR(E1618="",E1618="!!!",F1618="NEW"),"",INDEX(B$2:B1617,-1+SUMPRODUCT(MAX(ROW(E$2:E1617)*(E1618=E$2:E1617)))))</f>
        <v/>
      </c>
      <c r="J1618" s="24" t="str">
        <f aca="true">IF(OR(E1618="",E1618="!!!",F1618="NEW"),"",COUNTBLANK(OFFSET(A$1,,,SUMPRODUCT(MAX(ROW(E$2:E1618)*(E1618=E$2:E1618)))))-COUNTBLANK(OFFSET(A$1,,,SUMPRODUCT(MAX(ROW(E$1:E1617)*(E2=E$1:E1617))))))</f>
        <v/>
      </c>
      <c r="K1618" s="24" t="str">
        <f aca="false">IF(OR(E1618="",E1618="!!!",F1618="NEW"),"",INDEX(J$1:J1617,SUMPRODUCT(MAX(ROW(E$1:E1617)*(E1618=E$1:E1617)))))</f>
        <v/>
      </c>
      <c r="L1618" s="25"/>
    </row>
    <row r="1619" customFormat="false" ht="14.25" hidden="false" customHeight="false" outlineLevel="0" collapsed="false">
      <c r="A1619" s="0" t="s">
        <v>376</v>
      </c>
      <c r="E1619" s="20" t="str">
        <f aca="false">IF(D1619="?OLD","!!!","")</f>
        <v/>
      </c>
      <c r="F1619" s="21" t="str">
        <f aca="false">IF(OR(E1619="",E1619="!!!"),"",IF(NOT(ISNA(VLOOKUP(E1619,E$1:E1618,1,FALSE()))),"OLD",IF(AND(E1619&lt;&gt;"",E1619&lt;&gt;"!!!"),"NEW","")))</f>
        <v/>
      </c>
      <c r="G1619" s="22" t="str">
        <f aca="false"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3" t="str">
        <f aca="false">IF(J1619&lt;&gt;1,"",IF(I1619="SBJ","CB","?"))</f>
        <v/>
      </c>
      <c r="I1619" s="24" t="str">
        <f aca="false">IF(OR(E1619="",E1619="!!!",F1619="NEW"),"",INDEX(B$2:B1618,-1+SUMPRODUCT(MAX(ROW(E$2:E1618)*(E1619=E$2:E1618)))))</f>
        <v/>
      </c>
      <c r="J1619" s="24" t="str">
        <f aca="true">IF(OR(E1619="",E1619="!!!",F1619="NEW"),"",COUNTBLANK(OFFSET(A$1,,,SUMPRODUCT(MAX(ROW(E$2:E1619)*(E1619=E$2:E1619)))))-COUNTBLANK(OFFSET(A$1,,,SUMPRODUCT(MAX(ROW(E$1:E1618)*(E2=E$1:E1618))))))</f>
        <v/>
      </c>
      <c r="K1619" s="24" t="str">
        <f aca="false">IF(OR(E1619="",E1619="!!!",F1619="NEW"),"",INDEX(J$1:J1618,SUMPRODUCT(MAX(ROW(E$1:E1618)*(E1619=E$1:E1618)))))</f>
        <v/>
      </c>
      <c r="L1619" s="25"/>
    </row>
    <row r="1620" customFormat="false" ht="14.25" hidden="false" customHeight="false" outlineLevel="0" collapsed="false">
      <c r="A1620" s="0" t="s">
        <v>958</v>
      </c>
      <c r="B1620" s="26" t="s">
        <v>419</v>
      </c>
      <c r="C1620" s="26" t="s">
        <v>105</v>
      </c>
      <c r="E1620" s="20" t="s">
        <v>959</v>
      </c>
      <c r="F1620" s="21" t="str">
        <f aca="false">IF(OR(E1620="",E1620="!!!"),"",IF(NOT(ISNA(VLOOKUP(E1620,E$1:E1619,1,FALSE()))),"OLD",IF(AND(E1620&lt;&gt;"",E1620&lt;&gt;"!!!"),"NEW","")))</f>
        <v>NEW</v>
      </c>
      <c r="G1620" s="22" t="str">
        <f aca="false"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?REFERENTIAL</v>
      </c>
      <c r="H1620" s="23" t="str">
        <f aca="false">IF(J1620&lt;&gt;1,"",IF(I1620="SBJ","CB","?"))</f>
        <v/>
      </c>
      <c r="I1620" s="24" t="str">
        <f aca="false">IF(OR(E1620="",E1620="!!!",F1620="NEW"),"",INDEX(B$2:B1619,-1+SUMPRODUCT(MAX(ROW(E$2:E1619)*(E1620=E$2:E1619)))))</f>
        <v/>
      </c>
      <c r="J1620" s="24" t="str">
        <f aca="true">IF(OR(E1620="",E1620="!!!",F1620="NEW"),"",COUNTBLANK(OFFSET(A$1,,,SUMPRODUCT(MAX(ROW(E$2:E1620)*(E1620=E$2:E1620)))))-COUNTBLANK(OFFSET(A$1,,,SUMPRODUCT(MAX(ROW(E$1:E1619)*(E2=E$1:E1619))))))</f>
        <v/>
      </c>
      <c r="K1620" s="24" t="str">
        <f aca="false">IF(OR(E1620="",E1620="!!!",F1620="NEW"),"",INDEX(J$1:J1619,SUMPRODUCT(MAX(ROW(E$1:E1619)*(E1620=E$1:E1619)))))</f>
        <v/>
      </c>
      <c r="L1620" s="27" t="s">
        <v>338</v>
      </c>
    </row>
    <row r="1621" customFormat="false" ht="14.25" hidden="false" customHeight="false" outlineLevel="0" collapsed="false">
      <c r="A1621" s="0" t="s">
        <v>960</v>
      </c>
      <c r="E1621" s="20" t="str">
        <f aca="false">IF(D1621="?OLD","!!!","")</f>
        <v/>
      </c>
      <c r="F1621" s="21" t="str">
        <f aca="false">IF(OR(E1621="",E1621="!!!"),"",IF(NOT(ISNA(VLOOKUP(E1621,E$1:E1620,1,FALSE()))),"OLD",IF(AND(E1621&lt;&gt;"",E1621&lt;&gt;"!!!"),"NEW","")))</f>
        <v/>
      </c>
      <c r="G1621" s="22" t="str">
        <f aca="false"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/>
      </c>
      <c r="H1621" s="23" t="str">
        <f aca="false">IF(J1621&lt;&gt;1,"",IF(I1621="SBJ","CB","?"))</f>
        <v/>
      </c>
      <c r="I1621" s="24" t="str">
        <f aca="false">IF(OR(E1621="",E1621="!!!",F1621="NEW"),"",INDEX(B$2:B1620,-1+SUMPRODUCT(MAX(ROW(E$2:E1620)*(E1621=E$2:E1620)))))</f>
        <v/>
      </c>
      <c r="J1621" s="24" t="str">
        <f aca="true">IF(OR(E1621="",E1621="!!!",F1621="NEW"),"",COUNTBLANK(OFFSET(A$1,,,SUMPRODUCT(MAX(ROW(E$2:E1621)*(E1621=E$2:E1621)))))-COUNTBLANK(OFFSET(A$1,,,SUMPRODUCT(MAX(ROW(E$1:E1620)*(E2=E$1:E1620))))))</f>
        <v/>
      </c>
      <c r="K1621" s="24" t="str">
        <f aca="false">IF(OR(E1621="",E1621="!!!",F1621="NEW"),"",INDEX(J$1:J1620,SUMPRODUCT(MAX(ROW(E$1:E1620)*(E1621=E$1:E1620)))))</f>
        <v/>
      </c>
      <c r="L1621" s="25"/>
    </row>
    <row r="1622" customFormat="false" ht="14.25" hidden="false" customHeight="false" outlineLevel="0" collapsed="false">
      <c r="A1622" s="0" t="s">
        <v>427</v>
      </c>
      <c r="B1622" s="26" t="s">
        <v>416</v>
      </c>
      <c r="C1622" s="26" t="s">
        <v>105</v>
      </c>
      <c r="E1622" s="20"/>
      <c r="F1622" s="21" t="str">
        <f aca="false">IF(OR(E1622="",E1622="!!!"),"",IF(NOT(ISNA(VLOOKUP(E1622,E$1:E1621,1,FALSE()))),"OLD",IF(AND(E1622&lt;&gt;"",E1622&lt;&gt;"!!!"),"NEW","")))</f>
        <v/>
      </c>
      <c r="G1622" s="22" t="str">
        <f aca="false"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3" t="str">
        <f aca="false">IF(J1622&lt;&gt;1,"",IF(I1622="SBJ","CB","?"))</f>
        <v/>
      </c>
      <c r="I1622" s="24" t="str">
        <f aca="false">IF(OR(E1622="",E1622="!!!",F1622="NEW"),"",INDEX(B$2:B1621,-1+SUMPRODUCT(MAX(ROW(E$2:E1621)*(E1622=E$2:E1621)))))</f>
        <v/>
      </c>
      <c r="J1622" s="24" t="str">
        <f aca="true">IF(OR(E1622="",E1622="!!!",F1622="NEW"),"",COUNTBLANK(OFFSET(A$1,,,SUMPRODUCT(MAX(ROW(E$2:E1622)*(E1622=E$2:E1622)))))-COUNTBLANK(OFFSET(A$1,,,SUMPRODUCT(MAX(ROW(E$1:E1621)*(E2=E$1:E1621))))))</f>
        <v/>
      </c>
      <c r="K1622" s="24" t="str">
        <f aca="false">IF(OR(E1622="",E1622="!!!",F1622="NEW"),"",INDEX(J$1:J1621,SUMPRODUCT(MAX(ROW(E$1:E1621)*(E1622=E$1:E1621)))))</f>
        <v/>
      </c>
      <c r="L1622" s="25"/>
    </row>
    <row r="1623" customFormat="false" ht="14.25" hidden="false" customHeight="false" outlineLevel="0" collapsed="false">
      <c r="A1623" s="0" t="s">
        <v>142</v>
      </c>
      <c r="E1623" s="20" t="str">
        <f aca="false">IF(D1623="?OLD","!!!","")</f>
        <v/>
      </c>
      <c r="F1623" s="21" t="str">
        <f aca="false">IF(OR(E1623="",E1623="!!!"),"",IF(NOT(ISNA(VLOOKUP(E1623,E$1:E1622,1,FALSE()))),"OLD",IF(AND(E1623&lt;&gt;"",E1623&lt;&gt;"!!!"),"NEW","")))</f>
        <v/>
      </c>
      <c r="G1623" s="22" t="str">
        <f aca="false"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3" t="str">
        <f aca="false">IF(J1623&lt;&gt;1,"",IF(I1623="SBJ","CB","?"))</f>
        <v/>
      </c>
      <c r="I1623" s="24" t="str">
        <f aca="false">IF(OR(E1623="",E1623="!!!",F1623="NEW"),"",INDEX(B$2:B1622,-1+SUMPRODUCT(MAX(ROW(E$2:E1622)*(E1623=E$2:E1622)))))</f>
        <v/>
      </c>
      <c r="J1623" s="24" t="str">
        <f aca="true">IF(OR(E1623="",E1623="!!!",F1623="NEW"),"",COUNTBLANK(OFFSET(A$1,,,SUMPRODUCT(MAX(ROW(E$2:E1623)*(E1623=E$2:E1623)))))-COUNTBLANK(OFFSET(A$1,,,SUMPRODUCT(MAX(ROW(E$1:E1622)*(E2=E$1:E1622))))))</f>
        <v/>
      </c>
      <c r="K1623" s="24" t="str">
        <f aca="false">IF(OR(E1623="",E1623="!!!",F1623="NEW"),"",INDEX(J$1:J1622,SUMPRODUCT(MAX(ROW(E$1:E1622)*(E1623=E$1:E1622)))))</f>
        <v/>
      </c>
      <c r="L1623" s="25"/>
    </row>
    <row r="1624" customFormat="false" ht="14.25" hidden="false" customHeight="false" outlineLevel="0" collapsed="false">
      <c r="A1624" s="0" t="s">
        <v>961</v>
      </c>
      <c r="B1624" s="26" t="s">
        <v>422</v>
      </c>
      <c r="C1624" s="26" t="s">
        <v>105</v>
      </c>
      <c r="E1624" s="20"/>
      <c r="F1624" s="21" t="str">
        <f aca="false">IF(OR(E1624="",E1624="!!!"),"",IF(NOT(ISNA(VLOOKUP(E1624,E$1:E1623,1,FALSE()))),"OLD",IF(AND(E1624&lt;&gt;"",E1624&lt;&gt;"!!!"),"NEW","")))</f>
        <v/>
      </c>
      <c r="G1624" s="22" t="str">
        <f aca="false"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3" t="str">
        <f aca="false">IF(J1624&lt;&gt;1,"",IF(I1624="SBJ","CB","?"))</f>
        <v/>
      </c>
      <c r="I1624" s="24" t="str">
        <f aca="false">IF(OR(E1624="",E1624="!!!",F1624="NEW"),"",INDEX(B$2:B1623,-1+SUMPRODUCT(MAX(ROW(E$2:E1623)*(E1624=E$2:E1623)))))</f>
        <v/>
      </c>
      <c r="J1624" s="24" t="str">
        <f aca="true">IF(OR(E1624="",E1624="!!!",F1624="NEW"),"",COUNTBLANK(OFFSET(A$1,,,SUMPRODUCT(MAX(ROW(E$2:E1624)*(E1624=E$2:E1624)))))-COUNTBLANK(OFFSET(A$1,,,SUMPRODUCT(MAX(ROW(E$1:E1623)*(E2=E$1:E1623))))))</f>
        <v/>
      </c>
      <c r="K1624" s="24" t="str">
        <f aca="false">IF(OR(E1624="",E1624="!!!",F1624="NEW"),"",INDEX(J$1:J1623,SUMPRODUCT(MAX(ROW(E$1:E1623)*(E1624=E$1:E1623)))))</f>
        <v/>
      </c>
      <c r="L1624" s="25"/>
    </row>
    <row r="1625" customFormat="false" ht="14.25" hidden="false" customHeight="false" outlineLevel="0" collapsed="false">
      <c r="A1625" s="0" t="s">
        <v>101</v>
      </c>
      <c r="E1625" s="20" t="str">
        <f aca="false">IF(D1625="?OLD","!!!","")</f>
        <v/>
      </c>
      <c r="F1625" s="21" t="str">
        <f aca="false">IF(OR(E1625="",E1625="!!!"),"",IF(NOT(ISNA(VLOOKUP(E1625,E$1:E1624,1,FALSE()))),"OLD",IF(AND(E1625&lt;&gt;"",E1625&lt;&gt;"!!!"),"NEW","")))</f>
        <v/>
      </c>
      <c r="G1625" s="22" t="str">
        <f aca="false"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3" t="str">
        <f aca="false">IF(J1625&lt;&gt;1,"",IF(I1625="SBJ","CB","?"))</f>
        <v/>
      </c>
      <c r="I1625" s="24" t="str">
        <f aca="false">IF(OR(E1625="",E1625="!!!",F1625="NEW"),"",INDEX(B$2:B1624,-1+SUMPRODUCT(MAX(ROW(E$2:E1624)*(E1625=E$2:E1624)))))</f>
        <v/>
      </c>
      <c r="J1625" s="24" t="str">
        <f aca="true">IF(OR(E1625="",E1625="!!!",F1625="NEW"),"",COUNTBLANK(OFFSET(A$1,,,SUMPRODUCT(MAX(ROW(E$2:E1625)*(E1625=E$2:E1625)))))-COUNTBLANK(OFFSET(A$1,,,SUMPRODUCT(MAX(ROW(E$1:E1624)*(E2=E$1:E1624))))))</f>
        <v/>
      </c>
      <c r="K1625" s="24" t="str">
        <f aca="false">IF(OR(E1625="",E1625="!!!",F1625="NEW"),"",INDEX(J$1:J1624,SUMPRODUCT(MAX(ROW(E$1:E1624)*(E1625=E$1:E1624)))))</f>
        <v/>
      </c>
      <c r="L1625" s="25"/>
    </row>
    <row r="1626" customFormat="false" ht="14.25" hidden="false" customHeight="false" outlineLevel="0" collapsed="false">
      <c r="A1626" s="0" t="s">
        <v>271</v>
      </c>
      <c r="E1626" s="20" t="str">
        <f aca="false">IF(D1626="?OLD","!!!","")</f>
        <v/>
      </c>
      <c r="F1626" s="21" t="str">
        <f aca="false">IF(OR(E1626="",E1626="!!!"),"",IF(NOT(ISNA(VLOOKUP(E1626,E$1:E1625,1,FALSE()))),"OLD",IF(AND(E1626&lt;&gt;"",E1626&lt;&gt;"!!!"),"NEW","")))</f>
        <v/>
      </c>
      <c r="G1626" s="22" t="str">
        <f aca="false"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3" t="str">
        <f aca="false">IF(J1626&lt;&gt;1,"",IF(I1626="SBJ","CB","?"))</f>
        <v/>
      </c>
      <c r="I1626" s="24" t="str">
        <f aca="false">IF(OR(E1626="",E1626="!!!",F1626="NEW"),"",INDEX(B$2:B1625,-1+SUMPRODUCT(MAX(ROW(E$2:E1625)*(E1626=E$2:E1625)))))</f>
        <v/>
      </c>
      <c r="J1626" s="24" t="str">
        <f aca="true">IF(OR(E1626="",E1626="!!!",F1626="NEW"),"",COUNTBLANK(OFFSET(A$1,,,SUMPRODUCT(MAX(ROW(E$2:E1626)*(E1626=E$2:E1626)))))-COUNTBLANK(OFFSET(A$1,,,SUMPRODUCT(MAX(ROW(E$1:E1625)*(E2=E$1:E1625))))))</f>
        <v/>
      </c>
      <c r="K1626" s="24" t="str">
        <f aca="false">IF(OR(E1626="",E1626="!!!",F1626="NEW"),"",INDEX(J$1:J1625,SUMPRODUCT(MAX(ROW(E$1:E1625)*(E1626=E$1:E1625)))))</f>
        <v/>
      </c>
      <c r="L1626" s="25"/>
    </row>
    <row r="1627" customFormat="false" ht="14.25" hidden="false" customHeight="false" outlineLevel="0" collapsed="false">
      <c r="A1627" s="0" t="s">
        <v>254</v>
      </c>
      <c r="B1627" s="26" t="s">
        <v>560</v>
      </c>
      <c r="C1627" s="26" t="s">
        <v>209</v>
      </c>
      <c r="D1627" s="26" t="s">
        <v>75</v>
      </c>
      <c r="E1627" s="20" t="s">
        <v>959</v>
      </c>
      <c r="F1627" s="21" t="str">
        <f aca="false">IF(OR(E1627="",E1627="!!!"),"",IF(NOT(ISNA(VLOOKUP(E1627,E$1:E1626,1,FALSE()))),"OLD",IF(AND(E1627&lt;&gt;"",E1627&lt;&gt;"!!!"),"NEW","")))</f>
        <v>OLD</v>
      </c>
      <c r="G1627" s="22" t="str">
        <f aca="false"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?IN_FOCUS</v>
      </c>
      <c r="H1627" s="23" t="str">
        <f aca="false">IF(J1627&lt;&gt;1,"",IF(I1627="SBJ","CB","?"))</f>
        <v/>
      </c>
      <c r="I1627" s="24" t="str">
        <f aca="false">IF(OR(E1627="",E1627="!!!",F1627="NEW"),"",INDEX(B$2:B1626,-1+SUMPRODUCT(MAX(ROW(E$2:E1626)*(E1627=E$2:E1626)))))</f>
        <v>SBJ_7</v>
      </c>
      <c r="J1627" s="24" t="n">
        <f aca="true">IF(OR(E1627="",E1627="!!!",F1627="NEW"),"",COUNTBLANK(OFFSET(A$1,,,SUMPRODUCT(MAX(ROW(E$2:E1627)*(E1627=E$2:E1627)))))-COUNTBLANK(OFFSET(A$1,,,SUMPRODUCT(MAX(ROW(E$1:E1626)*(E2=E$1:E1626))))))</f>
        <v>0</v>
      </c>
      <c r="K1627" s="24" t="str">
        <f aca="false">IF(OR(E1627="",E1627="!!!",F1627="NEW"),"",INDEX(J$1:J1626,SUMPRODUCT(MAX(ROW(E$1:E1626)*(E1627=E$1:E1626)))))</f>
        <v/>
      </c>
      <c r="L1627" s="25"/>
    </row>
    <row r="1628" customFormat="false" ht="14.25" hidden="false" customHeight="false" outlineLevel="0" collapsed="false">
      <c r="A1628" s="0" t="s">
        <v>167</v>
      </c>
      <c r="E1628" s="20" t="str">
        <f aca="false">IF(D1628="?OLD","!!!","")</f>
        <v/>
      </c>
      <c r="F1628" s="21" t="str">
        <f aca="false">IF(OR(E1628="",E1628="!!!"),"",IF(NOT(ISNA(VLOOKUP(E1628,E$1:E1627,1,FALSE()))),"OLD",IF(AND(E1628&lt;&gt;"",E1628&lt;&gt;"!!!"),"NEW","")))</f>
        <v/>
      </c>
      <c r="G1628" s="22" t="str">
        <f aca="false"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3" t="str">
        <f aca="false">IF(J1628&lt;&gt;1,"",IF(I1628="SBJ","CB","?"))</f>
        <v/>
      </c>
      <c r="I1628" s="24" t="str">
        <f aca="false">IF(OR(E1628="",E1628="!!!",F1628="NEW"),"",INDEX(B$2:B1627,-1+SUMPRODUCT(MAX(ROW(E$2:E1627)*(E1628=E$2:E1627)))))</f>
        <v/>
      </c>
      <c r="J1628" s="24" t="str">
        <f aca="true">IF(OR(E1628="",E1628="!!!",F1628="NEW"),"",COUNTBLANK(OFFSET(A$1,,,SUMPRODUCT(MAX(ROW(E$2:E1628)*(E1628=E$2:E1628)))))-COUNTBLANK(OFFSET(A$1,,,SUMPRODUCT(MAX(ROW(E$1:E1627)*(E2=E$1:E1627))))))</f>
        <v/>
      </c>
      <c r="K1628" s="24" t="str">
        <f aca="false">IF(OR(E1628="",E1628="!!!",F1628="NEW"),"",INDEX(J$1:J1627,SUMPRODUCT(MAX(ROW(E$1:E1627)*(E1628=E$1:E1627)))))</f>
        <v/>
      </c>
      <c r="L1628" s="25"/>
    </row>
    <row r="1629" customFormat="false" ht="14.25" hidden="false" customHeight="false" outlineLevel="0" collapsed="false">
      <c r="A1629" s="0" t="s">
        <v>962</v>
      </c>
      <c r="E1629" s="20" t="str">
        <f aca="false">IF(D1629="?OLD","!!!","")</f>
        <v/>
      </c>
      <c r="F1629" s="21" t="str">
        <f aca="false">IF(OR(E1629="",E1629="!!!"),"",IF(NOT(ISNA(VLOOKUP(E1629,E$1:E1628,1,FALSE()))),"OLD",IF(AND(E1629&lt;&gt;"",E1629&lt;&gt;"!!!"),"NEW","")))</f>
        <v/>
      </c>
      <c r="G1629" s="22" t="str">
        <f aca="false"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3" t="str">
        <f aca="false">IF(J1629&lt;&gt;1,"",IF(I1629="SBJ","CB","?"))</f>
        <v/>
      </c>
      <c r="I1629" s="24" t="str">
        <f aca="false">IF(OR(E1629="",E1629="!!!",F1629="NEW"),"",INDEX(B$2:B1628,-1+SUMPRODUCT(MAX(ROW(E$2:E1628)*(E1629=E$2:E1628)))))</f>
        <v/>
      </c>
      <c r="J1629" s="24" t="str">
        <f aca="true">IF(OR(E1629="",E1629="!!!",F1629="NEW"),"",COUNTBLANK(OFFSET(A$1,,,SUMPRODUCT(MAX(ROW(E$2:E1629)*(E1629=E$2:E1629)))))-COUNTBLANK(OFFSET(A$1,,,SUMPRODUCT(MAX(ROW(E$1:E1628)*(E2=E$1:E1628))))))</f>
        <v/>
      </c>
      <c r="K1629" s="24" t="str">
        <f aca="false">IF(OR(E1629="",E1629="!!!",F1629="NEW"),"",INDEX(J$1:J1628,SUMPRODUCT(MAX(ROW(E$1:E1628)*(E1629=E$1:E1628)))))</f>
        <v/>
      </c>
      <c r="L1629" s="25"/>
    </row>
    <row r="1630" customFormat="false" ht="14.25" hidden="false" customHeight="false" outlineLevel="0" collapsed="false">
      <c r="A1630" s="0" t="s">
        <v>963</v>
      </c>
      <c r="E1630" s="20" t="str">
        <f aca="false">IF(D1630="?OLD","!!!","")</f>
        <v/>
      </c>
      <c r="F1630" s="21" t="str">
        <f aca="false">IF(OR(E1630="",E1630="!!!"),"",IF(NOT(ISNA(VLOOKUP(E1630,E$1:E1629,1,FALSE()))),"OLD",IF(AND(E1630&lt;&gt;"",E1630&lt;&gt;"!!!"),"NEW","")))</f>
        <v/>
      </c>
      <c r="G1630" s="22" t="str">
        <f aca="false"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/>
      </c>
      <c r="H1630" s="23" t="str">
        <f aca="false">IF(J1630&lt;&gt;1,"",IF(I1630="SBJ","CB","?"))</f>
        <v/>
      </c>
      <c r="I1630" s="24" t="str">
        <f aca="false">IF(OR(E1630="",E1630="!!!",F1630="NEW"),"",INDEX(B$2:B1629,-1+SUMPRODUCT(MAX(ROW(E$2:E1629)*(E1630=E$2:E1629)))))</f>
        <v/>
      </c>
      <c r="J1630" s="24" t="str">
        <f aca="true">IF(OR(E1630="",E1630="!!!",F1630="NEW"),"",COUNTBLANK(OFFSET(A$1,,,SUMPRODUCT(MAX(ROW(E$2:E1630)*(E1630=E$2:E1630)))))-COUNTBLANK(OFFSET(A$1,,,SUMPRODUCT(MAX(ROW(E$1:E1629)*(E2=E$1:E1629))))))</f>
        <v/>
      </c>
      <c r="K1630" s="24" t="str">
        <f aca="false">IF(OR(E1630="",E1630="!!!",F1630="NEW"),"",INDEX(J$1:J1629,SUMPRODUCT(MAX(ROW(E$1:E1629)*(E1630=E$1:E1629)))))</f>
        <v/>
      </c>
      <c r="L1630" s="25"/>
    </row>
    <row r="1631" customFormat="false" ht="14.25" hidden="false" customHeight="false" outlineLevel="0" collapsed="false">
      <c r="A1631" s="0" t="s">
        <v>200</v>
      </c>
      <c r="E1631" s="20" t="str">
        <f aca="false">IF(D1631="?OLD","!!!","")</f>
        <v/>
      </c>
      <c r="F1631" s="21" t="str">
        <f aca="false">IF(OR(E1631="",E1631="!!!"),"",IF(NOT(ISNA(VLOOKUP(E1631,E$1:E1630,1,FALSE()))),"OLD",IF(AND(E1631&lt;&gt;"",E1631&lt;&gt;"!!!"),"NEW","")))</f>
        <v/>
      </c>
      <c r="G1631" s="22" t="str">
        <f aca="false"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3" t="str">
        <f aca="false">IF(J1631&lt;&gt;1,"",IF(I1631="SBJ","CB","?"))</f>
        <v/>
      </c>
      <c r="I1631" s="24" t="str">
        <f aca="false">IF(OR(E1631="",E1631="!!!",F1631="NEW"),"",INDEX(B$2:B1630,-1+SUMPRODUCT(MAX(ROW(E$2:E1630)*(E1631=E$2:E1630)))))</f>
        <v/>
      </c>
      <c r="J1631" s="24" t="str">
        <f aca="true">IF(OR(E1631="",E1631="!!!",F1631="NEW"),"",COUNTBLANK(OFFSET(A$1,,,SUMPRODUCT(MAX(ROW(E$2:E1631)*(E1631=E$2:E1631)))))-COUNTBLANK(OFFSET(A$1,,,SUMPRODUCT(MAX(ROW(E$1:E1630)*(E2=E$1:E1630))))))</f>
        <v/>
      </c>
      <c r="K1631" s="24" t="str">
        <f aca="false">IF(OR(E1631="",E1631="!!!",F1631="NEW"),"",INDEX(J$1:J1630,SUMPRODUCT(MAX(ROW(E$1:E1630)*(E1631=E$1:E1630)))))</f>
        <v/>
      </c>
      <c r="L1631" s="25"/>
    </row>
    <row r="1632" customFormat="false" ht="14.25" hidden="false" customHeight="false" outlineLevel="0" collapsed="false">
      <c r="A1632" s="0" t="s">
        <v>136</v>
      </c>
      <c r="E1632" s="20" t="str">
        <f aca="false">IF(D1632="?OLD","!!!","")</f>
        <v/>
      </c>
      <c r="F1632" s="21" t="str">
        <f aca="false">IF(OR(E1632="",E1632="!!!"),"",IF(NOT(ISNA(VLOOKUP(E1632,E$1:E1631,1,FALSE()))),"OLD",IF(AND(E1632&lt;&gt;"",E1632&lt;&gt;"!!!"),"NEW","")))</f>
        <v/>
      </c>
      <c r="G1632" s="22" t="str">
        <f aca="false"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3" t="str">
        <f aca="false">IF(J1632&lt;&gt;1,"",IF(I1632="SBJ","CB","?"))</f>
        <v/>
      </c>
      <c r="I1632" s="24" t="str">
        <f aca="false">IF(OR(E1632="",E1632="!!!",F1632="NEW"),"",INDEX(B$2:B1631,-1+SUMPRODUCT(MAX(ROW(E$2:E1631)*(E1632=E$2:E1631)))))</f>
        <v/>
      </c>
      <c r="J1632" s="24" t="str">
        <f aca="true">IF(OR(E1632="",E1632="!!!",F1632="NEW"),"",COUNTBLANK(OFFSET(A$1,,,SUMPRODUCT(MAX(ROW(E$2:E1632)*(E1632=E$2:E1632)))))-COUNTBLANK(OFFSET(A$1,,,SUMPRODUCT(MAX(ROW(E$1:E1631)*(E2=E$1:E1631))))))</f>
        <v/>
      </c>
      <c r="K1632" s="24" t="str">
        <f aca="false">IF(OR(E1632="",E1632="!!!",F1632="NEW"),"",INDEX(J$1:J1631,SUMPRODUCT(MAX(ROW(E$1:E1631)*(E1632=E$1:E1631)))))</f>
        <v/>
      </c>
      <c r="L1632" s="25"/>
    </row>
    <row r="1633" customFormat="false" ht="14.25" hidden="false" customHeight="false" outlineLevel="0" collapsed="false">
      <c r="A1633" s="0" t="s">
        <v>964</v>
      </c>
      <c r="E1633" s="20" t="str">
        <f aca="false">IF(D1633="?OLD","!!!","")</f>
        <v/>
      </c>
      <c r="F1633" s="21" t="str">
        <f aca="false">IF(OR(E1633="",E1633="!!!"),"",IF(NOT(ISNA(VLOOKUP(E1633,E$1:E1632,1,FALSE()))),"OLD",IF(AND(E1633&lt;&gt;"",E1633&lt;&gt;"!!!"),"NEW","")))</f>
        <v/>
      </c>
      <c r="G1633" s="22" t="str">
        <f aca="false"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3" t="str">
        <f aca="false">IF(J1633&lt;&gt;1,"",IF(I1633="SBJ","CB","?"))</f>
        <v/>
      </c>
      <c r="I1633" s="24" t="str">
        <f aca="false">IF(OR(E1633="",E1633="!!!",F1633="NEW"),"",INDEX(B$2:B1632,-1+SUMPRODUCT(MAX(ROW(E$2:E1632)*(E1633=E$2:E1632)))))</f>
        <v/>
      </c>
      <c r="J1633" s="24" t="str">
        <f aca="true">IF(OR(E1633="",E1633="!!!",F1633="NEW"),"",COUNTBLANK(OFFSET(A$1,,,SUMPRODUCT(MAX(ROW(E$2:E1633)*(E1633=E$2:E1633)))))-COUNTBLANK(OFFSET(A$1,,,SUMPRODUCT(MAX(ROW(E$1:E1632)*(E2=E$1:E1632))))))</f>
        <v/>
      </c>
      <c r="K1633" s="24" t="str">
        <f aca="false">IF(OR(E1633="",E1633="!!!",F1633="NEW"),"",INDEX(J$1:J1632,SUMPRODUCT(MAX(ROW(E$1:E1632)*(E1633=E$1:E1632)))))</f>
        <v/>
      </c>
      <c r="L1633" s="25"/>
    </row>
    <row r="1634" customFormat="false" ht="14.25" hidden="false" customHeight="false" outlineLevel="0" collapsed="false">
      <c r="A1634" s="0" t="s">
        <v>427</v>
      </c>
      <c r="B1634" s="26" t="s">
        <v>422</v>
      </c>
      <c r="C1634" s="26" t="s">
        <v>74</v>
      </c>
      <c r="D1634" s="26" t="s">
        <v>75</v>
      </c>
      <c r="E1634" s="20" t="s">
        <v>965</v>
      </c>
      <c r="F1634" s="21" t="str">
        <f aca="false">IF(OR(E1634="",E1634="!!!"),"",IF(NOT(ISNA(VLOOKUP(E1634,E$1:E1633,1,FALSE()))),"OLD",IF(AND(E1634&lt;&gt;"",E1634&lt;&gt;"!!!"),"NEW","")))</f>
        <v>NEW</v>
      </c>
      <c r="G1634" s="22" t="str">
        <f aca="false"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?REFERENTIAL</v>
      </c>
      <c r="H1634" s="23" t="str">
        <f aca="false">IF(J1634&lt;&gt;1,"",IF(I1634="SBJ","CB","?"))</f>
        <v/>
      </c>
      <c r="I1634" s="24" t="str">
        <f aca="false">IF(OR(E1634="",E1634="!!!",F1634="NEW"),"",INDEX(B$2:B1633,-1+SUMPRODUCT(MAX(ROW(E$2:E1633)*(E1634=E$2:E1633)))))</f>
        <v/>
      </c>
      <c r="J1634" s="24" t="str">
        <f aca="true">IF(OR(E1634="",E1634="!!!",F1634="NEW"),"",COUNTBLANK(OFFSET(A$1,,,SUMPRODUCT(MAX(ROW(E$2:E1634)*(E1634=E$2:E1634)))))-COUNTBLANK(OFFSET(A$1,,,SUMPRODUCT(MAX(ROW(E$1:E1633)*(E2=E$1:E1633))))))</f>
        <v/>
      </c>
      <c r="K1634" s="24" t="str">
        <f aca="false">IF(OR(E1634="",E1634="!!!",F1634="NEW"),"",INDEX(J$1:J1633,SUMPRODUCT(MAX(ROW(E$1:E1633)*(E1634=E$1:E1633)))))</f>
        <v/>
      </c>
      <c r="L1634" s="25"/>
    </row>
    <row r="1635" customFormat="false" ht="14.25" hidden="false" customHeight="false" outlineLevel="0" collapsed="false">
      <c r="A1635" s="0" t="s">
        <v>142</v>
      </c>
      <c r="E1635" s="20" t="str">
        <f aca="false">IF(D1635="?OLD","!!!","")</f>
        <v/>
      </c>
      <c r="F1635" s="21" t="str">
        <f aca="false">IF(OR(E1635="",E1635="!!!"),"",IF(NOT(ISNA(VLOOKUP(E1635,E$1:E1634,1,FALSE()))),"OLD",IF(AND(E1635&lt;&gt;"",E1635&lt;&gt;"!!!"),"NEW","")))</f>
        <v/>
      </c>
      <c r="G1635" s="22" t="str">
        <f aca="false"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3" t="str">
        <f aca="false">IF(J1635&lt;&gt;1,"",IF(I1635="SBJ","CB","?"))</f>
        <v/>
      </c>
      <c r="I1635" s="24" t="str">
        <f aca="false">IF(OR(E1635="",E1635="!!!",F1635="NEW"),"",INDEX(B$2:B1634,-1+SUMPRODUCT(MAX(ROW(E$2:E1634)*(E1635=E$2:E1634)))))</f>
        <v/>
      </c>
      <c r="J1635" s="24" t="str">
        <f aca="true">IF(OR(E1635="",E1635="!!!",F1635="NEW"),"",COUNTBLANK(OFFSET(A$1,,,SUMPRODUCT(MAX(ROW(E$2:E1635)*(E1635=E$2:E1635)))))-COUNTBLANK(OFFSET(A$1,,,SUMPRODUCT(MAX(ROW(E$1:E1634)*(E2=E$1:E1634))))))</f>
        <v/>
      </c>
      <c r="K1635" s="24" t="str">
        <f aca="false">IF(OR(E1635="",E1635="!!!",F1635="NEW"),"",INDEX(J$1:J1634,SUMPRODUCT(MAX(ROW(E$1:E1634)*(E1635=E$1:E1634)))))</f>
        <v/>
      </c>
      <c r="L1635" s="25"/>
    </row>
    <row r="1636" customFormat="false" ht="14.25" hidden="false" customHeight="false" outlineLevel="0" collapsed="false">
      <c r="A1636" s="0" t="s">
        <v>961</v>
      </c>
      <c r="B1636" s="26" t="s">
        <v>571</v>
      </c>
      <c r="C1636" s="26" t="s">
        <v>105</v>
      </c>
      <c r="E1636" s="20"/>
      <c r="F1636" s="21" t="str">
        <f aca="false">IF(OR(E1636="",E1636="!!!"),"",IF(NOT(ISNA(VLOOKUP(E1636,E$1:E1635,1,FALSE()))),"OLD",IF(AND(E1636&lt;&gt;"",E1636&lt;&gt;"!!!"),"NEW","")))</f>
        <v/>
      </c>
      <c r="G1636" s="22" t="str">
        <f aca="false"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3" t="str">
        <f aca="false">IF(J1636&lt;&gt;1,"",IF(I1636="SBJ","CB","?"))</f>
        <v/>
      </c>
      <c r="I1636" s="24" t="str">
        <f aca="false">IF(OR(E1636="",E1636="!!!",F1636="NEW"),"",INDEX(B$2:B1635,-1+SUMPRODUCT(MAX(ROW(E$2:E1635)*(E1636=E$2:E1635)))))</f>
        <v/>
      </c>
      <c r="J1636" s="24" t="str">
        <f aca="true">IF(OR(E1636="",E1636="!!!",F1636="NEW"),"",COUNTBLANK(OFFSET(A$1,,,SUMPRODUCT(MAX(ROW(E$2:E1636)*(E1636=E$2:E1636)))))-COUNTBLANK(OFFSET(A$1,,,SUMPRODUCT(MAX(ROW(E$1:E1635)*(E2=E$1:E1635))))))</f>
        <v/>
      </c>
      <c r="K1636" s="24" t="str">
        <f aca="false">IF(OR(E1636="",E1636="!!!",F1636="NEW"),"",INDEX(J$1:J1635,SUMPRODUCT(MAX(ROW(E$1:E1635)*(E1636=E$1:E1635)))))</f>
        <v/>
      </c>
      <c r="L1636" s="25"/>
    </row>
    <row r="1637" customFormat="false" ht="14.25" hidden="false" customHeight="false" outlineLevel="0" collapsed="false">
      <c r="A1637" s="0" t="s">
        <v>112</v>
      </c>
      <c r="E1637" s="20" t="str">
        <f aca="false">IF(D1637="?OLD","!!!","")</f>
        <v/>
      </c>
      <c r="F1637" s="21" t="str">
        <f aca="false">IF(OR(E1637="",E1637="!!!"),"",IF(NOT(ISNA(VLOOKUP(E1637,E$1:E1636,1,FALSE()))),"OLD",IF(AND(E1637&lt;&gt;"",E1637&lt;&gt;"!!!"),"NEW","")))</f>
        <v/>
      </c>
      <c r="G1637" s="22" t="str">
        <f aca="false"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/>
      </c>
      <c r="H1637" s="23" t="str">
        <f aca="false">IF(J1637&lt;&gt;1,"",IF(I1637="SBJ","CB","?"))</f>
        <v/>
      </c>
      <c r="I1637" s="24" t="str">
        <f aca="false">IF(OR(E1637="",E1637="!!!",F1637="NEW"),"",INDEX(B$2:B1636,-1+SUMPRODUCT(MAX(ROW(E$2:E1636)*(E1637=E$2:E1636)))))</f>
        <v/>
      </c>
      <c r="J1637" s="24" t="str">
        <f aca="true">IF(OR(E1637="",E1637="!!!",F1637="NEW"),"",COUNTBLANK(OFFSET(A$1,,,SUMPRODUCT(MAX(ROW(E$2:E1637)*(E1637=E$2:E1637)))))-COUNTBLANK(OFFSET(A$1,,,SUMPRODUCT(MAX(ROW(E$1:E1636)*(E2=E$1:E1636))))))</f>
        <v/>
      </c>
      <c r="K1637" s="24" t="str">
        <f aca="false">IF(OR(E1637="",E1637="!!!",F1637="NEW"),"",INDEX(J$1:J1636,SUMPRODUCT(MAX(ROW(E$1:E1636)*(E1637=E$1:E1636)))))</f>
        <v/>
      </c>
      <c r="L1637" s="25"/>
    </row>
    <row r="1638" customFormat="false" ht="14.25" hidden="false" customHeight="false" outlineLevel="0" collapsed="false">
      <c r="A1638" s="0" t="s">
        <v>966</v>
      </c>
      <c r="E1638" s="20" t="str">
        <f aca="false">IF(D1638="?OLD","!!!","")</f>
        <v/>
      </c>
      <c r="F1638" s="21" t="str">
        <f aca="false">IF(OR(E1638="",E1638="!!!"),"",IF(NOT(ISNA(VLOOKUP(E1638,E$1:E1637,1,FALSE()))),"OLD",IF(AND(E1638&lt;&gt;"",E1638&lt;&gt;"!!!"),"NEW","")))</f>
        <v/>
      </c>
      <c r="G1638" s="22" t="str">
        <f aca="false"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3" t="str">
        <f aca="false">IF(J1638&lt;&gt;1,"",IF(I1638="SBJ","CB","?"))</f>
        <v/>
      </c>
      <c r="I1638" s="24" t="str">
        <f aca="false">IF(OR(E1638="",E1638="!!!",F1638="NEW"),"",INDEX(B$2:B1637,-1+SUMPRODUCT(MAX(ROW(E$2:E1637)*(E1638=E$2:E1637)))))</f>
        <v/>
      </c>
      <c r="J1638" s="24" t="str">
        <f aca="true">IF(OR(E1638="",E1638="!!!",F1638="NEW"),"",COUNTBLANK(OFFSET(A$1,,,SUMPRODUCT(MAX(ROW(E$2:E1638)*(E1638=E$2:E1638)))))-COUNTBLANK(OFFSET(A$1,,,SUMPRODUCT(MAX(ROW(E$1:E1637)*(E2=E$1:E1637))))))</f>
        <v/>
      </c>
      <c r="K1638" s="24" t="str">
        <f aca="false">IF(OR(E1638="",E1638="!!!",F1638="NEW"),"",INDEX(J$1:J1637,SUMPRODUCT(MAX(ROW(E$1:E1637)*(E1638=E$1:E1637)))))</f>
        <v/>
      </c>
      <c r="L1638" s="25"/>
    </row>
    <row r="1639" customFormat="false" ht="14.25" hidden="false" customHeight="false" outlineLevel="0" collapsed="false">
      <c r="A1639" s="0" t="s">
        <v>967</v>
      </c>
      <c r="B1639" s="26" t="s">
        <v>571</v>
      </c>
      <c r="C1639" s="26" t="s">
        <v>74</v>
      </c>
      <c r="D1639" s="26" t="s">
        <v>75</v>
      </c>
      <c r="E1639" s="20" t="s">
        <v>968</v>
      </c>
      <c r="F1639" s="21" t="str">
        <f aca="false">IF(OR(E1639="",E1639="!!!"),"",IF(NOT(ISNA(VLOOKUP(E1639,E$1:E1638,1,FALSE()))),"OLD",IF(AND(E1639&lt;&gt;"",E1639&lt;&gt;"!!!"),"NEW","")))</f>
        <v>NEW</v>
      </c>
      <c r="G1639" s="22" t="str">
        <f aca="false"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?REFERENTIAL</v>
      </c>
      <c r="H1639" s="23" t="str">
        <f aca="false">IF(J1639&lt;&gt;1,"",IF(I1639="SBJ","CB","?"))</f>
        <v/>
      </c>
      <c r="I1639" s="24" t="str">
        <f aca="false">IF(OR(E1639="",E1639="!!!",F1639="NEW"),"",INDEX(B$2:B1638,-1+SUMPRODUCT(MAX(ROW(E$2:E1638)*(E1639=E$2:E1638)))))</f>
        <v/>
      </c>
      <c r="J1639" s="24" t="str">
        <f aca="true">IF(OR(E1639="",E1639="!!!",F1639="NEW"),"",COUNTBLANK(OFFSET(A$1,,,SUMPRODUCT(MAX(ROW(E$2:E1639)*(E1639=E$2:E1639)))))-COUNTBLANK(OFFSET(A$1,,,SUMPRODUCT(MAX(ROW(E$1:E1638)*(E2=E$1:E1638))))))</f>
        <v/>
      </c>
      <c r="K1639" s="24" t="str">
        <f aca="false">IF(OR(E1639="",E1639="!!!",F1639="NEW"),"",INDEX(J$1:J1638,SUMPRODUCT(MAX(ROW(E$1:E1638)*(E1639=E$1:E1638)))))</f>
        <v/>
      </c>
      <c r="L1639" s="25"/>
    </row>
    <row r="1640" customFormat="false" ht="14.25" hidden="false" customHeight="false" outlineLevel="0" collapsed="false">
      <c r="A1640" s="0" t="s">
        <v>86</v>
      </c>
      <c r="E1640" s="20" t="str">
        <f aca="false">IF(D1640="?OLD","!!!","")</f>
        <v/>
      </c>
      <c r="F1640" s="21" t="str">
        <f aca="false">IF(OR(E1640="",E1640="!!!"),"",IF(NOT(ISNA(VLOOKUP(E1640,E$1:E1639,1,FALSE()))),"OLD",IF(AND(E1640&lt;&gt;"",E1640&lt;&gt;"!!!"),"NEW","")))</f>
        <v/>
      </c>
      <c r="G1640" s="22" t="str">
        <f aca="false"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3" t="str">
        <f aca="false">IF(J1640&lt;&gt;1,"",IF(I1640="SBJ","CB","?"))</f>
        <v/>
      </c>
      <c r="I1640" s="24" t="str">
        <f aca="false">IF(OR(E1640="",E1640="!!!",F1640="NEW"),"",INDEX(B$2:B1639,-1+SUMPRODUCT(MAX(ROW(E$2:E1639)*(E1640=E$2:E1639)))))</f>
        <v/>
      </c>
      <c r="J1640" s="24" t="str">
        <f aca="true">IF(OR(E1640="",E1640="!!!",F1640="NEW"),"",COUNTBLANK(OFFSET(A$1,,,SUMPRODUCT(MAX(ROW(E$2:E1640)*(E1640=E$2:E1640)))))-COUNTBLANK(OFFSET(A$1,,,SUMPRODUCT(MAX(ROW(E$1:E1639)*(E2=E$1:E1639))))))</f>
        <v/>
      </c>
      <c r="K1640" s="24" t="str">
        <f aca="false">IF(OR(E1640="",E1640="!!!",F1640="NEW"),"",INDEX(J$1:J1639,SUMPRODUCT(MAX(ROW(E$1:E1639)*(E1640=E$1:E1639)))))</f>
        <v/>
      </c>
      <c r="L1640" s="25"/>
    </row>
    <row r="1641" customFormat="false" ht="14.25" hidden="false" customHeight="false" outlineLevel="0" collapsed="false">
      <c r="A1641" s="0" t="s">
        <v>376</v>
      </c>
      <c r="E1641" s="20" t="str">
        <f aca="false">IF(D1641="?OLD","!!!","")</f>
        <v/>
      </c>
      <c r="F1641" s="21" t="str">
        <f aca="false">IF(OR(E1641="",E1641="!!!"),"",IF(NOT(ISNA(VLOOKUP(E1641,E$1:E1640,1,FALSE()))),"OLD",IF(AND(E1641&lt;&gt;"",E1641&lt;&gt;"!!!"),"NEW","")))</f>
        <v/>
      </c>
      <c r="G1641" s="22" t="str">
        <f aca="false"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3" t="str">
        <f aca="false">IF(J1641&lt;&gt;1,"",IF(I1641="SBJ","CB","?"))</f>
        <v/>
      </c>
      <c r="I1641" s="24" t="str">
        <f aca="false">IF(OR(E1641="",E1641="!!!",F1641="NEW"),"",INDEX(B$2:B1640,-1+SUMPRODUCT(MAX(ROW(E$2:E1640)*(E1641=E$2:E1640)))))</f>
        <v/>
      </c>
      <c r="J1641" s="24" t="str">
        <f aca="true">IF(OR(E1641="",E1641="!!!",F1641="NEW"),"",COUNTBLANK(OFFSET(A$1,,,SUMPRODUCT(MAX(ROW(E$2:E1641)*(E1641=E$2:E1641)))))-COUNTBLANK(OFFSET(A$1,,,SUMPRODUCT(MAX(ROW(E$1:E1640)*(E2=E$1:E1640))))))</f>
        <v/>
      </c>
      <c r="K1641" s="24" t="str">
        <f aca="false">IF(OR(E1641="",E1641="!!!",F1641="NEW"),"",INDEX(J$1:J1640,SUMPRODUCT(MAX(ROW(E$1:E1640)*(E1641=E$1:E1640)))))</f>
        <v/>
      </c>
      <c r="L1641" s="25"/>
    </row>
    <row r="1642" customFormat="false" ht="14.25" hidden="false" customHeight="false" outlineLevel="0" collapsed="false">
      <c r="A1642" s="0" t="s">
        <v>969</v>
      </c>
      <c r="E1642" s="20" t="str">
        <f aca="false">IF(D1642="?OLD","!!!","")</f>
        <v/>
      </c>
      <c r="F1642" s="21" t="str">
        <f aca="false">IF(OR(E1642="",E1642="!!!"),"",IF(NOT(ISNA(VLOOKUP(E1642,E$1:E1641,1,FALSE()))),"OLD",IF(AND(E1642&lt;&gt;"",E1642&lt;&gt;"!!!"),"NEW","")))</f>
        <v/>
      </c>
      <c r="G1642" s="22" t="str">
        <f aca="false"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3" t="str">
        <f aca="false">IF(J1642&lt;&gt;1,"",IF(I1642="SBJ","CB","?"))</f>
        <v/>
      </c>
      <c r="I1642" s="24" t="str">
        <f aca="false">IF(OR(E1642="",E1642="!!!",F1642="NEW"),"",INDEX(B$2:B1641,-1+SUMPRODUCT(MAX(ROW(E$2:E1641)*(E1642=E$2:E1641)))))</f>
        <v/>
      </c>
      <c r="J1642" s="24" t="str">
        <f aca="true">IF(OR(E1642="",E1642="!!!",F1642="NEW"),"",COUNTBLANK(OFFSET(A$1,,,SUMPRODUCT(MAX(ROW(E$2:E1642)*(E1642=E$2:E1642)))))-COUNTBLANK(OFFSET(A$1,,,SUMPRODUCT(MAX(ROW(E$1:E1641)*(E2=E$1:E1641))))))</f>
        <v/>
      </c>
      <c r="K1642" s="24" t="str">
        <f aca="false">IF(OR(E1642="",E1642="!!!",F1642="NEW"),"",INDEX(J$1:J1641,SUMPRODUCT(MAX(ROW(E$1:E1641)*(E1642=E$1:E1641)))))</f>
        <v/>
      </c>
      <c r="L1642" s="25"/>
    </row>
    <row r="1643" customFormat="false" ht="14.25" hidden="false" customHeight="false" outlineLevel="0" collapsed="false">
      <c r="A1643" s="0" t="s">
        <v>230</v>
      </c>
      <c r="E1643" s="20" t="str">
        <f aca="false">IF(D1643="?OLD","!!!","")</f>
        <v/>
      </c>
      <c r="F1643" s="21" t="str">
        <f aca="false">IF(OR(E1643="",E1643="!!!"),"",IF(NOT(ISNA(VLOOKUP(E1643,E$1:E1642,1,FALSE()))),"OLD",IF(AND(E1643&lt;&gt;"",E1643&lt;&gt;"!!!"),"NEW","")))</f>
        <v/>
      </c>
      <c r="G1643" s="22" t="str">
        <f aca="false"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3" t="str">
        <f aca="false">IF(J1643&lt;&gt;1,"",IF(I1643="SBJ","CB","?"))</f>
        <v/>
      </c>
      <c r="I1643" s="24" t="str">
        <f aca="false">IF(OR(E1643="",E1643="!!!",F1643="NEW"),"",INDEX(B$2:B1642,-1+SUMPRODUCT(MAX(ROW(E$2:E1642)*(E1643=E$2:E1642)))))</f>
        <v/>
      </c>
      <c r="J1643" s="24" t="str">
        <f aca="true">IF(OR(E1643="",E1643="!!!",F1643="NEW"),"",COUNTBLANK(OFFSET(A$1,,,SUMPRODUCT(MAX(ROW(E$2:E1643)*(E1643=E$2:E1643)))))-COUNTBLANK(OFFSET(A$1,,,SUMPRODUCT(MAX(ROW(E$1:E1642)*(E2=E$1:E1642))))))</f>
        <v/>
      </c>
      <c r="K1643" s="24" t="str">
        <f aca="false">IF(OR(E1643="",E1643="!!!",F1643="NEW"),"",INDEX(J$1:J1642,SUMPRODUCT(MAX(ROW(E$1:E1642)*(E1643=E$1:E1642)))))</f>
        <v/>
      </c>
      <c r="L1643" s="25"/>
    </row>
    <row r="1644" customFormat="false" ht="14.25" hidden="false" customHeight="false" outlineLevel="0" collapsed="false">
      <c r="A1644" s="0" t="s">
        <v>123</v>
      </c>
      <c r="E1644" s="20" t="str">
        <f aca="false">IF(D1644="?OLD","!!!","")</f>
        <v/>
      </c>
      <c r="F1644" s="21"/>
      <c r="G1644" s="22" t="str">
        <f aca="false"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3" t="str">
        <f aca="false">IF(J1644&lt;&gt;1,"",IF(I1644="SBJ","CB","?"))</f>
        <v/>
      </c>
      <c r="I1644" s="24" t="str">
        <f aca="false">IF(OR(E1644="",E1644="!!!",F1644="NEW"),"",INDEX(B$2:B1643,-1+SUMPRODUCT(MAX(ROW(E$2:E1643)*(E1644=E$2:E1643)))))</f>
        <v/>
      </c>
      <c r="J1644" s="24" t="str">
        <f aca="true">IF(OR(E1644="",E1644="!!!",F1644="NEW"),"",COUNTBLANK(OFFSET(A$1,,,SUMPRODUCT(MAX(ROW(E$2:E1644)*(E1644=E$2:E1644)))))-COUNTBLANK(OFFSET(A$1,,,SUMPRODUCT(MAX(ROW(E$1:E1643)*(E2=E$1:E1643))))))</f>
        <v/>
      </c>
      <c r="K1644" s="24" t="str">
        <f aca="false">IF(OR(E1644="",E1644="!!!",F1644="NEW"),"",INDEX(J$1:J1643,SUMPRODUCT(MAX(ROW(E$1:E1643)*(E1644=E$1:E1643)))))</f>
        <v/>
      </c>
      <c r="L1644" s="25"/>
    </row>
    <row r="1645" customFormat="false" ht="14.25" hidden="false" customHeight="false" outlineLevel="0" collapsed="false">
      <c r="A1645" s="0" t="s">
        <v>339</v>
      </c>
      <c r="E1645" s="20" t="str">
        <f aca="false">IF(D1645="?OLD","!!!","")</f>
        <v/>
      </c>
      <c r="F1645" s="21" t="str">
        <f aca="false">IF(OR(E1645="",E1645="!!!"),"",IF(NOT(ISNA(VLOOKUP(E1645,E$1:E1644,1,FALSE()))),"OLD",IF(AND(E1645&lt;&gt;"",E1645&lt;&gt;"!!!"),"NEW","")))</f>
        <v/>
      </c>
      <c r="G1645" s="22" t="str">
        <f aca="false"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3" t="str">
        <f aca="false">IF(J1645&lt;&gt;1,"",IF(I1645="SBJ","CB","?"))</f>
        <v/>
      </c>
      <c r="I1645" s="24" t="str">
        <f aca="false">IF(OR(E1645="",E1645="!!!",F1645="NEW"),"",INDEX(B$2:B1644,-1+SUMPRODUCT(MAX(ROW(E$2:E1644)*(E1645=E$2:E1644)))))</f>
        <v/>
      </c>
      <c r="J1645" s="24" t="str">
        <f aca="true">IF(OR(E1645="",E1645="!!!",F1645="NEW"),"",COUNTBLANK(OFFSET(A$1,,,SUMPRODUCT(MAX(ROW(E$2:E1645)*(E1645=E$2:E1645)))))-COUNTBLANK(OFFSET(A$1,,,SUMPRODUCT(MAX(ROW(E$1:E1644)*(E2=E$1:E1644))))))</f>
        <v/>
      </c>
      <c r="K1645" s="24" t="str">
        <f aca="false">IF(OR(E1645="",E1645="!!!",F1645="NEW"),"",INDEX(J$1:J1644,SUMPRODUCT(MAX(ROW(E$1:E1644)*(E1645=E$1:E1644)))))</f>
        <v/>
      </c>
      <c r="L1645" s="25"/>
    </row>
    <row r="1646" customFormat="false" ht="14.25" hidden="false" customHeight="false" outlineLevel="0" collapsed="false">
      <c r="A1646" s="0" t="s">
        <v>970</v>
      </c>
      <c r="B1646" s="26" t="s">
        <v>214</v>
      </c>
      <c r="C1646" s="26" t="s">
        <v>341</v>
      </c>
      <c r="E1646" s="20" t="str">
        <f aca="false">IF(D1646="?OLD","!!!","")</f>
        <v/>
      </c>
      <c r="F1646" s="21" t="str">
        <f aca="false">IF(OR(E1646="",E1646="!!!"),"",IF(NOT(ISNA(VLOOKUP(E1646,E$1:E1645,1,FALSE()))),"OLD",IF(AND(E1646&lt;&gt;"",E1646&lt;&gt;"!!!"),"NEW","")))</f>
        <v/>
      </c>
      <c r="G1646" s="22" t="str">
        <f aca="false"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3" t="str">
        <f aca="false">IF(J1646&lt;&gt;1,"",IF(I1646="SBJ","CB","?"))</f>
        <v/>
      </c>
      <c r="I1646" s="24" t="str">
        <f aca="false">IF(OR(E1646="",E1646="!!!",F1646="NEW"),"",INDEX(B$2:B1645,-1+SUMPRODUCT(MAX(ROW(E$2:E1645)*(E1646=E$2:E1645)))))</f>
        <v/>
      </c>
      <c r="J1646" s="24" t="str">
        <f aca="true">IF(OR(E1646="",E1646="!!!",F1646="NEW"),"",COUNTBLANK(OFFSET(A$1,,,SUMPRODUCT(MAX(ROW(E$2:E1646)*(E1646=E$2:E1646)))))-COUNTBLANK(OFFSET(A$1,,,SUMPRODUCT(MAX(ROW(E$1:E1645)*(E2=E$1:E1645))))))</f>
        <v/>
      </c>
      <c r="K1646" s="24" t="str">
        <f aca="false">IF(OR(E1646="",E1646="!!!",F1646="NEW"),"",INDEX(J$1:J1645,SUMPRODUCT(MAX(ROW(E$1:E1645)*(E1646=E$1:E1645)))))</f>
        <v/>
      </c>
      <c r="L1646" s="25"/>
    </row>
    <row r="1647" customFormat="false" ht="14.25" hidden="false" customHeight="false" outlineLevel="0" collapsed="false">
      <c r="A1647" s="0" t="s">
        <v>101</v>
      </c>
      <c r="E1647" s="20" t="str">
        <f aca="false">IF(D1647="?OLD","!!!","")</f>
        <v/>
      </c>
      <c r="F1647" s="21" t="str">
        <f aca="false">IF(OR(E1647="",E1647="!!!"),"",IF(NOT(ISNA(VLOOKUP(E1647,E$1:E1646,1,FALSE()))),"OLD",IF(AND(E1647&lt;&gt;"",E1647&lt;&gt;"!!!"),"NEW","")))</f>
        <v/>
      </c>
      <c r="G1647" s="22" t="str">
        <f aca="false"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3" t="str">
        <f aca="false">IF(J1647&lt;&gt;1,"",IF(I1647="SBJ","CB","?"))</f>
        <v/>
      </c>
      <c r="I1647" s="24" t="str">
        <f aca="false">IF(OR(E1647="",E1647="!!!",F1647="NEW"),"",INDEX(B$2:B1646,-1+SUMPRODUCT(MAX(ROW(E$2:E1646)*(E1647=E$2:E1646)))))</f>
        <v/>
      </c>
      <c r="J1647" s="24" t="str">
        <f aca="true">IF(OR(E1647="",E1647="!!!",F1647="NEW"),"",COUNTBLANK(OFFSET(A$1,,,SUMPRODUCT(MAX(ROW(E$2:E1647)*(E1647=E$2:E1647)))))-COUNTBLANK(OFFSET(A$1,,,SUMPRODUCT(MAX(ROW(E$1:E1646)*(E2=E$1:E1646))))))</f>
        <v/>
      </c>
      <c r="K1647" s="24" t="str">
        <f aca="false">IF(OR(E1647="",E1647="!!!",F1647="NEW"),"",INDEX(J$1:J1646,SUMPRODUCT(MAX(ROW(E$1:E1646)*(E1647=E$1:E1646)))))</f>
        <v/>
      </c>
      <c r="L1647" s="25"/>
    </row>
    <row r="1648" customFormat="false" ht="14.25" hidden="false" customHeight="false" outlineLevel="0" collapsed="false">
      <c r="A1648" s="0" t="s">
        <v>271</v>
      </c>
      <c r="E1648" s="20" t="str">
        <f aca="false">IF(D1648="?OLD","!!!","")</f>
        <v/>
      </c>
      <c r="F1648" s="21" t="str">
        <f aca="false">IF(OR(E1648="",E1648="!!!"),"",IF(NOT(ISNA(VLOOKUP(E1648,E$1:E1647,1,FALSE()))),"OLD",IF(AND(E1648&lt;&gt;"",E1648&lt;&gt;"!!!"),"NEW","")))</f>
        <v/>
      </c>
      <c r="G1648" s="22" t="str">
        <f aca="false"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3" t="str">
        <f aca="false">IF(J1648&lt;&gt;1,"",IF(I1648="SBJ","CB","?"))</f>
        <v/>
      </c>
      <c r="I1648" s="24" t="str">
        <f aca="false">IF(OR(E1648="",E1648="!!!",F1648="NEW"),"",INDEX(B$2:B1647,-1+SUMPRODUCT(MAX(ROW(E$2:E1647)*(E1648=E$2:E1647)))))</f>
        <v/>
      </c>
      <c r="J1648" s="24" t="str">
        <f aca="true">IF(OR(E1648="",E1648="!!!",F1648="NEW"),"",COUNTBLANK(OFFSET(A$1,,,SUMPRODUCT(MAX(ROW(E$2:E1648)*(E1648=E$2:E1648)))))-COUNTBLANK(OFFSET(A$1,,,SUMPRODUCT(MAX(ROW(E$1:E1647)*(E2=E$1:E1647))))))</f>
        <v/>
      </c>
      <c r="K1648" s="24" t="str">
        <f aca="false">IF(OR(E1648="",E1648="!!!",F1648="NEW"),"",INDEX(J$1:J1647,SUMPRODUCT(MAX(ROW(E$1:E1647)*(E1648=E$1:E1647)))))</f>
        <v/>
      </c>
      <c r="L1648" s="25"/>
    </row>
    <row r="1649" customFormat="false" ht="14.25" hidden="false" customHeight="false" outlineLevel="0" collapsed="false">
      <c r="A1649" s="0" t="s">
        <v>641</v>
      </c>
      <c r="E1649" s="20" t="str">
        <f aca="false">IF(D1649="?OLD","!!!","")</f>
        <v/>
      </c>
      <c r="F1649" s="21" t="str">
        <f aca="false">IF(OR(E1649="",E1649="!!!"),"",IF(NOT(ISNA(VLOOKUP(E1649,E$1:E1648,1,FALSE()))),"OLD",IF(AND(E1649&lt;&gt;"",E1649&lt;&gt;"!!!"),"NEW","")))</f>
        <v/>
      </c>
      <c r="G1649" s="22" t="str">
        <f aca="false"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/>
      </c>
      <c r="H1649" s="23" t="str">
        <f aca="false">IF(J1649&lt;&gt;1,"",IF(I1649="SBJ","CB","?"))</f>
        <v/>
      </c>
      <c r="I1649" s="24" t="str">
        <f aca="false">IF(OR(E1649="",E1649="!!!",F1649="NEW"),"",INDEX(B$2:B1648,-1+SUMPRODUCT(MAX(ROW(E$2:E1648)*(E1649=E$2:E1648)))))</f>
        <v/>
      </c>
      <c r="J1649" s="24" t="str">
        <f aca="true">IF(OR(E1649="",E1649="!!!",F1649="NEW"),"",COUNTBLANK(OFFSET(A$1,,,SUMPRODUCT(MAX(ROW(E$2:E1649)*(E1649=E$2:E1649)))))-COUNTBLANK(OFFSET(A$1,,,SUMPRODUCT(MAX(ROW(E$1:E1648)*(E2=E$1:E1648))))))</f>
        <v/>
      </c>
      <c r="K1649" s="24" t="str">
        <f aca="false">IF(OR(E1649="",E1649="!!!",F1649="NEW"),"",INDEX(J$1:J1648,SUMPRODUCT(MAX(ROW(E$1:E1648)*(E1649=E$1:E1648)))))</f>
        <v/>
      </c>
      <c r="L1649" s="25"/>
    </row>
    <row r="1650" customFormat="false" ht="14.25" hidden="false" customHeight="false" outlineLevel="0" collapsed="false">
      <c r="A1650" s="0" t="s">
        <v>971</v>
      </c>
      <c r="B1650" s="26" t="s">
        <v>419</v>
      </c>
      <c r="C1650" s="26" t="s">
        <v>151</v>
      </c>
      <c r="D1650" s="26" t="s">
        <v>75</v>
      </c>
      <c r="E1650" s="20" t="s">
        <v>972</v>
      </c>
      <c r="F1650" s="21" t="str">
        <f aca="false">IF(OR(E1650="",E1650="!!!"),"",IF(NOT(ISNA(VLOOKUP(E1650,E$1:E1649,1,FALSE()))),"OLD",IF(AND(E1650&lt;&gt;"",E1650&lt;&gt;"!!!"),"NEW","")))</f>
        <v>NEW</v>
      </c>
      <c r="G1650" s="22" t="str">
        <f aca="false"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?REFERENTIAL</v>
      </c>
      <c r="H1650" s="23" t="str">
        <f aca="false">IF(J1650&lt;&gt;1,"",IF(I1650="SBJ","CB","?"))</f>
        <v/>
      </c>
      <c r="I1650" s="24" t="str">
        <f aca="false">IF(OR(E1650="",E1650="!!!",F1650="NEW"),"",INDEX(B$2:B1649,-1+SUMPRODUCT(MAX(ROW(E$2:E1649)*(E1650=E$2:E1649)))))</f>
        <v/>
      </c>
      <c r="J1650" s="24" t="str">
        <f aca="true">IF(OR(E1650="",E1650="!!!",F1650="NEW"),"",COUNTBLANK(OFFSET(A$1,,,SUMPRODUCT(MAX(ROW(E$2:E1650)*(E1650=E$2:E1650)))))-COUNTBLANK(OFFSET(A$1,,,SUMPRODUCT(MAX(ROW(E$1:E1649)*(E2=E$1:E1649))))))</f>
        <v/>
      </c>
      <c r="K1650" s="24" t="str">
        <f aca="false">IF(OR(E1650="",E1650="!!!",F1650="NEW"),"",INDEX(J$1:J1649,SUMPRODUCT(MAX(ROW(E$1:E1649)*(E1650=E$1:E1649)))))</f>
        <v/>
      </c>
      <c r="L1650" s="25"/>
    </row>
    <row r="1651" customFormat="false" ht="14.25" hidden="false" customHeight="false" outlineLevel="0" collapsed="false">
      <c r="A1651" s="0" t="s">
        <v>275</v>
      </c>
      <c r="B1651" s="26" t="s">
        <v>419</v>
      </c>
      <c r="C1651" s="26" t="s">
        <v>111</v>
      </c>
      <c r="E1651" s="20" t="str">
        <f aca="false">IF(D1651="?OLD","!!!","")</f>
        <v/>
      </c>
      <c r="F1651" s="21" t="str">
        <f aca="false">IF(OR(E1651="",E1651="!!!"),"",IF(NOT(ISNA(VLOOKUP(E1651,E$1:E1650,1,FALSE()))),"OLD",IF(AND(E1651&lt;&gt;"",E1651&lt;&gt;"!!!"),"NEW","")))</f>
        <v/>
      </c>
      <c r="G1651" s="22" t="str">
        <f aca="false"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3" t="str">
        <f aca="false">IF(J1651&lt;&gt;1,"",IF(I1651="SBJ","CB","?"))</f>
        <v/>
      </c>
      <c r="I1651" s="24" t="str">
        <f aca="false">IF(OR(E1651="",E1651="!!!",F1651="NEW"),"",INDEX(B$2:B1650,-1+SUMPRODUCT(MAX(ROW(E$2:E1650)*(E1651=E$2:E1650)))))</f>
        <v/>
      </c>
      <c r="J1651" s="24" t="str">
        <f aca="true">IF(OR(E1651="",E1651="!!!",F1651="NEW"),"",COUNTBLANK(OFFSET(A$1,,,SUMPRODUCT(MAX(ROW(E$2:E1651)*(E1651=E$2:E1651)))))-COUNTBLANK(OFFSET(A$1,,,SUMPRODUCT(MAX(ROW(E$1:E1650)*(E2=E$1:E1650))))))</f>
        <v/>
      </c>
      <c r="K1651" s="24" t="str">
        <f aca="false">IF(OR(E1651="",E1651="!!!",F1651="NEW"),"",INDEX(J$1:J1650,SUMPRODUCT(MAX(ROW(E$1:E1650)*(E1651=E$1:E1650)))))</f>
        <v/>
      </c>
      <c r="L1651" s="25"/>
    </row>
    <row r="1652" customFormat="false" ht="14.25" hidden="false" customHeight="false" outlineLevel="0" collapsed="false">
      <c r="A1652" s="0" t="s">
        <v>178</v>
      </c>
      <c r="E1652" s="20" t="str">
        <f aca="false">IF(D1652="?OLD","!!!","")</f>
        <v/>
      </c>
      <c r="F1652" s="21" t="str">
        <f aca="false">IF(OR(E1652="",E1652="!!!"),"",IF(NOT(ISNA(VLOOKUP(E1652,E$1:E1651,1,FALSE()))),"OLD",IF(AND(E1652&lt;&gt;"",E1652&lt;&gt;"!!!"),"NEW","")))</f>
        <v/>
      </c>
      <c r="G1652" s="22" t="str">
        <f aca="false"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3" t="str">
        <f aca="false">IF(J1652&lt;&gt;1,"",IF(I1652="SBJ","CB","?"))</f>
        <v/>
      </c>
      <c r="I1652" s="24" t="str">
        <f aca="false">IF(OR(E1652="",E1652="!!!",F1652="NEW"),"",INDEX(B$2:B1651,-1+SUMPRODUCT(MAX(ROW(E$2:E1651)*(E1652=E$2:E1651)))))</f>
        <v/>
      </c>
      <c r="J1652" s="24" t="str">
        <f aca="true">IF(OR(E1652="",E1652="!!!",F1652="NEW"),"",COUNTBLANK(OFFSET(A$1,,,SUMPRODUCT(MAX(ROW(E$2:E1652)*(E1652=E$2:E1652)))))-COUNTBLANK(OFFSET(A$1,,,SUMPRODUCT(MAX(ROW(E$1:E1651)*(E2=E$1:E1651))))))</f>
        <v/>
      </c>
      <c r="K1652" s="24" t="str">
        <f aca="false">IF(OR(E1652="",E1652="!!!",F1652="NEW"),"",INDEX(J$1:J1651,SUMPRODUCT(MAX(ROW(E$1:E1651)*(E1652=E$1:E1651)))))</f>
        <v/>
      </c>
      <c r="L1652" s="25"/>
    </row>
    <row r="1653" customFormat="false" ht="14.25" hidden="false" customHeight="false" outlineLevel="0" collapsed="false">
      <c r="A1653" s="0" t="s">
        <v>973</v>
      </c>
      <c r="E1653" s="20" t="str">
        <f aca="false">IF(D1653="?OLD","!!!","")</f>
        <v/>
      </c>
      <c r="F1653" s="21" t="str">
        <f aca="false">IF(OR(E1653="",E1653="!!!"),"",IF(NOT(ISNA(VLOOKUP(E1653,E$1:E1652,1,FALSE()))),"OLD",IF(AND(E1653&lt;&gt;"",E1653&lt;&gt;"!!!"),"NEW","")))</f>
        <v/>
      </c>
      <c r="G1653" s="22" t="str">
        <f aca="false"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3" t="str">
        <f aca="false">IF(J1653&lt;&gt;1,"",IF(I1653="SBJ","CB","?"))</f>
        <v/>
      </c>
      <c r="I1653" s="24" t="str">
        <f aca="false">IF(OR(E1653="",E1653="!!!",F1653="NEW"),"",INDEX(B$2:B1652,-1+SUMPRODUCT(MAX(ROW(E$2:E1652)*(E1653=E$2:E1652)))))</f>
        <v/>
      </c>
      <c r="J1653" s="24" t="str">
        <f aca="true">IF(OR(E1653="",E1653="!!!",F1653="NEW"),"",COUNTBLANK(OFFSET(A$1,,,SUMPRODUCT(MAX(ROW(E$2:E1653)*(E1653=E$2:E1653)))))-COUNTBLANK(OFFSET(A$1,,,SUMPRODUCT(MAX(ROW(E$1:E1652)*(E2=E$1:E1652))))))</f>
        <v/>
      </c>
      <c r="K1653" s="24" t="str">
        <f aca="false">IF(OR(E1653="",E1653="!!!",F1653="NEW"),"",INDEX(J$1:J1652,SUMPRODUCT(MAX(ROW(E$1:E1652)*(E1653=E$1:E1652)))))</f>
        <v/>
      </c>
      <c r="L1653" s="25"/>
    </row>
    <row r="1654" customFormat="false" ht="14.25" hidden="false" customHeight="false" outlineLevel="0" collapsed="false">
      <c r="A1654" s="0" t="s">
        <v>974</v>
      </c>
      <c r="E1654" s="20" t="str">
        <f aca="false">IF(D1654="?OLD","!!!","")</f>
        <v/>
      </c>
      <c r="F1654" s="21" t="str">
        <f aca="false">IF(OR(E1654="",E1654="!!!"),"",IF(NOT(ISNA(VLOOKUP(E1654,E$1:E1653,1,FALSE()))),"OLD",IF(AND(E1654&lt;&gt;"",E1654&lt;&gt;"!!!"),"NEW","")))</f>
        <v/>
      </c>
      <c r="G1654" s="22" t="str">
        <f aca="false"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3" t="str">
        <f aca="false">IF(J1654&lt;&gt;1,"",IF(I1654="SBJ","CB","?"))</f>
        <v/>
      </c>
      <c r="I1654" s="24" t="str">
        <f aca="false">IF(OR(E1654="",E1654="!!!",F1654="NEW"),"",INDEX(B$2:B1653,-1+SUMPRODUCT(MAX(ROW(E$2:E1653)*(E1654=E$2:E1653)))))</f>
        <v/>
      </c>
      <c r="J1654" s="24" t="str">
        <f aca="true">IF(OR(E1654="",E1654="!!!",F1654="NEW"),"",COUNTBLANK(OFFSET(A$1,,,SUMPRODUCT(MAX(ROW(E$2:E1654)*(E1654=E$2:E1654)))))-COUNTBLANK(OFFSET(A$1,,,SUMPRODUCT(MAX(ROW(E$1:E1653)*(E2=E$1:E1653))))))</f>
        <v/>
      </c>
      <c r="K1654" s="24" t="str">
        <f aca="false">IF(OR(E1654="",E1654="!!!",F1654="NEW"),"",INDEX(J$1:J1653,SUMPRODUCT(MAX(ROW(E$1:E1653)*(E1654=E$1:E1653)))))</f>
        <v/>
      </c>
      <c r="L1654" s="25"/>
    </row>
    <row r="1655" customFormat="false" ht="14.25" hidden="false" customHeight="false" outlineLevel="0" collapsed="false">
      <c r="A1655" s="0" t="s">
        <v>975</v>
      </c>
      <c r="B1655" s="26" t="s">
        <v>424</v>
      </c>
      <c r="C1655" s="26" t="s">
        <v>105</v>
      </c>
      <c r="E1655" s="20" t="str">
        <f aca="false">IF(D1655="?OLD","!!!","")</f>
        <v/>
      </c>
      <c r="F1655" s="21" t="str">
        <f aca="false">IF(OR(E1655="",E1655="!!!"),"",IF(NOT(ISNA(VLOOKUP(E1655,E$1:E1654,1,FALSE()))),"OLD",IF(AND(E1655&lt;&gt;"",E1655&lt;&gt;"!!!"),"NEW","")))</f>
        <v/>
      </c>
      <c r="G1655" s="22" t="str">
        <f aca="false"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3" t="str">
        <f aca="false">IF(J1655&lt;&gt;1,"",IF(I1655="SBJ","CB","?"))</f>
        <v/>
      </c>
      <c r="I1655" s="24" t="str">
        <f aca="false">IF(OR(E1655="",E1655="!!!",F1655="NEW"),"",INDEX(B$2:B1654,-1+SUMPRODUCT(MAX(ROW(E$2:E1654)*(E1655=E$2:E1654)))))</f>
        <v/>
      </c>
      <c r="J1655" s="24" t="str">
        <f aca="true">IF(OR(E1655="",E1655="!!!",F1655="NEW"),"",COUNTBLANK(OFFSET(A$1,,,SUMPRODUCT(MAX(ROW(E$2:E1655)*(E1655=E$2:E1655)))))-COUNTBLANK(OFFSET(A$1,,,SUMPRODUCT(MAX(ROW(E$1:E1654)*(E2=E$1:E1654))))))</f>
        <v/>
      </c>
      <c r="K1655" s="24" t="str">
        <f aca="false">IF(OR(E1655="",E1655="!!!",F1655="NEW"),"",INDEX(J$1:J1654,SUMPRODUCT(MAX(ROW(E$1:E1654)*(E1655=E$1:E1654)))))</f>
        <v/>
      </c>
      <c r="L1655" s="25"/>
    </row>
    <row r="1656" customFormat="false" ht="14.25" hidden="false" customHeight="false" outlineLevel="0" collapsed="false">
      <c r="A1656" s="0" t="s">
        <v>976</v>
      </c>
      <c r="E1656" s="20" t="str">
        <f aca="false">IF(D1656="?OLD","!!!","")</f>
        <v/>
      </c>
      <c r="F1656" s="21" t="str">
        <f aca="false">IF(OR(E1656="",E1656="!!!"),"",IF(NOT(ISNA(VLOOKUP(E1656,E$1:E1655,1,FALSE()))),"OLD",IF(AND(E1656&lt;&gt;"",E1656&lt;&gt;"!!!"),"NEW","")))</f>
        <v/>
      </c>
      <c r="G1656" s="22" t="str">
        <f aca="false"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3" t="str">
        <f aca="false">IF(J1656&lt;&gt;1,"",IF(I1656="SBJ","CB","?"))</f>
        <v/>
      </c>
      <c r="I1656" s="24" t="str">
        <f aca="false">IF(OR(E1656="",E1656="!!!",F1656="NEW"),"",INDEX(B$2:B1655,-1+SUMPRODUCT(MAX(ROW(E$2:E1655)*(E1656=E$2:E1655)))))</f>
        <v/>
      </c>
      <c r="J1656" s="24" t="str">
        <f aca="true">IF(OR(E1656="",E1656="!!!",F1656="NEW"),"",COUNTBLANK(OFFSET(A$1,,,SUMPRODUCT(MAX(ROW(E$2:E1656)*(E1656=E$2:E1656)))))-COUNTBLANK(OFFSET(A$1,,,SUMPRODUCT(MAX(ROW(E$1:E1655)*(E2=E$1:E1655))))))</f>
        <v/>
      </c>
      <c r="K1656" s="24" t="str">
        <f aca="false">IF(OR(E1656="",E1656="!!!",F1656="NEW"),"",INDEX(J$1:J1655,SUMPRODUCT(MAX(ROW(E$1:E1655)*(E1656=E$1:E1655)))))</f>
        <v/>
      </c>
      <c r="L1656" s="25"/>
    </row>
    <row r="1657" customFormat="false" ht="14.25" hidden="false" customHeight="false" outlineLevel="0" collapsed="false">
      <c r="A1657" s="0" t="s">
        <v>101</v>
      </c>
      <c r="E1657" s="20" t="str">
        <f aca="false">IF(D1657="?OLD","!!!","")</f>
        <v/>
      </c>
      <c r="F1657" s="21" t="str">
        <f aca="false">IF(OR(E1657="",E1657="!!!"),"",IF(NOT(ISNA(VLOOKUP(E1657,E$1:E1656,1,FALSE()))),"OLD",IF(AND(E1657&lt;&gt;"",E1657&lt;&gt;"!!!"),"NEW","")))</f>
        <v/>
      </c>
      <c r="G1657" s="22" t="str">
        <f aca="false"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3" t="str">
        <f aca="false">IF(J1657&lt;&gt;1,"",IF(I1657="SBJ","CB","?"))</f>
        <v/>
      </c>
      <c r="I1657" s="24" t="str">
        <f aca="false">IF(OR(E1657="",E1657="!!!",F1657="NEW"),"",INDEX(B$2:B1656,-1+SUMPRODUCT(MAX(ROW(E$2:E1656)*(E1657=E$2:E1656)))))</f>
        <v/>
      </c>
      <c r="J1657" s="24" t="str">
        <f aca="true">IF(OR(E1657="",E1657="!!!",F1657="NEW"),"",COUNTBLANK(OFFSET(A$1,,,SUMPRODUCT(MAX(ROW(E$2:E1657)*(E1657=E$2:E1657)))))-COUNTBLANK(OFFSET(A$1,,,SUMPRODUCT(MAX(ROW(E$1:E1656)*(E2=E$1:E1656))))))</f>
        <v/>
      </c>
      <c r="K1657" s="24" t="str">
        <f aca="false">IF(OR(E1657="",E1657="!!!",F1657="NEW"),"",INDEX(J$1:J1656,SUMPRODUCT(MAX(ROW(E$1:E1656)*(E1657=E$1:E1656)))))</f>
        <v/>
      </c>
      <c r="L1657" s="25"/>
    </row>
    <row r="1658" customFormat="false" ht="14.25" hidden="false" customHeight="false" outlineLevel="0" collapsed="false">
      <c r="A1658" s="0" t="s">
        <v>78</v>
      </c>
      <c r="E1658" s="20" t="str">
        <f aca="false">IF(D1658="?OLD","!!!","")</f>
        <v/>
      </c>
      <c r="F1658" s="21" t="str">
        <f aca="false">IF(OR(E1658="",E1658="!!!"),"",IF(NOT(ISNA(VLOOKUP(E1658,E$1:E1657,1,FALSE()))),"OLD",IF(AND(E1658&lt;&gt;"",E1658&lt;&gt;"!!!"),"NEW","")))</f>
        <v/>
      </c>
      <c r="G1658" s="22" t="str">
        <f aca="false"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3" t="str">
        <f aca="false">IF(J1658&lt;&gt;1,"",IF(I1658="SBJ","CB","?"))</f>
        <v/>
      </c>
      <c r="I1658" s="24" t="str">
        <f aca="false">IF(OR(E1658="",E1658="!!!",F1658="NEW"),"",INDEX(B$2:B1657,-1+SUMPRODUCT(MAX(ROW(E$2:E1657)*(E1658=E$2:E1657)))))</f>
        <v/>
      </c>
      <c r="J1658" s="24" t="str">
        <f aca="true">IF(OR(E1658="",E1658="!!!",F1658="NEW"),"",COUNTBLANK(OFFSET(A$1,,,SUMPRODUCT(MAX(ROW(E$2:E1658)*(E1658=E$2:E1658)))))-COUNTBLANK(OFFSET(A$1,,,SUMPRODUCT(MAX(ROW(E$1:E1657)*(E2=E$1:E1657))))))</f>
        <v/>
      </c>
      <c r="K1658" s="24" t="str">
        <f aca="false">IF(OR(E1658="",E1658="!!!",F1658="NEW"),"",INDEX(J$1:J1657,SUMPRODUCT(MAX(ROW(E$1:E1657)*(E1658=E$1:E1657)))))</f>
        <v/>
      </c>
      <c r="L1658" s="25"/>
    </row>
    <row r="1659" customFormat="false" ht="14.25" hidden="false" customHeight="false" outlineLevel="0" collapsed="false">
      <c r="A1659" s="0" t="s">
        <v>136</v>
      </c>
      <c r="E1659" s="20" t="str">
        <f aca="false">IF(D1659="?OLD","!!!","")</f>
        <v/>
      </c>
      <c r="F1659" s="21" t="str">
        <f aca="false">IF(OR(E1659="",E1659="!!!"),"",IF(NOT(ISNA(VLOOKUP(E1659,E$1:E1658,1,FALSE()))),"OLD",IF(AND(E1659&lt;&gt;"",E1659&lt;&gt;"!!!"),"NEW","")))</f>
        <v/>
      </c>
      <c r="G1659" s="22" t="str">
        <f aca="false"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/>
      </c>
      <c r="H1659" s="23" t="str">
        <f aca="false">IF(J1659&lt;&gt;1,"",IF(I1659="SBJ","CB","?"))</f>
        <v/>
      </c>
      <c r="I1659" s="24" t="str">
        <f aca="false">IF(OR(E1659="",E1659="!!!",F1659="NEW"),"",INDEX(B$2:B1658,-1+SUMPRODUCT(MAX(ROW(E$2:E1658)*(E1659=E$2:E1658)))))</f>
        <v/>
      </c>
      <c r="J1659" s="24" t="str">
        <f aca="true">IF(OR(E1659="",E1659="!!!",F1659="NEW"),"",COUNTBLANK(OFFSET(A$1,,,SUMPRODUCT(MAX(ROW(E$2:E1659)*(E1659=E$2:E1659)))))-COUNTBLANK(OFFSET(A$1,,,SUMPRODUCT(MAX(ROW(E$1:E1658)*(E2=E$1:E1658))))))</f>
        <v/>
      </c>
      <c r="K1659" s="24" t="str">
        <f aca="false">IF(OR(E1659="",E1659="!!!",F1659="NEW"),"",INDEX(J$1:J1658,SUMPRODUCT(MAX(ROW(E$1:E1658)*(E1659=E$1:E1658)))))</f>
        <v/>
      </c>
      <c r="L1659" s="25"/>
    </row>
    <row r="1660" customFormat="false" ht="14.25" hidden="false" customHeight="false" outlineLevel="0" collapsed="false">
      <c r="A1660" s="0" t="s">
        <v>977</v>
      </c>
      <c r="B1660" s="26" t="s">
        <v>566</v>
      </c>
      <c r="C1660" s="26" t="s">
        <v>74</v>
      </c>
      <c r="D1660" s="26" t="s">
        <v>75</v>
      </c>
      <c r="E1660" s="20" t="s">
        <v>978</v>
      </c>
      <c r="F1660" s="21" t="s">
        <v>107</v>
      </c>
      <c r="G1660" s="22" t="e">
        <f aca="false"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#VALUE!</v>
      </c>
      <c r="H1660" s="23" t="str">
        <f aca="false">IF(J1660&lt;&gt;1,"",IF(I1660="SBJ","CB","?"))</f>
        <v/>
      </c>
      <c r="I1660" s="24" t="e">
        <f aca="false">IF(OR(E1660="",E1660="!!!",F1660="NEW"),"",INDEX(B$2:B1659,-1+SUMPRODUCT(MAX(ROW(E$2:E1659)*(E1660=E$2:E1659)))))</f>
        <v>#VALUE!</v>
      </c>
      <c r="J1660" s="24" t="n">
        <f aca="true">IF(OR(E1660="",E1660="!!!",F1660="NEW"),"",COUNTBLANK(OFFSET(A$1,,,SUMPRODUCT(MAX(ROW(E$2:E1660)*(E1660=E$2:E1660)))))-COUNTBLANK(OFFSET(A$1,,,SUMPRODUCT(MAX(ROW(E$1:E1659)*(E2=E$1:E1659))))))</f>
        <v>0</v>
      </c>
      <c r="K1660" s="24" t="e">
        <f aca="false">IF(OR(E1660="",E1660="!!!",F1660="NEW"),"",INDEX(J$1:J1659,SUMPRODUCT(MAX(ROW(E$1:E1659)*(E1660=E$1:E1659)))))</f>
        <v>#VALUE!</v>
      </c>
      <c r="L1660" s="25"/>
    </row>
    <row r="1661" customFormat="false" ht="14.25" hidden="false" customHeight="false" outlineLevel="0" collapsed="false">
      <c r="A1661" s="0" t="s">
        <v>101</v>
      </c>
      <c r="E1661" s="20" t="str">
        <f aca="false">IF(D1661="?OLD","!!!","")</f>
        <v/>
      </c>
      <c r="F1661" s="21" t="str">
        <f aca="false">IF(OR(E1661="",E1661="!!!"),"",IF(NOT(ISNA(VLOOKUP(E1661,E$1:E1660,1,FALSE()))),"OLD",IF(AND(E1661&lt;&gt;"",E1661&lt;&gt;"!!!"),"NEW","")))</f>
        <v/>
      </c>
      <c r="G1661" s="22" t="str">
        <f aca="false"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3" t="str">
        <f aca="false">IF(J1661&lt;&gt;1,"",IF(I1661="SBJ","CB","?"))</f>
        <v/>
      </c>
      <c r="I1661" s="24" t="str">
        <f aca="false">IF(OR(E1661="",E1661="!!!",F1661="NEW"),"",INDEX(B$2:B1660,-1+SUMPRODUCT(MAX(ROW(E$2:E1660)*(E1661=E$2:E1660)))))</f>
        <v/>
      </c>
      <c r="J1661" s="24" t="str">
        <f aca="true">IF(OR(E1661="",E1661="!!!",F1661="NEW"),"",COUNTBLANK(OFFSET(A$1,,,SUMPRODUCT(MAX(ROW(E$2:E1661)*(E1661=E$2:E1661)))))-COUNTBLANK(OFFSET(A$1,,,SUMPRODUCT(MAX(ROW(E$1:E1660)*(E2=E$1:E1660))))))</f>
        <v/>
      </c>
      <c r="K1661" s="24" t="str">
        <f aca="false">IF(OR(E1661="",E1661="!!!",F1661="NEW"),"",INDEX(J$1:J1660,SUMPRODUCT(MAX(ROW(E$1:E1660)*(E1661=E$1:E1660)))))</f>
        <v/>
      </c>
      <c r="L1661" s="25"/>
    </row>
    <row r="1662" customFormat="false" ht="14.25" hidden="false" customHeight="false" outlineLevel="0" collapsed="false">
      <c r="A1662" s="0" t="s">
        <v>102</v>
      </c>
      <c r="E1662" s="20" t="str">
        <f aca="false">IF(D1662="?OLD","!!!","")</f>
        <v/>
      </c>
      <c r="F1662" s="21" t="str">
        <f aca="false">IF(OR(E1662="",E1662="!!!"),"",IF(NOT(ISNA(VLOOKUP(E1662,E$1:E1661,1,FALSE()))),"OLD",IF(AND(E1662&lt;&gt;"",E1662&lt;&gt;"!!!"),"NEW","")))</f>
        <v/>
      </c>
      <c r="G1662" s="22" t="str">
        <f aca="false"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3" t="str">
        <f aca="false">IF(J1662&lt;&gt;1,"",IF(I1662="SBJ","CB","?"))</f>
        <v/>
      </c>
      <c r="I1662" s="24" t="str">
        <f aca="false">IF(OR(E1662="",E1662="!!!",F1662="NEW"),"",INDEX(B$2:B1661,-1+SUMPRODUCT(MAX(ROW(E$2:E1661)*(E1662=E$2:E1661)))))</f>
        <v/>
      </c>
      <c r="J1662" s="24" t="str">
        <f aca="true">IF(OR(E1662="",E1662="!!!",F1662="NEW"),"",COUNTBLANK(OFFSET(A$1,,,SUMPRODUCT(MAX(ROW(E$2:E1662)*(E1662=E$2:E1662)))))-COUNTBLANK(OFFSET(A$1,,,SUMPRODUCT(MAX(ROW(E$1:E1661)*(E2=E$1:E1661))))))</f>
        <v/>
      </c>
      <c r="K1662" s="24" t="str">
        <f aca="false">IF(OR(E1662="",E1662="!!!",F1662="NEW"),"",INDEX(J$1:J1661,SUMPRODUCT(MAX(ROW(E$1:E1661)*(E1662=E$1:E1661)))))</f>
        <v/>
      </c>
      <c r="L1662" s="25"/>
    </row>
    <row r="1663" customFormat="false" ht="14.25" hidden="false" customHeight="false" outlineLevel="0" collapsed="false">
      <c r="A1663" s="0" t="s">
        <v>123</v>
      </c>
      <c r="B1663" s="26" t="s">
        <v>979</v>
      </c>
      <c r="C1663" s="26" t="s">
        <v>88</v>
      </c>
      <c r="D1663" s="26" t="s">
        <v>75</v>
      </c>
      <c r="E1663" s="20" t="s">
        <v>972</v>
      </c>
      <c r="F1663" s="21" t="str">
        <f aca="false">IF(OR(E1663="",E1663="!!!"),"",IF(NOT(ISNA(VLOOKUP(E1663,E$1:E1662,1,FALSE()))),"OLD",IF(AND(E1663&lt;&gt;"",E1663&lt;&gt;"!!!"),"NEW","")))</f>
        <v>OLD</v>
      </c>
      <c r="G1663" s="22" t="str">
        <f aca="false"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?IN_FOCUS</v>
      </c>
      <c r="H1663" s="23" t="str">
        <f aca="false">IF(J1663&lt;&gt;1,"",IF(I1663="SBJ","CB","?"))</f>
        <v/>
      </c>
      <c r="I1663" s="24" t="str">
        <f aca="false">IF(OR(E1663="",E1663="!!!",F1663="NEW"),"",INDEX(B$2:B1662,-1+SUMPRODUCT(MAX(ROW(E$2:E1662)*(E1663=E$2:E1662)))))</f>
        <v>SBJ_7</v>
      </c>
      <c r="J1663" s="24" t="n">
        <f aca="true">IF(OR(E1663="",E1663="!!!",F1663="NEW"),"",COUNTBLANK(OFFSET(A$1,,,SUMPRODUCT(MAX(ROW(E$2:E1663)*(E1663=E$2:E1663)))))-COUNTBLANK(OFFSET(A$1,,,SUMPRODUCT(MAX(ROW(E$1:E1662)*(E2=E$1:E1662))))))</f>
        <v>0</v>
      </c>
      <c r="K1663" s="24" t="str">
        <f aca="false">IF(OR(E1663="",E1663="!!!",F1663="NEW"),"",INDEX(J$1:J1662,SUMPRODUCT(MAX(ROW(E$1:E1662)*(E1663=E$1:E1662)))))</f>
        <v/>
      </c>
      <c r="L1663" s="25"/>
    </row>
    <row r="1664" customFormat="false" ht="14.25" hidden="false" customHeight="false" outlineLevel="0" collapsed="false">
      <c r="A1664" s="0" t="s">
        <v>116</v>
      </c>
      <c r="E1664" s="20" t="str">
        <f aca="false">IF(D1664="?OLD","!!!","")</f>
        <v/>
      </c>
      <c r="F1664" s="21" t="str">
        <f aca="false">IF(OR(E1664="",E1664="!!!"),"",IF(NOT(ISNA(VLOOKUP(E1664,E$1:E1663,1,FALSE()))),"OLD",IF(AND(E1664&lt;&gt;"",E1664&lt;&gt;"!!!"),"NEW","")))</f>
        <v/>
      </c>
      <c r="G1664" s="22" t="str">
        <f aca="false"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3" t="str">
        <f aca="false">IF(J1664&lt;&gt;1,"",IF(I1664="SBJ","CB","?"))</f>
        <v/>
      </c>
      <c r="I1664" s="24" t="str">
        <f aca="false">IF(OR(E1664="",E1664="!!!",F1664="NEW"),"",INDEX(B$2:B1663,-1+SUMPRODUCT(MAX(ROW(E$2:E1663)*(E1664=E$2:E1663)))))</f>
        <v/>
      </c>
      <c r="J1664" s="24" t="str">
        <f aca="true">IF(OR(E1664="",E1664="!!!",F1664="NEW"),"",COUNTBLANK(OFFSET(A$1,,,SUMPRODUCT(MAX(ROW(E$2:E1664)*(E1664=E$2:E1664)))))-COUNTBLANK(OFFSET(A$1,,,SUMPRODUCT(MAX(ROW(E$1:E1663)*(E2=E$1:E1663))))))</f>
        <v/>
      </c>
      <c r="K1664" s="24" t="str">
        <f aca="false">IF(OR(E1664="",E1664="!!!",F1664="NEW"),"",INDEX(J$1:J1663,SUMPRODUCT(MAX(ROW(E$1:E1663)*(E1664=E$1:E1663)))))</f>
        <v/>
      </c>
      <c r="L1664" s="25"/>
    </row>
    <row r="1665" customFormat="false" ht="14.25" hidden="false" customHeight="false" outlineLevel="0" collapsed="false">
      <c r="A1665" s="0" t="s">
        <v>980</v>
      </c>
      <c r="E1665" s="20" t="str">
        <f aca="false">IF(D1665="?OLD","!!!","")</f>
        <v/>
      </c>
      <c r="F1665" s="21" t="str">
        <f aca="false">IF(OR(E1665="",E1665="!!!"),"",IF(NOT(ISNA(VLOOKUP(E1665,E$1:E1664,1,FALSE()))),"OLD",IF(AND(E1665&lt;&gt;"",E1665&lt;&gt;"!!!"),"NEW","")))</f>
        <v/>
      </c>
      <c r="G1665" s="22" t="str">
        <f aca="false"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3" t="str">
        <f aca="false">IF(J1665&lt;&gt;1,"",IF(I1665="SBJ","CB","?"))</f>
        <v/>
      </c>
      <c r="I1665" s="24" t="str">
        <f aca="false">IF(OR(E1665="",E1665="!!!",F1665="NEW"),"",INDEX(B$2:B1664,-1+SUMPRODUCT(MAX(ROW(E$2:E1664)*(E1665=E$2:E1664)))))</f>
        <v/>
      </c>
      <c r="J1665" s="24" t="str">
        <f aca="true">IF(OR(E1665="",E1665="!!!",F1665="NEW"),"",COUNTBLANK(OFFSET(A$1,,,SUMPRODUCT(MAX(ROW(E$2:E1665)*(E1665=E$2:E1665)))))-COUNTBLANK(OFFSET(A$1,,,SUMPRODUCT(MAX(ROW(E$1:E1664)*(E2=E$1:E1664))))))</f>
        <v/>
      </c>
      <c r="K1665" s="24" t="str">
        <f aca="false">IF(OR(E1665="",E1665="!!!",F1665="NEW"),"",INDEX(J$1:J1664,SUMPRODUCT(MAX(ROW(E$1:E1664)*(E1665=E$1:E1664)))))</f>
        <v/>
      </c>
      <c r="L1665" s="25"/>
    </row>
    <row r="1666" customFormat="false" ht="14.25" hidden="false" customHeight="false" outlineLevel="0" collapsed="false">
      <c r="A1666" s="0" t="s">
        <v>981</v>
      </c>
      <c r="E1666" s="20" t="str">
        <f aca="false">IF(D1666="?OLD","!!!","")</f>
        <v/>
      </c>
      <c r="F1666" s="21" t="str">
        <f aca="false">IF(OR(E1666="",E1666="!!!"),"",IF(NOT(ISNA(VLOOKUP(E1666,E$1:E1665,1,FALSE()))),"OLD",IF(AND(E1666&lt;&gt;"",E1666&lt;&gt;"!!!"),"NEW","")))</f>
        <v/>
      </c>
      <c r="G1666" s="22" t="str">
        <f aca="false"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3" t="str">
        <f aca="false">IF(J1666&lt;&gt;1,"",IF(I1666="SBJ","CB","?"))</f>
        <v/>
      </c>
      <c r="I1666" s="24" t="str">
        <f aca="false">IF(OR(E1666="",E1666="!!!",F1666="NEW"),"",INDEX(B$2:B1665,-1+SUMPRODUCT(MAX(ROW(E$2:E1665)*(E1666=E$2:E1665)))))</f>
        <v/>
      </c>
      <c r="J1666" s="24" t="str">
        <f aca="true">IF(OR(E1666="",E1666="!!!",F1666="NEW"),"",COUNTBLANK(OFFSET(A$1,,,SUMPRODUCT(MAX(ROW(E$2:E1666)*(E1666=E$2:E1666)))))-COUNTBLANK(OFFSET(A$1,,,SUMPRODUCT(MAX(ROW(E$1:E1665)*(E2=E$1:E1665))))))</f>
        <v/>
      </c>
      <c r="K1666" s="24" t="str">
        <f aca="false">IF(OR(E1666="",E1666="!!!",F1666="NEW"),"",INDEX(J$1:J1665,SUMPRODUCT(MAX(ROW(E$1:E1665)*(E1666=E$1:E1665)))))</f>
        <v/>
      </c>
      <c r="L1666" s="25"/>
    </row>
    <row r="1667" customFormat="false" ht="14.25" hidden="false" customHeight="false" outlineLevel="0" collapsed="false">
      <c r="A1667" s="0" t="s">
        <v>78</v>
      </c>
      <c r="E1667" s="20" t="str">
        <f aca="false">IF(D1667="?OLD","!!!","")</f>
        <v/>
      </c>
      <c r="F1667" s="21" t="str">
        <f aca="false">IF(OR(E1667="",E1667="!!!"),"",IF(NOT(ISNA(VLOOKUP(E1667,E$1:E1666,1,FALSE()))),"OLD",IF(AND(E1667&lt;&gt;"",E1667&lt;&gt;"!!!"),"NEW","")))</f>
        <v/>
      </c>
      <c r="G1667" s="22" t="str">
        <f aca="false"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3" t="str">
        <f aca="false">IF(J1667&lt;&gt;1,"",IF(I1667="SBJ","CB","?"))</f>
        <v/>
      </c>
      <c r="I1667" s="24" t="str">
        <f aca="false">IF(OR(E1667="",E1667="!!!",F1667="NEW"),"",INDEX(B$2:B1666,-1+SUMPRODUCT(MAX(ROW(E$2:E1666)*(E1667=E$2:E1666)))))</f>
        <v/>
      </c>
      <c r="J1667" s="24" t="str">
        <f aca="true">IF(OR(E1667="",E1667="!!!",F1667="NEW"),"",COUNTBLANK(OFFSET(A$1,,,SUMPRODUCT(MAX(ROW(E$2:E1667)*(E1667=E$2:E1667)))))-COUNTBLANK(OFFSET(A$1,,,SUMPRODUCT(MAX(ROW(E$1:E1666)*(E2=E$1:E1666))))))</f>
        <v/>
      </c>
      <c r="K1667" s="24" t="str">
        <f aca="false">IF(OR(E1667="",E1667="!!!",F1667="NEW"),"",INDEX(J$1:J1666,SUMPRODUCT(MAX(ROW(E$1:E1666)*(E1667=E$1:E1666)))))</f>
        <v/>
      </c>
      <c r="L1667" s="25"/>
    </row>
    <row r="1668" customFormat="false" ht="14.25" hidden="false" customHeight="false" outlineLevel="0" collapsed="false">
      <c r="A1668" s="0" t="s">
        <v>101</v>
      </c>
      <c r="E1668" s="20" t="str">
        <f aca="false">IF(D1668="?OLD","!!!","")</f>
        <v/>
      </c>
      <c r="F1668" s="21" t="str">
        <f aca="false">IF(OR(E1668="",E1668="!!!"),"",IF(NOT(ISNA(VLOOKUP(E1668,E$1:E1667,1,FALSE()))),"OLD",IF(AND(E1668&lt;&gt;"",E1668&lt;&gt;"!!!"),"NEW","")))</f>
        <v/>
      </c>
      <c r="G1668" s="22" t="str">
        <f aca="false"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3" t="str">
        <f aca="false">IF(J1668&lt;&gt;1,"",IF(I1668="SBJ","CB","?"))</f>
        <v/>
      </c>
      <c r="I1668" s="24" t="str">
        <f aca="false">IF(OR(E1668="",E1668="!!!",F1668="NEW"),"",INDEX(B$2:B1667,-1+SUMPRODUCT(MAX(ROW(E$2:E1667)*(E1668=E$2:E1667)))))</f>
        <v/>
      </c>
      <c r="J1668" s="24" t="str">
        <f aca="true">IF(OR(E1668="",E1668="!!!",F1668="NEW"),"",COUNTBLANK(OFFSET(A$1,,,SUMPRODUCT(MAX(ROW(E$2:E1668)*(E1668=E$2:E1668)))))-COUNTBLANK(OFFSET(A$1,,,SUMPRODUCT(MAX(ROW(E$1:E1667)*(E2=E$1:E1667))))))</f>
        <v/>
      </c>
      <c r="K1668" s="24" t="str">
        <f aca="false">IF(OR(E1668="",E1668="!!!",F1668="NEW"),"",INDEX(J$1:J1667,SUMPRODUCT(MAX(ROW(E$1:E1667)*(E1668=E$1:E1667)))))</f>
        <v/>
      </c>
      <c r="L1668" s="25"/>
    </row>
    <row r="1669" customFormat="false" ht="14.25" hidden="false" customHeight="false" outlineLevel="0" collapsed="false">
      <c r="A1669" s="0" t="s">
        <v>982</v>
      </c>
      <c r="E1669" s="20" t="str">
        <f aca="false">IF(D1669="?OLD","!!!","")</f>
        <v/>
      </c>
      <c r="F1669" s="21" t="str">
        <f aca="false">IF(OR(E1669="",E1669="!!!"),"",IF(NOT(ISNA(VLOOKUP(E1669,E$1:E1668,1,FALSE()))),"OLD",IF(AND(E1669&lt;&gt;"",E1669&lt;&gt;"!!!"),"NEW","")))</f>
        <v/>
      </c>
      <c r="G1669" s="22" t="str">
        <f aca="false"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3" t="str">
        <f aca="false">IF(J1669&lt;&gt;1,"",IF(I1669="SBJ","CB","?"))</f>
        <v/>
      </c>
      <c r="I1669" s="24" t="str">
        <f aca="false">IF(OR(E1669="",E1669="!!!",F1669="NEW"),"",INDEX(B$2:B1668,-1+SUMPRODUCT(MAX(ROW(E$2:E1668)*(E1669=E$2:E1668)))))</f>
        <v/>
      </c>
      <c r="J1669" s="24" t="str">
        <f aca="true">IF(OR(E1669="",E1669="!!!",F1669="NEW"),"",COUNTBLANK(OFFSET(A$1,,,SUMPRODUCT(MAX(ROW(E$2:E1669)*(E1669=E$2:E1669)))))-COUNTBLANK(OFFSET(A$1,,,SUMPRODUCT(MAX(ROW(E$1:E1668)*(E2=E$1:E1668))))))</f>
        <v/>
      </c>
      <c r="K1669" s="24" t="str">
        <f aca="false">IF(OR(E1669="",E1669="!!!",F1669="NEW"),"",INDEX(J$1:J1668,SUMPRODUCT(MAX(ROW(E$1:E1668)*(E1669=E$1:E1668)))))</f>
        <v/>
      </c>
      <c r="L1669" s="25"/>
    </row>
    <row r="1670" customFormat="false" ht="14.25" hidden="false" customHeight="false" outlineLevel="0" collapsed="false">
      <c r="A1670" s="0" t="s">
        <v>200</v>
      </c>
      <c r="E1670" s="20" t="str">
        <f aca="false">IF(D1670="?OLD","!!!","")</f>
        <v/>
      </c>
      <c r="F1670" s="21" t="str">
        <f aca="false">IF(OR(E1670="",E1670="!!!"),"",IF(NOT(ISNA(VLOOKUP(E1670,E$1:E1669,1,FALSE()))),"OLD",IF(AND(E1670&lt;&gt;"",E1670&lt;&gt;"!!!"),"NEW","")))</f>
        <v/>
      </c>
      <c r="G1670" s="22" t="str">
        <f aca="false"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3" t="str">
        <f aca="false">IF(J1670&lt;&gt;1,"",IF(I1670="SBJ","CB","?"))</f>
        <v/>
      </c>
      <c r="I1670" s="24" t="str">
        <f aca="false">IF(OR(E1670="",E1670="!!!",F1670="NEW"),"",INDEX(B$2:B1669,-1+SUMPRODUCT(MAX(ROW(E$2:E1669)*(E1670=E$2:E1669)))))</f>
        <v/>
      </c>
      <c r="J1670" s="24" t="str">
        <f aca="true">IF(OR(E1670="",E1670="!!!",F1670="NEW"),"",COUNTBLANK(OFFSET(A$1,,,SUMPRODUCT(MAX(ROW(E$2:E1670)*(E1670=E$2:E1670)))))-COUNTBLANK(OFFSET(A$1,,,SUMPRODUCT(MAX(ROW(E$1:E1669)*(E2=E$1:E1669))))))</f>
        <v/>
      </c>
      <c r="K1670" s="24" t="str">
        <f aca="false">IF(OR(E1670="",E1670="!!!",F1670="NEW"),"",INDEX(J$1:J1669,SUMPRODUCT(MAX(ROW(E$1:E1669)*(E1670=E$1:E1669)))))</f>
        <v/>
      </c>
      <c r="L1670" s="25"/>
    </row>
    <row r="1671" customFormat="false" ht="14.25" hidden="false" customHeight="false" outlineLevel="0" collapsed="false">
      <c r="A1671" s="0" t="s">
        <v>136</v>
      </c>
      <c r="E1671" s="20" t="str">
        <f aca="false">IF(D1671="?OLD","!!!","")</f>
        <v/>
      </c>
      <c r="F1671" s="21" t="str">
        <f aca="false">IF(OR(E1671="",E1671="!!!"),"",IF(NOT(ISNA(VLOOKUP(E1671,E$1:E1670,1,FALSE()))),"OLD",IF(AND(E1671&lt;&gt;"",E1671&lt;&gt;"!!!"),"NEW","")))</f>
        <v/>
      </c>
      <c r="G1671" s="22" t="str">
        <f aca="false"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3" t="str">
        <f aca="false">IF(J1671&lt;&gt;1,"",IF(I1671="SBJ","CB","?"))</f>
        <v/>
      </c>
      <c r="I1671" s="24" t="str">
        <f aca="false">IF(OR(E1671="",E1671="!!!",F1671="NEW"),"",INDEX(B$2:B1670,-1+SUMPRODUCT(MAX(ROW(E$2:E1670)*(E1671=E$2:E1670)))))</f>
        <v/>
      </c>
      <c r="J1671" s="24" t="str">
        <f aca="true">IF(OR(E1671="",E1671="!!!",F1671="NEW"),"",COUNTBLANK(OFFSET(A$1,,,SUMPRODUCT(MAX(ROW(E$2:E1671)*(E1671=E$2:E1671)))))-COUNTBLANK(OFFSET(A$1,,,SUMPRODUCT(MAX(ROW(E$1:E1670)*(E2=E$1:E1670))))))</f>
        <v/>
      </c>
      <c r="K1671" s="24" t="str">
        <f aca="false">IF(OR(E1671="",E1671="!!!",F1671="NEW"),"",INDEX(J$1:J1670,SUMPRODUCT(MAX(ROW(E$1:E1670)*(E1671=E$1:E1670)))))</f>
        <v/>
      </c>
      <c r="L1671" s="25"/>
    </row>
    <row r="1672" customFormat="false" ht="14.25" hidden="false" customHeight="false" outlineLevel="0" collapsed="false">
      <c r="A1672" s="0" t="s">
        <v>983</v>
      </c>
      <c r="B1672" s="26" t="s">
        <v>984</v>
      </c>
      <c r="C1672" s="26" t="s">
        <v>74</v>
      </c>
      <c r="D1672" s="26" t="s">
        <v>75</v>
      </c>
      <c r="E1672" s="20" t="s">
        <v>985</v>
      </c>
      <c r="F1672" s="21" t="str">
        <f aca="false">IF(OR(E1672="",E1672="!!!"),"",IF(NOT(ISNA(VLOOKUP(E1672,E$1:E1671,1,FALSE()))),"OLD",IF(AND(E1672&lt;&gt;"",E1672&lt;&gt;"!!!"),"NEW","")))</f>
        <v>NEW</v>
      </c>
      <c r="G1672" s="22" t="str">
        <f aca="false"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?REFERENTIAL</v>
      </c>
      <c r="H1672" s="23" t="str">
        <f aca="false">IF(J1672&lt;&gt;1,"",IF(I1672="SBJ","CB","?"))</f>
        <v/>
      </c>
      <c r="I1672" s="24" t="str">
        <f aca="false">IF(OR(E1672="",E1672="!!!",F1672="NEW"),"",INDEX(B$2:B1671,-1+SUMPRODUCT(MAX(ROW(E$2:E1671)*(E1672=E$2:E1671)))))</f>
        <v/>
      </c>
      <c r="J1672" s="24" t="str">
        <f aca="true">IF(OR(E1672="",E1672="!!!",F1672="NEW"),"",COUNTBLANK(OFFSET(A$1,,,SUMPRODUCT(MAX(ROW(E$2:E1672)*(E1672=E$2:E1672)))))-COUNTBLANK(OFFSET(A$1,,,SUMPRODUCT(MAX(ROW(E$1:E1671)*(E2=E$1:E1671))))))</f>
        <v/>
      </c>
      <c r="K1672" s="24" t="str">
        <f aca="false">IF(OR(E1672="",E1672="!!!",F1672="NEW"),"",INDEX(J$1:J1671,SUMPRODUCT(MAX(ROW(E$1:E1671)*(E1672=E$1:E1671)))))</f>
        <v/>
      </c>
      <c r="L1672" s="25"/>
    </row>
    <row r="1673" customFormat="false" ht="14.25" hidden="false" customHeight="false" outlineLevel="0" collapsed="false">
      <c r="A1673" s="0" t="s">
        <v>101</v>
      </c>
      <c r="E1673" s="20" t="str">
        <f aca="false">IF(D1673="?OLD","!!!","")</f>
        <v/>
      </c>
      <c r="F1673" s="21" t="str">
        <f aca="false">IF(OR(E1673="",E1673="!!!"),"",IF(NOT(ISNA(VLOOKUP(E1673,E$1:E1672,1,FALSE()))),"OLD",IF(AND(E1673&lt;&gt;"",E1673&lt;&gt;"!!!"),"NEW","")))</f>
        <v/>
      </c>
      <c r="G1673" s="22" t="str">
        <f aca="false"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3" t="str">
        <f aca="false">IF(J1673&lt;&gt;1,"",IF(I1673="SBJ","CB","?"))</f>
        <v/>
      </c>
      <c r="I1673" s="24" t="str">
        <f aca="false">IF(OR(E1673="",E1673="!!!",F1673="NEW"),"",INDEX(B$2:B1672,-1+SUMPRODUCT(MAX(ROW(E$2:E1672)*(E1673=E$2:E1672)))))</f>
        <v/>
      </c>
      <c r="J1673" s="24" t="str">
        <f aca="true">IF(OR(E1673="",E1673="!!!",F1673="NEW"),"",COUNTBLANK(OFFSET(A$1,,,SUMPRODUCT(MAX(ROW(E$2:E1673)*(E1673=E$2:E1673)))))-COUNTBLANK(OFFSET(A$1,,,SUMPRODUCT(MAX(ROW(E$1:E1672)*(E2=E$1:E1672))))))</f>
        <v/>
      </c>
      <c r="K1673" s="24" t="str">
        <f aca="false">IF(OR(E1673="",E1673="!!!",F1673="NEW"),"",INDEX(J$1:J1672,SUMPRODUCT(MAX(ROW(E$1:E1672)*(E1673=E$1:E1672)))))</f>
        <v/>
      </c>
      <c r="L1673" s="25"/>
    </row>
    <row r="1674" customFormat="false" ht="14.25" hidden="false" customHeight="false" outlineLevel="0" collapsed="false">
      <c r="A1674" s="0" t="s">
        <v>102</v>
      </c>
      <c r="E1674" s="20" t="str">
        <f aca="false">IF(D1674="?OLD","!!!","")</f>
        <v/>
      </c>
      <c r="F1674" s="21" t="str">
        <f aca="false">IF(OR(E1674="",E1674="!!!"),"",IF(NOT(ISNA(VLOOKUP(E1674,E$1:E1673,1,FALSE()))),"OLD",IF(AND(E1674&lt;&gt;"",E1674&lt;&gt;"!!!"),"NEW","")))</f>
        <v/>
      </c>
      <c r="G1674" s="22" t="str">
        <f aca="false"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3" t="str">
        <f aca="false">IF(J1674&lt;&gt;1,"",IF(I1674="SBJ","CB","?"))</f>
        <v/>
      </c>
      <c r="I1674" s="24" t="str">
        <f aca="false">IF(OR(E1674="",E1674="!!!",F1674="NEW"),"",INDEX(B$2:B1673,-1+SUMPRODUCT(MAX(ROW(E$2:E1673)*(E1674=E$2:E1673)))))</f>
        <v/>
      </c>
      <c r="J1674" s="24" t="str">
        <f aca="true">IF(OR(E1674="",E1674="!!!",F1674="NEW"),"",COUNTBLANK(OFFSET(A$1,,,SUMPRODUCT(MAX(ROW(E$2:E1674)*(E1674=E$2:E1674)))))-COUNTBLANK(OFFSET(A$1,,,SUMPRODUCT(MAX(ROW(E$1:E1673)*(E2=E$1:E1673))))))</f>
        <v/>
      </c>
      <c r="K1674" s="24" t="str">
        <f aca="false">IF(OR(E1674="",E1674="!!!",F1674="NEW"),"",INDEX(J$1:J1673,SUMPRODUCT(MAX(ROW(E$1:E1673)*(E1674=E$1:E1673)))))</f>
        <v/>
      </c>
      <c r="L1674" s="25"/>
    </row>
    <row r="1675" customFormat="false" ht="14.25" hidden="false" customHeight="false" outlineLevel="0" collapsed="false">
      <c r="A1675" s="0" t="s">
        <v>986</v>
      </c>
      <c r="B1675" s="26" t="s">
        <v>987</v>
      </c>
      <c r="C1675" s="26" t="s">
        <v>133</v>
      </c>
      <c r="D1675" s="26" t="s">
        <v>75</v>
      </c>
      <c r="E1675" s="20" t="s">
        <v>840</v>
      </c>
      <c r="F1675" s="21" t="s">
        <v>273</v>
      </c>
      <c r="G1675" s="22" t="str">
        <f aca="false"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?IN_FOCUS</v>
      </c>
      <c r="H1675" s="23" t="str">
        <f aca="false">IF(J1675&lt;&gt;1,"",IF(I1675="SBJ","CB","?"))</f>
        <v/>
      </c>
      <c r="I1675" s="24" t="str">
        <f aca="false">IF(OR(E1675="",E1675="!!!",F1675="NEW"),"",INDEX(B$2:B1674,-1+SUMPRODUCT(MAX(ROW(E$2:E1674)*(E1675=E$2:E1674)))))</f>
        <v>SBJ_5</v>
      </c>
      <c r="J1675" s="24" t="n">
        <f aca="true">IF(OR(E1675="",E1675="!!!",F1675="NEW"),"",COUNTBLANK(OFFSET(A$1,,,SUMPRODUCT(MAX(ROW(E$2:E1675)*(E1675=E$2:E1675)))))-COUNTBLANK(OFFSET(A$1,,,SUMPRODUCT(MAX(ROW(E$1:E1674)*(E2=E$1:E1674))))))</f>
        <v>0</v>
      </c>
      <c r="K1675" s="24" t="n">
        <f aca="false">IF(OR(E1675="",E1675="!!!",F1675="NEW"),"",INDEX(J$1:J1674,SUMPRODUCT(MAX(ROW(E$1:E1674)*(E1675=E$1:E1674)))))</f>
        <v>0</v>
      </c>
      <c r="L1675" s="25"/>
    </row>
    <row r="1676" customFormat="false" ht="14.25" hidden="false" customHeight="false" outlineLevel="0" collapsed="false">
      <c r="A1676" s="0" t="s">
        <v>988</v>
      </c>
      <c r="B1676" s="26" t="s">
        <v>989</v>
      </c>
      <c r="C1676" s="26" t="s">
        <v>105</v>
      </c>
      <c r="E1676" s="20" t="s">
        <v>990</v>
      </c>
      <c r="F1676" s="21" t="str">
        <f aca="false">IF(OR(E1676="",E1676="!!!"),"",IF(NOT(ISNA(VLOOKUP(E1676,E$1:E1675,1,FALSE()))),"OLD",IF(AND(E1676&lt;&gt;"",E1676&lt;&gt;"!!!"),"NEW","")))</f>
        <v>NEW</v>
      </c>
      <c r="G1676" s="22" t="str">
        <f aca="false"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?REFERENTIAL</v>
      </c>
      <c r="H1676" s="23" t="str">
        <f aca="false">IF(J1676&lt;&gt;1,"",IF(I1676="SBJ","CB","?"))</f>
        <v/>
      </c>
      <c r="I1676" s="24" t="str">
        <f aca="false">IF(OR(E1676="",E1676="!!!",F1676="NEW"),"",INDEX(B$2:B1675,-1+SUMPRODUCT(MAX(ROW(E$2:E1675)*(E1676=E$2:E1675)))))</f>
        <v/>
      </c>
      <c r="J1676" s="24" t="str">
        <f aca="true">IF(OR(E1676="",E1676="!!!",F1676="NEW"),"",COUNTBLANK(OFFSET(A$1,,,SUMPRODUCT(MAX(ROW(E$2:E1676)*(E1676=E$2:E1676)))))-COUNTBLANK(OFFSET(A$1,,,SUMPRODUCT(MAX(ROW(E$1:E1675)*(E2=E$1:E1675))))))</f>
        <v/>
      </c>
      <c r="K1676" s="24" t="str">
        <f aca="false">IF(OR(E1676="",E1676="!!!",F1676="NEW"),"",INDEX(J$1:J1675,SUMPRODUCT(MAX(ROW(E$1:E1675)*(E1676=E$1:E1675)))))</f>
        <v/>
      </c>
      <c r="L1676" s="25"/>
    </row>
    <row r="1677" customFormat="false" ht="14.25" hidden="false" customHeight="false" outlineLevel="0" collapsed="false">
      <c r="A1677" s="0" t="s">
        <v>991</v>
      </c>
      <c r="E1677" s="20" t="s">
        <v>992</v>
      </c>
      <c r="F1677" s="21" t="str">
        <f aca="false">IF(OR(E1677="",E1677="!!!"),"",IF(NOT(ISNA(VLOOKUP(E1677,E$1:E1676,1,FALSE()))),"OLD",IF(AND(E1677&lt;&gt;"",E1677&lt;&gt;"!!!"),"NEW","")))</f>
        <v>NEW</v>
      </c>
      <c r="G1677" s="22" t="str">
        <f aca="false"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?REFERENTIAL</v>
      </c>
      <c r="H1677" s="23" t="str">
        <f aca="false">IF(J1677&lt;&gt;1,"",IF(I1677="SBJ","CB","?"))</f>
        <v/>
      </c>
      <c r="I1677" s="24" t="str">
        <f aca="false">IF(OR(E1677="",E1677="!!!",F1677="NEW"),"",INDEX(B$2:B1676,-1+SUMPRODUCT(MAX(ROW(E$2:E1676)*(E1677=E$2:E1676)))))</f>
        <v/>
      </c>
      <c r="J1677" s="24" t="str">
        <f aca="true">IF(OR(E1677="",E1677="!!!",F1677="NEW"),"",COUNTBLANK(OFFSET(A$1,,,SUMPRODUCT(MAX(ROW(E$2:E1677)*(E1677=E$2:E1677)))))-COUNTBLANK(OFFSET(A$1,,,SUMPRODUCT(MAX(ROW(E$1:E1676)*(E2=E$1:E1676))))))</f>
        <v/>
      </c>
      <c r="K1677" s="24" t="str">
        <f aca="false">IF(OR(E1677="",E1677="!!!",F1677="NEW"),"",INDEX(J$1:J1676,SUMPRODUCT(MAX(ROW(E$1:E1676)*(E1677=E$1:E1676)))))</f>
        <v/>
      </c>
      <c r="L1677" s="27" t="s">
        <v>993</v>
      </c>
    </row>
    <row r="1678" customFormat="false" ht="14.25" hidden="false" customHeight="false" outlineLevel="0" collapsed="false">
      <c r="A1678" s="0" t="s">
        <v>497</v>
      </c>
      <c r="E1678" s="20" t="str">
        <f aca="false">IF(D1678="?OLD","!!!","")</f>
        <v/>
      </c>
      <c r="F1678" s="21" t="str">
        <f aca="false">IF(OR(E1678="",E1678="!!!"),"",IF(NOT(ISNA(VLOOKUP(E1678,E$1:E1677,1,FALSE()))),"OLD",IF(AND(E1678&lt;&gt;"",E1678&lt;&gt;"!!!"),"NEW","")))</f>
        <v/>
      </c>
      <c r="G1678" s="22" t="str">
        <f aca="false"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3" t="str">
        <f aca="false">IF(J1678&lt;&gt;1,"",IF(I1678="SBJ","CB","?"))</f>
        <v/>
      </c>
      <c r="I1678" s="24" t="str">
        <f aca="false">IF(OR(E1678="",E1678="!!!",F1678="NEW"),"",INDEX(B$2:B1677,-1+SUMPRODUCT(MAX(ROW(E$2:E1677)*(E1678=E$2:E1677)))))</f>
        <v/>
      </c>
      <c r="J1678" s="24" t="str">
        <f aca="true">IF(OR(E1678="",E1678="!!!",F1678="NEW"),"",COUNTBLANK(OFFSET(A$1,,,SUMPRODUCT(MAX(ROW(E$2:E1678)*(E1678=E$2:E1678)))))-COUNTBLANK(OFFSET(A$1,,,SUMPRODUCT(MAX(ROW(E$1:E1677)*(E2=E$1:E1677))))))</f>
        <v/>
      </c>
      <c r="K1678" s="24" t="str">
        <f aca="false">IF(OR(E1678="",E1678="!!!",F1678="NEW"),"",INDEX(J$1:J1677,SUMPRODUCT(MAX(ROW(E$1:E1677)*(E1678=E$1:E1677)))))</f>
        <v/>
      </c>
      <c r="L1678" s="25"/>
    </row>
    <row r="1679" customFormat="false" ht="14.25" hidden="false" customHeight="false" outlineLevel="0" collapsed="false">
      <c r="A1679" s="0" t="s">
        <v>207</v>
      </c>
      <c r="B1679" s="26" t="s">
        <v>994</v>
      </c>
      <c r="C1679" s="26" t="s">
        <v>209</v>
      </c>
      <c r="D1679" s="26" t="s">
        <v>75</v>
      </c>
      <c r="E1679" s="20" t="s">
        <v>840</v>
      </c>
      <c r="F1679" s="21" t="s">
        <v>273</v>
      </c>
      <c r="G1679" s="22" t="str">
        <f aca="false"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?IN_FOCUS</v>
      </c>
      <c r="H1679" s="23" t="str">
        <f aca="false">IF(J1679&lt;&gt;1,"",IF(I1679="SBJ","CB","?"))</f>
        <v/>
      </c>
      <c r="I1679" s="24" t="str">
        <f aca="false">IF(OR(E1679="",E1679="!!!",F1679="NEW"),"",INDEX(B$2:B1678,-1+SUMPRODUCT(MAX(ROW(E$2:E1678)*(E1679=E$2:E1678)))))</f>
        <v>other_14</v>
      </c>
      <c r="J1679" s="24" t="n">
        <f aca="true">IF(OR(E1679="",E1679="!!!",F1679="NEW"),"",COUNTBLANK(OFFSET(A$1,,,SUMPRODUCT(MAX(ROW(E$2:E1679)*(E1679=E$2:E1679)))))-COUNTBLANK(OFFSET(A$1,,,SUMPRODUCT(MAX(ROW(E$1:E1678)*(E2=E$1:E1678))))))</f>
        <v>0</v>
      </c>
      <c r="K1679" s="24" t="n">
        <f aca="false">IF(OR(E1679="",E1679="!!!",F1679="NEW"),"",INDEX(J$1:J1678,SUMPRODUCT(MAX(ROW(E$1:E1678)*(E1679=E$1:E1678)))))</f>
        <v>0</v>
      </c>
      <c r="L1679" s="25"/>
    </row>
    <row r="1680" customFormat="false" ht="14.25" hidden="false" customHeight="false" outlineLevel="0" collapsed="false">
      <c r="A1680" s="0" t="s">
        <v>483</v>
      </c>
      <c r="E1680" s="20" t="str">
        <f aca="false">IF(D1680="?OLD","!!!","")</f>
        <v/>
      </c>
      <c r="F1680" s="21" t="str">
        <f aca="false">IF(OR(E1680="",E1680="!!!"),"",IF(NOT(ISNA(VLOOKUP(E1680,E$1:E1679,1,FALSE()))),"OLD",IF(AND(E1680&lt;&gt;"",E1680&lt;&gt;"!!!"),"NEW","")))</f>
        <v/>
      </c>
      <c r="G1680" s="22" t="str">
        <f aca="false"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3" t="str">
        <f aca="false">IF(J1680&lt;&gt;1,"",IF(I1680="SBJ","CB","?"))</f>
        <v/>
      </c>
      <c r="I1680" s="24" t="str">
        <f aca="false">IF(OR(E1680="",E1680="!!!",F1680="NEW"),"",INDEX(B$2:B1679,-1+SUMPRODUCT(MAX(ROW(E$2:E1679)*(E1680=E$2:E1679)))))</f>
        <v/>
      </c>
      <c r="J1680" s="24" t="str">
        <f aca="true">IF(OR(E1680="",E1680="!!!",F1680="NEW"),"",COUNTBLANK(OFFSET(A$1,,,SUMPRODUCT(MAX(ROW(E$2:E1680)*(E1680=E$2:E1680)))))-COUNTBLANK(OFFSET(A$1,,,SUMPRODUCT(MAX(ROW(E$1:E1679)*(E2=E$1:E1679))))))</f>
        <v/>
      </c>
      <c r="K1680" s="24" t="str">
        <f aca="false">IF(OR(E1680="",E1680="!!!",F1680="NEW"),"",INDEX(J$1:J1679,SUMPRODUCT(MAX(ROW(E$1:E1679)*(E1680=E$1:E1679)))))</f>
        <v/>
      </c>
      <c r="L1680" s="25"/>
    </row>
    <row r="1681" customFormat="false" ht="14.25" hidden="false" customHeight="false" outlineLevel="0" collapsed="false">
      <c r="A1681" s="0" t="s">
        <v>995</v>
      </c>
      <c r="B1681" s="26" t="s">
        <v>996</v>
      </c>
      <c r="C1681" s="26" t="s">
        <v>341</v>
      </c>
      <c r="E1681" s="20"/>
      <c r="F1681" s="21" t="str">
        <f aca="false">IF(OR(E1681="",E1681="!!!"),"",IF(NOT(ISNA(VLOOKUP(E1681,E$1:E1680,1,FALSE()))),"OLD",IF(AND(E1681&lt;&gt;"",E1681&lt;&gt;"!!!"),"NEW","")))</f>
        <v/>
      </c>
      <c r="G1681" s="22" t="str">
        <f aca="false"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3" t="str">
        <f aca="false">IF(J1681&lt;&gt;1,"",IF(I1681="SBJ","CB","?"))</f>
        <v/>
      </c>
      <c r="I1681" s="24" t="str">
        <f aca="false">IF(OR(E1681="",E1681="!!!",F1681="NEW"),"",INDEX(B$2:B1680,-1+SUMPRODUCT(MAX(ROW(E$2:E1680)*(E1681=E$2:E1680)))))</f>
        <v/>
      </c>
      <c r="J1681" s="24" t="str">
        <f aca="true">IF(OR(E1681="",E1681="!!!",F1681="NEW"),"",COUNTBLANK(OFFSET(A$1,,,SUMPRODUCT(MAX(ROW(E$2:E1681)*(E1681=E$2:E1681)))))-COUNTBLANK(OFFSET(A$1,,,SUMPRODUCT(MAX(ROW(E$1:E1680)*(E2=E$1:E1680))))))</f>
        <v/>
      </c>
      <c r="K1681" s="24" t="str">
        <f aca="false">IF(OR(E1681="",E1681="!!!",F1681="NEW"),"",INDEX(J$1:J1680,SUMPRODUCT(MAX(ROW(E$1:E1680)*(E1681=E$1:E1680)))))</f>
        <v/>
      </c>
      <c r="L1681" s="25"/>
    </row>
    <row r="1682" customFormat="false" ht="14.25" hidden="false" customHeight="false" outlineLevel="0" collapsed="false">
      <c r="A1682" s="0" t="s">
        <v>604</v>
      </c>
      <c r="E1682" s="20" t="s">
        <v>997</v>
      </c>
      <c r="F1682" s="21" t="str">
        <f aca="false">IF(OR(E1682="",E1682="!!!"),"",IF(NOT(ISNA(VLOOKUP(E1682,E$1:E1681,1,FALSE()))),"OLD",IF(AND(E1682&lt;&gt;"",E1682&lt;&gt;"!!!"),"NEW","")))</f>
        <v>NEW</v>
      </c>
      <c r="G1682" s="22" t="str">
        <f aca="false"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?REFERENTIAL</v>
      </c>
      <c r="H1682" s="23" t="str">
        <f aca="false">IF(J1682&lt;&gt;1,"",IF(I1682="SBJ","CB","?"))</f>
        <v/>
      </c>
      <c r="I1682" s="24" t="str">
        <f aca="false">IF(OR(E1682="",E1682="!!!",F1682="NEW"),"",INDEX(B$2:B1681,-1+SUMPRODUCT(MAX(ROW(E$2:E1681)*(E1682=E$2:E1681)))))</f>
        <v/>
      </c>
      <c r="J1682" s="24" t="str">
        <f aca="true">IF(OR(E1682="",E1682="!!!",F1682="NEW"),"",COUNTBLANK(OFFSET(A$1,,,SUMPRODUCT(MAX(ROW(E$2:E1682)*(E1682=E$2:E1682)))))-COUNTBLANK(OFFSET(A$1,,,SUMPRODUCT(MAX(ROW(E$1:E1681)*(E2=E$1:E1681))))))</f>
        <v/>
      </c>
      <c r="K1682" s="24" t="str">
        <f aca="false">IF(OR(E1682="",E1682="!!!",F1682="NEW"),"",INDEX(J$1:J1681,SUMPRODUCT(MAX(ROW(E$1:E1681)*(E1682=E$1:E1681)))))</f>
        <v/>
      </c>
      <c r="L1682" s="27" t="s">
        <v>993</v>
      </c>
    </row>
    <row r="1683" customFormat="false" ht="14.25" hidden="false" customHeight="false" outlineLevel="0" collapsed="false">
      <c r="A1683" s="0" t="s">
        <v>86</v>
      </c>
      <c r="E1683" s="20" t="str">
        <f aca="false">IF(D1683="?OLD","!!!","")</f>
        <v/>
      </c>
      <c r="F1683" s="21" t="str">
        <f aca="false">IF(OR(E1683="",E1683="!!!"),"",IF(NOT(ISNA(VLOOKUP(E1683,E$1:E1682,1,FALSE()))),"OLD",IF(AND(E1683&lt;&gt;"",E1683&lt;&gt;"!!!"),"NEW","")))</f>
        <v/>
      </c>
      <c r="G1683" s="22" t="str">
        <f aca="false"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/>
      </c>
      <c r="H1683" s="23" t="str">
        <f aca="false">IF(J1683&lt;&gt;1,"",IF(I1683="SBJ","CB","?"))</f>
        <v/>
      </c>
      <c r="I1683" s="24" t="str">
        <f aca="false">IF(OR(E1683="",E1683="!!!",F1683="NEW"),"",INDEX(B$2:B1682,-1+SUMPRODUCT(MAX(ROW(E$2:E1682)*(E1683=E$2:E1682)))))</f>
        <v/>
      </c>
      <c r="J1683" s="24" t="str">
        <f aca="true">IF(OR(E1683="",E1683="!!!",F1683="NEW"),"",COUNTBLANK(OFFSET(A$1,,,SUMPRODUCT(MAX(ROW(E$2:E1683)*(E1683=E$2:E1683)))))-COUNTBLANK(OFFSET(A$1,,,SUMPRODUCT(MAX(ROW(E$1:E1682)*(E2=E$1:E1682))))))</f>
        <v/>
      </c>
      <c r="K1683" s="24" t="str">
        <f aca="false">IF(OR(E1683="",E1683="!!!",F1683="NEW"),"",INDEX(J$1:J1682,SUMPRODUCT(MAX(ROW(E$1:E1682)*(E1683=E$1:E1682)))))</f>
        <v/>
      </c>
      <c r="L1683" s="25"/>
    </row>
    <row r="1684" customFormat="false" ht="14.25" hidden="false" customHeight="false" outlineLevel="0" collapsed="false">
      <c r="A1684" s="0" t="s">
        <v>724</v>
      </c>
      <c r="B1684" s="26" t="s">
        <v>998</v>
      </c>
      <c r="C1684" s="26" t="s">
        <v>283</v>
      </c>
      <c r="D1684" s="26" t="s">
        <v>75</v>
      </c>
      <c r="E1684" s="20"/>
      <c r="F1684" s="21" t="str">
        <f aca="false">IF(OR(E1684="",E1684="!!!"),"",IF(NOT(ISNA(VLOOKUP(E1684,E$1:E1683,1,FALSE()))),"OLD",IF(AND(E1684&lt;&gt;"",E1684&lt;&gt;"!!!"),"NEW","")))</f>
        <v/>
      </c>
      <c r="G1684" s="22" t="str">
        <f aca="false"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3" t="str">
        <f aca="false">IF(J1684&lt;&gt;1,"",IF(I1684="SBJ","CB","?"))</f>
        <v/>
      </c>
      <c r="I1684" s="24" t="str">
        <f aca="false">IF(OR(E1684="",E1684="!!!",F1684="NEW"),"",INDEX(B$2:B1683,-1+SUMPRODUCT(MAX(ROW(E$2:E1683)*(E1684=E$2:E1683)))))</f>
        <v/>
      </c>
      <c r="J1684" s="24" t="str">
        <f aca="true">IF(OR(E1684="",E1684="!!!",F1684="NEW"),"",COUNTBLANK(OFFSET(A$1,,,SUMPRODUCT(MAX(ROW(E$2:E1684)*(E1684=E$2:E1684)))))-COUNTBLANK(OFFSET(A$1,,,SUMPRODUCT(MAX(ROW(E$1:E1683)*(E2=E$1:E1683))))))</f>
        <v/>
      </c>
      <c r="K1684" s="24" t="str">
        <f aca="false">IF(OR(E1684="",E1684="!!!",F1684="NEW"),"",INDEX(J$1:J1683,SUMPRODUCT(MAX(ROW(E$1:E1683)*(E1684=E$1:E1683)))))</f>
        <v/>
      </c>
      <c r="L1684" s="27" t="s">
        <v>999</v>
      </c>
    </row>
    <row r="1685" customFormat="false" ht="14.25" hidden="false" customHeight="false" outlineLevel="0" collapsed="false">
      <c r="A1685" s="0" t="s">
        <v>101</v>
      </c>
      <c r="E1685" s="20" t="str">
        <f aca="false">IF(D1685="?OLD","!!!","")</f>
        <v/>
      </c>
      <c r="F1685" s="21" t="str">
        <f aca="false">IF(OR(E1685="",E1685="!!!"),"",IF(NOT(ISNA(VLOOKUP(E1685,E$1:E1684,1,FALSE()))),"OLD",IF(AND(E1685&lt;&gt;"",E1685&lt;&gt;"!!!"),"NEW","")))</f>
        <v/>
      </c>
      <c r="G1685" s="22" t="str">
        <f aca="false"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3" t="str">
        <f aca="false">IF(J1685&lt;&gt;1,"",IF(I1685="SBJ","CB","?"))</f>
        <v/>
      </c>
      <c r="I1685" s="24" t="str">
        <f aca="false">IF(OR(E1685="",E1685="!!!",F1685="NEW"),"",INDEX(B$2:B1684,-1+SUMPRODUCT(MAX(ROW(E$2:E1684)*(E1685=E$2:E1684)))))</f>
        <v/>
      </c>
      <c r="J1685" s="24" t="str">
        <f aca="true">IF(OR(E1685="",E1685="!!!",F1685="NEW"),"",COUNTBLANK(OFFSET(A$1,,,SUMPRODUCT(MAX(ROW(E$2:E1685)*(E1685=E$2:E1685)))))-COUNTBLANK(OFFSET(A$1,,,SUMPRODUCT(MAX(ROW(E$1:E1684)*(E2=E$1:E1684))))))</f>
        <v/>
      </c>
      <c r="K1685" s="24" t="str">
        <f aca="false">IF(OR(E1685="",E1685="!!!",F1685="NEW"),"",INDEX(J$1:J1684,SUMPRODUCT(MAX(ROW(E$1:E1684)*(E1685=E$1:E1684)))))</f>
        <v/>
      </c>
      <c r="L1685" s="25"/>
    </row>
    <row r="1686" customFormat="false" ht="14.25" hidden="false" customHeight="false" outlineLevel="0" collapsed="false">
      <c r="A1686" s="0" t="s">
        <v>632</v>
      </c>
      <c r="E1686" s="20" t="str">
        <f aca="false">IF(D1686="?OLD","!!!","")</f>
        <v/>
      </c>
      <c r="F1686" s="21" t="str">
        <f aca="false">IF(OR(E1686="",E1686="!!!"),"",IF(NOT(ISNA(VLOOKUP(E1686,E$1:E1685,1,FALSE()))),"OLD",IF(AND(E1686&lt;&gt;"",E1686&lt;&gt;"!!!"),"NEW","")))</f>
        <v/>
      </c>
      <c r="G1686" s="22" t="str">
        <f aca="false"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3" t="str">
        <f aca="false">IF(J1686&lt;&gt;1,"",IF(I1686="SBJ","CB","?"))</f>
        <v/>
      </c>
      <c r="I1686" s="24" t="str">
        <f aca="false">IF(OR(E1686="",E1686="!!!",F1686="NEW"),"",INDEX(B$2:B1685,-1+SUMPRODUCT(MAX(ROW(E$2:E1685)*(E1686=E$2:E1685)))))</f>
        <v/>
      </c>
      <c r="J1686" s="24" t="str">
        <f aca="true">IF(OR(E1686="",E1686="!!!",F1686="NEW"),"",COUNTBLANK(OFFSET(A$1,,,SUMPRODUCT(MAX(ROW(E$2:E1686)*(E1686=E$2:E1686)))))-COUNTBLANK(OFFSET(A$1,,,SUMPRODUCT(MAX(ROW(E$1:E1685)*(E2=E$1:E1685))))))</f>
        <v/>
      </c>
      <c r="K1686" s="24" t="str">
        <f aca="false">IF(OR(E1686="",E1686="!!!",F1686="NEW"),"",INDEX(J$1:J1685,SUMPRODUCT(MAX(ROW(E$1:E1685)*(E1686=E$1:E1685)))))</f>
        <v/>
      </c>
      <c r="L1686" s="25"/>
    </row>
    <row r="1687" customFormat="false" ht="14.25" hidden="false" customHeight="false" outlineLevel="0" collapsed="false">
      <c r="A1687" s="0" t="s">
        <v>116</v>
      </c>
      <c r="E1687" s="20" t="str">
        <f aca="false">IF(D1687="?OLD","!!!","")</f>
        <v/>
      </c>
      <c r="F1687" s="21" t="str">
        <f aca="false">IF(OR(E1687="",E1687="!!!"),"",IF(NOT(ISNA(VLOOKUP(E1687,E$1:E1686,1,FALSE()))),"OLD",IF(AND(E1687&lt;&gt;"",E1687&lt;&gt;"!!!"),"NEW","")))</f>
        <v/>
      </c>
      <c r="G1687" s="22" t="str">
        <f aca="false"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3" t="str">
        <f aca="false">IF(J1687&lt;&gt;1,"",IF(I1687="SBJ","CB","?"))</f>
        <v/>
      </c>
      <c r="I1687" s="24" t="str">
        <f aca="false">IF(OR(E1687="",E1687="!!!",F1687="NEW"),"",INDEX(B$2:B1686,-1+SUMPRODUCT(MAX(ROW(E$2:E1686)*(E1687=E$2:E1686)))))</f>
        <v/>
      </c>
      <c r="J1687" s="24" t="str">
        <f aca="true">IF(OR(E1687="",E1687="!!!",F1687="NEW"),"",COUNTBLANK(OFFSET(A$1,,,SUMPRODUCT(MAX(ROW(E$2:E1687)*(E1687=E$2:E1687)))))-COUNTBLANK(OFFSET(A$1,,,SUMPRODUCT(MAX(ROW(E$1:E1686)*(E2=E$1:E1686))))))</f>
        <v/>
      </c>
      <c r="K1687" s="24" t="str">
        <f aca="false">IF(OR(E1687="",E1687="!!!",F1687="NEW"),"",INDEX(J$1:J1686,SUMPRODUCT(MAX(ROW(E$1:E1686)*(E1687=E$1:E1686)))))</f>
        <v/>
      </c>
      <c r="L1687" s="25"/>
    </row>
    <row r="1688" customFormat="false" ht="14.25" hidden="false" customHeight="false" outlineLevel="0" collapsed="false">
      <c r="A1688" s="0" t="s">
        <v>101</v>
      </c>
      <c r="E1688" s="20" t="str">
        <f aca="false">IF(D1688="?OLD","!!!","")</f>
        <v/>
      </c>
      <c r="F1688" s="21" t="str">
        <f aca="false">IF(OR(E1688="",E1688="!!!"),"",IF(NOT(ISNA(VLOOKUP(E1688,E$1:E1687,1,FALSE()))),"OLD",IF(AND(E1688&lt;&gt;"",E1688&lt;&gt;"!!!"),"NEW","")))</f>
        <v/>
      </c>
      <c r="G1688" s="22" t="str">
        <f aca="false"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3" t="str">
        <f aca="false">IF(J1688&lt;&gt;1,"",IF(I1688="SBJ","CB","?"))</f>
        <v/>
      </c>
      <c r="I1688" s="24" t="str">
        <f aca="false">IF(OR(E1688="",E1688="!!!",F1688="NEW"),"",INDEX(B$2:B1687,-1+SUMPRODUCT(MAX(ROW(E$2:E1687)*(E1688=E$2:E1687)))))</f>
        <v/>
      </c>
      <c r="J1688" s="24" t="str">
        <f aca="true">IF(OR(E1688="",E1688="!!!",F1688="NEW"),"",COUNTBLANK(OFFSET(A$1,,,SUMPRODUCT(MAX(ROW(E$2:E1688)*(E1688=E$2:E1688)))))-COUNTBLANK(OFFSET(A$1,,,SUMPRODUCT(MAX(ROW(E$1:E1687)*(E2=E$1:E1687))))))</f>
        <v/>
      </c>
      <c r="K1688" s="24" t="str">
        <f aca="false">IF(OR(E1688="",E1688="!!!",F1688="NEW"),"",INDEX(J$1:J1687,SUMPRODUCT(MAX(ROW(E$1:E1687)*(E1688=E$1:E1687)))))</f>
        <v/>
      </c>
      <c r="L1688" s="25"/>
    </row>
    <row r="1689" customFormat="false" ht="14.25" hidden="false" customHeight="false" outlineLevel="0" collapsed="false">
      <c r="A1689" s="0" t="s">
        <v>122</v>
      </c>
      <c r="E1689" s="20" t="str">
        <f aca="false">IF(D1689="?OLD","!!!","")</f>
        <v/>
      </c>
      <c r="F1689" s="21" t="str">
        <f aca="false">IF(OR(E1689="",E1689="!!!"),"",IF(NOT(ISNA(VLOOKUP(E1689,E$1:E1688,1,FALSE()))),"OLD",IF(AND(E1689&lt;&gt;"",E1689&lt;&gt;"!!!"),"NEW","")))</f>
        <v/>
      </c>
      <c r="G1689" s="22" t="str">
        <f aca="false"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3" t="str">
        <f aca="false">IF(J1689&lt;&gt;1,"",IF(I1689="SBJ","CB","?"))</f>
        <v/>
      </c>
      <c r="I1689" s="24" t="str">
        <f aca="false">IF(OR(E1689="",E1689="!!!",F1689="NEW"),"",INDEX(B$2:B1688,-1+SUMPRODUCT(MAX(ROW(E$2:E1688)*(E1689=E$2:E1688)))))</f>
        <v/>
      </c>
      <c r="J1689" s="24" t="str">
        <f aca="true">IF(OR(E1689="",E1689="!!!",F1689="NEW"),"",COUNTBLANK(OFFSET(A$1,,,SUMPRODUCT(MAX(ROW(E$2:E1689)*(E1689=E$2:E1689)))))-COUNTBLANK(OFFSET(A$1,,,SUMPRODUCT(MAX(ROW(E$1:E1688)*(E2=E$1:E1688))))))</f>
        <v/>
      </c>
      <c r="K1689" s="24" t="str">
        <f aca="false">IF(OR(E1689="",E1689="!!!",F1689="NEW"),"",INDEX(J$1:J1688,SUMPRODUCT(MAX(ROW(E$1:E1688)*(E1689=E$1:E1688)))))</f>
        <v/>
      </c>
      <c r="L1689" s="25"/>
    </row>
    <row r="1690" customFormat="false" ht="14.25" hidden="false" customHeight="false" outlineLevel="0" collapsed="false">
      <c r="A1690" s="0" t="s">
        <v>87</v>
      </c>
      <c r="B1690" s="26" t="s">
        <v>979</v>
      </c>
      <c r="C1690" s="26" t="s">
        <v>88</v>
      </c>
      <c r="D1690" s="26" t="s">
        <v>75</v>
      </c>
      <c r="E1690" s="20"/>
      <c r="F1690" s="21" t="s">
        <v>107</v>
      </c>
      <c r="G1690" s="22" t="str">
        <f aca="false"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3" t="str">
        <f aca="false">IF(J1690&lt;&gt;1,"",IF(I1690="SBJ","CB","?"))</f>
        <v/>
      </c>
      <c r="I1690" s="24" t="str">
        <f aca="false">IF(OR(E1690="",E1690="!!!",F1690="NEW"),"",INDEX(B$2:B1689,-1+SUMPRODUCT(MAX(ROW(E$2:E1689)*(E1690=E$2:E1689)))))</f>
        <v/>
      </c>
      <c r="J1690" s="24" t="str">
        <f aca="true">IF(OR(E1690="",E1690="!!!",F1690="NEW"),"",COUNTBLANK(OFFSET(A$1,,,SUMPRODUCT(MAX(ROW(E$2:E1690)*(E1690=E$2:E1690)))))-COUNTBLANK(OFFSET(A$1,,,SUMPRODUCT(MAX(ROW(E$1:E1689)*(E2=E$1:E1689))))))</f>
        <v/>
      </c>
      <c r="K1690" s="24" t="str">
        <f aca="false">IF(OR(E1690="",E1690="!!!",F1690="NEW"),"",INDEX(J$1:J1689,SUMPRODUCT(MAX(ROW(E$1:E1689)*(E1690=E$1:E1689)))))</f>
        <v/>
      </c>
      <c r="L1690" s="25"/>
    </row>
    <row r="1691" customFormat="false" ht="14.25" hidden="false" customHeight="false" outlineLevel="0" collapsed="false">
      <c r="A1691" s="0" t="s">
        <v>79</v>
      </c>
      <c r="E1691" s="20" t="str">
        <f aca="false">IF(D1691="?OLD","!!!","")</f>
        <v/>
      </c>
      <c r="F1691" s="21" t="str">
        <f aca="false">IF(OR(E1691="",E1691="!!!"),"",IF(NOT(ISNA(VLOOKUP(E1691,E$1:E1690,1,FALSE()))),"OLD",IF(AND(E1691&lt;&gt;"",E1691&lt;&gt;"!!!"),"NEW","")))</f>
        <v/>
      </c>
      <c r="G1691" s="22" t="str">
        <f aca="false"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3" t="str">
        <f aca="false">IF(J1691&lt;&gt;1,"",IF(I1691="SBJ","CB","?"))</f>
        <v/>
      </c>
      <c r="I1691" s="24" t="str">
        <f aca="false">IF(OR(E1691="",E1691="!!!",F1691="NEW"),"",INDEX(B$2:B1690,-1+SUMPRODUCT(MAX(ROW(E$2:E1690)*(E1691=E$2:E1690)))))</f>
        <v/>
      </c>
      <c r="J1691" s="24" t="str">
        <f aca="true">IF(OR(E1691="",E1691="!!!",F1691="NEW"),"",COUNTBLANK(OFFSET(A$1,,,SUMPRODUCT(MAX(ROW(E$2:E1691)*(E1691=E$2:E1691)))))-COUNTBLANK(OFFSET(A$1,,,SUMPRODUCT(MAX(ROW(E$1:E1690)*(E2=E$1:E1690))))))</f>
        <v/>
      </c>
      <c r="K1691" s="24" t="str">
        <f aca="false">IF(OR(E1691="",E1691="!!!",F1691="NEW"),"",INDEX(J$1:J1690,SUMPRODUCT(MAX(ROW(E$1:E1690)*(E1691=E$1:E1690)))))</f>
        <v/>
      </c>
      <c r="L1691" s="25"/>
    </row>
    <row r="1692" customFormat="false" ht="14.25" hidden="false" customHeight="false" outlineLevel="0" collapsed="false">
      <c r="A1692" s="0" t="s">
        <v>1000</v>
      </c>
      <c r="B1692" s="26" t="s">
        <v>1001</v>
      </c>
      <c r="C1692" s="26" t="s">
        <v>283</v>
      </c>
      <c r="D1692" s="26" t="s">
        <v>75</v>
      </c>
      <c r="E1692" s="20" t="s">
        <v>1002</v>
      </c>
      <c r="F1692" s="21" t="str">
        <f aca="false">IF(OR(E1692="",E1692="!!!"),"",IF(NOT(ISNA(VLOOKUP(E1692,E$1:E1691,1,FALSE()))),"OLD",IF(AND(E1692&lt;&gt;"",E1692&lt;&gt;"!!!"),"NEW","")))</f>
        <v>NEW</v>
      </c>
      <c r="G1692" s="22" t="str">
        <f aca="false"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?REFERENTIAL</v>
      </c>
      <c r="H1692" s="23" t="str">
        <f aca="false">IF(J1692&lt;&gt;1,"",IF(I1692="SBJ","CB","?"))</f>
        <v/>
      </c>
      <c r="I1692" s="24" t="str">
        <f aca="false">IF(OR(E1692="",E1692="!!!",F1692="NEW"),"",INDEX(B$2:B1691,-1+SUMPRODUCT(MAX(ROW(E$2:E1691)*(E1692=E$2:E1691)))))</f>
        <v/>
      </c>
      <c r="J1692" s="24" t="str">
        <f aca="true">IF(OR(E1692="",E1692="!!!",F1692="NEW"),"",COUNTBLANK(OFFSET(A$1,,,SUMPRODUCT(MAX(ROW(E$2:E1692)*(E1692=E$2:E1692)))))-COUNTBLANK(OFFSET(A$1,,,SUMPRODUCT(MAX(ROW(E$1:E1691)*(E2=E$1:E1691))))))</f>
        <v/>
      </c>
      <c r="K1692" s="24" t="str">
        <f aca="false">IF(OR(E1692="",E1692="!!!",F1692="NEW"),"",INDEX(J$1:J1691,SUMPRODUCT(MAX(ROW(E$1:E1691)*(E1692=E$1:E1691)))))</f>
        <v/>
      </c>
      <c r="L1692" s="25"/>
    </row>
    <row r="1693" customFormat="false" ht="14.25" hidden="false" customHeight="false" outlineLevel="0" collapsed="false">
      <c r="A1693" s="0" t="s">
        <v>1003</v>
      </c>
      <c r="E1693" s="20" t="str">
        <f aca="false">IF(D1693="?OLD","!!!","")</f>
        <v/>
      </c>
      <c r="F1693" s="21" t="str">
        <f aca="false">IF(OR(E1693="",E1693="!!!"),"",IF(NOT(ISNA(VLOOKUP(E1693,E$1:E1692,1,FALSE()))),"OLD",IF(AND(E1693&lt;&gt;"",E1693&lt;&gt;"!!!"),"NEW","")))</f>
        <v/>
      </c>
      <c r="G1693" s="22" t="str">
        <f aca="false"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3" t="str">
        <f aca="false">IF(J1693&lt;&gt;1,"",IF(I1693="SBJ","CB","?"))</f>
        <v/>
      </c>
      <c r="I1693" s="24" t="str">
        <f aca="false">IF(OR(E1693="",E1693="!!!",F1693="NEW"),"",INDEX(B$2:B1692,-1+SUMPRODUCT(MAX(ROW(E$2:E1692)*(E1693=E$2:E1692)))))</f>
        <v/>
      </c>
      <c r="J1693" s="24" t="str">
        <f aca="true">IF(OR(E1693="",E1693="!!!",F1693="NEW"),"",COUNTBLANK(OFFSET(A$1,,,SUMPRODUCT(MAX(ROW(E$2:E1693)*(E1693=E$2:E1693)))))-COUNTBLANK(OFFSET(A$1,,,SUMPRODUCT(MAX(ROW(E$1:E1692)*(E2=E$1:E1692))))))</f>
        <v/>
      </c>
      <c r="K1693" s="24" t="str">
        <f aca="false">IF(OR(E1693="",E1693="!!!",F1693="NEW"),"",INDEX(J$1:J1692,SUMPRODUCT(MAX(ROW(E$1:E1692)*(E1693=E$1:E1692)))))</f>
        <v/>
      </c>
      <c r="L1693" s="25"/>
    </row>
    <row r="1694" customFormat="false" ht="14.25" hidden="false" customHeight="false" outlineLevel="0" collapsed="false">
      <c r="A1694" s="0" t="s">
        <v>86</v>
      </c>
      <c r="E1694" s="20" t="str">
        <f aca="false">IF(D1694="?OLD","!!!","")</f>
        <v/>
      </c>
      <c r="F1694" s="21" t="str">
        <f aca="false">IF(OR(E1694="",E1694="!!!"),"",IF(NOT(ISNA(VLOOKUP(E1694,E$1:E1693,1,FALSE()))),"OLD",IF(AND(E1694&lt;&gt;"",E1694&lt;&gt;"!!!"),"NEW","")))</f>
        <v/>
      </c>
      <c r="G1694" s="22" t="str">
        <f aca="false"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3" t="str">
        <f aca="false">IF(J1694&lt;&gt;1,"",IF(I1694="SBJ","CB","?"))</f>
        <v/>
      </c>
      <c r="I1694" s="24" t="str">
        <f aca="false">IF(OR(E1694="",E1694="!!!",F1694="NEW"),"",INDEX(B$2:B1693,-1+SUMPRODUCT(MAX(ROW(E$2:E1693)*(E1694=E$2:E1693)))))</f>
        <v/>
      </c>
      <c r="J1694" s="24" t="str">
        <f aca="true">IF(OR(E1694="",E1694="!!!",F1694="NEW"),"",COUNTBLANK(OFFSET(A$1,,,SUMPRODUCT(MAX(ROW(E$2:E1694)*(E1694=E$2:E1694)))))-COUNTBLANK(OFFSET(A$1,,,SUMPRODUCT(MAX(ROW(E$1:E1693)*(E2=E$1:E1693))))))</f>
        <v/>
      </c>
      <c r="K1694" s="24" t="str">
        <f aca="false">IF(OR(E1694="",E1694="!!!",F1694="NEW"),"",INDEX(J$1:J1693,SUMPRODUCT(MAX(ROW(E$1:E1693)*(E1694=E$1:E1693)))))</f>
        <v/>
      </c>
      <c r="L1694" s="25"/>
    </row>
    <row r="1695" customFormat="false" ht="14.25" hidden="false" customHeight="false" outlineLevel="0" collapsed="false">
      <c r="A1695" s="0" t="s">
        <v>319</v>
      </c>
      <c r="E1695" s="20" t="str">
        <f aca="false">IF(D1695="?OLD","!!!","")</f>
        <v/>
      </c>
      <c r="F1695" s="21" t="str">
        <f aca="false">IF(OR(E1695="",E1695="!!!"),"",IF(NOT(ISNA(VLOOKUP(E1695,E$1:E1694,1,FALSE()))),"OLD",IF(AND(E1695&lt;&gt;"",E1695&lt;&gt;"!!!"),"NEW","")))</f>
        <v/>
      </c>
      <c r="G1695" s="22" t="str">
        <f aca="false"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3" t="str">
        <f aca="false">IF(J1695&lt;&gt;1,"",IF(I1695="SBJ","CB","?"))</f>
        <v/>
      </c>
      <c r="I1695" s="24" t="str">
        <f aca="false">IF(OR(E1695="",E1695="!!!",F1695="NEW"),"",INDEX(B$2:B1694,-1+SUMPRODUCT(MAX(ROW(E$2:E1694)*(E1695=E$2:E1694)))))</f>
        <v/>
      </c>
      <c r="J1695" s="24" t="str">
        <f aca="true">IF(OR(E1695="",E1695="!!!",F1695="NEW"),"",COUNTBLANK(OFFSET(A$1,,,SUMPRODUCT(MAX(ROW(E$2:E1695)*(E1695=E$2:E1695)))))-COUNTBLANK(OFFSET(A$1,,,SUMPRODUCT(MAX(ROW(E$1:E1694)*(E2=E$1:E1694))))))</f>
        <v/>
      </c>
      <c r="K1695" s="24" t="str">
        <f aca="false">IF(OR(E1695="",E1695="!!!",F1695="NEW"),"",INDEX(J$1:J1694,SUMPRODUCT(MAX(ROW(E$1:E1694)*(E1695=E$1:E1694)))))</f>
        <v/>
      </c>
      <c r="L1695" s="25"/>
    </row>
    <row r="1696" customFormat="false" ht="14.25" hidden="false" customHeight="false" outlineLevel="0" collapsed="false">
      <c r="A1696" s="0" t="s">
        <v>320</v>
      </c>
      <c r="E1696" s="20" t="str">
        <f aca="false">IF(D1696="?OLD","!!!","")</f>
        <v/>
      </c>
      <c r="F1696" s="21" t="str">
        <f aca="false">IF(OR(E1696="",E1696="!!!"),"",IF(NOT(ISNA(VLOOKUP(E1696,E$1:E1695,1,FALSE()))),"OLD",IF(AND(E1696&lt;&gt;"",E1696&lt;&gt;"!!!"),"NEW","")))</f>
        <v/>
      </c>
      <c r="G1696" s="22" t="str">
        <f aca="false"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3" t="str">
        <f aca="false">IF(J1696&lt;&gt;1,"",IF(I1696="SBJ","CB","?"))</f>
        <v/>
      </c>
      <c r="I1696" s="24" t="str">
        <f aca="false">IF(OR(E1696="",E1696="!!!",F1696="NEW"),"",INDEX(B$2:B1695,-1+SUMPRODUCT(MAX(ROW(E$2:E1695)*(E1696=E$2:E1695)))))</f>
        <v/>
      </c>
      <c r="J1696" s="24" t="str">
        <f aca="true">IF(OR(E1696="",E1696="!!!",F1696="NEW"),"",COUNTBLANK(OFFSET(A$1,,,SUMPRODUCT(MAX(ROW(E$2:E1696)*(E1696=E$2:E1696)))))-COUNTBLANK(OFFSET(A$1,,,SUMPRODUCT(MAX(ROW(E$1:E1695)*(E2=E$1:E1695))))))</f>
        <v/>
      </c>
      <c r="K1696" s="24" t="str">
        <f aca="false">IF(OR(E1696="",E1696="!!!",F1696="NEW"),"",INDEX(J$1:J1695,SUMPRODUCT(MAX(ROW(E$1:E1695)*(E1696=E$1:E1695)))))</f>
        <v/>
      </c>
      <c r="L1696" s="25"/>
    </row>
    <row r="1697" customFormat="false" ht="14.25" hidden="false" customHeight="false" outlineLevel="0" collapsed="false">
      <c r="A1697" s="0" t="s">
        <v>321</v>
      </c>
      <c r="E1697" s="20" t="str">
        <f aca="false">IF(D1697="?OLD","!!!","")</f>
        <v/>
      </c>
      <c r="F1697" s="21" t="str">
        <f aca="false">IF(OR(E1697="",E1697="!!!"),"",IF(NOT(ISNA(VLOOKUP(E1697,E$1:E1696,1,FALSE()))),"OLD",IF(AND(E1697&lt;&gt;"",E1697&lt;&gt;"!!!"),"NEW","")))</f>
        <v/>
      </c>
      <c r="G1697" s="22" t="str">
        <f aca="false"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3" t="str">
        <f aca="false">IF(J1697&lt;&gt;1,"",IF(I1697="SBJ","CB","?"))</f>
        <v/>
      </c>
      <c r="I1697" s="24" t="str">
        <f aca="false">IF(OR(E1697="",E1697="!!!",F1697="NEW"),"",INDEX(B$2:B1696,-1+SUMPRODUCT(MAX(ROW(E$2:E1696)*(E1697=E$2:E1696)))))</f>
        <v/>
      </c>
      <c r="J1697" s="24" t="str">
        <f aca="true">IF(OR(E1697="",E1697="!!!",F1697="NEW"),"",COUNTBLANK(OFFSET(A$1,,,SUMPRODUCT(MAX(ROW(E$2:E1697)*(E1697=E$2:E1697)))))-COUNTBLANK(OFFSET(A$1,,,SUMPRODUCT(MAX(ROW(E$1:E1696)*(E2=E$1:E1696))))))</f>
        <v/>
      </c>
      <c r="K1697" s="24" t="str">
        <f aca="false">IF(OR(E1697="",E1697="!!!",F1697="NEW"),"",INDEX(J$1:J1696,SUMPRODUCT(MAX(ROW(E$1:E1696)*(E1697=E$1:E1696)))))</f>
        <v/>
      </c>
      <c r="L1697" s="25"/>
    </row>
    <row r="1698" customFormat="false" ht="14.25" hidden="false" customHeight="false" outlineLevel="0" collapsed="false">
      <c r="A1698" s="0" t="s">
        <v>148</v>
      </c>
      <c r="B1698" s="26" t="s">
        <v>998</v>
      </c>
      <c r="C1698" s="26" t="s">
        <v>88</v>
      </c>
      <c r="D1698" s="26" t="s">
        <v>75</v>
      </c>
      <c r="E1698" s="20"/>
      <c r="F1698" s="21" t="s">
        <v>124</v>
      </c>
      <c r="G1698" s="22" t="str">
        <f aca="false"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3" t="str">
        <f aca="false">IF(J1698&lt;&gt;1,"",IF(I1698="SBJ","CB","?"))</f>
        <v/>
      </c>
      <c r="I1698" s="24" t="str">
        <f aca="false">IF(OR(E1698="",E1698="!!!",F1698="NEW"),"",INDEX(B$2:B1697,-1+SUMPRODUCT(MAX(ROW(E$2:E1697)*(E1698=E$2:E1697)))))</f>
        <v/>
      </c>
      <c r="J1698" s="24" t="str">
        <f aca="true">IF(OR(E1698="",E1698="!!!",F1698="NEW"),"",COUNTBLANK(OFFSET(A$1,,,SUMPRODUCT(MAX(ROW(E$2:E1698)*(E1698=E$2:E1698)))))-COUNTBLANK(OFFSET(A$1,,,SUMPRODUCT(MAX(ROW(E$1:E1697)*(E2=E$1:E1697))))))</f>
        <v/>
      </c>
      <c r="K1698" s="24" t="str">
        <f aca="false">IF(OR(E1698="",E1698="!!!",F1698="NEW"),"",INDEX(J$1:J1697,SUMPRODUCT(MAX(ROW(E$1:E1697)*(E1698=E$1:E1697)))))</f>
        <v/>
      </c>
      <c r="L1698" s="25"/>
    </row>
    <row r="1699" customFormat="false" ht="14.25" hidden="false" customHeight="false" outlineLevel="0" collapsed="false">
      <c r="A1699" s="0" t="s">
        <v>78</v>
      </c>
      <c r="E1699" s="20" t="str">
        <f aca="false">IF(D1699="?OLD","!!!","")</f>
        <v/>
      </c>
      <c r="F1699" s="21" t="str">
        <f aca="false">IF(OR(E1699="",E1699="!!!"),"",IF(NOT(ISNA(VLOOKUP(E1699,E$1:E1698,1,FALSE()))),"OLD",IF(AND(E1699&lt;&gt;"",E1699&lt;&gt;"!!!"),"NEW","")))</f>
        <v/>
      </c>
      <c r="G1699" s="22" t="str">
        <f aca="false"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3" t="str">
        <f aca="false">IF(J1699&lt;&gt;1,"",IF(I1699="SBJ","CB","?"))</f>
        <v/>
      </c>
      <c r="I1699" s="24" t="str">
        <f aca="false">IF(OR(E1699="",E1699="!!!",F1699="NEW"),"",INDEX(B$2:B1698,-1+SUMPRODUCT(MAX(ROW(E$2:E1698)*(E1699=E$2:E1698)))))</f>
        <v/>
      </c>
      <c r="J1699" s="24" t="str">
        <f aca="true">IF(OR(E1699="",E1699="!!!",F1699="NEW"),"",COUNTBLANK(OFFSET(A$1,,,SUMPRODUCT(MAX(ROW(E$2:E1699)*(E1699=E$2:E1699)))))-COUNTBLANK(OFFSET(A$1,,,SUMPRODUCT(MAX(ROW(E$1:E1698)*(E2=E$1:E1698))))))</f>
        <v/>
      </c>
      <c r="K1699" s="24" t="str">
        <f aca="false">IF(OR(E1699="",E1699="!!!",F1699="NEW"),"",INDEX(J$1:J1698,SUMPRODUCT(MAX(ROW(E$1:E1698)*(E1699=E$1:E1698)))))</f>
        <v/>
      </c>
      <c r="L1699" s="25"/>
    </row>
    <row r="1700" customFormat="false" ht="14.25" hidden="false" customHeight="false" outlineLevel="0" collapsed="false">
      <c r="A1700" s="0" t="s">
        <v>678</v>
      </c>
      <c r="E1700" s="20" t="str">
        <f aca="false">IF(D1700="?OLD","!!!","")</f>
        <v/>
      </c>
      <c r="F1700" s="21" t="str">
        <f aca="false">IF(OR(E1700="",E1700="!!!"),"",IF(NOT(ISNA(VLOOKUP(E1700,E$1:E1699,1,FALSE()))),"OLD",IF(AND(E1700&lt;&gt;"",E1700&lt;&gt;"!!!"),"NEW","")))</f>
        <v/>
      </c>
      <c r="G1700" s="22" t="str">
        <f aca="false"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3" t="str">
        <f aca="false">IF(J1700&lt;&gt;1,"",IF(I1700="SBJ","CB","?"))</f>
        <v/>
      </c>
      <c r="I1700" s="24" t="str">
        <f aca="false">IF(OR(E1700="",E1700="!!!",F1700="NEW"),"",INDEX(B$2:B1699,-1+SUMPRODUCT(MAX(ROW(E$2:E1699)*(E1700=E$2:E1699)))))</f>
        <v/>
      </c>
      <c r="J1700" s="24" t="str">
        <f aca="true">IF(OR(E1700="",E1700="!!!",F1700="NEW"),"",COUNTBLANK(OFFSET(A$1,,,SUMPRODUCT(MAX(ROW(E$2:E1700)*(E1700=E$2:E1700)))))-COUNTBLANK(OFFSET(A$1,,,SUMPRODUCT(MAX(ROW(E$1:E1699)*(E2=E$1:E1699))))))</f>
        <v/>
      </c>
      <c r="K1700" s="24" t="str">
        <f aca="false">IF(OR(E1700="",E1700="!!!",F1700="NEW"),"",INDEX(J$1:J1699,SUMPRODUCT(MAX(ROW(E$1:E1699)*(E1700=E$1:E1699)))))</f>
        <v/>
      </c>
      <c r="L1700" s="25"/>
    </row>
    <row r="1701" customFormat="false" ht="14.25" hidden="false" customHeight="false" outlineLevel="0" collapsed="false">
      <c r="A1701" s="0" t="s">
        <v>1004</v>
      </c>
      <c r="E1701" s="20" t="str">
        <f aca="false">IF(D1701="?OLD","!!!","")</f>
        <v/>
      </c>
      <c r="F1701" s="21" t="str">
        <f aca="false">IF(OR(E1701="",E1701="!!!"),"",IF(NOT(ISNA(VLOOKUP(E1701,E$1:E1700,1,FALSE()))),"OLD",IF(AND(E1701&lt;&gt;"",E1701&lt;&gt;"!!!"),"NEW","")))</f>
        <v/>
      </c>
      <c r="G1701" s="22" t="str">
        <f aca="false"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3" t="str">
        <f aca="false">IF(J1701&lt;&gt;1,"",IF(I1701="SBJ","CB","?"))</f>
        <v/>
      </c>
      <c r="I1701" s="24" t="str">
        <f aca="false">IF(OR(E1701="",E1701="!!!",F1701="NEW"),"",INDEX(B$2:B1700,-1+SUMPRODUCT(MAX(ROW(E$2:E1700)*(E1701=E$2:E1700)))))</f>
        <v/>
      </c>
      <c r="J1701" s="24" t="str">
        <f aca="true">IF(OR(E1701="",E1701="!!!",F1701="NEW"),"",COUNTBLANK(OFFSET(A$1,,,SUMPRODUCT(MAX(ROW(E$2:E1701)*(E1701=E$2:E1701)))))-COUNTBLANK(OFFSET(A$1,,,SUMPRODUCT(MAX(ROW(E$1:E1700)*(E2=E$1:E1700))))))</f>
        <v/>
      </c>
      <c r="K1701" s="24" t="str">
        <f aca="false">IF(OR(E1701="",E1701="!!!",F1701="NEW"),"",INDEX(J$1:J1700,SUMPRODUCT(MAX(ROW(E$1:E1700)*(E1701=E$1:E1700)))))</f>
        <v/>
      </c>
      <c r="L1701" s="25"/>
    </row>
    <row r="1702" customFormat="false" ht="14.25" hidden="false" customHeight="false" outlineLevel="0" collapsed="false">
      <c r="A1702" s="0" t="s">
        <v>172</v>
      </c>
      <c r="E1702" s="20" t="str">
        <f aca="false">IF(D1702="?OLD","!!!","")</f>
        <v/>
      </c>
      <c r="F1702" s="21" t="str">
        <f aca="false">IF(OR(E1702="",E1702="!!!"),"",IF(NOT(ISNA(VLOOKUP(E1702,E$1:E1701,1,FALSE()))),"OLD",IF(AND(E1702&lt;&gt;"",E1702&lt;&gt;"!!!"),"NEW","")))</f>
        <v/>
      </c>
      <c r="G1702" s="22" t="str">
        <f aca="false"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3" t="str">
        <f aca="false">IF(J1702&lt;&gt;1,"",IF(I1702="SBJ","CB","?"))</f>
        <v/>
      </c>
      <c r="I1702" s="24" t="str">
        <f aca="false">IF(OR(E1702="",E1702="!!!",F1702="NEW"),"",INDEX(B$2:B1701,-1+SUMPRODUCT(MAX(ROW(E$2:E1701)*(E1702=E$2:E1701)))))</f>
        <v/>
      </c>
      <c r="J1702" s="24" t="str">
        <f aca="true">IF(OR(E1702="",E1702="!!!",F1702="NEW"),"",COUNTBLANK(OFFSET(A$1,,,SUMPRODUCT(MAX(ROW(E$2:E1702)*(E1702=E$2:E1702)))))-COUNTBLANK(OFFSET(A$1,,,SUMPRODUCT(MAX(ROW(E$1:E1701)*(E2=E$1:E1701))))))</f>
        <v/>
      </c>
      <c r="K1702" s="24" t="str">
        <f aca="false">IF(OR(E1702="",E1702="!!!",F1702="NEW"),"",INDEX(J$1:J1701,SUMPRODUCT(MAX(ROW(E$1:E1701)*(E1702=E$1:E1701)))))</f>
        <v/>
      </c>
      <c r="L1702" s="25"/>
    </row>
    <row r="1703" customFormat="false" ht="14.25" hidden="false" customHeight="false" outlineLevel="0" collapsed="false">
      <c r="A1703" s="0" t="s">
        <v>247</v>
      </c>
      <c r="E1703" s="20" t="s">
        <v>840</v>
      </c>
      <c r="F1703" s="21" t="s">
        <v>273</v>
      </c>
      <c r="G1703" s="22" t="str">
        <f aca="false"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?IN_FOCUS</v>
      </c>
      <c r="H1703" s="23" t="str">
        <f aca="false">IF(J1703&lt;&gt;1,"",IF(I1703="SBJ","CB","?"))</f>
        <v/>
      </c>
      <c r="I1703" s="24" t="str">
        <f aca="false">IF(OR(E1703="",E1703="!!!",F1703="NEW"),"",INDEX(B$2:B1702,-1+SUMPRODUCT(MAX(ROW(E$2:E1702)*(E1703=E$2:E1702)))))</f>
        <v>SBJ_14</v>
      </c>
      <c r="J1703" s="24" t="n">
        <f aca="true">IF(OR(E1703="",E1703="!!!",F1703="NEW"),"",COUNTBLANK(OFFSET(A$1,,,SUMPRODUCT(MAX(ROW(E$2:E1703)*(E1703=E$2:E1703)))))-COUNTBLANK(OFFSET(A$1,,,SUMPRODUCT(MAX(ROW(E$1:E1702)*(E2=E$1:E1702))))))</f>
        <v>0</v>
      </c>
      <c r="K1703" s="24" t="n">
        <f aca="false">IF(OR(E1703="",E1703="!!!",F1703="NEW"),"",INDEX(J$1:J1702,SUMPRODUCT(MAX(ROW(E$1:E1702)*(E1703=E$1:E1702)))))</f>
        <v>0</v>
      </c>
      <c r="L1703" s="25"/>
    </row>
    <row r="1704" customFormat="false" ht="14.25" hidden="false" customHeight="false" outlineLevel="0" collapsed="false">
      <c r="A1704" s="0" t="s">
        <v>1005</v>
      </c>
      <c r="E1704" s="20" t="str">
        <f aca="false">IF(D1704="?OLD","!!!","")</f>
        <v/>
      </c>
      <c r="F1704" s="21" t="str">
        <f aca="false">IF(OR(E1704="",E1704="!!!"),"",IF(NOT(ISNA(VLOOKUP(E1704,E$1:E1703,1,FALSE()))),"OLD",IF(AND(E1704&lt;&gt;"",E1704&lt;&gt;"!!!"),"NEW","")))</f>
        <v/>
      </c>
      <c r="G1704" s="22" t="str">
        <f aca="false"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3" t="str">
        <f aca="false">IF(J1704&lt;&gt;1,"",IF(I1704="SBJ","CB","?"))</f>
        <v/>
      </c>
      <c r="I1704" s="24" t="str">
        <f aca="false">IF(OR(E1704="",E1704="!!!",F1704="NEW"),"",INDEX(B$2:B1703,-1+SUMPRODUCT(MAX(ROW(E$2:E1703)*(E1704=E$2:E1703)))))</f>
        <v/>
      </c>
      <c r="J1704" s="24" t="str">
        <f aca="true">IF(OR(E1704="",E1704="!!!",F1704="NEW"),"",COUNTBLANK(OFFSET(A$1,,,SUMPRODUCT(MAX(ROW(E$2:E1704)*(E1704=E$2:E1704)))))-COUNTBLANK(OFFSET(A$1,,,SUMPRODUCT(MAX(ROW(E$1:E1703)*(E2=E$1:E1703))))))</f>
        <v/>
      </c>
      <c r="K1704" s="24" t="str">
        <f aca="false">IF(OR(E1704="",E1704="!!!",F1704="NEW"),"",INDEX(J$1:J1703,SUMPRODUCT(MAX(ROW(E$1:E1703)*(E1704=E$1:E1703)))))</f>
        <v/>
      </c>
      <c r="L1704" s="25"/>
    </row>
    <row r="1705" customFormat="false" ht="14.25" hidden="false" customHeight="false" outlineLevel="0" collapsed="false">
      <c r="A1705" s="0" t="s">
        <v>1006</v>
      </c>
      <c r="B1705" s="26" t="s">
        <v>820</v>
      </c>
      <c r="C1705" s="26" t="s">
        <v>105</v>
      </c>
      <c r="E1705" s="20" t="str">
        <f aca="false">IF(D1705="?OLD","!!!","")</f>
        <v/>
      </c>
      <c r="F1705" s="21" t="str">
        <f aca="false">IF(OR(E1705="",E1705="!!!"),"",IF(NOT(ISNA(VLOOKUP(E1705,E$1:E1704,1,FALSE()))),"OLD",IF(AND(E1705&lt;&gt;"",E1705&lt;&gt;"!!!"),"NEW","")))</f>
        <v/>
      </c>
      <c r="G1705" s="22" t="str">
        <f aca="false"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3" t="str">
        <f aca="false">IF(J1705&lt;&gt;1,"",IF(I1705="SBJ","CB","?"))</f>
        <v/>
      </c>
      <c r="I1705" s="24" t="str">
        <f aca="false">IF(OR(E1705="",E1705="!!!",F1705="NEW"),"",INDEX(B$2:B1704,-1+SUMPRODUCT(MAX(ROW(E$2:E1704)*(E1705=E$2:E1704)))))</f>
        <v/>
      </c>
      <c r="J1705" s="24" t="str">
        <f aca="true">IF(OR(E1705="",E1705="!!!",F1705="NEW"),"",COUNTBLANK(OFFSET(A$1,,,SUMPRODUCT(MAX(ROW(E$2:E1705)*(E1705=E$2:E1705)))))-COUNTBLANK(OFFSET(A$1,,,SUMPRODUCT(MAX(ROW(E$1:E1704)*(E2=E$1:E1704))))))</f>
        <v/>
      </c>
      <c r="K1705" s="24" t="str">
        <f aca="false">IF(OR(E1705="",E1705="!!!",F1705="NEW"),"",INDEX(J$1:J1704,SUMPRODUCT(MAX(ROW(E$1:E1704)*(E1705=E$1:E1704)))))</f>
        <v/>
      </c>
      <c r="L1705" s="25"/>
    </row>
    <row r="1706" customFormat="false" ht="14.25" hidden="false" customHeight="false" outlineLevel="0" collapsed="false">
      <c r="A1706" s="0" t="s">
        <v>1007</v>
      </c>
      <c r="E1706" s="20" t="str">
        <f aca="false">IF(D1706="?OLD","!!!","")</f>
        <v/>
      </c>
      <c r="F1706" s="21" t="str">
        <f aca="false">IF(OR(E1706="",E1706="!!!"),"",IF(NOT(ISNA(VLOOKUP(E1706,E$1:E1705,1,FALSE()))),"OLD",IF(AND(E1706&lt;&gt;"",E1706&lt;&gt;"!!!"),"NEW","")))</f>
        <v/>
      </c>
      <c r="G1706" s="22" t="str">
        <f aca="false"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3" t="str">
        <f aca="false">IF(J1706&lt;&gt;1,"",IF(I1706="SBJ","CB","?"))</f>
        <v/>
      </c>
      <c r="I1706" s="24" t="str">
        <f aca="false">IF(OR(E1706="",E1706="!!!",F1706="NEW"),"",INDEX(B$2:B1705,-1+SUMPRODUCT(MAX(ROW(E$2:E1705)*(E1706=E$2:E1705)))))</f>
        <v/>
      </c>
      <c r="J1706" s="24" t="str">
        <f aca="true">IF(OR(E1706="",E1706="!!!",F1706="NEW"),"",COUNTBLANK(OFFSET(A$1,,,SUMPRODUCT(MAX(ROW(E$2:E1706)*(E1706=E$2:E1706)))))-COUNTBLANK(OFFSET(A$1,,,SUMPRODUCT(MAX(ROW(E$1:E1705)*(E2=E$1:E1705))))))</f>
        <v/>
      </c>
      <c r="K1706" s="24" t="str">
        <f aca="false">IF(OR(E1706="",E1706="!!!",F1706="NEW"),"",INDEX(J$1:J1705,SUMPRODUCT(MAX(ROW(E$1:E1705)*(E1706=E$1:E1705)))))</f>
        <v/>
      </c>
      <c r="L1706" s="25"/>
    </row>
    <row r="1707" customFormat="false" ht="14.25" hidden="false" customHeight="false" outlineLevel="0" collapsed="false">
      <c r="A1707" s="0" t="s">
        <v>101</v>
      </c>
      <c r="E1707" s="20" t="str">
        <f aca="false">IF(D1707="?OLD","!!!","")</f>
        <v/>
      </c>
      <c r="F1707" s="21" t="str">
        <f aca="false">IF(OR(E1707="",E1707="!!!"),"",IF(NOT(ISNA(VLOOKUP(E1707,E$1:E1706,1,FALSE()))),"OLD",IF(AND(E1707&lt;&gt;"",E1707&lt;&gt;"!!!"),"NEW","")))</f>
        <v/>
      </c>
      <c r="G1707" s="22" t="str">
        <f aca="false"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3" t="str">
        <f aca="false">IF(J1707&lt;&gt;1,"",IF(I1707="SBJ","CB","?"))</f>
        <v/>
      </c>
      <c r="I1707" s="24" t="str">
        <f aca="false">IF(OR(E1707="",E1707="!!!",F1707="NEW"),"",INDEX(B$2:B1706,-1+SUMPRODUCT(MAX(ROW(E$2:E1706)*(E1707=E$2:E1706)))))</f>
        <v/>
      </c>
      <c r="J1707" s="24" t="str">
        <f aca="true">IF(OR(E1707="",E1707="!!!",F1707="NEW"),"",COUNTBLANK(OFFSET(A$1,,,SUMPRODUCT(MAX(ROW(E$2:E1707)*(E1707=E$2:E1707)))))-COUNTBLANK(OFFSET(A$1,,,SUMPRODUCT(MAX(ROW(E$1:E1706)*(E2=E$1:E1706))))))</f>
        <v/>
      </c>
      <c r="K1707" s="24" t="str">
        <f aca="false">IF(OR(E1707="",E1707="!!!",F1707="NEW"),"",INDEX(J$1:J1706,SUMPRODUCT(MAX(ROW(E$1:E1706)*(E1707=E$1:E1706)))))</f>
        <v/>
      </c>
      <c r="L1707" s="25"/>
    </row>
    <row r="1708" customFormat="false" ht="14.25" hidden="false" customHeight="false" outlineLevel="0" collapsed="false">
      <c r="A1708" s="0" t="s">
        <v>125</v>
      </c>
      <c r="E1708" s="20" t="str">
        <f aca="false">IF(D1708="?OLD","!!!","")</f>
        <v/>
      </c>
      <c r="F1708" s="21" t="str">
        <f aca="false">IF(OR(E1708="",E1708="!!!"),"",IF(NOT(ISNA(VLOOKUP(E1708,E$1:E1707,1,FALSE()))),"OLD",IF(AND(E1708&lt;&gt;"",E1708&lt;&gt;"!!!"),"NEW","")))</f>
        <v/>
      </c>
      <c r="G1708" s="22" t="str">
        <f aca="false"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3" t="str">
        <f aca="false">IF(J1708&lt;&gt;1,"",IF(I1708="SBJ","CB","?"))</f>
        <v/>
      </c>
      <c r="I1708" s="24" t="str">
        <f aca="false">IF(OR(E1708="",E1708="!!!",F1708="NEW"),"",INDEX(B$2:B1707,-1+SUMPRODUCT(MAX(ROW(E$2:E1707)*(E1708=E$2:E1707)))))</f>
        <v/>
      </c>
      <c r="J1708" s="24" t="str">
        <f aca="true">IF(OR(E1708="",E1708="!!!",F1708="NEW"),"",COUNTBLANK(OFFSET(A$1,,,SUMPRODUCT(MAX(ROW(E$2:E1708)*(E1708=E$2:E1708)))))-COUNTBLANK(OFFSET(A$1,,,SUMPRODUCT(MAX(ROW(E$1:E1707)*(E2=E$1:E1707))))))</f>
        <v/>
      </c>
      <c r="K1708" s="24" t="str">
        <f aca="false">IF(OR(E1708="",E1708="!!!",F1708="NEW"),"",INDEX(J$1:J1707,SUMPRODUCT(MAX(ROW(E$1:E1707)*(E1708=E$1:E1707)))))</f>
        <v/>
      </c>
      <c r="L1708" s="25"/>
    </row>
    <row r="1709" customFormat="false" ht="14.25" hidden="false" customHeight="false" outlineLevel="0" collapsed="false">
      <c r="A1709" s="0" t="s">
        <v>259</v>
      </c>
      <c r="E1709" s="20" t="str">
        <f aca="false">IF(D1709="?OLD","!!!","")</f>
        <v/>
      </c>
      <c r="F1709" s="21" t="str">
        <f aca="false">IF(OR(E1709="",E1709="!!!"),"",IF(NOT(ISNA(VLOOKUP(E1709,E$1:E1708,1,FALSE()))),"OLD",IF(AND(E1709&lt;&gt;"",E1709&lt;&gt;"!!!"),"NEW","")))</f>
        <v/>
      </c>
      <c r="G1709" s="22" t="str">
        <f aca="false"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3" t="str">
        <f aca="false">IF(J1709&lt;&gt;1,"",IF(I1709="SBJ","CB","?"))</f>
        <v/>
      </c>
      <c r="I1709" s="24" t="str">
        <f aca="false">IF(OR(E1709="",E1709="!!!",F1709="NEW"),"",INDEX(B$2:B1708,-1+SUMPRODUCT(MAX(ROW(E$2:E1708)*(E1709=E$2:E1708)))))</f>
        <v/>
      </c>
      <c r="J1709" s="24" t="str">
        <f aca="true">IF(OR(E1709="",E1709="!!!",F1709="NEW"),"",COUNTBLANK(OFFSET(A$1,,,SUMPRODUCT(MAX(ROW(E$2:E1709)*(E1709=E$2:E1709)))))-COUNTBLANK(OFFSET(A$1,,,SUMPRODUCT(MAX(ROW(E$1:E1708)*(E2=E$1:E1708))))))</f>
        <v/>
      </c>
      <c r="K1709" s="24" t="str">
        <f aca="false">IF(OR(E1709="",E1709="!!!",F1709="NEW"),"",INDEX(J$1:J1708,SUMPRODUCT(MAX(ROW(E$1:E1708)*(E1709=E$1:E1708)))))</f>
        <v/>
      </c>
      <c r="L1709" s="25"/>
    </row>
    <row r="1710" customFormat="false" ht="14.25" hidden="false" customHeight="false" outlineLevel="0" collapsed="false">
      <c r="A1710" s="0" t="s">
        <v>150</v>
      </c>
      <c r="B1710" s="26" t="s">
        <v>998</v>
      </c>
      <c r="C1710" s="26" t="s">
        <v>151</v>
      </c>
      <c r="D1710" s="26" t="s">
        <v>75</v>
      </c>
      <c r="E1710" s="20"/>
      <c r="F1710" s="21" t="str">
        <f aca="false">IF(OR(E1710="",E1710="!!!"),"",IF(NOT(ISNA(VLOOKUP(E1710,E$1:E1709,1,FALSE()))),"OLD",IF(AND(E1710&lt;&gt;"",E1710&lt;&gt;"!!!"),"NEW","")))</f>
        <v/>
      </c>
      <c r="G1710" s="22" t="str">
        <f aca="false"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3" t="str">
        <f aca="false">IF(J1710&lt;&gt;1,"",IF(I1710="SBJ","CB","?"))</f>
        <v/>
      </c>
      <c r="I1710" s="24" t="str">
        <f aca="false">IF(OR(E1710="",E1710="!!!",F1710="NEW"),"",INDEX(B$2:B1709,-1+SUMPRODUCT(MAX(ROW(E$2:E1709)*(E1710=E$2:E1709)))))</f>
        <v/>
      </c>
      <c r="J1710" s="24" t="str">
        <f aca="true">IF(OR(E1710="",E1710="!!!",F1710="NEW"),"",COUNTBLANK(OFFSET(A$1,,,SUMPRODUCT(MAX(ROW(E$2:E1710)*(E1710=E$2:E1710)))))-COUNTBLANK(OFFSET(A$1,,,SUMPRODUCT(MAX(ROW(E$1:E1709)*(E2=E$1:E1709))))))</f>
        <v/>
      </c>
      <c r="K1710" s="24" t="str">
        <f aca="false">IF(OR(E1710="",E1710="!!!",F1710="NEW"),"",INDEX(J$1:J1709,SUMPRODUCT(MAX(ROW(E$1:E1709)*(E1710=E$1:E1709)))))</f>
        <v/>
      </c>
      <c r="L1710" s="27" t="s">
        <v>541</v>
      </c>
    </row>
    <row r="1711" customFormat="false" ht="14.25" hidden="false" customHeight="false" outlineLevel="0" collapsed="false">
      <c r="A1711" s="0" t="s">
        <v>1008</v>
      </c>
      <c r="B1711" s="26" t="s">
        <v>571</v>
      </c>
      <c r="C1711" s="26" t="s">
        <v>359</v>
      </c>
      <c r="D1711" s="26" t="s">
        <v>75</v>
      </c>
      <c r="E1711" s="20" t="s">
        <v>1009</v>
      </c>
      <c r="F1711" s="21" t="s">
        <v>211</v>
      </c>
      <c r="G1711" s="22" t="e">
        <f aca="false"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#VALUE!</v>
      </c>
      <c r="H1711" s="23" t="str">
        <f aca="false">IF(J1711&lt;&gt;1,"",IF(I1711="SBJ","CB","?"))</f>
        <v/>
      </c>
      <c r="I1711" s="24" t="e">
        <f aca="false">IF(OR(E1711="",E1711="!!!",F1711="NEW"),"",INDEX(B$2:B1710,-1+SUMPRODUCT(MAX(ROW(E$2:E1710)*(E1711=E$2:E1710)))))</f>
        <v>#VALUE!</v>
      </c>
      <c r="J1711" s="24" t="n">
        <f aca="true">IF(OR(E1711="",E1711="!!!",F1711="NEW"),"",COUNTBLANK(OFFSET(A$1,,,SUMPRODUCT(MAX(ROW(E$2:E1711)*(E1711=E$2:E1711)))))-COUNTBLANK(OFFSET(A$1,,,SUMPRODUCT(MAX(ROW(E$1:E1710)*(E2=E$1:E1710))))))</f>
        <v>0</v>
      </c>
      <c r="K1711" s="24" t="e">
        <f aca="false">IF(OR(E1711="",E1711="!!!",F1711="NEW"),"",INDEX(J$1:J1710,SUMPRODUCT(MAX(ROW(E$1:E1710)*(E1711=E$1:E1710)))))</f>
        <v>#VALUE!</v>
      </c>
      <c r="L1711" s="25"/>
    </row>
    <row r="1712" customFormat="false" ht="14.25" hidden="false" customHeight="false" outlineLevel="0" collapsed="false">
      <c r="A1712" s="0" t="s">
        <v>638</v>
      </c>
      <c r="E1712" s="20" t="str">
        <f aca="false">IF(D1712="?OLD","!!!","")</f>
        <v/>
      </c>
      <c r="F1712" s="21" t="str">
        <f aca="false">IF(OR(E1712="",E1712="!!!"),"",IF(NOT(ISNA(VLOOKUP(E1712,E$1:E1711,1,FALSE()))),"OLD",IF(AND(E1712&lt;&gt;"",E1712&lt;&gt;"!!!"),"NEW","")))</f>
        <v/>
      </c>
      <c r="G1712" s="22" t="str">
        <f aca="false"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3" t="str">
        <f aca="false">IF(J1712&lt;&gt;1,"",IF(I1712="SBJ","CB","?"))</f>
        <v/>
      </c>
      <c r="I1712" s="24" t="str">
        <f aca="false">IF(OR(E1712="",E1712="!!!",F1712="NEW"),"",INDEX(B$2:B1711,-1+SUMPRODUCT(MAX(ROW(E$2:E1711)*(E1712=E$2:E1711)))))</f>
        <v/>
      </c>
      <c r="J1712" s="24" t="str">
        <f aca="true">IF(OR(E1712="",E1712="!!!",F1712="NEW"),"",COUNTBLANK(OFFSET(A$1,,,SUMPRODUCT(MAX(ROW(E$2:E1712)*(E1712=E$2:E1712)))))-COUNTBLANK(OFFSET(A$1,,,SUMPRODUCT(MAX(ROW(E$1:E1711)*(E2=E$1:E1711))))))</f>
        <v/>
      </c>
      <c r="K1712" s="24" t="str">
        <f aca="false">IF(OR(E1712="",E1712="!!!",F1712="NEW"),"",INDEX(J$1:J1711,SUMPRODUCT(MAX(ROW(E$1:E1711)*(E1712=E$1:E1711)))))</f>
        <v/>
      </c>
      <c r="L1712" s="25"/>
    </row>
    <row r="1713" customFormat="false" ht="14.25" hidden="false" customHeight="false" outlineLevel="0" collapsed="false">
      <c r="A1713" s="0" t="s">
        <v>1010</v>
      </c>
      <c r="E1713" s="20" t="str">
        <f aca="false">IF(D1713="?OLD","!!!","")</f>
        <v/>
      </c>
      <c r="F1713" s="21" t="str">
        <f aca="false">IF(OR(E1713="",E1713="!!!"),"",IF(NOT(ISNA(VLOOKUP(E1713,E$1:E1712,1,FALSE()))),"OLD",IF(AND(E1713&lt;&gt;"",E1713&lt;&gt;"!!!"),"NEW","")))</f>
        <v/>
      </c>
      <c r="G1713" s="22" t="str">
        <f aca="false"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3" t="str">
        <f aca="false">IF(J1713&lt;&gt;1,"",IF(I1713="SBJ","CB","?"))</f>
        <v/>
      </c>
      <c r="I1713" s="24" t="str">
        <f aca="false">IF(OR(E1713="",E1713="!!!",F1713="NEW"),"",INDEX(B$2:B1712,-1+SUMPRODUCT(MAX(ROW(E$2:E1712)*(E1713=E$2:E1712)))))</f>
        <v/>
      </c>
      <c r="J1713" s="24" t="str">
        <f aca="true">IF(OR(E1713="",E1713="!!!",F1713="NEW"),"",COUNTBLANK(OFFSET(A$1,,,SUMPRODUCT(MAX(ROW(E$2:E1713)*(E1713=E$2:E1713)))))-COUNTBLANK(OFFSET(A$1,,,SUMPRODUCT(MAX(ROW(E$1:E1712)*(E2=E$1:E1712))))))</f>
        <v/>
      </c>
      <c r="K1713" s="24" t="str">
        <f aca="false">IF(OR(E1713="",E1713="!!!",F1713="NEW"),"",INDEX(J$1:J1712,SUMPRODUCT(MAX(ROW(E$1:E1712)*(E1713=E$1:E1712)))))</f>
        <v/>
      </c>
      <c r="L1713" s="25"/>
    </row>
    <row r="1714" customFormat="false" ht="14.25" hidden="false" customHeight="false" outlineLevel="0" collapsed="false">
      <c r="A1714" s="0" t="s">
        <v>155</v>
      </c>
      <c r="E1714" s="20" t="str">
        <f aca="false">IF(D1714="?OLD","!!!","")</f>
        <v/>
      </c>
      <c r="F1714" s="21" t="str">
        <f aca="false">IF(OR(E1714="",E1714="!!!"),"",IF(NOT(ISNA(VLOOKUP(E1714,E$1:E1713,1,FALSE()))),"OLD",IF(AND(E1714&lt;&gt;"",E1714&lt;&gt;"!!!"),"NEW","")))</f>
        <v/>
      </c>
      <c r="G1714" s="22" t="str">
        <f aca="false"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/>
      </c>
      <c r="H1714" s="23" t="str">
        <f aca="false">IF(J1714&lt;&gt;1,"",IF(I1714="SBJ","CB","?"))</f>
        <v/>
      </c>
      <c r="I1714" s="24" t="str">
        <f aca="false">IF(OR(E1714="",E1714="!!!",F1714="NEW"),"",INDEX(B$2:B1713,-1+SUMPRODUCT(MAX(ROW(E$2:E1713)*(E1714=E$2:E1713)))))</f>
        <v/>
      </c>
      <c r="J1714" s="24" t="str">
        <f aca="true">IF(OR(E1714="",E1714="!!!",F1714="NEW"),"",COUNTBLANK(OFFSET(A$1,,,SUMPRODUCT(MAX(ROW(E$2:E1714)*(E1714=E$2:E1714)))))-COUNTBLANK(OFFSET(A$1,,,SUMPRODUCT(MAX(ROW(E$1:E1713)*(E2=E$1:E1713))))))</f>
        <v/>
      </c>
      <c r="K1714" s="24" t="str">
        <f aca="false">IF(OR(E1714="",E1714="!!!",F1714="NEW"),"",INDEX(J$1:J1713,SUMPRODUCT(MAX(ROW(E$1:E1713)*(E1714=E$1:E1713)))))</f>
        <v/>
      </c>
      <c r="L1714" s="25"/>
    </row>
    <row r="1715" customFormat="false" ht="14.25" hidden="false" customHeight="false" outlineLevel="0" collapsed="false">
      <c r="A1715" s="0" t="s">
        <v>246</v>
      </c>
      <c r="E1715" s="20" t="str">
        <f aca="false">IF(D1715="?OLD","!!!","")</f>
        <v/>
      </c>
      <c r="F1715" s="21" t="str">
        <f aca="false">IF(OR(E1715="",E1715="!!!"),"",IF(NOT(ISNA(VLOOKUP(E1715,E$1:E1714,1,FALSE()))),"OLD",IF(AND(E1715&lt;&gt;"",E1715&lt;&gt;"!!!"),"NEW","")))</f>
        <v/>
      </c>
      <c r="G1715" s="22" t="str">
        <f aca="false"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3" t="str">
        <f aca="false">IF(J1715&lt;&gt;1,"",IF(I1715="SBJ","CB","?"))</f>
        <v/>
      </c>
      <c r="I1715" s="24" t="str">
        <f aca="false">IF(OR(E1715="",E1715="!!!",F1715="NEW"),"",INDEX(B$2:B1714,-1+SUMPRODUCT(MAX(ROW(E$2:E1714)*(E1715=E$2:E1714)))))</f>
        <v/>
      </c>
      <c r="J1715" s="24" t="str">
        <f aca="true">IF(OR(E1715="",E1715="!!!",F1715="NEW"),"",COUNTBLANK(OFFSET(A$1,,,SUMPRODUCT(MAX(ROW(E$2:E1715)*(E1715=E$2:E1715)))))-COUNTBLANK(OFFSET(A$1,,,SUMPRODUCT(MAX(ROW(E$1:E1714)*(E2=E$1:E1714))))))</f>
        <v/>
      </c>
      <c r="K1715" s="24" t="str">
        <f aca="false">IF(OR(E1715="",E1715="!!!",F1715="NEW"),"",INDEX(J$1:J1714,SUMPRODUCT(MAX(ROW(E$1:E1714)*(E1715=E$1:E1714)))))</f>
        <v/>
      </c>
      <c r="L1715" s="25"/>
    </row>
    <row r="1716" customFormat="false" ht="14.25" hidden="false" customHeight="false" outlineLevel="0" collapsed="false">
      <c r="A1716" s="0" t="s">
        <v>101</v>
      </c>
      <c r="E1716" s="20" t="str">
        <f aca="false">IF(D1716="?OLD","!!!","")</f>
        <v/>
      </c>
      <c r="F1716" s="21" t="str">
        <f aca="false">IF(OR(E1716="",E1716="!!!"),"",IF(NOT(ISNA(VLOOKUP(E1716,E$1:E1715,1,FALSE()))),"OLD",IF(AND(E1716&lt;&gt;"",E1716&lt;&gt;"!!!"),"NEW","")))</f>
        <v/>
      </c>
      <c r="G1716" s="22" t="str">
        <f aca="false"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3" t="str">
        <f aca="false">IF(J1716&lt;&gt;1,"",IF(I1716="SBJ","CB","?"))</f>
        <v/>
      </c>
      <c r="I1716" s="24" t="str">
        <f aca="false">IF(OR(E1716="",E1716="!!!",F1716="NEW"),"",INDEX(B$2:B1715,-1+SUMPRODUCT(MAX(ROW(E$2:E1715)*(E1716=E$2:E1715)))))</f>
        <v/>
      </c>
      <c r="J1716" s="24" t="str">
        <f aca="true">IF(OR(E1716="",E1716="!!!",F1716="NEW"),"",COUNTBLANK(OFFSET(A$1,,,SUMPRODUCT(MAX(ROW(E$2:E1716)*(E1716=E$2:E1716)))))-COUNTBLANK(OFFSET(A$1,,,SUMPRODUCT(MAX(ROW(E$1:E1715)*(E2=E$1:E1715))))))</f>
        <v/>
      </c>
      <c r="K1716" s="24" t="str">
        <f aca="false">IF(OR(E1716="",E1716="!!!",F1716="NEW"),"",INDEX(J$1:J1715,SUMPRODUCT(MAX(ROW(E$1:E1715)*(E1716=E$1:E1715)))))</f>
        <v/>
      </c>
      <c r="L1716" s="25"/>
    </row>
    <row r="1717" customFormat="false" ht="14.25" hidden="false" customHeight="false" outlineLevel="0" collapsed="false">
      <c r="A1717" s="0" t="s">
        <v>497</v>
      </c>
      <c r="E1717" s="20" t="str">
        <f aca="false">IF(D1717="?OLD","!!!","")</f>
        <v/>
      </c>
      <c r="F1717" s="21" t="str">
        <f aca="false">IF(OR(E1717="",E1717="!!!"),"",IF(NOT(ISNA(VLOOKUP(E1717,E$1:E1716,1,FALSE()))),"OLD",IF(AND(E1717&lt;&gt;"",E1717&lt;&gt;"!!!"),"NEW","")))</f>
        <v/>
      </c>
      <c r="G1717" s="22" t="str">
        <f aca="false"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3" t="str">
        <f aca="false">IF(J1717&lt;&gt;1,"",IF(I1717="SBJ","CB","?"))</f>
        <v/>
      </c>
      <c r="I1717" s="24" t="str">
        <f aca="false">IF(OR(E1717="",E1717="!!!",F1717="NEW"),"",INDEX(B$2:B1716,-1+SUMPRODUCT(MAX(ROW(E$2:E1716)*(E1717=E$2:E1716)))))</f>
        <v/>
      </c>
      <c r="J1717" s="24" t="str">
        <f aca="true">IF(OR(E1717="",E1717="!!!",F1717="NEW"),"",COUNTBLANK(OFFSET(A$1,,,SUMPRODUCT(MAX(ROW(E$2:E1717)*(E1717=E$2:E1717)))))-COUNTBLANK(OFFSET(A$1,,,SUMPRODUCT(MAX(ROW(E$1:E1716)*(E2=E$1:E1716))))))</f>
        <v/>
      </c>
      <c r="K1717" s="24" t="str">
        <f aca="false">IF(OR(E1717="",E1717="!!!",F1717="NEW"),"",INDEX(J$1:J1716,SUMPRODUCT(MAX(ROW(E$1:E1716)*(E1717=E$1:E1716)))))</f>
        <v/>
      </c>
      <c r="L1717" s="25"/>
    </row>
    <row r="1718" customFormat="false" ht="14.25" hidden="false" customHeight="false" outlineLevel="0" collapsed="false">
      <c r="A1718" s="0" t="s">
        <v>455</v>
      </c>
      <c r="E1718" s="20" t="str">
        <f aca="false">IF(D1718="?OLD","!!!","")</f>
        <v/>
      </c>
      <c r="F1718" s="21" t="str">
        <f aca="false">IF(OR(E1718="",E1718="!!!"),"",IF(NOT(ISNA(VLOOKUP(E1718,E$1:E1717,1,FALSE()))),"OLD",IF(AND(E1718&lt;&gt;"",E1718&lt;&gt;"!!!"),"NEW","")))</f>
        <v/>
      </c>
      <c r="G1718" s="22" t="str">
        <f aca="false"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3" t="str">
        <f aca="false">IF(J1718&lt;&gt;1,"",IF(I1718="SBJ","CB","?"))</f>
        <v/>
      </c>
      <c r="I1718" s="24" t="str">
        <f aca="false">IF(OR(E1718="",E1718="!!!",F1718="NEW"),"",INDEX(B$2:B1717,-1+SUMPRODUCT(MAX(ROW(E$2:E1717)*(E1718=E$2:E1717)))))</f>
        <v/>
      </c>
      <c r="J1718" s="24" t="str">
        <f aca="true">IF(OR(E1718="",E1718="!!!",F1718="NEW"),"",COUNTBLANK(OFFSET(A$1,,,SUMPRODUCT(MAX(ROW(E$2:E1718)*(E1718=E$2:E1718)))))-COUNTBLANK(OFFSET(A$1,,,SUMPRODUCT(MAX(ROW(E$1:E1717)*(E2=E$1:E1717))))))</f>
        <v/>
      </c>
      <c r="K1718" s="24" t="str">
        <f aca="false">IF(OR(E1718="",E1718="!!!",F1718="NEW"),"",INDEX(J$1:J1717,SUMPRODUCT(MAX(ROW(E$1:E1717)*(E1718=E$1:E1717)))))</f>
        <v/>
      </c>
      <c r="L1718" s="25"/>
    </row>
    <row r="1719" customFormat="false" ht="14.25" hidden="false" customHeight="false" outlineLevel="0" collapsed="false">
      <c r="A1719" s="0" t="s">
        <v>1011</v>
      </c>
      <c r="E1719" s="20" t="str">
        <f aca="false">IF(D1719="?OLD","!!!","")</f>
        <v/>
      </c>
      <c r="F1719" s="21" t="str">
        <f aca="false">IF(OR(E1719="",E1719="!!!"),"",IF(NOT(ISNA(VLOOKUP(E1719,E$1:E1718,1,FALSE()))),"OLD",IF(AND(E1719&lt;&gt;"",E1719&lt;&gt;"!!!"),"NEW","")))</f>
        <v/>
      </c>
      <c r="G1719" s="22" t="str">
        <f aca="false"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3" t="str">
        <f aca="false">IF(J1719&lt;&gt;1,"",IF(I1719="SBJ","CB","?"))</f>
        <v/>
      </c>
      <c r="I1719" s="24" t="str">
        <f aca="false">IF(OR(E1719="",E1719="!!!",F1719="NEW"),"",INDEX(B$2:B1718,-1+SUMPRODUCT(MAX(ROW(E$2:E1718)*(E1719=E$2:E1718)))))</f>
        <v/>
      </c>
      <c r="J1719" s="24" t="str">
        <f aca="true">IF(OR(E1719="",E1719="!!!",F1719="NEW"),"",COUNTBLANK(OFFSET(A$1,,,SUMPRODUCT(MAX(ROW(E$2:E1719)*(E1719=E$2:E1719)))))-COUNTBLANK(OFFSET(A$1,,,SUMPRODUCT(MAX(ROW(E$1:E1718)*(E2=E$1:E1718))))))</f>
        <v/>
      </c>
      <c r="K1719" s="24" t="str">
        <f aca="false">IF(OR(E1719="",E1719="!!!",F1719="NEW"),"",INDEX(J$1:J1718,SUMPRODUCT(MAX(ROW(E$1:E1718)*(E1719=E$1:E1718)))))</f>
        <v/>
      </c>
      <c r="L1719" s="25"/>
    </row>
    <row r="1720" customFormat="false" ht="14.25" hidden="false" customHeight="false" outlineLevel="0" collapsed="false">
      <c r="A1720" s="0" t="s">
        <v>195</v>
      </c>
      <c r="E1720" s="20" t="str">
        <f aca="false">IF(D1720="?OLD","!!!","")</f>
        <v/>
      </c>
      <c r="F1720" s="21" t="str">
        <f aca="false">IF(OR(E1720="",E1720="!!!"),"",IF(NOT(ISNA(VLOOKUP(E1720,E$1:E1719,1,FALSE()))),"OLD",IF(AND(E1720&lt;&gt;"",E1720&lt;&gt;"!!!"),"NEW","")))</f>
        <v/>
      </c>
      <c r="G1720" s="22" t="str">
        <f aca="false"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3" t="str">
        <f aca="false">IF(J1720&lt;&gt;1,"",IF(I1720="SBJ","CB","?"))</f>
        <v/>
      </c>
      <c r="I1720" s="24" t="str">
        <f aca="false">IF(OR(E1720="",E1720="!!!",F1720="NEW"),"",INDEX(B$2:B1719,-1+SUMPRODUCT(MAX(ROW(E$2:E1719)*(E1720=E$2:E1719)))))</f>
        <v/>
      </c>
      <c r="J1720" s="24" t="str">
        <f aca="true">IF(OR(E1720="",E1720="!!!",F1720="NEW"),"",COUNTBLANK(OFFSET(A$1,,,SUMPRODUCT(MAX(ROW(E$2:E1720)*(E1720=E$2:E1720)))))-COUNTBLANK(OFFSET(A$1,,,SUMPRODUCT(MAX(ROW(E$1:E1719)*(E2=E$1:E1719))))))</f>
        <v/>
      </c>
      <c r="K1720" s="24" t="str">
        <f aca="false">IF(OR(E1720="",E1720="!!!",F1720="NEW"),"",INDEX(J$1:J1719,SUMPRODUCT(MAX(ROW(E$1:E1719)*(E1720=E$1:E1719)))))</f>
        <v/>
      </c>
      <c r="L1720" s="25"/>
    </row>
    <row r="1721" customFormat="false" ht="14.25" hidden="false" customHeight="false" outlineLevel="0" collapsed="false">
      <c r="A1721" s="0" t="s">
        <v>196</v>
      </c>
      <c r="B1721" s="26" t="s">
        <v>571</v>
      </c>
      <c r="C1721" s="26" t="s">
        <v>105</v>
      </c>
      <c r="E1721" s="20"/>
      <c r="F1721" s="21" t="str">
        <f aca="false">IF(OR(E1721="",E1721="!!!"),"",IF(NOT(ISNA(VLOOKUP(E1721,E$1:E1720,1,FALSE()))),"OLD",IF(AND(E1721&lt;&gt;"",E1721&lt;&gt;"!!!"),"NEW","")))</f>
        <v/>
      </c>
      <c r="G1721" s="22" t="str">
        <f aca="false"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3" t="str">
        <f aca="false">IF(J1721&lt;&gt;1,"",IF(I1721="SBJ","CB","?"))</f>
        <v/>
      </c>
      <c r="I1721" s="24" t="str">
        <f aca="false">IF(OR(E1721="",E1721="!!!",F1721="NEW"),"",INDEX(B$2:B1720,-1+SUMPRODUCT(MAX(ROW(E$2:E1720)*(E1721=E$2:E1720)))))</f>
        <v/>
      </c>
      <c r="J1721" s="24" t="str">
        <f aca="true">IF(OR(E1721="",E1721="!!!",F1721="NEW"),"",COUNTBLANK(OFFSET(A$1,,,SUMPRODUCT(MAX(ROW(E$2:E1721)*(E1721=E$2:E1721)))))-COUNTBLANK(OFFSET(A$1,,,SUMPRODUCT(MAX(ROW(E$1:E1720)*(E2=E$1:E1720))))))</f>
        <v/>
      </c>
      <c r="K1721" s="24" t="str">
        <f aca="false">IF(OR(E1721="",E1721="!!!",F1721="NEW"),"",INDEX(J$1:J1720,SUMPRODUCT(MAX(ROW(E$1:E1720)*(E1721=E$1:E1720)))))</f>
        <v/>
      </c>
      <c r="L1721" s="25"/>
    </row>
    <row r="1722" customFormat="false" ht="14.25" hidden="false" customHeight="false" outlineLevel="0" collapsed="false">
      <c r="A1722" s="0" t="s">
        <v>302</v>
      </c>
      <c r="E1722" s="20" t="str">
        <f aca="false">IF(D1722="?OLD","!!!","")</f>
        <v/>
      </c>
      <c r="F1722" s="21" t="str">
        <f aca="false">IF(OR(E1722="",E1722="!!!"),"",IF(NOT(ISNA(VLOOKUP(E1722,E$1:E1721,1,FALSE()))),"OLD",IF(AND(E1722&lt;&gt;"",E1722&lt;&gt;"!!!"),"NEW","")))</f>
        <v/>
      </c>
      <c r="G1722" s="22" t="str">
        <f aca="false"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3" t="str">
        <f aca="false">IF(J1722&lt;&gt;1,"",IF(I1722="SBJ","CB","?"))</f>
        <v/>
      </c>
      <c r="I1722" s="24" t="str">
        <f aca="false">IF(OR(E1722="",E1722="!!!",F1722="NEW"),"",INDEX(B$2:B1721,-1+SUMPRODUCT(MAX(ROW(E$2:E1721)*(E1722=E$2:E1721)))))</f>
        <v/>
      </c>
      <c r="J1722" s="24" t="str">
        <f aca="true">IF(OR(E1722="",E1722="!!!",F1722="NEW"),"",COUNTBLANK(OFFSET(A$1,,,SUMPRODUCT(MAX(ROW(E$2:E1722)*(E1722=E$2:E1722)))))-COUNTBLANK(OFFSET(A$1,,,SUMPRODUCT(MAX(ROW(E$1:E1721)*(E2=E$1:E1721))))))</f>
        <v/>
      </c>
      <c r="K1722" s="24" t="str">
        <f aca="false">IF(OR(E1722="",E1722="!!!",F1722="NEW"),"",INDEX(J$1:J1721,SUMPRODUCT(MAX(ROW(E$1:E1721)*(E1722=E$1:E1721)))))</f>
        <v/>
      </c>
      <c r="L1722" s="25"/>
    </row>
    <row r="1723" customFormat="false" ht="14.25" hidden="false" customHeight="false" outlineLevel="0" collapsed="false">
      <c r="A1723" s="0" t="s">
        <v>207</v>
      </c>
      <c r="B1723" s="26" t="s">
        <v>566</v>
      </c>
      <c r="C1723" s="26" t="s">
        <v>209</v>
      </c>
      <c r="D1723" s="26" t="s">
        <v>75</v>
      </c>
      <c r="E1723" s="20" t="s">
        <v>840</v>
      </c>
      <c r="F1723" s="21" t="str">
        <f aca="false">IF(OR(E1723="",E1723="!!!"),"",IF(NOT(ISNA(VLOOKUP(E1723,E$1:E1722,1,FALSE()))),"OLD",IF(AND(E1723&lt;&gt;"",E1723&lt;&gt;"!!!"),"NEW","")))</f>
        <v>OLD</v>
      </c>
      <c r="G1723" s="22" t="str">
        <f aca="false"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?IN_FOCUS</v>
      </c>
      <c r="H1723" s="23" t="str">
        <f aca="false">IF(J1723&lt;&gt;1,"",IF(I1723="SBJ","CB","?"))</f>
        <v/>
      </c>
      <c r="I1723" s="24" t="n">
        <f aca="false">IF(OR(E1723="",E1723="!!!",F1723="NEW"),"",INDEX(B$2:B1722,-1+SUMPRODUCT(MAX(ROW(E$2:E1722)*(E1723=E$2:E1722)))))</f>
        <v>0</v>
      </c>
      <c r="J1723" s="24" t="n">
        <f aca="true">IF(OR(E1723="",E1723="!!!",F1723="NEW"),"",COUNTBLANK(OFFSET(A$1,,,SUMPRODUCT(MAX(ROW(E$2:E1723)*(E1723=E$2:E1723)))))-COUNTBLANK(OFFSET(A$1,,,SUMPRODUCT(MAX(ROW(E$1:E1722)*(E2=E$1:E1722))))))</f>
        <v>0</v>
      </c>
      <c r="K1723" s="24" t="n">
        <f aca="false">IF(OR(E1723="",E1723="!!!",F1723="NEW"),"",INDEX(J$1:J1722,SUMPRODUCT(MAX(ROW(E$1:E1722)*(E1723=E$1:E1722)))))</f>
        <v>0</v>
      </c>
      <c r="L1723" s="25"/>
    </row>
    <row r="1724" customFormat="false" ht="14.25" hidden="false" customHeight="false" outlineLevel="0" collapsed="false">
      <c r="A1724" s="0" t="s">
        <v>703</v>
      </c>
      <c r="E1724" s="20" t="str">
        <f aca="false">IF(D1724="?OLD","!!!","")</f>
        <v/>
      </c>
      <c r="F1724" s="21" t="str">
        <f aca="false">IF(OR(E1724="",E1724="!!!"),"",IF(NOT(ISNA(VLOOKUP(E1724,E$1:E1723,1,FALSE()))),"OLD",IF(AND(E1724&lt;&gt;"",E1724&lt;&gt;"!!!"),"NEW","")))</f>
        <v/>
      </c>
      <c r="G1724" s="22" t="str">
        <f aca="false"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3" t="str">
        <f aca="false">IF(J1724&lt;&gt;1,"",IF(I1724="SBJ","CB","?"))</f>
        <v/>
      </c>
      <c r="I1724" s="24" t="str">
        <f aca="false">IF(OR(E1724="",E1724="!!!",F1724="NEW"),"",INDEX(B$2:B1723,-1+SUMPRODUCT(MAX(ROW(E$2:E1723)*(E1724=E$2:E1723)))))</f>
        <v/>
      </c>
      <c r="J1724" s="24" t="str">
        <f aca="true">IF(OR(E1724="",E1724="!!!",F1724="NEW"),"",COUNTBLANK(OFFSET(A$1,,,SUMPRODUCT(MAX(ROW(E$2:E1724)*(E1724=E$2:E1724)))))-COUNTBLANK(OFFSET(A$1,,,SUMPRODUCT(MAX(ROW(E$1:E1723)*(E2=E$1:E1723))))))</f>
        <v/>
      </c>
      <c r="K1724" s="24" t="str">
        <f aca="false">IF(OR(E1724="",E1724="!!!",F1724="NEW"),"",INDEX(J$1:J1723,SUMPRODUCT(MAX(ROW(E$1:E1723)*(E1724=E$1:E1723)))))</f>
        <v/>
      </c>
      <c r="L1724" s="25"/>
    </row>
    <row r="1725" customFormat="false" ht="14.25" hidden="false" customHeight="false" outlineLevel="0" collapsed="false">
      <c r="A1725" s="0" t="s">
        <v>153</v>
      </c>
      <c r="B1725" s="26" t="s">
        <v>1012</v>
      </c>
      <c r="C1725" s="26" t="s">
        <v>119</v>
      </c>
      <c r="E1725" s="20" t="str">
        <f aca="false">IF(D1725="?OLD","!!!","")</f>
        <v/>
      </c>
      <c r="F1725" s="21" t="str">
        <f aca="false">IF(OR(E1725="",E1725="!!!"),"",IF(NOT(ISNA(VLOOKUP(E1725,E$1:E1724,1,FALSE()))),"OLD",IF(AND(E1725&lt;&gt;"",E1725&lt;&gt;"!!!"),"NEW","")))</f>
        <v/>
      </c>
      <c r="G1725" s="22" t="str">
        <f aca="false"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3" t="str">
        <f aca="false">IF(J1725&lt;&gt;1,"",IF(I1725="SBJ","CB","?"))</f>
        <v/>
      </c>
      <c r="I1725" s="24" t="str">
        <f aca="false">IF(OR(E1725="",E1725="!!!",F1725="NEW"),"",INDEX(B$2:B1724,-1+SUMPRODUCT(MAX(ROW(E$2:E1724)*(E1725=E$2:E1724)))))</f>
        <v/>
      </c>
      <c r="J1725" s="24" t="str">
        <f aca="true">IF(OR(E1725="",E1725="!!!",F1725="NEW"),"",COUNTBLANK(OFFSET(A$1,,,SUMPRODUCT(MAX(ROW(E$2:E1725)*(E1725=E$2:E1725)))))-COUNTBLANK(OFFSET(A$1,,,SUMPRODUCT(MAX(ROW(E$1:E1724)*(E2=E$1:E1724))))))</f>
        <v/>
      </c>
      <c r="K1725" s="24" t="str">
        <f aca="false">IF(OR(E1725="",E1725="!!!",F1725="NEW"),"",INDEX(J$1:J1724,SUMPRODUCT(MAX(ROW(E$1:E1724)*(E1725=E$1:E1724)))))</f>
        <v/>
      </c>
      <c r="L1725" s="25"/>
    </row>
    <row r="1726" customFormat="false" ht="14.25" hidden="false" customHeight="false" outlineLevel="0" collapsed="false">
      <c r="A1726" s="0" t="s">
        <v>86</v>
      </c>
      <c r="E1726" s="20" t="str">
        <f aca="false">IF(D1726="?OLD","!!!","")</f>
        <v/>
      </c>
      <c r="F1726" s="21" t="str">
        <f aca="false">IF(OR(E1726="",E1726="!!!"),"",IF(NOT(ISNA(VLOOKUP(E1726,E$1:E1725,1,FALSE()))),"OLD",IF(AND(E1726&lt;&gt;"",E1726&lt;&gt;"!!!"),"NEW","")))</f>
        <v/>
      </c>
      <c r="G1726" s="22" t="str">
        <f aca="false"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3" t="str">
        <f aca="false">IF(J1726&lt;&gt;1,"",IF(I1726="SBJ","CB","?"))</f>
        <v/>
      </c>
      <c r="I1726" s="24" t="str">
        <f aca="false">IF(OR(E1726="",E1726="!!!",F1726="NEW"),"",INDEX(B$2:B1725,-1+SUMPRODUCT(MAX(ROW(E$2:E1725)*(E1726=E$2:E1725)))))</f>
        <v/>
      </c>
      <c r="J1726" s="24" t="str">
        <f aca="true">IF(OR(E1726="",E1726="!!!",F1726="NEW"),"",COUNTBLANK(OFFSET(A$1,,,SUMPRODUCT(MAX(ROW(E$2:E1726)*(E1726=E$2:E1726)))))-COUNTBLANK(OFFSET(A$1,,,SUMPRODUCT(MAX(ROW(E$1:E1725)*(E2=E$1:E1725))))))</f>
        <v/>
      </c>
      <c r="K1726" s="24" t="str">
        <f aca="false">IF(OR(E1726="",E1726="!!!",F1726="NEW"),"",INDEX(J$1:J1725,SUMPRODUCT(MAX(ROW(E$1:E1725)*(E1726=E$1:E1725)))))</f>
        <v/>
      </c>
      <c r="L1726" s="25"/>
    </row>
    <row r="1727" customFormat="false" ht="14.25" hidden="false" customHeight="false" outlineLevel="0" collapsed="false">
      <c r="A1727" s="0" t="s">
        <v>247</v>
      </c>
      <c r="B1727" s="26" t="s">
        <v>208</v>
      </c>
      <c r="C1727" s="26" t="s">
        <v>209</v>
      </c>
      <c r="D1727" s="26" t="s">
        <v>75</v>
      </c>
      <c r="E1727" s="20" t="s">
        <v>840</v>
      </c>
      <c r="F1727" s="21" t="str">
        <f aca="false">IF(OR(E1727="",E1727="!!!"),"",IF(NOT(ISNA(VLOOKUP(E1727,E$1:E1726,1,FALSE()))),"OLD",IF(AND(E1727&lt;&gt;"",E1727&lt;&gt;"!!!"),"NEW","")))</f>
        <v>OLD</v>
      </c>
      <c r="G1727" s="22" t="str">
        <f aca="false"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?IN_FOCUS</v>
      </c>
      <c r="H1727" s="23" t="str">
        <f aca="false">IF(J1727&lt;&gt;1,"",IF(I1727="SBJ","CB","?"))</f>
        <v/>
      </c>
      <c r="I1727" s="24" t="str">
        <f aca="false">IF(OR(E1727="",E1727="!!!",F1727="NEW"),"",INDEX(B$2:B1726,-1+SUMPRODUCT(MAX(ROW(E$2:E1726)*(E1727=E$2:E1726)))))</f>
        <v>SBJ_9</v>
      </c>
      <c r="J1727" s="24" t="n">
        <f aca="true">IF(OR(E1727="",E1727="!!!",F1727="NEW"),"",COUNTBLANK(OFFSET(A$1,,,SUMPRODUCT(MAX(ROW(E$2:E1727)*(E1727=E$2:E1727)))))-COUNTBLANK(OFFSET(A$1,,,SUMPRODUCT(MAX(ROW(E$1:E1726)*(E2=E$1:E1726))))))</f>
        <v>0</v>
      </c>
      <c r="K1727" s="24" t="n">
        <f aca="false">IF(OR(E1727="",E1727="!!!",F1727="NEW"),"",INDEX(J$1:J1726,SUMPRODUCT(MAX(ROW(E$1:E1726)*(E1727=E$1:E1726)))))</f>
        <v>0</v>
      </c>
      <c r="L1727" s="25"/>
    </row>
    <row r="1728" customFormat="false" ht="14.25" hidden="false" customHeight="false" outlineLevel="0" collapsed="false">
      <c r="A1728" s="0" t="s">
        <v>20</v>
      </c>
      <c r="E1728" s="20" t="str">
        <f aca="false">IF(D1728="?OLD","!!!","")</f>
        <v/>
      </c>
      <c r="F1728" s="21" t="str">
        <f aca="false">IF(OR(E1728="",E1728="!!!"),"",IF(NOT(ISNA(VLOOKUP(E1728,E$1:E1727,1,FALSE()))),"OLD",IF(AND(E1728&lt;&gt;"",E1728&lt;&gt;"!!!"),"NEW","")))</f>
        <v/>
      </c>
      <c r="G1728" s="22" t="str">
        <f aca="false"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3" t="str">
        <f aca="false">IF(J1728&lt;&gt;1,"",IF(I1728="SBJ","CB","?"))</f>
        <v/>
      </c>
      <c r="I1728" s="24" t="str">
        <f aca="false">IF(OR(E1728="",E1728="!!!",F1728="NEW"),"",INDEX(B$2:B1727,-1+SUMPRODUCT(MAX(ROW(E$2:E1727)*(E1728=E$2:E1727)))))</f>
        <v/>
      </c>
      <c r="J1728" s="24" t="str">
        <f aca="true">IF(OR(E1728="",E1728="!!!",F1728="NEW"),"",COUNTBLANK(OFFSET(A$1,,,SUMPRODUCT(MAX(ROW(E$2:E1728)*(E1728=E$2:E1728)))))-COUNTBLANK(OFFSET(A$1,,,SUMPRODUCT(MAX(ROW(E$1:E1727)*(E2=E$1:E1727))))))</f>
        <v/>
      </c>
      <c r="K1728" s="24" t="str">
        <f aca="false">IF(OR(E1728="",E1728="!!!",F1728="NEW"),"",INDEX(J$1:J1727,SUMPRODUCT(MAX(ROW(E$1:E1727)*(E1728=E$1:E1727)))))</f>
        <v/>
      </c>
      <c r="L1728" s="25"/>
    </row>
    <row r="1729" customFormat="false" ht="14.25" hidden="false" customHeight="false" outlineLevel="0" collapsed="false">
      <c r="A1729" s="0" t="s">
        <v>694</v>
      </c>
      <c r="E1729" s="20" t="str">
        <f aca="false">IF(D1729="?OLD","!!!","")</f>
        <v/>
      </c>
      <c r="F1729" s="21" t="str">
        <f aca="false">IF(OR(E1729="",E1729="!!!"),"",IF(NOT(ISNA(VLOOKUP(E1729,E$1:E1728,1,FALSE()))),"OLD",IF(AND(E1729&lt;&gt;"",E1729&lt;&gt;"!!!"),"NEW","")))</f>
        <v/>
      </c>
      <c r="G1729" s="22" t="str">
        <f aca="false"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3" t="str">
        <f aca="false">IF(J1729&lt;&gt;1,"",IF(I1729="SBJ","CB","?"))</f>
        <v/>
      </c>
      <c r="I1729" s="24" t="str">
        <f aca="false">IF(OR(E1729="",E1729="!!!",F1729="NEW"),"",INDEX(B$2:B1728,-1+SUMPRODUCT(MAX(ROW(E$2:E1728)*(E1729=E$2:E1728)))))</f>
        <v/>
      </c>
      <c r="J1729" s="24" t="str">
        <f aca="true">IF(OR(E1729="",E1729="!!!",F1729="NEW"),"",COUNTBLANK(OFFSET(A$1,,,SUMPRODUCT(MAX(ROW(E$2:E1729)*(E1729=E$2:E1729)))))-COUNTBLANK(OFFSET(A$1,,,SUMPRODUCT(MAX(ROW(E$1:E1728)*(E2=E$1:E1728))))))</f>
        <v/>
      </c>
      <c r="K1729" s="24" t="str">
        <f aca="false">IF(OR(E1729="",E1729="!!!",F1729="NEW"),"",INDEX(J$1:J1728,SUMPRODUCT(MAX(ROW(E$1:E1728)*(E1729=E$1:E1728)))))</f>
        <v/>
      </c>
      <c r="L1729" s="25"/>
    </row>
    <row r="1730" customFormat="false" ht="14.25" hidden="false" customHeight="false" outlineLevel="0" collapsed="false">
      <c r="A1730" s="0" t="s">
        <v>1013</v>
      </c>
      <c r="B1730" s="26" t="s">
        <v>214</v>
      </c>
      <c r="C1730" s="26" t="s">
        <v>341</v>
      </c>
      <c r="E1730" s="20" t="str">
        <f aca="false">IF(D1730="?OLD","!!!","")</f>
        <v/>
      </c>
      <c r="F1730" s="21" t="str">
        <f aca="false">IF(OR(E1730="",E1730="!!!"),"",IF(NOT(ISNA(VLOOKUP(E1730,E$1:E1729,1,FALSE()))),"OLD",IF(AND(E1730&lt;&gt;"",E1730&lt;&gt;"!!!"),"NEW","")))</f>
        <v/>
      </c>
      <c r="G1730" s="22" t="str">
        <f aca="false"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3" t="str">
        <f aca="false">IF(J1730&lt;&gt;1,"",IF(I1730="SBJ","CB","?"))</f>
        <v/>
      </c>
      <c r="I1730" s="24" t="str">
        <f aca="false">IF(OR(E1730="",E1730="!!!",F1730="NEW"),"",INDEX(B$2:B1729,-1+SUMPRODUCT(MAX(ROW(E$2:E1729)*(E1730=E$2:E1729)))))</f>
        <v/>
      </c>
      <c r="J1730" s="24" t="str">
        <f aca="true">IF(OR(E1730="",E1730="!!!",F1730="NEW"),"",COUNTBLANK(OFFSET(A$1,,,SUMPRODUCT(MAX(ROW(E$2:E1730)*(E1730=E$2:E1730)))))-COUNTBLANK(OFFSET(A$1,,,SUMPRODUCT(MAX(ROW(E$1:E1729)*(E2=E$1:E1729))))))</f>
        <v/>
      </c>
      <c r="K1730" s="24" t="str">
        <f aca="false">IF(OR(E1730="",E1730="!!!",F1730="NEW"),"",INDEX(J$1:J1729,SUMPRODUCT(MAX(ROW(E$1:E1729)*(E1730=E$1:E1729)))))</f>
        <v/>
      </c>
      <c r="L1730" s="25"/>
    </row>
    <row r="1731" customFormat="false" ht="14.25" hidden="false" customHeight="false" outlineLevel="0" collapsed="false">
      <c r="A1731" s="0" t="s">
        <v>101</v>
      </c>
      <c r="E1731" s="20" t="str">
        <f aca="false">IF(D1731="?OLD","!!!","")</f>
        <v/>
      </c>
      <c r="F1731" s="21" t="str">
        <f aca="false">IF(OR(E1731="",E1731="!!!"),"",IF(NOT(ISNA(VLOOKUP(E1731,E$1:E1730,1,FALSE()))),"OLD",IF(AND(E1731&lt;&gt;"",E1731&lt;&gt;"!!!"),"NEW","")))</f>
        <v/>
      </c>
      <c r="G1731" s="22" t="str">
        <f aca="false"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3" t="str">
        <f aca="false">IF(J1731&lt;&gt;1,"",IF(I1731="SBJ","CB","?"))</f>
        <v/>
      </c>
      <c r="I1731" s="24" t="str">
        <f aca="false">IF(OR(E1731="",E1731="!!!",F1731="NEW"),"",INDEX(B$2:B1730,-1+SUMPRODUCT(MAX(ROW(E$2:E1730)*(E1731=E$2:E1730)))))</f>
        <v/>
      </c>
      <c r="J1731" s="24" t="str">
        <f aca="true">IF(OR(E1731="",E1731="!!!",F1731="NEW"),"",COUNTBLANK(OFFSET(A$1,,,SUMPRODUCT(MAX(ROW(E$2:E1731)*(E1731=E$2:E1731)))))-COUNTBLANK(OFFSET(A$1,,,SUMPRODUCT(MAX(ROW(E$1:E1730)*(E2=E$1:E1730))))))</f>
        <v/>
      </c>
      <c r="K1731" s="24" t="str">
        <f aca="false">IF(OR(E1731="",E1731="!!!",F1731="NEW"),"",INDEX(J$1:J1730,SUMPRODUCT(MAX(ROW(E$1:E1730)*(E1731=E$1:E1730)))))</f>
        <v/>
      </c>
      <c r="L1731" s="25"/>
    </row>
    <row r="1732" customFormat="false" ht="14.25" hidden="false" customHeight="false" outlineLevel="0" collapsed="false">
      <c r="A1732" s="0" t="s">
        <v>1014</v>
      </c>
      <c r="E1732" s="20" t="str">
        <f aca="false">IF(D1732="?OLD","!!!","")</f>
        <v/>
      </c>
      <c r="F1732" s="21" t="str">
        <f aca="false">IF(OR(E1732="",E1732="!!!"),"",IF(NOT(ISNA(VLOOKUP(E1732,E$1:E1731,1,FALSE()))),"OLD",IF(AND(E1732&lt;&gt;"",E1732&lt;&gt;"!!!"),"NEW","")))</f>
        <v/>
      </c>
      <c r="G1732" s="22" t="str">
        <f aca="false"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3" t="str">
        <f aca="false">IF(J1732&lt;&gt;1,"",IF(I1732="SBJ","CB","?"))</f>
        <v/>
      </c>
      <c r="I1732" s="24" t="str">
        <f aca="false">IF(OR(E1732="",E1732="!!!",F1732="NEW"),"",INDEX(B$2:B1731,-1+SUMPRODUCT(MAX(ROW(E$2:E1731)*(E1732=E$2:E1731)))))</f>
        <v/>
      </c>
      <c r="J1732" s="24" t="str">
        <f aca="true">IF(OR(E1732="",E1732="!!!",F1732="NEW"),"",COUNTBLANK(OFFSET(A$1,,,SUMPRODUCT(MAX(ROW(E$2:E1732)*(E1732=E$2:E1732)))))-COUNTBLANK(OFFSET(A$1,,,SUMPRODUCT(MAX(ROW(E$1:E1731)*(E2=E$1:E1731))))))</f>
        <v/>
      </c>
      <c r="K1732" s="24" t="str">
        <f aca="false">IF(OR(E1732="",E1732="!!!",F1732="NEW"),"",INDEX(J$1:J1731,SUMPRODUCT(MAX(ROW(E$1:E1731)*(E1732=E$1:E1731)))))</f>
        <v/>
      </c>
      <c r="L1732" s="25"/>
    </row>
    <row r="1733" customFormat="false" ht="14.25" hidden="false" customHeight="false" outlineLevel="0" collapsed="false">
      <c r="A1733" s="0" t="s">
        <v>136</v>
      </c>
      <c r="E1733" s="20" t="str">
        <f aca="false">IF(D1733="?OLD","!!!","")</f>
        <v/>
      </c>
      <c r="F1733" s="21" t="str">
        <f aca="false">IF(OR(E1733="",E1733="!!!"),"",IF(NOT(ISNA(VLOOKUP(E1733,E$1:E1732,1,FALSE()))),"OLD",IF(AND(E1733&lt;&gt;"",E1733&lt;&gt;"!!!"),"NEW","")))</f>
        <v/>
      </c>
      <c r="G1733" s="22" t="str">
        <f aca="false"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3" t="str">
        <f aca="false">IF(J1733&lt;&gt;1,"",IF(I1733="SBJ","CB","?"))</f>
        <v/>
      </c>
      <c r="I1733" s="24" t="str">
        <f aca="false">IF(OR(E1733="",E1733="!!!",F1733="NEW"),"",INDEX(B$2:B1732,-1+SUMPRODUCT(MAX(ROW(E$2:E1732)*(E1733=E$2:E1732)))))</f>
        <v/>
      </c>
      <c r="J1733" s="24" t="str">
        <f aca="true">IF(OR(E1733="",E1733="!!!",F1733="NEW"),"",COUNTBLANK(OFFSET(A$1,,,SUMPRODUCT(MAX(ROW(E$2:E1733)*(E1733=E$2:E1733)))))-COUNTBLANK(OFFSET(A$1,,,SUMPRODUCT(MAX(ROW(E$1:E1732)*(E2=E$1:E1732))))))</f>
        <v/>
      </c>
      <c r="K1733" s="24" t="str">
        <f aca="false">IF(OR(E1733="",E1733="!!!",F1733="NEW"),"",INDEX(J$1:J1732,SUMPRODUCT(MAX(ROW(E$1:E1732)*(E1733=E$1:E1732)))))</f>
        <v/>
      </c>
      <c r="L1733" s="25"/>
    </row>
    <row r="1734" customFormat="false" ht="14.25" hidden="false" customHeight="false" outlineLevel="0" collapsed="false">
      <c r="A1734" s="0" t="s">
        <v>1015</v>
      </c>
      <c r="B1734" s="26" t="s">
        <v>419</v>
      </c>
      <c r="C1734" s="26" t="s">
        <v>74</v>
      </c>
      <c r="D1734" s="26" t="s">
        <v>75</v>
      </c>
      <c r="E1734" s="20" t="s">
        <v>1016</v>
      </c>
      <c r="F1734" s="21" t="str">
        <f aca="false">IF(OR(E1734="",E1734="!!!"),"",IF(NOT(ISNA(VLOOKUP(E1734,E$1:E1733,1,FALSE()))),"OLD",IF(AND(E1734&lt;&gt;"",E1734&lt;&gt;"!!!"),"NEW","")))</f>
        <v>NEW</v>
      </c>
      <c r="G1734" s="22" t="str">
        <f aca="false"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?REFERENTIAL</v>
      </c>
      <c r="H1734" s="23" t="str">
        <f aca="false">IF(J1734&lt;&gt;1,"",IF(I1734="SBJ","CB","?"))</f>
        <v/>
      </c>
      <c r="I1734" s="24" t="str">
        <f aca="false">IF(OR(E1734="",E1734="!!!",F1734="NEW"),"",INDEX(B$2:B1733,-1+SUMPRODUCT(MAX(ROW(E$2:E1733)*(E1734=E$2:E1733)))))</f>
        <v/>
      </c>
      <c r="J1734" s="24" t="str">
        <f aca="true">IF(OR(E1734="",E1734="!!!",F1734="NEW"),"",COUNTBLANK(OFFSET(A$1,,,SUMPRODUCT(MAX(ROW(E$2:E1734)*(E1734=E$2:E1734)))))-COUNTBLANK(OFFSET(A$1,,,SUMPRODUCT(MAX(ROW(E$1:E1733)*(E2=E$1:E1733))))))</f>
        <v/>
      </c>
      <c r="K1734" s="24" t="str">
        <f aca="false">IF(OR(E1734="",E1734="!!!",F1734="NEW"),"",INDEX(J$1:J1733,SUMPRODUCT(MAX(ROW(E$1:E1733)*(E1734=E$1:E1733)))))</f>
        <v/>
      </c>
      <c r="L1734" s="25"/>
    </row>
    <row r="1735" customFormat="false" ht="14.25" hidden="false" customHeight="false" outlineLevel="0" collapsed="false">
      <c r="A1735" s="0" t="s">
        <v>259</v>
      </c>
      <c r="E1735" s="20" t="str">
        <f aca="false">IF(D1735="?OLD","!!!","")</f>
        <v/>
      </c>
      <c r="F1735" s="21" t="str">
        <f aca="false">IF(OR(E1735="",E1735="!!!"),"",IF(NOT(ISNA(VLOOKUP(E1735,E$1:E1734,1,FALSE()))),"OLD",IF(AND(E1735&lt;&gt;"",E1735&lt;&gt;"!!!"),"NEW","")))</f>
        <v/>
      </c>
      <c r="G1735" s="22" t="str">
        <f aca="false"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3" t="str">
        <f aca="false">IF(J1735&lt;&gt;1,"",IF(I1735="SBJ","CB","?"))</f>
        <v/>
      </c>
      <c r="I1735" s="24" t="str">
        <f aca="false">IF(OR(E1735="",E1735="!!!",F1735="NEW"),"",INDEX(B$2:B1734,-1+SUMPRODUCT(MAX(ROW(E$2:E1734)*(E1735=E$2:E1734)))))</f>
        <v/>
      </c>
      <c r="J1735" s="24" t="str">
        <f aca="true">IF(OR(E1735="",E1735="!!!",F1735="NEW"),"",COUNTBLANK(OFFSET(A$1,,,SUMPRODUCT(MAX(ROW(E$2:E1735)*(E1735=E$2:E1735)))))-COUNTBLANK(OFFSET(A$1,,,SUMPRODUCT(MAX(ROW(E$1:E1734)*(E2=E$1:E1734))))))</f>
        <v/>
      </c>
      <c r="K1735" s="24" t="str">
        <f aca="false">IF(OR(E1735="",E1735="!!!",F1735="NEW"),"",INDEX(J$1:J1734,SUMPRODUCT(MAX(ROW(E$1:E1734)*(E1735=E$1:E1734)))))</f>
        <v/>
      </c>
      <c r="L1735" s="25"/>
    </row>
    <row r="1736" customFormat="false" ht="14.25" hidden="false" customHeight="false" outlineLevel="0" collapsed="false">
      <c r="A1736" s="0" t="s">
        <v>548</v>
      </c>
      <c r="B1736" s="26" t="s">
        <v>571</v>
      </c>
      <c r="C1736" s="26" t="s">
        <v>133</v>
      </c>
      <c r="D1736" s="26" t="s">
        <v>75</v>
      </c>
      <c r="E1736" s="20" t="s">
        <v>225</v>
      </c>
      <c r="F1736" s="21" t="str">
        <f aca="false">IF(OR(E1736="",E1736="!!!"),"",IF(NOT(ISNA(VLOOKUP(E1736,E$1:E1735,1,FALSE()))),"OLD",IF(AND(E1736&lt;&gt;"",E1736&lt;&gt;"!!!"),"NEW","")))</f>
        <v>OLD</v>
      </c>
      <c r="G1736" s="22" t="str">
        <f aca="false"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?IN_FOCUS</v>
      </c>
      <c r="H1736" s="23" t="str">
        <f aca="false">IF(J1736&lt;&gt;1,"",IF(I1736="SBJ","CB","?"))</f>
        <v/>
      </c>
      <c r="I1736" s="24" t="str">
        <f aca="false">IF(OR(E1736="",E1736="!!!",F1736="NEW"),"",INDEX(B$2:B1735,-1+SUMPRODUCT(MAX(ROW(E$2:E1735)*(E1736=E$2:E1735)))))</f>
        <v>other_4</v>
      </c>
      <c r="J1736" s="24" t="n">
        <f aca="true">IF(OR(E1736="",E1736="!!!",F1736="NEW"),"",COUNTBLANK(OFFSET(A$1,,,SUMPRODUCT(MAX(ROW(E$2:E1736)*(E1736=E$2:E1736)))))-COUNTBLANK(OFFSET(A$1,,,SUMPRODUCT(MAX(ROW(E$1:E1735)*(E2=E$1:E1735))))))</f>
        <v>0</v>
      </c>
      <c r="K1736" s="24" t="n">
        <f aca="false">IF(OR(E1736="",E1736="!!!",F1736="NEW"),"",INDEX(J$1:J1735,SUMPRODUCT(MAX(ROW(E$1:E1735)*(E1736=E$1:E1735)))))</f>
        <v>0</v>
      </c>
      <c r="L1736" s="25"/>
    </row>
    <row r="1737" customFormat="false" ht="14.25" hidden="false" customHeight="false" outlineLevel="0" collapsed="false">
      <c r="A1737" s="0" t="s">
        <v>431</v>
      </c>
      <c r="B1737" s="26" t="s">
        <v>422</v>
      </c>
      <c r="C1737" s="26" t="s">
        <v>105</v>
      </c>
      <c r="E1737" s="20" t="s">
        <v>235</v>
      </c>
      <c r="F1737" s="21" t="str">
        <f aca="false">IF(OR(E1737="",E1737="!!!"),"",IF(NOT(ISNA(VLOOKUP(E1737,E$1:E1736,1,FALSE()))),"OLD",IF(AND(E1737&lt;&gt;"",E1737&lt;&gt;"!!!"),"NEW","")))</f>
        <v>OLD</v>
      </c>
      <c r="G1737" s="22" t="str">
        <f aca="false"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?IN_FOCUS</v>
      </c>
      <c r="H1737" s="23" t="str">
        <f aca="false">IF(J1737&lt;&gt;1,"",IF(I1737="SBJ","CB","?"))</f>
        <v/>
      </c>
      <c r="I1737" s="24" t="str">
        <f aca="false">IF(OR(E1737="",E1737="!!!",F1737="NEW"),"",INDEX(B$2:B1736,-1+SUMPRODUCT(MAX(ROW(E$2:E1736)*(E1737=E$2:E1736)))))</f>
        <v>other_4</v>
      </c>
      <c r="J1737" s="24" t="n">
        <f aca="true">IF(OR(E1737="",E1737="!!!",F1737="NEW"),"",COUNTBLANK(OFFSET(A$1,,,SUMPRODUCT(MAX(ROW(E$2:E1737)*(E1737=E$2:E1737)))))-COUNTBLANK(OFFSET(A$1,,,SUMPRODUCT(MAX(ROW(E$1:E1736)*(E2=E$1:E1736))))))</f>
        <v>0</v>
      </c>
      <c r="K1737" s="24" t="n">
        <f aca="false">IF(OR(E1737="",E1737="!!!",F1737="NEW"),"",INDEX(J$1:J1736,SUMPRODUCT(MAX(ROW(E$1:E1736)*(E1737=E$1:E1736)))))</f>
        <v>0</v>
      </c>
      <c r="L1737" s="25"/>
    </row>
    <row r="1738" customFormat="false" ht="14.25" hidden="false" customHeight="false" outlineLevel="0" collapsed="false">
      <c r="A1738" s="0" t="s">
        <v>142</v>
      </c>
      <c r="E1738" s="20" t="str">
        <f aca="false">IF(D1738="?OLD","!!!","")</f>
        <v/>
      </c>
      <c r="F1738" s="21" t="str">
        <f aca="false">IF(OR(E1738="",E1738="!!!"),"",IF(NOT(ISNA(VLOOKUP(E1738,E$1:E1737,1,FALSE()))),"OLD",IF(AND(E1738&lt;&gt;"",E1738&lt;&gt;"!!!"),"NEW","")))</f>
        <v/>
      </c>
      <c r="G1738" s="22" t="str">
        <f aca="false"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3" t="str">
        <f aca="false">IF(J1738&lt;&gt;1,"",IF(I1738="SBJ","CB","?"))</f>
        <v/>
      </c>
      <c r="I1738" s="24" t="str">
        <f aca="false">IF(OR(E1738="",E1738="!!!",F1738="NEW"),"",INDEX(B$2:B1737,-1+SUMPRODUCT(MAX(ROW(E$2:E1737)*(E1738=E$2:E1737)))))</f>
        <v/>
      </c>
      <c r="J1738" s="24" t="str">
        <f aca="true">IF(OR(E1738="",E1738="!!!",F1738="NEW"),"",COUNTBLANK(OFFSET(A$1,,,SUMPRODUCT(MAX(ROW(E$2:E1738)*(E1738=E$2:E1738)))))-COUNTBLANK(OFFSET(A$1,,,SUMPRODUCT(MAX(ROW(E$1:E1737)*(E2=E$1:E1737))))))</f>
        <v/>
      </c>
      <c r="K1738" s="24" t="str">
        <f aca="false">IF(OR(E1738="",E1738="!!!",F1738="NEW"),"",INDEX(J$1:J1737,SUMPRODUCT(MAX(ROW(E$1:E1737)*(E1738=E$1:E1737)))))</f>
        <v/>
      </c>
      <c r="L1738" s="25"/>
    </row>
    <row r="1739" customFormat="false" ht="14.25" hidden="false" customHeight="false" outlineLevel="0" collapsed="false">
      <c r="A1739" s="0" t="s">
        <v>259</v>
      </c>
      <c r="E1739" s="20" t="str">
        <f aca="false">IF(D1739="?OLD","!!!","")</f>
        <v/>
      </c>
      <c r="F1739" s="21" t="str">
        <f aca="false">IF(OR(E1739="",E1739="!!!"),"",IF(NOT(ISNA(VLOOKUP(E1739,E$1:E1738,1,FALSE()))),"OLD",IF(AND(E1739&lt;&gt;"",E1739&lt;&gt;"!!!"),"NEW","")))</f>
        <v/>
      </c>
      <c r="G1739" s="22" t="str">
        <f aca="false"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3" t="str">
        <f aca="false">IF(J1739&lt;&gt;1,"",IF(I1739="SBJ","CB","?"))</f>
        <v/>
      </c>
      <c r="I1739" s="24" t="str">
        <f aca="false">IF(OR(E1739="",E1739="!!!",F1739="NEW"),"",INDEX(B$2:B1738,-1+SUMPRODUCT(MAX(ROW(E$2:E1738)*(E1739=E$2:E1738)))))</f>
        <v/>
      </c>
      <c r="J1739" s="24" t="str">
        <f aca="true">IF(OR(E1739="",E1739="!!!",F1739="NEW"),"",COUNTBLANK(OFFSET(A$1,,,SUMPRODUCT(MAX(ROW(E$2:E1739)*(E1739=E$2:E1739)))))-COUNTBLANK(OFFSET(A$1,,,SUMPRODUCT(MAX(ROW(E$1:E1738)*(E2=E$1:E1738))))))</f>
        <v/>
      </c>
      <c r="K1739" s="24" t="str">
        <f aca="false">IF(OR(E1739="",E1739="!!!",F1739="NEW"),"",INDEX(J$1:J1738,SUMPRODUCT(MAX(ROW(E$1:E1738)*(E1739=E$1:E1738)))))</f>
        <v/>
      </c>
      <c r="L1739" s="25"/>
    </row>
    <row r="1740" customFormat="false" ht="14.25" hidden="false" customHeight="false" outlineLevel="0" collapsed="false">
      <c r="A1740" s="0" t="s">
        <v>1017</v>
      </c>
      <c r="B1740" s="26" t="s">
        <v>998</v>
      </c>
      <c r="C1740" s="26" t="s">
        <v>133</v>
      </c>
      <c r="D1740" s="26" t="s">
        <v>75</v>
      </c>
      <c r="E1740" s="20" t="s">
        <v>225</v>
      </c>
      <c r="F1740" s="21" t="str">
        <f aca="false">IF(OR(E1740="",E1740="!!!"),"",IF(NOT(ISNA(VLOOKUP(E1740,E$1:E1739,1,FALSE()))),"OLD",IF(AND(E1740&lt;&gt;"",E1740&lt;&gt;"!!!"),"NEW","")))</f>
        <v>OLD</v>
      </c>
      <c r="G1740" s="22" t="str">
        <f aca="false"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?IN_FOCUS</v>
      </c>
      <c r="H1740" s="23" t="str">
        <f aca="false">IF(J1740&lt;&gt;1,"",IF(I1740="SBJ","CB","?"))</f>
        <v/>
      </c>
      <c r="I1740" s="24" t="str">
        <f aca="false">IF(OR(E1740="",E1740="!!!",F1740="NEW"),"",INDEX(B$2:B1739,-1+SUMPRODUCT(MAX(ROW(E$2:E1739)*(E1740=E$2:E1739)))))</f>
        <v>other_9</v>
      </c>
      <c r="J1740" s="24" t="n">
        <f aca="true">IF(OR(E1740="",E1740="!!!",F1740="NEW"),"",COUNTBLANK(OFFSET(A$1,,,SUMPRODUCT(MAX(ROW(E$2:E1740)*(E1740=E$2:E1740)))))-COUNTBLANK(OFFSET(A$1,,,SUMPRODUCT(MAX(ROW(E$1:E1739)*(E2=E$1:E1739))))))</f>
        <v>0</v>
      </c>
      <c r="K1740" s="24" t="n">
        <f aca="false">IF(OR(E1740="",E1740="!!!",F1740="NEW"),"",INDEX(J$1:J1739,SUMPRODUCT(MAX(ROW(E$1:E1739)*(E1740=E$1:E1739)))))</f>
        <v>0</v>
      </c>
      <c r="L1740" s="25"/>
    </row>
    <row r="1741" customFormat="false" ht="14.25" hidden="false" customHeight="false" outlineLevel="0" collapsed="false">
      <c r="A1741" s="0" t="s">
        <v>1018</v>
      </c>
      <c r="B1741" s="26" t="s">
        <v>571</v>
      </c>
      <c r="C1741" s="26" t="s">
        <v>105</v>
      </c>
      <c r="E1741" s="20" t="s">
        <v>1019</v>
      </c>
      <c r="F1741" s="21" t="str">
        <f aca="false">IF(OR(E1741="",E1741="!!!"),"",IF(NOT(ISNA(VLOOKUP(E1741,E$1:E1740,1,FALSE()))),"OLD",IF(AND(E1741&lt;&gt;"",E1741&lt;&gt;"!!!"),"NEW","")))</f>
        <v>NEW</v>
      </c>
      <c r="G1741" s="22" t="str">
        <f aca="false"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?REFERENTIAL</v>
      </c>
      <c r="H1741" s="23" t="str">
        <f aca="false">IF(J1741&lt;&gt;1,"",IF(I1741="SBJ","CB","?"))</f>
        <v/>
      </c>
      <c r="I1741" s="24" t="str">
        <f aca="false">IF(OR(E1741="",E1741="!!!",F1741="NEW"),"",INDEX(B$2:B1740,-1+SUMPRODUCT(MAX(ROW(E$2:E1740)*(E1741=E$2:E1740)))))</f>
        <v/>
      </c>
      <c r="J1741" s="24" t="str">
        <f aca="true">IF(OR(E1741="",E1741="!!!",F1741="NEW"),"",COUNTBLANK(OFFSET(A$1,,,SUMPRODUCT(MAX(ROW(E$2:E1741)*(E1741=E$2:E1741)))))-COUNTBLANK(OFFSET(A$1,,,SUMPRODUCT(MAX(ROW(E$1:E1740)*(E2=E$1:E1740))))))</f>
        <v/>
      </c>
      <c r="K1741" s="24" t="str">
        <f aca="false">IF(OR(E1741="",E1741="!!!",F1741="NEW"),"",INDEX(J$1:J1740,SUMPRODUCT(MAX(ROW(E$1:E1740)*(E1741=E$1:E1740)))))</f>
        <v/>
      </c>
      <c r="L1741" s="25"/>
    </row>
    <row r="1742" customFormat="false" ht="14.25" hidden="false" customHeight="false" outlineLevel="0" collapsed="false">
      <c r="A1742" s="0" t="s">
        <v>101</v>
      </c>
      <c r="E1742" s="20" t="str">
        <f aca="false">IF(D1742="?OLD","!!!","")</f>
        <v/>
      </c>
      <c r="F1742" s="21" t="str">
        <f aca="false">IF(OR(E1742="",E1742="!!!"),"",IF(NOT(ISNA(VLOOKUP(E1742,E$1:E1741,1,FALSE()))),"OLD",IF(AND(E1742&lt;&gt;"",E1742&lt;&gt;"!!!"),"NEW","")))</f>
        <v/>
      </c>
      <c r="G1742" s="22" t="str">
        <f aca="false"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3" t="str">
        <f aca="false">IF(J1742&lt;&gt;1,"",IF(I1742="SBJ","CB","?"))</f>
        <v/>
      </c>
      <c r="I1742" s="24" t="str">
        <f aca="false">IF(OR(E1742="",E1742="!!!",F1742="NEW"),"",INDEX(B$2:B1741,-1+SUMPRODUCT(MAX(ROW(E$2:E1741)*(E1742=E$2:E1741)))))</f>
        <v/>
      </c>
      <c r="J1742" s="24" t="str">
        <f aca="true">IF(OR(E1742="",E1742="!!!",F1742="NEW"),"",COUNTBLANK(OFFSET(A$1,,,SUMPRODUCT(MAX(ROW(E$2:E1742)*(E1742=E$2:E1742)))))-COUNTBLANK(OFFSET(A$1,,,SUMPRODUCT(MAX(ROW(E$1:E1741)*(E2=E$1:E1741))))))</f>
        <v/>
      </c>
      <c r="K1742" s="24" t="str">
        <f aca="false">IF(OR(E1742="",E1742="!!!",F1742="NEW"),"",INDEX(J$1:J1741,SUMPRODUCT(MAX(ROW(E$1:E1741)*(E1742=E$1:E1741)))))</f>
        <v/>
      </c>
      <c r="L1742" s="25"/>
    </row>
    <row r="1743" customFormat="false" ht="14.25" hidden="false" customHeight="false" outlineLevel="0" collapsed="false">
      <c r="A1743" s="0" t="s">
        <v>142</v>
      </c>
      <c r="E1743" s="20" t="str">
        <f aca="false">IF(D1743="?OLD","!!!","")</f>
        <v/>
      </c>
      <c r="F1743" s="21" t="str">
        <f aca="false">IF(OR(E1743="",E1743="!!!"),"",IF(NOT(ISNA(VLOOKUP(E1743,E$1:E1742,1,FALSE()))),"OLD",IF(AND(E1743&lt;&gt;"",E1743&lt;&gt;"!!!"),"NEW","")))</f>
        <v/>
      </c>
      <c r="G1743" s="22" t="str">
        <f aca="false"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3" t="str">
        <f aca="false">IF(J1743&lt;&gt;1,"",IF(I1743="SBJ","CB","?"))</f>
        <v/>
      </c>
      <c r="I1743" s="24" t="str">
        <f aca="false">IF(OR(E1743="",E1743="!!!",F1743="NEW"),"",INDEX(B$2:B1742,-1+SUMPRODUCT(MAX(ROW(E$2:E1742)*(E1743=E$2:E1742)))))</f>
        <v/>
      </c>
      <c r="J1743" s="24" t="str">
        <f aca="true">IF(OR(E1743="",E1743="!!!",F1743="NEW"),"",COUNTBLANK(OFFSET(A$1,,,SUMPRODUCT(MAX(ROW(E$2:E1743)*(E1743=E$2:E1743)))))-COUNTBLANK(OFFSET(A$1,,,SUMPRODUCT(MAX(ROW(E$1:E1742)*(E2=E$1:E1742))))))</f>
        <v/>
      </c>
      <c r="K1743" s="24" t="str">
        <f aca="false">IF(OR(E1743="",E1743="!!!",F1743="NEW"),"",INDEX(J$1:J1742,SUMPRODUCT(MAX(ROW(E$1:E1742)*(E1743=E$1:E1742)))))</f>
        <v/>
      </c>
      <c r="L1743" s="25"/>
    </row>
    <row r="1744" customFormat="false" ht="14.25" hidden="false" customHeight="false" outlineLevel="0" collapsed="false">
      <c r="A1744" s="0" t="s">
        <v>1020</v>
      </c>
      <c r="E1744" s="20" t="str">
        <f aca="false">IF(D1744="?OLD","!!!","")</f>
        <v/>
      </c>
      <c r="F1744" s="21" t="str">
        <f aca="false">IF(OR(E1744="",E1744="!!!"),"",IF(NOT(ISNA(VLOOKUP(E1744,E$1:E1743,1,FALSE()))),"OLD",IF(AND(E1744&lt;&gt;"",E1744&lt;&gt;"!!!"),"NEW","")))</f>
        <v/>
      </c>
      <c r="G1744" s="22" t="str">
        <f aca="false"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3" t="str">
        <f aca="false">IF(J1744&lt;&gt;1,"",IF(I1744="SBJ","CB","?"))</f>
        <v/>
      </c>
      <c r="I1744" s="24" t="str">
        <f aca="false">IF(OR(E1744="",E1744="!!!",F1744="NEW"),"",INDEX(B$2:B1743,-1+SUMPRODUCT(MAX(ROW(E$2:E1743)*(E1744=E$2:E1743)))))</f>
        <v/>
      </c>
      <c r="J1744" s="24" t="str">
        <f aca="true">IF(OR(E1744="",E1744="!!!",F1744="NEW"),"",COUNTBLANK(OFFSET(A$1,,,SUMPRODUCT(MAX(ROW(E$2:E1744)*(E1744=E$2:E1744)))))-COUNTBLANK(OFFSET(A$1,,,SUMPRODUCT(MAX(ROW(E$1:E1743)*(E2=E$1:E1743))))))</f>
        <v/>
      </c>
      <c r="K1744" s="24" t="str">
        <f aca="false">IF(OR(E1744="",E1744="!!!",F1744="NEW"),"",INDEX(J$1:J1743,SUMPRODUCT(MAX(ROW(E$1:E1743)*(E1744=E$1:E1743)))))</f>
        <v/>
      </c>
      <c r="L1744" s="25"/>
    </row>
    <row r="1745" customFormat="false" ht="14.25" hidden="false" customHeight="false" outlineLevel="0" collapsed="false">
      <c r="A1745" s="0" t="s">
        <v>1021</v>
      </c>
      <c r="E1745" s="20" t="str">
        <f aca="false">IF(D1745="?OLD","!!!","")</f>
        <v/>
      </c>
      <c r="F1745" s="21" t="str">
        <f aca="false">IF(OR(E1745="",E1745="!!!"),"",IF(NOT(ISNA(VLOOKUP(E1745,E$1:E1744,1,FALSE()))),"OLD",IF(AND(E1745&lt;&gt;"",E1745&lt;&gt;"!!!"),"NEW","")))</f>
        <v/>
      </c>
      <c r="G1745" s="22" t="str">
        <f aca="false"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3" t="str">
        <f aca="false">IF(J1745&lt;&gt;1,"",IF(I1745="SBJ","CB","?"))</f>
        <v/>
      </c>
      <c r="I1745" s="24" t="str">
        <f aca="false">IF(OR(E1745="",E1745="!!!",F1745="NEW"),"",INDEX(B$2:B1744,-1+SUMPRODUCT(MAX(ROW(E$2:E1744)*(E1745=E$2:E1744)))))</f>
        <v/>
      </c>
      <c r="J1745" s="24" t="str">
        <f aca="true">IF(OR(E1745="",E1745="!!!",F1745="NEW"),"",COUNTBLANK(OFFSET(A$1,,,SUMPRODUCT(MAX(ROW(E$2:E1745)*(E1745=E$2:E1745)))))-COUNTBLANK(OFFSET(A$1,,,SUMPRODUCT(MAX(ROW(E$1:E1744)*(E2=E$1:E1744))))))</f>
        <v/>
      </c>
      <c r="K1745" s="24" t="str">
        <f aca="false">IF(OR(E1745="",E1745="!!!",F1745="NEW"),"",INDEX(J$1:J1744,SUMPRODUCT(MAX(ROW(E$1:E1744)*(E1745=E$1:E1744)))))</f>
        <v/>
      </c>
      <c r="L1745" s="25"/>
    </row>
    <row r="1746" customFormat="false" ht="14.25" hidden="false" customHeight="false" outlineLevel="0" collapsed="false">
      <c r="A1746" s="0" t="s">
        <v>207</v>
      </c>
      <c r="B1746" s="26" t="s">
        <v>560</v>
      </c>
      <c r="C1746" s="26" t="s">
        <v>209</v>
      </c>
      <c r="D1746" s="26" t="s">
        <v>75</v>
      </c>
      <c r="E1746" s="20" t="s">
        <v>840</v>
      </c>
      <c r="F1746" s="21" t="str">
        <f aca="false">IF(OR(E1746="",E1746="!!!"),"",IF(NOT(ISNA(VLOOKUP(E1746,E$1:E1745,1,FALSE()))),"OLD",IF(AND(E1746&lt;&gt;"",E1746&lt;&gt;"!!!"),"NEW","")))</f>
        <v>OLD</v>
      </c>
      <c r="G1746" s="22" t="str">
        <f aca="false"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?IN_FOCUS</v>
      </c>
      <c r="H1746" s="23" t="str">
        <f aca="false">IF(J1746&lt;&gt;1,"",IF(I1746="SBJ","CB","?"))</f>
        <v/>
      </c>
      <c r="I1746" s="24" t="str">
        <f aca="false">IF(OR(E1746="",E1746="!!!",F1746="NEW"),"",INDEX(B$2:B1745,-1+SUMPRODUCT(MAX(ROW(E$2:E1745)*(E1746=E$2:E1745)))))</f>
        <v>SBJ_6</v>
      </c>
      <c r="J1746" s="24" t="n">
        <f aca="true">IF(OR(E1746="",E1746="!!!",F1746="NEW"),"",COUNTBLANK(OFFSET(A$1,,,SUMPRODUCT(MAX(ROW(E$2:E1746)*(E1746=E$2:E1746)))))-COUNTBLANK(OFFSET(A$1,,,SUMPRODUCT(MAX(ROW(E$1:E1745)*(E2=E$1:E1745))))))</f>
        <v>0</v>
      </c>
      <c r="K1746" s="24" t="n">
        <f aca="false">IF(OR(E1746="",E1746="!!!",F1746="NEW"),"",INDEX(J$1:J1745,SUMPRODUCT(MAX(ROW(E$1:E1745)*(E1746=E$1:E1745)))))</f>
        <v>0</v>
      </c>
      <c r="L1746" s="25"/>
    </row>
    <row r="1747" customFormat="false" ht="14.25" hidden="false" customHeight="false" outlineLevel="0" collapsed="false">
      <c r="A1747" s="0" t="s">
        <v>1022</v>
      </c>
      <c r="E1747" s="20" t="str">
        <f aca="false">IF(D1747="?OLD","!!!","")</f>
        <v/>
      </c>
      <c r="F1747" s="21" t="str">
        <f aca="false">IF(OR(E1747="",E1747="!!!"),"",IF(NOT(ISNA(VLOOKUP(E1747,E$1:E1746,1,FALSE()))),"OLD",IF(AND(E1747&lt;&gt;"",E1747&lt;&gt;"!!!"),"NEW","")))</f>
        <v/>
      </c>
      <c r="G1747" s="22" t="str">
        <f aca="false"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3" t="str">
        <f aca="false">IF(J1747&lt;&gt;1,"",IF(I1747="SBJ","CB","?"))</f>
        <v/>
      </c>
      <c r="I1747" s="24" t="str">
        <f aca="false">IF(OR(E1747="",E1747="!!!",F1747="NEW"),"",INDEX(B$2:B1746,-1+SUMPRODUCT(MAX(ROW(E$2:E1746)*(E1747=E$2:E1746)))))</f>
        <v/>
      </c>
      <c r="J1747" s="24" t="str">
        <f aca="true">IF(OR(E1747="",E1747="!!!",F1747="NEW"),"",COUNTBLANK(OFFSET(A$1,,,SUMPRODUCT(MAX(ROW(E$2:E1747)*(E1747=E$2:E1747)))))-COUNTBLANK(OFFSET(A$1,,,SUMPRODUCT(MAX(ROW(E$1:E1746)*(E2=E$1:E1746))))))</f>
        <v/>
      </c>
      <c r="K1747" s="24" t="str">
        <f aca="false">IF(OR(E1747="",E1747="!!!",F1747="NEW"),"",INDEX(J$1:J1746,SUMPRODUCT(MAX(ROW(E$1:E1746)*(E1747=E$1:E1746)))))</f>
        <v/>
      </c>
      <c r="L1747" s="25"/>
    </row>
    <row r="1748" customFormat="false" ht="14.25" hidden="false" customHeight="false" outlineLevel="0" collapsed="false">
      <c r="A1748" s="0" t="s">
        <v>116</v>
      </c>
      <c r="E1748" s="20" t="str">
        <f aca="false">IF(D1748="?OLD","!!!","")</f>
        <v/>
      </c>
      <c r="F1748" s="21" t="str">
        <f aca="false">IF(OR(E1748="",E1748="!!!"),"",IF(NOT(ISNA(VLOOKUP(E1748,E$1:E1747,1,FALSE()))),"OLD",IF(AND(E1748&lt;&gt;"",E1748&lt;&gt;"!!!"),"NEW","")))</f>
        <v/>
      </c>
      <c r="G1748" s="22" t="str">
        <f aca="false"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3" t="str">
        <f aca="false">IF(J1748&lt;&gt;1,"",IF(I1748="SBJ","CB","?"))</f>
        <v/>
      </c>
      <c r="I1748" s="24" t="str">
        <f aca="false">IF(OR(E1748="",E1748="!!!",F1748="NEW"),"",INDEX(B$2:B1747,-1+SUMPRODUCT(MAX(ROW(E$2:E1747)*(E1748=E$2:E1747)))))</f>
        <v/>
      </c>
      <c r="J1748" s="24" t="str">
        <f aca="true">IF(OR(E1748="",E1748="!!!",F1748="NEW"),"",COUNTBLANK(OFFSET(A$1,,,SUMPRODUCT(MAX(ROW(E$2:E1748)*(E1748=E$2:E1748)))))-COUNTBLANK(OFFSET(A$1,,,SUMPRODUCT(MAX(ROW(E$1:E1747)*(E2=E$1:E1747))))))</f>
        <v/>
      </c>
      <c r="K1748" s="24" t="str">
        <f aca="false">IF(OR(E1748="",E1748="!!!",F1748="NEW"),"",INDEX(J$1:J1747,SUMPRODUCT(MAX(ROW(E$1:E1747)*(E1748=E$1:E1747)))))</f>
        <v/>
      </c>
      <c r="L1748" s="25"/>
    </row>
    <row r="1749" customFormat="false" ht="14.25" hidden="false" customHeight="false" outlineLevel="0" collapsed="false">
      <c r="A1749" s="0" t="s">
        <v>178</v>
      </c>
      <c r="E1749" s="20" t="str">
        <f aca="false">IF(D1749="?OLD","!!!","")</f>
        <v/>
      </c>
      <c r="F1749" s="21" t="str">
        <f aca="false">IF(OR(E1749="",E1749="!!!"),"",IF(NOT(ISNA(VLOOKUP(E1749,E$1:E1748,1,FALSE()))),"OLD",IF(AND(E1749&lt;&gt;"",E1749&lt;&gt;"!!!"),"NEW","")))</f>
        <v/>
      </c>
      <c r="G1749" s="22" t="str">
        <f aca="false"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3" t="str">
        <f aca="false">IF(J1749&lt;&gt;1,"",IF(I1749="SBJ","CB","?"))</f>
        <v/>
      </c>
      <c r="I1749" s="24" t="str">
        <f aca="false">IF(OR(E1749="",E1749="!!!",F1749="NEW"),"",INDEX(B$2:B1748,-1+SUMPRODUCT(MAX(ROW(E$2:E1748)*(E1749=E$2:E1748)))))</f>
        <v/>
      </c>
      <c r="J1749" s="24" t="str">
        <f aca="true">IF(OR(E1749="",E1749="!!!",F1749="NEW"),"",COUNTBLANK(OFFSET(A$1,,,SUMPRODUCT(MAX(ROW(E$2:E1749)*(E1749=E$2:E1749)))))-COUNTBLANK(OFFSET(A$1,,,SUMPRODUCT(MAX(ROW(E$1:E1748)*(E2=E$1:E1748))))))</f>
        <v/>
      </c>
      <c r="K1749" s="24" t="str">
        <f aca="false">IF(OR(E1749="",E1749="!!!",F1749="NEW"),"",INDEX(J$1:J1748,SUMPRODUCT(MAX(ROW(E$1:E1748)*(E1749=E$1:E1748)))))</f>
        <v/>
      </c>
      <c r="L1749" s="25"/>
    </row>
    <row r="1750" customFormat="false" ht="14.25" hidden="false" customHeight="false" outlineLevel="0" collapsed="false">
      <c r="A1750" s="0" t="s">
        <v>652</v>
      </c>
      <c r="B1750" s="26" t="s">
        <v>422</v>
      </c>
      <c r="C1750" s="26" t="s">
        <v>105</v>
      </c>
      <c r="E1750" s="20" t="str">
        <f aca="false">IF(D1750="?OLD","!!!","")</f>
        <v/>
      </c>
      <c r="F1750" s="21" t="str">
        <f aca="false">IF(OR(E1750="",E1750="!!!"),"",IF(NOT(ISNA(VLOOKUP(E1750,E$1:E1749,1,FALSE()))),"OLD",IF(AND(E1750&lt;&gt;"",E1750&lt;&gt;"!!!"),"NEW","")))</f>
        <v/>
      </c>
      <c r="G1750" s="22" t="str">
        <f aca="false"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3" t="str">
        <f aca="false">IF(J1750&lt;&gt;1,"",IF(I1750="SBJ","CB","?"))</f>
        <v/>
      </c>
      <c r="I1750" s="24" t="str">
        <f aca="false">IF(OR(E1750="",E1750="!!!",F1750="NEW"),"",INDEX(B$2:B1749,-1+SUMPRODUCT(MAX(ROW(E$2:E1749)*(E1750=E$2:E1749)))))</f>
        <v/>
      </c>
      <c r="J1750" s="24" t="str">
        <f aca="true">IF(OR(E1750="",E1750="!!!",F1750="NEW"),"",COUNTBLANK(OFFSET(A$1,,,SUMPRODUCT(MAX(ROW(E$2:E1750)*(E1750=E$2:E1750)))))-COUNTBLANK(OFFSET(A$1,,,SUMPRODUCT(MAX(ROW(E$1:E1749)*(E2=E$1:E1749))))))</f>
        <v/>
      </c>
      <c r="K1750" s="24" t="str">
        <f aca="false">IF(OR(E1750="",E1750="!!!",F1750="NEW"),"",INDEX(J$1:J1749,SUMPRODUCT(MAX(ROW(E$1:E1749)*(E1750=E$1:E1749)))))</f>
        <v/>
      </c>
      <c r="L1750" s="25"/>
    </row>
    <row r="1751" customFormat="false" ht="14.25" hidden="false" customHeight="false" outlineLevel="0" collapsed="false">
      <c r="A1751" s="0" t="s">
        <v>1023</v>
      </c>
      <c r="E1751" s="20" t="str">
        <f aca="false">IF(D1751="?OLD","!!!","")</f>
        <v/>
      </c>
      <c r="F1751" s="21" t="str">
        <f aca="false">IF(OR(E1751="",E1751="!!!"),"",IF(NOT(ISNA(VLOOKUP(E1751,E$1:E1750,1,FALSE()))),"OLD",IF(AND(E1751&lt;&gt;"",E1751&lt;&gt;"!!!"),"NEW","")))</f>
        <v/>
      </c>
      <c r="G1751" s="22" t="str">
        <f aca="false"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3" t="str">
        <f aca="false">IF(J1751&lt;&gt;1,"",IF(I1751="SBJ","CB","?"))</f>
        <v/>
      </c>
      <c r="I1751" s="24" t="str">
        <f aca="false">IF(OR(E1751="",E1751="!!!",F1751="NEW"),"",INDEX(B$2:B1750,-1+SUMPRODUCT(MAX(ROW(E$2:E1750)*(E1751=E$2:E1750)))))</f>
        <v/>
      </c>
      <c r="J1751" s="24" t="str">
        <f aca="true">IF(OR(E1751="",E1751="!!!",F1751="NEW"),"",COUNTBLANK(OFFSET(A$1,,,SUMPRODUCT(MAX(ROW(E$2:E1751)*(E1751=E$2:E1751)))))-COUNTBLANK(OFFSET(A$1,,,SUMPRODUCT(MAX(ROW(E$1:E1750)*(E2=E$1:E1750))))))</f>
        <v/>
      </c>
      <c r="K1751" s="24" t="str">
        <f aca="false">IF(OR(E1751="",E1751="!!!",F1751="NEW"),"",INDEX(J$1:J1750,SUMPRODUCT(MAX(ROW(E$1:E1750)*(E1751=E$1:E1750)))))</f>
        <v/>
      </c>
      <c r="L1751" s="25"/>
    </row>
    <row r="1752" customFormat="false" ht="14.25" hidden="false" customHeight="false" outlineLevel="0" collapsed="false">
      <c r="A1752" s="0" t="s">
        <v>86</v>
      </c>
      <c r="E1752" s="20" t="str">
        <f aca="false">IF(D1752="?OLD","!!!","")</f>
        <v/>
      </c>
      <c r="F1752" s="21" t="str">
        <f aca="false">IF(OR(E1752="",E1752="!!!"),"",IF(NOT(ISNA(VLOOKUP(E1752,E$1:E1751,1,FALSE()))),"OLD",IF(AND(E1752&lt;&gt;"",E1752&lt;&gt;"!!!"),"NEW","")))</f>
        <v/>
      </c>
      <c r="G1752" s="22" t="str">
        <f aca="false"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3" t="str">
        <f aca="false">IF(J1752&lt;&gt;1,"",IF(I1752="SBJ","CB","?"))</f>
        <v/>
      </c>
      <c r="I1752" s="24" t="str">
        <f aca="false">IF(OR(E1752="",E1752="!!!",F1752="NEW"),"",INDEX(B$2:B1751,-1+SUMPRODUCT(MAX(ROW(E$2:E1751)*(E1752=E$2:E1751)))))</f>
        <v/>
      </c>
      <c r="J1752" s="24" t="str">
        <f aca="true">IF(OR(E1752="",E1752="!!!",F1752="NEW"),"",COUNTBLANK(OFFSET(A$1,,,SUMPRODUCT(MAX(ROW(E$2:E1752)*(E1752=E$2:E1752)))))-COUNTBLANK(OFFSET(A$1,,,SUMPRODUCT(MAX(ROW(E$1:E1751)*(E2=E$1:E1751))))))</f>
        <v/>
      </c>
      <c r="K1752" s="24" t="str">
        <f aca="false">IF(OR(E1752="",E1752="!!!",F1752="NEW"),"",INDEX(J$1:J1751,SUMPRODUCT(MAX(ROW(E$1:E1751)*(E1752=E$1:E1751)))))</f>
        <v/>
      </c>
      <c r="L1752" s="25"/>
    </row>
    <row r="1753" customFormat="false" ht="14.25" hidden="false" customHeight="false" outlineLevel="0" collapsed="false">
      <c r="A1753" s="0" t="s">
        <v>741</v>
      </c>
      <c r="E1753" s="20" t="str">
        <f aca="false">IF(D1753="?OLD","!!!","")</f>
        <v/>
      </c>
      <c r="F1753" s="21" t="str">
        <f aca="false">IF(OR(E1753="",E1753="!!!"),"",IF(NOT(ISNA(VLOOKUP(E1753,E$1:E1752,1,FALSE()))),"OLD",IF(AND(E1753&lt;&gt;"",E1753&lt;&gt;"!!!"),"NEW","")))</f>
        <v/>
      </c>
      <c r="G1753" s="22" t="str">
        <f aca="false"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3" t="str">
        <f aca="false">IF(J1753&lt;&gt;1,"",IF(I1753="SBJ","CB","?"))</f>
        <v/>
      </c>
      <c r="I1753" s="24" t="str">
        <f aca="false">IF(OR(E1753="",E1753="!!!",F1753="NEW"),"",INDEX(B$2:B1752,-1+SUMPRODUCT(MAX(ROW(E$2:E1752)*(E1753=E$2:E1752)))))</f>
        <v/>
      </c>
      <c r="J1753" s="24" t="str">
        <f aca="true">IF(OR(E1753="",E1753="!!!",F1753="NEW"),"",COUNTBLANK(OFFSET(A$1,,,SUMPRODUCT(MAX(ROW(E$2:E1753)*(E1753=E$2:E1753)))))-COUNTBLANK(OFFSET(A$1,,,SUMPRODUCT(MAX(ROW(E$1:E1752)*(E2=E$1:E1752))))))</f>
        <v/>
      </c>
      <c r="K1753" s="24" t="str">
        <f aca="false">IF(OR(E1753="",E1753="!!!",F1753="NEW"),"",INDEX(J$1:J1752,SUMPRODUCT(MAX(ROW(E$1:E1752)*(E1753=E$1:E1752)))))</f>
        <v/>
      </c>
      <c r="L1753" s="25"/>
    </row>
    <row r="1754" customFormat="false" ht="14.25" hidden="false" customHeight="false" outlineLevel="0" collapsed="false">
      <c r="A1754" s="0" t="s">
        <v>1024</v>
      </c>
      <c r="B1754" s="26" t="s">
        <v>419</v>
      </c>
      <c r="C1754" s="26" t="s">
        <v>283</v>
      </c>
      <c r="D1754" s="26" t="s">
        <v>75</v>
      </c>
      <c r="E1754" s="20" t="s">
        <v>1025</v>
      </c>
      <c r="F1754" s="21" t="s">
        <v>98</v>
      </c>
      <c r="G1754" s="22" t="e">
        <f aca="false"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#VALUE!</v>
      </c>
      <c r="H1754" s="23" t="str">
        <f aca="false">IF(J1754&lt;&gt;1,"",IF(I1754="SBJ","CB","?"))</f>
        <v/>
      </c>
      <c r="I1754" s="24" t="e">
        <f aca="false">IF(OR(E1754="",E1754="!!!",F1754="NEW"),"",INDEX(B$2:B1753,-1+SUMPRODUCT(MAX(ROW(E$2:E1753)*(E1754=E$2:E1753)))))</f>
        <v>#VALUE!</v>
      </c>
      <c r="J1754" s="24" t="n">
        <f aca="true">IF(OR(E1754="",E1754="!!!",F1754="NEW"),"",COUNTBLANK(OFFSET(A$1,,,SUMPRODUCT(MAX(ROW(E$2:E1754)*(E1754=E$2:E1754)))))-COUNTBLANK(OFFSET(A$1,,,SUMPRODUCT(MAX(ROW(E$1:E1753)*(E2=E$1:E1753))))))</f>
        <v>0</v>
      </c>
      <c r="K1754" s="24" t="e">
        <f aca="false">IF(OR(E1754="",E1754="!!!",F1754="NEW"),"",INDEX(J$1:J1753,SUMPRODUCT(MAX(ROW(E$1:E1753)*(E1754=E$1:E1753)))))</f>
        <v>#VALUE!</v>
      </c>
      <c r="L1754" s="25"/>
    </row>
    <row r="1755" customFormat="false" ht="14.25" hidden="false" customHeight="false" outlineLevel="0" collapsed="false">
      <c r="A1755" s="0" t="s">
        <v>172</v>
      </c>
      <c r="E1755" s="20" t="str">
        <f aca="false">IF(D1755="?OLD","!!!","")</f>
        <v/>
      </c>
      <c r="F1755" s="21" t="str">
        <f aca="false">IF(OR(E1755="",E1755="!!!"),"",IF(NOT(ISNA(VLOOKUP(E1755,E$1:E1754,1,FALSE()))),"OLD",IF(AND(E1755&lt;&gt;"",E1755&lt;&gt;"!!!"),"NEW","")))</f>
        <v/>
      </c>
      <c r="G1755" s="22" t="str">
        <f aca="false"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3" t="str">
        <f aca="false">IF(J1755&lt;&gt;1,"",IF(I1755="SBJ","CB","?"))</f>
        <v/>
      </c>
      <c r="I1755" s="24" t="str">
        <f aca="false">IF(OR(E1755="",E1755="!!!",F1755="NEW"),"",INDEX(B$2:B1754,-1+SUMPRODUCT(MAX(ROW(E$2:E1754)*(E1755=E$2:E1754)))))</f>
        <v/>
      </c>
      <c r="J1755" s="24" t="str">
        <f aca="true">IF(OR(E1755="",E1755="!!!",F1755="NEW"),"",COUNTBLANK(OFFSET(A$1,,,SUMPRODUCT(MAX(ROW(E$2:E1755)*(E1755=E$2:E1755)))))-COUNTBLANK(OFFSET(A$1,,,SUMPRODUCT(MAX(ROW(E$1:E1754)*(E2=E$1:E1754))))))</f>
        <v/>
      </c>
      <c r="K1755" s="24" t="str">
        <f aca="false">IF(OR(E1755="",E1755="!!!",F1755="NEW"),"",INDEX(J$1:J1754,SUMPRODUCT(MAX(ROW(E$1:E1754)*(E1755=E$1:E1754)))))</f>
        <v/>
      </c>
      <c r="L1755" s="25"/>
    </row>
    <row r="1756" customFormat="false" ht="14.25" hidden="false" customHeight="false" outlineLevel="0" collapsed="false">
      <c r="A1756" s="0" t="s">
        <v>376</v>
      </c>
      <c r="E1756" s="20" t="str">
        <f aca="false">IF(D1756="?OLD","!!!","")</f>
        <v/>
      </c>
      <c r="F1756" s="21" t="str">
        <f aca="false">IF(OR(E1756="",E1756="!!!"),"",IF(NOT(ISNA(VLOOKUP(E1756,E$1:E1755,1,FALSE()))),"OLD",IF(AND(E1756&lt;&gt;"",E1756&lt;&gt;"!!!"),"NEW","")))</f>
        <v/>
      </c>
      <c r="G1756" s="22" t="str">
        <f aca="false"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3" t="str">
        <f aca="false">IF(J1756&lt;&gt;1,"",IF(I1756="SBJ","CB","?"))</f>
        <v/>
      </c>
      <c r="I1756" s="24" t="str">
        <f aca="false">IF(OR(E1756="",E1756="!!!",F1756="NEW"),"",INDEX(B$2:B1755,-1+SUMPRODUCT(MAX(ROW(E$2:E1755)*(E1756=E$2:E1755)))))</f>
        <v/>
      </c>
      <c r="J1756" s="24" t="str">
        <f aca="true">IF(OR(E1756="",E1756="!!!",F1756="NEW"),"",COUNTBLANK(OFFSET(A$1,,,SUMPRODUCT(MAX(ROW(E$2:E1756)*(E1756=E$2:E1756)))))-COUNTBLANK(OFFSET(A$1,,,SUMPRODUCT(MAX(ROW(E$1:E1755)*(E2=E$1:E1755))))))</f>
        <v/>
      </c>
      <c r="K1756" s="24" t="str">
        <f aca="false">IF(OR(E1756="",E1756="!!!",F1756="NEW"),"",INDEX(J$1:J1755,SUMPRODUCT(MAX(ROW(E$1:E1755)*(E1756=E$1:E1755)))))</f>
        <v/>
      </c>
      <c r="L1756" s="25"/>
    </row>
    <row r="1757" customFormat="false" ht="14.25" hidden="false" customHeight="false" outlineLevel="0" collapsed="false">
      <c r="A1757" s="0" t="s">
        <v>908</v>
      </c>
      <c r="B1757" s="26" t="s">
        <v>419</v>
      </c>
      <c r="C1757" s="26" t="s">
        <v>209</v>
      </c>
      <c r="D1757" s="26" t="s">
        <v>75</v>
      </c>
      <c r="E1757" s="20"/>
      <c r="F1757" s="21" t="s">
        <v>131</v>
      </c>
      <c r="G1757" s="22" t="str">
        <f aca="false"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3" t="str">
        <f aca="false">IF(J1757&lt;&gt;1,"",IF(I1757="SBJ","CB","?"))</f>
        <v/>
      </c>
      <c r="I1757" s="24" t="str">
        <f aca="false">IF(OR(E1757="",E1757="!!!",F1757="NEW"),"",INDEX(B$2:B1756,-1+SUMPRODUCT(MAX(ROW(E$2:E1756)*(E1757=E$2:E1756)))))</f>
        <v/>
      </c>
      <c r="J1757" s="24" t="str">
        <f aca="true">IF(OR(E1757="",E1757="!!!",F1757="NEW"),"",COUNTBLANK(OFFSET(A$1,,,SUMPRODUCT(MAX(ROW(E$2:E1757)*(E1757=E$2:E1757)))))-COUNTBLANK(OFFSET(A$1,,,SUMPRODUCT(MAX(ROW(E$1:E1756)*(E2=E$1:E1756))))))</f>
        <v/>
      </c>
      <c r="K1757" s="24" t="str">
        <f aca="false">IF(OR(E1757="",E1757="!!!",F1757="NEW"),"",INDEX(J$1:J1756,SUMPRODUCT(MAX(ROW(E$1:E1756)*(E1757=E$1:E1756)))))</f>
        <v/>
      </c>
      <c r="L1757" s="27" t="s">
        <v>1026</v>
      </c>
    </row>
    <row r="1758" customFormat="false" ht="14.25" hidden="false" customHeight="false" outlineLevel="0" collapsed="false">
      <c r="A1758" s="0" t="s">
        <v>101</v>
      </c>
      <c r="E1758" s="20" t="str">
        <f aca="false">IF(D1758="?OLD","!!!","")</f>
        <v/>
      </c>
      <c r="F1758" s="21" t="str">
        <f aca="false">IF(OR(E1758="",E1758="!!!"),"",IF(NOT(ISNA(VLOOKUP(E1758,E$1:E1757,1,FALSE()))),"OLD",IF(AND(E1758&lt;&gt;"",E1758&lt;&gt;"!!!"),"NEW","")))</f>
        <v/>
      </c>
      <c r="G1758" s="22" t="str">
        <f aca="false"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3" t="str">
        <f aca="false">IF(J1758&lt;&gt;1,"",IF(I1758="SBJ","CB","?"))</f>
        <v/>
      </c>
      <c r="I1758" s="24" t="str">
        <f aca="false">IF(OR(E1758="",E1758="!!!",F1758="NEW"),"",INDEX(B$2:B1757,-1+SUMPRODUCT(MAX(ROW(E$2:E1757)*(E1758=E$2:E1757)))))</f>
        <v/>
      </c>
      <c r="J1758" s="24" t="str">
        <f aca="true">IF(OR(E1758="",E1758="!!!",F1758="NEW"),"",COUNTBLANK(OFFSET(A$1,,,SUMPRODUCT(MAX(ROW(E$2:E1758)*(E1758=E$2:E1758)))))-COUNTBLANK(OFFSET(A$1,,,SUMPRODUCT(MAX(ROW(E$1:E1757)*(E2=E$1:E1757))))))</f>
        <v/>
      </c>
      <c r="K1758" s="24" t="str">
        <f aca="false">IF(OR(E1758="",E1758="!!!",F1758="NEW"),"",INDEX(J$1:J1757,SUMPRODUCT(MAX(ROW(E$1:E1757)*(E1758=E$1:E1757)))))</f>
        <v/>
      </c>
      <c r="L1758" s="25"/>
    </row>
    <row r="1759" customFormat="false" ht="14.25" hidden="false" customHeight="false" outlineLevel="0" collapsed="false">
      <c r="A1759" s="0" t="s">
        <v>122</v>
      </c>
      <c r="E1759" s="20" t="str">
        <f aca="false">IF(D1759="?OLD","!!!","")</f>
        <v/>
      </c>
      <c r="F1759" s="21" t="str">
        <f aca="false">IF(OR(E1759="",E1759="!!!"),"",IF(NOT(ISNA(VLOOKUP(E1759,E$1:E1758,1,FALSE()))),"OLD",IF(AND(E1759&lt;&gt;"",E1759&lt;&gt;"!!!"),"NEW","")))</f>
        <v/>
      </c>
      <c r="G1759" s="22" t="str">
        <f aca="false"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3" t="str">
        <f aca="false">IF(J1759&lt;&gt;1,"",IF(I1759="SBJ","CB","?"))</f>
        <v/>
      </c>
      <c r="I1759" s="24" t="str">
        <f aca="false">IF(OR(E1759="",E1759="!!!",F1759="NEW"),"",INDEX(B$2:B1758,-1+SUMPRODUCT(MAX(ROW(E$2:E1758)*(E1759=E$2:E1758)))))</f>
        <v/>
      </c>
      <c r="J1759" s="24" t="str">
        <f aca="true">IF(OR(E1759="",E1759="!!!",F1759="NEW"),"",COUNTBLANK(OFFSET(A$1,,,SUMPRODUCT(MAX(ROW(E$2:E1759)*(E1759=E$2:E1759)))))-COUNTBLANK(OFFSET(A$1,,,SUMPRODUCT(MAX(ROW(E$1:E1758)*(E2=E$1:E1758))))))</f>
        <v/>
      </c>
      <c r="K1759" s="24" t="str">
        <f aca="false">IF(OR(E1759="",E1759="!!!",F1759="NEW"),"",INDEX(J$1:J1758,SUMPRODUCT(MAX(ROW(E$1:E1758)*(E1759=E$1:E1758)))))</f>
        <v/>
      </c>
      <c r="L1759" s="25"/>
    </row>
    <row r="1760" customFormat="false" ht="14.25" hidden="false" customHeight="false" outlineLevel="0" collapsed="false">
      <c r="A1760" s="0" t="s">
        <v>160</v>
      </c>
      <c r="B1760" s="26" t="s">
        <v>560</v>
      </c>
      <c r="C1760" s="26" t="s">
        <v>151</v>
      </c>
      <c r="D1760" s="26" t="s">
        <v>75</v>
      </c>
      <c r="E1760" s="20" t="s">
        <v>972</v>
      </c>
      <c r="F1760" s="21" t="str">
        <f aca="false">IF(OR(E1760="",E1760="!!!"),"",IF(NOT(ISNA(VLOOKUP(E1760,E$1:E1759,1,FALSE()))),"OLD",IF(AND(E1760&lt;&gt;"",E1760&lt;&gt;"!!!"),"NEW","")))</f>
        <v>OLD</v>
      </c>
      <c r="G1760" s="22" t="str">
        <f aca="false"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?IN_FOCUS</v>
      </c>
      <c r="H1760" s="23" t="str">
        <f aca="false">IF(J1760&lt;&gt;1,"",IF(I1760="SBJ","CB","?"))</f>
        <v/>
      </c>
      <c r="I1760" s="24" t="str">
        <f aca="false">IF(OR(E1760="",E1760="!!!",F1760="NEW"),"",INDEX(B$2:B1759,-1+SUMPRODUCT(MAX(ROW(E$2:E1759)*(E1760=E$2:E1759)))))</f>
        <v>SBJ_11</v>
      </c>
      <c r="J1760" s="24" t="n">
        <f aca="true">IF(OR(E1760="",E1760="!!!",F1760="NEW"),"",COUNTBLANK(OFFSET(A$1,,,SUMPRODUCT(MAX(ROW(E$2:E1760)*(E1760=E$2:E1760)))))-COUNTBLANK(OFFSET(A$1,,,SUMPRODUCT(MAX(ROW(E$1:E1759)*(E2=E$1:E1759))))))</f>
        <v>0</v>
      </c>
      <c r="K1760" s="24" t="n">
        <f aca="false">IF(OR(E1760="",E1760="!!!",F1760="NEW"),"",INDEX(J$1:J1759,SUMPRODUCT(MAX(ROW(E$1:E1759)*(E1760=E$1:E1759)))))</f>
        <v>0</v>
      </c>
      <c r="L1760" s="25"/>
    </row>
    <row r="1761" customFormat="false" ht="14.25" hidden="false" customHeight="false" outlineLevel="0" collapsed="false">
      <c r="A1761" s="0" t="s">
        <v>275</v>
      </c>
      <c r="B1761" s="26" t="s">
        <v>422</v>
      </c>
      <c r="C1761" s="26" t="s">
        <v>111</v>
      </c>
      <c r="E1761" s="20" t="str">
        <f aca="false">IF(D1761="?OLD","!!!","")</f>
        <v/>
      </c>
      <c r="F1761" s="21" t="str">
        <f aca="false">IF(OR(E1761="",E1761="!!!"),"",IF(NOT(ISNA(VLOOKUP(E1761,E$1:E1760,1,FALSE()))),"OLD",IF(AND(E1761&lt;&gt;"",E1761&lt;&gt;"!!!"),"NEW","")))</f>
        <v/>
      </c>
      <c r="G1761" s="22" t="str">
        <f aca="false"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3" t="str">
        <f aca="false">IF(J1761&lt;&gt;1,"",IF(I1761="SBJ","CB","?"))</f>
        <v/>
      </c>
      <c r="I1761" s="24" t="str">
        <f aca="false">IF(OR(E1761="",E1761="!!!",F1761="NEW"),"",INDEX(B$2:B1760,-1+SUMPRODUCT(MAX(ROW(E$2:E1760)*(E1761=E$2:E1760)))))</f>
        <v/>
      </c>
      <c r="J1761" s="24" t="str">
        <f aca="true">IF(OR(E1761="",E1761="!!!",F1761="NEW"),"",COUNTBLANK(OFFSET(A$1,,,SUMPRODUCT(MAX(ROW(E$2:E1761)*(E1761=E$2:E1761)))))-COUNTBLANK(OFFSET(A$1,,,SUMPRODUCT(MAX(ROW(E$1:E1760)*(E2=E$1:E1760))))))</f>
        <v/>
      </c>
      <c r="K1761" s="24" t="str">
        <f aca="false">IF(OR(E1761="",E1761="!!!",F1761="NEW"),"",INDEX(J$1:J1760,SUMPRODUCT(MAX(ROW(E$1:E1760)*(E1761=E$1:E1760)))))</f>
        <v/>
      </c>
      <c r="L1761" s="25"/>
    </row>
    <row r="1762" customFormat="false" ht="14.25" hidden="false" customHeight="false" outlineLevel="0" collapsed="false">
      <c r="A1762" s="0" t="s">
        <v>1027</v>
      </c>
      <c r="E1762" s="20" t="str">
        <f aca="false">IF(D1762="?OLD","!!!","")</f>
        <v/>
      </c>
      <c r="F1762" s="21" t="str">
        <f aca="false">IF(OR(E1762="",E1762="!!!"),"",IF(NOT(ISNA(VLOOKUP(E1762,E$1:E1761,1,FALSE()))),"OLD",IF(AND(E1762&lt;&gt;"",E1762&lt;&gt;"!!!"),"NEW","")))</f>
        <v/>
      </c>
      <c r="G1762" s="22" t="str">
        <f aca="false"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3" t="str">
        <f aca="false">IF(J1762&lt;&gt;1,"",IF(I1762="SBJ","CB","?"))</f>
        <v/>
      </c>
      <c r="I1762" s="24" t="str">
        <f aca="false">IF(OR(E1762="",E1762="!!!",F1762="NEW"),"",INDEX(B$2:B1761,-1+SUMPRODUCT(MAX(ROW(E$2:E1761)*(E1762=E$2:E1761)))))</f>
        <v/>
      </c>
      <c r="J1762" s="24" t="str">
        <f aca="true">IF(OR(E1762="",E1762="!!!",F1762="NEW"),"",COUNTBLANK(OFFSET(A$1,,,SUMPRODUCT(MAX(ROW(E$2:E1762)*(E1762=E$2:E1762)))))-COUNTBLANK(OFFSET(A$1,,,SUMPRODUCT(MAX(ROW(E$1:E1761)*(E2=E$1:E1761))))))</f>
        <v/>
      </c>
      <c r="K1762" s="24" t="str">
        <f aca="false">IF(OR(E1762="",E1762="!!!",F1762="NEW"),"",INDEX(J$1:J1761,SUMPRODUCT(MAX(ROW(E$1:E1761)*(E1762=E$1:E1761)))))</f>
        <v/>
      </c>
      <c r="L1762" s="25"/>
    </row>
    <row r="1763" customFormat="false" ht="14.25" hidden="false" customHeight="false" outlineLevel="0" collapsed="false">
      <c r="A1763" s="0" t="s">
        <v>1028</v>
      </c>
      <c r="B1763" s="26" t="s">
        <v>424</v>
      </c>
      <c r="C1763" s="26" t="s">
        <v>119</v>
      </c>
      <c r="E1763" s="20" t="str">
        <f aca="false">IF(D1763="?OLD","!!!","")</f>
        <v/>
      </c>
      <c r="F1763" s="21" t="str">
        <f aca="false">IF(OR(E1763="",E1763="!!!"),"",IF(NOT(ISNA(VLOOKUP(E1763,E$1:E1762,1,FALSE()))),"OLD",IF(AND(E1763&lt;&gt;"",E1763&lt;&gt;"!!!"),"NEW","")))</f>
        <v/>
      </c>
      <c r="G1763" s="22" t="str">
        <f aca="false"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3" t="str">
        <f aca="false">IF(J1763&lt;&gt;1,"",IF(I1763="SBJ","CB","?"))</f>
        <v/>
      </c>
      <c r="I1763" s="24" t="str">
        <f aca="false">IF(OR(E1763="",E1763="!!!",F1763="NEW"),"",INDEX(B$2:B1762,-1+SUMPRODUCT(MAX(ROW(E$2:E1762)*(E1763=E$2:E1762)))))</f>
        <v/>
      </c>
      <c r="J1763" s="24" t="str">
        <f aca="true">IF(OR(E1763="",E1763="!!!",F1763="NEW"),"",COUNTBLANK(OFFSET(A$1,,,SUMPRODUCT(MAX(ROW(E$2:E1763)*(E1763=E$2:E1763)))))-COUNTBLANK(OFFSET(A$1,,,SUMPRODUCT(MAX(ROW(E$1:E1762)*(E2=E$1:E1762))))))</f>
        <v/>
      </c>
      <c r="K1763" s="24" t="str">
        <f aca="false">IF(OR(E1763="",E1763="!!!",F1763="NEW"),"",INDEX(J$1:J1762,SUMPRODUCT(MAX(ROW(E$1:E1762)*(E1763=E$1:E1762)))))</f>
        <v/>
      </c>
      <c r="L1763" s="25"/>
    </row>
    <row r="1764" customFormat="false" ht="14.25" hidden="false" customHeight="false" outlineLevel="0" collapsed="false">
      <c r="A1764" s="0" t="s">
        <v>78</v>
      </c>
      <c r="E1764" s="20" t="str">
        <f aca="false">IF(D1764="?OLD","!!!","")</f>
        <v/>
      </c>
      <c r="F1764" s="21" t="str">
        <f aca="false">IF(OR(E1764="",E1764="!!!"),"",IF(NOT(ISNA(VLOOKUP(E1764,E$1:E1763,1,FALSE()))),"OLD",IF(AND(E1764&lt;&gt;"",E1764&lt;&gt;"!!!"),"NEW","")))</f>
        <v/>
      </c>
      <c r="G1764" s="22" t="str">
        <f aca="false"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3" t="str">
        <f aca="false">IF(J1764&lt;&gt;1,"",IF(I1764="SBJ","CB","?"))</f>
        <v/>
      </c>
      <c r="I1764" s="24" t="str">
        <f aca="false">IF(OR(E1764="",E1764="!!!",F1764="NEW"),"",INDEX(B$2:B1763,-1+SUMPRODUCT(MAX(ROW(E$2:E1763)*(E1764=E$2:E1763)))))</f>
        <v/>
      </c>
      <c r="J1764" s="24" t="str">
        <f aca="true">IF(OR(E1764="",E1764="!!!",F1764="NEW"),"",COUNTBLANK(OFFSET(A$1,,,SUMPRODUCT(MAX(ROW(E$2:E1764)*(E1764=E$2:E1764)))))-COUNTBLANK(OFFSET(A$1,,,SUMPRODUCT(MAX(ROW(E$1:E1763)*(E2=E$1:E1763))))))</f>
        <v/>
      </c>
      <c r="K1764" s="24" t="str">
        <f aca="false">IF(OR(E1764="",E1764="!!!",F1764="NEW"),"",INDEX(J$1:J1763,SUMPRODUCT(MAX(ROW(E$1:E1763)*(E1764=E$1:E1763)))))</f>
        <v/>
      </c>
      <c r="L1764" s="25"/>
    </row>
    <row r="1765" customFormat="false" ht="14.25" hidden="false" customHeight="false" outlineLevel="0" collapsed="false">
      <c r="A1765" s="0" t="s">
        <v>142</v>
      </c>
      <c r="E1765" s="20" t="str">
        <f aca="false">IF(D1765="?OLD","!!!","")</f>
        <v/>
      </c>
      <c r="F1765" s="21" t="str">
        <f aca="false">IF(OR(E1765="",E1765="!!!"),"",IF(NOT(ISNA(VLOOKUP(E1765,E$1:E1764,1,FALSE()))),"OLD",IF(AND(E1765&lt;&gt;"",E1765&lt;&gt;"!!!"),"NEW","")))</f>
        <v/>
      </c>
      <c r="G1765" s="22" t="str">
        <f aca="false"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3" t="str">
        <f aca="false">IF(J1765&lt;&gt;1,"",IF(I1765="SBJ","CB","?"))</f>
        <v/>
      </c>
      <c r="I1765" s="24" t="str">
        <f aca="false">IF(OR(E1765="",E1765="!!!",F1765="NEW"),"",INDEX(B$2:B1764,-1+SUMPRODUCT(MAX(ROW(E$2:E1764)*(E1765=E$2:E1764)))))</f>
        <v/>
      </c>
      <c r="J1765" s="24" t="str">
        <f aca="true">IF(OR(E1765="",E1765="!!!",F1765="NEW"),"",COUNTBLANK(OFFSET(A$1,,,SUMPRODUCT(MAX(ROW(E$2:E1765)*(E1765=E$2:E1765)))))-COUNTBLANK(OFFSET(A$1,,,SUMPRODUCT(MAX(ROW(E$1:E1764)*(E2=E$1:E1764))))))</f>
        <v/>
      </c>
      <c r="K1765" s="24" t="str">
        <f aca="false">IF(OR(E1765="",E1765="!!!",F1765="NEW"),"",INDEX(J$1:J1764,SUMPRODUCT(MAX(ROW(E$1:E1764)*(E1765=E$1:E1764)))))</f>
        <v/>
      </c>
      <c r="L1765" s="25"/>
    </row>
    <row r="1766" customFormat="false" ht="14.25" hidden="false" customHeight="false" outlineLevel="0" collapsed="false">
      <c r="A1766" s="0" t="s">
        <v>207</v>
      </c>
      <c r="B1766" s="26" t="s">
        <v>419</v>
      </c>
      <c r="C1766" s="26" t="s">
        <v>209</v>
      </c>
      <c r="D1766" s="26" t="s">
        <v>75</v>
      </c>
      <c r="E1766" s="20" t="s">
        <v>225</v>
      </c>
      <c r="F1766" s="21" t="str">
        <f aca="false">IF(OR(E1766="",E1766="!!!"),"",IF(NOT(ISNA(VLOOKUP(E1766,E$1:E1765,1,FALSE()))),"OLD",IF(AND(E1766&lt;&gt;"",E1766&lt;&gt;"!!!"),"NEW","")))</f>
        <v>OLD</v>
      </c>
      <c r="G1766" s="22" t="str">
        <f aca="false"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?IN_FOCUS</v>
      </c>
      <c r="H1766" s="23" t="str">
        <f aca="false">IF(J1766&lt;&gt;1,"",IF(I1766="SBJ","CB","?"))</f>
        <v/>
      </c>
      <c r="I1766" s="24" t="str">
        <f aca="false">IF(OR(E1766="",E1766="!!!",F1766="NEW"),"",INDEX(B$2:B1765,-1+SUMPRODUCT(MAX(ROW(E$2:E1765)*(E1766=E$2:E1765)))))</f>
        <v>other_10</v>
      </c>
      <c r="J1766" s="24" t="n">
        <f aca="true">IF(OR(E1766="",E1766="!!!",F1766="NEW"),"",COUNTBLANK(OFFSET(A$1,,,SUMPRODUCT(MAX(ROW(E$2:E1766)*(E1766=E$2:E1766)))))-COUNTBLANK(OFFSET(A$1,,,SUMPRODUCT(MAX(ROW(E$1:E1765)*(E2=E$1:E1765))))))</f>
        <v>0</v>
      </c>
      <c r="K1766" s="24" t="n">
        <f aca="false">IF(OR(E1766="",E1766="!!!",F1766="NEW"),"",INDEX(J$1:J1765,SUMPRODUCT(MAX(ROW(E$1:E1765)*(E1766=E$1:E1765)))))</f>
        <v>0</v>
      </c>
      <c r="L1766" s="27" t="s">
        <v>1029</v>
      </c>
    </row>
    <row r="1767" customFormat="false" ht="14.25" hidden="false" customHeight="false" outlineLevel="0" collapsed="false">
      <c r="A1767" s="0" t="s">
        <v>20</v>
      </c>
      <c r="E1767" s="20" t="str">
        <f aca="false">IF(D1767="?OLD","!!!","")</f>
        <v/>
      </c>
      <c r="F1767" s="21" t="str">
        <f aca="false">IF(OR(E1767="",E1767="!!!"),"",IF(NOT(ISNA(VLOOKUP(E1767,E$1:E1766,1,FALSE()))),"OLD",IF(AND(E1767&lt;&gt;"",E1767&lt;&gt;"!!!"),"NEW","")))</f>
        <v/>
      </c>
      <c r="G1767" s="22" t="str">
        <f aca="false"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3" t="str">
        <f aca="false">IF(J1767&lt;&gt;1,"",IF(I1767="SBJ","CB","?"))</f>
        <v/>
      </c>
      <c r="I1767" s="24" t="str">
        <f aca="false">IF(OR(E1767="",E1767="!!!",F1767="NEW"),"",INDEX(B$2:B1766,-1+SUMPRODUCT(MAX(ROW(E$2:E1766)*(E1767=E$2:E1766)))))</f>
        <v/>
      </c>
      <c r="J1767" s="24" t="str">
        <f aca="true">IF(OR(E1767="",E1767="!!!",F1767="NEW"),"",COUNTBLANK(OFFSET(A$1,,,SUMPRODUCT(MAX(ROW(E$2:E1767)*(E1767=E$2:E1767)))))-COUNTBLANK(OFFSET(A$1,,,SUMPRODUCT(MAX(ROW(E$1:E1766)*(E2=E$1:E1766))))))</f>
        <v/>
      </c>
      <c r="K1767" s="24" t="str">
        <f aca="false">IF(OR(E1767="",E1767="!!!",F1767="NEW"),"",INDEX(J$1:J1766,SUMPRODUCT(MAX(ROW(E$1:E1766)*(E1767=E$1:E1766)))))</f>
        <v/>
      </c>
      <c r="L1767" s="25"/>
    </row>
    <row r="1768" customFormat="false" ht="14.25" hidden="false" customHeight="false" outlineLevel="0" collapsed="false">
      <c r="A1768" s="0" t="s">
        <v>1030</v>
      </c>
      <c r="E1768" s="20" t="str">
        <f aca="false">IF(D1768="?OLD","!!!","")</f>
        <v/>
      </c>
      <c r="F1768" s="21" t="str">
        <f aca="false">IF(OR(E1768="",E1768="!!!"),"",IF(NOT(ISNA(VLOOKUP(E1768,E$1:E1767,1,FALSE()))),"OLD",IF(AND(E1768&lt;&gt;"",E1768&lt;&gt;"!!!"),"NEW","")))</f>
        <v/>
      </c>
      <c r="G1768" s="22" t="str">
        <f aca="false"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3" t="str">
        <f aca="false">IF(J1768&lt;&gt;1,"",IF(I1768="SBJ","CB","?"))</f>
        <v/>
      </c>
      <c r="I1768" s="24" t="str">
        <f aca="false">IF(OR(E1768="",E1768="!!!",F1768="NEW"),"",INDEX(B$2:B1767,-1+SUMPRODUCT(MAX(ROW(E$2:E1767)*(E1768=E$2:E1767)))))</f>
        <v/>
      </c>
      <c r="J1768" s="24" t="str">
        <f aca="true">IF(OR(E1768="",E1768="!!!",F1768="NEW"),"",COUNTBLANK(OFFSET(A$1,,,SUMPRODUCT(MAX(ROW(E$2:E1768)*(E1768=E$2:E1768)))))-COUNTBLANK(OFFSET(A$1,,,SUMPRODUCT(MAX(ROW(E$1:E1767)*(E2=E$1:E1767))))))</f>
        <v/>
      </c>
      <c r="K1768" s="24" t="str">
        <f aca="false">IF(OR(E1768="",E1768="!!!",F1768="NEW"),"",INDEX(J$1:J1767,SUMPRODUCT(MAX(ROW(E$1:E1767)*(E1768=E$1:E1767)))))</f>
        <v/>
      </c>
      <c r="L1768" s="25"/>
    </row>
    <row r="1769" customFormat="false" ht="14.25" hidden="false" customHeight="false" outlineLevel="0" collapsed="false">
      <c r="A1769" s="0" t="s">
        <v>1031</v>
      </c>
      <c r="B1769" s="26" t="s">
        <v>424</v>
      </c>
      <c r="C1769" s="26" t="s">
        <v>105</v>
      </c>
      <c r="E1769" s="20" t="str">
        <f aca="false">IF(D1769="?OLD","!!!","")</f>
        <v/>
      </c>
      <c r="F1769" s="21" t="str">
        <f aca="false">IF(OR(E1769="",E1769="!!!"),"",IF(NOT(ISNA(VLOOKUP(E1769,E$1:E1768,1,FALSE()))),"OLD",IF(AND(E1769&lt;&gt;"",E1769&lt;&gt;"!!!"),"NEW","")))</f>
        <v/>
      </c>
      <c r="G1769" s="22" t="str">
        <f aca="false"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3" t="str">
        <f aca="false">IF(J1769&lt;&gt;1,"",IF(I1769="SBJ","CB","?"))</f>
        <v/>
      </c>
      <c r="I1769" s="24" t="str">
        <f aca="false">IF(OR(E1769="",E1769="!!!",F1769="NEW"),"",INDEX(B$2:B1768,-1+SUMPRODUCT(MAX(ROW(E$2:E1768)*(E1769=E$2:E1768)))))</f>
        <v/>
      </c>
      <c r="J1769" s="24" t="str">
        <f aca="true">IF(OR(E1769="",E1769="!!!",F1769="NEW"),"",COUNTBLANK(OFFSET(A$1,,,SUMPRODUCT(MAX(ROW(E$2:E1769)*(E1769=E$2:E1769)))))-COUNTBLANK(OFFSET(A$1,,,SUMPRODUCT(MAX(ROW(E$1:E1768)*(E2=E$1:E1768))))))</f>
        <v/>
      </c>
      <c r="K1769" s="24" t="str">
        <f aca="false">IF(OR(E1769="",E1769="!!!",F1769="NEW"),"",INDEX(J$1:J1768,SUMPRODUCT(MAX(ROW(E$1:E1768)*(E1769=E$1:E1768)))))</f>
        <v/>
      </c>
      <c r="L1769" s="25"/>
    </row>
    <row r="1770" customFormat="false" ht="14.25" hidden="false" customHeight="false" outlineLevel="0" collapsed="false">
      <c r="A1770" s="0" t="s">
        <v>694</v>
      </c>
      <c r="E1770" s="20" t="str">
        <f aca="false">IF(D1770="?OLD","!!!","")</f>
        <v/>
      </c>
      <c r="F1770" s="21" t="str">
        <f aca="false">IF(OR(E1770="",E1770="!!!"),"",IF(NOT(ISNA(VLOOKUP(E1770,E$1:E1769,1,FALSE()))),"OLD",IF(AND(E1770&lt;&gt;"",E1770&lt;&gt;"!!!"),"NEW","")))</f>
        <v/>
      </c>
      <c r="G1770" s="22" t="str">
        <f aca="false"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3" t="str">
        <f aca="false">IF(J1770&lt;&gt;1,"",IF(I1770="SBJ","CB","?"))</f>
        <v/>
      </c>
      <c r="I1770" s="24" t="str">
        <f aca="false">IF(OR(E1770="",E1770="!!!",F1770="NEW"),"",INDEX(B$2:B1769,-1+SUMPRODUCT(MAX(ROW(E$2:E1769)*(E1770=E$2:E1769)))))</f>
        <v/>
      </c>
      <c r="J1770" s="24" t="str">
        <f aca="true">IF(OR(E1770="",E1770="!!!",F1770="NEW"),"",COUNTBLANK(OFFSET(A$1,,,SUMPRODUCT(MAX(ROW(E$2:E1770)*(E1770=E$2:E1770)))))-COUNTBLANK(OFFSET(A$1,,,SUMPRODUCT(MAX(ROW(E$1:E1769)*(E2=E$1:E1769))))))</f>
        <v/>
      </c>
      <c r="K1770" s="24" t="str">
        <f aca="false">IF(OR(E1770="",E1770="!!!",F1770="NEW"),"",INDEX(J$1:J1769,SUMPRODUCT(MAX(ROW(E$1:E1769)*(E1770=E$1:E1769)))))</f>
        <v/>
      </c>
      <c r="L1770" s="25"/>
    </row>
    <row r="1771" customFormat="false" ht="14.25" hidden="false" customHeight="false" outlineLevel="0" collapsed="false">
      <c r="A1771" s="0" t="s">
        <v>1032</v>
      </c>
      <c r="E1771" s="20" t="str">
        <f aca="false">IF(D1771="?OLD","!!!","")</f>
        <v/>
      </c>
      <c r="F1771" s="21" t="str">
        <f aca="false">IF(OR(E1771="",E1771="!!!"),"",IF(NOT(ISNA(VLOOKUP(E1771,E$1:E1770,1,FALSE()))),"OLD",IF(AND(E1771&lt;&gt;"",E1771&lt;&gt;"!!!"),"NEW","")))</f>
        <v/>
      </c>
      <c r="G1771" s="22" t="str">
        <f aca="false"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3" t="str">
        <f aca="false">IF(J1771&lt;&gt;1,"",IF(I1771="SBJ","CB","?"))</f>
        <v/>
      </c>
      <c r="I1771" s="24" t="str">
        <f aca="false">IF(OR(E1771="",E1771="!!!",F1771="NEW"),"",INDEX(B$2:B1770,-1+SUMPRODUCT(MAX(ROW(E$2:E1770)*(E1771=E$2:E1770)))))</f>
        <v/>
      </c>
      <c r="J1771" s="24" t="str">
        <f aca="true">IF(OR(E1771="",E1771="!!!",F1771="NEW"),"",COUNTBLANK(OFFSET(A$1,,,SUMPRODUCT(MAX(ROW(E$2:E1771)*(E1771=E$2:E1771)))))-COUNTBLANK(OFFSET(A$1,,,SUMPRODUCT(MAX(ROW(E$1:E1770)*(E2=E$1:E1770))))))</f>
        <v/>
      </c>
      <c r="K1771" s="24" t="str">
        <f aca="false">IF(OR(E1771="",E1771="!!!",F1771="NEW"),"",INDEX(J$1:J1770,SUMPRODUCT(MAX(ROW(E$1:E1770)*(E1771=E$1:E1770)))))</f>
        <v/>
      </c>
      <c r="L1771" s="25"/>
    </row>
    <row r="1772" customFormat="false" ht="14.25" hidden="false" customHeight="false" outlineLevel="0" collapsed="false">
      <c r="A1772" s="0" t="s">
        <v>72</v>
      </c>
      <c r="B1772" s="26" t="s">
        <v>416</v>
      </c>
      <c r="C1772" s="26" t="s">
        <v>341</v>
      </c>
      <c r="E1772" s="20"/>
      <c r="F1772" s="21" t="str">
        <f aca="false">IF(OR(E1772="",E1772="!!!"),"",IF(NOT(ISNA(VLOOKUP(E1772,E$1:E1771,1,FALSE()))),"OLD",IF(AND(E1772&lt;&gt;"",E1772&lt;&gt;"!!!"),"NEW","")))</f>
        <v/>
      </c>
      <c r="G1772" s="22" t="str">
        <f aca="false"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3" t="str">
        <f aca="false">IF(J1772&lt;&gt;1,"",IF(I1772="SBJ","CB","?"))</f>
        <v/>
      </c>
      <c r="I1772" s="24" t="str">
        <f aca="false">IF(OR(E1772="",E1772="!!!",F1772="NEW"),"",INDEX(B$2:B1771,-1+SUMPRODUCT(MAX(ROW(E$2:E1771)*(E1772=E$2:E1771)))))</f>
        <v/>
      </c>
      <c r="J1772" s="24" t="str">
        <f aca="true">IF(OR(E1772="",E1772="!!!",F1772="NEW"),"",COUNTBLANK(OFFSET(A$1,,,SUMPRODUCT(MAX(ROW(E$2:E1772)*(E1772=E$2:E1772)))))-COUNTBLANK(OFFSET(A$1,,,SUMPRODUCT(MAX(ROW(E$1:E1771)*(E2=E$1:E1771))))))</f>
        <v/>
      </c>
      <c r="K1772" s="24" t="str">
        <f aca="false">IF(OR(E1772="",E1772="!!!",F1772="NEW"),"",INDEX(J$1:J1771,SUMPRODUCT(MAX(ROW(E$1:E1771)*(E1772=E$1:E1771)))))</f>
        <v/>
      </c>
      <c r="L1772" s="25"/>
    </row>
    <row r="1773" customFormat="false" ht="14.25" hidden="false" customHeight="false" outlineLevel="0" collapsed="false">
      <c r="A1773" s="0" t="s">
        <v>455</v>
      </c>
      <c r="E1773" s="20" t="str">
        <f aca="false">IF(D1773="?OLD","!!!","")</f>
        <v/>
      </c>
      <c r="F1773" s="21" t="str">
        <f aca="false">IF(OR(E1773="",E1773="!!!"),"",IF(NOT(ISNA(VLOOKUP(E1773,E$1:E1772,1,FALSE()))),"OLD",IF(AND(E1773&lt;&gt;"",E1773&lt;&gt;"!!!"),"NEW","")))</f>
        <v/>
      </c>
      <c r="G1773" s="22" t="str">
        <f aca="false"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3" t="str">
        <f aca="false">IF(J1773&lt;&gt;1,"",IF(I1773="SBJ","CB","?"))</f>
        <v/>
      </c>
      <c r="I1773" s="24" t="str">
        <f aca="false">IF(OR(E1773="",E1773="!!!",F1773="NEW"),"",INDEX(B$2:B1772,-1+SUMPRODUCT(MAX(ROW(E$2:E1772)*(E1773=E$2:E1772)))))</f>
        <v/>
      </c>
      <c r="J1773" s="24" t="str">
        <f aca="true">IF(OR(E1773="",E1773="!!!",F1773="NEW"),"",COUNTBLANK(OFFSET(A$1,,,SUMPRODUCT(MAX(ROW(E$2:E1773)*(E1773=E$2:E1773)))))-COUNTBLANK(OFFSET(A$1,,,SUMPRODUCT(MAX(ROW(E$1:E1772)*(E2=E$1:E1772))))))</f>
        <v/>
      </c>
      <c r="K1773" s="24" t="str">
        <f aca="false">IF(OR(E1773="",E1773="!!!",F1773="NEW"),"",INDEX(J$1:J1772,SUMPRODUCT(MAX(ROW(E$1:E1772)*(E1773=E$1:E1772)))))</f>
        <v/>
      </c>
      <c r="L1773" s="25"/>
    </row>
    <row r="1774" customFormat="false" ht="14.25" hidden="false" customHeight="false" outlineLevel="0" collapsed="false">
      <c r="A1774" s="0" t="s">
        <v>376</v>
      </c>
      <c r="E1774" s="20" t="str">
        <f aca="false">IF(D1774="?OLD","!!!","")</f>
        <v/>
      </c>
      <c r="F1774" s="21" t="str">
        <f aca="false">IF(OR(E1774="",E1774="!!!"),"",IF(NOT(ISNA(VLOOKUP(E1774,E$1:E1773,1,FALSE()))),"OLD",IF(AND(E1774&lt;&gt;"",E1774&lt;&gt;"!!!"),"NEW","")))</f>
        <v/>
      </c>
      <c r="G1774" s="22" t="str">
        <f aca="false"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3" t="str">
        <f aca="false">IF(J1774&lt;&gt;1,"",IF(I1774="SBJ","CB","?"))</f>
        <v/>
      </c>
      <c r="I1774" s="24" t="str">
        <f aca="false">IF(OR(E1774="",E1774="!!!",F1774="NEW"),"",INDEX(B$2:B1773,-1+SUMPRODUCT(MAX(ROW(E$2:E1773)*(E1774=E$2:E1773)))))</f>
        <v/>
      </c>
      <c r="J1774" s="24" t="str">
        <f aca="true">IF(OR(E1774="",E1774="!!!",F1774="NEW"),"",COUNTBLANK(OFFSET(A$1,,,SUMPRODUCT(MAX(ROW(E$2:E1774)*(E1774=E$2:E1774)))))-COUNTBLANK(OFFSET(A$1,,,SUMPRODUCT(MAX(ROW(E$1:E1773)*(E2=E$1:E1773))))))</f>
        <v/>
      </c>
      <c r="K1774" s="24" t="str">
        <f aca="false">IF(OR(E1774="",E1774="!!!",F1774="NEW"),"",INDEX(J$1:J1773,SUMPRODUCT(MAX(ROW(E$1:E1773)*(E1774=E$1:E1773)))))</f>
        <v/>
      </c>
      <c r="L1774" s="25"/>
    </row>
    <row r="1775" customFormat="false" ht="14.25" hidden="false" customHeight="false" outlineLevel="0" collapsed="false">
      <c r="A1775" s="0" t="s">
        <v>743</v>
      </c>
      <c r="E1775" s="20" t="str">
        <f aca="false">IF(D1775="?OLD","!!!","")</f>
        <v/>
      </c>
      <c r="F1775" s="21" t="str">
        <f aca="false">IF(OR(E1775="",E1775="!!!"),"",IF(NOT(ISNA(VLOOKUP(E1775,E$1:E1774,1,FALSE()))),"OLD",IF(AND(E1775&lt;&gt;"",E1775&lt;&gt;"!!!"),"NEW","")))</f>
        <v/>
      </c>
      <c r="G1775" s="22" t="str">
        <f aca="false"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3" t="str">
        <f aca="false">IF(J1775&lt;&gt;1,"",IF(I1775="SBJ","CB","?"))</f>
        <v/>
      </c>
      <c r="I1775" s="24" t="str">
        <f aca="false">IF(OR(E1775="",E1775="!!!",F1775="NEW"),"",INDEX(B$2:B1774,-1+SUMPRODUCT(MAX(ROW(E$2:E1774)*(E1775=E$2:E1774)))))</f>
        <v/>
      </c>
      <c r="J1775" s="24" t="str">
        <f aca="true">IF(OR(E1775="",E1775="!!!",F1775="NEW"),"",COUNTBLANK(OFFSET(A$1,,,SUMPRODUCT(MAX(ROW(E$2:E1775)*(E1775=E$2:E1775)))))-COUNTBLANK(OFFSET(A$1,,,SUMPRODUCT(MAX(ROW(E$1:E1774)*(E2=E$1:E1774))))))</f>
        <v/>
      </c>
      <c r="K1775" s="24" t="str">
        <f aca="false">IF(OR(E1775="",E1775="!!!",F1775="NEW"),"",INDEX(J$1:J1774,SUMPRODUCT(MAX(ROW(E$1:E1774)*(E1775=E$1:E1774)))))</f>
        <v/>
      </c>
      <c r="L1775" s="25"/>
    </row>
    <row r="1776" customFormat="false" ht="14.25" hidden="false" customHeight="false" outlineLevel="0" collapsed="false">
      <c r="A1776" s="0" t="s">
        <v>1033</v>
      </c>
      <c r="B1776" s="26" t="s">
        <v>424</v>
      </c>
      <c r="C1776" s="26" t="s">
        <v>105</v>
      </c>
      <c r="E1776" s="20" t="str">
        <f aca="false">IF(D1776="?OLD","!!!","")</f>
        <v/>
      </c>
      <c r="F1776" s="21" t="str">
        <f aca="false">IF(OR(E1776="",E1776="!!!"),"",IF(NOT(ISNA(VLOOKUP(E1776,E$1:E1775,1,FALSE()))),"OLD",IF(AND(E1776&lt;&gt;"",E1776&lt;&gt;"!!!"),"NEW","")))</f>
        <v/>
      </c>
      <c r="G1776" s="22" t="str">
        <f aca="false"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3" t="str">
        <f aca="false">IF(J1776&lt;&gt;1,"",IF(I1776="SBJ","CB","?"))</f>
        <v/>
      </c>
      <c r="I1776" s="24" t="str">
        <f aca="false">IF(OR(E1776="",E1776="!!!",F1776="NEW"),"",INDEX(B$2:B1775,-1+SUMPRODUCT(MAX(ROW(E$2:E1775)*(E1776=E$2:E1775)))))</f>
        <v/>
      </c>
      <c r="J1776" s="24" t="str">
        <f aca="true">IF(OR(E1776="",E1776="!!!",F1776="NEW"),"",COUNTBLANK(OFFSET(A$1,,,SUMPRODUCT(MAX(ROW(E$2:E1776)*(E1776=E$2:E1776)))))-COUNTBLANK(OFFSET(A$1,,,SUMPRODUCT(MAX(ROW(E$1:E1775)*(E2=E$1:E1775))))))</f>
        <v/>
      </c>
      <c r="K1776" s="24" t="str">
        <f aca="false">IF(OR(E1776="",E1776="!!!",F1776="NEW"),"",INDEX(J$1:J1775,SUMPRODUCT(MAX(ROW(E$1:E1775)*(E1776=E$1:E1775)))))</f>
        <v/>
      </c>
      <c r="L1776" s="25"/>
    </row>
    <row r="1777" customFormat="false" ht="14.25" hidden="false" customHeight="false" outlineLevel="0" collapsed="false">
      <c r="A1777" s="0" t="s">
        <v>101</v>
      </c>
      <c r="E1777" s="20" t="str">
        <f aca="false">IF(D1777="?OLD","!!!","")</f>
        <v/>
      </c>
      <c r="F1777" s="21" t="str">
        <f aca="false">IF(OR(E1777="",E1777="!!!"),"",IF(NOT(ISNA(VLOOKUP(E1777,E$1:E1776,1,FALSE()))),"OLD",IF(AND(E1777&lt;&gt;"",E1777&lt;&gt;"!!!"),"NEW","")))</f>
        <v/>
      </c>
      <c r="G1777" s="22" t="str">
        <f aca="false"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3" t="str">
        <f aca="false">IF(J1777&lt;&gt;1,"",IF(I1777="SBJ","CB","?"))</f>
        <v/>
      </c>
      <c r="I1777" s="24" t="str">
        <f aca="false">IF(OR(E1777="",E1777="!!!",F1777="NEW"),"",INDEX(B$2:B1776,-1+SUMPRODUCT(MAX(ROW(E$2:E1776)*(E1777=E$2:E1776)))))</f>
        <v/>
      </c>
      <c r="J1777" s="24" t="str">
        <f aca="true">IF(OR(E1777="",E1777="!!!",F1777="NEW"),"",COUNTBLANK(OFFSET(A$1,,,SUMPRODUCT(MAX(ROW(E$2:E1777)*(E1777=E$2:E1777)))))-COUNTBLANK(OFFSET(A$1,,,SUMPRODUCT(MAX(ROW(E$1:E1776)*(E2=E$1:E1776))))))</f>
        <v/>
      </c>
      <c r="K1777" s="24" t="str">
        <f aca="false">IF(OR(E1777="",E1777="!!!",F1777="NEW"),"",INDEX(J$1:J1776,SUMPRODUCT(MAX(ROW(E$1:E1776)*(E1777=E$1:E1776)))))</f>
        <v/>
      </c>
      <c r="L1777" s="25"/>
    </row>
    <row r="1778" customFormat="false" ht="14.25" hidden="false" customHeight="false" outlineLevel="0" collapsed="false">
      <c r="A1778" s="0" t="s">
        <v>778</v>
      </c>
      <c r="B1778" s="26" t="s">
        <v>560</v>
      </c>
      <c r="C1778" s="26" t="s">
        <v>88</v>
      </c>
      <c r="D1778" s="26" t="s">
        <v>75</v>
      </c>
      <c r="E1778" s="20" t="s">
        <v>1025</v>
      </c>
      <c r="F1778" s="21" t="str">
        <f aca="false">IF(OR(E1778="",E1778="!!!"),"",IF(NOT(ISNA(VLOOKUP(E1778,E$1:E1777,1,FALSE()))),"OLD",IF(AND(E1778&lt;&gt;"",E1778&lt;&gt;"!!!"),"NEW","")))</f>
        <v>OLD</v>
      </c>
      <c r="G1778" s="22" t="str">
        <f aca="false"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?IN_FOCUS</v>
      </c>
      <c r="H1778" s="23" t="str">
        <f aca="false">IF(J1778&lt;&gt;1,"",IF(I1778="SBJ","CB","?"))</f>
        <v/>
      </c>
      <c r="I1778" s="24" t="str">
        <f aca="false">IF(OR(E1778="",E1778="!!!",F1778="NEW"),"",INDEX(B$2:B1777,-1+SUMPRODUCT(MAX(ROW(E$2:E1777)*(E1778=E$2:E1777)))))</f>
        <v>SBJ_7</v>
      </c>
      <c r="J1778" s="24" t="n">
        <f aca="true">IF(OR(E1778="",E1778="!!!",F1778="NEW"),"",COUNTBLANK(OFFSET(A$1,,,SUMPRODUCT(MAX(ROW(E$2:E1778)*(E1778=E$2:E1778)))))-COUNTBLANK(OFFSET(A$1,,,SUMPRODUCT(MAX(ROW(E$1:E1777)*(E2=E$1:E1777))))))</f>
        <v>0</v>
      </c>
      <c r="K1778" s="24" t="n">
        <f aca="false">IF(OR(E1778="",E1778="!!!",F1778="NEW"),"",INDEX(J$1:J1777,SUMPRODUCT(MAX(ROW(E$1:E1777)*(E1778=E$1:E1777)))))</f>
        <v>0</v>
      </c>
      <c r="L1778" s="25"/>
    </row>
    <row r="1779" customFormat="false" ht="14.25" hidden="false" customHeight="false" outlineLevel="0" collapsed="false">
      <c r="A1779" s="0" t="s">
        <v>1034</v>
      </c>
      <c r="E1779" s="20" t="str">
        <f aca="false">IF(D1779="?OLD","!!!","")</f>
        <v/>
      </c>
      <c r="F1779" s="21" t="str">
        <f aca="false">IF(OR(E1779="",E1779="!!!"),"",IF(NOT(ISNA(VLOOKUP(E1779,E$1:E1778,1,FALSE()))),"OLD",IF(AND(E1779&lt;&gt;"",E1779&lt;&gt;"!!!"),"NEW","")))</f>
        <v/>
      </c>
      <c r="G1779" s="22" t="str">
        <f aca="false"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3" t="str">
        <f aca="false">IF(J1779&lt;&gt;1,"",IF(I1779="SBJ","CB","?"))</f>
        <v/>
      </c>
      <c r="I1779" s="24" t="str">
        <f aca="false">IF(OR(E1779="",E1779="!!!",F1779="NEW"),"",INDEX(B$2:B1778,-1+SUMPRODUCT(MAX(ROW(E$2:E1778)*(E1779=E$2:E1778)))))</f>
        <v/>
      </c>
      <c r="J1779" s="24" t="str">
        <f aca="true">IF(OR(E1779="",E1779="!!!",F1779="NEW"),"",COUNTBLANK(OFFSET(A$1,,,SUMPRODUCT(MAX(ROW(E$2:E1779)*(E1779=E$2:E1779)))))-COUNTBLANK(OFFSET(A$1,,,SUMPRODUCT(MAX(ROW(E$1:E1778)*(E2=E$1:E1778))))))</f>
        <v/>
      </c>
      <c r="K1779" s="24" t="str">
        <f aca="false">IF(OR(E1779="",E1779="!!!",F1779="NEW"),"",INDEX(J$1:J1778,SUMPRODUCT(MAX(ROW(E$1:E1778)*(E1779=E$1:E1778)))))</f>
        <v/>
      </c>
      <c r="L1779" s="25"/>
    </row>
    <row r="1780" customFormat="false" ht="14.25" hidden="false" customHeight="false" outlineLevel="0" collapsed="false">
      <c r="A1780" s="0" t="s">
        <v>1035</v>
      </c>
      <c r="B1780" s="26" t="s">
        <v>820</v>
      </c>
      <c r="C1780" s="26" t="s">
        <v>88</v>
      </c>
      <c r="D1780" s="26" t="s">
        <v>75</v>
      </c>
      <c r="E1780" s="20" t="s">
        <v>168</v>
      </c>
      <c r="F1780" s="21" t="str">
        <f aca="false">IF(OR(E1780="",E1780="!!!"),"",IF(NOT(ISNA(VLOOKUP(E1780,E$1:E1779,1,FALSE()))),"OLD",IF(AND(E1780&lt;&gt;"",E1780&lt;&gt;"!!!"),"NEW","")))</f>
        <v>OLD</v>
      </c>
      <c r="G1780" s="22" t="str">
        <f aca="false"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?IN_FOCUS</v>
      </c>
      <c r="H1780" s="23" t="str">
        <f aca="false">IF(J1780&lt;&gt;1,"",IF(I1780="SBJ","CB","?"))</f>
        <v/>
      </c>
      <c r="I1780" s="24" t="str">
        <f aca="false">IF(OR(E1780="",E1780="!!!",F1780="NEW"),"",INDEX(B$2:B1779,-1+SUMPRODUCT(MAX(ROW(E$2:E1779)*(E1780=E$2:E1779)))))</f>
        <v>SBJ_8</v>
      </c>
      <c r="J1780" s="24" t="n">
        <f aca="true">IF(OR(E1780="",E1780="!!!",F1780="NEW"),"",COUNTBLANK(OFFSET(A$1,,,SUMPRODUCT(MAX(ROW(E$2:E1780)*(E1780=E$2:E1780)))))-COUNTBLANK(OFFSET(A$1,,,SUMPRODUCT(MAX(ROW(E$1:E1779)*(E2=E$1:E1779))))))</f>
        <v>0</v>
      </c>
      <c r="K1780" s="24" t="n">
        <f aca="false">IF(OR(E1780="",E1780="!!!",F1780="NEW"),"",INDEX(J$1:J1779,SUMPRODUCT(MAX(ROW(E$1:E1779)*(E1780=E$1:E1779)))))</f>
        <v>0</v>
      </c>
      <c r="L1780" s="25"/>
    </row>
    <row r="1781" customFormat="false" ht="14.25" hidden="false" customHeight="false" outlineLevel="0" collapsed="false">
      <c r="A1781" s="0" t="s">
        <v>86</v>
      </c>
      <c r="E1781" s="20" t="str">
        <f aca="false">IF(D1781="?OLD","!!!","")</f>
        <v/>
      </c>
      <c r="F1781" s="21" t="str">
        <f aca="false">IF(OR(E1781="",E1781="!!!"),"",IF(NOT(ISNA(VLOOKUP(E1781,E$1:E1780,1,FALSE()))),"OLD",IF(AND(E1781&lt;&gt;"",E1781&lt;&gt;"!!!"),"NEW","")))</f>
        <v/>
      </c>
      <c r="G1781" s="22" t="str">
        <f aca="false"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3" t="str">
        <f aca="false">IF(J1781&lt;&gt;1,"",IF(I1781="SBJ","CB","?"))</f>
        <v/>
      </c>
      <c r="I1781" s="24" t="str">
        <f aca="false">IF(OR(E1781="",E1781="!!!",F1781="NEW"),"",INDEX(B$2:B1780,-1+SUMPRODUCT(MAX(ROW(E$2:E1780)*(E1781=E$2:E1780)))))</f>
        <v/>
      </c>
      <c r="J1781" s="24" t="str">
        <f aca="true">IF(OR(E1781="",E1781="!!!",F1781="NEW"),"",COUNTBLANK(OFFSET(A$1,,,SUMPRODUCT(MAX(ROW(E$2:E1781)*(E1781=E$2:E1781)))))-COUNTBLANK(OFFSET(A$1,,,SUMPRODUCT(MAX(ROW(E$1:E1780)*(E2=E$1:E1780))))))</f>
        <v/>
      </c>
      <c r="K1781" s="24" t="str">
        <f aca="false">IF(OR(E1781="",E1781="!!!",F1781="NEW"),"",INDEX(J$1:J1780,SUMPRODUCT(MAX(ROW(E$1:E1780)*(E1781=E$1:E1780)))))</f>
        <v/>
      </c>
      <c r="L1781" s="25"/>
    </row>
    <row r="1782" customFormat="false" ht="14.25" hidden="false" customHeight="false" outlineLevel="0" collapsed="false">
      <c r="A1782" s="0" t="s">
        <v>193</v>
      </c>
      <c r="B1782" s="26" t="s">
        <v>419</v>
      </c>
      <c r="C1782" s="26" t="s">
        <v>88</v>
      </c>
      <c r="D1782" s="26" t="s">
        <v>75</v>
      </c>
      <c r="E1782" s="20" t="s">
        <v>97</v>
      </c>
      <c r="F1782" s="21" t="str">
        <f aca="false">IF(OR(E1782="",E1782="!!!"),"",IF(NOT(ISNA(VLOOKUP(E1782,E$1:E1781,1,FALSE()))),"OLD",IF(AND(E1782&lt;&gt;"",E1782&lt;&gt;"!!!"),"NEW","")))</f>
        <v>OLD</v>
      </c>
      <c r="G1782" s="22" t="str">
        <f aca="false"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?IN_FOCUS</v>
      </c>
      <c r="H1782" s="23" t="str">
        <f aca="false">IF(J1782&lt;&gt;1,"",IF(I1782="SBJ","CB","?"))</f>
        <v/>
      </c>
      <c r="I1782" s="24" t="str">
        <f aca="false">IF(OR(E1782="",E1782="!!!",F1782="NEW"),"",INDEX(B$2:B1781,-1+SUMPRODUCT(MAX(ROW(E$2:E1781)*(E1782=E$2:E1781)))))</f>
        <v>SBJ</v>
      </c>
      <c r="J1782" s="24" t="n">
        <f aca="true">IF(OR(E1782="",E1782="!!!",F1782="NEW"),"",COUNTBLANK(OFFSET(A$1,,,SUMPRODUCT(MAX(ROW(E$2:E1782)*(E1782=E$2:E1782)))))-COUNTBLANK(OFFSET(A$1,,,SUMPRODUCT(MAX(ROW(E$1:E1781)*(E2=E$1:E1781))))))</f>
        <v>0</v>
      </c>
      <c r="K1782" s="24" t="n">
        <f aca="false">IF(OR(E1782="",E1782="!!!",F1782="NEW"),"",INDEX(J$1:J1781,SUMPRODUCT(MAX(ROW(E$1:E1781)*(E1782=E$1:E1781)))))</f>
        <v>0</v>
      </c>
      <c r="L1782" s="25"/>
    </row>
    <row r="1783" customFormat="false" ht="14.25" hidden="false" customHeight="false" outlineLevel="0" collapsed="false">
      <c r="A1783" s="0" t="s">
        <v>1036</v>
      </c>
      <c r="E1783" s="20" t="str">
        <f aca="false">IF(D1783="?OLD","!!!","")</f>
        <v/>
      </c>
      <c r="F1783" s="21" t="str">
        <f aca="false">IF(OR(E1783="",E1783="!!!"),"",IF(NOT(ISNA(VLOOKUP(E1783,E$1:E1782,1,FALSE()))),"OLD",IF(AND(E1783&lt;&gt;"",E1783&lt;&gt;"!!!"),"NEW","")))</f>
        <v/>
      </c>
      <c r="G1783" s="22" t="str">
        <f aca="false"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3" t="str">
        <f aca="false">IF(J1783&lt;&gt;1,"",IF(I1783="SBJ","CB","?"))</f>
        <v/>
      </c>
      <c r="I1783" s="24" t="str">
        <f aca="false">IF(OR(E1783="",E1783="!!!",F1783="NEW"),"",INDEX(B$2:B1782,-1+SUMPRODUCT(MAX(ROW(E$2:E1782)*(E1783=E$2:E1782)))))</f>
        <v/>
      </c>
      <c r="J1783" s="24" t="str">
        <f aca="true">IF(OR(E1783="",E1783="!!!",F1783="NEW"),"",COUNTBLANK(OFFSET(A$1,,,SUMPRODUCT(MAX(ROW(E$2:E1783)*(E1783=E$2:E1783)))))-COUNTBLANK(OFFSET(A$1,,,SUMPRODUCT(MAX(ROW(E$1:E1782)*(E2=E$1:E1782))))))</f>
        <v/>
      </c>
      <c r="K1783" s="24" t="str">
        <f aca="false">IF(OR(E1783="",E1783="!!!",F1783="NEW"),"",INDEX(J$1:J1782,SUMPRODUCT(MAX(ROW(E$1:E1782)*(E1783=E$1:E1782)))))</f>
        <v/>
      </c>
      <c r="L1783" s="25"/>
    </row>
    <row r="1784" customFormat="false" ht="14.25" hidden="false" customHeight="false" outlineLevel="0" collapsed="false">
      <c r="A1784" s="0" t="s">
        <v>1037</v>
      </c>
      <c r="B1784" s="26" t="s">
        <v>560</v>
      </c>
      <c r="C1784" s="26" t="s">
        <v>88</v>
      </c>
      <c r="D1784" s="26" t="s">
        <v>75</v>
      </c>
      <c r="E1784" s="20" t="s">
        <v>1025</v>
      </c>
      <c r="F1784" s="21" t="str">
        <f aca="false">IF(OR(E1784="",E1784="!!!"),"",IF(NOT(ISNA(VLOOKUP(E1784,E$1:E1783,1,FALSE()))),"OLD",IF(AND(E1784&lt;&gt;"",E1784&lt;&gt;"!!!"),"NEW","")))</f>
        <v>OLD</v>
      </c>
      <c r="G1784" s="22" t="str">
        <f aca="false"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?IN_FOCUS</v>
      </c>
      <c r="H1784" s="23" t="str">
        <f aca="false">IF(J1784&lt;&gt;1,"",IF(I1784="SBJ","CB","?"))</f>
        <v/>
      </c>
      <c r="I1784" s="24" t="str">
        <f aca="false">IF(OR(E1784="",E1784="!!!",F1784="NEW"),"",INDEX(B$2:B1783,-1+SUMPRODUCT(MAX(ROW(E$2:E1783)*(E1784=E$2:E1783)))))</f>
        <v>SBJ_8</v>
      </c>
      <c r="J1784" s="24" t="n">
        <f aca="true">IF(OR(E1784="",E1784="!!!",F1784="NEW"),"",COUNTBLANK(OFFSET(A$1,,,SUMPRODUCT(MAX(ROW(E$2:E1784)*(E1784=E$2:E1784)))))-COUNTBLANK(OFFSET(A$1,,,SUMPRODUCT(MAX(ROW(E$1:E1783)*(E2=E$1:E1783))))))</f>
        <v>0</v>
      </c>
      <c r="K1784" s="24" t="n">
        <f aca="false">IF(OR(E1784="",E1784="!!!",F1784="NEW"),"",INDEX(J$1:J1783,SUMPRODUCT(MAX(ROW(E$1:E1783)*(E1784=E$1:E1783)))))</f>
        <v>0</v>
      </c>
      <c r="L1784" s="25"/>
    </row>
    <row r="1785" customFormat="false" ht="14.25" hidden="false" customHeight="false" outlineLevel="0" collapsed="false">
      <c r="A1785" s="0" t="s">
        <v>278</v>
      </c>
      <c r="E1785" s="20" t="str">
        <f aca="false">IF(D1785="?OLD","!!!","")</f>
        <v/>
      </c>
      <c r="F1785" s="21" t="str">
        <f aca="false">IF(OR(E1785="",E1785="!!!"),"",IF(NOT(ISNA(VLOOKUP(E1785,E$1:E1784,1,FALSE()))),"OLD",IF(AND(E1785&lt;&gt;"",E1785&lt;&gt;"!!!"),"NEW","")))</f>
        <v/>
      </c>
      <c r="G1785" s="22" t="str">
        <f aca="false"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3" t="str">
        <f aca="false">IF(J1785&lt;&gt;1,"",IF(I1785="SBJ","CB","?"))</f>
        <v/>
      </c>
      <c r="I1785" s="24" t="str">
        <f aca="false">IF(OR(E1785="",E1785="!!!",F1785="NEW"),"",INDEX(B$2:B1784,-1+SUMPRODUCT(MAX(ROW(E$2:E1784)*(E1785=E$2:E1784)))))</f>
        <v/>
      </c>
      <c r="J1785" s="24" t="str">
        <f aca="true">IF(OR(E1785="",E1785="!!!",F1785="NEW"),"",COUNTBLANK(OFFSET(A$1,,,SUMPRODUCT(MAX(ROW(E$2:E1785)*(E1785=E$2:E1785)))))-COUNTBLANK(OFFSET(A$1,,,SUMPRODUCT(MAX(ROW(E$1:E1784)*(E2=E$1:E1784))))))</f>
        <v/>
      </c>
      <c r="K1785" s="24" t="str">
        <f aca="false">IF(OR(E1785="",E1785="!!!",F1785="NEW"),"",INDEX(J$1:J1784,SUMPRODUCT(MAX(ROW(E$1:E1784)*(E1785=E$1:E1784)))))</f>
        <v/>
      </c>
      <c r="L1785" s="25"/>
    </row>
    <row r="1786" customFormat="false" ht="14.25" hidden="false" customHeight="false" outlineLevel="0" collapsed="false">
      <c r="A1786" s="0" t="s">
        <v>86</v>
      </c>
      <c r="E1786" s="20" t="str">
        <f aca="false">IF(D1786="?OLD","!!!","")</f>
        <v/>
      </c>
      <c r="F1786" s="21" t="str">
        <f aca="false">IF(OR(E1786="",E1786="!!!"),"",IF(NOT(ISNA(VLOOKUP(E1786,E$1:E1785,1,FALSE()))),"OLD",IF(AND(E1786&lt;&gt;"",E1786&lt;&gt;"!!!"),"NEW","")))</f>
        <v/>
      </c>
      <c r="G1786" s="22" t="str">
        <f aca="false"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3" t="str">
        <f aca="false">IF(J1786&lt;&gt;1,"",IF(I1786="SBJ","CB","?"))</f>
        <v/>
      </c>
      <c r="I1786" s="24" t="str">
        <f aca="false">IF(OR(E1786="",E1786="!!!",F1786="NEW"),"",INDEX(B$2:B1785,-1+SUMPRODUCT(MAX(ROW(E$2:E1785)*(E1786=E$2:E1785)))))</f>
        <v/>
      </c>
      <c r="J1786" s="24" t="str">
        <f aca="true">IF(OR(E1786="",E1786="!!!",F1786="NEW"),"",COUNTBLANK(OFFSET(A$1,,,SUMPRODUCT(MAX(ROW(E$2:E1786)*(E1786=E$2:E1786)))))-COUNTBLANK(OFFSET(A$1,,,SUMPRODUCT(MAX(ROW(E$1:E1785)*(E2=E$1:E1785))))))</f>
        <v/>
      </c>
      <c r="K1786" s="24" t="str">
        <f aca="false">IF(OR(E1786="",E1786="!!!",F1786="NEW"),"",INDEX(J$1:J1785,SUMPRODUCT(MAX(ROW(E$1:E1785)*(E1786=E$1:E1785)))))</f>
        <v/>
      </c>
      <c r="L1786" s="25"/>
    </row>
    <row r="1787" customFormat="false" ht="14.25" hidden="false" customHeight="false" outlineLevel="0" collapsed="false">
      <c r="A1787" s="0" t="s">
        <v>319</v>
      </c>
      <c r="E1787" s="20" t="str">
        <f aca="false">IF(D1787="?OLD","!!!","")</f>
        <v/>
      </c>
      <c r="F1787" s="21" t="str">
        <f aca="false">IF(OR(E1787="",E1787="!!!"),"",IF(NOT(ISNA(VLOOKUP(E1787,E$1:E1786,1,FALSE()))),"OLD",IF(AND(E1787&lt;&gt;"",E1787&lt;&gt;"!!!"),"NEW","")))</f>
        <v/>
      </c>
      <c r="G1787" s="22" t="str">
        <f aca="false"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3" t="str">
        <f aca="false">IF(J1787&lt;&gt;1,"",IF(I1787="SBJ","CB","?"))</f>
        <v/>
      </c>
      <c r="I1787" s="24" t="str">
        <f aca="false">IF(OR(E1787="",E1787="!!!",F1787="NEW"),"",INDEX(B$2:B1786,-1+SUMPRODUCT(MAX(ROW(E$2:E1786)*(E1787=E$2:E1786)))))</f>
        <v/>
      </c>
      <c r="J1787" s="24" t="str">
        <f aca="true">IF(OR(E1787="",E1787="!!!",F1787="NEW"),"",COUNTBLANK(OFFSET(A$1,,,SUMPRODUCT(MAX(ROW(E$2:E1787)*(E1787=E$2:E1787)))))-COUNTBLANK(OFFSET(A$1,,,SUMPRODUCT(MAX(ROW(E$1:E1786)*(E2=E$1:E1786))))))</f>
        <v/>
      </c>
      <c r="K1787" s="24" t="str">
        <f aca="false">IF(OR(E1787="",E1787="!!!",F1787="NEW"),"",INDEX(J$1:J1786,SUMPRODUCT(MAX(ROW(E$1:E1786)*(E1787=E$1:E1786)))))</f>
        <v/>
      </c>
      <c r="L1787" s="25"/>
    </row>
    <row r="1788" customFormat="false" ht="14.25" hidden="false" customHeight="false" outlineLevel="0" collapsed="false">
      <c r="A1788" s="0" t="s">
        <v>320</v>
      </c>
      <c r="B1788" s="26" t="s">
        <v>422</v>
      </c>
      <c r="C1788" s="26" t="s">
        <v>105</v>
      </c>
      <c r="E1788" s="20" t="str">
        <f aca="false">IF(D1788="?OLD","!!!","")</f>
        <v/>
      </c>
      <c r="F1788" s="21" t="str">
        <f aca="false">IF(OR(E1788="",E1788="!!!"),"",IF(NOT(ISNA(VLOOKUP(E1788,E$1:E1787,1,FALSE()))),"OLD",IF(AND(E1788&lt;&gt;"",E1788&lt;&gt;"!!!"),"NEW","")))</f>
        <v/>
      </c>
      <c r="G1788" s="22" t="str">
        <f aca="false"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3" t="str">
        <f aca="false">IF(J1788&lt;&gt;1,"",IF(I1788="SBJ","CB","?"))</f>
        <v/>
      </c>
      <c r="I1788" s="24" t="str">
        <f aca="false">IF(OR(E1788="",E1788="!!!",F1788="NEW"),"",INDEX(B$2:B1787,-1+SUMPRODUCT(MAX(ROW(E$2:E1787)*(E1788=E$2:E1787)))))</f>
        <v/>
      </c>
      <c r="J1788" s="24" t="str">
        <f aca="true">IF(OR(E1788="",E1788="!!!",F1788="NEW"),"",COUNTBLANK(OFFSET(A$1,,,SUMPRODUCT(MAX(ROW(E$2:E1788)*(E1788=E$2:E1788)))))-COUNTBLANK(OFFSET(A$1,,,SUMPRODUCT(MAX(ROW(E$1:E1787)*(E2=E$1:E1787))))))</f>
        <v/>
      </c>
      <c r="K1788" s="24" t="str">
        <f aca="false">IF(OR(E1788="",E1788="!!!",F1788="NEW"),"",INDEX(J$1:J1787,SUMPRODUCT(MAX(ROW(E$1:E1787)*(E1788=E$1:E1787)))))</f>
        <v/>
      </c>
      <c r="L1788" s="25"/>
    </row>
    <row r="1789" customFormat="false" ht="14.25" hidden="false" customHeight="false" outlineLevel="0" collapsed="false">
      <c r="A1789" s="0" t="s">
        <v>321</v>
      </c>
      <c r="E1789" s="20" t="str">
        <f aca="false">IF(D1789="?OLD","!!!","")</f>
        <v/>
      </c>
      <c r="F1789" s="21" t="str">
        <f aca="false">IF(OR(E1789="",E1789="!!!"),"",IF(NOT(ISNA(VLOOKUP(E1789,E$1:E1788,1,FALSE()))),"OLD",IF(AND(E1789&lt;&gt;"",E1789&lt;&gt;"!!!"),"NEW","")))</f>
        <v/>
      </c>
      <c r="G1789" s="22" t="str">
        <f aca="false"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3" t="str">
        <f aca="false">IF(J1789&lt;&gt;1,"",IF(I1789="SBJ","CB","?"))</f>
        <v/>
      </c>
      <c r="I1789" s="24" t="str">
        <f aca="false">IF(OR(E1789="",E1789="!!!",F1789="NEW"),"",INDEX(B$2:B1788,-1+SUMPRODUCT(MAX(ROW(E$2:E1788)*(E1789=E$2:E1788)))))</f>
        <v/>
      </c>
      <c r="J1789" s="24" t="str">
        <f aca="true">IF(OR(E1789="",E1789="!!!",F1789="NEW"),"",COUNTBLANK(OFFSET(A$1,,,SUMPRODUCT(MAX(ROW(E$2:E1789)*(E1789=E$2:E1789)))))-COUNTBLANK(OFFSET(A$1,,,SUMPRODUCT(MAX(ROW(E$1:E1788)*(E2=E$1:E1788))))))</f>
        <v/>
      </c>
      <c r="K1789" s="24" t="str">
        <f aca="false">IF(OR(E1789="",E1789="!!!",F1789="NEW"),"",INDEX(J$1:J1788,SUMPRODUCT(MAX(ROW(E$1:E1788)*(E1789=E$1:E1788)))))</f>
        <v/>
      </c>
      <c r="L1789" s="25"/>
    </row>
    <row r="1790" customFormat="false" ht="14.25" hidden="false" customHeight="false" outlineLevel="0" collapsed="false">
      <c r="A1790" s="0" t="s">
        <v>193</v>
      </c>
      <c r="B1790" s="26" t="s">
        <v>419</v>
      </c>
      <c r="C1790" s="26" t="s">
        <v>88</v>
      </c>
      <c r="D1790" s="26" t="s">
        <v>75</v>
      </c>
      <c r="E1790" s="20" t="s">
        <v>97</v>
      </c>
      <c r="F1790" s="21" t="str">
        <f aca="false">IF(OR(E1790="",E1790="!!!"),"",IF(NOT(ISNA(VLOOKUP(E1790,E$1:E1789,1,FALSE()))),"OLD",IF(AND(E1790&lt;&gt;"",E1790&lt;&gt;"!!!"),"NEW","")))</f>
        <v>OLD</v>
      </c>
      <c r="G1790" s="22" t="str">
        <f aca="false"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?IN_FOCUS</v>
      </c>
      <c r="H1790" s="23" t="str">
        <f aca="false">IF(J1790&lt;&gt;1,"",IF(I1790="SBJ","CB","?"))</f>
        <v/>
      </c>
      <c r="I1790" s="24" t="str">
        <f aca="false">IF(OR(E1790="",E1790="!!!",F1790="NEW"),"",INDEX(B$2:B1789,-1+SUMPRODUCT(MAX(ROW(E$2:E1789)*(E1790=E$2:E1789)))))</f>
        <v>SBJ_7</v>
      </c>
      <c r="J1790" s="24" t="n">
        <f aca="true">IF(OR(E1790="",E1790="!!!",F1790="NEW"),"",COUNTBLANK(OFFSET(A$1,,,SUMPRODUCT(MAX(ROW(E$2:E1790)*(E1790=E$2:E1790)))))-COUNTBLANK(OFFSET(A$1,,,SUMPRODUCT(MAX(ROW(E$1:E1789)*(E2=E$1:E1789))))))</f>
        <v>0</v>
      </c>
      <c r="K1790" s="24" t="n">
        <f aca="false">IF(OR(E1790="",E1790="!!!",F1790="NEW"),"",INDEX(J$1:J1789,SUMPRODUCT(MAX(ROW(E$1:E1789)*(E1790=E$1:E1789)))))</f>
        <v>0</v>
      </c>
      <c r="L1790" s="25"/>
    </row>
    <row r="1791" customFormat="false" ht="14.25" hidden="false" customHeight="false" outlineLevel="0" collapsed="false">
      <c r="A1791" s="0" t="s">
        <v>1036</v>
      </c>
      <c r="E1791" s="20" t="str">
        <f aca="false">IF(D1791="?OLD","!!!","")</f>
        <v/>
      </c>
      <c r="F1791" s="21" t="str">
        <f aca="false">IF(OR(E1791="",E1791="!!!"),"",IF(NOT(ISNA(VLOOKUP(E1791,E$1:E1790,1,FALSE()))),"OLD",IF(AND(E1791&lt;&gt;"",E1791&lt;&gt;"!!!"),"NEW","")))</f>
        <v/>
      </c>
      <c r="G1791" s="22" t="str">
        <f aca="false"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3" t="str">
        <f aca="false">IF(J1791&lt;&gt;1,"",IF(I1791="SBJ","CB","?"))</f>
        <v/>
      </c>
      <c r="I1791" s="24" t="str">
        <f aca="false">IF(OR(E1791="",E1791="!!!",F1791="NEW"),"",INDEX(B$2:B1790,-1+SUMPRODUCT(MAX(ROW(E$2:E1790)*(E1791=E$2:E1790)))))</f>
        <v/>
      </c>
      <c r="J1791" s="24" t="str">
        <f aca="true">IF(OR(E1791="",E1791="!!!",F1791="NEW"),"",COUNTBLANK(OFFSET(A$1,,,SUMPRODUCT(MAX(ROW(E$2:E1791)*(E1791=E$2:E1791)))))-COUNTBLANK(OFFSET(A$1,,,SUMPRODUCT(MAX(ROW(E$1:E1790)*(E2=E$1:E1790))))))</f>
        <v/>
      </c>
      <c r="K1791" s="24" t="str">
        <f aca="false">IF(OR(E1791="",E1791="!!!",F1791="NEW"),"",INDEX(J$1:J1790,SUMPRODUCT(MAX(ROW(E$1:E1790)*(E1791=E$1:E1790)))))</f>
        <v/>
      </c>
      <c r="L1791" s="25"/>
    </row>
    <row r="1792" customFormat="false" ht="14.25" hidden="false" customHeight="false" outlineLevel="0" collapsed="false">
      <c r="A1792" s="0" t="s">
        <v>1037</v>
      </c>
      <c r="B1792" s="26" t="s">
        <v>416</v>
      </c>
      <c r="C1792" s="26" t="s">
        <v>88</v>
      </c>
      <c r="D1792" s="26" t="s">
        <v>75</v>
      </c>
      <c r="E1792" s="20" t="s">
        <v>1025</v>
      </c>
      <c r="F1792" s="21" t="str">
        <f aca="false">IF(OR(E1792="",E1792="!!!"),"",IF(NOT(ISNA(VLOOKUP(E1792,E$1:E1791,1,FALSE()))),"OLD",IF(AND(E1792&lt;&gt;"",E1792&lt;&gt;"!!!"),"NEW","")))</f>
        <v>OLD</v>
      </c>
      <c r="G1792" s="22" t="str">
        <f aca="false"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?IN_FOCUS</v>
      </c>
      <c r="H1792" s="23" t="str">
        <f aca="false">IF(J1792&lt;&gt;1,"",IF(I1792="SBJ","CB","?"))</f>
        <v/>
      </c>
      <c r="I1792" s="24" t="str">
        <f aca="false">IF(OR(E1792="",E1792="!!!",F1792="NEW"),"",INDEX(B$2:B1791,-1+SUMPRODUCT(MAX(ROW(E$2:E1791)*(E1792=E$2:E1791)))))</f>
        <v>SBJ_8</v>
      </c>
      <c r="J1792" s="24" t="n">
        <f aca="true">IF(OR(E1792="",E1792="!!!",F1792="NEW"),"",COUNTBLANK(OFFSET(A$1,,,SUMPRODUCT(MAX(ROW(E$2:E1792)*(E1792=E$2:E1792)))))-COUNTBLANK(OFFSET(A$1,,,SUMPRODUCT(MAX(ROW(E$1:E1791)*(E2=E$1:E1791))))))</f>
        <v>0</v>
      </c>
      <c r="K1792" s="24" t="n">
        <f aca="false">IF(OR(E1792="",E1792="!!!",F1792="NEW"),"",INDEX(J$1:J1791,SUMPRODUCT(MAX(ROW(E$1:E1791)*(E1792=E$1:E1791)))))</f>
        <v>0</v>
      </c>
      <c r="L1792" s="25"/>
    </row>
    <row r="1793" customFormat="false" ht="14.25" hidden="false" customHeight="false" outlineLevel="0" collapsed="false">
      <c r="A1793" s="0" t="s">
        <v>101</v>
      </c>
      <c r="E1793" s="20" t="str">
        <f aca="false">IF(D1793="?OLD","!!!","")</f>
        <v/>
      </c>
      <c r="F1793" s="21" t="str">
        <f aca="false">IF(OR(E1793="",E1793="!!!"),"",IF(NOT(ISNA(VLOOKUP(E1793,E$1:E1792,1,FALSE()))),"OLD",IF(AND(E1793&lt;&gt;"",E1793&lt;&gt;"!!!"),"NEW","")))</f>
        <v/>
      </c>
      <c r="G1793" s="22" t="str">
        <f aca="false"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3" t="str">
        <f aca="false">IF(J1793&lt;&gt;1,"",IF(I1793="SBJ","CB","?"))</f>
        <v/>
      </c>
      <c r="I1793" s="24" t="str">
        <f aca="false">IF(OR(E1793="",E1793="!!!",F1793="NEW"),"",INDEX(B$2:B1792,-1+SUMPRODUCT(MAX(ROW(E$2:E1792)*(E1793=E$2:E1792)))))</f>
        <v/>
      </c>
      <c r="J1793" s="24" t="str">
        <f aca="true">IF(OR(E1793="",E1793="!!!",F1793="NEW"),"",COUNTBLANK(OFFSET(A$1,,,SUMPRODUCT(MAX(ROW(E$2:E1793)*(E1793=E$2:E1793)))))-COUNTBLANK(OFFSET(A$1,,,SUMPRODUCT(MAX(ROW(E$1:E1792)*(E2=E$1:E1792))))))</f>
        <v/>
      </c>
      <c r="K1793" s="24" t="str">
        <f aca="false">IF(OR(E1793="",E1793="!!!",F1793="NEW"),"",INDEX(J$1:J1792,SUMPRODUCT(MAX(ROW(E$1:E1792)*(E1793=E$1:E1792)))))</f>
        <v/>
      </c>
      <c r="L1793" s="25"/>
    </row>
    <row r="1794" customFormat="false" ht="14.25" hidden="false" customHeight="false" outlineLevel="0" collapsed="false">
      <c r="A1794" s="0" t="s">
        <v>1038</v>
      </c>
      <c r="E1794" s="20" t="str">
        <f aca="false">IF(D1794="?OLD","!!!","")</f>
        <v/>
      </c>
      <c r="F1794" s="21" t="str">
        <f aca="false">IF(OR(E1794="",E1794="!!!"),"",IF(NOT(ISNA(VLOOKUP(E1794,E$1:E1793,1,FALSE()))),"OLD",IF(AND(E1794&lt;&gt;"",E1794&lt;&gt;"!!!"),"NEW","")))</f>
        <v/>
      </c>
      <c r="G1794" s="22" t="str">
        <f aca="false"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3" t="str">
        <f aca="false">IF(J1794&lt;&gt;1,"",IF(I1794="SBJ","CB","?"))</f>
        <v/>
      </c>
      <c r="I1794" s="24" t="str">
        <f aca="false">IF(OR(E1794="",E1794="!!!",F1794="NEW"),"",INDEX(B$2:B1793,-1+SUMPRODUCT(MAX(ROW(E$2:E1793)*(E1794=E$2:E1793)))))</f>
        <v/>
      </c>
      <c r="J1794" s="24" t="str">
        <f aca="true">IF(OR(E1794="",E1794="!!!",F1794="NEW"),"",COUNTBLANK(OFFSET(A$1,,,SUMPRODUCT(MAX(ROW(E$2:E1794)*(E1794=E$2:E1794)))))-COUNTBLANK(OFFSET(A$1,,,SUMPRODUCT(MAX(ROW(E$1:E1793)*(E2=E$1:E1793))))))</f>
        <v/>
      </c>
      <c r="K1794" s="24" t="str">
        <f aca="false">IF(OR(E1794="",E1794="!!!",F1794="NEW"),"",INDEX(J$1:J1793,SUMPRODUCT(MAX(ROW(E$1:E1793)*(E1794=E$1:E1793)))))</f>
        <v/>
      </c>
      <c r="L1794" s="25"/>
    </row>
    <row r="1795" customFormat="false" ht="14.25" hidden="false" customHeight="false" outlineLevel="0" collapsed="false">
      <c r="A1795" s="0" t="s">
        <v>778</v>
      </c>
      <c r="B1795" s="26" t="s">
        <v>419</v>
      </c>
      <c r="C1795" s="26" t="s">
        <v>88</v>
      </c>
      <c r="D1795" s="26" t="s">
        <v>75</v>
      </c>
      <c r="E1795" s="20" t="s">
        <v>1025</v>
      </c>
      <c r="F1795" s="21" t="str">
        <f aca="false">IF(OR(E1795="",E1795="!!!"),"",IF(NOT(ISNA(VLOOKUP(E1795,E$1:E1794,1,FALSE()))),"OLD",IF(AND(E1795&lt;&gt;"",E1795&lt;&gt;"!!!"),"NEW","")))</f>
        <v>OLD</v>
      </c>
      <c r="G1795" s="22" t="str">
        <f aca="false"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?IN_FOCUS</v>
      </c>
      <c r="H1795" s="23" t="str">
        <f aca="false">IF(J1795&lt;&gt;1,"",IF(I1795="SBJ","CB","?"))</f>
        <v/>
      </c>
      <c r="I1795" s="24" t="str">
        <f aca="false">IF(OR(E1795="",E1795="!!!",F1795="NEW"),"",INDEX(B$2:B1794,-1+SUMPRODUCT(MAX(ROW(E$2:E1794)*(E1795=E$2:E1794)))))</f>
        <v>OBJ_7</v>
      </c>
      <c r="J1795" s="24" t="n">
        <f aca="true">IF(OR(E1795="",E1795="!!!",F1795="NEW"),"",COUNTBLANK(OFFSET(A$1,,,SUMPRODUCT(MAX(ROW(E$2:E1795)*(E1795=E$2:E1795)))))-COUNTBLANK(OFFSET(A$1,,,SUMPRODUCT(MAX(ROW(E$1:E1794)*(E2=E$1:E1794))))))</f>
        <v>0</v>
      </c>
      <c r="K1795" s="24" t="n">
        <f aca="false">IF(OR(E1795="",E1795="!!!",F1795="NEW"),"",INDEX(J$1:J1794,SUMPRODUCT(MAX(ROW(E$1:E1794)*(E1795=E$1:E1794)))))</f>
        <v>0</v>
      </c>
      <c r="L1795" s="25"/>
    </row>
    <row r="1796" customFormat="false" ht="14.25" hidden="false" customHeight="false" outlineLevel="0" collapsed="false">
      <c r="A1796" s="0" t="s">
        <v>90</v>
      </c>
      <c r="B1796" s="26" t="s">
        <v>416</v>
      </c>
      <c r="E1796" s="20" t="str">
        <f aca="false">IF(D1796="?OLD","!!!","")</f>
        <v/>
      </c>
      <c r="F1796" s="21" t="str">
        <f aca="false">IF(OR(E1796="",E1796="!!!"),"",IF(NOT(ISNA(VLOOKUP(E1796,E$1:E1795,1,FALSE()))),"OLD",IF(AND(E1796&lt;&gt;"",E1796&lt;&gt;"!!!"),"NEW","")))</f>
        <v/>
      </c>
      <c r="G1796" s="22" t="str">
        <f aca="false"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3" t="str">
        <f aca="false">IF(J1796&lt;&gt;1,"",IF(I1796="SBJ","CB","?"))</f>
        <v/>
      </c>
      <c r="I1796" s="24" t="str">
        <f aca="false">IF(OR(E1796="",E1796="!!!",F1796="NEW"),"",INDEX(B$2:B1795,-1+SUMPRODUCT(MAX(ROW(E$2:E1795)*(E1796=E$2:E1795)))))</f>
        <v/>
      </c>
      <c r="J1796" s="24" t="str">
        <f aca="true">IF(OR(E1796="",E1796="!!!",F1796="NEW"),"",COUNTBLANK(OFFSET(A$1,,,SUMPRODUCT(MAX(ROW(E$2:E1796)*(E1796=E$2:E1796)))))-COUNTBLANK(OFFSET(A$1,,,SUMPRODUCT(MAX(ROW(E$1:E1795)*(E2=E$1:E1795))))))</f>
        <v/>
      </c>
      <c r="K1796" s="24" t="str">
        <f aca="false">IF(OR(E1796="",E1796="!!!",F1796="NEW"),"",INDEX(J$1:J1795,SUMPRODUCT(MAX(ROW(E$1:E1795)*(E1796=E$1:E1795)))))</f>
        <v/>
      </c>
      <c r="L1796" s="25"/>
    </row>
    <row r="1797" customFormat="false" ht="14.25" hidden="false" customHeight="false" outlineLevel="0" collapsed="false">
      <c r="A1797" s="0" t="s">
        <v>405</v>
      </c>
      <c r="E1797" s="20" t="str">
        <f aca="false">IF(D1797="?OLD","!!!","")</f>
        <v/>
      </c>
      <c r="F1797" s="21" t="str">
        <f aca="false">IF(OR(E1797="",E1797="!!!"),"",IF(NOT(ISNA(VLOOKUP(E1797,E$1:E1796,1,FALSE()))),"OLD",IF(AND(E1797&lt;&gt;"",E1797&lt;&gt;"!!!"),"NEW","")))</f>
        <v/>
      </c>
      <c r="G1797" s="22" t="str">
        <f aca="false"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3" t="str">
        <f aca="false">IF(J1797&lt;&gt;1,"",IF(I1797="SBJ","CB","?"))</f>
        <v/>
      </c>
      <c r="I1797" s="24" t="str">
        <f aca="false">IF(OR(E1797="",E1797="!!!",F1797="NEW"),"",INDEX(B$2:B1796,-1+SUMPRODUCT(MAX(ROW(E$2:E1796)*(E1797=E$2:E1796)))))</f>
        <v/>
      </c>
      <c r="J1797" s="24" t="str">
        <f aca="true">IF(OR(E1797="",E1797="!!!",F1797="NEW"),"",COUNTBLANK(OFFSET(A$1,,,SUMPRODUCT(MAX(ROW(E$2:E1797)*(E1797=E$2:E1797)))))-COUNTBLANK(OFFSET(A$1,,,SUMPRODUCT(MAX(ROW(E$1:E1796)*(E2=E$1:E1796))))))</f>
        <v/>
      </c>
      <c r="K1797" s="24" t="str">
        <f aca="false">IF(OR(E1797="",E1797="!!!",F1797="NEW"),"",INDEX(J$1:J1796,SUMPRODUCT(MAX(ROW(E$1:E1796)*(E1797=E$1:E1796)))))</f>
        <v/>
      </c>
      <c r="L1797" s="25"/>
    </row>
    <row r="1798" customFormat="false" ht="14.25" hidden="false" customHeight="false" outlineLevel="0" collapsed="false">
      <c r="A1798" s="0" t="s">
        <v>1039</v>
      </c>
      <c r="B1798" s="26" t="s">
        <v>422</v>
      </c>
      <c r="C1798" s="26" t="s">
        <v>111</v>
      </c>
      <c r="E1798" s="20" t="str">
        <f aca="false">IF(D1798="?OLD","!!!","")</f>
        <v/>
      </c>
      <c r="F1798" s="21" t="str">
        <f aca="false">IF(OR(E1798="",E1798="!!!"),"",IF(NOT(ISNA(VLOOKUP(E1798,E$1:E1797,1,FALSE()))),"OLD",IF(AND(E1798&lt;&gt;"",E1798&lt;&gt;"!!!"),"NEW","")))</f>
        <v/>
      </c>
      <c r="G1798" s="22" t="str">
        <f aca="false"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3" t="str">
        <f aca="false">IF(J1798&lt;&gt;1,"",IF(I1798="SBJ","CB","?"))</f>
        <v/>
      </c>
      <c r="I1798" s="24" t="str">
        <f aca="false">IF(OR(E1798="",E1798="!!!",F1798="NEW"),"",INDEX(B$2:B1797,-1+SUMPRODUCT(MAX(ROW(E$2:E1797)*(E1798=E$2:E1797)))))</f>
        <v/>
      </c>
      <c r="J1798" s="24" t="str">
        <f aca="true">IF(OR(E1798="",E1798="!!!",F1798="NEW"),"",COUNTBLANK(OFFSET(A$1,,,SUMPRODUCT(MAX(ROW(E$2:E1798)*(E1798=E$2:E1798)))))-COUNTBLANK(OFFSET(A$1,,,SUMPRODUCT(MAX(ROW(E$1:E1797)*(E2=E$1:E1797))))))</f>
        <v/>
      </c>
      <c r="K1798" s="24" t="str">
        <f aca="false">IF(OR(E1798="",E1798="!!!",F1798="NEW"),"",INDEX(J$1:J1797,SUMPRODUCT(MAX(ROW(E$1:E1797)*(E1798=E$1:E1797)))))</f>
        <v/>
      </c>
      <c r="L1798" s="25"/>
    </row>
    <row r="1799" customFormat="false" ht="14.25" hidden="false" customHeight="false" outlineLevel="0" collapsed="false">
      <c r="A1799" s="0" t="s">
        <v>1040</v>
      </c>
      <c r="B1799" s="26" t="s">
        <v>424</v>
      </c>
      <c r="C1799" s="26" t="s">
        <v>517</v>
      </c>
      <c r="D1799" s="26" t="s">
        <v>75</v>
      </c>
      <c r="E1799" s="20" t="s">
        <v>1041</v>
      </c>
      <c r="F1799" s="21" t="s">
        <v>211</v>
      </c>
      <c r="G1799" s="22" t="e">
        <f aca="false"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#VALUE!</v>
      </c>
      <c r="H1799" s="23" t="str">
        <f aca="false">IF(J1799&lt;&gt;1,"",IF(I1799="SBJ","CB","?"))</f>
        <v/>
      </c>
      <c r="I1799" s="24" t="e">
        <f aca="false">IF(OR(E1799="",E1799="!!!",F1799="NEW"),"",INDEX(B$2:B1798,-1+SUMPRODUCT(MAX(ROW(E$2:E1798)*(E1799=E$2:E1798)))))</f>
        <v>#VALUE!</v>
      </c>
      <c r="J1799" s="24" t="n">
        <f aca="true">IF(OR(E1799="",E1799="!!!",F1799="NEW"),"",COUNTBLANK(OFFSET(A$1,,,SUMPRODUCT(MAX(ROW(E$2:E1799)*(E1799=E$2:E1799)))))-COUNTBLANK(OFFSET(A$1,,,SUMPRODUCT(MAX(ROW(E$1:E1798)*(E2=E$1:E1798))))))</f>
        <v>0</v>
      </c>
      <c r="K1799" s="24" t="e">
        <f aca="false">IF(OR(E1799="",E1799="!!!",F1799="NEW"),"",INDEX(J$1:J1798,SUMPRODUCT(MAX(ROW(E$1:E1798)*(E1799=E$1:E1798)))))</f>
        <v>#VALUE!</v>
      </c>
      <c r="L1799" s="25"/>
    </row>
    <row r="1800" customFormat="false" ht="14.25" hidden="false" customHeight="false" outlineLevel="0" collapsed="false">
      <c r="A1800" s="0" t="s">
        <v>241</v>
      </c>
      <c r="E1800" s="20" t="str">
        <f aca="false">IF(D1800="?OLD","!!!","")</f>
        <v/>
      </c>
      <c r="F1800" s="21" t="str">
        <f aca="false">IF(OR(E1800="",E1800="!!!"),"",IF(NOT(ISNA(VLOOKUP(E1800,E$1:E1799,1,FALSE()))),"OLD",IF(AND(E1800&lt;&gt;"",E1800&lt;&gt;"!!!"),"NEW","")))</f>
        <v/>
      </c>
      <c r="G1800" s="22" t="str">
        <f aca="false"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3" t="str">
        <f aca="false">IF(J1800&lt;&gt;1,"",IF(I1800="SBJ","CB","?"))</f>
        <v/>
      </c>
      <c r="I1800" s="24" t="str">
        <f aca="false">IF(OR(E1800="",E1800="!!!",F1800="NEW"),"",INDEX(B$2:B1799,-1+SUMPRODUCT(MAX(ROW(E$2:E1799)*(E1800=E$2:E1799)))))</f>
        <v/>
      </c>
      <c r="J1800" s="24" t="str">
        <f aca="true">IF(OR(E1800="",E1800="!!!",F1800="NEW"),"",COUNTBLANK(OFFSET(A$1,,,SUMPRODUCT(MAX(ROW(E$2:E1800)*(E1800=E$2:E1800)))))-COUNTBLANK(OFFSET(A$1,,,SUMPRODUCT(MAX(ROW(E$1:E1799)*(E2=E$1:E1799))))))</f>
        <v/>
      </c>
      <c r="K1800" s="24" t="str">
        <f aca="false">IF(OR(E1800="",E1800="!!!",F1800="NEW"),"",INDEX(J$1:J1799,SUMPRODUCT(MAX(ROW(E$1:E1799)*(E1800=E$1:E1799)))))</f>
        <v/>
      </c>
      <c r="L1800" s="25"/>
    </row>
    <row r="1801" customFormat="false" ht="14.25" hidden="false" customHeight="false" outlineLevel="0" collapsed="false">
      <c r="A1801" s="0" t="s">
        <v>1042</v>
      </c>
      <c r="B1801" s="26" t="s">
        <v>422</v>
      </c>
      <c r="C1801" s="26" t="s">
        <v>74</v>
      </c>
      <c r="D1801" s="26" t="s">
        <v>75</v>
      </c>
      <c r="E1801" s="20" t="s">
        <v>261</v>
      </c>
      <c r="F1801" s="21" t="str">
        <f aca="false">IF(OR(E1801="",E1801="!!!"),"",IF(NOT(ISNA(VLOOKUP(E1801,E$1:E1800,1,FALSE()))),"OLD",IF(AND(E1801&lt;&gt;"",E1801&lt;&gt;"!!!"),"NEW","")))</f>
        <v>OLD</v>
      </c>
      <c r="G1801" s="22" t="str">
        <f aca="false"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?IN_FOCUS</v>
      </c>
      <c r="H1801" s="23" t="str">
        <f aca="false">IF(J1801&lt;&gt;1,"",IF(I1801="SBJ","CB","?"))</f>
        <v/>
      </c>
      <c r="I1801" s="24" t="str">
        <f aca="false">IF(OR(E1801="",E1801="!!!",F1801="NEW"),"",INDEX(B$2:B1800,-1+SUMPRODUCT(MAX(ROW(E$2:E1800)*(E1801=E$2:E1800)))))</f>
        <v>other_4</v>
      </c>
      <c r="J1801" s="24" t="n">
        <f aca="true">IF(OR(E1801="",E1801="!!!",F1801="NEW"),"",COUNTBLANK(OFFSET(A$1,,,SUMPRODUCT(MAX(ROW(E$2:E1801)*(E1801=E$2:E1801)))))-COUNTBLANK(OFFSET(A$1,,,SUMPRODUCT(MAX(ROW(E$1:E1800)*(E2=E$1:E1800))))))</f>
        <v>0</v>
      </c>
      <c r="K1801" s="24" t="str">
        <f aca="false">IF(OR(E1801="",E1801="!!!",F1801="NEW"),"",INDEX(J$1:J1800,SUMPRODUCT(MAX(ROW(E$1:E1800)*(E1801=E$1:E1800)))))</f>
        <v/>
      </c>
      <c r="L1801" s="25"/>
    </row>
    <row r="1802" customFormat="false" ht="14.25" hidden="false" customHeight="false" outlineLevel="0" collapsed="false">
      <c r="A1802" s="0" t="s">
        <v>1043</v>
      </c>
      <c r="E1802" s="20" t="str">
        <f aca="false">IF(D1802="?OLD","!!!","")</f>
        <v/>
      </c>
      <c r="F1802" s="21" t="str">
        <f aca="false">IF(OR(E1802="",E1802="!!!"),"",IF(NOT(ISNA(VLOOKUP(E1802,E$1:E1801,1,FALSE()))),"OLD",IF(AND(E1802&lt;&gt;"",E1802&lt;&gt;"!!!"),"NEW","")))</f>
        <v/>
      </c>
      <c r="G1802" s="22" t="str">
        <f aca="false"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3" t="str">
        <f aca="false">IF(J1802&lt;&gt;1,"",IF(I1802="SBJ","CB","?"))</f>
        <v/>
      </c>
      <c r="I1802" s="24" t="str">
        <f aca="false">IF(OR(E1802="",E1802="!!!",F1802="NEW"),"",INDEX(B$2:B1801,-1+SUMPRODUCT(MAX(ROW(E$2:E1801)*(E1802=E$2:E1801)))))</f>
        <v/>
      </c>
      <c r="J1802" s="24" t="str">
        <f aca="true">IF(OR(E1802="",E1802="!!!",F1802="NEW"),"",COUNTBLANK(OFFSET(A$1,,,SUMPRODUCT(MAX(ROW(E$2:E1802)*(E1802=E$2:E1802)))))-COUNTBLANK(OFFSET(A$1,,,SUMPRODUCT(MAX(ROW(E$1:E1801)*(E2=E$1:E1801))))))</f>
        <v/>
      </c>
      <c r="K1802" s="24" t="str">
        <f aca="false">IF(OR(E1802="",E1802="!!!",F1802="NEW"),"",INDEX(J$1:J1801,SUMPRODUCT(MAX(ROW(E$1:E1801)*(E1802=E$1:E1801)))))</f>
        <v/>
      </c>
      <c r="L1802" s="25"/>
    </row>
    <row r="1803" customFormat="false" ht="14.25" hidden="false" customHeight="false" outlineLevel="0" collapsed="false">
      <c r="A1803" s="0" t="s">
        <v>175</v>
      </c>
      <c r="E1803" s="20" t="str">
        <f aca="false">IF(D1803="?OLD","!!!","")</f>
        <v/>
      </c>
      <c r="F1803" s="21" t="str">
        <f aca="false">IF(OR(E1803="",E1803="!!!"),"",IF(NOT(ISNA(VLOOKUP(E1803,E$1:E1802,1,FALSE()))),"OLD",IF(AND(E1803&lt;&gt;"",E1803&lt;&gt;"!!!"),"NEW","")))</f>
        <v/>
      </c>
      <c r="G1803" s="22" t="str">
        <f aca="false"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3" t="str">
        <f aca="false">IF(J1803&lt;&gt;1,"",IF(I1803="SBJ","CB","?"))</f>
        <v/>
      </c>
      <c r="I1803" s="24" t="str">
        <f aca="false">IF(OR(E1803="",E1803="!!!",F1803="NEW"),"",INDEX(B$2:B1802,-1+SUMPRODUCT(MAX(ROW(E$2:E1802)*(E1803=E$2:E1802)))))</f>
        <v/>
      </c>
      <c r="J1803" s="24" t="str">
        <f aca="true">IF(OR(E1803="",E1803="!!!",F1803="NEW"),"",COUNTBLANK(OFFSET(A$1,,,SUMPRODUCT(MAX(ROW(E$2:E1803)*(E1803=E$2:E1803)))))-COUNTBLANK(OFFSET(A$1,,,SUMPRODUCT(MAX(ROW(E$1:E1802)*(E2=E$1:E1802))))))</f>
        <v/>
      </c>
      <c r="K1803" s="24" t="str">
        <f aca="false">IF(OR(E1803="",E1803="!!!",F1803="NEW"),"",INDEX(J$1:J1802,SUMPRODUCT(MAX(ROW(E$1:E1802)*(E1803=E$1:E1802)))))</f>
        <v/>
      </c>
      <c r="L1803" s="25"/>
    </row>
    <row r="1804" customFormat="false" ht="14.25" hidden="false" customHeight="false" outlineLevel="0" collapsed="false">
      <c r="A1804" s="0" t="s">
        <v>86</v>
      </c>
      <c r="E1804" s="20" t="str">
        <f aca="false">IF(D1804="?OLD","!!!","")</f>
        <v/>
      </c>
      <c r="F1804" s="21" t="str">
        <f aca="false">IF(OR(E1804="",E1804="!!!"),"",IF(NOT(ISNA(VLOOKUP(E1804,E$1:E1803,1,FALSE()))),"OLD",IF(AND(E1804&lt;&gt;"",E1804&lt;&gt;"!!!"),"NEW","")))</f>
        <v/>
      </c>
      <c r="G1804" s="22" t="str">
        <f aca="false"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3" t="str">
        <f aca="false">IF(J1804&lt;&gt;1,"",IF(I1804="SBJ","CB","?"))</f>
        <v/>
      </c>
      <c r="I1804" s="24" t="str">
        <f aca="false">IF(OR(E1804="",E1804="!!!",F1804="NEW"),"",INDEX(B$2:B1803,-1+SUMPRODUCT(MAX(ROW(E$2:E1803)*(E1804=E$2:E1803)))))</f>
        <v/>
      </c>
      <c r="J1804" s="24" t="str">
        <f aca="true">IF(OR(E1804="",E1804="!!!",F1804="NEW"),"",COUNTBLANK(OFFSET(A$1,,,SUMPRODUCT(MAX(ROW(E$2:E1804)*(E1804=E$2:E1804)))))-COUNTBLANK(OFFSET(A$1,,,SUMPRODUCT(MAX(ROW(E$1:E1803)*(E2=E$1:E1803))))))</f>
        <v/>
      </c>
      <c r="K1804" s="24" t="str">
        <f aca="false">IF(OR(E1804="",E1804="!!!",F1804="NEW"),"",INDEX(J$1:J1803,SUMPRODUCT(MAX(ROW(E$1:E1803)*(E1804=E$1:E1803)))))</f>
        <v/>
      </c>
      <c r="L1804" s="25"/>
    </row>
    <row r="1805" customFormat="false" ht="14.25" hidden="false" customHeight="false" outlineLevel="0" collapsed="false">
      <c r="A1805" s="0" t="s">
        <v>193</v>
      </c>
      <c r="B1805" s="26" t="s">
        <v>419</v>
      </c>
      <c r="C1805" s="26" t="s">
        <v>88</v>
      </c>
      <c r="D1805" s="26" t="s">
        <v>75</v>
      </c>
      <c r="E1805" s="20" t="s">
        <v>97</v>
      </c>
      <c r="F1805" s="21" t="str">
        <f aca="false">IF(OR(E1805="",E1805="!!!"),"",IF(NOT(ISNA(VLOOKUP(E1805,E$1:E1804,1,FALSE()))),"OLD",IF(AND(E1805&lt;&gt;"",E1805&lt;&gt;"!!!"),"NEW","")))</f>
        <v>OLD</v>
      </c>
      <c r="G1805" s="22" t="str">
        <f aca="false"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?IN_FOCUS</v>
      </c>
      <c r="H1805" s="23" t="str">
        <f aca="false">IF(J1805&lt;&gt;1,"",IF(I1805="SBJ","CB","?"))</f>
        <v/>
      </c>
      <c r="I1805" s="24" t="str">
        <f aca="false">IF(OR(E1805="",E1805="!!!",F1805="NEW"),"",INDEX(B$2:B1804,-1+SUMPRODUCT(MAX(ROW(E$2:E1804)*(E1805=E$2:E1804)))))</f>
        <v>SBJ_7</v>
      </c>
      <c r="J1805" s="24" t="n">
        <f aca="true">IF(OR(E1805="",E1805="!!!",F1805="NEW"),"",COUNTBLANK(OFFSET(A$1,,,SUMPRODUCT(MAX(ROW(E$2:E1805)*(E1805=E$2:E1805)))))-COUNTBLANK(OFFSET(A$1,,,SUMPRODUCT(MAX(ROW(E$1:E1804)*(E2=E$1:E1804))))))</f>
        <v>0</v>
      </c>
      <c r="K1805" s="24" t="n">
        <f aca="false">IF(OR(E1805="",E1805="!!!",F1805="NEW"),"",INDEX(J$1:J1804,SUMPRODUCT(MAX(ROW(E$1:E1804)*(E1805=E$1:E1804)))))</f>
        <v>0</v>
      </c>
      <c r="L1805" s="25"/>
    </row>
    <row r="1806" customFormat="false" ht="14.25" hidden="false" customHeight="false" outlineLevel="0" collapsed="false">
      <c r="A1806" s="0" t="s">
        <v>1044</v>
      </c>
      <c r="E1806" s="20" t="str">
        <f aca="false">IF(D1806="?OLD","!!!","")</f>
        <v/>
      </c>
      <c r="F1806" s="21" t="str">
        <f aca="false">IF(OR(E1806="",E1806="!!!"),"",IF(NOT(ISNA(VLOOKUP(E1806,E$1:E1805,1,FALSE()))),"OLD",IF(AND(E1806&lt;&gt;"",E1806&lt;&gt;"!!!"),"NEW","")))</f>
        <v/>
      </c>
      <c r="G1806" s="22" t="str">
        <f aca="false"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3" t="str">
        <f aca="false">IF(J1806&lt;&gt;1,"",IF(I1806="SBJ","CB","?"))</f>
        <v/>
      </c>
      <c r="I1806" s="24" t="str">
        <f aca="false">IF(OR(E1806="",E1806="!!!",F1806="NEW"),"",INDEX(B$2:B1805,-1+SUMPRODUCT(MAX(ROW(E$2:E1805)*(E1806=E$2:E1805)))))</f>
        <v/>
      </c>
      <c r="J1806" s="24" t="str">
        <f aca="true">IF(OR(E1806="",E1806="!!!",F1806="NEW"),"",COUNTBLANK(OFFSET(A$1,,,SUMPRODUCT(MAX(ROW(E$2:E1806)*(E1806=E$2:E1806)))))-COUNTBLANK(OFFSET(A$1,,,SUMPRODUCT(MAX(ROW(E$1:E1805)*(E2=E$1:E1805))))))</f>
        <v/>
      </c>
      <c r="K1806" s="24" t="str">
        <f aca="false">IF(OR(E1806="",E1806="!!!",F1806="NEW"),"",INDEX(J$1:J1805,SUMPRODUCT(MAX(ROW(E$1:E1805)*(E1806=E$1:E1805)))))</f>
        <v/>
      </c>
      <c r="L1806" s="25"/>
    </row>
    <row r="1807" customFormat="false" ht="14.25" hidden="false" customHeight="false" outlineLevel="0" collapsed="false">
      <c r="A1807" s="0" t="s">
        <v>101</v>
      </c>
      <c r="E1807" s="20" t="str">
        <f aca="false">IF(D1807="?OLD","!!!","")</f>
        <v/>
      </c>
      <c r="F1807" s="21" t="str">
        <f aca="false">IF(OR(E1807="",E1807="!!!"),"",IF(NOT(ISNA(VLOOKUP(E1807,E$1:E1806,1,FALSE()))),"OLD",IF(AND(E1807&lt;&gt;"",E1807&lt;&gt;"!!!"),"NEW","")))</f>
        <v/>
      </c>
      <c r="G1807" s="22" t="str">
        <f aca="false"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3" t="str">
        <f aca="false">IF(J1807&lt;&gt;1,"",IF(I1807="SBJ","CB","?"))</f>
        <v/>
      </c>
      <c r="I1807" s="24" t="str">
        <f aca="false">IF(OR(E1807="",E1807="!!!",F1807="NEW"),"",INDEX(B$2:B1806,-1+SUMPRODUCT(MAX(ROW(E$2:E1806)*(E1807=E$2:E1806)))))</f>
        <v/>
      </c>
      <c r="J1807" s="24" t="str">
        <f aca="true">IF(OR(E1807="",E1807="!!!",F1807="NEW"),"",COUNTBLANK(OFFSET(A$1,,,SUMPRODUCT(MAX(ROW(E$2:E1807)*(E1807=E$2:E1807)))))-COUNTBLANK(OFFSET(A$1,,,SUMPRODUCT(MAX(ROW(E$1:E1806)*(E2=E$1:E1806))))))</f>
        <v/>
      </c>
      <c r="K1807" s="24" t="str">
        <f aca="false">IF(OR(E1807="",E1807="!!!",F1807="NEW"),"",INDEX(J$1:J1806,SUMPRODUCT(MAX(ROW(E$1:E1806)*(E1807=E$1:E1806)))))</f>
        <v/>
      </c>
      <c r="L1807" s="25"/>
    </row>
    <row r="1808" customFormat="false" ht="14.25" hidden="false" customHeight="false" outlineLevel="0" collapsed="false">
      <c r="A1808" s="0" t="s">
        <v>87</v>
      </c>
      <c r="B1808" s="26" t="s">
        <v>820</v>
      </c>
      <c r="C1808" s="26" t="s">
        <v>88</v>
      </c>
      <c r="D1808" s="26" t="s">
        <v>75</v>
      </c>
      <c r="E1808" s="20" t="s">
        <v>168</v>
      </c>
      <c r="F1808" s="21" t="str">
        <f aca="false">IF(OR(E1808="",E1808="!!!"),"",IF(NOT(ISNA(VLOOKUP(E1808,E$1:E1807,1,FALSE()))),"OLD",IF(AND(E1808&lt;&gt;"",E1808&lt;&gt;"!!!"),"NEW","")))</f>
        <v>OLD</v>
      </c>
      <c r="G1808" s="22" t="str">
        <f aca="false"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?IN_FOCUS</v>
      </c>
      <c r="H1808" s="23" t="str">
        <f aca="false">IF(J1808&lt;&gt;1,"",IF(I1808="SBJ","CB","?"))</f>
        <v/>
      </c>
      <c r="I1808" s="24" t="str">
        <f aca="false">IF(OR(E1808="",E1808="!!!",F1808="NEW"),"",INDEX(B$2:B1807,-1+SUMPRODUCT(MAX(ROW(E$2:E1807)*(E1808=E$2:E1807)))))</f>
        <v>OBJ_8</v>
      </c>
      <c r="J1808" s="24" t="n">
        <f aca="true">IF(OR(E1808="",E1808="!!!",F1808="NEW"),"",COUNTBLANK(OFFSET(A$1,,,SUMPRODUCT(MAX(ROW(E$2:E1808)*(E1808=E$2:E1808)))))-COUNTBLANK(OFFSET(A$1,,,SUMPRODUCT(MAX(ROW(E$1:E1807)*(E2=E$1:E1807))))))</f>
        <v>0</v>
      </c>
      <c r="K1808" s="24" t="n">
        <f aca="false">IF(OR(E1808="",E1808="!!!",F1808="NEW"),"",INDEX(J$1:J1807,SUMPRODUCT(MAX(ROW(E$1:E1807)*(E1808=E$1:E1807)))))</f>
        <v>0</v>
      </c>
      <c r="L1808" s="25"/>
    </row>
    <row r="1809" customFormat="false" ht="14.25" hidden="false" customHeight="false" outlineLevel="0" collapsed="false">
      <c r="A1809" s="0" t="s">
        <v>1045</v>
      </c>
      <c r="E1809" s="20" t="str">
        <f aca="false">IF(D1809="?OLD","!!!","")</f>
        <v/>
      </c>
      <c r="F1809" s="21" t="str">
        <f aca="false">IF(OR(E1809="",E1809="!!!"),"",IF(NOT(ISNA(VLOOKUP(E1809,E$1:E1808,1,FALSE()))),"OLD",IF(AND(E1809&lt;&gt;"",E1809&lt;&gt;"!!!"),"NEW","")))</f>
        <v/>
      </c>
      <c r="G1809" s="22" t="str">
        <f aca="false"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3" t="str">
        <f aca="false">IF(J1809&lt;&gt;1,"",IF(I1809="SBJ","CB","?"))</f>
        <v/>
      </c>
      <c r="I1809" s="24" t="str">
        <f aca="false">IF(OR(E1809="",E1809="!!!",F1809="NEW"),"",INDEX(B$2:B1808,-1+SUMPRODUCT(MAX(ROW(E$2:E1808)*(E1809=E$2:E1808)))))</f>
        <v/>
      </c>
      <c r="J1809" s="24" t="str">
        <f aca="true">IF(OR(E1809="",E1809="!!!",F1809="NEW"),"",COUNTBLANK(OFFSET(A$1,,,SUMPRODUCT(MAX(ROW(E$2:E1809)*(E1809=E$2:E1809)))))-COUNTBLANK(OFFSET(A$1,,,SUMPRODUCT(MAX(ROW(E$1:E1808)*(E2=E$1:E1808))))))</f>
        <v/>
      </c>
      <c r="K1809" s="24" t="str">
        <f aca="false">IF(OR(E1809="",E1809="!!!",F1809="NEW"),"",INDEX(J$1:J1808,SUMPRODUCT(MAX(ROW(E$1:E1808)*(E1809=E$1:E1808)))))</f>
        <v/>
      </c>
      <c r="L1809" s="25"/>
    </row>
    <row r="1810" customFormat="false" ht="14.25" hidden="false" customHeight="false" outlineLevel="0" collapsed="false">
      <c r="A1810" s="0" t="s">
        <v>116</v>
      </c>
      <c r="E1810" s="20" t="str">
        <f aca="false">IF(D1810="?OLD","!!!","")</f>
        <v/>
      </c>
      <c r="F1810" s="21" t="str">
        <f aca="false">IF(OR(E1810="",E1810="!!!"),"",IF(NOT(ISNA(VLOOKUP(E1810,E$1:E1809,1,FALSE()))),"OLD",IF(AND(E1810&lt;&gt;"",E1810&lt;&gt;"!!!"),"NEW","")))</f>
        <v/>
      </c>
      <c r="G1810" s="22" t="str">
        <f aca="false"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3" t="str">
        <f aca="false">IF(J1810&lt;&gt;1,"",IF(I1810="SBJ","CB","?"))</f>
        <v/>
      </c>
      <c r="I1810" s="24" t="str">
        <f aca="false">IF(OR(E1810="",E1810="!!!",F1810="NEW"),"",INDEX(B$2:B1809,-1+SUMPRODUCT(MAX(ROW(E$2:E1809)*(E1810=E$2:E1809)))))</f>
        <v/>
      </c>
      <c r="J1810" s="24" t="str">
        <f aca="true">IF(OR(E1810="",E1810="!!!",F1810="NEW"),"",COUNTBLANK(OFFSET(A$1,,,SUMPRODUCT(MAX(ROW(E$2:E1810)*(E1810=E$2:E1810)))))-COUNTBLANK(OFFSET(A$1,,,SUMPRODUCT(MAX(ROW(E$1:E1809)*(E2=E$1:E1809))))))</f>
        <v/>
      </c>
      <c r="K1810" s="24" t="str">
        <f aca="false">IF(OR(E1810="",E1810="!!!",F1810="NEW"),"",INDEX(J$1:J1809,SUMPRODUCT(MAX(ROW(E$1:E1809)*(E1810=E$1:E1809)))))</f>
        <v/>
      </c>
      <c r="L1810" s="25"/>
    </row>
    <row r="1811" customFormat="false" ht="14.25" hidden="false" customHeight="false" outlineLevel="0" collapsed="false">
      <c r="A1811" s="0" t="s">
        <v>101</v>
      </c>
      <c r="E1811" s="20" t="str">
        <f aca="false">IF(D1811="?OLD","!!!","")</f>
        <v/>
      </c>
      <c r="F1811" s="21" t="str">
        <f aca="false">IF(OR(E1811="",E1811="!!!"),"",IF(NOT(ISNA(VLOOKUP(E1811,E$1:E1810,1,FALSE()))),"OLD",IF(AND(E1811&lt;&gt;"",E1811&lt;&gt;"!!!"),"NEW","")))</f>
        <v/>
      </c>
      <c r="G1811" s="22" t="str">
        <f aca="false"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3" t="str">
        <f aca="false">IF(J1811&lt;&gt;1,"",IF(I1811="SBJ","CB","?"))</f>
        <v/>
      </c>
      <c r="I1811" s="24" t="str">
        <f aca="false">IF(OR(E1811="",E1811="!!!",F1811="NEW"),"",INDEX(B$2:B1810,-1+SUMPRODUCT(MAX(ROW(E$2:E1810)*(E1811=E$2:E1810)))))</f>
        <v/>
      </c>
      <c r="J1811" s="24" t="str">
        <f aca="true">IF(OR(E1811="",E1811="!!!",F1811="NEW"),"",COUNTBLANK(OFFSET(A$1,,,SUMPRODUCT(MAX(ROW(E$2:E1811)*(E1811=E$2:E1811)))))-COUNTBLANK(OFFSET(A$1,,,SUMPRODUCT(MAX(ROW(E$1:E1810)*(E2=E$1:E1810))))))</f>
        <v/>
      </c>
      <c r="K1811" s="24" t="str">
        <f aca="false">IF(OR(E1811="",E1811="!!!",F1811="NEW"),"",INDEX(J$1:J1810,SUMPRODUCT(MAX(ROW(E$1:E1810)*(E1811=E$1:E1810)))))</f>
        <v/>
      </c>
      <c r="L1811" s="25"/>
    </row>
    <row r="1812" customFormat="false" ht="14.25" hidden="false" customHeight="false" outlineLevel="0" collapsed="false">
      <c r="A1812" s="0" t="s">
        <v>178</v>
      </c>
      <c r="E1812" s="20" t="str">
        <f aca="false">IF(D1812="?OLD","!!!","")</f>
        <v/>
      </c>
      <c r="F1812" s="21" t="str">
        <f aca="false">IF(OR(E1812="",E1812="!!!"),"",IF(NOT(ISNA(VLOOKUP(E1812,E$1:E1811,1,FALSE()))),"OLD",IF(AND(E1812&lt;&gt;"",E1812&lt;&gt;"!!!"),"NEW","")))</f>
        <v/>
      </c>
      <c r="G1812" s="22" t="str">
        <f aca="false"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3" t="str">
        <f aca="false">IF(J1812&lt;&gt;1,"",IF(I1812="SBJ","CB","?"))</f>
        <v/>
      </c>
      <c r="I1812" s="24" t="str">
        <f aca="false">IF(OR(E1812="",E1812="!!!",F1812="NEW"),"",INDEX(B$2:B1811,-1+SUMPRODUCT(MAX(ROW(E$2:E1811)*(E1812=E$2:E1811)))))</f>
        <v/>
      </c>
      <c r="J1812" s="24" t="str">
        <f aca="true">IF(OR(E1812="",E1812="!!!",F1812="NEW"),"",COUNTBLANK(OFFSET(A$1,,,SUMPRODUCT(MAX(ROW(E$2:E1812)*(E1812=E$2:E1812)))))-COUNTBLANK(OFFSET(A$1,,,SUMPRODUCT(MAX(ROW(E$1:E1811)*(E2=E$1:E1811))))))</f>
        <v/>
      </c>
      <c r="K1812" s="24" t="str">
        <f aca="false">IF(OR(E1812="",E1812="!!!",F1812="NEW"),"",INDEX(J$1:J1811,SUMPRODUCT(MAX(ROW(E$1:E1811)*(E1812=E$1:E1811)))))</f>
        <v/>
      </c>
      <c r="L1812" s="25"/>
    </row>
    <row r="1813" customFormat="false" ht="14.25" hidden="false" customHeight="false" outlineLevel="0" collapsed="false">
      <c r="A1813" s="0" t="s">
        <v>1046</v>
      </c>
      <c r="E1813" s="20" t="str">
        <f aca="false">IF(D1813="?OLD","!!!","")</f>
        <v/>
      </c>
      <c r="F1813" s="21" t="str">
        <f aca="false">IF(OR(E1813="",E1813="!!!"),"",IF(NOT(ISNA(VLOOKUP(E1813,E$1:E1812,1,FALSE()))),"OLD",IF(AND(E1813&lt;&gt;"",E1813&lt;&gt;"!!!"),"NEW","")))</f>
        <v/>
      </c>
      <c r="G1813" s="22" t="str">
        <f aca="false"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3" t="str">
        <f aca="false">IF(J1813&lt;&gt;1,"",IF(I1813="SBJ","CB","?"))</f>
        <v/>
      </c>
      <c r="I1813" s="24" t="str">
        <f aca="false">IF(OR(E1813="",E1813="!!!",F1813="NEW"),"",INDEX(B$2:B1812,-1+SUMPRODUCT(MAX(ROW(E$2:E1812)*(E1813=E$2:E1812)))))</f>
        <v/>
      </c>
      <c r="J1813" s="24" t="str">
        <f aca="true">IF(OR(E1813="",E1813="!!!",F1813="NEW"),"",COUNTBLANK(OFFSET(A$1,,,SUMPRODUCT(MAX(ROW(E$2:E1813)*(E1813=E$2:E1813)))))-COUNTBLANK(OFFSET(A$1,,,SUMPRODUCT(MAX(ROW(E$1:E1812)*(E2=E$1:E1812))))))</f>
        <v/>
      </c>
      <c r="K1813" s="24" t="str">
        <f aca="false">IF(OR(E1813="",E1813="!!!",F1813="NEW"),"",INDEX(J$1:J1812,SUMPRODUCT(MAX(ROW(E$1:E1812)*(E1813=E$1:E1812)))))</f>
        <v/>
      </c>
      <c r="L1813" s="25"/>
    </row>
    <row r="1814" customFormat="false" ht="14.25" hidden="false" customHeight="false" outlineLevel="0" collapsed="false">
      <c r="A1814" s="0" t="s">
        <v>1047</v>
      </c>
      <c r="B1814" s="26" t="s">
        <v>1012</v>
      </c>
      <c r="C1814" s="26" t="s">
        <v>105</v>
      </c>
      <c r="E1814" s="20" t="str">
        <f aca="false">IF(D1814="?OLD","!!!","")</f>
        <v/>
      </c>
      <c r="F1814" s="21" t="str">
        <f aca="false">IF(OR(E1814="",E1814="!!!"),"",IF(NOT(ISNA(VLOOKUP(E1814,E$1:E1813,1,FALSE()))),"OLD",IF(AND(E1814&lt;&gt;"",E1814&lt;&gt;"!!!"),"NEW","")))</f>
        <v/>
      </c>
      <c r="G1814" s="22" t="str">
        <f aca="false"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3" t="str">
        <f aca="false">IF(J1814&lt;&gt;1,"",IF(I1814="SBJ","CB","?"))</f>
        <v/>
      </c>
      <c r="I1814" s="24" t="str">
        <f aca="false">IF(OR(E1814="",E1814="!!!",F1814="NEW"),"",INDEX(B$2:B1813,-1+SUMPRODUCT(MAX(ROW(E$2:E1813)*(E1814=E$2:E1813)))))</f>
        <v/>
      </c>
      <c r="J1814" s="24" t="str">
        <f aca="true">IF(OR(E1814="",E1814="!!!",F1814="NEW"),"",COUNTBLANK(OFFSET(A$1,,,SUMPRODUCT(MAX(ROW(E$2:E1814)*(E1814=E$2:E1814)))))-COUNTBLANK(OFFSET(A$1,,,SUMPRODUCT(MAX(ROW(E$1:E1813)*(E2=E$1:E1813))))))</f>
        <v/>
      </c>
      <c r="K1814" s="24" t="str">
        <f aca="false">IF(OR(E1814="",E1814="!!!",F1814="NEW"),"",INDEX(J$1:J1813,SUMPRODUCT(MAX(ROW(E$1:E1813)*(E1814=E$1:E1813)))))</f>
        <v/>
      </c>
      <c r="L1814" s="25"/>
    </row>
    <row r="1815" customFormat="false" ht="14.25" hidden="false" customHeight="false" outlineLevel="0" collapsed="false">
      <c r="A1815" s="0" t="s">
        <v>95</v>
      </c>
      <c r="B1815" s="26" t="s">
        <v>566</v>
      </c>
      <c r="C1815" s="26" t="s">
        <v>88</v>
      </c>
      <c r="D1815" s="26" t="s">
        <v>75</v>
      </c>
      <c r="E1815" s="20" t="s">
        <v>97</v>
      </c>
      <c r="F1815" s="21" t="str">
        <f aca="false">IF(OR(E1815="",E1815="!!!"),"",IF(NOT(ISNA(VLOOKUP(E1815,E$1:E1814,1,FALSE()))),"OLD",IF(AND(E1815&lt;&gt;"",E1815&lt;&gt;"!!!"),"NEW","")))</f>
        <v>OLD</v>
      </c>
      <c r="G1815" s="22" t="str">
        <f aca="false"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?IN_FOCUS</v>
      </c>
      <c r="H1815" s="23" t="str">
        <f aca="false">IF(J1815&lt;&gt;1,"",IF(I1815="SBJ","CB","?"))</f>
        <v/>
      </c>
      <c r="I1815" s="24" t="str">
        <f aca="false">IF(OR(E1815="",E1815="!!!",F1815="NEW"),"",INDEX(B$2:B1814,-1+SUMPRODUCT(MAX(ROW(E$2:E1814)*(E1815=E$2:E1814)))))</f>
        <v>SBJ_7</v>
      </c>
      <c r="J1815" s="24" t="n">
        <f aca="true">IF(OR(E1815="",E1815="!!!",F1815="NEW"),"",COUNTBLANK(OFFSET(A$1,,,SUMPRODUCT(MAX(ROW(E$2:E1815)*(E1815=E$2:E1815)))))-COUNTBLANK(OFFSET(A$1,,,SUMPRODUCT(MAX(ROW(E$1:E1814)*(E2=E$1:E1814))))))</f>
        <v>0</v>
      </c>
      <c r="K1815" s="24" t="n">
        <f aca="false">IF(OR(E1815="",E1815="!!!",F1815="NEW"),"",INDEX(J$1:J1814,SUMPRODUCT(MAX(ROW(E$1:E1814)*(E1815=E$1:E1814)))))</f>
        <v>0</v>
      </c>
      <c r="L1815" s="25"/>
    </row>
    <row r="1816" customFormat="false" ht="14.25" hidden="false" customHeight="false" outlineLevel="0" collapsed="false">
      <c r="A1816" s="0" t="s">
        <v>1048</v>
      </c>
      <c r="E1816" s="20" t="str">
        <f aca="false">IF(D1816="?OLD","!!!","")</f>
        <v/>
      </c>
      <c r="F1816" s="21" t="str">
        <f aca="false">IF(OR(E1816="",E1816="!!!"),"",IF(NOT(ISNA(VLOOKUP(E1816,E$1:E1815,1,FALSE()))),"OLD",IF(AND(E1816&lt;&gt;"",E1816&lt;&gt;"!!!"),"NEW","")))</f>
        <v/>
      </c>
      <c r="G1816" s="22" t="str">
        <f aca="false"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3" t="str">
        <f aca="false">IF(J1816&lt;&gt;1,"",IF(I1816="SBJ","CB","?"))</f>
        <v/>
      </c>
      <c r="I1816" s="24" t="str">
        <f aca="false">IF(OR(E1816="",E1816="!!!",F1816="NEW"),"",INDEX(B$2:B1815,-1+SUMPRODUCT(MAX(ROW(E$2:E1815)*(E1816=E$2:E1815)))))</f>
        <v/>
      </c>
      <c r="J1816" s="24" t="str">
        <f aca="true">IF(OR(E1816="",E1816="!!!",F1816="NEW"),"",COUNTBLANK(OFFSET(A$1,,,SUMPRODUCT(MAX(ROW(E$2:E1816)*(E1816=E$2:E1816)))))-COUNTBLANK(OFFSET(A$1,,,SUMPRODUCT(MAX(ROW(E$1:E1815)*(E2=E$1:E1815))))))</f>
        <v/>
      </c>
      <c r="K1816" s="24" t="str">
        <f aca="false">IF(OR(E1816="",E1816="!!!",F1816="NEW"),"",INDEX(J$1:J1815,SUMPRODUCT(MAX(ROW(E$1:E1815)*(E1816=E$1:E1815)))))</f>
        <v/>
      </c>
      <c r="L1816" s="25"/>
    </row>
    <row r="1817" customFormat="false" ht="14.25" hidden="false" customHeight="false" outlineLevel="0" collapsed="false">
      <c r="A1817" s="0" t="s">
        <v>86</v>
      </c>
      <c r="E1817" s="20" t="str">
        <f aca="false">IF(D1817="?OLD","!!!","")</f>
        <v/>
      </c>
      <c r="F1817" s="21" t="str">
        <f aca="false">IF(OR(E1817="",E1817="!!!"),"",IF(NOT(ISNA(VLOOKUP(E1817,E$1:E1816,1,FALSE()))),"OLD",IF(AND(E1817&lt;&gt;"",E1817&lt;&gt;"!!!"),"NEW","")))</f>
        <v/>
      </c>
      <c r="G1817" s="22" t="str">
        <f aca="false"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3" t="str">
        <f aca="false">IF(J1817&lt;&gt;1,"",IF(I1817="SBJ","CB","?"))</f>
        <v/>
      </c>
      <c r="I1817" s="24" t="str">
        <f aca="false">IF(OR(E1817="",E1817="!!!",F1817="NEW"),"",INDEX(B$2:B1816,-1+SUMPRODUCT(MAX(ROW(E$2:E1816)*(E1817=E$2:E1816)))))</f>
        <v/>
      </c>
      <c r="J1817" s="24" t="str">
        <f aca="true">IF(OR(E1817="",E1817="!!!",F1817="NEW"),"",COUNTBLANK(OFFSET(A$1,,,SUMPRODUCT(MAX(ROW(E$2:E1817)*(E1817=E$2:E1817)))))-COUNTBLANK(OFFSET(A$1,,,SUMPRODUCT(MAX(ROW(E$1:E1816)*(E2=E$1:E1816))))))</f>
        <v/>
      </c>
      <c r="K1817" s="24" t="str">
        <f aca="false">IF(OR(E1817="",E1817="!!!",F1817="NEW"),"",INDEX(J$1:J1816,SUMPRODUCT(MAX(ROW(E$1:E1816)*(E1817=E$1:E1816)))))</f>
        <v/>
      </c>
      <c r="L1817" s="25"/>
    </row>
    <row r="1818" customFormat="false" ht="14.25" hidden="false" customHeight="false" outlineLevel="0" collapsed="false">
      <c r="A1818" s="0" t="s">
        <v>193</v>
      </c>
      <c r="B1818" s="26" t="s">
        <v>419</v>
      </c>
      <c r="C1818" s="26" t="s">
        <v>88</v>
      </c>
      <c r="D1818" s="26" t="s">
        <v>75</v>
      </c>
      <c r="E1818" s="20" t="s">
        <v>97</v>
      </c>
      <c r="F1818" s="21" t="str">
        <f aca="false">IF(OR(E1818="",E1818="!!!"),"",IF(NOT(ISNA(VLOOKUP(E1818,E$1:E1817,1,FALSE()))),"OLD",IF(AND(E1818&lt;&gt;"",E1818&lt;&gt;"!!!"),"NEW","")))</f>
        <v>OLD</v>
      </c>
      <c r="G1818" s="22" t="str">
        <f aca="false"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?IN_FOCUS</v>
      </c>
      <c r="H1818" s="23" t="str">
        <f aca="false">IF(J1818&lt;&gt;1,"",IF(I1818="SBJ","CB","?"))</f>
        <v/>
      </c>
      <c r="I1818" s="24" t="str">
        <f aca="false">IF(OR(E1818="",E1818="!!!",F1818="NEW"),"",INDEX(B$2:B1817,-1+SUMPRODUCT(MAX(ROW(E$2:E1817)*(E1818=E$2:E1817)))))</f>
        <v>SBJ_9</v>
      </c>
      <c r="J1818" s="24" t="n">
        <f aca="true">IF(OR(E1818="",E1818="!!!",F1818="NEW"),"",COUNTBLANK(OFFSET(A$1,,,SUMPRODUCT(MAX(ROW(E$2:E1818)*(E1818=E$2:E1818)))))-COUNTBLANK(OFFSET(A$1,,,SUMPRODUCT(MAX(ROW(E$1:E1817)*(E2=E$1:E1817))))))</f>
        <v>0</v>
      </c>
      <c r="K1818" s="24" t="n">
        <f aca="false">IF(OR(E1818="",E1818="!!!",F1818="NEW"),"",INDEX(J$1:J1817,SUMPRODUCT(MAX(ROW(E$1:E1817)*(E1818=E$1:E1817)))))</f>
        <v>0</v>
      </c>
      <c r="L1818" s="25"/>
    </row>
    <row r="1819" customFormat="false" ht="14.25" hidden="false" customHeight="false" outlineLevel="0" collapsed="false">
      <c r="A1819" s="0" t="s">
        <v>1036</v>
      </c>
      <c r="E1819" s="20" t="str">
        <f aca="false">IF(D1819="?OLD","!!!","")</f>
        <v/>
      </c>
      <c r="F1819" s="21" t="str">
        <f aca="false">IF(OR(E1819="",E1819="!!!"),"",IF(NOT(ISNA(VLOOKUP(E1819,E$1:E1818,1,FALSE()))),"OLD",IF(AND(E1819&lt;&gt;"",E1819&lt;&gt;"!!!"),"NEW","")))</f>
        <v/>
      </c>
      <c r="G1819" s="22" t="str">
        <f aca="false"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3" t="str">
        <f aca="false">IF(J1819&lt;&gt;1,"",IF(I1819="SBJ","CB","?"))</f>
        <v/>
      </c>
      <c r="I1819" s="24" t="str">
        <f aca="false">IF(OR(E1819="",E1819="!!!",F1819="NEW"),"",INDEX(B$2:B1818,-1+SUMPRODUCT(MAX(ROW(E$2:E1818)*(E1819=E$2:E1818)))))</f>
        <v/>
      </c>
      <c r="J1819" s="24" t="str">
        <f aca="true">IF(OR(E1819="",E1819="!!!",F1819="NEW"),"",COUNTBLANK(OFFSET(A$1,,,SUMPRODUCT(MAX(ROW(E$2:E1819)*(E1819=E$2:E1819)))))-COUNTBLANK(OFFSET(A$1,,,SUMPRODUCT(MAX(ROW(E$1:E1818)*(E2=E$1:E1818))))))</f>
        <v/>
      </c>
      <c r="K1819" s="24" t="str">
        <f aca="false">IF(OR(E1819="",E1819="!!!",F1819="NEW"),"",INDEX(J$1:J1818,SUMPRODUCT(MAX(ROW(E$1:E1818)*(E1819=E$1:E1818)))))</f>
        <v/>
      </c>
      <c r="L1819" s="25"/>
    </row>
    <row r="1820" customFormat="false" ht="14.25" hidden="false" customHeight="false" outlineLevel="0" collapsed="false">
      <c r="A1820" s="0" t="s">
        <v>123</v>
      </c>
      <c r="B1820" s="26" t="s">
        <v>416</v>
      </c>
      <c r="C1820" s="26" t="s">
        <v>88</v>
      </c>
      <c r="D1820" s="26" t="s">
        <v>75</v>
      </c>
      <c r="E1820" s="20" t="s">
        <v>1025</v>
      </c>
      <c r="F1820" s="21" t="s">
        <v>124</v>
      </c>
      <c r="G1820" s="22" t="str">
        <f aca="false"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?IN_FOCUS</v>
      </c>
      <c r="H1820" s="23" t="str">
        <f aca="false">IF(J1820&lt;&gt;1,"",IF(I1820="SBJ","CB","?"))</f>
        <v/>
      </c>
      <c r="I1820" s="24" t="str">
        <f aca="false">IF(OR(E1820="",E1820="!!!",F1820="NEW"),"",INDEX(B$2:B1819,-1+SUMPRODUCT(MAX(ROW(E$2:E1819)*(E1820=E$2:E1819)))))</f>
        <v>SBJ_7</v>
      </c>
      <c r="J1820" s="24" t="n">
        <f aca="true">IF(OR(E1820="",E1820="!!!",F1820="NEW"),"",COUNTBLANK(OFFSET(A$1,,,SUMPRODUCT(MAX(ROW(E$2:E1820)*(E1820=E$2:E1820)))))-COUNTBLANK(OFFSET(A$1,,,SUMPRODUCT(MAX(ROW(E$1:E1819)*(E2=E$1:E1819))))))</f>
        <v>0</v>
      </c>
      <c r="K1820" s="24" t="n">
        <f aca="false">IF(OR(E1820="",E1820="!!!",F1820="NEW"),"",INDEX(J$1:J1819,SUMPRODUCT(MAX(ROW(E$1:E1819)*(E1820=E$1:E1819)))))</f>
        <v>0</v>
      </c>
      <c r="L1820" s="25"/>
    </row>
    <row r="1821" customFormat="false" ht="14.25" hidden="false" customHeight="false" outlineLevel="0" collapsed="false">
      <c r="A1821" s="0" t="s">
        <v>513</v>
      </c>
      <c r="E1821" s="20" t="str">
        <f aca="false">IF(D1821="?OLD","!!!","")</f>
        <v/>
      </c>
      <c r="F1821" s="21" t="str">
        <f aca="false">IF(OR(E1821="",E1821="!!!"),"",IF(NOT(ISNA(VLOOKUP(E1821,E$1:E1820,1,FALSE()))),"OLD",IF(AND(E1821&lt;&gt;"",E1821&lt;&gt;"!!!"),"NEW","")))</f>
        <v/>
      </c>
      <c r="G1821" s="22" t="str">
        <f aca="false"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3" t="str">
        <f aca="false">IF(J1821&lt;&gt;1,"",IF(I1821="SBJ","CB","?"))</f>
        <v/>
      </c>
      <c r="I1821" s="24" t="str">
        <f aca="false">IF(OR(E1821="",E1821="!!!",F1821="NEW"),"",INDEX(B$2:B1820,-1+SUMPRODUCT(MAX(ROW(E$2:E1820)*(E1821=E$2:E1820)))))</f>
        <v/>
      </c>
      <c r="J1821" s="24" t="str">
        <f aca="true">IF(OR(E1821="",E1821="!!!",F1821="NEW"),"",COUNTBLANK(OFFSET(A$1,,,SUMPRODUCT(MAX(ROW(E$2:E1821)*(E1821=E$2:E1821)))))-COUNTBLANK(OFFSET(A$1,,,SUMPRODUCT(MAX(ROW(E$1:E1820)*(E2=E$1:E1820))))))</f>
        <v/>
      </c>
      <c r="K1821" s="24" t="str">
        <f aca="false">IF(OR(E1821="",E1821="!!!",F1821="NEW"),"",INDEX(J$1:J1820,SUMPRODUCT(MAX(ROW(E$1:E1820)*(E1821=E$1:E1820)))))</f>
        <v/>
      </c>
      <c r="L1821" s="25"/>
    </row>
    <row r="1822" customFormat="false" ht="14.25" hidden="false" customHeight="false" outlineLevel="0" collapsed="false">
      <c r="A1822" s="0" t="s">
        <v>101</v>
      </c>
      <c r="E1822" s="20" t="str">
        <f aca="false">IF(D1822="?OLD","!!!","")</f>
        <v/>
      </c>
      <c r="F1822" s="21" t="str">
        <f aca="false">IF(OR(E1822="",E1822="!!!"),"",IF(NOT(ISNA(VLOOKUP(E1822,E$1:E1821,1,FALSE()))),"OLD",IF(AND(E1822&lt;&gt;"",E1822&lt;&gt;"!!!"),"NEW","")))</f>
        <v/>
      </c>
      <c r="G1822" s="22" t="str">
        <f aca="false"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3" t="str">
        <f aca="false">IF(J1822&lt;&gt;1,"",IF(I1822="SBJ","CB","?"))</f>
        <v/>
      </c>
      <c r="I1822" s="24" t="str">
        <f aca="false">IF(OR(E1822="",E1822="!!!",F1822="NEW"),"",INDEX(B$2:B1821,-1+SUMPRODUCT(MAX(ROW(E$2:E1821)*(E1822=E$2:E1821)))))</f>
        <v/>
      </c>
      <c r="J1822" s="24" t="str">
        <f aca="true">IF(OR(E1822="",E1822="!!!",F1822="NEW"),"",COUNTBLANK(OFFSET(A$1,,,SUMPRODUCT(MAX(ROW(E$2:E1822)*(E1822=E$2:E1822)))))-COUNTBLANK(OFFSET(A$1,,,SUMPRODUCT(MAX(ROW(E$1:E1821)*(E2=E$1:E1821))))))</f>
        <v/>
      </c>
      <c r="K1822" s="24" t="str">
        <f aca="false">IF(OR(E1822="",E1822="!!!",F1822="NEW"),"",INDEX(J$1:J1821,SUMPRODUCT(MAX(ROW(E$1:E1821)*(E1822=E$1:E1821)))))</f>
        <v/>
      </c>
      <c r="L1822" s="25"/>
    </row>
    <row r="1824" customFormat="false" ht="14.25" hidden="false" customHeight="false" outlineLevel="0" collapsed="false">
      <c r="A1824" s="0" t="s">
        <v>401</v>
      </c>
      <c r="E1824" s="20" t="str">
        <f aca="false">IF(D1824="?OLD","!!!","")</f>
        <v/>
      </c>
      <c r="F1824" s="21" t="str">
        <f aca="false">IF(OR(E1824="",E1824="!!!"),"",IF(NOT(ISNA(VLOOKUP(E1824,E$1:E1823,1,FALSE()))),"OLD",IF(AND(E1824&lt;&gt;"",E1824&lt;&gt;"!!!"),"NEW","")))</f>
        <v/>
      </c>
      <c r="G1824" s="22" t="str">
        <f aca="false"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/>
      </c>
      <c r="H1824" s="23" t="str">
        <f aca="false">IF(J1824&lt;&gt;1,"",IF(I1824="SBJ","CB","?"))</f>
        <v/>
      </c>
      <c r="I1824" s="24" t="str">
        <f aca="false">IF(OR(E1824="",E1824="!!!",F1824="NEW"),"",INDEX(B$2:B1823,-1+SUMPRODUCT(MAX(ROW(E$2:E1823)*(E1824=E$2:E1823)))))</f>
        <v/>
      </c>
      <c r="J1824" s="24" t="str">
        <f aca="true">IF(OR(E1824="",E1824="!!!",F1824="NEW"),"",COUNTBLANK(OFFSET(A$1,,,SUMPRODUCT(MAX(ROW(E$2:E1824)*(E1824=E$2:E1824)))))-COUNTBLANK(OFFSET(A$1,,,SUMPRODUCT(MAX(ROW(E$1:E1823)*(E2=E$1:E1823))))))</f>
        <v/>
      </c>
      <c r="K1824" s="24" t="str">
        <f aca="false">IF(OR(E1824="",E1824="!!!",F1824="NEW"),"",INDEX(J$1:J1823,SUMPRODUCT(MAX(ROW(E$1:E1823)*(E1824=E$1:E1823)))))</f>
        <v/>
      </c>
      <c r="L1824" s="25"/>
    </row>
    <row r="1825" customFormat="false" ht="14.25" hidden="false" customHeight="false" outlineLevel="0" collapsed="false">
      <c r="A1825" s="0" t="s">
        <v>1049</v>
      </c>
    </row>
    <row r="1826" customFormat="false" ht="14.25" hidden="false" customHeight="false" outlineLevel="0" collapsed="false">
      <c r="A1826" s="0" t="s">
        <v>1038</v>
      </c>
      <c r="E1826" s="20" t="str">
        <f aca="false">IF(D1826="?OLD","!!!","")</f>
        <v/>
      </c>
      <c r="F1826" s="21" t="str">
        <f aca="false">IF(OR(E1826="",E1826="!!!"),"",IF(NOT(ISNA(VLOOKUP(E1826,E$1:E1825,1,FALSE()))),"OLD",IF(AND(E1826&lt;&gt;"",E1826&lt;&gt;"!!!"),"NEW","")))</f>
        <v/>
      </c>
      <c r="G1826" s="22" t="str">
        <f aca="false"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3" t="str">
        <f aca="false">IF(J1826&lt;&gt;1,"",IF(I1826="SBJ","CB","?"))</f>
        <v/>
      </c>
      <c r="I1826" s="24" t="str">
        <f aca="false">IF(OR(E1826="",E1826="!!!",F1826="NEW"),"",INDEX(B$2:B1825,-1+SUMPRODUCT(MAX(ROW(E$2:E1825)*(E1826=E$2:E1825)))))</f>
        <v/>
      </c>
      <c r="J1826" s="24" t="str">
        <f aca="true">IF(OR(E1826="",E1826="!!!",F1826="NEW"),"",COUNTBLANK(OFFSET(A$1,,,SUMPRODUCT(MAX(ROW(E$2:E1826)*(E1826=E$2:E1826)))))-COUNTBLANK(OFFSET(A$1,,,SUMPRODUCT(MAX(ROW(E$1:E1825)*(E2=E$1:E1825))))))</f>
        <v/>
      </c>
      <c r="K1826" s="24" t="str">
        <f aca="false">IF(OR(E1826="",E1826="!!!",F1826="NEW"),"",INDEX(J$1:J1825,SUMPRODUCT(MAX(ROW(E$1:E1825)*(E1826=E$1:E1825)))))</f>
        <v/>
      </c>
      <c r="L1826" s="25"/>
    </row>
    <row r="1827" customFormat="false" ht="14.25" hidden="false" customHeight="false" outlineLevel="0" collapsed="false">
      <c r="A1827" s="0" t="s">
        <v>778</v>
      </c>
      <c r="B1827" s="26" t="s">
        <v>73</v>
      </c>
      <c r="C1827" s="26" t="s">
        <v>88</v>
      </c>
      <c r="D1827" s="26" t="s">
        <v>75</v>
      </c>
      <c r="E1827" s="20" t="s">
        <v>1025</v>
      </c>
      <c r="F1827" s="21" t="str">
        <f aca="false">IF(OR(E1827="",E1827="!!!"),"",IF(NOT(ISNA(VLOOKUP(E1827,E$1:E1826,1,FALSE()))),"OLD",IF(AND(E1827&lt;&gt;"",E1827&lt;&gt;"!!!"),"NEW","")))</f>
        <v>OLD</v>
      </c>
      <c r="G1827" s="22" t="str">
        <f aca="false"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?IN_FOCUS</v>
      </c>
      <c r="H1827" s="23" t="str">
        <f aca="false">IF(J1827&lt;&gt;1,"",IF(I1827="SBJ","CB","?"))</f>
        <v/>
      </c>
      <c r="I1827" s="24" t="str">
        <f aca="false">IF(OR(E1827="",E1827="!!!",F1827="NEW"),"",INDEX(B$2:B1826,-1+SUMPRODUCT(MAX(ROW(E$2:E1826)*(E1827=E$2:E1826)))))</f>
        <v>OBJ_7</v>
      </c>
      <c r="J1827" s="24" t="n">
        <f aca="true">IF(OR(E1827="",E1827="!!!",F1827="NEW"),"",COUNTBLANK(OFFSET(A$1,,,SUMPRODUCT(MAX(ROW(E$2:E1827)*(E1827=E$2:E1827)))))-COUNTBLANK(OFFSET(A$1,,,SUMPRODUCT(MAX(ROW(E$1:E1826)*(E2=E$1:E1826))))))</f>
        <v>0</v>
      </c>
      <c r="K1827" s="24" t="n">
        <f aca="false">IF(OR(E1827="",E1827="!!!",F1827="NEW"),"",INDEX(J$1:J1826,SUMPRODUCT(MAX(ROW(E$1:E1826)*(E1827=E$1:E1826)))))</f>
        <v>0</v>
      </c>
      <c r="L1827" s="25"/>
    </row>
    <row r="1828" customFormat="false" ht="14.25" hidden="false" customHeight="false" outlineLevel="0" collapsed="false">
      <c r="A1828" s="0" t="s">
        <v>324</v>
      </c>
      <c r="B1828" s="26" t="s">
        <v>91</v>
      </c>
      <c r="C1828" s="26" t="s">
        <v>88</v>
      </c>
      <c r="D1828" s="26" t="s">
        <v>75</v>
      </c>
      <c r="E1828" s="20" t="s">
        <v>97</v>
      </c>
      <c r="F1828" s="21" t="str">
        <f aca="false">IF(OR(E1828="",E1828="!!!"),"",IF(NOT(ISNA(VLOOKUP(E1828,E$1:E1827,1,FALSE()))),"OLD",IF(AND(E1828&lt;&gt;"",E1828&lt;&gt;"!!!"),"NEW","")))</f>
        <v>OLD</v>
      </c>
      <c r="G1828" s="22" t="str">
        <f aca="false"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?IN_FOCUS</v>
      </c>
      <c r="H1828" s="23" t="str">
        <f aca="false">IF(J1828&lt;&gt;1,"",IF(I1828="SBJ","CB","?"))</f>
        <v/>
      </c>
      <c r="I1828" s="24" t="str">
        <f aca="false">IF(OR(E1828="",E1828="!!!",F1828="NEW"),"",INDEX(B$2:B1827,-1+SUMPRODUCT(MAX(ROW(E$2:E1827)*(E1828=E$2:E1827)))))</f>
        <v>SBJ_7</v>
      </c>
      <c r="J1828" s="24" t="n">
        <f aca="true">IF(OR(E1828="",E1828="!!!",F1828="NEW"),"",COUNTBLANK(OFFSET(A$1,,,SUMPRODUCT(MAX(ROW(E$2:E1828)*(E1828=E$2:E1828)))))-COUNTBLANK(OFFSET(A$1,,,SUMPRODUCT(MAX(ROW(E$1:E1827)*(E2=E$1:E1827))))))</f>
        <v>0</v>
      </c>
      <c r="K1828" s="24" t="n">
        <f aca="false">IF(OR(E1828="",E1828="!!!",F1828="NEW"),"",INDEX(J$1:J1827,SUMPRODUCT(MAX(ROW(E$1:E1827)*(E1828=E$1:E1827)))))</f>
        <v>0</v>
      </c>
      <c r="L1828" s="25"/>
    </row>
    <row r="1829" customFormat="false" ht="14.25" hidden="false" customHeight="false" outlineLevel="0" collapsed="false">
      <c r="A1829" s="0" t="s">
        <v>237</v>
      </c>
      <c r="E1829" s="20" t="str">
        <f aca="false">IF(D1829="?OLD","!!!","")</f>
        <v/>
      </c>
      <c r="F1829" s="21" t="str">
        <f aca="false">IF(OR(E1829="",E1829="!!!"),"",IF(NOT(ISNA(VLOOKUP(E1829,E$1:E1828,1,FALSE()))),"OLD",IF(AND(E1829&lt;&gt;"",E1829&lt;&gt;"!!!"),"NEW","")))</f>
        <v/>
      </c>
      <c r="G1829" s="22" t="str">
        <f aca="false"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3" t="str">
        <f aca="false">IF(J1829&lt;&gt;1,"",IF(I1829="SBJ","CB","?"))</f>
        <v/>
      </c>
      <c r="I1829" s="24" t="str">
        <f aca="false">IF(OR(E1829="",E1829="!!!",F1829="NEW"),"",INDEX(B$2:B1828,-1+SUMPRODUCT(MAX(ROW(E$2:E1828)*(E1829=E$2:E1828)))))</f>
        <v/>
      </c>
      <c r="J1829" s="24" t="str">
        <f aca="true">IF(OR(E1829="",E1829="!!!",F1829="NEW"),"",COUNTBLANK(OFFSET(A$1,,,SUMPRODUCT(MAX(ROW(E$2:E1829)*(E1829=E$2:E1829)))))-COUNTBLANK(OFFSET(A$1,,,SUMPRODUCT(MAX(ROW(E$1:E1828)*(E2=E$1:E1828))))))</f>
        <v/>
      </c>
      <c r="K1829" s="24" t="str">
        <f aca="false">IF(OR(E1829="",E1829="!!!",F1829="NEW"),"",INDEX(J$1:J1828,SUMPRODUCT(MAX(ROW(E$1:E1828)*(E1829=E$1:E1828)))))</f>
        <v/>
      </c>
      <c r="L1829" s="25"/>
    </row>
    <row r="1830" customFormat="false" ht="14.25" hidden="false" customHeight="false" outlineLevel="0" collapsed="false">
      <c r="A1830" s="0" t="s">
        <v>1050</v>
      </c>
      <c r="B1830" s="26" t="s">
        <v>131</v>
      </c>
      <c r="C1830" s="26" t="s">
        <v>283</v>
      </c>
      <c r="D1830" s="26" t="s">
        <v>75</v>
      </c>
      <c r="E1830" s="20" t="s">
        <v>1051</v>
      </c>
      <c r="F1830" s="21" t="str">
        <f aca="false">IF(OR(E1830="",E1830="!!!"),"",IF(NOT(ISNA(VLOOKUP(E1830,E$1:E1829,1,FALSE()))),"OLD",IF(AND(E1830&lt;&gt;"",E1830&lt;&gt;"!!!"),"NEW","")))</f>
        <v>NEW</v>
      </c>
      <c r="G1830" s="22" t="str">
        <f aca="false"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?REFERENTIAL</v>
      </c>
      <c r="H1830" s="23" t="str">
        <f aca="false">IF(J1830&lt;&gt;1,"",IF(I1830="SBJ","CB","?"))</f>
        <v/>
      </c>
      <c r="I1830" s="24" t="str">
        <f aca="false">IF(OR(E1830="",E1830="!!!",F1830="NEW"),"",INDEX(B$2:B1829,-1+SUMPRODUCT(MAX(ROW(E$2:E1829)*(E1830=E$2:E1829)))))</f>
        <v/>
      </c>
      <c r="J1830" s="24" t="str">
        <f aca="true">IF(OR(E1830="",E1830="!!!",F1830="NEW"),"",COUNTBLANK(OFFSET(A$1,,,SUMPRODUCT(MAX(ROW(E$2:E1830)*(E1830=E$2:E1830)))))-COUNTBLANK(OFFSET(A$1,,,SUMPRODUCT(MAX(ROW(E$1:E1829)*(E2=E$1:E1829))))))</f>
        <v/>
      </c>
      <c r="K1830" s="24" t="str">
        <f aca="false">IF(OR(E1830="",E1830="!!!",F1830="NEW"),"",INDEX(J$1:J1829,SUMPRODUCT(MAX(ROW(E$1:E1829)*(E1830=E$1:E1829)))))</f>
        <v/>
      </c>
      <c r="L1830" s="25"/>
    </row>
    <row r="1831" customFormat="false" ht="14.25" hidden="false" customHeight="false" outlineLevel="0" collapsed="false">
      <c r="A1831" s="0" t="s">
        <v>1052</v>
      </c>
      <c r="E1831" s="20" t="str">
        <f aca="false">IF(D1831="?OLD","!!!","")</f>
        <v/>
      </c>
      <c r="F1831" s="21" t="str">
        <f aca="false">IF(OR(E1831="",E1831="!!!"),"",IF(NOT(ISNA(VLOOKUP(E1831,E$1:E1830,1,FALSE()))),"OLD",IF(AND(E1831&lt;&gt;"",E1831&lt;&gt;"!!!"),"NEW","")))</f>
        <v/>
      </c>
      <c r="G1831" s="22" t="str">
        <f aca="false"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3" t="str">
        <f aca="false">IF(J1831&lt;&gt;1,"",IF(I1831="SBJ","CB","?"))</f>
        <v/>
      </c>
      <c r="I1831" s="24" t="str">
        <f aca="false">IF(OR(E1831="",E1831="!!!",F1831="NEW"),"",INDEX(B$2:B1830,-1+SUMPRODUCT(MAX(ROW(E$2:E1830)*(E1831=E$2:E1830)))))</f>
        <v/>
      </c>
      <c r="J1831" s="24" t="str">
        <f aca="true">IF(OR(E1831="",E1831="!!!",F1831="NEW"),"",COUNTBLANK(OFFSET(A$1,,,SUMPRODUCT(MAX(ROW(E$2:E1831)*(E1831=E$2:E1831)))))-COUNTBLANK(OFFSET(A$1,,,SUMPRODUCT(MAX(ROW(E$1:E1830)*(E2=E$1:E1830))))))</f>
        <v/>
      </c>
      <c r="K1831" s="24" t="str">
        <f aca="false">IF(OR(E1831="",E1831="!!!",F1831="NEW"),"",INDEX(J$1:J1830,SUMPRODUCT(MAX(ROW(E$1:E1830)*(E1831=E$1:E1830)))))</f>
        <v/>
      </c>
      <c r="L1831" s="25"/>
    </row>
    <row r="1832" customFormat="false" ht="14.25" hidden="false" customHeight="false" outlineLevel="0" collapsed="false">
      <c r="A1832" s="0" t="s">
        <v>1053</v>
      </c>
      <c r="E1832" s="20" t="str">
        <f aca="false">IF(D1832="?OLD","!!!","")</f>
        <v/>
      </c>
      <c r="F1832" s="21" t="str">
        <f aca="false">IF(OR(E1832="",E1832="!!!"),"",IF(NOT(ISNA(VLOOKUP(E1832,E$1:E1831,1,FALSE()))),"OLD",IF(AND(E1832&lt;&gt;"",E1832&lt;&gt;"!!!"),"NEW","")))</f>
        <v/>
      </c>
      <c r="G1832" s="22" t="str">
        <f aca="false"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3" t="str">
        <f aca="false">IF(J1832&lt;&gt;1,"",IF(I1832="SBJ","CB","?"))</f>
        <v/>
      </c>
      <c r="I1832" s="24" t="str">
        <f aca="false">IF(OR(E1832="",E1832="!!!",F1832="NEW"),"",INDEX(B$2:B1831,-1+SUMPRODUCT(MAX(ROW(E$2:E1831)*(E1832=E$2:E1831)))))</f>
        <v/>
      </c>
      <c r="J1832" s="24" t="str">
        <f aca="true">IF(OR(E1832="",E1832="!!!",F1832="NEW"),"",COUNTBLANK(OFFSET(A$1,,,SUMPRODUCT(MAX(ROW(E$2:E1832)*(E1832=E$2:E1832)))))-COUNTBLANK(OFFSET(A$1,,,SUMPRODUCT(MAX(ROW(E$1:E1831)*(E2=E$1:E1831))))))</f>
        <v/>
      </c>
      <c r="K1832" s="24" t="str">
        <f aca="false">IF(OR(E1832="",E1832="!!!",F1832="NEW"),"",INDEX(J$1:J1831,SUMPRODUCT(MAX(ROW(E$1:E1831)*(E1832=E$1:E1831)))))</f>
        <v/>
      </c>
      <c r="L1832" s="25"/>
    </row>
    <row r="1833" customFormat="false" ht="14.25" hidden="false" customHeight="false" outlineLevel="0" collapsed="false">
      <c r="A1833" s="0" t="s">
        <v>101</v>
      </c>
      <c r="E1833" s="20" t="str">
        <f aca="false">IF(D1833="?OLD","!!!","")</f>
        <v/>
      </c>
      <c r="F1833" s="21" t="str">
        <f aca="false">IF(OR(E1833="",E1833="!!!"),"",IF(NOT(ISNA(VLOOKUP(E1833,E$1:E1832,1,FALSE()))),"OLD",IF(AND(E1833&lt;&gt;"",E1833&lt;&gt;"!!!"),"NEW","")))</f>
        <v/>
      </c>
      <c r="G1833" s="22" t="str">
        <f aca="false"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3" t="str">
        <f aca="false">IF(J1833&lt;&gt;1,"",IF(I1833="SBJ","CB","?"))</f>
        <v/>
      </c>
      <c r="I1833" s="24" t="str">
        <f aca="false">IF(OR(E1833="",E1833="!!!",F1833="NEW"),"",INDEX(B$2:B1832,-1+SUMPRODUCT(MAX(ROW(E$2:E1832)*(E1833=E$2:E1832)))))</f>
        <v/>
      </c>
      <c r="J1833" s="24" t="str">
        <f aca="true">IF(OR(E1833="",E1833="!!!",F1833="NEW"),"",COUNTBLANK(OFFSET(A$1,,,SUMPRODUCT(MAX(ROW(E$2:E1833)*(E1833=E$2:E1833)))))-COUNTBLANK(OFFSET(A$1,,,SUMPRODUCT(MAX(ROW(E$1:E1832)*(E2=E$1:E1832))))))</f>
        <v/>
      </c>
      <c r="K1833" s="24" t="str">
        <f aca="false">IF(OR(E1833="",E1833="!!!",F1833="NEW"),"",INDEX(J$1:J1832,SUMPRODUCT(MAX(ROW(E$1:E1832)*(E1833=E$1:E1832)))))</f>
        <v/>
      </c>
      <c r="L1833" s="25"/>
    </row>
    <row r="1834" customFormat="false" ht="14.25" hidden="false" customHeight="false" outlineLevel="0" collapsed="false">
      <c r="A1834" s="0" t="s">
        <v>112</v>
      </c>
      <c r="B1834" s="26" t="s">
        <v>96</v>
      </c>
      <c r="E1834" s="20"/>
      <c r="F1834" s="21" t="str">
        <f aca="false">IF(OR(E1834="",E1834="!!!"),"",IF(NOT(ISNA(VLOOKUP(E1834,E$1:E1833,1,FALSE()))),"OLD",IF(AND(E1834&lt;&gt;"",E1834&lt;&gt;"!!!"),"NEW","")))</f>
        <v/>
      </c>
      <c r="G1834" s="22" t="str">
        <f aca="false"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/>
      </c>
      <c r="H1834" s="23" t="str">
        <f aca="false">IF(J1834&lt;&gt;1,"",IF(I1834="SBJ","CB","?"))</f>
        <v/>
      </c>
      <c r="I1834" s="24" t="str">
        <f aca="false">IF(OR(E1834="",E1834="!!!",F1834="NEW"),"",INDEX(B$2:B1833,-1+SUMPRODUCT(MAX(ROW(E$2:E1833)*(E1834=E$2:E1833)))))</f>
        <v/>
      </c>
      <c r="J1834" s="24" t="str">
        <f aca="true">IF(OR(E1834="",E1834="!!!",F1834="NEW"),"",COUNTBLANK(OFFSET(A$1,,,SUMPRODUCT(MAX(ROW(E$2:E1834)*(E1834=E$2:E1834)))))-COUNTBLANK(OFFSET(A$1,,,SUMPRODUCT(MAX(ROW(E$1:E1833)*(E2=E$1:E1833))))))</f>
        <v/>
      </c>
      <c r="K1834" s="24" t="str">
        <f aca="false">IF(OR(E1834="",E1834="!!!",F1834="NEW"),"",INDEX(J$1:J1833,SUMPRODUCT(MAX(ROW(E$1:E1833)*(E1834=E$1:E1833)))))</f>
        <v/>
      </c>
      <c r="L1834" s="25"/>
    </row>
    <row r="1835" customFormat="false" ht="14.25" hidden="false" customHeight="false" outlineLevel="0" collapsed="false">
      <c r="A1835" s="0" t="s">
        <v>953</v>
      </c>
      <c r="E1835" s="20" t="str">
        <f aca="false">IF(D1835="?OLD","!!!","")</f>
        <v/>
      </c>
      <c r="F1835" s="21" t="str">
        <f aca="false">IF(OR(E1835="",E1835="!!!"),"",IF(NOT(ISNA(VLOOKUP(E1835,E$1:E1834,1,FALSE()))),"OLD",IF(AND(E1835&lt;&gt;"",E1835&lt;&gt;"!!!"),"NEW","")))</f>
        <v/>
      </c>
      <c r="G1835" s="22" t="str">
        <f aca="false"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3" t="str">
        <f aca="false">IF(J1835&lt;&gt;1,"",IF(I1835="SBJ","CB","?"))</f>
        <v/>
      </c>
      <c r="I1835" s="24" t="str">
        <f aca="false">IF(OR(E1835="",E1835="!!!",F1835="NEW"),"",INDEX(B$2:B1834,-1+SUMPRODUCT(MAX(ROW(E$2:E1834)*(E1835=E$2:E1834)))))</f>
        <v/>
      </c>
      <c r="J1835" s="24" t="str">
        <f aca="true">IF(OR(E1835="",E1835="!!!",F1835="NEW"),"",COUNTBLANK(OFFSET(A$1,,,SUMPRODUCT(MAX(ROW(E$2:E1835)*(E1835=E$2:E1835)))))-COUNTBLANK(OFFSET(A$1,,,SUMPRODUCT(MAX(ROW(E$1:E1834)*(E2=E$1:E1834))))))</f>
        <v/>
      </c>
      <c r="K1835" s="24" t="str">
        <f aca="false">IF(OR(E1835="",E1835="!!!",F1835="NEW"),"",INDEX(J$1:J1834,SUMPRODUCT(MAX(ROW(E$1:E1834)*(E1835=E$1:E1834)))))</f>
        <v/>
      </c>
      <c r="L1835" s="25"/>
    </row>
    <row r="1836" customFormat="false" ht="14.25" hidden="false" customHeight="false" outlineLevel="0" collapsed="false">
      <c r="A1836" s="0" t="s">
        <v>172</v>
      </c>
      <c r="E1836" s="20" t="str">
        <f aca="false">IF(D1836="?OLD","!!!","")</f>
        <v/>
      </c>
      <c r="F1836" s="21" t="str">
        <f aca="false">IF(OR(E1836="",E1836="!!!"),"",IF(NOT(ISNA(VLOOKUP(E1836,E$1:E1835,1,FALSE()))),"OLD",IF(AND(E1836&lt;&gt;"",E1836&lt;&gt;"!!!"),"NEW","")))</f>
        <v/>
      </c>
      <c r="G1836" s="22" t="str">
        <f aca="false"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3" t="str">
        <f aca="false">IF(J1836&lt;&gt;1,"",IF(I1836="SBJ","CB","?"))</f>
        <v/>
      </c>
      <c r="I1836" s="24" t="str">
        <f aca="false">IF(OR(E1836="",E1836="!!!",F1836="NEW"),"",INDEX(B$2:B1835,-1+SUMPRODUCT(MAX(ROW(E$2:E1835)*(E1836=E$2:E1835)))))</f>
        <v/>
      </c>
      <c r="J1836" s="24" t="str">
        <f aca="true">IF(OR(E1836="",E1836="!!!",F1836="NEW"),"",COUNTBLANK(OFFSET(A$1,,,SUMPRODUCT(MAX(ROW(E$2:E1836)*(E1836=E$2:E1836)))))-COUNTBLANK(OFFSET(A$1,,,SUMPRODUCT(MAX(ROW(E$1:E1835)*(E2=E$1:E1835))))))</f>
        <v/>
      </c>
      <c r="K1836" s="24" t="str">
        <f aca="false">IF(OR(E1836="",E1836="!!!",F1836="NEW"),"",INDEX(J$1:J1835,SUMPRODUCT(MAX(ROW(E$1:E1835)*(E1836=E$1:E1835)))))</f>
        <v/>
      </c>
      <c r="L1836" s="25"/>
    </row>
    <row r="1837" customFormat="false" ht="14.25" hidden="false" customHeight="false" outlineLevel="0" collapsed="false">
      <c r="A1837" s="0" t="s">
        <v>376</v>
      </c>
      <c r="E1837" s="20" t="str">
        <f aca="false">IF(D1837="?OLD","!!!","")</f>
        <v/>
      </c>
      <c r="F1837" s="21" t="str">
        <f aca="false">IF(OR(E1837="",E1837="!!!"),"",IF(NOT(ISNA(VLOOKUP(E1837,E$1:E1836,1,FALSE()))),"OLD",IF(AND(E1837&lt;&gt;"",E1837&lt;&gt;"!!!"),"NEW","")))</f>
        <v/>
      </c>
      <c r="G1837" s="22" t="str">
        <f aca="false"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3" t="str">
        <f aca="false">IF(J1837&lt;&gt;1,"",IF(I1837="SBJ","CB","?"))</f>
        <v/>
      </c>
      <c r="I1837" s="24" t="str">
        <f aca="false">IF(OR(E1837="",E1837="!!!",F1837="NEW"),"",INDEX(B$2:B1836,-1+SUMPRODUCT(MAX(ROW(E$2:E1836)*(E1837=E$2:E1836)))))</f>
        <v/>
      </c>
      <c r="J1837" s="24" t="str">
        <f aca="true">IF(OR(E1837="",E1837="!!!",F1837="NEW"),"",COUNTBLANK(OFFSET(A$1,,,SUMPRODUCT(MAX(ROW(E$2:E1837)*(E1837=E$2:E1837)))))-COUNTBLANK(OFFSET(A$1,,,SUMPRODUCT(MAX(ROW(E$1:E1836)*(E2=E$1:E1836))))))</f>
        <v/>
      </c>
      <c r="K1837" s="24" t="str">
        <f aca="false">IF(OR(E1837="",E1837="!!!",F1837="NEW"),"",INDEX(J$1:J1836,SUMPRODUCT(MAX(ROW(E$1:E1836)*(E1837=E$1:E1836)))))</f>
        <v/>
      </c>
      <c r="L1837" s="25"/>
    </row>
    <row r="1838" customFormat="false" ht="14.25" hidden="false" customHeight="false" outlineLevel="0" collapsed="false">
      <c r="A1838" s="0" t="s">
        <v>1054</v>
      </c>
      <c r="B1838" s="26" t="s">
        <v>104</v>
      </c>
      <c r="C1838" s="26" t="s">
        <v>105</v>
      </c>
      <c r="E1838" s="20" t="str">
        <f aca="false">IF(D1838="?OLD","!!!","")</f>
        <v/>
      </c>
      <c r="F1838" s="21" t="str">
        <f aca="false">IF(OR(E1838="",E1838="!!!"),"",IF(NOT(ISNA(VLOOKUP(E1838,E$1:E1837,1,FALSE()))),"OLD",IF(AND(E1838&lt;&gt;"",E1838&lt;&gt;"!!!"),"NEW","")))</f>
        <v/>
      </c>
      <c r="G1838" s="22" t="str">
        <f aca="false"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3" t="str">
        <f aca="false">IF(J1838&lt;&gt;1,"",IF(I1838="SBJ","CB","?"))</f>
        <v/>
      </c>
      <c r="I1838" s="24" t="str">
        <f aca="false">IF(OR(E1838="",E1838="!!!",F1838="NEW"),"",INDEX(B$2:B1837,-1+SUMPRODUCT(MAX(ROW(E$2:E1837)*(E1838=E$2:E1837)))))</f>
        <v/>
      </c>
      <c r="J1838" s="24" t="str">
        <f aca="true">IF(OR(E1838="",E1838="!!!",F1838="NEW"),"",COUNTBLANK(OFFSET(A$1,,,SUMPRODUCT(MAX(ROW(E$2:E1838)*(E1838=E$2:E1838)))))-COUNTBLANK(OFFSET(A$1,,,SUMPRODUCT(MAX(ROW(E$1:E1837)*(E2=E$1:E1837))))))</f>
        <v/>
      </c>
      <c r="K1838" s="24" t="str">
        <f aca="false">IF(OR(E1838="",E1838="!!!",F1838="NEW"),"",INDEX(J$1:J1837,SUMPRODUCT(MAX(ROW(E$1:E1837)*(E1838=E$1:E1837)))))</f>
        <v/>
      </c>
      <c r="L1838" s="25"/>
    </row>
    <row r="1839" customFormat="false" ht="14.25" hidden="false" customHeight="false" outlineLevel="0" collapsed="false">
      <c r="A1839" s="0" t="s">
        <v>259</v>
      </c>
      <c r="E1839" s="20" t="str">
        <f aca="false">IF(D1839="?OLD","!!!","")</f>
        <v/>
      </c>
      <c r="F1839" s="21" t="str">
        <f aca="false">IF(OR(E1839="",E1839="!!!"),"",IF(NOT(ISNA(VLOOKUP(E1839,E$1:E1838,1,FALSE()))),"OLD",IF(AND(E1839&lt;&gt;"",E1839&lt;&gt;"!!!"),"NEW","")))</f>
        <v/>
      </c>
      <c r="G1839" s="22" t="str">
        <f aca="false"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3" t="str">
        <f aca="false">IF(J1839&lt;&gt;1,"",IF(I1839="SBJ","CB","?"))</f>
        <v/>
      </c>
      <c r="I1839" s="24" t="str">
        <f aca="false">IF(OR(E1839="",E1839="!!!",F1839="NEW"),"",INDEX(B$2:B1838,-1+SUMPRODUCT(MAX(ROW(E$2:E1838)*(E1839=E$2:E1838)))))</f>
        <v/>
      </c>
      <c r="J1839" s="24" t="str">
        <f aca="true">IF(OR(E1839="",E1839="!!!",F1839="NEW"),"",COUNTBLANK(OFFSET(A$1,,,SUMPRODUCT(MAX(ROW(E$2:E1839)*(E1839=E$2:E1839)))))-COUNTBLANK(OFFSET(A$1,,,SUMPRODUCT(MAX(ROW(E$1:E1838)*(E2=E$1:E1838))))))</f>
        <v/>
      </c>
      <c r="K1839" s="24" t="str">
        <f aca="false">IF(OR(E1839="",E1839="!!!",F1839="NEW"),"",INDEX(J$1:J1838,SUMPRODUCT(MAX(ROW(E$1:E1838)*(E1839=E$1:E1838)))))</f>
        <v/>
      </c>
      <c r="L1839" s="25"/>
    </row>
    <row r="1840" customFormat="false" ht="14.25" hidden="false" customHeight="false" outlineLevel="0" collapsed="false">
      <c r="A1840" s="0" t="s">
        <v>136</v>
      </c>
      <c r="E1840" s="20" t="str">
        <f aca="false">IF(D1840="?OLD","!!!","")</f>
        <v/>
      </c>
      <c r="F1840" s="21" t="str">
        <f aca="false">IF(OR(E1840="",E1840="!!!"),"",IF(NOT(ISNA(VLOOKUP(E1840,E$1:E1839,1,FALSE()))),"OLD",IF(AND(E1840&lt;&gt;"",E1840&lt;&gt;"!!!"),"NEW","")))</f>
        <v/>
      </c>
      <c r="G1840" s="22" t="str">
        <f aca="false"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3" t="str">
        <f aca="false">IF(J1840&lt;&gt;1,"",IF(I1840="SBJ","CB","?"))</f>
        <v/>
      </c>
      <c r="I1840" s="24" t="str">
        <f aca="false">IF(OR(E1840="",E1840="!!!",F1840="NEW"),"",INDEX(B$2:B1839,-1+SUMPRODUCT(MAX(ROW(E$2:E1839)*(E1840=E$2:E1839)))))</f>
        <v/>
      </c>
      <c r="J1840" s="24" t="str">
        <f aca="true">IF(OR(E1840="",E1840="!!!",F1840="NEW"),"",COUNTBLANK(OFFSET(A$1,,,SUMPRODUCT(MAX(ROW(E$2:E1840)*(E1840=E$2:E1840)))))-COUNTBLANK(OFFSET(A$1,,,SUMPRODUCT(MAX(ROW(E$1:E1839)*(E2=E$1:E1839))))))</f>
        <v/>
      </c>
      <c r="K1840" s="24" t="str">
        <f aca="false">IF(OR(E1840="",E1840="!!!",F1840="NEW"),"",INDEX(J$1:J1839,SUMPRODUCT(MAX(ROW(E$1:E1839)*(E1840=E$1:E1839)))))</f>
        <v/>
      </c>
      <c r="L1840" s="25"/>
    </row>
    <row r="1841" customFormat="false" ht="14.25" hidden="false" customHeight="false" outlineLevel="0" collapsed="false">
      <c r="A1841" s="0" t="s">
        <v>494</v>
      </c>
      <c r="B1841" s="26" t="s">
        <v>115</v>
      </c>
      <c r="C1841" s="26" t="s">
        <v>74</v>
      </c>
      <c r="D1841" s="26" t="s">
        <v>75</v>
      </c>
      <c r="E1841" s="20" t="s">
        <v>495</v>
      </c>
      <c r="F1841" s="21" t="str">
        <f aca="false">IF(OR(E1841="",E1841="!!!"),"",IF(NOT(ISNA(VLOOKUP(E1841,E$1:E1840,1,FALSE()))),"OLD",IF(AND(E1841&lt;&gt;"",E1841&lt;&gt;"!!!"),"NEW","")))</f>
        <v>OLD</v>
      </c>
      <c r="G1841" s="22" t="str">
        <f aca="false"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?IN_FOCUS</v>
      </c>
      <c r="H1841" s="23" t="str">
        <f aca="false">IF(J1841&lt;&gt;1,"",IF(I1841="SBJ","CB","?"))</f>
        <v/>
      </c>
      <c r="I1841" s="24" t="str">
        <f aca="false">IF(OR(E1841="",E1841="!!!",F1841="NEW"),"",INDEX(B$2:B1840,-1+SUMPRODUCT(MAX(ROW(E$2:E1840)*(E1841=E$2:E1840)))))</f>
        <v>other_4</v>
      </c>
      <c r="J1841" s="24" t="n">
        <f aca="true">IF(OR(E1841="",E1841="!!!",F1841="NEW"),"",COUNTBLANK(OFFSET(A$1,,,SUMPRODUCT(MAX(ROW(E$2:E1841)*(E1841=E$2:E1841)))))-COUNTBLANK(OFFSET(A$1,,,SUMPRODUCT(MAX(ROW(E$1:E1840)*(E2=E$1:E1840))))))</f>
        <v>0</v>
      </c>
      <c r="K1841" s="24" t="n">
        <f aca="false">IF(OR(E1841="",E1841="!!!",F1841="NEW"),"",INDEX(J$1:J1840,SUMPRODUCT(MAX(ROW(E$1:E1840)*(E1841=E$1:E1840)))))</f>
        <v>0</v>
      </c>
      <c r="L1841" s="25"/>
    </row>
    <row r="1842" customFormat="false" ht="14.25" hidden="false" customHeight="false" outlineLevel="0" collapsed="false">
      <c r="A1842" s="0" t="s">
        <v>101</v>
      </c>
      <c r="E1842" s="20" t="str">
        <f aca="false">IF(D1842="?OLD","!!!","")</f>
        <v/>
      </c>
      <c r="F1842" s="21" t="str">
        <f aca="false">IF(OR(E1842="",E1842="!!!"),"",IF(NOT(ISNA(VLOOKUP(E1842,E$1:E1841,1,FALSE()))),"OLD",IF(AND(E1842&lt;&gt;"",E1842&lt;&gt;"!!!"),"NEW","")))</f>
        <v/>
      </c>
      <c r="G1842" s="22" t="str">
        <f aca="false"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3" t="str">
        <f aca="false">IF(J1842&lt;&gt;1,"",IF(I1842="SBJ","CB","?"))</f>
        <v/>
      </c>
      <c r="I1842" s="24" t="str">
        <f aca="false">IF(OR(E1842="",E1842="!!!",F1842="NEW"),"",INDEX(B$2:B1841,-1+SUMPRODUCT(MAX(ROW(E$2:E1841)*(E1842=E$2:E1841)))))</f>
        <v/>
      </c>
      <c r="J1842" s="24" t="str">
        <f aca="true">IF(OR(E1842="",E1842="!!!",F1842="NEW"),"",COUNTBLANK(OFFSET(A$1,,,SUMPRODUCT(MAX(ROW(E$2:E1842)*(E1842=E$2:E1842)))))-COUNTBLANK(OFFSET(A$1,,,SUMPRODUCT(MAX(ROW(E$1:E1841)*(E2=E$1:E1841))))))</f>
        <v/>
      </c>
      <c r="K1842" s="24" t="str">
        <f aca="false">IF(OR(E1842="",E1842="!!!",F1842="NEW"),"",INDEX(J$1:J1841,SUMPRODUCT(MAX(ROW(E$1:E1841)*(E1842=E$1:E1841)))))</f>
        <v/>
      </c>
      <c r="L1842" s="25"/>
    </row>
    <row r="1843" customFormat="false" ht="14.25" hidden="false" customHeight="false" outlineLevel="0" collapsed="false">
      <c r="A1843" s="0" t="s">
        <v>159</v>
      </c>
      <c r="E1843" s="20" t="str">
        <f aca="false">IF(D1843="?OLD","!!!","")</f>
        <v/>
      </c>
      <c r="F1843" s="21" t="str">
        <f aca="false">IF(OR(E1843="",E1843="!!!"),"",IF(NOT(ISNA(VLOOKUP(E1843,E$1:E1842,1,FALSE()))),"OLD",IF(AND(E1843&lt;&gt;"",E1843&lt;&gt;"!!!"),"NEW","")))</f>
        <v/>
      </c>
      <c r="G1843" s="22" t="str">
        <f aca="false"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3" t="str">
        <f aca="false">IF(J1843&lt;&gt;1,"",IF(I1843="SBJ","CB","?"))</f>
        <v/>
      </c>
      <c r="I1843" s="24" t="str">
        <f aca="false">IF(OR(E1843="",E1843="!!!",F1843="NEW"),"",INDEX(B$2:B1842,-1+SUMPRODUCT(MAX(ROW(E$2:E1842)*(E1843=E$2:E1842)))))</f>
        <v/>
      </c>
      <c r="J1843" s="24" t="str">
        <f aca="true">IF(OR(E1843="",E1843="!!!",F1843="NEW"),"",COUNTBLANK(OFFSET(A$1,,,SUMPRODUCT(MAX(ROW(E$2:E1843)*(E1843=E$2:E1843)))))-COUNTBLANK(OFFSET(A$1,,,SUMPRODUCT(MAX(ROW(E$1:E1842)*(E2=E$1:E1842))))))</f>
        <v/>
      </c>
      <c r="K1843" s="24" t="str">
        <f aca="false">IF(OR(E1843="",E1843="!!!",F1843="NEW"),"",INDEX(J$1:J1842,SUMPRODUCT(MAX(ROW(E$1:E1842)*(E1843=E$1:E1842)))))</f>
        <v/>
      </c>
      <c r="L1843" s="25"/>
    </row>
    <row r="1844" customFormat="false" ht="14.25" hidden="false" customHeight="false" outlineLevel="0" collapsed="false">
      <c r="A1844" s="0" t="s">
        <v>1055</v>
      </c>
      <c r="E1844" s="20" t="s">
        <v>495</v>
      </c>
      <c r="F1844" s="21" t="str">
        <f aca="false">IF(OR(E1844="",E1844="!!!"),"",IF(NOT(ISNA(VLOOKUP(E1844,E$1:E1843,1,FALSE()))),"OLD",IF(AND(E1844&lt;&gt;"",E1844&lt;&gt;"!!!"),"NEW","")))</f>
        <v>OLD</v>
      </c>
      <c r="G1844" s="22" t="str">
        <f aca="false"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?IN_FOCUS</v>
      </c>
      <c r="H1844" s="23" t="str">
        <f aca="false">IF(J1844&lt;&gt;1,"",IF(I1844="SBJ","CB","?"))</f>
        <v/>
      </c>
      <c r="I1844" s="24" t="str">
        <f aca="false">IF(OR(E1844="",E1844="!!!",F1844="NEW"),"",INDEX(B$2:B1843,-1+SUMPRODUCT(MAX(ROW(E$2:E1843)*(E1844=E$2:E1843)))))</f>
        <v>other_4</v>
      </c>
      <c r="J1844" s="24" t="n">
        <f aca="true">IF(OR(E1844="",E1844="!!!",F1844="NEW"),"",COUNTBLANK(OFFSET(A$1,,,SUMPRODUCT(MAX(ROW(E$2:E1844)*(E1844=E$2:E1844)))))-COUNTBLANK(OFFSET(A$1,,,SUMPRODUCT(MAX(ROW(E$1:E1843)*(E2=E$1:E1843))))))</f>
        <v>0</v>
      </c>
      <c r="K1844" s="24" t="n">
        <f aca="false">IF(OR(E1844="",E1844="!!!",F1844="NEW"),"",INDEX(J$1:J1843,SUMPRODUCT(MAX(ROW(E$1:E1843)*(E1844=E$1:E1843)))))</f>
        <v>0</v>
      </c>
      <c r="L1844" s="25"/>
    </row>
    <row r="1845" customFormat="false" ht="14.25" hidden="false" customHeight="false" outlineLevel="0" collapsed="false">
      <c r="A1845" s="0" t="s">
        <v>1056</v>
      </c>
      <c r="E1845" s="20" t="str">
        <f aca="false">IF(D1845="?OLD","!!!","")</f>
        <v/>
      </c>
      <c r="F1845" s="21" t="str">
        <f aca="false">IF(OR(E1845="",E1845="!!!"),"",IF(NOT(ISNA(VLOOKUP(E1845,E$1:E1844,1,FALSE()))),"OLD",IF(AND(E1845&lt;&gt;"",E1845&lt;&gt;"!!!"),"NEW","")))</f>
        <v/>
      </c>
      <c r="G1845" s="22" t="str">
        <f aca="false"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3" t="str">
        <f aca="false">IF(J1845&lt;&gt;1,"",IF(I1845="SBJ","CB","?"))</f>
        <v/>
      </c>
      <c r="I1845" s="24" t="str">
        <f aca="false">IF(OR(E1845="",E1845="!!!",F1845="NEW"),"",INDEX(B$2:B1844,-1+SUMPRODUCT(MAX(ROW(E$2:E1844)*(E1845=E$2:E1844)))))</f>
        <v/>
      </c>
      <c r="J1845" s="24" t="str">
        <f aca="true">IF(OR(E1845="",E1845="!!!",F1845="NEW"),"",COUNTBLANK(OFFSET(A$1,,,SUMPRODUCT(MAX(ROW(E$2:E1845)*(E1845=E$2:E1845)))))-COUNTBLANK(OFFSET(A$1,,,SUMPRODUCT(MAX(ROW(E$1:E1844)*(E2=E$1:E1844))))))</f>
        <v/>
      </c>
      <c r="K1845" s="24" t="str">
        <f aca="false">IF(OR(E1845="",E1845="!!!",F1845="NEW"),"",INDEX(J$1:J1844,SUMPRODUCT(MAX(ROW(E$1:E1844)*(E1845=E$1:E1844)))))</f>
        <v/>
      </c>
      <c r="L1845" s="25"/>
    </row>
    <row r="1846" customFormat="false" ht="14.25" hidden="false" customHeight="false" outlineLevel="0" collapsed="false">
      <c r="A1846" s="0" t="s">
        <v>1057</v>
      </c>
      <c r="B1846" s="26" t="s">
        <v>204</v>
      </c>
      <c r="C1846" s="26" t="s">
        <v>88</v>
      </c>
      <c r="D1846" s="26" t="s">
        <v>75</v>
      </c>
      <c r="E1846" s="20"/>
      <c r="F1846" s="21" t="s">
        <v>107</v>
      </c>
      <c r="G1846" s="22" t="str">
        <f aca="false"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3" t="str">
        <f aca="false">IF(J1846&lt;&gt;1,"",IF(I1846="SBJ","CB","?"))</f>
        <v/>
      </c>
      <c r="I1846" s="24" t="str">
        <f aca="false">IF(OR(E1846="",E1846="!!!",F1846="NEW"),"",INDEX(B$2:B1845,-1+SUMPRODUCT(MAX(ROW(E$2:E1845)*(E1846=E$2:E1845)))))</f>
        <v/>
      </c>
      <c r="J1846" s="24" t="str">
        <f aca="true">IF(OR(E1846="",E1846="!!!",F1846="NEW"),"",COUNTBLANK(OFFSET(A$1,,,SUMPRODUCT(MAX(ROW(E$2:E1846)*(E1846=E$2:E1846)))))-COUNTBLANK(OFFSET(A$1,,,SUMPRODUCT(MAX(ROW(E$1:E1845)*(E2=E$1:E1845))))))</f>
        <v/>
      </c>
      <c r="K1846" s="24" t="str">
        <f aca="false">IF(OR(E1846="",E1846="!!!",F1846="NEW"),"",INDEX(J$1:J1845,SUMPRODUCT(MAX(ROW(E$1:E1845)*(E1846=E$1:E1845)))))</f>
        <v/>
      </c>
      <c r="L1846" s="25"/>
    </row>
    <row r="1847" customFormat="false" ht="14.25" hidden="false" customHeight="false" outlineLevel="0" collapsed="false">
      <c r="A1847" s="0" t="s">
        <v>188</v>
      </c>
      <c r="E1847" s="20" t="str">
        <f aca="false">IF(D1847="?OLD","!!!","")</f>
        <v/>
      </c>
      <c r="F1847" s="21" t="str">
        <f aca="false">IF(OR(E1847="",E1847="!!!"),"",IF(NOT(ISNA(VLOOKUP(E1847,E$1:E1846,1,FALSE()))),"OLD",IF(AND(E1847&lt;&gt;"",E1847&lt;&gt;"!!!"),"NEW","")))</f>
        <v/>
      </c>
      <c r="G1847" s="22" t="str">
        <f aca="false"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3" t="str">
        <f aca="false">IF(J1847&lt;&gt;1,"",IF(I1847="SBJ","CB","?"))</f>
        <v/>
      </c>
      <c r="I1847" s="24" t="str">
        <f aca="false">IF(OR(E1847="",E1847="!!!",F1847="NEW"),"",INDEX(B$2:B1846,-1+SUMPRODUCT(MAX(ROW(E$2:E1846)*(E1847=E$2:E1846)))))</f>
        <v/>
      </c>
      <c r="J1847" s="24" t="str">
        <f aca="true">IF(OR(E1847="",E1847="!!!",F1847="NEW"),"",COUNTBLANK(OFFSET(A$1,,,SUMPRODUCT(MAX(ROW(E$2:E1847)*(E1847=E$2:E1847)))))-COUNTBLANK(OFFSET(A$1,,,SUMPRODUCT(MAX(ROW(E$1:E1846)*(E2=E$1:E1846))))))</f>
        <v/>
      </c>
      <c r="K1847" s="24" t="str">
        <f aca="false">IF(OR(E1847="",E1847="!!!",F1847="NEW"),"",INDEX(J$1:J1846,SUMPRODUCT(MAX(ROW(E$1:E1846)*(E1847=E$1:E1846)))))</f>
        <v/>
      </c>
      <c r="L1847" s="25"/>
    </row>
    <row r="1848" customFormat="false" ht="14.25" hidden="false" customHeight="false" outlineLevel="0" collapsed="false">
      <c r="A1848" s="0" t="s">
        <v>1058</v>
      </c>
      <c r="B1848" s="26" t="s">
        <v>304</v>
      </c>
      <c r="C1848" s="26" t="s">
        <v>74</v>
      </c>
      <c r="D1848" s="26" t="s">
        <v>75</v>
      </c>
      <c r="E1848" s="20" t="s">
        <v>928</v>
      </c>
      <c r="F1848" s="21" t="str">
        <f aca="false">IF(OR(E1848="",E1848="!!!"),"",IF(NOT(ISNA(VLOOKUP(E1848,E$1:E1847,1,FALSE()))),"OLD",IF(AND(E1848&lt;&gt;"",E1848&lt;&gt;"!!!"),"NEW","")))</f>
        <v>OLD</v>
      </c>
      <c r="G1848" s="22" t="str">
        <f aca="false"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?IN_FOCUS</v>
      </c>
      <c r="H1848" s="23" t="str">
        <f aca="false">IF(J1848&lt;&gt;1,"",IF(I1848="SBJ","CB","?"))</f>
        <v/>
      </c>
      <c r="I1848" s="24" t="str">
        <f aca="false">IF(OR(E1848="",E1848="!!!",F1848="NEW"),"",INDEX(B$2:B1847,-1+SUMPRODUCT(MAX(ROW(E$2:E1847)*(E1848=E$2:E1847)))))</f>
        <v>other_5</v>
      </c>
      <c r="J1848" s="24" t="n">
        <f aca="true">IF(OR(E1848="",E1848="!!!",F1848="NEW"),"",COUNTBLANK(OFFSET(A$1,,,SUMPRODUCT(MAX(ROW(E$2:E1848)*(E1848=E$2:E1848)))))-COUNTBLANK(OFFSET(A$1,,,SUMPRODUCT(MAX(ROW(E$1:E1847)*(E2=E$1:E1847))))))</f>
        <v>0</v>
      </c>
      <c r="K1848" s="24" t="str">
        <f aca="false">IF(OR(E1848="",E1848="!!!",F1848="NEW"),"",INDEX(J$1:J1847,SUMPRODUCT(MAX(ROW(E$1:E1847)*(E1848=E$1:E1847)))))</f>
        <v/>
      </c>
      <c r="L1848" s="25"/>
    </row>
    <row r="1849" customFormat="false" ht="14.25" hidden="false" customHeight="false" outlineLevel="0" collapsed="false">
      <c r="A1849" s="0" t="s">
        <v>1059</v>
      </c>
      <c r="E1849" s="20"/>
      <c r="F1849" s="21" t="s">
        <v>107</v>
      </c>
      <c r="G1849" s="22" t="str">
        <f aca="false"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3" t="str">
        <f aca="false">IF(J1849&lt;&gt;1,"",IF(I1849="SBJ","CB","?"))</f>
        <v/>
      </c>
      <c r="I1849" s="24" t="str">
        <f aca="false">IF(OR(E1849="",E1849="!!!",F1849="NEW"),"",INDEX(B$2:B1848,-1+SUMPRODUCT(MAX(ROW(E$2:E1848)*(E1849=E$2:E1848)))))</f>
        <v/>
      </c>
      <c r="J1849" s="24" t="str">
        <f aca="true">IF(OR(E1849="",E1849="!!!",F1849="NEW"),"",COUNTBLANK(OFFSET(A$1,,,SUMPRODUCT(MAX(ROW(E$2:E1849)*(E1849=E$2:E1849)))))-COUNTBLANK(OFFSET(A$1,,,SUMPRODUCT(MAX(ROW(E$1:E1848)*(E2=E$1:E1848))))))</f>
        <v/>
      </c>
      <c r="K1849" s="24" t="str">
        <f aca="false">IF(OR(E1849="",E1849="!!!",F1849="NEW"),"",INDEX(J$1:J1848,SUMPRODUCT(MAX(ROW(E$1:E1848)*(E1849=E$1:E1848)))))</f>
        <v/>
      </c>
      <c r="L1849" s="25"/>
    </row>
    <row r="1850" customFormat="false" ht="14.25" hidden="false" customHeight="false" outlineLevel="0" collapsed="false">
      <c r="A1850" s="0" t="s">
        <v>1060</v>
      </c>
      <c r="B1850" s="26" t="s">
        <v>410</v>
      </c>
      <c r="C1850" s="26" t="s">
        <v>488</v>
      </c>
      <c r="E1850" s="20" t="s">
        <v>1003</v>
      </c>
      <c r="F1850" s="21" t="str">
        <f aca="false">IF(OR(E1850="",E1850="!!!"),"",IF(NOT(ISNA(VLOOKUP(E1850,E$1:E1849,1,FALSE()))),"OLD",IF(AND(E1850&lt;&gt;"",E1850&lt;&gt;"!!!"),"NEW","")))</f>
        <v>NEW</v>
      </c>
      <c r="G1850" s="22" t="str">
        <f aca="false"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?REFERENTIAL</v>
      </c>
      <c r="H1850" s="23" t="str">
        <f aca="false">IF(J1850&lt;&gt;1,"",IF(I1850="SBJ","CB","?"))</f>
        <v/>
      </c>
      <c r="I1850" s="24" t="str">
        <f aca="false">IF(OR(E1850="",E1850="!!!",F1850="NEW"),"",INDEX(B$2:B1849,-1+SUMPRODUCT(MAX(ROW(E$2:E1849)*(E1850=E$2:E1849)))))</f>
        <v/>
      </c>
      <c r="J1850" s="24" t="str">
        <f aca="true">IF(OR(E1850="",E1850="!!!",F1850="NEW"),"",COUNTBLANK(OFFSET(A$1,,,SUMPRODUCT(MAX(ROW(E$2:E1850)*(E1850=E$2:E1850)))))-COUNTBLANK(OFFSET(A$1,,,SUMPRODUCT(MAX(ROW(E$1:E1849)*(E2=E$1:E1849))))))</f>
        <v/>
      </c>
      <c r="K1850" s="24" t="str">
        <f aca="false">IF(OR(E1850="",E1850="!!!",F1850="NEW"),"",INDEX(J$1:J1849,SUMPRODUCT(MAX(ROW(E$1:E1849)*(E1850=E$1:E1849)))))</f>
        <v/>
      </c>
      <c r="L1850" s="25"/>
    </row>
    <row r="1851" customFormat="false" ht="14.25" hidden="false" customHeight="false" outlineLevel="0" collapsed="false">
      <c r="A1851" s="0" t="s">
        <v>1061</v>
      </c>
      <c r="E1851" s="20" t="str">
        <f aca="false">IF(D1851="?OLD","!!!","")</f>
        <v/>
      </c>
      <c r="F1851" s="21" t="str">
        <f aca="false">IF(OR(E1851="",E1851="!!!"),"",IF(NOT(ISNA(VLOOKUP(E1851,E$1:E1850,1,FALSE()))),"OLD",IF(AND(E1851&lt;&gt;"",E1851&lt;&gt;"!!!"),"NEW","")))</f>
        <v/>
      </c>
      <c r="G1851" s="22" t="str">
        <f aca="false"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3" t="str">
        <f aca="false">IF(J1851&lt;&gt;1,"",IF(I1851="SBJ","CB","?"))</f>
        <v/>
      </c>
      <c r="I1851" s="24" t="str">
        <f aca="false">IF(OR(E1851="",E1851="!!!",F1851="NEW"),"",INDEX(B$2:B1850,-1+SUMPRODUCT(MAX(ROW(E$2:E1850)*(E1851=E$2:E1850)))))</f>
        <v/>
      </c>
      <c r="J1851" s="24" t="str">
        <f aca="true">IF(OR(E1851="",E1851="!!!",F1851="NEW"),"",COUNTBLANK(OFFSET(A$1,,,SUMPRODUCT(MAX(ROW(E$2:E1851)*(E1851=E$2:E1851)))))-COUNTBLANK(OFFSET(A$1,,,SUMPRODUCT(MAX(ROW(E$1:E1850)*(E2=E$1:E1850))))))</f>
        <v/>
      </c>
      <c r="K1851" s="24" t="str">
        <f aca="false">IF(OR(E1851="",E1851="!!!",F1851="NEW"),"",INDEX(J$1:J1850,SUMPRODUCT(MAX(ROW(E$1:E1850)*(E1851=E$1:E1850)))))</f>
        <v/>
      </c>
      <c r="L1851" s="25"/>
    </row>
    <row r="1852" customFormat="false" ht="14.25" hidden="false" customHeight="false" outlineLevel="0" collapsed="false">
      <c r="A1852" s="0" t="s">
        <v>86</v>
      </c>
      <c r="E1852" s="20" t="str">
        <f aca="false">IF(D1852="?OLD","!!!","")</f>
        <v/>
      </c>
      <c r="F1852" s="21" t="str">
        <f aca="false">IF(OR(E1852="",E1852="!!!"),"",IF(NOT(ISNA(VLOOKUP(E1852,E$1:E1851,1,FALSE()))),"OLD",IF(AND(E1852&lt;&gt;"",E1852&lt;&gt;"!!!"),"NEW","")))</f>
        <v/>
      </c>
      <c r="G1852" s="22" t="str">
        <f aca="false"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3" t="str">
        <f aca="false">IF(J1852&lt;&gt;1,"",IF(I1852="SBJ","CB","?"))</f>
        <v/>
      </c>
      <c r="I1852" s="24" t="str">
        <f aca="false">IF(OR(E1852="",E1852="!!!",F1852="NEW"),"",INDEX(B$2:B1851,-1+SUMPRODUCT(MAX(ROW(E$2:E1851)*(E1852=E$2:E1851)))))</f>
        <v/>
      </c>
      <c r="J1852" s="24" t="str">
        <f aca="true">IF(OR(E1852="",E1852="!!!",F1852="NEW"),"",COUNTBLANK(OFFSET(A$1,,,SUMPRODUCT(MAX(ROW(E$2:E1852)*(E1852=E$2:E1852)))))-COUNTBLANK(OFFSET(A$1,,,SUMPRODUCT(MAX(ROW(E$1:E1851)*(E2=E$1:E1851))))))</f>
        <v/>
      </c>
      <c r="K1852" s="24" t="str">
        <f aca="false">IF(OR(E1852="",E1852="!!!",F1852="NEW"),"",INDEX(J$1:J1851,SUMPRODUCT(MAX(ROW(E$1:E1851)*(E1852=E$1:E1851)))))</f>
        <v/>
      </c>
      <c r="L1852" s="25"/>
    </row>
    <row r="1853" customFormat="false" ht="14.25" hidden="false" customHeight="false" outlineLevel="0" collapsed="false">
      <c r="A1853" s="0" t="s">
        <v>376</v>
      </c>
      <c r="E1853" s="20" t="str">
        <f aca="false">IF(D1853="?OLD","!!!","")</f>
        <v/>
      </c>
      <c r="F1853" s="21" t="str">
        <f aca="false">IF(OR(E1853="",E1853="!!!"),"",IF(NOT(ISNA(VLOOKUP(E1853,E$1:E1852,1,FALSE()))),"OLD",IF(AND(E1853&lt;&gt;"",E1853&lt;&gt;"!!!"),"NEW","")))</f>
        <v/>
      </c>
      <c r="G1853" s="22" t="str">
        <f aca="false"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3" t="str">
        <f aca="false">IF(J1853&lt;&gt;1,"",IF(I1853="SBJ","CB","?"))</f>
        <v/>
      </c>
      <c r="I1853" s="24" t="str">
        <f aca="false">IF(OR(E1853="",E1853="!!!",F1853="NEW"),"",INDEX(B$2:B1852,-1+SUMPRODUCT(MAX(ROW(E$2:E1852)*(E1853=E$2:E1852)))))</f>
        <v/>
      </c>
      <c r="J1853" s="24" t="str">
        <f aca="true">IF(OR(E1853="",E1853="!!!",F1853="NEW"),"",COUNTBLANK(OFFSET(A$1,,,SUMPRODUCT(MAX(ROW(E$2:E1853)*(E1853=E$2:E1853)))))-COUNTBLANK(OFFSET(A$1,,,SUMPRODUCT(MAX(ROW(E$1:E1852)*(E2=E$1:E1852))))))</f>
        <v/>
      </c>
      <c r="K1853" s="24" t="str">
        <f aca="false">IF(OR(E1853="",E1853="!!!",F1853="NEW"),"",INDEX(J$1:J1852,SUMPRODUCT(MAX(ROW(E$1:E1852)*(E1853=E$1:E1852)))))</f>
        <v/>
      </c>
      <c r="L1853" s="25"/>
    </row>
    <row r="1854" customFormat="false" ht="14.25" hidden="false" customHeight="false" outlineLevel="0" collapsed="false">
      <c r="A1854" s="0" t="s">
        <v>1062</v>
      </c>
      <c r="E1854" s="20" t="str">
        <f aca="false">IF(D1854="?OLD","!!!","")</f>
        <v/>
      </c>
      <c r="F1854" s="21" t="str">
        <f aca="false">IF(OR(E1854="",E1854="!!!"),"",IF(NOT(ISNA(VLOOKUP(E1854,E$1:E1853,1,FALSE()))),"OLD",IF(AND(E1854&lt;&gt;"",E1854&lt;&gt;"!!!"),"NEW","")))</f>
        <v/>
      </c>
      <c r="G1854" s="22" t="str">
        <f aca="false"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3" t="str">
        <f aca="false">IF(J1854&lt;&gt;1,"",IF(I1854="SBJ","CB","?"))</f>
        <v/>
      </c>
      <c r="I1854" s="24" t="str">
        <f aca="false">IF(OR(E1854="",E1854="!!!",F1854="NEW"),"",INDEX(B$2:B1853,-1+SUMPRODUCT(MAX(ROW(E$2:E1853)*(E1854=E$2:E1853)))))</f>
        <v/>
      </c>
      <c r="J1854" s="24" t="str">
        <f aca="true">IF(OR(E1854="",E1854="!!!",F1854="NEW"),"",COUNTBLANK(OFFSET(A$1,,,SUMPRODUCT(MAX(ROW(E$2:E1854)*(E1854=E$2:E1854)))))-COUNTBLANK(OFFSET(A$1,,,SUMPRODUCT(MAX(ROW(E$1:E1853)*(E2=E$1:E1853))))))</f>
        <v/>
      </c>
      <c r="K1854" s="24" t="str">
        <f aca="false">IF(OR(E1854="",E1854="!!!",F1854="NEW"),"",INDEX(J$1:J1853,SUMPRODUCT(MAX(ROW(E$1:E1853)*(E1854=E$1:E1853)))))</f>
        <v/>
      </c>
      <c r="L1854" s="25"/>
    </row>
    <row r="1855" customFormat="false" ht="14.25" hidden="false" customHeight="false" outlineLevel="0" collapsed="false">
      <c r="A1855" s="0" t="s">
        <v>1063</v>
      </c>
      <c r="B1855" s="26" t="s">
        <v>82</v>
      </c>
      <c r="C1855" s="26" t="s">
        <v>119</v>
      </c>
      <c r="E1855" s="20" t="str">
        <f aca="false">IF(D1855="?OLD","!!!","")</f>
        <v/>
      </c>
      <c r="F1855" s="21" t="str">
        <f aca="false">IF(OR(E1855="",E1855="!!!"),"",IF(NOT(ISNA(VLOOKUP(E1855,E$1:E1854,1,FALSE()))),"OLD",IF(AND(E1855&lt;&gt;"",E1855&lt;&gt;"!!!"),"NEW","")))</f>
        <v/>
      </c>
      <c r="G1855" s="22" t="str">
        <f aca="false"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3" t="str">
        <f aca="false">IF(J1855&lt;&gt;1,"",IF(I1855="SBJ","CB","?"))</f>
        <v/>
      </c>
      <c r="I1855" s="24" t="str">
        <f aca="false">IF(OR(E1855="",E1855="!!!",F1855="NEW"),"",INDEX(B$2:B1854,-1+SUMPRODUCT(MAX(ROW(E$2:E1854)*(E1855=E$2:E1854)))))</f>
        <v/>
      </c>
      <c r="J1855" s="24" t="str">
        <f aca="true">IF(OR(E1855="",E1855="!!!",F1855="NEW"),"",COUNTBLANK(OFFSET(A$1,,,SUMPRODUCT(MAX(ROW(E$2:E1855)*(E1855=E$2:E1855)))))-COUNTBLANK(OFFSET(A$1,,,SUMPRODUCT(MAX(ROW(E$1:E1854)*(E2=E$1:E1854))))))</f>
        <v/>
      </c>
      <c r="K1855" s="24" t="str">
        <f aca="false">IF(OR(E1855="",E1855="!!!",F1855="NEW"),"",INDEX(J$1:J1854,SUMPRODUCT(MAX(ROW(E$1:E1854)*(E1855=E$1:E1854)))))</f>
        <v/>
      </c>
      <c r="L1855" s="25"/>
    </row>
    <row r="1856" customFormat="false" ht="14.25" hidden="false" customHeight="false" outlineLevel="0" collapsed="false">
      <c r="A1856" s="0" t="s">
        <v>86</v>
      </c>
      <c r="E1856" s="20" t="str">
        <f aca="false">IF(D1856="?OLD","!!!","")</f>
        <v/>
      </c>
      <c r="F1856" s="21" t="str">
        <f aca="false">IF(OR(E1856="",E1856="!!!"),"",IF(NOT(ISNA(VLOOKUP(E1856,E$1:E1855,1,FALSE()))),"OLD",IF(AND(E1856&lt;&gt;"",E1856&lt;&gt;"!!!"),"NEW","")))</f>
        <v/>
      </c>
      <c r="G1856" s="22" t="str">
        <f aca="false"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3" t="str">
        <f aca="false">IF(J1856&lt;&gt;1,"",IF(I1856="SBJ","CB","?"))</f>
        <v/>
      </c>
      <c r="I1856" s="24" t="str">
        <f aca="false">IF(OR(E1856="",E1856="!!!",F1856="NEW"),"",INDEX(B$2:B1855,-1+SUMPRODUCT(MAX(ROW(E$2:E1855)*(E1856=E$2:E1855)))))</f>
        <v/>
      </c>
      <c r="J1856" s="24" t="str">
        <f aca="true">IF(OR(E1856="",E1856="!!!",F1856="NEW"),"",COUNTBLANK(OFFSET(A$1,,,SUMPRODUCT(MAX(ROW(E$2:E1856)*(E1856=E$2:E1856)))))-COUNTBLANK(OFFSET(A$1,,,SUMPRODUCT(MAX(ROW(E$1:E1855)*(E2=E$1:E1855))))))</f>
        <v/>
      </c>
      <c r="K1856" s="24" t="str">
        <f aca="false">IF(OR(E1856="",E1856="!!!",F1856="NEW"),"",INDEX(J$1:J1855,SUMPRODUCT(MAX(ROW(E$1:E1855)*(E1856=E$1:E1855)))))</f>
        <v/>
      </c>
      <c r="L1856" s="25"/>
    </row>
  </sheetData>
  <autoFilter ref="A1:L4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LibreOffice/24.2.3.2$Linux_X86_64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2024-05-20T20:26:21Z</dcterms:created>
  <dc:creator/>
  <dc:description/>
  <dc:language>en-US</dc:language>
  <cp:lastModifiedBy/>
  <dcterms:modified xsi:type="dcterms:W3CDTF">2024-12-09T12:05:34Z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